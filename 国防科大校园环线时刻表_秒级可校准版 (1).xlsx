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88fd11355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构化数据" sheetId="1" r:id="R4fab2179fcf44c8f"/>
    <x:sheet xmlns:r="http://schemas.openxmlformats.org/officeDocument/2006/relationships" name="横向时刻表" sheetId="2" r:id="R3b9142b8bd1a49d6"/>
    <x:sheet xmlns:r="http://schemas.openxmlformats.org/officeDocument/2006/relationships" name="总览" sheetId="3" r:id="R857f878b81eb4e84"/>
    <x:sheet xmlns:r="http://schemas.openxmlformats.org/officeDocument/2006/relationships" name="数据字典" sheetId="4" r:id="R8ed1f2315b22442c"/>
    <x:sheet xmlns:r="http://schemas.openxmlformats.org/officeDocument/2006/relationships" name="路线站点与偏移" sheetId="5" r:id="R89d8c817d4c54b5a"/>
    <x:sheet xmlns:r="http://schemas.openxmlformats.org/officeDocument/2006/relationships" name="预测到站明细" sheetId="6" r:id="R59500ba350fd4161"/>
    <x:sheet xmlns:r="http://schemas.openxmlformats.org/officeDocument/2006/relationships" name="运转校验" sheetId="7" r:id="R291c5ba1ad9a454b"/>
    <x:sheet xmlns:r="http://schemas.openxmlformats.org/officeDocument/2006/relationships" name="小程序数据口径" sheetId="8" r:id="R2c97378f5af845fc"/>
    <x:sheet xmlns:r="http://schemas.openxmlformats.org/officeDocument/2006/relationships" name="站点字典" sheetId="9" r:id="R33eb5290803b47a8"/>
    <x:sheet xmlns:r="http://schemas.openxmlformats.org/officeDocument/2006/relationships" name="预测说明" sheetId="10" r:id="R6d2c5d620aff4d69"/>
    <x:sheet xmlns:r="http://schemas.openxmlformats.org/officeDocument/2006/relationships" name="秒级路线参数_可调整" sheetId="11" r:id="Rc1e886b86e224dcc"/>
    <x:sheet xmlns:r="http://schemas.openxmlformats.org/officeDocument/2006/relationships" name="实测记录模板" sheetId="12" r:id="R620dd576d9a04aca"/>
    <x:sheet xmlns:r="http://schemas.openxmlformats.org/officeDocument/2006/relationships" name="预测到站明细_秒级" sheetId="13" r:id="R07864dcbac744cc6"/>
    <x:sheet xmlns:r="http://schemas.openxmlformats.org/officeDocument/2006/relationships" name="运转校验_秒级" sheetId="14" r:id="Rd4db4bb30fc946eb"/>
    <x:sheet xmlns:r="http://schemas.openxmlformats.org/officeDocument/2006/relationships" name="秒级总览" sheetId="15" r:id="Rc91cb57b1d364139"/>
    <x:sheet xmlns:r="http://schemas.openxmlformats.org/officeDocument/2006/relationships" name="秒级预测说明" sheetId="16" r:id="R4f29e54e33bb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"/>
    <x:numFmt numFmtId="202" formatCode="[m]:ss"/>
    <x:numFmt numFmtId="203" formatCode="yyyy-mm-dd"/>
    <x:numFmt numFmtId="204" formatCode="hh:mm:ss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C00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70AD47"/>
      </x:patternFill>
    </x:fill>
    <x:fill>
      <x:patternFill patternType="solid">
        <x:fgColor rgb="155E75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1D4ED8"/>
      </x:patternFill>
    </x:fill>
    <x:fill>
      <x:patternFill patternType="solid">
        <x:fgColor rgb="166534"/>
      </x:patternFill>
    </x:fill>
    <x:fill>
      <x:patternFill patternType="solid">
        <x:fgColor rgb="4C1D95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B91C1C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200" fontId="1" fillId="12" borderId="0" xfId="0" applyNumberFormat="1" applyFont="1" applyFill="1" applyBorder="1" applyAlignment="1">
      <x:alignment horizontal="center" vertical="center" wrapText="1"/>
    </x:xf>
    <x:xf numFmtId="201" fontId="1" fillId="12" borderId="0" xfId="0" applyNumberFormat="1" applyFont="1" applyFill="1" applyBorder="1" applyAlignment="1">
      <x:alignment horizontal="center" vertical="center" wrapText="1"/>
    </x:xf>
    <x:xf numFmtId="202" fontId="1" fillId="12" borderId="0" xfId="0" applyNumberFormat="1" applyFont="1" applyFill="1" applyBorder="1" applyAlignment="1">
      <x:alignment horizontal="center" vertical="center" wrapText="1"/>
    </x:xf>
    <x:xf numFmtId="203" fontId="1" fillId="12" borderId="0" xfId="0" applyNumberFormat="1" applyFont="1" applyFill="1" applyBorder="1" applyAlignment="1">
      <x:alignment horizontal="center" vertical="center" wrapText="1"/>
    </x:xf>
    <x:xf numFmtId="204" fontId="1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C00000"/>
      </x:font>
      <x:fill>
        <x:patternFill>
          <x:bgColor rgb="FCE4D6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C00000"/>
      </x:font>
      <x:fill>
        <x:patternFill>
          <x:bgColor rgb="FCE4D6"/>
        </x:patternFill>
      </x:fill>
    </x:dxf>
    <x:dxf>
      <x:font>
        <x:b/>
        <x:color rgb="C00000"/>
      </x:font>
      <x:fill>
        <x:patternFill>
          <x:bgColor rgb="FCE4D6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2bcd3b8784d43" /><Relationship Type="http://schemas.openxmlformats.org/officeDocument/2006/relationships/theme" Target="/xl/theme/theme1.xml" Id="Rc82521d15efb4e16" /><Relationship Type="http://schemas.openxmlformats.org/officeDocument/2006/relationships/sharedStrings" Target="/xl/sharedStrings.xml" Id="Rcbe05d486da74ab5" /><Relationship Type="http://schemas.openxmlformats.org/officeDocument/2006/relationships/worksheet" Target="/xl/worksheets/sheet1.xml" Id="R4fab2179fcf44c8f" /><Relationship Type="http://schemas.openxmlformats.org/officeDocument/2006/relationships/worksheet" Target="/xl/worksheets/sheet2.xml" Id="R3b9142b8bd1a49d6" /><Relationship Type="http://schemas.openxmlformats.org/officeDocument/2006/relationships/worksheet" Target="/xl/worksheets/sheet3.xml" Id="R857f878b81eb4e84" /><Relationship Type="http://schemas.openxmlformats.org/officeDocument/2006/relationships/worksheet" Target="/xl/worksheets/sheet4.xml" Id="R8ed1f2315b22442c" /><Relationship Type="http://schemas.openxmlformats.org/officeDocument/2006/relationships/worksheet" Target="/xl/worksheets/sheet5.xml" Id="R89d8c817d4c54b5a" /><Relationship Type="http://schemas.openxmlformats.org/officeDocument/2006/relationships/worksheet" Target="/xl/worksheets/sheet6.xml" Id="R59500ba350fd4161" /><Relationship Type="http://schemas.openxmlformats.org/officeDocument/2006/relationships/worksheet" Target="/xl/worksheets/sheet7.xml" Id="R291c5ba1ad9a454b" /><Relationship Type="http://schemas.openxmlformats.org/officeDocument/2006/relationships/worksheet" Target="/xl/worksheets/sheet8.xml" Id="R2c97378f5af845fc" /><Relationship Type="http://schemas.openxmlformats.org/officeDocument/2006/relationships/worksheet" Target="/xl/worksheets/sheet9.xml" Id="R33eb5290803b47a8" /><Relationship Type="http://schemas.openxmlformats.org/officeDocument/2006/relationships/worksheet" Target="/xl/worksheets/sheet10.xml" Id="R6d2c5d620aff4d69" /><Relationship Type="http://schemas.openxmlformats.org/officeDocument/2006/relationships/worksheet" Target="/xl/worksheets/sheet11.xml" Id="Rc1e886b86e224dcc" /><Relationship Type="http://schemas.openxmlformats.org/officeDocument/2006/relationships/worksheet" Target="/xl/worksheets/sheet12.xml" Id="R620dd576d9a04aca" /><Relationship Type="http://schemas.openxmlformats.org/officeDocument/2006/relationships/worksheet" Target="/xl/worksheets/sheet13.xml" Id="R07864dcbac744cc6" /><Relationship Type="http://schemas.openxmlformats.org/officeDocument/2006/relationships/worksheet" Target="/xl/worksheets/sheet14.xml" Id="Rd4db4bb30fc946eb" /><Relationship Type="http://schemas.openxmlformats.org/officeDocument/2006/relationships/worksheet" Target="/xl/worksheets/sheet15.xml" Id="Rc91cb57b1d364139" /><Relationship Type="http://schemas.openxmlformats.org/officeDocument/2006/relationships/worksheet" Target="/xl/worksheets/sheet16.xml" Id="R4f29e54e33bb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34" hidden="0" customWidth="1"/>
    <x:col min="5" max="5" width="14" hidden="0" customWidth="1"/>
    <x:col min="6" max="6" width="10" hidden="0" customWidth="1"/>
    <x:col min="7" max="7" width="12" hidden="0" customWidth="1"/>
    <x:col min="8" max="8" width="12" hidden="0" customWidth="1"/>
    <x:col min="9" max="9" width="10" hidden="0" customWidth="1"/>
    <x:col min="10" max="10" width="18" hidden="0" customWidth="1"/>
    <x:col min="11" max="11" width="18" hidden="0" customWidth="1"/>
    <x:col min="12" max="12" width="12" hidden="0" customWidth="1"/>
    <x:col min="13" max="13" width="12" hidden="0" customWidth="1"/>
    <x:col min="14" max="14" width="14" hidden="0" customWidth="1"/>
    <x:col min="15" max="15" width="32" hidden="0" customWidth="1"/>
    <x:col min="16" max="16" width="10" hidden="0" customWidth="1"/>
  </x:cols>
  <x:sheetData>
    <x:row r="1">
      <x:c r="A1" s="65" t="str">
        <x:v>记录ID</x:v>
      </x:c>
      <x:c r="B1" s="65" t="str">
        <x:v>适用日期</x:v>
      </x:c>
      <x:c r="C1" s="65" t="str">
        <x:v>线路</x:v>
      </x:c>
      <x:c r="D1" s="65" t="str">
        <x:v>原图标题</x:v>
      </x:c>
      <x:c r="E1" s="65" t="str">
        <x:v>班次</x:v>
      </x:c>
      <x:c r="F1" s="65" t="str">
        <x:v>趟次序号</x:v>
      </x:c>
      <x:c r="G1" s="65" t="str">
        <x:v>发车时间</x:v>
      </x:c>
      <x:c r="H1" s="65" t="str">
        <x:v>发车时间HHMM</x:v>
      </x:c>
      <x:c r="I1" s="65" t="str">
        <x:v>发车分钟</x:v>
      </x:c>
      <x:c r="J1" s="65" t="str">
        <x:v>发车地点</x:v>
      </x:c>
      <x:c r="K1" s="65" t="str">
        <x:v>是否系统工程学院发车</x:v>
      </x:c>
      <x:c r="L1" s="65" t="str">
        <x:v>驾驶员</x:v>
      </x:c>
      <x:c r="M1" s="65" t="str">
        <x:v>车号</x:v>
      </x:c>
      <x:c r="N1" s="65" t="str">
        <x:v>数据状态</x:v>
      </x:c>
      <x:c r="O1" s="65" t="str">
        <x:v>备注</x:v>
      </x:c>
      <x:c r="P1" s="65" t="str">
        <x:v>来源</x:v>
      </x:c>
    </x:row>
    <x:row r="2">
      <x:c r="A2" s="14" t="str">
        <x:v>S0001</x:v>
      </x:c>
      <x:c r="B2" s="14" t="str">
        <x:v>工作日</x:v>
      </x:c>
      <x:c r="C2" s="14" t="str">
        <x:v>环线1路</x:v>
      </x:c>
      <x:c r="D2" s="14" t="str">
        <x:v>国防科大三号院环线发车时刻表（环线1路）</x:v>
      </x:c>
      <x:c r="E2" s="14" t="str">
        <x:v>第一班</x:v>
      </x:c>
      <x:c r="F2" s="14" t="n">
        <x:v>1</x:v>
      </x:c>
      <x:c r="G2" s="14" t="str">
        <x:v>7:30</x:v>
      </x:c>
      <x:c r="H2" s="14" t="str">
        <x:v>07:30</x:v>
      </x:c>
      <x:c r="I2" s="14" t="n">
        <x:v>450</x:v>
      </x:c>
      <x:c r="J2" s="14" t="str">
        <x:v>原表默认发车点</x:v>
      </x:c>
      <x:c r="K2" s="14" t="str">
        <x:v>否</x:v>
      </x:c>
      <x:c r="L2" s="14" t="str">
        <x:v>未提供</x:v>
      </x:c>
      <x:c r="M2" s="14" t="str">
        <x:v>未提供</x:v>
      </x:c>
      <x:c r="N2" s="14" t="str">
        <x:v>已识读</x:v>
      </x:c>
      <x:c r="O2" s="14"/>
      <x:c r="P2" s="14" t="str">
        <x:v>图片1</x:v>
      </x:c>
    </x:row>
    <x:row r="3">
      <x:c r="A3" s="14" t="str">
        <x:v>S0002</x:v>
      </x:c>
      <x:c r="B3" s="14" t="str">
        <x:v>工作日</x:v>
      </x:c>
      <x:c r="C3" s="14" t="str">
        <x:v>环线1路</x:v>
      </x:c>
      <x:c r="D3" s="14" t="str">
        <x:v>国防科大三号院环线发车时刻表（环线1路）</x:v>
      </x:c>
      <x:c r="E3" s="14" t="str">
        <x:v>第一班</x:v>
      </x:c>
      <x:c r="F3" s="14" t="n">
        <x:v>2</x:v>
      </x:c>
      <x:c r="G3" s="14" t="str">
        <x:v>8:00</x:v>
      </x:c>
      <x:c r="H3" s="14" t="str">
        <x:v>08:00</x:v>
      </x:c>
      <x:c r="I3" s="14" t="n">
        <x:v>480</x:v>
      </x:c>
      <x:c r="J3" s="14" t="str">
        <x:v>原表默认发车点</x:v>
      </x:c>
      <x:c r="K3" s="14" t="str">
        <x:v>否</x:v>
      </x:c>
      <x:c r="L3" s="14" t="str">
        <x:v>未提供</x:v>
      </x:c>
      <x:c r="M3" s="14" t="str">
        <x:v>未提供</x:v>
      </x:c>
      <x:c r="N3" s="14" t="str">
        <x:v>已识读</x:v>
      </x:c>
      <x:c r="O3" s="14"/>
      <x:c r="P3" s="14" t="str">
        <x:v>图片1</x:v>
      </x:c>
    </x:row>
    <x:row r="4">
      <x:c r="A4" s="14" t="str">
        <x:v>S0003</x:v>
      </x:c>
      <x:c r="B4" s="14" t="str">
        <x:v>工作日</x:v>
      </x:c>
      <x:c r="C4" s="14" t="str">
        <x:v>环线1路</x:v>
      </x:c>
      <x:c r="D4" s="14" t="str">
        <x:v>国防科大三号院环线发车时刻表（环线1路）</x:v>
      </x:c>
      <x:c r="E4" s="14" t="str">
        <x:v>第一班</x:v>
      </x:c>
      <x:c r="F4" s="14" t="n">
        <x:v>3</x:v>
      </x:c>
      <x:c r="G4" s="14" t="str">
        <x:v>8:30</x:v>
      </x:c>
      <x:c r="H4" s="14" t="str">
        <x:v>08:30</x:v>
      </x:c>
      <x:c r="I4" s="14" t="n">
        <x:v>510</x:v>
      </x:c>
      <x:c r="J4" s="14" t="str">
        <x:v>原表默认发车点</x:v>
      </x:c>
      <x:c r="K4" s="14" t="str">
        <x:v>否</x:v>
      </x:c>
      <x:c r="L4" s="14" t="str">
        <x:v>未提供</x:v>
      </x:c>
      <x:c r="M4" s="14" t="str">
        <x:v>未提供</x:v>
      </x:c>
      <x:c r="N4" s="14" t="str">
        <x:v>已识读</x:v>
      </x:c>
      <x:c r="O4" s="14"/>
      <x:c r="P4" s="14" t="str">
        <x:v>图片1</x:v>
      </x:c>
    </x:row>
    <x:row r="5">
      <x:c r="A5" s="14" t="str">
        <x:v>S0004</x:v>
      </x:c>
      <x:c r="B5" s="14" t="str">
        <x:v>工作日</x:v>
      </x:c>
      <x:c r="C5" s="14" t="str">
        <x:v>环线1路</x:v>
      </x:c>
      <x:c r="D5" s="14" t="str">
        <x:v>国防科大三号院环线发车时刻表（环线1路）</x:v>
      </x:c>
      <x:c r="E5" s="14" t="str">
        <x:v>第一班</x:v>
      </x:c>
      <x:c r="F5" s="14" t="n">
        <x:v>4</x:v>
      </x:c>
      <x:c r="G5" s="14" t="str">
        <x:v>9:00</x:v>
      </x:c>
      <x:c r="H5" s="14" t="str">
        <x:v>09:00</x:v>
      </x:c>
      <x:c r="I5" s="14" t="n">
        <x:v>540</x:v>
      </x:c>
      <x:c r="J5" s="14" t="str">
        <x:v>原表默认发车点</x:v>
      </x:c>
      <x:c r="K5" s="14" t="str">
        <x:v>否</x:v>
      </x:c>
      <x:c r="L5" s="14" t="str">
        <x:v>未提供</x:v>
      </x:c>
      <x:c r="M5" s="14" t="str">
        <x:v>未提供</x:v>
      </x:c>
      <x:c r="N5" s="14" t="str">
        <x:v>已识读</x:v>
      </x:c>
      <x:c r="O5" s="14"/>
      <x:c r="P5" s="14" t="str">
        <x:v>图片1</x:v>
      </x:c>
    </x:row>
    <x:row r="6">
      <x:c r="A6" s="14" t="str">
        <x:v>S0005</x:v>
      </x:c>
      <x:c r="B6" s="14" t="str">
        <x:v>工作日</x:v>
      </x:c>
      <x:c r="C6" s="14" t="str">
        <x:v>环线1路</x:v>
      </x:c>
      <x:c r="D6" s="14" t="str">
        <x:v>国防科大三号院环线发车时刻表（环线1路）</x:v>
      </x:c>
      <x:c r="E6" s="14" t="str">
        <x:v>第一班</x:v>
      </x:c>
      <x:c r="F6" s="14" t="n">
        <x:v>5</x:v>
      </x:c>
      <x:c r="G6" s="14" t="str">
        <x:v>9:36</x:v>
      </x:c>
      <x:c r="H6" s="14" t="str">
        <x:v>09:36</x:v>
      </x:c>
      <x:c r="I6" s="14" t="n">
        <x:v>576</x:v>
      </x:c>
      <x:c r="J6" s="14" t="str">
        <x:v>原表默认发车点</x:v>
      </x:c>
      <x:c r="K6" s="14" t="str">
        <x:v>否</x:v>
      </x:c>
      <x:c r="L6" s="14" t="str">
        <x:v>未提供</x:v>
      </x:c>
      <x:c r="M6" s="14" t="str">
        <x:v>未提供</x:v>
      </x:c>
      <x:c r="N6" s="14" t="str">
        <x:v>已识读</x:v>
      </x:c>
      <x:c r="O6" s="14"/>
      <x:c r="P6" s="14" t="str">
        <x:v>图片1</x:v>
      </x:c>
    </x:row>
    <x:row r="7">
      <x:c r="A7" s="14" t="str">
        <x:v>S0006</x:v>
      </x:c>
      <x:c r="B7" s="14" t="str">
        <x:v>工作日</x:v>
      </x:c>
      <x:c r="C7" s="14" t="str">
        <x:v>环线1路</x:v>
      </x:c>
      <x:c r="D7" s="14" t="str">
        <x:v>国防科大三号院环线发车时刻表（环线1路）</x:v>
      </x:c>
      <x:c r="E7" s="14" t="str">
        <x:v>第一班</x:v>
      </x:c>
      <x:c r="F7" s="14" t="n">
        <x:v>6</x:v>
      </x:c>
      <x:c r="G7" s="14" t="str">
        <x:v>10:15</x:v>
      </x:c>
      <x:c r="H7" s="14" t="str">
        <x:v>10:15</x:v>
      </x:c>
      <x:c r="I7" s="14" t="n">
        <x:v>615</x:v>
      </x:c>
      <x:c r="J7" s="14" t="str">
        <x:v>原表默认发车点</x:v>
      </x:c>
      <x:c r="K7" s="14" t="str">
        <x:v>否</x:v>
      </x:c>
      <x:c r="L7" s="14" t="str">
        <x:v>未提供</x:v>
      </x:c>
      <x:c r="M7" s="14" t="str">
        <x:v>未提供</x:v>
      </x:c>
      <x:c r="N7" s="14" t="str">
        <x:v>已识读</x:v>
      </x:c>
      <x:c r="O7" s="14"/>
      <x:c r="P7" s="14" t="str">
        <x:v>图片1</x:v>
      </x:c>
    </x:row>
    <x:row r="8">
      <x:c r="A8" s="14" t="str">
        <x:v>S0007</x:v>
      </x:c>
      <x:c r="B8" s="14" t="str">
        <x:v>工作日</x:v>
      </x:c>
      <x:c r="C8" s="14" t="str">
        <x:v>环线1路</x:v>
      </x:c>
      <x:c r="D8" s="14" t="str">
        <x:v>国防科大三号院环线发车时刻表（环线1路）</x:v>
      </x:c>
      <x:c r="E8" s="14" t="str">
        <x:v>第一班</x:v>
      </x:c>
      <x:c r="F8" s="14" t="n">
        <x:v>7</x:v>
      </x:c>
      <x:c r="G8" s="14" t="str">
        <x:v>11:15</x:v>
      </x:c>
      <x:c r="H8" s="14" t="str">
        <x:v>11:15</x:v>
      </x:c>
      <x:c r="I8" s="14" t="n">
        <x:v>675</x:v>
      </x:c>
      <x:c r="J8" s="14" t="str">
        <x:v>原表默认发车点</x:v>
      </x:c>
      <x:c r="K8" s="14" t="str">
        <x:v>否</x:v>
      </x:c>
      <x:c r="L8" s="14" t="str">
        <x:v>未提供</x:v>
      </x:c>
      <x:c r="M8" s="14" t="str">
        <x:v>未提供</x:v>
      </x:c>
      <x:c r="N8" s="14" t="str">
        <x:v>已识读</x:v>
      </x:c>
      <x:c r="O8" s="14"/>
      <x:c r="P8" s="14" t="str">
        <x:v>图片1</x:v>
      </x:c>
    </x:row>
    <x:row r="9">
      <x:c r="A9" s="14" t="str">
        <x:v>S0008</x:v>
      </x:c>
      <x:c r="B9" s="14" t="str">
        <x:v>工作日</x:v>
      </x:c>
      <x:c r="C9" s="14" t="str">
        <x:v>环线1路</x:v>
      </x:c>
      <x:c r="D9" s="14" t="str">
        <x:v>国防科大三号院环线发车时刻表（环线1路）</x:v>
      </x:c>
      <x:c r="E9" s="14" t="str">
        <x:v>第一班</x:v>
      </x:c>
      <x:c r="F9" s="14" t="n">
        <x:v>8</x:v>
      </x:c>
      <x:c r="G9" s="14" t="str">
        <x:v>11:30</x:v>
      </x:c>
      <x:c r="H9" s="14" t="str">
        <x:v>11:30</x:v>
      </x:c>
      <x:c r="I9" s="14" t="n">
        <x:v>690</x:v>
      </x:c>
      <x:c r="J9" s="33" t="str">
        <x:v>高超楼（就餐专线）</x:v>
      </x:c>
      <x:c r="K9" s="33" t="str">
        <x:v>是</x:v>
      </x:c>
      <x:c r="L9" s="14" t="str">
        <x:v>未提供</x:v>
      </x:c>
      <x:c r="M9" s="14" t="str">
        <x:v>未提供</x:v>
      </x:c>
      <x:c r="N9" s="14" t="str">
        <x:v>已识读</x:v>
      </x:c>
      <x:c r="O9" s="33" t="str">
        <x:v>原图打勾：从高超楼（系统工程学院旁）发车，并按就餐专线运行</x:v>
      </x:c>
      <x:c r="P9" s="14" t="str">
        <x:v>图片1</x:v>
      </x:c>
    </x:row>
    <x:row r="10">
      <x:c r="A10" s="14" t="str">
        <x:v>S0009</x:v>
      </x:c>
      <x:c r="B10" s="14" t="str">
        <x:v>工作日</x:v>
      </x:c>
      <x:c r="C10" s="14" t="str">
        <x:v>环线1路</x:v>
      </x:c>
      <x:c r="D10" s="14" t="str">
        <x:v>国防科大三号院环线发车时刻表（环线1路）</x:v>
      </x:c>
      <x:c r="E10" s="14" t="str">
        <x:v>第一班</x:v>
      </x:c>
      <x:c r="F10" s="14" t="n">
        <x:v>9</x:v>
      </x:c>
      <x:c r="G10" s="14" t="str">
        <x:v>11:50</x:v>
      </x:c>
      <x:c r="H10" s="14" t="str">
        <x:v>11:50</x:v>
      </x:c>
      <x:c r="I10" s="14" t="n">
        <x:v>710</x:v>
      </x:c>
      <x:c r="J10" s="33" t="str">
        <x:v>高超楼（就餐专线）</x:v>
      </x:c>
      <x:c r="K10" s="33" t="str">
        <x:v>是</x:v>
      </x:c>
      <x:c r="L10" s="14" t="str">
        <x:v>未提供</x:v>
      </x:c>
      <x:c r="M10" s="14" t="str">
        <x:v>未提供</x:v>
      </x:c>
      <x:c r="N10" s="14" t="str">
        <x:v>已识读</x:v>
      </x:c>
      <x:c r="O10" s="33" t="str">
        <x:v>原图打勾：从高超楼（系统工程学院旁）发车，并按就餐专线运行</x:v>
      </x:c>
      <x:c r="P10" s="14" t="str">
        <x:v>图片1</x:v>
      </x:c>
    </x:row>
    <x:row r="11">
      <x:c r="A11" s="14" t="str">
        <x:v>S0010</x:v>
      </x:c>
      <x:c r="B11" s="14" t="str">
        <x:v>工作日</x:v>
      </x:c>
      <x:c r="C11" s="14" t="str">
        <x:v>环线1路</x:v>
      </x:c>
      <x:c r="D11" s="14" t="str">
        <x:v>国防科大三号院环线发车时刻表（环线1路）</x:v>
      </x:c>
      <x:c r="E11" s="14" t="str">
        <x:v>第一班</x:v>
      </x:c>
      <x:c r="F11" s="14" t="n">
        <x:v>10</x:v>
      </x:c>
      <x:c r="G11" s="14" t="str">
        <x:v>12:10</x:v>
      </x:c>
      <x:c r="H11" s="14" t="str">
        <x:v>12:10</x:v>
      </x:c>
      <x:c r="I11" s="14" t="n">
        <x:v>730</x:v>
      </x:c>
      <x:c r="J11" s="33" t="str">
        <x:v>高超楼（就餐专线）</x:v>
      </x:c>
      <x:c r="K11" s="33" t="str">
        <x:v>是</x:v>
      </x:c>
      <x:c r="L11" s="14" t="str">
        <x:v>未提供</x:v>
      </x:c>
      <x:c r="M11" s="14" t="str">
        <x:v>未提供</x:v>
      </x:c>
      <x:c r="N11" s="14" t="str">
        <x:v>已识读</x:v>
      </x:c>
      <x:c r="O11" s="33" t="str">
        <x:v>原图打勾：从高超楼（系统工程学院旁）发车，并按就餐专线运行</x:v>
      </x:c>
      <x:c r="P11" s="14" t="str">
        <x:v>图片1</x:v>
      </x:c>
    </x:row>
    <x:row r="12">
      <x:c r="A12" s="14" t="str">
        <x:v>S0011</x:v>
      </x:c>
      <x:c r="B12" s="14" t="str">
        <x:v>工作日</x:v>
      </x:c>
      <x:c r="C12" s="14" t="str">
        <x:v>环线1路</x:v>
      </x:c>
      <x:c r="D12" s="14" t="str">
        <x:v>国防科大三号院环线发车时刻表（环线1路）</x:v>
      </x:c>
      <x:c r="E12" s="14" t="str">
        <x:v>第一班</x:v>
      </x:c>
      <x:c r="F12" s="14" t="n">
        <x:v>11</x:v>
      </x:c>
      <x:c r="G12" s="14" t="str">
        <x:v>12:30</x:v>
      </x:c>
      <x:c r="H12" s="14" t="str">
        <x:v>12:30</x:v>
      </x:c>
      <x:c r="I12" s="14" t="n">
        <x:v>750</x:v>
      </x:c>
      <x:c r="J12" s="33" t="str">
        <x:v>高超楼（就餐专线）</x:v>
      </x:c>
      <x:c r="K12" s="33" t="str">
        <x:v>是</x:v>
      </x:c>
      <x:c r="L12" s="14" t="str">
        <x:v>未提供</x:v>
      </x:c>
      <x:c r="M12" s="14" t="str">
        <x:v>未提供</x:v>
      </x:c>
      <x:c r="N12" s="14" t="str">
        <x:v>已识读</x:v>
      </x:c>
      <x:c r="O12" s="33" t="str">
        <x:v>原图打勾：从高超楼（系统工程学院旁）发车，并按就餐专线运行</x:v>
      </x:c>
      <x:c r="P12" s="14" t="str">
        <x:v>图片1</x:v>
      </x:c>
    </x:row>
    <x:row r="13">
      <x:c r="A13" s="14" t="str">
        <x:v>S0012</x:v>
      </x:c>
      <x:c r="B13" s="14" t="str">
        <x:v>工作日</x:v>
      </x:c>
      <x:c r="C13" s="14" t="str">
        <x:v>环线1路</x:v>
      </x:c>
      <x:c r="D13" s="14" t="str">
        <x:v>国防科大三号院环线发车时刻表（环线1路）</x:v>
      </x:c>
      <x:c r="E13" s="14" t="str">
        <x:v>第三班</x:v>
      </x:c>
      <x:c r="F13" s="14" t="n">
        <x:v>1</x:v>
      </x:c>
      <x:c r="G13" s="14" t="str">
        <x:v>7:50</x:v>
      </x:c>
      <x:c r="H13" s="14" t="str">
        <x:v>07:50</x:v>
      </x:c>
      <x:c r="I13" s="14" t="n">
        <x:v>470</x:v>
      </x:c>
      <x:c r="J13" s="14" t="str">
        <x:v>原表默认发车点</x:v>
      </x:c>
      <x:c r="K13" s="14" t="str">
        <x:v>否</x:v>
      </x:c>
      <x:c r="L13" s="14" t="str">
        <x:v>未提供</x:v>
      </x:c>
      <x:c r="M13" s="14" t="str">
        <x:v>未提供</x:v>
      </x:c>
      <x:c r="N13" s="14" t="str">
        <x:v>已识读</x:v>
      </x:c>
      <x:c r="O13" s="14"/>
      <x:c r="P13" s="14" t="str">
        <x:v>图片1</x:v>
      </x:c>
    </x:row>
    <x:row r="14">
      <x:c r="A14" s="14" t="str">
        <x:v>S0013</x:v>
      </x:c>
      <x:c r="B14" s="14" t="str">
        <x:v>工作日</x:v>
      </x:c>
      <x:c r="C14" s="14" t="str">
        <x:v>环线1路</x:v>
      </x:c>
      <x:c r="D14" s="14" t="str">
        <x:v>国防科大三号院环线发车时刻表（环线1路）</x:v>
      </x:c>
      <x:c r="E14" s="14" t="str">
        <x:v>第三班</x:v>
      </x:c>
      <x:c r="F14" s="14" t="n">
        <x:v>2</x:v>
      </x:c>
      <x:c r="G14" s="14" t="str">
        <x:v>8:20</x:v>
      </x:c>
      <x:c r="H14" s="14" t="str">
        <x:v>08:20</x:v>
      </x:c>
      <x:c r="I14" s="14" t="n">
        <x:v>500</x:v>
      </x:c>
      <x:c r="J14" s="14" t="str">
        <x:v>原表默认发车点</x:v>
      </x:c>
      <x:c r="K14" s="14" t="str">
        <x:v>否</x:v>
      </x:c>
      <x:c r="L14" s="14" t="str">
        <x:v>未提供</x:v>
      </x:c>
      <x:c r="M14" s="14" t="str">
        <x:v>未提供</x:v>
      </x:c>
      <x:c r="N14" s="14" t="str">
        <x:v>已识读</x:v>
      </x:c>
      <x:c r="O14" s="14"/>
      <x:c r="P14" s="14" t="str">
        <x:v>图片1</x:v>
      </x:c>
    </x:row>
    <x:row r="15">
      <x:c r="A15" s="14" t="str">
        <x:v>S0014</x:v>
      </x:c>
      <x:c r="B15" s="14" t="str">
        <x:v>工作日</x:v>
      </x:c>
      <x:c r="C15" s="14" t="str">
        <x:v>环线1路</x:v>
      </x:c>
      <x:c r="D15" s="14" t="str">
        <x:v>国防科大三号院环线发车时刻表（环线1路）</x:v>
      </x:c>
      <x:c r="E15" s="14" t="str">
        <x:v>第三班</x:v>
      </x:c>
      <x:c r="F15" s="14" t="n">
        <x:v>3</x:v>
      </x:c>
      <x:c r="G15" s="14" t="str">
        <x:v>8:50</x:v>
      </x:c>
      <x:c r="H15" s="14" t="str">
        <x:v>08:50</x:v>
      </x:c>
      <x:c r="I15" s="14" t="n">
        <x:v>530</x:v>
      </x:c>
      <x:c r="J15" s="14" t="str">
        <x:v>原表默认发车点</x:v>
      </x:c>
      <x:c r="K15" s="14" t="str">
        <x:v>否</x:v>
      </x:c>
      <x:c r="L15" s="14" t="str">
        <x:v>未提供</x:v>
      </x:c>
      <x:c r="M15" s="14" t="str">
        <x:v>未提供</x:v>
      </x:c>
      <x:c r="N15" s="14" t="str">
        <x:v>已识读</x:v>
      </x:c>
      <x:c r="O15" s="14"/>
      <x:c r="P15" s="14" t="str">
        <x:v>图片1</x:v>
      </x:c>
    </x:row>
    <x:row r="16">
      <x:c r="A16" s="14" t="str">
        <x:v>S0015</x:v>
      </x:c>
      <x:c r="B16" s="14" t="str">
        <x:v>工作日</x:v>
      </x:c>
      <x:c r="C16" s="14" t="str">
        <x:v>环线1路</x:v>
      </x:c>
      <x:c r="D16" s="14" t="str">
        <x:v>国防科大三号院环线发车时刻表（环线1路）</x:v>
      </x:c>
      <x:c r="E16" s="14" t="str">
        <x:v>第三班</x:v>
      </x:c>
      <x:c r="F16" s="14" t="n">
        <x:v>4</x:v>
      </x:c>
      <x:c r="G16" s="14" t="str">
        <x:v>9:24</x:v>
      </x:c>
      <x:c r="H16" s="14" t="str">
        <x:v>09:24</x:v>
      </x:c>
      <x:c r="I16" s="14" t="n">
        <x:v>564</x:v>
      </x:c>
      <x:c r="J16" s="14" t="str">
        <x:v>原表默认发车点</x:v>
      </x:c>
      <x:c r="K16" s="14" t="str">
        <x:v>否</x:v>
      </x:c>
      <x:c r="L16" s="14" t="str">
        <x:v>未提供</x:v>
      </x:c>
      <x:c r="M16" s="14" t="str">
        <x:v>未提供</x:v>
      </x:c>
      <x:c r="N16" s="14" t="str">
        <x:v>已识读</x:v>
      </x:c>
      <x:c r="O16" s="14"/>
      <x:c r="P16" s="14" t="str">
        <x:v>图片1</x:v>
      </x:c>
    </x:row>
    <x:row r="17">
      <x:c r="A17" s="14" t="str">
        <x:v>S0016</x:v>
      </x:c>
      <x:c r="B17" s="14" t="str">
        <x:v>工作日</x:v>
      </x:c>
      <x:c r="C17" s="14" t="str">
        <x:v>环线1路</x:v>
      </x:c>
      <x:c r="D17" s="14" t="str">
        <x:v>国防科大三号院环线发车时刻表（环线1路）</x:v>
      </x:c>
      <x:c r="E17" s="14" t="str">
        <x:v>第三班</x:v>
      </x:c>
      <x:c r="F17" s="14" t="n">
        <x:v>5</x:v>
      </x:c>
      <x:c r="G17" s="14" t="str">
        <x:v>10:00</x:v>
      </x:c>
      <x:c r="H17" s="14" t="str">
        <x:v>10:00</x:v>
      </x:c>
      <x:c r="I17" s="14" t="n">
        <x:v>600</x:v>
      </x:c>
      <x:c r="J17" s="14" t="str">
        <x:v>原表默认发车点</x:v>
      </x:c>
      <x:c r="K17" s="14" t="str">
        <x:v>否</x:v>
      </x:c>
      <x:c r="L17" s="14" t="str">
        <x:v>未提供</x:v>
      </x:c>
      <x:c r="M17" s="14" t="str">
        <x:v>未提供</x:v>
      </x:c>
      <x:c r="N17" s="14" t="str">
        <x:v>已识读</x:v>
      </x:c>
      <x:c r="O17" s="14"/>
      <x:c r="P17" s="14" t="str">
        <x:v>图片1</x:v>
      </x:c>
    </x:row>
    <x:row r="18">
      <x:c r="A18" s="14" t="str">
        <x:v>S0017</x:v>
      </x:c>
      <x:c r="B18" s="14" t="str">
        <x:v>工作日</x:v>
      </x:c>
      <x:c r="C18" s="14" t="str">
        <x:v>环线1路</x:v>
      </x:c>
      <x:c r="D18" s="14" t="str">
        <x:v>国防科大三号院环线发车时刻表（环线1路）</x:v>
      </x:c>
      <x:c r="E18" s="14" t="str">
        <x:v>第三班</x:v>
      </x:c>
      <x:c r="F18" s="14" t="n">
        <x:v>6</x:v>
      </x:c>
      <x:c r="G18" s="14" t="str">
        <x:v>10:45</x:v>
      </x:c>
      <x:c r="H18" s="14" t="str">
        <x:v>10:45</x:v>
      </x:c>
      <x:c r="I18" s="14" t="n">
        <x:v>645</x:v>
      </x:c>
      <x:c r="J18" s="14" t="str">
        <x:v>原表默认发车点</x:v>
      </x:c>
      <x:c r="K18" s="14" t="str">
        <x:v>否</x:v>
      </x:c>
      <x:c r="L18" s="14" t="str">
        <x:v>未提供</x:v>
      </x:c>
      <x:c r="M18" s="14" t="str">
        <x:v>未提供</x:v>
      </x:c>
      <x:c r="N18" s="14" t="str">
        <x:v>已识读</x:v>
      </x:c>
      <x:c r="O18" s="14"/>
      <x:c r="P18" s="14" t="str">
        <x:v>图片1</x:v>
      </x:c>
    </x:row>
    <x:row r="19">
      <x:c r="A19" s="14" t="str">
        <x:v>S0018</x:v>
      </x:c>
      <x:c r="B19" s="14" t="str">
        <x:v>工作日</x:v>
      </x:c>
      <x:c r="C19" s="14" t="str">
        <x:v>环线1路</x:v>
      </x:c>
      <x:c r="D19" s="14" t="str">
        <x:v>国防科大三号院环线发车时刻表（环线1路）</x:v>
      </x:c>
      <x:c r="E19" s="14" t="str">
        <x:v>第三班</x:v>
      </x:c>
      <x:c r="F19" s="14" t="n">
        <x:v>7</x:v>
      </x:c>
      <x:c r="G19" s="14" t="str">
        <x:v>11:30</x:v>
      </x:c>
      <x:c r="H19" s="14" t="str">
        <x:v>11:30</x:v>
      </x:c>
      <x:c r="I19" s="14" t="n">
        <x:v>690</x:v>
      </x:c>
      <x:c r="J19" s="14" t="str">
        <x:v>原表默认发车点</x:v>
      </x:c>
      <x:c r="K19" s="14" t="str">
        <x:v>否</x:v>
      </x:c>
      <x:c r="L19" s="14" t="str">
        <x:v>未提供</x:v>
      </x:c>
      <x:c r="M19" s="14" t="str">
        <x:v>未提供</x:v>
      </x:c>
      <x:c r="N19" s="14" t="str">
        <x:v>已识读</x:v>
      </x:c>
      <x:c r="O19" s="14"/>
      <x:c r="P19" s="14" t="str">
        <x:v>图片1</x:v>
      </x:c>
    </x:row>
    <x:row r="20">
      <x:c r="A20" s="14" t="str">
        <x:v>S0019</x:v>
      </x:c>
      <x:c r="B20" s="14" t="str">
        <x:v>工作日</x:v>
      </x:c>
      <x:c r="C20" s="14" t="str">
        <x:v>环线1路</x:v>
      </x:c>
      <x:c r="D20" s="14" t="str">
        <x:v>国防科大三号院环线发车时刻表（环线1路）</x:v>
      </x:c>
      <x:c r="E20" s="14" t="str">
        <x:v>第三班</x:v>
      </x:c>
      <x:c r="F20" s="14" t="n">
        <x:v>8</x:v>
      </x:c>
      <x:c r="G20" s="14" t="str">
        <x:v>11:50</x:v>
      </x:c>
      <x:c r="H20" s="14" t="str">
        <x:v>11:50</x:v>
      </x:c>
      <x:c r="I20" s="14" t="n">
        <x:v>710</x:v>
      </x:c>
      <x:c r="J20" s="14" t="str">
        <x:v>原表默认发车点</x:v>
      </x:c>
      <x:c r="K20" s="14" t="str">
        <x:v>否</x:v>
      </x:c>
      <x:c r="L20" s="14" t="str">
        <x:v>未提供</x:v>
      </x:c>
      <x:c r="M20" s="14" t="str">
        <x:v>未提供</x:v>
      </x:c>
      <x:c r="N20" s="14" t="str">
        <x:v>已识读</x:v>
      </x:c>
      <x:c r="O20" s="14"/>
      <x:c r="P20" s="14" t="str">
        <x:v>图片1</x:v>
      </x:c>
    </x:row>
    <x:row r="21">
      <x:c r="A21" s="14" t="str">
        <x:v>S0020</x:v>
      </x:c>
      <x:c r="B21" s="14" t="str">
        <x:v>工作日</x:v>
      </x:c>
      <x:c r="C21" s="14" t="str">
        <x:v>环线1路</x:v>
      </x:c>
      <x:c r="D21" s="14" t="str">
        <x:v>国防科大三号院环线发车时刻表（环线1路）</x:v>
      </x:c>
      <x:c r="E21" s="14" t="str">
        <x:v>第三班</x:v>
      </x:c>
      <x:c r="F21" s="14" t="n">
        <x:v>9</x:v>
      </x:c>
      <x:c r="G21" s="14" t="str">
        <x:v>12:25</x:v>
      </x:c>
      <x:c r="H21" s="14" t="str">
        <x:v>12:25</x:v>
      </x:c>
      <x:c r="I21" s="14" t="n">
        <x:v>745</x:v>
      </x:c>
      <x:c r="J21" s="14" t="str">
        <x:v>原表默认发车点</x:v>
      </x:c>
      <x:c r="K21" s="14" t="str">
        <x:v>否</x:v>
      </x:c>
      <x:c r="L21" s="14" t="str">
        <x:v>未提供</x:v>
      </x:c>
      <x:c r="M21" s="14" t="str">
        <x:v>未提供</x:v>
      </x:c>
      <x:c r="N21" s="14" t="str">
        <x:v>已识读</x:v>
      </x:c>
      <x:c r="O21" s="14"/>
      <x:c r="P21" s="14" t="str">
        <x:v>图片1</x:v>
      </x:c>
    </x:row>
    <x:row r="22">
      <x:c r="A22" s="14" t="str">
        <x:v>S0021</x:v>
      </x:c>
      <x:c r="B22" s="14" t="str">
        <x:v>工作日</x:v>
      </x:c>
      <x:c r="C22" s="14" t="str">
        <x:v>环线1路</x:v>
      </x:c>
      <x:c r="D22" s="14" t="str">
        <x:v>国防科大三号院环线发车时刻表（环线1路）</x:v>
      </x:c>
      <x:c r="E22" s="14" t="str">
        <x:v>第三班</x:v>
      </x:c>
      <x:c r="F22" s="14" t="n">
        <x:v>10</x:v>
      </x:c>
      <x:c r="G22" s="14" t="str">
        <x:v>14:00</x:v>
      </x:c>
      <x:c r="H22" s="14" t="str">
        <x:v>14:00</x:v>
      </x:c>
      <x:c r="I22" s="14" t="n">
        <x:v>840</x:v>
      </x:c>
      <x:c r="J22" s="14" t="str">
        <x:v>原表默认发车点</x:v>
      </x:c>
      <x:c r="K22" s="14" t="str">
        <x:v>否</x:v>
      </x:c>
      <x:c r="L22" s="14" t="str">
        <x:v>未提供</x:v>
      </x:c>
      <x:c r="M22" s="14" t="str">
        <x:v>未提供</x:v>
      </x:c>
      <x:c r="N22" s="14" t="str">
        <x:v>已识读</x:v>
      </x:c>
      <x:c r="O22" s="14"/>
      <x:c r="P22" s="14" t="str">
        <x:v>图片1</x:v>
      </x:c>
    </x:row>
    <x:row r="23">
      <x:c r="A23" s="14" t="str">
        <x:v>S0022</x:v>
      </x:c>
      <x:c r="B23" s="14" t="str">
        <x:v>工作日</x:v>
      </x:c>
      <x:c r="C23" s="14" t="str">
        <x:v>环线1路</x:v>
      </x:c>
      <x:c r="D23" s="14" t="str">
        <x:v>国防科大三号院环线发车时刻表（环线1路）</x:v>
      </x:c>
      <x:c r="E23" s="14" t="str">
        <x:v>第三班</x:v>
      </x:c>
      <x:c r="F23" s="14" t="n">
        <x:v>11</x:v>
      </x:c>
      <x:c r="G23" s="14" t="str">
        <x:v>14:36</x:v>
      </x:c>
      <x:c r="H23" s="14" t="str">
        <x:v>14:36</x:v>
      </x:c>
      <x:c r="I23" s="14" t="n">
        <x:v>876</x:v>
      </x:c>
      <x:c r="J23" s="14" t="str">
        <x:v>原表默认发车点</x:v>
      </x:c>
      <x:c r="K23" s="14" t="str">
        <x:v>否</x:v>
      </x:c>
      <x:c r="L23" s="14" t="str">
        <x:v>未提供</x:v>
      </x:c>
      <x:c r="M23" s="14" t="str">
        <x:v>未提供</x:v>
      </x:c>
      <x:c r="N23" s="14" t="str">
        <x:v>已识读</x:v>
      </x:c>
      <x:c r="O23" s="14"/>
      <x:c r="P23" s="14" t="str">
        <x:v>图片1</x:v>
      </x:c>
    </x:row>
    <x:row r="24">
      <x:c r="A24" s="14" t="str">
        <x:v>S0023</x:v>
      </x:c>
      <x:c r="B24" s="14" t="str">
        <x:v>工作日</x:v>
      </x:c>
      <x:c r="C24" s="14" t="str">
        <x:v>环线1路</x:v>
      </x:c>
      <x:c r="D24" s="14" t="str">
        <x:v>国防科大三号院环线发车时刻表（环线1路）</x:v>
      </x:c>
      <x:c r="E24" s="14" t="str">
        <x:v>第三班</x:v>
      </x:c>
      <x:c r="F24" s="14" t="n">
        <x:v>12</x:v>
      </x:c>
      <x:c r="G24" s="14" t="str">
        <x:v>15:20</x:v>
      </x:c>
      <x:c r="H24" s="14" t="str">
        <x:v>15:20</x:v>
      </x:c>
      <x:c r="I24" s="14" t="n">
        <x:v>920</x:v>
      </x:c>
      <x:c r="J24" s="14" t="str">
        <x:v>原表默认发车点</x:v>
      </x:c>
      <x:c r="K24" s="14" t="str">
        <x:v>否</x:v>
      </x:c>
      <x:c r="L24" s="14" t="str">
        <x:v>未提供</x:v>
      </x:c>
      <x:c r="M24" s="14" t="str">
        <x:v>未提供</x:v>
      </x:c>
      <x:c r="N24" s="14" t="str">
        <x:v>已识读</x:v>
      </x:c>
      <x:c r="O24" s="14"/>
      <x:c r="P24" s="14" t="str">
        <x:v>图片1</x:v>
      </x:c>
    </x:row>
    <x:row r="25">
      <x:c r="A25" s="14" t="str">
        <x:v>S0024</x:v>
      </x:c>
      <x:c r="B25" s="14" t="str">
        <x:v>工作日</x:v>
      </x:c>
      <x:c r="C25" s="14" t="str">
        <x:v>环线1路</x:v>
      </x:c>
      <x:c r="D25" s="14" t="str">
        <x:v>国防科大三号院环线发车时刻表（环线1路）</x:v>
      </x:c>
      <x:c r="E25" s="14" t="str">
        <x:v>第三班</x:v>
      </x:c>
      <x:c r="F25" s="14" t="n">
        <x:v>13</x:v>
      </x:c>
      <x:c r="G25" s="14" t="str">
        <x:v>16:30</x:v>
      </x:c>
      <x:c r="H25" s="14" t="str">
        <x:v>16:30</x:v>
      </x:c>
      <x:c r="I25" s="14" t="n">
        <x:v>990</x:v>
      </x:c>
      <x:c r="J25" s="14" t="str">
        <x:v>原表默认发车点</x:v>
      </x:c>
      <x:c r="K25" s="14" t="str">
        <x:v>否</x:v>
      </x:c>
      <x:c r="L25" s="14" t="str">
        <x:v>未提供</x:v>
      </x:c>
      <x:c r="M25" s="14" t="str">
        <x:v>未提供</x:v>
      </x:c>
      <x:c r="N25" s="14" t="str">
        <x:v>已识读</x:v>
      </x:c>
      <x:c r="O25" s="14"/>
      <x:c r="P25" s="14" t="str">
        <x:v>图片1</x:v>
      </x:c>
    </x:row>
    <x:row r="26">
      <x:c r="A26" s="14" t="str">
        <x:v>S0025</x:v>
      </x:c>
      <x:c r="B26" s="14" t="str">
        <x:v>工作日</x:v>
      </x:c>
      <x:c r="C26" s="14" t="str">
        <x:v>环线1路</x:v>
      </x:c>
      <x:c r="D26" s="14" t="str">
        <x:v>国防科大三号院环线发车时刻表（环线1路）</x:v>
      </x:c>
      <x:c r="E26" s="14" t="str">
        <x:v>第三班</x:v>
      </x:c>
      <x:c r="F26" s="14" t="n">
        <x:v>14</x:v>
      </x:c>
      <x:c r="G26" s="14" t="str">
        <x:v>17:15</x:v>
      </x:c>
      <x:c r="H26" s="14" t="str">
        <x:v>17:15</x:v>
      </x:c>
      <x:c r="I26" s="14" t="n">
        <x:v>1035</x:v>
      </x:c>
      <x:c r="J26" s="14" t="str">
        <x:v>原表默认发车点</x:v>
      </x:c>
      <x:c r="K26" s="14" t="str">
        <x:v>否</x:v>
      </x:c>
      <x:c r="L26" s="14" t="str">
        <x:v>未提供</x:v>
      </x:c>
      <x:c r="M26" s="14" t="str">
        <x:v>未提供</x:v>
      </x:c>
      <x:c r="N26" s="14" t="str">
        <x:v>已识读</x:v>
      </x:c>
      <x:c r="O26" s="14"/>
      <x:c r="P26" s="14" t="str">
        <x:v>图片1</x:v>
      </x:c>
    </x:row>
    <x:row r="27">
      <x:c r="A27" s="14" t="str">
        <x:v>S0026</x:v>
      </x:c>
      <x:c r="B27" s="14" t="str">
        <x:v>工作日</x:v>
      </x:c>
      <x:c r="C27" s="14" t="str">
        <x:v>环线1路</x:v>
      </x:c>
      <x:c r="D27" s="14" t="str">
        <x:v>国防科大三号院环线发车时刻表（环线1路）</x:v>
      </x:c>
      <x:c r="E27" s="14" t="str">
        <x:v>第三班</x:v>
      </x:c>
      <x:c r="F27" s="14" t="n">
        <x:v>15</x:v>
      </x:c>
      <x:c r="G27" s="14" t="str">
        <x:v>18:00</x:v>
      </x:c>
      <x:c r="H27" s="14" t="str">
        <x:v>18:00</x:v>
      </x:c>
      <x:c r="I27" s="14" t="n">
        <x:v>1080</x:v>
      </x:c>
      <x:c r="J27" s="14" t="str">
        <x:v>原表默认发车点</x:v>
      </x:c>
      <x:c r="K27" s="14" t="str">
        <x:v>否</x:v>
      </x:c>
      <x:c r="L27" s="14" t="str">
        <x:v>未提供</x:v>
      </x:c>
      <x:c r="M27" s="14" t="str">
        <x:v>未提供</x:v>
      </x:c>
      <x:c r="N27" s="14" t="str">
        <x:v>已识读</x:v>
      </x:c>
      <x:c r="O27" s="14"/>
      <x:c r="P27" s="14" t="str">
        <x:v>图片1</x:v>
      </x:c>
    </x:row>
    <x:row r="28">
      <x:c r="A28" s="14" t="str">
        <x:v>S0027</x:v>
      </x:c>
      <x:c r="B28" s="14" t="str">
        <x:v>工作日</x:v>
      </x:c>
      <x:c r="C28" s="14" t="str">
        <x:v>环线1路</x:v>
      </x:c>
      <x:c r="D28" s="14" t="str">
        <x:v>国防科大三号院环线发车时刻表（环线1路）</x:v>
      </x:c>
      <x:c r="E28" s="14" t="str">
        <x:v>第二班</x:v>
      </x:c>
      <x:c r="F28" s="14" t="n">
        <x:v>1</x:v>
      </x:c>
      <x:c r="G28" s="14" t="str">
        <x:v>7:40</x:v>
      </x:c>
      <x:c r="H28" s="14" t="str">
        <x:v>07:40</x:v>
      </x:c>
      <x:c r="I28" s="14" t="n">
        <x:v>460</x:v>
      </x:c>
      <x:c r="J28" s="14" t="str">
        <x:v>原表默认发车点</x:v>
      </x:c>
      <x:c r="K28" s="14" t="str">
        <x:v>否</x:v>
      </x:c>
      <x:c r="L28" s="14" t="str">
        <x:v>未提供</x:v>
      </x:c>
      <x:c r="M28" s="14" t="str">
        <x:v>未提供</x:v>
      </x:c>
      <x:c r="N28" s="14" t="str">
        <x:v>已识读</x:v>
      </x:c>
      <x:c r="O28" s="14"/>
      <x:c r="P28" s="14" t="str">
        <x:v>图片1</x:v>
      </x:c>
    </x:row>
    <x:row r="29">
      <x:c r="A29" s="14" t="str">
        <x:v>S0028</x:v>
      </x:c>
      <x:c r="B29" s="14" t="str">
        <x:v>工作日</x:v>
      </x:c>
      <x:c r="C29" s="14" t="str">
        <x:v>环线1路</x:v>
      </x:c>
      <x:c r="D29" s="14" t="str">
        <x:v>国防科大三号院环线发车时刻表（环线1路）</x:v>
      </x:c>
      <x:c r="E29" s="14" t="str">
        <x:v>第二班</x:v>
      </x:c>
      <x:c r="F29" s="14" t="n">
        <x:v>2</x:v>
      </x:c>
      <x:c r="G29" s="14" t="str">
        <x:v>8:10</x:v>
      </x:c>
      <x:c r="H29" s="14" t="str">
        <x:v>08:10</x:v>
      </x:c>
      <x:c r="I29" s="14" t="n">
        <x:v>490</x:v>
      </x:c>
      <x:c r="J29" s="14" t="str">
        <x:v>原表默认发车点</x:v>
      </x:c>
      <x:c r="K29" s="14" t="str">
        <x:v>否</x:v>
      </x:c>
      <x:c r="L29" s="14" t="str">
        <x:v>未提供</x:v>
      </x:c>
      <x:c r="M29" s="14" t="str">
        <x:v>未提供</x:v>
      </x:c>
      <x:c r="N29" s="14" t="str">
        <x:v>已识读</x:v>
      </x:c>
      <x:c r="O29" s="14"/>
      <x:c r="P29" s="14" t="str">
        <x:v>图片1</x:v>
      </x:c>
    </x:row>
    <x:row r="30">
      <x:c r="A30" s="14" t="str">
        <x:v>S0029</x:v>
      </x:c>
      <x:c r="B30" s="14" t="str">
        <x:v>工作日</x:v>
      </x:c>
      <x:c r="C30" s="14" t="str">
        <x:v>环线1路</x:v>
      </x:c>
      <x:c r="D30" s="14" t="str">
        <x:v>国防科大三号院环线发车时刻表（环线1路）</x:v>
      </x:c>
      <x:c r="E30" s="14" t="str">
        <x:v>第二班</x:v>
      </x:c>
      <x:c r="F30" s="14" t="n">
        <x:v>3</x:v>
      </x:c>
      <x:c r="G30" s="14" t="str">
        <x:v>8:40</x:v>
      </x:c>
      <x:c r="H30" s="14" t="str">
        <x:v>08:40</x:v>
      </x:c>
      <x:c r="I30" s="14" t="n">
        <x:v>520</x:v>
      </x:c>
      <x:c r="J30" s="14" t="str">
        <x:v>原表默认发车点</x:v>
      </x:c>
      <x:c r="K30" s="14" t="str">
        <x:v>否</x:v>
      </x:c>
      <x:c r="L30" s="14" t="str">
        <x:v>未提供</x:v>
      </x:c>
      <x:c r="M30" s="14" t="str">
        <x:v>未提供</x:v>
      </x:c>
      <x:c r="N30" s="14" t="str">
        <x:v>已识读</x:v>
      </x:c>
      <x:c r="O30" s="14"/>
      <x:c r="P30" s="14" t="str">
        <x:v>图片1</x:v>
      </x:c>
    </x:row>
    <x:row r="31">
      <x:c r="A31" s="14" t="str">
        <x:v>S0030</x:v>
      </x:c>
      <x:c r="B31" s="14" t="str">
        <x:v>工作日</x:v>
      </x:c>
      <x:c r="C31" s="14" t="str">
        <x:v>环线1路</x:v>
      </x:c>
      <x:c r="D31" s="14" t="str">
        <x:v>国防科大三号院环线发车时刻表（环线1路）</x:v>
      </x:c>
      <x:c r="E31" s="14" t="str">
        <x:v>第二班</x:v>
      </x:c>
      <x:c r="F31" s="14" t="n">
        <x:v>4</x:v>
      </x:c>
      <x:c r="G31" s="14" t="str">
        <x:v>9:12</x:v>
      </x:c>
      <x:c r="H31" s="14" t="str">
        <x:v>09:12</x:v>
      </x:c>
      <x:c r="I31" s="14" t="n">
        <x:v>552</x:v>
      </x:c>
      <x:c r="J31" s="14" t="str">
        <x:v>原表默认发车点</x:v>
      </x:c>
      <x:c r="K31" s="14" t="str">
        <x:v>否</x:v>
      </x:c>
      <x:c r="L31" s="14" t="str">
        <x:v>未提供</x:v>
      </x:c>
      <x:c r="M31" s="14" t="str">
        <x:v>未提供</x:v>
      </x:c>
      <x:c r="N31" s="14" t="str">
        <x:v>已识读</x:v>
      </x:c>
      <x:c r="O31" s="14"/>
      <x:c r="P31" s="14" t="str">
        <x:v>图片1</x:v>
      </x:c>
    </x:row>
    <x:row r="32">
      <x:c r="A32" s="14" t="str">
        <x:v>S0031</x:v>
      </x:c>
      <x:c r="B32" s="14" t="str">
        <x:v>工作日</x:v>
      </x:c>
      <x:c r="C32" s="14" t="str">
        <x:v>环线1路</x:v>
      </x:c>
      <x:c r="D32" s="14" t="str">
        <x:v>国防科大三号院环线发车时刻表（环线1路）</x:v>
      </x:c>
      <x:c r="E32" s="14" t="str">
        <x:v>第二班</x:v>
      </x:c>
      <x:c r="F32" s="14" t="n">
        <x:v>5</x:v>
      </x:c>
      <x:c r="G32" s="14" t="str">
        <x:v>9:48</x:v>
      </x:c>
      <x:c r="H32" s="14" t="str">
        <x:v>09:48</x:v>
      </x:c>
      <x:c r="I32" s="14" t="n">
        <x:v>588</x:v>
      </x:c>
      <x:c r="J32" s="14" t="str">
        <x:v>原表默认发车点</x:v>
      </x:c>
      <x:c r="K32" s="14" t="str">
        <x:v>否</x:v>
      </x:c>
      <x:c r="L32" s="14" t="str">
        <x:v>未提供</x:v>
      </x:c>
      <x:c r="M32" s="14" t="str">
        <x:v>未提供</x:v>
      </x:c>
      <x:c r="N32" s="14" t="str">
        <x:v>已识读</x:v>
      </x:c>
      <x:c r="O32" s="14"/>
      <x:c r="P32" s="14" t="str">
        <x:v>图片1</x:v>
      </x:c>
    </x:row>
    <x:row r="33">
      <x:c r="A33" s="14" t="str">
        <x:v>S0032</x:v>
      </x:c>
      <x:c r="B33" s="14" t="str">
        <x:v>工作日</x:v>
      </x:c>
      <x:c r="C33" s="14" t="str">
        <x:v>环线1路</x:v>
      </x:c>
      <x:c r="D33" s="14" t="str">
        <x:v>国防科大三号院环线发车时刻表（环线1路）</x:v>
      </x:c>
      <x:c r="E33" s="14" t="str">
        <x:v>第二班</x:v>
      </x:c>
      <x:c r="F33" s="14" t="n">
        <x:v>6</x:v>
      </x:c>
      <x:c r="G33" s="14" t="str">
        <x:v>10:30</x:v>
      </x:c>
      <x:c r="H33" s="14" t="str">
        <x:v>10:30</x:v>
      </x:c>
      <x:c r="I33" s="14" t="n">
        <x:v>630</x:v>
      </x:c>
      <x:c r="J33" s="14" t="str">
        <x:v>原表默认发车点</x:v>
      </x:c>
      <x:c r="K33" s="14" t="str">
        <x:v>否</x:v>
      </x:c>
      <x:c r="L33" s="14" t="str">
        <x:v>未提供</x:v>
      </x:c>
      <x:c r="M33" s="14" t="str">
        <x:v>未提供</x:v>
      </x:c>
      <x:c r="N33" s="14" t="str">
        <x:v>已识读</x:v>
      </x:c>
      <x:c r="O33" s="14"/>
      <x:c r="P33" s="14" t="str">
        <x:v>图片1</x:v>
      </x:c>
    </x:row>
    <x:row r="34">
      <x:c r="A34" s="14" t="str">
        <x:v>S0033</x:v>
      </x:c>
      <x:c r="B34" s="14" t="str">
        <x:v>工作日</x:v>
      </x:c>
      <x:c r="C34" s="14" t="str">
        <x:v>环线1路</x:v>
      </x:c>
      <x:c r="D34" s="14" t="str">
        <x:v>国防科大三号院环线发车时刻表（环线1路）</x:v>
      </x:c>
      <x:c r="E34" s="14" t="str">
        <x:v>第二班</x:v>
      </x:c>
      <x:c r="F34" s="14" t="n">
        <x:v>7</x:v>
      </x:c>
      <x:c r="G34" s="14" t="str">
        <x:v>11:00</x:v>
      </x:c>
      <x:c r="H34" s="14" t="str">
        <x:v>11:00</x:v>
      </x:c>
      <x:c r="I34" s="14" t="n">
        <x:v>660</x:v>
      </x:c>
      <x:c r="J34" s="14" t="str">
        <x:v>原表默认发车点</x:v>
      </x:c>
      <x:c r="K34" s="14" t="str">
        <x:v>否</x:v>
      </x:c>
      <x:c r="L34" s="14" t="str">
        <x:v>未提供</x:v>
      </x:c>
      <x:c r="M34" s="14" t="str">
        <x:v>未提供</x:v>
      </x:c>
      <x:c r="N34" s="14" t="str">
        <x:v>已识读</x:v>
      </x:c>
      <x:c r="O34" s="14"/>
      <x:c r="P34" s="14" t="str">
        <x:v>图片1</x:v>
      </x:c>
    </x:row>
    <x:row r="35">
      <x:c r="A35" s="14" t="str">
        <x:v>S0034</x:v>
      </x:c>
      <x:c r="B35" s="14" t="str">
        <x:v>工作日</x:v>
      </x:c>
      <x:c r="C35" s="14" t="str">
        <x:v>环线1路</x:v>
      </x:c>
      <x:c r="D35" s="14" t="str">
        <x:v>国防科大三号院环线发车时刻表（环线1路）</x:v>
      </x:c>
      <x:c r="E35" s="14" t="str">
        <x:v>第二班</x:v>
      </x:c>
      <x:c r="F35" s="14" t="n">
        <x:v>8</x:v>
      </x:c>
      <x:c r="G35" s="14" t="str">
        <x:v>11:40</x:v>
      </x:c>
      <x:c r="H35" s="14" t="str">
        <x:v>11:40</x:v>
      </x:c>
      <x:c r="I35" s="14" t="n">
        <x:v>700</x:v>
      </x:c>
      <x:c r="J35" s="14" t="str">
        <x:v>原表默认发车点</x:v>
      </x:c>
      <x:c r="K35" s="14" t="str">
        <x:v>否</x:v>
      </x:c>
      <x:c r="L35" s="14" t="str">
        <x:v>未提供</x:v>
      </x:c>
      <x:c r="M35" s="14" t="str">
        <x:v>未提供</x:v>
      </x:c>
      <x:c r="N35" s="14" t="str">
        <x:v>已识读</x:v>
      </x:c>
      <x:c r="O35" s="14"/>
      <x:c r="P35" s="14" t="str">
        <x:v>图片1</x:v>
      </x:c>
    </x:row>
    <x:row r="36">
      <x:c r="A36" s="14" t="str">
        <x:v>S0035</x:v>
      </x:c>
      <x:c r="B36" s="14" t="str">
        <x:v>工作日</x:v>
      </x:c>
      <x:c r="C36" s="14" t="str">
        <x:v>环线1路</x:v>
      </x:c>
      <x:c r="D36" s="14" t="str">
        <x:v>国防科大三号院环线发车时刻表（环线1路）</x:v>
      </x:c>
      <x:c r="E36" s="14" t="str">
        <x:v>第二班</x:v>
      </x:c>
      <x:c r="F36" s="14" t="n">
        <x:v>9</x:v>
      </x:c>
      <x:c r="G36" s="14" t="str">
        <x:v>12:10</x:v>
      </x:c>
      <x:c r="H36" s="14" t="str">
        <x:v>12:10</x:v>
      </x:c>
      <x:c r="I36" s="14" t="n">
        <x:v>730</x:v>
      </x:c>
      <x:c r="J36" s="14" t="str">
        <x:v>原表默认发车点</x:v>
      </x:c>
      <x:c r="K36" s="14" t="str">
        <x:v>否</x:v>
      </x:c>
      <x:c r="L36" s="14" t="str">
        <x:v>未提供</x:v>
      </x:c>
      <x:c r="M36" s="14" t="str">
        <x:v>未提供</x:v>
      </x:c>
      <x:c r="N36" s="14" t="str">
        <x:v>已识读</x:v>
      </x:c>
      <x:c r="O36" s="14"/>
      <x:c r="P36" s="14" t="str">
        <x:v>图片1</x:v>
      </x:c>
    </x:row>
    <x:row r="37">
      <x:c r="A37" s="14" t="str">
        <x:v>S0036</x:v>
      </x:c>
      <x:c r="B37" s="14" t="str">
        <x:v>工作日</x:v>
      </x:c>
      <x:c r="C37" s="14" t="str">
        <x:v>环线1路</x:v>
      </x:c>
      <x:c r="D37" s="14" t="str">
        <x:v>国防科大三号院环线发车时刻表（环线1路）</x:v>
      </x:c>
      <x:c r="E37" s="14" t="str">
        <x:v>第二班</x:v>
      </x:c>
      <x:c r="F37" s="14" t="n">
        <x:v>10</x:v>
      </x:c>
      <x:c r="G37" s="14" t="str">
        <x:v>12:40</x:v>
      </x:c>
      <x:c r="H37" s="14" t="str">
        <x:v>12:40</x:v>
      </x:c>
      <x:c r="I37" s="14" t="n">
        <x:v>760</x:v>
      </x:c>
      <x:c r="J37" s="14" t="str">
        <x:v>原表默认发车点</x:v>
      </x:c>
      <x:c r="K37" s="14" t="str">
        <x:v>否</x:v>
      </x:c>
      <x:c r="L37" s="14" t="str">
        <x:v>未提供</x:v>
      </x:c>
      <x:c r="M37" s="14" t="str">
        <x:v>未提供</x:v>
      </x:c>
      <x:c r="N37" s="14" t="str">
        <x:v>已识读</x:v>
      </x:c>
      <x:c r="O37" s="14"/>
      <x:c r="P37" s="14" t="str">
        <x:v>图片1</x:v>
      </x:c>
    </x:row>
    <x:row r="38">
      <x:c r="A38" s="14" t="str">
        <x:v>S0037</x:v>
      </x:c>
      <x:c r="B38" s="14" t="str">
        <x:v>工作日</x:v>
      </x:c>
      <x:c r="C38" s="14" t="str">
        <x:v>环线1路</x:v>
      </x:c>
      <x:c r="D38" s="14" t="str">
        <x:v>国防科大三号院环线发车时刻表（环线1路）</x:v>
      </x:c>
      <x:c r="E38" s="14" t="str">
        <x:v>第二班</x:v>
      </x:c>
      <x:c r="F38" s="14" t="n">
        <x:v>11</x:v>
      </x:c>
      <x:c r="G38" s="14" t="str">
        <x:v>14:12</x:v>
      </x:c>
      <x:c r="H38" s="14" t="str">
        <x:v>14:12</x:v>
      </x:c>
      <x:c r="I38" s="14" t="n">
        <x:v>852</x:v>
      </x:c>
      <x:c r="J38" s="14" t="str">
        <x:v>原表默认发车点</x:v>
      </x:c>
      <x:c r="K38" s="14" t="str">
        <x:v>否</x:v>
      </x:c>
      <x:c r="L38" s="14" t="str">
        <x:v>未提供</x:v>
      </x:c>
      <x:c r="M38" s="14" t="str">
        <x:v>未提供</x:v>
      </x:c>
      <x:c r="N38" s="14" t="str">
        <x:v>已识读</x:v>
      </x:c>
      <x:c r="O38" s="14"/>
      <x:c r="P38" s="14" t="str">
        <x:v>图片1</x:v>
      </x:c>
    </x:row>
    <x:row r="39">
      <x:c r="A39" s="14" t="str">
        <x:v>S0038</x:v>
      </x:c>
      <x:c r="B39" s="14" t="str">
        <x:v>工作日</x:v>
      </x:c>
      <x:c r="C39" s="14" t="str">
        <x:v>环线1路</x:v>
      </x:c>
      <x:c r="D39" s="14" t="str">
        <x:v>国防科大三号院环线发车时刻表（环线1路）</x:v>
      </x:c>
      <x:c r="E39" s="14" t="str">
        <x:v>第二班</x:v>
      </x:c>
      <x:c r="F39" s="14" t="n">
        <x:v>12</x:v>
      </x:c>
      <x:c r="G39" s="14" t="str">
        <x:v>14:48</x:v>
      </x:c>
      <x:c r="H39" s="14" t="str">
        <x:v>14:48</x:v>
      </x:c>
      <x:c r="I39" s="14" t="n">
        <x:v>888</x:v>
      </x:c>
      <x:c r="J39" s="14" t="str">
        <x:v>原表默认发车点</x:v>
      </x:c>
      <x:c r="K39" s="14" t="str">
        <x:v>否</x:v>
      </x:c>
      <x:c r="L39" s="14" t="str">
        <x:v>未提供</x:v>
      </x:c>
      <x:c r="M39" s="14" t="str">
        <x:v>未提供</x:v>
      </x:c>
      <x:c r="N39" s="14" t="str">
        <x:v>已识读</x:v>
      </x:c>
      <x:c r="O39" s="14"/>
      <x:c r="P39" s="14" t="str">
        <x:v>图片1</x:v>
      </x:c>
    </x:row>
    <x:row r="40">
      <x:c r="A40" s="14" t="str">
        <x:v>S0039</x:v>
      </x:c>
      <x:c r="B40" s="14" t="str">
        <x:v>工作日</x:v>
      </x:c>
      <x:c r="C40" s="14" t="str">
        <x:v>环线1路</x:v>
      </x:c>
      <x:c r="D40" s="14" t="str">
        <x:v>国防科大三号院环线发车时刻表（环线1路）</x:v>
      </x:c>
      <x:c r="E40" s="14" t="str">
        <x:v>第二班</x:v>
      </x:c>
      <x:c r="F40" s="14" t="n">
        <x:v>13</x:v>
      </x:c>
      <x:c r="G40" s="14" t="str">
        <x:v>15:40</x:v>
      </x:c>
      <x:c r="H40" s="14" t="str">
        <x:v>15:40</x:v>
      </x:c>
      <x:c r="I40" s="14" t="n">
        <x:v>940</x:v>
      </x:c>
      <x:c r="J40" s="14" t="str">
        <x:v>原表默认发车点</x:v>
      </x:c>
      <x:c r="K40" s="14" t="str">
        <x:v>否</x:v>
      </x:c>
      <x:c r="L40" s="14" t="str">
        <x:v>未提供</x:v>
      </x:c>
      <x:c r="M40" s="14" t="str">
        <x:v>未提供</x:v>
      </x:c>
      <x:c r="N40" s="14" t="str">
        <x:v>已识读</x:v>
      </x:c>
      <x:c r="O40" s="14"/>
      <x:c r="P40" s="14" t="str">
        <x:v>图片1</x:v>
      </x:c>
    </x:row>
    <x:row r="41">
      <x:c r="A41" s="14" t="str">
        <x:v>S0040</x:v>
      </x:c>
      <x:c r="B41" s="14" t="str">
        <x:v>工作日</x:v>
      </x:c>
      <x:c r="C41" s="14" t="str">
        <x:v>环线1路</x:v>
      </x:c>
      <x:c r="D41" s="14" t="str">
        <x:v>国防科大三号院环线发车时刻表（环线1路）</x:v>
      </x:c>
      <x:c r="E41" s="14" t="str">
        <x:v>第二班</x:v>
      </x:c>
      <x:c r="F41" s="14" t="n">
        <x:v>14</x:v>
      </x:c>
      <x:c r="G41" s="14" t="str">
        <x:v>17:00</x:v>
      </x:c>
      <x:c r="H41" s="14" t="str">
        <x:v>17:00</x:v>
      </x:c>
      <x:c r="I41" s="14" t="n">
        <x:v>1020</x:v>
      </x:c>
      <x:c r="J41" s="14" t="str">
        <x:v>原表默认发车点</x:v>
      </x:c>
      <x:c r="K41" s="14" t="str">
        <x:v>否</x:v>
      </x:c>
      <x:c r="L41" s="14" t="str">
        <x:v>未提供</x:v>
      </x:c>
      <x:c r="M41" s="14" t="str">
        <x:v>未提供</x:v>
      </x:c>
      <x:c r="N41" s="14" t="str">
        <x:v>已识读</x:v>
      </x:c>
      <x:c r="O41" s="14"/>
      <x:c r="P41" s="14" t="str">
        <x:v>图片1</x:v>
      </x:c>
    </x:row>
    <x:row r="42">
      <x:c r="A42" s="14" t="str">
        <x:v>S0041</x:v>
      </x:c>
      <x:c r="B42" s="14" t="str">
        <x:v>工作日</x:v>
      </x:c>
      <x:c r="C42" s="14" t="str">
        <x:v>环线1路</x:v>
      </x:c>
      <x:c r="D42" s="14" t="str">
        <x:v>国防科大三号院环线发车时刻表（环线1路）</x:v>
      </x:c>
      <x:c r="E42" s="14" t="str">
        <x:v>第二班</x:v>
      </x:c>
      <x:c r="F42" s="14" t="n">
        <x:v>15</x:v>
      </x:c>
      <x:c r="G42" s="14" t="str">
        <x:v>17:30</x:v>
      </x:c>
      <x:c r="H42" s="14" t="str">
        <x:v>17:30</x:v>
      </x:c>
      <x:c r="I42" s="14" t="n">
        <x:v>1050</x:v>
      </x:c>
      <x:c r="J42" s="14" t="str">
        <x:v>原表默认发车点</x:v>
      </x:c>
      <x:c r="K42" s="14" t="str">
        <x:v>否</x:v>
      </x:c>
      <x:c r="L42" s="14" t="str">
        <x:v>未提供</x:v>
      </x:c>
      <x:c r="M42" s="14" t="str">
        <x:v>未提供</x:v>
      </x:c>
      <x:c r="N42" s="14" t="str">
        <x:v>已识读</x:v>
      </x:c>
      <x:c r="O42" s="14"/>
      <x:c r="P42" s="14" t="str">
        <x:v>图片1</x:v>
      </x:c>
    </x:row>
    <x:row r="43">
      <x:c r="A43" s="14" t="str">
        <x:v>S0042</x:v>
      </x:c>
      <x:c r="B43" s="14" t="str">
        <x:v>工作日</x:v>
      </x:c>
      <x:c r="C43" s="14" t="str">
        <x:v>环线1路</x:v>
      </x:c>
      <x:c r="D43" s="14" t="str">
        <x:v>国防科大三号院环线发车时刻表（环线1路）</x:v>
      </x:c>
      <x:c r="E43" s="14" t="str">
        <x:v>第五班（夜2）</x:v>
      </x:c>
      <x:c r="F43" s="14" t="n">
        <x:v>1</x:v>
      </x:c>
      <x:c r="G43" s="14" t="str">
        <x:v>16:15</x:v>
      </x:c>
      <x:c r="H43" s="14" t="str">
        <x:v>16:15</x:v>
      </x:c>
      <x:c r="I43" s="14" t="n">
        <x:v>975</x:v>
      </x:c>
      <x:c r="J43" s="14" t="str">
        <x:v>原表默认发车点</x:v>
      </x:c>
      <x:c r="K43" s="14" t="str">
        <x:v>否</x:v>
      </x:c>
      <x:c r="L43" s="14" t="str">
        <x:v>未提供</x:v>
      </x:c>
      <x:c r="M43" s="14" t="str">
        <x:v>未提供</x:v>
      </x:c>
      <x:c r="N43" s="14" t="str">
        <x:v>已识读</x:v>
      </x:c>
      <x:c r="O43" s="14" t="str">
        <x:v>夜班车</x:v>
      </x:c>
      <x:c r="P43" s="14" t="str">
        <x:v>图片1</x:v>
      </x:c>
    </x:row>
    <x:row r="44">
      <x:c r="A44" s="14" t="str">
        <x:v>S0043</x:v>
      </x:c>
      <x:c r="B44" s="14" t="str">
        <x:v>工作日</x:v>
      </x:c>
      <x:c r="C44" s="14" t="str">
        <x:v>环线1路</x:v>
      </x:c>
      <x:c r="D44" s="14" t="str">
        <x:v>国防科大三号院环线发车时刻表（环线1路）</x:v>
      </x:c>
      <x:c r="E44" s="14" t="str">
        <x:v>第五班（夜2）</x:v>
      </x:c>
      <x:c r="F44" s="14" t="n">
        <x:v>2</x:v>
      </x:c>
      <x:c r="G44" s="14" t="str">
        <x:v>16:30</x:v>
      </x:c>
      <x:c r="H44" s="14" t="str">
        <x:v>16:30</x:v>
      </x:c>
      <x:c r="I44" s="14" t="n">
        <x:v>990</x:v>
      </x:c>
      <x:c r="J44" s="33" t="str">
        <x:v>高超楼（就餐专线）</x:v>
      </x:c>
      <x:c r="K44" s="33" t="str">
        <x:v>是</x:v>
      </x:c>
      <x:c r="L44" s="14" t="str">
        <x:v>未提供</x:v>
      </x:c>
      <x:c r="M44" s="14" t="str">
        <x:v>未提供</x:v>
      </x:c>
      <x:c r="N44" s="14" t="str">
        <x:v>已识读</x:v>
      </x:c>
      <x:c r="O44" s="33" t="str">
        <x:v>原图打勾：从高超楼（系统工程学院旁）发车，并按就餐专线运行</x:v>
      </x:c>
      <x:c r="P44" s="14" t="str">
        <x:v>图片1</x:v>
      </x:c>
    </x:row>
    <x:row r="45">
      <x:c r="A45" s="14" t="str">
        <x:v>S0044</x:v>
      </x:c>
      <x:c r="B45" s="14" t="str">
        <x:v>工作日</x:v>
      </x:c>
      <x:c r="C45" s="14" t="str">
        <x:v>环线1路</x:v>
      </x:c>
      <x:c r="D45" s="14" t="str">
        <x:v>国防科大三号院环线发车时刻表（环线1路）</x:v>
      </x:c>
      <x:c r="E45" s="14" t="str">
        <x:v>第五班（夜2）</x:v>
      </x:c>
      <x:c r="F45" s="14" t="n">
        <x:v>3</x:v>
      </x:c>
      <x:c r="G45" s="14" t="str">
        <x:v>16:50</x:v>
      </x:c>
      <x:c r="H45" s="14" t="str">
        <x:v>16:50</x:v>
      </x:c>
      <x:c r="I45" s="14" t="n">
        <x:v>1010</x:v>
      </x:c>
      <x:c r="J45" s="33" t="str">
        <x:v>高超楼（就餐专线）</x:v>
      </x:c>
      <x:c r="K45" s="33" t="str">
        <x:v>是</x:v>
      </x:c>
      <x:c r="L45" s="14" t="str">
        <x:v>未提供</x:v>
      </x:c>
      <x:c r="M45" s="14" t="str">
        <x:v>未提供</x:v>
      </x:c>
      <x:c r="N45" s="14" t="str">
        <x:v>已识读</x:v>
      </x:c>
      <x:c r="O45" s="33" t="str">
        <x:v>原图打勾：从高超楼（系统工程学院旁）发车，并按就餐专线运行</x:v>
      </x:c>
      <x:c r="P45" s="14" t="str">
        <x:v>图片1</x:v>
      </x:c>
    </x:row>
    <x:row r="46">
      <x:c r="A46" s="14" t="str">
        <x:v>S0045</x:v>
      </x:c>
      <x:c r="B46" s="14" t="str">
        <x:v>工作日</x:v>
      </x:c>
      <x:c r="C46" s="14" t="str">
        <x:v>环线1路</x:v>
      </x:c>
      <x:c r="D46" s="14" t="str">
        <x:v>国防科大三号院环线发车时刻表（环线1路）</x:v>
      </x:c>
      <x:c r="E46" s="14" t="str">
        <x:v>第五班（夜2）</x:v>
      </x:c>
      <x:c r="F46" s="14" t="n">
        <x:v>4</x:v>
      </x:c>
      <x:c r="G46" s="14" t="str">
        <x:v>17:10</x:v>
      </x:c>
      <x:c r="H46" s="14" t="str">
        <x:v>17:10</x:v>
      </x:c>
      <x:c r="I46" s="14" t="n">
        <x:v>1030</x:v>
      </x:c>
      <x:c r="J46" s="33" t="str">
        <x:v>高超楼（就餐专线）</x:v>
      </x:c>
      <x:c r="K46" s="33" t="str">
        <x:v>是</x:v>
      </x:c>
      <x:c r="L46" s="14" t="str">
        <x:v>未提供</x:v>
      </x:c>
      <x:c r="M46" s="14" t="str">
        <x:v>未提供</x:v>
      </x:c>
      <x:c r="N46" s="14" t="str">
        <x:v>已识读</x:v>
      </x:c>
      <x:c r="O46" s="33" t="str">
        <x:v>原图打勾：从高超楼（系统工程学院旁）发车，并按就餐专线运行</x:v>
      </x:c>
      <x:c r="P46" s="14" t="str">
        <x:v>图片1</x:v>
      </x:c>
    </x:row>
    <x:row r="47">
      <x:c r="A47" s="14" t="str">
        <x:v>S0046</x:v>
      </x:c>
      <x:c r="B47" s="14" t="str">
        <x:v>工作日</x:v>
      </x:c>
      <x:c r="C47" s="14" t="str">
        <x:v>环线1路</x:v>
      </x:c>
      <x:c r="D47" s="14" t="str">
        <x:v>国防科大三号院环线发车时刻表（环线1路）</x:v>
      </x:c>
      <x:c r="E47" s="14" t="str">
        <x:v>第五班（夜2）</x:v>
      </x:c>
      <x:c r="F47" s="14" t="n">
        <x:v>5</x:v>
      </x:c>
      <x:c r="G47" s="14" t="str">
        <x:v>17:30</x:v>
      </x:c>
      <x:c r="H47" s="14" t="str">
        <x:v>17:30</x:v>
      </x:c>
      <x:c r="I47" s="14" t="n">
        <x:v>1050</x:v>
      </x:c>
      <x:c r="J47" s="33" t="str">
        <x:v>高超楼（就餐专线）</x:v>
      </x:c>
      <x:c r="K47" s="33" t="str">
        <x:v>是</x:v>
      </x:c>
      <x:c r="L47" s="14" t="str">
        <x:v>未提供</x:v>
      </x:c>
      <x:c r="M47" s="14" t="str">
        <x:v>未提供</x:v>
      </x:c>
      <x:c r="N47" s="14" t="str">
        <x:v>已识读</x:v>
      </x:c>
      <x:c r="O47" s="33" t="str">
        <x:v>原图打勾：从高超楼（系统工程学院旁）发车，并按就餐专线运行</x:v>
      </x:c>
      <x:c r="P47" s="14" t="str">
        <x:v>图片1</x:v>
      </x:c>
    </x:row>
    <x:row r="48">
      <x:c r="A48" s="14" t="str">
        <x:v>S0047</x:v>
      </x:c>
      <x:c r="B48" s="14" t="str">
        <x:v>工作日</x:v>
      </x:c>
      <x:c r="C48" s="14" t="str">
        <x:v>环线1路</x:v>
      </x:c>
      <x:c r="D48" s="14" t="str">
        <x:v>国防科大三号院环线发车时刻表（环线1路）</x:v>
      </x:c>
      <x:c r="E48" s="14" t="str">
        <x:v>第五班（夜2）</x:v>
      </x:c>
      <x:c r="F48" s="14" t="n">
        <x:v>6</x:v>
      </x:c>
      <x:c r="G48" s="14" t="str">
        <x:v>17:50</x:v>
      </x:c>
      <x:c r="H48" s="14" t="str">
        <x:v>17:50</x:v>
      </x:c>
      <x:c r="I48" s="14" t="n">
        <x:v>1070</x:v>
      </x:c>
      <x:c r="J48" s="33" t="str">
        <x:v>高超楼（就餐专线）</x:v>
      </x:c>
      <x:c r="K48" s="33" t="str">
        <x:v>是</x:v>
      </x:c>
      <x:c r="L48" s="14" t="str">
        <x:v>未提供</x:v>
      </x:c>
      <x:c r="M48" s="14" t="str">
        <x:v>未提供</x:v>
      </x:c>
      <x:c r="N48" s="14" t="str">
        <x:v>已识读</x:v>
      </x:c>
      <x:c r="O48" s="33" t="str">
        <x:v>原图打勾：从高超楼（系统工程学院旁）发车，并按就餐专线运行</x:v>
      </x:c>
      <x:c r="P48" s="14" t="str">
        <x:v>图片1</x:v>
      </x:c>
    </x:row>
    <x:row r="49">
      <x:c r="A49" s="14" t="str">
        <x:v>S0048</x:v>
      </x:c>
      <x:c r="B49" s="14" t="str">
        <x:v>工作日</x:v>
      </x:c>
      <x:c r="C49" s="14" t="str">
        <x:v>环线1路</x:v>
      </x:c>
      <x:c r="D49" s="14" t="str">
        <x:v>国防科大三号院环线发车时刻表（环线1路）</x:v>
      </x:c>
      <x:c r="E49" s="14" t="str">
        <x:v>第五班（夜2）</x:v>
      </x:c>
      <x:c r="F49" s="14" t="n">
        <x:v>7</x:v>
      </x:c>
      <x:c r="G49" s="14" t="str">
        <x:v>18:30</x:v>
      </x:c>
      <x:c r="H49" s="14" t="str">
        <x:v>18:30</x:v>
      </x:c>
      <x:c r="I49" s="14" t="n">
        <x:v>1110</x:v>
      </x:c>
      <x:c r="J49" s="14" t="str">
        <x:v>原表默认发车点</x:v>
      </x:c>
      <x:c r="K49" s="14" t="str">
        <x:v>否</x:v>
      </x:c>
      <x:c r="L49" s="14" t="str">
        <x:v>未提供</x:v>
      </x:c>
      <x:c r="M49" s="14" t="str">
        <x:v>未提供</x:v>
      </x:c>
      <x:c r="N49" s="14" t="str">
        <x:v>已识读</x:v>
      </x:c>
      <x:c r="O49" s="14" t="str">
        <x:v>夜班车</x:v>
      </x:c>
      <x:c r="P49" s="14" t="str">
        <x:v>图片1</x:v>
      </x:c>
    </x:row>
    <x:row r="50">
      <x:c r="A50" s="14" t="str">
        <x:v>S0049</x:v>
      </x:c>
      <x:c r="B50" s="14" t="str">
        <x:v>工作日</x:v>
      </x:c>
      <x:c r="C50" s="14" t="str">
        <x:v>环线1路</x:v>
      </x:c>
      <x:c r="D50" s="14" t="str">
        <x:v>国防科大三号院环线发车时刻表（环线1路）</x:v>
      </x:c>
      <x:c r="E50" s="14" t="str">
        <x:v>第五班（夜2）</x:v>
      </x:c>
      <x:c r="F50" s="14" t="n">
        <x:v>8</x:v>
      </x:c>
      <x:c r="G50" s="14" t="str">
        <x:v>19:00</x:v>
      </x:c>
      <x:c r="H50" s="14" t="str">
        <x:v>19:00</x:v>
      </x:c>
      <x:c r="I50" s="14" t="n">
        <x:v>1140</x:v>
      </x:c>
      <x:c r="J50" s="14" t="str">
        <x:v>原表默认发车点</x:v>
      </x:c>
      <x:c r="K50" s="14" t="str">
        <x:v>否</x:v>
      </x:c>
      <x:c r="L50" s="14" t="str">
        <x:v>未提供</x:v>
      </x:c>
      <x:c r="M50" s="14" t="str">
        <x:v>未提供</x:v>
      </x:c>
      <x:c r="N50" s="14" t="str">
        <x:v>已识读</x:v>
      </x:c>
      <x:c r="O50" s="14" t="str">
        <x:v>夜班车</x:v>
      </x:c>
      <x:c r="P50" s="14" t="str">
        <x:v>图片1</x:v>
      </x:c>
    </x:row>
    <x:row r="51">
      <x:c r="A51" s="14" t="str">
        <x:v>S0050</x:v>
      </x:c>
      <x:c r="B51" s="14" t="str">
        <x:v>工作日</x:v>
      </x:c>
      <x:c r="C51" s="14" t="str">
        <x:v>环线1路</x:v>
      </x:c>
      <x:c r="D51" s="14" t="str">
        <x:v>国防科大三号院环线发车时刻表（环线1路）</x:v>
      </x:c>
      <x:c r="E51" s="14" t="str">
        <x:v>第五班（夜2）</x:v>
      </x:c>
      <x:c r="F51" s="14" t="n">
        <x:v>9</x:v>
      </x:c>
      <x:c r="G51" s="14" t="str">
        <x:v>19:30</x:v>
      </x:c>
      <x:c r="H51" s="14" t="str">
        <x:v>19:30</x:v>
      </x:c>
      <x:c r="I51" s="14" t="n">
        <x:v>1170</x:v>
      </x:c>
      <x:c r="J51" s="14" t="str">
        <x:v>原表默认发车点</x:v>
      </x:c>
      <x:c r="K51" s="14" t="str">
        <x:v>否</x:v>
      </x:c>
      <x:c r="L51" s="14" t="str">
        <x:v>未提供</x:v>
      </x:c>
      <x:c r="M51" s="14" t="str">
        <x:v>未提供</x:v>
      </x:c>
      <x:c r="N51" s="14" t="str">
        <x:v>已识读</x:v>
      </x:c>
      <x:c r="O51" s="14" t="str">
        <x:v>夜班车</x:v>
      </x:c>
      <x:c r="P51" s="14" t="str">
        <x:v>图片1</x:v>
      </x:c>
    </x:row>
    <x:row r="52">
      <x:c r="A52" s="14" t="str">
        <x:v>S0051</x:v>
      </x:c>
      <x:c r="B52" s="14" t="str">
        <x:v>工作日</x:v>
      </x:c>
      <x:c r="C52" s="14" t="str">
        <x:v>环线1路</x:v>
      </x:c>
      <x:c r="D52" s="14" t="str">
        <x:v>国防科大三号院环线发车时刻表（环线1路）</x:v>
      </x:c>
      <x:c r="E52" s="14" t="str">
        <x:v>第五班（夜2）</x:v>
      </x:c>
      <x:c r="F52" s="14" t="n">
        <x:v>10</x:v>
      </x:c>
      <x:c r="G52" s="14" t="str">
        <x:v>20:00</x:v>
      </x:c>
      <x:c r="H52" s="14" t="str">
        <x:v>20:00</x:v>
      </x:c>
      <x:c r="I52" s="14" t="n">
        <x:v>1200</x:v>
      </x:c>
      <x:c r="J52" s="14" t="str">
        <x:v>原表默认发车点</x:v>
      </x:c>
      <x:c r="K52" s="14" t="str">
        <x:v>否</x:v>
      </x:c>
      <x:c r="L52" s="14" t="str">
        <x:v>未提供</x:v>
      </x:c>
      <x:c r="M52" s="14" t="str">
        <x:v>未提供</x:v>
      </x:c>
      <x:c r="N52" s="14" t="str">
        <x:v>已识读</x:v>
      </x:c>
      <x:c r="O52" s="14" t="str">
        <x:v>夜班车</x:v>
      </x:c>
      <x:c r="P52" s="14" t="str">
        <x:v>图片1</x:v>
      </x:c>
    </x:row>
    <x:row r="53">
      <x:c r="A53" s="14" t="str">
        <x:v>S0052</x:v>
      </x:c>
      <x:c r="B53" s="14" t="str">
        <x:v>工作日</x:v>
      </x:c>
      <x:c r="C53" s="14" t="str">
        <x:v>环线1路</x:v>
      </x:c>
      <x:c r="D53" s="14" t="str">
        <x:v>国防科大三号院环线发车时刻表（环线1路）</x:v>
      </x:c>
      <x:c r="E53" s="14" t="str">
        <x:v>第五班（夜2）</x:v>
      </x:c>
      <x:c r="F53" s="14" t="n">
        <x:v>11</x:v>
      </x:c>
      <x:c r="G53" s="14" t="str">
        <x:v>20:30</x:v>
      </x:c>
      <x:c r="H53" s="14" t="str">
        <x:v>20:30</x:v>
      </x:c>
      <x:c r="I53" s="14" t="n">
        <x:v>1230</x:v>
      </x:c>
      <x:c r="J53" s="14" t="str">
        <x:v>原表默认发车点</x:v>
      </x:c>
      <x:c r="K53" s="14" t="str">
        <x:v>否</x:v>
      </x:c>
      <x:c r="L53" s="14" t="str">
        <x:v>未提供</x:v>
      </x:c>
      <x:c r="M53" s="14" t="str">
        <x:v>未提供</x:v>
      </x:c>
      <x:c r="N53" s="14" t="str">
        <x:v>已识读</x:v>
      </x:c>
      <x:c r="O53" s="14" t="str">
        <x:v>夜班车</x:v>
      </x:c>
      <x:c r="P53" s="14" t="str">
        <x:v>图片1</x:v>
      </x:c>
    </x:row>
    <x:row r="54">
      <x:c r="A54" s="14" t="str">
        <x:v>S0053</x:v>
      </x:c>
      <x:c r="B54" s="14" t="str">
        <x:v>工作日</x:v>
      </x:c>
      <x:c r="C54" s="14" t="str">
        <x:v>环线1路</x:v>
      </x:c>
      <x:c r="D54" s="14" t="str">
        <x:v>国防科大三号院环线发车时刻表（环线1路）</x:v>
      </x:c>
      <x:c r="E54" s="14" t="str">
        <x:v>第五班（夜2）</x:v>
      </x:c>
      <x:c r="F54" s="14" t="n">
        <x:v>12</x:v>
      </x:c>
      <x:c r="G54" s="14" t="str">
        <x:v>21:00</x:v>
      </x:c>
      <x:c r="H54" s="14" t="str">
        <x:v>21:00</x:v>
      </x:c>
      <x:c r="I54" s="14" t="n">
        <x:v>1260</x:v>
      </x:c>
      <x:c r="J54" s="14" t="str">
        <x:v>原表默认发车点</x:v>
      </x:c>
      <x:c r="K54" s="14" t="str">
        <x:v>否</x:v>
      </x:c>
      <x:c r="L54" s="14" t="str">
        <x:v>未提供</x:v>
      </x:c>
      <x:c r="M54" s="14" t="str">
        <x:v>未提供</x:v>
      </x:c>
      <x:c r="N54" s="14" t="str">
        <x:v>已识读</x:v>
      </x:c>
      <x:c r="O54" s="14" t="str">
        <x:v>夜班车</x:v>
      </x:c>
      <x:c r="P54" s="14" t="str">
        <x:v>图片1</x:v>
      </x:c>
    </x:row>
    <x:row r="55">
      <x:c r="A55" s="14" t="str">
        <x:v>S0054</x:v>
      </x:c>
      <x:c r="B55" s="14" t="str">
        <x:v>工作日</x:v>
      </x:c>
      <x:c r="C55" s="14" t="str">
        <x:v>环线1路</x:v>
      </x:c>
      <x:c r="D55" s="14" t="str">
        <x:v>国防科大三号院环线发车时刻表（环线1路）</x:v>
      </x:c>
      <x:c r="E55" s="14" t="str">
        <x:v>第五班（夜2）</x:v>
      </x:c>
      <x:c r="F55" s="14" t="n">
        <x:v>13</x:v>
      </x:c>
      <x:c r="G55" s="14" t="str">
        <x:v>21:30</x:v>
      </x:c>
      <x:c r="H55" s="14" t="str">
        <x:v>21:30</x:v>
      </x:c>
      <x:c r="I55" s="14" t="n">
        <x:v>1290</x:v>
      </x:c>
      <x:c r="J55" s="14" t="str">
        <x:v>原表默认发车点</x:v>
      </x:c>
      <x:c r="K55" s="14" t="str">
        <x:v>否</x:v>
      </x:c>
      <x:c r="L55" s="14" t="str">
        <x:v>未提供</x:v>
      </x:c>
      <x:c r="M55" s="14" t="str">
        <x:v>未提供</x:v>
      </x:c>
      <x:c r="N55" s="14" t="str">
        <x:v>已识读</x:v>
      </x:c>
      <x:c r="O55" s="14" t="str">
        <x:v>夜班车</x:v>
      </x:c>
      <x:c r="P55" s="14" t="str">
        <x:v>图片1</x:v>
      </x:c>
    </x:row>
    <x:row r="56">
      <x:c r="A56" s="14" t="str">
        <x:v>S0055</x:v>
      </x:c>
      <x:c r="B56" s="14" t="str">
        <x:v>工作日</x:v>
      </x:c>
      <x:c r="C56" s="14" t="str">
        <x:v>环线1路</x:v>
      </x:c>
      <x:c r="D56" s="14" t="str">
        <x:v>国防科大三号院环线发车时刻表（环线1路）</x:v>
      </x:c>
      <x:c r="E56" s="14" t="str">
        <x:v>第五班（夜2）</x:v>
      </x:c>
      <x:c r="F56" s="14" t="n">
        <x:v>14</x:v>
      </x:c>
      <x:c r="G56" s="14" t="str">
        <x:v>22:00</x:v>
      </x:c>
      <x:c r="H56" s="14" t="str">
        <x:v>22:00</x:v>
      </x:c>
      <x:c r="I56" s="14" t="n">
        <x:v>1320</x:v>
      </x:c>
      <x:c r="J56" s="14" t="str">
        <x:v>原表默认发车点</x:v>
      </x:c>
      <x:c r="K56" s="14" t="str">
        <x:v>否</x:v>
      </x:c>
      <x:c r="L56" s="14" t="str">
        <x:v>未提供</x:v>
      </x:c>
      <x:c r="M56" s="14" t="str">
        <x:v>未提供</x:v>
      </x:c>
      <x:c r="N56" s="14" t="str">
        <x:v>已识读</x:v>
      </x:c>
      <x:c r="O56" s="14" t="str">
        <x:v>夜班车</x:v>
      </x:c>
      <x:c r="P56" s="14" t="str">
        <x:v>图片1</x:v>
      </x:c>
    </x:row>
    <x:row r="57">
      <x:c r="A57" s="14" t="str">
        <x:v>S0056</x:v>
      </x:c>
      <x:c r="B57" s="14" t="str">
        <x:v>工作日</x:v>
      </x:c>
      <x:c r="C57" s="14" t="str">
        <x:v>环线1路</x:v>
      </x:c>
      <x:c r="D57" s="14" t="str">
        <x:v>国防科大三号院环线发车时刻表（环线1路）</x:v>
      </x:c>
      <x:c r="E57" s="14" t="str">
        <x:v>第五班（夜2）</x:v>
      </x:c>
      <x:c r="F57" s="14" t="n">
        <x:v>15</x:v>
      </x:c>
      <x:c r="G57" s="14" t="str">
        <x:v>22:30</x:v>
      </x:c>
      <x:c r="H57" s="14" t="str">
        <x:v>22:30</x:v>
      </x:c>
      <x:c r="I57" s="14" t="n">
        <x:v>1350</x:v>
      </x:c>
      <x:c r="J57" s="14" t="str">
        <x:v>原表默认发车点</x:v>
      </x:c>
      <x:c r="K57" s="14" t="str">
        <x:v>否</x:v>
      </x:c>
      <x:c r="L57" s="14" t="str">
        <x:v>未提供</x:v>
      </x:c>
      <x:c r="M57" s="14" t="str">
        <x:v>未提供</x:v>
      </x:c>
      <x:c r="N57" s="14" t="str">
        <x:v>已识读</x:v>
      </x:c>
      <x:c r="O57" s="14" t="str">
        <x:v>夜班车</x:v>
      </x:c>
      <x:c r="P57" s="14" t="str">
        <x:v>图片1</x:v>
      </x:c>
    </x:row>
    <x:row r="58">
      <x:c r="A58" s="14" t="str">
        <x:v>S0057</x:v>
      </x:c>
      <x:c r="B58" s="14" t="str">
        <x:v>工作日</x:v>
      </x:c>
      <x:c r="C58" s="14" t="str">
        <x:v>环线1路</x:v>
      </x:c>
      <x:c r="D58" s="14" t="str">
        <x:v>国防科大三号院环线发车时刻表（环线1路）</x:v>
      </x:c>
      <x:c r="E58" s="14" t="str">
        <x:v>第四班（夜1）</x:v>
      </x:c>
      <x:c r="F58" s="14" t="n">
        <x:v>1</x:v>
      </x:c>
      <x:c r="G58" s="14" t="str">
        <x:v>14:24</x:v>
      </x:c>
      <x:c r="H58" s="14" t="str">
        <x:v>14:24</x:v>
      </x:c>
      <x:c r="I58" s="14" t="n">
        <x:v>864</x:v>
      </x:c>
      <x:c r="J58" s="14" t="str">
        <x:v>原表默认发车点</x:v>
      </x:c>
      <x:c r="K58" s="14" t="str">
        <x:v>否</x:v>
      </x:c>
      <x:c r="L58" s="14" t="str">
        <x:v>未提供</x:v>
      </x:c>
      <x:c r="M58" s="14" t="str">
        <x:v>未提供</x:v>
      </x:c>
      <x:c r="N58" s="14" t="str">
        <x:v>已识读</x:v>
      </x:c>
      <x:c r="O58" s="14" t="str">
        <x:v>夜班车</x:v>
      </x:c>
      <x:c r="P58" s="14" t="str">
        <x:v>图片1</x:v>
      </x:c>
    </x:row>
    <x:row r="59">
      <x:c r="A59" s="14" t="str">
        <x:v>S0058</x:v>
      </x:c>
      <x:c r="B59" s="14" t="str">
        <x:v>工作日</x:v>
      </x:c>
      <x:c r="C59" s="14" t="str">
        <x:v>环线1路</x:v>
      </x:c>
      <x:c r="D59" s="14" t="str">
        <x:v>国防科大三号院环线发车时刻表（环线1路）</x:v>
      </x:c>
      <x:c r="E59" s="14" t="str">
        <x:v>第四班（夜1）</x:v>
      </x:c>
      <x:c r="F59" s="14" t="n">
        <x:v>2</x:v>
      </x:c>
      <x:c r="G59" s="14" t="str">
        <x:v>15:00</x:v>
      </x:c>
      <x:c r="H59" s="14" t="str">
        <x:v>15:00</x:v>
      </x:c>
      <x:c r="I59" s="14" t="n">
        <x:v>900</x:v>
      </x:c>
      <x:c r="J59" s="14" t="str">
        <x:v>原表默认发车点</x:v>
      </x:c>
      <x:c r="K59" s="14" t="str">
        <x:v>否</x:v>
      </x:c>
      <x:c r="L59" s="14" t="str">
        <x:v>未提供</x:v>
      </x:c>
      <x:c r="M59" s="14" t="str">
        <x:v>未提供</x:v>
      </x:c>
      <x:c r="N59" s="14" t="str">
        <x:v>已识读</x:v>
      </x:c>
      <x:c r="O59" s="14" t="str">
        <x:v>夜班车</x:v>
      </x:c>
      <x:c r="P59" s="14" t="str">
        <x:v>图片1</x:v>
      </x:c>
    </x:row>
    <x:row r="60">
      <x:c r="A60" s="14" t="str">
        <x:v>S0059</x:v>
      </x:c>
      <x:c r="B60" s="14" t="str">
        <x:v>工作日</x:v>
      </x:c>
      <x:c r="C60" s="14" t="str">
        <x:v>环线1路</x:v>
      </x:c>
      <x:c r="D60" s="14" t="str">
        <x:v>国防科大三号院环线发车时刻表（环线1路）</x:v>
      </x:c>
      <x:c r="E60" s="14" t="str">
        <x:v>第四班（夜1）</x:v>
      </x:c>
      <x:c r="F60" s="14" t="n">
        <x:v>3</x:v>
      </x:c>
      <x:c r="G60" s="14" t="str">
        <x:v>16:00</x:v>
      </x:c>
      <x:c r="H60" s="14" t="str">
        <x:v>16:00</x:v>
      </x:c>
      <x:c r="I60" s="14" t="n">
        <x:v>960</x:v>
      </x:c>
      <x:c r="J60" s="14" t="str">
        <x:v>原表默认发车点</x:v>
      </x:c>
      <x:c r="K60" s="14" t="str">
        <x:v>否</x:v>
      </x:c>
      <x:c r="L60" s="14" t="str">
        <x:v>未提供</x:v>
      </x:c>
      <x:c r="M60" s="14" t="str">
        <x:v>未提供</x:v>
      </x:c>
      <x:c r="N60" s="14" t="str">
        <x:v>已识读</x:v>
      </x:c>
      <x:c r="O60" s="14" t="str">
        <x:v>夜班车</x:v>
      </x:c>
      <x:c r="P60" s="14" t="str">
        <x:v>图片1</x:v>
      </x:c>
    </x:row>
    <x:row r="61">
      <x:c r="A61" s="14" t="str">
        <x:v>S0060</x:v>
      </x:c>
      <x:c r="B61" s="14" t="str">
        <x:v>工作日</x:v>
      </x:c>
      <x:c r="C61" s="14" t="str">
        <x:v>环线1路</x:v>
      </x:c>
      <x:c r="D61" s="14" t="str">
        <x:v>国防科大三号院环线发车时刻表（环线1路）</x:v>
      </x:c>
      <x:c r="E61" s="14" t="str">
        <x:v>第四班（夜1）</x:v>
      </x:c>
      <x:c r="F61" s="14" t="n">
        <x:v>4</x:v>
      </x:c>
      <x:c r="G61" s="14" t="str">
        <x:v>16:45</x:v>
      </x:c>
      <x:c r="H61" s="14" t="str">
        <x:v>16:45</x:v>
      </x:c>
      <x:c r="I61" s="14" t="n">
        <x:v>1005</x:v>
      </x:c>
      <x:c r="J61" s="14" t="str">
        <x:v>原表默认发车点</x:v>
      </x:c>
      <x:c r="K61" s="14" t="str">
        <x:v>否</x:v>
      </x:c>
      <x:c r="L61" s="14" t="str">
        <x:v>未提供</x:v>
      </x:c>
      <x:c r="M61" s="14" t="str">
        <x:v>未提供</x:v>
      </x:c>
      <x:c r="N61" s="14" t="str">
        <x:v>已识读</x:v>
      </x:c>
      <x:c r="O61" s="14" t="str">
        <x:v>夜班车</x:v>
      </x:c>
      <x:c r="P61" s="14" t="str">
        <x:v>图片1</x:v>
      </x:c>
    </x:row>
    <x:row r="62">
      <x:c r="A62" s="14" t="str">
        <x:v>S0061</x:v>
      </x:c>
      <x:c r="B62" s="14" t="str">
        <x:v>工作日</x:v>
      </x:c>
      <x:c r="C62" s="14" t="str">
        <x:v>环线1路</x:v>
      </x:c>
      <x:c r="D62" s="14" t="str">
        <x:v>国防科大三号院环线发车时刻表（环线1路）</x:v>
      </x:c>
      <x:c r="E62" s="14" t="str">
        <x:v>第四班（夜1）</x:v>
      </x:c>
      <x:c r="F62" s="14" t="n">
        <x:v>5</x:v>
      </x:c>
      <x:c r="G62" s="14" t="str">
        <x:v>17:45</x:v>
      </x:c>
      <x:c r="H62" s="14" t="str">
        <x:v>17:45</x:v>
      </x:c>
      <x:c r="I62" s="14" t="n">
        <x:v>1065</x:v>
      </x:c>
      <x:c r="J62" s="14" t="str">
        <x:v>原表默认发车点</x:v>
      </x:c>
      <x:c r="K62" s="14" t="str">
        <x:v>否</x:v>
      </x:c>
      <x:c r="L62" s="14" t="str">
        <x:v>未提供</x:v>
      </x:c>
      <x:c r="M62" s="14" t="str">
        <x:v>未提供</x:v>
      </x:c>
      <x:c r="N62" s="14" t="str">
        <x:v>已识读</x:v>
      </x:c>
      <x:c r="O62" s="14" t="str">
        <x:v>夜班车</x:v>
      </x:c>
      <x:c r="P62" s="14" t="str">
        <x:v>图片1</x:v>
      </x:c>
    </x:row>
    <x:row r="63">
      <x:c r="A63" s="14" t="str">
        <x:v>S0062</x:v>
      </x:c>
      <x:c r="B63" s="14" t="str">
        <x:v>工作日</x:v>
      </x:c>
      <x:c r="C63" s="14" t="str">
        <x:v>环线1路</x:v>
      </x:c>
      <x:c r="D63" s="14" t="str">
        <x:v>国防科大三号院环线发车时刻表（环线1路）</x:v>
      </x:c>
      <x:c r="E63" s="14" t="str">
        <x:v>第四班（夜1）</x:v>
      </x:c>
      <x:c r="F63" s="14" t="n">
        <x:v>6</x:v>
      </x:c>
      <x:c r="G63" s="14" t="str">
        <x:v>18:15</x:v>
      </x:c>
      <x:c r="H63" s="14" t="str">
        <x:v>18:15</x:v>
      </x:c>
      <x:c r="I63" s="14" t="n">
        <x:v>1095</x:v>
      </x:c>
      <x:c r="J63" s="14" t="str">
        <x:v>原表默认发车点</x:v>
      </x:c>
      <x:c r="K63" s="14" t="str">
        <x:v>否</x:v>
      </x:c>
      <x:c r="L63" s="14" t="str">
        <x:v>未提供</x:v>
      </x:c>
      <x:c r="M63" s="14" t="str">
        <x:v>未提供</x:v>
      </x:c>
      <x:c r="N63" s="14" t="str">
        <x:v>已识读</x:v>
      </x:c>
      <x:c r="O63" s="14" t="str">
        <x:v>夜班车</x:v>
      </x:c>
      <x:c r="P63" s="14" t="str">
        <x:v>图片1</x:v>
      </x:c>
    </x:row>
    <x:row r="64">
      <x:c r="A64" s="14" t="str">
        <x:v>S0063</x:v>
      </x:c>
      <x:c r="B64" s="14" t="str">
        <x:v>工作日</x:v>
      </x:c>
      <x:c r="C64" s="14" t="str">
        <x:v>环线1路</x:v>
      </x:c>
      <x:c r="D64" s="14" t="str">
        <x:v>国防科大三号院环线发车时刻表（环线1路）</x:v>
      </x:c>
      <x:c r="E64" s="14" t="str">
        <x:v>第四班（夜1）</x:v>
      </x:c>
      <x:c r="F64" s="14" t="n">
        <x:v>7</x:v>
      </x:c>
      <x:c r="G64" s="14" t="str">
        <x:v>18:45</x:v>
      </x:c>
      <x:c r="H64" s="14" t="str">
        <x:v>18:45</x:v>
      </x:c>
      <x:c r="I64" s="14" t="n">
        <x:v>1125</x:v>
      </x:c>
      <x:c r="J64" s="14" t="str">
        <x:v>原表默认发车点</x:v>
      </x:c>
      <x:c r="K64" s="14" t="str">
        <x:v>否</x:v>
      </x:c>
      <x:c r="L64" s="14" t="str">
        <x:v>未提供</x:v>
      </x:c>
      <x:c r="M64" s="14" t="str">
        <x:v>未提供</x:v>
      </x:c>
      <x:c r="N64" s="14" t="str">
        <x:v>已识读</x:v>
      </x:c>
      <x:c r="O64" s="14" t="str">
        <x:v>夜班车</x:v>
      </x:c>
      <x:c r="P64" s="14" t="str">
        <x:v>图片1</x:v>
      </x:c>
    </x:row>
    <x:row r="65">
      <x:c r="A65" s="14" t="str">
        <x:v>S0064</x:v>
      </x:c>
      <x:c r="B65" s="14" t="str">
        <x:v>工作日</x:v>
      </x:c>
      <x:c r="C65" s="14" t="str">
        <x:v>环线1路</x:v>
      </x:c>
      <x:c r="D65" s="14" t="str">
        <x:v>国防科大三号院环线发车时刻表（环线1路）</x:v>
      </x:c>
      <x:c r="E65" s="14" t="str">
        <x:v>第四班（夜1）</x:v>
      </x:c>
      <x:c r="F65" s="14" t="n">
        <x:v>8</x:v>
      </x:c>
      <x:c r="G65" s="14" t="str">
        <x:v>19:15</x:v>
      </x:c>
      <x:c r="H65" s="14" t="str">
        <x:v>19:15</x:v>
      </x:c>
      <x:c r="I65" s="14" t="n">
        <x:v>1155</x:v>
      </x:c>
      <x:c r="J65" s="14" t="str">
        <x:v>原表默认发车点</x:v>
      </x:c>
      <x:c r="K65" s="14" t="str">
        <x:v>否</x:v>
      </x:c>
      <x:c r="L65" s="14" t="str">
        <x:v>未提供</x:v>
      </x:c>
      <x:c r="M65" s="14" t="str">
        <x:v>未提供</x:v>
      </x:c>
      <x:c r="N65" s="14" t="str">
        <x:v>已识读</x:v>
      </x:c>
      <x:c r="O65" s="14" t="str">
        <x:v>夜班车</x:v>
      </x:c>
      <x:c r="P65" s="14" t="str">
        <x:v>图片1</x:v>
      </x:c>
    </x:row>
    <x:row r="66">
      <x:c r="A66" s="14" t="str">
        <x:v>S0065</x:v>
      </x:c>
      <x:c r="B66" s="14" t="str">
        <x:v>工作日</x:v>
      </x:c>
      <x:c r="C66" s="14" t="str">
        <x:v>环线1路</x:v>
      </x:c>
      <x:c r="D66" s="14" t="str">
        <x:v>国防科大三号院环线发车时刻表（环线1路）</x:v>
      </x:c>
      <x:c r="E66" s="14" t="str">
        <x:v>第四班（夜1）</x:v>
      </x:c>
      <x:c r="F66" s="14" t="n">
        <x:v>9</x:v>
      </x:c>
      <x:c r="G66" s="14" t="str">
        <x:v>19:45</x:v>
      </x:c>
      <x:c r="H66" s="14" t="str">
        <x:v>19:45</x:v>
      </x:c>
      <x:c r="I66" s="14" t="n">
        <x:v>1185</x:v>
      </x:c>
      <x:c r="J66" s="14" t="str">
        <x:v>原表默认发车点</x:v>
      </x:c>
      <x:c r="K66" s="14" t="str">
        <x:v>否</x:v>
      </x:c>
      <x:c r="L66" s="14" t="str">
        <x:v>未提供</x:v>
      </x:c>
      <x:c r="M66" s="14" t="str">
        <x:v>未提供</x:v>
      </x:c>
      <x:c r="N66" s="14" t="str">
        <x:v>已识读</x:v>
      </x:c>
      <x:c r="O66" s="14" t="str">
        <x:v>夜班车</x:v>
      </x:c>
      <x:c r="P66" s="14" t="str">
        <x:v>图片1</x:v>
      </x:c>
    </x:row>
    <x:row r="67">
      <x:c r="A67" s="14" t="str">
        <x:v>S0066</x:v>
      </x:c>
      <x:c r="B67" s="14" t="str">
        <x:v>工作日</x:v>
      </x:c>
      <x:c r="C67" s="14" t="str">
        <x:v>环线1路</x:v>
      </x:c>
      <x:c r="D67" s="14" t="str">
        <x:v>国防科大三号院环线发车时刻表（环线1路）</x:v>
      </x:c>
      <x:c r="E67" s="14" t="str">
        <x:v>第四班（夜1）</x:v>
      </x:c>
      <x:c r="F67" s="14" t="n">
        <x:v>10</x:v>
      </x:c>
      <x:c r="G67" s="14" t="str">
        <x:v>20:15</x:v>
      </x:c>
      <x:c r="H67" s="14" t="str">
        <x:v>20:15</x:v>
      </x:c>
      <x:c r="I67" s="14" t="n">
        <x:v>1215</x:v>
      </x:c>
      <x:c r="J67" s="14" t="str">
        <x:v>原表默认发车点</x:v>
      </x:c>
      <x:c r="K67" s="14" t="str">
        <x:v>否</x:v>
      </x:c>
      <x:c r="L67" s="14" t="str">
        <x:v>未提供</x:v>
      </x:c>
      <x:c r="M67" s="14" t="str">
        <x:v>未提供</x:v>
      </x:c>
      <x:c r="N67" s="14" t="str">
        <x:v>已识读</x:v>
      </x:c>
      <x:c r="O67" s="14" t="str">
        <x:v>夜班车</x:v>
      </x:c>
      <x:c r="P67" s="14" t="str">
        <x:v>图片1</x:v>
      </x:c>
    </x:row>
    <x:row r="68">
      <x:c r="A68" s="14" t="str">
        <x:v>S0067</x:v>
      </x:c>
      <x:c r="B68" s="14" t="str">
        <x:v>工作日</x:v>
      </x:c>
      <x:c r="C68" s="14" t="str">
        <x:v>环线1路</x:v>
      </x:c>
      <x:c r="D68" s="14" t="str">
        <x:v>国防科大三号院环线发车时刻表（环线1路）</x:v>
      </x:c>
      <x:c r="E68" s="14" t="str">
        <x:v>第四班（夜1）</x:v>
      </x:c>
      <x:c r="F68" s="14" t="n">
        <x:v>11</x:v>
      </x:c>
      <x:c r="G68" s="14" t="str">
        <x:v>20:45</x:v>
      </x:c>
      <x:c r="H68" s="14" t="str">
        <x:v>20:45</x:v>
      </x:c>
      <x:c r="I68" s="14" t="n">
        <x:v>1245</x:v>
      </x:c>
      <x:c r="J68" s="14" t="str">
        <x:v>原表默认发车点</x:v>
      </x:c>
      <x:c r="K68" s="14" t="str">
        <x:v>否</x:v>
      </x:c>
      <x:c r="L68" s="14" t="str">
        <x:v>未提供</x:v>
      </x:c>
      <x:c r="M68" s="14" t="str">
        <x:v>未提供</x:v>
      </x:c>
      <x:c r="N68" s="14" t="str">
        <x:v>已识读</x:v>
      </x:c>
      <x:c r="O68" s="14" t="str">
        <x:v>夜班车</x:v>
      </x:c>
      <x:c r="P68" s="14" t="str">
        <x:v>图片1</x:v>
      </x:c>
    </x:row>
    <x:row r="69">
      <x:c r="A69" s="14" t="str">
        <x:v>S0068</x:v>
      </x:c>
      <x:c r="B69" s="14" t="str">
        <x:v>工作日</x:v>
      </x:c>
      <x:c r="C69" s="14" t="str">
        <x:v>环线1路</x:v>
      </x:c>
      <x:c r="D69" s="14" t="str">
        <x:v>国防科大三号院环线发车时刻表（环线1路）</x:v>
      </x:c>
      <x:c r="E69" s="14" t="str">
        <x:v>第四班（夜1）</x:v>
      </x:c>
      <x:c r="F69" s="14" t="n">
        <x:v>12</x:v>
      </x:c>
      <x:c r="G69" s="14" t="str">
        <x:v>21:15</x:v>
      </x:c>
      <x:c r="H69" s="14" t="str">
        <x:v>21:15</x:v>
      </x:c>
      <x:c r="I69" s="14" t="n">
        <x:v>1275</x:v>
      </x:c>
      <x:c r="J69" s="14" t="str">
        <x:v>原表默认发车点</x:v>
      </x:c>
      <x:c r="K69" s="14" t="str">
        <x:v>否</x:v>
      </x:c>
      <x:c r="L69" s="14" t="str">
        <x:v>未提供</x:v>
      </x:c>
      <x:c r="M69" s="14" t="str">
        <x:v>未提供</x:v>
      </x:c>
      <x:c r="N69" s="14" t="str">
        <x:v>已识读</x:v>
      </x:c>
      <x:c r="O69" s="14" t="str">
        <x:v>夜班车</x:v>
      </x:c>
      <x:c r="P69" s="14" t="str">
        <x:v>图片1</x:v>
      </x:c>
    </x:row>
    <x:row r="70">
      <x:c r="A70" s="14" t="str">
        <x:v>S0069</x:v>
      </x:c>
      <x:c r="B70" s="14" t="str">
        <x:v>工作日</x:v>
      </x:c>
      <x:c r="C70" s="14" t="str">
        <x:v>环线1路</x:v>
      </x:c>
      <x:c r="D70" s="14" t="str">
        <x:v>国防科大三号院环线发车时刻表（环线1路）</x:v>
      </x:c>
      <x:c r="E70" s="14" t="str">
        <x:v>第四班（夜1）</x:v>
      </x:c>
      <x:c r="F70" s="14" t="n">
        <x:v>13</x:v>
      </x:c>
      <x:c r="G70" s="14" t="str">
        <x:v>21:45</x:v>
      </x:c>
      <x:c r="H70" s="14" t="str">
        <x:v>21:45</x:v>
      </x:c>
      <x:c r="I70" s="14" t="n">
        <x:v>1305</x:v>
      </x:c>
      <x:c r="J70" s="14" t="str">
        <x:v>原表默认发车点</x:v>
      </x:c>
      <x:c r="K70" s="14" t="str">
        <x:v>否</x:v>
      </x:c>
      <x:c r="L70" s="14" t="str">
        <x:v>未提供</x:v>
      </x:c>
      <x:c r="M70" s="14" t="str">
        <x:v>未提供</x:v>
      </x:c>
      <x:c r="N70" s="14" t="str">
        <x:v>已识读</x:v>
      </x:c>
      <x:c r="O70" s="14" t="str">
        <x:v>夜班车</x:v>
      </x:c>
      <x:c r="P70" s="14" t="str">
        <x:v>图片1</x:v>
      </x:c>
    </x:row>
    <x:row r="71">
      <x:c r="A71" s="14" t="str">
        <x:v>S0070</x:v>
      </x:c>
      <x:c r="B71" s="14" t="str">
        <x:v>工作日</x:v>
      </x:c>
      <x:c r="C71" s="14" t="str">
        <x:v>环线1路</x:v>
      </x:c>
      <x:c r="D71" s="14" t="str">
        <x:v>国防科大三号院环线发车时刻表（环线1路）</x:v>
      </x:c>
      <x:c r="E71" s="14" t="str">
        <x:v>第四班（夜1）</x:v>
      </x:c>
      <x:c r="F71" s="14" t="n">
        <x:v>14</x:v>
      </x:c>
      <x:c r="G71" s="14" t="str">
        <x:v>22:15</x:v>
      </x:c>
      <x:c r="H71" s="14" t="str">
        <x:v>22:15</x:v>
      </x:c>
      <x:c r="I71" s="14" t="n">
        <x:v>1335</x:v>
      </x:c>
      <x:c r="J71" s="14" t="str">
        <x:v>原表默认发车点</x:v>
      </x:c>
      <x:c r="K71" s="14" t="str">
        <x:v>否</x:v>
      </x:c>
      <x:c r="L71" s="14" t="str">
        <x:v>未提供</x:v>
      </x:c>
      <x:c r="M71" s="14" t="str">
        <x:v>未提供</x:v>
      </x:c>
      <x:c r="N71" s="14" t="str">
        <x:v>已识读</x:v>
      </x:c>
      <x:c r="O71" s="14" t="str">
        <x:v>夜班车</x:v>
      </x:c>
      <x:c r="P71" s="14" t="str">
        <x:v>图片1</x:v>
      </x:c>
    </x:row>
    <x:row r="72">
      <x:c r="A72" s="14" t="str">
        <x:v>S0071</x:v>
      </x:c>
      <x:c r="B72" s="14" t="str">
        <x:v>工作日</x:v>
      </x:c>
      <x:c r="C72" s="14" t="str">
        <x:v>环线2路</x:v>
      </x:c>
      <x:c r="D72" s="14" t="str">
        <x:v>国防科大环线2路、3路发车时刻表（工作日）</x:v>
      </x:c>
      <x:c r="E72" s="14" t="str">
        <x:v>第一班</x:v>
      </x:c>
      <x:c r="F72" s="14" t="n">
        <x:v>1</x:v>
      </x:c>
      <x:c r="G72" s="14" t="str">
        <x:v>7:35</x:v>
      </x:c>
      <x:c r="H72" s="14" t="str">
        <x:v>07:35</x:v>
      </x:c>
      <x:c r="I72" s="14" t="n">
        <x:v>455</x:v>
      </x:c>
      <x:c r="J72" s="14" t="str">
        <x:v>原表默认发车点</x:v>
      </x:c>
      <x:c r="K72" s="14" t="str">
        <x:v>否</x:v>
      </x:c>
      <x:c r="L72" s="14" t="str">
        <x:v>未提供</x:v>
      </x:c>
      <x:c r="M72" s="14" t="str">
        <x:v>未提供</x:v>
      </x:c>
      <x:c r="N72" s="14" t="str">
        <x:v>已识读</x:v>
      </x:c>
      <x:c r="O72" s="14"/>
      <x:c r="P72" s="14" t="str">
        <x:v>图片2</x:v>
      </x:c>
    </x:row>
    <x:row r="73">
      <x:c r="A73" s="14" t="str">
        <x:v>S0072</x:v>
      </x:c>
      <x:c r="B73" s="14" t="str">
        <x:v>工作日</x:v>
      </x:c>
      <x:c r="C73" s="14" t="str">
        <x:v>环线2路</x:v>
      </x:c>
      <x:c r="D73" s="14" t="str">
        <x:v>国防科大环线2路、3路发车时刻表（工作日）</x:v>
      </x:c>
      <x:c r="E73" s="14" t="str">
        <x:v>第一班</x:v>
      </x:c>
      <x:c r="F73" s="14" t="n">
        <x:v>2</x:v>
      </x:c>
      <x:c r="G73" s="14" t="str">
        <x:v>7:50</x:v>
      </x:c>
      <x:c r="H73" s="14" t="str">
        <x:v>07:50</x:v>
      </x:c>
      <x:c r="I73" s="14" t="n">
        <x:v>470</x:v>
      </x:c>
      <x:c r="J73" s="14" t="str">
        <x:v>原表默认发车点</x:v>
      </x:c>
      <x:c r="K73" s="14" t="str">
        <x:v>否</x:v>
      </x:c>
      <x:c r="L73" s="14" t="str">
        <x:v>未提供</x:v>
      </x:c>
      <x:c r="M73" s="14" t="str">
        <x:v>未提供</x:v>
      </x:c>
      <x:c r="N73" s="14" t="str">
        <x:v>已识读</x:v>
      </x:c>
      <x:c r="O73" s="14"/>
      <x:c r="P73" s="14" t="str">
        <x:v>图片2</x:v>
      </x:c>
    </x:row>
    <x:row r="74">
      <x:c r="A74" s="14" t="str">
        <x:v>S0073</x:v>
      </x:c>
      <x:c r="B74" s="14" t="str">
        <x:v>工作日</x:v>
      </x:c>
      <x:c r="C74" s="14" t="str">
        <x:v>环线2路</x:v>
      </x:c>
      <x:c r="D74" s="14" t="str">
        <x:v>国防科大环线2路、3路发车时刻表（工作日）</x:v>
      </x:c>
      <x:c r="E74" s="14" t="str">
        <x:v>第一班</x:v>
      </x:c>
      <x:c r="F74" s="14" t="n">
        <x:v>3</x:v>
      </x:c>
      <x:c r="G74" s="14" t="str">
        <x:v>8:05</x:v>
      </x:c>
      <x:c r="H74" s="14" t="str">
        <x:v>08:05</x:v>
      </x:c>
      <x:c r="I74" s="14" t="n">
        <x:v>485</x:v>
      </x:c>
      <x:c r="J74" s="14" t="str">
        <x:v>原表默认发车点</x:v>
      </x:c>
      <x:c r="K74" s="14" t="str">
        <x:v>否</x:v>
      </x:c>
      <x:c r="L74" s="14" t="str">
        <x:v>未提供</x:v>
      </x:c>
      <x:c r="M74" s="14" t="str">
        <x:v>未提供</x:v>
      </x:c>
      <x:c r="N74" s="14" t="str">
        <x:v>已识读</x:v>
      </x:c>
      <x:c r="O74" s="14"/>
      <x:c r="P74" s="14" t="str">
        <x:v>图片2</x:v>
      </x:c>
    </x:row>
    <x:row r="75">
      <x:c r="A75" s="14" t="str">
        <x:v>S0074</x:v>
      </x:c>
      <x:c r="B75" s="14" t="str">
        <x:v>工作日</x:v>
      </x:c>
      <x:c r="C75" s="14" t="str">
        <x:v>环线2路</x:v>
      </x:c>
      <x:c r="D75" s="14" t="str">
        <x:v>国防科大环线2路、3路发车时刻表（工作日）</x:v>
      </x:c>
      <x:c r="E75" s="14" t="str">
        <x:v>第一班</x:v>
      </x:c>
      <x:c r="F75" s="14" t="n">
        <x:v>4</x:v>
      </x:c>
      <x:c r="G75" s="14" t="str">
        <x:v>8:20</x:v>
      </x:c>
      <x:c r="H75" s="14" t="str">
        <x:v>08:20</x:v>
      </x:c>
      <x:c r="I75" s="14" t="n">
        <x:v>500</x:v>
      </x:c>
      <x:c r="J75" s="14" t="str">
        <x:v>原表默认发车点</x:v>
      </x:c>
      <x:c r="K75" s="14" t="str">
        <x:v>否</x:v>
      </x:c>
      <x:c r="L75" s="14" t="str">
        <x:v>未提供</x:v>
      </x:c>
      <x:c r="M75" s="14" t="str">
        <x:v>未提供</x:v>
      </x:c>
      <x:c r="N75" s="14" t="str">
        <x:v>已识读</x:v>
      </x:c>
      <x:c r="O75" s="14"/>
      <x:c r="P75" s="14" t="str">
        <x:v>图片2</x:v>
      </x:c>
    </x:row>
    <x:row r="76">
      <x:c r="A76" s="14" t="str">
        <x:v>S0075</x:v>
      </x:c>
      <x:c r="B76" s="14" t="str">
        <x:v>工作日</x:v>
      </x:c>
      <x:c r="C76" s="14" t="str">
        <x:v>环线2路</x:v>
      </x:c>
      <x:c r="D76" s="14" t="str">
        <x:v>国防科大环线2路、3路发车时刻表（工作日）</x:v>
      </x:c>
      <x:c r="E76" s="14" t="str">
        <x:v>第一班</x:v>
      </x:c>
      <x:c r="F76" s="14" t="n">
        <x:v>5</x:v>
      </x:c>
      <x:c r="G76" s="14" t="str">
        <x:v>8:35</x:v>
      </x:c>
      <x:c r="H76" s="14" t="str">
        <x:v>08:35</x:v>
      </x:c>
      <x:c r="I76" s="14" t="n">
        <x:v>515</x:v>
      </x:c>
      <x:c r="J76" s="14" t="str">
        <x:v>原表默认发车点</x:v>
      </x:c>
      <x:c r="K76" s="14" t="str">
        <x:v>否</x:v>
      </x:c>
      <x:c r="L76" s="14" t="str">
        <x:v>未提供</x:v>
      </x:c>
      <x:c r="M76" s="14" t="str">
        <x:v>未提供</x:v>
      </x:c>
      <x:c r="N76" s="14" t="str">
        <x:v>已识读</x:v>
      </x:c>
      <x:c r="O76" s="14"/>
      <x:c r="P76" s="14" t="str">
        <x:v>图片2</x:v>
      </x:c>
    </x:row>
    <x:row r="77">
      <x:c r="A77" s="14" t="str">
        <x:v>S0076</x:v>
      </x:c>
      <x:c r="B77" s="14" t="str">
        <x:v>工作日</x:v>
      </x:c>
      <x:c r="C77" s="14" t="str">
        <x:v>环线2路</x:v>
      </x:c>
      <x:c r="D77" s="14" t="str">
        <x:v>国防科大环线2路、3路发车时刻表（工作日）</x:v>
      </x:c>
      <x:c r="E77" s="14" t="str">
        <x:v>第一班</x:v>
      </x:c>
      <x:c r="F77" s="14" t="n">
        <x:v>6</x:v>
      </x:c>
      <x:c r="G77" s="14" t="str">
        <x:v>8:50</x:v>
      </x:c>
      <x:c r="H77" s="14" t="str">
        <x:v>08:50</x:v>
      </x:c>
      <x:c r="I77" s="14" t="n">
        <x:v>530</x:v>
      </x:c>
      <x:c r="J77" s="14" t="str">
        <x:v>原表默认发车点</x:v>
      </x:c>
      <x:c r="K77" s="14" t="str">
        <x:v>否</x:v>
      </x:c>
      <x:c r="L77" s="14" t="str">
        <x:v>未提供</x:v>
      </x:c>
      <x:c r="M77" s="14" t="str">
        <x:v>未提供</x:v>
      </x:c>
      <x:c r="N77" s="14" t="str">
        <x:v>已识读</x:v>
      </x:c>
      <x:c r="O77" s="14"/>
      <x:c r="P77" s="14" t="str">
        <x:v>图片2</x:v>
      </x:c>
    </x:row>
    <x:row r="78">
      <x:c r="A78" s="14" t="str">
        <x:v>S0077</x:v>
      </x:c>
      <x:c r="B78" s="14" t="str">
        <x:v>工作日</x:v>
      </x:c>
      <x:c r="C78" s="14" t="str">
        <x:v>环线2路</x:v>
      </x:c>
      <x:c r="D78" s="14" t="str">
        <x:v>国防科大环线2路、3路发车时刻表（工作日）</x:v>
      </x:c>
      <x:c r="E78" s="14" t="str">
        <x:v>第一班</x:v>
      </x:c>
      <x:c r="F78" s="14" t="n">
        <x:v>7</x:v>
      </x:c>
      <x:c r="G78" s="14" t="str">
        <x:v>9:10</x:v>
      </x:c>
      <x:c r="H78" s="14" t="str">
        <x:v>09:10</x:v>
      </x:c>
      <x:c r="I78" s="14" t="n">
        <x:v>550</x:v>
      </x:c>
      <x:c r="J78" s="14" t="str">
        <x:v>原表默认发车点</x:v>
      </x:c>
      <x:c r="K78" s="14" t="str">
        <x:v>否</x:v>
      </x:c>
      <x:c r="L78" s="14" t="str">
        <x:v>未提供</x:v>
      </x:c>
      <x:c r="M78" s="14" t="str">
        <x:v>未提供</x:v>
      </x:c>
      <x:c r="N78" s="14" t="str">
        <x:v>已识读</x:v>
      </x:c>
      <x:c r="O78" s="14"/>
      <x:c r="P78" s="14" t="str">
        <x:v>图片2</x:v>
      </x:c>
    </x:row>
    <x:row r="79">
      <x:c r="A79" s="14" t="str">
        <x:v>S0078</x:v>
      </x:c>
      <x:c r="B79" s="14" t="str">
        <x:v>工作日</x:v>
      </x:c>
      <x:c r="C79" s="14" t="str">
        <x:v>环线2路</x:v>
      </x:c>
      <x:c r="D79" s="14" t="str">
        <x:v>国防科大环线2路、3路发车时刻表（工作日）</x:v>
      </x:c>
      <x:c r="E79" s="14" t="str">
        <x:v>第一班</x:v>
      </x:c>
      <x:c r="F79" s="14" t="n">
        <x:v>8</x:v>
      </x:c>
      <x:c r="G79" s="14" t="str">
        <x:v>9:40</x:v>
      </x:c>
      <x:c r="H79" s="14" t="str">
        <x:v>09:40</x:v>
      </x:c>
      <x:c r="I79" s="14" t="n">
        <x:v>580</x:v>
      </x:c>
      <x:c r="J79" s="14" t="str">
        <x:v>原表默认发车点</x:v>
      </x:c>
      <x:c r="K79" s="14" t="str">
        <x:v>否</x:v>
      </x:c>
      <x:c r="L79" s="14" t="str">
        <x:v>未提供</x:v>
      </x:c>
      <x:c r="M79" s="14" t="str">
        <x:v>未提供</x:v>
      </x:c>
      <x:c r="N79" s="14" t="str">
        <x:v>已识读</x:v>
      </x:c>
      <x:c r="O79" s="14"/>
      <x:c r="P79" s="14" t="str">
        <x:v>图片2</x:v>
      </x:c>
    </x:row>
    <x:row r="80">
      <x:c r="A80" s="14" t="str">
        <x:v>S0079</x:v>
      </x:c>
      <x:c r="B80" s="14" t="str">
        <x:v>工作日</x:v>
      </x:c>
      <x:c r="C80" s="14" t="str">
        <x:v>环线2路</x:v>
      </x:c>
      <x:c r="D80" s="14" t="str">
        <x:v>国防科大环线2路、3路发车时刻表（工作日）</x:v>
      </x:c>
      <x:c r="E80" s="14" t="str">
        <x:v>第一班</x:v>
      </x:c>
      <x:c r="F80" s="14" t="n">
        <x:v>9</x:v>
      </x:c>
      <x:c r="G80" s="14" t="str">
        <x:v>10:10</x:v>
      </x:c>
      <x:c r="H80" s="14" t="str">
        <x:v>10:10</x:v>
      </x:c>
      <x:c r="I80" s="14" t="n">
        <x:v>610</x:v>
      </x:c>
      <x:c r="J80" s="14" t="str">
        <x:v>原表默认发车点</x:v>
      </x:c>
      <x:c r="K80" s="14" t="str">
        <x:v>否</x:v>
      </x:c>
      <x:c r="L80" s="14" t="str">
        <x:v>未提供</x:v>
      </x:c>
      <x:c r="M80" s="14" t="str">
        <x:v>未提供</x:v>
      </x:c>
      <x:c r="N80" s="14" t="str">
        <x:v>已识读</x:v>
      </x:c>
      <x:c r="O80" s="14"/>
      <x:c r="P80" s="14" t="str">
        <x:v>图片2</x:v>
      </x:c>
    </x:row>
    <x:row r="81">
      <x:c r="A81" s="14" t="str">
        <x:v>S0080</x:v>
      </x:c>
      <x:c r="B81" s="14" t="str">
        <x:v>工作日</x:v>
      </x:c>
      <x:c r="C81" s="14" t="str">
        <x:v>环线2路</x:v>
      </x:c>
      <x:c r="D81" s="14" t="str">
        <x:v>国防科大环线2路、3路发车时刻表（工作日）</x:v>
      </x:c>
      <x:c r="E81" s="14" t="str">
        <x:v>第一班</x:v>
      </x:c>
      <x:c r="F81" s="14" t="n">
        <x:v>10</x:v>
      </x:c>
      <x:c r="G81" s="14" t="str">
        <x:v>10:40</x:v>
      </x:c>
      <x:c r="H81" s="14" t="str">
        <x:v>10:40</x:v>
      </x:c>
      <x:c r="I81" s="14" t="n">
        <x:v>640</x:v>
      </x:c>
      <x:c r="J81" s="14" t="str">
        <x:v>原表默认发车点</x:v>
      </x:c>
      <x:c r="K81" s="14" t="str">
        <x:v>否</x:v>
      </x:c>
      <x:c r="L81" s="14" t="str">
        <x:v>未提供</x:v>
      </x:c>
      <x:c r="M81" s="14" t="str">
        <x:v>未提供</x:v>
      </x:c>
      <x:c r="N81" s="14" t="str">
        <x:v>已识读</x:v>
      </x:c>
      <x:c r="O81" s="14"/>
      <x:c r="P81" s="14" t="str">
        <x:v>图片2</x:v>
      </x:c>
    </x:row>
    <x:row r="82">
      <x:c r="A82" s="14" t="str">
        <x:v>S0081</x:v>
      </x:c>
      <x:c r="B82" s="14" t="str">
        <x:v>工作日</x:v>
      </x:c>
      <x:c r="C82" s="14" t="str">
        <x:v>环线2路</x:v>
      </x:c>
      <x:c r="D82" s="14" t="str">
        <x:v>国防科大环线2路、3路发车时刻表（工作日）</x:v>
      </x:c>
      <x:c r="E82" s="14" t="str">
        <x:v>第一班</x:v>
      </x:c>
      <x:c r="F82" s="14" t="n">
        <x:v>11</x:v>
      </x:c>
      <x:c r="G82" s="14" t="str">
        <x:v>11:15</x:v>
      </x:c>
      <x:c r="H82" s="14" t="str">
        <x:v>11:15</x:v>
      </x:c>
      <x:c r="I82" s="14" t="n">
        <x:v>675</x:v>
      </x:c>
      <x:c r="J82" s="14" t="str">
        <x:v>原表默认发车点</x:v>
      </x:c>
      <x:c r="K82" s="14" t="str">
        <x:v>否</x:v>
      </x:c>
      <x:c r="L82" s="14" t="str">
        <x:v>未提供</x:v>
      </x:c>
      <x:c r="M82" s="14" t="str">
        <x:v>未提供</x:v>
      </x:c>
      <x:c r="N82" s="14" t="str">
        <x:v>已识读</x:v>
      </x:c>
      <x:c r="O82" s="14"/>
      <x:c r="P82" s="14" t="str">
        <x:v>图片2</x:v>
      </x:c>
    </x:row>
    <x:row r="83">
      <x:c r="A83" s="14" t="str">
        <x:v>S0082</x:v>
      </x:c>
      <x:c r="B83" s="14" t="str">
        <x:v>工作日</x:v>
      </x:c>
      <x:c r="C83" s="14" t="str">
        <x:v>环线2路</x:v>
      </x:c>
      <x:c r="D83" s="14" t="str">
        <x:v>国防科大环线2路、3路发车时刻表（工作日）</x:v>
      </x:c>
      <x:c r="E83" s="14" t="str">
        <x:v>第一班</x:v>
      </x:c>
      <x:c r="F83" s="14" t="n">
        <x:v>12</x:v>
      </x:c>
      <x:c r="G83" s="14" t="str">
        <x:v>11:40</x:v>
      </x:c>
      <x:c r="H83" s="14" t="str">
        <x:v>11:40</x:v>
      </x:c>
      <x:c r="I83" s="14" t="n">
        <x:v>700</x:v>
      </x:c>
      <x:c r="J83" s="14" t="str">
        <x:v>原表默认发车点</x:v>
      </x:c>
      <x:c r="K83" s="14" t="str">
        <x:v>否</x:v>
      </x:c>
      <x:c r="L83" s="14" t="str">
        <x:v>未提供</x:v>
      </x:c>
      <x:c r="M83" s="14" t="str">
        <x:v>未提供</x:v>
      </x:c>
      <x:c r="N83" s="14" t="str">
        <x:v>已识读</x:v>
      </x:c>
      <x:c r="O83" s="14"/>
      <x:c r="P83" s="14" t="str">
        <x:v>图片2</x:v>
      </x:c>
    </x:row>
    <x:row r="84">
      <x:c r="A84" s="14" t="str">
        <x:v>S0083</x:v>
      </x:c>
      <x:c r="B84" s="14" t="str">
        <x:v>工作日</x:v>
      </x:c>
      <x:c r="C84" s="14" t="str">
        <x:v>环线2路</x:v>
      </x:c>
      <x:c r="D84" s="14" t="str">
        <x:v>国防科大环线2路、3路发车时刻表（工作日）</x:v>
      </x:c>
      <x:c r="E84" s="14" t="str">
        <x:v>第一班</x:v>
      </x:c>
      <x:c r="F84" s="14" t="n">
        <x:v>13</x:v>
      </x:c>
      <x:c r="G84" s="14" t="str">
        <x:v>12:00</x:v>
      </x:c>
      <x:c r="H84" s="14" t="str">
        <x:v>12:00</x:v>
      </x:c>
      <x:c r="I84" s="14" t="n">
        <x:v>720</x:v>
      </x:c>
      <x:c r="J84" s="14" t="str">
        <x:v>原表默认发车点</x:v>
      </x:c>
      <x:c r="K84" s="14" t="str">
        <x:v>否</x:v>
      </x:c>
      <x:c r="L84" s="14" t="str">
        <x:v>未提供</x:v>
      </x:c>
      <x:c r="M84" s="14" t="str">
        <x:v>未提供</x:v>
      </x:c>
      <x:c r="N84" s="14" t="str">
        <x:v>已识读</x:v>
      </x:c>
      <x:c r="O84" s="14"/>
      <x:c r="P84" s="14" t="str">
        <x:v>图片2</x:v>
      </x:c>
    </x:row>
    <x:row r="85">
      <x:c r="A85" s="14" t="str">
        <x:v>S0084</x:v>
      </x:c>
      <x:c r="B85" s="14" t="str">
        <x:v>工作日</x:v>
      </x:c>
      <x:c r="C85" s="14" t="str">
        <x:v>环线2路</x:v>
      </x:c>
      <x:c r="D85" s="14" t="str">
        <x:v>国防科大环线2路、3路发车时刻表（工作日）</x:v>
      </x:c>
      <x:c r="E85" s="14" t="str">
        <x:v>第一班</x:v>
      </x:c>
      <x:c r="F85" s="14" t="n">
        <x:v>14</x:v>
      </x:c>
      <x:c r="G85" s="14" t="str">
        <x:v>12:15</x:v>
      </x:c>
      <x:c r="H85" s="14" t="str">
        <x:v>12:15</x:v>
      </x:c>
      <x:c r="I85" s="14" t="n">
        <x:v>735</x:v>
      </x:c>
      <x:c r="J85" s="14" t="str">
        <x:v>原表默认发车点</x:v>
      </x:c>
      <x:c r="K85" s="14" t="str">
        <x:v>否</x:v>
      </x:c>
      <x:c r="L85" s="14" t="str">
        <x:v>未提供</x:v>
      </x:c>
      <x:c r="M85" s="14" t="str">
        <x:v>未提供</x:v>
      </x:c>
      <x:c r="N85" s="14" t="str">
        <x:v>已识读</x:v>
      </x:c>
      <x:c r="O85" s="14"/>
      <x:c r="P85" s="14" t="str">
        <x:v>图片2</x:v>
      </x:c>
    </x:row>
    <x:row r="86">
      <x:c r="A86" s="14" t="str">
        <x:v>S0085</x:v>
      </x:c>
      <x:c r="B86" s="14" t="str">
        <x:v>工作日</x:v>
      </x:c>
      <x:c r="C86" s="14" t="str">
        <x:v>环线2路</x:v>
      </x:c>
      <x:c r="D86" s="14" t="str">
        <x:v>国防科大环线2路、3路发车时刻表（工作日）</x:v>
      </x:c>
      <x:c r="E86" s="14" t="str">
        <x:v>第一班</x:v>
      </x:c>
      <x:c r="F86" s="14" t="n">
        <x:v>15</x:v>
      </x:c>
      <x:c r="G86" s="14" t="str">
        <x:v>12:30</x:v>
      </x:c>
      <x:c r="H86" s="14" t="str">
        <x:v>12:30</x:v>
      </x:c>
      <x:c r="I86" s="14" t="n">
        <x:v>750</x:v>
      </x:c>
      <x:c r="J86" s="14" t="str">
        <x:v>原表默认发车点</x:v>
      </x:c>
      <x:c r="K86" s="14" t="str">
        <x:v>否</x:v>
      </x:c>
      <x:c r="L86" s="14" t="str">
        <x:v>未提供</x:v>
      </x:c>
      <x:c r="M86" s="14" t="str">
        <x:v>未提供</x:v>
      </x:c>
      <x:c r="N86" s="14" t="str">
        <x:v>已识读</x:v>
      </x:c>
      <x:c r="O86" s="14"/>
      <x:c r="P86" s="14" t="str">
        <x:v>图片2</x:v>
      </x:c>
    </x:row>
    <x:row r="87">
      <x:c r="A87" s="14" t="str">
        <x:v>S0086</x:v>
      </x:c>
      <x:c r="B87" s="14" t="str">
        <x:v>工作日</x:v>
      </x:c>
      <x:c r="C87" s="14" t="str">
        <x:v>环线2路</x:v>
      </x:c>
      <x:c r="D87" s="14" t="str">
        <x:v>国防科大环线2路、3路发车时刻表（工作日）</x:v>
      </x:c>
      <x:c r="E87" s="14" t="str">
        <x:v>第一班</x:v>
      </x:c>
      <x:c r="F87" s="14" t="n">
        <x:v>16</x:v>
      </x:c>
      <x:c r="G87" s="14" t="str">
        <x:v>14:10</x:v>
      </x:c>
      <x:c r="H87" s="14" t="str">
        <x:v>14:10</x:v>
      </x:c>
      <x:c r="I87" s="14" t="n">
        <x:v>850</x:v>
      </x:c>
      <x:c r="J87" s="14" t="str">
        <x:v>原表默认发车点</x:v>
      </x:c>
      <x:c r="K87" s="14" t="str">
        <x:v>否</x:v>
      </x:c>
      <x:c r="L87" s="14" t="str">
        <x:v>未提供</x:v>
      </x:c>
      <x:c r="M87" s="14" t="str">
        <x:v>未提供</x:v>
      </x:c>
      <x:c r="N87" s="14" t="str">
        <x:v>已识读</x:v>
      </x:c>
      <x:c r="O87" s="14"/>
      <x:c r="P87" s="14" t="str">
        <x:v>图片2</x:v>
      </x:c>
    </x:row>
    <x:row r="88">
      <x:c r="A88" s="14" t="str">
        <x:v>S0087</x:v>
      </x:c>
      <x:c r="B88" s="14" t="str">
        <x:v>工作日</x:v>
      </x:c>
      <x:c r="C88" s="14" t="str">
        <x:v>环线2路</x:v>
      </x:c>
      <x:c r="D88" s="14" t="str">
        <x:v>国防科大环线2路、3路发车时刻表（工作日）</x:v>
      </x:c>
      <x:c r="E88" s="14" t="str">
        <x:v>第一班</x:v>
      </x:c>
      <x:c r="F88" s="14" t="n">
        <x:v>17</x:v>
      </x:c>
      <x:c r="G88" s="14" t="str">
        <x:v>16:20</x:v>
      </x:c>
      <x:c r="H88" s="14" t="str">
        <x:v>16:20</x:v>
      </x:c>
      <x:c r="I88" s="14" t="n">
        <x:v>980</x:v>
      </x:c>
      <x:c r="J88" s="14" t="str">
        <x:v>原表默认发车点</x:v>
      </x:c>
      <x:c r="K88" s="14" t="str">
        <x:v>否</x:v>
      </x:c>
      <x:c r="L88" s="14" t="str">
        <x:v>未提供</x:v>
      </x:c>
      <x:c r="M88" s="14" t="str">
        <x:v>未提供</x:v>
      </x:c>
      <x:c r="N88" s="14" t="str">
        <x:v>已识读</x:v>
      </x:c>
      <x:c r="O88" s="14"/>
      <x:c r="P88" s="14" t="str">
        <x:v>图片2</x:v>
      </x:c>
    </x:row>
    <x:row r="89">
      <x:c r="A89" s="14" t="str">
        <x:v>S0088</x:v>
      </x:c>
      <x:c r="B89" s="14" t="str">
        <x:v>工作日</x:v>
      </x:c>
      <x:c r="C89" s="14" t="str">
        <x:v>环线2路</x:v>
      </x:c>
      <x:c r="D89" s="14" t="str">
        <x:v>国防科大环线2路、3路发车时刻表（工作日）</x:v>
      </x:c>
      <x:c r="E89" s="14" t="str">
        <x:v>第一班</x:v>
      </x:c>
      <x:c r="F89" s="14" t="n">
        <x:v>18</x:v>
      </x:c>
      <x:c r="G89" s="14" t="str">
        <x:v>16:50</x:v>
      </x:c>
      <x:c r="H89" s="14" t="str">
        <x:v>16:50</x:v>
      </x:c>
      <x:c r="I89" s="14" t="n">
        <x:v>1010</x:v>
      </x:c>
      <x:c r="J89" s="14" t="str">
        <x:v>原表默认发车点</x:v>
      </x:c>
      <x:c r="K89" s="14" t="str">
        <x:v>否</x:v>
      </x:c>
      <x:c r="L89" s="14" t="str">
        <x:v>未提供</x:v>
      </x:c>
      <x:c r="M89" s="14" t="str">
        <x:v>未提供</x:v>
      </x:c>
      <x:c r="N89" s="14" t="str">
        <x:v>已识读</x:v>
      </x:c>
      <x:c r="O89" s="14"/>
      <x:c r="P89" s="14" t="str">
        <x:v>图片2</x:v>
      </x:c>
    </x:row>
    <x:row r="90">
      <x:c r="A90" s="14" t="str">
        <x:v>S0089</x:v>
      </x:c>
      <x:c r="B90" s="14" t="str">
        <x:v>工作日</x:v>
      </x:c>
      <x:c r="C90" s="14" t="str">
        <x:v>环线2路</x:v>
      </x:c>
      <x:c r="D90" s="14" t="str">
        <x:v>国防科大环线2路、3路发车时刻表（工作日）</x:v>
      </x:c>
      <x:c r="E90" s="14" t="str">
        <x:v>第一班</x:v>
      </x:c>
      <x:c r="F90" s="14" t="n">
        <x:v>19</x:v>
      </x:c>
      <x:c r="G90" s="14" t="str">
        <x:v>17:10</x:v>
      </x:c>
      <x:c r="H90" s="14" t="str">
        <x:v>17:10</x:v>
      </x:c>
      <x:c r="I90" s="14" t="n">
        <x:v>1030</x:v>
      </x:c>
      <x:c r="J90" s="14" t="str">
        <x:v>原表默认发车点</x:v>
      </x:c>
      <x:c r="K90" s="14" t="str">
        <x:v>否</x:v>
      </x:c>
      <x:c r="L90" s="14" t="str">
        <x:v>未提供</x:v>
      </x:c>
      <x:c r="M90" s="14" t="str">
        <x:v>未提供</x:v>
      </x:c>
      <x:c r="N90" s="14" t="str">
        <x:v>推测待确认</x:v>
      </x:c>
      <x:c r="O90" s="14" t="str">
        <x:v>根据用户判断，按发车间隔暂推测，待后续确认</x:v>
      </x:c>
      <x:c r="P90" s="14" t="str">
        <x:v>图片2</x:v>
      </x:c>
    </x:row>
    <x:row r="91">
      <x:c r="A91" s="14" t="str">
        <x:v>S0090</x:v>
      </x:c>
      <x:c r="B91" s="14" t="str">
        <x:v>工作日</x:v>
      </x:c>
      <x:c r="C91" s="14" t="str">
        <x:v>环线2路</x:v>
      </x:c>
      <x:c r="D91" s="14" t="str">
        <x:v>国防科大环线2路、3路发车时刻表（工作日）</x:v>
      </x:c>
      <x:c r="E91" s="14" t="str">
        <x:v>第二班</x:v>
      </x:c>
      <x:c r="F91" s="14" t="n">
        <x:v>1</x:v>
      </x:c>
      <x:c r="G91" s="14" t="str">
        <x:v>14:25</x:v>
      </x:c>
      <x:c r="H91" s="14" t="str">
        <x:v>14:25</x:v>
      </x:c>
      <x:c r="I91" s="14" t="n">
        <x:v>865</x:v>
      </x:c>
      <x:c r="J91" s="14" t="str">
        <x:v>原表默认发车点</x:v>
      </x:c>
      <x:c r="K91" s="14" t="str">
        <x:v>否</x:v>
      </x:c>
      <x:c r="L91" s="14" t="str">
        <x:v>未提供</x:v>
      </x:c>
      <x:c r="M91" s="14" t="str">
        <x:v>未提供</x:v>
      </x:c>
      <x:c r="N91" s="14" t="str">
        <x:v>已识读</x:v>
      </x:c>
      <x:c r="O91" s="14"/>
      <x:c r="P91" s="14" t="str">
        <x:v>图片2</x:v>
      </x:c>
    </x:row>
    <x:row r="92">
      <x:c r="A92" s="14" t="str">
        <x:v>S0091</x:v>
      </x:c>
      <x:c r="B92" s="14" t="str">
        <x:v>工作日</x:v>
      </x:c>
      <x:c r="C92" s="14" t="str">
        <x:v>环线2路</x:v>
      </x:c>
      <x:c r="D92" s="14" t="str">
        <x:v>国防科大环线2路、3路发车时刻表（工作日）</x:v>
      </x:c>
      <x:c r="E92" s="14" t="str">
        <x:v>第二班</x:v>
      </x:c>
      <x:c r="F92" s="14" t="n">
        <x:v>2</x:v>
      </x:c>
      <x:c r="G92" s="14" t="str">
        <x:v>14:40</x:v>
      </x:c>
      <x:c r="H92" s="14" t="str">
        <x:v>14:40</x:v>
      </x:c>
      <x:c r="I92" s="14" t="n">
        <x:v>880</x:v>
      </x:c>
      <x:c r="J92" s="14" t="str">
        <x:v>原表默认发车点</x:v>
      </x:c>
      <x:c r="K92" s="14" t="str">
        <x:v>否</x:v>
      </x:c>
      <x:c r="L92" s="14" t="str">
        <x:v>未提供</x:v>
      </x:c>
      <x:c r="M92" s="14" t="str">
        <x:v>未提供</x:v>
      </x:c>
      <x:c r="N92" s="14" t="str">
        <x:v>已识读</x:v>
      </x:c>
      <x:c r="O92" s="14"/>
      <x:c r="P92" s="14" t="str">
        <x:v>图片2</x:v>
      </x:c>
    </x:row>
    <x:row r="93">
      <x:c r="A93" s="14" t="str">
        <x:v>S0092</x:v>
      </x:c>
      <x:c r="B93" s="14" t="str">
        <x:v>工作日</x:v>
      </x:c>
      <x:c r="C93" s="14" t="str">
        <x:v>环线2路</x:v>
      </x:c>
      <x:c r="D93" s="14" t="str">
        <x:v>国防科大环线2路、3路发车时刻表（工作日）</x:v>
      </x:c>
      <x:c r="E93" s="14" t="str">
        <x:v>第二班</x:v>
      </x:c>
      <x:c r="F93" s="14" t="n">
        <x:v>3</x:v>
      </x:c>
      <x:c r="G93" s="14" t="str">
        <x:v>15:00</x:v>
      </x:c>
      <x:c r="H93" s="14" t="str">
        <x:v>15:00</x:v>
      </x:c>
      <x:c r="I93" s="14" t="n">
        <x:v>900</x:v>
      </x:c>
      <x:c r="J93" s="14" t="str">
        <x:v>原表默认发车点</x:v>
      </x:c>
      <x:c r="K93" s="14" t="str">
        <x:v>否</x:v>
      </x:c>
      <x:c r="L93" s="14" t="str">
        <x:v>未提供</x:v>
      </x:c>
      <x:c r="M93" s="14" t="str">
        <x:v>未提供</x:v>
      </x:c>
      <x:c r="N93" s="14" t="str">
        <x:v>已识读</x:v>
      </x:c>
      <x:c r="O93" s="14"/>
      <x:c r="P93" s="14" t="str">
        <x:v>图片2</x:v>
      </x:c>
    </x:row>
    <x:row r="94">
      <x:c r="A94" s="14" t="str">
        <x:v>S0093</x:v>
      </x:c>
      <x:c r="B94" s="14" t="str">
        <x:v>工作日</x:v>
      </x:c>
      <x:c r="C94" s="14" t="str">
        <x:v>环线2路</x:v>
      </x:c>
      <x:c r="D94" s="14" t="str">
        <x:v>国防科大环线2路、3路发车时刻表（工作日）</x:v>
      </x:c>
      <x:c r="E94" s="14" t="str">
        <x:v>第二班</x:v>
      </x:c>
      <x:c r="F94" s="14" t="n">
        <x:v>4</x:v>
      </x:c>
      <x:c r="G94" s="14" t="str">
        <x:v>15:20</x:v>
      </x:c>
      <x:c r="H94" s="14" t="str">
        <x:v>15:20</x:v>
      </x:c>
      <x:c r="I94" s="14" t="n">
        <x:v>920</x:v>
      </x:c>
      <x:c r="J94" s="14" t="str">
        <x:v>原表默认发车点</x:v>
      </x:c>
      <x:c r="K94" s="14" t="str">
        <x:v>否</x:v>
      </x:c>
      <x:c r="L94" s="14" t="str">
        <x:v>未提供</x:v>
      </x:c>
      <x:c r="M94" s="14" t="str">
        <x:v>未提供</x:v>
      </x:c>
      <x:c r="N94" s="14" t="str">
        <x:v>已识读</x:v>
      </x:c>
      <x:c r="O94" s="14"/>
      <x:c r="P94" s="14" t="str">
        <x:v>图片2</x:v>
      </x:c>
    </x:row>
    <x:row r="95">
      <x:c r="A95" s="14" t="str">
        <x:v>S0094</x:v>
      </x:c>
      <x:c r="B95" s="14" t="str">
        <x:v>工作日</x:v>
      </x:c>
      <x:c r="C95" s="14" t="str">
        <x:v>环线2路</x:v>
      </x:c>
      <x:c r="D95" s="14" t="str">
        <x:v>国防科大环线2路、3路发车时刻表（工作日）</x:v>
      </x:c>
      <x:c r="E95" s="14" t="str">
        <x:v>第二班</x:v>
      </x:c>
      <x:c r="F95" s="14" t="n">
        <x:v>5</x:v>
      </x:c>
      <x:c r="G95" s="14" t="str">
        <x:v>15:40</x:v>
      </x:c>
      <x:c r="H95" s="14" t="str">
        <x:v>15:40</x:v>
      </x:c>
      <x:c r="I95" s="14" t="n">
        <x:v>940</x:v>
      </x:c>
      <x:c r="J95" s="14" t="str">
        <x:v>原表默认发车点</x:v>
      </x:c>
      <x:c r="K95" s="14" t="str">
        <x:v>否</x:v>
      </x:c>
      <x:c r="L95" s="14" t="str">
        <x:v>未提供</x:v>
      </x:c>
      <x:c r="M95" s="14" t="str">
        <x:v>未提供</x:v>
      </x:c>
      <x:c r="N95" s="14" t="str">
        <x:v>已识读</x:v>
      </x:c>
      <x:c r="O95" s="14"/>
      <x:c r="P95" s="14" t="str">
        <x:v>图片2</x:v>
      </x:c>
    </x:row>
    <x:row r="96">
      <x:c r="A96" s="14" t="str">
        <x:v>S0095</x:v>
      </x:c>
      <x:c r="B96" s="14" t="str">
        <x:v>工作日</x:v>
      </x:c>
      <x:c r="C96" s="14" t="str">
        <x:v>环线2路</x:v>
      </x:c>
      <x:c r="D96" s="14" t="str">
        <x:v>国防科大环线2路、3路发车时刻表（工作日）</x:v>
      </x:c>
      <x:c r="E96" s="14" t="str">
        <x:v>第二班</x:v>
      </x:c>
      <x:c r="F96" s="14" t="n">
        <x:v>6</x:v>
      </x:c>
      <x:c r="G96" s="14" t="str">
        <x:v>16:00</x:v>
      </x:c>
      <x:c r="H96" s="14" t="str">
        <x:v>16:00</x:v>
      </x:c>
      <x:c r="I96" s="14" t="n">
        <x:v>960</x:v>
      </x:c>
      <x:c r="J96" s="14" t="str">
        <x:v>原表默认发车点</x:v>
      </x:c>
      <x:c r="K96" s="14" t="str">
        <x:v>否</x:v>
      </x:c>
      <x:c r="L96" s="14" t="str">
        <x:v>未提供</x:v>
      </x:c>
      <x:c r="M96" s="14" t="str">
        <x:v>未提供</x:v>
      </x:c>
      <x:c r="N96" s="14" t="str">
        <x:v>已识读</x:v>
      </x:c>
      <x:c r="O96" s="14"/>
      <x:c r="P96" s="14" t="str">
        <x:v>图片2</x:v>
      </x:c>
    </x:row>
    <x:row r="97">
      <x:c r="A97" s="14" t="str">
        <x:v>S0096</x:v>
      </x:c>
      <x:c r="B97" s="14" t="str">
        <x:v>工作日</x:v>
      </x:c>
      <x:c r="C97" s="14" t="str">
        <x:v>环线2路</x:v>
      </x:c>
      <x:c r="D97" s="14" t="str">
        <x:v>国防科大环线2路、3路发车时刻表（工作日）</x:v>
      </x:c>
      <x:c r="E97" s="14" t="str">
        <x:v>第二班</x:v>
      </x:c>
      <x:c r="F97" s="14" t="n">
        <x:v>7</x:v>
      </x:c>
      <x:c r="G97" s="14" t="str">
        <x:v>16:35</x:v>
      </x:c>
      <x:c r="H97" s="14" t="str">
        <x:v>16:35</x:v>
      </x:c>
      <x:c r="I97" s="14" t="n">
        <x:v>995</x:v>
      </x:c>
      <x:c r="J97" s="14" t="str">
        <x:v>原表默认发车点</x:v>
      </x:c>
      <x:c r="K97" s="14" t="str">
        <x:v>否</x:v>
      </x:c>
      <x:c r="L97" s="14" t="str">
        <x:v>未提供</x:v>
      </x:c>
      <x:c r="M97" s="14" t="str">
        <x:v>未提供</x:v>
      </x:c>
      <x:c r="N97" s="14" t="str">
        <x:v>已识读</x:v>
      </x:c>
      <x:c r="O97" s="14"/>
      <x:c r="P97" s="14" t="str">
        <x:v>图片2</x:v>
      </x:c>
    </x:row>
    <x:row r="98">
      <x:c r="A98" s="14" t="str">
        <x:v>S0097</x:v>
      </x:c>
      <x:c r="B98" s="14" t="str">
        <x:v>工作日</x:v>
      </x:c>
      <x:c r="C98" s="14" t="str">
        <x:v>环线2路</x:v>
      </x:c>
      <x:c r="D98" s="14" t="str">
        <x:v>国防科大环线2路、3路发车时刻表（工作日）</x:v>
      </x:c>
      <x:c r="E98" s="14" t="str">
        <x:v>第二班</x:v>
      </x:c>
      <x:c r="F98" s="14" t="n">
        <x:v>8</x:v>
      </x:c>
      <x:c r="G98" s="14" t="str">
        <x:v>17:05</x:v>
      </x:c>
      <x:c r="H98" s="14" t="str">
        <x:v>17:05</x:v>
      </x:c>
      <x:c r="I98" s="14" t="n">
        <x:v>1025</x:v>
      </x:c>
      <x:c r="J98" s="14" t="str">
        <x:v>原表默认发车点</x:v>
      </x:c>
      <x:c r="K98" s="14" t="str">
        <x:v>否</x:v>
      </x:c>
      <x:c r="L98" s="14" t="str">
        <x:v>未提供</x:v>
      </x:c>
      <x:c r="M98" s="14" t="str">
        <x:v>未提供</x:v>
      </x:c>
      <x:c r="N98" s="14" t="str">
        <x:v>已识读</x:v>
      </x:c>
      <x:c r="O98" s="14"/>
      <x:c r="P98" s="14" t="str">
        <x:v>图片2</x:v>
      </x:c>
    </x:row>
    <x:row r="99">
      <x:c r="A99" s="14" t="str">
        <x:v>S0098</x:v>
      </x:c>
      <x:c r="B99" s="14" t="str">
        <x:v>工作日</x:v>
      </x:c>
      <x:c r="C99" s="14" t="str">
        <x:v>环线2路</x:v>
      </x:c>
      <x:c r="D99" s="14" t="str">
        <x:v>国防科大环线2路、3路发车时刻表（工作日）</x:v>
      </x:c>
      <x:c r="E99" s="14" t="str">
        <x:v>第二班</x:v>
      </x:c>
      <x:c r="F99" s="14" t="n">
        <x:v>9</x:v>
      </x:c>
      <x:c r="G99" s="14" t="str">
        <x:v>17:35</x:v>
      </x:c>
      <x:c r="H99" s="14" t="str">
        <x:v>17:35</x:v>
      </x:c>
      <x:c r="I99" s="14" t="n">
        <x:v>1055</x:v>
      </x:c>
      <x:c r="J99" s="14" t="str">
        <x:v>原表默认发车点</x:v>
      </x:c>
      <x:c r="K99" s="14" t="str">
        <x:v>否</x:v>
      </x:c>
      <x:c r="L99" s="14" t="str">
        <x:v>未提供</x:v>
      </x:c>
      <x:c r="M99" s="14" t="str">
        <x:v>未提供</x:v>
      </x:c>
      <x:c r="N99" s="14" t="str">
        <x:v>已识读</x:v>
      </x:c>
      <x:c r="O99" s="14"/>
      <x:c r="P99" s="14" t="str">
        <x:v>图片2</x:v>
      </x:c>
    </x:row>
    <x:row r="100">
      <x:c r="A100" s="14" t="str">
        <x:v>S0099</x:v>
      </x:c>
      <x:c r="B100" s="14" t="str">
        <x:v>工作日</x:v>
      </x:c>
      <x:c r="C100" s="14" t="str">
        <x:v>环线2路</x:v>
      </x:c>
      <x:c r="D100" s="14" t="str">
        <x:v>国防科大环线2路、3路发车时刻表（工作日）</x:v>
      </x:c>
      <x:c r="E100" s="14" t="str">
        <x:v>第二班</x:v>
      </x:c>
      <x:c r="F100" s="14" t="n">
        <x:v>10</x:v>
      </x:c>
      <x:c r="G100" s="14" t="str">
        <x:v>18:10</x:v>
      </x:c>
      <x:c r="H100" s="14" t="str">
        <x:v>18:10</x:v>
      </x:c>
      <x:c r="I100" s="14" t="n">
        <x:v>1090</x:v>
      </x:c>
      <x:c r="J100" s="14" t="str">
        <x:v>原表默认发车点</x:v>
      </x:c>
      <x:c r="K100" s="14" t="str">
        <x:v>否</x:v>
      </x:c>
      <x:c r="L100" s="14" t="str">
        <x:v>未提供</x:v>
      </x:c>
      <x:c r="M100" s="14" t="str">
        <x:v>未提供</x:v>
      </x:c>
      <x:c r="N100" s="14" t="str">
        <x:v>已识读</x:v>
      </x:c>
      <x:c r="O100" s="14"/>
      <x:c r="P100" s="14" t="str">
        <x:v>图片2</x:v>
      </x:c>
    </x:row>
    <x:row r="101">
      <x:c r="A101" s="14" t="str">
        <x:v>S0100</x:v>
      </x:c>
      <x:c r="B101" s="14" t="str">
        <x:v>工作日</x:v>
      </x:c>
      <x:c r="C101" s="14" t="str">
        <x:v>环线2路</x:v>
      </x:c>
      <x:c r="D101" s="14" t="str">
        <x:v>国防科大环线2路、3路发车时刻表（工作日）</x:v>
      </x:c>
      <x:c r="E101" s="14" t="str">
        <x:v>第二班</x:v>
      </x:c>
      <x:c r="F101" s="14" t="n">
        <x:v>11</x:v>
      </x:c>
      <x:c r="G101" s="14" t="str">
        <x:v>18:25</x:v>
      </x:c>
      <x:c r="H101" s="14" t="str">
        <x:v>18:25</x:v>
      </x:c>
      <x:c r="I101" s="14" t="n">
        <x:v>1105</x:v>
      </x:c>
      <x:c r="J101" s="14" t="str">
        <x:v>原表默认发车点</x:v>
      </x:c>
      <x:c r="K101" s="14" t="str">
        <x:v>否</x:v>
      </x:c>
      <x:c r="L101" s="14" t="str">
        <x:v>未提供</x:v>
      </x:c>
      <x:c r="M101" s="14" t="str">
        <x:v>未提供</x:v>
      </x:c>
      <x:c r="N101" s="14" t="str">
        <x:v>已识读</x:v>
      </x:c>
      <x:c r="O101" s="14"/>
      <x:c r="P101" s="14" t="str">
        <x:v>图片2</x:v>
      </x:c>
    </x:row>
    <x:row r="102">
      <x:c r="A102" s="14" t="str">
        <x:v>S0101</x:v>
      </x:c>
      <x:c r="B102" s="14" t="str">
        <x:v>工作日</x:v>
      </x:c>
      <x:c r="C102" s="14" t="str">
        <x:v>环线2路</x:v>
      </x:c>
      <x:c r="D102" s="14" t="str">
        <x:v>国防科大环线2路、3路发车时刻表（工作日）</x:v>
      </x:c>
      <x:c r="E102" s="14" t="str">
        <x:v>第二班</x:v>
      </x:c>
      <x:c r="F102" s="14" t="n">
        <x:v>12</x:v>
      </x:c>
      <x:c r="G102" s="14" t="str">
        <x:v>18:45</x:v>
      </x:c>
      <x:c r="H102" s="14" t="str">
        <x:v>18:45</x:v>
      </x:c>
      <x:c r="I102" s="14" t="n">
        <x:v>1125</x:v>
      </x:c>
      <x:c r="J102" s="14" t="str">
        <x:v>原表默认发车点</x:v>
      </x:c>
      <x:c r="K102" s="14" t="str">
        <x:v>否</x:v>
      </x:c>
      <x:c r="L102" s="14" t="str">
        <x:v>未提供</x:v>
      </x:c>
      <x:c r="M102" s="14" t="str">
        <x:v>未提供</x:v>
      </x:c>
      <x:c r="N102" s="14" t="str">
        <x:v>已识读</x:v>
      </x:c>
      <x:c r="O102" s="14"/>
      <x:c r="P102" s="14" t="str">
        <x:v>图片2</x:v>
      </x:c>
    </x:row>
    <x:row r="103">
      <x:c r="A103" s="14" t="str">
        <x:v>S0102</x:v>
      </x:c>
      <x:c r="B103" s="14" t="str">
        <x:v>工作日</x:v>
      </x:c>
      <x:c r="C103" s="14" t="str">
        <x:v>环线2路</x:v>
      </x:c>
      <x:c r="D103" s="14" t="str">
        <x:v>国防科大环线2路、3路发车时刻表（工作日）</x:v>
      </x:c>
      <x:c r="E103" s="14" t="str">
        <x:v>第二班</x:v>
      </x:c>
      <x:c r="F103" s="14" t="n">
        <x:v>13</x:v>
      </x:c>
      <x:c r="G103" s="14" t="str">
        <x:v>19:15</x:v>
      </x:c>
      <x:c r="H103" s="14" t="str">
        <x:v>19:15</x:v>
      </x:c>
      <x:c r="I103" s="14" t="n">
        <x:v>1155</x:v>
      </x:c>
      <x:c r="J103" s="14" t="str">
        <x:v>原表默认发车点</x:v>
      </x:c>
      <x:c r="K103" s="14" t="str">
        <x:v>否</x:v>
      </x:c>
      <x:c r="L103" s="14" t="str">
        <x:v>未提供</x:v>
      </x:c>
      <x:c r="M103" s="14" t="str">
        <x:v>未提供</x:v>
      </x:c>
      <x:c r="N103" s="14" t="str">
        <x:v>已识读</x:v>
      </x:c>
      <x:c r="O103" s="14"/>
      <x:c r="P103" s="14" t="str">
        <x:v>图片2</x:v>
      </x:c>
    </x:row>
    <x:row r="104">
      <x:c r="A104" s="14" t="str">
        <x:v>S0103</x:v>
      </x:c>
      <x:c r="B104" s="14" t="str">
        <x:v>工作日</x:v>
      </x:c>
      <x:c r="C104" s="14" t="str">
        <x:v>环线2路</x:v>
      </x:c>
      <x:c r="D104" s="14" t="str">
        <x:v>国防科大环线2路、3路发车时刻表（工作日）</x:v>
      </x:c>
      <x:c r="E104" s="14" t="str">
        <x:v>第二班</x:v>
      </x:c>
      <x:c r="F104" s="14" t="n">
        <x:v>14</x:v>
      </x:c>
      <x:c r="G104" s="14" t="str">
        <x:v>19:30</x:v>
      </x:c>
      <x:c r="H104" s="14" t="str">
        <x:v>19:30</x:v>
      </x:c>
      <x:c r="I104" s="14" t="n">
        <x:v>1170</x:v>
      </x:c>
      <x:c r="J104" s="14" t="str">
        <x:v>原表默认发车点</x:v>
      </x:c>
      <x:c r="K104" s="14" t="str">
        <x:v>否</x:v>
      </x:c>
      <x:c r="L104" s="14" t="str">
        <x:v>未提供</x:v>
      </x:c>
      <x:c r="M104" s="14" t="str">
        <x:v>未提供</x:v>
      </x:c>
      <x:c r="N104" s="14" t="str">
        <x:v>已识读</x:v>
      </x:c>
      <x:c r="O104" s="14"/>
      <x:c r="P104" s="14" t="str">
        <x:v>图片2</x:v>
      </x:c>
    </x:row>
    <x:row r="105">
      <x:c r="A105" s="14" t="str">
        <x:v>S0104</x:v>
      </x:c>
      <x:c r="B105" s="14" t="str">
        <x:v>工作日</x:v>
      </x:c>
      <x:c r="C105" s="14" t="str">
        <x:v>环线2路</x:v>
      </x:c>
      <x:c r="D105" s="14" t="str">
        <x:v>国防科大环线2路、3路发车时刻表（工作日）</x:v>
      </x:c>
      <x:c r="E105" s="14" t="str">
        <x:v>第二班</x:v>
      </x:c>
      <x:c r="F105" s="14" t="n">
        <x:v>15</x:v>
      </x:c>
      <x:c r="G105" s="14" t="str">
        <x:v>19:50</x:v>
      </x:c>
      <x:c r="H105" s="14" t="str">
        <x:v>19:50</x:v>
      </x:c>
      <x:c r="I105" s="14" t="n">
        <x:v>1190</x:v>
      </x:c>
      <x:c r="J105" s="14" t="str">
        <x:v>原表默认发车点</x:v>
      </x:c>
      <x:c r="K105" s="14" t="str">
        <x:v>否</x:v>
      </x:c>
      <x:c r="L105" s="14" t="str">
        <x:v>未提供</x:v>
      </x:c>
      <x:c r="M105" s="14" t="str">
        <x:v>未提供</x:v>
      </x:c>
      <x:c r="N105" s="14" t="str">
        <x:v>已识读</x:v>
      </x:c>
      <x:c r="O105" s="14"/>
      <x:c r="P105" s="14" t="str">
        <x:v>图片2</x:v>
      </x:c>
    </x:row>
    <x:row r="106">
      <x:c r="A106" s="14" t="str">
        <x:v>S0105</x:v>
      </x:c>
      <x:c r="B106" s="14" t="str">
        <x:v>工作日</x:v>
      </x:c>
      <x:c r="C106" s="14" t="str">
        <x:v>环线2路</x:v>
      </x:c>
      <x:c r="D106" s="14" t="str">
        <x:v>国防科大环线2路、3路发车时刻表（工作日）</x:v>
      </x:c>
      <x:c r="E106" s="14" t="str">
        <x:v>第二班</x:v>
      </x:c>
      <x:c r="F106" s="14" t="n">
        <x:v>16</x:v>
      </x:c>
      <x:c r="G106" s="14" t="str">
        <x:v>20:10</x:v>
      </x:c>
      <x:c r="H106" s="14" t="str">
        <x:v>20:10</x:v>
      </x:c>
      <x:c r="I106" s="14" t="n">
        <x:v>1210</x:v>
      </x:c>
      <x:c r="J106" s="14" t="str">
        <x:v>原表默认发车点</x:v>
      </x:c>
      <x:c r="K106" s="14" t="str">
        <x:v>否</x:v>
      </x:c>
      <x:c r="L106" s="14" t="str">
        <x:v>未提供</x:v>
      </x:c>
      <x:c r="M106" s="14" t="str">
        <x:v>未提供</x:v>
      </x:c>
      <x:c r="N106" s="14" t="str">
        <x:v>已识读</x:v>
      </x:c>
      <x:c r="O106" s="14"/>
      <x:c r="P106" s="14" t="str">
        <x:v>图片2</x:v>
      </x:c>
    </x:row>
    <x:row r="107">
      <x:c r="A107" s="14" t="str">
        <x:v>S0106</x:v>
      </x:c>
      <x:c r="B107" s="14" t="str">
        <x:v>工作日</x:v>
      </x:c>
      <x:c r="C107" s="14" t="str">
        <x:v>环线2路</x:v>
      </x:c>
      <x:c r="D107" s="14" t="str">
        <x:v>国防科大环线2路、3路发车时刻表（工作日）</x:v>
      </x:c>
      <x:c r="E107" s="14" t="str">
        <x:v>第二班</x:v>
      </x:c>
      <x:c r="F107" s="14" t="n">
        <x:v>17</x:v>
      </x:c>
      <x:c r="G107" s="14" t="str">
        <x:v>20:40</x:v>
      </x:c>
      <x:c r="H107" s="14" t="str">
        <x:v>20:40</x:v>
      </x:c>
      <x:c r="I107" s="14" t="n">
        <x:v>1240</x:v>
      </x:c>
      <x:c r="J107" s="14" t="str">
        <x:v>原表默认发车点</x:v>
      </x:c>
      <x:c r="K107" s="14" t="str">
        <x:v>否</x:v>
      </x:c>
      <x:c r="L107" s="14" t="str">
        <x:v>未提供</x:v>
      </x:c>
      <x:c r="M107" s="14" t="str">
        <x:v>未提供</x:v>
      </x:c>
      <x:c r="N107" s="14" t="str">
        <x:v>已识读</x:v>
      </x:c>
      <x:c r="O107" s="14"/>
      <x:c r="P107" s="14" t="str">
        <x:v>图片2</x:v>
      </x:c>
    </x:row>
    <x:row r="108">
      <x:c r="A108" s="14" t="str">
        <x:v>S0107</x:v>
      </x:c>
      <x:c r="B108" s="14" t="str">
        <x:v>工作日</x:v>
      </x:c>
      <x:c r="C108" s="14" t="str">
        <x:v>环线2路</x:v>
      </x:c>
      <x:c r="D108" s="14" t="str">
        <x:v>国防科大环线2路、3路发车时刻表（工作日）</x:v>
      </x:c>
      <x:c r="E108" s="14" t="str">
        <x:v>第二班</x:v>
      </x:c>
      <x:c r="F108" s="14" t="n">
        <x:v>18</x:v>
      </x:c>
      <x:c r="G108" s="14" t="str">
        <x:v>21:05</x:v>
      </x:c>
      <x:c r="H108" s="14" t="str">
        <x:v>21:05</x:v>
      </x:c>
      <x:c r="I108" s="14" t="n">
        <x:v>1265</x:v>
      </x:c>
      <x:c r="J108" s="14" t="str">
        <x:v>原表默认发车点</x:v>
      </x:c>
      <x:c r="K108" s="14" t="str">
        <x:v>否</x:v>
      </x:c>
      <x:c r="L108" s="14" t="str">
        <x:v>未提供</x:v>
      </x:c>
      <x:c r="M108" s="14" t="str">
        <x:v>未提供</x:v>
      </x:c>
      <x:c r="N108" s="14" t="str">
        <x:v>已识读</x:v>
      </x:c>
      <x:c r="O108" s="14"/>
      <x:c r="P108" s="14" t="str">
        <x:v>图片2</x:v>
      </x:c>
    </x:row>
    <x:row r="109">
      <x:c r="A109" s="14" t="str">
        <x:v>S0108</x:v>
      </x:c>
      <x:c r="B109" s="14" t="str">
        <x:v>工作日</x:v>
      </x:c>
      <x:c r="C109" s="14" t="str">
        <x:v>环线2路</x:v>
      </x:c>
      <x:c r="D109" s="14" t="str">
        <x:v>国防科大环线2路、3路发车时刻表（工作日）</x:v>
      </x:c>
      <x:c r="E109" s="14" t="str">
        <x:v>第二班</x:v>
      </x:c>
      <x:c r="F109" s="14" t="n">
        <x:v>19</x:v>
      </x:c>
      <x:c r="G109" s="14" t="str">
        <x:v>21:30</x:v>
      </x:c>
      <x:c r="H109" s="14" t="str">
        <x:v>21:30</x:v>
      </x:c>
      <x:c r="I109" s="14" t="n">
        <x:v>1290</x:v>
      </x:c>
      <x:c r="J109" s="14" t="str">
        <x:v>原表默认发车点</x:v>
      </x:c>
      <x:c r="K109" s="14" t="str">
        <x:v>否</x:v>
      </x:c>
      <x:c r="L109" s="14" t="str">
        <x:v>未提供</x:v>
      </x:c>
      <x:c r="M109" s="14" t="str">
        <x:v>未提供</x:v>
      </x:c>
      <x:c r="N109" s="14" t="str">
        <x:v>推测待确认</x:v>
      </x:c>
      <x:c r="O109" s="14" t="str">
        <x:v>根据用户判断，按发车间隔暂推测，待后续确认</x:v>
      </x:c>
      <x:c r="P109" s="14" t="str">
        <x:v>图片2</x:v>
      </x:c>
    </x:row>
    <x:row r="110">
      <x:c r="A110" s="14" t="str">
        <x:v>S0109</x:v>
      </x:c>
      <x:c r="B110" s="14" t="str">
        <x:v>工作日</x:v>
      </x:c>
      <x:c r="C110" s="14" t="str">
        <x:v>环线3路</x:v>
      </x:c>
      <x:c r="D110" s="14" t="str">
        <x:v>国防科大环线2路、3路发车时刻表（工作日）</x:v>
      </x:c>
      <x:c r="E110" s="14" t="str">
        <x:v>第一班</x:v>
      </x:c>
      <x:c r="F110" s="14" t="n">
        <x:v>1</x:v>
      </x:c>
      <x:c r="G110" s="14" t="str">
        <x:v>7:35</x:v>
      </x:c>
      <x:c r="H110" s="14" t="str">
        <x:v>07:35</x:v>
      </x:c>
      <x:c r="I110" s="14" t="n">
        <x:v>455</x:v>
      </x:c>
      <x:c r="J110" s="14" t="str">
        <x:v>原表默认发车点</x:v>
      </x:c>
      <x:c r="K110" s="14" t="str">
        <x:v>否</x:v>
      </x:c>
      <x:c r="L110" s="14" t="str">
        <x:v>刘虎</x:v>
      </x:c>
      <x:c r="M110" s="14" t="str">
        <x:v>3号车</x:v>
      </x:c>
      <x:c r="N110" s="14" t="str">
        <x:v>已识读</x:v>
      </x:c>
      <x:c r="O110" s="14"/>
      <x:c r="P110" s="14" t="str">
        <x:v>图片2</x:v>
      </x:c>
    </x:row>
    <x:row r="111">
      <x:c r="A111" s="14" t="str">
        <x:v>S0110</x:v>
      </x:c>
      <x:c r="B111" s="14" t="str">
        <x:v>工作日</x:v>
      </x:c>
      <x:c r="C111" s="14" t="str">
        <x:v>环线3路</x:v>
      </x:c>
      <x:c r="D111" s="14" t="str">
        <x:v>国防科大环线2路、3路发车时刻表（工作日）</x:v>
      </x:c>
      <x:c r="E111" s="14" t="str">
        <x:v>第一班</x:v>
      </x:c>
      <x:c r="F111" s="14" t="n">
        <x:v>2</x:v>
      </x:c>
      <x:c r="G111" s="14" t="str">
        <x:v>8:05</x:v>
      </x:c>
      <x:c r="H111" s="14" t="str">
        <x:v>08:05</x:v>
      </x:c>
      <x:c r="I111" s="14" t="n">
        <x:v>485</x:v>
      </x:c>
      <x:c r="J111" s="14" t="str">
        <x:v>原表默认发车点</x:v>
      </x:c>
      <x:c r="K111" s="14" t="str">
        <x:v>否</x:v>
      </x:c>
      <x:c r="L111" s="14" t="str">
        <x:v>刘虎</x:v>
      </x:c>
      <x:c r="M111" s="14" t="str">
        <x:v>3号车</x:v>
      </x:c>
      <x:c r="N111" s="14" t="str">
        <x:v>已识读</x:v>
      </x:c>
      <x:c r="O111" s="14"/>
      <x:c r="P111" s="14" t="str">
        <x:v>图片2</x:v>
      </x:c>
    </x:row>
    <x:row r="112">
      <x:c r="A112" s="14" t="str">
        <x:v>S0111</x:v>
      </x:c>
      <x:c r="B112" s="14" t="str">
        <x:v>工作日</x:v>
      </x:c>
      <x:c r="C112" s="14" t="str">
        <x:v>环线3路</x:v>
      </x:c>
      <x:c r="D112" s="14" t="str">
        <x:v>国防科大环线2路、3路发车时刻表（工作日）</x:v>
      </x:c>
      <x:c r="E112" s="14" t="str">
        <x:v>第一班</x:v>
      </x:c>
      <x:c r="F112" s="14" t="n">
        <x:v>3</x:v>
      </x:c>
      <x:c r="G112" s="14" t="str">
        <x:v>8:35</x:v>
      </x:c>
      <x:c r="H112" s="14" t="str">
        <x:v>08:35</x:v>
      </x:c>
      <x:c r="I112" s="14" t="n">
        <x:v>515</x:v>
      </x:c>
      <x:c r="J112" s="14" t="str">
        <x:v>原表默认发车点</x:v>
      </x:c>
      <x:c r="K112" s="14" t="str">
        <x:v>否</x:v>
      </x:c>
      <x:c r="L112" s="14" t="str">
        <x:v>刘虎</x:v>
      </x:c>
      <x:c r="M112" s="14" t="str">
        <x:v>3号车</x:v>
      </x:c>
      <x:c r="N112" s="14" t="str">
        <x:v>已识读</x:v>
      </x:c>
      <x:c r="O112" s="14"/>
      <x:c r="P112" s="14" t="str">
        <x:v>图片2</x:v>
      </x:c>
    </x:row>
    <x:row r="113">
      <x:c r="A113" s="14" t="str">
        <x:v>S0112</x:v>
      </x:c>
      <x:c r="B113" s="14" t="str">
        <x:v>工作日</x:v>
      </x:c>
      <x:c r="C113" s="14" t="str">
        <x:v>环线3路</x:v>
      </x:c>
      <x:c r="D113" s="14" t="str">
        <x:v>国防科大环线2路、3路发车时刻表（工作日）</x:v>
      </x:c>
      <x:c r="E113" s="14" t="str">
        <x:v>第一班</x:v>
      </x:c>
      <x:c r="F113" s="14" t="n">
        <x:v>4</x:v>
      </x:c>
      <x:c r="G113" s="14" t="str">
        <x:v>9:05</x:v>
      </x:c>
      <x:c r="H113" s="14" t="str">
        <x:v>09:05</x:v>
      </x:c>
      <x:c r="I113" s="14" t="n">
        <x:v>545</x:v>
      </x:c>
      <x:c r="J113" s="14" t="str">
        <x:v>原表默认发车点</x:v>
      </x:c>
      <x:c r="K113" s="14" t="str">
        <x:v>否</x:v>
      </x:c>
      <x:c r="L113" s="14" t="str">
        <x:v>刘虎</x:v>
      </x:c>
      <x:c r="M113" s="14" t="str">
        <x:v>3号车</x:v>
      </x:c>
      <x:c r="N113" s="14" t="str">
        <x:v>已识读</x:v>
      </x:c>
      <x:c r="O113" s="14"/>
      <x:c r="P113" s="14" t="str">
        <x:v>图片2</x:v>
      </x:c>
    </x:row>
    <x:row r="114">
      <x:c r="A114" s="14" t="str">
        <x:v>S0113</x:v>
      </x:c>
      <x:c r="B114" s="14" t="str">
        <x:v>工作日</x:v>
      </x:c>
      <x:c r="C114" s="14" t="str">
        <x:v>环线3路</x:v>
      </x:c>
      <x:c r="D114" s="14" t="str">
        <x:v>国防科大环线2路、3路发车时刻表（工作日）</x:v>
      </x:c>
      <x:c r="E114" s="14" t="str">
        <x:v>第一班</x:v>
      </x:c>
      <x:c r="F114" s="14" t="n">
        <x:v>5</x:v>
      </x:c>
      <x:c r="G114" s="14" t="str">
        <x:v>10:50</x:v>
      </x:c>
      <x:c r="H114" s="14" t="str">
        <x:v>10:50</x:v>
      </x:c>
      <x:c r="I114" s="14" t="n">
        <x:v>650</x:v>
      </x:c>
      <x:c r="J114" s="14" t="str">
        <x:v>高超楼（系统工程学院旁）</x:v>
      </x:c>
      <x:c r="K114" s="14" t="str">
        <x:v>是</x:v>
      </x:c>
      <x:c r="L114" s="14" t="str">
        <x:v>刘虎</x:v>
      </x:c>
      <x:c r="M114" s="14" t="str">
        <x:v>3号车</x:v>
      </x:c>
      <x:c r="N114" s="14" t="str">
        <x:v>已识读</x:v>
      </x:c>
      <x:c r="O114" s="14" t="str">
        <x:v>原图红色字体/打勾；按用户说明，系统工程学院发车折算为高超楼站点发车</x:v>
      </x:c>
      <x:c r="P114" s="14" t="str">
        <x:v>图片2</x:v>
      </x:c>
    </x:row>
    <x:row r="115">
      <x:c r="A115" s="14" t="str">
        <x:v>S0114</x:v>
      </x:c>
      <x:c r="B115" s="14" t="str">
        <x:v>工作日</x:v>
      </x:c>
      <x:c r="C115" s="14" t="str">
        <x:v>环线3路</x:v>
      </x:c>
      <x:c r="D115" s="14" t="str">
        <x:v>国防科大环线2路、3路发车时刻表（工作日）</x:v>
      </x:c>
      <x:c r="E115" s="14" t="str">
        <x:v>第一班</x:v>
      </x:c>
      <x:c r="F115" s="14" t="n">
        <x:v>6</x:v>
      </x:c>
      <x:c r="G115" s="14" t="str">
        <x:v>11:20</x:v>
      </x:c>
      <x:c r="H115" s="14" t="str">
        <x:v>11:20</x:v>
      </x:c>
      <x:c r="I115" s="14" t="n">
        <x:v>680</x:v>
      </x:c>
      <x:c r="J115" s="14" t="str">
        <x:v>原表默认发车点</x:v>
      </x:c>
      <x:c r="K115" s="14" t="str">
        <x:v>否</x:v>
      </x:c>
      <x:c r="L115" s="14" t="str">
        <x:v>刘虎</x:v>
      </x:c>
      <x:c r="M115" s="14" t="str">
        <x:v>3号车</x:v>
      </x:c>
      <x:c r="N115" s="14" t="str">
        <x:v>已识读</x:v>
      </x:c>
      <x:c r="O115" s="14"/>
      <x:c r="P115" s="14" t="str">
        <x:v>图片2</x:v>
      </x:c>
    </x:row>
    <x:row r="116">
      <x:c r="A116" s="14" t="str">
        <x:v>S0115</x:v>
      </x:c>
      <x:c r="B116" s="14" t="str">
        <x:v>工作日</x:v>
      </x:c>
      <x:c r="C116" s="14" t="str">
        <x:v>环线3路</x:v>
      </x:c>
      <x:c r="D116" s="14" t="str">
        <x:v>国防科大环线2路、3路发车时刻表（工作日）</x:v>
      </x:c>
      <x:c r="E116" s="14" t="str">
        <x:v>第一班</x:v>
      </x:c>
      <x:c r="F116" s="14" t="n">
        <x:v>7</x:v>
      </x:c>
      <x:c r="G116" s="14" t="str">
        <x:v>12:05</x:v>
      </x:c>
      <x:c r="H116" s="14" t="str">
        <x:v>12:05</x:v>
      </x:c>
      <x:c r="I116" s="14" t="n">
        <x:v>725</x:v>
      </x:c>
      <x:c r="J116" s="14" t="str">
        <x:v>原表默认发车点</x:v>
      </x:c>
      <x:c r="K116" s="14" t="str">
        <x:v>否</x:v>
      </x:c>
      <x:c r="L116" s="14" t="str">
        <x:v>刘虎</x:v>
      </x:c>
      <x:c r="M116" s="14" t="str">
        <x:v>3号车</x:v>
      </x:c>
      <x:c r="N116" s="14" t="str">
        <x:v>已识读</x:v>
      </x:c>
      <x:c r="O116" s="14"/>
      <x:c r="P116" s="14" t="str">
        <x:v>图片2</x:v>
      </x:c>
    </x:row>
    <x:row r="117">
      <x:c r="A117" s="14" t="str">
        <x:v>S0116</x:v>
      </x:c>
      <x:c r="B117" s="14" t="str">
        <x:v>工作日</x:v>
      </x:c>
      <x:c r="C117" s="14" t="str">
        <x:v>环线3路</x:v>
      </x:c>
      <x:c r="D117" s="14" t="str">
        <x:v>国防科大环线2路、3路发车时刻表（工作日）</x:v>
      </x:c>
      <x:c r="E117" s="14" t="str">
        <x:v>第一班</x:v>
      </x:c>
      <x:c r="F117" s="14" t="n">
        <x:v>8</x:v>
      </x:c>
      <x:c r="G117" s="14" t="str">
        <x:v>14:10</x:v>
      </x:c>
      <x:c r="H117" s="14" t="str">
        <x:v>14:10</x:v>
      </x:c>
      <x:c r="I117" s="14" t="n">
        <x:v>850</x:v>
      </x:c>
      <x:c r="J117" s="14" t="str">
        <x:v>原表默认发车点</x:v>
      </x:c>
      <x:c r="K117" s="14" t="str">
        <x:v>否</x:v>
      </x:c>
      <x:c r="L117" s="14" t="str">
        <x:v>刘虎</x:v>
      </x:c>
      <x:c r="M117" s="14" t="str">
        <x:v>3号车</x:v>
      </x:c>
      <x:c r="N117" s="14" t="str">
        <x:v>已识读</x:v>
      </x:c>
      <x:c r="O117" s="14"/>
      <x:c r="P117" s="14" t="str">
        <x:v>图片2</x:v>
      </x:c>
    </x:row>
    <x:row r="118">
      <x:c r="A118" s="14" t="str">
        <x:v>S0117</x:v>
      </x:c>
      <x:c r="B118" s="14" t="str">
        <x:v>工作日</x:v>
      </x:c>
      <x:c r="C118" s="14" t="str">
        <x:v>环线3路</x:v>
      </x:c>
      <x:c r="D118" s="14" t="str">
        <x:v>国防科大环线2路、3路发车时刻表（工作日）</x:v>
      </x:c>
      <x:c r="E118" s="14" t="str">
        <x:v>第一班</x:v>
      </x:c>
      <x:c r="F118" s="14" t="n">
        <x:v>9</x:v>
      </x:c>
      <x:c r="G118" s="14" t="str">
        <x:v>14:40</x:v>
      </x:c>
      <x:c r="H118" s="14" t="str">
        <x:v>14:40</x:v>
      </x:c>
      <x:c r="I118" s="14" t="n">
        <x:v>880</x:v>
      </x:c>
      <x:c r="J118" s="14" t="str">
        <x:v>原表默认发车点</x:v>
      </x:c>
      <x:c r="K118" s="14" t="str">
        <x:v>否</x:v>
      </x:c>
      <x:c r="L118" s="14" t="str">
        <x:v>刘虎</x:v>
      </x:c>
      <x:c r="M118" s="14" t="str">
        <x:v>3号车</x:v>
      </x:c>
      <x:c r="N118" s="14" t="str">
        <x:v>已识读</x:v>
      </x:c>
      <x:c r="O118" s="14"/>
      <x:c r="P118" s="14" t="str">
        <x:v>图片2</x:v>
      </x:c>
    </x:row>
    <x:row r="119">
      <x:c r="A119" s="14" t="str">
        <x:v>S0118</x:v>
      </x:c>
      <x:c r="B119" s="14" t="str">
        <x:v>工作日</x:v>
      </x:c>
      <x:c r="C119" s="14" t="str">
        <x:v>环线3路</x:v>
      </x:c>
      <x:c r="D119" s="14" t="str">
        <x:v>国防科大环线2路、3路发车时刻表（工作日）</x:v>
      </x:c>
      <x:c r="E119" s="14" t="str">
        <x:v>第一班</x:v>
      </x:c>
      <x:c r="F119" s="14" t="n">
        <x:v>10</x:v>
      </x:c>
      <x:c r="G119" s="14" t="str">
        <x:v>15:10</x:v>
      </x:c>
      <x:c r="H119" s="14" t="str">
        <x:v>15:10</x:v>
      </x:c>
      <x:c r="I119" s="14" t="n">
        <x:v>910</x:v>
      </x:c>
      <x:c r="J119" s="14" t="str">
        <x:v>原表默认发车点</x:v>
      </x:c>
      <x:c r="K119" s="14" t="str">
        <x:v>否</x:v>
      </x:c>
      <x:c r="L119" s="14" t="str">
        <x:v>刘虎</x:v>
      </x:c>
      <x:c r="M119" s="14" t="str">
        <x:v>3号车</x:v>
      </x:c>
      <x:c r="N119" s="14" t="str">
        <x:v>已识读</x:v>
      </x:c>
      <x:c r="O119" s="14"/>
      <x:c r="P119" s="14" t="str">
        <x:v>图片2</x:v>
      </x:c>
    </x:row>
    <x:row r="120">
      <x:c r="A120" s="14" t="str">
        <x:v>S0119</x:v>
      </x:c>
      <x:c r="B120" s="14" t="str">
        <x:v>工作日</x:v>
      </x:c>
      <x:c r="C120" s="14" t="str">
        <x:v>环线3路</x:v>
      </x:c>
      <x:c r="D120" s="14" t="str">
        <x:v>国防科大环线2路、3路发车时刻表（工作日）</x:v>
      </x:c>
      <x:c r="E120" s="14" t="str">
        <x:v>第一班</x:v>
      </x:c>
      <x:c r="F120" s="14" t="n">
        <x:v>11</x:v>
      </x:c>
      <x:c r="G120" s="14" t="str">
        <x:v>16:00</x:v>
      </x:c>
      <x:c r="H120" s="14" t="str">
        <x:v>16:00</x:v>
      </x:c>
      <x:c r="I120" s="14" t="n">
        <x:v>960</x:v>
      </x:c>
      <x:c r="J120" s="14" t="str">
        <x:v>原表默认发车点</x:v>
      </x:c>
      <x:c r="K120" s="14" t="str">
        <x:v>否</x:v>
      </x:c>
      <x:c r="L120" s="14" t="str">
        <x:v>刘虎</x:v>
      </x:c>
      <x:c r="M120" s="14" t="str">
        <x:v>3号车</x:v>
      </x:c>
      <x:c r="N120" s="14" t="str">
        <x:v>已识读</x:v>
      </x:c>
      <x:c r="O120" s="14"/>
      <x:c r="P120" s="14" t="str">
        <x:v>图片2</x:v>
      </x:c>
    </x:row>
    <x:row r="121">
      <x:c r="A121" s="14" t="str">
        <x:v>S0120</x:v>
      </x:c>
      <x:c r="B121" s="14" t="str">
        <x:v>工作日</x:v>
      </x:c>
      <x:c r="C121" s="14" t="str">
        <x:v>环线3路</x:v>
      </x:c>
      <x:c r="D121" s="14" t="str">
        <x:v>国防科大环线2路、3路发车时刻表（工作日）</x:v>
      </x:c>
      <x:c r="E121" s="14" t="str">
        <x:v>第一班</x:v>
      </x:c>
      <x:c r="F121" s="14" t="n">
        <x:v>12</x:v>
      </x:c>
      <x:c r="G121" s="14" t="str">
        <x:v>16:35</x:v>
      </x:c>
      <x:c r="H121" s="14" t="str">
        <x:v>16:35</x:v>
      </x:c>
      <x:c r="I121" s="14" t="n">
        <x:v>995</x:v>
      </x:c>
      <x:c r="J121" s="14" t="str">
        <x:v>原表默认发车点</x:v>
      </x:c>
      <x:c r="K121" s="14" t="str">
        <x:v>否</x:v>
      </x:c>
      <x:c r="L121" s="14" t="str">
        <x:v>刘虎</x:v>
      </x:c>
      <x:c r="M121" s="14" t="str">
        <x:v>3号车</x:v>
      </x:c>
      <x:c r="N121" s="14" t="str">
        <x:v>已识读</x:v>
      </x:c>
      <x:c r="O121" s="14"/>
      <x:c r="P121" s="14" t="str">
        <x:v>图片2</x:v>
      </x:c>
    </x:row>
    <x:row r="122">
      <x:c r="A122" s="14" t="str">
        <x:v>S0121</x:v>
      </x:c>
      <x:c r="B122" s="14" t="str">
        <x:v>工作日</x:v>
      </x:c>
      <x:c r="C122" s="14" t="str">
        <x:v>环线3路</x:v>
      </x:c>
      <x:c r="D122" s="14" t="str">
        <x:v>国防科大环线2路、3路发车时刻表（工作日）</x:v>
      </x:c>
      <x:c r="E122" s="14" t="str">
        <x:v>第一班</x:v>
      </x:c>
      <x:c r="F122" s="14" t="n">
        <x:v>13</x:v>
      </x:c>
      <x:c r="G122" s="14" t="str">
        <x:v>17:00</x:v>
      </x:c>
      <x:c r="H122" s="14" t="str">
        <x:v>17:00</x:v>
      </x:c>
      <x:c r="I122" s="14" t="n">
        <x:v>1020</x:v>
      </x:c>
      <x:c r="J122" s="14" t="str">
        <x:v>原表默认发车点</x:v>
      </x:c>
      <x:c r="K122" s="14" t="str">
        <x:v>否</x:v>
      </x:c>
      <x:c r="L122" s="14" t="str">
        <x:v>刘虎</x:v>
      </x:c>
      <x:c r="M122" s="14" t="str">
        <x:v>3号车</x:v>
      </x:c>
      <x:c r="N122" s="14" t="str">
        <x:v>已识读</x:v>
      </x:c>
      <x:c r="O122" s="14"/>
      <x:c r="P122" s="14" t="str">
        <x:v>图片2</x:v>
      </x:c>
    </x:row>
    <x:row r="123">
      <x:c r="A123" s="14" t="str">
        <x:v>S0122</x:v>
      </x:c>
      <x:c r="B123" s="14" t="str">
        <x:v>工作日</x:v>
      </x:c>
      <x:c r="C123" s="14" t="str">
        <x:v>环线3路</x:v>
      </x:c>
      <x:c r="D123" s="14" t="str">
        <x:v>国防科大环线2路、3路发车时刻表（工作日）</x:v>
      </x:c>
      <x:c r="E123" s="14" t="str">
        <x:v>第三班</x:v>
      </x:c>
      <x:c r="F123" s="14" t="n">
        <x:v>1</x:v>
      </x:c>
      <x:c r="G123" s="14" t="str">
        <x:v>7:55</x:v>
      </x:c>
      <x:c r="H123" s="14" t="str">
        <x:v>07:55</x:v>
      </x:c>
      <x:c r="I123" s="14" t="n">
        <x:v>475</x:v>
      </x:c>
      <x:c r="J123" s="14" t="str">
        <x:v>原表默认发车点</x:v>
      </x:c>
      <x:c r="K123" s="14" t="str">
        <x:v>否</x:v>
      </x:c>
      <x:c r="L123" s="14" t="str">
        <x:v>刘晓燕</x:v>
      </x:c>
      <x:c r="M123" s="14" t="str">
        <x:v>4号车</x:v>
      </x:c>
      <x:c r="N123" s="14" t="str">
        <x:v>已识读</x:v>
      </x:c>
      <x:c r="O123" s="14"/>
      <x:c r="P123" s="14" t="str">
        <x:v>图片2</x:v>
      </x:c>
    </x:row>
    <x:row r="124">
      <x:c r="A124" s="14" t="str">
        <x:v>S0123</x:v>
      </x:c>
      <x:c r="B124" s="14" t="str">
        <x:v>工作日</x:v>
      </x:c>
      <x:c r="C124" s="14" t="str">
        <x:v>环线3路</x:v>
      </x:c>
      <x:c r="D124" s="14" t="str">
        <x:v>国防科大环线2路、3路发车时刻表（工作日）</x:v>
      </x:c>
      <x:c r="E124" s="14" t="str">
        <x:v>第三班</x:v>
      </x:c>
      <x:c r="F124" s="14" t="n">
        <x:v>2</x:v>
      </x:c>
      <x:c r="G124" s="14" t="str">
        <x:v>8:25</x:v>
      </x:c>
      <x:c r="H124" s="14" t="str">
        <x:v>08:25</x:v>
      </x:c>
      <x:c r="I124" s="14" t="n">
        <x:v>505</x:v>
      </x:c>
      <x:c r="J124" s="14" t="str">
        <x:v>原表默认发车点</x:v>
      </x:c>
      <x:c r="K124" s="14" t="str">
        <x:v>否</x:v>
      </x:c>
      <x:c r="L124" s="14" t="str">
        <x:v>刘晓燕</x:v>
      </x:c>
      <x:c r="M124" s="14" t="str">
        <x:v>4号车</x:v>
      </x:c>
      <x:c r="N124" s="14" t="str">
        <x:v>已识读</x:v>
      </x:c>
      <x:c r="O124" s="14"/>
      <x:c r="P124" s="14" t="str">
        <x:v>图片2</x:v>
      </x:c>
    </x:row>
    <x:row r="125">
      <x:c r="A125" s="14" t="str">
        <x:v>S0124</x:v>
      </x:c>
      <x:c r="B125" s="14" t="str">
        <x:v>工作日</x:v>
      </x:c>
      <x:c r="C125" s="14" t="str">
        <x:v>环线3路</x:v>
      </x:c>
      <x:c r="D125" s="14" t="str">
        <x:v>国防科大环线2路、3路发车时刻表（工作日）</x:v>
      </x:c>
      <x:c r="E125" s="14" t="str">
        <x:v>第三班</x:v>
      </x:c>
      <x:c r="F125" s="14" t="n">
        <x:v>3</x:v>
      </x:c>
      <x:c r="G125" s="14" t="str">
        <x:v>8:55</x:v>
      </x:c>
      <x:c r="H125" s="14" t="str">
        <x:v>08:55</x:v>
      </x:c>
      <x:c r="I125" s="14" t="n">
        <x:v>535</x:v>
      </x:c>
      <x:c r="J125" s="14" t="str">
        <x:v>原表默认发车点</x:v>
      </x:c>
      <x:c r="K125" s="14" t="str">
        <x:v>否</x:v>
      </x:c>
      <x:c r="L125" s="14" t="str">
        <x:v>刘晓燕</x:v>
      </x:c>
      <x:c r="M125" s="14" t="str">
        <x:v>4号车</x:v>
      </x:c>
      <x:c r="N125" s="14" t="str">
        <x:v>已识读</x:v>
      </x:c>
      <x:c r="O125" s="14"/>
      <x:c r="P125" s="14" t="str">
        <x:v>图片2</x:v>
      </x:c>
    </x:row>
    <x:row r="126">
      <x:c r="A126" s="14" t="str">
        <x:v>S0125</x:v>
      </x:c>
      <x:c r="B126" s="14" t="str">
        <x:v>工作日</x:v>
      </x:c>
      <x:c r="C126" s="14" t="str">
        <x:v>环线3路</x:v>
      </x:c>
      <x:c r="D126" s="14" t="str">
        <x:v>国防科大环线2路、3路发车时刻表（工作日）</x:v>
      </x:c>
      <x:c r="E126" s="14" t="str">
        <x:v>第三班</x:v>
      </x:c>
      <x:c r="F126" s="14" t="n">
        <x:v>4</x:v>
      </x:c>
      <x:c r="G126" s="14" t="str">
        <x:v>9:35</x:v>
      </x:c>
      <x:c r="H126" s="14" t="str">
        <x:v>09:35</x:v>
      </x:c>
      <x:c r="I126" s="14" t="n">
        <x:v>575</x:v>
      </x:c>
      <x:c r="J126" s="14" t="str">
        <x:v>原表默认发车点</x:v>
      </x:c>
      <x:c r="K126" s="14" t="str">
        <x:v>否</x:v>
      </x:c>
      <x:c r="L126" s="14" t="str">
        <x:v>刘晓燕</x:v>
      </x:c>
      <x:c r="M126" s="14" t="str">
        <x:v>4号车</x:v>
      </x:c>
      <x:c r="N126" s="14" t="str">
        <x:v>已识读</x:v>
      </x:c>
      <x:c r="O126" s="14"/>
      <x:c r="P126" s="14" t="str">
        <x:v>图片2</x:v>
      </x:c>
    </x:row>
    <x:row r="127">
      <x:c r="A127" s="14" t="str">
        <x:v>S0126</x:v>
      </x:c>
      <x:c r="B127" s="14" t="str">
        <x:v>工作日</x:v>
      </x:c>
      <x:c r="C127" s="14" t="str">
        <x:v>环线3路</x:v>
      </x:c>
      <x:c r="D127" s="14" t="str">
        <x:v>国防科大环线2路、3路发车时刻表（工作日）</x:v>
      </x:c>
      <x:c r="E127" s="14" t="str">
        <x:v>第三班</x:v>
      </x:c>
      <x:c r="F127" s="14" t="n">
        <x:v>5</x:v>
      </x:c>
      <x:c r="G127" s="14" t="str">
        <x:v>10:10</x:v>
      </x:c>
      <x:c r="H127" s="14" t="str">
        <x:v>10:10</x:v>
      </x:c>
      <x:c r="I127" s="14" t="n">
        <x:v>610</x:v>
      </x:c>
      <x:c r="J127" s="14" t="str">
        <x:v>原表默认发车点</x:v>
      </x:c>
      <x:c r="K127" s="14" t="str">
        <x:v>否</x:v>
      </x:c>
      <x:c r="L127" s="14" t="str">
        <x:v>刘晓燕</x:v>
      </x:c>
      <x:c r="M127" s="14" t="str">
        <x:v>4号车</x:v>
      </x:c>
      <x:c r="N127" s="14" t="str">
        <x:v>已识读</x:v>
      </x:c>
      <x:c r="O127" s="14"/>
      <x:c r="P127" s="14" t="str">
        <x:v>图片2</x:v>
      </x:c>
    </x:row>
    <x:row r="128">
      <x:c r="A128" s="14" t="str">
        <x:v>S0127</x:v>
      </x:c>
      <x:c r="B128" s="14" t="str">
        <x:v>工作日</x:v>
      </x:c>
      <x:c r="C128" s="14" t="str">
        <x:v>环线3路</x:v>
      </x:c>
      <x:c r="D128" s="14" t="str">
        <x:v>国防科大环线2路、3路发车时刻表（工作日）</x:v>
      </x:c>
      <x:c r="E128" s="14" t="str">
        <x:v>第三班</x:v>
      </x:c>
      <x:c r="F128" s="14" t="n">
        <x:v>6</x:v>
      </x:c>
      <x:c r="G128" s="14" t="str">
        <x:v>10:45</x:v>
      </x:c>
      <x:c r="H128" s="14" t="str">
        <x:v>10:45</x:v>
      </x:c>
      <x:c r="I128" s="14" t="n">
        <x:v>645</x:v>
      </x:c>
      <x:c r="J128" s="14" t="str">
        <x:v>高超楼（系统工程学院旁）</x:v>
      </x:c>
      <x:c r="K128" s="14" t="str">
        <x:v>是</x:v>
      </x:c>
      <x:c r="L128" s="14" t="str">
        <x:v>刘晓燕</x:v>
      </x:c>
      <x:c r="M128" s="14" t="str">
        <x:v>4号车</x:v>
      </x:c>
      <x:c r="N128" s="14" t="str">
        <x:v>已识读</x:v>
      </x:c>
      <x:c r="O128" s="14" t="str">
        <x:v>原图红色字体/打勾；按用户说明，系统工程学院发车折算为高超楼站点发车</x:v>
      </x:c>
      <x:c r="P128" s="14" t="str">
        <x:v>图片2</x:v>
      </x:c>
    </x:row>
    <x:row r="129">
      <x:c r="A129" s="14" t="str">
        <x:v>S0128</x:v>
      </x:c>
      <x:c r="B129" s="14" t="str">
        <x:v>工作日</x:v>
      </x:c>
      <x:c r="C129" s="14" t="str">
        <x:v>环线3路</x:v>
      </x:c>
      <x:c r="D129" s="14" t="str">
        <x:v>国防科大环线2路、3路发车时刻表（工作日）</x:v>
      </x:c>
      <x:c r="E129" s="14" t="str">
        <x:v>第三班</x:v>
      </x:c>
      <x:c r="F129" s="14" t="n">
        <x:v>7</x:v>
      </x:c>
      <x:c r="G129" s="14" t="str">
        <x:v>11:35</x:v>
      </x:c>
      <x:c r="H129" s="14" t="str">
        <x:v>11:35</x:v>
      </x:c>
      <x:c r="I129" s="14" t="n">
        <x:v>695</x:v>
      </x:c>
      <x:c r="J129" s="14" t="str">
        <x:v>原表默认发车点</x:v>
      </x:c>
      <x:c r="K129" s="14" t="str">
        <x:v>否</x:v>
      </x:c>
      <x:c r="L129" s="14" t="str">
        <x:v>刘晓燕</x:v>
      </x:c>
      <x:c r="M129" s="14" t="str">
        <x:v>4号车</x:v>
      </x:c>
      <x:c r="N129" s="14" t="str">
        <x:v>已识读</x:v>
      </x:c>
      <x:c r="O129" s="14"/>
      <x:c r="P129" s="14" t="str">
        <x:v>图片2</x:v>
      </x:c>
    </x:row>
    <x:row r="130">
      <x:c r="A130" s="14" t="str">
        <x:v>S0129</x:v>
      </x:c>
      <x:c r="B130" s="14" t="str">
        <x:v>工作日</x:v>
      </x:c>
      <x:c r="C130" s="14" t="str">
        <x:v>环线3路</x:v>
      </x:c>
      <x:c r="D130" s="14" t="str">
        <x:v>国防科大环线2路、3路发车时刻表（工作日）</x:v>
      </x:c>
      <x:c r="E130" s="14" t="str">
        <x:v>第三班</x:v>
      </x:c>
      <x:c r="F130" s="14" t="n">
        <x:v>8</x:v>
      </x:c>
      <x:c r="G130" s="14" t="str">
        <x:v>12:20</x:v>
      </x:c>
      <x:c r="H130" s="14" t="str">
        <x:v>12:20</x:v>
      </x:c>
      <x:c r="I130" s="14" t="n">
        <x:v>740</x:v>
      </x:c>
      <x:c r="J130" s="14" t="str">
        <x:v>原表默认发车点</x:v>
      </x:c>
      <x:c r="K130" s="14" t="str">
        <x:v>否</x:v>
      </x:c>
      <x:c r="L130" s="14" t="str">
        <x:v>刘晓燕</x:v>
      </x:c>
      <x:c r="M130" s="14" t="str">
        <x:v>4号车</x:v>
      </x:c>
      <x:c r="N130" s="14" t="str">
        <x:v>已识读</x:v>
      </x:c>
      <x:c r="O130" s="14"/>
      <x:c r="P130" s="14" t="str">
        <x:v>图片2</x:v>
      </x:c>
    </x:row>
    <x:row r="131">
      <x:c r="A131" s="14" t="str">
        <x:v>S0130</x:v>
      </x:c>
      <x:c r="B131" s="14" t="str">
        <x:v>工作日</x:v>
      </x:c>
      <x:c r="C131" s="14" t="str">
        <x:v>环线3路</x:v>
      </x:c>
      <x:c r="D131" s="14" t="str">
        <x:v>国防科大环线2路、3路发车时刻表（工作日）</x:v>
      </x:c>
      <x:c r="E131" s="14" t="str">
        <x:v>第三班</x:v>
      </x:c>
      <x:c r="F131" s="14" t="n">
        <x:v>9</x:v>
      </x:c>
      <x:c r="G131" s="14" t="str">
        <x:v>14:25</x:v>
      </x:c>
      <x:c r="H131" s="14" t="str">
        <x:v>14:25</x:v>
      </x:c>
      <x:c r="I131" s="14" t="n">
        <x:v>865</x:v>
      </x:c>
      <x:c r="J131" s="14" t="str">
        <x:v>原表默认发车点</x:v>
      </x:c>
      <x:c r="K131" s="14" t="str">
        <x:v>否</x:v>
      </x:c>
      <x:c r="L131" s="14" t="str">
        <x:v>刘晓燕</x:v>
      </x:c>
      <x:c r="M131" s="14" t="str">
        <x:v>4号车</x:v>
      </x:c>
      <x:c r="N131" s="14" t="str">
        <x:v>已识读</x:v>
      </x:c>
      <x:c r="O131" s="14"/>
      <x:c r="P131" s="14" t="str">
        <x:v>图片2</x:v>
      </x:c>
    </x:row>
    <x:row r="132">
      <x:c r="A132" s="14" t="str">
        <x:v>S0131</x:v>
      </x:c>
      <x:c r="B132" s="14" t="str">
        <x:v>工作日</x:v>
      </x:c>
      <x:c r="C132" s="14" t="str">
        <x:v>环线3路</x:v>
      </x:c>
      <x:c r="D132" s="14" t="str">
        <x:v>国防科大环线2路、3路发车时刻表（工作日）</x:v>
      </x:c>
      <x:c r="E132" s="14" t="str">
        <x:v>第三班</x:v>
      </x:c>
      <x:c r="F132" s="14" t="n">
        <x:v>10</x:v>
      </x:c>
      <x:c r="G132" s="14" t="str">
        <x:v>15:00</x:v>
      </x:c>
      <x:c r="H132" s="14" t="str">
        <x:v>15:00</x:v>
      </x:c>
      <x:c r="I132" s="14" t="n">
        <x:v>900</x:v>
      </x:c>
      <x:c r="J132" s="14" t="str">
        <x:v>原表默认发车点</x:v>
      </x:c>
      <x:c r="K132" s="14" t="str">
        <x:v>否</x:v>
      </x:c>
      <x:c r="L132" s="14" t="str">
        <x:v>刘晓燕</x:v>
      </x:c>
      <x:c r="M132" s="14" t="str">
        <x:v>4号车</x:v>
      </x:c>
      <x:c r="N132" s="14" t="str">
        <x:v>已识读</x:v>
      </x:c>
      <x:c r="O132" s="14"/>
      <x:c r="P132" s="14" t="str">
        <x:v>图片2</x:v>
      </x:c>
    </x:row>
    <x:row r="133">
      <x:c r="A133" s="14" t="str">
        <x:v>S0132</x:v>
      </x:c>
      <x:c r="B133" s="14" t="str">
        <x:v>工作日</x:v>
      </x:c>
      <x:c r="C133" s="14" t="str">
        <x:v>环线3路</x:v>
      </x:c>
      <x:c r="D133" s="14" t="str">
        <x:v>国防科大环线2路、3路发车时刻表（工作日）</x:v>
      </x:c>
      <x:c r="E133" s="14" t="str">
        <x:v>第三班</x:v>
      </x:c>
      <x:c r="F133" s="14" t="n">
        <x:v>11</x:v>
      </x:c>
      <x:c r="G133" s="14" t="str">
        <x:v>15:45</x:v>
      </x:c>
      <x:c r="H133" s="14" t="str">
        <x:v>15:45</x:v>
      </x:c>
      <x:c r="I133" s="14" t="n">
        <x:v>945</x:v>
      </x:c>
      <x:c r="J133" s="14" t="str">
        <x:v>原表默认发车点</x:v>
      </x:c>
      <x:c r="K133" s="14" t="str">
        <x:v>否</x:v>
      </x:c>
      <x:c r="L133" s="14" t="str">
        <x:v>刘晓燕</x:v>
      </x:c>
      <x:c r="M133" s="14" t="str">
        <x:v>4号车</x:v>
      </x:c>
      <x:c r="N133" s="14" t="str">
        <x:v>已识读</x:v>
      </x:c>
      <x:c r="O133" s="14"/>
      <x:c r="P133" s="14" t="str">
        <x:v>图片2</x:v>
      </x:c>
    </x:row>
    <x:row r="134">
      <x:c r="A134" s="14" t="str">
        <x:v>S0133</x:v>
      </x:c>
      <x:c r="B134" s="14" t="str">
        <x:v>工作日</x:v>
      </x:c>
      <x:c r="C134" s="14" t="str">
        <x:v>环线3路</x:v>
      </x:c>
      <x:c r="D134" s="14" t="str">
        <x:v>国防科大环线2路、3路发车时刻表（工作日）</x:v>
      </x:c>
      <x:c r="E134" s="14" t="str">
        <x:v>第三班</x:v>
      </x:c>
      <x:c r="F134" s="14" t="n">
        <x:v>12</x:v>
      </x:c>
      <x:c r="G134" s="14" t="str">
        <x:v>17:10</x:v>
      </x:c>
      <x:c r="H134" s="14" t="str">
        <x:v>17:10</x:v>
      </x:c>
      <x:c r="I134" s="14" t="n">
        <x:v>1030</x:v>
      </x:c>
      <x:c r="J134" s="14" t="str">
        <x:v>原表默认发车点</x:v>
      </x:c>
      <x:c r="K134" s="14" t="str">
        <x:v>否</x:v>
      </x:c>
      <x:c r="L134" s="14" t="str">
        <x:v>刘晓燕</x:v>
      </x:c>
      <x:c r="M134" s="14" t="str">
        <x:v>4号车</x:v>
      </x:c>
      <x:c r="N134" s="14" t="str">
        <x:v>已识读</x:v>
      </x:c>
      <x:c r="O134" s="14"/>
      <x:c r="P134" s="14" t="str">
        <x:v>图片2</x:v>
      </x:c>
    </x:row>
    <x:row r="135">
      <x:c r="A135" s="14" t="str">
        <x:v>S0134</x:v>
      </x:c>
      <x:c r="B135" s="14" t="str">
        <x:v>工作日</x:v>
      </x:c>
      <x:c r="C135" s="14" t="str">
        <x:v>环线3路</x:v>
      </x:c>
      <x:c r="D135" s="14" t="str">
        <x:v>国防科大环线2路、3路发车时刻表（工作日）</x:v>
      </x:c>
      <x:c r="E135" s="14" t="str">
        <x:v>第三班</x:v>
      </x:c>
      <x:c r="F135" s="14" t="n">
        <x:v>13</x:v>
      </x:c>
      <x:c r="G135" s="14" t="str">
        <x:v>17:40</x:v>
      </x:c>
      <x:c r="H135" s="14" t="str">
        <x:v>17:40</x:v>
      </x:c>
      <x:c r="I135" s="14" t="n">
        <x:v>1060</x:v>
      </x:c>
      <x:c r="J135" s="14" t="str">
        <x:v>原表默认发车点</x:v>
      </x:c>
      <x:c r="K135" s="14" t="str">
        <x:v>否</x:v>
      </x:c>
      <x:c r="L135" s="14" t="str">
        <x:v>刘晓燕</x:v>
      </x:c>
      <x:c r="M135" s="14" t="str">
        <x:v>4号车</x:v>
      </x:c>
      <x:c r="N135" s="14" t="str">
        <x:v>已识读</x:v>
      </x:c>
      <x:c r="O135" s="14"/>
      <x:c r="P135" s="14" t="str">
        <x:v>图片2</x:v>
      </x:c>
    </x:row>
    <x:row r="136">
      <x:c r="A136" s="14" t="str">
        <x:v>S0135</x:v>
      </x:c>
      <x:c r="B136" s="14" t="str">
        <x:v>工作日</x:v>
      </x:c>
      <x:c r="C136" s="14" t="str">
        <x:v>环线3路</x:v>
      </x:c>
      <x:c r="D136" s="14" t="str">
        <x:v>国防科大环线2路、3路发车时刻表（工作日）</x:v>
      </x:c>
      <x:c r="E136" s="14" t="str">
        <x:v>第二班</x:v>
      </x:c>
      <x:c r="F136" s="14" t="n">
        <x:v>1</x:v>
      </x:c>
      <x:c r="G136" s="14" t="str">
        <x:v>7:45</x:v>
      </x:c>
      <x:c r="H136" s="14" t="str">
        <x:v>07:45</x:v>
      </x:c>
      <x:c r="I136" s="14" t="n">
        <x:v>465</x:v>
      </x:c>
      <x:c r="J136" s="14" t="str">
        <x:v>原表默认发车点</x:v>
      </x:c>
      <x:c r="K136" s="14" t="str">
        <x:v>否</x:v>
      </x:c>
      <x:c r="L136" s="14" t="str">
        <x:v>郭海燕</x:v>
      </x:c>
      <x:c r="M136" s="14" t="str">
        <x:v>5号车</x:v>
      </x:c>
      <x:c r="N136" s="14" t="str">
        <x:v>已识读</x:v>
      </x:c>
      <x:c r="O136" s="14"/>
      <x:c r="P136" s="14" t="str">
        <x:v>图片2</x:v>
      </x:c>
    </x:row>
    <x:row r="137">
      <x:c r="A137" s="14" t="str">
        <x:v>S0136</x:v>
      </x:c>
      <x:c r="B137" s="14" t="str">
        <x:v>工作日</x:v>
      </x:c>
      <x:c r="C137" s="14" t="str">
        <x:v>环线3路</x:v>
      </x:c>
      <x:c r="D137" s="14" t="str">
        <x:v>国防科大环线2路、3路发车时刻表（工作日）</x:v>
      </x:c>
      <x:c r="E137" s="14" t="str">
        <x:v>第二班</x:v>
      </x:c>
      <x:c r="F137" s="14" t="n">
        <x:v>2</x:v>
      </x:c>
      <x:c r="G137" s="14" t="str">
        <x:v>8:15</x:v>
      </x:c>
      <x:c r="H137" s="14" t="str">
        <x:v>08:15</x:v>
      </x:c>
      <x:c r="I137" s="14" t="n">
        <x:v>495</x:v>
      </x:c>
      <x:c r="J137" s="14" t="str">
        <x:v>原表默认发车点</x:v>
      </x:c>
      <x:c r="K137" s="14" t="str">
        <x:v>否</x:v>
      </x:c>
      <x:c r="L137" s="14" t="str">
        <x:v>郭海燕</x:v>
      </x:c>
      <x:c r="M137" s="14" t="str">
        <x:v>5号车</x:v>
      </x:c>
      <x:c r="N137" s="14" t="str">
        <x:v>已识读</x:v>
      </x:c>
      <x:c r="O137" s="14"/>
      <x:c r="P137" s="14" t="str">
        <x:v>图片2</x:v>
      </x:c>
    </x:row>
    <x:row r="138">
      <x:c r="A138" s="14" t="str">
        <x:v>S0137</x:v>
      </x:c>
      <x:c r="B138" s="14" t="str">
        <x:v>工作日</x:v>
      </x:c>
      <x:c r="C138" s="14" t="str">
        <x:v>环线3路</x:v>
      </x:c>
      <x:c r="D138" s="14" t="str">
        <x:v>国防科大环线2路、3路发车时刻表（工作日）</x:v>
      </x:c>
      <x:c r="E138" s="14" t="str">
        <x:v>第二班</x:v>
      </x:c>
      <x:c r="F138" s="14" t="n">
        <x:v>3</x:v>
      </x:c>
      <x:c r="G138" s="14" t="str">
        <x:v>8:45</x:v>
      </x:c>
      <x:c r="H138" s="14" t="str">
        <x:v>08:45</x:v>
      </x:c>
      <x:c r="I138" s="14" t="n">
        <x:v>525</x:v>
      </x:c>
      <x:c r="J138" s="14" t="str">
        <x:v>原表默认发车点</x:v>
      </x:c>
      <x:c r="K138" s="14" t="str">
        <x:v>否</x:v>
      </x:c>
      <x:c r="L138" s="14" t="str">
        <x:v>郭海燕</x:v>
      </x:c>
      <x:c r="M138" s="14" t="str">
        <x:v>5号车</x:v>
      </x:c>
      <x:c r="N138" s="14" t="str">
        <x:v>已识读</x:v>
      </x:c>
      <x:c r="O138" s="14"/>
      <x:c r="P138" s="14" t="str">
        <x:v>图片2</x:v>
      </x:c>
    </x:row>
    <x:row r="139">
      <x:c r="A139" s="14" t="str">
        <x:v>S0138</x:v>
      </x:c>
      <x:c r="B139" s="14" t="str">
        <x:v>工作日</x:v>
      </x:c>
      <x:c r="C139" s="14" t="str">
        <x:v>环线3路</x:v>
      </x:c>
      <x:c r="D139" s="14" t="str">
        <x:v>国防科大环线2路、3路发车时刻表（工作日）</x:v>
      </x:c>
      <x:c r="E139" s="14" t="str">
        <x:v>第二班</x:v>
      </x:c>
      <x:c r="F139" s="14" t="n">
        <x:v>4</x:v>
      </x:c>
      <x:c r="G139" s="14" t="str">
        <x:v>9:20</x:v>
      </x:c>
      <x:c r="H139" s="14" t="str">
        <x:v>09:20</x:v>
      </x:c>
      <x:c r="I139" s="14" t="n">
        <x:v>560</x:v>
      </x:c>
      <x:c r="J139" s="14" t="str">
        <x:v>原表默认发车点</x:v>
      </x:c>
      <x:c r="K139" s="14" t="str">
        <x:v>否</x:v>
      </x:c>
      <x:c r="L139" s="14" t="str">
        <x:v>郭海燕</x:v>
      </x:c>
      <x:c r="M139" s="14" t="str">
        <x:v>5号车</x:v>
      </x:c>
      <x:c r="N139" s="14" t="str">
        <x:v>已识读</x:v>
      </x:c>
      <x:c r="O139" s="14"/>
      <x:c r="P139" s="14" t="str">
        <x:v>图片2</x:v>
      </x:c>
    </x:row>
    <x:row r="140">
      <x:c r="A140" s="14" t="str">
        <x:v>S0139</x:v>
      </x:c>
      <x:c r="B140" s="14" t="str">
        <x:v>工作日</x:v>
      </x:c>
      <x:c r="C140" s="14" t="str">
        <x:v>环线3路</x:v>
      </x:c>
      <x:c r="D140" s="14" t="str">
        <x:v>国防科大环线2路、3路发车时刻表（工作日）</x:v>
      </x:c>
      <x:c r="E140" s="14" t="str">
        <x:v>第二班</x:v>
      </x:c>
      <x:c r="F140" s="14" t="n">
        <x:v>5</x:v>
      </x:c>
      <x:c r="G140" s="14" t="str">
        <x:v>9:50</x:v>
      </x:c>
      <x:c r="H140" s="14" t="str">
        <x:v>09:50</x:v>
      </x:c>
      <x:c r="I140" s="14" t="n">
        <x:v>590</x:v>
      </x:c>
      <x:c r="J140" s="14" t="str">
        <x:v>原表默认发车点</x:v>
      </x:c>
      <x:c r="K140" s="14" t="str">
        <x:v>否</x:v>
      </x:c>
      <x:c r="L140" s="14" t="str">
        <x:v>郭海燕</x:v>
      </x:c>
      <x:c r="M140" s="14" t="str">
        <x:v>5号车</x:v>
      </x:c>
      <x:c r="N140" s="14" t="str">
        <x:v>已识读</x:v>
      </x:c>
      <x:c r="O140" s="14"/>
      <x:c r="P140" s="14" t="str">
        <x:v>图片2</x:v>
      </x:c>
    </x:row>
    <x:row r="141">
      <x:c r="A141" s="14" t="str">
        <x:v>S0140</x:v>
      </x:c>
      <x:c r="B141" s="14" t="str">
        <x:v>工作日</x:v>
      </x:c>
      <x:c r="C141" s="14" t="str">
        <x:v>环线3路</x:v>
      </x:c>
      <x:c r="D141" s="14" t="str">
        <x:v>国防科大环线2路、3路发车时刻表（工作日）</x:v>
      </x:c>
      <x:c r="E141" s="14" t="str">
        <x:v>第二班</x:v>
      </x:c>
      <x:c r="F141" s="14" t="n">
        <x:v>6</x:v>
      </x:c>
      <x:c r="G141" s="14" t="str">
        <x:v>10:30</x:v>
      </x:c>
      <x:c r="H141" s="14" t="str">
        <x:v>10:30</x:v>
      </x:c>
      <x:c r="I141" s="14" t="n">
        <x:v>630</x:v>
      </x:c>
      <x:c r="J141" s="14" t="str">
        <x:v>原表默认发车点</x:v>
      </x:c>
      <x:c r="K141" s="14" t="str">
        <x:v>否</x:v>
      </x:c>
      <x:c r="L141" s="14" t="str">
        <x:v>郭海燕</x:v>
      </x:c>
      <x:c r="M141" s="14" t="str">
        <x:v>5号车</x:v>
      </x:c>
      <x:c r="N141" s="14" t="str">
        <x:v>已识读</x:v>
      </x:c>
      <x:c r="O141" s="14"/>
      <x:c r="P141" s="14" t="str">
        <x:v>图片2</x:v>
      </x:c>
    </x:row>
    <x:row r="142">
      <x:c r="A142" s="14" t="str">
        <x:v>S0141</x:v>
      </x:c>
      <x:c r="B142" s="14" t="str">
        <x:v>工作日</x:v>
      </x:c>
      <x:c r="C142" s="14" t="str">
        <x:v>环线3路</x:v>
      </x:c>
      <x:c r="D142" s="14" t="str">
        <x:v>国防科大环线2路、3路发车时刻表（工作日）</x:v>
      </x:c>
      <x:c r="E142" s="14" t="str">
        <x:v>第二班</x:v>
      </x:c>
      <x:c r="F142" s="14" t="n">
        <x:v>7</x:v>
      </x:c>
      <x:c r="G142" s="14" t="str">
        <x:v>11:00</x:v>
      </x:c>
      <x:c r="H142" s="14" t="str">
        <x:v>11:00</x:v>
      </x:c>
      <x:c r="I142" s="14" t="n">
        <x:v>660</x:v>
      </x:c>
      <x:c r="J142" s="14" t="str">
        <x:v>原表默认发车点</x:v>
      </x:c>
      <x:c r="K142" s="14" t="str">
        <x:v>否</x:v>
      </x:c>
      <x:c r="L142" s="14" t="str">
        <x:v>郭海燕</x:v>
      </x:c>
      <x:c r="M142" s="14" t="str">
        <x:v>5号车</x:v>
      </x:c>
      <x:c r="N142" s="14" t="str">
        <x:v>已识读</x:v>
      </x:c>
      <x:c r="O142" s="14"/>
      <x:c r="P142" s="14" t="str">
        <x:v>图片2</x:v>
      </x:c>
    </x:row>
    <x:row r="143">
      <x:c r="A143" s="14" t="str">
        <x:v>S0142</x:v>
      </x:c>
      <x:c r="B143" s="14" t="str">
        <x:v>工作日</x:v>
      </x:c>
      <x:c r="C143" s="14" t="str">
        <x:v>环线3路</x:v>
      </x:c>
      <x:c r="D143" s="14" t="str">
        <x:v>国防科大环线2路、3路发车时刻表（工作日）</x:v>
      </x:c>
      <x:c r="E143" s="14" t="str">
        <x:v>第二班</x:v>
      </x:c>
      <x:c r="F143" s="14" t="n">
        <x:v>8</x:v>
      </x:c>
      <x:c r="G143" s="14" t="str">
        <x:v>11:45</x:v>
      </x:c>
      <x:c r="H143" s="14" t="str">
        <x:v>11:45</x:v>
      </x:c>
      <x:c r="I143" s="14" t="n">
        <x:v>705</x:v>
      </x:c>
      <x:c r="J143" s="14" t="str">
        <x:v>原表默认发车点</x:v>
      </x:c>
      <x:c r="K143" s="14" t="str">
        <x:v>否</x:v>
      </x:c>
      <x:c r="L143" s="14" t="str">
        <x:v>郭海燕</x:v>
      </x:c>
      <x:c r="M143" s="14" t="str">
        <x:v>5号车</x:v>
      </x:c>
      <x:c r="N143" s="14" t="str">
        <x:v>已识读</x:v>
      </x:c>
      <x:c r="O143" s="14"/>
      <x:c r="P143" s="14" t="str">
        <x:v>图片2</x:v>
      </x:c>
    </x:row>
    <x:row r="144">
      <x:c r="A144" s="14" t="str">
        <x:v>S0143</x:v>
      </x:c>
      <x:c r="B144" s="14" t="str">
        <x:v>工作日</x:v>
      </x:c>
      <x:c r="C144" s="14" t="str">
        <x:v>环线3路</x:v>
      </x:c>
      <x:c r="D144" s="14" t="str">
        <x:v>国防科大环线2路、3路发车时刻表（工作日）</x:v>
      </x:c>
      <x:c r="E144" s="14" t="str">
        <x:v>第二班</x:v>
      </x:c>
      <x:c r="F144" s="14" t="n">
        <x:v>9</x:v>
      </x:c>
      <x:c r="G144" s="14" t="str">
        <x:v>12:30</x:v>
      </x:c>
      <x:c r="H144" s="14" t="str">
        <x:v>12:30</x:v>
      </x:c>
      <x:c r="I144" s="14" t="n">
        <x:v>750</x:v>
      </x:c>
      <x:c r="J144" s="14" t="str">
        <x:v>原表默认发车点</x:v>
      </x:c>
      <x:c r="K144" s="14" t="str">
        <x:v>否</x:v>
      </x:c>
      <x:c r="L144" s="14" t="str">
        <x:v>郭海燕</x:v>
      </x:c>
      <x:c r="M144" s="14" t="str">
        <x:v>5号车</x:v>
      </x:c>
      <x:c r="N144" s="14" t="str">
        <x:v>已识读</x:v>
      </x:c>
      <x:c r="O144" s="14"/>
      <x:c r="P144" s="14" t="str">
        <x:v>图片2</x:v>
      </x:c>
    </x:row>
    <x:row r="145">
      <x:c r="A145" s="14" t="str">
        <x:v>S0144</x:v>
      </x:c>
      <x:c r="B145" s="14" t="str">
        <x:v>工作日</x:v>
      </x:c>
      <x:c r="C145" s="14" t="str">
        <x:v>环线3路</x:v>
      </x:c>
      <x:c r="D145" s="14" t="str">
        <x:v>国防科大环线2路、3路发车时刻表（工作日）</x:v>
      </x:c>
      <x:c r="E145" s="14" t="str">
        <x:v>第二班</x:v>
      </x:c>
      <x:c r="F145" s="14" t="n">
        <x:v>10</x:v>
      </x:c>
      <x:c r="G145" s="14" t="str">
        <x:v>15:25</x:v>
      </x:c>
      <x:c r="H145" s="14" t="str">
        <x:v>15:25</x:v>
      </x:c>
      <x:c r="I145" s="14" t="n">
        <x:v>925</x:v>
      </x:c>
      <x:c r="J145" s="14" t="str">
        <x:v>原表默认发车点</x:v>
      </x:c>
      <x:c r="K145" s="14" t="str">
        <x:v>否</x:v>
      </x:c>
      <x:c r="L145" s="14" t="str">
        <x:v>郭海燕</x:v>
      </x:c>
      <x:c r="M145" s="14" t="str">
        <x:v>5号车</x:v>
      </x:c>
      <x:c r="N145" s="14" t="str">
        <x:v>已识读</x:v>
      </x:c>
      <x:c r="O145" s="14"/>
      <x:c r="P145" s="14" t="str">
        <x:v>图片2</x:v>
      </x:c>
    </x:row>
    <x:row r="146">
      <x:c r="A146" s="14" t="str">
        <x:v>S0145</x:v>
      </x:c>
      <x:c r="B146" s="14" t="str">
        <x:v>工作日</x:v>
      </x:c>
      <x:c r="C146" s="14" t="str">
        <x:v>环线3路</x:v>
      </x:c>
      <x:c r="D146" s="14" t="str">
        <x:v>国防科大环线2路、3路发车时刻表（工作日）</x:v>
      </x:c>
      <x:c r="E146" s="14" t="str">
        <x:v>第二班</x:v>
      </x:c>
      <x:c r="F146" s="14" t="n">
        <x:v>11</x:v>
      </x:c>
      <x:c r="G146" s="14" t="str">
        <x:v>16:20</x:v>
      </x:c>
      <x:c r="H146" s="14" t="str">
        <x:v>16:20</x:v>
      </x:c>
      <x:c r="I146" s="14" t="n">
        <x:v>980</x:v>
      </x:c>
      <x:c r="J146" s="14" t="str">
        <x:v>原表默认发车点</x:v>
      </x:c>
      <x:c r="K146" s="14" t="str">
        <x:v>否</x:v>
      </x:c>
      <x:c r="L146" s="14" t="str">
        <x:v>郭海燕</x:v>
      </x:c>
      <x:c r="M146" s="14" t="str">
        <x:v>5号车</x:v>
      </x:c>
      <x:c r="N146" s="14" t="str">
        <x:v>已识读</x:v>
      </x:c>
      <x:c r="O146" s="14"/>
      <x:c r="P146" s="14" t="str">
        <x:v>图片2</x:v>
      </x:c>
    </x:row>
    <x:row r="147">
      <x:c r="A147" s="14" t="str">
        <x:v>S0146</x:v>
      </x:c>
      <x:c r="B147" s="14" t="str">
        <x:v>工作日</x:v>
      </x:c>
      <x:c r="C147" s="14" t="str">
        <x:v>环线3路</x:v>
      </x:c>
      <x:c r="D147" s="14" t="str">
        <x:v>国防科大环线2路、3路发车时刻表（工作日）</x:v>
      </x:c>
      <x:c r="E147" s="14" t="str">
        <x:v>第二班</x:v>
      </x:c>
      <x:c r="F147" s="14" t="n">
        <x:v>12</x:v>
      </x:c>
      <x:c r="G147" s="14" t="str">
        <x:v>16:50</x:v>
      </x:c>
      <x:c r="H147" s="14" t="str">
        <x:v>16:50</x:v>
      </x:c>
      <x:c r="I147" s="14" t="n">
        <x:v>1010</x:v>
      </x:c>
      <x:c r="J147" s="14" t="str">
        <x:v>高超楼（系统工程学院旁）</x:v>
      </x:c>
      <x:c r="K147" s="14" t="str">
        <x:v>是</x:v>
      </x:c>
      <x:c r="L147" s="14" t="str">
        <x:v>郭海燕</x:v>
      </x:c>
      <x:c r="M147" s="14" t="str">
        <x:v>5号车</x:v>
      </x:c>
      <x:c r="N147" s="14" t="str">
        <x:v>已识读</x:v>
      </x:c>
      <x:c r="O147" s="14" t="str">
        <x:v>原图红色字体/打勾；按用户说明，系统工程学院发车折算为高超楼站点发车</x:v>
      </x:c>
      <x:c r="P147" s="14" t="str">
        <x:v>图片2</x:v>
      </x:c>
    </x:row>
    <x:row r="148">
      <x:c r="A148" s="14" t="str">
        <x:v>S0147</x:v>
      </x:c>
      <x:c r="B148" s="14" t="str">
        <x:v>工作日</x:v>
      </x:c>
      <x:c r="C148" s="14" t="str">
        <x:v>环线3路</x:v>
      </x:c>
      <x:c r="D148" s="14" t="str">
        <x:v>国防科大环线2路、3路发车时刻表（工作日）</x:v>
      </x:c>
      <x:c r="E148" s="14" t="str">
        <x:v>第二班</x:v>
      </x:c>
      <x:c r="F148" s="14" t="n">
        <x:v>13</x:v>
      </x:c>
      <x:c r="G148" s="14" t="str">
        <x:v>17:25</x:v>
      </x:c>
      <x:c r="H148" s="14" t="str">
        <x:v>17:25</x:v>
      </x:c>
      <x:c r="I148" s="14" t="n">
        <x:v>1045</x:v>
      </x:c>
      <x:c r="J148" s="14" t="str">
        <x:v>原表默认发车点</x:v>
      </x:c>
      <x:c r="K148" s="14" t="str">
        <x:v>否</x:v>
      </x:c>
      <x:c r="L148" s="14" t="str">
        <x:v>郭海燕</x:v>
      </x:c>
      <x:c r="M148" s="14" t="str">
        <x:v>5号车</x:v>
      </x:c>
      <x:c r="N148" s="14" t="str">
        <x:v>已识读</x:v>
      </x:c>
      <x:c r="O148" s="14"/>
      <x:c r="P148" s="14" t="str">
        <x:v>图片2</x:v>
      </x:c>
    </x:row>
    <x:row r="149">
      <x:c r="A149" s="14" t="str">
        <x:v>S0148</x:v>
      </x:c>
      <x:c r="B149" s="14" t="str">
        <x:v>工作日</x:v>
      </x:c>
      <x:c r="C149" s="14" t="str">
        <x:v>环线3路</x:v>
      </x:c>
      <x:c r="D149" s="14" t="str">
        <x:v>国防科大环线2路、3路发车时刻表（工作日）</x:v>
      </x:c>
      <x:c r="E149" s="14" t="str">
        <x:v>第四班</x:v>
      </x:c>
      <x:c r="F149" s="14" t="n">
        <x:v>1</x:v>
      </x:c>
      <x:c r="G149" s="14" t="str">
        <x:v>17:55</x:v>
      </x:c>
      <x:c r="H149" s="14" t="str">
        <x:v>17:55</x:v>
      </x:c>
      <x:c r="I149" s="14" t="n">
        <x:v>1075</x:v>
      </x:c>
      <x:c r="J149" s="14" t="str">
        <x:v>原表默认发车点</x:v>
      </x:c>
      <x:c r="K149" s="14" t="str">
        <x:v>否</x:v>
      </x:c>
      <x:c r="L149" s="14" t="str">
        <x:v>孙五星</x:v>
      </x:c>
      <x:c r="M149" s="14" t="str">
        <x:v>3号车</x:v>
      </x:c>
      <x:c r="N149" s="14" t="str">
        <x:v>已识读</x:v>
      </x:c>
      <x:c r="O149" s="14"/>
      <x:c r="P149" s="14" t="str">
        <x:v>图片2</x:v>
      </x:c>
    </x:row>
    <x:row r="150">
      <x:c r="A150" s="14" t="str">
        <x:v>S0149</x:v>
      </x:c>
      <x:c r="B150" s="14" t="str">
        <x:v>工作日</x:v>
      </x:c>
      <x:c r="C150" s="14" t="str">
        <x:v>环线3路</x:v>
      </x:c>
      <x:c r="D150" s="14" t="str">
        <x:v>国防科大环线2路、3路发车时刻表（工作日）</x:v>
      </x:c>
      <x:c r="E150" s="14" t="str">
        <x:v>第四班</x:v>
      </x:c>
      <x:c r="F150" s="14" t="n">
        <x:v>2</x:v>
      </x:c>
      <x:c r="G150" s="14" t="str">
        <x:v>18:20</x:v>
      </x:c>
      <x:c r="H150" s="14" t="str">
        <x:v>18:20</x:v>
      </x:c>
      <x:c r="I150" s="14" t="n">
        <x:v>1100</x:v>
      </x:c>
      <x:c r="J150" s="14" t="str">
        <x:v>原表默认发车点</x:v>
      </x:c>
      <x:c r="K150" s="14" t="str">
        <x:v>否</x:v>
      </x:c>
      <x:c r="L150" s="14" t="str">
        <x:v>孙五星</x:v>
      </x:c>
      <x:c r="M150" s="14" t="str">
        <x:v>3号车</x:v>
      </x:c>
      <x:c r="N150" s="14" t="str">
        <x:v>已识读</x:v>
      </x:c>
      <x:c r="O150" s="14"/>
      <x:c r="P150" s="14" t="str">
        <x:v>图片2</x:v>
      </x:c>
    </x:row>
    <x:row r="151">
      <x:c r="A151" s="14" t="str">
        <x:v>S0150</x:v>
      </x:c>
      <x:c r="B151" s="14" t="str">
        <x:v>工作日</x:v>
      </x:c>
      <x:c r="C151" s="14" t="str">
        <x:v>环线3路</x:v>
      </x:c>
      <x:c r="D151" s="14" t="str">
        <x:v>国防科大环线2路、3路发车时刻表（工作日）</x:v>
      </x:c>
      <x:c r="E151" s="14" t="str">
        <x:v>第四班</x:v>
      </x:c>
      <x:c r="F151" s="14" t="n">
        <x:v>3</x:v>
      </x:c>
      <x:c r="G151" s="14" t="str">
        <x:v>18:50</x:v>
      </x:c>
      <x:c r="H151" s="14" t="str">
        <x:v>18:50</x:v>
      </x:c>
      <x:c r="I151" s="14" t="n">
        <x:v>1130</x:v>
      </x:c>
      <x:c r="J151" s="14" t="str">
        <x:v>原表默认发车点</x:v>
      </x:c>
      <x:c r="K151" s="14" t="str">
        <x:v>否</x:v>
      </x:c>
      <x:c r="L151" s="14" t="str">
        <x:v>孙五星</x:v>
      </x:c>
      <x:c r="M151" s="14" t="str">
        <x:v>3号车</x:v>
      </x:c>
      <x:c r="N151" s="14" t="str">
        <x:v>已识读</x:v>
      </x:c>
      <x:c r="O151" s="14"/>
      <x:c r="P151" s="14" t="str">
        <x:v>图片2</x:v>
      </x:c>
    </x:row>
    <x:row r="152">
      <x:c r="A152" s="14" t="str">
        <x:v>S0151</x:v>
      </x:c>
      <x:c r="B152" s="14" t="str">
        <x:v>工作日</x:v>
      </x:c>
      <x:c r="C152" s="14" t="str">
        <x:v>环线3路</x:v>
      </x:c>
      <x:c r="D152" s="14" t="str">
        <x:v>国防科大环线2路、3路发车时刻表（工作日）</x:v>
      </x:c>
      <x:c r="E152" s="14" t="str">
        <x:v>第四班</x:v>
      </x:c>
      <x:c r="F152" s="14" t="n">
        <x:v>4</x:v>
      </x:c>
      <x:c r="G152" s="14" t="str">
        <x:v>19:20</x:v>
      </x:c>
      <x:c r="H152" s="14" t="str">
        <x:v>19:20</x:v>
      </x:c>
      <x:c r="I152" s="14" t="n">
        <x:v>1160</x:v>
      </x:c>
      <x:c r="J152" s="14" t="str">
        <x:v>原表默认发车点</x:v>
      </x:c>
      <x:c r="K152" s="14" t="str">
        <x:v>否</x:v>
      </x:c>
      <x:c r="L152" s="14" t="str">
        <x:v>孙五星</x:v>
      </x:c>
      <x:c r="M152" s="14" t="str">
        <x:v>3号车</x:v>
      </x:c>
      <x:c r="N152" s="14" t="str">
        <x:v>已识读</x:v>
      </x:c>
      <x:c r="O152" s="14"/>
      <x:c r="P152" s="14" t="str">
        <x:v>图片2</x:v>
      </x:c>
    </x:row>
    <x:row r="153">
      <x:c r="A153" s="14" t="str">
        <x:v>S0152</x:v>
      </x:c>
      <x:c r="B153" s="14" t="str">
        <x:v>工作日</x:v>
      </x:c>
      <x:c r="C153" s="14" t="str">
        <x:v>环线3路</x:v>
      </x:c>
      <x:c r="D153" s="14" t="str">
        <x:v>国防科大环线2路、3路发车时刻表（工作日）</x:v>
      </x:c>
      <x:c r="E153" s="14" t="str">
        <x:v>第四班</x:v>
      </x:c>
      <x:c r="F153" s="14" t="n">
        <x:v>5</x:v>
      </x:c>
      <x:c r="G153" s="14" t="str">
        <x:v>19:50</x:v>
      </x:c>
      <x:c r="H153" s="14" t="str">
        <x:v>19:50</x:v>
      </x:c>
      <x:c r="I153" s="14" t="n">
        <x:v>1190</x:v>
      </x:c>
      <x:c r="J153" s="14" t="str">
        <x:v>原表默认发车点</x:v>
      </x:c>
      <x:c r="K153" s="14" t="str">
        <x:v>否</x:v>
      </x:c>
      <x:c r="L153" s="14" t="str">
        <x:v>孙五星</x:v>
      </x:c>
      <x:c r="M153" s="14" t="str">
        <x:v>3号车</x:v>
      </x:c>
      <x:c r="N153" s="14" t="str">
        <x:v>已识读</x:v>
      </x:c>
      <x:c r="O153" s="14"/>
      <x:c r="P153" s="14" t="str">
        <x:v>图片2</x:v>
      </x:c>
    </x:row>
    <x:row r="154">
      <x:c r="A154" s="14" t="str">
        <x:v>S0153</x:v>
      </x:c>
      <x:c r="B154" s="14" t="str">
        <x:v>工作日</x:v>
      </x:c>
      <x:c r="C154" s="14" t="str">
        <x:v>环线3路</x:v>
      </x:c>
      <x:c r="D154" s="14" t="str">
        <x:v>国防科大环线2路、3路发车时刻表（工作日）</x:v>
      </x:c>
      <x:c r="E154" s="14" t="str">
        <x:v>第四班</x:v>
      </x:c>
      <x:c r="F154" s="14" t="n">
        <x:v>6</x:v>
      </x:c>
      <x:c r="G154" s="14" t="str">
        <x:v>20:20</x:v>
      </x:c>
      <x:c r="H154" s="14" t="str">
        <x:v>20:20</x:v>
      </x:c>
      <x:c r="I154" s="14" t="n">
        <x:v>1220</x:v>
      </x:c>
      <x:c r="J154" s="14" t="str">
        <x:v>原表默认发车点</x:v>
      </x:c>
      <x:c r="K154" s="14" t="str">
        <x:v>否</x:v>
      </x:c>
      <x:c r="L154" s="14" t="str">
        <x:v>孙五星</x:v>
      </x:c>
      <x:c r="M154" s="14" t="str">
        <x:v>3号车</x:v>
      </x:c>
      <x:c r="N154" s="14" t="str">
        <x:v>已识读</x:v>
      </x:c>
      <x:c r="O154" s="14"/>
      <x:c r="P154" s="14" t="str">
        <x:v>图片2</x:v>
      </x:c>
    </x:row>
    <x:row r="155">
      <x:c r="A155" s="14" t="str">
        <x:v>S0154</x:v>
      </x:c>
      <x:c r="B155" s="14" t="str">
        <x:v>工作日</x:v>
      </x:c>
      <x:c r="C155" s="14" t="str">
        <x:v>环线3路</x:v>
      </x:c>
      <x:c r="D155" s="14" t="str">
        <x:v>国防科大环线2路、3路发车时刻表（工作日）</x:v>
      </x:c>
      <x:c r="E155" s="14" t="str">
        <x:v>第四班</x:v>
      </x:c>
      <x:c r="F155" s="14" t="n">
        <x:v>7</x:v>
      </x:c>
      <x:c r="G155" s="14" t="str">
        <x:v>20:50</x:v>
      </x:c>
      <x:c r="H155" s="14" t="str">
        <x:v>20:50</x:v>
      </x:c>
      <x:c r="I155" s="14" t="n">
        <x:v>1250</x:v>
      </x:c>
      <x:c r="J155" s="14" t="str">
        <x:v>原表默认发车点</x:v>
      </x:c>
      <x:c r="K155" s="14" t="str">
        <x:v>否</x:v>
      </x:c>
      <x:c r="L155" s="14" t="str">
        <x:v>孙五星</x:v>
      </x:c>
      <x:c r="M155" s="14" t="str">
        <x:v>3号车</x:v>
      </x:c>
      <x:c r="N155" s="14" t="str">
        <x:v>已识读</x:v>
      </x:c>
      <x:c r="O155" s="14"/>
      <x:c r="P155" s="14" t="str">
        <x:v>图片2</x:v>
      </x:c>
    </x:row>
    <x:row r="156">
      <x:c r="A156" s="14" t="str">
        <x:v>S0155</x:v>
      </x:c>
      <x:c r="B156" s="14" t="str">
        <x:v>工作日</x:v>
      </x:c>
      <x:c r="C156" s="14" t="str">
        <x:v>环线3路</x:v>
      </x:c>
      <x:c r="D156" s="14" t="str">
        <x:v>国防科大环线2路、3路发车时刻表（工作日）</x:v>
      </x:c>
      <x:c r="E156" s="14" t="str">
        <x:v>第四班</x:v>
      </x:c>
      <x:c r="F156" s="14" t="n">
        <x:v>8</x:v>
      </x:c>
      <x:c r="G156" s="14" t="str">
        <x:v>21:20</x:v>
      </x:c>
      <x:c r="H156" s="14" t="str">
        <x:v>21:20</x:v>
      </x:c>
      <x:c r="I156" s="14" t="n">
        <x:v>1280</x:v>
      </x:c>
      <x:c r="J156" s="14" t="str">
        <x:v>原表默认发车点</x:v>
      </x:c>
      <x:c r="K156" s="14" t="str">
        <x:v>否</x:v>
      </x:c>
      <x:c r="L156" s="14" t="str">
        <x:v>孙五星</x:v>
      </x:c>
      <x:c r="M156" s="14" t="str">
        <x:v>3号车</x:v>
      </x:c>
      <x:c r="N156" s="14" t="str">
        <x:v>已识读</x:v>
      </x:c>
      <x:c r="O156" s="14"/>
      <x:c r="P156" s="14" t="str">
        <x:v>图片2</x:v>
      </x:c>
    </x:row>
    <x:row r="157">
      <x:c r="A157" s="14" t="str">
        <x:v>S0156</x:v>
      </x:c>
      <x:c r="B157" s="14" t="str">
        <x:v>工作日</x:v>
      </x:c>
      <x:c r="C157" s="14" t="str">
        <x:v>环线3路</x:v>
      </x:c>
      <x:c r="D157" s="14" t="str">
        <x:v>国防科大环线2路、3路发车时刻表（工作日）</x:v>
      </x:c>
      <x:c r="E157" s="14" t="str">
        <x:v>第四班</x:v>
      </x:c>
      <x:c r="F157" s="14" t="n">
        <x:v>9</x:v>
      </x:c>
      <x:c r="G157" s="14" t="str">
        <x:v>21:50</x:v>
      </x:c>
      <x:c r="H157" s="14" t="str">
        <x:v>21:50</x:v>
      </x:c>
      <x:c r="I157" s="14" t="n">
        <x:v>1310</x:v>
      </x:c>
      <x:c r="J157" s="14" t="str">
        <x:v>原表默认发车点</x:v>
      </x:c>
      <x:c r="K157" s="14" t="str">
        <x:v>否</x:v>
      </x:c>
      <x:c r="L157" s="14" t="str">
        <x:v>孙五星</x:v>
      </x:c>
      <x:c r="M157" s="14" t="str">
        <x:v>3号车</x:v>
      </x:c>
      <x:c r="N157" s="14" t="str">
        <x:v>已识读</x:v>
      </x:c>
      <x:c r="O157" s="14"/>
      <x:c r="P157" s="14" t="str">
        <x:v>图片2</x:v>
      </x:c>
    </x:row>
    <x:row r="158">
      <x:c r="A158" s="14" t="str">
        <x:v>S0157</x:v>
      </x:c>
      <x:c r="B158" s="14" t="str">
        <x:v>周末/节假日</x:v>
      </x:c>
      <x:c r="C158" s="14" t="str">
        <x:v>环线2路</x:v>
      </x:c>
      <x:c r="D158" s="14" t="str">
        <x:v>国防科大环线2路、3路发车时刻表（周末/节假日）</x:v>
      </x:c>
      <x:c r="E158" s="14" t="str">
        <x:v>第一班</x:v>
      </x:c>
      <x:c r="F158" s="14" t="n">
        <x:v>1</x:v>
      </x:c>
      <x:c r="G158" s="14" t="str">
        <x:v>8:20</x:v>
      </x:c>
      <x:c r="H158" s="14" t="str">
        <x:v>08:20</x:v>
      </x:c>
      <x:c r="I158" s="14" t="n">
        <x:v>500</x:v>
      </x:c>
      <x:c r="J158" s="14" t="str">
        <x:v>原表默认发车点</x:v>
      </x:c>
      <x:c r="K158" s="14" t="str">
        <x:v>否</x:v>
      </x:c>
      <x:c r="L158" s="14" t="str">
        <x:v>刘晓燕</x:v>
      </x:c>
      <x:c r="M158" s="14" t="str">
        <x:v>1号车</x:v>
      </x:c>
      <x:c r="N158" s="14" t="str">
        <x:v>已识读</x:v>
      </x:c>
      <x:c r="O158" s="14"/>
      <x:c r="P158" s="14" t="str">
        <x:v>图片3</x:v>
      </x:c>
    </x:row>
    <x:row r="159">
      <x:c r="A159" s="14" t="str">
        <x:v>S0158</x:v>
      </x:c>
      <x:c r="B159" s="14" t="str">
        <x:v>周末/节假日</x:v>
      </x:c>
      <x:c r="C159" s="14" t="str">
        <x:v>环线2路</x:v>
      </x:c>
      <x:c r="D159" s="14" t="str">
        <x:v>国防科大环线2路、3路发车时刻表（周末/节假日）</x:v>
      </x:c>
      <x:c r="E159" s="14" t="str">
        <x:v>第一班</x:v>
      </x:c>
      <x:c r="F159" s="14" t="n">
        <x:v>2</x:v>
      </x:c>
      <x:c r="G159" s="14" t="str">
        <x:v>8:40</x:v>
      </x:c>
      <x:c r="H159" s="14" t="str">
        <x:v>08:40</x:v>
      </x:c>
      <x:c r="I159" s="14" t="n">
        <x:v>520</x:v>
      </x:c>
      <x:c r="J159" s="14" t="str">
        <x:v>原表默认发车点</x:v>
      </x:c>
      <x:c r="K159" s="14" t="str">
        <x:v>否</x:v>
      </x:c>
      <x:c r="L159" s="14" t="str">
        <x:v>刘晓燕</x:v>
      </x:c>
      <x:c r="M159" s="14" t="str">
        <x:v>1号车</x:v>
      </x:c>
      <x:c r="N159" s="14" t="str">
        <x:v>已识读</x:v>
      </x:c>
      <x:c r="O159" s="14"/>
      <x:c r="P159" s="14" t="str">
        <x:v>图片3</x:v>
      </x:c>
    </x:row>
    <x:row r="160">
      <x:c r="A160" s="14" t="str">
        <x:v>S0159</x:v>
      </x:c>
      <x:c r="B160" s="14" t="str">
        <x:v>周末/节假日</x:v>
      </x:c>
      <x:c r="C160" s="14" t="str">
        <x:v>环线2路</x:v>
      </x:c>
      <x:c r="D160" s="14" t="str">
        <x:v>国防科大环线2路、3路发车时刻表（周末/节假日）</x:v>
      </x:c>
      <x:c r="E160" s="14" t="str">
        <x:v>第一班</x:v>
      </x:c>
      <x:c r="F160" s="14" t="n">
        <x:v>3</x:v>
      </x:c>
      <x:c r="G160" s="14" t="str">
        <x:v>9:00</x:v>
      </x:c>
      <x:c r="H160" s="14" t="str">
        <x:v>09:00</x:v>
      </x:c>
      <x:c r="I160" s="14" t="n">
        <x:v>540</x:v>
      </x:c>
      <x:c r="J160" s="14" t="str">
        <x:v>原表默认发车点</x:v>
      </x:c>
      <x:c r="K160" s="14" t="str">
        <x:v>否</x:v>
      </x:c>
      <x:c r="L160" s="14" t="str">
        <x:v>刘晓燕</x:v>
      </x:c>
      <x:c r="M160" s="14" t="str">
        <x:v>1号车</x:v>
      </x:c>
      <x:c r="N160" s="14" t="str">
        <x:v>已识读</x:v>
      </x:c>
      <x:c r="O160" s="14"/>
      <x:c r="P160" s="14" t="str">
        <x:v>图片3</x:v>
      </x:c>
    </x:row>
    <x:row r="161">
      <x:c r="A161" s="14" t="str">
        <x:v>S0160</x:v>
      </x:c>
      <x:c r="B161" s="14" t="str">
        <x:v>周末/节假日</x:v>
      </x:c>
      <x:c r="C161" s="14" t="str">
        <x:v>环线2路</x:v>
      </x:c>
      <x:c r="D161" s="14" t="str">
        <x:v>国防科大环线2路、3路发车时刻表（周末/节假日）</x:v>
      </x:c>
      <x:c r="E161" s="14" t="str">
        <x:v>第一班</x:v>
      </x:c>
      <x:c r="F161" s="14" t="n">
        <x:v>4</x:v>
      </x:c>
      <x:c r="G161" s="14" t="str">
        <x:v>9:20</x:v>
      </x:c>
      <x:c r="H161" s="14" t="str">
        <x:v>09:20</x:v>
      </x:c>
      <x:c r="I161" s="14" t="n">
        <x:v>560</x:v>
      </x:c>
      <x:c r="J161" s="14" t="str">
        <x:v>原表默认发车点</x:v>
      </x:c>
      <x:c r="K161" s="14" t="str">
        <x:v>否</x:v>
      </x:c>
      <x:c r="L161" s="14" t="str">
        <x:v>刘晓燕</x:v>
      </x:c>
      <x:c r="M161" s="14" t="str">
        <x:v>1号车</x:v>
      </x:c>
      <x:c r="N161" s="14" t="str">
        <x:v>已识读</x:v>
      </x:c>
      <x:c r="O161" s="14"/>
      <x:c r="P161" s="14" t="str">
        <x:v>图片3</x:v>
      </x:c>
    </x:row>
    <x:row r="162">
      <x:c r="A162" s="14" t="str">
        <x:v>S0161</x:v>
      </x:c>
      <x:c r="B162" s="14" t="str">
        <x:v>周末/节假日</x:v>
      </x:c>
      <x:c r="C162" s="14" t="str">
        <x:v>环线2路</x:v>
      </x:c>
      <x:c r="D162" s="14" t="str">
        <x:v>国防科大环线2路、3路发车时刻表（周末/节假日）</x:v>
      </x:c>
      <x:c r="E162" s="14" t="str">
        <x:v>第一班</x:v>
      </x:c>
      <x:c r="F162" s="14" t="n">
        <x:v>5</x:v>
      </x:c>
      <x:c r="G162" s="14" t="str">
        <x:v>9:40</x:v>
      </x:c>
      <x:c r="H162" s="14" t="str">
        <x:v>09:40</x:v>
      </x:c>
      <x:c r="I162" s="14" t="n">
        <x:v>580</x:v>
      </x:c>
      <x:c r="J162" s="14" t="str">
        <x:v>原表默认发车点</x:v>
      </x:c>
      <x:c r="K162" s="14" t="str">
        <x:v>否</x:v>
      </x:c>
      <x:c r="L162" s="14" t="str">
        <x:v>刘晓燕</x:v>
      </x:c>
      <x:c r="M162" s="14" t="str">
        <x:v>1号车</x:v>
      </x:c>
      <x:c r="N162" s="14" t="str">
        <x:v>已识读</x:v>
      </x:c>
      <x:c r="O162" s="14"/>
      <x:c r="P162" s="14" t="str">
        <x:v>图片3</x:v>
      </x:c>
    </x:row>
    <x:row r="163">
      <x:c r="A163" s="14" t="str">
        <x:v>S0162</x:v>
      </x:c>
      <x:c r="B163" s="14" t="str">
        <x:v>周末/节假日</x:v>
      </x:c>
      <x:c r="C163" s="14" t="str">
        <x:v>环线2路</x:v>
      </x:c>
      <x:c r="D163" s="14" t="str">
        <x:v>国防科大环线2路、3路发车时刻表（周末/节假日）</x:v>
      </x:c>
      <x:c r="E163" s="14" t="str">
        <x:v>第一班</x:v>
      </x:c>
      <x:c r="F163" s="14" t="n">
        <x:v>6</x:v>
      </x:c>
      <x:c r="G163" s="14" t="str">
        <x:v>11:30</x:v>
      </x:c>
      <x:c r="H163" s="14" t="str">
        <x:v>11:30</x:v>
      </x:c>
      <x:c r="I163" s="14" t="n">
        <x:v>690</x:v>
      </x:c>
      <x:c r="J163" s="14" t="str">
        <x:v>原表默认发车点</x:v>
      </x:c>
      <x:c r="K163" s="14" t="str">
        <x:v>否</x:v>
      </x:c>
      <x:c r="L163" s="14" t="str">
        <x:v>刘晓燕</x:v>
      </x:c>
      <x:c r="M163" s="14" t="str">
        <x:v>1号车</x:v>
      </x:c>
      <x:c r="N163" s="14" t="str">
        <x:v>已识读</x:v>
      </x:c>
      <x:c r="O163" s="14"/>
      <x:c r="P163" s="14" t="str">
        <x:v>图片3</x:v>
      </x:c>
    </x:row>
    <x:row r="164">
      <x:c r="A164" s="14" t="str">
        <x:v>S0163</x:v>
      </x:c>
      <x:c r="B164" s="14" t="str">
        <x:v>周末/节假日</x:v>
      </x:c>
      <x:c r="C164" s="14" t="str">
        <x:v>环线2路</x:v>
      </x:c>
      <x:c r="D164" s="14" t="str">
        <x:v>国防科大环线2路、3路发车时刻表（周末/节假日）</x:v>
      </x:c>
      <x:c r="E164" s="14" t="str">
        <x:v>第一班</x:v>
      </x:c>
      <x:c r="F164" s="14" t="n">
        <x:v>7</x:v>
      </x:c>
      <x:c r="G164" s="14" t="str">
        <x:v>12:00</x:v>
      </x:c>
      <x:c r="H164" s="14" t="str">
        <x:v>12:00</x:v>
      </x:c>
      <x:c r="I164" s="14" t="n">
        <x:v>720</x:v>
      </x:c>
      <x:c r="J164" s="14" t="str">
        <x:v>原表默认发车点</x:v>
      </x:c>
      <x:c r="K164" s="14" t="str">
        <x:v>否</x:v>
      </x:c>
      <x:c r="L164" s="14" t="str">
        <x:v>刘晓燕</x:v>
      </x:c>
      <x:c r="M164" s="14" t="str">
        <x:v>1号车</x:v>
      </x:c>
      <x:c r="N164" s="14" t="str">
        <x:v>已识读</x:v>
      </x:c>
      <x:c r="O164" s="14"/>
      <x:c r="P164" s="14" t="str">
        <x:v>图片3</x:v>
      </x:c>
    </x:row>
    <x:row r="165">
      <x:c r="A165" s="14" t="str">
        <x:v>S0164</x:v>
      </x:c>
      <x:c r="B165" s="14" t="str">
        <x:v>周末/节假日</x:v>
      </x:c>
      <x:c r="C165" s="14" t="str">
        <x:v>环线2路</x:v>
      </x:c>
      <x:c r="D165" s="14" t="str">
        <x:v>国防科大环线2路、3路发车时刻表（周末/节假日）</x:v>
      </x:c>
      <x:c r="E165" s="14" t="str">
        <x:v>第一班</x:v>
      </x:c>
      <x:c r="F165" s="14" t="n">
        <x:v>8</x:v>
      </x:c>
      <x:c r="G165" s="14" t="str">
        <x:v>12:30</x:v>
      </x:c>
      <x:c r="H165" s="14" t="str">
        <x:v>12:30</x:v>
      </x:c>
      <x:c r="I165" s="14" t="n">
        <x:v>750</x:v>
      </x:c>
      <x:c r="J165" s="14" t="str">
        <x:v>原表默认发车点</x:v>
      </x:c>
      <x:c r="K165" s="14" t="str">
        <x:v>否</x:v>
      </x:c>
      <x:c r="L165" s="14" t="str">
        <x:v>刘晓燕</x:v>
      </x:c>
      <x:c r="M165" s="14" t="str">
        <x:v>1号车</x:v>
      </x:c>
      <x:c r="N165" s="14" t="str">
        <x:v>已识读</x:v>
      </x:c>
      <x:c r="O165" s="14"/>
      <x:c r="P165" s="14" t="str">
        <x:v>图片3</x:v>
      </x:c>
    </x:row>
    <x:row r="166">
      <x:c r="A166" s="14" t="str">
        <x:v>S0165</x:v>
      </x:c>
      <x:c r="B166" s="14" t="str">
        <x:v>周末/节假日</x:v>
      </x:c>
      <x:c r="C166" s="14" t="str">
        <x:v>环线2路</x:v>
      </x:c>
      <x:c r="D166" s="14" t="str">
        <x:v>国防科大环线2路、3路发车时刻表（周末/节假日）</x:v>
      </x:c>
      <x:c r="E166" s="14" t="str">
        <x:v>第一班</x:v>
      </x:c>
      <x:c r="F166" s="14" t="n">
        <x:v>9</x:v>
      </x:c>
      <x:c r="G166" s="14" t="str">
        <x:v>14:30</x:v>
      </x:c>
      <x:c r="H166" s="14" t="str">
        <x:v>14:30</x:v>
      </x:c>
      <x:c r="I166" s="14" t="n">
        <x:v>870</x:v>
      </x:c>
      <x:c r="J166" s="14" t="str">
        <x:v>原表默认发车点</x:v>
      </x:c>
      <x:c r="K166" s="14" t="str">
        <x:v>否</x:v>
      </x:c>
      <x:c r="L166" s="14" t="str">
        <x:v>刘晓燕</x:v>
      </x:c>
      <x:c r="M166" s="14" t="str">
        <x:v>1号车</x:v>
      </x:c>
      <x:c r="N166" s="14" t="str">
        <x:v>已识读</x:v>
      </x:c>
      <x:c r="O166" s="14"/>
      <x:c r="P166" s="14" t="str">
        <x:v>图片3</x:v>
      </x:c>
    </x:row>
    <x:row r="167">
      <x:c r="A167" s="14" t="str">
        <x:v>S0166</x:v>
      </x:c>
      <x:c r="B167" s="14" t="str">
        <x:v>周末/节假日</x:v>
      </x:c>
      <x:c r="C167" s="14" t="str">
        <x:v>环线2路</x:v>
      </x:c>
      <x:c r="D167" s="14" t="str">
        <x:v>国防科大环线2路、3路发车时刻表（周末/节假日）</x:v>
      </x:c>
      <x:c r="E167" s="14" t="str">
        <x:v>第一班</x:v>
      </x:c>
      <x:c r="F167" s="14" t="n">
        <x:v>10</x:v>
      </x:c>
      <x:c r="G167" s="14" t="str">
        <x:v>15:00</x:v>
      </x:c>
      <x:c r="H167" s="14" t="str">
        <x:v>15:00</x:v>
      </x:c>
      <x:c r="I167" s="14" t="n">
        <x:v>900</x:v>
      </x:c>
      <x:c r="J167" s="14" t="str">
        <x:v>原表默认发车点</x:v>
      </x:c>
      <x:c r="K167" s="14" t="str">
        <x:v>否</x:v>
      </x:c>
      <x:c r="L167" s="14" t="str">
        <x:v>刘晓燕</x:v>
      </x:c>
      <x:c r="M167" s="14" t="str">
        <x:v>1号车</x:v>
      </x:c>
      <x:c r="N167" s="14" t="str">
        <x:v>已识读</x:v>
      </x:c>
      <x:c r="O167" s="14"/>
      <x:c r="P167" s="14" t="str">
        <x:v>图片3</x:v>
      </x:c>
    </x:row>
    <x:row r="168">
      <x:c r="A168" s="14" t="str">
        <x:v>S0167</x:v>
      </x:c>
      <x:c r="B168" s="14" t="str">
        <x:v>周末/节假日</x:v>
      </x:c>
      <x:c r="C168" s="14" t="str">
        <x:v>环线2路</x:v>
      </x:c>
      <x:c r="D168" s="14" t="str">
        <x:v>国防科大环线2路、3路发车时刻表（周末/节假日）</x:v>
      </x:c>
      <x:c r="E168" s="14" t="str">
        <x:v>第一班</x:v>
      </x:c>
      <x:c r="F168" s="14" t="n">
        <x:v>11</x:v>
      </x:c>
      <x:c r="G168" s="14" t="str">
        <x:v>17:00</x:v>
      </x:c>
      <x:c r="H168" s="14" t="str">
        <x:v>17:00</x:v>
      </x:c>
      <x:c r="I168" s="14" t="n">
        <x:v>1020</x:v>
      </x:c>
      <x:c r="J168" s="14" t="str">
        <x:v>原表默认发车点</x:v>
      </x:c>
      <x:c r="K168" s="14" t="str">
        <x:v>否</x:v>
      </x:c>
      <x:c r="L168" s="14" t="str">
        <x:v>刘晓燕</x:v>
      </x:c>
      <x:c r="M168" s="14" t="str">
        <x:v>1号车</x:v>
      </x:c>
      <x:c r="N168" s="14" t="str">
        <x:v>已识读</x:v>
      </x:c>
      <x:c r="O168" s="14"/>
      <x:c r="P168" s="14" t="str">
        <x:v>图片3</x:v>
      </x:c>
    </x:row>
    <x:row r="169">
      <x:c r="A169" s="14" t="str">
        <x:v>S0168</x:v>
      </x:c>
      <x:c r="B169" s="14" t="str">
        <x:v>周末/节假日</x:v>
      </x:c>
      <x:c r="C169" s="14" t="str">
        <x:v>环线2路</x:v>
      </x:c>
      <x:c r="D169" s="14" t="str">
        <x:v>国防科大环线2路、3路发车时刻表（周末/节假日）</x:v>
      </x:c>
      <x:c r="E169" s="14" t="str">
        <x:v>第一班</x:v>
      </x:c>
      <x:c r="F169" s="14" t="n">
        <x:v>12</x:v>
      </x:c>
      <x:c r="G169" s="14" t="str">
        <x:v>17:30</x:v>
      </x:c>
      <x:c r="H169" s="14" t="str">
        <x:v>17:30</x:v>
      </x:c>
      <x:c r="I169" s="14" t="n">
        <x:v>1050</x:v>
      </x:c>
      <x:c r="J169" s="14" t="str">
        <x:v>原表默认发车点</x:v>
      </x:c>
      <x:c r="K169" s="14" t="str">
        <x:v>否</x:v>
      </x:c>
      <x:c r="L169" s="14" t="str">
        <x:v>刘晓燕</x:v>
      </x:c>
      <x:c r="M169" s="14" t="str">
        <x:v>1号车</x:v>
      </x:c>
      <x:c r="N169" s="14" t="str">
        <x:v>已识读</x:v>
      </x:c>
      <x:c r="O169" s="14"/>
      <x:c r="P169" s="14" t="str">
        <x:v>图片3</x:v>
      </x:c>
    </x:row>
    <x:row r="170">
      <x:c r="A170" s="14" t="str">
        <x:v>S0169</x:v>
      </x:c>
      <x:c r="B170" s="14" t="str">
        <x:v>周末/节假日</x:v>
      </x:c>
      <x:c r="C170" s="14" t="str">
        <x:v>环线2路</x:v>
      </x:c>
      <x:c r="D170" s="14" t="str">
        <x:v>国防科大环线2路、3路发车时刻表（周末/节假日）</x:v>
      </x:c>
      <x:c r="E170" s="14" t="str">
        <x:v>第一班</x:v>
      </x:c>
      <x:c r="F170" s="14" t="n">
        <x:v>13</x:v>
      </x:c>
      <x:c r="G170" s="14" t="str">
        <x:v>18:00</x:v>
      </x:c>
      <x:c r="H170" s="14" t="str">
        <x:v>18:00</x:v>
      </x:c>
      <x:c r="I170" s="14" t="n">
        <x:v>1080</x:v>
      </x:c>
      <x:c r="J170" s="14" t="str">
        <x:v>原表默认发车点</x:v>
      </x:c>
      <x:c r="K170" s="14" t="str">
        <x:v>否</x:v>
      </x:c>
      <x:c r="L170" s="14" t="str">
        <x:v>刘晓燕</x:v>
      </x:c>
      <x:c r="M170" s="14" t="str">
        <x:v>1号车</x:v>
      </x:c>
      <x:c r="N170" s="14" t="str">
        <x:v>已识读</x:v>
      </x:c>
      <x:c r="O170" s="14"/>
      <x:c r="P170" s="14" t="str">
        <x:v>图片3</x:v>
      </x:c>
    </x:row>
    <x:row r="171">
      <x:c r="A171" s="14" t="str">
        <x:v>S0170</x:v>
      </x:c>
      <x:c r="B171" s="14" t="str">
        <x:v>周末/节假日</x:v>
      </x:c>
      <x:c r="C171" s="14" t="str">
        <x:v>环线2路</x:v>
      </x:c>
      <x:c r="D171" s="14" t="str">
        <x:v>国防科大环线2路、3路发车时刻表（周末/节假日）</x:v>
      </x:c>
      <x:c r="E171" s="14" t="str">
        <x:v>第二班</x:v>
      </x:c>
      <x:c r="F171" s="14" t="n">
        <x:v>1</x:v>
      </x:c>
      <x:c r="G171" s="14" t="str">
        <x:v>20:40</x:v>
      </x:c>
      <x:c r="H171" s="14" t="str">
        <x:v>20:40</x:v>
      </x:c>
      <x:c r="I171" s="14" t="n">
        <x:v>1240</x:v>
      </x:c>
      <x:c r="J171" s="14" t="str">
        <x:v>原表默认发车点</x:v>
      </x:c>
      <x:c r="K171" s="14" t="str">
        <x:v>否</x:v>
      </x:c>
      <x:c r="L171" s="14" t="str">
        <x:v>孙五星</x:v>
      </x:c>
      <x:c r="M171" s="14" t="str">
        <x:v>2号车</x:v>
      </x:c>
      <x:c r="N171" s="14" t="str">
        <x:v>已识读</x:v>
      </x:c>
      <x:c r="O171" s="14"/>
      <x:c r="P171" s="14" t="str">
        <x:v>图片3</x:v>
      </x:c>
    </x:row>
    <x:row r="172">
      <x:c r="A172" s="14" t="str">
        <x:v>S0171</x:v>
      </x:c>
      <x:c r="B172" s="14" t="str">
        <x:v>周末/节假日</x:v>
      </x:c>
      <x:c r="C172" s="14" t="str">
        <x:v>环线2路</x:v>
      </x:c>
      <x:c r="D172" s="14" t="str">
        <x:v>国防科大环线2路、3路发车时刻表（周末/节假日）</x:v>
      </x:c>
      <x:c r="E172" s="14" t="str">
        <x:v>第二班</x:v>
      </x:c>
      <x:c r="F172" s="14" t="n">
        <x:v>2</x:v>
      </x:c>
      <x:c r="G172" s="14" t="str">
        <x:v>21:00</x:v>
      </x:c>
      <x:c r="H172" s="14" t="str">
        <x:v>21:00</x:v>
      </x:c>
      <x:c r="I172" s="14" t="n">
        <x:v>1260</x:v>
      </x:c>
      <x:c r="J172" s="14" t="str">
        <x:v>原表默认发车点</x:v>
      </x:c>
      <x:c r="K172" s="14" t="str">
        <x:v>否</x:v>
      </x:c>
      <x:c r="L172" s="14" t="str">
        <x:v>孙五星</x:v>
      </x:c>
      <x:c r="M172" s="14" t="str">
        <x:v>2号车</x:v>
      </x:c>
      <x:c r="N172" s="14" t="str">
        <x:v>已识读</x:v>
      </x:c>
      <x:c r="O172" s="14"/>
      <x:c r="P172" s="14" t="str">
        <x:v>图片3</x:v>
      </x:c>
    </x:row>
    <x:row r="173">
      <x:c r="A173" s="14" t="str">
        <x:v>S0172</x:v>
      </x:c>
      <x:c r="B173" s="14" t="str">
        <x:v>周末/节假日</x:v>
      </x:c>
      <x:c r="C173" s="14" t="str">
        <x:v>环线2路</x:v>
      </x:c>
      <x:c r="D173" s="14" t="str">
        <x:v>国防科大环线2路、3路发车时刻表（周末/节假日）</x:v>
      </x:c>
      <x:c r="E173" s="14" t="str">
        <x:v>第二班</x:v>
      </x:c>
      <x:c r="F173" s="14" t="n">
        <x:v>3</x:v>
      </x:c>
      <x:c r="G173" s="14" t="str">
        <x:v>21:25</x:v>
      </x:c>
      <x:c r="H173" s="14" t="str">
        <x:v>21:25</x:v>
      </x:c>
      <x:c r="I173" s="14" t="n">
        <x:v>1285</x:v>
      </x:c>
      <x:c r="J173" s="14" t="str">
        <x:v>原表默认发车点</x:v>
      </x:c>
      <x:c r="K173" s="14" t="str">
        <x:v>否</x:v>
      </x:c>
      <x:c r="L173" s="14" t="str">
        <x:v>孙五星</x:v>
      </x:c>
      <x:c r="M173" s="14" t="str">
        <x:v>2号车</x:v>
      </x:c>
      <x:c r="N173" s="14" t="str">
        <x:v>已识读</x:v>
      </x:c>
      <x:c r="O173" s="14"/>
      <x:c r="P173" s="14" t="str">
        <x:v>图片3</x:v>
      </x:c>
    </x:row>
    <x:row r="174">
      <x:c r="A174" s="14" t="str">
        <x:v>S0173</x:v>
      </x:c>
      <x:c r="B174" s="14" t="str">
        <x:v>周末/节假日</x:v>
      </x:c>
      <x:c r="C174" s="14" t="str">
        <x:v>环线2路</x:v>
      </x:c>
      <x:c r="D174" s="14" t="str">
        <x:v>国防科大环线2路、3路发车时刻表（周末/节假日）</x:v>
      </x:c>
      <x:c r="E174" s="14" t="str">
        <x:v>第二班</x:v>
      </x:c>
      <x:c r="F174" s="14" t="n">
        <x:v>4</x:v>
      </x:c>
      <x:c r="G174" s="14" t="str">
        <x:v>21:50</x:v>
      </x:c>
      <x:c r="H174" s="14" t="str">
        <x:v>21:50</x:v>
      </x:c>
      <x:c r="I174" s="14" t="n">
        <x:v>1310</x:v>
      </x:c>
      <x:c r="J174" s="14" t="str">
        <x:v>原表默认发车点</x:v>
      </x:c>
      <x:c r="K174" s="14" t="str">
        <x:v>否</x:v>
      </x:c>
      <x:c r="L174" s="14" t="str">
        <x:v>孙五星</x:v>
      </x:c>
      <x:c r="M174" s="14" t="str">
        <x:v>2号车</x:v>
      </x:c>
      <x:c r="N174" s="14" t="str">
        <x:v>已识读</x:v>
      </x:c>
      <x:c r="O174" s="14"/>
      <x:c r="P174" s="14" t="str">
        <x:v>图片3</x:v>
      </x:c>
    </x:row>
    <x:row r="175">
      <x:c r="A175" s="14" t="str">
        <x:v>S0174</x:v>
      </x:c>
      <x:c r="B175" s="14" t="str">
        <x:v>周末/节假日</x:v>
      </x:c>
      <x:c r="C175" s="14" t="str">
        <x:v>环线3路</x:v>
      </x:c>
      <x:c r="D175" s="14" t="str">
        <x:v>国防科大环线2路、3路发车时刻表（周末/节假日）</x:v>
      </x:c>
      <x:c r="E175" s="14" t="str">
        <x:v>第一班</x:v>
      </x:c>
      <x:c r="F175" s="14" t="n">
        <x:v>1</x:v>
      </x:c>
      <x:c r="G175" s="14" t="str">
        <x:v>8:15</x:v>
      </x:c>
      <x:c r="H175" s="14" t="str">
        <x:v>08:15</x:v>
      </x:c>
      <x:c r="I175" s="14" t="n">
        <x:v>495</x:v>
      </x:c>
      <x:c r="J175" s="14" t="str">
        <x:v>原表默认发车点</x:v>
      </x:c>
      <x:c r="K175" s="14" t="str">
        <x:v>否</x:v>
      </x:c>
      <x:c r="L175" s="14" t="str">
        <x:v>孙五星</x:v>
      </x:c>
      <x:c r="M175" s="14" t="str">
        <x:v>3号车</x:v>
      </x:c>
      <x:c r="N175" s="14" t="str">
        <x:v>已识读</x:v>
      </x:c>
      <x:c r="O175" s="14"/>
      <x:c r="P175" s="14" t="str">
        <x:v>图片3</x:v>
      </x:c>
    </x:row>
    <x:row r="176">
      <x:c r="A176" s="14" t="str">
        <x:v>S0175</x:v>
      </x:c>
      <x:c r="B176" s="14" t="str">
        <x:v>周末/节假日</x:v>
      </x:c>
      <x:c r="C176" s="14" t="str">
        <x:v>环线3路</x:v>
      </x:c>
      <x:c r="D176" s="14" t="str">
        <x:v>国防科大环线2路、3路发车时刻表（周末/节假日）</x:v>
      </x:c>
      <x:c r="E176" s="14" t="str">
        <x:v>第一班</x:v>
      </x:c>
      <x:c r="F176" s="14" t="n">
        <x:v>2</x:v>
      </x:c>
      <x:c r="G176" s="14" t="str">
        <x:v>8:40</x:v>
      </x:c>
      <x:c r="H176" s="14" t="str">
        <x:v>08:40</x:v>
      </x:c>
      <x:c r="I176" s="14" t="n">
        <x:v>520</x:v>
      </x:c>
      <x:c r="J176" s="14" t="str">
        <x:v>原表默认发车点</x:v>
      </x:c>
      <x:c r="K176" s="14" t="str">
        <x:v>否</x:v>
      </x:c>
      <x:c r="L176" s="14" t="str">
        <x:v>孙五星</x:v>
      </x:c>
      <x:c r="M176" s="14" t="str">
        <x:v>3号车</x:v>
      </x:c>
      <x:c r="N176" s="14" t="str">
        <x:v>已识读</x:v>
      </x:c>
      <x:c r="O176" s="14"/>
      <x:c r="P176" s="14" t="str">
        <x:v>图片3</x:v>
      </x:c>
    </x:row>
    <x:row r="177">
      <x:c r="A177" s="14" t="str">
        <x:v>S0176</x:v>
      </x:c>
      <x:c r="B177" s="14" t="str">
        <x:v>周末/节假日</x:v>
      </x:c>
      <x:c r="C177" s="14" t="str">
        <x:v>环线3路</x:v>
      </x:c>
      <x:c r="D177" s="14" t="str">
        <x:v>国防科大环线2路、3路发车时刻表（周末/节假日）</x:v>
      </x:c>
      <x:c r="E177" s="14" t="str">
        <x:v>第一班</x:v>
      </x:c>
      <x:c r="F177" s="14" t="n">
        <x:v>3</x:v>
      </x:c>
      <x:c r="G177" s="14" t="str">
        <x:v>9:05</x:v>
      </x:c>
      <x:c r="H177" s="14" t="str">
        <x:v>09:05</x:v>
      </x:c>
      <x:c r="I177" s="14" t="n">
        <x:v>545</x:v>
      </x:c>
      <x:c r="J177" s="14" t="str">
        <x:v>原表默认发车点</x:v>
      </x:c>
      <x:c r="K177" s="14" t="str">
        <x:v>否</x:v>
      </x:c>
      <x:c r="L177" s="14" t="str">
        <x:v>孙五星</x:v>
      </x:c>
      <x:c r="M177" s="14" t="str">
        <x:v>3号车</x:v>
      </x:c>
      <x:c r="N177" s="14" t="str">
        <x:v>已识读</x:v>
      </x:c>
      <x:c r="O177" s="14"/>
      <x:c r="P177" s="14" t="str">
        <x:v>图片3</x:v>
      </x:c>
    </x:row>
    <x:row r="178">
      <x:c r="A178" s="14" t="str">
        <x:v>S0177</x:v>
      </x:c>
      <x:c r="B178" s="14" t="str">
        <x:v>周末/节假日</x:v>
      </x:c>
      <x:c r="C178" s="14" t="str">
        <x:v>环线3路</x:v>
      </x:c>
      <x:c r="D178" s="14" t="str">
        <x:v>国防科大环线2路、3路发车时刻表（周末/节假日）</x:v>
      </x:c>
      <x:c r="E178" s="14" t="str">
        <x:v>第一班</x:v>
      </x:c>
      <x:c r="F178" s="14" t="n">
        <x:v>4</x:v>
      </x:c>
      <x:c r="G178" s="14" t="str">
        <x:v>9:30</x:v>
      </x:c>
      <x:c r="H178" s="14" t="str">
        <x:v>09:30</x:v>
      </x:c>
      <x:c r="I178" s="14" t="n">
        <x:v>570</x:v>
      </x:c>
      <x:c r="J178" s="14" t="str">
        <x:v>原表默认发车点</x:v>
      </x:c>
      <x:c r="K178" s="14" t="str">
        <x:v>否</x:v>
      </x:c>
      <x:c r="L178" s="14" t="str">
        <x:v>孙五星</x:v>
      </x:c>
      <x:c r="M178" s="14" t="str">
        <x:v>3号车</x:v>
      </x:c>
      <x:c r="N178" s="14" t="str">
        <x:v>已识读</x:v>
      </x:c>
      <x:c r="O178" s="14"/>
      <x:c r="P178" s="14" t="str">
        <x:v>图片3</x:v>
      </x:c>
    </x:row>
    <x:row r="179">
      <x:c r="A179" s="14" t="str">
        <x:v>S0178</x:v>
      </x:c>
      <x:c r="B179" s="14" t="str">
        <x:v>周末/节假日</x:v>
      </x:c>
      <x:c r="C179" s="14" t="str">
        <x:v>环线3路</x:v>
      </x:c>
      <x:c r="D179" s="14" t="str">
        <x:v>国防科大环线2路、3路发车时刻表（周末/节假日）</x:v>
      </x:c>
      <x:c r="E179" s="14" t="str">
        <x:v>第一班</x:v>
      </x:c>
      <x:c r="F179" s="14" t="n">
        <x:v>5</x:v>
      </x:c>
      <x:c r="G179" s="14" t="str">
        <x:v>9:55</x:v>
      </x:c>
      <x:c r="H179" s="14" t="str">
        <x:v>09:55</x:v>
      </x:c>
      <x:c r="I179" s="14" t="n">
        <x:v>595</x:v>
      </x:c>
      <x:c r="J179" s="14" t="str">
        <x:v>原表默认发车点</x:v>
      </x:c>
      <x:c r="K179" s="14" t="str">
        <x:v>否</x:v>
      </x:c>
      <x:c r="L179" s="14" t="str">
        <x:v>孙五星</x:v>
      </x:c>
      <x:c r="M179" s="14" t="str">
        <x:v>3号车</x:v>
      </x:c>
      <x:c r="N179" s="14" t="str">
        <x:v>已识读</x:v>
      </x:c>
      <x:c r="O179" s="14"/>
      <x:c r="P179" s="14" t="str">
        <x:v>图片3</x:v>
      </x:c>
    </x:row>
    <x:row r="180">
      <x:c r="A180" s="14" t="str">
        <x:v>S0179</x:v>
      </x:c>
      <x:c r="B180" s="14" t="str">
        <x:v>周末/节假日</x:v>
      </x:c>
      <x:c r="C180" s="14" t="str">
        <x:v>环线3路</x:v>
      </x:c>
      <x:c r="D180" s="14" t="str">
        <x:v>国防科大环线2路、3路发车时刻表（周末/节假日）</x:v>
      </x:c>
      <x:c r="E180" s="14" t="str">
        <x:v>第一班</x:v>
      </x:c>
      <x:c r="F180" s="14" t="n">
        <x:v>6</x:v>
      </x:c>
      <x:c r="G180" s="14" t="str">
        <x:v>10:20</x:v>
      </x:c>
      <x:c r="H180" s="14" t="str">
        <x:v>10:20</x:v>
      </x:c>
      <x:c r="I180" s="14" t="n">
        <x:v>620</x:v>
      </x:c>
      <x:c r="J180" s="14" t="str">
        <x:v>原表默认发车点</x:v>
      </x:c>
      <x:c r="K180" s="14" t="str">
        <x:v>否</x:v>
      </x:c>
      <x:c r="L180" s="14" t="str">
        <x:v>孙五星</x:v>
      </x:c>
      <x:c r="M180" s="14" t="str">
        <x:v>3号车</x:v>
      </x:c>
      <x:c r="N180" s="14" t="str">
        <x:v>已识读</x:v>
      </x:c>
      <x:c r="O180" s="14"/>
      <x:c r="P180" s="14" t="str">
        <x:v>图片3</x:v>
      </x:c>
    </x:row>
    <x:row r="181">
      <x:c r="A181" s="14" t="str">
        <x:v>S0180</x:v>
      </x:c>
      <x:c r="B181" s="14" t="str">
        <x:v>周末/节假日</x:v>
      </x:c>
      <x:c r="C181" s="14" t="str">
        <x:v>环线3路</x:v>
      </x:c>
      <x:c r="D181" s="14" t="str">
        <x:v>国防科大环线2路、3路发车时刻表（周末/节假日）</x:v>
      </x:c>
      <x:c r="E181" s="14" t="str">
        <x:v>第二班</x:v>
      </x:c>
      <x:c r="F181" s="14" t="n">
        <x:v>1</x:v>
      </x:c>
      <x:c r="G181" s="14" t="str">
        <x:v>11:25</x:v>
      </x:c>
      <x:c r="H181" s="14" t="str">
        <x:v>11:25</x:v>
      </x:c>
      <x:c r="I181" s="14" t="n">
        <x:v>685</x:v>
      </x:c>
      <x:c r="J181" s="14" t="str">
        <x:v>高超楼（系统工程学院旁）</x:v>
      </x:c>
      <x:c r="K181" s="14" t="str">
        <x:v>是</x:v>
      </x:c>
      <x:c r="L181" s="14" t="str">
        <x:v>夏文新</x:v>
      </x:c>
      <x:c r="M181" s="14" t="str">
        <x:v>4号车</x:v>
      </x:c>
      <x:c r="N181" s="14" t="str">
        <x:v>已识读</x:v>
      </x:c>
      <x:c r="O181" s="14" t="str">
        <x:v>原图红色字体/打勾；按用户说明，系统工程学院发车折算为高超楼站点发车</x:v>
      </x:c>
      <x:c r="P181" s="14" t="str">
        <x:v>图片3</x:v>
      </x:c>
    </x:row>
    <x:row r="182">
      <x:c r="A182" s="14" t="str">
        <x:v>S0181</x:v>
      </x:c>
      <x:c r="B182" s="14" t="str">
        <x:v>周末/节假日</x:v>
      </x:c>
      <x:c r="C182" s="14" t="str">
        <x:v>环线3路</x:v>
      </x:c>
      <x:c r="D182" s="14" t="str">
        <x:v>国防科大环线2路、3路发车时刻表（周末/节假日）</x:v>
      </x:c>
      <x:c r="E182" s="14" t="str">
        <x:v>第二班</x:v>
      </x:c>
      <x:c r="F182" s="14" t="n">
        <x:v>2</x:v>
      </x:c>
      <x:c r="G182" s="14" t="str">
        <x:v>11:55</x:v>
      </x:c>
      <x:c r="H182" s="14" t="str">
        <x:v>11:55</x:v>
      </x:c>
      <x:c r="I182" s="14" t="n">
        <x:v>715</x:v>
      </x:c>
      <x:c r="J182" s="14" t="str">
        <x:v>高超楼（系统工程学院旁）</x:v>
      </x:c>
      <x:c r="K182" s="14" t="str">
        <x:v>是</x:v>
      </x:c>
      <x:c r="L182" s="14" t="str">
        <x:v>夏文新</x:v>
      </x:c>
      <x:c r="M182" s="14" t="str">
        <x:v>4号车</x:v>
      </x:c>
      <x:c r="N182" s="14" t="str">
        <x:v>已识读</x:v>
      </x:c>
      <x:c r="O182" s="14" t="str">
        <x:v>原图红色字体/打勾；按用户说明，系统工程学院发车折算为高超楼站点发车</x:v>
      </x:c>
      <x:c r="P182" s="14" t="str">
        <x:v>图片3</x:v>
      </x:c>
    </x:row>
    <x:row r="183">
      <x:c r="A183" s="14" t="str">
        <x:v>S0182</x:v>
      </x:c>
      <x:c r="B183" s="14" t="str">
        <x:v>周末/节假日</x:v>
      </x:c>
      <x:c r="C183" s="14" t="str">
        <x:v>环线3路</x:v>
      </x:c>
      <x:c r="D183" s="14" t="str">
        <x:v>国防科大环线2路、3路发车时刻表（周末/节假日）</x:v>
      </x:c>
      <x:c r="E183" s="14" t="str">
        <x:v>第二班</x:v>
      </x:c>
      <x:c r="F183" s="14" t="n">
        <x:v>3</x:v>
      </x:c>
      <x:c r="G183" s="14" t="str">
        <x:v>12:25</x:v>
      </x:c>
      <x:c r="H183" s="14" t="str">
        <x:v>12:25</x:v>
      </x:c>
      <x:c r="I183" s="14" t="n">
        <x:v>745</x:v>
      </x:c>
      <x:c r="J183" s="14" t="str">
        <x:v>高超楼（系统工程学院旁）</x:v>
      </x:c>
      <x:c r="K183" s="14" t="str">
        <x:v>是</x:v>
      </x:c>
      <x:c r="L183" s="14" t="str">
        <x:v>夏文新</x:v>
      </x:c>
      <x:c r="M183" s="14" t="str">
        <x:v>4号车</x:v>
      </x:c>
      <x:c r="N183" s="14" t="str">
        <x:v>已识读</x:v>
      </x:c>
      <x:c r="O183" s="14" t="str">
        <x:v>原图红色字体/打勾；按用户说明，系统工程学院发车折算为高超楼站点发车</x:v>
      </x:c>
      <x:c r="P183" s="14" t="str">
        <x:v>图片3</x:v>
      </x:c>
    </x:row>
    <x:row r="184">
      <x:c r="A184" s="14" t="str">
        <x:v>S0183</x:v>
      </x:c>
      <x:c r="B184" s="14" t="str">
        <x:v>周末/节假日</x:v>
      </x:c>
      <x:c r="C184" s="14" t="str">
        <x:v>环线3路</x:v>
      </x:c>
      <x:c r="D184" s="14" t="str">
        <x:v>国防科大环线2路、3路发车时刻表（周末/节假日）</x:v>
      </x:c>
      <x:c r="E184" s="14" t="str">
        <x:v>第二班</x:v>
      </x:c>
      <x:c r="F184" s="14" t="n">
        <x:v>4</x:v>
      </x:c>
      <x:c r="G184" s="14" t="str">
        <x:v>14:20</x:v>
      </x:c>
      <x:c r="H184" s="14" t="str">
        <x:v>14:20</x:v>
      </x:c>
      <x:c r="I184" s="14" t="n">
        <x:v>860</x:v>
      </x:c>
      <x:c r="J184" s="14" t="str">
        <x:v>原表默认发车点</x:v>
      </x:c>
      <x:c r="K184" s="14" t="str">
        <x:v>否</x:v>
      </x:c>
      <x:c r="L184" s="14" t="str">
        <x:v>夏文新</x:v>
      </x:c>
      <x:c r="M184" s="14" t="str">
        <x:v>4号车</x:v>
      </x:c>
      <x:c r="N184" s="14" t="str">
        <x:v>已识读</x:v>
      </x:c>
      <x:c r="O184" s="14"/>
      <x:c r="P184" s="14" t="str">
        <x:v>图片3</x:v>
      </x:c>
    </x:row>
    <x:row r="185">
      <x:c r="A185" s="14" t="str">
        <x:v>S0184</x:v>
      </x:c>
      <x:c r="B185" s="14" t="str">
        <x:v>周末/节假日</x:v>
      </x:c>
      <x:c r="C185" s="14" t="str">
        <x:v>环线3路</x:v>
      </x:c>
      <x:c r="D185" s="14" t="str">
        <x:v>国防科大环线2路、3路发车时刻表（周末/节假日）</x:v>
      </x:c>
      <x:c r="E185" s="14" t="str">
        <x:v>第二班</x:v>
      </x:c>
      <x:c r="F185" s="14" t="n">
        <x:v>5</x:v>
      </x:c>
      <x:c r="G185" s="14" t="str">
        <x:v>14:45</x:v>
      </x:c>
      <x:c r="H185" s="14" t="str">
        <x:v>14:45</x:v>
      </x:c>
      <x:c r="I185" s="14" t="n">
        <x:v>885</x:v>
      </x:c>
      <x:c r="J185" s="14" t="str">
        <x:v>原表默认发车点</x:v>
      </x:c>
      <x:c r="K185" s="14" t="str">
        <x:v>否</x:v>
      </x:c>
      <x:c r="L185" s="14" t="str">
        <x:v>夏文新</x:v>
      </x:c>
      <x:c r="M185" s="14" t="str">
        <x:v>4号车</x:v>
      </x:c>
      <x:c r="N185" s="14" t="str">
        <x:v>已识读</x:v>
      </x:c>
      <x:c r="O185" s="14"/>
      <x:c r="P185" s="14" t="str">
        <x:v>图片3</x:v>
      </x:c>
    </x:row>
    <x:row r="186">
      <x:c r="A186" s="14" t="str">
        <x:v>S0185</x:v>
      </x:c>
      <x:c r="B186" s="14" t="str">
        <x:v>周末/节假日</x:v>
      </x:c>
      <x:c r="C186" s="14" t="str">
        <x:v>环线3路</x:v>
      </x:c>
      <x:c r="D186" s="14" t="str">
        <x:v>国防科大环线2路、3路发车时刻表（周末/节假日）</x:v>
      </x:c>
      <x:c r="E186" s="14" t="str">
        <x:v>第二班</x:v>
      </x:c>
      <x:c r="F186" s="14" t="n">
        <x:v>6</x:v>
      </x:c>
      <x:c r="G186" s="14" t="str">
        <x:v>15:10</x:v>
      </x:c>
      <x:c r="H186" s="14" t="str">
        <x:v>15:10</x:v>
      </x:c>
      <x:c r="I186" s="14" t="n">
        <x:v>910</x:v>
      </x:c>
      <x:c r="J186" s="14" t="str">
        <x:v>原表默认发车点</x:v>
      </x:c>
      <x:c r="K186" s="14" t="str">
        <x:v>否</x:v>
      </x:c>
      <x:c r="L186" s="14" t="str">
        <x:v>夏文新</x:v>
      </x:c>
      <x:c r="M186" s="14" t="str">
        <x:v>4号车</x:v>
      </x:c>
      <x:c r="N186" s="14" t="str">
        <x:v>已识读</x:v>
      </x:c>
      <x:c r="O186" s="14"/>
      <x:c r="P186" s="14" t="str">
        <x:v>图片3</x:v>
      </x:c>
    </x:row>
    <x:row r="187">
      <x:c r="A187" s="14" t="str">
        <x:v>S0186</x:v>
      </x:c>
      <x:c r="B187" s="14" t="str">
        <x:v>周末/节假日</x:v>
      </x:c>
      <x:c r="C187" s="14" t="str">
        <x:v>环线3路</x:v>
      </x:c>
      <x:c r="D187" s="14" t="str">
        <x:v>国防科大环线2路、3路发车时刻表（周末/节假日）</x:v>
      </x:c>
      <x:c r="E187" s="14" t="str">
        <x:v>第二班</x:v>
      </x:c>
      <x:c r="F187" s="14" t="n">
        <x:v>7</x:v>
      </x:c>
      <x:c r="G187" s="14" t="str">
        <x:v>16:50</x:v>
      </x:c>
      <x:c r="H187" s="14" t="str">
        <x:v>16:50</x:v>
      </x:c>
      <x:c r="I187" s="14" t="n">
        <x:v>1010</x:v>
      </x:c>
      <x:c r="J187" s="14" t="str">
        <x:v>高超楼（系统工程学院旁）</x:v>
      </x:c>
      <x:c r="K187" s="14" t="str">
        <x:v>是</x:v>
      </x:c>
      <x:c r="L187" s="14" t="str">
        <x:v>夏文新</x:v>
      </x:c>
      <x:c r="M187" s="14" t="str">
        <x:v>4号车</x:v>
      </x:c>
      <x:c r="N187" s="14" t="str">
        <x:v>已识读</x:v>
      </x:c>
      <x:c r="O187" s="14" t="str">
        <x:v>原图红色字体/打勾；按用户说明，系统工程学院发车折算为高超楼站点发车</x:v>
      </x:c>
      <x:c r="P187" s="14" t="str">
        <x:v>图片3</x:v>
      </x:c>
    </x:row>
    <x:row r="188">
      <x:c r="A188" s="14" t="str">
        <x:v>S0187</x:v>
      </x:c>
      <x:c r="B188" s="14" t="str">
        <x:v>周末/节假日</x:v>
      </x:c>
      <x:c r="C188" s="14" t="str">
        <x:v>环线3路</x:v>
      </x:c>
      <x:c r="D188" s="14" t="str">
        <x:v>国防科大环线2路、3路发车时刻表（周末/节假日）</x:v>
      </x:c>
      <x:c r="E188" s="14" t="str">
        <x:v>第二班</x:v>
      </x:c>
      <x:c r="F188" s="14" t="n">
        <x:v>8</x:v>
      </x:c>
      <x:c r="G188" s="14" t="str">
        <x:v>17:20</x:v>
      </x:c>
      <x:c r="H188" s="14" t="str">
        <x:v>17:20</x:v>
      </x:c>
      <x:c r="I188" s="14" t="n">
        <x:v>1040</x:v>
      </x:c>
      <x:c r="J188" s="14" t="str">
        <x:v>高超楼（系统工程学院旁）</x:v>
      </x:c>
      <x:c r="K188" s="14" t="str">
        <x:v>是</x:v>
      </x:c>
      <x:c r="L188" s="14" t="str">
        <x:v>夏文新</x:v>
      </x:c>
      <x:c r="M188" s="14" t="str">
        <x:v>4号车</x:v>
      </x:c>
      <x:c r="N188" s="14" t="str">
        <x:v>已识读</x:v>
      </x:c>
      <x:c r="O188" s="14" t="str">
        <x:v>原图红色字体/打勾；按用户说明，系统工程学院发车折算为高超楼站点发车</x:v>
      </x:c>
      <x:c r="P188" s="14" t="str">
        <x:v>图片3</x:v>
      </x:c>
    </x:row>
    <x:row r="189">
      <x:c r="A189" s="14" t="str">
        <x:v>S0188</x:v>
      </x:c>
      <x:c r="B189" s="14" t="str">
        <x:v>周末/节假日</x:v>
      </x:c>
      <x:c r="C189" s="14" t="str">
        <x:v>环线3路</x:v>
      </x:c>
      <x:c r="D189" s="14" t="str">
        <x:v>国防科大环线2路、3路发车时刻表（周末/节假日）</x:v>
      </x:c>
      <x:c r="E189" s="14" t="str">
        <x:v>第二班</x:v>
      </x:c>
      <x:c r="F189" s="14" t="n">
        <x:v>9</x:v>
      </x:c>
      <x:c r="G189" s="14" t="str">
        <x:v>17:50</x:v>
      </x:c>
      <x:c r="H189" s="14" t="str">
        <x:v>17:50</x:v>
      </x:c>
      <x:c r="I189" s="14" t="n">
        <x:v>1070</x:v>
      </x:c>
      <x:c r="J189" s="14" t="str">
        <x:v>高超楼（系统工程学院旁）</x:v>
      </x:c>
      <x:c r="K189" s="14" t="str">
        <x:v>是</x:v>
      </x:c>
      <x:c r="L189" s="14" t="str">
        <x:v>夏文新</x:v>
      </x:c>
      <x:c r="M189" s="14" t="str">
        <x:v>4号车</x:v>
      </x:c>
      <x:c r="N189" s="14" t="str">
        <x:v>已识读</x:v>
      </x:c>
      <x:c r="O189" s="14" t="str">
        <x:v>原图红色字体/打勾；按用户说明，系统工程学院发车折算为高超楼站点发车</x:v>
      </x:c>
      <x:c r="P189" s="14" t="str">
        <x:v>图片3</x:v>
      </x:c>
    </x:row>
    <x:row r="190">
      <x:c r="A190" s="14" t="str">
        <x:v>S0189</x:v>
      </x:c>
      <x:c r="B190" s="14" t="str">
        <x:v>周末/节假日</x:v>
      </x:c>
      <x:c r="C190" s="14" t="str">
        <x:v>环线3路</x:v>
      </x:c>
      <x:c r="D190" s="14" t="str">
        <x:v>国防科大环线2路、3路发车时刻表（周末/节假日）</x:v>
      </x:c>
      <x:c r="E190" s="14" t="str">
        <x:v>第二班</x:v>
      </x:c>
      <x:c r="F190" s="14" t="n">
        <x:v>10</x:v>
      </x:c>
      <x:c r="G190" s="14" t="str">
        <x:v>21:00</x:v>
      </x:c>
      <x:c r="H190" s="14" t="str">
        <x:v>21:00</x:v>
      </x:c>
      <x:c r="I190" s="14" t="n">
        <x:v>1260</x:v>
      </x:c>
      <x:c r="J190" s="14" t="str">
        <x:v>高超楼（系统工程学院旁）</x:v>
      </x:c>
      <x:c r="K190" s="14" t="str">
        <x:v>是</x:v>
      </x:c>
      <x:c r="L190" s="14" t="str">
        <x:v>夏文新</x:v>
      </x:c>
      <x:c r="M190" s="14" t="str">
        <x:v>4号车</x:v>
      </x:c>
      <x:c r="N190" s="14" t="str">
        <x:v>已识读</x:v>
      </x:c>
      <x:c r="O190" s="14" t="str">
        <x:v>原图红色字体/打勾；按用户说明，系统工程学院发车折算为高超楼站点发车</x:v>
      </x:c>
      <x:c r="P190" s="14" t="str">
        <x:v>图片3</x:v>
      </x:c>
    </x:row>
    <x:row r="191">
      <x:c r="A191" s="14" t="str">
        <x:v>S0190</x:v>
      </x:c>
      <x:c r="B191" s="14" t="str">
        <x:v>周末/节假日</x:v>
      </x:c>
      <x:c r="C191" s="14" t="str">
        <x:v>环线3路</x:v>
      </x:c>
      <x:c r="D191" s="14" t="str">
        <x:v>国防科大环线2路、3路发车时刻表（周末/节假日）</x:v>
      </x:c>
      <x:c r="E191" s="14" t="str">
        <x:v>第二班</x:v>
      </x:c>
      <x:c r="F191" s="14" t="n">
        <x:v>11</x:v>
      </x:c>
      <x:c r="G191" s="14" t="str">
        <x:v>21:25</x:v>
      </x:c>
      <x:c r="H191" s="14" t="str">
        <x:v>21:25</x:v>
      </x:c>
      <x:c r="I191" s="14" t="n">
        <x:v>1285</x:v>
      </x:c>
      <x:c r="J191" s="14" t="str">
        <x:v>高超楼（系统工程学院旁）</x:v>
      </x:c>
      <x:c r="K191" s="14" t="str">
        <x:v>是</x:v>
      </x:c>
      <x:c r="L191" s="14" t="str">
        <x:v>夏文新</x:v>
      </x:c>
      <x:c r="M191" s="14" t="str">
        <x:v>4号车</x:v>
      </x:c>
      <x:c r="N191" s="14" t="str">
        <x:v>已识读</x:v>
      </x:c>
      <x:c r="O191" s="14" t="str">
        <x:v>原图红色字体/打勾；按用户说明，系统工程学院发车折算为高超楼站点发车</x:v>
      </x:c>
      <x:c r="P191" s="14" t="str">
        <x:v>图片3</x:v>
      </x:c>
    </x:row>
    <x:row r="192">
      <x:c r="A192" s="14" t="str">
        <x:v>S0191</x:v>
      </x:c>
      <x:c r="B192" s="14" t="str">
        <x:v>周末/节假日</x:v>
      </x:c>
      <x:c r="C192" s="14" t="str">
        <x:v>环线3路</x:v>
      </x:c>
      <x:c r="D192" s="14" t="str">
        <x:v>国防科大环线2路、3路发车时刻表（周末/节假日）</x:v>
      </x:c>
      <x:c r="E192" s="14" t="str">
        <x:v>第二班</x:v>
      </x:c>
      <x:c r="F192" s="14" t="n">
        <x:v>12</x:v>
      </x:c>
      <x:c r="G192" s="14" t="str">
        <x:v>21:50</x:v>
      </x:c>
      <x:c r="H192" s="14" t="str">
        <x:v>21:50</x:v>
      </x:c>
      <x:c r="I192" s="14" t="n">
        <x:v>1310</x:v>
      </x:c>
      <x:c r="J192" s="14" t="str">
        <x:v>高超楼（系统工程学院旁）</x:v>
      </x:c>
      <x:c r="K192" s="14" t="str">
        <x:v>是</x:v>
      </x:c>
      <x:c r="L192" s="14" t="str">
        <x:v>夏文新</x:v>
      </x:c>
      <x:c r="M192" s="14" t="str">
        <x:v>4号车</x:v>
      </x:c>
      <x:c r="N192" s="14" t="str">
        <x:v>已识读</x:v>
      </x:c>
      <x:c r="O192" s="14" t="str">
        <x:v>原图红色字体/打勾；按用户说明，系统工程学院发车折算为高超楼站点发车</x:v>
      </x:c>
      <x:c r="P192" s="14" t="str">
        <x:v>图片3</x:v>
      </x:c>
    </x:row>
  </x:sheetData>
  <x:conditionalFormatting sqref="K2:K192">
    <x:cfRule type="expression" dxfId="0" priority="1">
      <x:formula>$K2="是"</x:formula>
    </x:cfRule>
  </x:conditionalFormatting>
  <x:conditionalFormatting sqref="N2:N192">
    <x:cfRule type="expression" dxfId="1" priority="2">
      <x:formula>$N2="推测待确认"</x:formula>
    </x:cfRule>
  </x:conditionalFormatting>
  <x:conditionalFormatting sqref="J2:J192">
    <x:cfRule type="expression" dxfId="2" priority="3">
      <x:formula>$J2="系统工程学院"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36" hidden="0" customWidth="1"/>
  </x:cols>
  <x:sheetData>
    <x:row r="1">
      <x:c r="A1" s="6" t="str">
        <x:v>适用日期</x:v>
      </x:c>
      <x:c r="B1" s="6" t="str">
        <x:v>线路</x:v>
      </x:c>
      <x:c r="C1" s="6" t="str">
        <x:v>原图标题</x:v>
      </x:c>
      <x:c r="D1" s="6" t="str">
        <x:v>班次</x:v>
      </x:c>
      <x:c r="E1" s="6" t="str">
        <x:v>驾驶员</x:v>
      </x:c>
      <x:c r="F1" s="6" t="str">
        <x:v>车号</x:v>
      </x:c>
      <x:c r="G1" s="6" t="str">
        <x:v>发车地点说明</x:v>
      </x:c>
      <x:c r="H1" s="6" t="str">
        <x:v>趟次1</x:v>
      </x:c>
      <x:c r="I1" s="6" t="str">
        <x:v>趟次2</x:v>
      </x:c>
      <x:c r="J1" s="6" t="str">
        <x:v>趟次3</x:v>
      </x:c>
      <x:c r="K1" s="6" t="str">
        <x:v>趟次4</x:v>
      </x:c>
      <x:c r="L1" s="6" t="str">
        <x:v>趟次5</x:v>
      </x:c>
      <x:c r="M1" s="6" t="str">
        <x:v>趟次6</x:v>
      </x:c>
      <x:c r="N1" s="6" t="str">
        <x:v>趟次7</x:v>
      </x:c>
      <x:c r="O1" s="6" t="str">
        <x:v>趟次8</x:v>
      </x:c>
      <x:c r="P1" s="6" t="str">
        <x:v>趟次9</x:v>
      </x:c>
      <x:c r="Q1" s="6" t="str">
        <x:v>趟次10</x:v>
      </x:c>
      <x:c r="R1" s="6" t="str">
        <x:v>趟次11</x:v>
      </x:c>
      <x:c r="S1" s="6" t="str">
        <x:v>趟次12</x:v>
      </x:c>
      <x:c r="T1" s="6" t="str">
        <x:v>趟次13</x:v>
      </x:c>
      <x:c r="U1" s="6" t="str">
        <x:v>趟次14</x:v>
      </x:c>
      <x:c r="V1" s="6" t="str">
        <x:v>趟次15</x:v>
      </x:c>
      <x:c r="W1" s="6" t="str">
        <x:v>趟次16</x:v>
      </x:c>
      <x:c r="X1" s="6" t="str">
        <x:v>趟次17</x:v>
      </x:c>
      <x:c r="Y1" s="6" t="str">
        <x:v>趟次18</x:v>
      </x:c>
      <x:c r="Z1" s="6" t="str">
        <x:v>趟次19</x:v>
      </x:c>
      <x:c r="AA1" s="6" t="str">
        <x:v>备注</x:v>
      </x:c>
    </x:row>
    <x:row r="2">
      <x:c r="A2" s="14" t="str">
        <x:v>工作日</x:v>
      </x:c>
      <x:c r="B2" s="14" t="str">
        <x:v>环线1路</x:v>
      </x:c>
      <x:c r="C2" s="14" t="str">
        <x:v>国防科大三号院环线发车时刻表（环线1路）</x:v>
      </x:c>
      <x:c r="D2" s="14" t="str">
        <x:v>第一班</x:v>
      </x:c>
      <x:c r="E2" s="14" t="str">
        <x:v>未提供</x:v>
      </x:c>
      <x:c r="F2" s="14" t="str">
        <x:v>未提供</x:v>
      </x:c>
      <x:c r="G2" s="33" t="str">
        <x:v>含系统工程学院发车</x:v>
      </x:c>
      <x:c r="H2" s="14" t="str">
        <x:v>7:30</x:v>
      </x:c>
      <x:c r="I2" s="14" t="str">
        <x:v>8:00</x:v>
      </x:c>
      <x:c r="J2" s="14" t="str">
        <x:v>8:30</x:v>
      </x:c>
      <x:c r="K2" s="14" t="str">
        <x:v>9:00</x:v>
      </x:c>
      <x:c r="L2" s="14" t="str">
        <x:v>9:36</x:v>
      </x:c>
      <x:c r="M2" s="14" t="str">
        <x:v>10:15</x:v>
      </x:c>
      <x:c r="N2" s="14" t="str">
        <x:v>11:15</x:v>
      </x:c>
      <x:c r="O2" s="33" t="str">
        <x:v>11:30【系统】</x:v>
      </x:c>
      <x:c r="P2" s="33" t="str">
        <x:v>11:50【系统】</x:v>
      </x:c>
      <x:c r="Q2" s="33" t="str">
        <x:v>12:10【系统】</x:v>
      </x:c>
      <x:c r="R2" s="33" t="str">
        <x:v>12:30【系统】</x:v>
      </x:c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33" t="str">
        <x:v>【系统】=系统工程学院发车；原图打勾车次</x:v>
      </x:c>
    </x:row>
    <x:row r="3">
      <x:c r="A3" s="14" t="str">
        <x:v>工作日</x:v>
      </x:c>
      <x:c r="B3" s="14" t="str">
        <x:v>环线1路</x:v>
      </x:c>
      <x:c r="C3" s="14" t="str">
        <x:v>国防科大三号院环线发车时刻表（环线1路）</x:v>
      </x:c>
      <x:c r="D3" s="14" t="str">
        <x:v>第二班</x:v>
      </x:c>
      <x:c r="E3" s="14" t="str">
        <x:v>未提供</x:v>
      </x:c>
      <x:c r="F3" s="14" t="str">
        <x:v>未提供</x:v>
      </x:c>
      <x:c r="G3" s="14" t="str">
        <x:v>原表默认发车点</x:v>
      </x:c>
      <x:c r="H3" s="14" t="str">
        <x:v>7:40</x:v>
      </x:c>
      <x:c r="I3" s="14" t="str">
        <x:v>8:10</x:v>
      </x:c>
      <x:c r="J3" s="14" t="str">
        <x:v>8:40</x:v>
      </x:c>
      <x:c r="K3" s="14" t="str">
        <x:v>9:12</x:v>
      </x:c>
      <x:c r="L3" s="14" t="str">
        <x:v>9:48</x:v>
      </x:c>
      <x:c r="M3" s="14" t="str">
        <x:v>10:30</x:v>
      </x:c>
      <x:c r="N3" s="14" t="str">
        <x:v>11:00</x:v>
      </x:c>
      <x:c r="O3" s="14" t="str">
        <x:v>11:40</x:v>
      </x:c>
      <x:c r="P3" s="14" t="str">
        <x:v>12:10</x:v>
      </x:c>
      <x:c r="Q3" s="14" t="str">
        <x:v>12:40</x:v>
      </x:c>
      <x:c r="R3" s="14" t="str">
        <x:v>14:12</x:v>
      </x:c>
      <x:c r="S3" s="14" t="str">
        <x:v>14:48</x:v>
      </x:c>
      <x:c r="T3" s="14" t="str">
        <x:v>15:40</x:v>
      </x:c>
      <x:c r="U3" s="14" t="str">
        <x:v>17:00</x:v>
      </x:c>
      <x:c r="V3" s="14" t="str">
        <x:v>17:30</x:v>
      </x:c>
      <x:c r="W3" s="14" t="str"/>
      <x:c r="X3" s="14" t="str"/>
      <x:c r="Y3" s="14" t="str"/>
      <x:c r="Z3" s="14" t="str"/>
      <x:c r="AA3" s="14" t="str"/>
    </x:row>
    <x:row r="4">
      <x:c r="A4" s="14" t="str">
        <x:v>工作日</x:v>
      </x:c>
      <x:c r="B4" s="14" t="str">
        <x:v>环线1路</x:v>
      </x:c>
      <x:c r="C4" s="14" t="str">
        <x:v>国防科大三号院环线发车时刻表（环线1路）</x:v>
      </x:c>
      <x:c r="D4" s="14" t="str">
        <x:v>第三班</x:v>
      </x:c>
      <x:c r="E4" s="14" t="str">
        <x:v>未提供</x:v>
      </x:c>
      <x:c r="F4" s="14" t="str">
        <x:v>未提供</x:v>
      </x:c>
      <x:c r="G4" s="14" t="str">
        <x:v>原表默认发车点</x:v>
      </x:c>
      <x:c r="H4" s="14" t="str">
        <x:v>7:50</x:v>
      </x:c>
      <x:c r="I4" s="14" t="str">
        <x:v>8:20</x:v>
      </x:c>
      <x:c r="J4" s="14" t="str">
        <x:v>8:50</x:v>
      </x:c>
      <x:c r="K4" s="14" t="str">
        <x:v>9:24</x:v>
      </x:c>
      <x:c r="L4" s="14" t="str">
        <x:v>10:00</x:v>
      </x:c>
      <x:c r="M4" s="14" t="str">
        <x:v>10:45</x:v>
      </x:c>
      <x:c r="N4" s="14" t="str">
        <x:v>11:30</x:v>
      </x:c>
      <x:c r="O4" s="14" t="str">
        <x:v>11:50</x:v>
      </x:c>
      <x:c r="P4" s="14" t="str">
        <x:v>12:25</x:v>
      </x:c>
      <x:c r="Q4" s="14" t="str">
        <x:v>14:00</x:v>
      </x:c>
      <x:c r="R4" s="14" t="str">
        <x:v>14:36</x:v>
      </x:c>
      <x:c r="S4" s="14" t="str">
        <x:v>15:20</x:v>
      </x:c>
      <x:c r="T4" s="14" t="str">
        <x:v>16:30</x:v>
      </x:c>
      <x:c r="U4" s="14" t="str">
        <x:v>17:15</x:v>
      </x:c>
      <x:c r="V4" s="14" t="str">
        <x:v>18:00</x:v>
      </x:c>
      <x:c r="W4" s="14" t="str"/>
      <x:c r="X4" s="14" t="str"/>
      <x:c r="Y4" s="14" t="str"/>
      <x:c r="Z4" s="14" t="str"/>
      <x:c r="AA4" s="14" t="str"/>
    </x:row>
    <x:row r="5">
      <x:c r="A5" s="14" t="str">
        <x:v>工作日</x:v>
      </x:c>
      <x:c r="B5" s="14" t="str">
        <x:v>环线1路</x:v>
      </x:c>
      <x:c r="C5" s="14" t="str">
        <x:v>国防科大三号院环线发车时刻表（环线1路）</x:v>
      </x:c>
      <x:c r="D5" s="14" t="str">
        <x:v>第四班（夜1）</x:v>
      </x:c>
      <x:c r="E5" s="14" t="str">
        <x:v>未提供</x:v>
      </x:c>
      <x:c r="F5" s="14" t="str">
        <x:v>未提供</x:v>
      </x:c>
      <x:c r="G5" s="14" t="str">
        <x:v>原表默认发车点</x:v>
      </x:c>
      <x:c r="H5" s="14" t="str">
        <x:v>14:24</x:v>
      </x:c>
      <x:c r="I5" s="14" t="str">
        <x:v>15:00</x:v>
      </x:c>
      <x:c r="J5" s="14" t="str">
        <x:v>16:00</x:v>
      </x:c>
      <x:c r="K5" s="14" t="str">
        <x:v>16:45</x:v>
      </x:c>
      <x:c r="L5" s="14" t="str">
        <x:v>17:45</x:v>
      </x:c>
      <x:c r="M5" s="14" t="str">
        <x:v>18:15</x:v>
      </x:c>
      <x:c r="N5" s="14" t="str">
        <x:v>18:45</x:v>
      </x:c>
      <x:c r="O5" s="14" t="str">
        <x:v>19:15</x:v>
      </x:c>
      <x:c r="P5" s="14" t="str">
        <x:v>19:45</x:v>
      </x:c>
      <x:c r="Q5" s="14" t="str">
        <x:v>20:15</x:v>
      </x:c>
      <x:c r="R5" s="14" t="str">
        <x:v>20:45</x:v>
      </x:c>
      <x:c r="S5" s="14" t="str">
        <x:v>21:15</x:v>
      </x:c>
      <x:c r="T5" s="14" t="str">
        <x:v>21:45</x:v>
      </x:c>
      <x:c r="U5" s="14" t="str">
        <x:v>22:15</x:v>
      </x:c>
      <x:c r="V5" s="14" t="str"/>
      <x:c r="W5" s="14" t="str"/>
      <x:c r="X5" s="14" t="str"/>
      <x:c r="Y5" s="14" t="str"/>
      <x:c r="Z5" s="14" t="str"/>
      <x:c r="AA5" s="14" t="str">
        <x:v>夜班车</x:v>
      </x:c>
    </x:row>
    <x:row r="6">
      <x:c r="A6" s="14" t="str">
        <x:v>工作日</x:v>
      </x:c>
      <x:c r="B6" s="14" t="str">
        <x:v>环线1路</x:v>
      </x:c>
      <x:c r="C6" s="14" t="str">
        <x:v>国防科大三号院环线发车时刻表（环线1路）</x:v>
      </x:c>
      <x:c r="D6" s="14" t="str">
        <x:v>第五班（夜2）</x:v>
      </x:c>
      <x:c r="E6" s="14" t="str">
        <x:v>未提供</x:v>
      </x:c>
      <x:c r="F6" s="14" t="str">
        <x:v>未提供</x:v>
      </x:c>
      <x:c r="G6" s="33" t="str">
        <x:v>含系统工程学院发车</x:v>
      </x:c>
      <x:c r="H6" s="14" t="str">
        <x:v>16:15</x:v>
      </x:c>
      <x:c r="I6" s="33" t="str">
        <x:v>16:30【系统】</x:v>
      </x:c>
      <x:c r="J6" s="33" t="str">
        <x:v>16:50【系统】</x:v>
      </x:c>
      <x:c r="K6" s="33" t="str">
        <x:v>17:10【系统】</x:v>
      </x:c>
      <x:c r="L6" s="33" t="str">
        <x:v>17:30【系统】</x:v>
      </x:c>
      <x:c r="M6" s="33" t="str">
        <x:v>17:50【系统】</x:v>
      </x:c>
      <x:c r="N6" s="14" t="str">
        <x:v>18:30</x:v>
      </x:c>
      <x:c r="O6" s="14" t="str">
        <x:v>19:00</x:v>
      </x:c>
      <x:c r="P6" s="14" t="str">
        <x:v>19:30</x:v>
      </x:c>
      <x:c r="Q6" s="14" t="str">
        <x:v>20:00</x:v>
      </x:c>
      <x:c r="R6" s="14" t="str">
        <x:v>20:30</x:v>
      </x:c>
      <x:c r="S6" s="14" t="str">
        <x:v>21:00</x:v>
      </x:c>
      <x:c r="T6" s="14" t="str">
        <x:v>21:30</x:v>
      </x:c>
      <x:c r="U6" s="14" t="str">
        <x:v>22:00</x:v>
      </x:c>
      <x:c r="V6" s="14" t="str">
        <x:v>22:30</x:v>
      </x:c>
      <x:c r="W6" s="14" t="str"/>
      <x:c r="X6" s="14" t="str"/>
      <x:c r="Y6" s="14" t="str"/>
      <x:c r="Z6" s="14" t="str"/>
      <x:c r="AA6" s="33" t="str">
        <x:v>夜班车；【系统】=系统工程学院发车；原图打勾车次</x:v>
      </x:c>
    </x:row>
    <x:row r="7">
      <x:c r="A7" s="14" t="str">
        <x:v>工作日</x:v>
      </x:c>
      <x:c r="B7" s="14" t="str">
        <x:v>环线2路</x:v>
      </x:c>
      <x:c r="C7" s="14" t="str">
        <x:v>国防科大环线2路、3路发车时刻表（工作日）</x:v>
      </x:c>
      <x:c r="D7" s="14" t="str">
        <x:v>第一班</x:v>
      </x:c>
      <x:c r="E7" s="14" t="str">
        <x:v>未提供</x:v>
      </x:c>
      <x:c r="F7" s="14" t="str">
        <x:v>未提供</x:v>
      </x:c>
      <x:c r="G7" s="14" t="str">
        <x:v>原表默认发车点</x:v>
      </x:c>
      <x:c r="H7" s="14" t="str">
        <x:v>7:35</x:v>
      </x:c>
      <x:c r="I7" s="14" t="str">
        <x:v>7:50</x:v>
      </x:c>
      <x:c r="J7" s="14" t="str">
        <x:v>8:05</x:v>
      </x:c>
      <x:c r="K7" s="14" t="str">
        <x:v>8:20</x:v>
      </x:c>
      <x:c r="L7" s="14" t="str">
        <x:v>8:35</x:v>
      </x:c>
      <x:c r="M7" s="14" t="str">
        <x:v>8:50</x:v>
      </x:c>
      <x:c r="N7" s="14" t="str">
        <x:v>9:10</x:v>
      </x:c>
      <x:c r="O7" s="14" t="str">
        <x:v>9:40</x:v>
      </x:c>
      <x:c r="P7" s="14" t="str">
        <x:v>10:10</x:v>
      </x:c>
      <x:c r="Q7" s="14" t="str">
        <x:v>10:40</x:v>
      </x:c>
      <x:c r="R7" s="14" t="str">
        <x:v>11:15</x:v>
      </x:c>
      <x:c r="S7" s="14" t="str">
        <x:v>11:40</x:v>
      </x:c>
      <x:c r="T7" s="14" t="str">
        <x:v>12:00</x:v>
      </x:c>
      <x:c r="U7" s="14" t="str">
        <x:v>12:15</x:v>
      </x:c>
      <x:c r="V7" s="14" t="str">
        <x:v>12:30</x:v>
      </x:c>
      <x:c r="W7" s="14" t="str">
        <x:v>14:10</x:v>
      </x:c>
      <x:c r="X7" s="14" t="str">
        <x:v>16:20</x:v>
      </x:c>
      <x:c r="Y7" s="14" t="str">
        <x:v>16:50</x:v>
      </x:c>
      <x:c r="Z7" s="14" t="str">
        <x:v>17:10（推测）</x:v>
      </x:c>
      <x:c r="AA7" s="14" t="str">
        <x:v>含推测待确认车次</x:v>
      </x:c>
    </x:row>
    <x:row r="8">
      <x:c r="A8" s="14" t="str">
        <x:v>工作日</x:v>
      </x:c>
      <x:c r="B8" s="14" t="str">
        <x:v>环线2路</x:v>
      </x:c>
      <x:c r="C8" s="14" t="str">
        <x:v>国防科大环线2路、3路发车时刻表（工作日）</x:v>
      </x:c>
      <x:c r="D8" s="14" t="str">
        <x:v>第二班</x:v>
      </x:c>
      <x:c r="E8" s="14" t="str">
        <x:v>未提供</x:v>
      </x:c>
      <x:c r="F8" s="14" t="str">
        <x:v>未提供</x:v>
      </x:c>
      <x:c r="G8" s="14" t="str">
        <x:v>原表默认发车点</x:v>
      </x:c>
      <x:c r="H8" s="14" t="str">
        <x:v>14:25</x:v>
      </x:c>
      <x:c r="I8" s="14" t="str">
        <x:v>14:40</x:v>
      </x:c>
      <x:c r="J8" s="14" t="str">
        <x:v>15:00</x:v>
      </x:c>
      <x:c r="K8" s="14" t="str">
        <x:v>15:20</x:v>
      </x:c>
      <x:c r="L8" s="14" t="str">
        <x:v>15:40</x:v>
      </x:c>
      <x:c r="M8" s="14" t="str">
        <x:v>16:00</x:v>
      </x:c>
      <x:c r="N8" s="14" t="str">
        <x:v>16:35</x:v>
      </x:c>
      <x:c r="O8" s="14" t="str">
        <x:v>17:05</x:v>
      </x:c>
      <x:c r="P8" s="14" t="str">
        <x:v>17:35</x:v>
      </x:c>
      <x:c r="Q8" s="14" t="str">
        <x:v>18:10</x:v>
      </x:c>
      <x:c r="R8" s="14" t="str">
        <x:v>18:25</x:v>
      </x:c>
      <x:c r="S8" s="14" t="str">
        <x:v>18:45</x:v>
      </x:c>
      <x:c r="T8" s="14" t="str">
        <x:v>19:15</x:v>
      </x:c>
      <x:c r="U8" s="14" t="str">
        <x:v>19:30</x:v>
      </x:c>
      <x:c r="V8" s="14" t="str">
        <x:v>19:50</x:v>
      </x:c>
      <x:c r="W8" s="14" t="str">
        <x:v>20:10</x:v>
      </x:c>
      <x:c r="X8" s="14" t="str">
        <x:v>20:40</x:v>
      </x:c>
      <x:c r="Y8" s="14" t="str">
        <x:v>21:05</x:v>
      </x:c>
      <x:c r="Z8" s="14" t="str">
        <x:v>21:30（推测）</x:v>
      </x:c>
      <x:c r="AA8" s="14" t="str">
        <x:v>含推测待确认车次</x:v>
      </x:c>
    </x:row>
    <x:row r="9">
      <x:c r="A9" s="14" t="str">
        <x:v>工作日</x:v>
      </x:c>
      <x:c r="B9" s="14" t="str">
        <x:v>环线3路</x:v>
      </x:c>
      <x:c r="C9" s="14" t="str">
        <x:v>国防科大环线2路、3路发车时刻表（工作日）</x:v>
      </x:c>
      <x:c r="D9" s="14" t="str">
        <x:v>第一班</x:v>
      </x:c>
      <x:c r="E9" s="14" t="str">
        <x:v>刘虎</x:v>
      </x:c>
      <x:c r="F9" s="14" t="str">
        <x:v>3号车</x:v>
      </x:c>
      <x:c r="G9" s="14" t="str">
        <x:v>含系统工程学院发车</x:v>
      </x:c>
      <x:c r="H9" s="14" t="str">
        <x:v>7:35</x:v>
      </x:c>
      <x:c r="I9" s="14" t="str">
        <x:v>8:05</x:v>
      </x:c>
      <x:c r="J9" s="14" t="str">
        <x:v>8:35</x:v>
      </x:c>
      <x:c r="K9" s="14" t="str">
        <x:v>9:05</x:v>
      </x:c>
      <x:c r="L9" s="14" t="str">
        <x:v>10:50【系统】</x:v>
      </x:c>
      <x:c r="M9" s="14" t="str">
        <x:v>11:20</x:v>
      </x:c>
      <x:c r="N9" s="14" t="str">
        <x:v>12:05</x:v>
      </x:c>
      <x:c r="O9" s="14" t="str">
        <x:v>14:10</x:v>
      </x:c>
      <x:c r="P9" s="14" t="str">
        <x:v>14:40</x:v>
      </x:c>
      <x:c r="Q9" s="14" t="str">
        <x:v>15:10</x:v>
      </x:c>
      <x:c r="R9" s="14" t="str">
        <x:v>16:00</x:v>
      </x:c>
      <x:c r="S9" s="14" t="str">
        <x:v>16:35</x:v>
      </x:c>
      <x:c r="T9" s="14" t="str">
        <x:v>17:00</x:v>
      </x:c>
      <x:c r="U9" s="14" t="str"/>
      <x:c r="V9" s="14" t="str"/>
      <x:c r="W9" s="14" t="str"/>
      <x:c r="X9" s="14" t="str"/>
      <x:c r="Y9" s="14" t="str"/>
      <x:c r="Z9" s="14" t="str"/>
      <x:c r="AA9" s="14" t="str">
        <x:v>【系统】=系统工程学院发车</x:v>
      </x:c>
    </x:row>
    <x:row r="10">
      <x:c r="A10" s="14" t="str">
        <x:v>工作日</x:v>
      </x:c>
      <x:c r="B10" s="14" t="str">
        <x:v>环线3路</x:v>
      </x:c>
      <x:c r="C10" s="14" t="str">
        <x:v>国防科大环线2路、3路发车时刻表（工作日）</x:v>
      </x:c>
      <x:c r="D10" s="14" t="str">
        <x:v>第二班</x:v>
      </x:c>
      <x:c r="E10" s="14" t="str">
        <x:v>郭海燕</x:v>
      </x:c>
      <x:c r="F10" s="14" t="str">
        <x:v>5号车</x:v>
      </x:c>
      <x:c r="G10" s="14" t="str">
        <x:v>含系统工程学院发车</x:v>
      </x:c>
      <x:c r="H10" s="14" t="str">
        <x:v>7:45</x:v>
      </x:c>
      <x:c r="I10" s="14" t="str">
        <x:v>8:15</x:v>
      </x:c>
      <x:c r="J10" s="14" t="str">
        <x:v>8:45</x:v>
      </x:c>
      <x:c r="K10" s="14" t="str">
        <x:v>9:20</x:v>
      </x:c>
      <x:c r="L10" s="14" t="str">
        <x:v>9:50</x:v>
      </x:c>
      <x:c r="M10" s="14" t="str">
        <x:v>10:30</x:v>
      </x:c>
      <x:c r="N10" s="14" t="str">
        <x:v>11:00</x:v>
      </x:c>
      <x:c r="O10" s="14" t="str">
        <x:v>11:45</x:v>
      </x:c>
      <x:c r="P10" s="14" t="str">
        <x:v>12:30</x:v>
      </x:c>
      <x:c r="Q10" s="14" t="str">
        <x:v>15:25</x:v>
      </x:c>
      <x:c r="R10" s="14" t="str">
        <x:v>16:20</x:v>
      </x:c>
      <x:c r="S10" s="14" t="str">
        <x:v>16:50【系统】</x:v>
      </x:c>
      <x:c r="T10" s="14" t="str">
        <x:v>17:25</x:v>
      </x:c>
      <x:c r="U10" s="14" t="str"/>
      <x:c r="V10" s="14" t="str"/>
      <x:c r="W10" s="14" t="str"/>
      <x:c r="X10" s="14" t="str"/>
      <x:c r="Y10" s="14" t="str"/>
      <x:c r="Z10" s="14" t="str"/>
      <x:c r="AA10" s="14" t="str">
        <x:v>【系统】=系统工程学院发车</x:v>
      </x:c>
    </x:row>
    <x:row r="11">
      <x:c r="A11" s="14" t="str">
        <x:v>工作日</x:v>
      </x:c>
      <x:c r="B11" s="14" t="str">
        <x:v>环线3路</x:v>
      </x:c>
      <x:c r="C11" s="14" t="str">
        <x:v>国防科大环线2路、3路发车时刻表（工作日）</x:v>
      </x:c>
      <x:c r="D11" s="14" t="str">
        <x:v>第三班</x:v>
      </x:c>
      <x:c r="E11" s="14" t="str">
        <x:v>刘晓燕</x:v>
      </x:c>
      <x:c r="F11" s="14" t="str">
        <x:v>4号车</x:v>
      </x:c>
      <x:c r="G11" s="14" t="str">
        <x:v>含系统工程学院发车</x:v>
      </x:c>
      <x:c r="H11" s="14" t="str">
        <x:v>7:55</x:v>
      </x:c>
      <x:c r="I11" s="14" t="str">
        <x:v>8:25</x:v>
      </x:c>
      <x:c r="J11" s="14" t="str">
        <x:v>8:55</x:v>
      </x:c>
      <x:c r="K11" s="14" t="str">
        <x:v>9:35</x:v>
      </x:c>
      <x:c r="L11" s="14" t="str">
        <x:v>10:10</x:v>
      </x:c>
      <x:c r="M11" s="14" t="str">
        <x:v>10:45【系统】</x:v>
      </x:c>
      <x:c r="N11" s="14" t="str">
        <x:v>11:35</x:v>
      </x:c>
      <x:c r="O11" s="14" t="str">
        <x:v>12:20</x:v>
      </x:c>
      <x:c r="P11" s="14" t="str">
        <x:v>14:25</x:v>
      </x:c>
      <x:c r="Q11" s="14" t="str">
        <x:v>15:00</x:v>
      </x:c>
      <x:c r="R11" s="14" t="str">
        <x:v>15:45</x:v>
      </x:c>
      <x:c r="S11" s="14" t="str">
        <x:v>17:10</x:v>
      </x:c>
      <x:c r="T11" s="14" t="str">
        <x:v>17:40</x:v>
      </x:c>
      <x:c r="U11" s="14" t="str"/>
      <x:c r="V11" s="14" t="str"/>
      <x:c r="W11" s="14" t="str"/>
      <x:c r="X11" s="14" t="str"/>
      <x:c r="Y11" s="14" t="str"/>
      <x:c r="Z11" s="14" t="str"/>
      <x:c r="AA11" s="14" t="str">
        <x:v>【系统】=系统工程学院发车</x:v>
      </x:c>
    </x:row>
    <x:row r="12">
      <x:c r="A12" s="14" t="str">
        <x:v>工作日</x:v>
      </x:c>
      <x:c r="B12" s="14" t="str">
        <x:v>环线3路</x:v>
      </x:c>
      <x:c r="C12" s="14" t="str">
        <x:v>国防科大环线2路、3路发车时刻表（工作日）</x:v>
      </x:c>
      <x:c r="D12" s="14" t="str">
        <x:v>第四班</x:v>
      </x:c>
      <x:c r="E12" s="14" t="str">
        <x:v>孙五星</x:v>
      </x:c>
      <x:c r="F12" s="14" t="str">
        <x:v>3号车</x:v>
      </x:c>
      <x:c r="G12" s="14" t="str">
        <x:v>原表默认发车点</x:v>
      </x:c>
      <x:c r="H12" s="14" t="str">
        <x:v>17:55</x:v>
      </x:c>
      <x:c r="I12" s="14" t="str">
        <x:v>18:20</x:v>
      </x:c>
      <x:c r="J12" s="14" t="str">
        <x:v>18:50</x:v>
      </x:c>
      <x:c r="K12" s="14" t="str">
        <x:v>19:20</x:v>
      </x:c>
      <x:c r="L12" s="14" t="str">
        <x:v>19:50</x:v>
      </x:c>
      <x:c r="M12" s="14" t="str">
        <x:v>20:20</x:v>
      </x:c>
      <x:c r="N12" s="14" t="str">
        <x:v>20:50</x:v>
      </x:c>
      <x:c r="O12" s="14" t="str">
        <x:v>21:20</x:v>
      </x:c>
      <x:c r="P12" s="14" t="str">
        <x:v>21:50</x:v>
      </x:c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</x:row>
    <x:row r="13">
      <x:c r="A13" s="14" t="str">
        <x:v>周末/节假日</x:v>
      </x:c>
      <x:c r="B13" s="14" t="str">
        <x:v>环线2路</x:v>
      </x:c>
      <x:c r="C13" s="14" t="str">
        <x:v>国防科大环线2路、3路发车时刻表（周末/节假日）</x:v>
      </x:c>
      <x:c r="D13" s="14" t="str">
        <x:v>第一班</x:v>
      </x:c>
      <x:c r="E13" s="14" t="str">
        <x:v>刘晓燕</x:v>
      </x:c>
      <x:c r="F13" s="14" t="str">
        <x:v>1号车</x:v>
      </x:c>
      <x:c r="G13" s="14" t="str">
        <x:v>原表默认发车点</x:v>
      </x:c>
      <x:c r="H13" s="14" t="str">
        <x:v>8:20</x:v>
      </x:c>
      <x:c r="I13" s="14" t="str">
        <x:v>8:40</x:v>
      </x:c>
      <x:c r="J13" s="14" t="str">
        <x:v>9:00</x:v>
      </x:c>
      <x:c r="K13" s="14" t="str">
        <x:v>9:20</x:v>
      </x:c>
      <x:c r="L13" s="14" t="str">
        <x:v>9:40</x:v>
      </x:c>
      <x:c r="M13" s="14" t="str">
        <x:v>11:30</x:v>
      </x:c>
      <x:c r="N13" s="14" t="str">
        <x:v>12:00</x:v>
      </x:c>
      <x:c r="O13" s="14" t="str">
        <x:v>12:30</x:v>
      </x:c>
      <x:c r="P13" s="14" t="str">
        <x:v>14:30</x:v>
      </x:c>
      <x:c r="Q13" s="14" t="str">
        <x:v>15:00</x:v>
      </x:c>
      <x:c r="R13" s="14" t="str">
        <x:v>17:00</x:v>
      </x:c>
      <x:c r="S13" s="14" t="str">
        <x:v>17:30</x:v>
      </x:c>
      <x:c r="T13" s="14" t="str">
        <x:v>18:00</x:v>
      </x:c>
      <x:c r="U13" s="14" t="str"/>
      <x:c r="V13" s="14" t="str"/>
      <x:c r="W13" s="14" t="str"/>
      <x:c r="X13" s="14" t="str"/>
      <x:c r="Y13" s="14" t="str"/>
      <x:c r="Z13" s="14" t="str"/>
      <x:c r="AA13" s="14" t="str"/>
    </x:row>
    <x:row r="14">
      <x:c r="A14" s="14" t="str">
        <x:v>周末/节假日</x:v>
      </x:c>
      <x:c r="B14" s="14" t="str">
        <x:v>环线2路</x:v>
      </x:c>
      <x:c r="C14" s="14" t="str">
        <x:v>国防科大环线2路、3路发车时刻表（周末/节假日）</x:v>
      </x:c>
      <x:c r="D14" s="14" t="str">
        <x:v>第二班</x:v>
      </x:c>
      <x:c r="E14" s="14" t="str">
        <x:v>孙五星</x:v>
      </x:c>
      <x:c r="F14" s="14" t="str">
        <x:v>2号车</x:v>
      </x:c>
      <x:c r="G14" s="14" t="str">
        <x:v>原表默认发车点</x:v>
      </x:c>
      <x:c r="H14" s="14" t="str">
        <x:v>20:40</x:v>
      </x:c>
      <x:c r="I14" s="14" t="str">
        <x:v>21:00</x:v>
      </x:c>
      <x:c r="J14" s="14" t="str">
        <x:v>21:25</x:v>
      </x:c>
      <x:c r="K14" s="14" t="str">
        <x:v>21:50</x:v>
      </x:c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</x:row>
    <x:row r="15">
      <x:c r="A15" s="14" t="str">
        <x:v>周末/节假日</x:v>
      </x:c>
      <x:c r="B15" s="14" t="str">
        <x:v>环线3路</x:v>
      </x:c>
      <x:c r="C15" s="14" t="str">
        <x:v>国防科大环线2路、3路发车时刻表（周末/节假日）</x:v>
      </x:c>
      <x:c r="D15" s="14" t="str">
        <x:v>第一班</x:v>
      </x:c>
      <x:c r="E15" s="14" t="str">
        <x:v>孙五星</x:v>
      </x:c>
      <x:c r="F15" s="14" t="str">
        <x:v>3号车</x:v>
      </x:c>
      <x:c r="G15" s="14" t="str">
        <x:v>原表默认发车点</x:v>
      </x:c>
      <x:c r="H15" s="14" t="str">
        <x:v>8:15</x:v>
      </x:c>
      <x:c r="I15" s="14" t="str">
        <x:v>8:40</x:v>
      </x:c>
      <x:c r="J15" s="14" t="str">
        <x:v>9:05</x:v>
      </x:c>
      <x:c r="K15" s="14" t="str">
        <x:v>9:30</x:v>
      </x:c>
      <x:c r="L15" s="14" t="str">
        <x:v>9:55</x:v>
      </x:c>
      <x:c r="M15" s="14" t="str">
        <x:v>10:20</x:v>
      </x:c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</x:row>
    <x:row r="16">
      <x:c r="A16" s="14" t="str">
        <x:v>周末/节假日</x:v>
      </x:c>
      <x:c r="B16" s="14" t="str">
        <x:v>环线3路</x:v>
      </x:c>
      <x:c r="C16" s="14" t="str">
        <x:v>国防科大环线2路、3路发车时刻表（周末/节假日）</x:v>
      </x:c>
      <x:c r="D16" s="14" t="str">
        <x:v>第二班</x:v>
      </x:c>
      <x:c r="E16" s="14" t="str">
        <x:v>夏文新</x:v>
      </x:c>
      <x:c r="F16" s="14" t="str">
        <x:v>4号车</x:v>
      </x:c>
      <x:c r="G16" s="14" t="str">
        <x:v>含系统工程学院发车</x:v>
      </x:c>
      <x:c r="H16" s="14" t="str">
        <x:v>11:25【系统】</x:v>
      </x:c>
      <x:c r="I16" s="14" t="str">
        <x:v>11:55【系统】</x:v>
      </x:c>
      <x:c r="J16" s="14" t="str">
        <x:v>12:25【系统】</x:v>
      </x:c>
      <x:c r="K16" s="14" t="str">
        <x:v>14:20</x:v>
      </x:c>
      <x:c r="L16" s="14" t="str">
        <x:v>14:45</x:v>
      </x:c>
      <x:c r="M16" s="14" t="str">
        <x:v>15:10</x:v>
      </x:c>
      <x:c r="N16" s="14" t="str">
        <x:v>16:50【系统】</x:v>
      </x:c>
      <x:c r="O16" s="14" t="str">
        <x:v>17:20【系统】</x:v>
      </x:c>
      <x:c r="P16" s="14" t="str">
        <x:v>17:50【系统】</x:v>
      </x:c>
      <x:c r="Q16" s="14" t="str">
        <x:v>21:00【系统】</x:v>
      </x:c>
      <x:c r="R16" s="14" t="str">
        <x:v>21:25【系统】</x:v>
      </x:c>
      <x:c r="S16" s="14" t="str">
        <x:v>21:50【系统】</x:v>
      </x:c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>
        <x:v>【系统】=系统工程学院发车</x:v>
      </x:c>
    </x:row>
  </x:sheetData>
  <x:conditionalFormatting sqref="H2:Z16">
    <x:cfRule type="expression" dxfId="3" priority="1">
      <x:formula>ISNUMBER(SEARCH("【系统】",H2))</x:formula>
    </x:cfRule>
    <x:cfRule type="expression" dxfId="4" priority="2">
      <x:formula>ISNUMBER(SEARCH("推测",H2))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34" t="str">
        <x:v>国防科大校园环线发车时刻表汇总</x:v>
      </x:c>
      <x:c r="B1" s="12"/>
      <x:c r="C1" s="12"/>
      <x:c r="D1" s="12"/>
      <x:c r="E1" s="12"/>
      <x:c r="F1" s="12"/>
      <x:c r="G1" s="12"/>
      <x:c r="H1" s="12"/>
    </x:row>
    <x:row r="2" ht="54" customHeight="1">
      <x:c r="A2" s="22" t="str">
        <x:v>说明：本文件根据用户提供的 4 张图片整理。红色字体或原图打勾车次统一标注为“系统工程学院/高超楼发车”；其中环线1路打勾车次为就餐时间专线，按“高超楼—理学院—二食堂—一食堂—305教学楼—5号宿舍楼—二食堂北—理学院—高超楼”运行，不走环线1路完整路线。环线1路为工作日时刻表，周末/节假日不运行。工作日环线2路最后一列 17:10、21:30 为用户根据间隔暂推测。建议小程序/大模型 agent 优先读取“结构化数据”“预测到站明细”和“小程序数据口径”。</x:v>
      </x:c>
      <x:c r="B2" s="22"/>
      <x:c r="C2" s="22"/>
      <x:c r="D2" s="22"/>
      <x:c r="E2" s="22"/>
      <x:c r="F2" s="22"/>
      <x:c r="G2" s="22"/>
      <x:c r="H2" s="2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2"/>
      <x:c r="B4" s="22"/>
      <x:c r="C4" s="22"/>
      <x:c r="D4" s="22"/>
      <x:c r="E4" s="22"/>
      <x:c r="F4" s="22"/>
      <x:c r="G4" s="22"/>
      <x:c r="H4" s="2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6" t="str">
        <x:v>适用日期</x:v>
      </x:c>
      <x:c r="B6" s="6" t="str">
        <x:v>线路</x:v>
      </x:c>
      <x:c r="C6" s="6" t="str">
        <x:v>班次数</x:v>
      </x:c>
      <x:c r="D6" s="6" t="str">
        <x:v>发车总数</x:v>
      </x:c>
      <x:c r="E6" s="6" t="str">
        <x:v>最早发车</x:v>
      </x:c>
      <x:c r="F6" s="6" t="str">
        <x:v>最晚发车</x:v>
      </x:c>
      <x:c r="G6" s="6" t="str">
        <x:v>系统工程学院发车数</x:v>
      </x:c>
      <x:c r="H6" s="6" t="str">
        <x:v>备注</x:v>
      </x:c>
    </x:row>
    <x:row r="7">
      <x:c r="A7" s="12" t="str">
        <x:v>工作日</x:v>
      </x:c>
      <x:c r="B7" s="12" t="str">
        <x:v>环线1路</x:v>
      </x:c>
      <x:c r="C7" s="12" t="n">
        <x:v>5</x:v>
      </x:c>
      <x:c r="D7" s="12" t="n">
        <x:v>70</x:v>
      </x:c>
      <x:c r="E7" s="12" t="str">
        <x:v>7:30</x:v>
      </x:c>
      <x:c r="F7" s="12" t="str">
        <x:v>22:30</x:v>
      </x:c>
      <x:c r="G7" s="12" t="n">
        <x:v>9</x:v>
      </x:c>
      <x:c r="H7" s="12" t="str">
        <x:v>含系统工程学院发车；工作日运行，周末/节假日不运行</x:v>
      </x:c>
    </x:row>
    <x:row r="8">
      <x:c r="A8" s="12" t="str">
        <x:v>工作日</x:v>
      </x:c>
      <x:c r="B8" s="12" t="str">
        <x:v>环线2路</x:v>
      </x:c>
      <x:c r="C8" s="12" t="n">
        <x:v>2</x:v>
      </x:c>
      <x:c r="D8" s="12" t="n">
        <x:v>38</x:v>
      </x:c>
      <x:c r="E8" s="12" t="str">
        <x:v>7:35</x:v>
      </x:c>
      <x:c r="F8" s="12" t="str">
        <x:v>21:30</x:v>
      </x:c>
      <x:c r="G8" s="12" t="n">
        <x:v>0</x:v>
      </x:c>
      <x:c r="H8" s="12" t="str">
        <x:v>2 条推测待确认</x:v>
      </x:c>
    </x:row>
    <x:row r="9">
      <x:c r="A9" s="12" t="str">
        <x:v>工作日</x:v>
      </x:c>
      <x:c r="B9" s="12" t="str">
        <x:v>环线3路</x:v>
      </x:c>
      <x:c r="C9" s="12" t="n">
        <x:v>4</x:v>
      </x:c>
      <x:c r="D9" s="12" t="n">
        <x:v>48</x:v>
      </x:c>
      <x:c r="E9" s="12" t="str">
        <x:v>7:35</x:v>
      </x:c>
      <x:c r="F9" s="12" t="str">
        <x:v>21:50</x:v>
      </x:c>
      <x:c r="G9" s="12" t="n">
        <x:v>3</x:v>
      </x:c>
      <x:c r="H9" s="12" t="str">
        <x:v>含系统工程学院发车</x:v>
      </x:c>
    </x:row>
    <x:row r="10">
      <x:c r="A10" s="12" t="str">
        <x:v>周末/节假日</x:v>
      </x:c>
      <x:c r="B10" s="12" t="str">
        <x:v>环线2路</x:v>
      </x:c>
      <x:c r="C10" s="12" t="n">
        <x:v>2</x:v>
      </x:c>
      <x:c r="D10" s="12" t="n">
        <x:v>17</x:v>
      </x:c>
      <x:c r="E10" s="12" t="str">
        <x:v>8:20</x:v>
      </x:c>
      <x:c r="F10" s="12" t="str">
        <x:v>21:50</x:v>
      </x:c>
      <x:c r="G10" s="12" t="n">
        <x:v>0</x:v>
      </x:c>
      <x:c r="H10" s="12"/>
    </x:row>
    <x:row r="11">
      <x:c r="A11" s="12" t="str">
        <x:v>周末/节假日</x:v>
      </x:c>
      <x:c r="B11" s="12" t="str">
        <x:v>环线3路</x:v>
      </x:c>
      <x:c r="C11" s="12" t="n">
        <x:v>2</x:v>
      </x:c>
      <x:c r="D11" s="12" t="n">
        <x:v>18</x:v>
      </x:c>
      <x:c r="E11" s="12" t="str">
        <x:v>8:15</x:v>
      </x:c>
      <x:c r="F11" s="12" t="str">
        <x:v>21:50</x:v>
      </x:c>
      <x:c r="G11" s="12" t="n">
        <x:v>9</x:v>
      </x:c>
      <x:c r="H11" s="12" t="str">
        <x:v>含系统工程学院发车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30" t="str">
        <x:v>Agent 读取建议</x:v>
      </x:c>
      <x:c r="B15" s="30"/>
      <x:c r="C15" s="12"/>
      <x:c r="D15" s="12"/>
      <x:c r="E15" s="12"/>
      <x:c r="F15" s="12"/>
      <x:c r="G15" s="12"/>
      <x:c r="H15" s="12"/>
    </x:row>
    <x:row r="16">
      <x:c r="A16" s="12" t="str">
        <x:v>主表</x:v>
      </x:c>
      <x:c r="B16" s="12" t="str">
        <x:v>结构化数据</x:v>
      </x:c>
      <x:c r="C16" s="12"/>
      <x:c r="D16" s="12"/>
      <x:c r="E16" s="12"/>
      <x:c r="F16" s="12"/>
      <x:c r="G16" s="12"/>
      <x:c r="H16" s="12"/>
    </x:row>
    <x:row r="17">
      <x:c r="A17" s="12" t="str">
        <x:v>排序字段</x:v>
      </x:c>
      <x:c r="B17" s="12" t="str">
        <x:v>适用日期、线路、发车分钟、班次、趟次序号</x:v>
      </x:c>
      <x:c r="C17" s="12"/>
      <x:c r="D17" s="12"/>
      <x:c r="E17" s="12"/>
      <x:c r="F17" s="12"/>
      <x:c r="G17" s="12"/>
      <x:c r="H17" s="12"/>
    </x:row>
    <x:row r="18">
      <x:c r="A18" s="12" t="str">
        <x:v>判断系统工程学院发车</x:v>
      </x:c>
      <x:c r="B18" s="12" t="str">
        <x:v>优先使用字段“是否系统工程学院发车”；环线1路为“是”的记录按就餐专线处理</x:v>
      </x:c>
      <x:c r="C18" s="12"/>
      <x:c r="D18" s="12"/>
      <x:c r="E18" s="12"/>
      <x:c r="F18" s="12"/>
      <x:c r="G18" s="12"/>
      <x:c r="H18" s="12"/>
    </x:row>
    <x:row r="19">
      <x:c r="A19" s="12" t="str">
        <x:v>显示时间</x:v>
      </x:c>
      <x:c r="B19" s="12" t="str">
        <x:v>优先使用“发车时间HHMM”；需要保留原始格式可用“发车时间”</x:v>
      </x:c>
      <x:c r="C19" s="12"/>
      <x:c r="D19" s="12"/>
      <x:c r="E19" s="12"/>
      <x:c r="F19" s="12"/>
      <x:c r="G19" s="12"/>
      <x:c r="H19" s="12"/>
    </x:row>
    <x:row r="20">
      <x:c r="A20" s="12" t="str">
        <x:v>待确认处理</x:v>
      </x:c>
      <x:c r="B20" s="12" t="str">
        <x:v>数据状态=推测待确认的记录，建议在小程序中以灰色/提示标识</x:v>
      </x:c>
      <x:c r="C20" s="12"/>
      <x:c r="D20" s="12"/>
      <x:c r="E20" s="12"/>
      <x:c r="F20" s="12"/>
      <x:c r="G20" s="12"/>
      <x:c r="H20" s="12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</x:sheetData>
  <x:mergeCells>
    <x:mergeCell ref="A1:H1"/>
    <x:mergeCell ref="A2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42" hidden="0" customWidth="1"/>
  </x:cols>
  <x:sheetData>
    <x:row r="1">
      <x:c r="A1" s="65" t="str">
        <x:v>字段名</x:v>
      </x:c>
      <x:c r="B1" s="65" t="str">
        <x:v>说明</x:v>
      </x:c>
      <x:c r="C1" s="65" t="str">
        <x:v>示例/取值</x:v>
      </x:c>
    </x:row>
    <x:row r="2">
      <x:c r="A2" s="12" t="str">
        <x:v>记录ID</x:v>
      </x:c>
      <x:c r="B2" s="12" t="str">
        <x:v>每条发车记录的唯一编号</x:v>
      </x:c>
      <x:c r="C2" s="12" t="str">
        <x:v>S0001</x:v>
      </x:c>
    </x:row>
    <x:row r="3">
      <x:c r="A3" s="12" t="str">
        <x:v>适用日期</x:v>
      </x:c>
      <x:c r="B3" s="12" t="str">
        <x:v>时刻表适用日期类型</x:v>
      </x:c>
      <x:c r="C3" s="12" t="str">
        <x:v>工作日、周末/节假日</x:v>
      </x:c>
    </x:row>
    <x:row r="4">
      <x:c r="A4" s="12" t="str">
        <x:v>线路</x:v>
      </x:c>
      <x:c r="B4" s="12" t="str">
        <x:v>校园环线线路</x:v>
      </x:c>
      <x:c r="C4" s="12" t="str">
        <x:v>环线1路、环线2路、环线3路</x:v>
      </x:c>
    </x:row>
    <x:row r="5">
      <x:c r="A5" s="12" t="str">
        <x:v>原图标题</x:v>
      </x:c>
      <x:c r="B5" s="12" t="str">
        <x:v>图片中表格标题</x:v>
      </x:c>
      <x:c r="C5" s="12" t="str">
        <x:v>国防科大环线3路发车时刻表</x:v>
      </x:c>
    </x:row>
    <x:row r="6">
      <x:c r="A6" s="12" t="str">
        <x:v>班次</x:v>
      </x:c>
      <x:c r="B6" s="12" t="str">
        <x:v>车辆/班组班次</x:v>
      </x:c>
      <x:c r="C6" s="12" t="str">
        <x:v>第一班、第二班、第四班（夜1）等</x:v>
      </x:c>
    </x:row>
    <x:row r="7">
      <x:c r="A7" s="12" t="str">
        <x:v>趟次序号</x:v>
      </x:c>
      <x:c r="B7" s="12" t="str">
        <x:v>该班次下的第几趟车</x:v>
      </x:c>
      <x:c r="C7" s="12" t="str">
        <x:v>1、2、3…</x:v>
      </x:c>
    </x:row>
    <x:row r="8">
      <x:c r="A8" s="12" t="str">
        <x:v>发车时间</x:v>
      </x:c>
      <x:c r="B8" s="12" t="str">
        <x:v>按图片原始样式录入的发车时间</x:v>
      </x:c>
      <x:c r="C8" s="12" t="str">
        <x:v>7:30</x:v>
      </x:c>
    </x:row>
    <x:row r="9">
      <x:c r="A9" s="12" t="str">
        <x:v>发车时间HHMM</x:v>
      </x:c>
      <x:c r="B9" s="12" t="str">
        <x:v>补齐为两位小时的时间文本，便于程序显示</x:v>
      </x:c>
      <x:c r="C9" s="12" t="str">
        <x:v>07:30</x:v>
      </x:c>
    </x:row>
    <x:row r="10">
      <x:c r="A10" s="12" t="str">
        <x:v>发车分钟</x:v>
      </x:c>
      <x:c r="B10" s="12" t="str">
        <x:v>从 00:00 起算的分钟数，便于排序和计算下一班</x:v>
      </x:c>
      <x:c r="C10" s="12" t="str">
        <x:v>450</x:v>
      </x:c>
    </x:row>
    <x:row r="11">
      <x:c r="A11" s="12" t="str">
        <x:v>发车地点</x:v>
      </x:c>
      <x:c r="B11" s="12" t="str">
        <x:v>默认发车点或系统工程学院</x:v>
      </x:c>
      <x:c r="C11" s="12" t="str">
        <x:v>原表默认发车点、系统工程学院</x:v>
      </x:c>
    </x:row>
    <x:row r="12">
      <x:c r="A12" s="12" t="str">
        <x:v>是否系统工程学院发车</x:v>
      </x:c>
      <x:c r="B12" s="12" t="str">
        <x:v>原图红色字体或打勾标记的结构化标识</x:v>
      </x:c>
      <x:c r="C12" s="12" t="str">
        <x:v>是、否</x:v>
      </x:c>
    </x:row>
    <x:row r="13">
      <x:c r="A13" s="12" t="str">
        <x:v>驾驶员</x:v>
      </x:c>
      <x:c r="B13" s="12" t="str">
        <x:v>表格右侧驾驶员字段；图片未显示则为未提供</x:v>
      </x:c>
      <x:c r="C13" s="12" t="str">
        <x:v>刘虎</x:v>
      </x:c>
    </x:row>
    <x:row r="14">
      <x:c r="A14" s="12" t="str">
        <x:v>车号</x:v>
      </x:c>
      <x:c r="B14" s="12" t="str">
        <x:v>表格右侧车号字段；图片未显示则为未提供</x:v>
      </x:c>
      <x:c r="C14" s="12" t="str">
        <x:v>3号车</x:v>
      </x:c>
    </x:row>
    <x:row r="15">
      <x:c r="A15" s="12" t="str">
        <x:v>数据状态</x:v>
      </x:c>
      <x:c r="B15" s="12" t="str">
        <x:v>是否已识读或仍需确认</x:v>
      </x:c>
      <x:c r="C15" s="12" t="str">
        <x:v>已识读、推测待确认</x:v>
      </x:c>
    </x:row>
    <x:row r="16">
      <x:c r="A16" s="12" t="str">
        <x:v>备注</x:v>
      </x:c>
      <x:c r="B16" s="12" t="str">
        <x:v>识读说明、夜班车、推测原因等</x:v>
      </x:c>
      <x:c r="C16" s="12" t="str">
        <x:v>原图红色字体/打勾，表示系统工程学院发车</x:v>
      </x:c>
    </x:row>
    <x:row r="17">
      <x:c r="A17" s="12" t="str">
        <x:v>来源</x:v>
      </x:c>
      <x:c r="B17" s="12" t="str">
        <x:v>来自第几张图片</x:v>
      </x:c>
      <x:c r="C17" s="12" t="str">
        <x:v>图片1、图片2、图片3</x:v>
      </x:c>
    </x:row>
    <x:row r="18">
      <x:c r="A18" t="str">
        <x:v>运行路线模式</x:v>
      </x:c>
      <x:c r="B18" t="str">
        <x:v>预测到站明细中的运行路线口径</x:v>
      </x:c>
      <x:c r="C18" t="str">
        <x:v>研究生宿舍楼发车、高超楼发车（就餐专线）</x:v>
      </x:c>
    </x:row>
    <x:row r="19">
      <x:c r="A19" t="str">
        <x:v>发车后累计分钟</x:v>
      </x:c>
      <x:c r="B19" t="str">
        <x:v>站点相对该趟车发车时间的预计分钟偏移</x:v>
      </x:c>
      <x:c r="C19" t="str">
        <x:v>0、1、4、6…</x:v>
      </x:c>
    </x:row>
    <x:row r="20">
      <x:c r="A20" t="str">
        <x:v>预计到达时间</x:v>
      </x:c>
      <x:c r="B20" t="str">
        <x:v>根据发车时间+累计分钟得到的预计到站时间</x:v>
      </x:c>
      <x:c r="C20" t="str">
        <x:v>11:34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6" hidden="0" customWidth="1"/>
    <x:col min="12" max="12" width="36" hidden="0" customWidth="1"/>
  </x:cols>
  <x:sheetData>
    <x:row r="1" ht="28" customHeight="1">
      <x:c r="A1" s="65" t="str">
        <x:v>线路</x:v>
      </x:c>
      <x:c r="B1" s="65" t="str">
        <x:v>发车模式</x:v>
      </x:c>
      <x:c r="C1" s="65" t="str">
        <x:v>站点序号</x:v>
      </x:c>
      <x:c r="D1" s="65" t="str">
        <x:v>站点名称</x:v>
      </x:c>
      <x:c r="E1" s="65" t="str">
        <x:v>与上一站距离估计(km)</x:v>
      </x:c>
      <x:c r="F1" s="65" t="str">
        <x:v>与上一站行驶分钟</x:v>
      </x:c>
      <x:c r="G1" s="65" t="str">
        <x:v>发车后累计分钟</x:v>
      </x:c>
      <x:c r="H1" s="65" t="str">
        <x:v>是否发车站</x:v>
      </x:c>
      <x:c r="I1" s="65" t="str">
        <x:v>是否返回发车点</x:v>
      </x:c>
      <x:c r="J1" s="65" t="str">
        <x:v>全程预测分钟</x:v>
      </x:c>
      <x:c r="K1" s="65" t="str">
        <x:v>距离/时间依据</x:v>
      </x:c>
      <x:c r="L1" s="65" t="str">
        <x:v>备注</x:v>
      </x:c>
    </x:row>
    <x:row r="2">
      <x:c r="A2" s="14" t="str">
        <x:v>环线1路</x:v>
      </x:c>
      <x:c r="B2" s="14" t="str">
        <x:v>研究生宿舍楼发车</x:v>
      </x:c>
      <x:c r="C2" s="14" t="n">
        <x:v>1</x:v>
      </x:c>
      <x:c r="D2" s="14" t="str">
        <x:v>研究生宿舍楼</x:v>
      </x:c>
      <x:c r="E2" s="14" t="n">
        <x:v>0</x:v>
      </x:c>
      <x:c r="F2" s="14" t="n">
        <x:v>0</x:v>
      </x:c>
      <x:c r="G2" s="14" t="n">
        <x:v>0</x:v>
      </x:c>
      <x:c r="H2" s="14" t="str">
        <x:v>是</x:v>
      </x:c>
      <x:c r="I2" s="14" t="str">
        <x:v>否</x:v>
      </x:c>
      <x:c r="J2" s="14" t="n">
        <x:v>17</x:v>
      </x:c>
      <x:c r="K2" s="14" t="str">
        <x:v>发车点</x:v>
      </x:c>
      <x:c r="L2" s="14" t="str">
        <x:v>预测值，按分钟取整；实际到站受候车、上下车和路况影响</x:v>
      </x:c>
    </x:row>
    <x:row r="3">
      <x:c r="A3" s="14" t="str">
        <x:v>环线1路</x:v>
      </x:c>
      <x:c r="B3" s="14" t="str">
        <x:v>研究生宿舍楼发车</x:v>
      </x:c>
      <x:c r="C3" s="14" t="n">
        <x:v>2</x:v>
      </x:c>
      <x:c r="D3" s="14" t="str">
        <x:v>东门</x:v>
      </x:c>
      <x:c r="E3" s="14" t="n">
        <x:v>0.35</x:v>
      </x:c>
      <x:c r="F3" s="14" t="n">
        <x:v>1</x:v>
      </x:c>
      <x:c r="G3" s="14" t="n">
        <x:v>1</x:v>
      </x:c>
      <x:c r="H3" s="14" t="str">
        <x:v>否</x:v>
      </x:c>
      <x:c r="I3" s="14" t="str">
        <x:v>否</x:v>
      </x:c>
      <x:c r="J3" s="14" t="n">
        <x:v>17</x:v>
      </x:c>
      <x:c r="K3" s="14" t="str">
        <x:v>根据路线图比例估计</x:v>
      </x:c>
      <x:c r="L3" s="14" t="str">
        <x:v>预测值，按分钟取整；实际到站受候车、上下车和路况影响</x:v>
      </x:c>
    </x:row>
    <x:row r="4">
      <x:c r="A4" s="14" t="str">
        <x:v>环线1路</x:v>
      </x:c>
      <x:c r="B4" s="14" t="str">
        <x:v>研究生宿舍楼发车</x:v>
      </x:c>
      <x:c r="C4" s="14" t="n">
        <x:v>3</x:v>
      </x:c>
      <x:c r="D4" s="14" t="str">
        <x:v>2号宿舍楼</x:v>
      </x:c>
      <x:c r="E4" s="14" t="n">
        <x:v>0.35</x:v>
      </x:c>
      <x:c r="F4" s="14" t="n">
        <x:v>1</x:v>
      </x:c>
      <x:c r="G4" s="14" t="n">
        <x:v>2</x:v>
      </x:c>
      <x:c r="H4" s="14" t="str">
        <x:v>否</x:v>
      </x:c>
      <x:c r="I4" s="14" t="str">
        <x:v>否</x:v>
      </x:c>
      <x:c r="J4" s="14" t="n">
        <x:v>17</x:v>
      </x:c>
      <x:c r="K4" s="14" t="str">
        <x:v>东门至北门合计约1.9km的分段估计</x:v>
      </x:c>
      <x:c r="L4" s="14" t="str">
        <x:v>预测值，按分钟取整；实际到站受候车、上下车和路况影响</x:v>
      </x:c>
    </x:row>
    <x:row r="5">
      <x:c r="A5" s="14" t="str">
        <x:v>环线1路</x:v>
      </x:c>
      <x:c r="B5" s="14" t="str">
        <x:v>研究生宿舍楼发车</x:v>
      </x:c>
      <x:c r="C5" s="14" t="n">
        <x:v>4</x:v>
      </x:c>
      <x:c r="D5" s="14" t="str">
        <x:v>军体活动中心</x:v>
      </x:c>
      <x:c r="E5" s="14" t="n">
        <x:v>0.25</x:v>
      </x:c>
      <x:c r="F5" s="14" t="n">
        <x:v>1</x:v>
      </x:c>
      <x:c r="G5" s="14" t="n">
        <x:v>3</x:v>
      </x:c>
      <x:c r="H5" s="14" t="str">
        <x:v>否</x:v>
      </x:c>
      <x:c r="I5" s="14" t="str">
        <x:v>否</x:v>
      </x:c>
      <x:c r="J5" s="14" t="n">
        <x:v>17</x:v>
      </x:c>
      <x:c r="K5" s="14" t="str">
        <x:v>东门至北门合计约1.9km的分段估计</x:v>
      </x:c>
      <x:c r="L5" s="14" t="str">
        <x:v>预测值，按分钟取整；实际到站受候车、上下车和路况影响</x:v>
      </x:c>
    </x:row>
    <x:row r="6">
      <x:c r="A6" s="14" t="str">
        <x:v>环线1路</x:v>
      </x:c>
      <x:c r="B6" s="14" t="str">
        <x:v>研究生宿舍楼发车</x:v>
      </x:c>
      <x:c r="C6" s="14" t="n">
        <x:v>5</x:v>
      </x:c>
      <x:c r="D6" s="14" t="str">
        <x:v>激光所</x:v>
      </x:c>
      <x:c r="E6" s="14" t="n">
        <x:v>0.4</x:v>
      </x:c>
      <x:c r="F6" s="14" t="n">
        <x:v>2</x:v>
      </x:c>
      <x:c r="G6" s="14" t="n">
        <x:v>5</x:v>
      </x:c>
      <x:c r="H6" s="14" t="str">
        <x:v>否</x:v>
      </x:c>
      <x:c r="I6" s="14" t="str">
        <x:v>否</x:v>
      </x:c>
      <x:c r="J6" s="14" t="n">
        <x:v>17</x:v>
      </x:c>
      <x:c r="K6" s="14" t="str">
        <x:v>东门至北门合计约1.9km的分段估计</x:v>
      </x:c>
      <x:c r="L6" s="14" t="str">
        <x:v>预测值，按分钟取整；实际到站受候车、上下车和路况影响</x:v>
      </x:c>
    </x:row>
    <x:row r="7">
      <x:c r="A7" s="14" t="str">
        <x:v>环线1路</x:v>
      </x:c>
      <x:c r="B7" s="14" t="str">
        <x:v>研究生宿舍楼发车</x:v>
      </x:c>
      <x:c r="C7" s="14" t="n">
        <x:v>6</x:v>
      </x:c>
      <x:c r="D7" s="14" t="str">
        <x:v>超算中心</x:v>
      </x:c>
      <x:c r="E7" s="14" t="n">
        <x:v>0.35</x:v>
      </x:c>
      <x:c r="F7" s="14" t="n">
        <x:v>1</x:v>
      </x:c>
      <x:c r="G7" s="14" t="n">
        <x:v>6</x:v>
      </x:c>
      <x:c r="H7" s="14" t="str">
        <x:v>否</x:v>
      </x:c>
      <x:c r="I7" s="14" t="str">
        <x:v>否</x:v>
      </x:c>
      <x:c r="J7" s="14" t="n">
        <x:v>17</x:v>
      </x:c>
      <x:c r="K7" s="14" t="str">
        <x:v>东门至北门合计约1.9km的分段估计</x:v>
      </x:c>
      <x:c r="L7" s="14" t="str">
        <x:v>预测值，按分钟取整；实际到站受候车、上下车和路况影响</x:v>
      </x:c>
    </x:row>
    <x:row r="8">
      <x:c r="A8" s="14" t="str">
        <x:v>环线1路</x:v>
      </x:c>
      <x:c r="B8" s="14" t="str">
        <x:v>研究生宿舍楼发车</x:v>
      </x:c>
      <x:c r="C8" s="14" t="n">
        <x:v>7</x:v>
      </x:c>
      <x:c r="D8" s="14" t="str">
        <x:v>北门</x:v>
      </x:c>
      <x:c r="E8" s="14" t="n">
        <x:v>0.55</x:v>
      </x:c>
      <x:c r="F8" s="14" t="n">
        <x:v>2</x:v>
      </x:c>
      <x:c r="G8" s="14" t="n">
        <x:v>8</x:v>
      </x:c>
      <x:c r="H8" s="14" t="str">
        <x:v>否</x:v>
      </x:c>
      <x:c r="I8" s="14" t="str">
        <x:v>否</x:v>
      </x:c>
      <x:c r="J8" s="14" t="n">
        <x:v>17</x:v>
      </x:c>
      <x:c r="K8" s="14" t="str">
        <x:v>东门至北门合计约1.9km的分段估计</x:v>
      </x:c>
      <x:c r="L8" s="14" t="str">
        <x:v>预测值，按分钟取整；实际到站受候车、上下车和路况影响</x:v>
      </x:c>
    </x:row>
    <x:row r="9">
      <x:c r="A9" s="14" t="str">
        <x:v>环线1路</x:v>
      </x:c>
      <x:c r="B9" s="14" t="str">
        <x:v>研究生宿舍楼发车</x:v>
      </x:c>
      <x:c r="C9" s="14" t="n">
        <x:v>8</x:v>
      </x:c>
      <x:c r="D9" s="14" t="str">
        <x:v>高超楼</x:v>
      </x:c>
      <x:c r="E9" s="14" t="n">
        <x:v>0.35</x:v>
      </x:c>
      <x:c r="F9" s="14" t="n">
        <x:v>1</x:v>
      </x:c>
      <x:c r="G9" s="14" t="n">
        <x:v>9</x:v>
      </x:c>
      <x:c r="H9" s="14" t="str">
        <x:v>否</x:v>
      </x:c>
      <x:c r="I9" s="14" t="str">
        <x:v>否</x:v>
      </x:c>
      <x:c r="J9" s="14" t="n">
        <x:v>17</x:v>
      </x:c>
      <x:c r="K9" s="14" t="str">
        <x:v>高超楼旁为系统工程学院</x:v>
      </x:c>
      <x:c r="L9" s="14" t="str">
        <x:v>预测值，按分钟取整；实际到站受候车、上下车和路况影响</x:v>
      </x:c>
    </x:row>
    <x:row r="10">
      <x:c r="A10" s="14" t="str">
        <x:v>环线1路</x:v>
      </x:c>
      <x:c r="B10" s="14" t="str">
        <x:v>研究生宿舍楼发车</x:v>
      </x:c>
      <x:c r="C10" s="14" t="n">
        <x:v>9</x:v>
      </x:c>
      <x:c r="D10" s="14" t="str">
        <x:v>理学院</x:v>
      </x:c>
      <x:c r="E10" s="14" t="n">
        <x:v>0.35</x:v>
      </x:c>
      <x:c r="F10" s="14" t="n">
        <x:v>1</x:v>
      </x:c>
      <x:c r="G10" s="14" t="n">
        <x:v>10</x:v>
      </x:c>
      <x:c r="H10" s="14" t="str">
        <x:v>否</x:v>
      </x:c>
      <x:c r="I10" s="14" t="str">
        <x:v>否</x:v>
      </x:c>
      <x:c r="J10" s="14" t="n">
        <x:v>17</x:v>
      </x:c>
      <x:c r="K10" s="14" t="str">
        <x:v>路线图比例估计</x:v>
      </x:c>
      <x:c r="L10" s="14" t="str">
        <x:v>预测值，按分钟取整；实际到站受候车、上下车和路况影响</x:v>
      </x:c>
    </x:row>
    <x:row r="11">
      <x:c r="A11" s="14" t="str">
        <x:v>环线1路</x:v>
      </x:c>
      <x:c r="B11" s="14" t="str">
        <x:v>研究生宿舍楼发车</x:v>
      </x:c>
      <x:c r="C11" s="14" t="n">
        <x:v>10</x:v>
      </x:c>
      <x:c r="D11" s="14" t="str">
        <x:v>二食堂</x:v>
      </x:c>
      <x:c r="E11" s="14" t="n">
        <x:v>1</x:v>
      </x:c>
      <x:c r="F11" s="14" t="n">
        <x:v>3</x:v>
      </x:c>
      <x:c r="G11" s="14" t="n">
        <x:v>13</x:v>
      </x:c>
      <x:c r="H11" s="14" t="str">
        <x:v>否</x:v>
      </x:c>
      <x:c r="I11" s="14" t="str">
        <x:v>否</x:v>
      </x:c>
      <x:c r="J11" s="14" t="n">
        <x:v>17</x:v>
      </x:c>
      <x:c r="K11" s="14" t="str">
        <x:v>用户提供：理学院至二食堂约1km</x:v>
      </x:c>
      <x:c r="L11" s="14" t="str">
        <x:v>预测值，按分钟取整；实际到站受候车、上下车和路况影响</x:v>
      </x:c>
    </x:row>
    <x:row r="12">
      <x:c r="A12" s="14" t="str">
        <x:v>环线1路</x:v>
      </x:c>
      <x:c r="B12" s="14" t="str">
        <x:v>研究生宿舍楼发车</x:v>
      </x:c>
      <x:c r="C12" s="14" t="n">
        <x:v>11</x:v>
      </x:c>
      <x:c r="D12" s="14" t="str">
        <x:v>5号宿舍楼</x:v>
      </x:c>
      <x:c r="E12" s="14" t="n">
        <x:v>0.35</x:v>
      </x:c>
      <x:c r="F12" s="14" t="n">
        <x:v>1</x:v>
      </x:c>
      <x:c r="G12" s="14" t="n">
        <x:v>14</x:v>
      </x:c>
      <x:c r="H12" s="14" t="str">
        <x:v>否</x:v>
      </x:c>
      <x:c r="I12" s="14" t="str">
        <x:v>否</x:v>
      </x:c>
      <x:c r="J12" s="14" t="n">
        <x:v>17</x:v>
      </x:c>
      <x:c r="K12" s="14" t="str">
        <x:v>路线图比例估计</x:v>
      </x:c>
      <x:c r="L12" s="14" t="str">
        <x:v>预测值，按分钟取整；实际到站受候车、上下车和路况影响</x:v>
      </x:c>
    </x:row>
    <x:row r="13">
      <x:c r="A13" s="14" t="str">
        <x:v>环线1路</x:v>
      </x:c>
      <x:c r="B13" s="14" t="str">
        <x:v>研究生宿舍楼发车</x:v>
      </x:c>
      <x:c r="C13" s="14" t="n">
        <x:v>12</x:v>
      </x:c>
      <x:c r="D13" s="14" t="str">
        <x:v>305教学楼</x:v>
      </x:c>
      <x:c r="E13" s="14" t="n">
        <x:v>0.4</x:v>
      </x:c>
      <x:c r="F13" s="14" t="n">
        <x:v>1</x:v>
      </x:c>
      <x:c r="G13" s="14" t="n">
        <x:v>15</x:v>
      </x:c>
      <x:c r="H13" s="14" t="str">
        <x:v>否</x:v>
      </x:c>
      <x:c r="I13" s="14" t="str">
        <x:v>否</x:v>
      </x:c>
      <x:c r="J13" s="14" t="n">
        <x:v>17</x:v>
      </x:c>
      <x:c r="K13" s="14" t="str">
        <x:v>路线图比例估计</x:v>
      </x:c>
      <x:c r="L13" s="14" t="str">
        <x:v>预测值，按分钟取整；实际到站受候车、上下车和路况影响</x:v>
      </x:c>
    </x:row>
    <x:row r="14">
      <x:c r="A14" s="14" t="str">
        <x:v>环线1路</x:v>
      </x:c>
      <x:c r="B14" s="14" t="str">
        <x:v>研究生宿舍楼发车</x:v>
      </x:c>
      <x:c r="C14" s="14" t="n">
        <x:v>13</x:v>
      </x:c>
      <x:c r="D14" s="14" t="str">
        <x:v>研究生宿舍楼</x:v>
      </x:c>
      <x:c r="E14" s="14" t="n">
        <x:v>0.55</x:v>
      </x:c>
      <x:c r="F14" s="14" t="n">
        <x:v>2</x:v>
      </x:c>
      <x:c r="G14" s="14" t="n">
        <x:v>17</x:v>
      </x:c>
      <x:c r="H14" s="14" t="str">
        <x:v>否</x:v>
      </x:c>
      <x:c r="I14" s="14" t="str">
        <x:v>是</x:v>
      </x:c>
      <x:c r="J14" s="14" t="n">
        <x:v>17</x:v>
      </x:c>
      <x:c r="K14" s="14" t="str">
        <x:v>回到发车点，预留约3分钟用于20分钟最小间隔</x:v>
      </x:c>
      <x:c r="L14" s="14" t="str">
        <x:v>预测值，按分钟取整；实际到站受候车、上下车和路况影响</x:v>
      </x:c>
    </x:row>
    <x:row r="15">
      <x:c r="A15" s="14" t="str">
        <x:v>环线1路</x:v>
      </x:c>
      <x:c r="B15" s="14" t="str">
        <x:v>高超楼发车（就餐专线）</x:v>
      </x:c>
      <x:c r="C15" s="14" t="n">
        <x:v>1</x:v>
      </x:c>
      <x:c r="D15" s="14" t="str">
        <x:v>高超楼</x:v>
      </x:c>
      <x:c r="E15" s="14" t="n">
        <x:v>0</x:v>
      </x:c>
      <x:c r="F15" s="14" t="n">
        <x:v>0</x:v>
      </x:c>
      <x:c r="G15" s="14" t="n">
        <x:v>0</x:v>
      </x:c>
      <x:c r="H15" s="14" t="str">
        <x:v>是</x:v>
      </x:c>
      <x:c r="I15" s="14" t="str">
        <x:v>否</x:v>
      </x:c>
      <x:c r="J15" s="14" t="n">
        <x:v>16</x:v>
      </x:c>
      <x:c r="K15" s="14" t="str">
        <x:v>发车点</x:v>
      </x:c>
      <x:c r="L15" s="14" t="str">
        <x:v>环线1路打勾车次专用：就餐时间从高超楼发车，按就餐专线运行，不走环线1路完整路线</x:v>
      </x:c>
    </x:row>
    <x:row r="16">
      <x:c r="A16" s="14" t="str">
        <x:v>环线1路</x:v>
      </x:c>
      <x:c r="B16" s="14" t="str">
        <x:v>高超楼发车（就餐专线）</x:v>
      </x:c>
      <x:c r="C16" s="14" t="n">
        <x:v>2</x:v>
      </x:c>
      <x:c r="D16" s="14" t="str">
        <x:v>理学院</x:v>
      </x:c>
      <x:c r="E16" s="14" t="n">
        <x:v>0.35</x:v>
      </x:c>
      <x:c r="F16" s="14" t="n">
        <x:v>1</x:v>
      </x:c>
      <x:c r="G16" s="14" t="n">
        <x:v>1</x:v>
      </x:c>
      <x:c r="H16" s="14" t="str">
        <x:v>否</x:v>
      </x:c>
      <x:c r="I16" s="14" t="str">
        <x:v>否</x:v>
      </x:c>
      <x:c r="J16" s="14" t="n">
        <x:v>16</x:v>
      </x:c>
      <x:c r="K16" s="14" t="str">
        <x:v>就餐专线图，短距离南行</x:v>
      </x:c>
      <x:c r="L16" s="14" t="str">
        <x:v>环线1路打勾车次专用：就餐时间从高超楼发车，按就餐专线运行，不走环线1路完整路线</x:v>
      </x:c>
    </x:row>
    <x:row r="17">
      <x:c r="A17" s="14" t="str">
        <x:v>环线1路</x:v>
      </x:c>
      <x:c r="B17" s="14" t="str">
        <x:v>高超楼发车（就餐专线）</x:v>
      </x:c>
      <x:c r="C17" s="14" t="n">
        <x:v>3</x:v>
      </x:c>
      <x:c r="D17" s="14" t="str">
        <x:v>二食堂</x:v>
      </x:c>
      <x:c r="E17" s="14" t="n">
        <x:v>1</x:v>
      </x:c>
      <x:c r="F17" s="14" t="n">
        <x:v>3</x:v>
      </x:c>
      <x:c r="G17" s="14" t="n">
        <x:v>4</x:v>
      </x:c>
      <x:c r="H17" s="14" t="str">
        <x:v>否</x:v>
      </x:c>
      <x:c r="I17" s="14" t="str">
        <x:v>否</x:v>
      </x:c>
      <x:c r="J17" s="14" t="n">
        <x:v>16</x:v>
      </x:c>
      <x:c r="K17" s="14" t="str">
        <x:v>用户提供：理学院至二食堂约1km</x:v>
      </x:c>
      <x:c r="L17" s="14" t="str">
        <x:v>环线1路打勾车次专用：就餐时间从高超楼发车，按就餐专线运行，不走环线1路完整路线</x:v>
      </x:c>
    </x:row>
    <x:row r="18">
      <x:c r="A18" s="14" t="str">
        <x:v>环线1路</x:v>
      </x:c>
      <x:c r="B18" s="14" t="str">
        <x:v>高超楼发车（就餐专线）</x:v>
      </x:c>
      <x:c r="C18" s="14" t="n">
        <x:v>4</x:v>
      </x:c>
      <x:c r="D18" s="14" t="str">
        <x:v>一食堂</x:v>
      </x:c>
      <x:c r="E18" s="14" t="n">
        <x:v>0.55</x:v>
      </x:c>
      <x:c r="F18" s="14" t="n">
        <x:v>2</x:v>
      </x:c>
      <x:c r="G18" s="14" t="n">
        <x:v>6</x:v>
      </x:c>
      <x:c r="H18" s="14" t="str">
        <x:v>否</x:v>
      </x:c>
      <x:c r="I18" s="14" t="str">
        <x:v>否</x:v>
      </x:c>
      <x:c r="J18" s="14" t="n">
        <x:v>16</x:v>
      </x:c>
      <x:c r="K18" s="14" t="str">
        <x:v>就餐专线图比例估计</x:v>
      </x:c>
      <x:c r="L18" s="14" t="str">
        <x:v>环线1路打勾车次专用：就餐时间从高超楼发车，按就餐专线运行，不走环线1路完整路线</x:v>
      </x:c>
    </x:row>
    <x:row r="19">
      <x:c r="A19" s="14" t="str">
        <x:v>环线1路</x:v>
      </x:c>
      <x:c r="B19" s="14" t="str">
        <x:v>高超楼发车（就餐专线）</x:v>
      </x:c>
      <x:c r="C19" s="14" t="n">
        <x:v>5</x:v>
      </x:c>
      <x:c r="D19" s="14" t="str">
        <x:v>305教学楼</x:v>
      </x:c>
      <x:c r="E19" s="14" t="n">
        <x:v>0.55</x:v>
      </x:c>
      <x:c r="F19" s="14" t="n">
        <x:v>2</x:v>
      </x:c>
      <x:c r="G19" s="14" t="n">
        <x:v>8</x:v>
      </x:c>
      <x:c r="H19" s="14" t="str">
        <x:v>否</x:v>
      </x:c>
      <x:c r="I19" s="14" t="str">
        <x:v>否</x:v>
      </x:c>
      <x:c r="J19" s="14" t="n">
        <x:v>16</x:v>
      </x:c>
      <x:c r="K19" s="14" t="str">
        <x:v>就餐专线图比例估计</x:v>
      </x:c>
      <x:c r="L19" s="14" t="str">
        <x:v>环线1路打勾车次专用：就餐时间从高超楼发车，按就餐专线运行，不走环线1路完整路线</x:v>
      </x:c>
    </x:row>
    <x:row r="20">
      <x:c r="A20" s="14" t="str">
        <x:v>环线1路</x:v>
      </x:c>
      <x:c r="B20" s="14" t="str">
        <x:v>高超楼发车（就餐专线）</x:v>
      </x:c>
      <x:c r="C20" s="14" t="n">
        <x:v>6</x:v>
      </x:c>
      <x:c r="D20" s="14" t="str">
        <x:v>5号宿舍楼</x:v>
      </x:c>
      <x:c r="E20" s="14" t="n">
        <x:v>0.45</x:v>
      </x:c>
      <x:c r="F20" s="14" t="n">
        <x:v>2</x:v>
      </x:c>
      <x:c r="G20" s="14" t="n">
        <x:v>10</x:v>
      </x:c>
      <x:c r="H20" s="14" t="str">
        <x:v>否</x:v>
      </x:c>
      <x:c r="I20" s="14" t="str">
        <x:v>否</x:v>
      </x:c>
      <x:c r="J20" s="14" t="n">
        <x:v>16</x:v>
      </x:c>
      <x:c r="K20" s="14" t="str">
        <x:v>就餐专线图比例估计</x:v>
      </x:c>
      <x:c r="L20" s="14" t="str">
        <x:v>环线1路打勾车次专用：就餐时间从高超楼发车，按就餐专线运行，不走环线1路完整路线</x:v>
      </x:c>
    </x:row>
    <x:row r="21">
      <x:c r="A21" s="14" t="str">
        <x:v>环线1路</x:v>
      </x:c>
      <x:c r="B21" s="14" t="str">
        <x:v>高超楼发车（就餐专线）</x:v>
      </x:c>
      <x:c r="C21" s="14" t="n">
        <x:v>7</x:v>
      </x:c>
      <x:c r="D21" s="14" t="str">
        <x:v>二食堂北</x:v>
      </x:c>
      <x:c r="E21" s="14" t="n">
        <x:v>0.45</x:v>
      </x:c>
      <x:c r="F21" s="14" t="n">
        <x:v>2</x:v>
      </x:c>
      <x:c r="G21" s="14" t="n">
        <x:v>12</x:v>
      </x:c>
      <x:c r="H21" s="14" t="str">
        <x:v>否</x:v>
      </x:c>
      <x:c r="I21" s="14" t="str">
        <x:v>否</x:v>
      </x:c>
      <x:c r="J21" s="14" t="n">
        <x:v>16</x:v>
      </x:c>
      <x:c r="K21" s="14" t="str">
        <x:v>就餐专线图比例估计</x:v>
      </x:c>
      <x:c r="L21" s="14" t="str">
        <x:v>环线1路打勾车次专用：就餐时间从高超楼发车，按就餐专线运行，不走环线1路完整路线</x:v>
      </x:c>
    </x:row>
    <x:row r="22">
      <x:c r="A22" s="14" t="str">
        <x:v>环线1路</x:v>
      </x:c>
      <x:c r="B22" s="14" t="str">
        <x:v>高超楼发车（就餐专线）</x:v>
      </x:c>
      <x:c r="C22" s="14" t="n">
        <x:v>8</x:v>
      </x:c>
      <x:c r="D22" s="14" t="str">
        <x:v>理学院</x:v>
      </x:c>
      <x:c r="E22" s="14" t="n">
        <x:v>1</x:v>
      </x:c>
      <x:c r="F22" s="14" t="n">
        <x:v>3</x:v>
      </x:c>
      <x:c r="G22" s="14" t="n">
        <x:v>15</x:v>
      </x:c>
      <x:c r="H22" s="14" t="str">
        <x:v>否</x:v>
      </x:c>
      <x:c r="I22" s="14" t="str">
        <x:v>否</x:v>
      </x:c>
      <x:c r="J22" s="14" t="n">
        <x:v>16</x:v>
      </x:c>
      <x:c r="K22" s="14" t="str">
        <x:v>就餐专线回程；参考理学院—二食堂约1km锚点</x:v>
      </x:c>
      <x:c r="L22" s="14" t="str">
        <x:v>环线1路打勾车次专用：就餐时间从高超楼发车，按就餐专线运行，不走环线1路完整路线</x:v>
      </x:c>
    </x:row>
    <x:row r="23">
      <x:c r="A23" s="14" t="str">
        <x:v>环线1路</x:v>
      </x:c>
      <x:c r="B23" s="14" t="str">
        <x:v>高超楼发车（就餐专线）</x:v>
      </x:c>
      <x:c r="C23" s="14" t="n">
        <x:v>9</x:v>
      </x:c>
      <x:c r="D23" s="14" t="str">
        <x:v>高超楼</x:v>
      </x:c>
      <x:c r="E23" s="14" t="n">
        <x:v>0.35</x:v>
      </x:c>
      <x:c r="F23" s="14" t="n">
        <x:v>1</x:v>
      </x:c>
      <x:c r="G23" s="14" t="n">
        <x:v>16</x:v>
      </x:c>
      <x:c r="H23" s="14" t="str">
        <x:v>否</x:v>
      </x:c>
      <x:c r="I23" s="14" t="str">
        <x:v>是</x:v>
      </x:c>
      <x:c r="J23" s="14" t="n">
        <x:v>16</x:v>
      </x:c>
      <x:c r="K23" s="14" t="str">
        <x:v>返回高超楼，按20分钟发车间隔预留约4分钟上车</x:v>
      </x:c>
      <x:c r="L23" s="14" t="str">
        <x:v>环线1路打勾车次专用：就餐时间从高超楼发车，按就餐专线运行，不走环线1路完整路线</x:v>
      </x:c>
    </x:row>
    <x:row r="24">
      <x:c r="A24" s="14" t="str">
        <x:v>环线2路</x:v>
      </x:c>
      <x:c r="B24" s="14" t="str">
        <x:v>研究生宿舍楼发车</x:v>
      </x:c>
      <x:c r="C24" s="14" t="n">
        <x:v>1</x:v>
      </x:c>
      <x:c r="D24" s="14" t="str">
        <x:v>研究生宿舍楼</x:v>
      </x:c>
      <x:c r="E24" s="14" t="n">
        <x:v>0</x:v>
      </x:c>
      <x:c r="F24" s="14" t="n">
        <x:v>0</x:v>
      </x:c>
      <x:c r="G24" s="14" t="n">
        <x:v>0</x:v>
      </x:c>
      <x:c r="H24" s="14" t="str">
        <x:v>是</x:v>
      </x:c>
      <x:c r="I24" s="14" t="str">
        <x:v>否</x:v>
      </x:c>
      <x:c r="J24" s="14" t="n">
        <x:v>12</x:v>
      </x:c>
      <x:c r="K24" s="14" t="str">
        <x:v>发车点</x:v>
      </x:c>
      <x:c r="L24" s="14" t="str">
        <x:v>预测值，按分钟取整；实际到站受候车、上下车和路况影响</x:v>
      </x:c>
    </x:row>
    <x:row r="25">
      <x:c r="A25" s="14" t="str">
        <x:v>环线2路</x:v>
      </x:c>
      <x:c r="B25" s="14" t="str">
        <x:v>研究生宿舍楼发车</x:v>
      </x:c>
      <x:c r="C25" s="14" t="n">
        <x:v>2</x:v>
      </x:c>
      <x:c r="D25" s="14" t="str">
        <x:v>一食堂</x:v>
      </x:c>
      <x:c r="E25" s="14" t="n">
        <x:v>0.3</x:v>
      </x:c>
      <x:c r="F25" s="14" t="n">
        <x:v>1</x:v>
      </x:c>
      <x:c r="G25" s="14" t="n">
        <x:v>1</x:v>
      </x:c>
      <x:c r="H25" s="14" t="str">
        <x:v>否</x:v>
      </x:c>
      <x:c r="I25" s="14" t="str">
        <x:v>否</x:v>
      </x:c>
      <x:c r="J25" s="14" t="n">
        <x:v>12</x:v>
      </x:c>
      <x:c r="K25" s="14" t="str">
        <x:v>路线图比例估计</x:v>
      </x:c>
      <x:c r="L25" s="14" t="str">
        <x:v>预测值，按分钟取整；实际到站受候车、上下车和路况影响</x:v>
      </x:c>
    </x:row>
    <x:row r="26">
      <x:c r="A26" s="14" t="str">
        <x:v>环线2路</x:v>
      </x:c>
      <x:c r="B26" s="14" t="str">
        <x:v>研究生宿舍楼发车</x:v>
      </x:c>
      <x:c r="C26" s="14" t="n">
        <x:v>3</x:v>
      </x:c>
      <x:c r="D26" s="14" t="str">
        <x:v>门诊部</x:v>
      </x:c>
      <x:c r="E26" s="14" t="n">
        <x:v>0.25</x:v>
      </x:c>
      <x:c r="F26" s="14" t="n">
        <x:v>1</x:v>
      </x:c>
      <x:c r="G26" s="14" t="n">
        <x:v>2</x:v>
      </x:c>
      <x:c r="H26" s="14" t="str">
        <x:v>否</x:v>
      </x:c>
      <x:c r="I26" s="14" t="str">
        <x:v>否</x:v>
      </x:c>
      <x:c r="J26" s="14" t="n">
        <x:v>12</x:v>
      </x:c>
      <x:c r="K26" s="14" t="str">
        <x:v>路线图比例估计</x:v>
      </x:c>
      <x:c r="L26" s="14" t="str">
        <x:v>预测值，按分钟取整；实际到站受候车、上下车和路况影响</x:v>
      </x:c>
    </x:row>
    <x:row r="27">
      <x:c r="A27" s="14" t="str">
        <x:v>环线2路</x:v>
      </x:c>
      <x:c r="B27" s="14" t="str">
        <x:v>研究生宿舍楼发车</x:v>
      </x:c>
      <x:c r="C27" s="14" t="n">
        <x:v>4</x:v>
      </x:c>
      <x:c r="D27" s="14" t="str">
        <x:v>1号宿舍楼</x:v>
      </x:c>
      <x:c r="E27" s="14" t="n">
        <x:v>0.25</x:v>
      </x:c>
      <x:c r="F27" s="14" t="n">
        <x:v>1</x:v>
      </x:c>
      <x:c r="G27" s="14" t="n">
        <x:v>3</x:v>
      </x:c>
      <x:c r="H27" s="14" t="str">
        <x:v>否</x:v>
      </x:c>
      <x:c r="I27" s="14" t="str">
        <x:v>否</x:v>
      </x:c>
      <x:c r="J27" s="14" t="n">
        <x:v>12</x:v>
      </x:c>
      <x:c r="K27" s="14" t="str">
        <x:v>路线图比例估计</x:v>
      </x:c>
      <x:c r="L27" s="14" t="str">
        <x:v>预测值，按分钟取整；实际到站受候车、上下车和路况影响</x:v>
      </x:c>
    </x:row>
    <x:row r="28">
      <x:c r="A28" s="14" t="str">
        <x:v>环线2路</x:v>
      </x:c>
      <x:c r="B28" s="14" t="str">
        <x:v>研究生宿舍楼发车</x:v>
      </x:c>
      <x:c r="C28" s="14" t="n">
        <x:v>5</x:v>
      </x:c>
      <x:c r="D28" s="14" t="str">
        <x:v>水上训练中心</x:v>
      </x:c>
      <x:c r="E28" s="14" t="n">
        <x:v>0.5</x:v>
      </x:c>
      <x:c r="F28" s="14" t="n">
        <x:v>2</x:v>
      </x:c>
      <x:c r="G28" s="14" t="n">
        <x:v>5</x:v>
      </x:c>
      <x:c r="H28" s="14" t="str">
        <x:v>否</x:v>
      </x:c>
      <x:c r="I28" s="14" t="str">
        <x:v>否</x:v>
      </x:c>
      <x:c r="J28" s="14" t="n">
        <x:v>12</x:v>
      </x:c>
      <x:c r="K28" s="14" t="str">
        <x:v>中央区域约2km锚点分段估计</x:v>
      </x:c>
      <x:c r="L28" s="14" t="str">
        <x:v>预测值，按分钟取整；实际到站受候车、上下车和路况影响</x:v>
      </x:c>
    </x:row>
    <x:row r="29">
      <x:c r="A29" s="14" t="str">
        <x:v>环线2路</x:v>
      </x:c>
      <x:c r="B29" s="14" t="str">
        <x:v>研究生宿舍楼发车</x:v>
      </x:c>
      <x:c r="C29" s="14" t="n">
        <x:v>6</x:v>
      </x:c>
      <x:c r="D29" s="14" t="str">
        <x:v>军体活动中心</x:v>
      </x:c>
      <x:c r="E29" s="14" t="n">
        <x:v>0.25</x:v>
      </x:c>
      <x:c r="F29" s="14" t="n">
        <x:v>1</x:v>
      </x:c>
      <x:c r="G29" s="14" t="n">
        <x:v>6</x:v>
      </x:c>
      <x:c r="H29" s="14" t="str">
        <x:v>否</x:v>
      </x:c>
      <x:c r="I29" s="14" t="str">
        <x:v>否</x:v>
      </x:c>
      <x:c r="J29" s="14" t="n">
        <x:v>12</x:v>
      </x:c>
      <x:c r="K29" s="14" t="str">
        <x:v>中央区域约2km锚点分段估计</x:v>
      </x:c>
      <x:c r="L29" s="14" t="str">
        <x:v>预测值，按分钟取整；实际到站受候车、上下车和路况影响</x:v>
      </x:c>
    </x:row>
    <x:row r="30">
      <x:c r="A30" s="14" t="str">
        <x:v>环线2路</x:v>
      </x:c>
      <x:c r="B30" s="14" t="str">
        <x:v>研究生宿舍楼发车</x:v>
      </x:c>
      <x:c r="C30" s="14" t="n">
        <x:v>7</x:v>
      </x:c>
      <x:c r="D30" s="14" t="str">
        <x:v>二食堂</x:v>
      </x:c>
      <x:c r="E30" s="14" t="n">
        <x:v>0.55</x:v>
      </x:c>
      <x:c r="F30" s="14" t="n">
        <x:v>2</x:v>
      </x:c>
      <x:c r="G30" s="14" t="n">
        <x:v>8</x:v>
      </x:c>
      <x:c r="H30" s="14" t="str">
        <x:v>否</x:v>
      </x:c>
      <x:c r="I30" s="14" t="str">
        <x:v>否</x:v>
      </x:c>
      <x:c r="J30" s="14" t="n">
        <x:v>12</x:v>
      </x:c>
      <x:c r="K30" s="14" t="str">
        <x:v>中央区域约2km锚点分段估计</x:v>
      </x:c>
      <x:c r="L30" s="14" t="str">
        <x:v>预测值，按分钟取整；实际到站受候车、上下车和路况影响</x:v>
      </x:c>
    </x:row>
    <x:row r="31">
      <x:c r="A31" s="14" t="str">
        <x:v>环线2路</x:v>
      </x:c>
      <x:c r="B31" s="14" t="str">
        <x:v>研究生宿舍楼发车</x:v>
      </x:c>
      <x:c r="C31" s="14" t="n">
        <x:v>8</x:v>
      </x:c>
      <x:c r="D31" s="14" t="str">
        <x:v>5号宿舍楼</x:v>
      </x:c>
      <x:c r="E31" s="14" t="n">
        <x:v>0.3</x:v>
      </x:c>
      <x:c r="F31" s="14" t="n">
        <x:v>1</x:v>
      </x:c>
      <x:c r="G31" s="14" t="n">
        <x:v>9</x:v>
      </x:c>
      <x:c r="H31" s="14" t="str">
        <x:v>否</x:v>
      </x:c>
      <x:c r="I31" s="14" t="str">
        <x:v>否</x:v>
      </x:c>
      <x:c r="J31" s="14" t="n">
        <x:v>12</x:v>
      </x:c>
      <x:c r="K31" s="14" t="str">
        <x:v>中央区域约2km锚点分段估计</x:v>
      </x:c>
      <x:c r="L31" s="14" t="str">
        <x:v>预测值，按分钟取整；实际到站受候车、上下车和路况影响</x:v>
      </x:c>
    </x:row>
    <x:row r="32">
      <x:c r="A32" s="14" t="str">
        <x:v>环线2路</x:v>
      </x:c>
      <x:c r="B32" s="14" t="str">
        <x:v>研究生宿舍楼发车</x:v>
      </x:c>
      <x:c r="C32" s="14" t="n">
        <x:v>9</x:v>
      </x:c>
      <x:c r="D32" s="14" t="str">
        <x:v>305教学楼</x:v>
      </x:c>
      <x:c r="E32" s="14" t="n">
        <x:v>0.3</x:v>
      </x:c>
      <x:c r="F32" s="14" t="n">
        <x:v>1</x:v>
      </x:c>
      <x:c r="G32" s="14" t="n">
        <x:v>10</x:v>
      </x:c>
      <x:c r="H32" s="14" t="str">
        <x:v>否</x:v>
      </x:c>
      <x:c r="I32" s="14" t="str">
        <x:v>否</x:v>
      </x:c>
      <x:c r="J32" s="14" t="n">
        <x:v>12</x:v>
      </x:c>
      <x:c r="K32" s="14" t="str">
        <x:v>中央区域约2km锚点分段估计</x:v>
      </x:c>
      <x:c r="L32" s="14" t="str">
        <x:v>预测值，按分钟取整；实际到站受候车、上下车和路况影响</x:v>
      </x:c>
    </x:row>
    <x:row r="33">
      <x:c r="A33" s="14" t="str">
        <x:v>环线2路</x:v>
      </x:c>
      <x:c r="B33" s="14" t="str">
        <x:v>研究生宿舍楼发车</x:v>
      </x:c>
      <x:c r="C33" s="14" t="n">
        <x:v>10</x:v>
      </x:c>
      <x:c r="D33" s="14" t="str">
        <x:v>研究生宿舍楼</x:v>
      </x:c>
      <x:c r="E33" s="14" t="n">
        <x:v>0.45</x:v>
      </x:c>
      <x:c r="F33" s="14" t="n">
        <x:v>2</x:v>
      </x:c>
      <x:c r="G33" s="14" t="n">
        <x:v>12</x:v>
      </x:c>
      <x:c r="H33" s="14" t="str">
        <x:v>否</x:v>
      </x:c>
      <x:c r="I33" s="14" t="str">
        <x:v>是</x:v>
      </x:c>
      <x:c r="J33" s="14" t="n">
        <x:v>12</x:v>
      </x:c>
      <x:c r="K33" s="14" t="str">
        <x:v>回到发车点</x:v>
      </x:c>
      <x:c r="L33" s="14" t="str">
        <x:v>预测值，按分钟取整；实际到站受候车、上下车和路况影响</x:v>
      </x:c>
    </x:row>
    <x:row r="34">
      <x:c r="A34" s="14" t="str">
        <x:v>环线3路</x:v>
      </x:c>
      <x:c r="B34" s="14" t="str">
        <x:v>研究生宿舍楼发车</x:v>
      </x:c>
      <x:c r="C34" s="14" t="n">
        <x:v>1</x:v>
      </x:c>
      <x:c r="D34" s="14" t="str">
        <x:v>研究生宿舍楼</x:v>
      </x:c>
      <x:c r="E34" s="14" t="n">
        <x:v>0</x:v>
      </x:c>
      <x:c r="F34" s="14" t="n">
        <x:v>0</x:v>
      </x:c>
      <x:c r="G34" s="14" t="n">
        <x:v>0</x:v>
      </x:c>
      <x:c r="H34" s="14" t="str">
        <x:v>是</x:v>
      </x:c>
      <x:c r="I34" s="14" t="str">
        <x:v>否</x:v>
      </x:c>
      <x:c r="J34" s="14" t="n">
        <x:v>18</x:v>
      </x:c>
      <x:c r="K34" s="14" t="str">
        <x:v>发车点</x:v>
      </x:c>
      <x:c r="L34" s="14" t="str">
        <x:v>预测值，按分钟取整；实际到站受候车、上下车和路况影响</x:v>
      </x:c>
    </x:row>
    <x:row r="35">
      <x:c r="A35" s="14" t="str">
        <x:v>环线3路</x:v>
      </x:c>
      <x:c r="B35" s="14" t="str">
        <x:v>研究生宿舍楼发车</x:v>
      </x:c>
      <x:c r="C35" s="14" t="n">
        <x:v>2</x:v>
      </x:c>
      <x:c r="D35" s="14" t="str">
        <x:v>一食堂</x:v>
      </x:c>
      <x:c r="E35" s="14" t="n">
        <x:v>0.3</x:v>
      </x:c>
      <x:c r="F35" s="14" t="n">
        <x:v>1</x:v>
      </x:c>
      <x:c r="G35" s="14" t="n">
        <x:v>1</x:v>
      </x:c>
      <x:c r="H35" s="14" t="str">
        <x:v>否</x:v>
      </x:c>
      <x:c r="I35" s="14" t="str">
        <x:v>否</x:v>
      </x:c>
      <x:c r="J35" s="14" t="n">
        <x:v>18</x:v>
      </x:c>
      <x:c r="K35" s="14" t="str">
        <x:v>路线图比例估计</x:v>
      </x:c>
      <x:c r="L35" s="14" t="str">
        <x:v>预测值，按分钟取整；实际到站受候车、上下车和路况影响</x:v>
      </x:c>
    </x:row>
    <x:row r="36">
      <x:c r="A36" s="14" t="str">
        <x:v>环线3路</x:v>
      </x:c>
      <x:c r="B36" s="14" t="str">
        <x:v>研究生宿舍楼发车</x:v>
      </x:c>
      <x:c r="C36" s="14" t="n">
        <x:v>3</x:v>
      </x:c>
      <x:c r="D36" s="14" t="str">
        <x:v>2号宿舍楼</x:v>
      </x:c>
      <x:c r="E36" s="14" t="n">
        <x:v>0.55</x:v>
      </x:c>
      <x:c r="F36" s="14" t="n">
        <x:v>2</x:v>
      </x:c>
      <x:c r="G36" s="14" t="n">
        <x:v>3</x:v>
      </x:c>
      <x:c r="H36" s="14" t="str">
        <x:v>否</x:v>
      </x:c>
      <x:c r="I36" s="14" t="str">
        <x:v>否</x:v>
      </x:c>
      <x:c r="J36" s="14" t="n">
        <x:v>18</x:v>
      </x:c>
      <x:c r="K36" s="14" t="str">
        <x:v>路线图比例估计</x:v>
      </x:c>
      <x:c r="L36" s="14" t="str">
        <x:v>预测值，按分钟取整；实际到站受候车、上下车和路况影响</x:v>
      </x:c>
    </x:row>
    <x:row r="37">
      <x:c r="A37" s="14" t="str">
        <x:v>环线3路</x:v>
      </x:c>
      <x:c r="B37" s="14" t="str">
        <x:v>研究生宿舍楼发车</x:v>
      </x:c>
      <x:c r="C37" s="14" t="n">
        <x:v>4</x:v>
      </x:c>
      <x:c r="D37" s="14" t="str">
        <x:v>军体活动中心</x:v>
      </x:c>
      <x:c r="E37" s="14" t="n">
        <x:v>0.3</x:v>
      </x:c>
      <x:c r="F37" s="14" t="n">
        <x:v>1</x:v>
      </x:c>
      <x:c r="G37" s="14" t="n">
        <x:v>4</x:v>
      </x:c>
      <x:c r="H37" s="14" t="str">
        <x:v>否</x:v>
      </x:c>
      <x:c r="I37" s="14" t="str">
        <x:v>否</x:v>
      </x:c>
      <x:c r="J37" s="14" t="n">
        <x:v>18</x:v>
      </x:c>
      <x:c r="K37" s="14" t="str">
        <x:v>路线图比例估计</x:v>
      </x:c>
      <x:c r="L37" s="14" t="str">
        <x:v>预测值，按分钟取整；实际到站受候车、上下车和路况影响</x:v>
      </x:c>
    </x:row>
    <x:row r="38">
      <x:c r="A38" s="14" t="str">
        <x:v>环线3路</x:v>
      </x:c>
      <x:c r="B38" s="14" t="str">
        <x:v>研究生宿舍楼发车</x:v>
      </x:c>
      <x:c r="C38" s="14" t="n">
        <x:v>5</x:v>
      </x:c>
      <x:c r="D38" s="14" t="str">
        <x:v>教勤连</x:v>
      </x:c>
      <x:c r="E38" s="14" t="n">
        <x:v>0.45</x:v>
      </x:c>
      <x:c r="F38" s="14" t="n">
        <x:v>2</x:v>
      </x:c>
      <x:c r="G38" s="14" t="n">
        <x:v>6</x:v>
      </x:c>
      <x:c r="H38" s="14" t="str">
        <x:v>否</x:v>
      </x:c>
      <x:c r="I38" s="14" t="str">
        <x:v>否</x:v>
      </x:c>
      <x:c r="J38" s="14" t="n">
        <x:v>18</x:v>
      </x:c>
      <x:c r="K38" s="14" t="str">
        <x:v>路线图比例估计</x:v>
      </x:c>
      <x:c r="L38" s="14" t="str">
        <x:v>预测值，按分钟取整；实际到站受候车、上下车和路况影响</x:v>
      </x:c>
    </x:row>
    <x:row r="39">
      <x:c r="A39" s="14" t="str">
        <x:v>环线3路</x:v>
      </x:c>
      <x:c r="B39" s="14" t="str">
        <x:v>研究生宿舍楼发车</x:v>
      </x:c>
      <x:c r="C39" s="14" t="n">
        <x:v>6</x:v>
      </x:c>
      <x:c r="D39" s="14" t="str">
        <x:v>激光所</x:v>
      </x:c>
      <x:c r="E39" s="14" t="n">
        <x:v>0.3</x:v>
      </x:c>
      <x:c r="F39" s="14" t="n">
        <x:v>1</x:v>
      </x:c>
      <x:c r="G39" s="14" t="n">
        <x:v>7</x:v>
      </x:c>
      <x:c r="H39" s="14" t="str">
        <x:v>否</x:v>
      </x:c>
      <x:c r="I39" s="14" t="str">
        <x:v>否</x:v>
      </x:c>
      <x:c r="J39" s="14" t="n">
        <x:v>18</x:v>
      </x:c>
      <x:c r="K39" s="14" t="str">
        <x:v>路线图比例估计</x:v>
      </x:c>
      <x:c r="L39" s="14" t="str">
        <x:v>预测值，按分钟取整；实际到站受候车、上下车和路况影响</x:v>
      </x:c>
    </x:row>
    <x:row r="40">
      <x:c r="A40" s="14" t="str">
        <x:v>环线3路</x:v>
      </x:c>
      <x:c r="B40" s="14" t="str">
        <x:v>研究生宿舍楼发车</x:v>
      </x:c>
      <x:c r="C40" s="14" t="n">
        <x:v>7</x:v>
      </x:c>
      <x:c r="D40" s="14" t="str">
        <x:v>高超楼</x:v>
      </x:c>
      <x:c r="E40" s="14" t="n">
        <x:v>0.55</x:v>
      </x:c>
      <x:c r="F40" s="14" t="n">
        <x:v>2</x:v>
      </x:c>
      <x:c r="G40" s="14" t="n">
        <x:v>9</x:v>
      </x:c>
      <x:c r="H40" s="14" t="str">
        <x:v>否</x:v>
      </x:c>
      <x:c r="I40" s="14" t="str">
        <x:v>否</x:v>
      </x:c>
      <x:c r="J40" s="14" t="n">
        <x:v>18</x:v>
      </x:c>
      <x:c r="K40" s="14" t="str">
        <x:v>高超楼旁为系统工程学院</x:v>
      </x:c>
      <x:c r="L40" s="14" t="str">
        <x:v>预测值，按分钟取整；实际到站受候车、上下车和路况影响</x:v>
      </x:c>
    </x:row>
    <x:row r="41">
      <x:c r="A41" s="14" t="str">
        <x:v>环线3路</x:v>
      </x:c>
      <x:c r="B41" s="14" t="str">
        <x:v>研究生宿舍楼发车</x:v>
      </x:c>
      <x:c r="C41" s="14" t="n">
        <x:v>8</x:v>
      </x:c>
      <x:c r="D41" s="14" t="str">
        <x:v>理学院</x:v>
      </x:c>
      <x:c r="E41" s="14" t="n">
        <x:v>0.35</x:v>
      </x:c>
      <x:c r="F41" s="14" t="n">
        <x:v>1</x:v>
      </x:c>
      <x:c r="G41" s="14" t="n">
        <x:v>10</x:v>
      </x:c>
      <x:c r="H41" s="14" t="str">
        <x:v>否</x:v>
      </x:c>
      <x:c r="I41" s="14" t="str">
        <x:v>否</x:v>
      </x:c>
      <x:c r="J41" s="14" t="n">
        <x:v>18</x:v>
      </x:c>
      <x:c r="K41" s="14" t="str">
        <x:v>路线图比例估计</x:v>
      </x:c>
      <x:c r="L41" s="14" t="str">
        <x:v>预测值，按分钟取整；实际到站受候车、上下车和路况影响</x:v>
      </x:c>
    </x:row>
    <x:row r="42">
      <x:c r="A42" s="14" t="str">
        <x:v>环线3路</x:v>
      </x:c>
      <x:c r="B42" s="14" t="str">
        <x:v>研究生宿舍楼发车</x:v>
      </x:c>
      <x:c r="C42" s="14" t="n">
        <x:v>9</x:v>
      </x:c>
      <x:c r="D42" s="14" t="str">
        <x:v>二食堂</x:v>
      </x:c>
      <x:c r="E42" s="14" t="n">
        <x:v>1</x:v>
      </x:c>
      <x:c r="F42" s="14" t="n">
        <x:v>3</x:v>
      </x:c>
      <x:c r="G42" s="14" t="n">
        <x:v>13</x:v>
      </x:c>
      <x:c r="H42" s="14" t="str">
        <x:v>否</x:v>
      </x:c>
      <x:c r="I42" s="14" t="str">
        <x:v>否</x:v>
      </x:c>
      <x:c r="J42" s="14" t="n">
        <x:v>18</x:v>
      </x:c>
      <x:c r="K42" s="14" t="str">
        <x:v>用户提供：理学院至二食堂约1km</x:v>
      </x:c>
      <x:c r="L42" s="14" t="str">
        <x:v>预测值，按分钟取整；实际到站受候车、上下车和路况影响</x:v>
      </x:c>
    </x:row>
    <x:row r="43">
      <x:c r="A43" s="14" t="str">
        <x:v>环线3路</x:v>
      </x:c>
      <x:c r="B43" s="14" t="str">
        <x:v>研究生宿舍楼发车</x:v>
      </x:c>
      <x:c r="C43" s="14" t="n">
        <x:v>10</x:v>
      </x:c>
      <x:c r="D43" s="14" t="str">
        <x:v>图书馆</x:v>
      </x:c>
      <x:c r="E43" s="14" t="n">
        <x:v>0.3</x:v>
      </x:c>
      <x:c r="F43" s="14" t="n">
        <x:v>1</x:v>
      </x:c>
      <x:c r="G43" s="14" t="n">
        <x:v>14</x:v>
      </x:c>
      <x:c r="H43" s="14" t="str">
        <x:v>否</x:v>
      </x:c>
      <x:c r="I43" s="14" t="str">
        <x:v>否</x:v>
      </x:c>
      <x:c r="J43" s="14" t="n">
        <x:v>18</x:v>
      </x:c>
      <x:c r="K43" s="14" t="str">
        <x:v>路线图比例估计</x:v>
      </x:c>
      <x:c r="L43" s="14" t="str">
        <x:v>预测值，按分钟取整；实际到站受候车、上下车和路况影响</x:v>
      </x:c>
    </x:row>
    <x:row r="44">
      <x:c r="A44" s="14" t="str">
        <x:v>环线3路</x:v>
      </x:c>
      <x:c r="B44" s="14" t="str">
        <x:v>研究生宿舍楼发车</x:v>
      </x:c>
      <x:c r="C44" s="14" t="n">
        <x:v>11</x:v>
      </x:c>
      <x:c r="D44" s="14" t="str">
        <x:v>305教学楼</x:v>
      </x:c>
      <x:c r="E44" s="14" t="n">
        <x:v>0.55</x:v>
      </x:c>
      <x:c r="F44" s="14" t="n">
        <x:v>2</x:v>
      </x:c>
      <x:c r="G44" s="14" t="n">
        <x:v>16</x:v>
      </x:c>
      <x:c r="H44" s="14" t="str">
        <x:v>否</x:v>
      </x:c>
      <x:c r="I44" s="14" t="str">
        <x:v>否</x:v>
      </x:c>
      <x:c r="J44" s="14" t="n">
        <x:v>18</x:v>
      </x:c>
      <x:c r="K44" s="14" t="str">
        <x:v>中央区域约2km锚点分段估计</x:v>
      </x:c>
      <x:c r="L44" s="14" t="str">
        <x:v>预测值，按分钟取整；实际到站受候车、上下车和路况影响</x:v>
      </x:c>
    </x:row>
    <x:row r="45">
      <x:c r="A45" s="14" t="str">
        <x:v>环线3路</x:v>
      </x:c>
      <x:c r="B45" s="14" t="str">
        <x:v>研究生宿舍楼发车</x:v>
      </x:c>
      <x:c r="C45" s="14" t="n">
        <x:v>12</x:v>
      </x:c>
      <x:c r="D45" s="14" t="str">
        <x:v>研究生宿舍楼</x:v>
      </x:c>
      <x:c r="E45" s="14" t="n">
        <x:v>0.55</x:v>
      </x:c>
      <x:c r="F45" s="14" t="n">
        <x:v>2</x:v>
      </x:c>
      <x:c r="G45" s="14" t="n">
        <x:v>18</x:v>
      </x:c>
      <x:c r="H45" s="14" t="str">
        <x:v>否</x:v>
      </x:c>
      <x:c r="I45" s="14" t="str">
        <x:v>是</x:v>
      </x:c>
      <x:c r="J45" s="14" t="n">
        <x:v>18</x:v>
      </x:c>
      <x:c r="K45" s="14" t="str">
        <x:v>回到发车点</x:v>
      </x:c>
      <x:c r="L45" s="14" t="str">
        <x:v>预测值，按分钟取整；实际到站受候车、上下车和路况影响</x:v>
      </x:c>
    </x:row>
    <x:row r="46">
      <x:c r="A46" s="14" t="str">
        <x:v>环线3路</x:v>
      </x:c>
      <x:c r="B46" s="14" t="str">
        <x:v>高超楼发车</x:v>
      </x:c>
      <x:c r="C46" s="14" t="n">
        <x:v>1</x:v>
      </x:c>
      <x:c r="D46" s="14" t="str">
        <x:v>高超楼</x:v>
      </x:c>
      <x:c r="E46" s="14" t="n">
        <x:v>0</x:v>
      </x:c>
      <x:c r="F46" s="14" t="n">
        <x:v>0</x:v>
      </x:c>
      <x:c r="G46" s="14" t="n">
        <x:v>0</x:v>
      </x:c>
      <x:c r="H46" s="14" t="str">
        <x:v>是</x:v>
      </x:c>
      <x:c r="I46" s="14" t="str">
        <x:v>否</x:v>
      </x:c>
      <x:c r="J46" s="14" t="n">
        <x:v>18</x:v>
      </x:c>
      <x:c r="K46" s="14" t="str">
        <x:v>发车点</x:v>
      </x:c>
      <x:c r="L46" s="14" t="str">
        <x:v>预测值，按分钟取整；实际到站受候车、上下车和路况影响</x:v>
      </x:c>
    </x:row>
    <x:row r="47">
      <x:c r="A47" s="14" t="str">
        <x:v>环线3路</x:v>
      </x:c>
      <x:c r="B47" s="14" t="str">
        <x:v>高超楼发车</x:v>
      </x:c>
      <x:c r="C47" s="14" t="n">
        <x:v>2</x:v>
      </x:c>
      <x:c r="D47" s="14" t="str">
        <x:v>理学院</x:v>
      </x:c>
      <x:c r="E47" s="14" t="n">
        <x:v>0.35</x:v>
      </x:c>
      <x:c r="F47" s="14" t="n">
        <x:v>1</x:v>
      </x:c>
      <x:c r="G47" s="14" t="n">
        <x:v>1</x:v>
      </x:c>
      <x:c r="H47" s="14" t="str">
        <x:v>否</x:v>
      </x:c>
      <x:c r="I47" s="14" t="str">
        <x:v>否</x:v>
      </x:c>
      <x:c r="J47" s="14" t="n">
        <x:v>18</x:v>
      </x:c>
      <x:c r="K47" s="14" t="str">
        <x:v>路线图比例估计</x:v>
      </x:c>
      <x:c r="L47" s="14" t="str">
        <x:v>预测值，按分钟取整；实际到站受候车、上下车和路况影响</x:v>
      </x:c>
    </x:row>
    <x:row r="48">
      <x:c r="A48" s="14" t="str">
        <x:v>环线3路</x:v>
      </x:c>
      <x:c r="B48" s="14" t="str">
        <x:v>高超楼发车</x:v>
      </x:c>
      <x:c r="C48" s="14" t="n">
        <x:v>3</x:v>
      </x:c>
      <x:c r="D48" s="14" t="str">
        <x:v>二食堂</x:v>
      </x:c>
      <x:c r="E48" s="14" t="n">
        <x:v>1</x:v>
      </x:c>
      <x:c r="F48" s="14" t="n">
        <x:v>3</x:v>
      </x:c>
      <x:c r="G48" s="14" t="n">
        <x:v>4</x:v>
      </x:c>
      <x:c r="H48" s="14" t="str">
        <x:v>否</x:v>
      </x:c>
      <x:c r="I48" s="14" t="str">
        <x:v>否</x:v>
      </x:c>
      <x:c r="J48" s="14" t="n">
        <x:v>18</x:v>
      </x:c>
      <x:c r="K48" s="14" t="str">
        <x:v>用户提供：理学院至二食堂约1km</x:v>
      </x:c>
      <x:c r="L48" s="14" t="str">
        <x:v>预测值，按分钟取整；实际到站受候车、上下车和路况影响</x:v>
      </x:c>
    </x:row>
    <x:row r="49">
      <x:c r="A49" s="14" t="str">
        <x:v>环线3路</x:v>
      </x:c>
      <x:c r="B49" s="14" t="str">
        <x:v>高超楼发车</x:v>
      </x:c>
      <x:c r="C49" s="14" t="n">
        <x:v>4</x:v>
      </x:c>
      <x:c r="D49" s="14" t="str">
        <x:v>图书馆</x:v>
      </x:c>
      <x:c r="E49" s="14" t="n">
        <x:v>0.3</x:v>
      </x:c>
      <x:c r="F49" s="14" t="n">
        <x:v>1</x:v>
      </x:c>
      <x:c r="G49" s="14" t="n">
        <x:v>5</x:v>
      </x:c>
      <x:c r="H49" s="14" t="str">
        <x:v>否</x:v>
      </x:c>
      <x:c r="I49" s="14" t="str">
        <x:v>否</x:v>
      </x:c>
      <x:c r="J49" s="14" t="n">
        <x:v>18</x:v>
      </x:c>
      <x:c r="K49" s="14" t="str">
        <x:v>路线图比例估计</x:v>
      </x:c>
      <x:c r="L49" s="14" t="str">
        <x:v>预测值，按分钟取整；实际到站受候车、上下车和路况影响</x:v>
      </x:c>
    </x:row>
    <x:row r="50">
      <x:c r="A50" s="14" t="str">
        <x:v>环线3路</x:v>
      </x:c>
      <x:c r="B50" s="14" t="str">
        <x:v>高超楼发车</x:v>
      </x:c>
      <x:c r="C50" s="14" t="n">
        <x:v>5</x:v>
      </x:c>
      <x:c r="D50" s="14" t="str">
        <x:v>305教学楼</x:v>
      </x:c>
      <x:c r="E50" s="14" t="n">
        <x:v>0.55</x:v>
      </x:c>
      <x:c r="F50" s="14" t="n">
        <x:v>2</x:v>
      </x:c>
      <x:c r="G50" s="14" t="n">
        <x:v>7</x:v>
      </x:c>
      <x:c r="H50" s="14" t="str">
        <x:v>否</x:v>
      </x:c>
      <x:c r="I50" s="14" t="str">
        <x:v>否</x:v>
      </x:c>
      <x:c r="J50" s="14" t="n">
        <x:v>18</x:v>
      </x:c>
      <x:c r="K50" s="14" t="str">
        <x:v>中央区域约2km锚点分段估计</x:v>
      </x:c>
      <x:c r="L50" s="14" t="str">
        <x:v>预测值，按分钟取整；实际到站受候车、上下车和路况影响</x:v>
      </x:c>
    </x:row>
    <x:row r="51">
      <x:c r="A51" s="14" t="str">
        <x:v>环线3路</x:v>
      </x:c>
      <x:c r="B51" s="14" t="str">
        <x:v>高超楼发车</x:v>
      </x:c>
      <x:c r="C51" s="14" t="n">
        <x:v>6</x:v>
      </x:c>
      <x:c r="D51" s="14" t="str">
        <x:v>研究生宿舍楼</x:v>
      </x:c>
      <x:c r="E51" s="14" t="n">
        <x:v>0.55</x:v>
      </x:c>
      <x:c r="F51" s="14" t="n">
        <x:v>2</x:v>
      </x:c>
      <x:c r="G51" s="14" t="n">
        <x:v>9</x:v>
      </x:c>
      <x:c r="H51" s="14" t="str">
        <x:v>否</x:v>
      </x:c>
      <x:c r="I51" s="14" t="str">
        <x:v>否</x:v>
      </x:c>
      <x:c r="J51" s="14" t="n">
        <x:v>18</x:v>
      </x:c>
      <x:c r="K51" s="14" t="str">
        <x:v>路线图比例估计</x:v>
      </x:c>
      <x:c r="L51" s="14" t="str">
        <x:v>预测值，按分钟取整；实际到站受候车、上下车和路况影响</x:v>
      </x:c>
    </x:row>
    <x:row r="52">
      <x:c r="A52" s="14" t="str">
        <x:v>环线3路</x:v>
      </x:c>
      <x:c r="B52" s="14" t="str">
        <x:v>高超楼发车</x:v>
      </x:c>
      <x:c r="C52" s="14" t="n">
        <x:v>7</x:v>
      </x:c>
      <x:c r="D52" s="14" t="str">
        <x:v>一食堂</x:v>
      </x:c>
      <x:c r="E52" s="14" t="n">
        <x:v>0.3</x:v>
      </x:c>
      <x:c r="F52" s="14" t="n">
        <x:v>1</x:v>
      </x:c>
      <x:c r="G52" s="14" t="n">
        <x:v>10</x:v>
      </x:c>
      <x:c r="H52" s="14" t="str">
        <x:v>否</x:v>
      </x:c>
      <x:c r="I52" s="14" t="str">
        <x:v>否</x:v>
      </x:c>
      <x:c r="J52" s="14" t="n">
        <x:v>18</x:v>
      </x:c>
      <x:c r="K52" s="14" t="str">
        <x:v>路线图比例估计</x:v>
      </x:c>
      <x:c r="L52" s="14" t="str">
        <x:v>预测值，按分钟取整；实际到站受候车、上下车和路况影响</x:v>
      </x:c>
    </x:row>
    <x:row r="53">
      <x:c r="A53" s="14" t="str">
        <x:v>环线3路</x:v>
      </x:c>
      <x:c r="B53" s="14" t="str">
        <x:v>高超楼发车</x:v>
      </x:c>
      <x:c r="C53" s="14" t="n">
        <x:v>8</x:v>
      </x:c>
      <x:c r="D53" s="14" t="str">
        <x:v>2号宿舍楼</x:v>
      </x:c>
      <x:c r="E53" s="14" t="n">
        <x:v>0.55</x:v>
      </x:c>
      <x:c r="F53" s="14" t="n">
        <x:v>2</x:v>
      </x:c>
      <x:c r="G53" s="14" t="n">
        <x:v>12</x:v>
      </x:c>
      <x:c r="H53" s="14" t="str">
        <x:v>否</x:v>
      </x:c>
      <x:c r="I53" s="14" t="str">
        <x:v>否</x:v>
      </x:c>
      <x:c r="J53" s="14" t="n">
        <x:v>18</x:v>
      </x:c>
      <x:c r="K53" s="14" t="str">
        <x:v>路线图比例估计</x:v>
      </x:c>
      <x:c r="L53" s="14" t="str">
        <x:v>预测值，按分钟取整；实际到站受候车、上下车和路况影响</x:v>
      </x:c>
    </x:row>
    <x:row r="54">
      <x:c r="A54" s="14" t="str">
        <x:v>环线3路</x:v>
      </x:c>
      <x:c r="B54" s="14" t="str">
        <x:v>高超楼发车</x:v>
      </x:c>
      <x:c r="C54" s="14" t="n">
        <x:v>9</x:v>
      </x:c>
      <x:c r="D54" s="14" t="str">
        <x:v>军体活动中心</x:v>
      </x:c>
      <x:c r="E54" s="14" t="n">
        <x:v>0.3</x:v>
      </x:c>
      <x:c r="F54" s="14" t="n">
        <x:v>1</x:v>
      </x:c>
      <x:c r="G54" s="14" t="n">
        <x:v>13</x:v>
      </x:c>
      <x:c r="H54" s="14" t="str">
        <x:v>否</x:v>
      </x:c>
      <x:c r="I54" s="14" t="str">
        <x:v>否</x:v>
      </x:c>
      <x:c r="J54" s="14" t="n">
        <x:v>18</x:v>
      </x:c>
      <x:c r="K54" s="14" t="str">
        <x:v>路线图比例估计</x:v>
      </x:c>
      <x:c r="L54" s="14" t="str">
        <x:v>预测值，按分钟取整；实际到站受候车、上下车和路况影响</x:v>
      </x:c>
    </x:row>
    <x:row r="55">
      <x:c r="A55" s="14" t="str">
        <x:v>环线3路</x:v>
      </x:c>
      <x:c r="B55" s="14" t="str">
        <x:v>高超楼发车</x:v>
      </x:c>
      <x:c r="C55" s="14" t="n">
        <x:v>10</x:v>
      </x:c>
      <x:c r="D55" s="14" t="str">
        <x:v>教勤连</x:v>
      </x:c>
      <x:c r="E55" s="14" t="n">
        <x:v>0.45</x:v>
      </x:c>
      <x:c r="F55" s="14" t="n">
        <x:v>2</x:v>
      </x:c>
      <x:c r="G55" s="14" t="n">
        <x:v>15</x:v>
      </x:c>
      <x:c r="H55" s="14" t="str">
        <x:v>否</x:v>
      </x:c>
      <x:c r="I55" s="14" t="str">
        <x:v>否</x:v>
      </x:c>
      <x:c r="J55" s="14" t="n">
        <x:v>18</x:v>
      </x:c>
      <x:c r="K55" s="14" t="str">
        <x:v>路线图比例估计</x:v>
      </x:c>
      <x:c r="L55" s="14" t="str">
        <x:v>预测值，按分钟取整；实际到站受候车、上下车和路况影响</x:v>
      </x:c>
    </x:row>
    <x:row r="56">
      <x:c r="A56" s="14" t="str">
        <x:v>环线3路</x:v>
      </x:c>
      <x:c r="B56" s="14" t="str">
        <x:v>高超楼发车</x:v>
      </x:c>
      <x:c r="C56" s="14" t="n">
        <x:v>11</x:v>
      </x:c>
      <x:c r="D56" s="14" t="str">
        <x:v>激光所</x:v>
      </x:c>
      <x:c r="E56" s="14" t="n">
        <x:v>0.3</x:v>
      </x:c>
      <x:c r="F56" s="14" t="n">
        <x:v>1</x:v>
      </x:c>
      <x:c r="G56" s="14" t="n">
        <x:v>16</x:v>
      </x:c>
      <x:c r="H56" s="14" t="str">
        <x:v>否</x:v>
      </x:c>
      <x:c r="I56" s="14" t="str">
        <x:v>否</x:v>
      </x:c>
      <x:c r="J56" s="14" t="n">
        <x:v>18</x:v>
      </x:c>
      <x:c r="K56" s="14" t="str">
        <x:v>路线图比例估计</x:v>
      </x:c>
      <x:c r="L56" s="14" t="str">
        <x:v>预测值，按分钟取整；实际到站受候车、上下车和路况影响</x:v>
      </x:c>
    </x:row>
    <x:row r="57">
      <x:c r="A57" s="14" t="str">
        <x:v>环线3路</x:v>
      </x:c>
      <x:c r="B57" s="14" t="str">
        <x:v>高超楼发车</x:v>
      </x:c>
      <x:c r="C57" s="14" t="n">
        <x:v>12</x:v>
      </x:c>
      <x:c r="D57" s="14" t="str">
        <x:v>高超楼</x:v>
      </x:c>
      <x:c r="E57" s="14" t="n">
        <x:v>0.55</x:v>
      </x:c>
      <x:c r="F57" s="14" t="n">
        <x:v>2</x:v>
      </x:c>
      <x:c r="G57" s="14" t="n">
        <x:v>18</x:v>
      </x:c>
      <x:c r="H57" s="14" t="str">
        <x:v>否</x:v>
      </x:c>
      <x:c r="I57" s="14" t="str">
        <x:v>是</x:v>
      </x:c>
      <x:c r="J57" s="14" t="n">
        <x:v>18</x:v>
      </x:c>
      <x:c r="K57" s="14" t="str">
        <x:v>返回高超楼</x:v>
      </x:c>
      <x:c r="L57" s="14" t="str">
        <x:v>预测值，按分钟取整；实际到站受候车、上下车和路况影响</x:v>
      </x:c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5" hidden="0" customWidth="1"/>
    <x:col min="20" max="20" width="35" hidden="0" customWidth="1"/>
  </x:cols>
  <x:sheetData>
    <x:row r="1" ht="28" customHeight="1">
      <x:c r="A1" s="65" t="str">
        <x:v>到站记录ID</x:v>
      </x:c>
      <x:c r="B1" s="65" t="str">
        <x:v>发车记录ID</x:v>
      </x:c>
      <x:c r="C1" s="65" t="str">
        <x:v>适用日期</x:v>
      </x:c>
      <x:c r="D1" s="65" t="str">
        <x:v>线路</x:v>
      </x:c>
      <x:c r="E1" s="65" t="str">
        <x:v>班次</x:v>
      </x:c>
      <x:c r="F1" s="65" t="str">
        <x:v>趟次序号</x:v>
      </x:c>
      <x:c r="G1" s="65" t="str">
        <x:v>原发车时间</x:v>
      </x:c>
      <x:c r="H1" s="65" t="str">
        <x:v>实际发车站点</x:v>
      </x:c>
      <x:c r="I1" s="65" t="str">
        <x:v>是否高超楼/系统工程学院发车</x:v>
      </x:c>
      <x:c r="J1" s="65" t="str">
        <x:v>站点序号</x:v>
      </x:c>
      <x:c r="K1" s="65" t="str">
        <x:v>站点名称</x:v>
      </x:c>
      <x:c r="L1" s="65" t="str">
        <x:v>发车后累计分钟</x:v>
      </x:c>
      <x:c r="M1" s="65" t="str">
        <x:v>预计到达时间</x:v>
      </x:c>
      <x:c r="N1" s="65" t="str">
        <x:v>是否发车站</x:v>
      </x:c>
      <x:c r="O1" s="65" t="str">
        <x:v>是否返回发车点</x:v>
      </x:c>
      <x:c r="P1" s="65" t="str">
        <x:v>驾驶员</x:v>
      </x:c>
      <x:c r="Q1" s="65" t="str">
        <x:v>车号</x:v>
      </x:c>
      <x:c r="R1" s="65" t="str">
        <x:v>预测状态</x:v>
      </x:c>
      <x:c r="S1" s="65" t="str">
        <x:v>备注</x:v>
      </x:c>
      <x:c r="T1" s="68" t="str">
        <x:v>运行路线模式</x:v>
      </x:c>
    </x:row>
    <x:row r="2">
      <x:c r="A2" s="14" t="str">
        <x:v>S0001-01</x:v>
      </x:c>
      <x:c r="B2" s="14" t="str">
        <x:v>S0001</x:v>
      </x:c>
      <x:c r="C2" s="14" t="str">
        <x:v>工作日</x:v>
      </x:c>
      <x:c r="D2" s="14" t="str">
        <x:v>环线1路</x:v>
      </x:c>
      <x:c r="E2" s="14" t="str">
        <x:v>第一班</x:v>
      </x:c>
      <x:c r="F2" s="14" t="n">
        <x:v>1</x:v>
      </x:c>
      <x:c r="G2" s="14" t="str">
        <x:v>7:30</x:v>
      </x:c>
      <x:c r="H2" s="14" t="str">
        <x:v>研究生宿舍楼</x:v>
      </x:c>
      <x:c r="I2" s="14" t="str">
        <x:v>否</x:v>
      </x:c>
      <x:c r="J2" s="14" t="n">
        <x:v>1</x:v>
      </x:c>
      <x:c r="K2" s="14" t="str">
        <x:v>研究生宿舍楼</x:v>
      </x:c>
      <x:c r="L2" s="14" t="n">
        <x:v>0</x:v>
      </x:c>
      <x:c r="M2" s="14" t="str">
        <x:v>07:30</x:v>
      </x:c>
      <x:c r="N2" s="14" t="str">
        <x:v>是</x:v>
      </x:c>
      <x:c r="O2" s="14" t="str">
        <x:v>否</x:v>
      </x:c>
      <x:c r="P2" s="14" t="str">
        <x:v>未提供</x:v>
      </x:c>
      <x:c r="Q2" s="14" t="str">
        <x:v>未提供</x:v>
      </x:c>
      <x:c r="R2" s="14" t="str">
        <x:v>预测</x:v>
      </x:c>
      <x:c r="S2" s="14" t="str">
        <x:v>到站时间为估算值</x:v>
      </x:c>
      <x:c r="T2" t="str">
        <x:v>研究生宿舍楼发车</x:v>
      </x:c>
    </x:row>
    <x:row r="3">
      <x:c r="A3" s="14" t="str">
        <x:v>S0001-02</x:v>
      </x:c>
      <x:c r="B3" s="14" t="str">
        <x:v>S0001</x:v>
      </x:c>
      <x:c r="C3" s="14" t="str">
        <x:v>工作日</x:v>
      </x:c>
      <x:c r="D3" s="14" t="str">
        <x:v>环线1路</x:v>
      </x:c>
      <x:c r="E3" s="14" t="str">
        <x:v>第一班</x:v>
      </x:c>
      <x:c r="F3" s="14" t="n">
        <x:v>1</x:v>
      </x:c>
      <x:c r="G3" s="14" t="str">
        <x:v>7:30</x:v>
      </x:c>
      <x:c r="H3" s="14" t="str">
        <x:v>研究生宿舍楼</x:v>
      </x:c>
      <x:c r="I3" s="14" t="str">
        <x:v>否</x:v>
      </x:c>
      <x:c r="J3" s="14" t="n">
        <x:v>2</x:v>
      </x:c>
      <x:c r="K3" s="14" t="str">
        <x:v>东门</x:v>
      </x:c>
      <x:c r="L3" s="14" t="n">
        <x:v>1</x:v>
      </x:c>
      <x:c r="M3" s="14" t="str">
        <x:v>07:31</x:v>
      </x:c>
      <x:c r="N3" s="14" t="str">
        <x:v>否</x:v>
      </x:c>
      <x:c r="O3" s="14" t="str">
        <x:v>否</x:v>
      </x:c>
      <x:c r="P3" s="14" t="str">
        <x:v>未提供</x:v>
      </x:c>
      <x:c r="Q3" s="14" t="str">
        <x:v>未提供</x:v>
      </x:c>
      <x:c r="R3" s="14" t="str">
        <x:v>预测</x:v>
      </x:c>
      <x:c r="S3" s="14" t="str">
        <x:v>到站时间为估算值</x:v>
      </x:c>
      <x:c r="T3" t="str">
        <x:v>研究生宿舍楼发车</x:v>
      </x:c>
    </x:row>
    <x:row r="4">
      <x:c r="A4" s="14" t="str">
        <x:v>S0001-03</x:v>
      </x:c>
      <x:c r="B4" s="14" t="str">
        <x:v>S0001</x:v>
      </x:c>
      <x:c r="C4" s="14" t="str">
        <x:v>工作日</x:v>
      </x:c>
      <x:c r="D4" s="14" t="str">
        <x:v>环线1路</x:v>
      </x:c>
      <x:c r="E4" s="14" t="str">
        <x:v>第一班</x:v>
      </x:c>
      <x:c r="F4" s="14" t="n">
        <x:v>1</x:v>
      </x:c>
      <x:c r="G4" s="14" t="str">
        <x:v>7:30</x:v>
      </x:c>
      <x:c r="H4" s="14" t="str">
        <x:v>研究生宿舍楼</x:v>
      </x:c>
      <x:c r="I4" s="14" t="str">
        <x:v>否</x:v>
      </x:c>
      <x:c r="J4" s="14" t="n">
        <x:v>3</x:v>
      </x:c>
      <x:c r="K4" s="14" t="str">
        <x:v>2号宿舍楼</x:v>
      </x:c>
      <x:c r="L4" s="14" t="n">
        <x:v>2</x:v>
      </x:c>
      <x:c r="M4" s="14" t="str">
        <x:v>07:32</x:v>
      </x:c>
      <x:c r="N4" s="14" t="str">
        <x:v>否</x:v>
      </x:c>
      <x:c r="O4" s="14" t="str">
        <x:v>否</x:v>
      </x:c>
      <x:c r="P4" s="14" t="str">
        <x:v>未提供</x:v>
      </x:c>
      <x:c r="Q4" s="14" t="str">
        <x:v>未提供</x:v>
      </x:c>
      <x:c r="R4" s="14" t="str">
        <x:v>预测</x:v>
      </x:c>
      <x:c r="S4" s="14" t="str">
        <x:v>到站时间为估算值</x:v>
      </x:c>
      <x:c r="T4" t="str">
        <x:v>研究生宿舍楼发车</x:v>
      </x:c>
    </x:row>
    <x:row r="5">
      <x:c r="A5" s="14" t="str">
        <x:v>S0001-04</x:v>
      </x:c>
      <x:c r="B5" s="14" t="str">
        <x:v>S0001</x:v>
      </x:c>
      <x:c r="C5" s="14" t="str">
        <x:v>工作日</x:v>
      </x:c>
      <x:c r="D5" s="14" t="str">
        <x:v>环线1路</x:v>
      </x:c>
      <x:c r="E5" s="14" t="str">
        <x:v>第一班</x:v>
      </x:c>
      <x:c r="F5" s="14" t="n">
        <x:v>1</x:v>
      </x:c>
      <x:c r="G5" s="14" t="str">
        <x:v>7:30</x:v>
      </x:c>
      <x:c r="H5" s="14" t="str">
        <x:v>研究生宿舍楼</x:v>
      </x:c>
      <x:c r="I5" s="14" t="str">
        <x:v>否</x:v>
      </x:c>
      <x:c r="J5" s="14" t="n">
        <x:v>4</x:v>
      </x:c>
      <x:c r="K5" s="14" t="str">
        <x:v>军体活动中心</x:v>
      </x:c>
      <x:c r="L5" s="14" t="n">
        <x:v>3</x:v>
      </x:c>
      <x:c r="M5" s="14" t="str">
        <x:v>07:33</x:v>
      </x:c>
      <x:c r="N5" s="14" t="str">
        <x:v>否</x:v>
      </x:c>
      <x:c r="O5" s="14" t="str">
        <x:v>否</x:v>
      </x:c>
      <x:c r="P5" s="14" t="str">
        <x:v>未提供</x:v>
      </x:c>
      <x:c r="Q5" s="14" t="str">
        <x:v>未提供</x:v>
      </x:c>
      <x:c r="R5" s="14" t="str">
        <x:v>预测</x:v>
      </x:c>
      <x:c r="S5" s="14" t="str">
        <x:v>到站时间为估算值</x:v>
      </x:c>
      <x:c r="T5" t="str">
        <x:v>研究生宿舍楼发车</x:v>
      </x:c>
    </x:row>
    <x:row r="6">
      <x:c r="A6" s="14" t="str">
        <x:v>S0001-05</x:v>
      </x:c>
      <x:c r="B6" s="14" t="str">
        <x:v>S0001</x:v>
      </x:c>
      <x:c r="C6" s="14" t="str">
        <x:v>工作日</x:v>
      </x:c>
      <x:c r="D6" s="14" t="str">
        <x:v>环线1路</x:v>
      </x:c>
      <x:c r="E6" s="14" t="str">
        <x:v>第一班</x:v>
      </x:c>
      <x:c r="F6" s="14" t="n">
        <x:v>1</x:v>
      </x:c>
      <x:c r="G6" s="14" t="str">
        <x:v>7:30</x:v>
      </x:c>
      <x:c r="H6" s="14" t="str">
        <x:v>研究生宿舍楼</x:v>
      </x:c>
      <x:c r="I6" s="14" t="str">
        <x:v>否</x:v>
      </x:c>
      <x:c r="J6" s="14" t="n">
        <x:v>5</x:v>
      </x:c>
      <x:c r="K6" s="14" t="str">
        <x:v>激光所</x:v>
      </x:c>
      <x:c r="L6" s="14" t="n">
        <x:v>5</x:v>
      </x:c>
      <x:c r="M6" s="14" t="str">
        <x:v>07:35</x:v>
      </x:c>
      <x:c r="N6" s="14" t="str">
        <x:v>否</x:v>
      </x:c>
      <x:c r="O6" s="14" t="str">
        <x:v>否</x:v>
      </x:c>
      <x:c r="P6" s="14" t="str">
        <x:v>未提供</x:v>
      </x:c>
      <x:c r="Q6" s="14" t="str">
        <x:v>未提供</x:v>
      </x:c>
      <x:c r="R6" s="14" t="str">
        <x:v>预测</x:v>
      </x:c>
      <x:c r="S6" s="14" t="str">
        <x:v>到站时间为估算值</x:v>
      </x:c>
      <x:c r="T6" t="str">
        <x:v>研究生宿舍楼发车</x:v>
      </x:c>
    </x:row>
    <x:row r="7">
      <x:c r="A7" s="14" t="str">
        <x:v>S0001-06</x:v>
      </x:c>
      <x:c r="B7" s="14" t="str">
        <x:v>S0001</x:v>
      </x:c>
      <x:c r="C7" s="14" t="str">
        <x:v>工作日</x:v>
      </x:c>
      <x:c r="D7" s="14" t="str">
        <x:v>环线1路</x:v>
      </x:c>
      <x:c r="E7" s="14" t="str">
        <x:v>第一班</x:v>
      </x:c>
      <x:c r="F7" s="14" t="n">
        <x:v>1</x:v>
      </x:c>
      <x:c r="G7" s="14" t="str">
        <x:v>7:30</x:v>
      </x:c>
      <x:c r="H7" s="14" t="str">
        <x:v>研究生宿舍楼</x:v>
      </x:c>
      <x:c r="I7" s="14" t="str">
        <x:v>否</x:v>
      </x:c>
      <x:c r="J7" s="14" t="n">
        <x:v>6</x:v>
      </x:c>
      <x:c r="K7" s="14" t="str">
        <x:v>超算中心</x:v>
      </x:c>
      <x:c r="L7" s="14" t="n">
        <x:v>6</x:v>
      </x:c>
      <x:c r="M7" s="14" t="str">
        <x:v>07:36</x:v>
      </x:c>
      <x:c r="N7" s="14" t="str">
        <x:v>否</x:v>
      </x:c>
      <x:c r="O7" s="14" t="str">
        <x:v>否</x:v>
      </x:c>
      <x:c r="P7" s="14" t="str">
        <x:v>未提供</x:v>
      </x:c>
      <x:c r="Q7" s="14" t="str">
        <x:v>未提供</x:v>
      </x:c>
      <x:c r="R7" s="14" t="str">
        <x:v>预测</x:v>
      </x:c>
      <x:c r="S7" s="14" t="str">
        <x:v>到站时间为估算值</x:v>
      </x:c>
      <x:c r="T7" t="str">
        <x:v>研究生宿舍楼发车</x:v>
      </x:c>
    </x:row>
    <x:row r="8">
      <x:c r="A8" s="14" t="str">
        <x:v>S0001-07</x:v>
      </x:c>
      <x:c r="B8" s="14" t="str">
        <x:v>S0001</x:v>
      </x:c>
      <x:c r="C8" s="14" t="str">
        <x:v>工作日</x:v>
      </x:c>
      <x:c r="D8" s="14" t="str">
        <x:v>环线1路</x:v>
      </x:c>
      <x:c r="E8" s="14" t="str">
        <x:v>第一班</x:v>
      </x:c>
      <x:c r="F8" s="14" t="n">
        <x:v>1</x:v>
      </x:c>
      <x:c r="G8" s="14" t="str">
        <x:v>7:30</x:v>
      </x:c>
      <x:c r="H8" s="14" t="str">
        <x:v>研究生宿舍楼</x:v>
      </x:c>
      <x:c r="I8" s="14" t="str">
        <x:v>否</x:v>
      </x:c>
      <x:c r="J8" s="14" t="n">
        <x:v>7</x:v>
      </x:c>
      <x:c r="K8" s="14" t="str">
        <x:v>北门</x:v>
      </x:c>
      <x:c r="L8" s="14" t="n">
        <x:v>8</x:v>
      </x:c>
      <x:c r="M8" s="14" t="str">
        <x:v>07:38</x:v>
      </x:c>
      <x:c r="N8" s="14" t="str">
        <x:v>否</x:v>
      </x:c>
      <x:c r="O8" s="14" t="str">
        <x:v>否</x:v>
      </x:c>
      <x:c r="P8" s="14" t="str">
        <x:v>未提供</x:v>
      </x:c>
      <x:c r="Q8" s="14" t="str">
        <x:v>未提供</x:v>
      </x:c>
      <x:c r="R8" s="14" t="str">
        <x:v>预测</x:v>
      </x:c>
      <x:c r="S8" s="14" t="str">
        <x:v>到站时间为估算值</x:v>
      </x:c>
      <x:c r="T8" t="str">
        <x:v>研究生宿舍楼发车</x:v>
      </x:c>
    </x:row>
    <x:row r="9">
      <x:c r="A9" s="14" t="str">
        <x:v>S0001-08</x:v>
      </x:c>
      <x:c r="B9" s="14" t="str">
        <x:v>S0001</x:v>
      </x:c>
      <x:c r="C9" s="14" t="str">
        <x:v>工作日</x:v>
      </x:c>
      <x:c r="D9" s="14" t="str">
        <x:v>环线1路</x:v>
      </x:c>
      <x:c r="E9" s="14" t="str">
        <x:v>第一班</x:v>
      </x:c>
      <x:c r="F9" s="14" t="n">
        <x:v>1</x:v>
      </x:c>
      <x:c r="G9" s="14" t="str">
        <x:v>7:30</x:v>
      </x:c>
      <x:c r="H9" s="14" t="str">
        <x:v>研究生宿舍楼</x:v>
      </x:c>
      <x:c r="I9" s="14" t="str">
        <x:v>否</x:v>
      </x:c>
      <x:c r="J9" s="14" t="n">
        <x:v>8</x:v>
      </x:c>
      <x:c r="K9" s="14" t="str">
        <x:v>高超楼</x:v>
      </x:c>
      <x:c r="L9" s="14" t="n">
        <x:v>9</x:v>
      </x:c>
      <x:c r="M9" s="14" t="str">
        <x:v>07:39</x:v>
      </x:c>
      <x:c r="N9" s="14" t="str">
        <x:v>否</x:v>
      </x:c>
      <x:c r="O9" s="14" t="str">
        <x:v>否</x:v>
      </x:c>
      <x:c r="P9" s="14" t="str">
        <x:v>未提供</x:v>
      </x:c>
      <x:c r="Q9" s="14" t="str">
        <x:v>未提供</x:v>
      </x:c>
      <x:c r="R9" s="14" t="str">
        <x:v>预测</x:v>
      </x:c>
      <x:c r="S9" s="14" t="str">
        <x:v>到站时间为估算值</x:v>
      </x:c>
      <x:c r="T9" t="str">
        <x:v>研究生宿舍楼发车</x:v>
      </x:c>
    </x:row>
    <x:row r="10">
      <x:c r="A10" s="14" t="str">
        <x:v>S0001-09</x:v>
      </x:c>
      <x:c r="B10" s="14" t="str">
        <x:v>S0001</x:v>
      </x:c>
      <x:c r="C10" s="14" t="str">
        <x:v>工作日</x:v>
      </x:c>
      <x:c r="D10" s="14" t="str">
        <x:v>环线1路</x:v>
      </x:c>
      <x:c r="E10" s="14" t="str">
        <x:v>第一班</x:v>
      </x:c>
      <x:c r="F10" s="14" t="n">
        <x:v>1</x:v>
      </x:c>
      <x:c r="G10" s="14" t="str">
        <x:v>7:30</x:v>
      </x:c>
      <x:c r="H10" s="14" t="str">
        <x:v>研究生宿舍楼</x:v>
      </x:c>
      <x:c r="I10" s="14" t="str">
        <x:v>否</x:v>
      </x:c>
      <x:c r="J10" s="14" t="n">
        <x:v>9</x:v>
      </x:c>
      <x:c r="K10" s="14" t="str">
        <x:v>理学院</x:v>
      </x:c>
      <x:c r="L10" s="14" t="n">
        <x:v>10</x:v>
      </x:c>
      <x:c r="M10" s="14" t="str">
        <x:v>07:40</x:v>
      </x:c>
      <x:c r="N10" s="14" t="str">
        <x:v>否</x:v>
      </x:c>
      <x:c r="O10" s="14" t="str">
        <x:v>否</x:v>
      </x:c>
      <x:c r="P10" s="14" t="str">
        <x:v>未提供</x:v>
      </x:c>
      <x:c r="Q10" s="14" t="str">
        <x:v>未提供</x:v>
      </x:c>
      <x:c r="R10" s="14" t="str">
        <x:v>预测</x:v>
      </x:c>
      <x:c r="S10" s="14" t="str">
        <x:v>到站时间为估算值</x:v>
      </x:c>
      <x:c r="T10" t="str">
        <x:v>研究生宿舍楼发车</x:v>
      </x:c>
    </x:row>
    <x:row r="11">
      <x:c r="A11" s="14" t="str">
        <x:v>S0001-10</x:v>
      </x:c>
      <x:c r="B11" s="14" t="str">
        <x:v>S0001</x:v>
      </x:c>
      <x:c r="C11" s="14" t="str">
        <x:v>工作日</x:v>
      </x:c>
      <x:c r="D11" s="14" t="str">
        <x:v>环线1路</x:v>
      </x:c>
      <x:c r="E11" s="14" t="str">
        <x:v>第一班</x:v>
      </x:c>
      <x:c r="F11" s="14" t="n">
        <x:v>1</x:v>
      </x:c>
      <x:c r="G11" s="14" t="str">
        <x:v>7:30</x:v>
      </x:c>
      <x:c r="H11" s="14" t="str">
        <x:v>研究生宿舍楼</x:v>
      </x:c>
      <x:c r="I11" s="14" t="str">
        <x:v>否</x:v>
      </x:c>
      <x:c r="J11" s="14" t="n">
        <x:v>10</x:v>
      </x:c>
      <x:c r="K11" s="14" t="str">
        <x:v>二食堂</x:v>
      </x:c>
      <x:c r="L11" s="14" t="n">
        <x:v>13</x:v>
      </x:c>
      <x:c r="M11" s="14" t="str">
        <x:v>07:43</x:v>
      </x:c>
      <x:c r="N11" s="14" t="str">
        <x:v>否</x:v>
      </x:c>
      <x:c r="O11" s="14" t="str">
        <x:v>否</x:v>
      </x:c>
      <x:c r="P11" s="14" t="str">
        <x:v>未提供</x:v>
      </x:c>
      <x:c r="Q11" s="14" t="str">
        <x:v>未提供</x:v>
      </x:c>
      <x:c r="R11" s="14" t="str">
        <x:v>预测</x:v>
      </x:c>
      <x:c r="S11" s="14" t="str">
        <x:v>到站时间为估算值</x:v>
      </x:c>
      <x:c r="T11" t="str">
        <x:v>研究生宿舍楼发车</x:v>
      </x:c>
    </x:row>
    <x:row r="12">
      <x:c r="A12" s="14" t="str">
        <x:v>S0001-11</x:v>
      </x:c>
      <x:c r="B12" s="14" t="str">
        <x:v>S0001</x:v>
      </x:c>
      <x:c r="C12" s="14" t="str">
        <x:v>工作日</x:v>
      </x:c>
      <x:c r="D12" s="14" t="str">
        <x:v>环线1路</x:v>
      </x:c>
      <x:c r="E12" s="14" t="str">
        <x:v>第一班</x:v>
      </x:c>
      <x:c r="F12" s="14" t="n">
        <x:v>1</x:v>
      </x:c>
      <x:c r="G12" s="14" t="str">
        <x:v>7:30</x:v>
      </x:c>
      <x:c r="H12" s="14" t="str">
        <x:v>研究生宿舍楼</x:v>
      </x:c>
      <x:c r="I12" s="14" t="str">
        <x:v>否</x:v>
      </x:c>
      <x:c r="J12" s="14" t="n">
        <x:v>11</x:v>
      </x:c>
      <x:c r="K12" s="14" t="str">
        <x:v>5号宿舍楼</x:v>
      </x:c>
      <x:c r="L12" s="14" t="n">
        <x:v>14</x:v>
      </x:c>
      <x:c r="M12" s="14" t="str">
        <x:v>07:44</x:v>
      </x:c>
      <x:c r="N12" s="14" t="str">
        <x:v>否</x:v>
      </x:c>
      <x:c r="O12" s="14" t="str">
        <x:v>否</x:v>
      </x:c>
      <x:c r="P12" s="14" t="str">
        <x:v>未提供</x:v>
      </x:c>
      <x:c r="Q12" s="14" t="str">
        <x:v>未提供</x:v>
      </x:c>
      <x:c r="R12" s="14" t="str">
        <x:v>预测</x:v>
      </x:c>
      <x:c r="S12" s="14" t="str">
        <x:v>到站时间为估算值</x:v>
      </x:c>
      <x:c r="T12" t="str">
        <x:v>研究生宿舍楼发车</x:v>
      </x:c>
    </x:row>
    <x:row r="13">
      <x:c r="A13" s="14" t="str">
        <x:v>S0001-12</x:v>
      </x:c>
      <x:c r="B13" s="14" t="str">
        <x:v>S0001</x:v>
      </x:c>
      <x:c r="C13" s="14" t="str">
        <x:v>工作日</x:v>
      </x:c>
      <x:c r="D13" s="14" t="str">
        <x:v>环线1路</x:v>
      </x:c>
      <x:c r="E13" s="14" t="str">
        <x:v>第一班</x:v>
      </x:c>
      <x:c r="F13" s="14" t="n">
        <x:v>1</x:v>
      </x:c>
      <x:c r="G13" s="14" t="str">
        <x:v>7:30</x:v>
      </x:c>
      <x:c r="H13" s="14" t="str">
        <x:v>研究生宿舍楼</x:v>
      </x:c>
      <x:c r="I13" s="14" t="str">
        <x:v>否</x:v>
      </x:c>
      <x:c r="J13" s="14" t="n">
        <x:v>12</x:v>
      </x:c>
      <x:c r="K13" s="14" t="str">
        <x:v>305教学楼</x:v>
      </x:c>
      <x:c r="L13" s="14" t="n">
        <x:v>15</x:v>
      </x:c>
      <x:c r="M13" s="14" t="str">
        <x:v>07:45</x:v>
      </x:c>
      <x:c r="N13" s="14" t="str">
        <x:v>否</x:v>
      </x:c>
      <x:c r="O13" s="14" t="str">
        <x:v>否</x:v>
      </x:c>
      <x:c r="P13" s="14" t="str">
        <x:v>未提供</x:v>
      </x:c>
      <x:c r="Q13" s="14" t="str">
        <x:v>未提供</x:v>
      </x:c>
      <x:c r="R13" s="14" t="str">
        <x:v>预测</x:v>
      </x:c>
      <x:c r="S13" s="14" t="str">
        <x:v>到站时间为估算值</x:v>
      </x:c>
      <x:c r="T13" t="str">
        <x:v>研究生宿舍楼发车</x:v>
      </x:c>
    </x:row>
    <x:row r="14">
      <x:c r="A14" s="14" t="str">
        <x:v>S0001-13</x:v>
      </x:c>
      <x:c r="B14" s="14" t="str">
        <x:v>S0001</x:v>
      </x:c>
      <x:c r="C14" s="14" t="str">
        <x:v>工作日</x:v>
      </x:c>
      <x:c r="D14" s="14" t="str">
        <x:v>环线1路</x:v>
      </x:c>
      <x:c r="E14" s="14" t="str">
        <x:v>第一班</x:v>
      </x:c>
      <x:c r="F14" s="14" t="n">
        <x:v>1</x:v>
      </x:c>
      <x:c r="G14" s="14" t="str">
        <x:v>7:30</x:v>
      </x:c>
      <x:c r="H14" s="14" t="str">
        <x:v>研究生宿舍楼</x:v>
      </x:c>
      <x:c r="I14" s="14" t="str">
        <x:v>否</x:v>
      </x:c>
      <x:c r="J14" s="14" t="n">
        <x:v>13</x:v>
      </x:c>
      <x:c r="K14" s="14" t="str">
        <x:v>研究生宿舍楼</x:v>
      </x:c>
      <x:c r="L14" s="14" t="n">
        <x:v>17</x:v>
      </x:c>
      <x:c r="M14" s="14" t="str">
        <x:v>07:47</x:v>
      </x:c>
      <x:c r="N14" s="14" t="str">
        <x:v>否</x:v>
      </x:c>
      <x:c r="O14" s="14" t="str">
        <x:v>是</x:v>
      </x:c>
      <x:c r="P14" s="14" t="str">
        <x:v>未提供</x:v>
      </x:c>
      <x:c r="Q14" s="14" t="str">
        <x:v>未提供</x:v>
      </x:c>
      <x:c r="R14" s="14" t="str">
        <x:v>预测</x:v>
      </x:c>
      <x:c r="S14" s="14" t="str">
        <x:v>到站时间为估算值</x:v>
      </x:c>
      <x:c r="T14" t="str">
        <x:v>研究生宿舍楼发车</x:v>
      </x:c>
    </x:row>
    <x:row r="15">
      <x:c r="A15" s="14" t="str">
        <x:v>S0002-01</x:v>
      </x:c>
      <x:c r="B15" s="14" t="str">
        <x:v>S0002</x:v>
      </x:c>
      <x:c r="C15" s="14" t="str">
        <x:v>工作日</x:v>
      </x:c>
      <x:c r="D15" s="14" t="str">
        <x:v>环线1路</x:v>
      </x:c>
      <x:c r="E15" s="14" t="str">
        <x:v>第一班</x:v>
      </x:c>
      <x:c r="F15" s="14" t="n">
        <x:v>2</x:v>
      </x:c>
      <x:c r="G15" s="14" t="str">
        <x:v>8:00</x:v>
      </x:c>
      <x:c r="H15" s="14" t="str">
        <x:v>研究生宿舍楼</x:v>
      </x:c>
      <x:c r="I15" s="14" t="str">
        <x:v>否</x:v>
      </x:c>
      <x:c r="J15" s="14" t="n">
        <x:v>1</x:v>
      </x:c>
      <x:c r="K15" s="14" t="str">
        <x:v>研究生宿舍楼</x:v>
      </x:c>
      <x:c r="L15" s="14" t="n">
        <x:v>0</x:v>
      </x:c>
      <x:c r="M15" s="14" t="str">
        <x:v>08:00</x:v>
      </x:c>
      <x:c r="N15" s="14" t="str">
        <x:v>是</x:v>
      </x:c>
      <x:c r="O15" s="14" t="str">
        <x:v>否</x:v>
      </x:c>
      <x:c r="P15" s="14" t="str">
        <x:v>未提供</x:v>
      </x:c>
      <x:c r="Q15" s="14" t="str">
        <x:v>未提供</x:v>
      </x:c>
      <x:c r="R15" s="14" t="str">
        <x:v>预测</x:v>
      </x:c>
      <x:c r="S15" s="14" t="str">
        <x:v>到站时间为估算值</x:v>
      </x:c>
      <x:c r="T15" t="str">
        <x:v>研究生宿舍楼发车</x:v>
      </x:c>
    </x:row>
    <x:row r="16">
      <x:c r="A16" s="14" t="str">
        <x:v>S0002-02</x:v>
      </x:c>
      <x:c r="B16" s="14" t="str">
        <x:v>S0002</x:v>
      </x:c>
      <x:c r="C16" s="14" t="str">
        <x:v>工作日</x:v>
      </x:c>
      <x:c r="D16" s="14" t="str">
        <x:v>环线1路</x:v>
      </x:c>
      <x:c r="E16" s="14" t="str">
        <x:v>第一班</x:v>
      </x:c>
      <x:c r="F16" s="14" t="n">
        <x:v>2</x:v>
      </x:c>
      <x:c r="G16" s="14" t="str">
        <x:v>8:00</x:v>
      </x:c>
      <x:c r="H16" s="14" t="str">
        <x:v>研究生宿舍楼</x:v>
      </x:c>
      <x:c r="I16" s="14" t="str">
        <x:v>否</x:v>
      </x:c>
      <x:c r="J16" s="14" t="n">
        <x:v>2</x:v>
      </x:c>
      <x:c r="K16" s="14" t="str">
        <x:v>东门</x:v>
      </x:c>
      <x:c r="L16" s="14" t="n">
        <x:v>1</x:v>
      </x:c>
      <x:c r="M16" s="14" t="str">
        <x:v>08:01</x:v>
      </x:c>
      <x:c r="N16" s="14" t="str">
        <x:v>否</x:v>
      </x:c>
      <x:c r="O16" s="14" t="str">
        <x:v>否</x:v>
      </x:c>
      <x:c r="P16" s="14" t="str">
        <x:v>未提供</x:v>
      </x:c>
      <x:c r="Q16" s="14" t="str">
        <x:v>未提供</x:v>
      </x:c>
      <x:c r="R16" s="14" t="str">
        <x:v>预测</x:v>
      </x:c>
      <x:c r="S16" s="14" t="str">
        <x:v>到站时间为估算值</x:v>
      </x:c>
      <x:c r="T16" t="str">
        <x:v>研究生宿舍楼发车</x:v>
      </x:c>
    </x:row>
    <x:row r="17">
      <x:c r="A17" s="14" t="str">
        <x:v>S0002-03</x:v>
      </x:c>
      <x:c r="B17" s="14" t="str">
        <x:v>S0002</x:v>
      </x:c>
      <x:c r="C17" s="14" t="str">
        <x:v>工作日</x:v>
      </x:c>
      <x:c r="D17" s="14" t="str">
        <x:v>环线1路</x:v>
      </x:c>
      <x:c r="E17" s="14" t="str">
        <x:v>第一班</x:v>
      </x:c>
      <x:c r="F17" s="14" t="n">
        <x:v>2</x:v>
      </x:c>
      <x:c r="G17" s="14" t="str">
        <x:v>8:00</x:v>
      </x:c>
      <x:c r="H17" s="14" t="str">
        <x:v>研究生宿舍楼</x:v>
      </x:c>
      <x:c r="I17" s="14" t="str">
        <x:v>否</x:v>
      </x:c>
      <x:c r="J17" s="14" t="n">
        <x:v>3</x:v>
      </x:c>
      <x:c r="K17" s="14" t="str">
        <x:v>2号宿舍楼</x:v>
      </x:c>
      <x:c r="L17" s="14" t="n">
        <x:v>2</x:v>
      </x:c>
      <x:c r="M17" s="14" t="str">
        <x:v>08:02</x:v>
      </x:c>
      <x:c r="N17" s="14" t="str">
        <x:v>否</x:v>
      </x:c>
      <x:c r="O17" s="14" t="str">
        <x:v>否</x:v>
      </x:c>
      <x:c r="P17" s="14" t="str">
        <x:v>未提供</x:v>
      </x:c>
      <x:c r="Q17" s="14" t="str">
        <x:v>未提供</x:v>
      </x:c>
      <x:c r="R17" s="14" t="str">
        <x:v>预测</x:v>
      </x:c>
      <x:c r="S17" s="14" t="str">
        <x:v>到站时间为估算值</x:v>
      </x:c>
      <x:c r="T17" t="str">
        <x:v>研究生宿舍楼发车</x:v>
      </x:c>
    </x:row>
    <x:row r="18">
      <x:c r="A18" s="14" t="str">
        <x:v>S0002-04</x:v>
      </x:c>
      <x:c r="B18" s="14" t="str">
        <x:v>S0002</x:v>
      </x:c>
      <x:c r="C18" s="14" t="str">
        <x:v>工作日</x:v>
      </x:c>
      <x:c r="D18" s="14" t="str">
        <x:v>环线1路</x:v>
      </x:c>
      <x:c r="E18" s="14" t="str">
        <x:v>第一班</x:v>
      </x:c>
      <x:c r="F18" s="14" t="n">
        <x:v>2</x:v>
      </x:c>
      <x:c r="G18" s="14" t="str">
        <x:v>8:00</x:v>
      </x:c>
      <x:c r="H18" s="14" t="str">
        <x:v>研究生宿舍楼</x:v>
      </x:c>
      <x:c r="I18" s="14" t="str">
        <x:v>否</x:v>
      </x:c>
      <x:c r="J18" s="14" t="n">
        <x:v>4</x:v>
      </x:c>
      <x:c r="K18" s="14" t="str">
        <x:v>军体活动中心</x:v>
      </x:c>
      <x:c r="L18" s="14" t="n">
        <x:v>3</x:v>
      </x:c>
      <x:c r="M18" s="14" t="str">
        <x:v>08:03</x:v>
      </x:c>
      <x:c r="N18" s="14" t="str">
        <x:v>否</x:v>
      </x:c>
      <x:c r="O18" s="14" t="str">
        <x:v>否</x:v>
      </x:c>
      <x:c r="P18" s="14" t="str">
        <x:v>未提供</x:v>
      </x:c>
      <x:c r="Q18" s="14" t="str">
        <x:v>未提供</x:v>
      </x:c>
      <x:c r="R18" s="14" t="str">
        <x:v>预测</x:v>
      </x:c>
      <x:c r="S18" s="14" t="str">
        <x:v>到站时间为估算值</x:v>
      </x:c>
      <x:c r="T18" t="str">
        <x:v>研究生宿舍楼发车</x:v>
      </x:c>
    </x:row>
    <x:row r="19">
      <x:c r="A19" s="14" t="str">
        <x:v>S0002-05</x:v>
      </x:c>
      <x:c r="B19" s="14" t="str">
        <x:v>S0002</x:v>
      </x:c>
      <x:c r="C19" s="14" t="str">
        <x:v>工作日</x:v>
      </x:c>
      <x:c r="D19" s="14" t="str">
        <x:v>环线1路</x:v>
      </x:c>
      <x:c r="E19" s="14" t="str">
        <x:v>第一班</x:v>
      </x:c>
      <x:c r="F19" s="14" t="n">
        <x:v>2</x:v>
      </x:c>
      <x:c r="G19" s="14" t="str">
        <x:v>8:00</x:v>
      </x:c>
      <x:c r="H19" s="14" t="str">
        <x:v>研究生宿舍楼</x:v>
      </x:c>
      <x:c r="I19" s="14" t="str">
        <x:v>否</x:v>
      </x:c>
      <x:c r="J19" s="14" t="n">
        <x:v>5</x:v>
      </x:c>
      <x:c r="K19" s="14" t="str">
        <x:v>激光所</x:v>
      </x:c>
      <x:c r="L19" s="14" t="n">
        <x:v>5</x:v>
      </x:c>
      <x:c r="M19" s="14" t="str">
        <x:v>08:05</x:v>
      </x:c>
      <x:c r="N19" s="14" t="str">
        <x:v>否</x:v>
      </x:c>
      <x:c r="O19" s="14" t="str">
        <x:v>否</x:v>
      </x:c>
      <x:c r="P19" s="14" t="str">
        <x:v>未提供</x:v>
      </x:c>
      <x:c r="Q19" s="14" t="str">
        <x:v>未提供</x:v>
      </x:c>
      <x:c r="R19" s="14" t="str">
        <x:v>预测</x:v>
      </x:c>
      <x:c r="S19" s="14" t="str">
        <x:v>到站时间为估算值</x:v>
      </x:c>
      <x:c r="T19" t="str">
        <x:v>研究生宿舍楼发车</x:v>
      </x:c>
    </x:row>
    <x:row r="20">
      <x:c r="A20" s="14" t="str">
        <x:v>S0002-06</x:v>
      </x:c>
      <x:c r="B20" s="14" t="str">
        <x:v>S0002</x:v>
      </x:c>
      <x:c r="C20" s="14" t="str">
        <x:v>工作日</x:v>
      </x:c>
      <x:c r="D20" s="14" t="str">
        <x:v>环线1路</x:v>
      </x:c>
      <x:c r="E20" s="14" t="str">
        <x:v>第一班</x:v>
      </x:c>
      <x:c r="F20" s="14" t="n">
        <x:v>2</x:v>
      </x:c>
      <x:c r="G20" s="14" t="str">
        <x:v>8:00</x:v>
      </x:c>
      <x:c r="H20" s="14" t="str">
        <x:v>研究生宿舍楼</x:v>
      </x:c>
      <x:c r="I20" s="14" t="str">
        <x:v>否</x:v>
      </x:c>
      <x:c r="J20" s="14" t="n">
        <x:v>6</x:v>
      </x:c>
      <x:c r="K20" s="14" t="str">
        <x:v>超算中心</x:v>
      </x:c>
      <x:c r="L20" s="14" t="n">
        <x:v>6</x:v>
      </x:c>
      <x:c r="M20" s="14" t="str">
        <x:v>08:06</x:v>
      </x:c>
      <x:c r="N20" s="14" t="str">
        <x:v>否</x:v>
      </x:c>
      <x:c r="O20" s="14" t="str">
        <x:v>否</x:v>
      </x:c>
      <x:c r="P20" s="14" t="str">
        <x:v>未提供</x:v>
      </x:c>
      <x:c r="Q20" s="14" t="str">
        <x:v>未提供</x:v>
      </x:c>
      <x:c r="R20" s="14" t="str">
        <x:v>预测</x:v>
      </x:c>
      <x:c r="S20" s="14" t="str">
        <x:v>到站时间为估算值</x:v>
      </x:c>
      <x:c r="T20" t="str">
        <x:v>研究生宿舍楼发车</x:v>
      </x:c>
    </x:row>
    <x:row r="21">
      <x:c r="A21" s="14" t="str">
        <x:v>S0002-07</x:v>
      </x:c>
      <x:c r="B21" s="14" t="str">
        <x:v>S0002</x:v>
      </x:c>
      <x:c r="C21" s="14" t="str">
        <x:v>工作日</x:v>
      </x:c>
      <x:c r="D21" s="14" t="str">
        <x:v>环线1路</x:v>
      </x:c>
      <x:c r="E21" s="14" t="str">
        <x:v>第一班</x:v>
      </x:c>
      <x:c r="F21" s="14" t="n">
        <x:v>2</x:v>
      </x:c>
      <x:c r="G21" s="14" t="str">
        <x:v>8:00</x:v>
      </x:c>
      <x:c r="H21" s="14" t="str">
        <x:v>研究生宿舍楼</x:v>
      </x:c>
      <x:c r="I21" s="14" t="str">
        <x:v>否</x:v>
      </x:c>
      <x:c r="J21" s="14" t="n">
        <x:v>7</x:v>
      </x:c>
      <x:c r="K21" s="14" t="str">
        <x:v>北门</x:v>
      </x:c>
      <x:c r="L21" s="14" t="n">
        <x:v>8</x:v>
      </x:c>
      <x:c r="M21" s="14" t="str">
        <x:v>08:08</x:v>
      </x:c>
      <x:c r="N21" s="14" t="str">
        <x:v>否</x:v>
      </x:c>
      <x:c r="O21" s="14" t="str">
        <x:v>否</x:v>
      </x:c>
      <x:c r="P21" s="14" t="str">
        <x:v>未提供</x:v>
      </x:c>
      <x:c r="Q21" s="14" t="str">
        <x:v>未提供</x:v>
      </x:c>
      <x:c r="R21" s="14" t="str">
        <x:v>预测</x:v>
      </x:c>
      <x:c r="S21" s="14" t="str">
        <x:v>到站时间为估算值</x:v>
      </x:c>
      <x:c r="T21" t="str">
        <x:v>研究生宿舍楼发车</x:v>
      </x:c>
    </x:row>
    <x:row r="22">
      <x:c r="A22" s="14" t="str">
        <x:v>S0002-08</x:v>
      </x:c>
      <x:c r="B22" s="14" t="str">
        <x:v>S0002</x:v>
      </x:c>
      <x:c r="C22" s="14" t="str">
        <x:v>工作日</x:v>
      </x:c>
      <x:c r="D22" s="14" t="str">
        <x:v>环线1路</x:v>
      </x:c>
      <x:c r="E22" s="14" t="str">
        <x:v>第一班</x:v>
      </x:c>
      <x:c r="F22" s="14" t="n">
        <x:v>2</x:v>
      </x:c>
      <x:c r="G22" s="14" t="str">
        <x:v>8:00</x:v>
      </x:c>
      <x:c r="H22" s="14" t="str">
        <x:v>研究生宿舍楼</x:v>
      </x:c>
      <x:c r="I22" s="14" t="str">
        <x:v>否</x:v>
      </x:c>
      <x:c r="J22" s="14" t="n">
        <x:v>8</x:v>
      </x:c>
      <x:c r="K22" s="14" t="str">
        <x:v>高超楼</x:v>
      </x:c>
      <x:c r="L22" s="14" t="n">
        <x:v>9</x:v>
      </x:c>
      <x:c r="M22" s="14" t="str">
        <x:v>08:09</x:v>
      </x:c>
      <x:c r="N22" s="14" t="str">
        <x:v>否</x:v>
      </x:c>
      <x:c r="O22" s="14" t="str">
        <x:v>否</x:v>
      </x:c>
      <x:c r="P22" s="14" t="str">
        <x:v>未提供</x:v>
      </x:c>
      <x:c r="Q22" s="14" t="str">
        <x:v>未提供</x:v>
      </x:c>
      <x:c r="R22" s="14" t="str">
        <x:v>预测</x:v>
      </x:c>
      <x:c r="S22" s="14" t="str">
        <x:v>到站时间为估算值</x:v>
      </x:c>
      <x:c r="T22" t="str">
        <x:v>研究生宿舍楼发车</x:v>
      </x:c>
    </x:row>
    <x:row r="23">
      <x:c r="A23" s="14" t="str">
        <x:v>S0002-09</x:v>
      </x:c>
      <x:c r="B23" s="14" t="str">
        <x:v>S0002</x:v>
      </x:c>
      <x:c r="C23" s="14" t="str">
        <x:v>工作日</x:v>
      </x:c>
      <x:c r="D23" s="14" t="str">
        <x:v>环线1路</x:v>
      </x:c>
      <x:c r="E23" s="14" t="str">
        <x:v>第一班</x:v>
      </x:c>
      <x:c r="F23" s="14" t="n">
        <x:v>2</x:v>
      </x:c>
      <x:c r="G23" s="14" t="str">
        <x:v>8:00</x:v>
      </x:c>
      <x:c r="H23" s="14" t="str">
        <x:v>研究生宿舍楼</x:v>
      </x:c>
      <x:c r="I23" s="14" t="str">
        <x:v>否</x:v>
      </x:c>
      <x:c r="J23" s="14" t="n">
        <x:v>9</x:v>
      </x:c>
      <x:c r="K23" s="14" t="str">
        <x:v>理学院</x:v>
      </x:c>
      <x:c r="L23" s="14" t="n">
        <x:v>10</x:v>
      </x:c>
      <x:c r="M23" s="14" t="str">
        <x:v>08:10</x:v>
      </x:c>
      <x:c r="N23" s="14" t="str">
        <x:v>否</x:v>
      </x:c>
      <x:c r="O23" s="14" t="str">
        <x:v>否</x:v>
      </x:c>
      <x:c r="P23" s="14" t="str">
        <x:v>未提供</x:v>
      </x:c>
      <x:c r="Q23" s="14" t="str">
        <x:v>未提供</x:v>
      </x:c>
      <x:c r="R23" s="14" t="str">
        <x:v>预测</x:v>
      </x:c>
      <x:c r="S23" s="14" t="str">
        <x:v>到站时间为估算值</x:v>
      </x:c>
      <x:c r="T23" t="str">
        <x:v>研究生宿舍楼发车</x:v>
      </x:c>
    </x:row>
    <x:row r="24">
      <x:c r="A24" s="14" t="str">
        <x:v>S0002-10</x:v>
      </x:c>
      <x:c r="B24" s="14" t="str">
        <x:v>S0002</x:v>
      </x:c>
      <x:c r="C24" s="14" t="str">
        <x:v>工作日</x:v>
      </x:c>
      <x:c r="D24" s="14" t="str">
        <x:v>环线1路</x:v>
      </x:c>
      <x:c r="E24" s="14" t="str">
        <x:v>第一班</x:v>
      </x:c>
      <x:c r="F24" s="14" t="n">
        <x:v>2</x:v>
      </x:c>
      <x:c r="G24" s="14" t="str">
        <x:v>8:00</x:v>
      </x:c>
      <x:c r="H24" s="14" t="str">
        <x:v>研究生宿舍楼</x:v>
      </x:c>
      <x:c r="I24" s="14" t="str">
        <x:v>否</x:v>
      </x:c>
      <x:c r="J24" s="14" t="n">
        <x:v>10</x:v>
      </x:c>
      <x:c r="K24" s="14" t="str">
        <x:v>二食堂</x:v>
      </x:c>
      <x:c r="L24" s="14" t="n">
        <x:v>13</x:v>
      </x:c>
      <x:c r="M24" s="14" t="str">
        <x:v>08:13</x:v>
      </x:c>
      <x:c r="N24" s="14" t="str">
        <x:v>否</x:v>
      </x:c>
      <x:c r="O24" s="14" t="str">
        <x:v>否</x:v>
      </x:c>
      <x:c r="P24" s="14" t="str">
        <x:v>未提供</x:v>
      </x:c>
      <x:c r="Q24" s="14" t="str">
        <x:v>未提供</x:v>
      </x:c>
      <x:c r="R24" s="14" t="str">
        <x:v>预测</x:v>
      </x:c>
      <x:c r="S24" s="14" t="str">
        <x:v>到站时间为估算值</x:v>
      </x:c>
      <x:c r="T24" t="str">
        <x:v>研究生宿舍楼发车</x:v>
      </x:c>
    </x:row>
    <x:row r="25">
      <x:c r="A25" s="14" t="str">
        <x:v>S0002-11</x:v>
      </x:c>
      <x:c r="B25" s="14" t="str">
        <x:v>S0002</x:v>
      </x:c>
      <x:c r="C25" s="14" t="str">
        <x:v>工作日</x:v>
      </x:c>
      <x:c r="D25" s="14" t="str">
        <x:v>环线1路</x:v>
      </x:c>
      <x:c r="E25" s="14" t="str">
        <x:v>第一班</x:v>
      </x:c>
      <x:c r="F25" s="14" t="n">
        <x:v>2</x:v>
      </x:c>
      <x:c r="G25" s="14" t="str">
        <x:v>8:00</x:v>
      </x:c>
      <x:c r="H25" s="14" t="str">
        <x:v>研究生宿舍楼</x:v>
      </x:c>
      <x:c r="I25" s="14" t="str">
        <x:v>否</x:v>
      </x:c>
      <x:c r="J25" s="14" t="n">
        <x:v>11</x:v>
      </x:c>
      <x:c r="K25" s="14" t="str">
        <x:v>5号宿舍楼</x:v>
      </x:c>
      <x:c r="L25" s="14" t="n">
        <x:v>14</x:v>
      </x:c>
      <x:c r="M25" s="14" t="str">
        <x:v>08:14</x:v>
      </x:c>
      <x:c r="N25" s="14" t="str">
        <x:v>否</x:v>
      </x:c>
      <x:c r="O25" s="14" t="str">
        <x:v>否</x:v>
      </x:c>
      <x:c r="P25" s="14" t="str">
        <x:v>未提供</x:v>
      </x:c>
      <x:c r="Q25" s="14" t="str">
        <x:v>未提供</x:v>
      </x:c>
      <x:c r="R25" s="14" t="str">
        <x:v>预测</x:v>
      </x:c>
      <x:c r="S25" s="14" t="str">
        <x:v>到站时间为估算值</x:v>
      </x:c>
      <x:c r="T25" t="str">
        <x:v>研究生宿舍楼发车</x:v>
      </x:c>
    </x:row>
    <x:row r="26">
      <x:c r="A26" s="14" t="str">
        <x:v>S0002-12</x:v>
      </x:c>
      <x:c r="B26" s="14" t="str">
        <x:v>S0002</x:v>
      </x:c>
      <x:c r="C26" s="14" t="str">
        <x:v>工作日</x:v>
      </x:c>
      <x:c r="D26" s="14" t="str">
        <x:v>环线1路</x:v>
      </x:c>
      <x:c r="E26" s="14" t="str">
        <x:v>第一班</x:v>
      </x:c>
      <x:c r="F26" s="14" t="n">
        <x:v>2</x:v>
      </x:c>
      <x:c r="G26" s="14" t="str">
        <x:v>8:00</x:v>
      </x:c>
      <x:c r="H26" s="14" t="str">
        <x:v>研究生宿舍楼</x:v>
      </x:c>
      <x:c r="I26" s="14" t="str">
        <x:v>否</x:v>
      </x:c>
      <x:c r="J26" s="14" t="n">
        <x:v>12</x:v>
      </x:c>
      <x:c r="K26" s="14" t="str">
        <x:v>305教学楼</x:v>
      </x:c>
      <x:c r="L26" s="14" t="n">
        <x:v>15</x:v>
      </x:c>
      <x:c r="M26" s="14" t="str">
        <x:v>08:15</x:v>
      </x:c>
      <x:c r="N26" s="14" t="str">
        <x:v>否</x:v>
      </x:c>
      <x:c r="O26" s="14" t="str">
        <x:v>否</x:v>
      </x:c>
      <x:c r="P26" s="14" t="str">
        <x:v>未提供</x:v>
      </x:c>
      <x:c r="Q26" s="14" t="str">
        <x:v>未提供</x:v>
      </x:c>
      <x:c r="R26" s="14" t="str">
        <x:v>预测</x:v>
      </x:c>
      <x:c r="S26" s="14" t="str">
        <x:v>到站时间为估算值</x:v>
      </x:c>
      <x:c r="T26" t="str">
        <x:v>研究生宿舍楼发车</x:v>
      </x:c>
    </x:row>
    <x:row r="27">
      <x:c r="A27" s="14" t="str">
        <x:v>S0002-13</x:v>
      </x:c>
      <x:c r="B27" s="14" t="str">
        <x:v>S0002</x:v>
      </x:c>
      <x:c r="C27" s="14" t="str">
        <x:v>工作日</x:v>
      </x:c>
      <x:c r="D27" s="14" t="str">
        <x:v>环线1路</x:v>
      </x:c>
      <x:c r="E27" s="14" t="str">
        <x:v>第一班</x:v>
      </x:c>
      <x:c r="F27" s="14" t="n">
        <x:v>2</x:v>
      </x:c>
      <x:c r="G27" s="14" t="str">
        <x:v>8:00</x:v>
      </x:c>
      <x:c r="H27" s="14" t="str">
        <x:v>研究生宿舍楼</x:v>
      </x:c>
      <x:c r="I27" s="14" t="str">
        <x:v>否</x:v>
      </x:c>
      <x:c r="J27" s="14" t="n">
        <x:v>13</x:v>
      </x:c>
      <x:c r="K27" s="14" t="str">
        <x:v>研究生宿舍楼</x:v>
      </x:c>
      <x:c r="L27" s="14" t="n">
        <x:v>17</x:v>
      </x:c>
      <x:c r="M27" s="14" t="str">
        <x:v>08:17</x:v>
      </x:c>
      <x:c r="N27" s="14" t="str">
        <x:v>否</x:v>
      </x:c>
      <x:c r="O27" s="14" t="str">
        <x:v>是</x:v>
      </x:c>
      <x:c r="P27" s="14" t="str">
        <x:v>未提供</x:v>
      </x:c>
      <x:c r="Q27" s="14" t="str">
        <x:v>未提供</x:v>
      </x:c>
      <x:c r="R27" s="14" t="str">
        <x:v>预测</x:v>
      </x:c>
      <x:c r="S27" s="14" t="str">
        <x:v>到站时间为估算值</x:v>
      </x:c>
      <x:c r="T27" t="str">
        <x:v>研究生宿舍楼发车</x:v>
      </x:c>
    </x:row>
    <x:row r="28">
      <x:c r="A28" s="14" t="str">
        <x:v>S0003-01</x:v>
      </x:c>
      <x:c r="B28" s="14" t="str">
        <x:v>S0003</x:v>
      </x:c>
      <x:c r="C28" s="14" t="str">
        <x:v>工作日</x:v>
      </x:c>
      <x:c r="D28" s="14" t="str">
        <x:v>环线1路</x:v>
      </x:c>
      <x:c r="E28" s="14" t="str">
        <x:v>第一班</x:v>
      </x:c>
      <x:c r="F28" s="14" t="n">
        <x:v>3</x:v>
      </x:c>
      <x:c r="G28" s="14" t="str">
        <x:v>8:30</x:v>
      </x:c>
      <x:c r="H28" s="14" t="str">
        <x:v>研究生宿舍楼</x:v>
      </x:c>
      <x:c r="I28" s="14" t="str">
        <x:v>否</x:v>
      </x:c>
      <x:c r="J28" s="14" t="n">
        <x:v>1</x:v>
      </x:c>
      <x:c r="K28" s="14" t="str">
        <x:v>研究生宿舍楼</x:v>
      </x:c>
      <x:c r="L28" s="14" t="n">
        <x:v>0</x:v>
      </x:c>
      <x:c r="M28" s="14" t="str">
        <x:v>08:30</x:v>
      </x:c>
      <x:c r="N28" s="14" t="str">
        <x:v>是</x:v>
      </x:c>
      <x:c r="O28" s="14" t="str">
        <x:v>否</x:v>
      </x:c>
      <x:c r="P28" s="14" t="str">
        <x:v>未提供</x:v>
      </x:c>
      <x:c r="Q28" s="14" t="str">
        <x:v>未提供</x:v>
      </x:c>
      <x:c r="R28" s="14" t="str">
        <x:v>预测</x:v>
      </x:c>
      <x:c r="S28" s="14" t="str">
        <x:v>到站时间为估算值</x:v>
      </x:c>
      <x:c r="T28" t="str">
        <x:v>研究生宿舍楼发车</x:v>
      </x:c>
    </x:row>
    <x:row r="29">
      <x:c r="A29" s="14" t="str">
        <x:v>S0003-02</x:v>
      </x:c>
      <x:c r="B29" s="14" t="str">
        <x:v>S0003</x:v>
      </x:c>
      <x:c r="C29" s="14" t="str">
        <x:v>工作日</x:v>
      </x:c>
      <x:c r="D29" s="14" t="str">
        <x:v>环线1路</x:v>
      </x:c>
      <x:c r="E29" s="14" t="str">
        <x:v>第一班</x:v>
      </x:c>
      <x:c r="F29" s="14" t="n">
        <x:v>3</x:v>
      </x:c>
      <x:c r="G29" s="14" t="str">
        <x:v>8:30</x:v>
      </x:c>
      <x:c r="H29" s="14" t="str">
        <x:v>研究生宿舍楼</x:v>
      </x:c>
      <x:c r="I29" s="14" t="str">
        <x:v>否</x:v>
      </x:c>
      <x:c r="J29" s="14" t="n">
        <x:v>2</x:v>
      </x:c>
      <x:c r="K29" s="14" t="str">
        <x:v>东门</x:v>
      </x:c>
      <x:c r="L29" s="14" t="n">
        <x:v>1</x:v>
      </x:c>
      <x:c r="M29" s="14" t="str">
        <x:v>08:31</x:v>
      </x:c>
      <x:c r="N29" s="14" t="str">
        <x:v>否</x:v>
      </x:c>
      <x:c r="O29" s="14" t="str">
        <x:v>否</x:v>
      </x:c>
      <x:c r="P29" s="14" t="str">
        <x:v>未提供</x:v>
      </x:c>
      <x:c r="Q29" s="14" t="str">
        <x:v>未提供</x:v>
      </x:c>
      <x:c r="R29" s="14" t="str">
        <x:v>预测</x:v>
      </x:c>
      <x:c r="S29" s="14" t="str">
        <x:v>到站时间为估算值</x:v>
      </x:c>
      <x:c r="T29" t="str">
        <x:v>研究生宿舍楼发车</x:v>
      </x:c>
    </x:row>
    <x:row r="30">
      <x:c r="A30" s="14" t="str">
        <x:v>S0003-03</x:v>
      </x:c>
      <x:c r="B30" s="14" t="str">
        <x:v>S0003</x:v>
      </x:c>
      <x:c r="C30" s="14" t="str">
        <x:v>工作日</x:v>
      </x:c>
      <x:c r="D30" s="14" t="str">
        <x:v>环线1路</x:v>
      </x:c>
      <x:c r="E30" s="14" t="str">
        <x:v>第一班</x:v>
      </x:c>
      <x:c r="F30" s="14" t="n">
        <x:v>3</x:v>
      </x:c>
      <x:c r="G30" s="14" t="str">
        <x:v>8:30</x:v>
      </x:c>
      <x:c r="H30" s="14" t="str">
        <x:v>研究生宿舍楼</x:v>
      </x:c>
      <x:c r="I30" s="14" t="str">
        <x:v>否</x:v>
      </x:c>
      <x:c r="J30" s="14" t="n">
        <x:v>3</x:v>
      </x:c>
      <x:c r="K30" s="14" t="str">
        <x:v>2号宿舍楼</x:v>
      </x:c>
      <x:c r="L30" s="14" t="n">
        <x:v>2</x:v>
      </x:c>
      <x:c r="M30" s="14" t="str">
        <x:v>08:32</x:v>
      </x:c>
      <x:c r="N30" s="14" t="str">
        <x:v>否</x:v>
      </x:c>
      <x:c r="O30" s="14" t="str">
        <x:v>否</x:v>
      </x:c>
      <x:c r="P30" s="14" t="str">
        <x:v>未提供</x:v>
      </x:c>
      <x:c r="Q30" s="14" t="str">
        <x:v>未提供</x:v>
      </x:c>
      <x:c r="R30" s="14" t="str">
        <x:v>预测</x:v>
      </x:c>
      <x:c r="S30" s="14" t="str">
        <x:v>到站时间为估算值</x:v>
      </x:c>
      <x:c r="T30" t="str">
        <x:v>研究生宿舍楼发车</x:v>
      </x:c>
    </x:row>
    <x:row r="31">
      <x:c r="A31" s="14" t="str">
        <x:v>S0003-04</x:v>
      </x:c>
      <x:c r="B31" s="14" t="str">
        <x:v>S0003</x:v>
      </x:c>
      <x:c r="C31" s="14" t="str">
        <x:v>工作日</x:v>
      </x:c>
      <x:c r="D31" s="14" t="str">
        <x:v>环线1路</x:v>
      </x:c>
      <x:c r="E31" s="14" t="str">
        <x:v>第一班</x:v>
      </x:c>
      <x:c r="F31" s="14" t="n">
        <x:v>3</x:v>
      </x:c>
      <x:c r="G31" s="14" t="str">
        <x:v>8:30</x:v>
      </x:c>
      <x:c r="H31" s="14" t="str">
        <x:v>研究生宿舍楼</x:v>
      </x:c>
      <x:c r="I31" s="14" t="str">
        <x:v>否</x:v>
      </x:c>
      <x:c r="J31" s="14" t="n">
        <x:v>4</x:v>
      </x:c>
      <x:c r="K31" s="14" t="str">
        <x:v>军体活动中心</x:v>
      </x:c>
      <x:c r="L31" s="14" t="n">
        <x:v>3</x:v>
      </x:c>
      <x:c r="M31" s="14" t="str">
        <x:v>08:33</x:v>
      </x:c>
      <x:c r="N31" s="14" t="str">
        <x:v>否</x:v>
      </x:c>
      <x:c r="O31" s="14" t="str">
        <x:v>否</x:v>
      </x:c>
      <x:c r="P31" s="14" t="str">
        <x:v>未提供</x:v>
      </x:c>
      <x:c r="Q31" s="14" t="str">
        <x:v>未提供</x:v>
      </x:c>
      <x:c r="R31" s="14" t="str">
        <x:v>预测</x:v>
      </x:c>
      <x:c r="S31" s="14" t="str">
        <x:v>到站时间为估算值</x:v>
      </x:c>
      <x:c r="T31" t="str">
        <x:v>研究生宿舍楼发车</x:v>
      </x:c>
    </x:row>
    <x:row r="32">
      <x:c r="A32" s="14" t="str">
        <x:v>S0003-05</x:v>
      </x:c>
      <x:c r="B32" s="14" t="str">
        <x:v>S0003</x:v>
      </x:c>
      <x:c r="C32" s="14" t="str">
        <x:v>工作日</x:v>
      </x:c>
      <x:c r="D32" s="14" t="str">
        <x:v>环线1路</x:v>
      </x:c>
      <x:c r="E32" s="14" t="str">
        <x:v>第一班</x:v>
      </x:c>
      <x:c r="F32" s="14" t="n">
        <x:v>3</x:v>
      </x:c>
      <x:c r="G32" s="14" t="str">
        <x:v>8:30</x:v>
      </x:c>
      <x:c r="H32" s="14" t="str">
        <x:v>研究生宿舍楼</x:v>
      </x:c>
      <x:c r="I32" s="14" t="str">
        <x:v>否</x:v>
      </x:c>
      <x:c r="J32" s="14" t="n">
        <x:v>5</x:v>
      </x:c>
      <x:c r="K32" s="14" t="str">
        <x:v>激光所</x:v>
      </x:c>
      <x:c r="L32" s="14" t="n">
        <x:v>5</x:v>
      </x:c>
      <x:c r="M32" s="14" t="str">
        <x:v>08:35</x:v>
      </x:c>
      <x:c r="N32" s="14" t="str">
        <x:v>否</x:v>
      </x:c>
      <x:c r="O32" s="14" t="str">
        <x:v>否</x:v>
      </x:c>
      <x:c r="P32" s="14" t="str">
        <x:v>未提供</x:v>
      </x:c>
      <x:c r="Q32" s="14" t="str">
        <x:v>未提供</x:v>
      </x:c>
      <x:c r="R32" s="14" t="str">
        <x:v>预测</x:v>
      </x:c>
      <x:c r="S32" s="14" t="str">
        <x:v>到站时间为估算值</x:v>
      </x:c>
      <x:c r="T32" t="str">
        <x:v>研究生宿舍楼发车</x:v>
      </x:c>
    </x:row>
    <x:row r="33">
      <x:c r="A33" s="14" t="str">
        <x:v>S0003-06</x:v>
      </x:c>
      <x:c r="B33" s="14" t="str">
        <x:v>S0003</x:v>
      </x:c>
      <x:c r="C33" s="14" t="str">
        <x:v>工作日</x:v>
      </x:c>
      <x:c r="D33" s="14" t="str">
        <x:v>环线1路</x:v>
      </x:c>
      <x:c r="E33" s="14" t="str">
        <x:v>第一班</x:v>
      </x:c>
      <x:c r="F33" s="14" t="n">
        <x:v>3</x:v>
      </x:c>
      <x:c r="G33" s="14" t="str">
        <x:v>8:30</x:v>
      </x:c>
      <x:c r="H33" s="14" t="str">
        <x:v>研究生宿舍楼</x:v>
      </x:c>
      <x:c r="I33" s="14" t="str">
        <x:v>否</x:v>
      </x:c>
      <x:c r="J33" s="14" t="n">
        <x:v>6</x:v>
      </x:c>
      <x:c r="K33" s="14" t="str">
        <x:v>超算中心</x:v>
      </x:c>
      <x:c r="L33" s="14" t="n">
        <x:v>6</x:v>
      </x:c>
      <x:c r="M33" s="14" t="str">
        <x:v>08:36</x:v>
      </x:c>
      <x:c r="N33" s="14" t="str">
        <x:v>否</x:v>
      </x:c>
      <x:c r="O33" s="14" t="str">
        <x:v>否</x:v>
      </x:c>
      <x:c r="P33" s="14" t="str">
        <x:v>未提供</x:v>
      </x:c>
      <x:c r="Q33" s="14" t="str">
        <x:v>未提供</x:v>
      </x:c>
      <x:c r="R33" s="14" t="str">
        <x:v>预测</x:v>
      </x:c>
      <x:c r="S33" s="14" t="str">
        <x:v>到站时间为估算值</x:v>
      </x:c>
      <x:c r="T33" t="str">
        <x:v>研究生宿舍楼发车</x:v>
      </x:c>
    </x:row>
    <x:row r="34">
      <x:c r="A34" s="14" t="str">
        <x:v>S0003-07</x:v>
      </x:c>
      <x:c r="B34" s="14" t="str">
        <x:v>S0003</x:v>
      </x:c>
      <x:c r="C34" s="14" t="str">
        <x:v>工作日</x:v>
      </x:c>
      <x:c r="D34" s="14" t="str">
        <x:v>环线1路</x:v>
      </x:c>
      <x:c r="E34" s="14" t="str">
        <x:v>第一班</x:v>
      </x:c>
      <x:c r="F34" s="14" t="n">
        <x:v>3</x:v>
      </x:c>
      <x:c r="G34" s="14" t="str">
        <x:v>8:30</x:v>
      </x:c>
      <x:c r="H34" s="14" t="str">
        <x:v>研究生宿舍楼</x:v>
      </x:c>
      <x:c r="I34" s="14" t="str">
        <x:v>否</x:v>
      </x:c>
      <x:c r="J34" s="14" t="n">
        <x:v>7</x:v>
      </x:c>
      <x:c r="K34" s="14" t="str">
        <x:v>北门</x:v>
      </x:c>
      <x:c r="L34" s="14" t="n">
        <x:v>8</x:v>
      </x:c>
      <x:c r="M34" s="14" t="str">
        <x:v>08:38</x:v>
      </x:c>
      <x:c r="N34" s="14" t="str">
        <x:v>否</x:v>
      </x:c>
      <x:c r="O34" s="14" t="str">
        <x:v>否</x:v>
      </x:c>
      <x:c r="P34" s="14" t="str">
        <x:v>未提供</x:v>
      </x:c>
      <x:c r="Q34" s="14" t="str">
        <x:v>未提供</x:v>
      </x:c>
      <x:c r="R34" s="14" t="str">
        <x:v>预测</x:v>
      </x:c>
      <x:c r="S34" s="14" t="str">
        <x:v>到站时间为估算值</x:v>
      </x:c>
      <x:c r="T34" t="str">
        <x:v>研究生宿舍楼发车</x:v>
      </x:c>
    </x:row>
    <x:row r="35">
      <x:c r="A35" s="14" t="str">
        <x:v>S0003-08</x:v>
      </x:c>
      <x:c r="B35" s="14" t="str">
        <x:v>S0003</x:v>
      </x:c>
      <x:c r="C35" s="14" t="str">
        <x:v>工作日</x:v>
      </x:c>
      <x:c r="D35" s="14" t="str">
        <x:v>环线1路</x:v>
      </x:c>
      <x:c r="E35" s="14" t="str">
        <x:v>第一班</x:v>
      </x:c>
      <x:c r="F35" s="14" t="n">
        <x:v>3</x:v>
      </x:c>
      <x:c r="G35" s="14" t="str">
        <x:v>8:30</x:v>
      </x:c>
      <x:c r="H35" s="14" t="str">
        <x:v>研究生宿舍楼</x:v>
      </x:c>
      <x:c r="I35" s="14" t="str">
        <x:v>否</x:v>
      </x:c>
      <x:c r="J35" s="14" t="n">
        <x:v>8</x:v>
      </x:c>
      <x:c r="K35" s="14" t="str">
        <x:v>高超楼</x:v>
      </x:c>
      <x:c r="L35" s="14" t="n">
        <x:v>9</x:v>
      </x:c>
      <x:c r="M35" s="14" t="str">
        <x:v>08:39</x:v>
      </x:c>
      <x:c r="N35" s="14" t="str">
        <x:v>否</x:v>
      </x:c>
      <x:c r="O35" s="14" t="str">
        <x:v>否</x:v>
      </x:c>
      <x:c r="P35" s="14" t="str">
        <x:v>未提供</x:v>
      </x:c>
      <x:c r="Q35" s="14" t="str">
        <x:v>未提供</x:v>
      </x:c>
      <x:c r="R35" s="14" t="str">
        <x:v>预测</x:v>
      </x:c>
      <x:c r="S35" s="14" t="str">
        <x:v>到站时间为估算值</x:v>
      </x:c>
      <x:c r="T35" t="str">
        <x:v>研究生宿舍楼发车</x:v>
      </x:c>
    </x:row>
    <x:row r="36">
      <x:c r="A36" s="14" t="str">
        <x:v>S0003-09</x:v>
      </x:c>
      <x:c r="B36" s="14" t="str">
        <x:v>S0003</x:v>
      </x:c>
      <x:c r="C36" s="14" t="str">
        <x:v>工作日</x:v>
      </x:c>
      <x:c r="D36" s="14" t="str">
        <x:v>环线1路</x:v>
      </x:c>
      <x:c r="E36" s="14" t="str">
        <x:v>第一班</x:v>
      </x:c>
      <x:c r="F36" s="14" t="n">
        <x:v>3</x:v>
      </x:c>
      <x:c r="G36" s="14" t="str">
        <x:v>8:30</x:v>
      </x:c>
      <x:c r="H36" s="14" t="str">
        <x:v>研究生宿舍楼</x:v>
      </x:c>
      <x:c r="I36" s="14" t="str">
        <x:v>否</x:v>
      </x:c>
      <x:c r="J36" s="14" t="n">
        <x:v>9</x:v>
      </x:c>
      <x:c r="K36" s="14" t="str">
        <x:v>理学院</x:v>
      </x:c>
      <x:c r="L36" s="14" t="n">
        <x:v>10</x:v>
      </x:c>
      <x:c r="M36" s="14" t="str">
        <x:v>08:40</x:v>
      </x:c>
      <x:c r="N36" s="14" t="str">
        <x:v>否</x:v>
      </x:c>
      <x:c r="O36" s="14" t="str">
        <x:v>否</x:v>
      </x:c>
      <x:c r="P36" s="14" t="str">
        <x:v>未提供</x:v>
      </x:c>
      <x:c r="Q36" s="14" t="str">
        <x:v>未提供</x:v>
      </x:c>
      <x:c r="R36" s="14" t="str">
        <x:v>预测</x:v>
      </x:c>
      <x:c r="S36" s="14" t="str">
        <x:v>到站时间为估算值</x:v>
      </x:c>
      <x:c r="T36" t="str">
        <x:v>研究生宿舍楼发车</x:v>
      </x:c>
    </x:row>
    <x:row r="37">
      <x:c r="A37" s="14" t="str">
        <x:v>S0003-10</x:v>
      </x:c>
      <x:c r="B37" s="14" t="str">
        <x:v>S0003</x:v>
      </x:c>
      <x:c r="C37" s="14" t="str">
        <x:v>工作日</x:v>
      </x:c>
      <x:c r="D37" s="14" t="str">
        <x:v>环线1路</x:v>
      </x:c>
      <x:c r="E37" s="14" t="str">
        <x:v>第一班</x:v>
      </x:c>
      <x:c r="F37" s="14" t="n">
        <x:v>3</x:v>
      </x:c>
      <x:c r="G37" s="14" t="str">
        <x:v>8:30</x:v>
      </x:c>
      <x:c r="H37" s="14" t="str">
        <x:v>研究生宿舍楼</x:v>
      </x:c>
      <x:c r="I37" s="14" t="str">
        <x:v>否</x:v>
      </x:c>
      <x:c r="J37" s="14" t="n">
        <x:v>10</x:v>
      </x:c>
      <x:c r="K37" s="14" t="str">
        <x:v>二食堂</x:v>
      </x:c>
      <x:c r="L37" s="14" t="n">
        <x:v>13</x:v>
      </x:c>
      <x:c r="M37" s="14" t="str">
        <x:v>08:43</x:v>
      </x:c>
      <x:c r="N37" s="14" t="str">
        <x:v>否</x:v>
      </x:c>
      <x:c r="O37" s="14" t="str">
        <x:v>否</x:v>
      </x:c>
      <x:c r="P37" s="14" t="str">
        <x:v>未提供</x:v>
      </x:c>
      <x:c r="Q37" s="14" t="str">
        <x:v>未提供</x:v>
      </x:c>
      <x:c r="R37" s="14" t="str">
        <x:v>预测</x:v>
      </x:c>
      <x:c r="S37" s="14" t="str">
        <x:v>到站时间为估算值</x:v>
      </x:c>
      <x:c r="T37" t="str">
        <x:v>研究生宿舍楼发车</x:v>
      </x:c>
    </x:row>
    <x:row r="38">
      <x:c r="A38" s="14" t="str">
        <x:v>S0003-11</x:v>
      </x:c>
      <x:c r="B38" s="14" t="str">
        <x:v>S0003</x:v>
      </x:c>
      <x:c r="C38" s="14" t="str">
        <x:v>工作日</x:v>
      </x:c>
      <x:c r="D38" s="14" t="str">
        <x:v>环线1路</x:v>
      </x:c>
      <x:c r="E38" s="14" t="str">
        <x:v>第一班</x:v>
      </x:c>
      <x:c r="F38" s="14" t="n">
        <x:v>3</x:v>
      </x:c>
      <x:c r="G38" s="14" t="str">
        <x:v>8:30</x:v>
      </x:c>
      <x:c r="H38" s="14" t="str">
        <x:v>研究生宿舍楼</x:v>
      </x:c>
      <x:c r="I38" s="14" t="str">
        <x:v>否</x:v>
      </x:c>
      <x:c r="J38" s="14" t="n">
        <x:v>11</x:v>
      </x:c>
      <x:c r="K38" s="14" t="str">
        <x:v>5号宿舍楼</x:v>
      </x:c>
      <x:c r="L38" s="14" t="n">
        <x:v>14</x:v>
      </x:c>
      <x:c r="M38" s="14" t="str">
        <x:v>08:44</x:v>
      </x:c>
      <x:c r="N38" s="14" t="str">
        <x:v>否</x:v>
      </x:c>
      <x:c r="O38" s="14" t="str">
        <x:v>否</x:v>
      </x:c>
      <x:c r="P38" s="14" t="str">
        <x:v>未提供</x:v>
      </x:c>
      <x:c r="Q38" s="14" t="str">
        <x:v>未提供</x:v>
      </x:c>
      <x:c r="R38" s="14" t="str">
        <x:v>预测</x:v>
      </x:c>
      <x:c r="S38" s="14" t="str">
        <x:v>到站时间为估算值</x:v>
      </x:c>
      <x:c r="T38" t="str">
        <x:v>研究生宿舍楼发车</x:v>
      </x:c>
    </x:row>
    <x:row r="39">
      <x:c r="A39" s="14" t="str">
        <x:v>S0003-12</x:v>
      </x:c>
      <x:c r="B39" s="14" t="str">
        <x:v>S0003</x:v>
      </x:c>
      <x:c r="C39" s="14" t="str">
        <x:v>工作日</x:v>
      </x:c>
      <x:c r="D39" s="14" t="str">
        <x:v>环线1路</x:v>
      </x:c>
      <x:c r="E39" s="14" t="str">
        <x:v>第一班</x:v>
      </x:c>
      <x:c r="F39" s="14" t="n">
        <x:v>3</x:v>
      </x:c>
      <x:c r="G39" s="14" t="str">
        <x:v>8:30</x:v>
      </x:c>
      <x:c r="H39" s="14" t="str">
        <x:v>研究生宿舍楼</x:v>
      </x:c>
      <x:c r="I39" s="14" t="str">
        <x:v>否</x:v>
      </x:c>
      <x:c r="J39" s="14" t="n">
        <x:v>12</x:v>
      </x:c>
      <x:c r="K39" s="14" t="str">
        <x:v>305教学楼</x:v>
      </x:c>
      <x:c r="L39" s="14" t="n">
        <x:v>15</x:v>
      </x:c>
      <x:c r="M39" s="14" t="str">
        <x:v>08:45</x:v>
      </x:c>
      <x:c r="N39" s="14" t="str">
        <x:v>否</x:v>
      </x:c>
      <x:c r="O39" s="14" t="str">
        <x:v>否</x:v>
      </x:c>
      <x:c r="P39" s="14" t="str">
        <x:v>未提供</x:v>
      </x:c>
      <x:c r="Q39" s="14" t="str">
        <x:v>未提供</x:v>
      </x:c>
      <x:c r="R39" s="14" t="str">
        <x:v>预测</x:v>
      </x:c>
      <x:c r="S39" s="14" t="str">
        <x:v>到站时间为估算值</x:v>
      </x:c>
      <x:c r="T39" t="str">
        <x:v>研究生宿舍楼发车</x:v>
      </x:c>
    </x:row>
    <x:row r="40">
      <x:c r="A40" s="14" t="str">
        <x:v>S0003-13</x:v>
      </x:c>
      <x:c r="B40" s="14" t="str">
        <x:v>S0003</x:v>
      </x:c>
      <x:c r="C40" s="14" t="str">
        <x:v>工作日</x:v>
      </x:c>
      <x:c r="D40" s="14" t="str">
        <x:v>环线1路</x:v>
      </x:c>
      <x:c r="E40" s="14" t="str">
        <x:v>第一班</x:v>
      </x:c>
      <x:c r="F40" s="14" t="n">
        <x:v>3</x:v>
      </x:c>
      <x:c r="G40" s="14" t="str">
        <x:v>8:30</x:v>
      </x:c>
      <x:c r="H40" s="14" t="str">
        <x:v>研究生宿舍楼</x:v>
      </x:c>
      <x:c r="I40" s="14" t="str">
        <x:v>否</x:v>
      </x:c>
      <x:c r="J40" s="14" t="n">
        <x:v>13</x:v>
      </x:c>
      <x:c r="K40" s="14" t="str">
        <x:v>研究生宿舍楼</x:v>
      </x:c>
      <x:c r="L40" s="14" t="n">
        <x:v>17</x:v>
      </x:c>
      <x:c r="M40" s="14" t="str">
        <x:v>08:47</x:v>
      </x:c>
      <x:c r="N40" s="14" t="str">
        <x:v>否</x:v>
      </x:c>
      <x:c r="O40" s="14" t="str">
        <x:v>是</x:v>
      </x:c>
      <x:c r="P40" s="14" t="str">
        <x:v>未提供</x:v>
      </x:c>
      <x:c r="Q40" s="14" t="str">
        <x:v>未提供</x:v>
      </x:c>
      <x:c r="R40" s="14" t="str">
        <x:v>预测</x:v>
      </x:c>
      <x:c r="S40" s="14" t="str">
        <x:v>到站时间为估算值</x:v>
      </x:c>
      <x:c r="T40" t="str">
        <x:v>研究生宿舍楼发车</x:v>
      </x:c>
    </x:row>
    <x:row r="41">
      <x:c r="A41" s="14" t="str">
        <x:v>S0004-01</x:v>
      </x:c>
      <x:c r="B41" s="14" t="str">
        <x:v>S0004</x:v>
      </x:c>
      <x:c r="C41" s="14" t="str">
        <x:v>工作日</x:v>
      </x:c>
      <x:c r="D41" s="14" t="str">
        <x:v>环线1路</x:v>
      </x:c>
      <x:c r="E41" s="14" t="str">
        <x:v>第一班</x:v>
      </x:c>
      <x:c r="F41" s="14" t="n">
        <x:v>4</x:v>
      </x:c>
      <x:c r="G41" s="14" t="str">
        <x:v>9:00</x:v>
      </x:c>
      <x:c r="H41" s="14" t="str">
        <x:v>研究生宿舍楼</x:v>
      </x:c>
      <x:c r="I41" s="14" t="str">
        <x:v>否</x:v>
      </x:c>
      <x:c r="J41" s="14" t="n">
        <x:v>1</x:v>
      </x:c>
      <x:c r="K41" s="14" t="str">
        <x:v>研究生宿舍楼</x:v>
      </x:c>
      <x:c r="L41" s="14" t="n">
        <x:v>0</x:v>
      </x:c>
      <x:c r="M41" s="14" t="str">
        <x:v>09:00</x:v>
      </x:c>
      <x:c r="N41" s="14" t="str">
        <x:v>是</x:v>
      </x:c>
      <x:c r="O41" s="14" t="str">
        <x:v>否</x:v>
      </x:c>
      <x:c r="P41" s="14" t="str">
        <x:v>未提供</x:v>
      </x:c>
      <x:c r="Q41" s="14" t="str">
        <x:v>未提供</x:v>
      </x:c>
      <x:c r="R41" s="14" t="str">
        <x:v>预测</x:v>
      </x:c>
      <x:c r="S41" s="14" t="str">
        <x:v>到站时间为估算值</x:v>
      </x:c>
      <x:c r="T41" t="str">
        <x:v>研究生宿舍楼发车</x:v>
      </x:c>
    </x:row>
    <x:row r="42">
      <x:c r="A42" s="14" t="str">
        <x:v>S0004-02</x:v>
      </x:c>
      <x:c r="B42" s="14" t="str">
        <x:v>S0004</x:v>
      </x:c>
      <x:c r="C42" s="14" t="str">
        <x:v>工作日</x:v>
      </x:c>
      <x:c r="D42" s="14" t="str">
        <x:v>环线1路</x:v>
      </x:c>
      <x:c r="E42" s="14" t="str">
        <x:v>第一班</x:v>
      </x:c>
      <x:c r="F42" s="14" t="n">
        <x:v>4</x:v>
      </x:c>
      <x:c r="G42" s="14" t="str">
        <x:v>9:00</x:v>
      </x:c>
      <x:c r="H42" s="14" t="str">
        <x:v>研究生宿舍楼</x:v>
      </x:c>
      <x:c r="I42" s="14" t="str">
        <x:v>否</x:v>
      </x:c>
      <x:c r="J42" s="14" t="n">
        <x:v>2</x:v>
      </x:c>
      <x:c r="K42" s="14" t="str">
        <x:v>东门</x:v>
      </x:c>
      <x:c r="L42" s="14" t="n">
        <x:v>1</x:v>
      </x:c>
      <x:c r="M42" s="14" t="str">
        <x:v>09:01</x:v>
      </x:c>
      <x:c r="N42" s="14" t="str">
        <x:v>否</x:v>
      </x:c>
      <x:c r="O42" s="14" t="str">
        <x:v>否</x:v>
      </x:c>
      <x:c r="P42" s="14" t="str">
        <x:v>未提供</x:v>
      </x:c>
      <x:c r="Q42" s="14" t="str">
        <x:v>未提供</x:v>
      </x:c>
      <x:c r="R42" s="14" t="str">
        <x:v>预测</x:v>
      </x:c>
      <x:c r="S42" s="14" t="str">
        <x:v>到站时间为估算值</x:v>
      </x:c>
      <x:c r="T42" t="str">
        <x:v>研究生宿舍楼发车</x:v>
      </x:c>
    </x:row>
    <x:row r="43">
      <x:c r="A43" s="14" t="str">
        <x:v>S0004-03</x:v>
      </x:c>
      <x:c r="B43" s="14" t="str">
        <x:v>S0004</x:v>
      </x:c>
      <x:c r="C43" s="14" t="str">
        <x:v>工作日</x:v>
      </x:c>
      <x:c r="D43" s="14" t="str">
        <x:v>环线1路</x:v>
      </x:c>
      <x:c r="E43" s="14" t="str">
        <x:v>第一班</x:v>
      </x:c>
      <x:c r="F43" s="14" t="n">
        <x:v>4</x:v>
      </x:c>
      <x:c r="G43" s="14" t="str">
        <x:v>9:00</x:v>
      </x:c>
      <x:c r="H43" s="14" t="str">
        <x:v>研究生宿舍楼</x:v>
      </x:c>
      <x:c r="I43" s="14" t="str">
        <x:v>否</x:v>
      </x:c>
      <x:c r="J43" s="14" t="n">
        <x:v>3</x:v>
      </x:c>
      <x:c r="K43" s="14" t="str">
        <x:v>2号宿舍楼</x:v>
      </x:c>
      <x:c r="L43" s="14" t="n">
        <x:v>2</x:v>
      </x:c>
      <x:c r="M43" s="14" t="str">
        <x:v>09:02</x:v>
      </x:c>
      <x:c r="N43" s="14" t="str">
        <x:v>否</x:v>
      </x:c>
      <x:c r="O43" s="14" t="str">
        <x:v>否</x:v>
      </x:c>
      <x:c r="P43" s="14" t="str">
        <x:v>未提供</x:v>
      </x:c>
      <x:c r="Q43" s="14" t="str">
        <x:v>未提供</x:v>
      </x:c>
      <x:c r="R43" s="14" t="str">
        <x:v>预测</x:v>
      </x:c>
      <x:c r="S43" s="14" t="str">
        <x:v>到站时间为估算值</x:v>
      </x:c>
      <x:c r="T43" t="str">
        <x:v>研究生宿舍楼发车</x:v>
      </x:c>
    </x:row>
    <x:row r="44">
      <x:c r="A44" s="14" t="str">
        <x:v>S0004-04</x:v>
      </x:c>
      <x:c r="B44" s="14" t="str">
        <x:v>S0004</x:v>
      </x:c>
      <x:c r="C44" s="14" t="str">
        <x:v>工作日</x:v>
      </x:c>
      <x:c r="D44" s="14" t="str">
        <x:v>环线1路</x:v>
      </x:c>
      <x:c r="E44" s="14" t="str">
        <x:v>第一班</x:v>
      </x:c>
      <x:c r="F44" s="14" t="n">
        <x:v>4</x:v>
      </x:c>
      <x:c r="G44" s="14" t="str">
        <x:v>9:00</x:v>
      </x:c>
      <x:c r="H44" s="14" t="str">
        <x:v>研究生宿舍楼</x:v>
      </x:c>
      <x:c r="I44" s="14" t="str">
        <x:v>否</x:v>
      </x:c>
      <x:c r="J44" s="14" t="n">
        <x:v>4</x:v>
      </x:c>
      <x:c r="K44" s="14" t="str">
        <x:v>军体活动中心</x:v>
      </x:c>
      <x:c r="L44" s="14" t="n">
        <x:v>3</x:v>
      </x:c>
      <x:c r="M44" s="14" t="str">
        <x:v>09:03</x:v>
      </x:c>
      <x:c r="N44" s="14" t="str">
        <x:v>否</x:v>
      </x:c>
      <x:c r="O44" s="14" t="str">
        <x:v>否</x:v>
      </x:c>
      <x:c r="P44" s="14" t="str">
        <x:v>未提供</x:v>
      </x:c>
      <x:c r="Q44" s="14" t="str">
        <x:v>未提供</x:v>
      </x:c>
      <x:c r="R44" s="14" t="str">
        <x:v>预测</x:v>
      </x:c>
      <x:c r="S44" s="14" t="str">
        <x:v>到站时间为估算值</x:v>
      </x:c>
      <x:c r="T44" t="str">
        <x:v>研究生宿舍楼发车</x:v>
      </x:c>
    </x:row>
    <x:row r="45">
      <x:c r="A45" s="14" t="str">
        <x:v>S0004-05</x:v>
      </x:c>
      <x:c r="B45" s="14" t="str">
        <x:v>S0004</x:v>
      </x:c>
      <x:c r="C45" s="14" t="str">
        <x:v>工作日</x:v>
      </x:c>
      <x:c r="D45" s="14" t="str">
        <x:v>环线1路</x:v>
      </x:c>
      <x:c r="E45" s="14" t="str">
        <x:v>第一班</x:v>
      </x:c>
      <x:c r="F45" s="14" t="n">
        <x:v>4</x:v>
      </x:c>
      <x:c r="G45" s="14" t="str">
        <x:v>9:00</x:v>
      </x:c>
      <x:c r="H45" s="14" t="str">
        <x:v>研究生宿舍楼</x:v>
      </x:c>
      <x:c r="I45" s="14" t="str">
        <x:v>否</x:v>
      </x:c>
      <x:c r="J45" s="14" t="n">
        <x:v>5</x:v>
      </x:c>
      <x:c r="K45" s="14" t="str">
        <x:v>激光所</x:v>
      </x:c>
      <x:c r="L45" s="14" t="n">
        <x:v>5</x:v>
      </x:c>
      <x:c r="M45" s="14" t="str">
        <x:v>09:05</x:v>
      </x:c>
      <x:c r="N45" s="14" t="str">
        <x:v>否</x:v>
      </x:c>
      <x:c r="O45" s="14" t="str">
        <x:v>否</x:v>
      </x:c>
      <x:c r="P45" s="14" t="str">
        <x:v>未提供</x:v>
      </x:c>
      <x:c r="Q45" s="14" t="str">
        <x:v>未提供</x:v>
      </x:c>
      <x:c r="R45" s="14" t="str">
        <x:v>预测</x:v>
      </x:c>
      <x:c r="S45" s="14" t="str">
        <x:v>到站时间为估算值</x:v>
      </x:c>
      <x:c r="T45" t="str">
        <x:v>研究生宿舍楼发车</x:v>
      </x:c>
    </x:row>
    <x:row r="46">
      <x:c r="A46" s="14" t="str">
        <x:v>S0004-06</x:v>
      </x:c>
      <x:c r="B46" s="14" t="str">
        <x:v>S0004</x:v>
      </x:c>
      <x:c r="C46" s="14" t="str">
        <x:v>工作日</x:v>
      </x:c>
      <x:c r="D46" s="14" t="str">
        <x:v>环线1路</x:v>
      </x:c>
      <x:c r="E46" s="14" t="str">
        <x:v>第一班</x:v>
      </x:c>
      <x:c r="F46" s="14" t="n">
        <x:v>4</x:v>
      </x:c>
      <x:c r="G46" s="14" t="str">
        <x:v>9:00</x:v>
      </x:c>
      <x:c r="H46" s="14" t="str">
        <x:v>研究生宿舍楼</x:v>
      </x:c>
      <x:c r="I46" s="14" t="str">
        <x:v>否</x:v>
      </x:c>
      <x:c r="J46" s="14" t="n">
        <x:v>6</x:v>
      </x:c>
      <x:c r="K46" s="14" t="str">
        <x:v>超算中心</x:v>
      </x:c>
      <x:c r="L46" s="14" t="n">
        <x:v>6</x:v>
      </x:c>
      <x:c r="M46" s="14" t="str">
        <x:v>09:06</x:v>
      </x:c>
      <x:c r="N46" s="14" t="str">
        <x:v>否</x:v>
      </x:c>
      <x:c r="O46" s="14" t="str">
        <x:v>否</x:v>
      </x:c>
      <x:c r="P46" s="14" t="str">
        <x:v>未提供</x:v>
      </x:c>
      <x:c r="Q46" s="14" t="str">
        <x:v>未提供</x:v>
      </x:c>
      <x:c r="R46" s="14" t="str">
        <x:v>预测</x:v>
      </x:c>
      <x:c r="S46" s="14" t="str">
        <x:v>到站时间为估算值</x:v>
      </x:c>
      <x:c r="T46" t="str">
        <x:v>研究生宿舍楼发车</x:v>
      </x:c>
    </x:row>
    <x:row r="47">
      <x:c r="A47" s="14" t="str">
        <x:v>S0004-07</x:v>
      </x:c>
      <x:c r="B47" s="14" t="str">
        <x:v>S0004</x:v>
      </x:c>
      <x:c r="C47" s="14" t="str">
        <x:v>工作日</x:v>
      </x:c>
      <x:c r="D47" s="14" t="str">
        <x:v>环线1路</x:v>
      </x:c>
      <x:c r="E47" s="14" t="str">
        <x:v>第一班</x:v>
      </x:c>
      <x:c r="F47" s="14" t="n">
        <x:v>4</x:v>
      </x:c>
      <x:c r="G47" s="14" t="str">
        <x:v>9:00</x:v>
      </x:c>
      <x:c r="H47" s="14" t="str">
        <x:v>研究生宿舍楼</x:v>
      </x:c>
      <x:c r="I47" s="14" t="str">
        <x:v>否</x:v>
      </x:c>
      <x:c r="J47" s="14" t="n">
        <x:v>7</x:v>
      </x:c>
      <x:c r="K47" s="14" t="str">
        <x:v>北门</x:v>
      </x:c>
      <x:c r="L47" s="14" t="n">
        <x:v>8</x:v>
      </x:c>
      <x:c r="M47" s="14" t="str">
        <x:v>09:08</x:v>
      </x:c>
      <x:c r="N47" s="14" t="str">
        <x:v>否</x:v>
      </x:c>
      <x:c r="O47" s="14" t="str">
        <x:v>否</x:v>
      </x:c>
      <x:c r="P47" s="14" t="str">
        <x:v>未提供</x:v>
      </x:c>
      <x:c r="Q47" s="14" t="str">
        <x:v>未提供</x:v>
      </x:c>
      <x:c r="R47" s="14" t="str">
        <x:v>预测</x:v>
      </x:c>
      <x:c r="S47" s="14" t="str">
        <x:v>到站时间为估算值</x:v>
      </x:c>
      <x:c r="T47" t="str">
        <x:v>研究生宿舍楼发车</x:v>
      </x:c>
    </x:row>
    <x:row r="48">
      <x:c r="A48" s="14" t="str">
        <x:v>S0004-08</x:v>
      </x:c>
      <x:c r="B48" s="14" t="str">
        <x:v>S0004</x:v>
      </x:c>
      <x:c r="C48" s="14" t="str">
        <x:v>工作日</x:v>
      </x:c>
      <x:c r="D48" s="14" t="str">
        <x:v>环线1路</x:v>
      </x:c>
      <x:c r="E48" s="14" t="str">
        <x:v>第一班</x:v>
      </x:c>
      <x:c r="F48" s="14" t="n">
        <x:v>4</x:v>
      </x:c>
      <x:c r="G48" s="14" t="str">
        <x:v>9:00</x:v>
      </x:c>
      <x:c r="H48" s="14" t="str">
        <x:v>研究生宿舍楼</x:v>
      </x:c>
      <x:c r="I48" s="14" t="str">
        <x:v>否</x:v>
      </x:c>
      <x:c r="J48" s="14" t="n">
        <x:v>8</x:v>
      </x:c>
      <x:c r="K48" s="14" t="str">
        <x:v>高超楼</x:v>
      </x:c>
      <x:c r="L48" s="14" t="n">
        <x:v>9</x:v>
      </x:c>
      <x:c r="M48" s="14" t="str">
        <x:v>09:09</x:v>
      </x:c>
      <x:c r="N48" s="14" t="str">
        <x:v>否</x:v>
      </x:c>
      <x:c r="O48" s="14" t="str">
        <x:v>否</x:v>
      </x:c>
      <x:c r="P48" s="14" t="str">
        <x:v>未提供</x:v>
      </x:c>
      <x:c r="Q48" s="14" t="str">
        <x:v>未提供</x:v>
      </x:c>
      <x:c r="R48" s="14" t="str">
        <x:v>预测</x:v>
      </x:c>
      <x:c r="S48" s="14" t="str">
        <x:v>到站时间为估算值</x:v>
      </x:c>
      <x:c r="T48" t="str">
        <x:v>研究生宿舍楼发车</x:v>
      </x:c>
    </x:row>
    <x:row r="49">
      <x:c r="A49" s="14" t="str">
        <x:v>S0004-09</x:v>
      </x:c>
      <x:c r="B49" s="14" t="str">
        <x:v>S0004</x:v>
      </x:c>
      <x:c r="C49" s="14" t="str">
        <x:v>工作日</x:v>
      </x:c>
      <x:c r="D49" s="14" t="str">
        <x:v>环线1路</x:v>
      </x:c>
      <x:c r="E49" s="14" t="str">
        <x:v>第一班</x:v>
      </x:c>
      <x:c r="F49" s="14" t="n">
        <x:v>4</x:v>
      </x:c>
      <x:c r="G49" s="14" t="str">
        <x:v>9:00</x:v>
      </x:c>
      <x:c r="H49" s="14" t="str">
        <x:v>研究生宿舍楼</x:v>
      </x:c>
      <x:c r="I49" s="14" t="str">
        <x:v>否</x:v>
      </x:c>
      <x:c r="J49" s="14" t="n">
        <x:v>9</x:v>
      </x:c>
      <x:c r="K49" s="14" t="str">
        <x:v>理学院</x:v>
      </x:c>
      <x:c r="L49" s="14" t="n">
        <x:v>10</x:v>
      </x:c>
      <x:c r="M49" s="14" t="str">
        <x:v>09:10</x:v>
      </x:c>
      <x:c r="N49" s="14" t="str">
        <x:v>否</x:v>
      </x:c>
      <x:c r="O49" s="14" t="str">
        <x:v>否</x:v>
      </x:c>
      <x:c r="P49" s="14" t="str">
        <x:v>未提供</x:v>
      </x:c>
      <x:c r="Q49" s="14" t="str">
        <x:v>未提供</x:v>
      </x:c>
      <x:c r="R49" s="14" t="str">
        <x:v>预测</x:v>
      </x:c>
      <x:c r="S49" s="14" t="str">
        <x:v>到站时间为估算值</x:v>
      </x:c>
      <x:c r="T49" t="str">
        <x:v>研究生宿舍楼发车</x:v>
      </x:c>
    </x:row>
    <x:row r="50">
      <x:c r="A50" s="14" t="str">
        <x:v>S0004-10</x:v>
      </x:c>
      <x:c r="B50" s="14" t="str">
        <x:v>S0004</x:v>
      </x:c>
      <x:c r="C50" s="14" t="str">
        <x:v>工作日</x:v>
      </x:c>
      <x:c r="D50" s="14" t="str">
        <x:v>环线1路</x:v>
      </x:c>
      <x:c r="E50" s="14" t="str">
        <x:v>第一班</x:v>
      </x:c>
      <x:c r="F50" s="14" t="n">
        <x:v>4</x:v>
      </x:c>
      <x:c r="G50" s="14" t="str">
        <x:v>9:00</x:v>
      </x:c>
      <x:c r="H50" s="14" t="str">
        <x:v>研究生宿舍楼</x:v>
      </x:c>
      <x:c r="I50" s="14" t="str">
        <x:v>否</x:v>
      </x:c>
      <x:c r="J50" s="14" t="n">
        <x:v>10</x:v>
      </x:c>
      <x:c r="K50" s="14" t="str">
        <x:v>二食堂</x:v>
      </x:c>
      <x:c r="L50" s="14" t="n">
        <x:v>13</x:v>
      </x:c>
      <x:c r="M50" s="14" t="str">
        <x:v>09:13</x:v>
      </x:c>
      <x:c r="N50" s="14" t="str">
        <x:v>否</x:v>
      </x:c>
      <x:c r="O50" s="14" t="str">
        <x:v>否</x:v>
      </x:c>
      <x:c r="P50" s="14" t="str">
        <x:v>未提供</x:v>
      </x:c>
      <x:c r="Q50" s="14" t="str">
        <x:v>未提供</x:v>
      </x:c>
      <x:c r="R50" s="14" t="str">
        <x:v>预测</x:v>
      </x:c>
      <x:c r="S50" s="14" t="str">
        <x:v>到站时间为估算值</x:v>
      </x:c>
      <x:c r="T50" t="str">
        <x:v>研究生宿舍楼发车</x:v>
      </x:c>
    </x:row>
    <x:row r="51">
      <x:c r="A51" s="14" t="str">
        <x:v>S0004-11</x:v>
      </x:c>
      <x:c r="B51" s="14" t="str">
        <x:v>S0004</x:v>
      </x:c>
      <x:c r="C51" s="14" t="str">
        <x:v>工作日</x:v>
      </x:c>
      <x:c r="D51" s="14" t="str">
        <x:v>环线1路</x:v>
      </x:c>
      <x:c r="E51" s="14" t="str">
        <x:v>第一班</x:v>
      </x:c>
      <x:c r="F51" s="14" t="n">
        <x:v>4</x:v>
      </x:c>
      <x:c r="G51" s="14" t="str">
        <x:v>9:00</x:v>
      </x:c>
      <x:c r="H51" s="14" t="str">
        <x:v>研究生宿舍楼</x:v>
      </x:c>
      <x:c r="I51" s="14" t="str">
        <x:v>否</x:v>
      </x:c>
      <x:c r="J51" s="14" t="n">
        <x:v>11</x:v>
      </x:c>
      <x:c r="K51" s="14" t="str">
        <x:v>5号宿舍楼</x:v>
      </x:c>
      <x:c r="L51" s="14" t="n">
        <x:v>14</x:v>
      </x:c>
      <x:c r="M51" s="14" t="str">
        <x:v>09:14</x:v>
      </x:c>
      <x:c r="N51" s="14" t="str">
        <x:v>否</x:v>
      </x:c>
      <x:c r="O51" s="14" t="str">
        <x:v>否</x:v>
      </x:c>
      <x:c r="P51" s="14" t="str">
        <x:v>未提供</x:v>
      </x:c>
      <x:c r="Q51" s="14" t="str">
        <x:v>未提供</x:v>
      </x:c>
      <x:c r="R51" s="14" t="str">
        <x:v>预测</x:v>
      </x:c>
      <x:c r="S51" s="14" t="str">
        <x:v>到站时间为估算值</x:v>
      </x:c>
      <x:c r="T51" t="str">
        <x:v>研究生宿舍楼发车</x:v>
      </x:c>
    </x:row>
    <x:row r="52">
      <x:c r="A52" s="14" t="str">
        <x:v>S0004-12</x:v>
      </x:c>
      <x:c r="B52" s="14" t="str">
        <x:v>S0004</x:v>
      </x:c>
      <x:c r="C52" s="14" t="str">
        <x:v>工作日</x:v>
      </x:c>
      <x:c r="D52" s="14" t="str">
        <x:v>环线1路</x:v>
      </x:c>
      <x:c r="E52" s="14" t="str">
        <x:v>第一班</x:v>
      </x:c>
      <x:c r="F52" s="14" t="n">
        <x:v>4</x:v>
      </x:c>
      <x:c r="G52" s="14" t="str">
        <x:v>9:00</x:v>
      </x:c>
      <x:c r="H52" s="14" t="str">
        <x:v>研究生宿舍楼</x:v>
      </x:c>
      <x:c r="I52" s="14" t="str">
        <x:v>否</x:v>
      </x:c>
      <x:c r="J52" s="14" t="n">
        <x:v>12</x:v>
      </x:c>
      <x:c r="K52" s="14" t="str">
        <x:v>305教学楼</x:v>
      </x:c>
      <x:c r="L52" s="14" t="n">
        <x:v>15</x:v>
      </x:c>
      <x:c r="M52" s="14" t="str">
        <x:v>09:15</x:v>
      </x:c>
      <x:c r="N52" s="14" t="str">
        <x:v>否</x:v>
      </x:c>
      <x:c r="O52" s="14" t="str">
        <x:v>否</x:v>
      </x:c>
      <x:c r="P52" s="14" t="str">
        <x:v>未提供</x:v>
      </x:c>
      <x:c r="Q52" s="14" t="str">
        <x:v>未提供</x:v>
      </x:c>
      <x:c r="R52" s="14" t="str">
        <x:v>预测</x:v>
      </x:c>
      <x:c r="S52" s="14" t="str">
        <x:v>到站时间为估算值</x:v>
      </x:c>
      <x:c r="T52" t="str">
        <x:v>研究生宿舍楼发车</x:v>
      </x:c>
    </x:row>
    <x:row r="53">
      <x:c r="A53" s="14" t="str">
        <x:v>S0004-13</x:v>
      </x:c>
      <x:c r="B53" s="14" t="str">
        <x:v>S0004</x:v>
      </x:c>
      <x:c r="C53" s="14" t="str">
        <x:v>工作日</x:v>
      </x:c>
      <x:c r="D53" s="14" t="str">
        <x:v>环线1路</x:v>
      </x:c>
      <x:c r="E53" s="14" t="str">
        <x:v>第一班</x:v>
      </x:c>
      <x:c r="F53" s="14" t="n">
        <x:v>4</x:v>
      </x:c>
      <x:c r="G53" s="14" t="str">
        <x:v>9:00</x:v>
      </x:c>
      <x:c r="H53" s="14" t="str">
        <x:v>研究生宿舍楼</x:v>
      </x:c>
      <x:c r="I53" s="14" t="str">
        <x:v>否</x:v>
      </x:c>
      <x:c r="J53" s="14" t="n">
        <x:v>13</x:v>
      </x:c>
      <x:c r="K53" s="14" t="str">
        <x:v>研究生宿舍楼</x:v>
      </x:c>
      <x:c r="L53" s="14" t="n">
        <x:v>17</x:v>
      </x:c>
      <x:c r="M53" s="14" t="str">
        <x:v>09:17</x:v>
      </x:c>
      <x:c r="N53" s="14" t="str">
        <x:v>否</x:v>
      </x:c>
      <x:c r="O53" s="14" t="str">
        <x:v>是</x:v>
      </x:c>
      <x:c r="P53" s="14" t="str">
        <x:v>未提供</x:v>
      </x:c>
      <x:c r="Q53" s="14" t="str">
        <x:v>未提供</x:v>
      </x:c>
      <x:c r="R53" s="14" t="str">
        <x:v>预测</x:v>
      </x:c>
      <x:c r="S53" s="14" t="str">
        <x:v>到站时间为估算值</x:v>
      </x:c>
      <x:c r="T53" t="str">
        <x:v>研究生宿舍楼发车</x:v>
      </x:c>
    </x:row>
    <x:row r="54">
      <x:c r="A54" s="14" t="str">
        <x:v>S0005-01</x:v>
      </x:c>
      <x:c r="B54" s="14" t="str">
        <x:v>S0005</x:v>
      </x:c>
      <x:c r="C54" s="14" t="str">
        <x:v>工作日</x:v>
      </x:c>
      <x:c r="D54" s="14" t="str">
        <x:v>环线1路</x:v>
      </x:c>
      <x:c r="E54" s="14" t="str">
        <x:v>第一班</x:v>
      </x:c>
      <x:c r="F54" s="14" t="n">
        <x:v>5</x:v>
      </x:c>
      <x:c r="G54" s="14" t="str">
        <x:v>9:36</x:v>
      </x:c>
      <x:c r="H54" s="14" t="str">
        <x:v>研究生宿舍楼</x:v>
      </x:c>
      <x:c r="I54" s="14" t="str">
        <x:v>否</x:v>
      </x:c>
      <x:c r="J54" s="14" t="n">
        <x:v>1</x:v>
      </x:c>
      <x:c r="K54" s="14" t="str">
        <x:v>研究生宿舍楼</x:v>
      </x:c>
      <x:c r="L54" s="14" t="n">
        <x:v>0</x:v>
      </x:c>
      <x:c r="M54" s="14" t="str">
        <x:v>09:36</x:v>
      </x:c>
      <x:c r="N54" s="14" t="str">
        <x:v>是</x:v>
      </x:c>
      <x:c r="O54" s="14" t="str">
        <x:v>否</x:v>
      </x:c>
      <x:c r="P54" s="14" t="str">
        <x:v>未提供</x:v>
      </x:c>
      <x:c r="Q54" s="14" t="str">
        <x:v>未提供</x:v>
      </x:c>
      <x:c r="R54" s="14" t="str">
        <x:v>预测</x:v>
      </x:c>
      <x:c r="S54" s="14" t="str">
        <x:v>到站时间为估算值</x:v>
      </x:c>
      <x:c r="T54" t="str">
        <x:v>研究生宿舍楼发车</x:v>
      </x:c>
    </x:row>
    <x:row r="55">
      <x:c r="A55" s="14" t="str">
        <x:v>S0005-02</x:v>
      </x:c>
      <x:c r="B55" s="14" t="str">
        <x:v>S0005</x:v>
      </x:c>
      <x:c r="C55" s="14" t="str">
        <x:v>工作日</x:v>
      </x:c>
      <x:c r="D55" s="14" t="str">
        <x:v>环线1路</x:v>
      </x:c>
      <x:c r="E55" s="14" t="str">
        <x:v>第一班</x:v>
      </x:c>
      <x:c r="F55" s="14" t="n">
        <x:v>5</x:v>
      </x:c>
      <x:c r="G55" s="14" t="str">
        <x:v>9:36</x:v>
      </x:c>
      <x:c r="H55" s="14" t="str">
        <x:v>研究生宿舍楼</x:v>
      </x:c>
      <x:c r="I55" s="14" t="str">
        <x:v>否</x:v>
      </x:c>
      <x:c r="J55" s="14" t="n">
        <x:v>2</x:v>
      </x:c>
      <x:c r="K55" s="14" t="str">
        <x:v>东门</x:v>
      </x:c>
      <x:c r="L55" s="14" t="n">
        <x:v>1</x:v>
      </x:c>
      <x:c r="M55" s="14" t="str">
        <x:v>09:37</x:v>
      </x:c>
      <x:c r="N55" s="14" t="str">
        <x:v>否</x:v>
      </x:c>
      <x:c r="O55" s="14" t="str">
        <x:v>否</x:v>
      </x:c>
      <x:c r="P55" s="14" t="str">
        <x:v>未提供</x:v>
      </x:c>
      <x:c r="Q55" s="14" t="str">
        <x:v>未提供</x:v>
      </x:c>
      <x:c r="R55" s="14" t="str">
        <x:v>预测</x:v>
      </x:c>
      <x:c r="S55" s="14" t="str">
        <x:v>到站时间为估算值</x:v>
      </x:c>
      <x:c r="T55" t="str">
        <x:v>研究生宿舍楼发车</x:v>
      </x:c>
    </x:row>
    <x:row r="56">
      <x:c r="A56" s="14" t="str">
        <x:v>S0005-03</x:v>
      </x:c>
      <x:c r="B56" s="14" t="str">
        <x:v>S0005</x:v>
      </x:c>
      <x:c r="C56" s="14" t="str">
        <x:v>工作日</x:v>
      </x:c>
      <x:c r="D56" s="14" t="str">
        <x:v>环线1路</x:v>
      </x:c>
      <x:c r="E56" s="14" t="str">
        <x:v>第一班</x:v>
      </x:c>
      <x:c r="F56" s="14" t="n">
        <x:v>5</x:v>
      </x:c>
      <x:c r="G56" s="14" t="str">
        <x:v>9:36</x:v>
      </x:c>
      <x:c r="H56" s="14" t="str">
        <x:v>研究生宿舍楼</x:v>
      </x:c>
      <x:c r="I56" s="14" t="str">
        <x:v>否</x:v>
      </x:c>
      <x:c r="J56" s="14" t="n">
        <x:v>3</x:v>
      </x:c>
      <x:c r="K56" s="14" t="str">
        <x:v>2号宿舍楼</x:v>
      </x:c>
      <x:c r="L56" s="14" t="n">
        <x:v>2</x:v>
      </x:c>
      <x:c r="M56" s="14" t="str">
        <x:v>09:38</x:v>
      </x:c>
      <x:c r="N56" s="14" t="str">
        <x:v>否</x:v>
      </x:c>
      <x:c r="O56" s="14" t="str">
        <x:v>否</x:v>
      </x:c>
      <x:c r="P56" s="14" t="str">
        <x:v>未提供</x:v>
      </x:c>
      <x:c r="Q56" s="14" t="str">
        <x:v>未提供</x:v>
      </x:c>
      <x:c r="R56" s="14" t="str">
        <x:v>预测</x:v>
      </x:c>
      <x:c r="S56" s="14" t="str">
        <x:v>到站时间为估算值</x:v>
      </x:c>
      <x:c r="T56" t="str">
        <x:v>研究生宿舍楼发车</x:v>
      </x:c>
    </x:row>
    <x:row r="57">
      <x:c r="A57" s="14" t="str">
        <x:v>S0005-04</x:v>
      </x:c>
      <x:c r="B57" s="14" t="str">
        <x:v>S0005</x:v>
      </x:c>
      <x:c r="C57" s="14" t="str">
        <x:v>工作日</x:v>
      </x:c>
      <x:c r="D57" s="14" t="str">
        <x:v>环线1路</x:v>
      </x:c>
      <x:c r="E57" s="14" t="str">
        <x:v>第一班</x:v>
      </x:c>
      <x:c r="F57" s="14" t="n">
        <x:v>5</x:v>
      </x:c>
      <x:c r="G57" s="14" t="str">
        <x:v>9:36</x:v>
      </x:c>
      <x:c r="H57" s="14" t="str">
        <x:v>研究生宿舍楼</x:v>
      </x:c>
      <x:c r="I57" s="14" t="str">
        <x:v>否</x:v>
      </x:c>
      <x:c r="J57" s="14" t="n">
        <x:v>4</x:v>
      </x:c>
      <x:c r="K57" s="14" t="str">
        <x:v>军体活动中心</x:v>
      </x:c>
      <x:c r="L57" s="14" t="n">
        <x:v>3</x:v>
      </x:c>
      <x:c r="M57" s="14" t="str">
        <x:v>09:39</x:v>
      </x:c>
      <x:c r="N57" s="14" t="str">
        <x:v>否</x:v>
      </x:c>
      <x:c r="O57" s="14" t="str">
        <x:v>否</x:v>
      </x:c>
      <x:c r="P57" s="14" t="str">
        <x:v>未提供</x:v>
      </x:c>
      <x:c r="Q57" s="14" t="str">
        <x:v>未提供</x:v>
      </x:c>
      <x:c r="R57" s="14" t="str">
        <x:v>预测</x:v>
      </x:c>
      <x:c r="S57" s="14" t="str">
        <x:v>到站时间为估算值</x:v>
      </x:c>
      <x:c r="T57" t="str">
        <x:v>研究生宿舍楼发车</x:v>
      </x:c>
    </x:row>
    <x:row r="58">
      <x:c r="A58" s="14" t="str">
        <x:v>S0005-05</x:v>
      </x:c>
      <x:c r="B58" s="14" t="str">
        <x:v>S0005</x:v>
      </x:c>
      <x:c r="C58" s="14" t="str">
        <x:v>工作日</x:v>
      </x:c>
      <x:c r="D58" s="14" t="str">
        <x:v>环线1路</x:v>
      </x:c>
      <x:c r="E58" s="14" t="str">
        <x:v>第一班</x:v>
      </x:c>
      <x:c r="F58" s="14" t="n">
        <x:v>5</x:v>
      </x:c>
      <x:c r="G58" s="14" t="str">
        <x:v>9:36</x:v>
      </x:c>
      <x:c r="H58" s="14" t="str">
        <x:v>研究生宿舍楼</x:v>
      </x:c>
      <x:c r="I58" s="14" t="str">
        <x:v>否</x:v>
      </x:c>
      <x:c r="J58" s="14" t="n">
        <x:v>5</x:v>
      </x:c>
      <x:c r="K58" s="14" t="str">
        <x:v>激光所</x:v>
      </x:c>
      <x:c r="L58" s="14" t="n">
        <x:v>5</x:v>
      </x:c>
      <x:c r="M58" s="14" t="str">
        <x:v>09:41</x:v>
      </x:c>
      <x:c r="N58" s="14" t="str">
        <x:v>否</x:v>
      </x:c>
      <x:c r="O58" s="14" t="str">
        <x:v>否</x:v>
      </x:c>
      <x:c r="P58" s="14" t="str">
        <x:v>未提供</x:v>
      </x:c>
      <x:c r="Q58" s="14" t="str">
        <x:v>未提供</x:v>
      </x:c>
      <x:c r="R58" s="14" t="str">
        <x:v>预测</x:v>
      </x:c>
      <x:c r="S58" s="14" t="str">
        <x:v>到站时间为估算值</x:v>
      </x:c>
      <x:c r="T58" t="str">
        <x:v>研究生宿舍楼发车</x:v>
      </x:c>
    </x:row>
    <x:row r="59">
      <x:c r="A59" s="14" t="str">
        <x:v>S0005-06</x:v>
      </x:c>
      <x:c r="B59" s="14" t="str">
        <x:v>S0005</x:v>
      </x:c>
      <x:c r="C59" s="14" t="str">
        <x:v>工作日</x:v>
      </x:c>
      <x:c r="D59" s="14" t="str">
        <x:v>环线1路</x:v>
      </x:c>
      <x:c r="E59" s="14" t="str">
        <x:v>第一班</x:v>
      </x:c>
      <x:c r="F59" s="14" t="n">
        <x:v>5</x:v>
      </x:c>
      <x:c r="G59" s="14" t="str">
        <x:v>9:36</x:v>
      </x:c>
      <x:c r="H59" s="14" t="str">
        <x:v>研究生宿舍楼</x:v>
      </x:c>
      <x:c r="I59" s="14" t="str">
        <x:v>否</x:v>
      </x:c>
      <x:c r="J59" s="14" t="n">
        <x:v>6</x:v>
      </x:c>
      <x:c r="K59" s="14" t="str">
        <x:v>超算中心</x:v>
      </x:c>
      <x:c r="L59" s="14" t="n">
        <x:v>6</x:v>
      </x:c>
      <x:c r="M59" s="14" t="str">
        <x:v>09:42</x:v>
      </x:c>
      <x:c r="N59" s="14" t="str">
        <x:v>否</x:v>
      </x:c>
      <x:c r="O59" s="14" t="str">
        <x:v>否</x:v>
      </x:c>
      <x:c r="P59" s="14" t="str">
        <x:v>未提供</x:v>
      </x:c>
      <x:c r="Q59" s="14" t="str">
        <x:v>未提供</x:v>
      </x:c>
      <x:c r="R59" s="14" t="str">
        <x:v>预测</x:v>
      </x:c>
      <x:c r="S59" s="14" t="str">
        <x:v>到站时间为估算值</x:v>
      </x:c>
      <x:c r="T59" t="str">
        <x:v>研究生宿舍楼发车</x:v>
      </x:c>
    </x:row>
    <x:row r="60">
      <x:c r="A60" s="14" t="str">
        <x:v>S0005-07</x:v>
      </x:c>
      <x:c r="B60" s="14" t="str">
        <x:v>S0005</x:v>
      </x:c>
      <x:c r="C60" s="14" t="str">
        <x:v>工作日</x:v>
      </x:c>
      <x:c r="D60" s="14" t="str">
        <x:v>环线1路</x:v>
      </x:c>
      <x:c r="E60" s="14" t="str">
        <x:v>第一班</x:v>
      </x:c>
      <x:c r="F60" s="14" t="n">
        <x:v>5</x:v>
      </x:c>
      <x:c r="G60" s="14" t="str">
        <x:v>9:36</x:v>
      </x:c>
      <x:c r="H60" s="14" t="str">
        <x:v>研究生宿舍楼</x:v>
      </x:c>
      <x:c r="I60" s="14" t="str">
        <x:v>否</x:v>
      </x:c>
      <x:c r="J60" s="14" t="n">
        <x:v>7</x:v>
      </x:c>
      <x:c r="K60" s="14" t="str">
        <x:v>北门</x:v>
      </x:c>
      <x:c r="L60" s="14" t="n">
        <x:v>8</x:v>
      </x:c>
      <x:c r="M60" s="14" t="str">
        <x:v>09:44</x:v>
      </x:c>
      <x:c r="N60" s="14" t="str">
        <x:v>否</x:v>
      </x:c>
      <x:c r="O60" s="14" t="str">
        <x:v>否</x:v>
      </x:c>
      <x:c r="P60" s="14" t="str">
        <x:v>未提供</x:v>
      </x:c>
      <x:c r="Q60" s="14" t="str">
        <x:v>未提供</x:v>
      </x:c>
      <x:c r="R60" s="14" t="str">
        <x:v>预测</x:v>
      </x:c>
      <x:c r="S60" s="14" t="str">
        <x:v>到站时间为估算值</x:v>
      </x:c>
      <x:c r="T60" t="str">
        <x:v>研究生宿舍楼发车</x:v>
      </x:c>
    </x:row>
    <x:row r="61">
      <x:c r="A61" s="14" t="str">
        <x:v>S0005-08</x:v>
      </x:c>
      <x:c r="B61" s="14" t="str">
        <x:v>S0005</x:v>
      </x:c>
      <x:c r="C61" s="14" t="str">
        <x:v>工作日</x:v>
      </x:c>
      <x:c r="D61" s="14" t="str">
        <x:v>环线1路</x:v>
      </x:c>
      <x:c r="E61" s="14" t="str">
        <x:v>第一班</x:v>
      </x:c>
      <x:c r="F61" s="14" t="n">
        <x:v>5</x:v>
      </x:c>
      <x:c r="G61" s="14" t="str">
        <x:v>9:36</x:v>
      </x:c>
      <x:c r="H61" s="14" t="str">
        <x:v>研究生宿舍楼</x:v>
      </x:c>
      <x:c r="I61" s="14" t="str">
        <x:v>否</x:v>
      </x:c>
      <x:c r="J61" s="14" t="n">
        <x:v>8</x:v>
      </x:c>
      <x:c r="K61" s="14" t="str">
        <x:v>高超楼</x:v>
      </x:c>
      <x:c r="L61" s="14" t="n">
        <x:v>9</x:v>
      </x:c>
      <x:c r="M61" s="14" t="str">
        <x:v>09:45</x:v>
      </x:c>
      <x:c r="N61" s="14" t="str">
        <x:v>否</x:v>
      </x:c>
      <x:c r="O61" s="14" t="str">
        <x:v>否</x:v>
      </x:c>
      <x:c r="P61" s="14" t="str">
        <x:v>未提供</x:v>
      </x:c>
      <x:c r="Q61" s="14" t="str">
        <x:v>未提供</x:v>
      </x:c>
      <x:c r="R61" s="14" t="str">
        <x:v>预测</x:v>
      </x:c>
      <x:c r="S61" s="14" t="str">
        <x:v>到站时间为估算值</x:v>
      </x:c>
      <x:c r="T61" t="str">
        <x:v>研究生宿舍楼发车</x:v>
      </x:c>
    </x:row>
    <x:row r="62">
      <x:c r="A62" s="14" t="str">
        <x:v>S0005-09</x:v>
      </x:c>
      <x:c r="B62" s="14" t="str">
        <x:v>S0005</x:v>
      </x:c>
      <x:c r="C62" s="14" t="str">
        <x:v>工作日</x:v>
      </x:c>
      <x:c r="D62" s="14" t="str">
        <x:v>环线1路</x:v>
      </x:c>
      <x:c r="E62" s="14" t="str">
        <x:v>第一班</x:v>
      </x:c>
      <x:c r="F62" s="14" t="n">
        <x:v>5</x:v>
      </x:c>
      <x:c r="G62" s="14" t="str">
        <x:v>9:36</x:v>
      </x:c>
      <x:c r="H62" s="14" t="str">
        <x:v>研究生宿舍楼</x:v>
      </x:c>
      <x:c r="I62" s="14" t="str">
        <x:v>否</x:v>
      </x:c>
      <x:c r="J62" s="14" t="n">
        <x:v>9</x:v>
      </x:c>
      <x:c r="K62" s="14" t="str">
        <x:v>理学院</x:v>
      </x:c>
      <x:c r="L62" s="14" t="n">
        <x:v>10</x:v>
      </x:c>
      <x:c r="M62" s="14" t="str">
        <x:v>09:46</x:v>
      </x:c>
      <x:c r="N62" s="14" t="str">
        <x:v>否</x:v>
      </x:c>
      <x:c r="O62" s="14" t="str">
        <x:v>否</x:v>
      </x:c>
      <x:c r="P62" s="14" t="str">
        <x:v>未提供</x:v>
      </x:c>
      <x:c r="Q62" s="14" t="str">
        <x:v>未提供</x:v>
      </x:c>
      <x:c r="R62" s="14" t="str">
        <x:v>预测</x:v>
      </x:c>
      <x:c r="S62" s="14" t="str">
        <x:v>到站时间为估算值</x:v>
      </x:c>
      <x:c r="T62" t="str">
        <x:v>研究生宿舍楼发车</x:v>
      </x:c>
    </x:row>
    <x:row r="63">
      <x:c r="A63" s="14" t="str">
        <x:v>S0005-10</x:v>
      </x:c>
      <x:c r="B63" s="14" t="str">
        <x:v>S0005</x:v>
      </x:c>
      <x:c r="C63" s="14" t="str">
        <x:v>工作日</x:v>
      </x:c>
      <x:c r="D63" s="14" t="str">
        <x:v>环线1路</x:v>
      </x:c>
      <x:c r="E63" s="14" t="str">
        <x:v>第一班</x:v>
      </x:c>
      <x:c r="F63" s="14" t="n">
        <x:v>5</x:v>
      </x:c>
      <x:c r="G63" s="14" t="str">
        <x:v>9:36</x:v>
      </x:c>
      <x:c r="H63" s="14" t="str">
        <x:v>研究生宿舍楼</x:v>
      </x:c>
      <x:c r="I63" s="14" t="str">
        <x:v>否</x:v>
      </x:c>
      <x:c r="J63" s="14" t="n">
        <x:v>10</x:v>
      </x:c>
      <x:c r="K63" s="14" t="str">
        <x:v>二食堂</x:v>
      </x:c>
      <x:c r="L63" s="14" t="n">
        <x:v>13</x:v>
      </x:c>
      <x:c r="M63" s="14" t="str">
        <x:v>09:49</x:v>
      </x:c>
      <x:c r="N63" s="14" t="str">
        <x:v>否</x:v>
      </x:c>
      <x:c r="O63" s="14" t="str">
        <x:v>否</x:v>
      </x:c>
      <x:c r="P63" s="14" t="str">
        <x:v>未提供</x:v>
      </x:c>
      <x:c r="Q63" s="14" t="str">
        <x:v>未提供</x:v>
      </x:c>
      <x:c r="R63" s="14" t="str">
        <x:v>预测</x:v>
      </x:c>
      <x:c r="S63" s="14" t="str">
        <x:v>到站时间为估算值</x:v>
      </x:c>
      <x:c r="T63" t="str">
        <x:v>研究生宿舍楼发车</x:v>
      </x:c>
    </x:row>
    <x:row r="64">
      <x:c r="A64" s="14" t="str">
        <x:v>S0005-11</x:v>
      </x:c>
      <x:c r="B64" s="14" t="str">
        <x:v>S0005</x:v>
      </x:c>
      <x:c r="C64" s="14" t="str">
        <x:v>工作日</x:v>
      </x:c>
      <x:c r="D64" s="14" t="str">
        <x:v>环线1路</x:v>
      </x:c>
      <x:c r="E64" s="14" t="str">
        <x:v>第一班</x:v>
      </x:c>
      <x:c r="F64" s="14" t="n">
        <x:v>5</x:v>
      </x:c>
      <x:c r="G64" s="14" t="str">
        <x:v>9:36</x:v>
      </x:c>
      <x:c r="H64" s="14" t="str">
        <x:v>研究生宿舍楼</x:v>
      </x:c>
      <x:c r="I64" s="14" t="str">
        <x:v>否</x:v>
      </x:c>
      <x:c r="J64" s="14" t="n">
        <x:v>11</x:v>
      </x:c>
      <x:c r="K64" s="14" t="str">
        <x:v>5号宿舍楼</x:v>
      </x:c>
      <x:c r="L64" s="14" t="n">
        <x:v>14</x:v>
      </x:c>
      <x:c r="M64" s="14" t="str">
        <x:v>09:50</x:v>
      </x:c>
      <x:c r="N64" s="14" t="str">
        <x:v>否</x:v>
      </x:c>
      <x:c r="O64" s="14" t="str">
        <x:v>否</x:v>
      </x:c>
      <x:c r="P64" s="14" t="str">
        <x:v>未提供</x:v>
      </x:c>
      <x:c r="Q64" s="14" t="str">
        <x:v>未提供</x:v>
      </x:c>
      <x:c r="R64" s="14" t="str">
        <x:v>预测</x:v>
      </x:c>
      <x:c r="S64" s="14" t="str">
        <x:v>到站时间为估算值</x:v>
      </x:c>
      <x:c r="T64" t="str">
        <x:v>研究生宿舍楼发车</x:v>
      </x:c>
    </x:row>
    <x:row r="65">
      <x:c r="A65" s="14" t="str">
        <x:v>S0005-12</x:v>
      </x:c>
      <x:c r="B65" s="14" t="str">
        <x:v>S0005</x:v>
      </x:c>
      <x:c r="C65" s="14" t="str">
        <x:v>工作日</x:v>
      </x:c>
      <x:c r="D65" s="14" t="str">
        <x:v>环线1路</x:v>
      </x:c>
      <x:c r="E65" s="14" t="str">
        <x:v>第一班</x:v>
      </x:c>
      <x:c r="F65" s="14" t="n">
        <x:v>5</x:v>
      </x:c>
      <x:c r="G65" s="14" t="str">
        <x:v>9:36</x:v>
      </x:c>
      <x:c r="H65" s="14" t="str">
        <x:v>研究生宿舍楼</x:v>
      </x:c>
      <x:c r="I65" s="14" t="str">
        <x:v>否</x:v>
      </x:c>
      <x:c r="J65" s="14" t="n">
        <x:v>12</x:v>
      </x:c>
      <x:c r="K65" s="14" t="str">
        <x:v>305教学楼</x:v>
      </x:c>
      <x:c r="L65" s="14" t="n">
        <x:v>15</x:v>
      </x:c>
      <x:c r="M65" s="14" t="str">
        <x:v>09:51</x:v>
      </x:c>
      <x:c r="N65" s="14" t="str">
        <x:v>否</x:v>
      </x:c>
      <x:c r="O65" s="14" t="str">
        <x:v>否</x:v>
      </x:c>
      <x:c r="P65" s="14" t="str">
        <x:v>未提供</x:v>
      </x:c>
      <x:c r="Q65" s="14" t="str">
        <x:v>未提供</x:v>
      </x:c>
      <x:c r="R65" s="14" t="str">
        <x:v>预测</x:v>
      </x:c>
      <x:c r="S65" s="14" t="str">
        <x:v>到站时间为估算值</x:v>
      </x:c>
      <x:c r="T65" t="str">
        <x:v>研究生宿舍楼发车</x:v>
      </x:c>
    </x:row>
    <x:row r="66">
      <x:c r="A66" s="14" t="str">
        <x:v>S0005-13</x:v>
      </x:c>
      <x:c r="B66" s="14" t="str">
        <x:v>S0005</x:v>
      </x:c>
      <x:c r="C66" s="14" t="str">
        <x:v>工作日</x:v>
      </x:c>
      <x:c r="D66" s="14" t="str">
        <x:v>环线1路</x:v>
      </x:c>
      <x:c r="E66" s="14" t="str">
        <x:v>第一班</x:v>
      </x:c>
      <x:c r="F66" s="14" t="n">
        <x:v>5</x:v>
      </x:c>
      <x:c r="G66" s="14" t="str">
        <x:v>9:36</x:v>
      </x:c>
      <x:c r="H66" s="14" t="str">
        <x:v>研究生宿舍楼</x:v>
      </x:c>
      <x:c r="I66" s="14" t="str">
        <x:v>否</x:v>
      </x:c>
      <x:c r="J66" s="14" t="n">
        <x:v>13</x:v>
      </x:c>
      <x:c r="K66" s="14" t="str">
        <x:v>研究生宿舍楼</x:v>
      </x:c>
      <x:c r="L66" s="14" t="n">
        <x:v>17</x:v>
      </x:c>
      <x:c r="M66" s="14" t="str">
        <x:v>09:53</x:v>
      </x:c>
      <x:c r="N66" s="14" t="str">
        <x:v>否</x:v>
      </x:c>
      <x:c r="O66" s="14" t="str">
        <x:v>是</x:v>
      </x:c>
      <x:c r="P66" s="14" t="str">
        <x:v>未提供</x:v>
      </x:c>
      <x:c r="Q66" s="14" t="str">
        <x:v>未提供</x:v>
      </x:c>
      <x:c r="R66" s="14" t="str">
        <x:v>预测</x:v>
      </x:c>
      <x:c r="S66" s="14" t="str">
        <x:v>到站时间为估算值</x:v>
      </x:c>
      <x:c r="T66" t="str">
        <x:v>研究生宿舍楼发车</x:v>
      </x:c>
    </x:row>
    <x:row r="67">
      <x:c r="A67" s="14" t="str">
        <x:v>S0006-01</x:v>
      </x:c>
      <x:c r="B67" s="14" t="str">
        <x:v>S0006</x:v>
      </x:c>
      <x:c r="C67" s="14" t="str">
        <x:v>工作日</x:v>
      </x:c>
      <x:c r="D67" s="14" t="str">
        <x:v>环线1路</x:v>
      </x:c>
      <x:c r="E67" s="14" t="str">
        <x:v>第一班</x:v>
      </x:c>
      <x:c r="F67" s="14" t="n">
        <x:v>6</x:v>
      </x:c>
      <x:c r="G67" s="14" t="str">
        <x:v>10:15</x:v>
      </x:c>
      <x:c r="H67" s="14" t="str">
        <x:v>研究生宿舍楼</x:v>
      </x:c>
      <x:c r="I67" s="14" t="str">
        <x:v>否</x:v>
      </x:c>
      <x:c r="J67" s="14" t="n">
        <x:v>1</x:v>
      </x:c>
      <x:c r="K67" s="14" t="str">
        <x:v>研究生宿舍楼</x:v>
      </x:c>
      <x:c r="L67" s="14" t="n">
        <x:v>0</x:v>
      </x:c>
      <x:c r="M67" s="14" t="str">
        <x:v>10:15</x:v>
      </x:c>
      <x:c r="N67" s="14" t="str">
        <x:v>是</x:v>
      </x:c>
      <x:c r="O67" s="14" t="str">
        <x:v>否</x:v>
      </x:c>
      <x:c r="P67" s="14" t="str">
        <x:v>未提供</x:v>
      </x:c>
      <x:c r="Q67" s="14" t="str">
        <x:v>未提供</x:v>
      </x:c>
      <x:c r="R67" s="14" t="str">
        <x:v>预测</x:v>
      </x:c>
      <x:c r="S67" s="14" t="str">
        <x:v>到站时间为估算值</x:v>
      </x:c>
      <x:c r="T67" t="str">
        <x:v>研究生宿舍楼发车</x:v>
      </x:c>
    </x:row>
    <x:row r="68">
      <x:c r="A68" s="14" t="str">
        <x:v>S0006-02</x:v>
      </x:c>
      <x:c r="B68" s="14" t="str">
        <x:v>S0006</x:v>
      </x:c>
      <x:c r="C68" s="14" t="str">
        <x:v>工作日</x:v>
      </x:c>
      <x:c r="D68" s="14" t="str">
        <x:v>环线1路</x:v>
      </x:c>
      <x:c r="E68" s="14" t="str">
        <x:v>第一班</x:v>
      </x:c>
      <x:c r="F68" s="14" t="n">
        <x:v>6</x:v>
      </x:c>
      <x:c r="G68" s="14" t="str">
        <x:v>10:15</x:v>
      </x:c>
      <x:c r="H68" s="14" t="str">
        <x:v>研究生宿舍楼</x:v>
      </x:c>
      <x:c r="I68" s="14" t="str">
        <x:v>否</x:v>
      </x:c>
      <x:c r="J68" s="14" t="n">
        <x:v>2</x:v>
      </x:c>
      <x:c r="K68" s="14" t="str">
        <x:v>东门</x:v>
      </x:c>
      <x:c r="L68" s="14" t="n">
        <x:v>1</x:v>
      </x:c>
      <x:c r="M68" s="14" t="str">
        <x:v>10:16</x:v>
      </x:c>
      <x:c r="N68" s="14" t="str">
        <x:v>否</x:v>
      </x:c>
      <x:c r="O68" s="14" t="str">
        <x:v>否</x:v>
      </x:c>
      <x:c r="P68" s="14" t="str">
        <x:v>未提供</x:v>
      </x:c>
      <x:c r="Q68" s="14" t="str">
        <x:v>未提供</x:v>
      </x:c>
      <x:c r="R68" s="14" t="str">
        <x:v>预测</x:v>
      </x:c>
      <x:c r="S68" s="14" t="str">
        <x:v>到站时间为估算值</x:v>
      </x:c>
      <x:c r="T68" t="str">
        <x:v>研究生宿舍楼发车</x:v>
      </x:c>
    </x:row>
    <x:row r="69">
      <x:c r="A69" s="14" t="str">
        <x:v>S0006-03</x:v>
      </x:c>
      <x:c r="B69" s="14" t="str">
        <x:v>S0006</x:v>
      </x:c>
      <x:c r="C69" s="14" t="str">
        <x:v>工作日</x:v>
      </x:c>
      <x:c r="D69" s="14" t="str">
        <x:v>环线1路</x:v>
      </x:c>
      <x:c r="E69" s="14" t="str">
        <x:v>第一班</x:v>
      </x:c>
      <x:c r="F69" s="14" t="n">
        <x:v>6</x:v>
      </x:c>
      <x:c r="G69" s="14" t="str">
        <x:v>10:15</x:v>
      </x:c>
      <x:c r="H69" s="14" t="str">
        <x:v>研究生宿舍楼</x:v>
      </x:c>
      <x:c r="I69" s="14" t="str">
        <x:v>否</x:v>
      </x:c>
      <x:c r="J69" s="14" t="n">
        <x:v>3</x:v>
      </x:c>
      <x:c r="K69" s="14" t="str">
        <x:v>2号宿舍楼</x:v>
      </x:c>
      <x:c r="L69" s="14" t="n">
        <x:v>2</x:v>
      </x:c>
      <x:c r="M69" s="14" t="str">
        <x:v>10:17</x:v>
      </x:c>
      <x:c r="N69" s="14" t="str">
        <x:v>否</x:v>
      </x:c>
      <x:c r="O69" s="14" t="str">
        <x:v>否</x:v>
      </x:c>
      <x:c r="P69" s="14" t="str">
        <x:v>未提供</x:v>
      </x:c>
      <x:c r="Q69" s="14" t="str">
        <x:v>未提供</x:v>
      </x:c>
      <x:c r="R69" s="14" t="str">
        <x:v>预测</x:v>
      </x:c>
      <x:c r="S69" s="14" t="str">
        <x:v>到站时间为估算值</x:v>
      </x:c>
      <x:c r="T69" t="str">
        <x:v>研究生宿舍楼发车</x:v>
      </x:c>
    </x:row>
    <x:row r="70">
      <x:c r="A70" s="14" t="str">
        <x:v>S0006-04</x:v>
      </x:c>
      <x:c r="B70" s="14" t="str">
        <x:v>S0006</x:v>
      </x:c>
      <x:c r="C70" s="14" t="str">
        <x:v>工作日</x:v>
      </x:c>
      <x:c r="D70" s="14" t="str">
        <x:v>环线1路</x:v>
      </x:c>
      <x:c r="E70" s="14" t="str">
        <x:v>第一班</x:v>
      </x:c>
      <x:c r="F70" s="14" t="n">
        <x:v>6</x:v>
      </x:c>
      <x:c r="G70" s="14" t="str">
        <x:v>10:15</x:v>
      </x:c>
      <x:c r="H70" s="14" t="str">
        <x:v>研究生宿舍楼</x:v>
      </x:c>
      <x:c r="I70" s="14" t="str">
        <x:v>否</x:v>
      </x:c>
      <x:c r="J70" s="14" t="n">
        <x:v>4</x:v>
      </x:c>
      <x:c r="K70" s="14" t="str">
        <x:v>军体活动中心</x:v>
      </x:c>
      <x:c r="L70" s="14" t="n">
        <x:v>3</x:v>
      </x:c>
      <x:c r="M70" s="14" t="str">
        <x:v>10:18</x:v>
      </x:c>
      <x:c r="N70" s="14" t="str">
        <x:v>否</x:v>
      </x:c>
      <x:c r="O70" s="14" t="str">
        <x:v>否</x:v>
      </x:c>
      <x:c r="P70" s="14" t="str">
        <x:v>未提供</x:v>
      </x:c>
      <x:c r="Q70" s="14" t="str">
        <x:v>未提供</x:v>
      </x:c>
      <x:c r="R70" s="14" t="str">
        <x:v>预测</x:v>
      </x:c>
      <x:c r="S70" s="14" t="str">
        <x:v>到站时间为估算值</x:v>
      </x:c>
      <x:c r="T70" t="str">
        <x:v>研究生宿舍楼发车</x:v>
      </x:c>
    </x:row>
    <x:row r="71">
      <x:c r="A71" s="14" t="str">
        <x:v>S0006-05</x:v>
      </x:c>
      <x:c r="B71" s="14" t="str">
        <x:v>S0006</x:v>
      </x:c>
      <x:c r="C71" s="14" t="str">
        <x:v>工作日</x:v>
      </x:c>
      <x:c r="D71" s="14" t="str">
        <x:v>环线1路</x:v>
      </x:c>
      <x:c r="E71" s="14" t="str">
        <x:v>第一班</x:v>
      </x:c>
      <x:c r="F71" s="14" t="n">
        <x:v>6</x:v>
      </x:c>
      <x:c r="G71" s="14" t="str">
        <x:v>10:15</x:v>
      </x:c>
      <x:c r="H71" s="14" t="str">
        <x:v>研究生宿舍楼</x:v>
      </x:c>
      <x:c r="I71" s="14" t="str">
        <x:v>否</x:v>
      </x:c>
      <x:c r="J71" s="14" t="n">
        <x:v>5</x:v>
      </x:c>
      <x:c r="K71" s="14" t="str">
        <x:v>激光所</x:v>
      </x:c>
      <x:c r="L71" s="14" t="n">
        <x:v>5</x:v>
      </x:c>
      <x:c r="M71" s="14" t="str">
        <x:v>10:20</x:v>
      </x:c>
      <x:c r="N71" s="14" t="str">
        <x:v>否</x:v>
      </x:c>
      <x:c r="O71" s="14" t="str">
        <x:v>否</x:v>
      </x:c>
      <x:c r="P71" s="14" t="str">
        <x:v>未提供</x:v>
      </x:c>
      <x:c r="Q71" s="14" t="str">
        <x:v>未提供</x:v>
      </x:c>
      <x:c r="R71" s="14" t="str">
        <x:v>预测</x:v>
      </x:c>
      <x:c r="S71" s="14" t="str">
        <x:v>到站时间为估算值</x:v>
      </x:c>
      <x:c r="T71" t="str">
        <x:v>研究生宿舍楼发车</x:v>
      </x:c>
    </x:row>
    <x:row r="72">
      <x:c r="A72" s="14" t="str">
        <x:v>S0006-06</x:v>
      </x:c>
      <x:c r="B72" s="14" t="str">
        <x:v>S0006</x:v>
      </x:c>
      <x:c r="C72" s="14" t="str">
        <x:v>工作日</x:v>
      </x:c>
      <x:c r="D72" s="14" t="str">
        <x:v>环线1路</x:v>
      </x:c>
      <x:c r="E72" s="14" t="str">
        <x:v>第一班</x:v>
      </x:c>
      <x:c r="F72" s="14" t="n">
        <x:v>6</x:v>
      </x:c>
      <x:c r="G72" s="14" t="str">
        <x:v>10:15</x:v>
      </x:c>
      <x:c r="H72" s="14" t="str">
        <x:v>研究生宿舍楼</x:v>
      </x:c>
      <x:c r="I72" s="14" t="str">
        <x:v>否</x:v>
      </x:c>
      <x:c r="J72" s="14" t="n">
        <x:v>6</x:v>
      </x:c>
      <x:c r="K72" s="14" t="str">
        <x:v>超算中心</x:v>
      </x:c>
      <x:c r="L72" s="14" t="n">
        <x:v>6</x:v>
      </x:c>
      <x:c r="M72" s="14" t="str">
        <x:v>10:21</x:v>
      </x:c>
      <x:c r="N72" s="14" t="str">
        <x:v>否</x:v>
      </x:c>
      <x:c r="O72" s="14" t="str">
        <x:v>否</x:v>
      </x:c>
      <x:c r="P72" s="14" t="str">
        <x:v>未提供</x:v>
      </x:c>
      <x:c r="Q72" s="14" t="str">
        <x:v>未提供</x:v>
      </x:c>
      <x:c r="R72" s="14" t="str">
        <x:v>预测</x:v>
      </x:c>
      <x:c r="S72" s="14" t="str">
        <x:v>到站时间为估算值</x:v>
      </x:c>
      <x:c r="T72" t="str">
        <x:v>研究生宿舍楼发车</x:v>
      </x:c>
    </x:row>
    <x:row r="73">
      <x:c r="A73" s="14" t="str">
        <x:v>S0006-07</x:v>
      </x:c>
      <x:c r="B73" s="14" t="str">
        <x:v>S0006</x:v>
      </x:c>
      <x:c r="C73" s="14" t="str">
        <x:v>工作日</x:v>
      </x:c>
      <x:c r="D73" s="14" t="str">
        <x:v>环线1路</x:v>
      </x:c>
      <x:c r="E73" s="14" t="str">
        <x:v>第一班</x:v>
      </x:c>
      <x:c r="F73" s="14" t="n">
        <x:v>6</x:v>
      </x:c>
      <x:c r="G73" s="14" t="str">
        <x:v>10:15</x:v>
      </x:c>
      <x:c r="H73" s="14" t="str">
        <x:v>研究生宿舍楼</x:v>
      </x:c>
      <x:c r="I73" s="14" t="str">
        <x:v>否</x:v>
      </x:c>
      <x:c r="J73" s="14" t="n">
        <x:v>7</x:v>
      </x:c>
      <x:c r="K73" s="14" t="str">
        <x:v>北门</x:v>
      </x:c>
      <x:c r="L73" s="14" t="n">
        <x:v>8</x:v>
      </x:c>
      <x:c r="M73" s="14" t="str">
        <x:v>10:23</x:v>
      </x:c>
      <x:c r="N73" s="14" t="str">
        <x:v>否</x:v>
      </x:c>
      <x:c r="O73" s="14" t="str">
        <x:v>否</x:v>
      </x:c>
      <x:c r="P73" s="14" t="str">
        <x:v>未提供</x:v>
      </x:c>
      <x:c r="Q73" s="14" t="str">
        <x:v>未提供</x:v>
      </x:c>
      <x:c r="R73" s="14" t="str">
        <x:v>预测</x:v>
      </x:c>
      <x:c r="S73" s="14" t="str">
        <x:v>到站时间为估算值</x:v>
      </x:c>
      <x:c r="T73" t="str">
        <x:v>研究生宿舍楼发车</x:v>
      </x:c>
    </x:row>
    <x:row r="74">
      <x:c r="A74" s="14" t="str">
        <x:v>S0006-08</x:v>
      </x:c>
      <x:c r="B74" s="14" t="str">
        <x:v>S0006</x:v>
      </x:c>
      <x:c r="C74" s="14" t="str">
        <x:v>工作日</x:v>
      </x:c>
      <x:c r="D74" s="14" t="str">
        <x:v>环线1路</x:v>
      </x:c>
      <x:c r="E74" s="14" t="str">
        <x:v>第一班</x:v>
      </x:c>
      <x:c r="F74" s="14" t="n">
        <x:v>6</x:v>
      </x:c>
      <x:c r="G74" s="14" t="str">
        <x:v>10:15</x:v>
      </x:c>
      <x:c r="H74" s="14" t="str">
        <x:v>研究生宿舍楼</x:v>
      </x:c>
      <x:c r="I74" s="14" t="str">
        <x:v>否</x:v>
      </x:c>
      <x:c r="J74" s="14" t="n">
        <x:v>8</x:v>
      </x:c>
      <x:c r="K74" s="14" t="str">
        <x:v>高超楼</x:v>
      </x:c>
      <x:c r="L74" s="14" t="n">
        <x:v>9</x:v>
      </x:c>
      <x:c r="M74" s="14" t="str">
        <x:v>10:24</x:v>
      </x:c>
      <x:c r="N74" s="14" t="str">
        <x:v>否</x:v>
      </x:c>
      <x:c r="O74" s="14" t="str">
        <x:v>否</x:v>
      </x:c>
      <x:c r="P74" s="14" t="str">
        <x:v>未提供</x:v>
      </x:c>
      <x:c r="Q74" s="14" t="str">
        <x:v>未提供</x:v>
      </x:c>
      <x:c r="R74" s="14" t="str">
        <x:v>预测</x:v>
      </x:c>
      <x:c r="S74" s="14" t="str">
        <x:v>到站时间为估算值</x:v>
      </x:c>
      <x:c r="T74" t="str">
        <x:v>研究生宿舍楼发车</x:v>
      </x:c>
    </x:row>
    <x:row r="75">
      <x:c r="A75" s="14" t="str">
        <x:v>S0006-09</x:v>
      </x:c>
      <x:c r="B75" s="14" t="str">
        <x:v>S0006</x:v>
      </x:c>
      <x:c r="C75" s="14" t="str">
        <x:v>工作日</x:v>
      </x:c>
      <x:c r="D75" s="14" t="str">
        <x:v>环线1路</x:v>
      </x:c>
      <x:c r="E75" s="14" t="str">
        <x:v>第一班</x:v>
      </x:c>
      <x:c r="F75" s="14" t="n">
        <x:v>6</x:v>
      </x:c>
      <x:c r="G75" s="14" t="str">
        <x:v>10:15</x:v>
      </x:c>
      <x:c r="H75" s="14" t="str">
        <x:v>研究生宿舍楼</x:v>
      </x:c>
      <x:c r="I75" s="14" t="str">
        <x:v>否</x:v>
      </x:c>
      <x:c r="J75" s="14" t="n">
        <x:v>9</x:v>
      </x:c>
      <x:c r="K75" s="14" t="str">
        <x:v>理学院</x:v>
      </x:c>
      <x:c r="L75" s="14" t="n">
        <x:v>10</x:v>
      </x:c>
      <x:c r="M75" s="14" t="str">
        <x:v>10:25</x:v>
      </x:c>
      <x:c r="N75" s="14" t="str">
        <x:v>否</x:v>
      </x:c>
      <x:c r="O75" s="14" t="str">
        <x:v>否</x:v>
      </x:c>
      <x:c r="P75" s="14" t="str">
        <x:v>未提供</x:v>
      </x:c>
      <x:c r="Q75" s="14" t="str">
        <x:v>未提供</x:v>
      </x:c>
      <x:c r="R75" s="14" t="str">
        <x:v>预测</x:v>
      </x:c>
      <x:c r="S75" s="14" t="str">
        <x:v>到站时间为估算值</x:v>
      </x:c>
      <x:c r="T75" t="str">
        <x:v>研究生宿舍楼发车</x:v>
      </x:c>
    </x:row>
    <x:row r="76">
      <x:c r="A76" s="14" t="str">
        <x:v>S0006-10</x:v>
      </x:c>
      <x:c r="B76" s="14" t="str">
        <x:v>S0006</x:v>
      </x:c>
      <x:c r="C76" s="14" t="str">
        <x:v>工作日</x:v>
      </x:c>
      <x:c r="D76" s="14" t="str">
        <x:v>环线1路</x:v>
      </x:c>
      <x:c r="E76" s="14" t="str">
        <x:v>第一班</x:v>
      </x:c>
      <x:c r="F76" s="14" t="n">
        <x:v>6</x:v>
      </x:c>
      <x:c r="G76" s="14" t="str">
        <x:v>10:15</x:v>
      </x:c>
      <x:c r="H76" s="14" t="str">
        <x:v>研究生宿舍楼</x:v>
      </x:c>
      <x:c r="I76" s="14" t="str">
        <x:v>否</x:v>
      </x:c>
      <x:c r="J76" s="14" t="n">
        <x:v>10</x:v>
      </x:c>
      <x:c r="K76" s="14" t="str">
        <x:v>二食堂</x:v>
      </x:c>
      <x:c r="L76" s="14" t="n">
        <x:v>13</x:v>
      </x:c>
      <x:c r="M76" s="14" t="str">
        <x:v>10:28</x:v>
      </x:c>
      <x:c r="N76" s="14" t="str">
        <x:v>否</x:v>
      </x:c>
      <x:c r="O76" s="14" t="str">
        <x:v>否</x:v>
      </x:c>
      <x:c r="P76" s="14" t="str">
        <x:v>未提供</x:v>
      </x:c>
      <x:c r="Q76" s="14" t="str">
        <x:v>未提供</x:v>
      </x:c>
      <x:c r="R76" s="14" t="str">
        <x:v>预测</x:v>
      </x:c>
      <x:c r="S76" s="14" t="str">
        <x:v>到站时间为估算值</x:v>
      </x:c>
      <x:c r="T76" t="str">
        <x:v>研究生宿舍楼发车</x:v>
      </x:c>
    </x:row>
    <x:row r="77">
      <x:c r="A77" s="14" t="str">
        <x:v>S0006-11</x:v>
      </x:c>
      <x:c r="B77" s="14" t="str">
        <x:v>S0006</x:v>
      </x:c>
      <x:c r="C77" s="14" t="str">
        <x:v>工作日</x:v>
      </x:c>
      <x:c r="D77" s="14" t="str">
        <x:v>环线1路</x:v>
      </x:c>
      <x:c r="E77" s="14" t="str">
        <x:v>第一班</x:v>
      </x:c>
      <x:c r="F77" s="14" t="n">
        <x:v>6</x:v>
      </x:c>
      <x:c r="G77" s="14" t="str">
        <x:v>10:15</x:v>
      </x:c>
      <x:c r="H77" s="14" t="str">
        <x:v>研究生宿舍楼</x:v>
      </x:c>
      <x:c r="I77" s="14" t="str">
        <x:v>否</x:v>
      </x:c>
      <x:c r="J77" s="14" t="n">
        <x:v>11</x:v>
      </x:c>
      <x:c r="K77" s="14" t="str">
        <x:v>5号宿舍楼</x:v>
      </x:c>
      <x:c r="L77" s="14" t="n">
        <x:v>14</x:v>
      </x:c>
      <x:c r="M77" s="14" t="str">
        <x:v>10:29</x:v>
      </x:c>
      <x:c r="N77" s="14" t="str">
        <x:v>否</x:v>
      </x:c>
      <x:c r="O77" s="14" t="str">
        <x:v>否</x:v>
      </x:c>
      <x:c r="P77" s="14" t="str">
        <x:v>未提供</x:v>
      </x:c>
      <x:c r="Q77" s="14" t="str">
        <x:v>未提供</x:v>
      </x:c>
      <x:c r="R77" s="14" t="str">
        <x:v>预测</x:v>
      </x:c>
      <x:c r="S77" s="14" t="str">
        <x:v>到站时间为估算值</x:v>
      </x:c>
      <x:c r="T77" t="str">
        <x:v>研究生宿舍楼发车</x:v>
      </x:c>
    </x:row>
    <x:row r="78">
      <x:c r="A78" s="14" t="str">
        <x:v>S0006-12</x:v>
      </x:c>
      <x:c r="B78" s="14" t="str">
        <x:v>S0006</x:v>
      </x:c>
      <x:c r="C78" s="14" t="str">
        <x:v>工作日</x:v>
      </x:c>
      <x:c r="D78" s="14" t="str">
        <x:v>环线1路</x:v>
      </x:c>
      <x:c r="E78" s="14" t="str">
        <x:v>第一班</x:v>
      </x:c>
      <x:c r="F78" s="14" t="n">
        <x:v>6</x:v>
      </x:c>
      <x:c r="G78" s="14" t="str">
        <x:v>10:15</x:v>
      </x:c>
      <x:c r="H78" s="14" t="str">
        <x:v>研究生宿舍楼</x:v>
      </x:c>
      <x:c r="I78" s="14" t="str">
        <x:v>否</x:v>
      </x:c>
      <x:c r="J78" s="14" t="n">
        <x:v>12</x:v>
      </x:c>
      <x:c r="K78" s="14" t="str">
        <x:v>305教学楼</x:v>
      </x:c>
      <x:c r="L78" s="14" t="n">
        <x:v>15</x:v>
      </x:c>
      <x:c r="M78" s="14" t="str">
        <x:v>10:30</x:v>
      </x:c>
      <x:c r="N78" s="14" t="str">
        <x:v>否</x:v>
      </x:c>
      <x:c r="O78" s="14" t="str">
        <x:v>否</x:v>
      </x:c>
      <x:c r="P78" s="14" t="str">
        <x:v>未提供</x:v>
      </x:c>
      <x:c r="Q78" s="14" t="str">
        <x:v>未提供</x:v>
      </x:c>
      <x:c r="R78" s="14" t="str">
        <x:v>预测</x:v>
      </x:c>
      <x:c r="S78" s="14" t="str">
        <x:v>到站时间为估算值</x:v>
      </x:c>
      <x:c r="T78" t="str">
        <x:v>研究生宿舍楼发车</x:v>
      </x:c>
    </x:row>
    <x:row r="79">
      <x:c r="A79" s="14" t="str">
        <x:v>S0006-13</x:v>
      </x:c>
      <x:c r="B79" s="14" t="str">
        <x:v>S0006</x:v>
      </x:c>
      <x:c r="C79" s="14" t="str">
        <x:v>工作日</x:v>
      </x:c>
      <x:c r="D79" s="14" t="str">
        <x:v>环线1路</x:v>
      </x:c>
      <x:c r="E79" s="14" t="str">
        <x:v>第一班</x:v>
      </x:c>
      <x:c r="F79" s="14" t="n">
        <x:v>6</x:v>
      </x:c>
      <x:c r="G79" s="14" t="str">
        <x:v>10:15</x:v>
      </x:c>
      <x:c r="H79" s="14" t="str">
        <x:v>研究生宿舍楼</x:v>
      </x:c>
      <x:c r="I79" s="14" t="str">
        <x:v>否</x:v>
      </x:c>
      <x:c r="J79" s="14" t="n">
        <x:v>13</x:v>
      </x:c>
      <x:c r="K79" s="14" t="str">
        <x:v>研究生宿舍楼</x:v>
      </x:c>
      <x:c r="L79" s="14" t="n">
        <x:v>17</x:v>
      </x:c>
      <x:c r="M79" s="14" t="str">
        <x:v>10:32</x:v>
      </x:c>
      <x:c r="N79" s="14" t="str">
        <x:v>否</x:v>
      </x:c>
      <x:c r="O79" s="14" t="str">
        <x:v>是</x:v>
      </x:c>
      <x:c r="P79" s="14" t="str">
        <x:v>未提供</x:v>
      </x:c>
      <x:c r="Q79" s="14" t="str">
        <x:v>未提供</x:v>
      </x:c>
      <x:c r="R79" s="14" t="str">
        <x:v>预测</x:v>
      </x:c>
      <x:c r="S79" s="14" t="str">
        <x:v>到站时间为估算值</x:v>
      </x:c>
      <x:c r="T79" t="str">
        <x:v>研究生宿舍楼发车</x:v>
      </x:c>
    </x:row>
    <x:row r="80">
      <x:c r="A80" s="14" t="str">
        <x:v>S0007-01</x:v>
      </x:c>
      <x:c r="B80" s="14" t="str">
        <x:v>S0007</x:v>
      </x:c>
      <x:c r="C80" s="14" t="str">
        <x:v>工作日</x:v>
      </x:c>
      <x:c r="D80" s="14" t="str">
        <x:v>环线1路</x:v>
      </x:c>
      <x:c r="E80" s="14" t="str">
        <x:v>第一班</x:v>
      </x:c>
      <x:c r="F80" s="14" t="n">
        <x:v>7</x:v>
      </x:c>
      <x:c r="G80" s="14" t="str">
        <x:v>11:15</x:v>
      </x:c>
      <x:c r="H80" s="14" t="str">
        <x:v>研究生宿舍楼</x:v>
      </x:c>
      <x:c r="I80" s="14" t="str">
        <x:v>否</x:v>
      </x:c>
      <x:c r="J80" s="14" t="n">
        <x:v>1</x:v>
      </x:c>
      <x:c r="K80" s="14" t="str">
        <x:v>研究生宿舍楼</x:v>
      </x:c>
      <x:c r="L80" s="14" t="n">
        <x:v>0</x:v>
      </x:c>
      <x:c r="M80" s="14" t="str">
        <x:v>11:15</x:v>
      </x:c>
      <x:c r="N80" s="14" t="str">
        <x:v>是</x:v>
      </x:c>
      <x:c r="O80" s="14" t="str">
        <x:v>否</x:v>
      </x:c>
      <x:c r="P80" s="14" t="str">
        <x:v>未提供</x:v>
      </x:c>
      <x:c r="Q80" s="14" t="str">
        <x:v>未提供</x:v>
      </x:c>
      <x:c r="R80" s="14" t="str">
        <x:v>预测</x:v>
      </x:c>
      <x:c r="S80" s="14" t="str">
        <x:v>到站时间为估算值</x:v>
      </x:c>
      <x:c r="T80" t="str">
        <x:v>研究生宿舍楼发车</x:v>
      </x:c>
    </x:row>
    <x:row r="81">
      <x:c r="A81" s="14" t="str">
        <x:v>S0007-02</x:v>
      </x:c>
      <x:c r="B81" s="14" t="str">
        <x:v>S0007</x:v>
      </x:c>
      <x:c r="C81" s="14" t="str">
        <x:v>工作日</x:v>
      </x:c>
      <x:c r="D81" s="14" t="str">
        <x:v>环线1路</x:v>
      </x:c>
      <x:c r="E81" s="14" t="str">
        <x:v>第一班</x:v>
      </x:c>
      <x:c r="F81" s="14" t="n">
        <x:v>7</x:v>
      </x:c>
      <x:c r="G81" s="14" t="str">
        <x:v>11:15</x:v>
      </x:c>
      <x:c r="H81" s="14" t="str">
        <x:v>研究生宿舍楼</x:v>
      </x:c>
      <x:c r="I81" s="14" t="str">
        <x:v>否</x:v>
      </x:c>
      <x:c r="J81" s="14" t="n">
        <x:v>2</x:v>
      </x:c>
      <x:c r="K81" s="14" t="str">
        <x:v>东门</x:v>
      </x:c>
      <x:c r="L81" s="14" t="n">
        <x:v>1</x:v>
      </x:c>
      <x:c r="M81" s="14" t="str">
        <x:v>11:16</x:v>
      </x:c>
      <x:c r="N81" s="14" t="str">
        <x:v>否</x:v>
      </x:c>
      <x:c r="O81" s="14" t="str">
        <x:v>否</x:v>
      </x:c>
      <x:c r="P81" s="14" t="str">
        <x:v>未提供</x:v>
      </x:c>
      <x:c r="Q81" s="14" t="str">
        <x:v>未提供</x:v>
      </x:c>
      <x:c r="R81" s="14" t="str">
        <x:v>预测</x:v>
      </x:c>
      <x:c r="S81" s="14" t="str">
        <x:v>到站时间为估算值</x:v>
      </x:c>
      <x:c r="T81" t="str">
        <x:v>研究生宿舍楼发车</x:v>
      </x:c>
    </x:row>
    <x:row r="82">
      <x:c r="A82" s="14" t="str">
        <x:v>S0007-03</x:v>
      </x:c>
      <x:c r="B82" s="14" t="str">
        <x:v>S0007</x:v>
      </x:c>
      <x:c r="C82" s="14" t="str">
        <x:v>工作日</x:v>
      </x:c>
      <x:c r="D82" s="14" t="str">
        <x:v>环线1路</x:v>
      </x:c>
      <x:c r="E82" s="14" t="str">
        <x:v>第一班</x:v>
      </x:c>
      <x:c r="F82" s="14" t="n">
        <x:v>7</x:v>
      </x:c>
      <x:c r="G82" s="14" t="str">
        <x:v>11:15</x:v>
      </x:c>
      <x:c r="H82" s="14" t="str">
        <x:v>研究生宿舍楼</x:v>
      </x:c>
      <x:c r="I82" s="14" t="str">
        <x:v>否</x:v>
      </x:c>
      <x:c r="J82" s="14" t="n">
        <x:v>3</x:v>
      </x:c>
      <x:c r="K82" s="14" t="str">
        <x:v>2号宿舍楼</x:v>
      </x:c>
      <x:c r="L82" s="14" t="n">
        <x:v>2</x:v>
      </x:c>
      <x:c r="M82" s="14" t="str">
        <x:v>11:17</x:v>
      </x:c>
      <x:c r="N82" s="14" t="str">
        <x:v>否</x:v>
      </x:c>
      <x:c r="O82" s="14" t="str">
        <x:v>否</x:v>
      </x:c>
      <x:c r="P82" s="14" t="str">
        <x:v>未提供</x:v>
      </x:c>
      <x:c r="Q82" s="14" t="str">
        <x:v>未提供</x:v>
      </x:c>
      <x:c r="R82" s="14" t="str">
        <x:v>预测</x:v>
      </x:c>
      <x:c r="S82" s="14" t="str">
        <x:v>到站时间为估算值</x:v>
      </x:c>
      <x:c r="T82" t="str">
        <x:v>研究生宿舍楼发车</x:v>
      </x:c>
    </x:row>
    <x:row r="83">
      <x:c r="A83" s="14" t="str">
        <x:v>S0007-04</x:v>
      </x:c>
      <x:c r="B83" s="14" t="str">
        <x:v>S0007</x:v>
      </x:c>
      <x:c r="C83" s="14" t="str">
        <x:v>工作日</x:v>
      </x:c>
      <x:c r="D83" s="14" t="str">
        <x:v>环线1路</x:v>
      </x:c>
      <x:c r="E83" s="14" t="str">
        <x:v>第一班</x:v>
      </x:c>
      <x:c r="F83" s="14" t="n">
        <x:v>7</x:v>
      </x:c>
      <x:c r="G83" s="14" t="str">
        <x:v>11:15</x:v>
      </x:c>
      <x:c r="H83" s="14" t="str">
        <x:v>研究生宿舍楼</x:v>
      </x:c>
      <x:c r="I83" s="14" t="str">
        <x:v>否</x:v>
      </x:c>
      <x:c r="J83" s="14" t="n">
        <x:v>4</x:v>
      </x:c>
      <x:c r="K83" s="14" t="str">
        <x:v>军体活动中心</x:v>
      </x:c>
      <x:c r="L83" s="14" t="n">
        <x:v>3</x:v>
      </x:c>
      <x:c r="M83" s="14" t="str">
        <x:v>11:18</x:v>
      </x:c>
      <x:c r="N83" s="14" t="str">
        <x:v>否</x:v>
      </x:c>
      <x:c r="O83" s="14" t="str">
        <x:v>否</x:v>
      </x:c>
      <x:c r="P83" s="14" t="str">
        <x:v>未提供</x:v>
      </x:c>
      <x:c r="Q83" s="14" t="str">
        <x:v>未提供</x:v>
      </x:c>
      <x:c r="R83" s="14" t="str">
        <x:v>预测</x:v>
      </x:c>
      <x:c r="S83" s="14" t="str">
        <x:v>到站时间为估算值</x:v>
      </x:c>
      <x:c r="T83" t="str">
        <x:v>研究生宿舍楼发车</x:v>
      </x:c>
    </x:row>
    <x:row r="84">
      <x:c r="A84" s="14" t="str">
        <x:v>S0007-05</x:v>
      </x:c>
      <x:c r="B84" s="14" t="str">
        <x:v>S0007</x:v>
      </x:c>
      <x:c r="C84" s="14" t="str">
        <x:v>工作日</x:v>
      </x:c>
      <x:c r="D84" s="14" t="str">
        <x:v>环线1路</x:v>
      </x:c>
      <x:c r="E84" s="14" t="str">
        <x:v>第一班</x:v>
      </x:c>
      <x:c r="F84" s="14" t="n">
        <x:v>7</x:v>
      </x:c>
      <x:c r="G84" s="14" t="str">
        <x:v>11:15</x:v>
      </x:c>
      <x:c r="H84" s="14" t="str">
        <x:v>研究生宿舍楼</x:v>
      </x:c>
      <x:c r="I84" s="14" t="str">
        <x:v>否</x:v>
      </x:c>
      <x:c r="J84" s="14" t="n">
        <x:v>5</x:v>
      </x:c>
      <x:c r="K84" s="14" t="str">
        <x:v>激光所</x:v>
      </x:c>
      <x:c r="L84" s="14" t="n">
        <x:v>5</x:v>
      </x:c>
      <x:c r="M84" s="14" t="str">
        <x:v>11:20</x:v>
      </x:c>
      <x:c r="N84" s="14" t="str">
        <x:v>否</x:v>
      </x:c>
      <x:c r="O84" s="14" t="str">
        <x:v>否</x:v>
      </x:c>
      <x:c r="P84" s="14" t="str">
        <x:v>未提供</x:v>
      </x:c>
      <x:c r="Q84" s="14" t="str">
        <x:v>未提供</x:v>
      </x:c>
      <x:c r="R84" s="14" t="str">
        <x:v>预测</x:v>
      </x:c>
      <x:c r="S84" s="14" t="str">
        <x:v>到站时间为估算值</x:v>
      </x:c>
      <x:c r="T84" t="str">
        <x:v>研究生宿舍楼发车</x:v>
      </x:c>
    </x:row>
    <x:row r="85">
      <x:c r="A85" s="14" t="str">
        <x:v>S0007-06</x:v>
      </x:c>
      <x:c r="B85" s="14" t="str">
        <x:v>S0007</x:v>
      </x:c>
      <x:c r="C85" s="14" t="str">
        <x:v>工作日</x:v>
      </x:c>
      <x:c r="D85" s="14" t="str">
        <x:v>环线1路</x:v>
      </x:c>
      <x:c r="E85" s="14" t="str">
        <x:v>第一班</x:v>
      </x:c>
      <x:c r="F85" s="14" t="n">
        <x:v>7</x:v>
      </x:c>
      <x:c r="G85" s="14" t="str">
        <x:v>11:15</x:v>
      </x:c>
      <x:c r="H85" s="14" t="str">
        <x:v>研究生宿舍楼</x:v>
      </x:c>
      <x:c r="I85" s="14" t="str">
        <x:v>否</x:v>
      </x:c>
      <x:c r="J85" s="14" t="n">
        <x:v>6</x:v>
      </x:c>
      <x:c r="K85" s="14" t="str">
        <x:v>超算中心</x:v>
      </x:c>
      <x:c r="L85" s="14" t="n">
        <x:v>6</x:v>
      </x:c>
      <x:c r="M85" s="14" t="str">
        <x:v>11:21</x:v>
      </x:c>
      <x:c r="N85" s="14" t="str">
        <x:v>否</x:v>
      </x:c>
      <x:c r="O85" s="14" t="str">
        <x:v>否</x:v>
      </x:c>
      <x:c r="P85" s="14" t="str">
        <x:v>未提供</x:v>
      </x:c>
      <x:c r="Q85" s="14" t="str">
        <x:v>未提供</x:v>
      </x:c>
      <x:c r="R85" s="14" t="str">
        <x:v>预测</x:v>
      </x:c>
      <x:c r="S85" s="14" t="str">
        <x:v>到站时间为估算值</x:v>
      </x:c>
      <x:c r="T85" t="str">
        <x:v>研究生宿舍楼发车</x:v>
      </x:c>
    </x:row>
    <x:row r="86">
      <x:c r="A86" s="14" t="str">
        <x:v>S0007-07</x:v>
      </x:c>
      <x:c r="B86" s="14" t="str">
        <x:v>S0007</x:v>
      </x:c>
      <x:c r="C86" s="14" t="str">
        <x:v>工作日</x:v>
      </x:c>
      <x:c r="D86" s="14" t="str">
        <x:v>环线1路</x:v>
      </x:c>
      <x:c r="E86" s="14" t="str">
        <x:v>第一班</x:v>
      </x:c>
      <x:c r="F86" s="14" t="n">
        <x:v>7</x:v>
      </x:c>
      <x:c r="G86" s="14" t="str">
        <x:v>11:15</x:v>
      </x:c>
      <x:c r="H86" s="14" t="str">
        <x:v>研究生宿舍楼</x:v>
      </x:c>
      <x:c r="I86" s="14" t="str">
        <x:v>否</x:v>
      </x:c>
      <x:c r="J86" s="14" t="n">
        <x:v>7</x:v>
      </x:c>
      <x:c r="K86" s="14" t="str">
        <x:v>北门</x:v>
      </x:c>
      <x:c r="L86" s="14" t="n">
        <x:v>8</x:v>
      </x:c>
      <x:c r="M86" s="14" t="str">
        <x:v>11:23</x:v>
      </x:c>
      <x:c r="N86" s="14" t="str">
        <x:v>否</x:v>
      </x:c>
      <x:c r="O86" s="14" t="str">
        <x:v>否</x:v>
      </x:c>
      <x:c r="P86" s="14" t="str">
        <x:v>未提供</x:v>
      </x:c>
      <x:c r="Q86" s="14" t="str">
        <x:v>未提供</x:v>
      </x:c>
      <x:c r="R86" s="14" t="str">
        <x:v>预测</x:v>
      </x:c>
      <x:c r="S86" s="14" t="str">
        <x:v>到站时间为估算值</x:v>
      </x:c>
      <x:c r="T86" t="str">
        <x:v>研究生宿舍楼发车</x:v>
      </x:c>
    </x:row>
    <x:row r="87">
      <x:c r="A87" s="14" t="str">
        <x:v>S0007-08</x:v>
      </x:c>
      <x:c r="B87" s="14" t="str">
        <x:v>S0007</x:v>
      </x:c>
      <x:c r="C87" s="14" t="str">
        <x:v>工作日</x:v>
      </x:c>
      <x:c r="D87" s="14" t="str">
        <x:v>环线1路</x:v>
      </x:c>
      <x:c r="E87" s="14" t="str">
        <x:v>第一班</x:v>
      </x:c>
      <x:c r="F87" s="14" t="n">
        <x:v>7</x:v>
      </x:c>
      <x:c r="G87" s="14" t="str">
        <x:v>11:15</x:v>
      </x:c>
      <x:c r="H87" s="14" t="str">
        <x:v>研究生宿舍楼</x:v>
      </x:c>
      <x:c r="I87" s="14" t="str">
        <x:v>否</x:v>
      </x:c>
      <x:c r="J87" s="14" t="n">
        <x:v>8</x:v>
      </x:c>
      <x:c r="K87" s="14" t="str">
        <x:v>高超楼</x:v>
      </x:c>
      <x:c r="L87" s="14" t="n">
        <x:v>9</x:v>
      </x:c>
      <x:c r="M87" s="14" t="str">
        <x:v>11:24</x:v>
      </x:c>
      <x:c r="N87" s="14" t="str">
        <x:v>否</x:v>
      </x:c>
      <x:c r="O87" s="14" t="str">
        <x:v>否</x:v>
      </x:c>
      <x:c r="P87" s="14" t="str">
        <x:v>未提供</x:v>
      </x:c>
      <x:c r="Q87" s="14" t="str">
        <x:v>未提供</x:v>
      </x:c>
      <x:c r="R87" s="14" t="str">
        <x:v>预测</x:v>
      </x:c>
      <x:c r="S87" s="14" t="str">
        <x:v>到站时间为估算值</x:v>
      </x:c>
      <x:c r="T87" t="str">
        <x:v>研究生宿舍楼发车</x:v>
      </x:c>
    </x:row>
    <x:row r="88">
      <x:c r="A88" s="14" t="str">
        <x:v>S0007-09</x:v>
      </x:c>
      <x:c r="B88" s="14" t="str">
        <x:v>S0007</x:v>
      </x:c>
      <x:c r="C88" s="14" t="str">
        <x:v>工作日</x:v>
      </x:c>
      <x:c r="D88" s="14" t="str">
        <x:v>环线1路</x:v>
      </x:c>
      <x:c r="E88" s="14" t="str">
        <x:v>第一班</x:v>
      </x:c>
      <x:c r="F88" s="14" t="n">
        <x:v>7</x:v>
      </x:c>
      <x:c r="G88" s="14" t="str">
        <x:v>11:15</x:v>
      </x:c>
      <x:c r="H88" s="14" t="str">
        <x:v>研究生宿舍楼</x:v>
      </x:c>
      <x:c r="I88" s="14" t="str">
        <x:v>否</x:v>
      </x:c>
      <x:c r="J88" s="14" t="n">
        <x:v>9</x:v>
      </x:c>
      <x:c r="K88" s="14" t="str">
        <x:v>理学院</x:v>
      </x:c>
      <x:c r="L88" s="14" t="n">
        <x:v>10</x:v>
      </x:c>
      <x:c r="M88" s="14" t="str">
        <x:v>11:25</x:v>
      </x:c>
      <x:c r="N88" s="14" t="str">
        <x:v>否</x:v>
      </x:c>
      <x:c r="O88" s="14" t="str">
        <x:v>否</x:v>
      </x:c>
      <x:c r="P88" s="14" t="str">
        <x:v>未提供</x:v>
      </x:c>
      <x:c r="Q88" s="14" t="str">
        <x:v>未提供</x:v>
      </x:c>
      <x:c r="R88" s="14" t="str">
        <x:v>预测</x:v>
      </x:c>
      <x:c r="S88" s="14" t="str">
        <x:v>到站时间为估算值</x:v>
      </x:c>
      <x:c r="T88" t="str">
        <x:v>研究生宿舍楼发车</x:v>
      </x:c>
    </x:row>
    <x:row r="89">
      <x:c r="A89" s="14" t="str">
        <x:v>S0007-10</x:v>
      </x:c>
      <x:c r="B89" s="14" t="str">
        <x:v>S0007</x:v>
      </x:c>
      <x:c r="C89" s="14" t="str">
        <x:v>工作日</x:v>
      </x:c>
      <x:c r="D89" s="14" t="str">
        <x:v>环线1路</x:v>
      </x:c>
      <x:c r="E89" s="14" t="str">
        <x:v>第一班</x:v>
      </x:c>
      <x:c r="F89" s="14" t="n">
        <x:v>7</x:v>
      </x:c>
      <x:c r="G89" s="14" t="str">
        <x:v>11:15</x:v>
      </x:c>
      <x:c r="H89" s="14" t="str">
        <x:v>研究生宿舍楼</x:v>
      </x:c>
      <x:c r="I89" s="14" t="str">
        <x:v>否</x:v>
      </x:c>
      <x:c r="J89" s="14" t="n">
        <x:v>10</x:v>
      </x:c>
      <x:c r="K89" s="14" t="str">
        <x:v>二食堂</x:v>
      </x:c>
      <x:c r="L89" s="14" t="n">
        <x:v>13</x:v>
      </x:c>
      <x:c r="M89" s="14" t="str">
        <x:v>11:28</x:v>
      </x:c>
      <x:c r="N89" s="14" t="str">
        <x:v>否</x:v>
      </x:c>
      <x:c r="O89" s="14" t="str">
        <x:v>否</x:v>
      </x:c>
      <x:c r="P89" s="14" t="str">
        <x:v>未提供</x:v>
      </x:c>
      <x:c r="Q89" s="14" t="str">
        <x:v>未提供</x:v>
      </x:c>
      <x:c r="R89" s="14" t="str">
        <x:v>预测</x:v>
      </x:c>
      <x:c r="S89" s="14" t="str">
        <x:v>到站时间为估算值</x:v>
      </x:c>
      <x:c r="T89" t="str">
        <x:v>研究生宿舍楼发车</x:v>
      </x:c>
    </x:row>
    <x:row r="90">
      <x:c r="A90" s="14" t="str">
        <x:v>S0007-11</x:v>
      </x:c>
      <x:c r="B90" s="14" t="str">
        <x:v>S0007</x:v>
      </x:c>
      <x:c r="C90" s="14" t="str">
        <x:v>工作日</x:v>
      </x:c>
      <x:c r="D90" s="14" t="str">
        <x:v>环线1路</x:v>
      </x:c>
      <x:c r="E90" s="14" t="str">
        <x:v>第一班</x:v>
      </x:c>
      <x:c r="F90" s="14" t="n">
        <x:v>7</x:v>
      </x:c>
      <x:c r="G90" s="14" t="str">
        <x:v>11:15</x:v>
      </x:c>
      <x:c r="H90" s="14" t="str">
        <x:v>研究生宿舍楼</x:v>
      </x:c>
      <x:c r="I90" s="14" t="str">
        <x:v>否</x:v>
      </x:c>
      <x:c r="J90" s="14" t="n">
        <x:v>11</x:v>
      </x:c>
      <x:c r="K90" s="14" t="str">
        <x:v>5号宿舍楼</x:v>
      </x:c>
      <x:c r="L90" s="14" t="n">
        <x:v>14</x:v>
      </x:c>
      <x:c r="M90" s="14" t="str">
        <x:v>11:29</x:v>
      </x:c>
      <x:c r="N90" s="14" t="str">
        <x:v>否</x:v>
      </x:c>
      <x:c r="O90" s="14" t="str">
        <x:v>否</x:v>
      </x:c>
      <x:c r="P90" s="14" t="str">
        <x:v>未提供</x:v>
      </x:c>
      <x:c r="Q90" s="14" t="str">
        <x:v>未提供</x:v>
      </x:c>
      <x:c r="R90" s="14" t="str">
        <x:v>预测</x:v>
      </x:c>
      <x:c r="S90" s="14" t="str">
        <x:v>到站时间为估算值</x:v>
      </x:c>
      <x:c r="T90" t="str">
        <x:v>研究生宿舍楼发车</x:v>
      </x:c>
    </x:row>
    <x:row r="91">
      <x:c r="A91" s="14" t="str">
        <x:v>S0007-12</x:v>
      </x:c>
      <x:c r="B91" s="14" t="str">
        <x:v>S0007</x:v>
      </x:c>
      <x:c r="C91" s="14" t="str">
        <x:v>工作日</x:v>
      </x:c>
      <x:c r="D91" s="14" t="str">
        <x:v>环线1路</x:v>
      </x:c>
      <x:c r="E91" s="14" t="str">
        <x:v>第一班</x:v>
      </x:c>
      <x:c r="F91" s="14" t="n">
        <x:v>7</x:v>
      </x:c>
      <x:c r="G91" s="14" t="str">
        <x:v>11:15</x:v>
      </x:c>
      <x:c r="H91" s="14" t="str">
        <x:v>研究生宿舍楼</x:v>
      </x:c>
      <x:c r="I91" s="14" t="str">
        <x:v>否</x:v>
      </x:c>
      <x:c r="J91" s="14" t="n">
        <x:v>12</x:v>
      </x:c>
      <x:c r="K91" s="14" t="str">
        <x:v>305教学楼</x:v>
      </x:c>
      <x:c r="L91" s="14" t="n">
        <x:v>15</x:v>
      </x:c>
      <x:c r="M91" s="14" t="str">
        <x:v>11:30</x:v>
      </x:c>
      <x:c r="N91" s="14" t="str">
        <x:v>否</x:v>
      </x:c>
      <x:c r="O91" s="14" t="str">
        <x:v>否</x:v>
      </x:c>
      <x:c r="P91" s="14" t="str">
        <x:v>未提供</x:v>
      </x:c>
      <x:c r="Q91" s="14" t="str">
        <x:v>未提供</x:v>
      </x:c>
      <x:c r="R91" s="14" t="str">
        <x:v>预测</x:v>
      </x:c>
      <x:c r="S91" s="14" t="str">
        <x:v>到站时间为估算值</x:v>
      </x:c>
      <x:c r="T91" t="str">
        <x:v>研究生宿舍楼发车</x:v>
      </x:c>
    </x:row>
    <x:row r="92">
      <x:c r="A92" s="14" t="str">
        <x:v>S0007-13</x:v>
      </x:c>
      <x:c r="B92" s="14" t="str">
        <x:v>S0007</x:v>
      </x:c>
      <x:c r="C92" s="14" t="str">
        <x:v>工作日</x:v>
      </x:c>
      <x:c r="D92" s="14" t="str">
        <x:v>环线1路</x:v>
      </x:c>
      <x:c r="E92" s="14" t="str">
        <x:v>第一班</x:v>
      </x:c>
      <x:c r="F92" s="14" t="n">
        <x:v>7</x:v>
      </x:c>
      <x:c r="G92" s="14" t="str">
        <x:v>11:15</x:v>
      </x:c>
      <x:c r="H92" s="14" t="str">
        <x:v>研究生宿舍楼</x:v>
      </x:c>
      <x:c r="I92" s="14" t="str">
        <x:v>否</x:v>
      </x:c>
      <x:c r="J92" s="14" t="n">
        <x:v>13</x:v>
      </x:c>
      <x:c r="K92" s="14" t="str">
        <x:v>研究生宿舍楼</x:v>
      </x:c>
      <x:c r="L92" s="14" t="n">
        <x:v>17</x:v>
      </x:c>
      <x:c r="M92" s="14" t="str">
        <x:v>11:32</x:v>
      </x:c>
      <x:c r="N92" s="14" t="str">
        <x:v>否</x:v>
      </x:c>
      <x:c r="O92" s="14" t="str">
        <x:v>是</x:v>
      </x:c>
      <x:c r="P92" s="14" t="str">
        <x:v>未提供</x:v>
      </x:c>
      <x:c r="Q92" s="14" t="str">
        <x:v>未提供</x:v>
      </x:c>
      <x:c r="R92" s="14" t="str">
        <x:v>预测</x:v>
      </x:c>
      <x:c r="S92" s="14" t="str">
        <x:v>到站时间为估算值</x:v>
      </x:c>
      <x:c r="T92" t="str">
        <x:v>研究生宿舍楼发车</x:v>
      </x:c>
    </x:row>
    <x:row r="93">
      <x:c r="A93" s="14" t="str">
        <x:v>S0008-01</x:v>
      </x:c>
      <x:c r="B93" s="14" t="str">
        <x:v>S0008</x:v>
      </x:c>
      <x:c r="C93" s="14" t="str">
        <x:v>工作日</x:v>
      </x:c>
      <x:c r="D93" s="14" t="str">
        <x:v>环线1路</x:v>
      </x:c>
      <x:c r="E93" s="14" t="str">
        <x:v>第一班</x:v>
      </x:c>
      <x:c r="F93" s="14" t="n">
        <x:v>8</x:v>
      </x:c>
      <x:c r="G93" s="14" t="str">
        <x:v>11:30</x:v>
      </x:c>
      <x:c r="H93" s="14" t="str">
        <x:v>高超楼（就餐专线）</x:v>
      </x:c>
      <x:c r="I93" s="14" t="str">
        <x:v>是</x:v>
      </x:c>
      <x:c r="J93" s="14" t="n">
        <x:v>1</x:v>
      </x:c>
      <x:c r="K93" s="14" t="str">
        <x:v>高超楼</x:v>
      </x:c>
      <x:c r="L93" s="14" t="n">
        <x:v>0</x:v>
      </x:c>
      <x:c r="M93" s="14" t="str">
        <x:v>11:30</x:v>
      </x:c>
      <x:c r="N93" s="14" t="str">
        <x:v>是</x:v>
      </x:c>
      <x:c r="O93" s="14" t="str">
        <x:v>否</x:v>
      </x:c>
      <x:c r="P93" s="14" t="str">
        <x:v>未提供</x:v>
      </x:c>
      <x:c r="Q93" s="14" t="str">
        <x:v>未提供</x:v>
      </x:c>
      <x:c r="R93" s="14" t="str">
        <x:v>预测</x:v>
      </x:c>
      <x:c r="S93" s="14" t="str">
        <x:v>到站时间为估算值；该打勾车次按就餐专线运行</x:v>
      </x:c>
      <x:c r="T93" t="str">
        <x:v>高超楼发车（就餐专线）</x:v>
      </x:c>
    </x:row>
    <x:row r="94">
      <x:c r="A94" s="14" t="str">
        <x:v>S0008-02</x:v>
      </x:c>
      <x:c r="B94" s="14" t="str">
        <x:v>S0008</x:v>
      </x:c>
      <x:c r="C94" s="14" t="str">
        <x:v>工作日</x:v>
      </x:c>
      <x:c r="D94" s="14" t="str">
        <x:v>环线1路</x:v>
      </x:c>
      <x:c r="E94" s="14" t="str">
        <x:v>第一班</x:v>
      </x:c>
      <x:c r="F94" s="14" t="n">
        <x:v>8</x:v>
      </x:c>
      <x:c r="G94" s="14" t="str">
        <x:v>11:30</x:v>
      </x:c>
      <x:c r="H94" s="14" t="str">
        <x:v>高超楼（就餐专线）</x:v>
      </x:c>
      <x:c r="I94" s="14" t="str">
        <x:v>是</x:v>
      </x:c>
      <x:c r="J94" s="14" t="n">
        <x:v>2</x:v>
      </x:c>
      <x:c r="K94" s="14" t="str">
        <x:v>理学院</x:v>
      </x:c>
      <x:c r="L94" s="14" t="n">
        <x:v>1</x:v>
      </x:c>
      <x:c r="M94" s="14" t="str">
        <x:v>11:31</x:v>
      </x:c>
      <x:c r="N94" s="14" t="str">
        <x:v>否</x:v>
      </x:c>
      <x:c r="O94" s="14" t="str">
        <x:v>否</x:v>
      </x:c>
      <x:c r="P94" s="14" t="str">
        <x:v>未提供</x:v>
      </x:c>
      <x:c r="Q94" s="14" t="str">
        <x:v>未提供</x:v>
      </x:c>
      <x:c r="R94" s="14" t="str">
        <x:v>预测</x:v>
      </x:c>
      <x:c r="S94" s="14" t="str">
        <x:v>到站时间为估算值；该打勾车次按就餐专线运行</x:v>
      </x:c>
      <x:c r="T94" t="str">
        <x:v>高超楼发车（就餐专线）</x:v>
      </x:c>
    </x:row>
    <x:row r="95">
      <x:c r="A95" s="14" t="str">
        <x:v>S0008-03</x:v>
      </x:c>
      <x:c r="B95" s="14" t="str">
        <x:v>S0008</x:v>
      </x:c>
      <x:c r="C95" s="14" t="str">
        <x:v>工作日</x:v>
      </x:c>
      <x:c r="D95" s="14" t="str">
        <x:v>环线1路</x:v>
      </x:c>
      <x:c r="E95" s="14" t="str">
        <x:v>第一班</x:v>
      </x:c>
      <x:c r="F95" s="14" t="n">
        <x:v>8</x:v>
      </x:c>
      <x:c r="G95" s="14" t="str">
        <x:v>11:30</x:v>
      </x:c>
      <x:c r="H95" s="14" t="str">
        <x:v>高超楼（就餐专线）</x:v>
      </x:c>
      <x:c r="I95" s="14" t="str">
        <x:v>是</x:v>
      </x:c>
      <x:c r="J95" s="14" t="n">
        <x:v>3</x:v>
      </x:c>
      <x:c r="K95" s="14" t="str">
        <x:v>二食堂</x:v>
      </x:c>
      <x:c r="L95" s="14" t="n">
        <x:v>4</x:v>
      </x:c>
      <x:c r="M95" s="14" t="str">
        <x:v>11:34</x:v>
      </x:c>
      <x:c r="N95" s="14" t="str">
        <x:v>否</x:v>
      </x:c>
      <x:c r="O95" s="14" t="str">
        <x:v>否</x:v>
      </x:c>
      <x:c r="P95" s="14" t="str">
        <x:v>未提供</x:v>
      </x:c>
      <x:c r="Q95" s="14" t="str">
        <x:v>未提供</x:v>
      </x:c>
      <x:c r="R95" s="14" t="str">
        <x:v>预测</x:v>
      </x:c>
      <x:c r="S95" s="14" t="str">
        <x:v>到站时间为估算值；该打勾车次按就餐专线运行</x:v>
      </x:c>
      <x:c r="T95" t="str">
        <x:v>高超楼发车（就餐专线）</x:v>
      </x:c>
    </x:row>
    <x:row r="96">
      <x:c r="A96" s="14" t="str">
        <x:v>S0008-04</x:v>
      </x:c>
      <x:c r="B96" s="14" t="str">
        <x:v>S0008</x:v>
      </x:c>
      <x:c r="C96" s="14" t="str">
        <x:v>工作日</x:v>
      </x:c>
      <x:c r="D96" s="14" t="str">
        <x:v>环线1路</x:v>
      </x:c>
      <x:c r="E96" s="14" t="str">
        <x:v>第一班</x:v>
      </x:c>
      <x:c r="F96" s="14" t="n">
        <x:v>8</x:v>
      </x:c>
      <x:c r="G96" s="14" t="str">
        <x:v>11:30</x:v>
      </x:c>
      <x:c r="H96" s="14" t="str">
        <x:v>高超楼（就餐专线）</x:v>
      </x:c>
      <x:c r="I96" s="14" t="str">
        <x:v>是</x:v>
      </x:c>
      <x:c r="J96" s="14" t="n">
        <x:v>4</x:v>
      </x:c>
      <x:c r="K96" s="14" t="str">
        <x:v>一食堂</x:v>
      </x:c>
      <x:c r="L96" s="14" t="n">
        <x:v>6</x:v>
      </x:c>
      <x:c r="M96" s="14" t="str">
        <x:v>11:36</x:v>
      </x:c>
      <x:c r="N96" s="14" t="str">
        <x:v>否</x:v>
      </x:c>
      <x:c r="O96" s="14" t="str">
        <x:v>否</x:v>
      </x:c>
      <x:c r="P96" s="14" t="str">
        <x:v>未提供</x:v>
      </x:c>
      <x:c r="Q96" s="14" t="str">
        <x:v>未提供</x:v>
      </x:c>
      <x:c r="R96" s="14" t="str">
        <x:v>预测</x:v>
      </x:c>
      <x:c r="S96" s="14" t="str">
        <x:v>到站时间为估算值；该打勾车次按就餐专线运行</x:v>
      </x:c>
      <x:c r="T96" t="str">
        <x:v>高超楼发车（就餐专线）</x:v>
      </x:c>
    </x:row>
    <x:row r="97">
      <x:c r="A97" s="14" t="str">
        <x:v>S0008-05</x:v>
      </x:c>
      <x:c r="B97" s="14" t="str">
        <x:v>S0008</x:v>
      </x:c>
      <x:c r="C97" s="14" t="str">
        <x:v>工作日</x:v>
      </x:c>
      <x:c r="D97" s="14" t="str">
        <x:v>环线1路</x:v>
      </x:c>
      <x:c r="E97" s="14" t="str">
        <x:v>第一班</x:v>
      </x:c>
      <x:c r="F97" s="14" t="n">
        <x:v>8</x:v>
      </x:c>
      <x:c r="G97" s="14" t="str">
        <x:v>11:30</x:v>
      </x:c>
      <x:c r="H97" s="14" t="str">
        <x:v>高超楼（就餐专线）</x:v>
      </x:c>
      <x:c r="I97" s="14" t="str">
        <x:v>是</x:v>
      </x:c>
      <x:c r="J97" s="14" t="n">
        <x:v>5</x:v>
      </x:c>
      <x:c r="K97" s="14" t="str">
        <x:v>305教学楼</x:v>
      </x:c>
      <x:c r="L97" s="14" t="n">
        <x:v>8</x:v>
      </x:c>
      <x:c r="M97" s="14" t="str">
        <x:v>11:38</x:v>
      </x:c>
      <x:c r="N97" s="14" t="str">
        <x:v>否</x:v>
      </x:c>
      <x:c r="O97" s="14" t="str">
        <x:v>否</x:v>
      </x:c>
      <x:c r="P97" s="14" t="str">
        <x:v>未提供</x:v>
      </x:c>
      <x:c r="Q97" s="14" t="str">
        <x:v>未提供</x:v>
      </x:c>
      <x:c r="R97" s="14" t="str">
        <x:v>预测</x:v>
      </x:c>
      <x:c r="S97" s="14" t="str">
        <x:v>到站时间为估算值；该打勾车次按就餐专线运行</x:v>
      </x:c>
      <x:c r="T97" t="str">
        <x:v>高超楼发车（就餐专线）</x:v>
      </x:c>
    </x:row>
    <x:row r="98">
      <x:c r="A98" s="14" t="str">
        <x:v>S0008-06</x:v>
      </x:c>
      <x:c r="B98" s="14" t="str">
        <x:v>S0008</x:v>
      </x:c>
      <x:c r="C98" s="14" t="str">
        <x:v>工作日</x:v>
      </x:c>
      <x:c r="D98" s="14" t="str">
        <x:v>环线1路</x:v>
      </x:c>
      <x:c r="E98" s="14" t="str">
        <x:v>第一班</x:v>
      </x:c>
      <x:c r="F98" s="14" t="n">
        <x:v>8</x:v>
      </x:c>
      <x:c r="G98" s="14" t="str">
        <x:v>11:30</x:v>
      </x:c>
      <x:c r="H98" s="14" t="str">
        <x:v>高超楼（就餐专线）</x:v>
      </x:c>
      <x:c r="I98" s="14" t="str">
        <x:v>是</x:v>
      </x:c>
      <x:c r="J98" s="14" t="n">
        <x:v>6</x:v>
      </x:c>
      <x:c r="K98" s="14" t="str">
        <x:v>5号宿舍楼</x:v>
      </x:c>
      <x:c r="L98" s="14" t="n">
        <x:v>10</x:v>
      </x:c>
      <x:c r="M98" s="14" t="str">
        <x:v>11:40</x:v>
      </x:c>
      <x:c r="N98" s="14" t="str">
        <x:v>否</x:v>
      </x:c>
      <x:c r="O98" s="14" t="str">
        <x:v>否</x:v>
      </x:c>
      <x:c r="P98" s="14" t="str">
        <x:v>未提供</x:v>
      </x:c>
      <x:c r="Q98" s="14" t="str">
        <x:v>未提供</x:v>
      </x:c>
      <x:c r="R98" s="14" t="str">
        <x:v>预测</x:v>
      </x:c>
      <x:c r="S98" s="14" t="str">
        <x:v>到站时间为估算值；该打勾车次按就餐专线运行</x:v>
      </x:c>
      <x:c r="T98" t="str">
        <x:v>高超楼发车（就餐专线）</x:v>
      </x:c>
    </x:row>
    <x:row r="99">
      <x:c r="A99" s="14" t="str">
        <x:v>S0008-07</x:v>
      </x:c>
      <x:c r="B99" s="14" t="str">
        <x:v>S0008</x:v>
      </x:c>
      <x:c r="C99" s="14" t="str">
        <x:v>工作日</x:v>
      </x:c>
      <x:c r="D99" s="14" t="str">
        <x:v>环线1路</x:v>
      </x:c>
      <x:c r="E99" s="14" t="str">
        <x:v>第一班</x:v>
      </x:c>
      <x:c r="F99" s="14" t="n">
        <x:v>8</x:v>
      </x:c>
      <x:c r="G99" s="14" t="str">
        <x:v>11:30</x:v>
      </x:c>
      <x:c r="H99" s="14" t="str">
        <x:v>高超楼（就餐专线）</x:v>
      </x:c>
      <x:c r="I99" s="14" t="str">
        <x:v>是</x:v>
      </x:c>
      <x:c r="J99" s="14" t="n">
        <x:v>7</x:v>
      </x:c>
      <x:c r="K99" s="14" t="str">
        <x:v>二食堂北</x:v>
      </x:c>
      <x:c r="L99" s="14" t="n">
        <x:v>12</x:v>
      </x:c>
      <x:c r="M99" s="14" t="str">
        <x:v>11:42</x:v>
      </x:c>
      <x:c r="N99" s="14" t="str">
        <x:v>否</x:v>
      </x:c>
      <x:c r="O99" s="14" t="str">
        <x:v>否</x:v>
      </x:c>
      <x:c r="P99" s="14" t="str">
        <x:v>未提供</x:v>
      </x:c>
      <x:c r="Q99" s="14" t="str">
        <x:v>未提供</x:v>
      </x:c>
      <x:c r="R99" s="14" t="str">
        <x:v>预测</x:v>
      </x:c>
      <x:c r="S99" s="14" t="str">
        <x:v>到站时间为估算值；该打勾车次按就餐专线运行</x:v>
      </x:c>
      <x:c r="T99" t="str">
        <x:v>高超楼发车（就餐专线）</x:v>
      </x:c>
    </x:row>
    <x:row r="100">
      <x:c r="A100" s="14" t="str">
        <x:v>S0008-08</x:v>
      </x:c>
      <x:c r="B100" s="14" t="str">
        <x:v>S0008</x:v>
      </x:c>
      <x:c r="C100" s="14" t="str">
        <x:v>工作日</x:v>
      </x:c>
      <x:c r="D100" s="14" t="str">
        <x:v>环线1路</x:v>
      </x:c>
      <x:c r="E100" s="14" t="str">
        <x:v>第一班</x:v>
      </x:c>
      <x:c r="F100" s="14" t="n">
        <x:v>8</x:v>
      </x:c>
      <x:c r="G100" s="14" t="str">
        <x:v>11:30</x:v>
      </x:c>
      <x:c r="H100" s="14" t="str">
        <x:v>高超楼（就餐专线）</x:v>
      </x:c>
      <x:c r="I100" s="14" t="str">
        <x:v>是</x:v>
      </x:c>
      <x:c r="J100" s="14" t="n">
        <x:v>8</x:v>
      </x:c>
      <x:c r="K100" s="14" t="str">
        <x:v>理学院</x:v>
      </x:c>
      <x:c r="L100" s="14" t="n">
        <x:v>15</x:v>
      </x:c>
      <x:c r="M100" s="14" t="str">
        <x:v>11:45</x:v>
      </x:c>
      <x:c r="N100" s="14" t="str">
        <x:v>否</x:v>
      </x:c>
      <x:c r="O100" s="14" t="str">
        <x:v>否</x:v>
      </x:c>
      <x:c r="P100" s="14" t="str">
        <x:v>未提供</x:v>
      </x:c>
      <x:c r="Q100" s="14" t="str">
        <x:v>未提供</x:v>
      </x:c>
      <x:c r="R100" s="14" t="str">
        <x:v>预测</x:v>
      </x:c>
      <x:c r="S100" s="14" t="str">
        <x:v>到站时间为估算值；该打勾车次按就餐专线运行</x:v>
      </x:c>
      <x:c r="T100" t="str">
        <x:v>高超楼发车（就餐专线）</x:v>
      </x:c>
    </x:row>
    <x:row r="101">
      <x:c r="A101" s="14" t="str">
        <x:v>S0008-09</x:v>
      </x:c>
      <x:c r="B101" s="14" t="str">
        <x:v>S0008</x:v>
      </x:c>
      <x:c r="C101" s="14" t="str">
        <x:v>工作日</x:v>
      </x:c>
      <x:c r="D101" s="14" t="str">
        <x:v>环线1路</x:v>
      </x:c>
      <x:c r="E101" s="14" t="str">
        <x:v>第一班</x:v>
      </x:c>
      <x:c r="F101" s="14" t="n">
        <x:v>8</x:v>
      </x:c>
      <x:c r="G101" s="14" t="str">
        <x:v>11:30</x:v>
      </x:c>
      <x:c r="H101" s="14" t="str">
        <x:v>高超楼（就餐专线）</x:v>
      </x:c>
      <x:c r="I101" s="14" t="str">
        <x:v>是</x:v>
      </x:c>
      <x:c r="J101" s="14" t="n">
        <x:v>9</x:v>
      </x:c>
      <x:c r="K101" s="14" t="str">
        <x:v>高超楼</x:v>
      </x:c>
      <x:c r="L101" s="14" t="n">
        <x:v>16</x:v>
      </x:c>
      <x:c r="M101" s="14" t="str">
        <x:v>11:46</x:v>
      </x:c>
      <x:c r="N101" s="14" t="str">
        <x:v>否</x:v>
      </x:c>
      <x:c r="O101" s="14" t="str">
        <x:v>是</x:v>
      </x:c>
      <x:c r="P101" s="14" t="str">
        <x:v>未提供</x:v>
      </x:c>
      <x:c r="Q101" s="14" t="str">
        <x:v>未提供</x:v>
      </x:c>
      <x:c r="R101" s="14" t="str">
        <x:v>预测</x:v>
      </x:c>
      <x:c r="S101" s="14" t="str">
        <x:v>到站时间为估算值；该打勾车次按就餐专线运行</x:v>
      </x:c>
      <x:c r="T101" t="str">
        <x:v>高超楼发车（就餐专线）</x:v>
      </x:c>
    </x:row>
    <x:row r="102">
      <x:c r="A102" s="14" t="str">
        <x:v>S0009-01</x:v>
      </x:c>
      <x:c r="B102" s="14" t="str">
        <x:v>S0009</x:v>
      </x:c>
      <x:c r="C102" s="14" t="str">
        <x:v>工作日</x:v>
      </x:c>
      <x:c r="D102" s="14" t="str">
        <x:v>环线1路</x:v>
      </x:c>
      <x:c r="E102" s="14" t="str">
        <x:v>第一班</x:v>
      </x:c>
      <x:c r="F102" s="14" t="n">
        <x:v>9</x:v>
      </x:c>
      <x:c r="G102" s="14" t="str">
        <x:v>11:50</x:v>
      </x:c>
      <x:c r="H102" s="14" t="str">
        <x:v>高超楼（就餐专线）</x:v>
      </x:c>
      <x:c r="I102" s="14" t="str">
        <x:v>是</x:v>
      </x:c>
      <x:c r="J102" s="14" t="n">
        <x:v>1</x:v>
      </x:c>
      <x:c r="K102" s="14" t="str">
        <x:v>高超楼</x:v>
      </x:c>
      <x:c r="L102" s="14" t="n">
        <x:v>0</x:v>
      </x:c>
      <x:c r="M102" s="14" t="str">
        <x:v>11:50</x:v>
      </x:c>
      <x:c r="N102" s="14" t="str">
        <x:v>是</x:v>
      </x:c>
      <x:c r="O102" s="14" t="str">
        <x:v>否</x:v>
      </x:c>
      <x:c r="P102" s="14" t="str">
        <x:v>未提供</x:v>
      </x:c>
      <x:c r="Q102" s="14" t="str">
        <x:v>未提供</x:v>
      </x:c>
      <x:c r="R102" s="14" t="str">
        <x:v>预测</x:v>
      </x:c>
      <x:c r="S102" s="14" t="str">
        <x:v>到站时间为估算值；该打勾车次按就餐专线运行</x:v>
      </x:c>
      <x:c r="T102" t="str">
        <x:v>高超楼发车（就餐专线）</x:v>
      </x:c>
    </x:row>
    <x:row r="103">
      <x:c r="A103" s="14" t="str">
        <x:v>S0009-02</x:v>
      </x:c>
      <x:c r="B103" s="14" t="str">
        <x:v>S0009</x:v>
      </x:c>
      <x:c r="C103" s="14" t="str">
        <x:v>工作日</x:v>
      </x:c>
      <x:c r="D103" s="14" t="str">
        <x:v>环线1路</x:v>
      </x:c>
      <x:c r="E103" s="14" t="str">
        <x:v>第一班</x:v>
      </x:c>
      <x:c r="F103" s="14" t="n">
        <x:v>9</x:v>
      </x:c>
      <x:c r="G103" s="14" t="str">
        <x:v>11:50</x:v>
      </x:c>
      <x:c r="H103" s="14" t="str">
        <x:v>高超楼（就餐专线）</x:v>
      </x:c>
      <x:c r="I103" s="14" t="str">
        <x:v>是</x:v>
      </x:c>
      <x:c r="J103" s="14" t="n">
        <x:v>2</x:v>
      </x:c>
      <x:c r="K103" s="14" t="str">
        <x:v>理学院</x:v>
      </x:c>
      <x:c r="L103" s="14" t="n">
        <x:v>1</x:v>
      </x:c>
      <x:c r="M103" s="14" t="str">
        <x:v>11:51</x:v>
      </x:c>
      <x:c r="N103" s="14" t="str">
        <x:v>否</x:v>
      </x:c>
      <x:c r="O103" s="14" t="str">
        <x:v>否</x:v>
      </x:c>
      <x:c r="P103" s="14" t="str">
        <x:v>未提供</x:v>
      </x:c>
      <x:c r="Q103" s="14" t="str">
        <x:v>未提供</x:v>
      </x:c>
      <x:c r="R103" s="14" t="str">
        <x:v>预测</x:v>
      </x:c>
      <x:c r="S103" s="14" t="str">
        <x:v>到站时间为估算值；该打勾车次按就餐专线运行</x:v>
      </x:c>
      <x:c r="T103" t="str">
        <x:v>高超楼发车（就餐专线）</x:v>
      </x:c>
    </x:row>
    <x:row r="104">
      <x:c r="A104" s="14" t="str">
        <x:v>S0009-03</x:v>
      </x:c>
      <x:c r="B104" s="14" t="str">
        <x:v>S0009</x:v>
      </x:c>
      <x:c r="C104" s="14" t="str">
        <x:v>工作日</x:v>
      </x:c>
      <x:c r="D104" s="14" t="str">
        <x:v>环线1路</x:v>
      </x:c>
      <x:c r="E104" s="14" t="str">
        <x:v>第一班</x:v>
      </x:c>
      <x:c r="F104" s="14" t="n">
        <x:v>9</x:v>
      </x:c>
      <x:c r="G104" s="14" t="str">
        <x:v>11:50</x:v>
      </x:c>
      <x:c r="H104" s="14" t="str">
        <x:v>高超楼（就餐专线）</x:v>
      </x:c>
      <x:c r="I104" s="14" t="str">
        <x:v>是</x:v>
      </x:c>
      <x:c r="J104" s="14" t="n">
        <x:v>3</x:v>
      </x:c>
      <x:c r="K104" s="14" t="str">
        <x:v>二食堂</x:v>
      </x:c>
      <x:c r="L104" s="14" t="n">
        <x:v>4</x:v>
      </x:c>
      <x:c r="M104" s="14" t="str">
        <x:v>11:54</x:v>
      </x:c>
      <x:c r="N104" s="14" t="str">
        <x:v>否</x:v>
      </x:c>
      <x:c r="O104" s="14" t="str">
        <x:v>否</x:v>
      </x:c>
      <x:c r="P104" s="14" t="str">
        <x:v>未提供</x:v>
      </x:c>
      <x:c r="Q104" s="14" t="str">
        <x:v>未提供</x:v>
      </x:c>
      <x:c r="R104" s="14" t="str">
        <x:v>预测</x:v>
      </x:c>
      <x:c r="S104" s="14" t="str">
        <x:v>到站时间为估算值；该打勾车次按就餐专线运行</x:v>
      </x:c>
      <x:c r="T104" t="str">
        <x:v>高超楼发车（就餐专线）</x:v>
      </x:c>
    </x:row>
    <x:row r="105">
      <x:c r="A105" s="14" t="str">
        <x:v>S0009-04</x:v>
      </x:c>
      <x:c r="B105" s="14" t="str">
        <x:v>S0009</x:v>
      </x:c>
      <x:c r="C105" s="14" t="str">
        <x:v>工作日</x:v>
      </x:c>
      <x:c r="D105" s="14" t="str">
        <x:v>环线1路</x:v>
      </x:c>
      <x:c r="E105" s="14" t="str">
        <x:v>第一班</x:v>
      </x:c>
      <x:c r="F105" s="14" t="n">
        <x:v>9</x:v>
      </x:c>
      <x:c r="G105" s="14" t="str">
        <x:v>11:50</x:v>
      </x:c>
      <x:c r="H105" s="14" t="str">
        <x:v>高超楼（就餐专线）</x:v>
      </x:c>
      <x:c r="I105" s="14" t="str">
        <x:v>是</x:v>
      </x:c>
      <x:c r="J105" s="14" t="n">
        <x:v>4</x:v>
      </x:c>
      <x:c r="K105" s="14" t="str">
        <x:v>一食堂</x:v>
      </x:c>
      <x:c r="L105" s="14" t="n">
        <x:v>6</x:v>
      </x:c>
      <x:c r="M105" s="14" t="str">
        <x:v>11:56</x:v>
      </x:c>
      <x:c r="N105" s="14" t="str">
        <x:v>否</x:v>
      </x:c>
      <x:c r="O105" s="14" t="str">
        <x:v>否</x:v>
      </x:c>
      <x:c r="P105" s="14" t="str">
        <x:v>未提供</x:v>
      </x:c>
      <x:c r="Q105" s="14" t="str">
        <x:v>未提供</x:v>
      </x:c>
      <x:c r="R105" s="14" t="str">
        <x:v>预测</x:v>
      </x:c>
      <x:c r="S105" s="14" t="str">
        <x:v>到站时间为估算值；该打勾车次按就餐专线运行</x:v>
      </x:c>
      <x:c r="T105" t="str">
        <x:v>高超楼发车（就餐专线）</x:v>
      </x:c>
    </x:row>
    <x:row r="106">
      <x:c r="A106" s="14" t="str">
        <x:v>S0009-05</x:v>
      </x:c>
      <x:c r="B106" s="14" t="str">
        <x:v>S0009</x:v>
      </x:c>
      <x:c r="C106" s="14" t="str">
        <x:v>工作日</x:v>
      </x:c>
      <x:c r="D106" s="14" t="str">
        <x:v>环线1路</x:v>
      </x:c>
      <x:c r="E106" s="14" t="str">
        <x:v>第一班</x:v>
      </x:c>
      <x:c r="F106" s="14" t="n">
        <x:v>9</x:v>
      </x:c>
      <x:c r="G106" s="14" t="str">
        <x:v>11:50</x:v>
      </x:c>
      <x:c r="H106" s="14" t="str">
        <x:v>高超楼（就餐专线）</x:v>
      </x:c>
      <x:c r="I106" s="14" t="str">
        <x:v>是</x:v>
      </x:c>
      <x:c r="J106" s="14" t="n">
        <x:v>5</x:v>
      </x:c>
      <x:c r="K106" s="14" t="str">
        <x:v>305教学楼</x:v>
      </x:c>
      <x:c r="L106" s="14" t="n">
        <x:v>8</x:v>
      </x:c>
      <x:c r="M106" s="14" t="str">
        <x:v>11:58</x:v>
      </x:c>
      <x:c r="N106" s="14" t="str">
        <x:v>否</x:v>
      </x:c>
      <x:c r="O106" s="14" t="str">
        <x:v>否</x:v>
      </x:c>
      <x:c r="P106" s="14" t="str">
        <x:v>未提供</x:v>
      </x:c>
      <x:c r="Q106" s="14" t="str">
        <x:v>未提供</x:v>
      </x:c>
      <x:c r="R106" s="14" t="str">
        <x:v>预测</x:v>
      </x:c>
      <x:c r="S106" s="14" t="str">
        <x:v>到站时间为估算值；该打勾车次按就餐专线运行</x:v>
      </x:c>
      <x:c r="T106" t="str">
        <x:v>高超楼发车（就餐专线）</x:v>
      </x:c>
    </x:row>
    <x:row r="107">
      <x:c r="A107" s="14" t="str">
        <x:v>S0009-06</x:v>
      </x:c>
      <x:c r="B107" s="14" t="str">
        <x:v>S0009</x:v>
      </x:c>
      <x:c r="C107" s="14" t="str">
        <x:v>工作日</x:v>
      </x:c>
      <x:c r="D107" s="14" t="str">
        <x:v>环线1路</x:v>
      </x:c>
      <x:c r="E107" s="14" t="str">
        <x:v>第一班</x:v>
      </x:c>
      <x:c r="F107" s="14" t="n">
        <x:v>9</x:v>
      </x:c>
      <x:c r="G107" s="14" t="str">
        <x:v>11:50</x:v>
      </x:c>
      <x:c r="H107" s="14" t="str">
        <x:v>高超楼（就餐专线）</x:v>
      </x:c>
      <x:c r="I107" s="14" t="str">
        <x:v>是</x:v>
      </x:c>
      <x:c r="J107" s="14" t="n">
        <x:v>6</x:v>
      </x:c>
      <x:c r="K107" s="14" t="str">
        <x:v>5号宿舍楼</x:v>
      </x:c>
      <x:c r="L107" s="14" t="n">
        <x:v>10</x:v>
      </x:c>
      <x:c r="M107" s="14" t="str">
        <x:v>12:00</x:v>
      </x:c>
      <x:c r="N107" s="14" t="str">
        <x:v>否</x:v>
      </x:c>
      <x:c r="O107" s="14" t="str">
        <x:v>否</x:v>
      </x:c>
      <x:c r="P107" s="14" t="str">
        <x:v>未提供</x:v>
      </x:c>
      <x:c r="Q107" s="14" t="str">
        <x:v>未提供</x:v>
      </x:c>
      <x:c r="R107" s="14" t="str">
        <x:v>预测</x:v>
      </x:c>
      <x:c r="S107" s="14" t="str">
        <x:v>到站时间为估算值；该打勾车次按就餐专线运行</x:v>
      </x:c>
      <x:c r="T107" t="str">
        <x:v>高超楼发车（就餐专线）</x:v>
      </x:c>
    </x:row>
    <x:row r="108">
      <x:c r="A108" s="14" t="str">
        <x:v>S0009-07</x:v>
      </x:c>
      <x:c r="B108" s="14" t="str">
        <x:v>S0009</x:v>
      </x:c>
      <x:c r="C108" s="14" t="str">
        <x:v>工作日</x:v>
      </x:c>
      <x:c r="D108" s="14" t="str">
        <x:v>环线1路</x:v>
      </x:c>
      <x:c r="E108" s="14" t="str">
        <x:v>第一班</x:v>
      </x:c>
      <x:c r="F108" s="14" t="n">
        <x:v>9</x:v>
      </x:c>
      <x:c r="G108" s="14" t="str">
        <x:v>11:50</x:v>
      </x:c>
      <x:c r="H108" s="14" t="str">
        <x:v>高超楼（就餐专线）</x:v>
      </x:c>
      <x:c r="I108" s="14" t="str">
        <x:v>是</x:v>
      </x:c>
      <x:c r="J108" s="14" t="n">
        <x:v>7</x:v>
      </x:c>
      <x:c r="K108" s="14" t="str">
        <x:v>二食堂北</x:v>
      </x:c>
      <x:c r="L108" s="14" t="n">
        <x:v>12</x:v>
      </x:c>
      <x:c r="M108" s="14" t="str">
        <x:v>12:02</x:v>
      </x:c>
      <x:c r="N108" s="14" t="str">
        <x:v>否</x:v>
      </x:c>
      <x:c r="O108" s="14" t="str">
        <x:v>否</x:v>
      </x:c>
      <x:c r="P108" s="14" t="str">
        <x:v>未提供</x:v>
      </x:c>
      <x:c r="Q108" s="14" t="str">
        <x:v>未提供</x:v>
      </x:c>
      <x:c r="R108" s="14" t="str">
        <x:v>预测</x:v>
      </x:c>
      <x:c r="S108" s="14" t="str">
        <x:v>到站时间为估算值；该打勾车次按就餐专线运行</x:v>
      </x:c>
      <x:c r="T108" t="str">
        <x:v>高超楼发车（就餐专线）</x:v>
      </x:c>
    </x:row>
    <x:row r="109">
      <x:c r="A109" s="14" t="str">
        <x:v>S0009-08</x:v>
      </x:c>
      <x:c r="B109" s="14" t="str">
        <x:v>S0009</x:v>
      </x:c>
      <x:c r="C109" s="14" t="str">
        <x:v>工作日</x:v>
      </x:c>
      <x:c r="D109" s="14" t="str">
        <x:v>环线1路</x:v>
      </x:c>
      <x:c r="E109" s="14" t="str">
        <x:v>第一班</x:v>
      </x:c>
      <x:c r="F109" s="14" t="n">
        <x:v>9</x:v>
      </x:c>
      <x:c r="G109" s="14" t="str">
        <x:v>11:50</x:v>
      </x:c>
      <x:c r="H109" s="14" t="str">
        <x:v>高超楼（就餐专线）</x:v>
      </x:c>
      <x:c r="I109" s="14" t="str">
        <x:v>是</x:v>
      </x:c>
      <x:c r="J109" s="14" t="n">
        <x:v>8</x:v>
      </x:c>
      <x:c r="K109" s="14" t="str">
        <x:v>理学院</x:v>
      </x:c>
      <x:c r="L109" s="14" t="n">
        <x:v>15</x:v>
      </x:c>
      <x:c r="M109" s="14" t="str">
        <x:v>12:05</x:v>
      </x:c>
      <x:c r="N109" s="14" t="str">
        <x:v>否</x:v>
      </x:c>
      <x:c r="O109" s="14" t="str">
        <x:v>否</x:v>
      </x:c>
      <x:c r="P109" s="14" t="str">
        <x:v>未提供</x:v>
      </x:c>
      <x:c r="Q109" s="14" t="str">
        <x:v>未提供</x:v>
      </x:c>
      <x:c r="R109" s="14" t="str">
        <x:v>预测</x:v>
      </x:c>
      <x:c r="S109" s="14" t="str">
        <x:v>到站时间为估算值；该打勾车次按就餐专线运行</x:v>
      </x:c>
      <x:c r="T109" t="str">
        <x:v>高超楼发车（就餐专线）</x:v>
      </x:c>
    </x:row>
    <x:row r="110">
      <x:c r="A110" s="14" t="str">
        <x:v>S0009-09</x:v>
      </x:c>
      <x:c r="B110" s="14" t="str">
        <x:v>S0009</x:v>
      </x:c>
      <x:c r="C110" s="14" t="str">
        <x:v>工作日</x:v>
      </x:c>
      <x:c r="D110" s="14" t="str">
        <x:v>环线1路</x:v>
      </x:c>
      <x:c r="E110" s="14" t="str">
        <x:v>第一班</x:v>
      </x:c>
      <x:c r="F110" s="14" t="n">
        <x:v>9</x:v>
      </x:c>
      <x:c r="G110" s="14" t="str">
        <x:v>11:50</x:v>
      </x:c>
      <x:c r="H110" s="14" t="str">
        <x:v>高超楼（就餐专线）</x:v>
      </x:c>
      <x:c r="I110" s="14" t="str">
        <x:v>是</x:v>
      </x:c>
      <x:c r="J110" s="14" t="n">
        <x:v>9</x:v>
      </x:c>
      <x:c r="K110" s="14" t="str">
        <x:v>高超楼</x:v>
      </x:c>
      <x:c r="L110" s="14" t="n">
        <x:v>16</x:v>
      </x:c>
      <x:c r="M110" s="14" t="str">
        <x:v>12:06</x:v>
      </x:c>
      <x:c r="N110" s="14" t="str">
        <x:v>否</x:v>
      </x:c>
      <x:c r="O110" s="14" t="str">
        <x:v>是</x:v>
      </x:c>
      <x:c r="P110" s="14" t="str">
        <x:v>未提供</x:v>
      </x:c>
      <x:c r="Q110" s="14" t="str">
        <x:v>未提供</x:v>
      </x:c>
      <x:c r="R110" s="14" t="str">
        <x:v>预测</x:v>
      </x:c>
      <x:c r="S110" s="14" t="str">
        <x:v>到站时间为估算值；该打勾车次按就餐专线运行</x:v>
      </x:c>
      <x:c r="T110" t="str">
        <x:v>高超楼发车（就餐专线）</x:v>
      </x:c>
    </x:row>
    <x:row r="111">
      <x:c r="A111" s="14" t="str">
        <x:v>S0010-01</x:v>
      </x:c>
      <x:c r="B111" s="14" t="str">
        <x:v>S0010</x:v>
      </x:c>
      <x:c r="C111" s="14" t="str">
        <x:v>工作日</x:v>
      </x:c>
      <x:c r="D111" s="14" t="str">
        <x:v>环线1路</x:v>
      </x:c>
      <x:c r="E111" s="14" t="str">
        <x:v>第一班</x:v>
      </x:c>
      <x:c r="F111" s="14" t="n">
        <x:v>10</x:v>
      </x:c>
      <x:c r="G111" s="14" t="str">
        <x:v>12:10</x:v>
      </x:c>
      <x:c r="H111" s="14" t="str">
        <x:v>高超楼（就餐专线）</x:v>
      </x:c>
      <x:c r="I111" s="14" t="str">
        <x:v>是</x:v>
      </x:c>
      <x:c r="J111" s="14" t="n">
        <x:v>1</x:v>
      </x:c>
      <x:c r="K111" s="14" t="str">
        <x:v>高超楼</x:v>
      </x:c>
      <x:c r="L111" s="14" t="n">
        <x:v>0</x:v>
      </x:c>
      <x:c r="M111" s="14" t="str">
        <x:v>12:10</x:v>
      </x:c>
      <x:c r="N111" s="14" t="str">
        <x:v>是</x:v>
      </x:c>
      <x:c r="O111" s="14" t="str">
        <x:v>否</x:v>
      </x:c>
      <x:c r="P111" s="14" t="str">
        <x:v>未提供</x:v>
      </x:c>
      <x:c r="Q111" s="14" t="str">
        <x:v>未提供</x:v>
      </x:c>
      <x:c r="R111" s="14" t="str">
        <x:v>预测</x:v>
      </x:c>
      <x:c r="S111" s="14" t="str">
        <x:v>到站时间为估算值；该打勾车次按就餐专线运行</x:v>
      </x:c>
      <x:c r="T111" t="str">
        <x:v>高超楼发车（就餐专线）</x:v>
      </x:c>
    </x:row>
    <x:row r="112">
      <x:c r="A112" s="14" t="str">
        <x:v>S0010-02</x:v>
      </x:c>
      <x:c r="B112" s="14" t="str">
        <x:v>S0010</x:v>
      </x:c>
      <x:c r="C112" s="14" t="str">
        <x:v>工作日</x:v>
      </x:c>
      <x:c r="D112" s="14" t="str">
        <x:v>环线1路</x:v>
      </x:c>
      <x:c r="E112" s="14" t="str">
        <x:v>第一班</x:v>
      </x:c>
      <x:c r="F112" s="14" t="n">
        <x:v>10</x:v>
      </x:c>
      <x:c r="G112" s="14" t="str">
        <x:v>12:10</x:v>
      </x:c>
      <x:c r="H112" s="14" t="str">
        <x:v>高超楼（就餐专线）</x:v>
      </x:c>
      <x:c r="I112" s="14" t="str">
        <x:v>是</x:v>
      </x:c>
      <x:c r="J112" s="14" t="n">
        <x:v>2</x:v>
      </x:c>
      <x:c r="K112" s="14" t="str">
        <x:v>理学院</x:v>
      </x:c>
      <x:c r="L112" s="14" t="n">
        <x:v>1</x:v>
      </x:c>
      <x:c r="M112" s="14" t="str">
        <x:v>12:11</x:v>
      </x:c>
      <x:c r="N112" s="14" t="str">
        <x:v>否</x:v>
      </x:c>
      <x:c r="O112" s="14" t="str">
        <x:v>否</x:v>
      </x:c>
      <x:c r="P112" s="14" t="str">
        <x:v>未提供</x:v>
      </x:c>
      <x:c r="Q112" s="14" t="str">
        <x:v>未提供</x:v>
      </x:c>
      <x:c r="R112" s="14" t="str">
        <x:v>预测</x:v>
      </x:c>
      <x:c r="S112" s="14" t="str">
        <x:v>到站时间为估算值；该打勾车次按就餐专线运行</x:v>
      </x:c>
      <x:c r="T112" t="str">
        <x:v>高超楼发车（就餐专线）</x:v>
      </x:c>
    </x:row>
    <x:row r="113">
      <x:c r="A113" s="14" t="str">
        <x:v>S0010-03</x:v>
      </x:c>
      <x:c r="B113" s="14" t="str">
        <x:v>S0010</x:v>
      </x:c>
      <x:c r="C113" s="14" t="str">
        <x:v>工作日</x:v>
      </x:c>
      <x:c r="D113" s="14" t="str">
        <x:v>环线1路</x:v>
      </x:c>
      <x:c r="E113" s="14" t="str">
        <x:v>第一班</x:v>
      </x:c>
      <x:c r="F113" s="14" t="n">
        <x:v>10</x:v>
      </x:c>
      <x:c r="G113" s="14" t="str">
        <x:v>12:10</x:v>
      </x:c>
      <x:c r="H113" s="14" t="str">
        <x:v>高超楼（就餐专线）</x:v>
      </x:c>
      <x:c r="I113" s="14" t="str">
        <x:v>是</x:v>
      </x:c>
      <x:c r="J113" s="14" t="n">
        <x:v>3</x:v>
      </x:c>
      <x:c r="K113" s="14" t="str">
        <x:v>二食堂</x:v>
      </x:c>
      <x:c r="L113" s="14" t="n">
        <x:v>4</x:v>
      </x:c>
      <x:c r="M113" s="14" t="str">
        <x:v>12:14</x:v>
      </x:c>
      <x:c r="N113" s="14" t="str">
        <x:v>否</x:v>
      </x:c>
      <x:c r="O113" s="14" t="str">
        <x:v>否</x:v>
      </x:c>
      <x:c r="P113" s="14" t="str">
        <x:v>未提供</x:v>
      </x:c>
      <x:c r="Q113" s="14" t="str">
        <x:v>未提供</x:v>
      </x:c>
      <x:c r="R113" s="14" t="str">
        <x:v>预测</x:v>
      </x:c>
      <x:c r="S113" s="14" t="str">
        <x:v>到站时间为估算值；该打勾车次按就餐专线运行</x:v>
      </x:c>
      <x:c r="T113" t="str">
        <x:v>高超楼发车（就餐专线）</x:v>
      </x:c>
    </x:row>
    <x:row r="114">
      <x:c r="A114" s="14" t="str">
        <x:v>S0010-04</x:v>
      </x:c>
      <x:c r="B114" s="14" t="str">
        <x:v>S0010</x:v>
      </x:c>
      <x:c r="C114" s="14" t="str">
        <x:v>工作日</x:v>
      </x:c>
      <x:c r="D114" s="14" t="str">
        <x:v>环线1路</x:v>
      </x:c>
      <x:c r="E114" s="14" t="str">
        <x:v>第一班</x:v>
      </x:c>
      <x:c r="F114" s="14" t="n">
        <x:v>10</x:v>
      </x:c>
      <x:c r="G114" s="14" t="str">
        <x:v>12:10</x:v>
      </x:c>
      <x:c r="H114" s="14" t="str">
        <x:v>高超楼（就餐专线）</x:v>
      </x:c>
      <x:c r="I114" s="14" t="str">
        <x:v>是</x:v>
      </x:c>
      <x:c r="J114" s="14" t="n">
        <x:v>4</x:v>
      </x:c>
      <x:c r="K114" s="14" t="str">
        <x:v>一食堂</x:v>
      </x:c>
      <x:c r="L114" s="14" t="n">
        <x:v>6</x:v>
      </x:c>
      <x:c r="M114" s="14" t="str">
        <x:v>12:16</x:v>
      </x:c>
      <x:c r="N114" s="14" t="str">
        <x:v>否</x:v>
      </x:c>
      <x:c r="O114" s="14" t="str">
        <x:v>否</x:v>
      </x:c>
      <x:c r="P114" s="14" t="str">
        <x:v>未提供</x:v>
      </x:c>
      <x:c r="Q114" s="14" t="str">
        <x:v>未提供</x:v>
      </x:c>
      <x:c r="R114" s="14" t="str">
        <x:v>预测</x:v>
      </x:c>
      <x:c r="S114" s="14" t="str">
        <x:v>到站时间为估算值；该打勾车次按就餐专线运行</x:v>
      </x:c>
      <x:c r="T114" t="str">
        <x:v>高超楼发车（就餐专线）</x:v>
      </x:c>
    </x:row>
    <x:row r="115">
      <x:c r="A115" s="14" t="str">
        <x:v>S0010-05</x:v>
      </x:c>
      <x:c r="B115" s="14" t="str">
        <x:v>S0010</x:v>
      </x:c>
      <x:c r="C115" s="14" t="str">
        <x:v>工作日</x:v>
      </x:c>
      <x:c r="D115" s="14" t="str">
        <x:v>环线1路</x:v>
      </x:c>
      <x:c r="E115" s="14" t="str">
        <x:v>第一班</x:v>
      </x:c>
      <x:c r="F115" s="14" t="n">
        <x:v>10</x:v>
      </x:c>
      <x:c r="G115" s="14" t="str">
        <x:v>12:10</x:v>
      </x:c>
      <x:c r="H115" s="14" t="str">
        <x:v>高超楼（就餐专线）</x:v>
      </x:c>
      <x:c r="I115" s="14" t="str">
        <x:v>是</x:v>
      </x:c>
      <x:c r="J115" s="14" t="n">
        <x:v>5</x:v>
      </x:c>
      <x:c r="K115" s="14" t="str">
        <x:v>305教学楼</x:v>
      </x:c>
      <x:c r="L115" s="14" t="n">
        <x:v>8</x:v>
      </x:c>
      <x:c r="M115" s="14" t="str">
        <x:v>12:18</x:v>
      </x:c>
      <x:c r="N115" s="14" t="str">
        <x:v>否</x:v>
      </x:c>
      <x:c r="O115" s="14" t="str">
        <x:v>否</x:v>
      </x:c>
      <x:c r="P115" s="14" t="str">
        <x:v>未提供</x:v>
      </x:c>
      <x:c r="Q115" s="14" t="str">
        <x:v>未提供</x:v>
      </x:c>
      <x:c r="R115" s="14" t="str">
        <x:v>预测</x:v>
      </x:c>
      <x:c r="S115" s="14" t="str">
        <x:v>到站时间为估算值；该打勾车次按就餐专线运行</x:v>
      </x:c>
      <x:c r="T115" t="str">
        <x:v>高超楼发车（就餐专线）</x:v>
      </x:c>
    </x:row>
    <x:row r="116">
      <x:c r="A116" s="14" t="str">
        <x:v>S0010-06</x:v>
      </x:c>
      <x:c r="B116" s="14" t="str">
        <x:v>S0010</x:v>
      </x:c>
      <x:c r="C116" s="14" t="str">
        <x:v>工作日</x:v>
      </x:c>
      <x:c r="D116" s="14" t="str">
        <x:v>环线1路</x:v>
      </x:c>
      <x:c r="E116" s="14" t="str">
        <x:v>第一班</x:v>
      </x:c>
      <x:c r="F116" s="14" t="n">
        <x:v>10</x:v>
      </x:c>
      <x:c r="G116" s="14" t="str">
        <x:v>12:10</x:v>
      </x:c>
      <x:c r="H116" s="14" t="str">
        <x:v>高超楼（就餐专线）</x:v>
      </x:c>
      <x:c r="I116" s="14" t="str">
        <x:v>是</x:v>
      </x:c>
      <x:c r="J116" s="14" t="n">
        <x:v>6</x:v>
      </x:c>
      <x:c r="K116" s="14" t="str">
        <x:v>5号宿舍楼</x:v>
      </x:c>
      <x:c r="L116" s="14" t="n">
        <x:v>10</x:v>
      </x:c>
      <x:c r="M116" s="14" t="str">
        <x:v>12:20</x:v>
      </x:c>
      <x:c r="N116" s="14" t="str">
        <x:v>否</x:v>
      </x:c>
      <x:c r="O116" s="14" t="str">
        <x:v>否</x:v>
      </x:c>
      <x:c r="P116" s="14" t="str">
        <x:v>未提供</x:v>
      </x:c>
      <x:c r="Q116" s="14" t="str">
        <x:v>未提供</x:v>
      </x:c>
      <x:c r="R116" s="14" t="str">
        <x:v>预测</x:v>
      </x:c>
      <x:c r="S116" s="14" t="str">
        <x:v>到站时间为估算值；该打勾车次按就餐专线运行</x:v>
      </x:c>
      <x:c r="T116" t="str">
        <x:v>高超楼发车（就餐专线）</x:v>
      </x:c>
    </x:row>
    <x:row r="117">
      <x:c r="A117" s="14" t="str">
        <x:v>S0010-07</x:v>
      </x:c>
      <x:c r="B117" s="14" t="str">
        <x:v>S0010</x:v>
      </x:c>
      <x:c r="C117" s="14" t="str">
        <x:v>工作日</x:v>
      </x:c>
      <x:c r="D117" s="14" t="str">
        <x:v>环线1路</x:v>
      </x:c>
      <x:c r="E117" s="14" t="str">
        <x:v>第一班</x:v>
      </x:c>
      <x:c r="F117" s="14" t="n">
        <x:v>10</x:v>
      </x:c>
      <x:c r="G117" s="14" t="str">
        <x:v>12:10</x:v>
      </x:c>
      <x:c r="H117" s="14" t="str">
        <x:v>高超楼（就餐专线）</x:v>
      </x:c>
      <x:c r="I117" s="14" t="str">
        <x:v>是</x:v>
      </x:c>
      <x:c r="J117" s="14" t="n">
        <x:v>7</x:v>
      </x:c>
      <x:c r="K117" s="14" t="str">
        <x:v>二食堂北</x:v>
      </x:c>
      <x:c r="L117" s="14" t="n">
        <x:v>12</x:v>
      </x:c>
      <x:c r="M117" s="14" t="str">
        <x:v>12:22</x:v>
      </x:c>
      <x:c r="N117" s="14" t="str">
        <x:v>否</x:v>
      </x:c>
      <x:c r="O117" s="14" t="str">
        <x:v>否</x:v>
      </x:c>
      <x:c r="P117" s="14" t="str">
        <x:v>未提供</x:v>
      </x:c>
      <x:c r="Q117" s="14" t="str">
        <x:v>未提供</x:v>
      </x:c>
      <x:c r="R117" s="14" t="str">
        <x:v>预测</x:v>
      </x:c>
      <x:c r="S117" s="14" t="str">
        <x:v>到站时间为估算值；该打勾车次按就餐专线运行</x:v>
      </x:c>
      <x:c r="T117" t="str">
        <x:v>高超楼发车（就餐专线）</x:v>
      </x:c>
    </x:row>
    <x:row r="118">
      <x:c r="A118" s="14" t="str">
        <x:v>S0010-08</x:v>
      </x:c>
      <x:c r="B118" s="14" t="str">
        <x:v>S0010</x:v>
      </x:c>
      <x:c r="C118" s="14" t="str">
        <x:v>工作日</x:v>
      </x:c>
      <x:c r="D118" s="14" t="str">
        <x:v>环线1路</x:v>
      </x:c>
      <x:c r="E118" s="14" t="str">
        <x:v>第一班</x:v>
      </x:c>
      <x:c r="F118" s="14" t="n">
        <x:v>10</x:v>
      </x:c>
      <x:c r="G118" s="14" t="str">
        <x:v>12:10</x:v>
      </x:c>
      <x:c r="H118" s="14" t="str">
        <x:v>高超楼（就餐专线）</x:v>
      </x:c>
      <x:c r="I118" s="14" t="str">
        <x:v>是</x:v>
      </x:c>
      <x:c r="J118" s="14" t="n">
        <x:v>8</x:v>
      </x:c>
      <x:c r="K118" s="14" t="str">
        <x:v>理学院</x:v>
      </x:c>
      <x:c r="L118" s="14" t="n">
        <x:v>15</x:v>
      </x:c>
      <x:c r="M118" s="14" t="str">
        <x:v>12:25</x:v>
      </x:c>
      <x:c r="N118" s="14" t="str">
        <x:v>否</x:v>
      </x:c>
      <x:c r="O118" s="14" t="str">
        <x:v>否</x:v>
      </x:c>
      <x:c r="P118" s="14" t="str">
        <x:v>未提供</x:v>
      </x:c>
      <x:c r="Q118" s="14" t="str">
        <x:v>未提供</x:v>
      </x:c>
      <x:c r="R118" s="14" t="str">
        <x:v>预测</x:v>
      </x:c>
      <x:c r="S118" s="14" t="str">
        <x:v>到站时间为估算值；该打勾车次按就餐专线运行</x:v>
      </x:c>
      <x:c r="T118" t="str">
        <x:v>高超楼发车（就餐专线）</x:v>
      </x:c>
    </x:row>
    <x:row r="119">
      <x:c r="A119" s="14" t="str">
        <x:v>S0010-09</x:v>
      </x:c>
      <x:c r="B119" s="14" t="str">
        <x:v>S0010</x:v>
      </x:c>
      <x:c r="C119" s="14" t="str">
        <x:v>工作日</x:v>
      </x:c>
      <x:c r="D119" s="14" t="str">
        <x:v>环线1路</x:v>
      </x:c>
      <x:c r="E119" s="14" t="str">
        <x:v>第一班</x:v>
      </x:c>
      <x:c r="F119" s="14" t="n">
        <x:v>10</x:v>
      </x:c>
      <x:c r="G119" s="14" t="str">
        <x:v>12:10</x:v>
      </x:c>
      <x:c r="H119" s="14" t="str">
        <x:v>高超楼（就餐专线）</x:v>
      </x:c>
      <x:c r="I119" s="14" t="str">
        <x:v>是</x:v>
      </x:c>
      <x:c r="J119" s="14" t="n">
        <x:v>9</x:v>
      </x:c>
      <x:c r="K119" s="14" t="str">
        <x:v>高超楼</x:v>
      </x:c>
      <x:c r="L119" s="14" t="n">
        <x:v>16</x:v>
      </x:c>
      <x:c r="M119" s="14" t="str">
        <x:v>12:26</x:v>
      </x:c>
      <x:c r="N119" s="14" t="str">
        <x:v>否</x:v>
      </x:c>
      <x:c r="O119" s="14" t="str">
        <x:v>是</x:v>
      </x:c>
      <x:c r="P119" s="14" t="str">
        <x:v>未提供</x:v>
      </x:c>
      <x:c r="Q119" s="14" t="str">
        <x:v>未提供</x:v>
      </x:c>
      <x:c r="R119" s="14" t="str">
        <x:v>预测</x:v>
      </x:c>
      <x:c r="S119" s="14" t="str">
        <x:v>到站时间为估算值；该打勾车次按就餐专线运行</x:v>
      </x:c>
      <x:c r="T119" t="str">
        <x:v>高超楼发车（就餐专线）</x:v>
      </x:c>
    </x:row>
    <x:row r="120">
      <x:c r="A120" s="14" t="str">
        <x:v>S0011-01</x:v>
      </x:c>
      <x:c r="B120" s="14" t="str">
        <x:v>S0011</x:v>
      </x:c>
      <x:c r="C120" s="14" t="str">
        <x:v>工作日</x:v>
      </x:c>
      <x:c r="D120" s="14" t="str">
        <x:v>环线1路</x:v>
      </x:c>
      <x:c r="E120" s="14" t="str">
        <x:v>第一班</x:v>
      </x:c>
      <x:c r="F120" s="14" t="n">
        <x:v>11</x:v>
      </x:c>
      <x:c r="G120" s="14" t="str">
        <x:v>12:30</x:v>
      </x:c>
      <x:c r="H120" s="14" t="str">
        <x:v>高超楼（就餐专线）</x:v>
      </x:c>
      <x:c r="I120" s="14" t="str">
        <x:v>是</x:v>
      </x:c>
      <x:c r="J120" s="14" t="n">
        <x:v>1</x:v>
      </x:c>
      <x:c r="K120" s="14" t="str">
        <x:v>高超楼</x:v>
      </x:c>
      <x:c r="L120" s="14" t="n">
        <x:v>0</x:v>
      </x:c>
      <x:c r="M120" s="14" t="str">
        <x:v>12:30</x:v>
      </x:c>
      <x:c r="N120" s="14" t="str">
        <x:v>是</x:v>
      </x:c>
      <x:c r="O120" s="14" t="str">
        <x:v>否</x:v>
      </x:c>
      <x:c r="P120" s="14" t="str">
        <x:v>未提供</x:v>
      </x:c>
      <x:c r="Q120" s="14" t="str">
        <x:v>未提供</x:v>
      </x:c>
      <x:c r="R120" s="14" t="str">
        <x:v>预测</x:v>
      </x:c>
      <x:c r="S120" s="14" t="str">
        <x:v>到站时间为估算值；该打勾车次按就餐专线运行</x:v>
      </x:c>
      <x:c r="T120" t="str">
        <x:v>高超楼发车（就餐专线）</x:v>
      </x:c>
    </x:row>
    <x:row r="121">
      <x:c r="A121" s="14" t="str">
        <x:v>S0011-02</x:v>
      </x:c>
      <x:c r="B121" s="14" t="str">
        <x:v>S0011</x:v>
      </x:c>
      <x:c r="C121" s="14" t="str">
        <x:v>工作日</x:v>
      </x:c>
      <x:c r="D121" s="14" t="str">
        <x:v>环线1路</x:v>
      </x:c>
      <x:c r="E121" s="14" t="str">
        <x:v>第一班</x:v>
      </x:c>
      <x:c r="F121" s="14" t="n">
        <x:v>11</x:v>
      </x:c>
      <x:c r="G121" s="14" t="str">
        <x:v>12:30</x:v>
      </x:c>
      <x:c r="H121" s="14" t="str">
        <x:v>高超楼（就餐专线）</x:v>
      </x:c>
      <x:c r="I121" s="14" t="str">
        <x:v>是</x:v>
      </x:c>
      <x:c r="J121" s="14" t="n">
        <x:v>2</x:v>
      </x:c>
      <x:c r="K121" s="14" t="str">
        <x:v>理学院</x:v>
      </x:c>
      <x:c r="L121" s="14" t="n">
        <x:v>1</x:v>
      </x:c>
      <x:c r="M121" s="14" t="str">
        <x:v>12:31</x:v>
      </x:c>
      <x:c r="N121" s="14" t="str">
        <x:v>否</x:v>
      </x:c>
      <x:c r="O121" s="14" t="str">
        <x:v>否</x:v>
      </x:c>
      <x:c r="P121" s="14" t="str">
        <x:v>未提供</x:v>
      </x:c>
      <x:c r="Q121" s="14" t="str">
        <x:v>未提供</x:v>
      </x:c>
      <x:c r="R121" s="14" t="str">
        <x:v>预测</x:v>
      </x:c>
      <x:c r="S121" s="14" t="str">
        <x:v>到站时间为估算值；该打勾车次按就餐专线运行</x:v>
      </x:c>
      <x:c r="T121" t="str">
        <x:v>高超楼发车（就餐专线）</x:v>
      </x:c>
    </x:row>
    <x:row r="122">
      <x:c r="A122" s="14" t="str">
        <x:v>S0011-03</x:v>
      </x:c>
      <x:c r="B122" s="14" t="str">
        <x:v>S0011</x:v>
      </x:c>
      <x:c r="C122" s="14" t="str">
        <x:v>工作日</x:v>
      </x:c>
      <x:c r="D122" s="14" t="str">
        <x:v>环线1路</x:v>
      </x:c>
      <x:c r="E122" s="14" t="str">
        <x:v>第一班</x:v>
      </x:c>
      <x:c r="F122" s="14" t="n">
        <x:v>11</x:v>
      </x:c>
      <x:c r="G122" s="14" t="str">
        <x:v>12:30</x:v>
      </x:c>
      <x:c r="H122" s="14" t="str">
        <x:v>高超楼（就餐专线）</x:v>
      </x:c>
      <x:c r="I122" s="14" t="str">
        <x:v>是</x:v>
      </x:c>
      <x:c r="J122" s="14" t="n">
        <x:v>3</x:v>
      </x:c>
      <x:c r="K122" s="14" t="str">
        <x:v>二食堂</x:v>
      </x:c>
      <x:c r="L122" s="14" t="n">
        <x:v>4</x:v>
      </x:c>
      <x:c r="M122" s="14" t="str">
        <x:v>12:34</x:v>
      </x:c>
      <x:c r="N122" s="14" t="str">
        <x:v>否</x:v>
      </x:c>
      <x:c r="O122" s="14" t="str">
        <x:v>否</x:v>
      </x:c>
      <x:c r="P122" s="14" t="str">
        <x:v>未提供</x:v>
      </x:c>
      <x:c r="Q122" s="14" t="str">
        <x:v>未提供</x:v>
      </x:c>
      <x:c r="R122" s="14" t="str">
        <x:v>预测</x:v>
      </x:c>
      <x:c r="S122" s="14" t="str">
        <x:v>到站时间为估算值；该打勾车次按就餐专线运行</x:v>
      </x:c>
      <x:c r="T122" t="str">
        <x:v>高超楼发车（就餐专线）</x:v>
      </x:c>
    </x:row>
    <x:row r="123">
      <x:c r="A123" s="14" t="str">
        <x:v>S0011-04</x:v>
      </x:c>
      <x:c r="B123" s="14" t="str">
        <x:v>S0011</x:v>
      </x:c>
      <x:c r="C123" s="14" t="str">
        <x:v>工作日</x:v>
      </x:c>
      <x:c r="D123" s="14" t="str">
        <x:v>环线1路</x:v>
      </x:c>
      <x:c r="E123" s="14" t="str">
        <x:v>第一班</x:v>
      </x:c>
      <x:c r="F123" s="14" t="n">
        <x:v>11</x:v>
      </x:c>
      <x:c r="G123" s="14" t="str">
        <x:v>12:30</x:v>
      </x:c>
      <x:c r="H123" s="14" t="str">
        <x:v>高超楼（就餐专线）</x:v>
      </x:c>
      <x:c r="I123" s="14" t="str">
        <x:v>是</x:v>
      </x:c>
      <x:c r="J123" s="14" t="n">
        <x:v>4</x:v>
      </x:c>
      <x:c r="K123" s="14" t="str">
        <x:v>一食堂</x:v>
      </x:c>
      <x:c r="L123" s="14" t="n">
        <x:v>6</x:v>
      </x:c>
      <x:c r="M123" s="14" t="str">
        <x:v>12:36</x:v>
      </x:c>
      <x:c r="N123" s="14" t="str">
        <x:v>否</x:v>
      </x:c>
      <x:c r="O123" s="14" t="str">
        <x:v>否</x:v>
      </x:c>
      <x:c r="P123" s="14" t="str">
        <x:v>未提供</x:v>
      </x:c>
      <x:c r="Q123" s="14" t="str">
        <x:v>未提供</x:v>
      </x:c>
      <x:c r="R123" s="14" t="str">
        <x:v>预测</x:v>
      </x:c>
      <x:c r="S123" s="14" t="str">
        <x:v>到站时间为估算值；该打勾车次按就餐专线运行</x:v>
      </x:c>
      <x:c r="T123" t="str">
        <x:v>高超楼发车（就餐专线）</x:v>
      </x:c>
    </x:row>
    <x:row r="124">
      <x:c r="A124" s="14" t="str">
        <x:v>S0011-05</x:v>
      </x:c>
      <x:c r="B124" s="14" t="str">
        <x:v>S0011</x:v>
      </x:c>
      <x:c r="C124" s="14" t="str">
        <x:v>工作日</x:v>
      </x:c>
      <x:c r="D124" s="14" t="str">
        <x:v>环线1路</x:v>
      </x:c>
      <x:c r="E124" s="14" t="str">
        <x:v>第一班</x:v>
      </x:c>
      <x:c r="F124" s="14" t="n">
        <x:v>11</x:v>
      </x:c>
      <x:c r="G124" s="14" t="str">
        <x:v>12:30</x:v>
      </x:c>
      <x:c r="H124" s="14" t="str">
        <x:v>高超楼（就餐专线）</x:v>
      </x:c>
      <x:c r="I124" s="14" t="str">
        <x:v>是</x:v>
      </x:c>
      <x:c r="J124" s="14" t="n">
        <x:v>5</x:v>
      </x:c>
      <x:c r="K124" s="14" t="str">
        <x:v>305教学楼</x:v>
      </x:c>
      <x:c r="L124" s="14" t="n">
        <x:v>8</x:v>
      </x:c>
      <x:c r="M124" s="14" t="str">
        <x:v>12:38</x:v>
      </x:c>
      <x:c r="N124" s="14" t="str">
        <x:v>否</x:v>
      </x:c>
      <x:c r="O124" s="14" t="str">
        <x:v>否</x:v>
      </x:c>
      <x:c r="P124" s="14" t="str">
        <x:v>未提供</x:v>
      </x:c>
      <x:c r="Q124" s="14" t="str">
        <x:v>未提供</x:v>
      </x:c>
      <x:c r="R124" s="14" t="str">
        <x:v>预测</x:v>
      </x:c>
      <x:c r="S124" s="14" t="str">
        <x:v>到站时间为估算值；该打勾车次按就餐专线运行</x:v>
      </x:c>
      <x:c r="T124" t="str">
        <x:v>高超楼发车（就餐专线）</x:v>
      </x:c>
    </x:row>
    <x:row r="125">
      <x:c r="A125" s="14" t="str">
        <x:v>S0011-06</x:v>
      </x:c>
      <x:c r="B125" s="14" t="str">
        <x:v>S0011</x:v>
      </x:c>
      <x:c r="C125" s="14" t="str">
        <x:v>工作日</x:v>
      </x:c>
      <x:c r="D125" s="14" t="str">
        <x:v>环线1路</x:v>
      </x:c>
      <x:c r="E125" s="14" t="str">
        <x:v>第一班</x:v>
      </x:c>
      <x:c r="F125" s="14" t="n">
        <x:v>11</x:v>
      </x:c>
      <x:c r="G125" s="14" t="str">
        <x:v>12:30</x:v>
      </x:c>
      <x:c r="H125" s="14" t="str">
        <x:v>高超楼（就餐专线）</x:v>
      </x:c>
      <x:c r="I125" s="14" t="str">
        <x:v>是</x:v>
      </x:c>
      <x:c r="J125" s="14" t="n">
        <x:v>6</x:v>
      </x:c>
      <x:c r="K125" s="14" t="str">
        <x:v>5号宿舍楼</x:v>
      </x:c>
      <x:c r="L125" s="14" t="n">
        <x:v>10</x:v>
      </x:c>
      <x:c r="M125" s="14" t="str">
        <x:v>12:40</x:v>
      </x:c>
      <x:c r="N125" s="14" t="str">
        <x:v>否</x:v>
      </x:c>
      <x:c r="O125" s="14" t="str">
        <x:v>否</x:v>
      </x:c>
      <x:c r="P125" s="14" t="str">
        <x:v>未提供</x:v>
      </x:c>
      <x:c r="Q125" s="14" t="str">
        <x:v>未提供</x:v>
      </x:c>
      <x:c r="R125" s="14" t="str">
        <x:v>预测</x:v>
      </x:c>
      <x:c r="S125" s="14" t="str">
        <x:v>到站时间为估算值；该打勾车次按就餐专线运行</x:v>
      </x:c>
      <x:c r="T125" t="str">
        <x:v>高超楼发车（就餐专线）</x:v>
      </x:c>
    </x:row>
    <x:row r="126">
      <x:c r="A126" s="14" t="str">
        <x:v>S0011-07</x:v>
      </x:c>
      <x:c r="B126" s="14" t="str">
        <x:v>S0011</x:v>
      </x:c>
      <x:c r="C126" s="14" t="str">
        <x:v>工作日</x:v>
      </x:c>
      <x:c r="D126" s="14" t="str">
        <x:v>环线1路</x:v>
      </x:c>
      <x:c r="E126" s="14" t="str">
        <x:v>第一班</x:v>
      </x:c>
      <x:c r="F126" s="14" t="n">
        <x:v>11</x:v>
      </x:c>
      <x:c r="G126" s="14" t="str">
        <x:v>12:30</x:v>
      </x:c>
      <x:c r="H126" s="14" t="str">
        <x:v>高超楼（就餐专线）</x:v>
      </x:c>
      <x:c r="I126" s="14" t="str">
        <x:v>是</x:v>
      </x:c>
      <x:c r="J126" s="14" t="n">
        <x:v>7</x:v>
      </x:c>
      <x:c r="K126" s="14" t="str">
        <x:v>二食堂北</x:v>
      </x:c>
      <x:c r="L126" s="14" t="n">
        <x:v>12</x:v>
      </x:c>
      <x:c r="M126" s="14" t="str">
        <x:v>12:42</x:v>
      </x:c>
      <x:c r="N126" s="14" t="str">
        <x:v>否</x:v>
      </x:c>
      <x:c r="O126" s="14" t="str">
        <x:v>否</x:v>
      </x:c>
      <x:c r="P126" s="14" t="str">
        <x:v>未提供</x:v>
      </x:c>
      <x:c r="Q126" s="14" t="str">
        <x:v>未提供</x:v>
      </x:c>
      <x:c r="R126" s="14" t="str">
        <x:v>预测</x:v>
      </x:c>
      <x:c r="S126" s="14" t="str">
        <x:v>到站时间为估算值；该打勾车次按就餐专线运行</x:v>
      </x:c>
      <x:c r="T126" t="str">
        <x:v>高超楼发车（就餐专线）</x:v>
      </x:c>
    </x:row>
    <x:row r="127">
      <x:c r="A127" s="14" t="str">
        <x:v>S0011-08</x:v>
      </x:c>
      <x:c r="B127" s="14" t="str">
        <x:v>S0011</x:v>
      </x:c>
      <x:c r="C127" s="14" t="str">
        <x:v>工作日</x:v>
      </x:c>
      <x:c r="D127" s="14" t="str">
        <x:v>环线1路</x:v>
      </x:c>
      <x:c r="E127" s="14" t="str">
        <x:v>第一班</x:v>
      </x:c>
      <x:c r="F127" s="14" t="n">
        <x:v>11</x:v>
      </x:c>
      <x:c r="G127" s="14" t="str">
        <x:v>12:30</x:v>
      </x:c>
      <x:c r="H127" s="14" t="str">
        <x:v>高超楼（就餐专线）</x:v>
      </x:c>
      <x:c r="I127" s="14" t="str">
        <x:v>是</x:v>
      </x:c>
      <x:c r="J127" s="14" t="n">
        <x:v>8</x:v>
      </x:c>
      <x:c r="K127" s="14" t="str">
        <x:v>理学院</x:v>
      </x:c>
      <x:c r="L127" s="14" t="n">
        <x:v>15</x:v>
      </x:c>
      <x:c r="M127" s="14" t="str">
        <x:v>12:45</x:v>
      </x:c>
      <x:c r="N127" s="14" t="str">
        <x:v>否</x:v>
      </x:c>
      <x:c r="O127" s="14" t="str">
        <x:v>否</x:v>
      </x:c>
      <x:c r="P127" s="14" t="str">
        <x:v>未提供</x:v>
      </x:c>
      <x:c r="Q127" s="14" t="str">
        <x:v>未提供</x:v>
      </x:c>
      <x:c r="R127" s="14" t="str">
        <x:v>预测</x:v>
      </x:c>
      <x:c r="S127" s="14" t="str">
        <x:v>到站时间为估算值；该打勾车次按就餐专线运行</x:v>
      </x:c>
      <x:c r="T127" t="str">
        <x:v>高超楼发车（就餐专线）</x:v>
      </x:c>
    </x:row>
    <x:row r="128">
      <x:c r="A128" s="14" t="str">
        <x:v>S0011-09</x:v>
      </x:c>
      <x:c r="B128" s="14" t="str">
        <x:v>S0011</x:v>
      </x:c>
      <x:c r="C128" s="14" t="str">
        <x:v>工作日</x:v>
      </x:c>
      <x:c r="D128" s="14" t="str">
        <x:v>环线1路</x:v>
      </x:c>
      <x:c r="E128" s="14" t="str">
        <x:v>第一班</x:v>
      </x:c>
      <x:c r="F128" s="14" t="n">
        <x:v>11</x:v>
      </x:c>
      <x:c r="G128" s="14" t="str">
        <x:v>12:30</x:v>
      </x:c>
      <x:c r="H128" s="14" t="str">
        <x:v>高超楼（就餐专线）</x:v>
      </x:c>
      <x:c r="I128" s="14" t="str">
        <x:v>是</x:v>
      </x:c>
      <x:c r="J128" s="14" t="n">
        <x:v>9</x:v>
      </x:c>
      <x:c r="K128" s="14" t="str">
        <x:v>高超楼</x:v>
      </x:c>
      <x:c r="L128" s="14" t="n">
        <x:v>16</x:v>
      </x:c>
      <x:c r="M128" s="14" t="str">
        <x:v>12:46</x:v>
      </x:c>
      <x:c r="N128" s="14" t="str">
        <x:v>否</x:v>
      </x:c>
      <x:c r="O128" s="14" t="str">
        <x:v>是</x:v>
      </x:c>
      <x:c r="P128" s="14" t="str">
        <x:v>未提供</x:v>
      </x:c>
      <x:c r="Q128" s="14" t="str">
        <x:v>未提供</x:v>
      </x:c>
      <x:c r="R128" s="14" t="str">
        <x:v>预测</x:v>
      </x:c>
      <x:c r="S128" s="14" t="str">
        <x:v>到站时间为估算值；该打勾车次按就餐专线运行</x:v>
      </x:c>
      <x:c r="T128" t="str">
        <x:v>高超楼发车（就餐专线）</x:v>
      </x:c>
    </x:row>
    <x:row r="129">
      <x:c r="A129" s="14" t="str">
        <x:v>S0012-01</x:v>
      </x:c>
      <x:c r="B129" s="14" t="str">
        <x:v>S0012</x:v>
      </x:c>
      <x:c r="C129" s="14" t="str">
        <x:v>工作日</x:v>
      </x:c>
      <x:c r="D129" s="14" t="str">
        <x:v>环线1路</x:v>
      </x:c>
      <x:c r="E129" s="14" t="str">
        <x:v>第三班</x:v>
      </x:c>
      <x:c r="F129" s="14" t="n">
        <x:v>1</x:v>
      </x:c>
      <x:c r="G129" s="14" t="str">
        <x:v>7:50</x:v>
      </x:c>
      <x:c r="H129" s="14" t="str">
        <x:v>研究生宿舍楼</x:v>
      </x:c>
      <x:c r="I129" s="14" t="str">
        <x:v>否</x:v>
      </x:c>
      <x:c r="J129" s="14" t="n">
        <x:v>1</x:v>
      </x:c>
      <x:c r="K129" s="14" t="str">
        <x:v>研究生宿舍楼</x:v>
      </x:c>
      <x:c r="L129" s="14" t="n">
        <x:v>0</x:v>
      </x:c>
      <x:c r="M129" s="14" t="str">
        <x:v>07:50</x:v>
      </x:c>
      <x:c r="N129" s="14" t="str">
        <x:v>是</x:v>
      </x:c>
      <x:c r="O129" s="14" t="str">
        <x:v>否</x:v>
      </x:c>
      <x:c r="P129" s="14" t="str">
        <x:v>未提供</x:v>
      </x:c>
      <x:c r="Q129" s="14" t="str">
        <x:v>未提供</x:v>
      </x:c>
      <x:c r="R129" s="14" t="str">
        <x:v>预测</x:v>
      </x:c>
      <x:c r="S129" s="14" t="str">
        <x:v>到站时间为估算值</x:v>
      </x:c>
      <x:c r="T129" t="str">
        <x:v>研究生宿舍楼发车</x:v>
      </x:c>
    </x:row>
    <x:row r="130">
      <x:c r="A130" s="14" t="str">
        <x:v>S0012-02</x:v>
      </x:c>
      <x:c r="B130" s="14" t="str">
        <x:v>S0012</x:v>
      </x:c>
      <x:c r="C130" s="14" t="str">
        <x:v>工作日</x:v>
      </x:c>
      <x:c r="D130" s="14" t="str">
        <x:v>环线1路</x:v>
      </x:c>
      <x:c r="E130" s="14" t="str">
        <x:v>第三班</x:v>
      </x:c>
      <x:c r="F130" s="14" t="n">
        <x:v>1</x:v>
      </x:c>
      <x:c r="G130" s="14" t="str">
        <x:v>7:50</x:v>
      </x:c>
      <x:c r="H130" s="14" t="str">
        <x:v>研究生宿舍楼</x:v>
      </x:c>
      <x:c r="I130" s="14" t="str">
        <x:v>否</x:v>
      </x:c>
      <x:c r="J130" s="14" t="n">
        <x:v>2</x:v>
      </x:c>
      <x:c r="K130" s="14" t="str">
        <x:v>东门</x:v>
      </x:c>
      <x:c r="L130" s="14" t="n">
        <x:v>1</x:v>
      </x:c>
      <x:c r="M130" s="14" t="str">
        <x:v>07:51</x:v>
      </x:c>
      <x:c r="N130" s="14" t="str">
        <x:v>否</x:v>
      </x:c>
      <x:c r="O130" s="14" t="str">
        <x:v>否</x:v>
      </x:c>
      <x:c r="P130" s="14" t="str">
        <x:v>未提供</x:v>
      </x:c>
      <x:c r="Q130" s="14" t="str">
        <x:v>未提供</x:v>
      </x:c>
      <x:c r="R130" s="14" t="str">
        <x:v>预测</x:v>
      </x:c>
      <x:c r="S130" s="14" t="str">
        <x:v>到站时间为估算值</x:v>
      </x:c>
      <x:c r="T130" t="str">
        <x:v>研究生宿舍楼发车</x:v>
      </x:c>
    </x:row>
    <x:row r="131">
      <x:c r="A131" s="14" t="str">
        <x:v>S0012-03</x:v>
      </x:c>
      <x:c r="B131" s="14" t="str">
        <x:v>S0012</x:v>
      </x:c>
      <x:c r="C131" s="14" t="str">
        <x:v>工作日</x:v>
      </x:c>
      <x:c r="D131" s="14" t="str">
        <x:v>环线1路</x:v>
      </x:c>
      <x:c r="E131" s="14" t="str">
        <x:v>第三班</x:v>
      </x:c>
      <x:c r="F131" s="14" t="n">
        <x:v>1</x:v>
      </x:c>
      <x:c r="G131" s="14" t="str">
        <x:v>7:50</x:v>
      </x:c>
      <x:c r="H131" s="14" t="str">
        <x:v>研究生宿舍楼</x:v>
      </x:c>
      <x:c r="I131" s="14" t="str">
        <x:v>否</x:v>
      </x:c>
      <x:c r="J131" s="14" t="n">
        <x:v>3</x:v>
      </x:c>
      <x:c r="K131" s="14" t="str">
        <x:v>2号宿舍楼</x:v>
      </x:c>
      <x:c r="L131" s="14" t="n">
        <x:v>2</x:v>
      </x:c>
      <x:c r="M131" s="14" t="str">
        <x:v>07:52</x:v>
      </x:c>
      <x:c r="N131" s="14" t="str">
        <x:v>否</x:v>
      </x:c>
      <x:c r="O131" s="14" t="str">
        <x:v>否</x:v>
      </x:c>
      <x:c r="P131" s="14" t="str">
        <x:v>未提供</x:v>
      </x:c>
      <x:c r="Q131" s="14" t="str">
        <x:v>未提供</x:v>
      </x:c>
      <x:c r="R131" s="14" t="str">
        <x:v>预测</x:v>
      </x:c>
      <x:c r="S131" s="14" t="str">
        <x:v>到站时间为估算值</x:v>
      </x:c>
      <x:c r="T131" t="str">
        <x:v>研究生宿舍楼发车</x:v>
      </x:c>
    </x:row>
    <x:row r="132">
      <x:c r="A132" s="14" t="str">
        <x:v>S0012-04</x:v>
      </x:c>
      <x:c r="B132" s="14" t="str">
        <x:v>S0012</x:v>
      </x:c>
      <x:c r="C132" s="14" t="str">
        <x:v>工作日</x:v>
      </x:c>
      <x:c r="D132" s="14" t="str">
        <x:v>环线1路</x:v>
      </x:c>
      <x:c r="E132" s="14" t="str">
        <x:v>第三班</x:v>
      </x:c>
      <x:c r="F132" s="14" t="n">
        <x:v>1</x:v>
      </x:c>
      <x:c r="G132" s="14" t="str">
        <x:v>7:50</x:v>
      </x:c>
      <x:c r="H132" s="14" t="str">
        <x:v>研究生宿舍楼</x:v>
      </x:c>
      <x:c r="I132" s="14" t="str">
        <x:v>否</x:v>
      </x:c>
      <x:c r="J132" s="14" t="n">
        <x:v>4</x:v>
      </x:c>
      <x:c r="K132" s="14" t="str">
        <x:v>军体活动中心</x:v>
      </x:c>
      <x:c r="L132" s="14" t="n">
        <x:v>3</x:v>
      </x:c>
      <x:c r="M132" s="14" t="str">
        <x:v>07:53</x:v>
      </x:c>
      <x:c r="N132" s="14" t="str">
        <x:v>否</x:v>
      </x:c>
      <x:c r="O132" s="14" t="str">
        <x:v>否</x:v>
      </x:c>
      <x:c r="P132" s="14" t="str">
        <x:v>未提供</x:v>
      </x:c>
      <x:c r="Q132" s="14" t="str">
        <x:v>未提供</x:v>
      </x:c>
      <x:c r="R132" s="14" t="str">
        <x:v>预测</x:v>
      </x:c>
      <x:c r="S132" s="14" t="str">
        <x:v>到站时间为估算值</x:v>
      </x:c>
      <x:c r="T132" t="str">
        <x:v>研究生宿舍楼发车</x:v>
      </x:c>
    </x:row>
    <x:row r="133">
      <x:c r="A133" s="14" t="str">
        <x:v>S0012-05</x:v>
      </x:c>
      <x:c r="B133" s="14" t="str">
        <x:v>S0012</x:v>
      </x:c>
      <x:c r="C133" s="14" t="str">
        <x:v>工作日</x:v>
      </x:c>
      <x:c r="D133" s="14" t="str">
        <x:v>环线1路</x:v>
      </x:c>
      <x:c r="E133" s="14" t="str">
        <x:v>第三班</x:v>
      </x:c>
      <x:c r="F133" s="14" t="n">
        <x:v>1</x:v>
      </x:c>
      <x:c r="G133" s="14" t="str">
        <x:v>7:50</x:v>
      </x:c>
      <x:c r="H133" s="14" t="str">
        <x:v>研究生宿舍楼</x:v>
      </x:c>
      <x:c r="I133" s="14" t="str">
        <x:v>否</x:v>
      </x:c>
      <x:c r="J133" s="14" t="n">
        <x:v>5</x:v>
      </x:c>
      <x:c r="K133" s="14" t="str">
        <x:v>激光所</x:v>
      </x:c>
      <x:c r="L133" s="14" t="n">
        <x:v>5</x:v>
      </x:c>
      <x:c r="M133" s="14" t="str">
        <x:v>07:55</x:v>
      </x:c>
      <x:c r="N133" s="14" t="str">
        <x:v>否</x:v>
      </x:c>
      <x:c r="O133" s="14" t="str">
        <x:v>否</x:v>
      </x:c>
      <x:c r="P133" s="14" t="str">
        <x:v>未提供</x:v>
      </x:c>
      <x:c r="Q133" s="14" t="str">
        <x:v>未提供</x:v>
      </x:c>
      <x:c r="R133" s="14" t="str">
        <x:v>预测</x:v>
      </x:c>
      <x:c r="S133" s="14" t="str">
        <x:v>到站时间为估算值</x:v>
      </x:c>
      <x:c r="T133" t="str">
        <x:v>研究生宿舍楼发车</x:v>
      </x:c>
    </x:row>
    <x:row r="134">
      <x:c r="A134" s="14" t="str">
        <x:v>S0012-06</x:v>
      </x:c>
      <x:c r="B134" s="14" t="str">
        <x:v>S0012</x:v>
      </x:c>
      <x:c r="C134" s="14" t="str">
        <x:v>工作日</x:v>
      </x:c>
      <x:c r="D134" s="14" t="str">
        <x:v>环线1路</x:v>
      </x:c>
      <x:c r="E134" s="14" t="str">
        <x:v>第三班</x:v>
      </x:c>
      <x:c r="F134" s="14" t="n">
        <x:v>1</x:v>
      </x:c>
      <x:c r="G134" s="14" t="str">
        <x:v>7:50</x:v>
      </x:c>
      <x:c r="H134" s="14" t="str">
        <x:v>研究生宿舍楼</x:v>
      </x:c>
      <x:c r="I134" s="14" t="str">
        <x:v>否</x:v>
      </x:c>
      <x:c r="J134" s="14" t="n">
        <x:v>6</x:v>
      </x:c>
      <x:c r="K134" s="14" t="str">
        <x:v>超算中心</x:v>
      </x:c>
      <x:c r="L134" s="14" t="n">
        <x:v>6</x:v>
      </x:c>
      <x:c r="M134" s="14" t="str">
        <x:v>07:56</x:v>
      </x:c>
      <x:c r="N134" s="14" t="str">
        <x:v>否</x:v>
      </x:c>
      <x:c r="O134" s="14" t="str">
        <x:v>否</x:v>
      </x:c>
      <x:c r="P134" s="14" t="str">
        <x:v>未提供</x:v>
      </x:c>
      <x:c r="Q134" s="14" t="str">
        <x:v>未提供</x:v>
      </x:c>
      <x:c r="R134" s="14" t="str">
        <x:v>预测</x:v>
      </x:c>
      <x:c r="S134" s="14" t="str">
        <x:v>到站时间为估算值</x:v>
      </x:c>
      <x:c r="T134" t="str">
        <x:v>研究生宿舍楼发车</x:v>
      </x:c>
    </x:row>
    <x:row r="135">
      <x:c r="A135" s="14" t="str">
        <x:v>S0012-07</x:v>
      </x:c>
      <x:c r="B135" s="14" t="str">
        <x:v>S0012</x:v>
      </x:c>
      <x:c r="C135" s="14" t="str">
        <x:v>工作日</x:v>
      </x:c>
      <x:c r="D135" s="14" t="str">
        <x:v>环线1路</x:v>
      </x:c>
      <x:c r="E135" s="14" t="str">
        <x:v>第三班</x:v>
      </x:c>
      <x:c r="F135" s="14" t="n">
        <x:v>1</x:v>
      </x:c>
      <x:c r="G135" s="14" t="str">
        <x:v>7:50</x:v>
      </x:c>
      <x:c r="H135" s="14" t="str">
        <x:v>研究生宿舍楼</x:v>
      </x:c>
      <x:c r="I135" s="14" t="str">
        <x:v>否</x:v>
      </x:c>
      <x:c r="J135" s="14" t="n">
        <x:v>7</x:v>
      </x:c>
      <x:c r="K135" s="14" t="str">
        <x:v>北门</x:v>
      </x:c>
      <x:c r="L135" s="14" t="n">
        <x:v>8</x:v>
      </x:c>
      <x:c r="M135" s="14" t="str">
        <x:v>07:58</x:v>
      </x:c>
      <x:c r="N135" s="14" t="str">
        <x:v>否</x:v>
      </x:c>
      <x:c r="O135" s="14" t="str">
        <x:v>否</x:v>
      </x:c>
      <x:c r="P135" s="14" t="str">
        <x:v>未提供</x:v>
      </x:c>
      <x:c r="Q135" s="14" t="str">
        <x:v>未提供</x:v>
      </x:c>
      <x:c r="R135" s="14" t="str">
        <x:v>预测</x:v>
      </x:c>
      <x:c r="S135" s="14" t="str">
        <x:v>到站时间为估算值</x:v>
      </x:c>
      <x:c r="T135" t="str">
        <x:v>研究生宿舍楼发车</x:v>
      </x:c>
    </x:row>
    <x:row r="136">
      <x:c r="A136" s="14" t="str">
        <x:v>S0012-08</x:v>
      </x:c>
      <x:c r="B136" s="14" t="str">
        <x:v>S0012</x:v>
      </x:c>
      <x:c r="C136" s="14" t="str">
        <x:v>工作日</x:v>
      </x:c>
      <x:c r="D136" s="14" t="str">
        <x:v>环线1路</x:v>
      </x:c>
      <x:c r="E136" s="14" t="str">
        <x:v>第三班</x:v>
      </x:c>
      <x:c r="F136" s="14" t="n">
        <x:v>1</x:v>
      </x:c>
      <x:c r="G136" s="14" t="str">
        <x:v>7:50</x:v>
      </x:c>
      <x:c r="H136" s="14" t="str">
        <x:v>研究生宿舍楼</x:v>
      </x:c>
      <x:c r="I136" s="14" t="str">
        <x:v>否</x:v>
      </x:c>
      <x:c r="J136" s="14" t="n">
        <x:v>8</x:v>
      </x:c>
      <x:c r="K136" s="14" t="str">
        <x:v>高超楼</x:v>
      </x:c>
      <x:c r="L136" s="14" t="n">
        <x:v>9</x:v>
      </x:c>
      <x:c r="M136" s="14" t="str">
        <x:v>07:59</x:v>
      </x:c>
      <x:c r="N136" s="14" t="str">
        <x:v>否</x:v>
      </x:c>
      <x:c r="O136" s="14" t="str">
        <x:v>否</x:v>
      </x:c>
      <x:c r="P136" s="14" t="str">
        <x:v>未提供</x:v>
      </x:c>
      <x:c r="Q136" s="14" t="str">
        <x:v>未提供</x:v>
      </x:c>
      <x:c r="R136" s="14" t="str">
        <x:v>预测</x:v>
      </x:c>
      <x:c r="S136" s="14" t="str">
        <x:v>到站时间为估算值</x:v>
      </x:c>
      <x:c r="T136" t="str">
        <x:v>研究生宿舍楼发车</x:v>
      </x:c>
    </x:row>
    <x:row r="137">
      <x:c r="A137" s="14" t="str">
        <x:v>S0012-09</x:v>
      </x:c>
      <x:c r="B137" s="14" t="str">
        <x:v>S0012</x:v>
      </x:c>
      <x:c r="C137" s="14" t="str">
        <x:v>工作日</x:v>
      </x:c>
      <x:c r="D137" s="14" t="str">
        <x:v>环线1路</x:v>
      </x:c>
      <x:c r="E137" s="14" t="str">
        <x:v>第三班</x:v>
      </x:c>
      <x:c r="F137" s="14" t="n">
        <x:v>1</x:v>
      </x:c>
      <x:c r="G137" s="14" t="str">
        <x:v>7:50</x:v>
      </x:c>
      <x:c r="H137" s="14" t="str">
        <x:v>研究生宿舍楼</x:v>
      </x:c>
      <x:c r="I137" s="14" t="str">
        <x:v>否</x:v>
      </x:c>
      <x:c r="J137" s="14" t="n">
        <x:v>9</x:v>
      </x:c>
      <x:c r="K137" s="14" t="str">
        <x:v>理学院</x:v>
      </x:c>
      <x:c r="L137" s="14" t="n">
        <x:v>10</x:v>
      </x:c>
      <x:c r="M137" s="14" t="str">
        <x:v>08:00</x:v>
      </x:c>
      <x:c r="N137" s="14" t="str">
        <x:v>否</x:v>
      </x:c>
      <x:c r="O137" s="14" t="str">
        <x:v>否</x:v>
      </x:c>
      <x:c r="P137" s="14" t="str">
        <x:v>未提供</x:v>
      </x:c>
      <x:c r="Q137" s="14" t="str">
        <x:v>未提供</x:v>
      </x:c>
      <x:c r="R137" s="14" t="str">
        <x:v>预测</x:v>
      </x:c>
      <x:c r="S137" s="14" t="str">
        <x:v>到站时间为估算值</x:v>
      </x:c>
      <x:c r="T137" t="str">
        <x:v>研究生宿舍楼发车</x:v>
      </x:c>
    </x:row>
    <x:row r="138">
      <x:c r="A138" s="14" t="str">
        <x:v>S0012-10</x:v>
      </x:c>
      <x:c r="B138" s="14" t="str">
        <x:v>S0012</x:v>
      </x:c>
      <x:c r="C138" s="14" t="str">
        <x:v>工作日</x:v>
      </x:c>
      <x:c r="D138" s="14" t="str">
        <x:v>环线1路</x:v>
      </x:c>
      <x:c r="E138" s="14" t="str">
        <x:v>第三班</x:v>
      </x:c>
      <x:c r="F138" s="14" t="n">
        <x:v>1</x:v>
      </x:c>
      <x:c r="G138" s="14" t="str">
        <x:v>7:50</x:v>
      </x:c>
      <x:c r="H138" s="14" t="str">
        <x:v>研究生宿舍楼</x:v>
      </x:c>
      <x:c r="I138" s="14" t="str">
        <x:v>否</x:v>
      </x:c>
      <x:c r="J138" s="14" t="n">
        <x:v>10</x:v>
      </x:c>
      <x:c r="K138" s="14" t="str">
        <x:v>二食堂</x:v>
      </x:c>
      <x:c r="L138" s="14" t="n">
        <x:v>13</x:v>
      </x:c>
      <x:c r="M138" s="14" t="str">
        <x:v>08:03</x:v>
      </x:c>
      <x:c r="N138" s="14" t="str">
        <x:v>否</x:v>
      </x:c>
      <x:c r="O138" s="14" t="str">
        <x:v>否</x:v>
      </x:c>
      <x:c r="P138" s="14" t="str">
        <x:v>未提供</x:v>
      </x:c>
      <x:c r="Q138" s="14" t="str">
        <x:v>未提供</x:v>
      </x:c>
      <x:c r="R138" s="14" t="str">
        <x:v>预测</x:v>
      </x:c>
      <x:c r="S138" s="14" t="str">
        <x:v>到站时间为估算值</x:v>
      </x:c>
      <x:c r="T138" t="str">
        <x:v>研究生宿舍楼发车</x:v>
      </x:c>
    </x:row>
    <x:row r="139">
      <x:c r="A139" s="14" t="str">
        <x:v>S0012-11</x:v>
      </x:c>
      <x:c r="B139" s="14" t="str">
        <x:v>S0012</x:v>
      </x:c>
      <x:c r="C139" s="14" t="str">
        <x:v>工作日</x:v>
      </x:c>
      <x:c r="D139" s="14" t="str">
        <x:v>环线1路</x:v>
      </x:c>
      <x:c r="E139" s="14" t="str">
        <x:v>第三班</x:v>
      </x:c>
      <x:c r="F139" s="14" t="n">
        <x:v>1</x:v>
      </x:c>
      <x:c r="G139" s="14" t="str">
        <x:v>7:50</x:v>
      </x:c>
      <x:c r="H139" s="14" t="str">
        <x:v>研究生宿舍楼</x:v>
      </x:c>
      <x:c r="I139" s="14" t="str">
        <x:v>否</x:v>
      </x:c>
      <x:c r="J139" s="14" t="n">
        <x:v>11</x:v>
      </x:c>
      <x:c r="K139" s="14" t="str">
        <x:v>5号宿舍楼</x:v>
      </x:c>
      <x:c r="L139" s="14" t="n">
        <x:v>14</x:v>
      </x:c>
      <x:c r="M139" s="14" t="str">
        <x:v>08:04</x:v>
      </x:c>
      <x:c r="N139" s="14" t="str">
        <x:v>否</x:v>
      </x:c>
      <x:c r="O139" s="14" t="str">
        <x:v>否</x:v>
      </x:c>
      <x:c r="P139" s="14" t="str">
        <x:v>未提供</x:v>
      </x:c>
      <x:c r="Q139" s="14" t="str">
        <x:v>未提供</x:v>
      </x:c>
      <x:c r="R139" s="14" t="str">
        <x:v>预测</x:v>
      </x:c>
      <x:c r="S139" s="14" t="str">
        <x:v>到站时间为估算值</x:v>
      </x:c>
      <x:c r="T139" t="str">
        <x:v>研究生宿舍楼发车</x:v>
      </x:c>
    </x:row>
    <x:row r="140">
      <x:c r="A140" s="14" t="str">
        <x:v>S0012-12</x:v>
      </x:c>
      <x:c r="B140" s="14" t="str">
        <x:v>S0012</x:v>
      </x:c>
      <x:c r="C140" s="14" t="str">
        <x:v>工作日</x:v>
      </x:c>
      <x:c r="D140" s="14" t="str">
        <x:v>环线1路</x:v>
      </x:c>
      <x:c r="E140" s="14" t="str">
        <x:v>第三班</x:v>
      </x:c>
      <x:c r="F140" s="14" t="n">
        <x:v>1</x:v>
      </x:c>
      <x:c r="G140" s="14" t="str">
        <x:v>7:50</x:v>
      </x:c>
      <x:c r="H140" s="14" t="str">
        <x:v>研究生宿舍楼</x:v>
      </x:c>
      <x:c r="I140" s="14" t="str">
        <x:v>否</x:v>
      </x:c>
      <x:c r="J140" s="14" t="n">
        <x:v>12</x:v>
      </x:c>
      <x:c r="K140" s="14" t="str">
        <x:v>305教学楼</x:v>
      </x:c>
      <x:c r="L140" s="14" t="n">
        <x:v>15</x:v>
      </x:c>
      <x:c r="M140" s="14" t="str">
        <x:v>08:05</x:v>
      </x:c>
      <x:c r="N140" s="14" t="str">
        <x:v>否</x:v>
      </x:c>
      <x:c r="O140" s="14" t="str">
        <x:v>否</x:v>
      </x:c>
      <x:c r="P140" s="14" t="str">
        <x:v>未提供</x:v>
      </x:c>
      <x:c r="Q140" s="14" t="str">
        <x:v>未提供</x:v>
      </x:c>
      <x:c r="R140" s="14" t="str">
        <x:v>预测</x:v>
      </x:c>
      <x:c r="S140" s="14" t="str">
        <x:v>到站时间为估算值</x:v>
      </x:c>
      <x:c r="T140" t="str">
        <x:v>研究生宿舍楼发车</x:v>
      </x:c>
    </x:row>
    <x:row r="141">
      <x:c r="A141" s="14" t="str">
        <x:v>S0012-13</x:v>
      </x:c>
      <x:c r="B141" s="14" t="str">
        <x:v>S0012</x:v>
      </x:c>
      <x:c r="C141" s="14" t="str">
        <x:v>工作日</x:v>
      </x:c>
      <x:c r="D141" s="14" t="str">
        <x:v>环线1路</x:v>
      </x:c>
      <x:c r="E141" s="14" t="str">
        <x:v>第三班</x:v>
      </x:c>
      <x:c r="F141" s="14" t="n">
        <x:v>1</x:v>
      </x:c>
      <x:c r="G141" s="14" t="str">
        <x:v>7:50</x:v>
      </x:c>
      <x:c r="H141" s="14" t="str">
        <x:v>研究生宿舍楼</x:v>
      </x:c>
      <x:c r="I141" s="14" t="str">
        <x:v>否</x:v>
      </x:c>
      <x:c r="J141" s="14" t="n">
        <x:v>13</x:v>
      </x:c>
      <x:c r="K141" s="14" t="str">
        <x:v>研究生宿舍楼</x:v>
      </x:c>
      <x:c r="L141" s="14" t="n">
        <x:v>17</x:v>
      </x:c>
      <x:c r="M141" s="14" t="str">
        <x:v>08:07</x:v>
      </x:c>
      <x:c r="N141" s="14" t="str">
        <x:v>否</x:v>
      </x:c>
      <x:c r="O141" s="14" t="str">
        <x:v>是</x:v>
      </x:c>
      <x:c r="P141" s="14" t="str">
        <x:v>未提供</x:v>
      </x:c>
      <x:c r="Q141" s="14" t="str">
        <x:v>未提供</x:v>
      </x:c>
      <x:c r="R141" s="14" t="str">
        <x:v>预测</x:v>
      </x:c>
      <x:c r="S141" s="14" t="str">
        <x:v>到站时间为估算值</x:v>
      </x:c>
      <x:c r="T141" t="str">
        <x:v>研究生宿舍楼发车</x:v>
      </x:c>
    </x:row>
    <x:row r="142">
      <x:c r="A142" s="14" t="str">
        <x:v>S0013-01</x:v>
      </x:c>
      <x:c r="B142" s="14" t="str">
        <x:v>S0013</x:v>
      </x:c>
      <x:c r="C142" s="14" t="str">
        <x:v>工作日</x:v>
      </x:c>
      <x:c r="D142" s="14" t="str">
        <x:v>环线1路</x:v>
      </x:c>
      <x:c r="E142" s="14" t="str">
        <x:v>第三班</x:v>
      </x:c>
      <x:c r="F142" s="14" t="n">
        <x:v>2</x:v>
      </x:c>
      <x:c r="G142" s="14" t="str">
        <x:v>8:20</x:v>
      </x:c>
      <x:c r="H142" s="14" t="str">
        <x:v>研究生宿舍楼</x:v>
      </x:c>
      <x:c r="I142" s="14" t="str">
        <x:v>否</x:v>
      </x:c>
      <x:c r="J142" s="14" t="n">
        <x:v>1</x:v>
      </x:c>
      <x:c r="K142" s="14" t="str">
        <x:v>研究生宿舍楼</x:v>
      </x:c>
      <x:c r="L142" s="14" t="n">
        <x:v>0</x:v>
      </x:c>
      <x:c r="M142" s="14" t="str">
        <x:v>08:20</x:v>
      </x:c>
      <x:c r="N142" s="14" t="str">
        <x:v>是</x:v>
      </x:c>
      <x:c r="O142" s="14" t="str">
        <x:v>否</x:v>
      </x:c>
      <x:c r="P142" s="14" t="str">
        <x:v>未提供</x:v>
      </x:c>
      <x:c r="Q142" s="14" t="str">
        <x:v>未提供</x:v>
      </x:c>
      <x:c r="R142" s="14" t="str">
        <x:v>预测</x:v>
      </x:c>
      <x:c r="S142" s="14" t="str">
        <x:v>到站时间为估算值</x:v>
      </x:c>
      <x:c r="T142" t="str">
        <x:v>研究生宿舍楼发车</x:v>
      </x:c>
    </x:row>
    <x:row r="143">
      <x:c r="A143" s="14" t="str">
        <x:v>S0013-02</x:v>
      </x:c>
      <x:c r="B143" s="14" t="str">
        <x:v>S0013</x:v>
      </x:c>
      <x:c r="C143" s="14" t="str">
        <x:v>工作日</x:v>
      </x:c>
      <x:c r="D143" s="14" t="str">
        <x:v>环线1路</x:v>
      </x:c>
      <x:c r="E143" s="14" t="str">
        <x:v>第三班</x:v>
      </x:c>
      <x:c r="F143" s="14" t="n">
        <x:v>2</x:v>
      </x:c>
      <x:c r="G143" s="14" t="str">
        <x:v>8:20</x:v>
      </x:c>
      <x:c r="H143" s="14" t="str">
        <x:v>研究生宿舍楼</x:v>
      </x:c>
      <x:c r="I143" s="14" t="str">
        <x:v>否</x:v>
      </x:c>
      <x:c r="J143" s="14" t="n">
        <x:v>2</x:v>
      </x:c>
      <x:c r="K143" s="14" t="str">
        <x:v>东门</x:v>
      </x:c>
      <x:c r="L143" s="14" t="n">
        <x:v>1</x:v>
      </x:c>
      <x:c r="M143" s="14" t="str">
        <x:v>08:21</x:v>
      </x:c>
      <x:c r="N143" s="14" t="str">
        <x:v>否</x:v>
      </x:c>
      <x:c r="O143" s="14" t="str">
        <x:v>否</x:v>
      </x:c>
      <x:c r="P143" s="14" t="str">
        <x:v>未提供</x:v>
      </x:c>
      <x:c r="Q143" s="14" t="str">
        <x:v>未提供</x:v>
      </x:c>
      <x:c r="R143" s="14" t="str">
        <x:v>预测</x:v>
      </x:c>
      <x:c r="S143" s="14" t="str">
        <x:v>到站时间为估算值</x:v>
      </x:c>
      <x:c r="T143" t="str">
        <x:v>研究生宿舍楼发车</x:v>
      </x:c>
    </x:row>
    <x:row r="144">
      <x:c r="A144" s="14" t="str">
        <x:v>S0013-03</x:v>
      </x:c>
      <x:c r="B144" s="14" t="str">
        <x:v>S0013</x:v>
      </x:c>
      <x:c r="C144" s="14" t="str">
        <x:v>工作日</x:v>
      </x:c>
      <x:c r="D144" s="14" t="str">
        <x:v>环线1路</x:v>
      </x:c>
      <x:c r="E144" s="14" t="str">
        <x:v>第三班</x:v>
      </x:c>
      <x:c r="F144" s="14" t="n">
        <x:v>2</x:v>
      </x:c>
      <x:c r="G144" s="14" t="str">
        <x:v>8:20</x:v>
      </x:c>
      <x:c r="H144" s="14" t="str">
        <x:v>研究生宿舍楼</x:v>
      </x:c>
      <x:c r="I144" s="14" t="str">
        <x:v>否</x:v>
      </x:c>
      <x:c r="J144" s="14" t="n">
        <x:v>3</x:v>
      </x:c>
      <x:c r="K144" s="14" t="str">
        <x:v>2号宿舍楼</x:v>
      </x:c>
      <x:c r="L144" s="14" t="n">
        <x:v>2</x:v>
      </x:c>
      <x:c r="M144" s="14" t="str">
        <x:v>08:22</x:v>
      </x:c>
      <x:c r="N144" s="14" t="str">
        <x:v>否</x:v>
      </x:c>
      <x:c r="O144" s="14" t="str">
        <x:v>否</x:v>
      </x:c>
      <x:c r="P144" s="14" t="str">
        <x:v>未提供</x:v>
      </x:c>
      <x:c r="Q144" s="14" t="str">
        <x:v>未提供</x:v>
      </x:c>
      <x:c r="R144" s="14" t="str">
        <x:v>预测</x:v>
      </x:c>
      <x:c r="S144" s="14" t="str">
        <x:v>到站时间为估算值</x:v>
      </x:c>
      <x:c r="T144" t="str">
        <x:v>研究生宿舍楼发车</x:v>
      </x:c>
    </x:row>
    <x:row r="145">
      <x:c r="A145" s="14" t="str">
        <x:v>S0013-04</x:v>
      </x:c>
      <x:c r="B145" s="14" t="str">
        <x:v>S0013</x:v>
      </x:c>
      <x:c r="C145" s="14" t="str">
        <x:v>工作日</x:v>
      </x:c>
      <x:c r="D145" s="14" t="str">
        <x:v>环线1路</x:v>
      </x:c>
      <x:c r="E145" s="14" t="str">
        <x:v>第三班</x:v>
      </x:c>
      <x:c r="F145" s="14" t="n">
        <x:v>2</x:v>
      </x:c>
      <x:c r="G145" s="14" t="str">
        <x:v>8:20</x:v>
      </x:c>
      <x:c r="H145" s="14" t="str">
        <x:v>研究生宿舍楼</x:v>
      </x:c>
      <x:c r="I145" s="14" t="str">
        <x:v>否</x:v>
      </x:c>
      <x:c r="J145" s="14" t="n">
        <x:v>4</x:v>
      </x:c>
      <x:c r="K145" s="14" t="str">
        <x:v>军体活动中心</x:v>
      </x:c>
      <x:c r="L145" s="14" t="n">
        <x:v>3</x:v>
      </x:c>
      <x:c r="M145" s="14" t="str">
        <x:v>08:23</x:v>
      </x:c>
      <x:c r="N145" s="14" t="str">
        <x:v>否</x:v>
      </x:c>
      <x:c r="O145" s="14" t="str">
        <x:v>否</x:v>
      </x:c>
      <x:c r="P145" s="14" t="str">
        <x:v>未提供</x:v>
      </x:c>
      <x:c r="Q145" s="14" t="str">
        <x:v>未提供</x:v>
      </x:c>
      <x:c r="R145" s="14" t="str">
        <x:v>预测</x:v>
      </x:c>
      <x:c r="S145" s="14" t="str">
        <x:v>到站时间为估算值</x:v>
      </x:c>
      <x:c r="T145" t="str">
        <x:v>研究生宿舍楼发车</x:v>
      </x:c>
    </x:row>
    <x:row r="146">
      <x:c r="A146" s="14" t="str">
        <x:v>S0013-05</x:v>
      </x:c>
      <x:c r="B146" s="14" t="str">
        <x:v>S0013</x:v>
      </x:c>
      <x:c r="C146" s="14" t="str">
        <x:v>工作日</x:v>
      </x:c>
      <x:c r="D146" s="14" t="str">
        <x:v>环线1路</x:v>
      </x:c>
      <x:c r="E146" s="14" t="str">
        <x:v>第三班</x:v>
      </x:c>
      <x:c r="F146" s="14" t="n">
        <x:v>2</x:v>
      </x:c>
      <x:c r="G146" s="14" t="str">
        <x:v>8:20</x:v>
      </x:c>
      <x:c r="H146" s="14" t="str">
        <x:v>研究生宿舍楼</x:v>
      </x:c>
      <x:c r="I146" s="14" t="str">
        <x:v>否</x:v>
      </x:c>
      <x:c r="J146" s="14" t="n">
        <x:v>5</x:v>
      </x:c>
      <x:c r="K146" s="14" t="str">
        <x:v>激光所</x:v>
      </x:c>
      <x:c r="L146" s="14" t="n">
        <x:v>5</x:v>
      </x:c>
      <x:c r="M146" s="14" t="str">
        <x:v>08:25</x:v>
      </x:c>
      <x:c r="N146" s="14" t="str">
        <x:v>否</x:v>
      </x:c>
      <x:c r="O146" s="14" t="str">
        <x:v>否</x:v>
      </x:c>
      <x:c r="P146" s="14" t="str">
        <x:v>未提供</x:v>
      </x:c>
      <x:c r="Q146" s="14" t="str">
        <x:v>未提供</x:v>
      </x:c>
      <x:c r="R146" s="14" t="str">
        <x:v>预测</x:v>
      </x:c>
      <x:c r="S146" s="14" t="str">
        <x:v>到站时间为估算值</x:v>
      </x:c>
      <x:c r="T146" t="str">
        <x:v>研究生宿舍楼发车</x:v>
      </x:c>
    </x:row>
    <x:row r="147">
      <x:c r="A147" s="14" t="str">
        <x:v>S0013-06</x:v>
      </x:c>
      <x:c r="B147" s="14" t="str">
        <x:v>S0013</x:v>
      </x:c>
      <x:c r="C147" s="14" t="str">
        <x:v>工作日</x:v>
      </x:c>
      <x:c r="D147" s="14" t="str">
        <x:v>环线1路</x:v>
      </x:c>
      <x:c r="E147" s="14" t="str">
        <x:v>第三班</x:v>
      </x:c>
      <x:c r="F147" s="14" t="n">
        <x:v>2</x:v>
      </x:c>
      <x:c r="G147" s="14" t="str">
        <x:v>8:20</x:v>
      </x:c>
      <x:c r="H147" s="14" t="str">
        <x:v>研究生宿舍楼</x:v>
      </x:c>
      <x:c r="I147" s="14" t="str">
        <x:v>否</x:v>
      </x:c>
      <x:c r="J147" s="14" t="n">
        <x:v>6</x:v>
      </x:c>
      <x:c r="K147" s="14" t="str">
        <x:v>超算中心</x:v>
      </x:c>
      <x:c r="L147" s="14" t="n">
        <x:v>6</x:v>
      </x:c>
      <x:c r="M147" s="14" t="str">
        <x:v>08:26</x:v>
      </x:c>
      <x:c r="N147" s="14" t="str">
        <x:v>否</x:v>
      </x:c>
      <x:c r="O147" s="14" t="str">
        <x:v>否</x:v>
      </x:c>
      <x:c r="P147" s="14" t="str">
        <x:v>未提供</x:v>
      </x:c>
      <x:c r="Q147" s="14" t="str">
        <x:v>未提供</x:v>
      </x:c>
      <x:c r="R147" s="14" t="str">
        <x:v>预测</x:v>
      </x:c>
      <x:c r="S147" s="14" t="str">
        <x:v>到站时间为估算值</x:v>
      </x:c>
      <x:c r="T147" t="str">
        <x:v>研究生宿舍楼发车</x:v>
      </x:c>
    </x:row>
    <x:row r="148">
      <x:c r="A148" s="14" t="str">
        <x:v>S0013-07</x:v>
      </x:c>
      <x:c r="B148" s="14" t="str">
        <x:v>S0013</x:v>
      </x:c>
      <x:c r="C148" s="14" t="str">
        <x:v>工作日</x:v>
      </x:c>
      <x:c r="D148" s="14" t="str">
        <x:v>环线1路</x:v>
      </x:c>
      <x:c r="E148" s="14" t="str">
        <x:v>第三班</x:v>
      </x:c>
      <x:c r="F148" s="14" t="n">
        <x:v>2</x:v>
      </x:c>
      <x:c r="G148" s="14" t="str">
        <x:v>8:20</x:v>
      </x:c>
      <x:c r="H148" s="14" t="str">
        <x:v>研究生宿舍楼</x:v>
      </x:c>
      <x:c r="I148" s="14" t="str">
        <x:v>否</x:v>
      </x:c>
      <x:c r="J148" s="14" t="n">
        <x:v>7</x:v>
      </x:c>
      <x:c r="K148" s="14" t="str">
        <x:v>北门</x:v>
      </x:c>
      <x:c r="L148" s="14" t="n">
        <x:v>8</x:v>
      </x:c>
      <x:c r="M148" s="14" t="str">
        <x:v>08:28</x:v>
      </x:c>
      <x:c r="N148" s="14" t="str">
        <x:v>否</x:v>
      </x:c>
      <x:c r="O148" s="14" t="str">
        <x:v>否</x:v>
      </x:c>
      <x:c r="P148" s="14" t="str">
        <x:v>未提供</x:v>
      </x:c>
      <x:c r="Q148" s="14" t="str">
        <x:v>未提供</x:v>
      </x:c>
      <x:c r="R148" s="14" t="str">
        <x:v>预测</x:v>
      </x:c>
      <x:c r="S148" s="14" t="str">
        <x:v>到站时间为估算值</x:v>
      </x:c>
      <x:c r="T148" t="str">
        <x:v>研究生宿舍楼发车</x:v>
      </x:c>
    </x:row>
    <x:row r="149">
      <x:c r="A149" s="14" t="str">
        <x:v>S0013-08</x:v>
      </x:c>
      <x:c r="B149" s="14" t="str">
        <x:v>S0013</x:v>
      </x:c>
      <x:c r="C149" s="14" t="str">
        <x:v>工作日</x:v>
      </x:c>
      <x:c r="D149" s="14" t="str">
        <x:v>环线1路</x:v>
      </x:c>
      <x:c r="E149" s="14" t="str">
        <x:v>第三班</x:v>
      </x:c>
      <x:c r="F149" s="14" t="n">
        <x:v>2</x:v>
      </x:c>
      <x:c r="G149" s="14" t="str">
        <x:v>8:20</x:v>
      </x:c>
      <x:c r="H149" s="14" t="str">
        <x:v>研究生宿舍楼</x:v>
      </x:c>
      <x:c r="I149" s="14" t="str">
        <x:v>否</x:v>
      </x:c>
      <x:c r="J149" s="14" t="n">
        <x:v>8</x:v>
      </x:c>
      <x:c r="K149" s="14" t="str">
        <x:v>高超楼</x:v>
      </x:c>
      <x:c r="L149" s="14" t="n">
        <x:v>9</x:v>
      </x:c>
      <x:c r="M149" s="14" t="str">
        <x:v>08:29</x:v>
      </x:c>
      <x:c r="N149" s="14" t="str">
        <x:v>否</x:v>
      </x:c>
      <x:c r="O149" s="14" t="str">
        <x:v>否</x:v>
      </x:c>
      <x:c r="P149" s="14" t="str">
        <x:v>未提供</x:v>
      </x:c>
      <x:c r="Q149" s="14" t="str">
        <x:v>未提供</x:v>
      </x:c>
      <x:c r="R149" s="14" t="str">
        <x:v>预测</x:v>
      </x:c>
      <x:c r="S149" s="14" t="str">
        <x:v>到站时间为估算值</x:v>
      </x:c>
      <x:c r="T149" t="str">
        <x:v>研究生宿舍楼发车</x:v>
      </x:c>
    </x:row>
    <x:row r="150">
      <x:c r="A150" s="14" t="str">
        <x:v>S0013-09</x:v>
      </x:c>
      <x:c r="B150" s="14" t="str">
        <x:v>S0013</x:v>
      </x:c>
      <x:c r="C150" s="14" t="str">
        <x:v>工作日</x:v>
      </x:c>
      <x:c r="D150" s="14" t="str">
        <x:v>环线1路</x:v>
      </x:c>
      <x:c r="E150" s="14" t="str">
        <x:v>第三班</x:v>
      </x:c>
      <x:c r="F150" s="14" t="n">
        <x:v>2</x:v>
      </x:c>
      <x:c r="G150" s="14" t="str">
        <x:v>8:20</x:v>
      </x:c>
      <x:c r="H150" s="14" t="str">
        <x:v>研究生宿舍楼</x:v>
      </x:c>
      <x:c r="I150" s="14" t="str">
        <x:v>否</x:v>
      </x:c>
      <x:c r="J150" s="14" t="n">
        <x:v>9</x:v>
      </x:c>
      <x:c r="K150" s="14" t="str">
        <x:v>理学院</x:v>
      </x:c>
      <x:c r="L150" s="14" t="n">
        <x:v>10</x:v>
      </x:c>
      <x:c r="M150" s="14" t="str">
        <x:v>08:30</x:v>
      </x:c>
      <x:c r="N150" s="14" t="str">
        <x:v>否</x:v>
      </x:c>
      <x:c r="O150" s="14" t="str">
        <x:v>否</x:v>
      </x:c>
      <x:c r="P150" s="14" t="str">
        <x:v>未提供</x:v>
      </x:c>
      <x:c r="Q150" s="14" t="str">
        <x:v>未提供</x:v>
      </x:c>
      <x:c r="R150" s="14" t="str">
        <x:v>预测</x:v>
      </x:c>
      <x:c r="S150" s="14" t="str">
        <x:v>到站时间为估算值</x:v>
      </x:c>
      <x:c r="T150" t="str">
        <x:v>研究生宿舍楼发车</x:v>
      </x:c>
    </x:row>
    <x:row r="151">
      <x:c r="A151" s="14" t="str">
        <x:v>S0013-10</x:v>
      </x:c>
      <x:c r="B151" s="14" t="str">
        <x:v>S0013</x:v>
      </x:c>
      <x:c r="C151" s="14" t="str">
        <x:v>工作日</x:v>
      </x:c>
      <x:c r="D151" s="14" t="str">
        <x:v>环线1路</x:v>
      </x:c>
      <x:c r="E151" s="14" t="str">
        <x:v>第三班</x:v>
      </x:c>
      <x:c r="F151" s="14" t="n">
        <x:v>2</x:v>
      </x:c>
      <x:c r="G151" s="14" t="str">
        <x:v>8:20</x:v>
      </x:c>
      <x:c r="H151" s="14" t="str">
        <x:v>研究生宿舍楼</x:v>
      </x:c>
      <x:c r="I151" s="14" t="str">
        <x:v>否</x:v>
      </x:c>
      <x:c r="J151" s="14" t="n">
        <x:v>10</x:v>
      </x:c>
      <x:c r="K151" s="14" t="str">
        <x:v>二食堂</x:v>
      </x:c>
      <x:c r="L151" s="14" t="n">
        <x:v>13</x:v>
      </x:c>
      <x:c r="M151" s="14" t="str">
        <x:v>08:33</x:v>
      </x:c>
      <x:c r="N151" s="14" t="str">
        <x:v>否</x:v>
      </x:c>
      <x:c r="O151" s="14" t="str">
        <x:v>否</x:v>
      </x:c>
      <x:c r="P151" s="14" t="str">
        <x:v>未提供</x:v>
      </x:c>
      <x:c r="Q151" s="14" t="str">
        <x:v>未提供</x:v>
      </x:c>
      <x:c r="R151" s="14" t="str">
        <x:v>预测</x:v>
      </x:c>
      <x:c r="S151" s="14" t="str">
        <x:v>到站时间为估算值</x:v>
      </x:c>
      <x:c r="T151" t="str">
        <x:v>研究生宿舍楼发车</x:v>
      </x:c>
    </x:row>
    <x:row r="152">
      <x:c r="A152" s="14" t="str">
        <x:v>S0013-11</x:v>
      </x:c>
      <x:c r="B152" s="14" t="str">
        <x:v>S0013</x:v>
      </x:c>
      <x:c r="C152" s="14" t="str">
        <x:v>工作日</x:v>
      </x:c>
      <x:c r="D152" s="14" t="str">
        <x:v>环线1路</x:v>
      </x:c>
      <x:c r="E152" s="14" t="str">
        <x:v>第三班</x:v>
      </x:c>
      <x:c r="F152" s="14" t="n">
        <x:v>2</x:v>
      </x:c>
      <x:c r="G152" s="14" t="str">
        <x:v>8:20</x:v>
      </x:c>
      <x:c r="H152" s="14" t="str">
        <x:v>研究生宿舍楼</x:v>
      </x:c>
      <x:c r="I152" s="14" t="str">
        <x:v>否</x:v>
      </x:c>
      <x:c r="J152" s="14" t="n">
        <x:v>11</x:v>
      </x:c>
      <x:c r="K152" s="14" t="str">
        <x:v>5号宿舍楼</x:v>
      </x:c>
      <x:c r="L152" s="14" t="n">
        <x:v>14</x:v>
      </x:c>
      <x:c r="M152" s="14" t="str">
        <x:v>08:34</x:v>
      </x:c>
      <x:c r="N152" s="14" t="str">
        <x:v>否</x:v>
      </x:c>
      <x:c r="O152" s="14" t="str">
        <x:v>否</x:v>
      </x:c>
      <x:c r="P152" s="14" t="str">
        <x:v>未提供</x:v>
      </x:c>
      <x:c r="Q152" s="14" t="str">
        <x:v>未提供</x:v>
      </x:c>
      <x:c r="R152" s="14" t="str">
        <x:v>预测</x:v>
      </x:c>
      <x:c r="S152" s="14" t="str">
        <x:v>到站时间为估算值</x:v>
      </x:c>
      <x:c r="T152" t="str">
        <x:v>研究生宿舍楼发车</x:v>
      </x:c>
    </x:row>
    <x:row r="153">
      <x:c r="A153" s="14" t="str">
        <x:v>S0013-12</x:v>
      </x:c>
      <x:c r="B153" s="14" t="str">
        <x:v>S0013</x:v>
      </x:c>
      <x:c r="C153" s="14" t="str">
        <x:v>工作日</x:v>
      </x:c>
      <x:c r="D153" s="14" t="str">
        <x:v>环线1路</x:v>
      </x:c>
      <x:c r="E153" s="14" t="str">
        <x:v>第三班</x:v>
      </x:c>
      <x:c r="F153" s="14" t="n">
        <x:v>2</x:v>
      </x:c>
      <x:c r="G153" s="14" t="str">
        <x:v>8:20</x:v>
      </x:c>
      <x:c r="H153" s="14" t="str">
        <x:v>研究生宿舍楼</x:v>
      </x:c>
      <x:c r="I153" s="14" t="str">
        <x:v>否</x:v>
      </x:c>
      <x:c r="J153" s="14" t="n">
        <x:v>12</x:v>
      </x:c>
      <x:c r="K153" s="14" t="str">
        <x:v>305教学楼</x:v>
      </x:c>
      <x:c r="L153" s="14" t="n">
        <x:v>15</x:v>
      </x:c>
      <x:c r="M153" s="14" t="str">
        <x:v>08:35</x:v>
      </x:c>
      <x:c r="N153" s="14" t="str">
        <x:v>否</x:v>
      </x:c>
      <x:c r="O153" s="14" t="str">
        <x:v>否</x:v>
      </x:c>
      <x:c r="P153" s="14" t="str">
        <x:v>未提供</x:v>
      </x:c>
      <x:c r="Q153" s="14" t="str">
        <x:v>未提供</x:v>
      </x:c>
      <x:c r="R153" s="14" t="str">
        <x:v>预测</x:v>
      </x:c>
      <x:c r="S153" s="14" t="str">
        <x:v>到站时间为估算值</x:v>
      </x:c>
      <x:c r="T153" t="str">
        <x:v>研究生宿舍楼发车</x:v>
      </x:c>
    </x:row>
    <x:row r="154">
      <x:c r="A154" s="14" t="str">
        <x:v>S0013-13</x:v>
      </x:c>
      <x:c r="B154" s="14" t="str">
        <x:v>S0013</x:v>
      </x:c>
      <x:c r="C154" s="14" t="str">
        <x:v>工作日</x:v>
      </x:c>
      <x:c r="D154" s="14" t="str">
        <x:v>环线1路</x:v>
      </x:c>
      <x:c r="E154" s="14" t="str">
        <x:v>第三班</x:v>
      </x:c>
      <x:c r="F154" s="14" t="n">
        <x:v>2</x:v>
      </x:c>
      <x:c r="G154" s="14" t="str">
        <x:v>8:20</x:v>
      </x:c>
      <x:c r="H154" s="14" t="str">
        <x:v>研究生宿舍楼</x:v>
      </x:c>
      <x:c r="I154" s="14" t="str">
        <x:v>否</x:v>
      </x:c>
      <x:c r="J154" s="14" t="n">
        <x:v>13</x:v>
      </x:c>
      <x:c r="K154" s="14" t="str">
        <x:v>研究生宿舍楼</x:v>
      </x:c>
      <x:c r="L154" s="14" t="n">
        <x:v>17</x:v>
      </x:c>
      <x:c r="M154" s="14" t="str">
        <x:v>08:37</x:v>
      </x:c>
      <x:c r="N154" s="14" t="str">
        <x:v>否</x:v>
      </x:c>
      <x:c r="O154" s="14" t="str">
        <x:v>是</x:v>
      </x:c>
      <x:c r="P154" s="14" t="str">
        <x:v>未提供</x:v>
      </x:c>
      <x:c r="Q154" s="14" t="str">
        <x:v>未提供</x:v>
      </x:c>
      <x:c r="R154" s="14" t="str">
        <x:v>预测</x:v>
      </x:c>
      <x:c r="S154" s="14" t="str">
        <x:v>到站时间为估算值</x:v>
      </x:c>
      <x:c r="T154" t="str">
        <x:v>研究生宿舍楼发车</x:v>
      </x:c>
    </x:row>
    <x:row r="155">
      <x:c r="A155" s="14" t="str">
        <x:v>S0014-01</x:v>
      </x:c>
      <x:c r="B155" s="14" t="str">
        <x:v>S0014</x:v>
      </x:c>
      <x:c r="C155" s="14" t="str">
        <x:v>工作日</x:v>
      </x:c>
      <x:c r="D155" s="14" t="str">
        <x:v>环线1路</x:v>
      </x:c>
      <x:c r="E155" s="14" t="str">
        <x:v>第三班</x:v>
      </x:c>
      <x:c r="F155" s="14" t="n">
        <x:v>3</x:v>
      </x:c>
      <x:c r="G155" s="14" t="str">
        <x:v>8:50</x:v>
      </x:c>
      <x:c r="H155" s="14" t="str">
        <x:v>研究生宿舍楼</x:v>
      </x:c>
      <x:c r="I155" s="14" t="str">
        <x:v>否</x:v>
      </x:c>
      <x:c r="J155" s="14" t="n">
        <x:v>1</x:v>
      </x:c>
      <x:c r="K155" s="14" t="str">
        <x:v>研究生宿舍楼</x:v>
      </x:c>
      <x:c r="L155" s="14" t="n">
        <x:v>0</x:v>
      </x:c>
      <x:c r="M155" s="14" t="str">
        <x:v>08:50</x:v>
      </x:c>
      <x:c r="N155" s="14" t="str">
        <x:v>是</x:v>
      </x:c>
      <x:c r="O155" s="14" t="str">
        <x:v>否</x:v>
      </x:c>
      <x:c r="P155" s="14" t="str">
        <x:v>未提供</x:v>
      </x:c>
      <x:c r="Q155" s="14" t="str">
        <x:v>未提供</x:v>
      </x:c>
      <x:c r="R155" s="14" t="str">
        <x:v>预测</x:v>
      </x:c>
      <x:c r="S155" s="14" t="str">
        <x:v>到站时间为估算值</x:v>
      </x:c>
      <x:c r="T155" t="str">
        <x:v>研究生宿舍楼发车</x:v>
      </x:c>
    </x:row>
    <x:row r="156">
      <x:c r="A156" s="14" t="str">
        <x:v>S0014-02</x:v>
      </x:c>
      <x:c r="B156" s="14" t="str">
        <x:v>S0014</x:v>
      </x:c>
      <x:c r="C156" s="14" t="str">
        <x:v>工作日</x:v>
      </x:c>
      <x:c r="D156" s="14" t="str">
        <x:v>环线1路</x:v>
      </x:c>
      <x:c r="E156" s="14" t="str">
        <x:v>第三班</x:v>
      </x:c>
      <x:c r="F156" s="14" t="n">
        <x:v>3</x:v>
      </x:c>
      <x:c r="G156" s="14" t="str">
        <x:v>8:50</x:v>
      </x:c>
      <x:c r="H156" s="14" t="str">
        <x:v>研究生宿舍楼</x:v>
      </x:c>
      <x:c r="I156" s="14" t="str">
        <x:v>否</x:v>
      </x:c>
      <x:c r="J156" s="14" t="n">
        <x:v>2</x:v>
      </x:c>
      <x:c r="K156" s="14" t="str">
        <x:v>东门</x:v>
      </x:c>
      <x:c r="L156" s="14" t="n">
        <x:v>1</x:v>
      </x:c>
      <x:c r="M156" s="14" t="str">
        <x:v>08:51</x:v>
      </x:c>
      <x:c r="N156" s="14" t="str">
        <x:v>否</x:v>
      </x:c>
      <x:c r="O156" s="14" t="str">
        <x:v>否</x:v>
      </x:c>
      <x:c r="P156" s="14" t="str">
        <x:v>未提供</x:v>
      </x:c>
      <x:c r="Q156" s="14" t="str">
        <x:v>未提供</x:v>
      </x:c>
      <x:c r="R156" s="14" t="str">
        <x:v>预测</x:v>
      </x:c>
      <x:c r="S156" s="14" t="str">
        <x:v>到站时间为估算值</x:v>
      </x:c>
      <x:c r="T156" t="str">
        <x:v>研究生宿舍楼发车</x:v>
      </x:c>
    </x:row>
    <x:row r="157">
      <x:c r="A157" s="14" t="str">
        <x:v>S0014-03</x:v>
      </x:c>
      <x:c r="B157" s="14" t="str">
        <x:v>S0014</x:v>
      </x:c>
      <x:c r="C157" s="14" t="str">
        <x:v>工作日</x:v>
      </x:c>
      <x:c r="D157" s="14" t="str">
        <x:v>环线1路</x:v>
      </x:c>
      <x:c r="E157" s="14" t="str">
        <x:v>第三班</x:v>
      </x:c>
      <x:c r="F157" s="14" t="n">
        <x:v>3</x:v>
      </x:c>
      <x:c r="G157" s="14" t="str">
        <x:v>8:50</x:v>
      </x:c>
      <x:c r="H157" s="14" t="str">
        <x:v>研究生宿舍楼</x:v>
      </x:c>
      <x:c r="I157" s="14" t="str">
        <x:v>否</x:v>
      </x:c>
      <x:c r="J157" s="14" t="n">
        <x:v>3</x:v>
      </x:c>
      <x:c r="K157" s="14" t="str">
        <x:v>2号宿舍楼</x:v>
      </x:c>
      <x:c r="L157" s="14" t="n">
        <x:v>2</x:v>
      </x:c>
      <x:c r="M157" s="14" t="str">
        <x:v>08:52</x:v>
      </x:c>
      <x:c r="N157" s="14" t="str">
        <x:v>否</x:v>
      </x:c>
      <x:c r="O157" s="14" t="str">
        <x:v>否</x:v>
      </x:c>
      <x:c r="P157" s="14" t="str">
        <x:v>未提供</x:v>
      </x:c>
      <x:c r="Q157" s="14" t="str">
        <x:v>未提供</x:v>
      </x:c>
      <x:c r="R157" s="14" t="str">
        <x:v>预测</x:v>
      </x:c>
      <x:c r="S157" s="14" t="str">
        <x:v>到站时间为估算值</x:v>
      </x:c>
      <x:c r="T157" t="str">
        <x:v>研究生宿舍楼发车</x:v>
      </x:c>
    </x:row>
    <x:row r="158">
      <x:c r="A158" s="14" t="str">
        <x:v>S0014-04</x:v>
      </x:c>
      <x:c r="B158" s="14" t="str">
        <x:v>S0014</x:v>
      </x:c>
      <x:c r="C158" s="14" t="str">
        <x:v>工作日</x:v>
      </x:c>
      <x:c r="D158" s="14" t="str">
        <x:v>环线1路</x:v>
      </x:c>
      <x:c r="E158" s="14" t="str">
        <x:v>第三班</x:v>
      </x:c>
      <x:c r="F158" s="14" t="n">
        <x:v>3</x:v>
      </x:c>
      <x:c r="G158" s="14" t="str">
        <x:v>8:50</x:v>
      </x:c>
      <x:c r="H158" s="14" t="str">
        <x:v>研究生宿舍楼</x:v>
      </x:c>
      <x:c r="I158" s="14" t="str">
        <x:v>否</x:v>
      </x:c>
      <x:c r="J158" s="14" t="n">
        <x:v>4</x:v>
      </x:c>
      <x:c r="K158" s="14" t="str">
        <x:v>军体活动中心</x:v>
      </x:c>
      <x:c r="L158" s="14" t="n">
        <x:v>3</x:v>
      </x:c>
      <x:c r="M158" s="14" t="str">
        <x:v>08:53</x:v>
      </x:c>
      <x:c r="N158" s="14" t="str">
        <x:v>否</x:v>
      </x:c>
      <x:c r="O158" s="14" t="str">
        <x:v>否</x:v>
      </x:c>
      <x:c r="P158" s="14" t="str">
        <x:v>未提供</x:v>
      </x:c>
      <x:c r="Q158" s="14" t="str">
        <x:v>未提供</x:v>
      </x:c>
      <x:c r="R158" s="14" t="str">
        <x:v>预测</x:v>
      </x:c>
      <x:c r="S158" s="14" t="str">
        <x:v>到站时间为估算值</x:v>
      </x:c>
      <x:c r="T158" t="str">
        <x:v>研究生宿舍楼发车</x:v>
      </x:c>
    </x:row>
    <x:row r="159">
      <x:c r="A159" s="14" t="str">
        <x:v>S0014-05</x:v>
      </x:c>
      <x:c r="B159" s="14" t="str">
        <x:v>S0014</x:v>
      </x:c>
      <x:c r="C159" s="14" t="str">
        <x:v>工作日</x:v>
      </x:c>
      <x:c r="D159" s="14" t="str">
        <x:v>环线1路</x:v>
      </x:c>
      <x:c r="E159" s="14" t="str">
        <x:v>第三班</x:v>
      </x:c>
      <x:c r="F159" s="14" t="n">
        <x:v>3</x:v>
      </x:c>
      <x:c r="G159" s="14" t="str">
        <x:v>8:50</x:v>
      </x:c>
      <x:c r="H159" s="14" t="str">
        <x:v>研究生宿舍楼</x:v>
      </x:c>
      <x:c r="I159" s="14" t="str">
        <x:v>否</x:v>
      </x:c>
      <x:c r="J159" s="14" t="n">
        <x:v>5</x:v>
      </x:c>
      <x:c r="K159" s="14" t="str">
        <x:v>激光所</x:v>
      </x:c>
      <x:c r="L159" s="14" t="n">
        <x:v>5</x:v>
      </x:c>
      <x:c r="M159" s="14" t="str">
        <x:v>08:55</x:v>
      </x:c>
      <x:c r="N159" s="14" t="str">
        <x:v>否</x:v>
      </x:c>
      <x:c r="O159" s="14" t="str">
        <x:v>否</x:v>
      </x:c>
      <x:c r="P159" s="14" t="str">
        <x:v>未提供</x:v>
      </x:c>
      <x:c r="Q159" s="14" t="str">
        <x:v>未提供</x:v>
      </x:c>
      <x:c r="R159" s="14" t="str">
        <x:v>预测</x:v>
      </x:c>
      <x:c r="S159" s="14" t="str">
        <x:v>到站时间为估算值</x:v>
      </x:c>
      <x:c r="T159" t="str">
        <x:v>研究生宿舍楼发车</x:v>
      </x:c>
    </x:row>
    <x:row r="160">
      <x:c r="A160" s="14" t="str">
        <x:v>S0014-06</x:v>
      </x:c>
      <x:c r="B160" s="14" t="str">
        <x:v>S0014</x:v>
      </x:c>
      <x:c r="C160" s="14" t="str">
        <x:v>工作日</x:v>
      </x:c>
      <x:c r="D160" s="14" t="str">
        <x:v>环线1路</x:v>
      </x:c>
      <x:c r="E160" s="14" t="str">
        <x:v>第三班</x:v>
      </x:c>
      <x:c r="F160" s="14" t="n">
        <x:v>3</x:v>
      </x:c>
      <x:c r="G160" s="14" t="str">
        <x:v>8:50</x:v>
      </x:c>
      <x:c r="H160" s="14" t="str">
        <x:v>研究生宿舍楼</x:v>
      </x:c>
      <x:c r="I160" s="14" t="str">
        <x:v>否</x:v>
      </x:c>
      <x:c r="J160" s="14" t="n">
        <x:v>6</x:v>
      </x:c>
      <x:c r="K160" s="14" t="str">
        <x:v>超算中心</x:v>
      </x:c>
      <x:c r="L160" s="14" t="n">
        <x:v>6</x:v>
      </x:c>
      <x:c r="M160" s="14" t="str">
        <x:v>08:56</x:v>
      </x:c>
      <x:c r="N160" s="14" t="str">
        <x:v>否</x:v>
      </x:c>
      <x:c r="O160" s="14" t="str">
        <x:v>否</x:v>
      </x:c>
      <x:c r="P160" s="14" t="str">
        <x:v>未提供</x:v>
      </x:c>
      <x:c r="Q160" s="14" t="str">
        <x:v>未提供</x:v>
      </x:c>
      <x:c r="R160" s="14" t="str">
        <x:v>预测</x:v>
      </x:c>
      <x:c r="S160" s="14" t="str">
        <x:v>到站时间为估算值</x:v>
      </x:c>
      <x:c r="T160" t="str">
        <x:v>研究生宿舍楼发车</x:v>
      </x:c>
    </x:row>
    <x:row r="161">
      <x:c r="A161" s="14" t="str">
        <x:v>S0014-07</x:v>
      </x:c>
      <x:c r="B161" s="14" t="str">
        <x:v>S0014</x:v>
      </x:c>
      <x:c r="C161" s="14" t="str">
        <x:v>工作日</x:v>
      </x:c>
      <x:c r="D161" s="14" t="str">
        <x:v>环线1路</x:v>
      </x:c>
      <x:c r="E161" s="14" t="str">
        <x:v>第三班</x:v>
      </x:c>
      <x:c r="F161" s="14" t="n">
        <x:v>3</x:v>
      </x:c>
      <x:c r="G161" s="14" t="str">
        <x:v>8:50</x:v>
      </x:c>
      <x:c r="H161" s="14" t="str">
        <x:v>研究生宿舍楼</x:v>
      </x:c>
      <x:c r="I161" s="14" t="str">
        <x:v>否</x:v>
      </x:c>
      <x:c r="J161" s="14" t="n">
        <x:v>7</x:v>
      </x:c>
      <x:c r="K161" s="14" t="str">
        <x:v>北门</x:v>
      </x:c>
      <x:c r="L161" s="14" t="n">
        <x:v>8</x:v>
      </x:c>
      <x:c r="M161" s="14" t="str">
        <x:v>08:58</x:v>
      </x:c>
      <x:c r="N161" s="14" t="str">
        <x:v>否</x:v>
      </x:c>
      <x:c r="O161" s="14" t="str">
        <x:v>否</x:v>
      </x:c>
      <x:c r="P161" s="14" t="str">
        <x:v>未提供</x:v>
      </x:c>
      <x:c r="Q161" s="14" t="str">
        <x:v>未提供</x:v>
      </x:c>
      <x:c r="R161" s="14" t="str">
        <x:v>预测</x:v>
      </x:c>
      <x:c r="S161" s="14" t="str">
        <x:v>到站时间为估算值</x:v>
      </x:c>
      <x:c r="T161" t="str">
        <x:v>研究生宿舍楼发车</x:v>
      </x:c>
    </x:row>
    <x:row r="162">
      <x:c r="A162" s="14" t="str">
        <x:v>S0014-08</x:v>
      </x:c>
      <x:c r="B162" s="14" t="str">
        <x:v>S0014</x:v>
      </x:c>
      <x:c r="C162" s="14" t="str">
        <x:v>工作日</x:v>
      </x:c>
      <x:c r="D162" s="14" t="str">
        <x:v>环线1路</x:v>
      </x:c>
      <x:c r="E162" s="14" t="str">
        <x:v>第三班</x:v>
      </x:c>
      <x:c r="F162" s="14" t="n">
        <x:v>3</x:v>
      </x:c>
      <x:c r="G162" s="14" t="str">
        <x:v>8:50</x:v>
      </x:c>
      <x:c r="H162" s="14" t="str">
        <x:v>研究生宿舍楼</x:v>
      </x:c>
      <x:c r="I162" s="14" t="str">
        <x:v>否</x:v>
      </x:c>
      <x:c r="J162" s="14" t="n">
        <x:v>8</x:v>
      </x:c>
      <x:c r="K162" s="14" t="str">
        <x:v>高超楼</x:v>
      </x:c>
      <x:c r="L162" s="14" t="n">
        <x:v>9</x:v>
      </x:c>
      <x:c r="M162" s="14" t="str">
        <x:v>08:59</x:v>
      </x:c>
      <x:c r="N162" s="14" t="str">
        <x:v>否</x:v>
      </x:c>
      <x:c r="O162" s="14" t="str">
        <x:v>否</x:v>
      </x:c>
      <x:c r="P162" s="14" t="str">
        <x:v>未提供</x:v>
      </x:c>
      <x:c r="Q162" s="14" t="str">
        <x:v>未提供</x:v>
      </x:c>
      <x:c r="R162" s="14" t="str">
        <x:v>预测</x:v>
      </x:c>
      <x:c r="S162" s="14" t="str">
        <x:v>到站时间为估算值</x:v>
      </x:c>
      <x:c r="T162" t="str">
        <x:v>研究生宿舍楼发车</x:v>
      </x:c>
    </x:row>
    <x:row r="163">
      <x:c r="A163" s="14" t="str">
        <x:v>S0014-09</x:v>
      </x:c>
      <x:c r="B163" s="14" t="str">
        <x:v>S0014</x:v>
      </x:c>
      <x:c r="C163" s="14" t="str">
        <x:v>工作日</x:v>
      </x:c>
      <x:c r="D163" s="14" t="str">
        <x:v>环线1路</x:v>
      </x:c>
      <x:c r="E163" s="14" t="str">
        <x:v>第三班</x:v>
      </x:c>
      <x:c r="F163" s="14" t="n">
        <x:v>3</x:v>
      </x:c>
      <x:c r="G163" s="14" t="str">
        <x:v>8:50</x:v>
      </x:c>
      <x:c r="H163" s="14" t="str">
        <x:v>研究生宿舍楼</x:v>
      </x:c>
      <x:c r="I163" s="14" t="str">
        <x:v>否</x:v>
      </x:c>
      <x:c r="J163" s="14" t="n">
        <x:v>9</x:v>
      </x:c>
      <x:c r="K163" s="14" t="str">
        <x:v>理学院</x:v>
      </x:c>
      <x:c r="L163" s="14" t="n">
        <x:v>10</x:v>
      </x:c>
      <x:c r="M163" s="14" t="str">
        <x:v>09:00</x:v>
      </x:c>
      <x:c r="N163" s="14" t="str">
        <x:v>否</x:v>
      </x:c>
      <x:c r="O163" s="14" t="str">
        <x:v>否</x:v>
      </x:c>
      <x:c r="P163" s="14" t="str">
        <x:v>未提供</x:v>
      </x:c>
      <x:c r="Q163" s="14" t="str">
        <x:v>未提供</x:v>
      </x:c>
      <x:c r="R163" s="14" t="str">
        <x:v>预测</x:v>
      </x:c>
      <x:c r="S163" s="14" t="str">
        <x:v>到站时间为估算值</x:v>
      </x:c>
      <x:c r="T163" t="str">
        <x:v>研究生宿舍楼发车</x:v>
      </x:c>
    </x:row>
    <x:row r="164">
      <x:c r="A164" s="14" t="str">
        <x:v>S0014-10</x:v>
      </x:c>
      <x:c r="B164" s="14" t="str">
        <x:v>S0014</x:v>
      </x:c>
      <x:c r="C164" s="14" t="str">
        <x:v>工作日</x:v>
      </x:c>
      <x:c r="D164" s="14" t="str">
        <x:v>环线1路</x:v>
      </x:c>
      <x:c r="E164" s="14" t="str">
        <x:v>第三班</x:v>
      </x:c>
      <x:c r="F164" s="14" t="n">
        <x:v>3</x:v>
      </x:c>
      <x:c r="G164" s="14" t="str">
        <x:v>8:50</x:v>
      </x:c>
      <x:c r="H164" s="14" t="str">
        <x:v>研究生宿舍楼</x:v>
      </x:c>
      <x:c r="I164" s="14" t="str">
        <x:v>否</x:v>
      </x:c>
      <x:c r="J164" s="14" t="n">
        <x:v>10</x:v>
      </x:c>
      <x:c r="K164" s="14" t="str">
        <x:v>二食堂</x:v>
      </x:c>
      <x:c r="L164" s="14" t="n">
        <x:v>13</x:v>
      </x:c>
      <x:c r="M164" s="14" t="str">
        <x:v>09:03</x:v>
      </x:c>
      <x:c r="N164" s="14" t="str">
        <x:v>否</x:v>
      </x:c>
      <x:c r="O164" s="14" t="str">
        <x:v>否</x:v>
      </x:c>
      <x:c r="P164" s="14" t="str">
        <x:v>未提供</x:v>
      </x:c>
      <x:c r="Q164" s="14" t="str">
        <x:v>未提供</x:v>
      </x:c>
      <x:c r="R164" s="14" t="str">
        <x:v>预测</x:v>
      </x:c>
      <x:c r="S164" s="14" t="str">
        <x:v>到站时间为估算值</x:v>
      </x:c>
      <x:c r="T164" t="str">
        <x:v>研究生宿舍楼发车</x:v>
      </x:c>
    </x:row>
    <x:row r="165">
      <x:c r="A165" s="14" t="str">
        <x:v>S0014-11</x:v>
      </x:c>
      <x:c r="B165" s="14" t="str">
        <x:v>S0014</x:v>
      </x:c>
      <x:c r="C165" s="14" t="str">
        <x:v>工作日</x:v>
      </x:c>
      <x:c r="D165" s="14" t="str">
        <x:v>环线1路</x:v>
      </x:c>
      <x:c r="E165" s="14" t="str">
        <x:v>第三班</x:v>
      </x:c>
      <x:c r="F165" s="14" t="n">
        <x:v>3</x:v>
      </x:c>
      <x:c r="G165" s="14" t="str">
        <x:v>8:50</x:v>
      </x:c>
      <x:c r="H165" s="14" t="str">
        <x:v>研究生宿舍楼</x:v>
      </x:c>
      <x:c r="I165" s="14" t="str">
        <x:v>否</x:v>
      </x:c>
      <x:c r="J165" s="14" t="n">
        <x:v>11</x:v>
      </x:c>
      <x:c r="K165" s="14" t="str">
        <x:v>5号宿舍楼</x:v>
      </x:c>
      <x:c r="L165" s="14" t="n">
        <x:v>14</x:v>
      </x:c>
      <x:c r="M165" s="14" t="str">
        <x:v>09:04</x:v>
      </x:c>
      <x:c r="N165" s="14" t="str">
        <x:v>否</x:v>
      </x:c>
      <x:c r="O165" s="14" t="str">
        <x:v>否</x:v>
      </x:c>
      <x:c r="P165" s="14" t="str">
        <x:v>未提供</x:v>
      </x:c>
      <x:c r="Q165" s="14" t="str">
        <x:v>未提供</x:v>
      </x:c>
      <x:c r="R165" s="14" t="str">
        <x:v>预测</x:v>
      </x:c>
      <x:c r="S165" s="14" t="str">
        <x:v>到站时间为估算值</x:v>
      </x:c>
      <x:c r="T165" t="str">
        <x:v>研究生宿舍楼发车</x:v>
      </x:c>
    </x:row>
    <x:row r="166">
      <x:c r="A166" s="14" t="str">
        <x:v>S0014-12</x:v>
      </x:c>
      <x:c r="B166" s="14" t="str">
        <x:v>S0014</x:v>
      </x:c>
      <x:c r="C166" s="14" t="str">
        <x:v>工作日</x:v>
      </x:c>
      <x:c r="D166" s="14" t="str">
        <x:v>环线1路</x:v>
      </x:c>
      <x:c r="E166" s="14" t="str">
        <x:v>第三班</x:v>
      </x:c>
      <x:c r="F166" s="14" t="n">
        <x:v>3</x:v>
      </x:c>
      <x:c r="G166" s="14" t="str">
        <x:v>8:50</x:v>
      </x:c>
      <x:c r="H166" s="14" t="str">
        <x:v>研究生宿舍楼</x:v>
      </x:c>
      <x:c r="I166" s="14" t="str">
        <x:v>否</x:v>
      </x:c>
      <x:c r="J166" s="14" t="n">
        <x:v>12</x:v>
      </x:c>
      <x:c r="K166" s="14" t="str">
        <x:v>305教学楼</x:v>
      </x:c>
      <x:c r="L166" s="14" t="n">
        <x:v>15</x:v>
      </x:c>
      <x:c r="M166" s="14" t="str">
        <x:v>09:05</x:v>
      </x:c>
      <x:c r="N166" s="14" t="str">
        <x:v>否</x:v>
      </x:c>
      <x:c r="O166" s="14" t="str">
        <x:v>否</x:v>
      </x:c>
      <x:c r="P166" s="14" t="str">
        <x:v>未提供</x:v>
      </x:c>
      <x:c r="Q166" s="14" t="str">
        <x:v>未提供</x:v>
      </x:c>
      <x:c r="R166" s="14" t="str">
        <x:v>预测</x:v>
      </x:c>
      <x:c r="S166" s="14" t="str">
        <x:v>到站时间为估算值</x:v>
      </x:c>
      <x:c r="T166" t="str">
        <x:v>研究生宿舍楼发车</x:v>
      </x:c>
    </x:row>
    <x:row r="167">
      <x:c r="A167" s="14" t="str">
        <x:v>S0014-13</x:v>
      </x:c>
      <x:c r="B167" s="14" t="str">
        <x:v>S0014</x:v>
      </x:c>
      <x:c r="C167" s="14" t="str">
        <x:v>工作日</x:v>
      </x:c>
      <x:c r="D167" s="14" t="str">
        <x:v>环线1路</x:v>
      </x:c>
      <x:c r="E167" s="14" t="str">
        <x:v>第三班</x:v>
      </x:c>
      <x:c r="F167" s="14" t="n">
        <x:v>3</x:v>
      </x:c>
      <x:c r="G167" s="14" t="str">
        <x:v>8:50</x:v>
      </x:c>
      <x:c r="H167" s="14" t="str">
        <x:v>研究生宿舍楼</x:v>
      </x:c>
      <x:c r="I167" s="14" t="str">
        <x:v>否</x:v>
      </x:c>
      <x:c r="J167" s="14" t="n">
        <x:v>13</x:v>
      </x:c>
      <x:c r="K167" s="14" t="str">
        <x:v>研究生宿舍楼</x:v>
      </x:c>
      <x:c r="L167" s="14" t="n">
        <x:v>17</x:v>
      </x:c>
      <x:c r="M167" s="14" t="str">
        <x:v>09:07</x:v>
      </x:c>
      <x:c r="N167" s="14" t="str">
        <x:v>否</x:v>
      </x:c>
      <x:c r="O167" s="14" t="str">
        <x:v>是</x:v>
      </x:c>
      <x:c r="P167" s="14" t="str">
        <x:v>未提供</x:v>
      </x:c>
      <x:c r="Q167" s="14" t="str">
        <x:v>未提供</x:v>
      </x:c>
      <x:c r="R167" s="14" t="str">
        <x:v>预测</x:v>
      </x:c>
      <x:c r="S167" s="14" t="str">
        <x:v>到站时间为估算值</x:v>
      </x:c>
      <x:c r="T167" t="str">
        <x:v>研究生宿舍楼发车</x:v>
      </x:c>
    </x:row>
    <x:row r="168">
      <x:c r="A168" s="14" t="str">
        <x:v>S0015-01</x:v>
      </x:c>
      <x:c r="B168" s="14" t="str">
        <x:v>S0015</x:v>
      </x:c>
      <x:c r="C168" s="14" t="str">
        <x:v>工作日</x:v>
      </x:c>
      <x:c r="D168" s="14" t="str">
        <x:v>环线1路</x:v>
      </x:c>
      <x:c r="E168" s="14" t="str">
        <x:v>第三班</x:v>
      </x:c>
      <x:c r="F168" s="14" t="n">
        <x:v>4</x:v>
      </x:c>
      <x:c r="G168" s="14" t="str">
        <x:v>9:24</x:v>
      </x:c>
      <x:c r="H168" s="14" t="str">
        <x:v>研究生宿舍楼</x:v>
      </x:c>
      <x:c r="I168" s="14" t="str">
        <x:v>否</x:v>
      </x:c>
      <x:c r="J168" s="14" t="n">
        <x:v>1</x:v>
      </x:c>
      <x:c r="K168" s="14" t="str">
        <x:v>研究生宿舍楼</x:v>
      </x:c>
      <x:c r="L168" s="14" t="n">
        <x:v>0</x:v>
      </x:c>
      <x:c r="M168" s="14" t="str">
        <x:v>09:24</x:v>
      </x:c>
      <x:c r="N168" s="14" t="str">
        <x:v>是</x:v>
      </x:c>
      <x:c r="O168" s="14" t="str">
        <x:v>否</x:v>
      </x:c>
      <x:c r="P168" s="14" t="str">
        <x:v>未提供</x:v>
      </x:c>
      <x:c r="Q168" s="14" t="str">
        <x:v>未提供</x:v>
      </x:c>
      <x:c r="R168" s="14" t="str">
        <x:v>预测</x:v>
      </x:c>
      <x:c r="S168" s="14" t="str">
        <x:v>到站时间为估算值</x:v>
      </x:c>
      <x:c r="T168" t="str">
        <x:v>研究生宿舍楼发车</x:v>
      </x:c>
    </x:row>
    <x:row r="169">
      <x:c r="A169" s="14" t="str">
        <x:v>S0015-02</x:v>
      </x:c>
      <x:c r="B169" s="14" t="str">
        <x:v>S0015</x:v>
      </x:c>
      <x:c r="C169" s="14" t="str">
        <x:v>工作日</x:v>
      </x:c>
      <x:c r="D169" s="14" t="str">
        <x:v>环线1路</x:v>
      </x:c>
      <x:c r="E169" s="14" t="str">
        <x:v>第三班</x:v>
      </x:c>
      <x:c r="F169" s="14" t="n">
        <x:v>4</x:v>
      </x:c>
      <x:c r="G169" s="14" t="str">
        <x:v>9:24</x:v>
      </x:c>
      <x:c r="H169" s="14" t="str">
        <x:v>研究生宿舍楼</x:v>
      </x:c>
      <x:c r="I169" s="14" t="str">
        <x:v>否</x:v>
      </x:c>
      <x:c r="J169" s="14" t="n">
        <x:v>2</x:v>
      </x:c>
      <x:c r="K169" s="14" t="str">
        <x:v>东门</x:v>
      </x:c>
      <x:c r="L169" s="14" t="n">
        <x:v>1</x:v>
      </x:c>
      <x:c r="M169" s="14" t="str">
        <x:v>09:25</x:v>
      </x:c>
      <x:c r="N169" s="14" t="str">
        <x:v>否</x:v>
      </x:c>
      <x:c r="O169" s="14" t="str">
        <x:v>否</x:v>
      </x:c>
      <x:c r="P169" s="14" t="str">
        <x:v>未提供</x:v>
      </x:c>
      <x:c r="Q169" s="14" t="str">
        <x:v>未提供</x:v>
      </x:c>
      <x:c r="R169" s="14" t="str">
        <x:v>预测</x:v>
      </x:c>
      <x:c r="S169" s="14" t="str">
        <x:v>到站时间为估算值</x:v>
      </x:c>
      <x:c r="T169" t="str">
        <x:v>研究生宿舍楼发车</x:v>
      </x:c>
    </x:row>
    <x:row r="170">
      <x:c r="A170" s="14" t="str">
        <x:v>S0015-03</x:v>
      </x:c>
      <x:c r="B170" s="14" t="str">
        <x:v>S0015</x:v>
      </x:c>
      <x:c r="C170" s="14" t="str">
        <x:v>工作日</x:v>
      </x:c>
      <x:c r="D170" s="14" t="str">
        <x:v>环线1路</x:v>
      </x:c>
      <x:c r="E170" s="14" t="str">
        <x:v>第三班</x:v>
      </x:c>
      <x:c r="F170" s="14" t="n">
        <x:v>4</x:v>
      </x:c>
      <x:c r="G170" s="14" t="str">
        <x:v>9:24</x:v>
      </x:c>
      <x:c r="H170" s="14" t="str">
        <x:v>研究生宿舍楼</x:v>
      </x:c>
      <x:c r="I170" s="14" t="str">
        <x:v>否</x:v>
      </x:c>
      <x:c r="J170" s="14" t="n">
        <x:v>3</x:v>
      </x:c>
      <x:c r="K170" s="14" t="str">
        <x:v>2号宿舍楼</x:v>
      </x:c>
      <x:c r="L170" s="14" t="n">
        <x:v>2</x:v>
      </x:c>
      <x:c r="M170" s="14" t="str">
        <x:v>09:26</x:v>
      </x:c>
      <x:c r="N170" s="14" t="str">
        <x:v>否</x:v>
      </x:c>
      <x:c r="O170" s="14" t="str">
        <x:v>否</x:v>
      </x:c>
      <x:c r="P170" s="14" t="str">
        <x:v>未提供</x:v>
      </x:c>
      <x:c r="Q170" s="14" t="str">
        <x:v>未提供</x:v>
      </x:c>
      <x:c r="R170" s="14" t="str">
        <x:v>预测</x:v>
      </x:c>
      <x:c r="S170" s="14" t="str">
        <x:v>到站时间为估算值</x:v>
      </x:c>
      <x:c r="T170" t="str">
        <x:v>研究生宿舍楼发车</x:v>
      </x:c>
    </x:row>
    <x:row r="171">
      <x:c r="A171" s="14" t="str">
        <x:v>S0015-04</x:v>
      </x:c>
      <x:c r="B171" s="14" t="str">
        <x:v>S0015</x:v>
      </x:c>
      <x:c r="C171" s="14" t="str">
        <x:v>工作日</x:v>
      </x:c>
      <x:c r="D171" s="14" t="str">
        <x:v>环线1路</x:v>
      </x:c>
      <x:c r="E171" s="14" t="str">
        <x:v>第三班</x:v>
      </x:c>
      <x:c r="F171" s="14" t="n">
        <x:v>4</x:v>
      </x:c>
      <x:c r="G171" s="14" t="str">
        <x:v>9:24</x:v>
      </x:c>
      <x:c r="H171" s="14" t="str">
        <x:v>研究生宿舍楼</x:v>
      </x:c>
      <x:c r="I171" s="14" t="str">
        <x:v>否</x:v>
      </x:c>
      <x:c r="J171" s="14" t="n">
        <x:v>4</x:v>
      </x:c>
      <x:c r="K171" s="14" t="str">
        <x:v>军体活动中心</x:v>
      </x:c>
      <x:c r="L171" s="14" t="n">
        <x:v>3</x:v>
      </x:c>
      <x:c r="M171" s="14" t="str">
        <x:v>09:27</x:v>
      </x:c>
      <x:c r="N171" s="14" t="str">
        <x:v>否</x:v>
      </x:c>
      <x:c r="O171" s="14" t="str">
        <x:v>否</x:v>
      </x:c>
      <x:c r="P171" s="14" t="str">
        <x:v>未提供</x:v>
      </x:c>
      <x:c r="Q171" s="14" t="str">
        <x:v>未提供</x:v>
      </x:c>
      <x:c r="R171" s="14" t="str">
        <x:v>预测</x:v>
      </x:c>
      <x:c r="S171" s="14" t="str">
        <x:v>到站时间为估算值</x:v>
      </x:c>
      <x:c r="T171" t="str">
        <x:v>研究生宿舍楼发车</x:v>
      </x:c>
    </x:row>
    <x:row r="172">
      <x:c r="A172" s="14" t="str">
        <x:v>S0015-05</x:v>
      </x:c>
      <x:c r="B172" s="14" t="str">
        <x:v>S0015</x:v>
      </x:c>
      <x:c r="C172" s="14" t="str">
        <x:v>工作日</x:v>
      </x:c>
      <x:c r="D172" s="14" t="str">
        <x:v>环线1路</x:v>
      </x:c>
      <x:c r="E172" s="14" t="str">
        <x:v>第三班</x:v>
      </x:c>
      <x:c r="F172" s="14" t="n">
        <x:v>4</x:v>
      </x:c>
      <x:c r="G172" s="14" t="str">
        <x:v>9:24</x:v>
      </x:c>
      <x:c r="H172" s="14" t="str">
        <x:v>研究生宿舍楼</x:v>
      </x:c>
      <x:c r="I172" s="14" t="str">
        <x:v>否</x:v>
      </x:c>
      <x:c r="J172" s="14" t="n">
        <x:v>5</x:v>
      </x:c>
      <x:c r="K172" s="14" t="str">
        <x:v>激光所</x:v>
      </x:c>
      <x:c r="L172" s="14" t="n">
        <x:v>5</x:v>
      </x:c>
      <x:c r="M172" s="14" t="str">
        <x:v>09:29</x:v>
      </x:c>
      <x:c r="N172" s="14" t="str">
        <x:v>否</x:v>
      </x:c>
      <x:c r="O172" s="14" t="str">
        <x:v>否</x:v>
      </x:c>
      <x:c r="P172" s="14" t="str">
        <x:v>未提供</x:v>
      </x:c>
      <x:c r="Q172" s="14" t="str">
        <x:v>未提供</x:v>
      </x:c>
      <x:c r="R172" s="14" t="str">
        <x:v>预测</x:v>
      </x:c>
      <x:c r="S172" s="14" t="str">
        <x:v>到站时间为估算值</x:v>
      </x:c>
      <x:c r="T172" t="str">
        <x:v>研究生宿舍楼发车</x:v>
      </x:c>
    </x:row>
    <x:row r="173">
      <x:c r="A173" s="14" t="str">
        <x:v>S0015-06</x:v>
      </x:c>
      <x:c r="B173" s="14" t="str">
        <x:v>S0015</x:v>
      </x:c>
      <x:c r="C173" s="14" t="str">
        <x:v>工作日</x:v>
      </x:c>
      <x:c r="D173" s="14" t="str">
        <x:v>环线1路</x:v>
      </x:c>
      <x:c r="E173" s="14" t="str">
        <x:v>第三班</x:v>
      </x:c>
      <x:c r="F173" s="14" t="n">
        <x:v>4</x:v>
      </x:c>
      <x:c r="G173" s="14" t="str">
        <x:v>9:24</x:v>
      </x:c>
      <x:c r="H173" s="14" t="str">
        <x:v>研究生宿舍楼</x:v>
      </x:c>
      <x:c r="I173" s="14" t="str">
        <x:v>否</x:v>
      </x:c>
      <x:c r="J173" s="14" t="n">
        <x:v>6</x:v>
      </x:c>
      <x:c r="K173" s="14" t="str">
        <x:v>超算中心</x:v>
      </x:c>
      <x:c r="L173" s="14" t="n">
        <x:v>6</x:v>
      </x:c>
      <x:c r="M173" s="14" t="str">
        <x:v>09:30</x:v>
      </x:c>
      <x:c r="N173" s="14" t="str">
        <x:v>否</x:v>
      </x:c>
      <x:c r="O173" s="14" t="str">
        <x:v>否</x:v>
      </x:c>
      <x:c r="P173" s="14" t="str">
        <x:v>未提供</x:v>
      </x:c>
      <x:c r="Q173" s="14" t="str">
        <x:v>未提供</x:v>
      </x:c>
      <x:c r="R173" s="14" t="str">
        <x:v>预测</x:v>
      </x:c>
      <x:c r="S173" s="14" t="str">
        <x:v>到站时间为估算值</x:v>
      </x:c>
      <x:c r="T173" t="str">
        <x:v>研究生宿舍楼发车</x:v>
      </x:c>
    </x:row>
    <x:row r="174">
      <x:c r="A174" s="14" t="str">
        <x:v>S0015-07</x:v>
      </x:c>
      <x:c r="B174" s="14" t="str">
        <x:v>S0015</x:v>
      </x:c>
      <x:c r="C174" s="14" t="str">
        <x:v>工作日</x:v>
      </x:c>
      <x:c r="D174" s="14" t="str">
        <x:v>环线1路</x:v>
      </x:c>
      <x:c r="E174" s="14" t="str">
        <x:v>第三班</x:v>
      </x:c>
      <x:c r="F174" s="14" t="n">
        <x:v>4</x:v>
      </x:c>
      <x:c r="G174" s="14" t="str">
        <x:v>9:24</x:v>
      </x:c>
      <x:c r="H174" s="14" t="str">
        <x:v>研究生宿舍楼</x:v>
      </x:c>
      <x:c r="I174" s="14" t="str">
        <x:v>否</x:v>
      </x:c>
      <x:c r="J174" s="14" t="n">
        <x:v>7</x:v>
      </x:c>
      <x:c r="K174" s="14" t="str">
        <x:v>北门</x:v>
      </x:c>
      <x:c r="L174" s="14" t="n">
        <x:v>8</x:v>
      </x:c>
      <x:c r="M174" s="14" t="str">
        <x:v>09:32</x:v>
      </x:c>
      <x:c r="N174" s="14" t="str">
        <x:v>否</x:v>
      </x:c>
      <x:c r="O174" s="14" t="str">
        <x:v>否</x:v>
      </x:c>
      <x:c r="P174" s="14" t="str">
        <x:v>未提供</x:v>
      </x:c>
      <x:c r="Q174" s="14" t="str">
        <x:v>未提供</x:v>
      </x:c>
      <x:c r="R174" s="14" t="str">
        <x:v>预测</x:v>
      </x:c>
      <x:c r="S174" s="14" t="str">
        <x:v>到站时间为估算值</x:v>
      </x:c>
      <x:c r="T174" t="str">
        <x:v>研究生宿舍楼发车</x:v>
      </x:c>
    </x:row>
    <x:row r="175">
      <x:c r="A175" s="14" t="str">
        <x:v>S0015-08</x:v>
      </x:c>
      <x:c r="B175" s="14" t="str">
        <x:v>S0015</x:v>
      </x:c>
      <x:c r="C175" s="14" t="str">
        <x:v>工作日</x:v>
      </x:c>
      <x:c r="D175" s="14" t="str">
        <x:v>环线1路</x:v>
      </x:c>
      <x:c r="E175" s="14" t="str">
        <x:v>第三班</x:v>
      </x:c>
      <x:c r="F175" s="14" t="n">
        <x:v>4</x:v>
      </x:c>
      <x:c r="G175" s="14" t="str">
        <x:v>9:24</x:v>
      </x:c>
      <x:c r="H175" s="14" t="str">
        <x:v>研究生宿舍楼</x:v>
      </x:c>
      <x:c r="I175" s="14" t="str">
        <x:v>否</x:v>
      </x:c>
      <x:c r="J175" s="14" t="n">
        <x:v>8</x:v>
      </x:c>
      <x:c r="K175" s="14" t="str">
        <x:v>高超楼</x:v>
      </x:c>
      <x:c r="L175" s="14" t="n">
        <x:v>9</x:v>
      </x:c>
      <x:c r="M175" s="14" t="str">
        <x:v>09:33</x:v>
      </x:c>
      <x:c r="N175" s="14" t="str">
        <x:v>否</x:v>
      </x:c>
      <x:c r="O175" s="14" t="str">
        <x:v>否</x:v>
      </x:c>
      <x:c r="P175" s="14" t="str">
        <x:v>未提供</x:v>
      </x:c>
      <x:c r="Q175" s="14" t="str">
        <x:v>未提供</x:v>
      </x:c>
      <x:c r="R175" s="14" t="str">
        <x:v>预测</x:v>
      </x:c>
      <x:c r="S175" s="14" t="str">
        <x:v>到站时间为估算值</x:v>
      </x:c>
      <x:c r="T175" t="str">
        <x:v>研究生宿舍楼发车</x:v>
      </x:c>
    </x:row>
    <x:row r="176">
      <x:c r="A176" s="14" t="str">
        <x:v>S0015-09</x:v>
      </x:c>
      <x:c r="B176" s="14" t="str">
        <x:v>S0015</x:v>
      </x:c>
      <x:c r="C176" s="14" t="str">
        <x:v>工作日</x:v>
      </x:c>
      <x:c r="D176" s="14" t="str">
        <x:v>环线1路</x:v>
      </x:c>
      <x:c r="E176" s="14" t="str">
        <x:v>第三班</x:v>
      </x:c>
      <x:c r="F176" s="14" t="n">
        <x:v>4</x:v>
      </x:c>
      <x:c r="G176" s="14" t="str">
        <x:v>9:24</x:v>
      </x:c>
      <x:c r="H176" s="14" t="str">
        <x:v>研究生宿舍楼</x:v>
      </x:c>
      <x:c r="I176" s="14" t="str">
        <x:v>否</x:v>
      </x:c>
      <x:c r="J176" s="14" t="n">
        <x:v>9</x:v>
      </x:c>
      <x:c r="K176" s="14" t="str">
        <x:v>理学院</x:v>
      </x:c>
      <x:c r="L176" s="14" t="n">
        <x:v>10</x:v>
      </x:c>
      <x:c r="M176" s="14" t="str">
        <x:v>09:34</x:v>
      </x:c>
      <x:c r="N176" s="14" t="str">
        <x:v>否</x:v>
      </x:c>
      <x:c r="O176" s="14" t="str">
        <x:v>否</x:v>
      </x:c>
      <x:c r="P176" s="14" t="str">
        <x:v>未提供</x:v>
      </x:c>
      <x:c r="Q176" s="14" t="str">
        <x:v>未提供</x:v>
      </x:c>
      <x:c r="R176" s="14" t="str">
        <x:v>预测</x:v>
      </x:c>
      <x:c r="S176" s="14" t="str">
        <x:v>到站时间为估算值</x:v>
      </x:c>
      <x:c r="T176" t="str">
        <x:v>研究生宿舍楼发车</x:v>
      </x:c>
    </x:row>
    <x:row r="177">
      <x:c r="A177" s="14" t="str">
        <x:v>S0015-10</x:v>
      </x:c>
      <x:c r="B177" s="14" t="str">
        <x:v>S0015</x:v>
      </x:c>
      <x:c r="C177" s="14" t="str">
        <x:v>工作日</x:v>
      </x:c>
      <x:c r="D177" s="14" t="str">
        <x:v>环线1路</x:v>
      </x:c>
      <x:c r="E177" s="14" t="str">
        <x:v>第三班</x:v>
      </x:c>
      <x:c r="F177" s="14" t="n">
        <x:v>4</x:v>
      </x:c>
      <x:c r="G177" s="14" t="str">
        <x:v>9:24</x:v>
      </x:c>
      <x:c r="H177" s="14" t="str">
        <x:v>研究生宿舍楼</x:v>
      </x:c>
      <x:c r="I177" s="14" t="str">
        <x:v>否</x:v>
      </x:c>
      <x:c r="J177" s="14" t="n">
        <x:v>10</x:v>
      </x:c>
      <x:c r="K177" s="14" t="str">
        <x:v>二食堂</x:v>
      </x:c>
      <x:c r="L177" s="14" t="n">
        <x:v>13</x:v>
      </x:c>
      <x:c r="M177" s="14" t="str">
        <x:v>09:37</x:v>
      </x:c>
      <x:c r="N177" s="14" t="str">
        <x:v>否</x:v>
      </x:c>
      <x:c r="O177" s="14" t="str">
        <x:v>否</x:v>
      </x:c>
      <x:c r="P177" s="14" t="str">
        <x:v>未提供</x:v>
      </x:c>
      <x:c r="Q177" s="14" t="str">
        <x:v>未提供</x:v>
      </x:c>
      <x:c r="R177" s="14" t="str">
        <x:v>预测</x:v>
      </x:c>
      <x:c r="S177" s="14" t="str">
        <x:v>到站时间为估算值</x:v>
      </x:c>
      <x:c r="T177" t="str">
        <x:v>研究生宿舍楼发车</x:v>
      </x:c>
    </x:row>
    <x:row r="178">
      <x:c r="A178" s="14" t="str">
        <x:v>S0015-11</x:v>
      </x:c>
      <x:c r="B178" s="14" t="str">
        <x:v>S0015</x:v>
      </x:c>
      <x:c r="C178" s="14" t="str">
        <x:v>工作日</x:v>
      </x:c>
      <x:c r="D178" s="14" t="str">
        <x:v>环线1路</x:v>
      </x:c>
      <x:c r="E178" s="14" t="str">
        <x:v>第三班</x:v>
      </x:c>
      <x:c r="F178" s="14" t="n">
        <x:v>4</x:v>
      </x:c>
      <x:c r="G178" s="14" t="str">
        <x:v>9:24</x:v>
      </x:c>
      <x:c r="H178" s="14" t="str">
        <x:v>研究生宿舍楼</x:v>
      </x:c>
      <x:c r="I178" s="14" t="str">
        <x:v>否</x:v>
      </x:c>
      <x:c r="J178" s="14" t="n">
        <x:v>11</x:v>
      </x:c>
      <x:c r="K178" s="14" t="str">
        <x:v>5号宿舍楼</x:v>
      </x:c>
      <x:c r="L178" s="14" t="n">
        <x:v>14</x:v>
      </x:c>
      <x:c r="M178" s="14" t="str">
        <x:v>09:38</x:v>
      </x:c>
      <x:c r="N178" s="14" t="str">
        <x:v>否</x:v>
      </x:c>
      <x:c r="O178" s="14" t="str">
        <x:v>否</x:v>
      </x:c>
      <x:c r="P178" s="14" t="str">
        <x:v>未提供</x:v>
      </x:c>
      <x:c r="Q178" s="14" t="str">
        <x:v>未提供</x:v>
      </x:c>
      <x:c r="R178" s="14" t="str">
        <x:v>预测</x:v>
      </x:c>
      <x:c r="S178" s="14" t="str">
        <x:v>到站时间为估算值</x:v>
      </x:c>
      <x:c r="T178" t="str">
        <x:v>研究生宿舍楼发车</x:v>
      </x:c>
    </x:row>
    <x:row r="179">
      <x:c r="A179" s="14" t="str">
        <x:v>S0015-12</x:v>
      </x:c>
      <x:c r="B179" s="14" t="str">
        <x:v>S0015</x:v>
      </x:c>
      <x:c r="C179" s="14" t="str">
        <x:v>工作日</x:v>
      </x:c>
      <x:c r="D179" s="14" t="str">
        <x:v>环线1路</x:v>
      </x:c>
      <x:c r="E179" s="14" t="str">
        <x:v>第三班</x:v>
      </x:c>
      <x:c r="F179" s="14" t="n">
        <x:v>4</x:v>
      </x:c>
      <x:c r="G179" s="14" t="str">
        <x:v>9:24</x:v>
      </x:c>
      <x:c r="H179" s="14" t="str">
        <x:v>研究生宿舍楼</x:v>
      </x:c>
      <x:c r="I179" s="14" t="str">
        <x:v>否</x:v>
      </x:c>
      <x:c r="J179" s="14" t="n">
        <x:v>12</x:v>
      </x:c>
      <x:c r="K179" s="14" t="str">
        <x:v>305教学楼</x:v>
      </x:c>
      <x:c r="L179" s="14" t="n">
        <x:v>15</x:v>
      </x:c>
      <x:c r="M179" s="14" t="str">
        <x:v>09:39</x:v>
      </x:c>
      <x:c r="N179" s="14" t="str">
        <x:v>否</x:v>
      </x:c>
      <x:c r="O179" s="14" t="str">
        <x:v>否</x:v>
      </x:c>
      <x:c r="P179" s="14" t="str">
        <x:v>未提供</x:v>
      </x:c>
      <x:c r="Q179" s="14" t="str">
        <x:v>未提供</x:v>
      </x:c>
      <x:c r="R179" s="14" t="str">
        <x:v>预测</x:v>
      </x:c>
      <x:c r="S179" s="14" t="str">
        <x:v>到站时间为估算值</x:v>
      </x:c>
      <x:c r="T179" t="str">
        <x:v>研究生宿舍楼发车</x:v>
      </x:c>
    </x:row>
    <x:row r="180">
      <x:c r="A180" s="14" t="str">
        <x:v>S0015-13</x:v>
      </x:c>
      <x:c r="B180" s="14" t="str">
        <x:v>S0015</x:v>
      </x:c>
      <x:c r="C180" s="14" t="str">
        <x:v>工作日</x:v>
      </x:c>
      <x:c r="D180" s="14" t="str">
        <x:v>环线1路</x:v>
      </x:c>
      <x:c r="E180" s="14" t="str">
        <x:v>第三班</x:v>
      </x:c>
      <x:c r="F180" s="14" t="n">
        <x:v>4</x:v>
      </x:c>
      <x:c r="G180" s="14" t="str">
        <x:v>9:24</x:v>
      </x:c>
      <x:c r="H180" s="14" t="str">
        <x:v>研究生宿舍楼</x:v>
      </x:c>
      <x:c r="I180" s="14" t="str">
        <x:v>否</x:v>
      </x:c>
      <x:c r="J180" s="14" t="n">
        <x:v>13</x:v>
      </x:c>
      <x:c r="K180" s="14" t="str">
        <x:v>研究生宿舍楼</x:v>
      </x:c>
      <x:c r="L180" s="14" t="n">
        <x:v>17</x:v>
      </x:c>
      <x:c r="M180" s="14" t="str">
        <x:v>09:41</x:v>
      </x:c>
      <x:c r="N180" s="14" t="str">
        <x:v>否</x:v>
      </x:c>
      <x:c r="O180" s="14" t="str">
        <x:v>是</x:v>
      </x:c>
      <x:c r="P180" s="14" t="str">
        <x:v>未提供</x:v>
      </x:c>
      <x:c r="Q180" s="14" t="str">
        <x:v>未提供</x:v>
      </x:c>
      <x:c r="R180" s="14" t="str">
        <x:v>预测</x:v>
      </x:c>
      <x:c r="S180" s="14" t="str">
        <x:v>到站时间为估算值</x:v>
      </x:c>
      <x:c r="T180" t="str">
        <x:v>研究生宿舍楼发车</x:v>
      </x:c>
    </x:row>
    <x:row r="181">
      <x:c r="A181" s="14" t="str">
        <x:v>S0016-01</x:v>
      </x:c>
      <x:c r="B181" s="14" t="str">
        <x:v>S0016</x:v>
      </x:c>
      <x:c r="C181" s="14" t="str">
        <x:v>工作日</x:v>
      </x:c>
      <x:c r="D181" s="14" t="str">
        <x:v>环线1路</x:v>
      </x:c>
      <x:c r="E181" s="14" t="str">
        <x:v>第三班</x:v>
      </x:c>
      <x:c r="F181" s="14" t="n">
        <x:v>5</x:v>
      </x:c>
      <x:c r="G181" s="14" t="str">
        <x:v>10:00</x:v>
      </x:c>
      <x:c r="H181" s="14" t="str">
        <x:v>研究生宿舍楼</x:v>
      </x:c>
      <x:c r="I181" s="14" t="str">
        <x:v>否</x:v>
      </x:c>
      <x:c r="J181" s="14" t="n">
        <x:v>1</x:v>
      </x:c>
      <x:c r="K181" s="14" t="str">
        <x:v>研究生宿舍楼</x:v>
      </x:c>
      <x:c r="L181" s="14" t="n">
        <x:v>0</x:v>
      </x:c>
      <x:c r="M181" s="14" t="str">
        <x:v>10:00</x:v>
      </x:c>
      <x:c r="N181" s="14" t="str">
        <x:v>是</x:v>
      </x:c>
      <x:c r="O181" s="14" t="str">
        <x:v>否</x:v>
      </x:c>
      <x:c r="P181" s="14" t="str">
        <x:v>未提供</x:v>
      </x:c>
      <x:c r="Q181" s="14" t="str">
        <x:v>未提供</x:v>
      </x:c>
      <x:c r="R181" s="14" t="str">
        <x:v>预测</x:v>
      </x:c>
      <x:c r="S181" s="14" t="str">
        <x:v>到站时间为估算值</x:v>
      </x:c>
      <x:c r="T181" t="str">
        <x:v>研究生宿舍楼发车</x:v>
      </x:c>
    </x:row>
    <x:row r="182">
      <x:c r="A182" s="14" t="str">
        <x:v>S0016-02</x:v>
      </x:c>
      <x:c r="B182" s="14" t="str">
        <x:v>S0016</x:v>
      </x:c>
      <x:c r="C182" s="14" t="str">
        <x:v>工作日</x:v>
      </x:c>
      <x:c r="D182" s="14" t="str">
        <x:v>环线1路</x:v>
      </x:c>
      <x:c r="E182" s="14" t="str">
        <x:v>第三班</x:v>
      </x:c>
      <x:c r="F182" s="14" t="n">
        <x:v>5</x:v>
      </x:c>
      <x:c r="G182" s="14" t="str">
        <x:v>10:00</x:v>
      </x:c>
      <x:c r="H182" s="14" t="str">
        <x:v>研究生宿舍楼</x:v>
      </x:c>
      <x:c r="I182" s="14" t="str">
        <x:v>否</x:v>
      </x:c>
      <x:c r="J182" s="14" t="n">
        <x:v>2</x:v>
      </x:c>
      <x:c r="K182" s="14" t="str">
        <x:v>东门</x:v>
      </x:c>
      <x:c r="L182" s="14" t="n">
        <x:v>1</x:v>
      </x:c>
      <x:c r="M182" s="14" t="str">
        <x:v>10:01</x:v>
      </x:c>
      <x:c r="N182" s="14" t="str">
        <x:v>否</x:v>
      </x:c>
      <x:c r="O182" s="14" t="str">
        <x:v>否</x:v>
      </x:c>
      <x:c r="P182" s="14" t="str">
        <x:v>未提供</x:v>
      </x:c>
      <x:c r="Q182" s="14" t="str">
        <x:v>未提供</x:v>
      </x:c>
      <x:c r="R182" s="14" t="str">
        <x:v>预测</x:v>
      </x:c>
      <x:c r="S182" s="14" t="str">
        <x:v>到站时间为估算值</x:v>
      </x:c>
      <x:c r="T182" t="str">
        <x:v>研究生宿舍楼发车</x:v>
      </x:c>
    </x:row>
    <x:row r="183">
      <x:c r="A183" s="14" t="str">
        <x:v>S0016-03</x:v>
      </x:c>
      <x:c r="B183" s="14" t="str">
        <x:v>S0016</x:v>
      </x:c>
      <x:c r="C183" s="14" t="str">
        <x:v>工作日</x:v>
      </x:c>
      <x:c r="D183" s="14" t="str">
        <x:v>环线1路</x:v>
      </x:c>
      <x:c r="E183" s="14" t="str">
        <x:v>第三班</x:v>
      </x:c>
      <x:c r="F183" s="14" t="n">
        <x:v>5</x:v>
      </x:c>
      <x:c r="G183" s="14" t="str">
        <x:v>10:00</x:v>
      </x:c>
      <x:c r="H183" s="14" t="str">
        <x:v>研究生宿舍楼</x:v>
      </x:c>
      <x:c r="I183" s="14" t="str">
        <x:v>否</x:v>
      </x:c>
      <x:c r="J183" s="14" t="n">
        <x:v>3</x:v>
      </x:c>
      <x:c r="K183" s="14" t="str">
        <x:v>2号宿舍楼</x:v>
      </x:c>
      <x:c r="L183" s="14" t="n">
        <x:v>2</x:v>
      </x:c>
      <x:c r="M183" s="14" t="str">
        <x:v>10:02</x:v>
      </x:c>
      <x:c r="N183" s="14" t="str">
        <x:v>否</x:v>
      </x:c>
      <x:c r="O183" s="14" t="str">
        <x:v>否</x:v>
      </x:c>
      <x:c r="P183" s="14" t="str">
        <x:v>未提供</x:v>
      </x:c>
      <x:c r="Q183" s="14" t="str">
        <x:v>未提供</x:v>
      </x:c>
      <x:c r="R183" s="14" t="str">
        <x:v>预测</x:v>
      </x:c>
      <x:c r="S183" s="14" t="str">
        <x:v>到站时间为估算值</x:v>
      </x:c>
      <x:c r="T183" t="str">
        <x:v>研究生宿舍楼发车</x:v>
      </x:c>
    </x:row>
    <x:row r="184">
      <x:c r="A184" s="14" t="str">
        <x:v>S0016-04</x:v>
      </x:c>
      <x:c r="B184" s="14" t="str">
        <x:v>S0016</x:v>
      </x:c>
      <x:c r="C184" s="14" t="str">
        <x:v>工作日</x:v>
      </x:c>
      <x:c r="D184" s="14" t="str">
        <x:v>环线1路</x:v>
      </x:c>
      <x:c r="E184" s="14" t="str">
        <x:v>第三班</x:v>
      </x:c>
      <x:c r="F184" s="14" t="n">
        <x:v>5</x:v>
      </x:c>
      <x:c r="G184" s="14" t="str">
        <x:v>10:00</x:v>
      </x:c>
      <x:c r="H184" s="14" t="str">
        <x:v>研究生宿舍楼</x:v>
      </x:c>
      <x:c r="I184" s="14" t="str">
        <x:v>否</x:v>
      </x:c>
      <x:c r="J184" s="14" t="n">
        <x:v>4</x:v>
      </x:c>
      <x:c r="K184" s="14" t="str">
        <x:v>军体活动中心</x:v>
      </x:c>
      <x:c r="L184" s="14" t="n">
        <x:v>3</x:v>
      </x:c>
      <x:c r="M184" s="14" t="str">
        <x:v>10:03</x:v>
      </x:c>
      <x:c r="N184" s="14" t="str">
        <x:v>否</x:v>
      </x:c>
      <x:c r="O184" s="14" t="str">
        <x:v>否</x:v>
      </x:c>
      <x:c r="P184" s="14" t="str">
        <x:v>未提供</x:v>
      </x:c>
      <x:c r="Q184" s="14" t="str">
        <x:v>未提供</x:v>
      </x:c>
      <x:c r="R184" s="14" t="str">
        <x:v>预测</x:v>
      </x:c>
      <x:c r="S184" s="14" t="str">
        <x:v>到站时间为估算值</x:v>
      </x:c>
      <x:c r="T184" t="str">
        <x:v>研究生宿舍楼发车</x:v>
      </x:c>
    </x:row>
    <x:row r="185">
      <x:c r="A185" s="14" t="str">
        <x:v>S0016-05</x:v>
      </x:c>
      <x:c r="B185" s="14" t="str">
        <x:v>S0016</x:v>
      </x:c>
      <x:c r="C185" s="14" t="str">
        <x:v>工作日</x:v>
      </x:c>
      <x:c r="D185" s="14" t="str">
        <x:v>环线1路</x:v>
      </x:c>
      <x:c r="E185" s="14" t="str">
        <x:v>第三班</x:v>
      </x:c>
      <x:c r="F185" s="14" t="n">
        <x:v>5</x:v>
      </x:c>
      <x:c r="G185" s="14" t="str">
        <x:v>10:00</x:v>
      </x:c>
      <x:c r="H185" s="14" t="str">
        <x:v>研究生宿舍楼</x:v>
      </x:c>
      <x:c r="I185" s="14" t="str">
        <x:v>否</x:v>
      </x:c>
      <x:c r="J185" s="14" t="n">
        <x:v>5</x:v>
      </x:c>
      <x:c r="K185" s="14" t="str">
        <x:v>激光所</x:v>
      </x:c>
      <x:c r="L185" s="14" t="n">
        <x:v>5</x:v>
      </x:c>
      <x:c r="M185" s="14" t="str">
        <x:v>10:05</x:v>
      </x:c>
      <x:c r="N185" s="14" t="str">
        <x:v>否</x:v>
      </x:c>
      <x:c r="O185" s="14" t="str">
        <x:v>否</x:v>
      </x:c>
      <x:c r="P185" s="14" t="str">
        <x:v>未提供</x:v>
      </x:c>
      <x:c r="Q185" s="14" t="str">
        <x:v>未提供</x:v>
      </x:c>
      <x:c r="R185" s="14" t="str">
        <x:v>预测</x:v>
      </x:c>
      <x:c r="S185" s="14" t="str">
        <x:v>到站时间为估算值</x:v>
      </x:c>
      <x:c r="T185" t="str">
        <x:v>研究生宿舍楼发车</x:v>
      </x:c>
    </x:row>
    <x:row r="186">
      <x:c r="A186" s="14" t="str">
        <x:v>S0016-06</x:v>
      </x:c>
      <x:c r="B186" s="14" t="str">
        <x:v>S0016</x:v>
      </x:c>
      <x:c r="C186" s="14" t="str">
        <x:v>工作日</x:v>
      </x:c>
      <x:c r="D186" s="14" t="str">
        <x:v>环线1路</x:v>
      </x:c>
      <x:c r="E186" s="14" t="str">
        <x:v>第三班</x:v>
      </x:c>
      <x:c r="F186" s="14" t="n">
        <x:v>5</x:v>
      </x:c>
      <x:c r="G186" s="14" t="str">
        <x:v>10:00</x:v>
      </x:c>
      <x:c r="H186" s="14" t="str">
        <x:v>研究生宿舍楼</x:v>
      </x:c>
      <x:c r="I186" s="14" t="str">
        <x:v>否</x:v>
      </x:c>
      <x:c r="J186" s="14" t="n">
        <x:v>6</x:v>
      </x:c>
      <x:c r="K186" s="14" t="str">
        <x:v>超算中心</x:v>
      </x:c>
      <x:c r="L186" s="14" t="n">
        <x:v>6</x:v>
      </x:c>
      <x:c r="M186" s="14" t="str">
        <x:v>10:06</x:v>
      </x:c>
      <x:c r="N186" s="14" t="str">
        <x:v>否</x:v>
      </x:c>
      <x:c r="O186" s="14" t="str">
        <x:v>否</x:v>
      </x:c>
      <x:c r="P186" s="14" t="str">
        <x:v>未提供</x:v>
      </x:c>
      <x:c r="Q186" s="14" t="str">
        <x:v>未提供</x:v>
      </x:c>
      <x:c r="R186" s="14" t="str">
        <x:v>预测</x:v>
      </x:c>
      <x:c r="S186" s="14" t="str">
        <x:v>到站时间为估算值</x:v>
      </x:c>
      <x:c r="T186" t="str">
        <x:v>研究生宿舍楼发车</x:v>
      </x:c>
    </x:row>
    <x:row r="187">
      <x:c r="A187" s="14" t="str">
        <x:v>S0016-07</x:v>
      </x:c>
      <x:c r="B187" s="14" t="str">
        <x:v>S0016</x:v>
      </x:c>
      <x:c r="C187" s="14" t="str">
        <x:v>工作日</x:v>
      </x:c>
      <x:c r="D187" s="14" t="str">
        <x:v>环线1路</x:v>
      </x:c>
      <x:c r="E187" s="14" t="str">
        <x:v>第三班</x:v>
      </x:c>
      <x:c r="F187" s="14" t="n">
        <x:v>5</x:v>
      </x:c>
      <x:c r="G187" s="14" t="str">
        <x:v>10:00</x:v>
      </x:c>
      <x:c r="H187" s="14" t="str">
        <x:v>研究生宿舍楼</x:v>
      </x:c>
      <x:c r="I187" s="14" t="str">
        <x:v>否</x:v>
      </x:c>
      <x:c r="J187" s="14" t="n">
        <x:v>7</x:v>
      </x:c>
      <x:c r="K187" s="14" t="str">
        <x:v>北门</x:v>
      </x:c>
      <x:c r="L187" s="14" t="n">
        <x:v>8</x:v>
      </x:c>
      <x:c r="M187" s="14" t="str">
        <x:v>10:08</x:v>
      </x:c>
      <x:c r="N187" s="14" t="str">
        <x:v>否</x:v>
      </x:c>
      <x:c r="O187" s="14" t="str">
        <x:v>否</x:v>
      </x:c>
      <x:c r="P187" s="14" t="str">
        <x:v>未提供</x:v>
      </x:c>
      <x:c r="Q187" s="14" t="str">
        <x:v>未提供</x:v>
      </x:c>
      <x:c r="R187" s="14" t="str">
        <x:v>预测</x:v>
      </x:c>
      <x:c r="S187" s="14" t="str">
        <x:v>到站时间为估算值</x:v>
      </x:c>
      <x:c r="T187" t="str">
        <x:v>研究生宿舍楼发车</x:v>
      </x:c>
    </x:row>
    <x:row r="188">
      <x:c r="A188" s="14" t="str">
        <x:v>S0016-08</x:v>
      </x:c>
      <x:c r="B188" s="14" t="str">
        <x:v>S0016</x:v>
      </x:c>
      <x:c r="C188" s="14" t="str">
        <x:v>工作日</x:v>
      </x:c>
      <x:c r="D188" s="14" t="str">
        <x:v>环线1路</x:v>
      </x:c>
      <x:c r="E188" s="14" t="str">
        <x:v>第三班</x:v>
      </x:c>
      <x:c r="F188" s="14" t="n">
        <x:v>5</x:v>
      </x:c>
      <x:c r="G188" s="14" t="str">
        <x:v>10:00</x:v>
      </x:c>
      <x:c r="H188" s="14" t="str">
        <x:v>研究生宿舍楼</x:v>
      </x:c>
      <x:c r="I188" s="14" t="str">
        <x:v>否</x:v>
      </x:c>
      <x:c r="J188" s="14" t="n">
        <x:v>8</x:v>
      </x:c>
      <x:c r="K188" s="14" t="str">
        <x:v>高超楼</x:v>
      </x:c>
      <x:c r="L188" s="14" t="n">
        <x:v>9</x:v>
      </x:c>
      <x:c r="M188" s="14" t="str">
        <x:v>10:09</x:v>
      </x:c>
      <x:c r="N188" s="14" t="str">
        <x:v>否</x:v>
      </x:c>
      <x:c r="O188" s="14" t="str">
        <x:v>否</x:v>
      </x:c>
      <x:c r="P188" s="14" t="str">
        <x:v>未提供</x:v>
      </x:c>
      <x:c r="Q188" s="14" t="str">
        <x:v>未提供</x:v>
      </x:c>
      <x:c r="R188" s="14" t="str">
        <x:v>预测</x:v>
      </x:c>
      <x:c r="S188" s="14" t="str">
        <x:v>到站时间为估算值</x:v>
      </x:c>
      <x:c r="T188" t="str">
        <x:v>研究生宿舍楼发车</x:v>
      </x:c>
    </x:row>
    <x:row r="189">
      <x:c r="A189" s="14" t="str">
        <x:v>S0016-09</x:v>
      </x:c>
      <x:c r="B189" s="14" t="str">
        <x:v>S0016</x:v>
      </x:c>
      <x:c r="C189" s="14" t="str">
        <x:v>工作日</x:v>
      </x:c>
      <x:c r="D189" s="14" t="str">
        <x:v>环线1路</x:v>
      </x:c>
      <x:c r="E189" s="14" t="str">
        <x:v>第三班</x:v>
      </x:c>
      <x:c r="F189" s="14" t="n">
        <x:v>5</x:v>
      </x:c>
      <x:c r="G189" s="14" t="str">
        <x:v>10:00</x:v>
      </x:c>
      <x:c r="H189" s="14" t="str">
        <x:v>研究生宿舍楼</x:v>
      </x:c>
      <x:c r="I189" s="14" t="str">
        <x:v>否</x:v>
      </x:c>
      <x:c r="J189" s="14" t="n">
        <x:v>9</x:v>
      </x:c>
      <x:c r="K189" s="14" t="str">
        <x:v>理学院</x:v>
      </x:c>
      <x:c r="L189" s="14" t="n">
        <x:v>10</x:v>
      </x:c>
      <x:c r="M189" s="14" t="str">
        <x:v>10:10</x:v>
      </x:c>
      <x:c r="N189" s="14" t="str">
        <x:v>否</x:v>
      </x:c>
      <x:c r="O189" s="14" t="str">
        <x:v>否</x:v>
      </x:c>
      <x:c r="P189" s="14" t="str">
        <x:v>未提供</x:v>
      </x:c>
      <x:c r="Q189" s="14" t="str">
        <x:v>未提供</x:v>
      </x:c>
      <x:c r="R189" s="14" t="str">
        <x:v>预测</x:v>
      </x:c>
      <x:c r="S189" s="14" t="str">
        <x:v>到站时间为估算值</x:v>
      </x:c>
      <x:c r="T189" t="str">
        <x:v>研究生宿舍楼发车</x:v>
      </x:c>
    </x:row>
    <x:row r="190">
      <x:c r="A190" s="14" t="str">
        <x:v>S0016-10</x:v>
      </x:c>
      <x:c r="B190" s="14" t="str">
        <x:v>S0016</x:v>
      </x:c>
      <x:c r="C190" s="14" t="str">
        <x:v>工作日</x:v>
      </x:c>
      <x:c r="D190" s="14" t="str">
        <x:v>环线1路</x:v>
      </x:c>
      <x:c r="E190" s="14" t="str">
        <x:v>第三班</x:v>
      </x:c>
      <x:c r="F190" s="14" t="n">
        <x:v>5</x:v>
      </x:c>
      <x:c r="G190" s="14" t="str">
        <x:v>10:00</x:v>
      </x:c>
      <x:c r="H190" s="14" t="str">
        <x:v>研究生宿舍楼</x:v>
      </x:c>
      <x:c r="I190" s="14" t="str">
        <x:v>否</x:v>
      </x:c>
      <x:c r="J190" s="14" t="n">
        <x:v>10</x:v>
      </x:c>
      <x:c r="K190" s="14" t="str">
        <x:v>二食堂</x:v>
      </x:c>
      <x:c r="L190" s="14" t="n">
        <x:v>13</x:v>
      </x:c>
      <x:c r="M190" s="14" t="str">
        <x:v>10:13</x:v>
      </x:c>
      <x:c r="N190" s="14" t="str">
        <x:v>否</x:v>
      </x:c>
      <x:c r="O190" s="14" t="str">
        <x:v>否</x:v>
      </x:c>
      <x:c r="P190" s="14" t="str">
        <x:v>未提供</x:v>
      </x:c>
      <x:c r="Q190" s="14" t="str">
        <x:v>未提供</x:v>
      </x:c>
      <x:c r="R190" s="14" t="str">
        <x:v>预测</x:v>
      </x:c>
      <x:c r="S190" s="14" t="str">
        <x:v>到站时间为估算值</x:v>
      </x:c>
      <x:c r="T190" t="str">
        <x:v>研究生宿舍楼发车</x:v>
      </x:c>
    </x:row>
    <x:row r="191">
      <x:c r="A191" s="14" t="str">
        <x:v>S0016-11</x:v>
      </x:c>
      <x:c r="B191" s="14" t="str">
        <x:v>S0016</x:v>
      </x:c>
      <x:c r="C191" s="14" t="str">
        <x:v>工作日</x:v>
      </x:c>
      <x:c r="D191" s="14" t="str">
        <x:v>环线1路</x:v>
      </x:c>
      <x:c r="E191" s="14" t="str">
        <x:v>第三班</x:v>
      </x:c>
      <x:c r="F191" s="14" t="n">
        <x:v>5</x:v>
      </x:c>
      <x:c r="G191" s="14" t="str">
        <x:v>10:00</x:v>
      </x:c>
      <x:c r="H191" s="14" t="str">
        <x:v>研究生宿舍楼</x:v>
      </x:c>
      <x:c r="I191" s="14" t="str">
        <x:v>否</x:v>
      </x:c>
      <x:c r="J191" s="14" t="n">
        <x:v>11</x:v>
      </x:c>
      <x:c r="K191" s="14" t="str">
        <x:v>5号宿舍楼</x:v>
      </x:c>
      <x:c r="L191" s="14" t="n">
        <x:v>14</x:v>
      </x:c>
      <x:c r="M191" s="14" t="str">
        <x:v>10:14</x:v>
      </x:c>
      <x:c r="N191" s="14" t="str">
        <x:v>否</x:v>
      </x:c>
      <x:c r="O191" s="14" t="str">
        <x:v>否</x:v>
      </x:c>
      <x:c r="P191" s="14" t="str">
        <x:v>未提供</x:v>
      </x:c>
      <x:c r="Q191" s="14" t="str">
        <x:v>未提供</x:v>
      </x:c>
      <x:c r="R191" s="14" t="str">
        <x:v>预测</x:v>
      </x:c>
      <x:c r="S191" s="14" t="str">
        <x:v>到站时间为估算值</x:v>
      </x:c>
      <x:c r="T191" t="str">
        <x:v>研究生宿舍楼发车</x:v>
      </x:c>
    </x:row>
    <x:row r="192">
      <x:c r="A192" s="14" t="str">
        <x:v>S0016-12</x:v>
      </x:c>
      <x:c r="B192" s="14" t="str">
        <x:v>S0016</x:v>
      </x:c>
      <x:c r="C192" s="14" t="str">
        <x:v>工作日</x:v>
      </x:c>
      <x:c r="D192" s="14" t="str">
        <x:v>环线1路</x:v>
      </x:c>
      <x:c r="E192" s="14" t="str">
        <x:v>第三班</x:v>
      </x:c>
      <x:c r="F192" s="14" t="n">
        <x:v>5</x:v>
      </x:c>
      <x:c r="G192" s="14" t="str">
        <x:v>10:00</x:v>
      </x:c>
      <x:c r="H192" s="14" t="str">
        <x:v>研究生宿舍楼</x:v>
      </x:c>
      <x:c r="I192" s="14" t="str">
        <x:v>否</x:v>
      </x:c>
      <x:c r="J192" s="14" t="n">
        <x:v>12</x:v>
      </x:c>
      <x:c r="K192" s="14" t="str">
        <x:v>305教学楼</x:v>
      </x:c>
      <x:c r="L192" s="14" t="n">
        <x:v>15</x:v>
      </x:c>
      <x:c r="M192" s="14" t="str">
        <x:v>10:15</x:v>
      </x:c>
      <x:c r="N192" s="14" t="str">
        <x:v>否</x:v>
      </x:c>
      <x:c r="O192" s="14" t="str">
        <x:v>否</x:v>
      </x:c>
      <x:c r="P192" s="14" t="str">
        <x:v>未提供</x:v>
      </x:c>
      <x:c r="Q192" s="14" t="str">
        <x:v>未提供</x:v>
      </x:c>
      <x:c r="R192" s="14" t="str">
        <x:v>预测</x:v>
      </x:c>
      <x:c r="S192" s="14" t="str">
        <x:v>到站时间为估算值</x:v>
      </x:c>
      <x:c r="T192" t="str">
        <x:v>研究生宿舍楼发车</x:v>
      </x:c>
    </x:row>
    <x:row r="193">
      <x:c r="A193" s="14" t="str">
        <x:v>S0016-13</x:v>
      </x:c>
      <x:c r="B193" s="14" t="str">
        <x:v>S0016</x:v>
      </x:c>
      <x:c r="C193" s="14" t="str">
        <x:v>工作日</x:v>
      </x:c>
      <x:c r="D193" s="14" t="str">
        <x:v>环线1路</x:v>
      </x:c>
      <x:c r="E193" s="14" t="str">
        <x:v>第三班</x:v>
      </x:c>
      <x:c r="F193" s="14" t="n">
        <x:v>5</x:v>
      </x:c>
      <x:c r="G193" s="14" t="str">
        <x:v>10:00</x:v>
      </x:c>
      <x:c r="H193" s="14" t="str">
        <x:v>研究生宿舍楼</x:v>
      </x:c>
      <x:c r="I193" s="14" t="str">
        <x:v>否</x:v>
      </x:c>
      <x:c r="J193" s="14" t="n">
        <x:v>13</x:v>
      </x:c>
      <x:c r="K193" s="14" t="str">
        <x:v>研究生宿舍楼</x:v>
      </x:c>
      <x:c r="L193" s="14" t="n">
        <x:v>17</x:v>
      </x:c>
      <x:c r="M193" s="14" t="str">
        <x:v>10:17</x:v>
      </x:c>
      <x:c r="N193" s="14" t="str">
        <x:v>否</x:v>
      </x:c>
      <x:c r="O193" s="14" t="str">
        <x:v>是</x:v>
      </x:c>
      <x:c r="P193" s="14" t="str">
        <x:v>未提供</x:v>
      </x:c>
      <x:c r="Q193" s="14" t="str">
        <x:v>未提供</x:v>
      </x:c>
      <x:c r="R193" s="14" t="str">
        <x:v>预测</x:v>
      </x:c>
      <x:c r="S193" s="14" t="str">
        <x:v>到站时间为估算值</x:v>
      </x:c>
      <x:c r="T193" t="str">
        <x:v>研究生宿舍楼发车</x:v>
      </x:c>
    </x:row>
    <x:row r="194">
      <x:c r="A194" s="14" t="str">
        <x:v>S0017-01</x:v>
      </x:c>
      <x:c r="B194" s="14" t="str">
        <x:v>S0017</x:v>
      </x:c>
      <x:c r="C194" s="14" t="str">
        <x:v>工作日</x:v>
      </x:c>
      <x:c r="D194" s="14" t="str">
        <x:v>环线1路</x:v>
      </x:c>
      <x:c r="E194" s="14" t="str">
        <x:v>第三班</x:v>
      </x:c>
      <x:c r="F194" s="14" t="n">
        <x:v>6</x:v>
      </x:c>
      <x:c r="G194" s="14" t="str">
        <x:v>10:45</x:v>
      </x:c>
      <x:c r="H194" s="14" t="str">
        <x:v>研究生宿舍楼</x:v>
      </x:c>
      <x:c r="I194" s="14" t="str">
        <x:v>否</x:v>
      </x:c>
      <x:c r="J194" s="14" t="n">
        <x:v>1</x:v>
      </x:c>
      <x:c r="K194" s="14" t="str">
        <x:v>研究生宿舍楼</x:v>
      </x:c>
      <x:c r="L194" s="14" t="n">
        <x:v>0</x:v>
      </x:c>
      <x:c r="M194" s="14" t="str">
        <x:v>10:45</x:v>
      </x:c>
      <x:c r="N194" s="14" t="str">
        <x:v>是</x:v>
      </x:c>
      <x:c r="O194" s="14" t="str">
        <x:v>否</x:v>
      </x:c>
      <x:c r="P194" s="14" t="str">
        <x:v>未提供</x:v>
      </x:c>
      <x:c r="Q194" s="14" t="str">
        <x:v>未提供</x:v>
      </x:c>
      <x:c r="R194" s="14" t="str">
        <x:v>预测</x:v>
      </x:c>
      <x:c r="S194" s="14" t="str">
        <x:v>到站时间为估算值</x:v>
      </x:c>
      <x:c r="T194" t="str">
        <x:v>研究生宿舍楼发车</x:v>
      </x:c>
    </x:row>
    <x:row r="195">
      <x:c r="A195" s="14" t="str">
        <x:v>S0017-02</x:v>
      </x:c>
      <x:c r="B195" s="14" t="str">
        <x:v>S0017</x:v>
      </x:c>
      <x:c r="C195" s="14" t="str">
        <x:v>工作日</x:v>
      </x:c>
      <x:c r="D195" s="14" t="str">
        <x:v>环线1路</x:v>
      </x:c>
      <x:c r="E195" s="14" t="str">
        <x:v>第三班</x:v>
      </x:c>
      <x:c r="F195" s="14" t="n">
        <x:v>6</x:v>
      </x:c>
      <x:c r="G195" s="14" t="str">
        <x:v>10:45</x:v>
      </x:c>
      <x:c r="H195" s="14" t="str">
        <x:v>研究生宿舍楼</x:v>
      </x:c>
      <x:c r="I195" s="14" t="str">
        <x:v>否</x:v>
      </x:c>
      <x:c r="J195" s="14" t="n">
        <x:v>2</x:v>
      </x:c>
      <x:c r="K195" s="14" t="str">
        <x:v>东门</x:v>
      </x:c>
      <x:c r="L195" s="14" t="n">
        <x:v>1</x:v>
      </x:c>
      <x:c r="M195" s="14" t="str">
        <x:v>10:46</x:v>
      </x:c>
      <x:c r="N195" s="14" t="str">
        <x:v>否</x:v>
      </x:c>
      <x:c r="O195" s="14" t="str">
        <x:v>否</x:v>
      </x:c>
      <x:c r="P195" s="14" t="str">
        <x:v>未提供</x:v>
      </x:c>
      <x:c r="Q195" s="14" t="str">
        <x:v>未提供</x:v>
      </x:c>
      <x:c r="R195" s="14" t="str">
        <x:v>预测</x:v>
      </x:c>
      <x:c r="S195" s="14" t="str">
        <x:v>到站时间为估算值</x:v>
      </x:c>
      <x:c r="T195" t="str">
        <x:v>研究生宿舍楼发车</x:v>
      </x:c>
    </x:row>
    <x:row r="196">
      <x:c r="A196" s="14" t="str">
        <x:v>S0017-03</x:v>
      </x:c>
      <x:c r="B196" s="14" t="str">
        <x:v>S0017</x:v>
      </x:c>
      <x:c r="C196" s="14" t="str">
        <x:v>工作日</x:v>
      </x:c>
      <x:c r="D196" s="14" t="str">
        <x:v>环线1路</x:v>
      </x:c>
      <x:c r="E196" s="14" t="str">
        <x:v>第三班</x:v>
      </x:c>
      <x:c r="F196" s="14" t="n">
        <x:v>6</x:v>
      </x:c>
      <x:c r="G196" s="14" t="str">
        <x:v>10:45</x:v>
      </x:c>
      <x:c r="H196" s="14" t="str">
        <x:v>研究生宿舍楼</x:v>
      </x:c>
      <x:c r="I196" s="14" t="str">
        <x:v>否</x:v>
      </x:c>
      <x:c r="J196" s="14" t="n">
        <x:v>3</x:v>
      </x:c>
      <x:c r="K196" s="14" t="str">
        <x:v>2号宿舍楼</x:v>
      </x:c>
      <x:c r="L196" s="14" t="n">
        <x:v>2</x:v>
      </x:c>
      <x:c r="M196" s="14" t="str">
        <x:v>10:47</x:v>
      </x:c>
      <x:c r="N196" s="14" t="str">
        <x:v>否</x:v>
      </x:c>
      <x:c r="O196" s="14" t="str">
        <x:v>否</x:v>
      </x:c>
      <x:c r="P196" s="14" t="str">
        <x:v>未提供</x:v>
      </x:c>
      <x:c r="Q196" s="14" t="str">
        <x:v>未提供</x:v>
      </x:c>
      <x:c r="R196" s="14" t="str">
        <x:v>预测</x:v>
      </x:c>
      <x:c r="S196" s="14" t="str">
        <x:v>到站时间为估算值</x:v>
      </x:c>
      <x:c r="T196" t="str">
        <x:v>研究生宿舍楼发车</x:v>
      </x:c>
    </x:row>
    <x:row r="197">
      <x:c r="A197" s="14" t="str">
        <x:v>S0017-04</x:v>
      </x:c>
      <x:c r="B197" s="14" t="str">
        <x:v>S0017</x:v>
      </x:c>
      <x:c r="C197" s="14" t="str">
        <x:v>工作日</x:v>
      </x:c>
      <x:c r="D197" s="14" t="str">
        <x:v>环线1路</x:v>
      </x:c>
      <x:c r="E197" s="14" t="str">
        <x:v>第三班</x:v>
      </x:c>
      <x:c r="F197" s="14" t="n">
        <x:v>6</x:v>
      </x:c>
      <x:c r="G197" s="14" t="str">
        <x:v>10:45</x:v>
      </x:c>
      <x:c r="H197" s="14" t="str">
        <x:v>研究生宿舍楼</x:v>
      </x:c>
      <x:c r="I197" s="14" t="str">
        <x:v>否</x:v>
      </x:c>
      <x:c r="J197" s="14" t="n">
        <x:v>4</x:v>
      </x:c>
      <x:c r="K197" s="14" t="str">
        <x:v>军体活动中心</x:v>
      </x:c>
      <x:c r="L197" s="14" t="n">
        <x:v>3</x:v>
      </x:c>
      <x:c r="M197" s="14" t="str">
        <x:v>10:48</x:v>
      </x:c>
      <x:c r="N197" s="14" t="str">
        <x:v>否</x:v>
      </x:c>
      <x:c r="O197" s="14" t="str">
        <x:v>否</x:v>
      </x:c>
      <x:c r="P197" s="14" t="str">
        <x:v>未提供</x:v>
      </x:c>
      <x:c r="Q197" s="14" t="str">
        <x:v>未提供</x:v>
      </x:c>
      <x:c r="R197" s="14" t="str">
        <x:v>预测</x:v>
      </x:c>
      <x:c r="S197" s="14" t="str">
        <x:v>到站时间为估算值</x:v>
      </x:c>
      <x:c r="T197" t="str">
        <x:v>研究生宿舍楼发车</x:v>
      </x:c>
    </x:row>
    <x:row r="198">
      <x:c r="A198" s="14" t="str">
        <x:v>S0017-05</x:v>
      </x:c>
      <x:c r="B198" s="14" t="str">
        <x:v>S0017</x:v>
      </x:c>
      <x:c r="C198" s="14" t="str">
        <x:v>工作日</x:v>
      </x:c>
      <x:c r="D198" s="14" t="str">
        <x:v>环线1路</x:v>
      </x:c>
      <x:c r="E198" s="14" t="str">
        <x:v>第三班</x:v>
      </x:c>
      <x:c r="F198" s="14" t="n">
        <x:v>6</x:v>
      </x:c>
      <x:c r="G198" s="14" t="str">
        <x:v>10:45</x:v>
      </x:c>
      <x:c r="H198" s="14" t="str">
        <x:v>研究生宿舍楼</x:v>
      </x:c>
      <x:c r="I198" s="14" t="str">
        <x:v>否</x:v>
      </x:c>
      <x:c r="J198" s="14" t="n">
        <x:v>5</x:v>
      </x:c>
      <x:c r="K198" s="14" t="str">
        <x:v>激光所</x:v>
      </x:c>
      <x:c r="L198" s="14" t="n">
        <x:v>5</x:v>
      </x:c>
      <x:c r="M198" s="14" t="str">
        <x:v>10:50</x:v>
      </x:c>
      <x:c r="N198" s="14" t="str">
        <x:v>否</x:v>
      </x:c>
      <x:c r="O198" s="14" t="str">
        <x:v>否</x:v>
      </x:c>
      <x:c r="P198" s="14" t="str">
        <x:v>未提供</x:v>
      </x:c>
      <x:c r="Q198" s="14" t="str">
        <x:v>未提供</x:v>
      </x:c>
      <x:c r="R198" s="14" t="str">
        <x:v>预测</x:v>
      </x:c>
      <x:c r="S198" s="14" t="str">
        <x:v>到站时间为估算值</x:v>
      </x:c>
      <x:c r="T198" t="str">
        <x:v>研究生宿舍楼发车</x:v>
      </x:c>
    </x:row>
    <x:row r="199">
      <x:c r="A199" s="14" t="str">
        <x:v>S0017-06</x:v>
      </x:c>
      <x:c r="B199" s="14" t="str">
        <x:v>S0017</x:v>
      </x:c>
      <x:c r="C199" s="14" t="str">
        <x:v>工作日</x:v>
      </x:c>
      <x:c r="D199" s="14" t="str">
        <x:v>环线1路</x:v>
      </x:c>
      <x:c r="E199" s="14" t="str">
        <x:v>第三班</x:v>
      </x:c>
      <x:c r="F199" s="14" t="n">
        <x:v>6</x:v>
      </x:c>
      <x:c r="G199" s="14" t="str">
        <x:v>10:45</x:v>
      </x:c>
      <x:c r="H199" s="14" t="str">
        <x:v>研究生宿舍楼</x:v>
      </x:c>
      <x:c r="I199" s="14" t="str">
        <x:v>否</x:v>
      </x:c>
      <x:c r="J199" s="14" t="n">
        <x:v>6</x:v>
      </x:c>
      <x:c r="K199" s="14" t="str">
        <x:v>超算中心</x:v>
      </x:c>
      <x:c r="L199" s="14" t="n">
        <x:v>6</x:v>
      </x:c>
      <x:c r="M199" s="14" t="str">
        <x:v>10:51</x:v>
      </x:c>
      <x:c r="N199" s="14" t="str">
        <x:v>否</x:v>
      </x:c>
      <x:c r="O199" s="14" t="str">
        <x:v>否</x:v>
      </x:c>
      <x:c r="P199" s="14" t="str">
        <x:v>未提供</x:v>
      </x:c>
      <x:c r="Q199" s="14" t="str">
        <x:v>未提供</x:v>
      </x:c>
      <x:c r="R199" s="14" t="str">
        <x:v>预测</x:v>
      </x:c>
      <x:c r="S199" s="14" t="str">
        <x:v>到站时间为估算值</x:v>
      </x:c>
      <x:c r="T199" t="str">
        <x:v>研究生宿舍楼发车</x:v>
      </x:c>
    </x:row>
    <x:row r="200">
      <x:c r="A200" s="14" t="str">
        <x:v>S0017-07</x:v>
      </x:c>
      <x:c r="B200" s="14" t="str">
        <x:v>S0017</x:v>
      </x:c>
      <x:c r="C200" s="14" t="str">
        <x:v>工作日</x:v>
      </x:c>
      <x:c r="D200" s="14" t="str">
        <x:v>环线1路</x:v>
      </x:c>
      <x:c r="E200" s="14" t="str">
        <x:v>第三班</x:v>
      </x:c>
      <x:c r="F200" s="14" t="n">
        <x:v>6</x:v>
      </x:c>
      <x:c r="G200" s="14" t="str">
        <x:v>10:45</x:v>
      </x:c>
      <x:c r="H200" s="14" t="str">
        <x:v>研究生宿舍楼</x:v>
      </x:c>
      <x:c r="I200" s="14" t="str">
        <x:v>否</x:v>
      </x:c>
      <x:c r="J200" s="14" t="n">
        <x:v>7</x:v>
      </x:c>
      <x:c r="K200" s="14" t="str">
        <x:v>北门</x:v>
      </x:c>
      <x:c r="L200" s="14" t="n">
        <x:v>8</x:v>
      </x:c>
      <x:c r="M200" s="14" t="str">
        <x:v>10:53</x:v>
      </x:c>
      <x:c r="N200" s="14" t="str">
        <x:v>否</x:v>
      </x:c>
      <x:c r="O200" s="14" t="str">
        <x:v>否</x:v>
      </x:c>
      <x:c r="P200" s="14" t="str">
        <x:v>未提供</x:v>
      </x:c>
      <x:c r="Q200" s="14" t="str">
        <x:v>未提供</x:v>
      </x:c>
      <x:c r="R200" s="14" t="str">
        <x:v>预测</x:v>
      </x:c>
      <x:c r="S200" s="14" t="str">
        <x:v>到站时间为估算值</x:v>
      </x:c>
      <x:c r="T200" t="str">
        <x:v>研究生宿舍楼发车</x:v>
      </x:c>
    </x:row>
    <x:row r="201">
      <x:c r="A201" s="14" t="str">
        <x:v>S0017-08</x:v>
      </x:c>
      <x:c r="B201" s="14" t="str">
        <x:v>S0017</x:v>
      </x:c>
      <x:c r="C201" s="14" t="str">
        <x:v>工作日</x:v>
      </x:c>
      <x:c r="D201" s="14" t="str">
        <x:v>环线1路</x:v>
      </x:c>
      <x:c r="E201" s="14" t="str">
        <x:v>第三班</x:v>
      </x:c>
      <x:c r="F201" s="14" t="n">
        <x:v>6</x:v>
      </x:c>
      <x:c r="G201" s="14" t="str">
        <x:v>10:45</x:v>
      </x:c>
      <x:c r="H201" s="14" t="str">
        <x:v>研究生宿舍楼</x:v>
      </x:c>
      <x:c r="I201" s="14" t="str">
        <x:v>否</x:v>
      </x:c>
      <x:c r="J201" s="14" t="n">
        <x:v>8</x:v>
      </x:c>
      <x:c r="K201" s="14" t="str">
        <x:v>高超楼</x:v>
      </x:c>
      <x:c r="L201" s="14" t="n">
        <x:v>9</x:v>
      </x:c>
      <x:c r="M201" s="14" t="str">
        <x:v>10:54</x:v>
      </x:c>
      <x:c r="N201" s="14" t="str">
        <x:v>否</x:v>
      </x:c>
      <x:c r="O201" s="14" t="str">
        <x:v>否</x:v>
      </x:c>
      <x:c r="P201" s="14" t="str">
        <x:v>未提供</x:v>
      </x:c>
      <x:c r="Q201" s="14" t="str">
        <x:v>未提供</x:v>
      </x:c>
      <x:c r="R201" s="14" t="str">
        <x:v>预测</x:v>
      </x:c>
      <x:c r="S201" s="14" t="str">
        <x:v>到站时间为估算值</x:v>
      </x:c>
      <x:c r="T201" t="str">
        <x:v>研究生宿舍楼发车</x:v>
      </x:c>
    </x:row>
    <x:row r="202">
      <x:c r="A202" s="14" t="str">
        <x:v>S0017-09</x:v>
      </x:c>
      <x:c r="B202" s="14" t="str">
        <x:v>S0017</x:v>
      </x:c>
      <x:c r="C202" s="14" t="str">
        <x:v>工作日</x:v>
      </x:c>
      <x:c r="D202" s="14" t="str">
        <x:v>环线1路</x:v>
      </x:c>
      <x:c r="E202" s="14" t="str">
        <x:v>第三班</x:v>
      </x:c>
      <x:c r="F202" s="14" t="n">
        <x:v>6</x:v>
      </x:c>
      <x:c r="G202" s="14" t="str">
        <x:v>10:45</x:v>
      </x:c>
      <x:c r="H202" s="14" t="str">
        <x:v>研究生宿舍楼</x:v>
      </x:c>
      <x:c r="I202" s="14" t="str">
        <x:v>否</x:v>
      </x:c>
      <x:c r="J202" s="14" t="n">
        <x:v>9</x:v>
      </x:c>
      <x:c r="K202" s="14" t="str">
        <x:v>理学院</x:v>
      </x:c>
      <x:c r="L202" s="14" t="n">
        <x:v>10</x:v>
      </x:c>
      <x:c r="M202" s="14" t="str">
        <x:v>10:55</x:v>
      </x:c>
      <x:c r="N202" s="14" t="str">
        <x:v>否</x:v>
      </x:c>
      <x:c r="O202" s="14" t="str">
        <x:v>否</x:v>
      </x:c>
      <x:c r="P202" s="14" t="str">
        <x:v>未提供</x:v>
      </x:c>
      <x:c r="Q202" s="14" t="str">
        <x:v>未提供</x:v>
      </x:c>
      <x:c r="R202" s="14" t="str">
        <x:v>预测</x:v>
      </x:c>
      <x:c r="S202" s="14" t="str">
        <x:v>到站时间为估算值</x:v>
      </x:c>
      <x:c r="T202" t="str">
        <x:v>研究生宿舍楼发车</x:v>
      </x:c>
    </x:row>
    <x:row r="203">
      <x:c r="A203" s="14" t="str">
        <x:v>S0017-10</x:v>
      </x:c>
      <x:c r="B203" s="14" t="str">
        <x:v>S0017</x:v>
      </x:c>
      <x:c r="C203" s="14" t="str">
        <x:v>工作日</x:v>
      </x:c>
      <x:c r="D203" s="14" t="str">
        <x:v>环线1路</x:v>
      </x:c>
      <x:c r="E203" s="14" t="str">
        <x:v>第三班</x:v>
      </x:c>
      <x:c r="F203" s="14" t="n">
        <x:v>6</x:v>
      </x:c>
      <x:c r="G203" s="14" t="str">
        <x:v>10:45</x:v>
      </x:c>
      <x:c r="H203" s="14" t="str">
        <x:v>研究生宿舍楼</x:v>
      </x:c>
      <x:c r="I203" s="14" t="str">
        <x:v>否</x:v>
      </x:c>
      <x:c r="J203" s="14" t="n">
        <x:v>10</x:v>
      </x:c>
      <x:c r="K203" s="14" t="str">
        <x:v>二食堂</x:v>
      </x:c>
      <x:c r="L203" s="14" t="n">
        <x:v>13</x:v>
      </x:c>
      <x:c r="M203" s="14" t="str">
        <x:v>10:58</x:v>
      </x:c>
      <x:c r="N203" s="14" t="str">
        <x:v>否</x:v>
      </x:c>
      <x:c r="O203" s="14" t="str">
        <x:v>否</x:v>
      </x:c>
      <x:c r="P203" s="14" t="str">
        <x:v>未提供</x:v>
      </x:c>
      <x:c r="Q203" s="14" t="str">
        <x:v>未提供</x:v>
      </x:c>
      <x:c r="R203" s="14" t="str">
        <x:v>预测</x:v>
      </x:c>
      <x:c r="S203" s="14" t="str">
        <x:v>到站时间为估算值</x:v>
      </x:c>
      <x:c r="T203" t="str">
        <x:v>研究生宿舍楼发车</x:v>
      </x:c>
    </x:row>
    <x:row r="204">
      <x:c r="A204" s="14" t="str">
        <x:v>S0017-11</x:v>
      </x:c>
      <x:c r="B204" s="14" t="str">
        <x:v>S0017</x:v>
      </x:c>
      <x:c r="C204" s="14" t="str">
        <x:v>工作日</x:v>
      </x:c>
      <x:c r="D204" s="14" t="str">
        <x:v>环线1路</x:v>
      </x:c>
      <x:c r="E204" s="14" t="str">
        <x:v>第三班</x:v>
      </x:c>
      <x:c r="F204" s="14" t="n">
        <x:v>6</x:v>
      </x:c>
      <x:c r="G204" s="14" t="str">
        <x:v>10:45</x:v>
      </x:c>
      <x:c r="H204" s="14" t="str">
        <x:v>研究生宿舍楼</x:v>
      </x:c>
      <x:c r="I204" s="14" t="str">
        <x:v>否</x:v>
      </x:c>
      <x:c r="J204" s="14" t="n">
        <x:v>11</x:v>
      </x:c>
      <x:c r="K204" s="14" t="str">
        <x:v>5号宿舍楼</x:v>
      </x:c>
      <x:c r="L204" s="14" t="n">
        <x:v>14</x:v>
      </x:c>
      <x:c r="M204" s="14" t="str">
        <x:v>10:59</x:v>
      </x:c>
      <x:c r="N204" s="14" t="str">
        <x:v>否</x:v>
      </x:c>
      <x:c r="O204" s="14" t="str">
        <x:v>否</x:v>
      </x:c>
      <x:c r="P204" s="14" t="str">
        <x:v>未提供</x:v>
      </x:c>
      <x:c r="Q204" s="14" t="str">
        <x:v>未提供</x:v>
      </x:c>
      <x:c r="R204" s="14" t="str">
        <x:v>预测</x:v>
      </x:c>
      <x:c r="S204" s="14" t="str">
        <x:v>到站时间为估算值</x:v>
      </x:c>
      <x:c r="T204" t="str">
        <x:v>研究生宿舍楼发车</x:v>
      </x:c>
    </x:row>
    <x:row r="205">
      <x:c r="A205" s="14" t="str">
        <x:v>S0017-12</x:v>
      </x:c>
      <x:c r="B205" s="14" t="str">
        <x:v>S0017</x:v>
      </x:c>
      <x:c r="C205" s="14" t="str">
        <x:v>工作日</x:v>
      </x:c>
      <x:c r="D205" s="14" t="str">
        <x:v>环线1路</x:v>
      </x:c>
      <x:c r="E205" s="14" t="str">
        <x:v>第三班</x:v>
      </x:c>
      <x:c r="F205" s="14" t="n">
        <x:v>6</x:v>
      </x:c>
      <x:c r="G205" s="14" t="str">
        <x:v>10:45</x:v>
      </x:c>
      <x:c r="H205" s="14" t="str">
        <x:v>研究生宿舍楼</x:v>
      </x:c>
      <x:c r="I205" s="14" t="str">
        <x:v>否</x:v>
      </x:c>
      <x:c r="J205" s="14" t="n">
        <x:v>12</x:v>
      </x:c>
      <x:c r="K205" s="14" t="str">
        <x:v>305教学楼</x:v>
      </x:c>
      <x:c r="L205" s="14" t="n">
        <x:v>15</x:v>
      </x:c>
      <x:c r="M205" s="14" t="str">
        <x:v>11:00</x:v>
      </x:c>
      <x:c r="N205" s="14" t="str">
        <x:v>否</x:v>
      </x:c>
      <x:c r="O205" s="14" t="str">
        <x:v>否</x:v>
      </x:c>
      <x:c r="P205" s="14" t="str">
        <x:v>未提供</x:v>
      </x:c>
      <x:c r="Q205" s="14" t="str">
        <x:v>未提供</x:v>
      </x:c>
      <x:c r="R205" s="14" t="str">
        <x:v>预测</x:v>
      </x:c>
      <x:c r="S205" s="14" t="str">
        <x:v>到站时间为估算值</x:v>
      </x:c>
      <x:c r="T205" t="str">
        <x:v>研究生宿舍楼发车</x:v>
      </x:c>
    </x:row>
    <x:row r="206">
      <x:c r="A206" s="14" t="str">
        <x:v>S0017-13</x:v>
      </x:c>
      <x:c r="B206" s="14" t="str">
        <x:v>S0017</x:v>
      </x:c>
      <x:c r="C206" s="14" t="str">
        <x:v>工作日</x:v>
      </x:c>
      <x:c r="D206" s="14" t="str">
        <x:v>环线1路</x:v>
      </x:c>
      <x:c r="E206" s="14" t="str">
        <x:v>第三班</x:v>
      </x:c>
      <x:c r="F206" s="14" t="n">
        <x:v>6</x:v>
      </x:c>
      <x:c r="G206" s="14" t="str">
        <x:v>10:45</x:v>
      </x:c>
      <x:c r="H206" s="14" t="str">
        <x:v>研究生宿舍楼</x:v>
      </x:c>
      <x:c r="I206" s="14" t="str">
        <x:v>否</x:v>
      </x:c>
      <x:c r="J206" s="14" t="n">
        <x:v>13</x:v>
      </x:c>
      <x:c r="K206" s="14" t="str">
        <x:v>研究生宿舍楼</x:v>
      </x:c>
      <x:c r="L206" s="14" t="n">
        <x:v>17</x:v>
      </x:c>
      <x:c r="M206" s="14" t="str">
        <x:v>11:02</x:v>
      </x:c>
      <x:c r="N206" s="14" t="str">
        <x:v>否</x:v>
      </x:c>
      <x:c r="O206" s="14" t="str">
        <x:v>是</x:v>
      </x:c>
      <x:c r="P206" s="14" t="str">
        <x:v>未提供</x:v>
      </x:c>
      <x:c r="Q206" s="14" t="str">
        <x:v>未提供</x:v>
      </x:c>
      <x:c r="R206" s="14" t="str">
        <x:v>预测</x:v>
      </x:c>
      <x:c r="S206" s="14" t="str">
        <x:v>到站时间为估算值</x:v>
      </x:c>
      <x:c r="T206" t="str">
        <x:v>研究生宿舍楼发车</x:v>
      </x:c>
    </x:row>
    <x:row r="207">
      <x:c r="A207" s="14" t="str">
        <x:v>S0018-01</x:v>
      </x:c>
      <x:c r="B207" s="14" t="str">
        <x:v>S0018</x:v>
      </x:c>
      <x:c r="C207" s="14" t="str">
        <x:v>工作日</x:v>
      </x:c>
      <x:c r="D207" s="14" t="str">
        <x:v>环线1路</x:v>
      </x:c>
      <x:c r="E207" s="14" t="str">
        <x:v>第三班</x:v>
      </x:c>
      <x:c r="F207" s="14" t="n">
        <x:v>7</x:v>
      </x:c>
      <x:c r="G207" s="14" t="str">
        <x:v>11:30</x:v>
      </x:c>
      <x:c r="H207" s="14" t="str">
        <x:v>研究生宿舍楼</x:v>
      </x:c>
      <x:c r="I207" s="14" t="str">
        <x:v>否</x:v>
      </x:c>
      <x:c r="J207" s="14" t="n">
        <x:v>1</x:v>
      </x:c>
      <x:c r="K207" s="14" t="str">
        <x:v>研究生宿舍楼</x:v>
      </x:c>
      <x:c r="L207" s="14" t="n">
        <x:v>0</x:v>
      </x:c>
      <x:c r="M207" s="14" t="str">
        <x:v>11:30</x:v>
      </x:c>
      <x:c r="N207" s="14" t="str">
        <x:v>是</x:v>
      </x:c>
      <x:c r="O207" s="14" t="str">
        <x:v>否</x:v>
      </x:c>
      <x:c r="P207" s="14" t="str">
        <x:v>未提供</x:v>
      </x:c>
      <x:c r="Q207" s="14" t="str">
        <x:v>未提供</x:v>
      </x:c>
      <x:c r="R207" s="14" t="str">
        <x:v>预测</x:v>
      </x:c>
      <x:c r="S207" s="14" t="str">
        <x:v>到站时间为估算值</x:v>
      </x:c>
      <x:c r="T207" t="str">
        <x:v>研究生宿舍楼发车</x:v>
      </x:c>
    </x:row>
    <x:row r="208">
      <x:c r="A208" s="14" t="str">
        <x:v>S0018-02</x:v>
      </x:c>
      <x:c r="B208" s="14" t="str">
        <x:v>S0018</x:v>
      </x:c>
      <x:c r="C208" s="14" t="str">
        <x:v>工作日</x:v>
      </x:c>
      <x:c r="D208" s="14" t="str">
        <x:v>环线1路</x:v>
      </x:c>
      <x:c r="E208" s="14" t="str">
        <x:v>第三班</x:v>
      </x:c>
      <x:c r="F208" s="14" t="n">
        <x:v>7</x:v>
      </x:c>
      <x:c r="G208" s="14" t="str">
        <x:v>11:30</x:v>
      </x:c>
      <x:c r="H208" s="14" t="str">
        <x:v>研究生宿舍楼</x:v>
      </x:c>
      <x:c r="I208" s="14" t="str">
        <x:v>否</x:v>
      </x:c>
      <x:c r="J208" s="14" t="n">
        <x:v>2</x:v>
      </x:c>
      <x:c r="K208" s="14" t="str">
        <x:v>东门</x:v>
      </x:c>
      <x:c r="L208" s="14" t="n">
        <x:v>1</x:v>
      </x:c>
      <x:c r="M208" s="14" t="str">
        <x:v>11:31</x:v>
      </x:c>
      <x:c r="N208" s="14" t="str">
        <x:v>否</x:v>
      </x:c>
      <x:c r="O208" s="14" t="str">
        <x:v>否</x:v>
      </x:c>
      <x:c r="P208" s="14" t="str">
        <x:v>未提供</x:v>
      </x:c>
      <x:c r="Q208" s="14" t="str">
        <x:v>未提供</x:v>
      </x:c>
      <x:c r="R208" s="14" t="str">
        <x:v>预测</x:v>
      </x:c>
      <x:c r="S208" s="14" t="str">
        <x:v>到站时间为估算值</x:v>
      </x:c>
      <x:c r="T208" t="str">
        <x:v>研究生宿舍楼发车</x:v>
      </x:c>
    </x:row>
    <x:row r="209">
      <x:c r="A209" s="14" t="str">
        <x:v>S0018-03</x:v>
      </x:c>
      <x:c r="B209" s="14" t="str">
        <x:v>S0018</x:v>
      </x:c>
      <x:c r="C209" s="14" t="str">
        <x:v>工作日</x:v>
      </x:c>
      <x:c r="D209" s="14" t="str">
        <x:v>环线1路</x:v>
      </x:c>
      <x:c r="E209" s="14" t="str">
        <x:v>第三班</x:v>
      </x:c>
      <x:c r="F209" s="14" t="n">
        <x:v>7</x:v>
      </x:c>
      <x:c r="G209" s="14" t="str">
        <x:v>11:30</x:v>
      </x:c>
      <x:c r="H209" s="14" t="str">
        <x:v>研究生宿舍楼</x:v>
      </x:c>
      <x:c r="I209" s="14" t="str">
        <x:v>否</x:v>
      </x:c>
      <x:c r="J209" s="14" t="n">
        <x:v>3</x:v>
      </x:c>
      <x:c r="K209" s="14" t="str">
        <x:v>2号宿舍楼</x:v>
      </x:c>
      <x:c r="L209" s="14" t="n">
        <x:v>2</x:v>
      </x:c>
      <x:c r="M209" s="14" t="str">
        <x:v>11:32</x:v>
      </x:c>
      <x:c r="N209" s="14" t="str">
        <x:v>否</x:v>
      </x:c>
      <x:c r="O209" s="14" t="str">
        <x:v>否</x:v>
      </x:c>
      <x:c r="P209" s="14" t="str">
        <x:v>未提供</x:v>
      </x:c>
      <x:c r="Q209" s="14" t="str">
        <x:v>未提供</x:v>
      </x:c>
      <x:c r="R209" s="14" t="str">
        <x:v>预测</x:v>
      </x:c>
      <x:c r="S209" s="14" t="str">
        <x:v>到站时间为估算值</x:v>
      </x:c>
      <x:c r="T209" t="str">
        <x:v>研究生宿舍楼发车</x:v>
      </x:c>
    </x:row>
    <x:row r="210">
      <x:c r="A210" s="14" t="str">
        <x:v>S0018-04</x:v>
      </x:c>
      <x:c r="B210" s="14" t="str">
        <x:v>S0018</x:v>
      </x:c>
      <x:c r="C210" s="14" t="str">
        <x:v>工作日</x:v>
      </x:c>
      <x:c r="D210" s="14" t="str">
        <x:v>环线1路</x:v>
      </x:c>
      <x:c r="E210" s="14" t="str">
        <x:v>第三班</x:v>
      </x:c>
      <x:c r="F210" s="14" t="n">
        <x:v>7</x:v>
      </x:c>
      <x:c r="G210" s="14" t="str">
        <x:v>11:30</x:v>
      </x:c>
      <x:c r="H210" s="14" t="str">
        <x:v>研究生宿舍楼</x:v>
      </x:c>
      <x:c r="I210" s="14" t="str">
        <x:v>否</x:v>
      </x:c>
      <x:c r="J210" s="14" t="n">
        <x:v>4</x:v>
      </x:c>
      <x:c r="K210" s="14" t="str">
        <x:v>军体活动中心</x:v>
      </x:c>
      <x:c r="L210" s="14" t="n">
        <x:v>3</x:v>
      </x:c>
      <x:c r="M210" s="14" t="str">
        <x:v>11:33</x:v>
      </x:c>
      <x:c r="N210" s="14" t="str">
        <x:v>否</x:v>
      </x:c>
      <x:c r="O210" s="14" t="str">
        <x:v>否</x:v>
      </x:c>
      <x:c r="P210" s="14" t="str">
        <x:v>未提供</x:v>
      </x:c>
      <x:c r="Q210" s="14" t="str">
        <x:v>未提供</x:v>
      </x:c>
      <x:c r="R210" s="14" t="str">
        <x:v>预测</x:v>
      </x:c>
      <x:c r="S210" s="14" t="str">
        <x:v>到站时间为估算值</x:v>
      </x:c>
      <x:c r="T210" t="str">
        <x:v>研究生宿舍楼发车</x:v>
      </x:c>
    </x:row>
    <x:row r="211">
      <x:c r="A211" s="14" t="str">
        <x:v>S0018-05</x:v>
      </x:c>
      <x:c r="B211" s="14" t="str">
        <x:v>S0018</x:v>
      </x:c>
      <x:c r="C211" s="14" t="str">
        <x:v>工作日</x:v>
      </x:c>
      <x:c r="D211" s="14" t="str">
        <x:v>环线1路</x:v>
      </x:c>
      <x:c r="E211" s="14" t="str">
        <x:v>第三班</x:v>
      </x:c>
      <x:c r="F211" s="14" t="n">
        <x:v>7</x:v>
      </x:c>
      <x:c r="G211" s="14" t="str">
        <x:v>11:30</x:v>
      </x:c>
      <x:c r="H211" s="14" t="str">
        <x:v>研究生宿舍楼</x:v>
      </x:c>
      <x:c r="I211" s="14" t="str">
        <x:v>否</x:v>
      </x:c>
      <x:c r="J211" s="14" t="n">
        <x:v>5</x:v>
      </x:c>
      <x:c r="K211" s="14" t="str">
        <x:v>激光所</x:v>
      </x:c>
      <x:c r="L211" s="14" t="n">
        <x:v>5</x:v>
      </x:c>
      <x:c r="M211" s="14" t="str">
        <x:v>11:35</x:v>
      </x:c>
      <x:c r="N211" s="14" t="str">
        <x:v>否</x:v>
      </x:c>
      <x:c r="O211" s="14" t="str">
        <x:v>否</x:v>
      </x:c>
      <x:c r="P211" s="14" t="str">
        <x:v>未提供</x:v>
      </x:c>
      <x:c r="Q211" s="14" t="str">
        <x:v>未提供</x:v>
      </x:c>
      <x:c r="R211" s="14" t="str">
        <x:v>预测</x:v>
      </x:c>
      <x:c r="S211" s="14" t="str">
        <x:v>到站时间为估算值</x:v>
      </x:c>
      <x:c r="T211" t="str">
        <x:v>研究生宿舍楼发车</x:v>
      </x:c>
    </x:row>
    <x:row r="212">
      <x:c r="A212" s="14" t="str">
        <x:v>S0018-06</x:v>
      </x:c>
      <x:c r="B212" s="14" t="str">
        <x:v>S0018</x:v>
      </x:c>
      <x:c r="C212" s="14" t="str">
        <x:v>工作日</x:v>
      </x:c>
      <x:c r="D212" s="14" t="str">
        <x:v>环线1路</x:v>
      </x:c>
      <x:c r="E212" s="14" t="str">
        <x:v>第三班</x:v>
      </x:c>
      <x:c r="F212" s="14" t="n">
        <x:v>7</x:v>
      </x:c>
      <x:c r="G212" s="14" t="str">
        <x:v>11:30</x:v>
      </x:c>
      <x:c r="H212" s="14" t="str">
        <x:v>研究生宿舍楼</x:v>
      </x:c>
      <x:c r="I212" s="14" t="str">
        <x:v>否</x:v>
      </x:c>
      <x:c r="J212" s="14" t="n">
        <x:v>6</x:v>
      </x:c>
      <x:c r="K212" s="14" t="str">
        <x:v>超算中心</x:v>
      </x:c>
      <x:c r="L212" s="14" t="n">
        <x:v>6</x:v>
      </x:c>
      <x:c r="M212" s="14" t="str">
        <x:v>11:36</x:v>
      </x:c>
      <x:c r="N212" s="14" t="str">
        <x:v>否</x:v>
      </x:c>
      <x:c r="O212" s="14" t="str">
        <x:v>否</x:v>
      </x:c>
      <x:c r="P212" s="14" t="str">
        <x:v>未提供</x:v>
      </x:c>
      <x:c r="Q212" s="14" t="str">
        <x:v>未提供</x:v>
      </x:c>
      <x:c r="R212" s="14" t="str">
        <x:v>预测</x:v>
      </x:c>
      <x:c r="S212" s="14" t="str">
        <x:v>到站时间为估算值</x:v>
      </x:c>
      <x:c r="T212" t="str">
        <x:v>研究生宿舍楼发车</x:v>
      </x:c>
    </x:row>
    <x:row r="213">
      <x:c r="A213" s="14" t="str">
        <x:v>S0018-07</x:v>
      </x:c>
      <x:c r="B213" s="14" t="str">
        <x:v>S0018</x:v>
      </x:c>
      <x:c r="C213" s="14" t="str">
        <x:v>工作日</x:v>
      </x:c>
      <x:c r="D213" s="14" t="str">
        <x:v>环线1路</x:v>
      </x:c>
      <x:c r="E213" s="14" t="str">
        <x:v>第三班</x:v>
      </x:c>
      <x:c r="F213" s="14" t="n">
        <x:v>7</x:v>
      </x:c>
      <x:c r="G213" s="14" t="str">
        <x:v>11:30</x:v>
      </x:c>
      <x:c r="H213" s="14" t="str">
        <x:v>研究生宿舍楼</x:v>
      </x:c>
      <x:c r="I213" s="14" t="str">
        <x:v>否</x:v>
      </x:c>
      <x:c r="J213" s="14" t="n">
        <x:v>7</x:v>
      </x:c>
      <x:c r="K213" s="14" t="str">
        <x:v>北门</x:v>
      </x:c>
      <x:c r="L213" s="14" t="n">
        <x:v>8</x:v>
      </x:c>
      <x:c r="M213" s="14" t="str">
        <x:v>11:38</x:v>
      </x:c>
      <x:c r="N213" s="14" t="str">
        <x:v>否</x:v>
      </x:c>
      <x:c r="O213" s="14" t="str">
        <x:v>否</x:v>
      </x:c>
      <x:c r="P213" s="14" t="str">
        <x:v>未提供</x:v>
      </x:c>
      <x:c r="Q213" s="14" t="str">
        <x:v>未提供</x:v>
      </x:c>
      <x:c r="R213" s="14" t="str">
        <x:v>预测</x:v>
      </x:c>
      <x:c r="S213" s="14" t="str">
        <x:v>到站时间为估算值</x:v>
      </x:c>
      <x:c r="T213" t="str">
        <x:v>研究生宿舍楼发车</x:v>
      </x:c>
    </x:row>
    <x:row r="214">
      <x:c r="A214" s="14" t="str">
        <x:v>S0018-08</x:v>
      </x:c>
      <x:c r="B214" s="14" t="str">
        <x:v>S0018</x:v>
      </x:c>
      <x:c r="C214" s="14" t="str">
        <x:v>工作日</x:v>
      </x:c>
      <x:c r="D214" s="14" t="str">
        <x:v>环线1路</x:v>
      </x:c>
      <x:c r="E214" s="14" t="str">
        <x:v>第三班</x:v>
      </x:c>
      <x:c r="F214" s="14" t="n">
        <x:v>7</x:v>
      </x:c>
      <x:c r="G214" s="14" t="str">
        <x:v>11:30</x:v>
      </x:c>
      <x:c r="H214" s="14" t="str">
        <x:v>研究生宿舍楼</x:v>
      </x:c>
      <x:c r="I214" s="14" t="str">
        <x:v>否</x:v>
      </x:c>
      <x:c r="J214" s="14" t="n">
        <x:v>8</x:v>
      </x:c>
      <x:c r="K214" s="14" t="str">
        <x:v>高超楼</x:v>
      </x:c>
      <x:c r="L214" s="14" t="n">
        <x:v>9</x:v>
      </x:c>
      <x:c r="M214" s="14" t="str">
        <x:v>11:39</x:v>
      </x:c>
      <x:c r="N214" s="14" t="str">
        <x:v>否</x:v>
      </x:c>
      <x:c r="O214" s="14" t="str">
        <x:v>否</x:v>
      </x:c>
      <x:c r="P214" s="14" t="str">
        <x:v>未提供</x:v>
      </x:c>
      <x:c r="Q214" s="14" t="str">
        <x:v>未提供</x:v>
      </x:c>
      <x:c r="R214" s="14" t="str">
        <x:v>预测</x:v>
      </x:c>
      <x:c r="S214" s="14" t="str">
        <x:v>到站时间为估算值</x:v>
      </x:c>
      <x:c r="T214" t="str">
        <x:v>研究生宿舍楼发车</x:v>
      </x:c>
    </x:row>
    <x:row r="215">
      <x:c r="A215" s="14" t="str">
        <x:v>S0018-09</x:v>
      </x:c>
      <x:c r="B215" s="14" t="str">
        <x:v>S0018</x:v>
      </x:c>
      <x:c r="C215" s="14" t="str">
        <x:v>工作日</x:v>
      </x:c>
      <x:c r="D215" s="14" t="str">
        <x:v>环线1路</x:v>
      </x:c>
      <x:c r="E215" s="14" t="str">
        <x:v>第三班</x:v>
      </x:c>
      <x:c r="F215" s="14" t="n">
        <x:v>7</x:v>
      </x:c>
      <x:c r="G215" s="14" t="str">
        <x:v>11:30</x:v>
      </x:c>
      <x:c r="H215" s="14" t="str">
        <x:v>研究生宿舍楼</x:v>
      </x:c>
      <x:c r="I215" s="14" t="str">
        <x:v>否</x:v>
      </x:c>
      <x:c r="J215" s="14" t="n">
        <x:v>9</x:v>
      </x:c>
      <x:c r="K215" s="14" t="str">
        <x:v>理学院</x:v>
      </x:c>
      <x:c r="L215" s="14" t="n">
        <x:v>10</x:v>
      </x:c>
      <x:c r="M215" s="14" t="str">
        <x:v>11:40</x:v>
      </x:c>
      <x:c r="N215" s="14" t="str">
        <x:v>否</x:v>
      </x:c>
      <x:c r="O215" s="14" t="str">
        <x:v>否</x:v>
      </x:c>
      <x:c r="P215" s="14" t="str">
        <x:v>未提供</x:v>
      </x:c>
      <x:c r="Q215" s="14" t="str">
        <x:v>未提供</x:v>
      </x:c>
      <x:c r="R215" s="14" t="str">
        <x:v>预测</x:v>
      </x:c>
      <x:c r="S215" s="14" t="str">
        <x:v>到站时间为估算值</x:v>
      </x:c>
      <x:c r="T215" t="str">
        <x:v>研究生宿舍楼发车</x:v>
      </x:c>
    </x:row>
    <x:row r="216">
      <x:c r="A216" s="14" t="str">
        <x:v>S0018-10</x:v>
      </x:c>
      <x:c r="B216" s="14" t="str">
        <x:v>S0018</x:v>
      </x:c>
      <x:c r="C216" s="14" t="str">
        <x:v>工作日</x:v>
      </x:c>
      <x:c r="D216" s="14" t="str">
        <x:v>环线1路</x:v>
      </x:c>
      <x:c r="E216" s="14" t="str">
        <x:v>第三班</x:v>
      </x:c>
      <x:c r="F216" s="14" t="n">
        <x:v>7</x:v>
      </x:c>
      <x:c r="G216" s="14" t="str">
        <x:v>11:30</x:v>
      </x:c>
      <x:c r="H216" s="14" t="str">
        <x:v>研究生宿舍楼</x:v>
      </x:c>
      <x:c r="I216" s="14" t="str">
        <x:v>否</x:v>
      </x:c>
      <x:c r="J216" s="14" t="n">
        <x:v>10</x:v>
      </x:c>
      <x:c r="K216" s="14" t="str">
        <x:v>二食堂</x:v>
      </x:c>
      <x:c r="L216" s="14" t="n">
        <x:v>13</x:v>
      </x:c>
      <x:c r="M216" s="14" t="str">
        <x:v>11:43</x:v>
      </x:c>
      <x:c r="N216" s="14" t="str">
        <x:v>否</x:v>
      </x:c>
      <x:c r="O216" s="14" t="str">
        <x:v>否</x:v>
      </x:c>
      <x:c r="P216" s="14" t="str">
        <x:v>未提供</x:v>
      </x:c>
      <x:c r="Q216" s="14" t="str">
        <x:v>未提供</x:v>
      </x:c>
      <x:c r="R216" s="14" t="str">
        <x:v>预测</x:v>
      </x:c>
      <x:c r="S216" s="14" t="str">
        <x:v>到站时间为估算值</x:v>
      </x:c>
      <x:c r="T216" t="str">
        <x:v>研究生宿舍楼发车</x:v>
      </x:c>
    </x:row>
    <x:row r="217">
      <x:c r="A217" s="14" t="str">
        <x:v>S0018-11</x:v>
      </x:c>
      <x:c r="B217" s="14" t="str">
        <x:v>S0018</x:v>
      </x:c>
      <x:c r="C217" s="14" t="str">
        <x:v>工作日</x:v>
      </x:c>
      <x:c r="D217" s="14" t="str">
        <x:v>环线1路</x:v>
      </x:c>
      <x:c r="E217" s="14" t="str">
        <x:v>第三班</x:v>
      </x:c>
      <x:c r="F217" s="14" t="n">
        <x:v>7</x:v>
      </x:c>
      <x:c r="G217" s="14" t="str">
        <x:v>11:30</x:v>
      </x:c>
      <x:c r="H217" s="14" t="str">
        <x:v>研究生宿舍楼</x:v>
      </x:c>
      <x:c r="I217" s="14" t="str">
        <x:v>否</x:v>
      </x:c>
      <x:c r="J217" s="14" t="n">
        <x:v>11</x:v>
      </x:c>
      <x:c r="K217" s="14" t="str">
        <x:v>5号宿舍楼</x:v>
      </x:c>
      <x:c r="L217" s="14" t="n">
        <x:v>14</x:v>
      </x:c>
      <x:c r="M217" s="14" t="str">
        <x:v>11:44</x:v>
      </x:c>
      <x:c r="N217" s="14" t="str">
        <x:v>否</x:v>
      </x:c>
      <x:c r="O217" s="14" t="str">
        <x:v>否</x:v>
      </x:c>
      <x:c r="P217" s="14" t="str">
        <x:v>未提供</x:v>
      </x:c>
      <x:c r="Q217" s="14" t="str">
        <x:v>未提供</x:v>
      </x:c>
      <x:c r="R217" s="14" t="str">
        <x:v>预测</x:v>
      </x:c>
      <x:c r="S217" s="14" t="str">
        <x:v>到站时间为估算值</x:v>
      </x:c>
      <x:c r="T217" t="str">
        <x:v>研究生宿舍楼发车</x:v>
      </x:c>
    </x:row>
    <x:row r="218">
      <x:c r="A218" s="14" t="str">
        <x:v>S0018-12</x:v>
      </x:c>
      <x:c r="B218" s="14" t="str">
        <x:v>S0018</x:v>
      </x:c>
      <x:c r="C218" s="14" t="str">
        <x:v>工作日</x:v>
      </x:c>
      <x:c r="D218" s="14" t="str">
        <x:v>环线1路</x:v>
      </x:c>
      <x:c r="E218" s="14" t="str">
        <x:v>第三班</x:v>
      </x:c>
      <x:c r="F218" s="14" t="n">
        <x:v>7</x:v>
      </x:c>
      <x:c r="G218" s="14" t="str">
        <x:v>11:30</x:v>
      </x:c>
      <x:c r="H218" s="14" t="str">
        <x:v>研究生宿舍楼</x:v>
      </x:c>
      <x:c r="I218" s="14" t="str">
        <x:v>否</x:v>
      </x:c>
      <x:c r="J218" s="14" t="n">
        <x:v>12</x:v>
      </x:c>
      <x:c r="K218" s="14" t="str">
        <x:v>305教学楼</x:v>
      </x:c>
      <x:c r="L218" s="14" t="n">
        <x:v>15</x:v>
      </x:c>
      <x:c r="M218" s="14" t="str">
        <x:v>11:45</x:v>
      </x:c>
      <x:c r="N218" s="14" t="str">
        <x:v>否</x:v>
      </x:c>
      <x:c r="O218" s="14" t="str">
        <x:v>否</x:v>
      </x:c>
      <x:c r="P218" s="14" t="str">
        <x:v>未提供</x:v>
      </x:c>
      <x:c r="Q218" s="14" t="str">
        <x:v>未提供</x:v>
      </x:c>
      <x:c r="R218" s="14" t="str">
        <x:v>预测</x:v>
      </x:c>
      <x:c r="S218" s="14" t="str">
        <x:v>到站时间为估算值</x:v>
      </x:c>
      <x:c r="T218" t="str">
        <x:v>研究生宿舍楼发车</x:v>
      </x:c>
    </x:row>
    <x:row r="219">
      <x:c r="A219" s="14" t="str">
        <x:v>S0018-13</x:v>
      </x:c>
      <x:c r="B219" s="14" t="str">
        <x:v>S0018</x:v>
      </x:c>
      <x:c r="C219" s="14" t="str">
        <x:v>工作日</x:v>
      </x:c>
      <x:c r="D219" s="14" t="str">
        <x:v>环线1路</x:v>
      </x:c>
      <x:c r="E219" s="14" t="str">
        <x:v>第三班</x:v>
      </x:c>
      <x:c r="F219" s="14" t="n">
        <x:v>7</x:v>
      </x:c>
      <x:c r="G219" s="14" t="str">
        <x:v>11:30</x:v>
      </x:c>
      <x:c r="H219" s="14" t="str">
        <x:v>研究生宿舍楼</x:v>
      </x:c>
      <x:c r="I219" s="14" t="str">
        <x:v>否</x:v>
      </x:c>
      <x:c r="J219" s="14" t="n">
        <x:v>13</x:v>
      </x:c>
      <x:c r="K219" s="14" t="str">
        <x:v>研究生宿舍楼</x:v>
      </x:c>
      <x:c r="L219" s="14" t="n">
        <x:v>17</x:v>
      </x:c>
      <x:c r="M219" s="14" t="str">
        <x:v>11:47</x:v>
      </x:c>
      <x:c r="N219" s="14" t="str">
        <x:v>否</x:v>
      </x:c>
      <x:c r="O219" s="14" t="str">
        <x:v>是</x:v>
      </x:c>
      <x:c r="P219" s="14" t="str">
        <x:v>未提供</x:v>
      </x:c>
      <x:c r="Q219" s="14" t="str">
        <x:v>未提供</x:v>
      </x:c>
      <x:c r="R219" s="14" t="str">
        <x:v>预测</x:v>
      </x:c>
      <x:c r="S219" s="14" t="str">
        <x:v>到站时间为估算值</x:v>
      </x:c>
      <x:c r="T219" t="str">
        <x:v>研究生宿舍楼发车</x:v>
      </x:c>
    </x:row>
    <x:row r="220">
      <x:c r="A220" s="14" t="str">
        <x:v>S0019-01</x:v>
      </x:c>
      <x:c r="B220" s="14" t="str">
        <x:v>S0019</x:v>
      </x:c>
      <x:c r="C220" s="14" t="str">
        <x:v>工作日</x:v>
      </x:c>
      <x:c r="D220" s="14" t="str">
        <x:v>环线1路</x:v>
      </x:c>
      <x:c r="E220" s="14" t="str">
        <x:v>第三班</x:v>
      </x:c>
      <x:c r="F220" s="14" t="n">
        <x:v>8</x:v>
      </x:c>
      <x:c r="G220" s="14" t="str">
        <x:v>11:50</x:v>
      </x:c>
      <x:c r="H220" s="14" t="str">
        <x:v>研究生宿舍楼</x:v>
      </x:c>
      <x:c r="I220" s="14" t="str">
        <x:v>否</x:v>
      </x:c>
      <x:c r="J220" s="14" t="n">
        <x:v>1</x:v>
      </x:c>
      <x:c r="K220" s="14" t="str">
        <x:v>研究生宿舍楼</x:v>
      </x:c>
      <x:c r="L220" s="14" t="n">
        <x:v>0</x:v>
      </x:c>
      <x:c r="M220" s="14" t="str">
        <x:v>11:50</x:v>
      </x:c>
      <x:c r="N220" s="14" t="str">
        <x:v>是</x:v>
      </x:c>
      <x:c r="O220" s="14" t="str">
        <x:v>否</x:v>
      </x:c>
      <x:c r="P220" s="14" t="str">
        <x:v>未提供</x:v>
      </x:c>
      <x:c r="Q220" s="14" t="str">
        <x:v>未提供</x:v>
      </x:c>
      <x:c r="R220" s="14" t="str">
        <x:v>预测</x:v>
      </x:c>
      <x:c r="S220" s="14" t="str">
        <x:v>到站时间为估算值</x:v>
      </x:c>
      <x:c r="T220" t="str">
        <x:v>研究生宿舍楼发车</x:v>
      </x:c>
    </x:row>
    <x:row r="221">
      <x:c r="A221" s="14" t="str">
        <x:v>S0019-02</x:v>
      </x:c>
      <x:c r="B221" s="14" t="str">
        <x:v>S0019</x:v>
      </x:c>
      <x:c r="C221" s="14" t="str">
        <x:v>工作日</x:v>
      </x:c>
      <x:c r="D221" s="14" t="str">
        <x:v>环线1路</x:v>
      </x:c>
      <x:c r="E221" s="14" t="str">
        <x:v>第三班</x:v>
      </x:c>
      <x:c r="F221" s="14" t="n">
        <x:v>8</x:v>
      </x:c>
      <x:c r="G221" s="14" t="str">
        <x:v>11:50</x:v>
      </x:c>
      <x:c r="H221" s="14" t="str">
        <x:v>研究生宿舍楼</x:v>
      </x:c>
      <x:c r="I221" s="14" t="str">
        <x:v>否</x:v>
      </x:c>
      <x:c r="J221" s="14" t="n">
        <x:v>2</x:v>
      </x:c>
      <x:c r="K221" s="14" t="str">
        <x:v>东门</x:v>
      </x:c>
      <x:c r="L221" s="14" t="n">
        <x:v>1</x:v>
      </x:c>
      <x:c r="M221" s="14" t="str">
        <x:v>11:51</x:v>
      </x:c>
      <x:c r="N221" s="14" t="str">
        <x:v>否</x:v>
      </x:c>
      <x:c r="O221" s="14" t="str">
        <x:v>否</x:v>
      </x:c>
      <x:c r="P221" s="14" t="str">
        <x:v>未提供</x:v>
      </x:c>
      <x:c r="Q221" s="14" t="str">
        <x:v>未提供</x:v>
      </x:c>
      <x:c r="R221" s="14" t="str">
        <x:v>预测</x:v>
      </x:c>
      <x:c r="S221" s="14" t="str">
        <x:v>到站时间为估算值</x:v>
      </x:c>
      <x:c r="T221" t="str">
        <x:v>研究生宿舍楼发车</x:v>
      </x:c>
    </x:row>
    <x:row r="222">
      <x:c r="A222" s="14" t="str">
        <x:v>S0019-03</x:v>
      </x:c>
      <x:c r="B222" s="14" t="str">
        <x:v>S0019</x:v>
      </x:c>
      <x:c r="C222" s="14" t="str">
        <x:v>工作日</x:v>
      </x:c>
      <x:c r="D222" s="14" t="str">
        <x:v>环线1路</x:v>
      </x:c>
      <x:c r="E222" s="14" t="str">
        <x:v>第三班</x:v>
      </x:c>
      <x:c r="F222" s="14" t="n">
        <x:v>8</x:v>
      </x:c>
      <x:c r="G222" s="14" t="str">
        <x:v>11:50</x:v>
      </x:c>
      <x:c r="H222" s="14" t="str">
        <x:v>研究生宿舍楼</x:v>
      </x:c>
      <x:c r="I222" s="14" t="str">
        <x:v>否</x:v>
      </x:c>
      <x:c r="J222" s="14" t="n">
        <x:v>3</x:v>
      </x:c>
      <x:c r="K222" s="14" t="str">
        <x:v>2号宿舍楼</x:v>
      </x:c>
      <x:c r="L222" s="14" t="n">
        <x:v>2</x:v>
      </x:c>
      <x:c r="M222" s="14" t="str">
        <x:v>11:52</x:v>
      </x:c>
      <x:c r="N222" s="14" t="str">
        <x:v>否</x:v>
      </x:c>
      <x:c r="O222" s="14" t="str">
        <x:v>否</x:v>
      </x:c>
      <x:c r="P222" s="14" t="str">
        <x:v>未提供</x:v>
      </x:c>
      <x:c r="Q222" s="14" t="str">
        <x:v>未提供</x:v>
      </x:c>
      <x:c r="R222" s="14" t="str">
        <x:v>预测</x:v>
      </x:c>
      <x:c r="S222" s="14" t="str">
        <x:v>到站时间为估算值</x:v>
      </x:c>
      <x:c r="T222" t="str">
        <x:v>研究生宿舍楼发车</x:v>
      </x:c>
    </x:row>
    <x:row r="223">
      <x:c r="A223" s="14" t="str">
        <x:v>S0019-04</x:v>
      </x:c>
      <x:c r="B223" s="14" t="str">
        <x:v>S0019</x:v>
      </x:c>
      <x:c r="C223" s="14" t="str">
        <x:v>工作日</x:v>
      </x:c>
      <x:c r="D223" s="14" t="str">
        <x:v>环线1路</x:v>
      </x:c>
      <x:c r="E223" s="14" t="str">
        <x:v>第三班</x:v>
      </x:c>
      <x:c r="F223" s="14" t="n">
        <x:v>8</x:v>
      </x:c>
      <x:c r="G223" s="14" t="str">
        <x:v>11:50</x:v>
      </x:c>
      <x:c r="H223" s="14" t="str">
        <x:v>研究生宿舍楼</x:v>
      </x:c>
      <x:c r="I223" s="14" t="str">
        <x:v>否</x:v>
      </x:c>
      <x:c r="J223" s="14" t="n">
        <x:v>4</x:v>
      </x:c>
      <x:c r="K223" s="14" t="str">
        <x:v>军体活动中心</x:v>
      </x:c>
      <x:c r="L223" s="14" t="n">
        <x:v>3</x:v>
      </x:c>
      <x:c r="M223" s="14" t="str">
        <x:v>11:53</x:v>
      </x:c>
      <x:c r="N223" s="14" t="str">
        <x:v>否</x:v>
      </x:c>
      <x:c r="O223" s="14" t="str">
        <x:v>否</x:v>
      </x:c>
      <x:c r="P223" s="14" t="str">
        <x:v>未提供</x:v>
      </x:c>
      <x:c r="Q223" s="14" t="str">
        <x:v>未提供</x:v>
      </x:c>
      <x:c r="R223" s="14" t="str">
        <x:v>预测</x:v>
      </x:c>
      <x:c r="S223" s="14" t="str">
        <x:v>到站时间为估算值</x:v>
      </x:c>
      <x:c r="T223" t="str">
        <x:v>研究生宿舍楼发车</x:v>
      </x:c>
    </x:row>
    <x:row r="224">
      <x:c r="A224" s="14" t="str">
        <x:v>S0019-05</x:v>
      </x:c>
      <x:c r="B224" s="14" t="str">
        <x:v>S0019</x:v>
      </x:c>
      <x:c r="C224" s="14" t="str">
        <x:v>工作日</x:v>
      </x:c>
      <x:c r="D224" s="14" t="str">
        <x:v>环线1路</x:v>
      </x:c>
      <x:c r="E224" s="14" t="str">
        <x:v>第三班</x:v>
      </x:c>
      <x:c r="F224" s="14" t="n">
        <x:v>8</x:v>
      </x:c>
      <x:c r="G224" s="14" t="str">
        <x:v>11:50</x:v>
      </x:c>
      <x:c r="H224" s="14" t="str">
        <x:v>研究生宿舍楼</x:v>
      </x:c>
      <x:c r="I224" s="14" t="str">
        <x:v>否</x:v>
      </x:c>
      <x:c r="J224" s="14" t="n">
        <x:v>5</x:v>
      </x:c>
      <x:c r="K224" s="14" t="str">
        <x:v>激光所</x:v>
      </x:c>
      <x:c r="L224" s="14" t="n">
        <x:v>5</x:v>
      </x:c>
      <x:c r="M224" s="14" t="str">
        <x:v>11:55</x:v>
      </x:c>
      <x:c r="N224" s="14" t="str">
        <x:v>否</x:v>
      </x:c>
      <x:c r="O224" s="14" t="str">
        <x:v>否</x:v>
      </x:c>
      <x:c r="P224" s="14" t="str">
        <x:v>未提供</x:v>
      </x:c>
      <x:c r="Q224" s="14" t="str">
        <x:v>未提供</x:v>
      </x:c>
      <x:c r="R224" s="14" t="str">
        <x:v>预测</x:v>
      </x:c>
      <x:c r="S224" s="14" t="str">
        <x:v>到站时间为估算值</x:v>
      </x:c>
      <x:c r="T224" t="str">
        <x:v>研究生宿舍楼发车</x:v>
      </x:c>
    </x:row>
    <x:row r="225">
      <x:c r="A225" s="14" t="str">
        <x:v>S0019-06</x:v>
      </x:c>
      <x:c r="B225" s="14" t="str">
        <x:v>S0019</x:v>
      </x:c>
      <x:c r="C225" s="14" t="str">
        <x:v>工作日</x:v>
      </x:c>
      <x:c r="D225" s="14" t="str">
        <x:v>环线1路</x:v>
      </x:c>
      <x:c r="E225" s="14" t="str">
        <x:v>第三班</x:v>
      </x:c>
      <x:c r="F225" s="14" t="n">
        <x:v>8</x:v>
      </x:c>
      <x:c r="G225" s="14" t="str">
        <x:v>11:50</x:v>
      </x:c>
      <x:c r="H225" s="14" t="str">
        <x:v>研究生宿舍楼</x:v>
      </x:c>
      <x:c r="I225" s="14" t="str">
        <x:v>否</x:v>
      </x:c>
      <x:c r="J225" s="14" t="n">
        <x:v>6</x:v>
      </x:c>
      <x:c r="K225" s="14" t="str">
        <x:v>超算中心</x:v>
      </x:c>
      <x:c r="L225" s="14" t="n">
        <x:v>6</x:v>
      </x:c>
      <x:c r="M225" s="14" t="str">
        <x:v>11:56</x:v>
      </x:c>
      <x:c r="N225" s="14" t="str">
        <x:v>否</x:v>
      </x:c>
      <x:c r="O225" s="14" t="str">
        <x:v>否</x:v>
      </x:c>
      <x:c r="P225" s="14" t="str">
        <x:v>未提供</x:v>
      </x:c>
      <x:c r="Q225" s="14" t="str">
        <x:v>未提供</x:v>
      </x:c>
      <x:c r="R225" s="14" t="str">
        <x:v>预测</x:v>
      </x:c>
      <x:c r="S225" s="14" t="str">
        <x:v>到站时间为估算值</x:v>
      </x:c>
      <x:c r="T225" t="str">
        <x:v>研究生宿舍楼发车</x:v>
      </x:c>
    </x:row>
    <x:row r="226">
      <x:c r="A226" s="14" t="str">
        <x:v>S0019-07</x:v>
      </x:c>
      <x:c r="B226" s="14" t="str">
        <x:v>S0019</x:v>
      </x:c>
      <x:c r="C226" s="14" t="str">
        <x:v>工作日</x:v>
      </x:c>
      <x:c r="D226" s="14" t="str">
        <x:v>环线1路</x:v>
      </x:c>
      <x:c r="E226" s="14" t="str">
        <x:v>第三班</x:v>
      </x:c>
      <x:c r="F226" s="14" t="n">
        <x:v>8</x:v>
      </x:c>
      <x:c r="G226" s="14" t="str">
        <x:v>11:50</x:v>
      </x:c>
      <x:c r="H226" s="14" t="str">
        <x:v>研究生宿舍楼</x:v>
      </x:c>
      <x:c r="I226" s="14" t="str">
        <x:v>否</x:v>
      </x:c>
      <x:c r="J226" s="14" t="n">
        <x:v>7</x:v>
      </x:c>
      <x:c r="K226" s="14" t="str">
        <x:v>北门</x:v>
      </x:c>
      <x:c r="L226" s="14" t="n">
        <x:v>8</x:v>
      </x:c>
      <x:c r="M226" s="14" t="str">
        <x:v>11:58</x:v>
      </x:c>
      <x:c r="N226" s="14" t="str">
        <x:v>否</x:v>
      </x:c>
      <x:c r="O226" s="14" t="str">
        <x:v>否</x:v>
      </x:c>
      <x:c r="P226" s="14" t="str">
        <x:v>未提供</x:v>
      </x:c>
      <x:c r="Q226" s="14" t="str">
        <x:v>未提供</x:v>
      </x:c>
      <x:c r="R226" s="14" t="str">
        <x:v>预测</x:v>
      </x:c>
      <x:c r="S226" s="14" t="str">
        <x:v>到站时间为估算值</x:v>
      </x:c>
      <x:c r="T226" t="str">
        <x:v>研究生宿舍楼发车</x:v>
      </x:c>
    </x:row>
    <x:row r="227">
      <x:c r="A227" s="14" t="str">
        <x:v>S0019-08</x:v>
      </x:c>
      <x:c r="B227" s="14" t="str">
        <x:v>S0019</x:v>
      </x:c>
      <x:c r="C227" s="14" t="str">
        <x:v>工作日</x:v>
      </x:c>
      <x:c r="D227" s="14" t="str">
        <x:v>环线1路</x:v>
      </x:c>
      <x:c r="E227" s="14" t="str">
        <x:v>第三班</x:v>
      </x:c>
      <x:c r="F227" s="14" t="n">
        <x:v>8</x:v>
      </x:c>
      <x:c r="G227" s="14" t="str">
        <x:v>11:50</x:v>
      </x:c>
      <x:c r="H227" s="14" t="str">
        <x:v>研究生宿舍楼</x:v>
      </x:c>
      <x:c r="I227" s="14" t="str">
        <x:v>否</x:v>
      </x:c>
      <x:c r="J227" s="14" t="n">
        <x:v>8</x:v>
      </x:c>
      <x:c r="K227" s="14" t="str">
        <x:v>高超楼</x:v>
      </x:c>
      <x:c r="L227" s="14" t="n">
        <x:v>9</x:v>
      </x:c>
      <x:c r="M227" s="14" t="str">
        <x:v>11:59</x:v>
      </x:c>
      <x:c r="N227" s="14" t="str">
        <x:v>否</x:v>
      </x:c>
      <x:c r="O227" s="14" t="str">
        <x:v>否</x:v>
      </x:c>
      <x:c r="P227" s="14" t="str">
        <x:v>未提供</x:v>
      </x:c>
      <x:c r="Q227" s="14" t="str">
        <x:v>未提供</x:v>
      </x:c>
      <x:c r="R227" s="14" t="str">
        <x:v>预测</x:v>
      </x:c>
      <x:c r="S227" s="14" t="str">
        <x:v>到站时间为估算值</x:v>
      </x:c>
      <x:c r="T227" t="str">
        <x:v>研究生宿舍楼发车</x:v>
      </x:c>
    </x:row>
    <x:row r="228">
      <x:c r="A228" s="14" t="str">
        <x:v>S0019-09</x:v>
      </x:c>
      <x:c r="B228" s="14" t="str">
        <x:v>S0019</x:v>
      </x:c>
      <x:c r="C228" s="14" t="str">
        <x:v>工作日</x:v>
      </x:c>
      <x:c r="D228" s="14" t="str">
        <x:v>环线1路</x:v>
      </x:c>
      <x:c r="E228" s="14" t="str">
        <x:v>第三班</x:v>
      </x:c>
      <x:c r="F228" s="14" t="n">
        <x:v>8</x:v>
      </x:c>
      <x:c r="G228" s="14" t="str">
        <x:v>11:50</x:v>
      </x:c>
      <x:c r="H228" s="14" t="str">
        <x:v>研究生宿舍楼</x:v>
      </x:c>
      <x:c r="I228" s="14" t="str">
        <x:v>否</x:v>
      </x:c>
      <x:c r="J228" s="14" t="n">
        <x:v>9</x:v>
      </x:c>
      <x:c r="K228" s="14" t="str">
        <x:v>理学院</x:v>
      </x:c>
      <x:c r="L228" s="14" t="n">
        <x:v>10</x:v>
      </x:c>
      <x:c r="M228" s="14" t="str">
        <x:v>12:00</x:v>
      </x:c>
      <x:c r="N228" s="14" t="str">
        <x:v>否</x:v>
      </x:c>
      <x:c r="O228" s="14" t="str">
        <x:v>否</x:v>
      </x:c>
      <x:c r="P228" s="14" t="str">
        <x:v>未提供</x:v>
      </x:c>
      <x:c r="Q228" s="14" t="str">
        <x:v>未提供</x:v>
      </x:c>
      <x:c r="R228" s="14" t="str">
        <x:v>预测</x:v>
      </x:c>
      <x:c r="S228" s="14" t="str">
        <x:v>到站时间为估算值</x:v>
      </x:c>
      <x:c r="T228" t="str">
        <x:v>研究生宿舍楼发车</x:v>
      </x:c>
    </x:row>
    <x:row r="229">
      <x:c r="A229" s="14" t="str">
        <x:v>S0019-10</x:v>
      </x:c>
      <x:c r="B229" s="14" t="str">
        <x:v>S0019</x:v>
      </x:c>
      <x:c r="C229" s="14" t="str">
        <x:v>工作日</x:v>
      </x:c>
      <x:c r="D229" s="14" t="str">
        <x:v>环线1路</x:v>
      </x:c>
      <x:c r="E229" s="14" t="str">
        <x:v>第三班</x:v>
      </x:c>
      <x:c r="F229" s="14" t="n">
        <x:v>8</x:v>
      </x:c>
      <x:c r="G229" s="14" t="str">
        <x:v>11:50</x:v>
      </x:c>
      <x:c r="H229" s="14" t="str">
        <x:v>研究生宿舍楼</x:v>
      </x:c>
      <x:c r="I229" s="14" t="str">
        <x:v>否</x:v>
      </x:c>
      <x:c r="J229" s="14" t="n">
        <x:v>10</x:v>
      </x:c>
      <x:c r="K229" s="14" t="str">
        <x:v>二食堂</x:v>
      </x:c>
      <x:c r="L229" s="14" t="n">
        <x:v>13</x:v>
      </x:c>
      <x:c r="M229" s="14" t="str">
        <x:v>12:03</x:v>
      </x:c>
      <x:c r="N229" s="14" t="str">
        <x:v>否</x:v>
      </x:c>
      <x:c r="O229" s="14" t="str">
        <x:v>否</x:v>
      </x:c>
      <x:c r="P229" s="14" t="str">
        <x:v>未提供</x:v>
      </x:c>
      <x:c r="Q229" s="14" t="str">
        <x:v>未提供</x:v>
      </x:c>
      <x:c r="R229" s="14" t="str">
        <x:v>预测</x:v>
      </x:c>
      <x:c r="S229" s="14" t="str">
        <x:v>到站时间为估算值</x:v>
      </x:c>
      <x:c r="T229" t="str">
        <x:v>研究生宿舍楼发车</x:v>
      </x:c>
    </x:row>
    <x:row r="230">
      <x:c r="A230" s="14" t="str">
        <x:v>S0019-11</x:v>
      </x:c>
      <x:c r="B230" s="14" t="str">
        <x:v>S0019</x:v>
      </x:c>
      <x:c r="C230" s="14" t="str">
        <x:v>工作日</x:v>
      </x:c>
      <x:c r="D230" s="14" t="str">
        <x:v>环线1路</x:v>
      </x:c>
      <x:c r="E230" s="14" t="str">
        <x:v>第三班</x:v>
      </x:c>
      <x:c r="F230" s="14" t="n">
        <x:v>8</x:v>
      </x:c>
      <x:c r="G230" s="14" t="str">
        <x:v>11:50</x:v>
      </x:c>
      <x:c r="H230" s="14" t="str">
        <x:v>研究生宿舍楼</x:v>
      </x:c>
      <x:c r="I230" s="14" t="str">
        <x:v>否</x:v>
      </x:c>
      <x:c r="J230" s="14" t="n">
        <x:v>11</x:v>
      </x:c>
      <x:c r="K230" s="14" t="str">
        <x:v>5号宿舍楼</x:v>
      </x:c>
      <x:c r="L230" s="14" t="n">
        <x:v>14</x:v>
      </x:c>
      <x:c r="M230" s="14" t="str">
        <x:v>12:04</x:v>
      </x:c>
      <x:c r="N230" s="14" t="str">
        <x:v>否</x:v>
      </x:c>
      <x:c r="O230" s="14" t="str">
        <x:v>否</x:v>
      </x:c>
      <x:c r="P230" s="14" t="str">
        <x:v>未提供</x:v>
      </x:c>
      <x:c r="Q230" s="14" t="str">
        <x:v>未提供</x:v>
      </x:c>
      <x:c r="R230" s="14" t="str">
        <x:v>预测</x:v>
      </x:c>
      <x:c r="S230" s="14" t="str">
        <x:v>到站时间为估算值</x:v>
      </x:c>
      <x:c r="T230" t="str">
        <x:v>研究生宿舍楼发车</x:v>
      </x:c>
    </x:row>
    <x:row r="231">
      <x:c r="A231" s="14" t="str">
        <x:v>S0019-12</x:v>
      </x:c>
      <x:c r="B231" s="14" t="str">
        <x:v>S0019</x:v>
      </x:c>
      <x:c r="C231" s="14" t="str">
        <x:v>工作日</x:v>
      </x:c>
      <x:c r="D231" s="14" t="str">
        <x:v>环线1路</x:v>
      </x:c>
      <x:c r="E231" s="14" t="str">
        <x:v>第三班</x:v>
      </x:c>
      <x:c r="F231" s="14" t="n">
        <x:v>8</x:v>
      </x:c>
      <x:c r="G231" s="14" t="str">
        <x:v>11:50</x:v>
      </x:c>
      <x:c r="H231" s="14" t="str">
        <x:v>研究生宿舍楼</x:v>
      </x:c>
      <x:c r="I231" s="14" t="str">
        <x:v>否</x:v>
      </x:c>
      <x:c r="J231" s="14" t="n">
        <x:v>12</x:v>
      </x:c>
      <x:c r="K231" s="14" t="str">
        <x:v>305教学楼</x:v>
      </x:c>
      <x:c r="L231" s="14" t="n">
        <x:v>15</x:v>
      </x:c>
      <x:c r="M231" s="14" t="str">
        <x:v>12:05</x:v>
      </x:c>
      <x:c r="N231" s="14" t="str">
        <x:v>否</x:v>
      </x:c>
      <x:c r="O231" s="14" t="str">
        <x:v>否</x:v>
      </x:c>
      <x:c r="P231" s="14" t="str">
        <x:v>未提供</x:v>
      </x:c>
      <x:c r="Q231" s="14" t="str">
        <x:v>未提供</x:v>
      </x:c>
      <x:c r="R231" s="14" t="str">
        <x:v>预测</x:v>
      </x:c>
      <x:c r="S231" s="14" t="str">
        <x:v>到站时间为估算值</x:v>
      </x:c>
      <x:c r="T231" t="str">
        <x:v>研究生宿舍楼发车</x:v>
      </x:c>
    </x:row>
    <x:row r="232">
      <x:c r="A232" s="14" t="str">
        <x:v>S0019-13</x:v>
      </x:c>
      <x:c r="B232" s="14" t="str">
        <x:v>S0019</x:v>
      </x:c>
      <x:c r="C232" s="14" t="str">
        <x:v>工作日</x:v>
      </x:c>
      <x:c r="D232" s="14" t="str">
        <x:v>环线1路</x:v>
      </x:c>
      <x:c r="E232" s="14" t="str">
        <x:v>第三班</x:v>
      </x:c>
      <x:c r="F232" s="14" t="n">
        <x:v>8</x:v>
      </x:c>
      <x:c r="G232" s="14" t="str">
        <x:v>11:50</x:v>
      </x:c>
      <x:c r="H232" s="14" t="str">
        <x:v>研究生宿舍楼</x:v>
      </x:c>
      <x:c r="I232" s="14" t="str">
        <x:v>否</x:v>
      </x:c>
      <x:c r="J232" s="14" t="n">
        <x:v>13</x:v>
      </x:c>
      <x:c r="K232" s="14" t="str">
        <x:v>研究生宿舍楼</x:v>
      </x:c>
      <x:c r="L232" s="14" t="n">
        <x:v>17</x:v>
      </x:c>
      <x:c r="M232" s="14" t="str">
        <x:v>12:07</x:v>
      </x:c>
      <x:c r="N232" s="14" t="str">
        <x:v>否</x:v>
      </x:c>
      <x:c r="O232" s="14" t="str">
        <x:v>是</x:v>
      </x:c>
      <x:c r="P232" s="14" t="str">
        <x:v>未提供</x:v>
      </x:c>
      <x:c r="Q232" s="14" t="str">
        <x:v>未提供</x:v>
      </x:c>
      <x:c r="R232" s="14" t="str">
        <x:v>预测</x:v>
      </x:c>
      <x:c r="S232" s="14" t="str">
        <x:v>到站时间为估算值</x:v>
      </x:c>
      <x:c r="T232" t="str">
        <x:v>研究生宿舍楼发车</x:v>
      </x:c>
    </x:row>
    <x:row r="233">
      <x:c r="A233" s="14" t="str">
        <x:v>S0020-01</x:v>
      </x:c>
      <x:c r="B233" s="14" t="str">
        <x:v>S0020</x:v>
      </x:c>
      <x:c r="C233" s="14" t="str">
        <x:v>工作日</x:v>
      </x:c>
      <x:c r="D233" s="14" t="str">
        <x:v>环线1路</x:v>
      </x:c>
      <x:c r="E233" s="14" t="str">
        <x:v>第三班</x:v>
      </x:c>
      <x:c r="F233" s="14" t="n">
        <x:v>9</x:v>
      </x:c>
      <x:c r="G233" s="14" t="str">
        <x:v>12:25</x:v>
      </x:c>
      <x:c r="H233" s="14" t="str">
        <x:v>研究生宿舍楼</x:v>
      </x:c>
      <x:c r="I233" s="14" t="str">
        <x:v>否</x:v>
      </x:c>
      <x:c r="J233" s="14" t="n">
        <x:v>1</x:v>
      </x:c>
      <x:c r="K233" s="14" t="str">
        <x:v>研究生宿舍楼</x:v>
      </x:c>
      <x:c r="L233" s="14" t="n">
        <x:v>0</x:v>
      </x:c>
      <x:c r="M233" s="14" t="str">
        <x:v>12:25</x:v>
      </x:c>
      <x:c r="N233" s="14" t="str">
        <x:v>是</x:v>
      </x:c>
      <x:c r="O233" s="14" t="str">
        <x:v>否</x:v>
      </x:c>
      <x:c r="P233" s="14" t="str">
        <x:v>未提供</x:v>
      </x:c>
      <x:c r="Q233" s="14" t="str">
        <x:v>未提供</x:v>
      </x:c>
      <x:c r="R233" s="14" t="str">
        <x:v>预测</x:v>
      </x:c>
      <x:c r="S233" s="14" t="str">
        <x:v>到站时间为估算值</x:v>
      </x:c>
      <x:c r="T233" t="str">
        <x:v>研究生宿舍楼发车</x:v>
      </x:c>
    </x:row>
    <x:row r="234">
      <x:c r="A234" s="14" t="str">
        <x:v>S0020-02</x:v>
      </x:c>
      <x:c r="B234" s="14" t="str">
        <x:v>S0020</x:v>
      </x:c>
      <x:c r="C234" s="14" t="str">
        <x:v>工作日</x:v>
      </x:c>
      <x:c r="D234" s="14" t="str">
        <x:v>环线1路</x:v>
      </x:c>
      <x:c r="E234" s="14" t="str">
        <x:v>第三班</x:v>
      </x:c>
      <x:c r="F234" s="14" t="n">
        <x:v>9</x:v>
      </x:c>
      <x:c r="G234" s="14" t="str">
        <x:v>12:25</x:v>
      </x:c>
      <x:c r="H234" s="14" t="str">
        <x:v>研究生宿舍楼</x:v>
      </x:c>
      <x:c r="I234" s="14" t="str">
        <x:v>否</x:v>
      </x:c>
      <x:c r="J234" s="14" t="n">
        <x:v>2</x:v>
      </x:c>
      <x:c r="K234" s="14" t="str">
        <x:v>东门</x:v>
      </x:c>
      <x:c r="L234" s="14" t="n">
        <x:v>1</x:v>
      </x:c>
      <x:c r="M234" s="14" t="str">
        <x:v>12:26</x:v>
      </x:c>
      <x:c r="N234" s="14" t="str">
        <x:v>否</x:v>
      </x:c>
      <x:c r="O234" s="14" t="str">
        <x:v>否</x:v>
      </x:c>
      <x:c r="P234" s="14" t="str">
        <x:v>未提供</x:v>
      </x:c>
      <x:c r="Q234" s="14" t="str">
        <x:v>未提供</x:v>
      </x:c>
      <x:c r="R234" s="14" t="str">
        <x:v>预测</x:v>
      </x:c>
      <x:c r="S234" s="14" t="str">
        <x:v>到站时间为估算值</x:v>
      </x:c>
      <x:c r="T234" t="str">
        <x:v>研究生宿舍楼发车</x:v>
      </x:c>
    </x:row>
    <x:row r="235">
      <x:c r="A235" s="14" t="str">
        <x:v>S0020-03</x:v>
      </x:c>
      <x:c r="B235" s="14" t="str">
        <x:v>S0020</x:v>
      </x:c>
      <x:c r="C235" s="14" t="str">
        <x:v>工作日</x:v>
      </x:c>
      <x:c r="D235" s="14" t="str">
        <x:v>环线1路</x:v>
      </x:c>
      <x:c r="E235" s="14" t="str">
        <x:v>第三班</x:v>
      </x:c>
      <x:c r="F235" s="14" t="n">
        <x:v>9</x:v>
      </x:c>
      <x:c r="G235" s="14" t="str">
        <x:v>12:25</x:v>
      </x:c>
      <x:c r="H235" s="14" t="str">
        <x:v>研究生宿舍楼</x:v>
      </x:c>
      <x:c r="I235" s="14" t="str">
        <x:v>否</x:v>
      </x:c>
      <x:c r="J235" s="14" t="n">
        <x:v>3</x:v>
      </x:c>
      <x:c r="K235" s="14" t="str">
        <x:v>2号宿舍楼</x:v>
      </x:c>
      <x:c r="L235" s="14" t="n">
        <x:v>2</x:v>
      </x:c>
      <x:c r="M235" s="14" t="str">
        <x:v>12:27</x:v>
      </x:c>
      <x:c r="N235" s="14" t="str">
        <x:v>否</x:v>
      </x:c>
      <x:c r="O235" s="14" t="str">
        <x:v>否</x:v>
      </x:c>
      <x:c r="P235" s="14" t="str">
        <x:v>未提供</x:v>
      </x:c>
      <x:c r="Q235" s="14" t="str">
        <x:v>未提供</x:v>
      </x:c>
      <x:c r="R235" s="14" t="str">
        <x:v>预测</x:v>
      </x:c>
      <x:c r="S235" s="14" t="str">
        <x:v>到站时间为估算值</x:v>
      </x:c>
      <x:c r="T235" t="str">
        <x:v>研究生宿舍楼发车</x:v>
      </x:c>
    </x:row>
    <x:row r="236">
      <x:c r="A236" s="14" t="str">
        <x:v>S0020-04</x:v>
      </x:c>
      <x:c r="B236" s="14" t="str">
        <x:v>S0020</x:v>
      </x:c>
      <x:c r="C236" s="14" t="str">
        <x:v>工作日</x:v>
      </x:c>
      <x:c r="D236" s="14" t="str">
        <x:v>环线1路</x:v>
      </x:c>
      <x:c r="E236" s="14" t="str">
        <x:v>第三班</x:v>
      </x:c>
      <x:c r="F236" s="14" t="n">
        <x:v>9</x:v>
      </x:c>
      <x:c r="G236" s="14" t="str">
        <x:v>12:25</x:v>
      </x:c>
      <x:c r="H236" s="14" t="str">
        <x:v>研究生宿舍楼</x:v>
      </x:c>
      <x:c r="I236" s="14" t="str">
        <x:v>否</x:v>
      </x:c>
      <x:c r="J236" s="14" t="n">
        <x:v>4</x:v>
      </x:c>
      <x:c r="K236" s="14" t="str">
        <x:v>军体活动中心</x:v>
      </x:c>
      <x:c r="L236" s="14" t="n">
        <x:v>3</x:v>
      </x:c>
      <x:c r="M236" s="14" t="str">
        <x:v>12:28</x:v>
      </x:c>
      <x:c r="N236" s="14" t="str">
        <x:v>否</x:v>
      </x:c>
      <x:c r="O236" s="14" t="str">
        <x:v>否</x:v>
      </x:c>
      <x:c r="P236" s="14" t="str">
        <x:v>未提供</x:v>
      </x:c>
      <x:c r="Q236" s="14" t="str">
        <x:v>未提供</x:v>
      </x:c>
      <x:c r="R236" s="14" t="str">
        <x:v>预测</x:v>
      </x:c>
      <x:c r="S236" s="14" t="str">
        <x:v>到站时间为估算值</x:v>
      </x:c>
      <x:c r="T236" t="str">
        <x:v>研究生宿舍楼发车</x:v>
      </x:c>
    </x:row>
    <x:row r="237">
      <x:c r="A237" s="14" t="str">
        <x:v>S0020-05</x:v>
      </x:c>
      <x:c r="B237" s="14" t="str">
        <x:v>S0020</x:v>
      </x:c>
      <x:c r="C237" s="14" t="str">
        <x:v>工作日</x:v>
      </x:c>
      <x:c r="D237" s="14" t="str">
        <x:v>环线1路</x:v>
      </x:c>
      <x:c r="E237" s="14" t="str">
        <x:v>第三班</x:v>
      </x:c>
      <x:c r="F237" s="14" t="n">
        <x:v>9</x:v>
      </x:c>
      <x:c r="G237" s="14" t="str">
        <x:v>12:25</x:v>
      </x:c>
      <x:c r="H237" s="14" t="str">
        <x:v>研究生宿舍楼</x:v>
      </x:c>
      <x:c r="I237" s="14" t="str">
        <x:v>否</x:v>
      </x:c>
      <x:c r="J237" s="14" t="n">
        <x:v>5</x:v>
      </x:c>
      <x:c r="K237" s="14" t="str">
        <x:v>激光所</x:v>
      </x:c>
      <x:c r="L237" s="14" t="n">
        <x:v>5</x:v>
      </x:c>
      <x:c r="M237" s="14" t="str">
        <x:v>12:30</x:v>
      </x:c>
      <x:c r="N237" s="14" t="str">
        <x:v>否</x:v>
      </x:c>
      <x:c r="O237" s="14" t="str">
        <x:v>否</x:v>
      </x:c>
      <x:c r="P237" s="14" t="str">
        <x:v>未提供</x:v>
      </x:c>
      <x:c r="Q237" s="14" t="str">
        <x:v>未提供</x:v>
      </x:c>
      <x:c r="R237" s="14" t="str">
        <x:v>预测</x:v>
      </x:c>
      <x:c r="S237" s="14" t="str">
        <x:v>到站时间为估算值</x:v>
      </x:c>
      <x:c r="T237" t="str">
        <x:v>研究生宿舍楼发车</x:v>
      </x:c>
    </x:row>
    <x:row r="238">
      <x:c r="A238" s="14" t="str">
        <x:v>S0020-06</x:v>
      </x:c>
      <x:c r="B238" s="14" t="str">
        <x:v>S0020</x:v>
      </x:c>
      <x:c r="C238" s="14" t="str">
        <x:v>工作日</x:v>
      </x:c>
      <x:c r="D238" s="14" t="str">
        <x:v>环线1路</x:v>
      </x:c>
      <x:c r="E238" s="14" t="str">
        <x:v>第三班</x:v>
      </x:c>
      <x:c r="F238" s="14" t="n">
        <x:v>9</x:v>
      </x:c>
      <x:c r="G238" s="14" t="str">
        <x:v>12:25</x:v>
      </x:c>
      <x:c r="H238" s="14" t="str">
        <x:v>研究生宿舍楼</x:v>
      </x:c>
      <x:c r="I238" s="14" t="str">
        <x:v>否</x:v>
      </x:c>
      <x:c r="J238" s="14" t="n">
        <x:v>6</x:v>
      </x:c>
      <x:c r="K238" s="14" t="str">
        <x:v>超算中心</x:v>
      </x:c>
      <x:c r="L238" s="14" t="n">
        <x:v>6</x:v>
      </x:c>
      <x:c r="M238" s="14" t="str">
        <x:v>12:31</x:v>
      </x:c>
      <x:c r="N238" s="14" t="str">
        <x:v>否</x:v>
      </x:c>
      <x:c r="O238" s="14" t="str">
        <x:v>否</x:v>
      </x:c>
      <x:c r="P238" s="14" t="str">
        <x:v>未提供</x:v>
      </x:c>
      <x:c r="Q238" s="14" t="str">
        <x:v>未提供</x:v>
      </x:c>
      <x:c r="R238" s="14" t="str">
        <x:v>预测</x:v>
      </x:c>
      <x:c r="S238" s="14" t="str">
        <x:v>到站时间为估算值</x:v>
      </x:c>
      <x:c r="T238" t="str">
        <x:v>研究生宿舍楼发车</x:v>
      </x:c>
    </x:row>
    <x:row r="239">
      <x:c r="A239" s="14" t="str">
        <x:v>S0020-07</x:v>
      </x:c>
      <x:c r="B239" s="14" t="str">
        <x:v>S0020</x:v>
      </x:c>
      <x:c r="C239" s="14" t="str">
        <x:v>工作日</x:v>
      </x:c>
      <x:c r="D239" s="14" t="str">
        <x:v>环线1路</x:v>
      </x:c>
      <x:c r="E239" s="14" t="str">
        <x:v>第三班</x:v>
      </x:c>
      <x:c r="F239" s="14" t="n">
        <x:v>9</x:v>
      </x:c>
      <x:c r="G239" s="14" t="str">
        <x:v>12:25</x:v>
      </x:c>
      <x:c r="H239" s="14" t="str">
        <x:v>研究生宿舍楼</x:v>
      </x:c>
      <x:c r="I239" s="14" t="str">
        <x:v>否</x:v>
      </x:c>
      <x:c r="J239" s="14" t="n">
        <x:v>7</x:v>
      </x:c>
      <x:c r="K239" s="14" t="str">
        <x:v>北门</x:v>
      </x:c>
      <x:c r="L239" s="14" t="n">
        <x:v>8</x:v>
      </x:c>
      <x:c r="M239" s="14" t="str">
        <x:v>12:33</x:v>
      </x:c>
      <x:c r="N239" s="14" t="str">
        <x:v>否</x:v>
      </x:c>
      <x:c r="O239" s="14" t="str">
        <x:v>否</x:v>
      </x:c>
      <x:c r="P239" s="14" t="str">
        <x:v>未提供</x:v>
      </x:c>
      <x:c r="Q239" s="14" t="str">
        <x:v>未提供</x:v>
      </x:c>
      <x:c r="R239" s="14" t="str">
        <x:v>预测</x:v>
      </x:c>
      <x:c r="S239" s="14" t="str">
        <x:v>到站时间为估算值</x:v>
      </x:c>
      <x:c r="T239" t="str">
        <x:v>研究生宿舍楼发车</x:v>
      </x:c>
    </x:row>
    <x:row r="240">
      <x:c r="A240" s="14" t="str">
        <x:v>S0020-08</x:v>
      </x:c>
      <x:c r="B240" s="14" t="str">
        <x:v>S0020</x:v>
      </x:c>
      <x:c r="C240" s="14" t="str">
        <x:v>工作日</x:v>
      </x:c>
      <x:c r="D240" s="14" t="str">
        <x:v>环线1路</x:v>
      </x:c>
      <x:c r="E240" s="14" t="str">
        <x:v>第三班</x:v>
      </x:c>
      <x:c r="F240" s="14" t="n">
        <x:v>9</x:v>
      </x:c>
      <x:c r="G240" s="14" t="str">
        <x:v>12:25</x:v>
      </x:c>
      <x:c r="H240" s="14" t="str">
        <x:v>研究生宿舍楼</x:v>
      </x:c>
      <x:c r="I240" s="14" t="str">
        <x:v>否</x:v>
      </x:c>
      <x:c r="J240" s="14" t="n">
        <x:v>8</x:v>
      </x:c>
      <x:c r="K240" s="14" t="str">
        <x:v>高超楼</x:v>
      </x:c>
      <x:c r="L240" s="14" t="n">
        <x:v>9</x:v>
      </x:c>
      <x:c r="M240" s="14" t="str">
        <x:v>12:34</x:v>
      </x:c>
      <x:c r="N240" s="14" t="str">
        <x:v>否</x:v>
      </x:c>
      <x:c r="O240" s="14" t="str">
        <x:v>否</x:v>
      </x:c>
      <x:c r="P240" s="14" t="str">
        <x:v>未提供</x:v>
      </x:c>
      <x:c r="Q240" s="14" t="str">
        <x:v>未提供</x:v>
      </x:c>
      <x:c r="R240" s="14" t="str">
        <x:v>预测</x:v>
      </x:c>
      <x:c r="S240" s="14" t="str">
        <x:v>到站时间为估算值</x:v>
      </x:c>
      <x:c r="T240" t="str">
        <x:v>研究生宿舍楼发车</x:v>
      </x:c>
    </x:row>
    <x:row r="241">
      <x:c r="A241" s="14" t="str">
        <x:v>S0020-09</x:v>
      </x:c>
      <x:c r="B241" s="14" t="str">
        <x:v>S0020</x:v>
      </x:c>
      <x:c r="C241" s="14" t="str">
        <x:v>工作日</x:v>
      </x:c>
      <x:c r="D241" s="14" t="str">
        <x:v>环线1路</x:v>
      </x:c>
      <x:c r="E241" s="14" t="str">
        <x:v>第三班</x:v>
      </x:c>
      <x:c r="F241" s="14" t="n">
        <x:v>9</x:v>
      </x:c>
      <x:c r="G241" s="14" t="str">
        <x:v>12:25</x:v>
      </x:c>
      <x:c r="H241" s="14" t="str">
        <x:v>研究生宿舍楼</x:v>
      </x:c>
      <x:c r="I241" s="14" t="str">
        <x:v>否</x:v>
      </x:c>
      <x:c r="J241" s="14" t="n">
        <x:v>9</x:v>
      </x:c>
      <x:c r="K241" s="14" t="str">
        <x:v>理学院</x:v>
      </x:c>
      <x:c r="L241" s="14" t="n">
        <x:v>10</x:v>
      </x:c>
      <x:c r="M241" s="14" t="str">
        <x:v>12:35</x:v>
      </x:c>
      <x:c r="N241" s="14" t="str">
        <x:v>否</x:v>
      </x:c>
      <x:c r="O241" s="14" t="str">
        <x:v>否</x:v>
      </x:c>
      <x:c r="P241" s="14" t="str">
        <x:v>未提供</x:v>
      </x:c>
      <x:c r="Q241" s="14" t="str">
        <x:v>未提供</x:v>
      </x:c>
      <x:c r="R241" s="14" t="str">
        <x:v>预测</x:v>
      </x:c>
      <x:c r="S241" s="14" t="str">
        <x:v>到站时间为估算值</x:v>
      </x:c>
      <x:c r="T241" t="str">
        <x:v>研究生宿舍楼发车</x:v>
      </x:c>
    </x:row>
    <x:row r="242">
      <x:c r="A242" s="14" t="str">
        <x:v>S0020-10</x:v>
      </x:c>
      <x:c r="B242" s="14" t="str">
        <x:v>S0020</x:v>
      </x:c>
      <x:c r="C242" s="14" t="str">
        <x:v>工作日</x:v>
      </x:c>
      <x:c r="D242" s="14" t="str">
        <x:v>环线1路</x:v>
      </x:c>
      <x:c r="E242" s="14" t="str">
        <x:v>第三班</x:v>
      </x:c>
      <x:c r="F242" s="14" t="n">
        <x:v>9</x:v>
      </x:c>
      <x:c r="G242" s="14" t="str">
        <x:v>12:25</x:v>
      </x:c>
      <x:c r="H242" s="14" t="str">
        <x:v>研究生宿舍楼</x:v>
      </x:c>
      <x:c r="I242" s="14" t="str">
        <x:v>否</x:v>
      </x:c>
      <x:c r="J242" s="14" t="n">
        <x:v>10</x:v>
      </x:c>
      <x:c r="K242" s="14" t="str">
        <x:v>二食堂</x:v>
      </x:c>
      <x:c r="L242" s="14" t="n">
        <x:v>13</x:v>
      </x:c>
      <x:c r="M242" s="14" t="str">
        <x:v>12:38</x:v>
      </x:c>
      <x:c r="N242" s="14" t="str">
        <x:v>否</x:v>
      </x:c>
      <x:c r="O242" s="14" t="str">
        <x:v>否</x:v>
      </x:c>
      <x:c r="P242" s="14" t="str">
        <x:v>未提供</x:v>
      </x:c>
      <x:c r="Q242" s="14" t="str">
        <x:v>未提供</x:v>
      </x:c>
      <x:c r="R242" s="14" t="str">
        <x:v>预测</x:v>
      </x:c>
      <x:c r="S242" s="14" t="str">
        <x:v>到站时间为估算值</x:v>
      </x:c>
      <x:c r="T242" t="str">
        <x:v>研究生宿舍楼发车</x:v>
      </x:c>
    </x:row>
    <x:row r="243">
      <x:c r="A243" s="14" t="str">
        <x:v>S0020-11</x:v>
      </x:c>
      <x:c r="B243" s="14" t="str">
        <x:v>S0020</x:v>
      </x:c>
      <x:c r="C243" s="14" t="str">
        <x:v>工作日</x:v>
      </x:c>
      <x:c r="D243" s="14" t="str">
        <x:v>环线1路</x:v>
      </x:c>
      <x:c r="E243" s="14" t="str">
        <x:v>第三班</x:v>
      </x:c>
      <x:c r="F243" s="14" t="n">
        <x:v>9</x:v>
      </x:c>
      <x:c r="G243" s="14" t="str">
        <x:v>12:25</x:v>
      </x:c>
      <x:c r="H243" s="14" t="str">
        <x:v>研究生宿舍楼</x:v>
      </x:c>
      <x:c r="I243" s="14" t="str">
        <x:v>否</x:v>
      </x:c>
      <x:c r="J243" s="14" t="n">
        <x:v>11</x:v>
      </x:c>
      <x:c r="K243" s="14" t="str">
        <x:v>5号宿舍楼</x:v>
      </x:c>
      <x:c r="L243" s="14" t="n">
        <x:v>14</x:v>
      </x:c>
      <x:c r="M243" s="14" t="str">
        <x:v>12:39</x:v>
      </x:c>
      <x:c r="N243" s="14" t="str">
        <x:v>否</x:v>
      </x:c>
      <x:c r="O243" s="14" t="str">
        <x:v>否</x:v>
      </x:c>
      <x:c r="P243" s="14" t="str">
        <x:v>未提供</x:v>
      </x:c>
      <x:c r="Q243" s="14" t="str">
        <x:v>未提供</x:v>
      </x:c>
      <x:c r="R243" s="14" t="str">
        <x:v>预测</x:v>
      </x:c>
      <x:c r="S243" s="14" t="str">
        <x:v>到站时间为估算值</x:v>
      </x:c>
      <x:c r="T243" t="str">
        <x:v>研究生宿舍楼发车</x:v>
      </x:c>
    </x:row>
    <x:row r="244">
      <x:c r="A244" s="14" t="str">
        <x:v>S0020-12</x:v>
      </x:c>
      <x:c r="B244" s="14" t="str">
        <x:v>S0020</x:v>
      </x:c>
      <x:c r="C244" s="14" t="str">
        <x:v>工作日</x:v>
      </x:c>
      <x:c r="D244" s="14" t="str">
        <x:v>环线1路</x:v>
      </x:c>
      <x:c r="E244" s="14" t="str">
        <x:v>第三班</x:v>
      </x:c>
      <x:c r="F244" s="14" t="n">
        <x:v>9</x:v>
      </x:c>
      <x:c r="G244" s="14" t="str">
        <x:v>12:25</x:v>
      </x:c>
      <x:c r="H244" s="14" t="str">
        <x:v>研究生宿舍楼</x:v>
      </x:c>
      <x:c r="I244" s="14" t="str">
        <x:v>否</x:v>
      </x:c>
      <x:c r="J244" s="14" t="n">
        <x:v>12</x:v>
      </x:c>
      <x:c r="K244" s="14" t="str">
        <x:v>305教学楼</x:v>
      </x:c>
      <x:c r="L244" s="14" t="n">
        <x:v>15</x:v>
      </x:c>
      <x:c r="M244" s="14" t="str">
        <x:v>12:40</x:v>
      </x:c>
      <x:c r="N244" s="14" t="str">
        <x:v>否</x:v>
      </x:c>
      <x:c r="O244" s="14" t="str">
        <x:v>否</x:v>
      </x:c>
      <x:c r="P244" s="14" t="str">
        <x:v>未提供</x:v>
      </x:c>
      <x:c r="Q244" s="14" t="str">
        <x:v>未提供</x:v>
      </x:c>
      <x:c r="R244" s="14" t="str">
        <x:v>预测</x:v>
      </x:c>
      <x:c r="S244" s="14" t="str">
        <x:v>到站时间为估算值</x:v>
      </x:c>
      <x:c r="T244" t="str">
        <x:v>研究生宿舍楼发车</x:v>
      </x:c>
    </x:row>
    <x:row r="245">
      <x:c r="A245" s="14" t="str">
        <x:v>S0020-13</x:v>
      </x:c>
      <x:c r="B245" s="14" t="str">
        <x:v>S0020</x:v>
      </x:c>
      <x:c r="C245" s="14" t="str">
        <x:v>工作日</x:v>
      </x:c>
      <x:c r="D245" s="14" t="str">
        <x:v>环线1路</x:v>
      </x:c>
      <x:c r="E245" s="14" t="str">
        <x:v>第三班</x:v>
      </x:c>
      <x:c r="F245" s="14" t="n">
        <x:v>9</x:v>
      </x:c>
      <x:c r="G245" s="14" t="str">
        <x:v>12:25</x:v>
      </x:c>
      <x:c r="H245" s="14" t="str">
        <x:v>研究生宿舍楼</x:v>
      </x:c>
      <x:c r="I245" s="14" t="str">
        <x:v>否</x:v>
      </x:c>
      <x:c r="J245" s="14" t="n">
        <x:v>13</x:v>
      </x:c>
      <x:c r="K245" s="14" t="str">
        <x:v>研究生宿舍楼</x:v>
      </x:c>
      <x:c r="L245" s="14" t="n">
        <x:v>17</x:v>
      </x:c>
      <x:c r="M245" s="14" t="str">
        <x:v>12:42</x:v>
      </x:c>
      <x:c r="N245" s="14" t="str">
        <x:v>否</x:v>
      </x:c>
      <x:c r="O245" s="14" t="str">
        <x:v>是</x:v>
      </x:c>
      <x:c r="P245" s="14" t="str">
        <x:v>未提供</x:v>
      </x:c>
      <x:c r="Q245" s="14" t="str">
        <x:v>未提供</x:v>
      </x:c>
      <x:c r="R245" s="14" t="str">
        <x:v>预测</x:v>
      </x:c>
      <x:c r="S245" s="14" t="str">
        <x:v>到站时间为估算值</x:v>
      </x:c>
      <x:c r="T245" t="str">
        <x:v>研究生宿舍楼发车</x:v>
      </x:c>
    </x:row>
    <x:row r="246">
      <x:c r="A246" s="14" t="str">
        <x:v>S0021-01</x:v>
      </x:c>
      <x:c r="B246" s="14" t="str">
        <x:v>S0021</x:v>
      </x:c>
      <x:c r="C246" s="14" t="str">
        <x:v>工作日</x:v>
      </x:c>
      <x:c r="D246" s="14" t="str">
        <x:v>环线1路</x:v>
      </x:c>
      <x:c r="E246" s="14" t="str">
        <x:v>第三班</x:v>
      </x:c>
      <x:c r="F246" s="14" t="n">
        <x:v>10</x:v>
      </x:c>
      <x:c r="G246" s="14" t="str">
        <x:v>14:00</x:v>
      </x:c>
      <x:c r="H246" s="14" t="str">
        <x:v>研究生宿舍楼</x:v>
      </x:c>
      <x:c r="I246" s="14" t="str">
        <x:v>否</x:v>
      </x:c>
      <x:c r="J246" s="14" t="n">
        <x:v>1</x:v>
      </x:c>
      <x:c r="K246" s="14" t="str">
        <x:v>研究生宿舍楼</x:v>
      </x:c>
      <x:c r="L246" s="14" t="n">
        <x:v>0</x:v>
      </x:c>
      <x:c r="M246" s="14" t="str">
        <x:v>14:00</x:v>
      </x:c>
      <x:c r="N246" s="14" t="str">
        <x:v>是</x:v>
      </x:c>
      <x:c r="O246" s="14" t="str">
        <x:v>否</x:v>
      </x:c>
      <x:c r="P246" s="14" t="str">
        <x:v>未提供</x:v>
      </x:c>
      <x:c r="Q246" s="14" t="str">
        <x:v>未提供</x:v>
      </x:c>
      <x:c r="R246" s="14" t="str">
        <x:v>预测</x:v>
      </x:c>
      <x:c r="S246" s="14" t="str">
        <x:v>到站时间为估算值</x:v>
      </x:c>
      <x:c r="T246" t="str">
        <x:v>研究生宿舍楼发车</x:v>
      </x:c>
    </x:row>
    <x:row r="247">
      <x:c r="A247" s="14" t="str">
        <x:v>S0021-02</x:v>
      </x:c>
      <x:c r="B247" s="14" t="str">
        <x:v>S0021</x:v>
      </x:c>
      <x:c r="C247" s="14" t="str">
        <x:v>工作日</x:v>
      </x:c>
      <x:c r="D247" s="14" t="str">
        <x:v>环线1路</x:v>
      </x:c>
      <x:c r="E247" s="14" t="str">
        <x:v>第三班</x:v>
      </x:c>
      <x:c r="F247" s="14" t="n">
        <x:v>10</x:v>
      </x:c>
      <x:c r="G247" s="14" t="str">
        <x:v>14:00</x:v>
      </x:c>
      <x:c r="H247" s="14" t="str">
        <x:v>研究生宿舍楼</x:v>
      </x:c>
      <x:c r="I247" s="14" t="str">
        <x:v>否</x:v>
      </x:c>
      <x:c r="J247" s="14" t="n">
        <x:v>2</x:v>
      </x:c>
      <x:c r="K247" s="14" t="str">
        <x:v>东门</x:v>
      </x:c>
      <x:c r="L247" s="14" t="n">
        <x:v>1</x:v>
      </x:c>
      <x:c r="M247" s="14" t="str">
        <x:v>14:01</x:v>
      </x:c>
      <x:c r="N247" s="14" t="str">
        <x:v>否</x:v>
      </x:c>
      <x:c r="O247" s="14" t="str">
        <x:v>否</x:v>
      </x:c>
      <x:c r="P247" s="14" t="str">
        <x:v>未提供</x:v>
      </x:c>
      <x:c r="Q247" s="14" t="str">
        <x:v>未提供</x:v>
      </x:c>
      <x:c r="R247" s="14" t="str">
        <x:v>预测</x:v>
      </x:c>
      <x:c r="S247" s="14" t="str">
        <x:v>到站时间为估算值</x:v>
      </x:c>
      <x:c r="T247" t="str">
        <x:v>研究生宿舍楼发车</x:v>
      </x:c>
    </x:row>
    <x:row r="248">
      <x:c r="A248" s="14" t="str">
        <x:v>S0021-03</x:v>
      </x:c>
      <x:c r="B248" s="14" t="str">
        <x:v>S0021</x:v>
      </x:c>
      <x:c r="C248" s="14" t="str">
        <x:v>工作日</x:v>
      </x:c>
      <x:c r="D248" s="14" t="str">
        <x:v>环线1路</x:v>
      </x:c>
      <x:c r="E248" s="14" t="str">
        <x:v>第三班</x:v>
      </x:c>
      <x:c r="F248" s="14" t="n">
        <x:v>10</x:v>
      </x:c>
      <x:c r="G248" s="14" t="str">
        <x:v>14:00</x:v>
      </x:c>
      <x:c r="H248" s="14" t="str">
        <x:v>研究生宿舍楼</x:v>
      </x:c>
      <x:c r="I248" s="14" t="str">
        <x:v>否</x:v>
      </x:c>
      <x:c r="J248" s="14" t="n">
        <x:v>3</x:v>
      </x:c>
      <x:c r="K248" s="14" t="str">
        <x:v>2号宿舍楼</x:v>
      </x:c>
      <x:c r="L248" s="14" t="n">
        <x:v>2</x:v>
      </x:c>
      <x:c r="M248" s="14" t="str">
        <x:v>14:02</x:v>
      </x:c>
      <x:c r="N248" s="14" t="str">
        <x:v>否</x:v>
      </x:c>
      <x:c r="O248" s="14" t="str">
        <x:v>否</x:v>
      </x:c>
      <x:c r="P248" s="14" t="str">
        <x:v>未提供</x:v>
      </x:c>
      <x:c r="Q248" s="14" t="str">
        <x:v>未提供</x:v>
      </x:c>
      <x:c r="R248" s="14" t="str">
        <x:v>预测</x:v>
      </x:c>
      <x:c r="S248" s="14" t="str">
        <x:v>到站时间为估算值</x:v>
      </x:c>
      <x:c r="T248" t="str">
        <x:v>研究生宿舍楼发车</x:v>
      </x:c>
    </x:row>
    <x:row r="249">
      <x:c r="A249" s="14" t="str">
        <x:v>S0021-04</x:v>
      </x:c>
      <x:c r="B249" s="14" t="str">
        <x:v>S0021</x:v>
      </x:c>
      <x:c r="C249" s="14" t="str">
        <x:v>工作日</x:v>
      </x:c>
      <x:c r="D249" s="14" t="str">
        <x:v>环线1路</x:v>
      </x:c>
      <x:c r="E249" s="14" t="str">
        <x:v>第三班</x:v>
      </x:c>
      <x:c r="F249" s="14" t="n">
        <x:v>10</x:v>
      </x:c>
      <x:c r="G249" s="14" t="str">
        <x:v>14:00</x:v>
      </x:c>
      <x:c r="H249" s="14" t="str">
        <x:v>研究生宿舍楼</x:v>
      </x:c>
      <x:c r="I249" s="14" t="str">
        <x:v>否</x:v>
      </x:c>
      <x:c r="J249" s="14" t="n">
        <x:v>4</x:v>
      </x:c>
      <x:c r="K249" s="14" t="str">
        <x:v>军体活动中心</x:v>
      </x:c>
      <x:c r="L249" s="14" t="n">
        <x:v>3</x:v>
      </x:c>
      <x:c r="M249" s="14" t="str">
        <x:v>14:03</x:v>
      </x:c>
      <x:c r="N249" s="14" t="str">
        <x:v>否</x:v>
      </x:c>
      <x:c r="O249" s="14" t="str">
        <x:v>否</x:v>
      </x:c>
      <x:c r="P249" s="14" t="str">
        <x:v>未提供</x:v>
      </x:c>
      <x:c r="Q249" s="14" t="str">
        <x:v>未提供</x:v>
      </x:c>
      <x:c r="R249" s="14" t="str">
        <x:v>预测</x:v>
      </x:c>
      <x:c r="S249" s="14" t="str">
        <x:v>到站时间为估算值</x:v>
      </x:c>
      <x:c r="T249" t="str">
        <x:v>研究生宿舍楼发车</x:v>
      </x:c>
    </x:row>
    <x:row r="250">
      <x:c r="A250" s="14" t="str">
        <x:v>S0021-05</x:v>
      </x:c>
      <x:c r="B250" s="14" t="str">
        <x:v>S0021</x:v>
      </x:c>
      <x:c r="C250" s="14" t="str">
        <x:v>工作日</x:v>
      </x:c>
      <x:c r="D250" s="14" t="str">
        <x:v>环线1路</x:v>
      </x:c>
      <x:c r="E250" s="14" t="str">
        <x:v>第三班</x:v>
      </x:c>
      <x:c r="F250" s="14" t="n">
        <x:v>10</x:v>
      </x:c>
      <x:c r="G250" s="14" t="str">
        <x:v>14:00</x:v>
      </x:c>
      <x:c r="H250" s="14" t="str">
        <x:v>研究生宿舍楼</x:v>
      </x:c>
      <x:c r="I250" s="14" t="str">
        <x:v>否</x:v>
      </x:c>
      <x:c r="J250" s="14" t="n">
        <x:v>5</x:v>
      </x:c>
      <x:c r="K250" s="14" t="str">
        <x:v>激光所</x:v>
      </x:c>
      <x:c r="L250" s="14" t="n">
        <x:v>5</x:v>
      </x:c>
      <x:c r="M250" s="14" t="str">
        <x:v>14:05</x:v>
      </x:c>
      <x:c r="N250" s="14" t="str">
        <x:v>否</x:v>
      </x:c>
      <x:c r="O250" s="14" t="str">
        <x:v>否</x:v>
      </x:c>
      <x:c r="P250" s="14" t="str">
        <x:v>未提供</x:v>
      </x:c>
      <x:c r="Q250" s="14" t="str">
        <x:v>未提供</x:v>
      </x:c>
      <x:c r="R250" s="14" t="str">
        <x:v>预测</x:v>
      </x:c>
      <x:c r="S250" s="14" t="str">
        <x:v>到站时间为估算值</x:v>
      </x:c>
      <x:c r="T250" t="str">
        <x:v>研究生宿舍楼发车</x:v>
      </x:c>
    </x:row>
    <x:row r="251">
      <x:c r="A251" s="14" t="str">
        <x:v>S0021-06</x:v>
      </x:c>
      <x:c r="B251" s="14" t="str">
        <x:v>S0021</x:v>
      </x:c>
      <x:c r="C251" s="14" t="str">
        <x:v>工作日</x:v>
      </x:c>
      <x:c r="D251" s="14" t="str">
        <x:v>环线1路</x:v>
      </x:c>
      <x:c r="E251" s="14" t="str">
        <x:v>第三班</x:v>
      </x:c>
      <x:c r="F251" s="14" t="n">
        <x:v>10</x:v>
      </x:c>
      <x:c r="G251" s="14" t="str">
        <x:v>14:00</x:v>
      </x:c>
      <x:c r="H251" s="14" t="str">
        <x:v>研究生宿舍楼</x:v>
      </x:c>
      <x:c r="I251" s="14" t="str">
        <x:v>否</x:v>
      </x:c>
      <x:c r="J251" s="14" t="n">
        <x:v>6</x:v>
      </x:c>
      <x:c r="K251" s="14" t="str">
        <x:v>超算中心</x:v>
      </x:c>
      <x:c r="L251" s="14" t="n">
        <x:v>6</x:v>
      </x:c>
      <x:c r="M251" s="14" t="str">
        <x:v>14:06</x:v>
      </x:c>
      <x:c r="N251" s="14" t="str">
        <x:v>否</x:v>
      </x:c>
      <x:c r="O251" s="14" t="str">
        <x:v>否</x:v>
      </x:c>
      <x:c r="P251" s="14" t="str">
        <x:v>未提供</x:v>
      </x:c>
      <x:c r="Q251" s="14" t="str">
        <x:v>未提供</x:v>
      </x:c>
      <x:c r="R251" s="14" t="str">
        <x:v>预测</x:v>
      </x:c>
      <x:c r="S251" s="14" t="str">
        <x:v>到站时间为估算值</x:v>
      </x:c>
      <x:c r="T251" t="str">
        <x:v>研究生宿舍楼发车</x:v>
      </x:c>
    </x:row>
    <x:row r="252">
      <x:c r="A252" s="14" t="str">
        <x:v>S0021-07</x:v>
      </x:c>
      <x:c r="B252" s="14" t="str">
        <x:v>S0021</x:v>
      </x:c>
      <x:c r="C252" s="14" t="str">
        <x:v>工作日</x:v>
      </x:c>
      <x:c r="D252" s="14" t="str">
        <x:v>环线1路</x:v>
      </x:c>
      <x:c r="E252" s="14" t="str">
        <x:v>第三班</x:v>
      </x:c>
      <x:c r="F252" s="14" t="n">
        <x:v>10</x:v>
      </x:c>
      <x:c r="G252" s="14" t="str">
        <x:v>14:00</x:v>
      </x:c>
      <x:c r="H252" s="14" t="str">
        <x:v>研究生宿舍楼</x:v>
      </x:c>
      <x:c r="I252" s="14" t="str">
        <x:v>否</x:v>
      </x:c>
      <x:c r="J252" s="14" t="n">
        <x:v>7</x:v>
      </x:c>
      <x:c r="K252" s="14" t="str">
        <x:v>北门</x:v>
      </x:c>
      <x:c r="L252" s="14" t="n">
        <x:v>8</x:v>
      </x:c>
      <x:c r="M252" s="14" t="str">
        <x:v>14:08</x:v>
      </x:c>
      <x:c r="N252" s="14" t="str">
        <x:v>否</x:v>
      </x:c>
      <x:c r="O252" s="14" t="str">
        <x:v>否</x:v>
      </x:c>
      <x:c r="P252" s="14" t="str">
        <x:v>未提供</x:v>
      </x:c>
      <x:c r="Q252" s="14" t="str">
        <x:v>未提供</x:v>
      </x:c>
      <x:c r="R252" s="14" t="str">
        <x:v>预测</x:v>
      </x:c>
      <x:c r="S252" s="14" t="str">
        <x:v>到站时间为估算值</x:v>
      </x:c>
      <x:c r="T252" t="str">
        <x:v>研究生宿舍楼发车</x:v>
      </x:c>
    </x:row>
    <x:row r="253">
      <x:c r="A253" s="14" t="str">
        <x:v>S0021-08</x:v>
      </x:c>
      <x:c r="B253" s="14" t="str">
        <x:v>S0021</x:v>
      </x:c>
      <x:c r="C253" s="14" t="str">
        <x:v>工作日</x:v>
      </x:c>
      <x:c r="D253" s="14" t="str">
        <x:v>环线1路</x:v>
      </x:c>
      <x:c r="E253" s="14" t="str">
        <x:v>第三班</x:v>
      </x:c>
      <x:c r="F253" s="14" t="n">
        <x:v>10</x:v>
      </x:c>
      <x:c r="G253" s="14" t="str">
        <x:v>14:00</x:v>
      </x:c>
      <x:c r="H253" s="14" t="str">
        <x:v>研究生宿舍楼</x:v>
      </x:c>
      <x:c r="I253" s="14" t="str">
        <x:v>否</x:v>
      </x:c>
      <x:c r="J253" s="14" t="n">
        <x:v>8</x:v>
      </x:c>
      <x:c r="K253" s="14" t="str">
        <x:v>高超楼</x:v>
      </x:c>
      <x:c r="L253" s="14" t="n">
        <x:v>9</x:v>
      </x:c>
      <x:c r="M253" s="14" t="str">
        <x:v>14:09</x:v>
      </x:c>
      <x:c r="N253" s="14" t="str">
        <x:v>否</x:v>
      </x:c>
      <x:c r="O253" s="14" t="str">
        <x:v>否</x:v>
      </x:c>
      <x:c r="P253" s="14" t="str">
        <x:v>未提供</x:v>
      </x:c>
      <x:c r="Q253" s="14" t="str">
        <x:v>未提供</x:v>
      </x:c>
      <x:c r="R253" s="14" t="str">
        <x:v>预测</x:v>
      </x:c>
      <x:c r="S253" s="14" t="str">
        <x:v>到站时间为估算值</x:v>
      </x:c>
      <x:c r="T253" t="str">
        <x:v>研究生宿舍楼发车</x:v>
      </x:c>
    </x:row>
    <x:row r="254">
      <x:c r="A254" s="14" t="str">
        <x:v>S0021-09</x:v>
      </x:c>
      <x:c r="B254" s="14" t="str">
        <x:v>S0021</x:v>
      </x:c>
      <x:c r="C254" s="14" t="str">
        <x:v>工作日</x:v>
      </x:c>
      <x:c r="D254" s="14" t="str">
        <x:v>环线1路</x:v>
      </x:c>
      <x:c r="E254" s="14" t="str">
        <x:v>第三班</x:v>
      </x:c>
      <x:c r="F254" s="14" t="n">
        <x:v>10</x:v>
      </x:c>
      <x:c r="G254" s="14" t="str">
        <x:v>14:00</x:v>
      </x:c>
      <x:c r="H254" s="14" t="str">
        <x:v>研究生宿舍楼</x:v>
      </x:c>
      <x:c r="I254" s="14" t="str">
        <x:v>否</x:v>
      </x:c>
      <x:c r="J254" s="14" t="n">
        <x:v>9</x:v>
      </x:c>
      <x:c r="K254" s="14" t="str">
        <x:v>理学院</x:v>
      </x:c>
      <x:c r="L254" s="14" t="n">
        <x:v>10</x:v>
      </x:c>
      <x:c r="M254" s="14" t="str">
        <x:v>14:10</x:v>
      </x:c>
      <x:c r="N254" s="14" t="str">
        <x:v>否</x:v>
      </x:c>
      <x:c r="O254" s="14" t="str">
        <x:v>否</x:v>
      </x:c>
      <x:c r="P254" s="14" t="str">
        <x:v>未提供</x:v>
      </x:c>
      <x:c r="Q254" s="14" t="str">
        <x:v>未提供</x:v>
      </x:c>
      <x:c r="R254" s="14" t="str">
        <x:v>预测</x:v>
      </x:c>
      <x:c r="S254" s="14" t="str">
        <x:v>到站时间为估算值</x:v>
      </x:c>
      <x:c r="T254" t="str">
        <x:v>研究生宿舍楼发车</x:v>
      </x:c>
    </x:row>
    <x:row r="255">
      <x:c r="A255" s="14" t="str">
        <x:v>S0021-10</x:v>
      </x:c>
      <x:c r="B255" s="14" t="str">
        <x:v>S0021</x:v>
      </x:c>
      <x:c r="C255" s="14" t="str">
        <x:v>工作日</x:v>
      </x:c>
      <x:c r="D255" s="14" t="str">
        <x:v>环线1路</x:v>
      </x:c>
      <x:c r="E255" s="14" t="str">
        <x:v>第三班</x:v>
      </x:c>
      <x:c r="F255" s="14" t="n">
        <x:v>10</x:v>
      </x:c>
      <x:c r="G255" s="14" t="str">
        <x:v>14:00</x:v>
      </x:c>
      <x:c r="H255" s="14" t="str">
        <x:v>研究生宿舍楼</x:v>
      </x:c>
      <x:c r="I255" s="14" t="str">
        <x:v>否</x:v>
      </x:c>
      <x:c r="J255" s="14" t="n">
        <x:v>10</x:v>
      </x:c>
      <x:c r="K255" s="14" t="str">
        <x:v>二食堂</x:v>
      </x:c>
      <x:c r="L255" s="14" t="n">
        <x:v>13</x:v>
      </x:c>
      <x:c r="M255" s="14" t="str">
        <x:v>14:13</x:v>
      </x:c>
      <x:c r="N255" s="14" t="str">
        <x:v>否</x:v>
      </x:c>
      <x:c r="O255" s="14" t="str">
        <x:v>否</x:v>
      </x:c>
      <x:c r="P255" s="14" t="str">
        <x:v>未提供</x:v>
      </x:c>
      <x:c r="Q255" s="14" t="str">
        <x:v>未提供</x:v>
      </x:c>
      <x:c r="R255" s="14" t="str">
        <x:v>预测</x:v>
      </x:c>
      <x:c r="S255" s="14" t="str">
        <x:v>到站时间为估算值</x:v>
      </x:c>
      <x:c r="T255" t="str">
        <x:v>研究生宿舍楼发车</x:v>
      </x:c>
    </x:row>
    <x:row r="256">
      <x:c r="A256" s="14" t="str">
        <x:v>S0021-11</x:v>
      </x:c>
      <x:c r="B256" s="14" t="str">
        <x:v>S0021</x:v>
      </x:c>
      <x:c r="C256" s="14" t="str">
        <x:v>工作日</x:v>
      </x:c>
      <x:c r="D256" s="14" t="str">
        <x:v>环线1路</x:v>
      </x:c>
      <x:c r="E256" s="14" t="str">
        <x:v>第三班</x:v>
      </x:c>
      <x:c r="F256" s="14" t="n">
        <x:v>10</x:v>
      </x:c>
      <x:c r="G256" s="14" t="str">
        <x:v>14:00</x:v>
      </x:c>
      <x:c r="H256" s="14" t="str">
        <x:v>研究生宿舍楼</x:v>
      </x:c>
      <x:c r="I256" s="14" t="str">
        <x:v>否</x:v>
      </x:c>
      <x:c r="J256" s="14" t="n">
        <x:v>11</x:v>
      </x:c>
      <x:c r="K256" s="14" t="str">
        <x:v>5号宿舍楼</x:v>
      </x:c>
      <x:c r="L256" s="14" t="n">
        <x:v>14</x:v>
      </x:c>
      <x:c r="M256" s="14" t="str">
        <x:v>14:14</x:v>
      </x:c>
      <x:c r="N256" s="14" t="str">
        <x:v>否</x:v>
      </x:c>
      <x:c r="O256" s="14" t="str">
        <x:v>否</x:v>
      </x:c>
      <x:c r="P256" s="14" t="str">
        <x:v>未提供</x:v>
      </x:c>
      <x:c r="Q256" s="14" t="str">
        <x:v>未提供</x:v>
      </x:c>
      <x:c r="R256" s="14" t="str">
        <x:v>预测</x:v>
      </x:c>
      <x:c r="S256" s="14" t="str">
        <x:v>到站时间为估算值</x:v>
      </x:c>
      <x:c r="T256" t="str">
        <x:v>研究生宿舍楼发车</x:v>
      </x:c>
    </x:row>
    <x:row r="257">
      <x:c r="A257" s="14" t="str">
        <x:v>S0021-12</x:v>
      </x:c>
      <x:c r="B257" s="14" t="str">
        <x:v>S0021</x:v>
      </x:c>
      <x:c r="C257" s="14" t="str">
        <x:v>工作日</x:v>
      </x:c>
      <x:c r="D257" s="14" t="str">
        <x:v>环线1路</x:v>
      </x:c>
      <x:c r="E257" s="14" t="str">
        <x:v>第三班</x:v>
      </x:c>
      <x:c r="F257" s="14" t="n">
        <x:v>10</x:v>
      </x:c>
      <x:c r="G257" s="14" t="str">
        <x:v>14:00</x:v>
      </x:c>
      <x:c r="H257" s="14" t="str">
        <x:v>研究生宿舍楼</x:v>
      </x:c>
      <x:c r="I257" s="14" t="str">
        <x:v>否</x:v>
      </x:c>
      <x:c r="J257" s="14" t="n">
        <x:v>12</x:v>
      </x:c>
      <x:c r="K257" s="14" t="str">
        <x:v>305教学楼</x:v>
      </x:c>
      <x:c r="L257" s="14" t="n">
        <x:v>15</x:v>
      </x:c>
      <x:c r="M257" s="14" t="str">
        <x:v>14:15</x:v>
      </x:c>
      <x:c r="N257" s="14" t="str">
        <x:v>否</x:v>
      </x:c>
      <x:c r="O257" s="14" t="str">
        <x:v>否</x:v>
      </x:c>
      <x:c r="P257" s="14" t="str">
        <x:v>未提供</x:v>
      </x:c>
      <x:c r="Q257" s="14" t="str">
        <x:v>未提供</x:v>
      </x:c>
      <x:c r="R257" s="14" t="str">
        <x:v>预测</x:v>
      </x:c>
      <x:c r="S257" s="14" t="str">
        <x:v>到站时间为估算值</x:v>
      </x:c>
      <x:c r="T257" t="str">
        <x:v>研究生宿舍楼发车</x:v>
      </x:c>
    </x:row>
    <x:row r="258">
      <x:c r="A258" s="14" t="str">
        <x:v>S0021-13</x:v>
      </x:c>
      <x:c r="B258" s="14" t="str">
        <x:v>S0021</x:v>
      </x:c>
      <x:c r="C258" s="14" t="str">
        <x:v>工作日</x:v>
      </x:c>
      <x:c r="D258" s="14" t="str">
        <x:v>环线1路</x:v>
      </x:c>
      <x:c r="E258" s="14" t="str">
        <x:v>第三班</x:v>
      </x:c>
      <x:c r="F258" s="14" t="n">
        <x:v>10</x:v>
      </x:c>
      <x:c r="G258" s="14" t="str">
        <x:v>14:00</x:v>
      </x:c>
      <x:c r="H258" s="14" t="str">
        <x:v>研究生宿舍楼</x:v>
      </x:c>
      <x:c r="I258" s="14" t="str">
        <x:v>否</x:v>
      </x:c>
      <x:c r="J258" s="14" t="n">
        <x:v>13</x:v>
      </x:c>
      <x:c r="K258" s="14" t="str">
        <x:v>研究生宿舍楼</x:v>
      </x:c>
      <x:c r="L258" s="14" t="n">
        <x:v>17</x:v>
      </x:c>
      <x:c r="M258" s="14" t="str">
        <x:v>14:17</x:v>
      </x:c>
      <x:c r="N258" s="14" t="str">
        <x:v>否</x:v>
      </x:c>
      <x:c r="O258" s="14" t="str">
        <x:v>是</x:v>
      </x:c>
      <x:c r="P258" s="14" t="str">
        <x:v>未提供</x:v>
      </x:c>
      <x:c r="Q258" s="14" t="str">
        <x:v>未提供</x:v>
      </x:c>
      <x:c r="R258" s="14" t="str">
        <x:v>预测</x:v>
      </x:c>
      <x:c r="S258" s="14" t="str">
        <x:v>到站时间为估算值</x:v>
      </x:c>
      <x:c r="T258" t="str">
        <x:v>研究生宿舍楼发车</x:v>
      </x:c>
    </x:row>
    <x:row r="259">
      <x:c r="A259" s="14" t="str">
        <x:v>S0022-01</x:v>
      </x:c>
      <x:c r="B259" s="14" t="str">
        <x:v>S0022</x:v>
      </x:c>
      <x:c r="C259" s="14" t="str">
        <x:v>工作日</x:v>
      </x:c>
      <x:c r="D259" s="14" t="str">
        <x:v>环线1路</x:v>
      </x:c>
      <x:c r="E259" s="14" t="str">
        <x:v>第三班</x:v>
      </x:c>
      <x:c r="F259" s="14" t="n">
        <x:v>11</x:v>
      </x:c>
      <x:c r="G259" s="14" t="str">
        <x:v>14:36</x:v>
      </x:c>
      <x:c r="H259" s="14" t="str">
        <x:v>研究生宿舍楼</x:v>
      </x:c>
      <x:c r="I259" s="14" t="str">
        <x:v>否</x:v>
      </x:c>
      <x:c r="J259" s="14" t="n">
        <x:v>1</x:v>
      </x:c>
      <x:c r="K259" s="14" t="str">
        <x:v>研究生宿舍楼</x:v>
      </x:c>
      <x:c r="L259" s="14" t="n">
        <x:v>0</x:v>
      </x:c>
      <x:c r="M259" s="14" t="str">
        <x:v>14:36</x:v>
      </x:c>
      <x:c r="N259" s="14" t="str">
        <x:v>是</x:v>
      </x:c>
      <x:c r="O259" s="14" t="str">
        <x:v>否</x:v>
      </x:c>
      <x:c r="P259" s="14" t="str">
        <x:v>未提供</x:v>
      </x:c>
      <x:c r="Q259" s="14" t="str">
        <x:v>未提供</x:v>
      </x:c>
      <x:c r="R259" s="14" t="str">
        <x:v>预测</x:v>
      </x:c>
      <x:c r="S259" s="14" t="str">
        <x:v>到站时间为估算值</x:v>
      </x:c>
      <x:c r="T259" t="str">
        <x:v>研究生宿舍楼发车</x:v>
      </x:c>
    </x:row>
    <x:row r="260">
      <x:c r="A260" s="14" t="str">
        <x:v>S0022-02</x:v>
      </x:c>
      <x:c r="B260" s="14" t="str">
        <x:v>S0022</x:v>
      </x:c>
      <x:c r="C260" s="14" t="str">
        <x:v>工作日</x:v>
      </x:c>
      <x:c r="D260" s="14" t="str">
        <x:v>环线1路</x:v>
      </x:c>
      <x:c r="E260" s="14" t="str">
        <x:v>第三班</x:v>
      </x:c>
      <x:c r="F260" s="14" t="n">
        <x:v>11</x:v>
      </x:c>
      <x:c r="G260" s="14" t="str">
        <x:v>14:36</x:v>
      </x:c>
      <x:c r="H260" s="14" t="str">
        <x:v>研究生宿舍楼</x:v>
      </x:c>
      <x:c r="I260" s="14" t="str">
        <x:v>否</x:v>
      </x:c>
      <x:c r="J260" s="14" t="n">
        <x:v>2</x:v>
      </x:c>
      <x:c r="K260" s="14" t="str">
        <x:v>东门</x:v>
      </x:c>
      <x:c r="L260" s="14" t="n">
        <x:v>1</x:v>
      </x:c>
      <x:c r="M260" s="14" t="str">
        <x:v>14:37</x:v>
      </x:c>
      <x:c r="N260" s="14" t="str">
        <x:v>否</x:v>
      </x:c>
      <x:c r="O260" s="14" t="str">
        <x:v>否</x:v>
      </x:c>
      <x:c r="P260" s="14" t="str">
        <x:v>未提供</x:v>
      </x:c>
      <x:c r="Q260" s="14" t="str">
        <x:v>未提供</x:v>
      </x:c>
      <x:c r="R260" s="14" t="str">
        <x:v>预测</x:v>
      </x:c>
      <x:c r="S260" s="14" t="str">
        <x:v>到站时间为估算值</x:v>
      </x:c>
      <x:c r="T260" t="str">
        <x:v>研究生宿舍楼发车</x:v>
      </x:c>
    </x:row>
    <x:row r="261">
      <x:c r="A261" s="14" t="str">
        <x:v>S0022-03</x:v>
      </x:c>
      <x:c r="B261" s="14" t="str">
        <x:v>S0022</x:v>
      </x:c>
      <x:c r="C261" s="14" t="str">
        <x:v>工作日</x:v>
      </x:c>
      <x:c r="D261" s="14" t="str">
        <x:v>环线1路</x:v>
      </x:c>
      <x:c r="E261" s="14" t="str">
        <x:v>第三班</x:v>
      </x:c>
      <x:c r="F261" s="14" t="n">
        <x:v>11</x:v>
      </x:c>
      <x:c r="G261" s="14" t="str">
        <x:v>14:36</x:v>
      </x:c>
      <x:c r="H261" s="14" t="str">
        <x:v>研究生宿舍楼</x:v>
      </x:c>
      <x:c r="I261" s="14" t="str">
        <x:v>否</x:v>
      </x:c>
      <x:c r="J261" s="14" t="n">
        <x:v>3</x:v>
      </x:c>
      <x:c r="K261" s="14" t="str">
        <x:v>2号宿舍楼</x:v>
      </x:c>
      <x:c r="L261" s="14" t="n">
        <x:v>2</x:v>
      </x:c>
      <x:c r="M261" s="14" t="str">
        <x:v>14:38</x:v>
      </x:c>
      <x:c r="N261" s="14" t="str">
        <x:v>否</x:v>
      </x:c>
      <x:c r="O261" s="14" t="str">
        <x:v>否</x:v>
      </x:c>
      <x:c r="P261" s="14" t="str">
        <x:v>未提供</x:v>
      </x:c>
      <x:c r="Q261" s="14" t="str">
        <x:v>未提供</x:v>
      </x:c>
      <x:c r="R261" s="14" t="str">
        <x:v>预测</x:v>
      </x:c>
      <x:c r="S261" s="14" t="str">
        <x:v>到站时间为估算值</x:v>
      </x:c>
      <x:c r="T261" t="str">
        <x:v>研究生宿舍楼发车</x:v>
      </x:c>
    </x:row>
    <x:row r="262">
      <x:c r="A262" s="14" t="str">
        <x:v>S0022-04</x:v>
      </x:c>
      <x:c r="B262" s="14" t="str">
        <x:v>S0022</x:v>
      </x:c>
      <x:c r="C262" s="14" t="str">
        <x:v>工作日</x:v>
      </x:c>
      <x:c r="D262" s="14" t="str">
        <x:v>环线1路</x:v>
      </x:c>
      <x:c r="E262" s="14" t="str">
        <x:v>第三班</x:v>
      </x:c>
      <x:c r="F262" s="14" t="n">
        <x:v>11</x:v>
      </x:c>
      <x:c r="G262" s="14" t="str">
        <x:v>14:36</x:v>
      </x:c>
      <x:c r="H262" s="14" t="str">
        <x:v>研究生宿舍楼</x:v>
      </x:c>
      <x:c r="I262" s="14" t="str">
        <x:v>否</x:v>
      </x:c>
      <x:c r="J262" s="14" t="n">
        <x:v>4</x:v>
      </x:c>
      <x:c r="K262" s="14" t="str">
        <x:v>军体活动中心</x:v>
      </x:c>
      <x:c r="L262" s="14" t="n">
        <x:v>3</x:v>
      </x:c>
      <x:c r="M262" s="14" t="str">
        <x:v>14:39</x:v>
      </x:c>
      <x:c r="N262" s="14" t="str">
        <x:v>否</x:v>
      </x:c>
      <x:c r="O262" s="14" t="str">
        <x:v>否</x:v>
      </x:c>
      <x:c r="P262" s="14" t="str">
        <x:v>未提供</x:v>
      </x:c>
      <x:c r="Q262" s="14" t="str">
        <x:v>未提供</x:v>
      </x:c>
      <x:c r="R262" s="14" t="str">
        <x:v>预测</x:v>
      </x:c>
      <x:c r="S262" s="14" t="str">
        <x:v>到站时间为估算值</x:v>
      </x:c>
      <x:c r="T262" t="str">
        <x:v>研究生宿舍楼发车</x:v>
      </x:c>
    </x:row>
    <x:row r="263">
      <x:c r="A263" s="14" t="str">
        <x:v>S0022-05</x:v>
      </x:c>
      <x:c r="B263" s="14" t="str">
        <x:v>S0022</x:v>
      </x:c>
      <x:c r="C263" s="14" t="str">
        <x:v>工作日</x:v>
      </x:c>
      <x:c r="D263" s="14" t="str">
        <x:v>环线1路</x:v>
      </x:c>
      <x:c r="E263" s="14" t="str">
        <x:v>第三班</x:v>
      </x:c>
      <x:c r="F263" s="14" t="n">
        <x:v>11</x:v>
      </x:c>
      <x:c r="G263" s="14" t="str">
        <x:v>14:36</x:v>
      </x:c>
      <x:c r="H263" s="14" t="str">
        <x:v>研究生宿舍楼</x:v>
      </x:c>
      <x:c r="I263" s="14" t="str">
        <x:v>否</x:v>
      </x:c>
      <x:c r="J263" s="14" t="n">
        <x:v>5</x:v>
      </x:c>
      <x:c r="K263" s="14" t="str">
        <x:v>激光所</x:v>
      </x:c>
      <x:c r="L263" s="14" t="n">
        <x:v>5</x:v>
      </x:c>
      <x:c r="M263" s="14" t="str">
        <x:v>14:41</x:v>
      </x:c>
      <x:c r="N263" s="14" t="str">
        <x:v>否</x:v>
      </x:c>
      <x:c r="O263" s="14" t="str">
        <x:v>否</x:v>
      </x:c>
      <x:c r="P263" s="14" t="str">
        <x:v>未提供</x:v>
      </x:c>
      <x:c r="Q263" s="14" t="str">
        <x:v>未提供</x:v>
      </x:c>
      <x:c r="R263" s="14" t="str">
        <x:v>预测</x:v>
      </x:c>
      <x:c r="S263" s="14" t="str">
        <x:v>到站时间为估算值</x:v>
      </x:c>
      <x:c r="T263" t="str">
        <x:v>研究生宿舍楼发车</x:v>
      </x:c>
    </x:row>
    <x:row r="264">
      <x:c r="A264" s="14" t="str">
        <x:v>S0022-06</x:v>
      </x:c>
      <x:c r="B264" s="14" t="str">
        <x:v>S0022</x:v>
      </x:c>
      <x:c r="C264" s="14" t="str">
        <x:v>工作日</x:v>
      </x:c>
      <x:c r="D264" s="14" t="str">
        <x:v>环线1路</x:v>
      </x:c>
      <x:c r="E264" s="14" t="str">
        <x:v>第三班</x:v>
      </x:c>
      <x:c r="F264" s="14" t="n">
        <x:v>11</x:v>
      </x:c>
      <x:c r="G264" s="14" t="str">
        <x:v>14:36</x:v>
      </x:c>
      <x:c r="H264" s="14" t="str">
        <x:v>研究生宿舍楼</x:v>
      </x:c>
      <x:c r="I264" s="14" t="str">
        <x:v>否</x:v>
      </x:c>
      <x:c r="J264" s="14" t="n">
        <x:v>6</x:v>
      </x:c>
      <x:c r="K264" s="14" t="str">
        <x:v>超算中心</x:v>
      </x:c>
      <x:c r="L264" s="14" t="n">
        <x:v>6</x:v>
      </x:c>
      <x:c r="M264" s="14" t="str">
        <x:v>14:42</x:v>
      </x:c>
      <x:c r="N264" s="14" t="str">
        <x:v>否</x:v>
      </x:c>
      <x:c r="O264" s="14" t="str">
        <x:v>否</x:v>
      </x:c>
      <x:c r="P264" s="14" t="str">
        <x:v>未提供</x:v>
      </x:c>
      <x:c r="Q264" s="14" t="str">
        <x:v>未提供</x:v>
      </x:c>
      <x:c r="R264" s="14" t="str">
        <x:v>预测</x:v>
      </x:c>
      <x:c r="S264" s="14" t="str">
        <x:v>到站时间为估算值</x:v>
      </x:c>
      <x:c r="T264" t="str">
        <x:v>研究生宿舍楼发车</x:v>
      </x:c>
    </x:row>
    <x:row r="265">
      <x:c r="A265" s="14" t="str">
        <x:v>S0022-07</x:v>
      </x:c>
      <x:c r="B265" s="14" t="str">
        <x:v>S0022</x:v>
      </x:c>
      <x:c r="C265" s="14" t="str">
        <x:v>工作日</x:v>
      </x:c>
      <x:c r="D265" s="14" t="str">
        <x:v>环线1路</x:v>
      </x:c>
      <x:c r="E265" s="14" t="str">
        <x:v>第三班</x:v>
      </x:c>
      <x:c r="F265" s="14" t="n">
        <x:v>11</x:v>
      </x:c>
      <x:c r="G265" s="14" t="str">
        <x:v>14:36</x:v>
      </x:c>
      <x:c r="H265" s="14" t="str">
        <x:v>研究生宿舍楼</x:v>
      </x:c>
      <x:c r="I265" s="14" t="str">
        <x:v>否</x:v>
      </x:c>
      <x:c r="J265" s="14" t="n">
        <x:v>7</x:v>
      </x:c>
      <x:c r="K265" s="14" t="str">
        <x:v>北门</x:v>
      </x:c>
      <x:c r="L265" s="14" t="n">
        <x:v>8</x:v>
      </x:c>
      <x:c r="M265" s="14" t="str">
        <x:v>14:44</x:v>
      </x:c>
      <x:c r="N265" s="14" t="str">
        <x:v>否</x:v>
      </x:c>
      <x:c r="O265" s="14" t="str">
        <x:v>否</x:v>
      </x:c>
      <x:c r="P265" s="14" t="str">
        <x:v>未提供</x:v>
      </x:c>
      <x:c r="Q265" s="14" t="str">
        <x:v>未提供</x:v>
      </x:c>
      <x:c r="R265" s="14" t="str">
        <x:v>预测</x:v>
      </x:c>
      <x:c r="S265" s="14" t="str">
        <x:v>到站时间为估算值</x:v>
      </x:c>
      <x:c r="T265" t="str">
        <x:v>研究生宿舍楼发车</x:v>
      </x:c>
    </x:row>
    <x:row r="266">
      <x:c r="A266" s="14" t="str">
        <x:v>S0022-08</x:v>
      </x:c>
      <x:c r="B266" s="14" t="str">
        <x:v>S0022</x:v>
      </x:c>
      <x:c r="C266" s="14" t="str">
        <x:v>工作日</x:v>
      </x:c>
      <x:c r="D266" s="14" t="str">
        <x:v>环线1路</x:v>
      </x:c>
      <x:c r="E266" s="14" t="str">
        <x:v>第三班</x:v>
      </x:c>
      <x:c r="F266" s="14" t="n">
        <x:v>11</x:v>
      </x:c>
      <x:c r="G266" s="14" t="str">
        <x:v>14:36</x:v>
      </x:c>
      <x:c r="H266" s="14" t="str">
        <x:v>研究生宿舍楼</x:v>
      </x:c>
      <x:c r="I266" s="14" t="str">
        <x:v>否</x:v>
      </x:c>
      <x:c r="J266" s="14" t="n">
        <x:v>8</x:v>
      </x:c>
      <x:c r="K266" s="14" t="str">
        <x:v>高超楼</x:v>
      </x:c>
      <x:c r="L266" s="14" t="n">
        <x:v>9</x:v>
      </x:c>
      <x:c r="M266" s="14" t="str">
        <x:v>14:45</x:v>
      </x:c>
      <x:c r="N266" s="14" t="str">
        <x:v>否</x:v>
      </x:c>
      <x:c r="O266" s="14" t="str">
        <x:v>否</x:v>
      </x:c>
      <x:c r="P266" s="14" t="str">
        <x:v>未提供</x:v>
      </x:c>
      <x:c r="Q266" s="14" t="str">
        <x:v>未提供</x:v>
      </x:c>
      <x:c r="R266" s="14" t="str">
        <x:v>预测</x:v>
      </x:c>
      <x:c r="S266" s="14" t="str">
        <x:v>到站时间为估算值</x:v>
      </x:c>
      <x:c r="T266" t="str">
        <x:v>研究生宿舍楼发车</x:v>
      </x:c>
    </x:row>
    <x:row r="267">
      <x:c r="A267" s="14" t="str">
        <x:v>S0022-09</x:v>
      </x:c>
      <x:c r="B267" s="14" t="str">
        <x:v>S0022</x:v>
      </x:c>
      <x:c r="C267" s="14" t="str">
        <x:v>工作日</x:v>
      </x:c>
      <x:c r="D267" s="14" t="str">
        <x:v>环线1路</x:v>
      </x:c>
      <x:c r="E267" s="14" t="str">
        <x:v>第三班</x:v>
      </x:c>
      <x:c r="F267" s="14" t="n">
        <x:v>11</x:v>
      </x:c>
      <x:c r="G267" s="14" t="str">
        <x:v>14:36</x:v>
      </x:c>
      <x:c r="H267" s="14" t="str">
        <x:v>研究生宿舍楼</x:v>
      </x:c>
      <x:c r="I267" s="14" t="str">
        <x:v>否</x:v>
      </x:c>
      <x:c r="J267" s="14" t="n">
        <x:v>9</x:v>
      </x:c>
      <x:c r="K267" s="14" t="str">
        <x:v>理学院</x:v>
      </x:c>
      <x:c r="L267" s="14" t="n">
        <x:v>10</x:v>
      </x:c>
      <x:c r="M267" s="14" t="str">
        <x:v>14:46</x:v>
      </x:c>
      <x:c r="N267" s="14" t="str">
        <x:v>否</x:v>
      </x:c>
      <x:c r="O267" s="14" t="str">
        <x:v>否</x:v>
      </x:c>
      <x:c r="P267" s="14" t="str">
        <x:v>未提供</x:v>
      </x:c>
      <x:c r="Q267" s="14" t="str">
        <x:v>未提供</x:v>
      </x:c>
      <x:c r="R267" s="14" t="str">
        <x:v>预测</x:v>
      </x:c>
      <x:c r="S267" s="14" t="str">
        <x:v>到站时间为估算值</x:v>
      </x:c>
      <x:c r="T267" t="str">
        <x:v>研究生宿舍楼发车</x:v>
      </x:c>
    </x:row>
    <x:row r="268">
      <x:c r="A268" s="14" t="str">
        <x:v>S0022-10</x:v>
      </x:c>
      <x:c r="B268" s="14" t="str">
        <x:v>S0022</x:v>
      </x:c>
      <x:c r="C268" s="14" t="str">
        <x:v>工作日</x:v>
      </x:c>
      <x:c r="D268" s="14" t="str">
        <x:v>环线1路</x:v>
      </x:c>
      <x:c r="E268" s="14" t="str">
        <x:v>第三班</x:v>
      </x:c>
      <x:c r="F268" s="14" t="n">
        <x:v>11</x:v>
      </x:c>
      <x:c r="G268" s="14" t="str">
        <x:v>14:36</x:v>
      </x:c>
      <x:c r="H268" s="14" t="str">
        <x:v>研究生宿舍楼</x:v>
      </x:c>
      <x:c r="I268" s="14" t="str">
        <x:v>否</x:v>
      </x:c>
      <x:c r="J268" s="14" t="n">
        <x:v>10</x:v>
      </x:c>
      <x:c r="K268" s="14" t="str">
        <x:v>二食堂</x:v>
      </x:c>
      <x:c r="L268" s="14" t="n">
        <x:v>13</x:v>
      </x:c>
      <x:c r="M268" s="14" t="str">
        <x:v>14:49</x:v>
      </x:c>
      <x:c r="N268" s="14" t="str">
        <x:v>否</x:v>
      </x:c>
      <x:c r="O268" s="14" t="str">
        <x:v>否</x:v>
      </x:c>
      <x:c r="P268" s="14" t="str">
        <x:v>未提供</x:v>
      </x:c>
      <x:c r="Q268" s="14" t="str">
        <x:v>未提供</x:v>
      </x:c>
      <x:c r="R268" s="14" t="str">
        <x:v>预测</x:v>
      </x:c>
      <x:c r="S268" s="14" t="str">
        <x:v>到站时间为估算值</x:v>
      </x:c>
      <x:c r="T268" t="str">
        <x:v>研究生宿舍楼发车</x:v>
      </x:c>
    </x:row>
    <x:row r="269">
      <x:c r="A269" s="14" t="str">
        <x:v>S0022-11</x:v>
      </x:c>
      <x:c r="B269" s="14" t="str">
        <x:v>S0022</x:v>
      </x:c>
      <x:c r="C269" s="14" t="str">
        <x:v>工作日</x:v>
      </x:c>
      <x:c r="D269" s="14" t="str">
        <x:v>环线1路</x:v>
      </x:c>
      <x:c r="E269" s="14" t="str">
        <x:v>第三班</x:v>
      </x:c>
      <x:c r="F269" s="14" t="n">
        <x:v>11</x:v>
      </x:c>
      <x:c r="G269" s="14" t="str">
        <x:v>14:36</x:v>
      </x:c>
      <x:c r="H269" s="14" t="str">
        <x:v>研究生宿舍楼</x:v>
      </x:c>
      <x:c r="I269" s="14" t="str">
        <x:v>否</x:v>
      </x:c>
      <x:c r="J269" s="14" t="n">
        <x:v>11</x:v>
      </x:c>
      <x:c r="K269" s="14" t="str">
        <x:v>5号宿舍楼</x:v>
      </x:c>
      <x:c r="L269" s="14" t="n">
        <x:v>14</x:v>
      </x:c>
      <x:c r="M269" s="14" t="str">
        <x:v>14:50</x:v>
      </x:c>
      <x:c r="N269" s="14" t="str">
        <x:v>否</x:v>
      </x:c>
      <x:c r="O269" s="14" t="str">
        <x:v>否</x:v>
      </x:c>
      <x:c r="P269" s="14" t="str">
        <x:v>未提供</x:v>
      </x:c>
      <x:c r="Q269" s="14" t="str">
        <x:v>未提供</x:v>
      </x:c>
      <x:c r="R269" s="14" t="str">
        <x:v>预测</x:v>
      </x:c>
      <x:c r="S269" s="14" t="str">
        <x:v>到站时间为估算值</x:v>
      </x:c>
      <x:c r="T269" t="str">
        <x:v>研究生宿舍楼发车</x:v>
      </x:c>
    </x:row>
    <x:row r="270">
      <x:c r="A270" s="14" t="str">
        <x:v>S0022-12</x:v>
      </x:c>
      <x:c r="B270" s="14" t="str">
        <x:v>S0022</x:v>
      </x:c>
      <x:c r="C270" s="14" t="str">
        <x:v>工作日</x:v>
      </x:c>
      <x:c r="D270" s="14" t="str">
        <x:v>环线1路</x:v>
      </x:c>
      <x:c r="E270" s="14" t="str">
        <x:v>第三班</x:v>
      </x:c>
      <x:c r="F270" s="14" t="n">
        <x:v>11</x:v>
      </x:c>
      <x:c r="G270" s="14" t="str">
        <x:v>14:36</x:v>
      </x:c>
      <x:c r="H270" s="14" t="str">
        <x:v>研究生宿舍楼</x:v>
      </x:c>
      <x:c r="I270" s="14" t="str">
        <x:v>否</x:v>
      </x:c>
      <x:c r="J270" s="14" t="n">
        <x:v>12</x:v>
      </x:c>
      <x:c r="K270" s="14" t="str">
        <x:v>305教学楼</x:v>
      </x:c>
      <x:c r="L270" s="14" t="n">
        <x:v>15</x:v>
      </x:c>
      <x:c r="M270" s="14" t="str">
        <x:v>14:51</x:v>
      </x:c>
      <x:c r="N270" s="14" t="str">
        <x:v>否</x:v>
      </x:c>
      <x:c r="O270" s="14" t="str">
        <x:v>否</x:v>
      </x:c>
      <x:c r="P270" s="14" t="str">
        <x:v>未提供</x:v>
      </x:c>
      <x:c r="Q270" s="14" t="str">
        <x:v>未提供</x:v>
      </x:c>
      <x:c r="R270" s="14" t="str">
        <x:v>预测</x:v>
      </x:c>
      <x:c r="S270" s="14" t="str">
        <x:v>到站时间为估算值</x:v>
      </x:c>
      <x:c r="T270" t="str">
        <x:v>研究生宿舍楼发车</x:v>
      </x:c>
    </x:row>
    <x:row r="271">
      <x:c r="A271" s="14" t="str">
        <x:v>S0022-13</x:v>
      </x:c>
      <x:c r="B271" s="14" t="str">
        <x:v>S0022</x:v>
      </x:c>
      <x:c r="C271" s="14" t="str">
        <x:v>工作日</x:v>
      </x:c>
      <x:c r="D271" s="14" t="str">
        <x:v>环线1路</x:v>
      </x:c>
      <x:c r="E271" s="14" t="str">
        <x:v>第三班</x:v>
      </x:c>
      <x:c r="F271" s="14" t="n">
        <x:v>11</x:v>
      </x:c>
      <x:c r="G271" s="14" t="str">
        <x:v>14:36</x:v>
      </x:c>
      <x:c r="H271" s="14" t="str">
        <x:v>研究生宿舍楼</x:v>
      </x:c>
      <x:c r="I271" s="14" t="str">
        <x:v>否</x:v>
      </x:c>
      <x:c r="J271" s="14" t="n">
        <x:v>13</x:v>
      </x:c>
      <x:c r="K271" s="14" t="str">
        <x:v>研究生宿舍楼</x:v>
      </x:c>
      <x:c r="L271" s="14" t="n">
        <x:v>17</x:v>
      </x:c>
      <x:c r="M271" s="14" t="str">
        <x:v>14:53</x:v>
      </x:c>
      <x:c r="N271" s="14" t="str">
        <x:v>否</x:v>
      </x:c>
      <x:c r="O271" s="14" t="str">
        <x:v>是</x:v>
      </x:c>
      <x:c r="P271" s="14" t="str">
        <x:v>未提供</x:v>
      </x:c>
      <x:c r="Q271" s="14" t="str">
        <x:v>未提供</x:v>
      </x:c>
      <x:c r="R271" s="14" t="str">
        <x:v>预测</x:v>
      </x:c>
      <x:c r="S271" s="14" t="str">
        <x:v>到站时间为估算值</x:v>
      </x:c>
      <x:c r="T271" t="str">
        <x:v>研究生宿舍楼发车</x:v>
      </x:c>
    </x:row>
    <x:row r="272">
      <x:c r="A272" s="14" t="str">
        <x:v>S0023-01</x:v>
      </x:c>
      <x:c r="B272" s="14" t="str">
        <x:v>S0023</x:v>
      </x:c>
      <x:c r="C272" s="14" t="str">
        <x:v>工作日</x:v>
      </x:c>
      <x:c r="D272" s="14" t="str">
        <x:v>环线1路</x:v>
      </x:c>
      <x:c r="E272" s="14" t="str">
        <x:v>第三班</x:v>
      </x:c>
      <x:c r="F272" s="14" t="n">
        <x:v>12</x:v>
      </x:c>
      <x:c r="G272" s="14" t="str">
        <x:v>15:20</x:v>
      </x:c>
      <x:c r="H272" s="14" t="str">
        <x:v>研究生宿舍楼</x:v>
      </x:c>
      <x:c r="I272" s="14" t="str">
        <x:v>否</x:v>
      </x:c>
      <x:c r="J272" s="14" t="n">
        <x:v>1</x:v>
      </x:c>
      <x:c r="K272" s="14" t="str">
        <x:v>研究生宿舍楼</x:v>
      </x:c>
      <x:c r="L272" s="14" t="n">
        <x:v>0</x:v>
      </x:c>
      <x:c r="M272" s="14" t="str">
        <x:v>15:20</x:v>
      </x:c>
      <x:c r="N272" s="14" t="str">
        <x:v>是</x:v>
      </x:c>
      <x:c r="O272" s="14" t="str">
        <x:v>否</x:v>
      </x:c>
      <x:c r="P272" s="14" t="str">
        <x:v>未提供</x:v>
      </x:c>
      <x:c r="Q272" s="14" t="str">
        <x:v>未提供</x:v>
      </x:c>
      <x:c r="R272" s="14" t="str">
        <x:v>预测</x:v>
      </x:c>
      <x:c r="S272" s="14" t="str">
        <x:v>到站时间为估算值</x:v>
      </x:c>
      <x:c r="T272" t="str">
        <x:v>研究生宿舍楼发车</x:v>
      </x:c>
    </x:row>
    <x:row r="273">
      <x:c r="A273" s="14" t="str">
        <x:v>S0023-02</x:v>
      </x:c>
      <x:c r="B273" s="14" t="str">
        <x:v>S0023</x:v>
      </x:c>
      <x:c r="C273" s="14" t="str">
        <x:v>工作日</x:v>
      </x:c>
      <x:c r="D273" s="14" t="str">
        <x:v>环线1路</x:v>
      </x:c>
      <x:c r="E273" s="14" t="str">
        <x:v>第三班</x:v>
      </x:c>
      <x:c r="F273" s="14" t="n">
        <x:v>12</x:v>
      </x:c>
      <x:c r="G273" s="14" t="str">
        <x:v>15:20</x:v>
      </x:c>
      <x:c r="H273" s="14" t="str">
        <x:v>研究生宿舍楼</x:v>
      </x:c>
      <x:c r="I273" s="14" t="str">
        <x:v>否</x:v>
      </x:c>
      <x:c r="J273" s="14" t="n">
        <x:v>2</x:v>
      </x:c>
      <x:c r="K273" s="14" t="str">
        <x:v>东门</x:v>
      </x:c>
      <x:c r="L273" s="14" t="n">
        <x:v>1</x:v>
      </x:c>
      <x:c r="M273" s="14" t="str">
        <x:v>15:21</x:v>
      </x:c>
      <x:c r="N273" s="14" t="str">
        <x:v>否</x:v>
      </x:c>
      <x:c r="O273" s="14" t="str">
        <x:v>否</x:v>
      </x:c>
      <x:c r="P273" s="14" t="str">
        <x:v>未提供</x:v>
      </x:c>
      <x:c r="Q273" s="14" t="str">
        <x:v>未提供</x:v>
      </x:c>
      <x:c r="R273" s="14" t="str">
        <x:v>预测</x:v>
      </x:c>
      <x:c r="S273" s="14" t="str">
        <x:v>到站时间为估算值</x:v>
      </x:c>
      <x:c r="T273" t="str">
        <x:v>研究生宿舍楼发车</x:v>
      </x:c>
    </x:row>
    <x:row r="274">
      <x:c r="A274" s="14" t="str">
        <x:v>S0023-03</x:v>
      </x:c>
      <x:c r="B274" s="14" t="str">
        <x:v>S0023</x:v>
      </x:c>
      <x:c r="C274" s="14" t="str">
        <x:v>工作日</x:v>
      </x:c>
      <x:c r="D274" s="14" t="str">
        <x:v>环线1路</x:v>
      </x:c>
      <x:c r="E274" s="14" t="str">
        <x:v>第三班</x:v>
      </x:c>
      <x:c r="F274" s="14" t="n">
        <x:v>12</x:v>
      </x:c>
      <x:c r="G274" s="14" t="str">
        <x:v>15:20</x:v>
      </x:c>
      <x:c r="H274" s="14" t="str">
        <x:v>研究生宿舍楼</x:v>
      </x:c>
      <x:c r="I274" s="14" t="str">
        <x:v>否</x:v>
      </x:c>
      <x:c r="J274" s="14" t="n">
        <x:v>3</x:v>
      </x:c>
      <x:c r="K274" s="14" t="str">
        <x:v>2号宿舍楼</x:v>
      </x:c>
      <x:c r="L274" s="14" t="n">
        <x:v>2</x:v>
      </x:c>
      <x:c r="M274" s="14" t="str">
        <x:v>15:22</x:v>
      </x:c>
      <x:c r="N274" s="14" t="str">
        <x:v>否</x:v>
      </x:c>
      <x:c r="O274" s="14" t="str">
        <x:v>否</x:v>
      </x:c>
      <x:c r="P274" s="14" t="str">
        <x:v>未提供</x:v>
      </x:c>
      <x:c r="Q274" s="14" t="str">
        <x:v>未提供</x:v>
      </x:c>
      <x:c r="R274" s="14" t="str">
        <x:v>预测</x:v>
      </x:c>
      <x:c r="S274" s="14" t="str">
        <x:v>到站时间为估算值</x:v>
      </x:c>
      <x:c r="T274" t="str">
        <x:v>研究生宿舍楼发车</x:v>
      </x:c>
    </x:row>
    <x:row r="275">
      <x:c r="A275" s="14" t="str">
        <x:v>S0023-04</x:v>
      </x:c>
      <x:c r="B275" s="14" t="str">
        <x:v>S0023</x:v>
      </x:c>
      <x:c r="C275" s="14" t="str">
        <x:v>工作日</x:v>
      </x:c>
      <x:c r="D275" s="14" t="str">
        <x:v>环线1路</x:v>
      </x:c>
      <x:c r="E275" s="14" t="str">
        <x:v>第三班</x:v>
      </x:c>
      <x:c r="F275" s="14" t="n">
        <x:v>12</x:v>
      </x:c>
      <x:c r="G275" s="14" t="str">
        <x:v>15:20</x:v>
      </x:c>
      <x:c r="H275" s="14" t="str">
        <x:v>研究生宿舍楼</x:v>
      </x:c>
      <x:c r="I275" s="14" t="str">
        <x:v>否</x:v>
      </x:c>
      <x:c r="J275" s="14" t="n">
        <x:v>4</x:v>
      </x:c>
      <x:c r="K275" s="14" t="str">
        <x:v>军体活动中心</x:v>
      </x:c>
      <x:c r="L275" s="14" t="n">
        <x:v>3</x:v>
      </x:c>
      <x:c r="M275" s="14" t="str">
        <x:v>15:23</x:v>
      </x:c>
      <x:c r="N275" s="14" t="str">
        <x:v>否</x:v>
      </x:c>
      <x:c r="O275" s="14" t="str">
        <x:v>否</x:v>
      </x:c>
      <x:c r="P275" s="14" t="str">
        <x:v>未提供</x:v>
      </x:c>
      <x:c r="Q275" s="14" t="str">
        <x:v>未提供</x:v>
      </x:c>
      <x:c r="R275" s="14" t="str">
        <x:v>预测</x:v>
      </x:c>
      <x:c r="S275" s="14" t="str">
        <x:v>到站时间为估算值</x:v>
      </x:c>
      <x:c r="T275" t="str">
        <x:v>研究生宿舍楼发车</x:v>
      </x:c>
    </x:row>
    <x:row r="276">
      <x:c r="A276" s="14" t="str">
        <x:v>S0023-05</x:v>
      </x:c>
      <x:c r="B276" s="14" t="str">
        <x:v>S0023</x:v>
      </x:c>
      <x:c r="C276" s="14" t="str">
        <x:v>工作日</x:v>
      </x:c>
      <x:c r="D276" s="14" t="str">
        <x:v>环线1路</x:v>
      </x:c>
      <x:c r="E276" s="14" t="str">
        <x:v>第三班</x:v>
      </x:c>
      <x:c r="F276" s="14" t="n">
        <x:v>12</x:v>
      </x:c>
      <x:c r="G276" s="14" t="str">
        <x:v>15:20</x:v>
      </x:c>
      <x:c r="H276" s="14" t="str">
        <x:v>研究生宿舍楼</x:v>
      </x:c>
      <x:c r="I276" s="14" t="str">
        <x:v>否</x:v>
      </x:c>
      <x:c r="J276" s="14" t="n">
        <x:v>5</x:v>
      </x:c>
      <x:c r="K276" s="14" t="str">
        <x:v>激光所</x:v>
      </x:c>
      <x:c r="L276" s="14" t="n">
        <x:v>5</x:v>
      </x:c>
      <x:c r="M276" s="14" t="str">
        <x:v>15:25</x:v>
      </x:c>
      <x:c r="N276" s="14" t="str">
        <x:v>否</x:v>
      </x:c>
      <x:c r="O276" s="14" t="str">
        <x:v>否</x:v>
      </x:c>
      <x:c r="P276" s="14" t="str">
        <x:v>未提供</x:v>
      </x:c>
      <x:c r="Q276" s="14" t="str">
        <x:v>未提供</x:v>
      </x:c>
      <x:c r="R276" s="14" t="str">
        <x:v>预测</x:v>
      </x:c>
      <x:c r="S276" s="14" t="str">
        <x:v>到站时间为估算值</x:v>
      </x:c>
      <x:c r="T276" t="str">
        <x:v>研究生宿舍楼发车</x:v>
      </x:c>
    </x:row>
    <x:row r="277">
      <x:c r="A277" s="14" t="str">
        <x:v>S0023-06</x:v>
      </x:c>
      <x:c r="B277" s="14" t="str">
        <x:v>S0023</x:v>
      </x:c>
      <x:c r="C277" s="14" t="str">
        <x:v>工作日</x:v>
      </x:c>
      <x:c r="D277" s="14" t="str">
        <x:v>环线1路</x:v>
      </x:c>
      <x:c r="E277" s="14" t="str">
        <x:v>第三班</x:v>
      </x:c>
      <x:c r="F277" s="14" t="n">
        <x:v>12</x:v>
      </x:c>
      <x:c r="G277" s="14" t="str">
        <x:v>15:20</x:v>
      </x:c>
      <x:c r="H277" s="14" t="str">
        <x:v>研究生宿舍楼</x:v>
      </x:c>
      <x:c r="I277" s="14" t="str">
        <x:v>否</x:v>
      </x:c>
      <x:c r="J277" s="14" t="n">
        <x:v>6</x:v>
      </x:c>
      <x:c r="K277" s="14" t="str">
        <x:v>超算中心</x:v>
      </x:c>
      <x:c r="L277" s="14" t="n">
        <x:v>6</x:v>
      </x:c>
      <x:c r="M277" s="14" t="str">
        <x:v>15:26</x:v>
      </x:c>
      <x:c r="N277" s="14" t="str">
        <x:v>否</x:v>
      </x:c>
      <x:c r="O277" s="14" t="str">
        <x:v>否</x:v>
      </x:c>
      <x:c r="P277" s="14" t="str">
        <x:v>未提供</x:v>
      </x:c>
      <x:c r="Q277" s="14" t="str">
        <x:v>未提供</x:v>
      </x:c>
      <x:c r="R277" s="14" t="str">
        <x:v>预测</x:v>
      </x:c>
      <x:c r="S277" s="14" t="str">
        <x:v>到站时间为估算值</x:v>
      </x:c>
      <x:c r="T277" t="str">
        <x:v>研究生宿舍楼发车</x:v>
      </x:c>
    </x:row>
    <x:row r="278">
      <x:c r="A278" s="14" t="str">
        <x:v>S0023-07</x:v>
      </x:c>
      <x:c r="B278" s="14" t="str">
        <x:v>S0023</x:v>
      </x:c>
      <x:c r="C278" s="14" t="str">
        <x:v>工作日</x:v>
      </x:c>
      <x:c r="D278" s="14" t="str">
        <x:v>环线1路</x:v>
      </x:c>
      <x:c r="E278" s="14" t="str">
        <x:v>第三班</x:v>
      </x:c>
      <x:c r="F278" s="14" t="n">
        <x:v>12</x:v>
      </x:c>
      <x:c r="G278" s="14" t="str">
        <x:v>15:20</x:v>
      </x:c>
      <x:c r="H278" s="14" t="str">
        <x:v>研究生宿舍楼</x:v>
      </x:c>
      <x:c r="I278" s="14" t="str">
        <x:v>否</x:v>
      </x:c>
      <x:c r="J278" s="14" t="n">
        <x:v>7</x:v>
      </x:c>
      <x:c r="K278" s="14" t="str">
        <x:v>北门</x:v>
      </x:c>
      <x:c r="L278" s="14" t="n">
        <x:v>8</x:v>
      </x:c>
      <x:c r="M278" s="14" t="str">
        <x:v>15:28</x:v>
      </x:c>
      <x:c r="N278" s="14" t="str">
        <x:v>否</x:v>
      </x:c>
      <x:c r="O278" s="14" t="str">
        <x:v>否</x:v>
      </x:c>
      <x:c r="P278" s="14" t="str">
        <x:v>未提供</x:v>
      </x:c>
      <x:c r="Q278" s="14" t="str">
        <x:v>未提供</x:v>
      </x:c>
      <x:c r="R278" s="14" t="str">
        <x:v>预测</x:v>
      </x:c>
      <x:c r="S278" s="14" t="str">
        <x:v>到站时间为估算值</x:v>
      </x:c>
      <x:c r="T278" t="str">
        <x:v>研究生宿舍楼发车</x:v>
      </x:c>
    </x:row>
    <x:row r="279">
      <x:c r="A279" s="14" t="str">
        <x:v>S0023-08</x:v>
      </x:c>
      <x:c r="B279" s="14" t="str">
        <x:v>S0023</x:v>
      </x:c>
      <x:c r="C279" s="14" t="str">
        <x:v>工作日</x:v>
      </x:c>
      <x:c r="D279" s="14" t="str">
        <x:v>环线1路</x:v>
      </x:c>
      <x:c r="E279" s="14" t="str">
        <x:v>第三班</x:v>
      </x:c>
      <x:c r="F279" s="14" t="n">
        <x:v>12</x:v>
      </x:c>
      <x:c r="G279" s="14" t="str">
        <x:v>15:20</x:v>
      </x:c>
      <x:c r="H279" s="14" t="str">
        <x:v>研究生宿舍楼</x:v>
      </x:c>
      <x:c r="I279" s="14" t="str">
        <x:v>否</x:v>
      </x:c>
      <x:c r="J279" s="14" t="n">
        <x:v>8</x:v>
      </x:c>
      <x:c r="K279" s="14" t="str">
        <x:v>高超楼</x:v>
      </x:c>
      <x:c r="L279" s="14" t="n">
        <x:v>9</x:v>
      </x:c>
      <x:c r="M279" s="14" t="str">
        <x:v>15:29</x:v>
      </x:c>
      <x:c r="N279" s="14" t="str">
        <x:v>否</x:v>
      </x:c>
      <x:c r="O279" s="14" t="str">
        <x:v>否</x:v>
      </x:c>
      <x:c r="P279" s="14" t="str">
        <x:v>未提供</x:v>
      </x:c>
      <x:c r="Q279" s="14" t="str">
        <x:v>未提供</x:v>
      </x:c>
      <x:c r="R279" s="14" t="str">
        <x:v>预测</x:v>
      </x:c>
      <x:c r="S279" s="14" t="str">
        <x:v>到站时间为估算值</x:v>
      </x:c>
      <x:c r="T279" t="str">
        <x:v>研究生宿舍楼发车</x:v>
      </x:c>
    </x:row>
    <x:row r="280">
      <x:c r="A280" s="14" t="str">
        <x:v>S0023-09</x:v>
      </x:c>
      <x:c r="B280" s="14" t="str">
        <x:v>S0023</x:v>
      </x:c>
      <x:c r="C280" s="14" t="str">
        <x:v>工作日</x:v>
      </x:c>
      <x:c r="D280" s="14" t="str">
        <x:v>环线1路</x:v>
      </x:c>
      <x:c r="E280" s="14" t="str">
        <x:v>第三班</x:v>
      </x:c>
      <x:c r="F280" s="14" t="n">
        <x:v>12</x:v>
      </x:c>
      <x:c r="G280" s="14" t="str">
        <x:v>15:20</x:v>
      </x:c>
      <x:c r="H280" s="14" t="str">
        <x:v>研究生宿舍楼</x:v>
      </x:c>
      <x:c r="I280" s="14" t="str">
        <x:v>否</x:v>
      </x:c>
      <x:c r="J280" s="14" t="n">
        <x:v>9</x:v>
      </x:c>
      <x:c r="K280" s="14" t="str">
        <x:v>理学院</x:v>
      </x:c>
      <x:c r="L280" s="14" t="n">
        <x:v>10</x:v>
      </x:c>
      <x:c r="M280" s="14" t="str">
        <x:v>15:30</x:v>
      </x:c>
      <x:c r="N280" s="14" t="str">
        <x:v>否</x:v>
      </x:c>
      <x:c r="O280" s="14" t="str">
        <x:v>否</x:v>
      </x:c>
      <x:c r="P280" s="14" t="str">
        <x:v>未提供</x:v>
      </x:c>
      <x:c r="Q280" s="14" t="str">
        <x:v>未提供</x:v>
      </x:c>
      <x:c r="R280" s="14" t="str">
        <x:v>预测</x:v>
      </x:c>
      <x:c r="S280" s="14" t="str">
        <x:v>到站时间为估算值</x:v>
      </x:c>
      <x:c r="T280" t="str">
        <x:v>研究生宿舍楼发车</x:v>
      </x:c>
    </x:row>
    <x:row r="281">
      <x:c r="A281" s="14" t="str">
        <x:v>S0023-10</x:v>
      </x:c>
      <x:c r="B281" s="14" t="str">
        <x:v>S0023</x:v>
      </x:c>
      <x:c r="C281" s="14" t="str">
        <x:v>工作日</x:v>
      </x:c>
      <x:c r="D281" s="14" t="str">
        <x:v>环线1路</x:v>
      </x:c>
      <x:c r="E281" s="14" t="str">
        <x:v>第三班</x:v>
      </x:c>
      <x:c r="F281" s="14" t="n">
        <x:v>12</x:v>
      </x:c>
      <x:c r="G281" s="14" t="str">
        <x:v>15:20</x:v>
      </x:c>
      <x:c r="H281" s="14" t="str">
        <x:v>研究生宿舍楼</x:v>
      </x:c>
      <x:c r="I281" s="14" t="str">
        <x:v>否</x:v>
      </x:c>
      <x:c r="J281" s="14" t="n">
        <x:v>10</x:v>
      </x:c>
      <x:c r="K281" s="14" t="str">
        <x:v>二食堂</x:v>
      </x:c>
      <x:c r="L281" s="14" t="n">
        <x:v>13</x:v>
      </x:c>
      <x:c r="M281" s="14" t="str">
        <x:v>15:33</x:v>
      </x:c>
      <x:c r="N281" s="14" t="str">
        <x:v>否</x:v>
      </x:c>
      <x:c r="O281" s="14" t="str">
        <x:v>否</x:v>
      </x:c>
      <x:c r="P281" s="14" t="str">
        <x:v>未提供</x:v>
      </x:c>
      <x:c r="Q281" s="14" t="str">
        <x:v>未提供</x:v>
      </x:c>
      <x:c r="R281" s="14" t="str">
        <x:v>预测</x:v>
      </x:c>
      <x:c r="S281" s="14" t="str">
        <x:v>到站时间为估算值</x:v>
      </x:c>
      <x:c r="T281" t="str">
        <x:v>研究生宿舍楼发车</x:v>
      </x:c>
    </x:row>
    <x:row r="282">
      <x:c r="A282" s="14" t="str">
        <x:v>S0023-11</x:v>
      </x:c>
      <x:c r="B282" s="14" t="str">
        <x:v>S0023</x:v>
      </x:c>
      <x:c r="C282" s="14" t="str">
        <x:v>工作日</x:v>
      </x:c>
      <x:c r="D282" s="14" t="str">
        <x:v>环线1路</x:v>
      </x:c>
      <x:c r="E282" s="14" t="str">
        <x:v>第三班</x:v>
      </x:c>
      <x:c r="F282" s="14" t="n">
        <x:v>12</x:v>
      </x:c>
      <x:c r="G282" s="14" t="str">
        <x:v>15:20</x:v>
      </x:c>
      <x:c r="H282" s="14" t="str">
        <x:v>研究生宿舍楼</x:v>
      </x:c>
      <x:c r="I282" s="14" t="str">
        <x:v>否</x:v>
      </x:c>
      <x:c r="J282" s="14" t="n">
        <x:v>11</x:v>
      </x:c>
      <x:c r="K282" s="14" t="str">
        <x:v>5号宿舍楼</x:v>
      </x:c>
      <x:c r="L282" s="14" t="n">
        <x:v>14</x:v>
      </x:c>
      <x:c r="M282" s="14" t="str">
        <x:v>15:34</x:v>
      </x:c>
      <x:c r="N282" s="14" t="str">
        <x:v>否</x:v>
      </x:c>
      <x:c r="O282" s="14" t="str">
        <x:v>否</x:v>
      </x:c>
      <x:c r="P282" s="14" t="str">
        <x:v>未提供</x:v>
      </x:c>
      <x:c r="Q282" s="14" t="str">
        <x:v>未提供</x:v>
      </x:c>
      <x:c r="R282" s="14" t="str">
        <x:v>预测</x:v>
      </x:c>
      <x:c r="S282" s="14" t="str">
        <x:v>到站时间为估算值</x:v>
      </x:c>
      <x:c r="T282" t="str">
        <x:v>研究生宿舍楼发车</x:v>
      </x:c>
    </x:row>
    <x:row r="283">
      <x:c r="A283" s="14" t="str">
        <x:v>S0023-12</x:v>
      </x:c>
      <x:c r="B283" s="14" t="str">
        <x:v>S0023</x:v>
      </x:c>
      <x:c r="C283" s="14" t="str">
        <x:v>工作日</x:v>
      </x:c>
      <x:c r="D283" s="14" t="str">
        <x:v>环线1路</x:v>
      </x:c>
      <x:c r="E283" s="14" t="str">
        <x:v>第三班</x:v>
      </x:c>
      <x:c r="F283" s="14" t="n">
        <x:v>12</x:v>
      </x:c>
      <x:c r="G283" s="14" t="str">
        <x:v>15:20</x:v>
      </x:c>
      <x:c r="H283" s="14" t="str">
        <x:v>研究生宿舍楼</x:v>
      </x:c>
      <x:c r="I283" s="14" t="str">
        <x:v>否</x:v>
      </x:c>
      <x:c r="J283" s="14" t="n">
        <x:v>12</x:v>
      </x:c>
      <x:c r="K283" s="14" t="str">
        <x:v>305教学楼</x:v>
      </x:c>
      <x:c r="L283" s="14" t="n">
        <x:v>15</x:v>
      </x:c>
      <x:c r="M283" s="14" t="str">
        <x:v>15:35</x:v>
      </x:c>
      <x:c r="N283" s="14" t="str">
        <x:v>否</x:v>
      </x:c>
      <x:c r="O283" s="14" t="str">
        <x:v>否</x:v>
      </x:c>
      <x:c r="P283" s="14" t="str">
        <x:v>未提供</x:v>
      </x:c>
      <x:c r="Q283" s="14" t="str">
        <x:v>未提供</x:v>
      </x:c>
      <x:c r="R283" s="14" t="str">
        <x:v>预测</x:v>
      </x:c>
      <x:c r="S283" s="14" t="str">
        <x:v>到站时间为估算值</x:v>
      </x:c>
      <x:c r="T283" t="str">
        <x:v>研究生宿舍楼发车</x:v>
      </x:c>
    </x:row>
    <x:row r="284">
      <x:c r="A284" s="14" t="str">
        <x:v>S0023-13</x:v>
      </x:c>
      <x:c r="B284" s="14" t="str">
        <x:v>S0023</x:v>
      </x:c>
      <x:c r="C284" s="14" t="str">
        <x:v>工作日</x:v>
      </x:c>
      <x:c r="D284" s="14" t="str">
        <x:v>环线1路</x:v>
      </x:c>
      <x:c r="E284" s="14" t="str">
        <x:v>第三班</x:v>
      </x:c>
      <x:c r="F284" s="14" t="n">
        <x:v>12</x:v>
      </x:c>
      <x:c r="G284" s="14" t="str">
        <x:v>15:20</x:v>
      </x:c>
      <x:c r="H284" s="14" t="str">
        <x:v>研究生宿舍楼</x:v>
      </x:c>
      <x:c r="I284" s="14" t="str">
        <x:v>否</x:v>
      </x:c>
      <x:c r="J284" s="14" t="n">
        <x:v>13</x:v>
      </x:c>
      <x:c r="K284" s="14" t="str">
        <x:v>研究生宿舍楼</x:v>
      </x:c>
      <x:c r="L284" s="14" t="n">
        <x:v>17</x:v>
      </x:c>
      <x:c r="M284" s="14" t="str">
        <x:v>15:37</x:v>
      </x:c>
      <x:c r="N284" s="14" t="str">
        <x:v>否</x:v>
      </x:c>
      <x:c r="O284" s="14" t="str">
        <x:v>是</x:v>
      </x:c>
      <x:c r="P284" s="14" t="str">
        <x:v>未提供</x:v>
      </x:c>
      <x:c r="Q284" s="14" t="str">
        <x:v>未提供</x:v>
      </x:c>
      <x:c r="R284" s="14" t="str">
        <x:v>预测</x:v>
      </x:c>
      <x:c r="S284" s="14" t="str">
        <x:v>到站时间为估算值</x:v>
      </x:c>
      <x:c r="T284" t="str">
        <x:v>研究生宿舍楼发车</x:v>
      </x:c>
    </x:row>
    <x:row r="285">
      <x:c r="A285" s="14" t="str">
        <x:v>S0024-01</x:v>
      </x:c>
      <x:c r="B285" s="14" t="str">
        <x:v>S0024</x:v>
      </x:c>
      <x:c r="C285" s="14" t="str">
        <x:v>工作日</x:v>
      </x:c>
      <x:c r="D285" s="14" t="str">
        <x:v>环线1路</x:v>
      </x:c>
      <x:c r="E285" s="14" t="str">
        <x:v>第三班</x:v>
      </x:c>
      <x:c r="F285" s="14" t="n">
        <x:v>13</x:v>
      </x:c>
      <x:c r="G285" s="14" t="str">
        <x:v>16:30</x:v>
      </x:c>
      <x:c r="H285" s="14" t="str">
        <x:v>研究生宿舍楼</x:v>
      </x:c>
      <x:c r="I285" s="14" t="str">
        <x:v>否</x:v>
      </x:c>
      <x:c r="J285" s="14" t="n">
        <x:v>1</x:v>
      </x:c>
      <x:c r="K285" s="14" t="str">
        <x:v>研究生宿舍楼</x:v>
      </x:c>
      <x:c r="L285" s="14" t="n">
        <x:v>0</x:v>
      </x:c>
      <x:c r="M285" s="14" t="str">
        <x:v>16:30</x:v>
      </x:c>
      <x:c r="N285" s="14" t="str">
        <x:v>是</x:v>
      </x:c>
      <x:c r="O285" s="14" t="str">
        <x:v>否</x:v>
      </x:c>
      <x:c r="P285" s="14" t="str">
        <x:v>未提供</x:v>
      </x:c>
      <x:c r="Q285" s="14" t="str">
        <x:v>未提供</x:v>
      </x:c>
      <x:c r="R285" s="14" t="str">
        <x:v>预测</x:v>
      </x:c>
      <x:c r="S285" s="14" t="str">
        <x:v>到站时间为估算值</x:v>
      </x:c>
      <x:c r="T285" t="str">
        <x:v>研究生宿舍楼发车</x:v>
      </x:c>
    </x:row>
    <x:row r="286">
      <x:c r="A286" s="14" t="str">
        <x:v>S0024-02</x:v>
      </x:c>
      <x:c r="B286" s="14" t="str">
        <x:v>S0024</x:v>
      </x:c>
      <x:c r="C286" s="14" t="str">
        <x:v>工作日</x:v>
      </x:c>
      <x:c r="D286" s="14" t="str">
        <x:v>环线1路</x:v>
      </x:c>
      <x:c r="E286" s="14" t="str">
        <x:v>第三班</x:v>
      </x:c>
      <x:c r="F286" s="14" t="n">
        <x:v>13</x:v>
      </x:c>
      <x:c r="G286" s="14" t="str">
        <x:v>16:30</x:v>
      </x:c>
      <x:c r="H286" s="14" t="str">
        <x:v>研究生宿舍楼</x:v>
      </x:c>
      <x:c r="I286" s="14" t="str">
        <x:v>否</x:v>
      </x:c>
      <x:c r="J286" s="14" t="n">
        <x:v>2</x:v>
      </x:c>
      <x:c r="K286" s="14" t="str">
        <x:v>东门</x:v>
      </x:c>
      <x:c r="L286" s="14" t="n">
        <x:v>1</x:v>
      </x:c>
      <x:c r="M286" s="14" t="str">
        <x:v>16:31</x:v>
      </x:c>
      <x:c r="N286" s="14" t="str">
        <x:v>否</x:v>
      </x:c>
      <x:c r="O286" s="14" t="str">
        <x:v>否</x:v>
      </x:c>
      <x:c r="P286" s="14" t="str">
        <x:v>未提供</x:v>
      </x:c>
      <x:c r="Q286" s="14" t="str">
        <x:v>未提供</x:v>
      </x:c>
      <x:c r="R286" s="14" t="str">
        <x:v>预测</x:v>
      </x:c>
      <x:c r="S286" s="14" t="str">
        <x:v>到站时间为估算值</x:v>
      </x:c>
      <x:c r="T286" t="str">
        <x:v>研究生宿舍楼发车</x:v>
      </x:c>
    </x:row>
    <x:row r="287">
      <x:c r="A287" s="14" t="str">
        <x:v>S0024-03</x:v>
      </x:c>
      <x:c r="B287" s="14" t="str">
        <x:v>S0024</x:v>
      </x:c>
      <x:c r="C287" s="14" t="str">
        <x:v>工作日</x:v>
      </x:c>
      <x:c r="D287" s="14" t="str">
        <x:v>环线1路</x:v>
      </x:c>
      <x:c r="E287" s="14" t="str">
        <x:v>第三班</x:v>
      </x:c>
      <x:c r="F287" s="14" t="n">
        <x:v>13</x:v>
      </x:c>
      <x:c r="G287" s="14" t="str">
        <x:v>16:30</x:v>
      </x:c>
      <x:c r="H287" s="14" t="str">
        <x:v>研究生宿舍楼</x:v>
      </x:c>
      <x:c r="I287" s="14" t="str">
        <x:v>否</x:v>
      </x:c>
      <x:c r="J287" s="14" t="n">
        <x:v>3</x:v>
      </x:c>
      <x:c r="K287" s="14" t="str">
        <x:v>2号宿舍楼</x:v>
      </x:c>
      <x:c r="L287" s="14" t="n">
        <x:v>2</x:v>
      </x:c>
      <x:c r="M287" s="14" t="str">
        <x:v>16:32</x:v>
      </x:c>
      <x:c r="N287" s="14" t="str">
        <x:v>否</x:v>
      </x:c>
      <x:c r="O287" s="14" t="str">
        <x:v>否</x:v>
      </x:c>
      <x:c r="P287" s="14" t="str">
        <x:v>未提供</x:v>
      </x:c>
      <x:c r="Q287" s="14" t="str">
        <x:v>未提供</x:v>
      </x:c>
      <x:c r="R287" s="14" t="str">
        <x:v>预测</x:v>
      </x:c>
      <x:c r="S287" s="14" t="str">
        <x:v>到站时间为估算值</x:v>
      </x:c>
      <x:c r="T287" t="str">
        <x:v>研究生宿舍楼发车</x:v>
      </x:c>
    </x:row>
    <x:row r="288">
      <x:c r="A288" s="14" t="str">
        <x:v>S0024-04</x:v>
      </x:c>
      <x:c r="B288" s="14" t="str">
        <x:v>S0024</x:v>
      </x:c>
      <x:c r="C288" s="14" t="str">
        <x:v>工作日</x:v>
      </x:c>
      <x:c r="D288" s="14" t="str">
        <x:v>环线1路</x:v>
      </x:c>
      <x:c r="E288" s="14" t="str">
        <x:v>第三班</x:v>
      </x:c>
      <x:c r="F288" s="14" t="n">
        <x:v>13</x:v>
      </x:c>
      <x:c r="G288" s="14" t="str">
        <x:v>16:30</x:v>
      </x:c>
      <x:c r="H288" s="14" t="str">
        <x:v>研究生宿舍楼</x:v>
      </x:c>
      <x:c r="I288" s="14" t="str">
        <x:v>否</x:v>
      </x:c>
      <x:c r="J288" s="14" t="n">
        <x:v>4</x:v>
      </x:c>
      <x:c r="K288" s="14" t="str">
        <x:v>军体活动中心</x:v>
      </x:c>
      <x:c r="L288" s="14" t="n">
        <x:v>3</x:v>
      </x:c>
      <x:c r="M288" s="14" t="str">
        <x:v>16:33</x:v>
      </x:c>
      <x:c r="N288" s="14" t="str">
        <x:v>否</x:v>
      </x:c>
      <x:c r="O288" s="14" t="str">
        <x:v>否</x:v>
      </x:c>
      <x:c r="P288" s="14" t="str">
        <x:v>未提供</x:v>
      </x:c>
      <x:c r="Q288" s="14" t="str">
        <x:v>未提供</x:v>
      </x:c>
      <x:c r="R288" s="14" t="str">
        <x:v>预测</x:v>
      </x:c>
      <x:c r="S288" s="14" t="str">
        <x:v>到站时间为估算值</x:v>
      </x:c>
      <x:c r="T288" t="str">
        <x:v>研究生宿舍楼发车</x:v>
      </x:c>
    </x:row>
    <x:row r="289">
      <x:c r="A289" s="14" t="str">
        <x:v>S0024-05</x:v>
      </x:c>
      <x:c r="B289" s="14" t="str">
        <x:v>S0024</x:v>
      </x:c>
      <x:c r="C289" s="14" t="str">
        <x:v>工作日</x:v>
      </x:c>
      <x:c r="D289" s="14" t="str">
        <x:v>环线1路</x:v>
      </x:c>
      <x:c r="E289" s="14" t="str">
        <x:v>第三班</x:v>
      </x:c>
      <x:c r="F289" s="14" t="n">
        <x:v>13</x:v>
      </x:c>
      <x:c r="G289" s="14" t="str">
        <x:v>16:30</x:v>
      </x:c>
      <x:c r="H289" s="14" t="str">
        <x:v>研究生宿舍楼</x:v>
      </x:c>
      <x:c r="I289" s="14" t="str">
        <x:v>否</x:v>
      </x:c>
      <x:c r="J289" s="14" t="n">
        <x:v>5</x:v>
      </x:c>
      <x:c r="K289" s="14" t="str">
        <x:v>激光所</x:v>
      </x:c>
      <x:c r="L289" s="14" t="n">
        <x:v>5</x:v>
      </x:c>
      <x:c r="M289" s="14" t="str">
        <x:v>16:35</x:v>
      </x:c>
      <x:c r="N289" s="14" t="str">
        <x:v>否</x:v>
      </x:c>
      <x:c r="O289" s="14" t="str">
        <x:v>否</x:v>
      </x:c>
      <x:c r="P289" s="14" t="str">
        <x:v>未提供</x:v>
      </x:c>
      <x:c r="Q289" s="14" t="str">
        <x:v>未提供</x:v>
      </x:c>
      <x:c r="R289" s="14" t="str">
        <x:v>预测</x:v>
      </x:c>
      <x:c r="S289" s="14" t="str">
        <x:v>到站时间为估算值</x:v>
      </x:c>
      <x:c r="T289" t="str">
        <x:v>研究生宿舍楼发车</x:v>
      </x:c>
    </x:row>
    <x:row r="290">
      <x:c r="A290" s="14" t="str">
        <x:v>S0024-06</x:v>
      </x:c>
      <x:c r="B290" s="14" t="str">
        <x:v>S0024</x:v>
      </x:c>
      <x:c r="C290" s="14" t="str">
        <x:v>工作日</x:v>
      </x:c>
      <x:c r="D290" s="14" t="str">
        <x:v>环线1路</x:v>
      </x:c>
      <x:c r="E290" s="14" t="str">
        <x:v>第三班</x:v>
      </x:c>
      <x:c r="F290" s="14" t="n">
        <x:v>13</x:v>
      </x:c>
      <x:c r="G290" s="14" t="str">
        <x:v>16:30</x:v>
      </x:c>
      <x:c r="H290" s="14" t="str">
        <x:v>研究生宿舍楼</x:v>
      </x:c>
      <x:c r="I290" s="14" t="str">
        <x:v>否</x:v>
      </x:c>
      <x:c r="J290" s="14" t="n">
        <x:v>6</x:v>
      </x:c>
      <x:c r="K290" s="14" t="str">
        <x:v>超算中心</x:v>
      </x:c>
      <x:c r="L290" s="14" t="n">
        <x:v>6</x:v>
      </x:c>
      <x:c r="M290" s="14" t="str">
        <x:v>16:36</x:v>
      </x:c>
      <x:c r="N290" s="14" t="str">
        <x:v>否</x:v>
      </x:c>
      <x:c r="O290" s="14" t="str">
        <x:v>否</x:v>
      </x:c>
      <x:c r="P290" s="14" t="str">
        <x:v>未提供</x:v>
      </x:c>
      <x:c r="Q290" s="14" t="str">
        <x:v>未提供</x:v>
      </x:c>
      <x:c r="R290" s="14" t="str">
        <x:v>预测</x:v>
      </x:c>
      <x:c r="S290" s="14" t="str">
        <x:v>到站时间为估算值</x:v>
      </x:c>
      <x:c r="T290" t="str">
        <x:v>研究生宿舍楼发车</x:v>
      </x:c>
    </x:row>
    <x:row r="291">
      <x:c r="A291" s="14" t="str">
        <x:v>S0024-07</x:v>
      </x:c>
      <x:c r="B291" s="14" t="str">
        <x:v>S0024</x:v>
      </x:c>
      <x:c r="C291" s="14" t="str">
        <x:v>工作日</x:v>
      </x:c>
      <x:c r="D291" s="14" t="str">
        <x:v>环线1路</x:v>
      </x:c>
      <x:c r="E291" s="14" t="str">
        <x:v>第三班</x:v>
      </x:c>
      <x:c r="F291" s="14" t="n">
        <x:v>13</x:v>
      </x:c>
      <x:c r="G291" s="14" t="str">
        <x:v>16:30</x:v>
      </x:c>
      <x:c r="H291" s="14" t="str">
        <x:v>研究生宿舍楼</x:v>
      </x:c>
      <x:c r="I291" s="14" t="str">
        <x:v>否</x:v>
      </x:c>
      <x:c r="J291" s="14" t="n">
        <x:v>7</x:v>
      </x:c>
      <x:c r="K291" s="14" t="str">
        <x:v>北门</x:v>
      </x:c>
      <x:c r="L291" s="14" t="n">
        <x:v>8</x:v>
      </x:c>
      <x:c r="M291" s="14" t="str">
        <x:v>16:38</x:v>
      </x:c>
      <x:c r="N291" s="14" t="str">
        <x:v>否</x:v>
      </x:c>
      <x:c r="O291" s="14" t="str">
        <x:v>否</x:v>
      </x:c>
      <x:c r="P291" s="14" t="str">
        <x:v>未提供</x:v>
      </x:c>
      <x:c r="Q291" s="14" t="str">
        <x:v>未提供</x:v>
      </x:c>
      <x:c r="R291" s="14" t="str">
        <x:v>预测</x:v>
      </x:c>
      <x:c r="S291" s="14" t="str">
        <x:v>到站时间为估算值</x:v>
      </x:c>
      <x:c r="T291" t="str">
        <x:v>研究生宿舍楼发车</x:v>
      </x:c>
    </x:row>
    <x:row r="292">
      <x:c r="A292" s="14" t="str">
        <x:v>S0024-08</x:v>
      </x:c>
      <x:c r="B292" s="14" t="str">
        <x:v>S0024</x:v>
      </x:c>
      <x:c r="C292" s="14" t="str">
        <x:v>工作日</x:v>
      </x:c>
      <x:c r="D292" s="14" t="str">
        <x:v>环线1路</x:v>
      </x:c>
      <x:c r="E292" s="14" t="str">
        <x:v>第三班</x:v>
      </x:c>
      <x:c r="F292" s="14" t="n">
        <x:v>13</x:v>
      </x:c>
      <x:c r="G292" s="14" t="str">
        <x:v>16:30</x:v>
      </x:c>
      <x:c r="H292" s="14" t="str">
        <x:v>研究生宿舍楼</x:v>
      </x:c>
      <x:c r="I292" s="14" t="str">
        <x:v>否</x:v>
      </x:c>
      <x:c r="J292" s="14" t="n">
        <x:v>8</x:v>
      </x:c>
      <x:c r="K292" s="14" t="str">
        <x:v>高超楼</x:v>
      </x:c>
      <x:c r="L292" s="14" t="n">
        <x:v>9</x:v>
      </x:c>
      <x:c r="M292" s="14" t="str">
        <x:v>16:39</x:v>
      </x:c>
      <x:c r="N292" s="14" t="str">
        <x:v>否</x:v>
      </x:c>
      <x:c r="O292" s="14" t="str">
        <x:v>否</x:v>
      </x:c>
      <x:c r="P292" s="14" t="str">
        <x:v>未提供</x:v>
      </x:c>
      <x:c r="Q292" s="14" t="str">
        <x:v>未提供</x:v>
      </x:c>
      <x:c r="R292" s="14" t="str">
        <x:v>预测</x:v>
      </x:c>
      <x:c r="S292" s="14" t="str">
        <x:v>到站时间为估算值</x:v>
      </x:c>
      <x:c r="T292" t="str">
        <x:v>研究生宿舍楼发车</x:v>
      </x:c>
    </x:row>
    <x:row r="293">
      <x:c r="A293" s="14" t="str">
        <x:v>S0024-09</x:v>
      </x:c>
      <x:c r="B293" s="14" t="str">
        <x:v>S0024</x:v>
      </x:c>
      <x:c r="C293" s="14" t="str">
        <x:v>工作日</x:v>
      </x:c>
      <x:c r="D293" s="14" t="str">
        <x:v>环线1路</x:v>
      </x:c>
      <x:c r="E293" s="14" t="str">
        <x:v>第三班</x:v>
      </x:c>
      <x:c r="F293" s="14" t="n">
        <x:v>13</x:v>
      </x:c>
      <x:c r="G293" s="14" t="str">
        <x:v>16:30</x:v>
      </x:c>
      <x:c r="H293" s="14" t="str">
        <x:v>研究生宿舍楼</x:v>
      </x:c>
      <x:c r="I293" s="14" t="str">
        <x:v>否</x:v>
      </x:c>
      <x:c r="J293" s="14" t="n">
        <x:v>9</x:v>
      </x:c>
      <x:c r="K293" s="14" t="str">
        <x:v>理学院</x:v>
      </x:c>
      <x:c r="L293" s="14" t="n">
        <x:v>10</x:v>
      </x:c>
      <x:c r="M293" s="14" t="str">
        <x:v>16:40</x:v>
      </x:c>
      <x:c r="N293" s="14" t="str">
        <x:v>否</x:v>
      </x:c>
      <x:c r="O293" s="14" t="str">
        <x:v>否</x:v>
      </x:c>
      <x:c r="P293" s="14" t="str">
        <x:v>未提供</x:v>
      </x:c>
      <x:c r="Q293" s="14" t="str">
        <x:v>未提供</x:v>
      </x:c>
      <x:c r="R293" s="14" t="str">
        <x:v>预测</x:v>
      </x:c>
      <x:c r="S293" s="14" t="str">
        <x:v>到站时间为估算值</x:v>
      </x:c>
      <x:c r="T293" t="str">
        <x:v>研究生宿舍楼发车</x:v>
      </x:c>
    </x:row>
    <x:row r="294">
      <x:c r="A294" s="14" t="str">
        <x:v>S0024-10</x:v>
      </x:c>
      <x:c r="B294" s="14" t="str">
        <x:v>S0024</x:v>
      </x:c>
      <x:c r="C294" s="14" t="str">
        <x:v>工作日</x:v>
      </x:c>
      <x:c r="D294" s="14" t="str">
        <x:v>环线1路</x:v>
      </x:c>
      <x:c r="E294" s="14" t="str">
        <x:v>第三班</x:v>
      </x:c>
      <x:c r="F294" s="14" t="n">
        <x:v>13</x:v>
      </x:c>
      <x:c r="G294" s="14" t="str">
        <x:v>16:30</x:v>
      </x:c>
      <x:c r="H294" s="14" t="str">
        <x:v>研究生宿舍楼</x:v>
      </x:c>
      <x:c r="I294" s="14" t="str">
        <x:v>否</x:v>
      </x:c>
      <x:c r="J294" s="14" t="n">
        <x:v>10</x:v>
      </x:c>
      <x:c r="K294" s="14" t="str">
        <x:v>二食堂</x:v>
      </x:c>
      <x:c r="L294" s="14" t="n">
        <x:v>13</x:v>
      </x:c>
      <x:c r="M294" s="14" t="str">
        <x:v>16:43</x:v>
      </x:c>
      <x:c r="N294" s="14" t="str">
        <x:v>否</x:v>
      </x:c>
      <x:c r="O294" s="14" t="str">
        <x:v>否</x:v>
      </x:c>
      <x:c r="P294" s="14" t="str">
        <x:v>未提供</x:v>
      </x:c>
      <x:c r="Q294" s="14" t="str">
        <x:v>未提供</x:v>
      </x:c>
      <x:c r="R294" s="14" t="str">
        <x:v>预测</x:v>
      </x:c>
      <x:c r="S294" s="14" t="str">
        <x:v>到站时间为估算值</x:v>
      </x:c>
      <x:c r="T294" t="str">
        <x:v>研究生宿舍楼发车</x:v>
      </x:c>
    </x:row>
    <x:row r="295">
      <x:c r="A295" s="14" t="str">
        <x:v>S0024-11</x:v>
      </x:c>
      <x:c r="B295" s="14" t="str">
        <x:v>S0024</x:v>
      </x:c>
      <x:c r="C295" s="14" t="str">
        <x:v>工作日</x:v>
      </x:c>
      <x:c r="D295" s="14" t="str">
        <x:v>环线1路</x:v>
      </x:c>
      <x:c r="E295" s="14" t="str">
        <x:v>第三班</x:v>
      </x:c>
      <x:c r="F295" s="14" t="n">
        <x:v>13</x:v>
      </x:c>
      <x:c r="G295" s="14" t="str">
        <x:v>16:30</x:v>
      </x:c>
      <x:c r="H295" s="14" t="str">
        <x:v>研究生宿舍楼</x:v>
      </x:c>
      <x:c r="I295" s="14" t="str">
        <x:v>否</x:v>
      </x:c>
      <x:c r="J295" s="14" t="n">
        <x:v>11</x:v>
      </x:c>
      <x:c r="K295" s="14" t="str">
        <x:v>5号宿舍楼</x:v>
      </x:c>
      <x:c r="L295" s="14" t="n">
        <x:v>14</x:v>
      </x:c>
      <x:c r="M295" s="14" t="str">
        <x:v>16:44</x:v>
      </x:c>
      <x:c r="N295" s="14" t="str">
        <x:v>否</x:v>
      </x:c>
      <x:c r="O295" s="14" t="str">
        <x:v>否</x:v>
      </x:c>
      <x:c r="P295" s="14" t="str">
        <x:v>未提供</x:v>
      </x:c>
      <x:c r="Q295" s="14" t="str">
        <x:v>未提供</x:v>
      </x:c>
      <x:c r="R295" s="14" t="str">
        <x:v>预测</x:v>
      </x:c>
      <x:c r="S295" s="14" t="str">
        <x:v>到站时间为估算值</x:v>
      </x:c>
      <x:c r="T295" t="str">
        <x:v>研究生宿舍楼发车</x:v>
      </x:c>
    </x:row>
    <x:row r="296">
      <x:c r="A296" s="14" t="str">
        <x:v>S0024-12</x:v>
      </x:c>
      <x:c r="B296" s="14" t="str">
        <x:v>S0024</x:v>
      </x:c>
      <x:c r="C296" s="14" t="str">
        <x:v>工作日</x:v>
      </x:c>
      <x:c r="D296" s="14" t="str">
        <x:v>环线1路</x:v>
      </x:c>
      <x:c r="E296" s="14" t="str">
        <x:v>第三班</x:v>
      </x:c>
      <x:c r="F296" s="14" t="n">
        <x:v>13</x:v>
      </x:c>
      <x:c r="G296" s="14" t="str">
        <x:v>16:30</x:v>
      </x:c>
      <x:c r="H296" s="14" t="str">
        <x:v>研究生宿舍楼</x:v>
      </x:c>
      <x:c r="I296" s="14" t="str">
        <x:v>否</x:v>
      </x:c>
      <x:c r="J296" s="14" t="n">
        <x:v>12</x:v>
      </x:c>
      <x:c r="K296" s="14" t="str">
        <x:v>305教学楼</x:v>
      </x:c>
      <x:c r="L296" s="14" t="n">
        <x:v>15</x:v>
      </x:c>
      <x:c r="M296" s="14" t="str">
        <x:v>16:45</x:v>
      </x:c>
      <x:c r="N296" s="14" t="str">
        <x:v>否</x:v>
      </x:c>
      <x:c r="O296" s="14" t="str">
        <x:v>否</x:v>
      </x:c>
      <x:c r="P296" s="14" t="str">
        <x:v>未提供</x:v>
      </x:c>
      <x:c r="Q296" s="14" t="str">
        <x:v>未提供</x:v>
      </x:c>
      <x:c r="R296" s="14" t="str">
        <x:v>预测</x:v>
      </x:c>
      <x:c r="S296" s="14" t="str">
        <x:v>到站时间为估算值</x:v>
      </x:c>
      <x:c r="T296" t="str">
        <x:v>研究生宿舍楼发车</x:v>
      </x:c>
    </x:row>
    <x:row r="297">
      <x:c r="A297" s="14" t="str">
        <x:v>S0024-13</x:v>
      </x:c>
      <x:c r="B297" s="14" t="str">
        <x:v>S0024</x:v>
      </x:c>
      <x:c r="C297" s="14" t="str">
        <x:v>工作日</x:v>
      </x:c>
      <x:c r="D297" s="14" t="str">
        <x:v>环线1路</x:v>
      </x:c>
      <x:c r="E297" s="14" t="str">
        <x:v>第三班</x:v>
      </x:c>
      <x:c r="F297" s="14" t="n">
        <x:v>13</x:v>
      </x:c>
      <x:c r="G297" s="14" t="str">
        <x:v>16:30</x:v>
      </x:c>
      <x:c r="H297" s="14" t="str">
        <x:v>研究生宿舍楼</x:v>
      </x:c>
      <x:c r="I297" s="14" t="str">
        <x:v>否</x:v>
      </x:c>
      <x:c r="J297" s="14" t="n">
        <x:v>13</x:v>
      </x:c>
      <x:c r="K297" s="14" t="str">
        <x:v>研究生宿舍楼</x:v>
      </x:c>
      <x:c r="L297" s="14" t="n">
        <x:v>17</x:v>
      </x:c>
      <x:c r="M297" s="14" t="str">
        <x:v>16:47</x:v>
      </x:c>
      <x:c r="N297" s="14" t="str">
        <x:v>否</x:v>
      </x:c>
      <x:c r="O297" s="14" t="str">
        <x:v>是</x:v>
      </x:c>
      <x:c r="P297" s="14" t="str">
        <x:v>未提供</x:v>
      </x:c>
      <x:c r="Q297" s="14" t="str">
        <x:v>未提供</x:v>
      </x:c>
      <x:c r="R297" s="14" t="str">
        <x:v>预测</x:v>
      </x:c>
      <x:c r="S297" s="14" t="str">
        <x:v>到站时间为估算值</x:v>
      </x:c>
      <x:c r="T297" t="str">
        <x:v>研究生宿舍楼发车</x:v>
      </x:c>
    </x:row>
    <x:row r="298">
      <x:c r="A298" s="14" t="str">
        <x:v>S0025-01</x:v>
      </x:c>
      <x:c r="B298" s="14" t="str">
        <x:v>S0025</x:v>
      </x:c>
      <x:c r="C298" s="14" t="str">
        <x:v>工作日</x:v>
      </x:c>
      <x:c r="D298" s="14" t="str">
        <x:v>环线1路</x:v>
      </x:c>
      <x:c r="E298" s="14" t="str">
        <x:v>第三班</x:v>
      </x:c>
      <x:c r="F298" s="14" t="n">
        <x:v>14</x:v>
      </x:c>
      <x:c r="G298" s="14" t="str">
        <x:v>17:15</x:v>
      </x:c>
      <x:c r="H298" s="14" t="str">
        <x:v>研究生宿舍楼</x:v>
      </x:c>
      <x:c r="I298" s="14" t="str">
        <x:v>否</x:v>
      </x:c>
      <x:c r="J298" s="14" t="n">
        <x:v>1</x:v>
      </x:c>
      <x:c r="K298" s="14" t="str">
        <x:v>研究生宿舍楼</x:v>
      </x:c>
      <x:c r="L298" s="14" t="n">
        <x:v>0</x:v>
      </x:c>
      <x:c r="M298" s="14" t="str">
        <x:v>17:15</x:v>
      </x:c>
      <x:c r="N298" s="14" t="str">
        <x:v>是</x:v>
      </x:c>
      <x:c r="O298" s="14" t="str">
        <x:v>否</x:v>
      </x:c>
      <x:c r="P298" s="14" t="str">
        <x:v>未提供</x:v>
      </x:c>
      <x:c r="Q298" s="14" t="str">
        <x:v>未提供</x:v>
      </x:c>
      <x:c r="R298" s="14" t="str">
        <x:v>预测</x:v>
      </x:c>
      <x:c r="S298" s="14" t="str">
        <x:v>到站时间为估算值</x:v>
      </x:c>
      <x:c r="T298" t="str">
        <x:v>研究生宿舍楼发车</x:v>
      </x:c>
    </x:row>
    <x:row r="299">
      <x:c r="A299" s="14" t="str">
        <x:v>S0025-02</x:v>
      </x:c>
      <x:c r="B299" s="14" t="str">
        <x:v>S0025</x:v>
      </x:c>
      <x:c r="C299" s="14" t="str">
        <x:v>工作日</x:v>
      </x:c>
      <x:c r="D299" s="14" t="str">
        <x:v>环线1路</x:v>
      </x:c>
      <x:c r="E299" s="14" t="str">
        <x:v>第三班</x:v>
      </x:c>
      <x:c r="F299" s="14" t="n">
        <x:v>14</x:v>
      </x:c>
      <x:c r="G299" s="14" t="str">
        <x:v>17:15</x:v>
      </x:c>
      <x:c r="H299" s="14" t="str">
        <x:v>研究生宿舍楼</x:v>
      </x:c>
      <x:c r="I299" s="14" t="str">
        <x:v>否</x:v>
      </x:c>
      <x:c r="J299" s="14" t="n">
        <x:v>2</x:v>
      </x:c>
      <x:c r="K299" s="14" t="str">
        <x:v>东门</x:v>
      </x:c>
      <x:c r="L299" s="14" t="n">
        <x:v>1</x:v>
      </x:c>
      <x:c r="M299" s="14" t="str">
        <x:v>17:16</x:v>
      </x:c>
      <x:c r="N299" s="14" t="str">
        <x:v>否</x:v>
      </x:c>
      <x:c r="O299" s="14" t="str">
        <x:v>否</x:v>
      </x:c>
      <x:c r="P299" s="14" t="str">
        <x:v>未提供</x:v>
      </x:c>
      <x:c r="Q299" s="14" t="str">
        <x:v>未提供</x:v>
      </x:c>
      <x:c r="R299" s="14" t="str">
        <x:v>预测</x:v>
      </x:c>
      <x:c r="S299" s="14" t="str">
        <x:v>到站时间为估算值</x:v>
      </x:c>
      <x:c r="T299" t="str">
        <x:v>研究生宿舍楼发车</x:v>
      </x:c>
    </x:row>
    <x:row r="300">
      <x:c r="A300" s="14" t="str">
        <x:v>S0025-03</x:v>
      </x:c>
      <x:c r="B300" s="14" t="str">
        <x:v>S0025</x:v>
      </x:c>
      <x:c r="C300" s="14" t="str">
        <x:v>工作日</x:v>
      </x:c>
      <x:c r="D300" s="14" t="str">
        <x:v>环线1路</x:v>
      </x:c>
      <x:c r="E300" s="14" t="str">
        <x:v>第三班</x:v>
      </x:c>
      <x:c r="F300" s="14" t="n">
        <x:v>14</x:v>
      </x:c>
      <x:c r="G300" s="14" t="str">
        <x:v>17:15</x:v>
      </x:c>
      <x:c r="H300" s="14" t="str">
        <x:v>研究生宿舍楼</x:v>
      </x:c>
      <x:c r="I300" s="14" t="str">
        <x:v>否</x:v>
      </x:c>
      <x:c r="J300" s="14" t="n">
        <x:v>3</x:v>
      </x:c>
      <x:c r="K300" s="14" t="str">
        <x:v>2号宿舍楼</x:v>
      </x:c>
      <x:c r="L300" s="14" t="n">
        <x:v>2</x:v>
      </x:c>
      <x:c r="M300" s="14" t="str">
        <x:v>17:17</x:v>
      </x:c>
      <x:c r="N300" s="14" t="str">
        <x:v>否</x:v>
      </x:c>
      <x:c r="O300" s="14" t="str">
        <x:v>否</x:v>
      </x:c>
      <x:c r="P300" s="14" t="str">
        <x:v>未提供</x:v>
      </x:c>
      <x:c r="Q300" s="14" t="str">
        <x:v>未提供</x:v>
      </x:c>
      <x:c r="R300" s="14" t="str">
        <x:v>预测</x:v>
      </x:c>
      <x:c r="S300" s="14" t="str">
        <x:v>到站时间为估算值</x:v>
      </x:c>
      <x:c r="T300" t="str">
        <x:v>研究生宿舍楼发车</x:v>
      </x:c>
    </x:row>
    <x:row r="301">
      <x:c r="A301" s="14" t="str">
        <x:v>S0025-04</x:v>
      </x:c>
      <x:c r="B301" s="14" t="str">
        <x:v>S0025</x:v>
      </x:c>
      <x:c r="C301" s="14" t="str">
        <x:v>工作日</x:v>
      </x:c>
      <x:c r="D301" s="14" t="str">
        <x:v>环线1路</x:v>
      </x:c>
      <x:c r="E301" s="14" t="str">
        <x:v>第三班</x:v>
      </x:c>
      <x:c r="F301" s="14" t="n">
        <x:v>14</x:v>
      </x:c>
      <x:c r="G301" s="14" t="str">
        <x:v>17:15</x:v>
      </x:c>
      <x:c r="H301" s="14" t="str">
        <x:v>研究生宿舍楼</x:v>
      </x:c>
      <x:c r="I301" s="14" t="str">
        <x:v>否</x:v>
      </x:c>
      <x:c r="J301" s="14" t="n">
        <x:v>4</x:v>
      </x:c>
      <x:c r="K301" s="14" t="str">
        <x:v>军体活动中心</x:v>
      </x:c>
      <x:c r="L301" s="14" t="n">
        <x:v>3</x:v>
      </x:c>
      <x:c r="M301" s="14" t="str">
        <x:v>17:18</x:v>
      </x:c>
      <x:c r="N301" s="14" t="str">
        <x:v>否</x:v>
      </x:c>
      <x:c r="O301" s="14" t="str">
        <x:v>否</x:v>
      </x:c>
      <x:c r="P301" s="14" t="str">
        <x:v>未提供</x:v>
      </x:c>
      <x:c r="Q301" s="14" t="str">
        <x:v>未提供</x:v>
      </x:c>
      <x:c r="R301" s="14" t="str">
        <x:v>预测</x:v>
      </x:c>
      <x:c r="S301" s="14" t="str">
        <x:v>到站时间为估算值</x:v>
      </x:c>
      <x:c r="T301" t="str">
        <x:v>研究生宿舍楼发车</x:v>
      </x:c>
    </x:row>
    <x:row r="302">
      <x:c r="A302" s="14" t="str">
        <x:v>S0025-05</x:v>
      </x:c>
      <x:c r="B302" s="14" t="str">
        <x:v>S0025</x:v>
      </x:c>
      <x:c r="C302" s="14" t="str">
        <x:v>工作日</x:v>
      </x:c>
      <x:c r="D302" s="14" t="str">
        <x:v>环线1路</x:v>
      </x:c>
      <x:c r="E302" s="14" t="str">
        <x:v>第三班</x:v>
      </x:c>
      <x:c r="F302" s="14" t="n">
        <x:v>14</x:v>
      </x:c>
      <x:c r="G302" s="14" t="str">
        <x:v>17:15</x:v>
      </x:c>
      <x:c r="H302" s="14" t="str">
        <x:v>研究生宿舍楼</x:v>
      </x:c>
      <x:c r="I302" s="14" t="str">
        <x:v>否</x:v>
      </x:c>
      <x:c r="J302" s="14" t="n">
        <x:v>5</x:v>
      </x:c>
      <x:c r="K302" s="14" t="str">
        <x:v>激光所</x:v>
      </x:c>
      <x:c r="L302" s="14" t="n">
        <x:v>5</x:v>
      </x:c>
      <x:c r="M302" s="14" t="str">
        <x:v>17:20</x:v>
      </x:c>
      <x:c r="N302" s="14" t="str">
        <x:v>否</x:v>
      </x:c>
      <x:c r="O302" s="14" t="str">
        <x:v>否</x:v>
      </x:c>
      <x:c r="P302" s="14" t="str">
        <x:v>未提供</x:v>
      </x:c>
      <x:c r="Q302" s="14" t="str">
        <x:v>未提供</x:v>
      </x:c>
      <x:c r="R302" s="14" t="str">
        <x:v>预测</x:v>
      </x:c>
      <x:c r="S302" s="14" t="str">
        <x:v>到站时间为估算值</x:v>
      </x:c>
      <x:c r="T302" t="str">
        <x:v>研究生宿舍楼发车</x:v>
      </x:c>
    </x:row>
    <x:row r="303">
      <x:c r="A303" s="14" t="str">
        <x:v>S0025-06</x:v>
      </x:c>
      <x:c r="B303" s="14" t="str">
        <x:v>S0025</x:v>
      </x:c>
      <x:c r="C303" s="14" t="str">
        <x:v>工作日</x:v>
      </x:c>
      <x:c r="D303" s="14" t="str">
        <x:v>环线1路</x:v>
      </x:c>
      <x:c r="E303" s="14" t="str">
        <x:v>第三班</x:v>
      </x:c>
      <x:c r="F303" s="14" t="n">
        <x:v>14</x:v>
      </x:c>
      <x:c r="G303" s="14" t="str">
        <x:v>17:15</x:v>
      </x:c>
      <x:c r="H303" s="14" t="str">
        <x:v>研究生宿舍楼</x:v>
      </x:c>
      <x:c r="I303" s="14" t="str">
        <x:v>否</x:v>
      </x:c>
      <x:c r="J303" s="14" t="n">
        <x:v>6</x:v>
      </x:c>
      <x:c r="K303" s="14" t="str">
        <x:v>超算中心</x:v>
      </x:c>
      <x:c r="L303" s="14" t="n">
        <x:v>6</x:v>
      </x:c>
      <x:c r="M303" s="14" t="str">
        <x:v>17:21</x:v>
      </x:c>
      <x:c r="N303" s="14" t="str">
        <x:v>否</x:v>
      </x:c>
      <x:c r="O303" s="14" t="str">
        <x:v>否</x:v>
      </x:c>
      <x:c r="P303" s="14" t="str">
        <x:v>未提供</x:v>
      </x:c>
      <x:c r="Q303" s="14" t="str">
        <x:v>未提供</x:v>
      </x:c>
      <x:c r="R303" s="14" t="str">
        <x:v>预测</x:v>
      </x:c>
      <x:c r="S303" s="14" t="str">
        <x:v>到站时间为估算值</x:v>
      </x:c>
      <x:c r="T303" t="str">
        <x:v>研究生宿舍楼发车</x:v>
      </x:c>
    </x:row>
    <x:row r="304">
      <x:c r="A304" s="14" t="str">
        <x:v>S0025-07</x:v>
      </x:c>
      <x:c r="B304" s="14" t="str">
        <x:v>S0025</x:v>
      </x:c>
      <x:c r="C304" s="14" t="str">
        <x:v>工作日</x:v>
      </x:c>
      <x:c r="D304" s="14" t="str">
        <x:v>环线1路</x:v>
      </x:c>
      <x:c r="E304" s="14" t="str">
        <x:v>第三班</x:v>
      </x:c>
      <x:c r="F304" s="14" t="n">
        <x:v>14</x:v>
      </x:c>
      <x:c r="G304" s="14" t="str">
        <x:v>17:15</x:v>
      </x:c>
      <x:c r="H304" s="14" t="str">
        <x:v>研究生宿舍楼</x:v>
      </x:c>
      <x:c r="I304" s="14" t="str">
        <x:v>否</x:v>
      </x:c>
      <x:c r="J304" s="14" t="n">
        <x:v>7</x:v>
      </x:c>
      <x:c r="K304" s="14" t="str">
        <x:v>北门</x:v>
      </x:c>
      <x:c r="L304" s="14" t="n">
        <x:v>8</x:v>
      </x:c>
      <x:c r="M304" s="14" t="str">
        <x:v>17:23</x:v>
      </x:c>
      <x:c r="N304" s="14" t="str">
        <x:v>否</x:v>
      </x:c>
      <x:c r="O304" s="14" t="str">
        <x:v>否</x:v>
      </x:c>
      <x:c r="P304" s="14" t="str">
        <x:v>未提供</x:v>
      </x:c>
      <x:c r="Q304" s="14" t="str">
        <x:v>未提供</x:v>
      </x:c>
      <x:c r="R304" s="14" t="str">
        <x:v>预测</x:v>
      </x:c>
      <x:c r="S304" s="14" t="str">
        <x:v>到站时间为估算值</x:v>
      </x:c>
      <x:c r="T304" t="str">
        <x:v>研究生宿舍楼发车</x:v>
      </x:c>
    </x:row>
    <x:row r="305">
      <x:c r="A305" s="14" t="str">
        <x:v>S0025-08</x:v>
      </x:c>
      <x:c r="B305" s="14" t="str">
        <x:v>S0025</x:v>
      </x:c>
      <x:c r="C305" s="14" t="str">
        <x:v>工作日</x:v>
      </x:c>
      <x:c r="D305" s="14" t="str">
        <x:v>环线1路</x:v>
      </x:c>
      <x:c r="E305" s="14" t="str">
        <x:v>第三班</x:v>
      </x:c>
      <x:c r="F305" s="14" t="n">
        <x:v>14</x:v>
      </x:c>
      <x:c r="G305" s="14" t="str">
        <x:v>17:15</x:v>
      </x:c>
      <x:c r="H305" s="14" t="str">
        <x:v>研究生宿舍楼</x:v>
      </x:c>
      <x:c r="I305" s="14" t="str">
        <x:v>否</x:v>
      </x:c>
      <x:c r="J305" s="14" t="n">
        <x:v>8</x:v>
      </x:c>
      <x:c r="K305" s="14" t="str">
        <x:v>高超楼</x:v>
      </x:c>
      <x:c r="L305" s="14" t="n">
        <x:v>9</x:v>
      </x:c>
      <x:c r="M305" s="14" t="str">
        <x:v>17:24</x:v>
      </x:c>
      <x:c r="N305" s="14" t="str">
        <x:v>否</x:v>
      </x:c>
      <x:c r="O305" s="14" t="str">
        <x:v>否</x:v>
      </x:c>
      <x:c r="P305" s="14" t="str">
        <x:v>未提供</x:v>
      </x:c>
      <x:c r="Q305" s="14" t="str">
        <x:v>未提供</x:v>
      </x:c>
      <x:c r="R305" s="14" t="str">
        <x:v>预测</x:v>
      </x:c>
      <x:c r="S305" s="14" t="str">
        <x:v>到站时间为估算值</x:v>
      </x:c>
      <x:c r="T305" t="str">
        <x:v>研究生宿舍楼发车</x:v>
      </x:c>
    </x:row>
    <x:row r="306">
      <x:c r="A306" s="14" t="str">
        <x:v>S0025-09</x:v>
      </x:c>
      <x:c r="B306" s="14" t="str">
        <x:v>S0025</x:v>
      </x:c>
      <x:c r="C306" s="14" t="str">
        <x:v>工作日</x:v>
      </x:c>
      <x:c r="D306" s="14" t="str">
        <x:v>环线1路</x:v>
      </x:c>
      <x:c r="E306" s="14" t="str">
        <x:v>第三班</x:v>
      </x:c>
      <x:c r="F306" s="14" t="n">
        <x:v>14</x:v>
      </x:c>
      <x:c r="G306" s="14" t="str">
        <x:v>17:15</x:v>
      </x:c>
      <x:c r="H306" s="14" t="str">
        <x:v>研究生宿舍楼</x:v>
      </x:c>
      <x:c r="I306" s="14" t="str">
        <x:v>否</x:v>
      </x:c>
      <x:c r="J306" s="14" t="n">
        <x:v>9</x:v>
      </x:c>
      <x:c r="K306" s="14" t="str">
        <x:v>理学院</x:v>
      </x:c>
      <x:c r="L306" s="14" t="n">
        <x:v>10</x:v>
      </x:c>
      <x:c r="M306" s="14" t="str">
        <x:v>17:25</x:v>
      </x:c>
      <x:c r="N306" s="14" t="str">
        <x:v>否</x:v>
      </x:c>
      <x:c r="O306" s="14" t="str">
        <x:v>否</x:v>
      </x:c>
      <x:c r="P306" s="14" t="str">
        <x:v>未提供</x:v>
      </x:c>
      <x:c r="Q306" s="14" t="str">
        <x:v>未提供</x:v>
      </x:c>
      <x:c r="R306" s="14" t="str">
        <x:v>预测</x:v>
      </x:c>
      <x:c r="S306" s="14" t="str">
        <x:v>到站时间为估算值</x:v>
      </x:c>
      <x:c r="T306" t="str">
        <x:v>研究生宿舍楼发车</x:v>
      </x:c>
    </x:row>
    <x:row r="307">
      <x:c r="A307" s="14" t="str">
        <x:v>S0025-10</x:v>
      </x:c>
      <x:c r="B307" s="14" t="str">
        <x:v>S0025</x:v>
      </x:c>
      <x:c r="C307" s="14" t="str">
        <x:v>工作日</x:v>
      </x:c>
      <x:c r="D307" s="14" t="str">
        <x:v>环线1路</x:v>
      </x:c>
      <x:c r="E307" s="14" t="str">
        <x:v>第三班</x:v>
      </x:c>
      <x:c r="F307" s="14" t="n">
        <x:v>14</x:v>
      </x:c>
      <x:c r="G307" s="14" t="str">
        <x:v>17:15</x:v>
      </x:c>
      <x:c r="H307" s="14" t="str">
        <x:v>研究生宿舍楼</x:v>
      </x:c>
      <x:c r="I307" s="14" t="str">
        <x:v>否</x:v>
      </x:c>
      <x:c r="J307" s="14" t="n">
        <x:v>10</x:v>
      </x:c>
      <x:c r="K307" s="14" t="str">
        <x:v>二食堂</x:v>
      </x:c>
      <x:c r="L307" s="14" t="n">
        <x:v>13</x:v>
      </x:c>
      <x:c r="M307" s="14" t="str">
        <x:v>17:28</x:v>
      </x:c>
      <x:c r="N307" s="14" t="str">
        <x:v>否</x:v>
      </x:c>
      <x:c r="O307" s="14" t="str">
        <x:v>否</x:v>
      </x:c>
      <x:c r="P307" s="14" t="str">
        <x:v>未提供</x:v>
      </x:c>
      <x:c r="Q307" s="14" t="str">
        <x:v>未提供</x:v>
      </x:c>
      <x:c r="R307" s="14" t="str">
        <x:v>预测</x:v>
      </x:c>
      <x:c r="S307" s="14" t="str">
        <x:v>到站时间为估算值</x:v>
      </x:c>
      <x:c r="T307" t="str">
        <x:v>研究生宿舍楼发车</x:v>
      </x:c>
    </x:row>
    <x:row r="308">
      <x:c r="A308" s="14" t="str">
        <x:v>S0025-11</x:v>
      </x:c>
      <x:c r="B308" s="14" t="str">
        <x:v>S0025</x:v>
      </x:c>
      <x:c r="C308" s="14" t="str">
        <x:v>工作日</x:v>
      </x:c>
      <x:c r="D308" s="14" t="str">
        <x:v>环线1路</x:v>
      </x:c>
      <x:c r="E308" s="14" t="str">
        <x:v>第三班</x:v>
      </x:c>
      <x:c r="F308" s="14" t="n">
        <x:v>14</x:v>
      </x:c>
      <x:c r="G308" s="14" t="str">
        <x:v>17:15</x:v>
      </x:c>
      <x:c r="H308" s="14" t="str">
        <x:v>研究生宿舍楼</x:v>
      </x:c>
      <x:c r="I308" s="14" t="str">
        <x:v>否</x:v>
      </x:c>
      <x:c r="J308" s="14" t="n">
        <x:v>11</x:v>
      </x:c>
      <x:c r="K308" s="14" t="str">
        <x:v>5号宿舍楼</x:v>
      </x:c>
      <x:c r="L308" s="14" t="n">
        <x:v>14</x:v>
      </x:c>
      <x:c r="M308" s="14" t="str">
        <x:v>17:29</x:v>
      </x:c>
      <x:c r="N308" s="14" t="str">
        <x:v>否</x:v>
      </x:c>
      <x:c r="O308" s="14" t="str">
        <x:v>否</x:v>
      </x:c>
      <x:c r="P308" s="14" t="str">
        <x:v>未提供</x:v>
      </x:c>
      <x:c r="Q308" s="14" t="str">
        <x:v>未提供</x:v>
      </x:c>
      <x:c r="R308" s="14" t="str">
        <x:v>预测</x:v>
      </x:c>
      <x:c r="S308" s="14" t="str">
        <x:v>到站时间为估算值</x:v>
      </x:c>
      <x:c r="T308" t="str">
        <x:v>研究生宿舍楼发车</x:v>
      </x:c>
    </x:row>
    <x:row r="309">
      <x:c r="A309" s="14" t="str">
        <x:v>S0025-12</x:v>
      </x:c>
      <x:c r="B309" s="14" t="str">
        <x:v>S0025</x:v>
      </x:c>
      <x:c r="C309" s="14" t="str">
        <x:v>工作日</x:v>
      </x:c>
      <x:c r="D309" s="14" t="str">
        <x:v>环线1路</x:v>
      </x:c>
      <x:c r="E309" s="14" t="str">
        <x:v>第三班</x:v>
      </x:c>
      <x:c r="F309" s="14" t="n">
        <x:v>14</x:v>
      </x:c>
      <x:c r="G309" s="14" t="str">
        <x:v>17:15</x:v>
      </x:c>
      <x:c r="H309" s="14" t="str">
        <x:v>研究生宿舍楼</x:v>
      </x:c>
      <x:c r="I309" s="14" t="str">
        <x:v>否</x:v>
      </x:c>
      <x:c r="J309" s="14" t="n">
        <x:v>12</x:v>
      </x:c>
      <x:c r="K309" s="14" t="str">
        <x:v>305教学楼</x:v>
      </x:c>
      <x:c r="L309" s="14" t="n">
        <x:v>15</x:v>
      </x:c>
      <x:c r="M309" s="14" t="str">
        <x:v>17:30</x:v>
      </x:c>
      <x:c r="N309" s="14" t="str">
        <x:v>否</x:v>
      </x:c>
      <x:c r="O309" s="14" t="str">
        <x:v>否</x:v>
      </x:c>
      <x:c r="P309" s="14" t="str">
        <x:v>未提供</x:v>
      </x:c>
      <x:c r="Q309" s="14" t="str">
        <x:v>未提供</x:v>
      </x:c>
      <x:c r="R309" s="14" t="str">
        <x:v>预测</x:v>
      </x:c>
      <x:c r="S309" s="14" t="str">
        <x:v>到站时间为估算值</x:v>
      </x:c>
      <x:c r="T309" t="str">
        <x:v>研究生宿舍楼发车</x:v>
      </x:c>
    </x:row>
    <x:row r="310">
      <x:c r="A310" s="14" t="str">
        <x:v>S0025-13</x:v>
      </x:c>
      <x:c r="B310" s="14" t="str">
        <x:v>S0025</x:v>
      </x:c>
      <x:c r="C310" s="14" t="str">
        <x:v>工作日</x:v>
      </x:c>
      <x:c r="D310" s="14" t="str">
        <x:v>环线1路</x:v>
      </x:c>
      <x:c r="E310" s="14" t="str">
        <x:v>第三班</x:v>
      </x:c>
      <x:c r="F310" s="14" t="n">
        <x:v>14</x:v>
      </x:c>
      <x:c r="G310" s="14" t="str">
        <x:v>17:15</x:v>
      </x:c>
      <x:c r="H310" s="14" t="str">
        <x:v>研究生宿舍楼</x:v>
      </x:c>
      <x:c r="I310" s="14" t="str">
        <x:v>否</x:v>
      </x:c>
      <x:c r="J310" s="14" t="n">
        <x:v>13</x:v>
      </x:c>
      <x:c r="K310" s="14" t="str">
        <x:v>研究生宿舍楼</x:v>
      </x:c>
      <x:c r="L310" s="14" t="n">
        <x:v>17</x:v>
      </x:c>
      <x:c r="M310" s="14" t="str">
        <x:v>17:32</x:v>
      </x:c>
      <x:c r="N310" s="14" t="str">
        <x:v>否</x:v>
      </x:c>
      <x:c r="O310" s="14" t="str">
        <x:v>是</x:v>
      </x:c>
      <x:c r="P310" s="14" t="str">
        <x:v>未提供</x:v>
      </x:c>
      <x:c r="Q310" s="14" t="str">
        <x:v>未提供</x:v>
      </x:c>
      <x:c r="R310" s="14" t="str">
        <x:v>预测</x:v>
      </x:c>
      <x:c r="S310" s="14" t="str">
        <x:v>到站时间为估算值</x:v>
      </x:c>
      <x:c r="T310" t="str">
        <x:v>研究生宿舍楼发车</x:v>
      </x:c>
    </x:row>
    <x:row r="311">
      <x:c r="A311" s="14" t="str">
        <x:v>S0026-01</x:v>
      </x:c>
      <x:c r="B311" s="14" t="str">
        <x:v>S0026</x:v>
      </x:c>
      <x:c r="C311" s="14" t="str">
        <x:v>工作日</x:v>
      </x:c>
      <x:c r="D311" s="14" t="str">
        <x:v>环线1路</x:v>
      </x:c>
      <x:c r="E311" s="14" t="str">
        <x:v>第三班</x:v>
      </x:c>
      <x:c r="F311" s="14" t="n">
        <x:v>15</x:v>
      </x:c>
      <x:c r="G311" s="14" t="str">
        <x:v>18:00</x:v>
      </x:c>
      <x:c r="H311" s="14" t="str">
        <x:v>研究生宿舍楼</x:v>
      </x:c>
      <x:c r="I311" s="14" t="str">
        <x:v>否</x:v>
      </x:c>
      <x:c r="J311" s="14" t="n">
        <x:v>1</x:v>
      </x:c>
      <x:c r="K311" s="14" t="str">
        <x:v>研究生宿舍楼</x:v>
      </x:c>
      <x:c r="L311" s="14" t="n">
        <x:v>0</x:v>
      </x:c>
      <x:c r="M311" s="14" t="str">
        <x:v>18:00</x:v>
      </x:c>
      <x:c r="N311" s="14" t="str">
        <x:v>是</x:v>
      </x:c>
      <x:c r="O311" s="14" t="str">
        <x:v>否</x:v>
      </x:c>
      <x:c r="P311" s="14" t="str">
        <x:v>未提供</x:v>
      </x:c>
      <x:c r="Q311" s="14" t="str">
        <x:v>未提供</x:v>
      </x:c>
      <x:c r="R311" s="14" t="str">
        <x:v>预测</x:v>
      </x:c>
      <x:c r="S311" s="14" t="str">
        <x:v>到站时间为估算值</x:v>
      </x:c>
      <x:c r="T311" t="str">
        <x:v>研究生宿舍楼发车</x:v>
      </x:c>
    </x:row>
    <x:row r="312">
      <x:c r="A312" s="14" t="str">
        <x:v>S0026-02</x:v>
      </x:c>
      <x:c r="B312" s="14" t="str">
        <x:v>S0026</x:v>
      </x:c>
      <x:c r="C312" s="14" t="str">
        <x:v>工作日</x:v>
      </x:c>
      <x:c r="D312" s="14" t="str">
        <x:v>环线1路</x:v>
      </x:c>
      <x:c r="E312" s="14" t="str">
        <x:v>第三班</x:v>
      </x:c>
      <x:c r="F312" s="14" t="n">
        <x:v>15</x:v>
      </x:c>
      <x:c r="G312" s="14" t="str">
        <x:v>18:00</x:v>
      </x:c>
      <x:c r="H312" s="14" t="str">
        <x:v>研究生宿舍楼</x:v>
      </x:c>
      <x:c r="I312" s="14" t="str">
        <x:v>否</x:v>
      </x:c>
      <x:c r="J312" s="14" t="n">
        <x:v>2</x:v>
      </x:c>
      <x:c r="K312" s="14" t="str">
        <x:v>东门</x:v>
      </x:c>
      <x:c r="L312" s="14" t="n">
        <x:v>1</x:v>
      </x:c>
      <x:c r="M312" s="14" t="str">
        <x:v>18:01</x:v>
      </x:c>
      <x:c r="N312" s="14" t="str">
        <x:v>否</x:v>
      </x:c>
      <x:c r="O312" s="14" t="str">
        <x:v>否</x:v>
      </x:c>
      <x:c r="P312" s="14" t="str">
        <x:v>未提供</x:v>
      </x:c>
      <x:c r="Q312" s="14" t="str">
        <x:v>未提供</x:v>
      </x:c>
      <x:c r="R312" s="14" t="str">
        <x:v>预测</x:v>
      </x:c>
      <x:c r="S312" s="14" t="str">
        <x:v>到站时间为估算值</x:v>
      </x:c>
      <x:c r="T312" t="str">
        <x:v>研究生宿舍楼发车</x:v>
      </x:c>
    </x:row>
    <x:row r="313">
      <x:c r="A313" s="14" t="str">
        <x:v>S0026-03</x:v>
      </x:c>
      <x:c r="B313" s="14" t="str">
        <x:v>S0026</x:v>
      </x:c>
      <x:c r="C313" s="14" t="str">
        <x:v>工作日</x:v>
      </x:c>
      <x:c r="D313" s="14" t="str">
        <x:v>环线1路</x:v>
      </x:c>
      <x:c r="E313" s="14" t="str">
        <x:v>第三班</x:v>
      </x:c>
      <x:c r="F313" s="14" t="n">
        <x:v>15</x:v>
      </x:c>
      <x:c r="G313" s="14" t="str">
        <x:v>18:00</x:v>
      </x:c>
      <x:c r="H313" s="14" t="str">
        <x:v>研究生宿舍楼</x:v>
      </x:c>
      <x:c r="I313" s="14" t="str">
        <x:v>否</x:v>
      </x:c>
      <x:c r="J313" s="14" t="n">
        <x:v>3</x:v>
      </x:c>
      <x:c r="K313" s="14" t="str">
        <x:v>2号宿舍楼</x:v>
      </x:c>
      <x:c r="L313" s="14" t="n">
        <x:v>2</x:v>
      </x:c>
      <x:c r="M313" s="14" t="str">
        <x:v>18:02</x:v>
      </x:c>
      <x:c r="N313" s="14" t="str">
        <x:v>否</x:v>
      </x:c>
      <x:c r="O313" s="14" t="str">
        <x:v>否</x:v>
      </x:c>
      <x:c r="P313" s="14" t="str">
        <x:v>未提供</x:v>
      </x:c>
      <x:c r="Q313" s="14" t="str">
        <x:v>未提供</x:v>
      </x:c>
      <x:c r="R313" s="14" t="str">
        <x:v>预测</x:v>
      </x:c>
      <x:c r="S313" s="14" t="str">
        <x:v>到站时间为估算值</x:v>
      </x:c>
      <x:c r="T313" t="str">
        <x:v>研究生宿舍楼发车</x:v>
      </x:c>
    </x:row>
    <x:row r="314">
      <x:c r="A314" s="14" t="str">
        <x:v>S0026-04</x:v>
      </x:c>
      <x:c r="B314" s="14" t="str">
        <x:v>S0026</x:v>
      </x:c>
      <x:c r="C314" s="14" t="str">
        <x:v>工作日</x:v>
      </x:c>
      <x:c r="D314" s="14" t="str">
        <x:v>环线1路</x:v>
      </x:c>
      <x:c r="E314" s="14" t="str">
        <x:v>第三班</x:v>
      </x:c>
      <x:c r="F314" s="14" t="n">
        <x:v>15</x:v>
      </x:c>
      <x:c r="G314" s="14" t="str">
        <x:v>18:00</x:v>
      </x:c>
      <x:c r="H314" s="14" t="str">
        <x:v>研究生宿舍楼</x:v>
      </x:c>
      <x:c r="I314" s="14" t="str">
        <x:v>否</x:v>
      </x:c>
      <x:c r="J314" s="14" t="n">
        <x:v>4</x:v>
      </x:c>
      <x:c r="K314" s="14" t="str">
        <x:v>军体活动中心</x:v>
      </x:c>
      <x:c r="L314" s="14" t="n">
        <x:v>3</x:v>
      </x:c>
      <x:c r="M314" s="14" t="str">
        <x:v>18:03</x:v>
      </x:c>
      <x:c r="N314" s="14" t="str">
        <x:v>否</x:v>
      </x:c>
      <x:c r="O314" s="14" t="str">
        <x:v>否</x:v>
      </x:c>
      <x:c r="P314" s="14" t="str">
        <x:v>未提供</x:v>
      </x:c>
      <x:c r="Q314" s="14" t="str">
        <x:v>未提供</x:v>
      </x:c>
      <x:c r="R314" s="14" t="str">
        <x:v>预测</x:v>
      </x:c>
      <x:c r="S314" s="14" t="str">
        <x:v>到站时间为估算值</x:v>
      </x:c>
      <x:c r="T314" t="str">
        <x:v>研究生宿舍楼发车</x:v>
      </x:c>
    </x:row>
    <x:row r="315">
      <x:c r="A315" s="14" t="str">
        <x:v>S0026-05</x:v>
      </x:c>
      <x:c r="B315" s="14" t="str">
        <x:v>S0026</x:v>
      </x:c>
      <x:c r="C315" s="14" t="str">
        <x:v>工作日</x:v>
      </x:c>
      <x:c r="D315" s="14" t="str">
        <x:v>环线1路</x:v>
      </x:c>
      <x:c r="E315" s="14" t="str">
        <x:v>第三班</x:v>
      </x:c>
      <x:c r="F315" s="14" t="n">
        <x:v>15</x:v>
      </x:c>
      <x:c r="G315" s="14" t="str">
        <x:v>18:00</x:v>
      </x:c>
      <x:c r="H315" s="14" t="str">
        <x:v>研究生宿舍楼</x:v>
      </x:c>
      <x:c r="I315" s="14" t="str">
        <x:v>否</x:v>
      </x:c>
      <x:c r="J315" s="14" t="n">
        <x:v>5</x:v>
      </x:c>
      <x:c r="K315" s="14" t="str">
        <x:v>激光所</x:v>
      </x:c>
      <x:c r="L315" s="14" t="n">
        <x:v>5</x:v>
      </x:c>
      <x:c r="M315" s="14" t="str">
        <x:v>18:05</x:v>
      </x:c>
      <x:c r="N315" s="14" t="str">
        <x:v>否</x:v>
      </x:c>
      <x:c r="O315" s="14" t="str">
        <x:v>否</x:v>
      </x:c>
      <x:c r="P315" s="14" t="str">
        <x:v>未提供</x:v>
      </x:c>
      <x:c r="Q315" s="14" t="str">
        <x:v>未提供</x:v>
      </x:c>
      <x:c r="R315" s="14" t="str">
        <x:v>预测</x:v>
      </x:c>
      <x:c r="S315" s="14" t="str">
        <x:v>到站时间为估算值</x:v>
      </x:c>
      <x:c r="T315" t="str">
        <x:v>研究生宿舍楼发车</x:v>
      </x:c>
    </x:row>
    <x:row r="316">
      <x:c r="A316" s="14" t="str">
        <x:v>S0026-06</x:v>
      </x:c>
      <x:c r="B316" s="14" t="str">
        <x:v>S0026</x:v>
      </x:c>
      <x:c r="C316" s="14" t="str">
        <x:v>工作日</x:v>
      </x:c>
      <x:c r="D316" s="14" t="str">
        <x:v>环线1路</x:v>
      </x:c>
      <x:c r="E316" s="14" t="str">
        <x:v>第三班</x:v>
      </x:c>
      <x:c r="F316" s="14" t="n">
        <x:v>15</x:v>
      </x:c>
      <x:c r="G316" s="14" t="str">
        <x:v>18:00</x:v>
      </x:c>
      <x:c r="H316" s="14" t="str">
        <x:v>研究生宿舍楼</x:v>
      </x:c>
      <x:c r="I316" s="14" t="str">
        <x:v>否</x:v>
      </x:c>
      <x:c r="J316" s="14" t="n">
        <x:v>6</x:v>
      </x:c>
      <x:c r="K316" s="14" t="str">
        <x:v>超算中心</x:v>
      </x:c>
      <x:c r="L316" s="14" t="n">
        <x:v>6</x:v>
      </x:c>
      <x:c r="M316" s="14" t="str">
        <x:v>18:06</x:v>
      </x:c>
      <x:c r="N316" s="14" t="str">
        <x:v>否</x:v>
      </x:c>
      <x:c r="O316" s="14" t="str">
        <x:v>否</x:v>
      </x:c>
      <x:c r="P316" s="14" t="str">
        <x:v>未提供</x:v>
      </x:c>
      <x:c r="Q316" s="14" t="str">
        <x:v>未提供</x:v>
      </x:c>
      <x:c r="R316" s="14" t="str">
        <x:v>预测</x:v>
      </x:c>
      <x:c r="S316" s="14" t="str">
        <x:v>到站时间为估算值</x:v>
      </x:c>
      <x:c r="T316" t="str">
        <x:v>研究生宿舍楼发车</x:v>
      </x:c>
    </x:row>
    <x:row r="317">
      <x:c r="A317" s="14" t="str">
        <x:v>S0026-07</x:v>
      </x:c>
      <x:c r="B317" s="14" t="str">
        <x:v>S0026</x:v>
      </x:c>
      <x:c r="C317" s="14" t="str">
        <x:v>工作日</x:v>
      </x:c>
      <x:c r="D317" s="14" t="str">
        <x:v>环线1路</x:v>
      </x:c>
      <x:c r="E317" s="14" t="str">
        <x:v>第三班</x:v>
      </x:c>
      <x:c r="F317" s="14" t="n">
        <x:v>15</x:v>
      </x:c>
      <x:c r="G317" s="14" t="str">
        <x:v>18:00</x:v>
      </x:c>
      <x:c r="H317" s="14" t="str">
        <x:v>研究生宿舍楼</x:v>
      </x:c>
      <x:c r="I317" s="14" t="str">
        <x:v>否</x:v>
      </x:c>
      <x:c r="J317" s="14" t="n">
        <x:v>7</x:v>
      </x:c>
      <x:c r="K317" s="14" t="str">
        <x:v>北门</x:v>
      </x:c>
      <x:c r="L317" s="14" t="n">
        <x:v>8</x:v>
      </x:c>
      <x:c r="M317" s="14" t="str">
        <x:v>18:08</x:v>
      </x:c>
      <x:c r="N317" s="14" t="str">
        <x:v>否</x:v>
      </x:c>
      <x:c r="O317" s="14" t="str">
        <x:v>否</x:v>
      </x:c>
      <x:c r="P317" s="14" t="str">
        <x:v>未提供</x:v>
      </x:c>
      <x:c r="Q317" s="14" t="str">
        <x:v>未提供</x:v>
      </x:c>
      <x:c r="R317" s="14" t="str">
        <x:v>预测</x:v>
      </x:c>
      <x:c r="S317" s="14" t="str">
        <x:v>到站时间为估算值</x:v>
      </x:c>
      <x:c r="T317" t="str">
        <x:v>研究生宿舍楼发车</x:v>
      </x:c>
    </x:row>
    <x:row r="318">
      <x:c r="A318" s="14" t="str">
        <x:v>S0026-08</x:v>
      </x:c>
      <x:c r="B318" s="14" t="str">
        <x:v>S0026</x:v>
      </x:c>
      <x:c r="C318" s="14" t="str">
        <x:v>工作日</x:v>
      </x:c>
      <x:c r="D318" s="14" t="str">
        <x:v>环线1路</x:v>
      </x:c>
      <x:c r="E318" s="14" t="str">
        <x:v>第三班</x:v>
      </x:c>
      <x:c r="F318" s="14" t="n">
        <x:v>15</x:v>
      </x:c>
      <x:c r="G318" s="14" t="str">
        <x:v>18:00</x:v>
      </x:c>
      <x:c r="H318" s="14" t="str">
        <x:v>研究生宿舍楼</x:v>
      </x:c>
      <x:c r="I318" s="14" t="str">
        <x:v>否</x:v>
      </x:c>
      <x:c r="J318" s="14" t="n">
        <x:v>8</x:v>
      </x:c>
      <x:c r="K318" s="14" t="str">
        <x:v>高超楼</x:v>
      </x:c>
      <x:c r="L318" s="14" t="n">
        <x:v>9</x:v>
      </x:c>
      <x:c r="M318" s="14" t="str">
        <x:v>18:09</x:v>
      </x:c>
      <x:c r="N318" s="14" t="str">
        <x:v>否</x:v>
      </x:c>
      <x:c r="O318" s="14" t="str">
        <x:v>否</x:v>
      </x:c>
      <x:c r="P318" s="14" t="str">
        <x:v>未提供</x:v>
      </x:c>
      <x:c r="Q318" s="14" t="str">
        <x:v>未提供</x:v>
      </x:c>
      <x:c r="R318" s="14" t="str">
        <x:v>预测</x:v>
      </x:c>
      <x:c r="S318" s="14" t="str">
        <x:v>到站时间为估算值</x:v>
      </x:c>
      <x:c r="T318" t="str">
        <x:v>研究生宿舍楼发车</x:v>
      </x:c>
    </x:row>
    <x:row r="319">
      <x:c r="A319" s="14" t="str">
        <x:v>S0026-09</x:v>
      </x:c>
      <x:c r="B319" s="14" t="str">
        <x:v>S0026</x:v>
      </x:c>
      <x:c r="C319" s="14" t="str">
        <x:v>工作日</x:v>
      </x:c>
      <x:c r="D319" s="14" t="str">
        <x:v>环线1路</x:v>
      </x:c>
      <x:c r="E319" s="14" t="str">
        <x:v>第三班</x:v>
      </x:c>
      <x:c r="F319" s="14" t="n">
        <x:v>15</x:v>
      </x:c>
      <x:c r="G319" s="14" t="str">
        <x:v>18:00</x:v>
      </x:c>
      <x:c r="H319" s="14" t="str">
        <x:v>研究生宿舍楼</x:v>
      </x:c>
      <x:c r="I319" s="14" t="str">
        <x:v>否</x:v>
      </x:c>
      <x:c r="J319" s="14" t="n">
        <x:v>9</x:v>
      </x:c>
      <x:c r="K319" s="14" t="str">
        <x:v>理学院</x:v>
      </x:c>
      <x:c r="L319" s="14" t="n">
        <x:v>10</x:v>
      </x:c>
      <x:c r="M319" s="14" t="str">
        <x:v>18:10</x:v>
      </x:c>
      <x:c r="N319" s="14" t="str">
        <x:v>否</x:v>
      </x:c>
      <x:c r="O319" s="14" t="str">
        <x:v>否</x:v>
      </x:c>
      <x:c r="P319" s="14" t="str">
        <x:v>未提供</x:v>
      </x:c>
      <x:c r="Q319" s="14" t="str">
        <x:v>未提供</x:v>
      </x:c>
      <x:c r="R319" s="14" t="str">
        <x:v>预测</x:v>
      </x:c>
      <x:c r="S319" s="14" t="str">
        <x:v>到站时间为估算值</x:v>
      </x:c>
      <x:c r="T319" t="str">
        <x:v>研究生宿舍楼发车</x:v>
      </x:c>
    </x:row>
    <x:row r="320">
      <x:c r="A320" s="14" t="str">
        <x:v>S0026-10</x:v>
      </x:c>
      <x:c r="B320" s="14" t="str">
        <x:v>S0026</x:v>
      </x:c>
      <x:c r="C320" s="14" t="str">
        <x:v>工作日</x:v>
      </x:c>
      <x:c r="D320" s="14" t="str">
        <x:v>环线1路</x:v>
      </x:c>
      <x:c r="E320" s="14" t="str">
        <x:v>第三班</x:v>
      </x:c>
      <x:c r="F320" s="14" t="n">
        <x:v>15</x:v>
      </x:c>
      <x:c r="G320" s="14" t="str">
        <x:v>18:00</x:v>
      </x:c>
      <x:c r="H320" s="14" t="str">
        <x:v>研究生宿舍楼</x:v>
      </x:c>
      <x:c r="I320" s="14" t="str">
        <x:v>否</x:v>
      </x:c>
      <x:c r="J320" s="14" t="n">
        <x:v>10</x:v>
      </x:c>
      <x:c r="K320" s="14" t="str">
        <x:v>二食堂</x:v>
      </x:c>
      <x:c r="L320" s="14" t="n">
        <x:v>13</x:v>
      </x:c>
      <x:c r="M320" s="14" t="str">
        <x:v>18:13</x:v>
      </x:c>
      <x:c r="N320" s="14" t="str">
        <x:v>否</x:v>
      </x:c>
      <x:c r="O320" s="14" t="str">
        <x:v>否</x:v>
      </x:c>
      <x:c r="P320" s="14" t="str">
        <x:v>未提供</x:v>
      </x:c>
      <x:c r="Q320" s="14" t="str">
        <x:v>未提供</x:v>
      </x:c>
      <x:c r="R320" s="14" t="str">
        <x:v>预测</x:v>
      </x:c>
      <x:c r="S320" s="14" t="str">
        <x:v>到站时间为估算值</x:v>
      </x:c>
      <x:c r="T320" t="str">
        <x:v>研究生宿舍楼发车</x:v>
      </x:c>
    </x:row>
    <x:row r="321">
      <x:c r="A321" s="14" t="str">
        <x:v>S0026-11</x:v>
      </x:c>
      <x:c r="B321" s="14" t="str">
        <x:v>S0026</x:v>
      </x:c>
      <x:c r="C321" s="14" t="str">
        <x:v>工作日</x:v>
      </x:c>
      <x:c r="D321" s="14" t="str">
        <x:v>环线1路</x:v>
      </x:c>
      <x:c r="E321" s="14" t="str">
        <x:v>第三班</x:v>
      </x:c>
      <x:c r="F321" s="14" t="n">
        <x:v>15</x:v>
      </x:c>
      <x:c r="G321" s="14" t="str">
        <x:v>18:00</x:v>
      </x:c>
      <x:c r="H321" s="14" t="str">
        <x:v>研究生宿舍楼</x:v>
      </x:c>
      <x:c r="I321" s="14" t="str">
        <x:v>否</x:v>
      </x:c>
      <x:c r="J321" s="14" t="n">
        <x:v>11</x:v>
      </x:c>
      <x:c r="K321" s="14" t="str">
        <x:v>5号宿舍楼</x:v>
      </x:c>
      <x:c r="L321" s="14" t="n">
        <x:v>14</x:v>
      </x:c>
      <x:c r="M321" s="14" t="str">
        <x:v>18:14</x:v>
      </x:c>
      <x:c r="N321" s="14" t="str">
        <x:v>否</x:v>
      </x:c>
      <x:c r="O321" s="14" t="str">
        <x:v>否</x:v>
      </x:c>
      <x:c r="P321" s="14" t="str">
        <x:v>未提供</x:v>
      </x:c>
      <x:c r="Q321" s="14" t="str">
        <x:v>未提供</x:v>
      </x:c>
      <x:c r="R321" s="14" t="str">
        <x:v>预测</x:v>
      </x:c>
      <x:c r="S321" s="14" t="str">
        <x:v>到站时间为估算值</x:v>
      </x:c>
      <x:c r="T321" t="str">
        <x:v>研究生宿舍楼发车</x:v>
      </x:c>
    </x:row>
    <x:row r="322">
      <x:c r="A322" s="14" t="str">
        <x:v>S0026-12</x:v>
      </x:c>
      <x:c r="B322" s="14" t="str">
        <x:v>S0026</x:v>
      </x:c>
      <x:c r="C322" s="14" t="str">
        <x:v>工作日</x:v>
      </x:c>
      <x:c r="D322" s="14" t="str">
        <x:v>环线1路</x:v>
      </x:c>
      <x:c r="E322" s="14" t="str">
        <x:v>第三班</x:v>
      </x:c>
      <x:c r="F322" s="14" t="n">
        <x:v>15</x:v>
      </x:c>
      <x:c r="G322" s="14" t="str">
        <x:v>18:00</x:v>
      </x:c>
      <x:c r="H322" s="14" t="str">
        <x:v>研究生宿舍楼</x:v>
      </x:c>
      <x:c r="I322" s="14" t="str">
        <x:v>否</x:v>
      </x:c>
      <x:c r="J322" s="14" t="n">
        <x:v>12</x:v>
      </x:c>
      <x:c r="K322" s="14" t="str">
        <x:v>305教学楼</x:v>
      </x:c>
      <x:c r="L322" s="14" t="n">
        <x:v>15</x:v>
      </x:c>
      <x:c r="M322" s="14" t="str">
        <x:v>18:15</x:v>
      </x:c>
      <x:c r="N322" s="14" t="str">
        <x:v>否</x:v>
      </x:c>
      <x:c r="O322" s="14" t="str">
        <x:v>否</x:v>
      </x:c>
      <x:c r="P322" s="14" t="str">
        <x:v>未提供</x:v>
      </x:c>
      <x:c r="Q322" s="14" t="str">
        <x:v>未提供</x:v>
      </x:c>
      <x:c r="R322" s="14" t="str">
        <x:v>预测</x:v>
      </x:c>
      <x:c r="S322" s="14" t="str">
        <x:v>到站时间为估算值</x:v>
      </x:c>
      <x:c r="T322" t="str">
        <x:v>研究生宿舍楼发车</x:v>
      </x:c>
    </x:row>
    <x:row r="323">
      <x:c r="A323" s="14" t="str">
        <x:v>S0026-13</x:v>
      </x:c>
      <x:c r="B323" s="14" t="str">
        <x:v>S0026</x:v>
      </x:c>
      <x:c r="C323" s="14" t="str">
        <x:v>工作日</x:v>
      </x:c>
      <x:c r="D323" s="14" t="str">
        <x:v>环线1路</x:v>
      </x:c>
      <x:c r="E323" s="14" t="str">
        <x:v>第三班</x:v>
      </x:c>
      <x:c r="F323" s="14" t="n">
        <x:v>15</x:v>
      </x:c>
      <x:c r="G323" s="14" t="str">
        <x:v>18:00</x:v>
      </x:c>
      <x:c r="H323" s="14" t="str">
        <x:v>研究生宿舍楼</x:v>
      </x:c>
      <x:c r="I323" s="14" t="str">
        <x:v>否</x:v>
      </x:c>
      <x:c r="J323" s="14" t="n">
        <x:v>13</x:v>
      </x:c>
      <x:c r="K323" s="14" t="str">
        <x:v>研究生宿舍楼</x:v>
      </x:c>
      <x:c r="L323" s="14" t="n">
        <x:v>17</x:v>
      </x:c>
      <x:c r="M323" s="14" t="str">
        <x:v>18:17</x:v>
      </x:c>
      <x:c r="N323" s="14" t="str">
        <x:v>否</x:v>
      </x:c>
      <x:c r="O323" s="14" t="str">
        <x:v>是</x:v>
      </x:c>
      <x:c r="P323" s="14" t="str">
        <x:v>未提供</x:v>
      </x:c>
      <x:c r="Q323" s="14" t="str">
        <x:v>未提供</x:v>
      </x:c>
      <x:c r="R323" s="14" t="str">
        <x:v>预测</x:v>
      </x:c>
      <x:c r="S323" s="14" t="str">
        <x:v>到站时间为估算值</x:v>
      </x:c>
      <x:c r="T323" t="str">
        <x:v>研究生宿舍楼发车</x:v>
      </x:c>
    </x:row>
    <x:row r="324">
      <x:c r="A324" s="14" t="str">
        <x:v>S0027-01</x:v>
      </x:c>
      <x:c r="B324" s="14" t="str">
        <x:v>S0027</x:v>
      </x:c>
      <x:c r="C324" s="14" t="str">
        <x:v>工作日</x:v>
      </x:c>
      <x:c r="D324" s="14" t="str">
        <x:v>环线1路</x:v>
      </x:c>
      <x:c r="E324" s="14" t="str">
        <x:v>第二班</x:v>
      </x:c>
      <x:c r="F324" s="14" t="n">
        <x:v>1</x:v>
      </x:c>
      <x:c r="G324" s="14" t="str">
        <x:v>7:40</x:v>
      </x:c>
      <x:c r="H324" s="14" t="str">
        <x:v>研究生宿舍楼</x:v>
      </x:c>
      <x:c r="I324" s="14" t="str">
        <x:v>否</x:v>
      </x:c>
      <x:c r="J324" s="14" t="n">
        <x:v>1</x:v>
      </x:c>
      <x:c r="K324" s="14" t="str">
        <x:v>研究生宿舍楼</x:v>
      </x:c>
      <x:c r="L324" s="14" t="n">
        <x:v>0</x:v>
      </x:c>
      <x:c r="M324" s="14" t="str">
        <x:v>07:40</x:v>
      </x:c>
      <x:c r="N324" s="14" t="str">
        <x:v>是</x:v>
      </x:c>
      <x:c r="O324" s="14" t="str">
        <x:v>否</x:v>
      </x:c>
      <x:c r="P324" s="14" t="str">
        <x:v>未提供</x:v>
      </x:c>
      <x:c r="Q324" s="14" t="str">
        <x:v>未提供</x:v>
      </x:c>
      <x:c r="R324" s="14" t="str">
        <x:v>预测</x:v>
      </x:c>
      <x:c r="S324" s="14" t="str">
        <x:v>到站时间为估算值</x:v>
      </x:c>
      <x:c r="T324" t="str">
        <x:v>研究生宿舍楼发车</x:v>
      </x:c>
    </x:row>
    <x:row r="325">
      <x:c r="A325" s="14" t="str">
        <x:v>S0027-02</x:v>
      </x:c>
      <x:c r="B325" s="14" t="str">
        <x:v>S0027</x:v>
      </x:c>
      <x:c r="C325" s="14" t="str">
        <x:v>工作日</x:v>
      </x:c>
      <x:c r="D325" s="14" t="str">
        <x:v>环线1路</x:v>
      </x:c>
      <x:c r="E325" s="14" t="str">
        <x:v>第二班</x:v>
      </x:c>
      <x:c r="F325" s="14" t="n">
        <x:v>1</x:v>
      </x:c>
      <x:c r="G325" s="14" t="str">
        <x:v>7:40</x:v>
      </x:c>
      <x:c r="H325" s="14" t="str">
        <x:v>研究生宿舍楼</x:v>
      </x:c>
      <x:c r="I325" s="14" t="str">
        <x:v>否</x:v>
      </x:c>
      <x:c r="J325" s="14" t="n">
        <x:v>2</x:v>
      </x:c>
      <x:c r="K325" s="14" t="str">
        <x:v>东门</x:v>
      </x:c>
      <x:c r="L325" s="14" t="n">
        <x:v>1</x:v>
      </x:c>
      <x:c r="M325" s="14" t="str">
        <x:v>07:41</x:v>
      </x:c>
      <x:c r="N325" s="14" t="str">
        <x:v>否</x:v>
      </x:c>
      <x:c r="O325" s="14" t="str">
        <x:v>否</x:v>
      </x:c>
      <x:c r="P325" s="14" t="str">
        <x:v>未提供</x:v>
      </x:c>
      <x:c r="Q325" s="14" t="str">
        <x:v>未提供</x:v>
      </x:c>
      <x:c r="R325" s="14" t="str">
        <x:v>预测</x:v>
      </x:c>
      <x:c r="S325" s="14" t="str">
        <x:v>到站时间为估算值</x:v>
      </x:c>
      <x:c r="T325" t="str">
        <x:v>研究生宿舍楼发车</x:v>
      </x:c>
    </x:row>
    <x:row r="326">
      <x:c r="A326" s="14" t="str">
        <x:v>S0027-03</x:v>
      </x:c>
      <x:c r="B326" s="14" t="str">
        <x:v>S0027</x:v>
      </x:c>
      <x:c r="C326" s="14" t="str">
        <x:v>工作日</x:v>
      </x:c>
      <x:c r="D326" s="14" t="str">
        <x:v>环线1路</x:v>
      </x:c>
      <x:c r="E326" s="14" t="str">
        <x:v>第二班</x:v>
      </x:c>
      <x:c r="F326" s="14" t="n">
        <x:v>1</x:v>
      </x:c>
      <x:c r="G326" s="14" t="str">
        <x:v>7:40</x:v>
      </x:c>
      <x:c r="H326" s="14" t="str">
        <x:v>研究生宿舍楼</x:v>
      </x:c>
      <x:c r="I326" s="14" t="str">
        <x:v>否</x:v>
      </x:c>
      <x:c r="J326" s="14" t="n">
        <x:v>3</x:v>
      </x:c>
      <x:c r="K326" s="14" t="str">
        <x:v>2号宿舍楼</x:v>
      </x:c>
      <x:c r="L326" s="14" t="n">
        <x:v>2</x:v>
      </x:c>
      <x:c r="M326" s="14" t="str">
        <x:v>07:42</x:v>
      </x:c>
      <x:c r="N326" s="14" t="str">
        <x:v>否</x:v>
      </x:c>
      <x:c r="O326" s="14" t="str">
        <x:v>否</x:v>
      </x:c>
      <x:c r="P326" s="14" t="str">
        <x:v>未提供</x:v>
      </x:c>
      <x:c r="Q326" s="14" t="str">
        <x:v>未提供</x:v>
      </x:c>
      <x:c r="R326" s="14" t="str">
        <x:v>预测</x:v>
      </x:c>
      <x:c r="S326" s="14" t="str">
        <x:v>到站时间为估算值</x:v>
      </x:c>
      <x:c r="T326" t="str">
        <x:v>研究生宿舍楼发车</x:v>
      </x:c>
    </x:row>
    <x:row r="327">
      <x:c r="A327" s="14" t="str">
        <x:v>S0027-04</x:v>
      </x:c>
      <x:c r="B327" s="14" t="str">
        <x:v>S0027</x:v>
      </x:c>
      <x:c r="C327" s="14" t="str">
        <x:v>工作日</x:v>
      </x:c>
      <x:c r="D327" s="14" t="str">
        <x:v>环线1路</x:v>
      </x:c>
      <x:c r="E327" s="14" t="str">
        <x:v>第二班</x:v>
      </x:c>
      <x:c r="F327" s="14" t="n">
        <x:v>1</x:v>
      </x:c>
      <x:c r="G327" s="14" t="str">
        <x:v>7:40</x:v>
      </x:c>
      <x:c r="H327" s="14" t="str">
        <x:v>研究生宿舍楼</x:v>
      </x:c>
      <x:c r="I327" s="14" t="str">
        <x:v>否</x:v>
      </x:c>
      <x:c r="J327" s="14" t="n">
        <x:v>4</x:v>
      </x:c>
      <x:c r="K327" s="14" t="str">
        <x:v>军体活动中心</x:v>
      </x:c>
      <x:c r="L327" s="14" t="n">
        <x:v>3</x:v>
      </x:c>
      <x:c r="M327" s="14" t="str">
        <x:v>07:43</x:v>
      </x:c>
      <x:c r="N327" s="14" t="str">
        <x:v>否</x:v>
      </x:c>
      <x:c r="O327" s="14" t="str">
        <x:v>否</x:v>
      </x:c>
      <x:c r="P327" s="14" t="str">
        <x:v>未提供</x:v>
      </x:c>
      <x:c r="Q327" s="14" t="str">
        <x:v>未提供</x:v>
      </x:c>
      <x:c r="R327" s="14" t="str">
        <x:v>预测</x:v>
      </x:c>
      <x:c r="S327" s="14" t="str">
        <x:v>到站时间为估算值</x:v>
      </x:c>
      <x:c r="T327" t="str">
        <x:v>研究生宿舍楼发车</x:v>
      </x:c>
    </x:row>
    <x:row r="328">
      <x:c r="A328" s="14" t="str">
        <x:v>S0027-05</x:v>
      </x:c>
      <x:c r="B328" s="14" t="str">
        <x:v>S0027</x:v>
      </x:c>
      <x:c r="C328" s="14" t="str">
        <x:v>工作日</x:v>
      </x:c>
      <x:c r="D328" s="14" t="str">
        <x:v>环线1路</x:v>
      </x:c>
      <x:c r="E328" s="14" t="str">
        <x:v>第二班</x:v>
      </x:c>
      <x:c r="F328" s="14" t="n">
        <x:v>1</x:v>
      </x:c>
      <x:c r="G328" s="14" t="str">
        <x:v>7:40</x:v>
      </x:c>
      <x:c r="H328" s="14" t="str">
        <x:v>研究生宿舍楼</x:v>
      </x:c>
      <x:c r="I328" s="14" t="str">
        <x:v>否</x:v>
      </x:c>
      <x:c r="J328" s="14" t="n">
        <x:v>5</x:v>
      </x:c>
      <x:c r="K328" s="14" t="str">
        <x:v>激光所</x:v>
      </x:c>
      <x:c r="L328" s="14" t="n">
        <x:v>5</x:v>
      </x:c>
      <x:c r="M328" s="14" t="str">
        <x:v>07:45</x:v>
      </x:c>
      <x:c r="N328" s="14" t="str">
        <x:v>否</x:v>
      </x:c>
      <x:c r="O328" s="14" t="str">
        <x:v>否</x:v>
      </x:c>
      <x:c r="P328" s="14" t="str">
        <x:v>未提供</x:v>
      </x:c>
      <x:c r="Q328" s="14" t="str">
        <x:v>未提供</x:v>
      </x:c>
      <x:c r="R328" s="14" t="str">
        <x:v>预测</x:v>
      </x:c>
      <x:c r="S328" s="14" t="str">
        <x:v>到站时间为估算值</x:v>
      </x:c>
      <x:c r="T328" t="str">
        <x:v>研究生宿舍楼发车</x:v>
      </x:c>
    </x:row>
    <x:row r="329">
      <x:c r="A329" s="14" t="str">
        <x:v>S0027-06</x:v>
      </x:c>
      <x:c r="B329" s="14" t="str">
        <x:v>S0027</x:v>
      </x:c>
      <x:c r="C329" s="14" t="str">
        <x:v>工作日</x:v>
      </x:c>
      <x:c r="D329" s="14" t="str">
        <x:v>环线1路</x:v>
      </x:c>
      <x:c r="E329" s="14" t="str">
        <x:v>第二班</x:v>
      </x:c>
      <x:c r="F329" s="14" t="n">
        <x:v>1</x:v>
      </x:c>
      <x:c r="G329" s="14" t="str">
        <x:v>7:40</x:v>
      </x:c>
      <x:c r="H329" s="14" t="str">
        <x:v>研究生宿舍楼</x:v>
      </x:c>
      <x:c r="I329" s="14" t="str">
        <x:v>否</x:v>
      </x:c>
      <x:c r="J329" s="14" t="n">
        <x:v>6</x:v>
      </x:c>
      <x:c r="K329" s="14" t="str">
        <x:v>超算中心</x:v>
      </x:c>
      <x:c r="L329" s="14" t="n">
        <x:v>6</x:v>
      </x:c>
      <x:c r="M329" s="14" t="str">
        <x:v>07:46</x:v>
      </x:c>
      <x:c r="N329" s="14" t="str">
        <x:v>否</x:v>
      </x:c>
      <x:c r="O329" s="14" t="str">
        <x:v>否</x:v>
      </x:c>
      <x:c r="P329" s="14" t="str">
        <x:v>未提供</x:v>
      </x:c>
      <x:c r="Q329" s="14" t="str">
        <x:v>未提供</x:v>
      </x:c>
      <x:c r="R329" s="14" t="str">
        <x:v>预测</x:v>
      </x:c>
      <x:c r="S329" s="14" t="str">
        <x:v>到站时间为估算值</x:v>
      </x:c>
      <x:c r="T329" t="str">
        <x:v>研究生宿舍楼发车</x:v>
      </x:c>
    </x:row>
    <x:row r="330">
      <x:c r="A330" s="14" t="str">
        <x:v>S0027-07</x:v>
      </x:c>
      <x:c r="B330" s="14" t="str">
        <x:v>S0027</x:v>
      </x:c>
      <x:c r="C330" s="14" t="str">
        <x:v>工作日</x:v>
      </x:c>
      <x:c r="D330" s="14" t="str">
        <x:v>环线1路</x:v>
      </x:c>
      <x:c r="E330" s="14" t="str">
        <x:v>第二班</x:v>
      </x:c>
      <x:c r="F330" s="14" t="n">
        <x:v>1</x:v>
      </x:c>
      <x:c r="G330" s="14" t="str">
        <x:v>7:40</x:v>
      </x:c>
      <x:c r="H330" s="14" t="str">
        <x:v>研究生宿舍楼</x:v>
      </x:c>
      <x:c r="I330" s="14" t="str">
        <x:v>否</x:v>
      </x:c>
      <x:c r="J330" s="14" t="n">
        <x:v>7</x:v>
      </x:c>
      <x:c r="K330" s="14" t="str">
        <x:v>北门</x:v>
      </x:c>
      <x:c r="L330" s="14" t="n">
        <x:v>8</x:v>
      </x:c>
      <x:c r="M330" s="14" t="str">
        <x:v>07:48</x:v>
      </x:c>
      <x:c r="N330" s="14" t="str">
        <x:v>否</x:v>
      </x:c>
      <x:c r="O330" s="14" t="str">
        <x:v>否</x:v>
      </x:c>
      <x:c r="P330" s="14" t="str">
        <x:v>未提供</x:v>
      </x:c>
      <x:c r="Q330" s="14" t="str">
        <x:v>未提供</x:v>
      </x:c>
      <x:c r="R330" s="14" t="str">
        <x:v>预测</x:v>
      </x:c>
      <x:c r="S330" s="14" t="str">
        <x:v>到站时间为估算值</x:v>
      </x:c>
      <x:c r="T330" t="str">
        <x:v>研究生宿舍楼发车</x:v>
      </x:c>
    </x:row>
    <x:row r="331">
      <x:c r="A331" s="14" t="str">
        <x:v>S0027-08</x:v>
      </x:c>
      <x:c r="B331" s="14" t="str">
        <x:v>S0027</x:v>
      </x:c>
      <x:c r="C331" s="14" t="str">
        <x:v>工作日</x:v>
      </x:c>
      <x:c r="D331" s="14" t="str">
        <x:v>环线1路</x:v>
      </x:c>
      <x:c r="E331" s="14" t="str">
        <x:v>第二班</x:v>
      </x:c>
      <x:c r="F331" s="14" t="n">
        <x:v>1</x:v>
      </x:c>
      <x:c r="G331" s="14" t="str">
        <x:v>7:40</x:v>
      </x:c>
      <x:c r="H331" s="14" t="str">
        <x:v>研究生宿舍楼</x:v>
      </x:c>
      <x:c r="I331" s="14" t="str">
        <x:v>否</x:v>
      </x:c>
      <x:c r="J331" s="14" t="n">
        <x:v>8</x:v>
      </x:c>
      <x:c r="K331" s="14" t="str">
        <x:v>高超楼</x:v>
      </x:c>
      <x:c r="L331" s="14" t="n">
        <x:v>9</x:v>
      </x:c>
      <x:c r="M331" s="14" t="str">
        <x:v>07:49</x:v>
      </x:c>
      <x:c r="N331" s="14" t="str">
        <x:v>否</x:v>
      </x:c>
      <x:c r="O331" s="14" t="str">
        <x:v>否</x:v>
      </x:c>
      <x:c r="P331" s="14" t="str">
        <x:v>未提供</x:v>
      </x:c>
      <x:c r="Q331" s="14" t="str">
        <x:v>未提供</x:v>
      </x:c>
      <x:c r="R331" s="14" t="str">
        <x:v>预测</x:v>
      </x:c>
      <x:c r="S331" s="14" t="str">
        <x:v>到站时间为估算值</x:v>
      </x:c>
      <x:c r="T331" t="str">
        <x:v>研究生宿舍楼发车</x:v>
      </x:c>
    </x:row>
    <x:row r="332">
      <x:c r="A332" s="14" t="str">
        <x:v>S0027-09</x:v>
      </x:c>
      <x:c r="B332" s="14" t="str">
        <x:v>S0027</x:v>
      </x:c>
      <x:c r="C332" s="14" t="str">
        <x:v>工作日</x:v>
      </x:c>
      <x:c r="D332" s="14" t="str">
        <x:v>环线1路</x:v>
      </x:c>
      <x:c r="E332" s="14" t="str">
        <x:v>第二班</x:v>
      </x:c>
      <x:c r="F332" s="14" t="n">
        <x:v>1</x:v>
      </x:c>
      <x:c r="G332" s="14" t="str">
        <x:v>7:40</x:v>
      </x:c>
      <x:c r="H332" s="14" t="str">
        <x:v>研究生宿舍楼</x:v>
      </x:c>
      <x:c r="I332" s="14" t="str">
        <x:v>否</x:v>
      </x:c>
      <x:c r="J332" s="14" t="n">
        <x:v>9</x:v>
      </x:c>
      <x:c r="K332" s="14" t="str">
        <x:v>理学院</x:v>
      </x:c>
      <x:c r="L332" s="14" t="n">
        <x:v>10</x:v>
      </x:c>
      <x:c r="M332" s="14" t="str">
        <x:v>07:50</x:v>
      </x:c>
      <x:c r="N332" s="14" t="str">
        <x:v>否</x:v>
      </x:c>
      <x:c r="O332" s="14" t="str">
        <x:v>否</x:v>
      </x:c>
      <x:c r="P332" s="14" t="str">
        <x:v>未提供</x:v>
      </x:c>
      <x:c r="Q332" s="14" t="str">
        <x:v>未提供</x:v>
      </x:c>
      <x:c r="R332" s="14" t="str">
        <x:v>预测</x:v>
      </x:c>
      <x:c r="S332" s="14" t="str">
        <x:v>到站时间为估算值</x:v>
      </x:c>
      <x:c r="T332" t="str">
        <x:v>研究生宿舍楼发车</x:v>
      </x:c>
    </x:row>
    <x:row r="333">
      <x:c r="A333" s="14" t="str">
        <x:v>S0027-10</x:v>
      </x:c>
      <x:c r="B333" s="14" t="str">
        <x:v>S0027</x:v>
      </x:c>
      <x:c r="C333" s="14" t="str">
        <x:v>工作日</x:v>
      </x:c>
      <x:c r="D333" s="14" t="str">
        <x:v>环线1路</x:v>
      </x:c>
      <x:c r="E333" s="14" t="str">
        <x:v>第二班</x:v>
      </x:c>
      <x:c r="F333" s="14" t="n">
        <x:v>1</x:v>
      </x:c>
      <x:c r="G333" s="14" t="str">
        <x:v>7:40</x:v>
      </x:c>
      <x:c r="H333" s="14" t="str">
        <x:v>研究生宿舍楼</x:v>
      </x:c>
      <x:c r="I333" s="14" t="str">
        <x:v>否</x:v>
      </x:c>
      <x:c r="J333" s="14" t="n">
        <x:v>10</x:v>
      </x:c>
      <x:c r="K333" s="14" t="str">
        <x:v>二食堂</x:v>
      </x:c>
      <x:c r="L333" s="14" t="n">
        <x:v>13</x:v>
      </x:c>
      <x:c r="M333" s="14" t="str">
        <x:v>07:53</x:v>
      </x:c>
      <x:c r="N333" s="14" t="str">
        <x:v>否</x:v>
      </x:c>
      <x:c r="O333" s="14" t="str">
        <x:v>否</x:v>
      </x:c>
      <x:c r="P333" s="14" t="str">
        <x:v>未提供</x:v>
      </x:c>
      <x:c r="Q333" s="14" t="str">
        <x:v>未提供</x:v>
      </x:c>
      <x:c r="R333" s="14" t="str">
        <x:v>预测</x:v>
      </x:c>
      <x:c r="S333" s="14" t="str">
        <x:v>到站时间为估算值</x:v>
      </x:c>
      <x:c r="T333" t="str">
        <x:v>研究生宿舍楼发车</x:v>
      </x:c>
    </x:row>
    <x:row r="334">
      <x:c r="A334" s="14" t="str">
        <x:v>S0027-11</x:v>
      </x:c>
      <x:c r="B334" s="14" t="str">
        <x:v>S0027</x:v>
      </x:c>
      <x:c r="C334" s="14" t="str">
        <x:v>工作日</x:v>
      </x:c>
      <x:c r="D334" s="14" t="str">
        <x:v>环线1路</x:v>
      </x:c>
      <x:c r="E334" s="14" t="str">
        <x:v>第二班</x:v>
      </x:c>
      <x:c r="F334" s="14" t="n">
        <x:v>1</x:v>
      </x:c>
      <x:c r="G334" s="14" t="str">
        <x:v>7:40</x:v>
      </x:c>
      <x:c r="H334" s="14" t="str">
        <x:v>研究生宿舍楼</x:v>
      </x:c>
      <x:c r="I334" s="14" t="str">
        <x:v>否</x:v>
      </x:c>
      <x:c r="J334" s="14" t="n">
        <x:v>11</x:v>
      </x:c>
      <x:c r="K334" s="14" t="str">
        <x:v>5号宿舍楼</x:v>
      </x:c>
      <x:c r="L334" s="14" t="n">
        <x:v>14</x:v>
      </x:c>
      <x:c r="M334" s="14" t="str">
        <x:v>07:54</x:v>
      </x:c>
      <x:c r="N334" s="14" t="str">
        <x:v>否</x:v>
      </x:c>
      <x:c r="O334" s="14" t="str">
        <x:v>否</x:v>
      </x:c>
      <x:c r="P334" s="14" t="str">
        <x:v>未提供</x:v>
      </x:c>
      <x:c r="Q334" s="14" t="str">
        <x:v>未提供</x:v>
      </x:c>
      <x:c r="R334" s="14" t="str">
        <x:v>预测</x:v>
      </x:c>
      <x:c r="S334" s="14" t="str">
        <x:v>到站时间为估算值</x:v>
      </x:c>
      <x:c r="T334" t="str">
        <x:v>研究生宿舍楼发车</x:v>
      </x:c>
    </x:row>
    <x:row r="335">
      <x:c r="A335" s="14" t="str">
        <x:v>S0027-12</x:v>
      </x:c>
      <x:c r="B335" s="14" t="str">
        <x:v>S0027</x:v>
      </x:c>
      <x:c r="C335" s="14" t="str">
        <x:v>工作日</x:v>
      </x:c>
      <x:c r="D335" s="14" t="str">
        <x:v>环线1路</x:v>
      </x:c>
      <x:c r="E335" s="14" t="str">
        <x:v>第二班</x:v>
      </x:c>
      <x:c r="F335" s="14" t="n">
        <x:v>1</x:v>
      </x:c>
      <x:c r="G335" s="14" t="str">
        <x:v>7:40</x:v>
      </x:c>
      <x:c r="H335" s="14" t="str">
        <x:v>研究生宿舍楼</x:v>
      </x:c>
      <x:c r="I335" s="14" t="str">
        <x:v>否</x:v>
      </x:c>
      <x:c r="J335" s="14" t="n">
        <x:v>12</x:v>
      </x:c>
      <x:c r="K335" s="14" t="str">
        <x:v>305教学楼</x:v>
      </x:c>
      <x:c r="L335" s="14" t="n">
        <x:v>15</x:v>
      </x:c>
      <x:c r="M335" s="14" t="str">
        <x:v>07:55</x:v>
      </x:c>
      <x:c r="N335" s="14" t="str">
        <x:v>否</x:v>
      </x:c>
      <x:c r="O335" s="14" t="str">
        <x:v>否</x:v>
      </x:c>
      <x:c r="P335" s="14" t="str">
        <x:v>未提供</x:v>
      </x:c>
      <x:c r="Q335" s="14" t="str">
        <x:v>未提供</x:v>
      </x:c>
      <x:c r="R335" s="14" t="str">
        <x:v>预测</x:v>
      </x:c>
      <x:c r="S335" s="14" t="str">
        <x:v>到站时间为估算值</x:v>
      </x:c>
      <x:c r="T335" t="str">
        <x:v>研究生宿舍楼发车</x:v>
      </x:c>
    </x:row>
    <x:row r="336">
      <x:c r="A336" s="14" t="str">
        <x:v>S0027-13</x:v>
      </x:c>
      <x:c r="B336" s="14" t="str">
        <x:v>S0027</x:v>
      </x:c>
      <x:c r="C336" s="14" t="str">
        <x:v>工作日</x:v>
      </x:c>
      <x:c r="D336" s="14" t="str">
        <x:v>环线1路</x:v>
      </x:c>
      <x:c r="E336" s="14" t="str">
        <x:v>第二班</x:v>
      </x:c>
      <x:c r="F336" s="14" t="n">
        <x:v>1</x:v>
      </x:c>
      <x:c r="G336" s="14" t="str">
        <x:v>7:40</x:v>
      </x:c>
      <x:c r="H336" s="14" t="str">
        <x:v>研究生宿舍楼</x:v>
      </x:c>
      <x:c r="I336" s="14" t="str">
        <x:v>否</x:v>
      </x:c>
      <x:c r="J336" s="14" t="n">
        <x:v>13</x:v>
      </x:c>
      <x:c r="K336" s="14" t="str">
        <x:v>研究生宿舍楼</x:v>
      </x:c>
      <x:c r="L336" s="14" t="n">
        <x:v>17</x:v>
      </x:c>
      <x:c r="M336" s="14" t="str">
        <x:v>07:57</x:v>
      </x:c>
      <x:c r="N336" s="14" t="str">
        <x:v>否</x:v>
      </x:c>
      <x:c r="O336" s="14" t="str">
        <x:v>是</x:v>
      </x:c>
      <x:c r="P336" s="14" t="str">
        <x:v>未提供</x:v>
      </x:c>
      <x:c r="Q336" s="14" t="str">
        <x:v>未提供</x:v>
      </x:c>
      <x:c r="R336" s="14" t="str">
        <x:v>预测</x:v>
      </x:c>
      <x:c r="S336" s="14" t="str">
        <x:v>到站时间为估算值</x:v>
      </x:c>
      <x:c r="T336" t="str">
        <x:v>研究生宿舍楼发车</x:v>
      </x:c>
    </x:row>
    <x:row r="337">
      <x:c r="A337" s="14" t="str">
        <x:v>S0028-01</x:v>
      </x:c>
      <x:c r="B337" s="14" t="str">
        <x:v>S0028</x:v>
      </x:c>
      <x:c r="C337" s="14" t="str">
        <x:v>工作日</x:v>
      </x:c>
      <x:c r="D337" s="14" t="str">
        <x:v>环线1路</x:v>
      </x:c>
      <x:c r="E337" s="14" t="str">
        <x:v>第二班</x:v>
      </x:c>
      <x:c r="F337" s="14" t="n">
        <x:v>2</x:v>
      </x:c>
      <x:c r="G337" s="14" t="str">
        <x:v>8:10</x:v>
      </x:c>
      <x:c r="H337" s="14" t="str">
        <x:v>研究生宿舍楼</x:v>
      </x:c>
      <x:c r="I337" s="14" t="str">
        <x:v>否</x:v>
      </x:c>
      <x:c r="J337" s="14" t="n">
        <x:v>1</x:v>
      </x:c>
      <x:c r="K337" s="14" t="str">
        <x:v>研究生宿舍楼</x:v>
      </x:c>
      <x:c r="L337" s="14" t="n">
        <x:v>0</x:v>
      </x:c>
      <x:c r="M337" s="14" t="str">
        <x:v>08:10</x:v>
      </x:c>
      <x:c r="N337" s="14" t="str">
        <x:v>是</x:v>
      </x:c>
      <x:c r="O337" s="14" t="str">
        <x:v>否</x:v>
      </x:c>
      <x:c r="P337" s="14" t="str">
        <x:v>未提供</x:v>
      </x:c>
      <x:c r="Q337" s="14" t="str">
        <x:v>未提供</x:v>
      </x:c>
      <x:c r="R337" s="14" t="str">
        <x:v>预测</x:v>
      </x:c>
      <x:c r="S337" s="14" t="str">
        <x:v>到站时间为估算值</x:v>
      </x:c>
      <x:c r="T337" t="str">
        <x:v>研究生宿舍楼发车</x:v>
      </x:c>
    </x:row>
    <x:row r="338">
      <x:c r="A338" s="14" t="str">
        <x:v>S0028-02</x:v>
      </x:c>
      <x:c r="B338" s="14" t="str">
        <x:v>S0028</x:v>
      </x:c>
      <x:c r="C338" s="14" t="str">
        <x:v>工作日</x:v>
      </x:c>
      <x:c r="D338" s="14" t="str">
        <x:v>环线1路</x:v>
      </x:c>
      <x:c r="E338" s="14" t="str">
        <x:v>第二班</x:v>
      </x:c>
      <x:c r="F338" s="14" t="n">
        <x:v>2</x:v>
      </x:c>
      <x:c r="G338" s="14" t="str">
        <x:v>8:10</x:v>
      </x:c>
      <x:c r="H338" s="14" t="str">
        <x:v>研究生宿舍楼</x:v>
      </x:c>
      <x:c r="I338" s="14" t="str">
        <x:v>否</x:v>
      </x:c>
      <x:c r="J338" s="14" t="n">
        <x:v>2</x:v>
      </x:c>
      <x:c r="K338" s="14" t="str">
        <x:v>东门</x:v>
      </x:c>
      <x:c r="L338" s="14" t="n">
        <x:v>1</x:v>
      </x:c>
      <x:c r="M338" s="14" t="str">
        <x:v>08:11</x:v>
      </x:c>
      <x:c r="N338" s="14" t="str">
        <x:v>否</x:v>
      </x:c>
      <x:c r="O338" s="14" t="str">
        <x:v>否</x:v>
      </x:c>
      <x:c r="P338" s="14" t="str">
        <x:v>未提供</x:v>
      </x:c>
      <x:c r="Q338" s="14" t="str">
        <x:v>未提供</x:v>
      </x:c>
      <x:c r="R338" s="14" t="str">
        <x:v>预测</x:v>
      </x:c>
      <x:c r="S338" s="14" t="str">
        <x:v>到站时间为估算值</x:v>
      </x:c>
      <x:c r="T338" t="str">
        <x:v>研究生宿舍楼发车</x:v>
      </x:c>
    </x:row>
    <x:row r="339">
      <x:c r="A339" s="14" t="str">
        <x:v>S0028-03</x:v>
      </x:c>
      <x:c r="B339" s="14" t="str">
        <x:v>S0028</x:v>
      </x:c>
      <x:c r="C339" s="14" t="str">
        <x:v>工作日</x:v>
      </x:c>
      <x:c r="D339" s="14" t="str">
        <x:v>环线1路</x:v>
      </x:c>
      <x:c r="E339" s="14" t="str">
        <x:v>第二班</x:v>
      </x:c>
      <x:c r="F339" s="14" t="n">
        <x:v>2</x:v>
      </x:c>
      <x:c r="G339" s="14" t="str">
        <x:v>8:10</x:v>
      </x:c>
      <x:c r="H339" s="14" t="str">
        <x:v>研究生宿舍楼</x:v>
      </x:c>
      <x:c r="I339" s="14" t="str">
        <x:v>否</x:v>
      </x:c>
      <x:c r="J339" s="14" t="n">
        <x:v>3</x:v>
      </x:c>
      <x:c r="K339" s="14" t="str">
        <x:v>2号宿舍楼</x:v>
      </x:c>
      <x:c r="L339" s="14" t="n">
        <x:v>2</x:v>
      </x:c>
      <x:c r="M339" s="14" t="str">
        <x:v>08:12</x:v>
      </x:c>
      <x:c r="N339" s="14" t="str">
        <x:v>否</x:v>
      </x:c>
      <x:c r="O339" s="14" t="str">
        <x:v>否</x:v>
      </x:c>
      <x:c r="P339" s="14" t="str">
        <x:v>未提供</x:v>
      </x:c>
      <x:c r="Q339" s="14" t="str">
        <x:v>未提供</x:v>
      </x:c>
      <x:c r="R339" s="14" t="str">
        <x:v>预测</x:v>
      </x:c>
      <x:c r="S339" s="14" t="str">
        <x:v>到站时间为估算值</x:v>
      </x:c>
      <x:c r="T339" t="str">
        <x:v>研究生宿舍楼发车</x:v>
      </x:c>
    </x:row>
    <x:row r="340">
      <x:c r="A340" s="14" t="str">
        <x:v>S0028-04</x:v>
      </x:c>
      <x:c r="B340" s="14" t="str">
        <x:v>S0028</x:v>
      </x:c>
      <x:c r="C340" s="14" t="str">
        <x:v>工作日</x:v>
      </x:c>
      <x:c r="D340" s="14" t="str">
        <x:v>环线1路</x:v>
      </x:c>
      <x:c r="E340" s="14" t="str">
        <x:v>第二班</x:v>
      </x:c>
      <x:c r="F340" s="14" t="n">
        <x:v>2</x:v>
      </x:c>
      <x:c r="G340" s="14" t="str">
        <x:v>8:10</x:v>
      </x:c>
      <x:c r="H340" s="14" t="str">
        <x:v>研究生宿舍楼</x:v>
      </x:c>
      <x:c r="I340" s="14" t="str">
        <x:v>否</x:v>
      </x:c>
      <x:c r="J340" s="14" t="n">
        <x:v>4</x:v>
      </x:c>
      <x:c r="K340" s="14" t="str">
        <x:v>军体活动中心</x:v>
      </x:c>
      <x:c r="L340" s="14" t="n">
        <x:v>3</x:v>
      </x:c>
      <x:c r="M340" s="14" t="str">
        <x:v>08:13</x:v>
      </x:c>
      <x:c r="N340" s="14" t="str">
        <x:v>否</x:v>
      </x:c>
      <x:c r="O340" s="14" t="str">
        <x:v>否</x:v>
      </x:c>
      <x:c r="P340" s="14" t="str">
        <x:v>未提供</x:v>
      </x:c>
      <x:c r="Q340" s="14" t="str">
        <x:v>未提供</x:v>
      </x:c>
      <x:c r="R340" s="14" t="str">
        <x:v>预测</x:v>
      </x:c>
      <x:c r="S340" s="14" t="str">
        <x:v>到站时间为估算值</x:v>
      </x:c>
      <x:c r="T340" t="str">
        <x:v>研究生宿舍楼发车</x:v>
      </x:c>
    </x:row>
    <x:row r="341">
      <x:c r="A341" s="14" t="str">
        <x:v>S0028-05</x:v>
      </x:c>
      <x:c r="B341" s="14" t="str">
        <x:v>S0028</x:v>
      </x:c>
      <x:c r="C341" s="14" t="str">
        <x:v>工作日</x:v>
      </x:c>
      <x:c r="D341" s="14" t="str">
        <x:v>环线1路</x:v>
      </x:c>
      <x:c r="E341" s="14" t="str">
        <x:v>第二班</x:v>
      </x:c>
      <x:c r="F341" s="14" t="n">
        <x:v>2</x:v>
      </x:c>
      <x:c r="G341" s="14" t="str">
        <x:v>8:10</x:v>
      </x:c>
      <x:c r="H341" s="14" t="str">
        <x:v>研究生宿舍楼</x:v>
      </x:c>
      <x:c r="I341" s="14" t="str">
        <x:v>否</x:v>
      </x:c>
      <x:c r="J341" s="14" t="n">
        <x:v>5</x:v>
      </x:c>
      <x:c r="K341" s="14" t="str">
        <x:v>激光所</x:v>
      </x:c>
      <x:c r="L341" s="14" t="n">
        <x:v>5</x:v>
      </x:c>
      <x:c r="M341" s="14" t="str">
        <x:v>08:15</x:v>
      </x:c>
      <x:c r="N341" s="14" t="str">
        <x:v>否</x:v>
      </x:c>
      <x:c r="O341" s="14" t="str">
        <x:v>否</x:v>
      </x:c>
      <x:c r="P341" s="14" t="str">
        <x:v>未提供</x:v>
      </x:c>
      <x:c r="Q341" s="14" t="str">
        <x:v>未提供</x:v>
      </x:c>
      <x:c r="R341" s="14" t="str">
        <x:v>预测</x:v>
      </x:c>
      <x:c r="S341" s="14" t="str">
        <x:v>到站时间为估算值</x:v>
      </x:c>
      <x:c r="T341" t="str">
        <x:v>研究生宿舍楼发车</x:v>
      </x:c>
    </x:row>
    <x:row r="342">
      <x:c r="A342" s="14" t="str">
        <x:v>S0028-06</x:v>
      </x:c>
      <x:c r="B342" s="14" t="str">
        <x:v>S0028</x:v>
      </x:c>
      <x:c r="C342" s="14" t="str">
        <x:v>工作日</x:v>
      </x:c>
      <x:c r="D342" s="14" t="str">
        <x:v>环线1路</x:v>
      </x:c>
      <x:c r="E342" s="14" t="str">
        <x:v>第二班</x:v>
      </x:c>
      <x:c r="F342" s="14" t="n">
        <x:v>2</x:v>
      </x:c>
      <x:c r="G342" s="14" t="str">
        <x:v>8:10</x:v>
      </x:c>
      <x:c r="H342" s="14" t="str">
        <x:v>研究生宿舍楼</x:v>
      </x:c>
      <x:c r="I342" s="14" t="str">
        <x:v>否</x:v>
      </x:c>
      <x:c r="J342" s="14" t="n">
        <x:v>6</x:v>
      </x:c>
      <x:c r="K342" s="14" t="str">
        <x:v>超算中心</x:v>
      </x:c>
      <x:c r="L342" s="14" t="n">
        <x:v>6</x:v>
      </x:c>
      <x:c r="M342" s="14" t="str">
        <x:v>08:16</x:v>
      </x:c>
      <x:c r="N342" s="14" t="str">
        <x:v>否</x:v>
      </x:c>
      <x:c r="O342" s="14" t="str">
        <x:v>否</x:v>
      </x:c>
      <x:c r="P342" s="14" t="str">
        <x:v>未提供</x:v>
      </x:c>
      <x:c r="Q342" s="14" t="str">
        <x:v>未提供</x:v>
      </x:c>
      <x:c r="R342" s="14" t="str">
        <x:v>预测</x:v>
      </x:c>
      <x:c r="S342" s="14" t="str">
        <x:v>到站时间为估算值</x:v>
      </x:c>
      <x:c r="T342" t="str">
        <x:v>研究生宿舍楼发车</x:v>
      </x:c>
    </x:row>
    <x:row r="343">
      <x:c r="A343" s="14" t="str">
        <x:v>S0028-07</x:v>
      </x:c>
      <x:c r="B343" s="14" t="str">
        <x:v>S0028</x:v>
      </x:c>
      <x:c r="C343" s="14" t="str">
        <x:v>工作日</x:v>
      </x:c>
      <x:c r="D343" s="14" t="str">
        <x:v>环线1路</x:v>
      </x:c>
      <x:c r="E343" s="14" t="str">
        <x:v>第二班</x:v>
      </x:c>
      <x:c r="F343" s="14" t="n">
        <x:v>2</x:v>
      </x:c>
      <x:c r="G343" s="14" t="str">
        <x:v>8:10</x:v>
      </x:c>
      <x:c r="H343" s="14" t="str">
        <x:v>研究生宿舍楼</x:v>
      </x:c>
      <x:c r="I343" s="14" t="str">
        <x:v>否</x:v>
      </x:c>
      <x:c r="J343" s="14" t="n">
        <x:v>7</x:v>
      </x:c>
      <x:c r="K343" s="14" t="str">
        <x:v>北门</x:v>
      </x:c>
      <x:c r="L343" s="14" t="n">
        <x:v>8</x:v>
      </x:c>
      <x:c r="M343" s="14" t="str">
        <x:v>08:18</x:v>
      </x:c>
      <x:c r="N343" s="14" t="str">
        <x:v>否</x:v>
      </x:c>
      <x:c r="O343" s="14" t="str">
        <x:v>否</x:v>
      </x:c>
      <x:c r="P343" s="14" t="str">
        <x:v>未提供</x:v>
      </x:c>
      <x:c r="Q343" s="14" t="str">
        <x:v>未提供</x:v>
      </x:c>
      <x:c r="R343" s="14" t="str">
        <x:v>预测</x:v>
      </x:c>
      <x:c r="S343" s="14" t="str">
        <x:v>到站时间为估算值</x:v>
      </x:c>
      <x:c r="T343" t="str">
        <x:v>研究生宿舍楼发车</x:v>
      </x:c>
    </x:row>
    <x:row r="344">
      <x:c r="A344" s="14" t="str">
        <x:v>S0028-08</x:v>
      </x:c>
      <x:c r="B344" s="14" t="str">
        <x:v>S0028</x:v>
      </x:c>
      <x:c r="C344" s="14" t="str">
        <x:v>工作日</x:v>
      </x:c>
      <x:c r="D344" s="14" t="str">
        <x:v>环线1路</x:v>
      </x:c>
      <x:c r="E344" s="14" t="str">
        <x:v>第二班</x:v>
      </x:c>
      <x:c r="F344" s="14" t="n">
        <x:v>2</x:v>
      </x:c>
      <x:c r="G344" s="14" t="str">
        <x:v>8:10</x:v>
      </x:c>
      <x:c r="H344" s="14" t="str">
        <x:v>研究生宿舍楼</x:v>
      </x:c>
      <x:c r="I344" s="14" t="str">
        <x:v>否</x:v>
      </x:c>
      <x:c r="J344" s="14" t="n">
        <x:v>8</x:v>
      </x:c>
      <x:c r="K344" s="14" t="str">
        <x:v>高超楼</x:v>
      </x:c>
      <x:c r="L344" s="14" t="n">
        <x:v>9</x:v>
      </x:c>
      <x:c r="M344" s="14" t="str">
        <x:v>08:19</x:v>
      </x:c>
      <x:c r="N344" s="14" t="str">
        <x:v>否</x:v>
      </x:c>
      <x:c r="O344" s="14" t="str">
        <x:v>否</x:v>
      </x:c>
      <x:c r="P344" s="14" t="str">
        <x:v>未提供</x:v>
      </x:c>
      <x:c r="Q344" s="14" t="str">
        <x:v>未提供</x:v>
      </x:c>
      <x:c r="R344" s="14" t="str">
        <x:v>预测</x:v>
      </x:c>
      <x:c r="S344" s="14" t="str">
        <x:v>到站时间为估算值</x:v>
      </x:c>
      <x:c r="T344" t="str">
        <x:v>研究生宿舍楼发车</x:v>
      </x:c>
    </x:row>
    <x:row r="345">
      <x:c r="A345" s="14" t="str">
        <x:v>S0028-09</x:v>
      </x:c>
      <x:c r="B345" s="14" t="str">
        <x:v>S0028</x:v>
      </x:c>
      <x:c r="C345" s="14" t="str">
        <x:v>工作日</x:v>
      </x:c>
      <x:c r="D345" s="14" t="str">
        <x:v>环线1路</x:v>
      </x:c>
      <x:c r="E345" s="14" t="str">
        <x:v>第二班</x:v>
      </x:c>
      <x:c r="F345" s="14" t="n">
        <x:v>2</x:v>
      </x:c>
      <x:c r="G345" s="14" t="str">
        <x:v>8:10</x:v>
      </x:c>
      <x:c r="H345" s="14" t="str">
        <x:v>研究生宿舍楼</x:v>
      </x:c>
      <x:c r="I345" s="14" t="str">
        <x:v>否</x:v>
      </x:c>
      <x:c r="J345" s="14" t="n">
        <x:v>9</x:v>
      </x:c>
      <x:c r="K345" s="14" t="str">
        <x:v>理学院</x:v>
      </x:c>
      <x:c r="L345" s="14" t="n">
        <x:v>10</x:v>
      </x:c>
      <x:c r="M345" s="14" t="str">
        <x:v>08:20</x:v>
      </x:c>
      <x:c r="N345" s="14" t="str">
        <x:v>否</x:v>
      </x:c>
      <x:c r="O345" s="14" t="str">
        <x:v>否</x:v>
      </x:c>
      <x:c r="P345" s="14" t="str">
        <x:v>未提供</x:v>
      </x:c>
      <x:c r="Q345" s="14" t="str">
        <x:v>未提供</x:v>
      </x:c>
      <x:c r="R345" s="14" t="str">
        <x:v>预测</x:v>
      </x:c>
      <x:c r="S345" s="14" t="str">
        <x:v>到站时间为估算值</x:v>
      </x:c>
      <x:c r="T345" t="str">
        <x:v>研究生宿舍楼发车</x:v>
      </x:c>
    </x:row>
    <x:row r="346">
      <x:c r="A346" s="14" t="str">
        <x:v>S0028-10</x:v>
      </x:c>
      <x:c r="B346" s="14" t="str">
        <x:v>S0028</x:v>
      </x:c>
      <x:c r="C346" s="14" t="str">
        <x:v>工作日</x:v>
      </x:c>
      <x:c r="D346" s="14" t="str">
        <x:v>环线1路</x:v>
      </x:c>
      <x:c r="E346" s="14" t="str">
        <x:v>第二班</x:v>
      </x:c>
      <x:c r="F346" s="14" t="n">
        <x:v>2</x:v>
      </x:c>
      <x:c r="G346" s="14" t="str">
        <x:v>8:10</x:v>
      </x:c>
      <x:c r="H346" s="14" t="str">
        <x:v>研究生宿舍楼</x:v>
      </x:c>
      <x:c r="I346" s="14" t="str">
        <x:v>否</x:v>
      </x:c>
      <x:c r="J346" s="14" t="n">
        <x:v>10</x:v>
      </x:c>
      <x:c r="K346" s="14" t="str">
        <x:v>二食堂</x:v>
      </x:c>
      <x:c r="L346" s="14" t="n">
        <x:v>13</x:v>
      </x:c>
      <x:c r="M346" s="14" t="str">
        <x:v>08:23</x:v>
      </x:c>
      <x:c r="N346" s="14" t="str">
        <x:v>否</x:v>
      </x:c>
      <x:c r="O346" s="14" t="str">
        <x:v>否</x:v>
      </x:c>
      <x:c r="P346" s="14" t="str">
        <x:v>未提供</x:v>
      </x:c>
      <x:c r="Q346" s="14" t="str">
        <x:v>未提供</x:v>
      </x:c>
      <x:c r="R346" s="14" t="str">
        <x:v>预测</x:v>
      </x:c>
      <x:c r="S346" s="14" t="str">
        <x:v>到站时间为估算值</x:v>
      </x:c>
      <x:c r="T346" t="str">
        <x:v>研究生宿舍楼发车</x:v>
      </x:c>
    </x:row>
    <x:row r="347">
      <x:c r="A347" s="14" t="str">
        <x:v>S0028-11</x:v>
      </x:c>
      <x:c r="B347" s="14" t="str">
        <x:v>S0028</x:v>
      </x:c>
      <x:c r="C347" s="14" t="str">
        <x:v>工作日</x:v>
      </x:c>
      <x:c r="D347" s="14" t="str">
        <x:v>环线1路</x:v>
      </x:c>
      <x:c r="E347" s="14" t="str">
        <x:v>第二班</x:v>
      </x:c>
      <x:c r="F347" s="14" t="n">
        <x:v>2</x:v>
      </x:c>
      <x:c r="G347" s="14" t="str">
        <x:v>8:10</x:v>
      </x:c>
      <x:c r="H347" s="14" t="str">
        <x:v>研究生宿舍楼</x:v>
      </x:c>
      <x:c r="I347" s="14" t="str">
        <x:v>否</x:v>
      </x:c>
      <x:c r="J347" s="14" t="n">
        <x:v>11</x:v>
      </x:c>
      <x:c r="K347" s="14" t="str">
        <x:v>5号宿舍楼</x:v>
      </x:c>
      <x:c r="L347" s="14" t="n">
        <x:v>14</x:v>
      </x:c>
      <x:c r="M347" s="14" t="str">
        <x:v>08:24</x:v>
      </x:c>
      <x:c r="N347" s="14" t="str">
        <x:v>否</x:v>
      </x:c>
      <x:c r="O347" s="14" t="str">
        <x:v>否</x:v>
      </x:c>
      <x:c r="P347" s="14" t="str">
        <x:v>未提供</x:v>
      </x:c>
      <x:c r="Q347" s="14" t="str">
        <x:v>未提供</x:v>
      </x:c>
      <x:c r="R347" s="14" t="str">
        <x:v>预测</x:v>
      </x:c>
      <x:c r="S347" s="14" t="str">
        <x:v>到站时间为估算值</x:v>
      </x:c>
      <x:c r="T347" t="str">
        <x:v>研究生宿舍楼发车</x:v>
      </x:c>
    </x:row>
    <x:row r="348">
      <x:c r="A348" s="14" t="str">
        <x:v>S0028-12</x:v>
      </x:c>
      <x:c r="B348" s="14" t="str">
        <x:v>S0028</x:v>
      </x:c>
      <x:c r="C348" s="14" t="str">
        <x:v>工作日</x:v>
      </x:c>
      <x:c r="D348" s="14" t="str">
        <x:v>环线1路</x:v>
      </x:c>
      <x:c r="E348" s="14" t="str">
        <x:v>第二班</x:v>
      </x:c>
      <x:c r="F348" s="14" t="n">
        <x:v>2</x:v>
      </x:c>
      <x:c r="G348" s="14" t="str">
        <x:v>8:10</x:v>
      </x:c>
      <x:c r="H348" s="14" t="str">
        <x:v>研究生宿舍楼</x:v>
      </x:c>
      <x:c r="I348" s="14" t="str">
        <x:v>否</x:v>
      </x:c>
      <x:c r="J348" s="14" t="n">
        <x:v>12</x:v>
      </x:c>
      <x:c r="K348" s="14" t="str">
        <x:v>305教学楼</x:v>
      </x:c>
      <x:c r="L348" s="14" t="n">
        <x:v>15</x:v>
      </x:c>
      <x:c r="M348" s="14" t="str">
        <x:v>08:25</x:v>
      </x:c>
      <x:c r="N348" s="14" t="str">
        <x:v>否</x:v>
      </x:c>
      <x:c r="O348" s="14" t="str">
        <x:v>否</x:v>
      </x:c>
      <x:c r="P348" s="14" t="str">
        <x:v>未提供</x:v>
      </x:c>
      <x:c r="Q348" s="14" t="str">
        <x:v>未提供</x:v>
      </x:c>
      <x:c r="R348" s="14" t="str">
        <x:v>预测</x:v>
      </x:c>
      <x:c r="S348" s="14" t="str">
        <x:v>到站时间为估算值</x:v>
      </x:c>
      <x:c r="T348" t="str">
        <x:v>研究生宿舍楼发车</x:v>
      </x:c>
    </x:row>
    <x:row r="349">
      <x:c r="A349" s="14" t="str">
        <x:v>S0028-13</x:v>
      </x:c>
      <x:c r="B349" s="14" t="str">
        <x:v>S0028</x:v>
      </x:c>
      <x:c r="C349" s="14" t="str">
        <x:v>工作日</x:v>
      </x:c>
      <x:c r="D349" s="14" t="str">
        <x:v>环线1路</x:v>
      </x:c>
      <x:c r="E349" s="14" t="str">
        <x:v>第二班</x:v>
      </x:c>
      <x:c r="F349" s="14" t="n">
        <x:v>2</x:v>
      </x:c>
      <x:c r="G349" s="14" t="str">
        <x:v>8:10</x:v>
      </x:c>
      <x:c r="H349" s="14" t="str">
        <x:v>研究生宿舍楼</x:v>
      </x:c>
      <x:c r="I349" s="14" t="str">
        <x:v>否</x:v>
      </x:c>
      <x:c r="J349" s="14" t="n">
        <x:v>13</x:v>
      </x:c>
      <x:c r="K349" s="14" t="str">
        <x:v>研究生宿舍楼</x:v>
      </x:c>
      <x:c r="L349" s="14" t="n">
        <x:v>17</x:v>
      </x:c>
      <x:c r="M349" s="14" t="str">
        <x:v>08:27</x:v>
      </x:c>
      <x:c r="N349" s="14" t="str">
        <x:v>否</x:v>
      </x:c>
      <x:c r="O349" s="14" t="str">
        <x:v>是</x:v>
      </x:c>
      <x:c r="P349" s="14" t="str">
        <x:v>未提供</x:v>
      </x:c>
      <x:c r="Q349" s="14" t="str">
        <x:v>未提供</x:v>
      </x:c>
      <x:c r="R349" s="14" t="str">
        <x:v>预测</x:v>
      </x:c>
      <x:c r="S349" s="14" t="str">
        <x:v>到站时间为估算值</x:v>
      </x:c>
      <x:c r="T349" t="str">
        <x:v>研究生宿舍楼发车</x:v>
      </x:c>
    </x:row>
    <x:row r="350">
      <x:c r="A350" s="14" t="str">
        <x:v>S0029-01</x:v>
      </x:c>
      <x:c r="B350" s="14" t="str">
        <x:v>S0029</x:v>
      </x:c>
      <x:c r="C350" s="14" t="str">
        <x:v>工作日</x:v>
      </x:c>
      <x:c r="D350" s="14" t="str">
        <x:v>环线1路</x:v>
      </x:c>
      <x:c r="E350" s="14" t="str">
        <x:v>第二班</x:v>
      </x:c>
      <x:c r="F350" s="14" t="n">
        <x:v>3</x:v>
      </x:c>
      <x:c r="G350" s="14" t="str">
        <x:v>8:40</x:v>
      </x:c>
      <x:c r="H350" s="14" t="str">
        <x:v>研究生宿舍楼</x:v>
      </x:c>
      <x:c r="I350" s="14" t="str">
        <x:v>否</x:v>
      </x:c>
      <x:c r="J350" s="14" t="n">
        <x:v>1</x:v>
      </x:c>
      <x:c r="K350" s="14" t="str">
        <x:v>研究生宿舍楼</x:v>
      </x:c>
      <x:c r="L350" s="14" t="n">
        <x:v>0</x:v>
      </x:c>
      <x:c r="M350" s="14" t="str">
        <x:v>08:40</x:v>
      </x:c>
      <x:c r="N350" s="14" t="str">
        <x:v>是</x:v>
      </x:c>
      <x:c r="O350" s="14" t="str">
        <x:v>否</x:v>
      </x:c>
      <x:c r="P350" s="14" t="str">
        <x:v>未提供</x:v>
      </x:c>
      <x:c r="Q350" s="14" t="str">
        <x:v>未提供</x:v>
      </x:c>
      <x:c r="R350" s="14" t="str">
        <x:v>预测</x:v>
      </x:c>
      <x:c r="S350" s="14" t="str">
        <x:v>到站时间为估算值</x:v>
      </x:c>
      <x:c r="T350" t="str">
        <x:v>研究生宿舍楼发车</x:v>
      </x:c>
    </x:row>
    <x:row r="351">
      <x:c r="A351" s="14" t="str">
        <x:v>S0029-02</x:v>
      </x:c>
      <x:c r="B351" s="14" t="str">
        <x:v>S0029</x:v>
      </x:c>
      <x:c r="C351" s="14" t="str">
        <x:v>工作日</x:v>
      </x:c>
      <x:c r="D351" s="14" t="str">
        <x:v>环线1路</x:v>
      </x:c>
      <x:c r="E351" s="14" t="str">
        <x:v>第二班</x:v>
      </x:c>
      <x:c r="F351" s="14" t="n">
        <x:v>3</x:v>
      </x:c>
      <x:c r="G351" s="14" t="str">
        <x:v>8:40</x:v>
      </x:c>
      <x:c r="H351" s="14" t="str">
        <x:v>研究生宿舍楼</x:v>
      </x:c>
      <x:c r="I351" s="14" t="str">
        <x:v>否</x:v>
      </x:c>
      <x:c r="J351" s="14" t="n">
        <x:v>2</x:v>
      </x:c>
      <x:c r="K351" s="14" t="str">
        <x:v>东门</x:v>
      </x:c>
      <x:c r="L351" s="14" t="n">
        <x:v>1</x:v>
      </x:c>
      <x:c r="M351" s="14" t="str">
        <x:v>08:41</x:v>
      </x:c>
      <x:c r="N351" s="14" t="str">
        <x:v>否</x:v>
      </x:c>
      <x:c r="O351" s="14" t="str">
        <x:v>否</x:v>
      </x:c>
      <x:c r="P351" s="14" t="str">
        <x:v>未提供</x:v>
      </x:c>
      <x:c r="Q351" s="14" t="str">
        <x:v>未提供</x:v>
      </x:c>
      <x:c r="R351" s="14" t="str">
        <x:v>预测</x:v>
      </x:c>
      <x:c r="S351" s="14" t="str">
        <x:v>到站时间为估算值</x:v>
      </x:c>
      <x:c r="T351" t="str">
        <x:v>研究生宿舍楼发车</x:v>
      </x:c>
    </x:row>
    <x:row r="352">
      <x:c r="A352" s="14" t="str">
        <x:v>S0029-03</x:v>
      </x:c>
      <x:c r="B352" s="14" t="str">
        <x:v>S0029</x:v>
      </x:c>
      <x:c r="C352" s="14" t="str">
        <x:v>工作日</x:v>
      </x:c>
      <x:c r="D352" s="14" t="str">
        <x:v>环线1路</x:v>
      </x:c>
      <x:c r="E352" s="14" t="str">
        <x:v>第二班</x:v>
      </x:c>
      <x:c r="F352" s="14" t="n">
        <x:v>3</x:v>
      </x:c>
      <x:c r="G352" s="14" t="str">
        <x:v>8:40</x:v>
      </x:c>
      <x:c r="H352" s="14" t="str">
        <x:v>研究生宿舍楼</x:v>
      </x:c>
      <x:c r="I352" s="14" t="str">
        <x:v>否</x:v>
      </x:c>
      <x:c r="J352" s="14" t="n">
        <x:v>3</x:v>
      </x:c>
      <x:c r="K352" s="14" t="str">
        <x:v>2号宿舍楼</x:v>
      </x:c>
      <x:c r="L352" s="14" t="n">
        <x:v>2</x:v>
      </x:c>
      <x:c r="M352" s="14" t="str">
        <x:v>08:42</x:v>
      </x:c>
      <x:c r="N352" s="14" t="str">
        <x:v>否</x:v>
      </x:c>
      <x:c r="O352" s="14" t="str">
        <x:v>否</x:v>
      </x:c>
      <x:c r="P352" s="14" t="str">
        <x:v>未提供</x:v>
      </x:c>
      <x:c r="Q352" s="14" t="str">
        <x:v>未提供</x:v>
      </x:c>
      <x:c r="R352" s="14" t="str">
        <x:v>预测</x:v>
      </x:c>
      <x:c r="S352" s="14" t="str">
        <x:v>到站时间为估算值</x:v>
      </x:c>
      <x:c r="T352" t="str">
        <x:v>研究生宿舍楼发车</x:v>
      </x:c>
    </x:row>
    <x:row r="353">
      <x:c r="A353" s="14" t="str">
        <x:v>S0029-04</x:v>
      </x:c>
      <x:c r="B353" s="14" t="str">
        <x:v>S0029</x:v>
      </x:c>
      <x:c r="C353" s="14" t="str">
        <x:v>工作日</x:v>
      </x:c>
      <x:c r="D353" s="14" t="str">
        <x:v>环线1路</x:v>
      </x:c>
      <x:c r="E353" s="14" t="str">
        <x:v>第二班</x:v>
      </x:c>
      <x:c r="F353" s="14" t="n">
        <x:v>3</x:v>
      </x:c>
      <x:c r="G353" s="14" t="str">
        <x:v>8:40</x:v>
      </x:c>
      <x:c r="H353" s="14" t="str">
        <x:v>研究生宿舍楼</x:v>
      </x:c>
      <x:c r="I353" s="14" t="str">
        <x:v>否</x:v>
      </x:c>
      <x:c r="J353" s="14" t="n">
        <x:v>4</x:v>
      </x:c>
      <x:c r="K353" s="14" t="str">
        <x:v>军体活动中心</x:v>
      </x:c>
      <x:c r="L353" s="14" t="n">
        <x:v>3</x:v>
      </x:c>
      <x:c r="M353" s="14" t="str">
        <x:v>08:43</x:v>
      </x:c>
      <x:c r="N353" s="14" t="str">
        <x:v>否</x:v>
      </x:c>
      <x:c r="O353" s="14" t="str">
        <x:v>否</x:v>
      </x:c>
      <x:c r="P353" s="14" t="str">
        <x:v>未提供</x:v>
      </x:c>
      <x:c r="Q353" s="14" t="str">
        <x:v>未提供</x:v>
      </x:c>
      <x:c r="R353" s="14" t="str">
        <x:v>预测</x:v>
      </x:c>
      <x:c r="S353" s="14" t="str">
        <x:v>到站时间为估算值</x:v>
      </x:c>
      <x:c r="T353" t="str">
        <x:v>研究生宿舍楼发车</x:v>
      </x:c>
    </x:row>
    <x:row r="354">
      <x:c r="A354" s="14" t="str">
        <x:v>S0029-05</x:v>
      </x:c>
      <x:c r="B354" s="14" t="str">
        <x:v>S0029</x:v>
      </x:c>
      <x:c r="C354" s="14" t="str">
        <x:v>工作日</x:v>
      </x:c>
      <x:c r="D354" s="14" t="str">
        <x:v>环线1路</x:v>
      </x:c>
      <x:c r="E354" s="14" t="str">
        <x:v>第二班</x:v>
      </x:c>
      <x:c r="F354" s="14" t="n">
        <x:v>3</x:v>
      </x:c>
      <x:c r="G354" s="14" t="str">
        <x:v>8:40</x:v>
      </x:c>
      <x:c r="H354" s="14" t="str">
        <x:v>研究生宿舍楼</x:v>
      </x:c>
      <x:c r="I354" s="14" t="str">
        <x:v>否</x:v>
      </x:c>
      <x:c r="J354" s="14" t="n">
        <x:v>5</x:v>
      </x:c>
      <x:c r="K354" s="14" t="str">
        <x:v>激光所</x:v>
      </x:c>
      <x:c r="L354" s="14" t="n">
        <x:v>5</x:v>
      </x:c>
      <x:c r="M354" s="14" t="str">
        <x:v>08:45</x:v>
      </x:c>
      <x:c r="N354" s="14" t="str">
        <x:v>否</x:v>
      </x:c>
      <x:c r="O354" s="14" t="str">
        <x:v>否</x:v>
      </x:c>
      <x:c r="P354" s="14" t="str">
        <x:v>未提供</x:v>
      </x:c>
      <x:c r="Q354" s="14" t="str">
        <x:v>未提供</x:v>
      </x:c>
      <x:c r="R354" s="14" t="str">
        <x:v>预测</x:v>
      </x:c>
      <x:c r="S354" s="14" t="str">
        <x:v>到站时间为估算值</x:v>
      </x:c>
      <x:c r="T354" t="str">
        <x:v>研究生宿舍楼发车</x:v>
      </x:c>
    </x:row>
    <x:row r="355">
      <x:c r="A355" s="14" t="str">
        <x:v>S0029-06</x:v>
      </x:c>
      <x:c r="B355" s="14" t="str">
        <x:v>S0029</x:v>
      </x:c>
      <x:c r="C355" s="14" t="str">
        <x:v>工作日</x:v>
      </x:c>
      <x:c r="D355" s="14" t="str">
        <x:v>环线1路</x:v>
      </x:c>
      <x:c r="E355" s="14" t="str">
        <x:v>第二班</x:v>
      </x:c>
      <x:c r="F355" s="14" t="n">
        <x:v>3</x:v>
      </x:c>
      <x:c r="G355" s="14" t="str">
        <x:v>8:40</x:v>
      </x:c>
      <x:c r="H355" s="14" t="str">
        <x:v>研究生宿舍楼</x:v>
      </x:c>
      <x:c r="I355" s="14" t="str">
        <x:v>否</x:v>
      </x:c>
      <x:c r="J355" s="14" t="n">
        <x:v>6</x:v>
      </x:c>
      <x:c r="K355" s="14" t="str">
        <x:v>超算中心</x:v>
      </x:c>
      <x:c r="L355" s="14" t="n">
        <x:v>6</x:v>
      </x:c>
      <x:c r="M355" s="14" t="str">
        <x:v>08:46</x:v>
      </x:c>
      <x:c r="N355" s="14" t="str">
        <x:v>否</x:v>
      </x:c>
      <x:c r="O355" s="14" t="str">
        <x:v>否</x:v>
      </x:c>
      <x:c r="P355" s="14" t="str">
        <x:v>未提供</x:v>
      </x:c>
      <x:c r="Q355" s="14" t="str">
        <x:v>未提供</x:v>
      </x:c>
      <x:c r="R355" s="14" t="str">
        <x:v>预测</x:v>
      </x:c>
      <x:c r="S355" s="14" t="str">
        <x:v>到站时间为估算值</x:v>
      </x:c>
      <x:c r="T355" t="str">
        <x:v>研究生宿舍楼发车</x:v>
      </x:c>
    </x:row>
    <x:row r="356">
      <x:c r="A356" s="14" t="str">
        <x:v>S0029-07</x:v>
      </x:c>
      <x:c r="B356" s="14" t="str">
        <x:v>S0029</x:v>
      </x:c>
      <x:c r="C356" s="14" t="str">
        <x:v>工作日</x:v>
      </x:c>
      <x:c r="D356" s="14" t="str">
        <x:v>环线1路</x:v>
      </x:c>
      <x:c r="E356" s="14" t="str">
        <x:v>第二班</x:v>
      </x:c>
      <x:c r="F356" s="14" t="n">
        <x:v>3</x:v>
      </x:c>
      <x:c r="G356" s="14" t="str">
        <x:v>8:40</x:v>
      </x:c>
      <x:c r="H356" s="14" t="str">
        <x:v>研究生宿舍楼</x:v>
      </x:c>
      <x:c r="I356" s="14" t="str">
        <x:v>否</x:v>
      </x:c>
      <x:c r="J356" s="14" t="n">
        <x:v>7</x:v>
      </x:c>
      <x:c r="K356" s="14" t="str">
        <x:v>北门</x:v>
      </x:c>
      <x:c r="L356" s="14" t="n">
        <x:v>8</x:v>
      </x:c>
      <x:c r="M356" s="14" t="str">
        <x:v>08:48</x:v>
      </x:c>
      <x:c r="N356" s="14" t="str">
        <x:v>否</x:v>
      </x:c>
      <x:c r="O356" s="14" t="str">
        <x:v>否</x:v>
      </x:c>
      <x:c r="P356" s="14" t="str">
        <x:v>未提供</x:v>
      </x:c>
      <x:c r="Q356" s="14" t="str">
        <x:v>未提供</x:v>
      </x:c>
      <x:c r="R356" s="14" t="str">
        <x:v>预测</x:v>
      </x:c>
      <x:c r="S356" s="14" t="str">
        <x:v>到站时间为估算值</x:v>
      </x:c>
      <x:c r="T356" t="str">
        <x:v>研究生宿舍楼发车</x:v>
      </x:c>
    </x:row>
    <x:row r="357">
      <x:c r="A357" s="14" t="str">
        <x:v>S0029-08</x:v>
      </x:c>
      <x:c r="B357" s="14" t="str">
        <x:v>S0029</x:v>
      </x:c>
      <x:c r="C357" s="14" t="str">
        <x:v>工作日</x:v>
      </x:c>
      <x:c r="D357" s="14" t="str">
        <x:v>环线1路</x:v>
      </x:c>
      <x:c r="E357" s="14" t="str">
        <x:v>第二班</x:v>
      </x:c>
      <x:c r="F357" s="14" t="n">
        <x:v>3</x:v>
      </x:c>
      <x:c r="G357" s="14" t="str">
        <x:v>8:40</x:v>
      </x:c>
      <x:c r="H357" s="14" t="str">
        <x:v>研究生宿舍楼</x:v>
      </x:c>
      <x:c r="I357" s="14" t="str">
        <x:v>否</x:v>
      </x:c>
      <x:c r="J357" s="14" t="n">
        <x:v>8</x:v>
      </x:c>
      <x:c r="K357" s="14" t="str">
        <x:v>高超楼</x:v>
      </x:c>
      <x:c r="L357" s="14" t="n">
        <x:v>9</x:v>
      </x:c>
      <x:c r="M357" s="14" t="str">
        <x:v>08:49</x:v>
      </x:c>
      <x:c r="N357" s="14" t="str">
        <x:v>否</x:v>
      </x:c>
      <x:c r="O357" s="14" t="str">
        <x:v>否</x:v>
      </x:c>
      <x:c r="P357" s="14" t="str">
        <x:v>未提供</x:v>
      </x:c>
      <x:c r="Q357" s="14" t="str">
        <x:v>未提供</x:v>
      </x:c>
      <x:c r="R357" s="14" t="str">
        <x:v>预测</x:v>
      </x:c>
      <x:c r="S357" s="14" t="str">
        <x:v>到站时间为估算值</x:v>
      </x:c>
      <x:c r="T357" t="str">
        <x:v>研究生宿舍楼发车</x:v>
      </x:c>
    </x:row>
    <x:row r="358">
      <x:c r="A358" s="14" t="str">
        <x:v>S0029-09</x:v>
      </x:c>
      <x:c r="B358" s="14" t="str">
        <x:v>S0029</x:v>
      </x:c>
      <x:c r="C358" s="14" t="str">
        <x:v>工作日</x:v>
      </x:c>
      <x:c r="D358" s="14" t="str">
        <x:v>环线1路</x:v>
      </x:c>
      <x:c r="E358" s="14" t="str">
        <x:v>第二班</x:v>
      </x:c>
      <x:c r="F358" s="14" t="n">
        <x:v>3</x:v>
      </x:c>
      <x:c r="G358" s="14" t="str">
        <x:v>8:40</x:v>
      </x:c>
      <x:c r="H358" s="14" t="str">
        <x:v>研究生宿舍楼</x:v>
      </x:c>
      <x:c r="I358" s="14" t="str">
        <x:v>否</x:v>
      </x:c>
      <x:c r="J358" s="14" t="n">
        <x:v>9</x:v>
      </x:c>
      <x:c r="K358" s="14" t="str">
        <x:v>理学院</x:v>
      </x:c>
      <x:c r="L358" s="14" t="n">
        <x:v>10</x:v>
      </x:c>
      <x:c r="M358" s="14" t="str">
        <x:v>08:50</x:v>
      </x:c>
      <x:c r="N358" s="14" t="str">
        <x:v>否</x:v>
      </x:c>
      <x:c r="O358" s="14" t="str">
        <x:v>否</x:v>
      </x:c>
      <x:c r="P358" s="14" t="str">
        <x:v>未提供</x:v>
      </x:c>
      <x:c r="Q358" s="14" t="str">
        <x:v>未提供</x:v>
      </x:c>
      <x:c r="R358" s="14" t="str">
        <x:v>预测</x:v>
      </x:c>
      <x:c r="S358" s="14" t="str">
        <x:v>到站时间为估算值</x:v>
      </x:c>
      <x:c r="T358" t="str">
        <x:v>研究生宿舍楼发车</x:v>
      </x:c>
    </x:row>
    <x:row r="359">
      <x:c r="A359" s="14" t="str">
        <x:v>S0029-10</x:v>
      </x:c>
      <x:c r="B359" s="14" t="str">
        <x:v>S0029</x:v>
      </x:c>
      <x:c r="C359" s="14" t="str">
        <x:v>工作日</x:v>
      </x:c>
      <x:c r="D359" s="14" t="str">
        <x:v>环线1路</x:v>
      </x:c>
      <x:c r="E359" s="14" t="str">
        <x:v>第二班</x:v>
      </x:c>
      <x:c r="F359" s="14" t="n">
        <x:v>3</x:v>
      </x:c>
      <x:c r="G359" s="14" t="str">
        <x:v>8:40</x:v>
      </x:c>
      <x:c r="H359" s="14" t="str">
        <x:v>研究生宿舍楼</x:v>
      </x:c>
      <x:c r="I359" s="14" t="str">
        <x:v>否</x:v>
      </x:c>
      <x:c r="J359" s="14" t="n">
        <x:v>10</x:v>
      </x:c>
      <x:c r="K359" s="14" t="str">
        <x:v>二食堂</x:v>
      </x:c>
      <x:c r="L359" s="14" t="n">
        <x:v>13</x:v>
      </x:c>
      <x:c r="M359" s="14" t="str">
        <x:v>08:53</x:v>
      </x:c>
      <x:c r="N359" s="14" t="str">
        <x:v>否</x:v>
      </x:c>
      <x:c r="O359" s="14" t="str">
        <x:v>否</x:v>
      </x:c>
      <x:c r="P359" s="14" t="str">
        <x:v>未提供</x:v>
      </x:c>
      <x:c r="Q359" s="14" t="str">
        <x:v>未提供</x:v>
      </x:c>
      <x:c r="R359" s="14" t="str">
        <x:v>预测</x:v>
      </x:c>
      <x:c r="S359" s="14" t="str">
        <x:v>到站时间为估算值</x:v>
      </x:c>
      <x:c r="T359" t="str">
        <x:v>研究生宿舍楼发车</x:v>
      </x:c>
    </x:row>
    <x:row r="360">
      <x:c r="A360" s="14" t="str">
        <x:v>S0029-11</x:v>
      </x:c>
      <x:c r="B360" s="14" t="str">
        <x:v>S0029</x:v>
      </x:c>
      <x:c r="C360" s="14" t="str">
        <x:v>工作日</x:v>
      </x:c>
      <x:c r="D360" s="14" t="str">
        <x:v>环线1路</x:v>
      </x:c>
      <x:c r="E360" s="14" t="str">
        <x:v>第二班</x:v>
      </x:c>
      <x:c r="F360" s="14" t="n">
        <x:v>3</x:v>
      </x:c>
      <x:c r="G360" s="14" t="str">
        <x:v>8:40</x:v>
      </x:c>
      <x:c r="H360" s="14" t="str">
        <x:v>研究生宿舍楼</x:v>
      </x:c>
      <x:c r="I360" s="14" t="str">
        <x:v>否</x:v>
      </x:c>
      <x:c r="J360" s="14" t="n">
        <x:v>11</x:v>
      </x:c>
      <x:c r="K360" s="14" t="str">
        <x:v>5号宿舍楼</x:v>
      </x:c>
      <x:c r="L360" s="14" t="n">
        <x:v>14</x:v>
      </x:c>
      <x:c r="M360" s="14" t="str">
        <x:v>08:54</x:v>
      </x:c>
      <x:c r="N360" s="14" t="str">
        <x:v>否</x:v>
      </x:c>
      <x:c r="O360" s="14" t="str">
        <x:v>否</x:v>
      </x:c>
      <x:c r="P360" s="14" t="str">
        <x:v>未提供</x:v>
      </x:c>
      <x:c r="Q360" s="14" t="str">
        <x:v>未提供</x:v>
      </x:c>
      <x:c r="R360" s="14" t="str">
        <x:v>预测</x:v>
      </x:c>
      <x:c r="S360" s="14" t="str">
        <x:v>到站时间为估算值</x:v>
      </x:c>
      <x:c r="T360" t="str">
        <x:v>研究生宿舍楼发车</x:v>
      </x:c>
    </x:row>
    <x:row r="361">
      <x:c r="A361" s="14" t="str">
        <x:v>S0029-12</x:v>
      </x:c>
      <x:c r="B361" s="14" t="str">
        <x:v>S0029</x:v>
      </x:c>
      <x:c r="C361" s="14" t="str">
        <x:v>工作日</x:v>
      </x:c>
      <x:c r="D361" s="14" t="str">
        <x:v>环线1路</x:v>
      </x:c>
      <x:c r="E361" s="14" t="str">
        <x:v>第二班</x:v>
      </x:c>
      <x:c r="F361" s="14" t="n">
        <x:v>3</x:v>
      </x:c>
      <x:c r="G361" s="14" t="str">
        <x:v>8:40</x:v>
      </x:c>
      <x:c r="H361" s="14" t="str">
        <x:v>研究生宿舍楼</x:v>
      </x:c>
      <x:c r="I361" s="14" t="str">
        <x:v>否</x:v>
      </x:c>
      <x:c r="J361" s="14" t="n">
        <x:v>12</x:v>
      </x:c>
      <x:c r="K361" s="14" t="str">
        <x:v>305教学楼</x:v>
      </x:c>
      <x:c r="L361" s="14" t="n">
        <x:v>15</x:v>
      </x:c>
      <x:c r="M361" s="14" t="str">
        <x:v>08:55</x:v>
      </x:c>
      <x:c r="N361" s="14" t="str">
        <x:v>否</x:v>
      </x:c>
      <x:c r="O361" s="14" t="str">
        <x:v>否</x:v>
      </x:c>
      <x:c r="P361" s="14" t="str">
        <x:v>未提供</x:v>
      </x:c>
      <x:c r="Q361" s="14" t="str">
        <x:v>未提供</x:v>
      </x:c>
      <x:c r="R361" s="14" t="str">
        <x:v>预测</x:v>
      </x:c>
      <x:c r="S361" s="14" t="str">
        <x:v>到站时间为估算值</x:v>
      </x:c>
      <x:c r="T361" t="str">
        <x:v>研究生宿舍楼发车</x:v>
      </x:c>
    </x:row>
    <x:row r="362">
      <x:c r="A362" s="14" t="str">
        <x:v>S0029-13</x:v>
      </x:c>
      <x:c r="B362" s="14" t="str">
        <x:v>S0029</x:v>
      </x:c>
      <x:c r="C362" s="14" t="str">
        <x:v>工作日</x:v>
      </x:c>
      <x:c r="D362" s="14" t="str">
        <x:v>环线1路</x:v>
      </x:c>
      <x:c r="E362" s="14" t="str">
        <x:v>第二班</x:v>
      </x:c>
      <x:c r="F362" s="14" t="n">
        <x:v>3</x:v>
      </x:c>
      <x:c r="G362" s="14" t="str">
        <x:v>8:40</x:v>
      </x:c>
      <x:c r="H362" s="14" t="str">
        <x:v>研究生宿舍楼</x:v>
      </x:c>
      <x:c r="I362" s="14" t="str">
        <x:v>否</x:v>
      </x:c>
      <x:c r="J362" s="14" t="n">
        <x:v>13</x:v>
      </x:c>
      <x:c r="K362" s="14" t="str">
        <x:v>研究生宿舍楼</x:v>
      </x:c>
      <x:c r="L362" s="14" t="n">
        <x:v>17</x:v>
      </x:c>
      <x:c r="M362" s="14" t="str">
        <x:v>08:57</x:v>
      </x:c>
      <x:c r="N362" s="14" t="str">
        <x:v>否</x:v>
      </x:c>
      <x:c r="O362" s="14" t="str">
        <x:v>是</x:v>
      </x:c>
      <x:c r="P362" s="14" t="str">
        <x:v>未提供</x:v>
      </x:c>
      <x:c r="Q362" s="14" t="str">
        <x:v>未提供</x:v>
      </x:c>
      <x:c r="R362" s="14" t="str">
        <x:v>预测</x:v>
      </x:c>
      <x:c r="S362" s="14" t="str">
        <x:v>到站时间为估算值</x:v>
      </x:c>
      <x:c r="T362" t="str">
        <x:v>研究生宿舍楼发车</x:v>
      </x:c>
    </x:row>
    <x:row r="363">
      <x:c r="A363" s="14" t="str">
        <x:v>S0030-01</x:v>
      </x:c>
      <x:c r="B363" s="14" t="str">
        <x:v>S0030</x:v>
      </x:c>
      <x:c r="C363" s="14" t="str">
        <x:v>工作日</x:v>
      </x:c>
      <x:c r="D363" s="14" t="str">
        <x:v>环线1路</x:v>
      </x:c>
      <x:c r="E363" s="14" t="str">
        <x:v>第二班</x:v>
      </x:c>
      <x:c r="F363" s="14" t="n">
        <x:v>4</x:v>
      </x:c>
      <x:c r="G363" s="14" t="str">
        <x:v>9:12</x:v>
      </x:c>
      <x:c r="H363" s="14" t="str">
        <x:v>研究生宿舍楼</x:v>
      </x:c>
      <x:c r="I363" s="14" t="str">
        <x:v>否</x:v>
      </x:c>
      <x:c r="J363" s="14" t="n">
        <x:v>1</x:v>
      </x:c>
      <x:c r="K363" s="14" t="str">
        <x:v>研究生宿舍楼</x:v>
      </x:c>
      <x:c r="L363" s="14" t="n">
        <x:v>0</x:v>
      </x:c>
      <x:c r="M363" s="14" t="str">
        <x:v>09:12</x:v>
      </x:c>
      <x:c r="N363" s="14" t="str">
        <x:v>是</x:v>
      </x:c>
      <x:c r="O363" s="14" t="str">
        <x:v>否</x:v>
      </x:c>
      <x:c r="P363" s="14" t="str">
        <x:v>未提供</x:v>
      </x:c>
      <x:c r="Q363" s="14" t="str">
        <x:v>未提供</x:v>
      </x:c>
      <x:c r="R363" s="14" t="str">
        <x:v>预测</x:v>
      </x:c>
      <x:c r="S363" s="14" t="str">
        <x:v>到站时间为估算值</x:v>
      </x:c>
      <x:c r="T363" t="str">
        <x:v>研究生宿舍楼发车</x:v>
      </x:c>
    </x:row>
    <x:row r="364">
      <x:c r="A364" s="14" t="str">
        <x:v>S0030-02</x:v>
      </x:c>
      <x:c r="B364" s="14" t="str">
        <x:v>S0030</x:v>
      </x:c>
      <x:c r="C364" s="14" t="str">
        <x:v>工作日</x:v>
      </x:c>
      <x:c r="D364" s="14" t="str">
        <x:v>环线1路</x:v>
      </x:c>
      <x:c r="E364" s="14" t="str">
        <x:v>第二班</x:v>
      </x:c>
      <x:c r="F364" s="14" t="n">
        <x:v>4</x:v>
      </x:c>
      <x:c r="G364" s="14" t="str">
        <x:v>9:12</x:v>
      </x:c>
      <x:c r="H364" s="14" t="str">
        <x:v>研究生宿舍楼</x:v>
      </x:c>
      <x:c r="I364" s="14" t="str">
        <x:v>否</x:v>
      </x:c>
      <x:c r="J364" s="14" t="n">
        <x:v>2</x:v>
      </x:c>
      <x:c r="K364" s="14" t="str">
        <x:v>东门</x:v>
      </x:c>
      <x:c r="L364" s="14" t="n">
        <x:v>1</x:v>
      </x:c>
      <x:c r="M364" s="14" t="str">
        <x:v>09:13</x:v>
      </x:c>
      <x:c r="N364" s="14" t="str">
        <x:v>否</x:v>
      </x:c>
      <x:c r="O364" s="14" t="str">
        <x:v>否</x:v>
      </x:c>
      <x:c r="P364" s="14" t="str">
        <x:v>未提供</x:v>
      </x:c>
      <x:c r="Q364" s="14" t="str">
        <x:v>未提供</x:v>
      </x:c>
      <x:c r="R364" s="14" t="str">
        <x:v>预测</x:v>
      </x:c>
      <x:c r="S364" s="14" t="str">
        <x:v>到站时间为估算值</x:v>
      </x:c>
      <x:c r="T364" t="str">
        <x:v>研究生宿舍楼发车</x:v>
      </x:c>
    </x:row>
    <x:row r="365">
      <x:c r="A365" s="14" t="str">
        <x:v>S0030-03</x:v>
      </x:c>
      <x:c r="B365" s="14" t="str">
        <x:v>S0030</x:v>
      </x:c>
      <x:c r="C365" s="14" t="str">
        <x:v>工作日</x:v>
      </x:c>
      <x:c r="D365" s="14" t="str">
        <x:v>环线1路</x:v>
      </x:c>
      <x:c r="E365" s="14" t="str">
        <x:v>第二班</x:v>
      </x:c>
      <x:c r="F365" s="14" t="n">
        <x:v>4</x:v>
      </x:c>
      <x:c r="G365" s="14" t="str">
        <x:v>9:12</x:v>
      </x:c>
      <x:c r="H365" s="14" t="str">
        <x:v>研究生宿舍楼</x:v>
      </x:c>
      <x:c r="I365" s="14" t="str">
        <x:v>否</x:v>
      </x:c>
      <x:c r="J365" s="14" t="n">
        <x:v>3</x:v>
      </x:c>
      <x:c r="K365" s="14" t="str">
        <x:v>2号宿舍楼</x:v>
      </x:c>
      <x:c r="L365" s="14" t="n">
        <x:v>2</x:v>
      </x:c>
      <x:c r="M365" s="14" t="str">
        <x:v>09:14</x:v>
      </x:c>
      <x:c r="N365" s="14" t="str">
        <x:v>否</x:v>
      </x:c>
      <x:c r="O365" s="14" t="str">
        <x:v>否</x:v>
      </x:c>
      <x:c r="P365" s="14" t="str">
        <x:v>未提供</x:v>
      </x:c>
      <x:c r="Q365" s="14" t="str">
        <x:v>未提供</x:v>
      </x:c>
      <x:c r="R365" s="14" t="str">
        <x:v>预测</x:v>
      </x:c>
      <x:c r="S365" s="14" t="str">
        <x:v>到站时间为估算值</x:v>
      </x:c>
      <x:c r="T365" t="str">
        <x:v>研究生宿舍楼发车</x:v>
      </x:c>
    </x:row>
    <x:row r="366">
      <x:c r="A366" s="14" t="str">
        <x:v>S0030-04</x:v>
      </x:c>
      <x:c r="B366" s="14" t="str">
        <x:v>S0030</x:v>
      </x:c>
      <x:c r="C366" s="14" t="str">
        <x:v>工作日</x:v>
      </x:c>
      <x:c r="D366" s="14" t="str">
        <x:v>环线1路</x:v>
      </x:c>
      <x:c r="E366" s="14" t="str">
        <x:v>第二班</x:v>
      </x:c>
      <x:c r="F366" s="14" t="n">
        <x:v>4</x:v>
      </x:c>
      <x:c r="G366" s="14" t="str">
        <x:v>9:12</x:v>
      </x:c>
      <x:c r="H366" s="14" t="str">
        <x:v>研究生宿舍楼</x:v>
      </x:c>
      <x:c r="I366" s="14" t="str">
        <x:v>否</x:v>
      </x:c>
      <x:c r="J366" s="14" t="n">
        <x:v>4</x:v>
      </x:c>
      <x:c r="K366" s="14" t="str">
        <x:v>军体活动中心</x:v>
      </x:c>
      <x:c r="L366" s="14" t="n">
        <x:v>3</x:v>
      </x:c>
      <x:c r="M366" s="14" t="str">
        <x:v>09:15</x:v>
      </x:c>
      <x:c r="N366" s="14" t="str">
        <x:v>否</x:v>
      </x:c>
      <x:c r="O366" s="14" t="str">
        <x:v>否</x:v>
      </x:c>
      <x:c r="P366" s="14" t="str">
        <x:v>未提供</x:v>
      </x:c>
      <x:c r="Q366" s="14" t="str">
        <x:v>未提供</x:v>
      </x:c>
      <x:c r="R366" s="14" t="str">
        <x:v>预测</x:v>
      </x:c>
      <x:c r="S366" s="14" t="str">
        <x:v>到站时间为估算值</x:v>
      </x:c>
      <x:c r="T366" t="str">
        <x:v>研究生宿舍楼发车</x:v>
      </x:c>
    </x:row>
    <x:row r="367">
      <x:c r="A367" s="14" t="str">
        <x:v>S0030-05</x:v>
      </x:c>
      <x:c r="B367" s="14" t="str">
        <x:v>S0030</x:v>
      </x:c>
      <x:c r="C367" s="14" t="str">
        <x:v>工作日</x:v>
      </x:c>
      <x:c r="D367" s="14" t="str">
        <x:v>环线1路</x:v>
      </x:c>
      <x:c r="E367" s="14" t="str">
        <x:v>第二班</x:v>
      </x:c>
      <x:c r="F367" s="14" t="n">
        <x:v>4</x:v>
      </x:c>
      <x:c r="G367" s="14" t="str">
        <x:v>9:12</x:v>
      </x:c>
      <x:c r="H367" s="14" t="str">
        <x:v>研究生宿舍楼</x:v>
      </x:c>
      <x:c r="I367" s="14" t="str">
        <x:v>否</x:v>
      </x:c>
      <x:c r="J367" s="14" t="n">
        <x:v>5</x:v>
      </x:c>
      <x:c r="K367" s="14" t="str">
        <x:v>激光所</x:v>
      </x:c>
      <x:c r="L367" s="14" t="n">
        <x:v>5</x:v>
      </x:c>
      <x:c r="M367" s="14" t="str">
        <x:v>09:17</x:v>
      </x:c>
      <x:c r="N367" s="14" t="str">
        <x:v>否</x:v>
      </x:c>
      <x:c r="O367" s="14" t="str">
        <x:v>否</x:v>
      </x:c>
      <x:c r="P367" s="14" t="str">
        <x:v>未提供</x:v>
      </x:c>
      <x:c r="Q367" s="14" t="str">
        <x:v>未提供</x:v>
      </x:c>
      <x:c r="R367" s="14" t="str">
        <x:v>预测</x:v>
      </x:c>
      <x:c r="S367" s="14" t="str">
        <x:v>到站时间为估算值</x:v>
      </x:c>
      <x:c r="T367" t="str">
        <x:v>研究生宿舍楼发车</x:v>
      </x:c>
    </x:row>
    <x:row r="368">
      <x:c r="A368" s="14" t="str">
        <x:v>S0030-06</x:v>
      </x:c>
      <x:c r="B368" s="14" t="str">
        <x:v>S0030</x:v>
      </x:c>
      <x:c r="C368" s="14" t="str">
        <x:v>工作日</x:v>
      </x:c>
      <x:c r="D368" s="14" t="str">
        <x:v>环线1路</x:v>
      </x:c>
      <x:c r="E368" s="14" t="str">
        <x:v>第二班</x:v>
      </x:c>
      <x:c r="F368" s="14" t="n">
        <x:v>4</x:v>
      </x:c>
      <x:c r="G368" s="14" t="str">
        <x:v>9:12</x:v>
      </x:c>
      <x:c r="H368" s="14" t="str">
        <x:v>研究生宿舍楼</x:v>
      </x:c>
      <x:c r="I368" s="14" t="str">
        <x:v>否</x:v>
      </x:c>
      <x:c r="J368" s="14" t="n">
        <x:v>6</x:v>
      </x:c>
      <x:c r="K368" s="14" t="str">
        <x:v>超算中心</x:v>
      </x:c>
      <x:c r="L368" s="14" t="n">
        <x:v>6</x:v>
      </x:c>
      <x:c r="M368" s="14" t="str">
        <x:v>09:18</x:v>
      </x:c>
      <x:c r="N368" s="14" t="str">
        <x:v>否</x:v>
      </x:c>
      <x:c r="O368" s="14" t="str">
        <x:v>否</x:v>
      </x:c>
      <x:c r="P368" s="14" t="str">
        <x:v>未提供</x:v>
      </x:c>
      <x:c r="Q368" s="14" t="str">
        <x:v>未提供</x:v>
      </x:c>
      <x:c r="R368" s="14" t="str">
        <x:v>预测</x:v>
      </x:c>
      <x:c r="S368" s="14" t="str">
        <x:v>到站时间为估算值</x:v>
      </x:c>
      <x:c r="T368" t="str">
        <x:v>研究生宿舍楼发车</x:v>
      </x:c>
    </x:row>
    <x:row r="369">
      <x:c r="A369" s="14" t="str">
        <x:v>S0030-07</x:v>
      </x:c>
      <x:c r="B369" s="14" t="str">
        <x:v>S0030</x:v>
      </x:c>
      <x:c r="C369" s="14" t="str">
        <x:v>工作日</x:v>
      </x:c>
      <x:c r="D369" s="14" t="str">
        <x:v>环线1路</x:v>
      </x:c>
      <x:c r="E369" s="14" t="str">
        <x:v>第二班</x:v>
      </x:c>
      <x:c r="F369" s="14" t="n">
        <x:v>4</x:v>
      </x:c>
      <x:c r="G369" s="14" t="str">
        <x:v>9:12</x:v>
      </x:c>
      <x:c r="H369" s="14" t="str">
        <x:v>研究生宿舍楼</x:v>
      </x:c>
      <x:c r="I369" s="14" t="str">
        <x:v>否</x:v>
      </x:c>
      <x:c r="J369" s="14" t="n">
        <x:v>7</x:v>
      </x:c>
      <x:c r="K369" s="14" t="str">
        <x:v>北门</x:v>
      </x:c>
      <x:c r="L369" s="14" t="n">
        <x:v>8</x:v>
      </x:c>
      <x:c r="M369" s="14" t="str">
        <x:v>09:20</x:v>
      </x:c>
      <x:c r="N369" s="14" t="str">
        <x:v>否</x:v>
      </x:c>
      <x:c r="O369" s="14" t="str">
        <x:v>否</x:v>
      </x:c>
      <x:c r="P369" s="14" t="str">
        <x:v>未提供</x:v>
      </x:c>
      <x:c r="Q369" s="14" t="str">
        <x:v>未提供</x:v>
      </x:c>
      <x:c r="R369" s="14" t="str">
        <x:v>预测</x:v>
      </x:c>
      <x:c r="S369" s="14" t="str">
        <x:v>到站时间为估算值</x:v>
      </x:c>
      <x:c r="T369" t="str">
        <x:v>研究生宿舍楼发车</x:v>
      </x:c>
    </x:row>
    <x:row r="370">
      <x:c r="A370" s="14" t="str">
        <x:v>S0030-08</x:v>
      </x:c>
      <x:c r="B370" s="14" t="str">
        <x:v>S0030</x:v>
      </x:c>
      <x:c r="C370" s="14" t="str">
        <x:v>工作日</x:v>
      </x:c>
      <x:c r="D370" s="14" t="str">
        <x:v>环线1路</x:v>
      </x:c>
      <x:c r="E370" s="14" t="str">
        <x:v>第二班</x:v>
      </x:c>
      <x:c r="F370" s="14" t="n">
        <x:v>4</x:v>
      </x:c>
      <x:c r="G370" s="14" t="str">
        <x:v>9:12</x:v>
      </x:c>
      <x:c r="H370" s="14" t="str">
        <x:v>研究生宿舍楼</x:v>
      </x:c>
      <x:c r="I370" s="14" t="str">
        <x:v>否</x:v>
      </x:c>
      <x:c r="J370" s="14" t="n">
        <x:v>8</x:v>
      </x:c>
      <x:c r="K370" s="14" t="str">
        <x:v>高超楼</x:v>
      </x:c>
      <x:c r="L370" s="14" t="n">
        <x:v>9</x:v>
      </x:c>
      <x:c r="M370" s="14" t="str">
        <x:v>09:21</x:v>
      </x:c>
      <x:c r="N370" s="14" t="str">
        <x:v>否</x:v>
      </x:c>
      <x:c r="O370" s="14" t="str">
        <x:v>否</x:v>
      </x:c>
      <x:c r="P370" s="14" t="str">
        <x:v>未提供</x:v>
      </x:c>
      <x:c r="Q370" s="14" t="str">
        <x:v>未提供</x:v>
      </x:c>
      <x:c r="R370" s="14" t="str">
        <x:v>预测</x:v>
      </x:c>
      <x:c r="S370" s="14" t="str">
        <x:v>到站时间为估算值</x:v>
      </x:c>
      <x:c r="T370" t="str">
        <x:v>研究生宿舍楼发车</x:v>
      </x:c>
    </x:row>
    <x:row r="371">
      <x:c r="A371" s="14" t="str">
        <x:v>S0030-09</x:v>
      </x:c>
      <x:c r="B371" s="14" t="str">
        <x:v>S0030</x:v>
      </x:c>
      <x:c r="C371" s="14" t="str">
        <x:v>工作日</x:v>
      </x:c>
      <x:c r="D371" s="14" t="str">
        <x:v>环线1路</x:v>
      </x:c>
      <x:c r="E371" s="14" t="str">
        <x:v>第二班</x:v>
      </x:c>
      <x:c r="F371" s="14" t="n">
        <x:v>4</x:v>
      </x:c>
      <x:c r="G371" s="14" t="str">
        <x:v>9:12</x:v>
      </x:c>
      <x:c r="H371" s="14" t="str">
        <x:v>研究生宿舍楼</x:v>
      </x:c>
      <x:c r="I371" s="14" t="str">
        <x:v>否</x:v>
      </x:c>
      <x:c r="J371" s="14" t="n">
        <x:v>9</x:v>
      </x:c>
      <x:c r="K371" s="14" t="str">
        <x:v>理学院</x:v>
      </x:c>
      <x:c r="L371" s="14" t="n">
        <x:v>10</x:v>
      </x:c>
      <x:c r="M371" s="14" t="str">
        <x:v>09:22</x:v>
      </x:c>
      <x:c r="N371" s="14" t="str">
        <x:v>否</x:v>
      </x:c>
      <x:c r="O371" s="14" t="str">
        <x:v>否</x:v>
      </x:c>
      <x:c r="P371" s="14" t="str">
        <x:v>未提供</x:v>
      </x:c>
      <x:c r="Q371" s="14" t="str">
        <x:v>未提供</x:v>
      </x:c>
      <x:c r="R371" s="14" t="str">
        <x:v>预测</x:v>
      </x:c>
      <x:c r="S371" s="14" t="str">
        <x:v>到站时间为估算值</x:v>
      </x:c>
      <x:c r="T371" t="str">
        <x:v>研究生宿舍楼发车</x:v>
      </x:c>
    </x:row>
    <x:row r="372">
      <x:c r="A372" s="14" t="str">
        <x:v>S0030-10</x:v>
      </x:c>
      <x:c r="B372" s="14" t="str">
        <x:v>S0030</x:v>
      </x:c>
      <x:c r="C372" s="14" t="str">
        <x:v>工作日</x:v>
      </x:c>
      <x:c r="D372" s="14" t="str">
        <x:v>环线1路</x:v>
      </x:c>
      <x:c r="E372" s="14" t="str">
        <x:v>第二班</x:v>
      </x:c>
      <x:c r="F372" s="14" t="n">
        <x:v>4</x:v>
      </x:c>
      <x:c r="G372" s="14" t="str">
        <x:v>9:12</x:v>
      </x:c>
      <x:c r="H372" s="14" t="str">
        <x:v>研究生宿舍楼</x:v>
      </x:c>
      <x:c r="I372" s="14" t="str">
        <x:v>否</x:v>
      </x:c>
      <x:c r="J372" s="14" t="n">
        <x:v>10</x:v>
      </x:c>
      <x:c r="K372" s="14" t="str">
        <x:v>二食堂</x:v>
      </x:c>
      <x:c r="L372" s="14" t="n">
        <x:v>13</x:v>
      </x:c>
      <x:c r="M372" s="14" t="str">
        <x:v>09:25</x:v>
      </x:c>
      <x:c r="N372" s="14" t="str">
        <x:v>否</x:v>
      </x:c>
      <x:c r="O372" s="14" t="str">
        <x:v>否</x:v>
      </x:c>
      <x:c r="P372" s="14" t="str">
        <x:v>未提供</x:v>
      </x:c>
      <x:c r="Q372" s="14" t="str">
        <x:v>未提供</x:v>
      </x:c>
      <x:c r="R372" s="14" t="str">
        <x:v>预测</x:v>
      </x:c>
      <x:c r="S372" s="14" t="str">
        <x:v>到站时间为估算值</x:v>
      </x:c>
      <x:c r="T372" t="str">
        <x:v>研究生宿舍楼发车</x:v>
      </x:c>
    </x:row>
    <x:row r="373">
      <x:c r="A373" s="14" t="str">
        <x:v>S0030-11</x:v>
      </x:c>
      <x:c r="B373" s="14" t="str">
        <x:v>S0030</x:v>
      </x:c>
      <x:c r="C373" s="14" t="str">
        <x:v>工作日</x:v>
      </x:c>
      <x:c r="D373" s="14" t="str">
        <x:v>环线1路</x:v>
      </x:c>
      <x:c r="E373" s="14" t="str">
        <x:v>第二班</x:v>
      </x:c>
      <x:c r="F373" s="14" t="n">
        <x:v>4</x:v>
      </x:c>
      <x:c r="G373" s="14" t="str">
        <x:v>9:12</x:v>
      </x:c>
      <x:c r="H373" s="14" t="str">
        <x:v>研究生宿舍楼</x:v>
      </x:c>
      <x:c r="I373" s="14" t="str">
        <x:v>否</x:v>
      </x:c>
      <x:c r="J373" s="14" t="n">
        <x:v>11</x:v>
      </x:c>
      <x:c r="K373" s="14" t="str">
        <x:v>5号宿舍楼</x:v>
      </x:c>
      <x:c r="L373" s="14" t="n">
        <x:v>14</x:v>
      </x:c>
      <x:c r="M373" s="14" t="str">
        <x:v>09:26</x:v>
      </x:c>
      <x:c r="N373" s="14" t="str">
        <x:v>否</x:v>
      </x:c>
      <x:c r="O373" s="14" t="str">
        <x:v>否</x:v>
      </x:c>
      <x:c r="P373" s="14" t="str">
        <x:v>未提供</x:v>
      </x:c>
      <x:c r="Q373" s="14" t="str">
        <x:v>未提供</x:v>
      </x:c>
      <x:c r="R373" s="14" t="str">
        <x:v>预测</x:v>
      </x:c>
      <x:c r="S373" s="14" t="str">
        <x:v>到站时间为估算值</x:v>
      </x:c>
      <x:c r="T373" t="str">
        <x:v>研究生宿舍楼发车</x:v>
      </x:c>
    </x:row>
    <x:row r="374">
      <x:c r="A374" s="14" t="str">
        <x:v>S0030-12</x:v>
      </x:c>
      <x:c r="B374" s="14" t="str">
        <x:v>S0030</x:v>
      </x:c>
      <x:c r="C374" s="14" t="str">
        <x:v>工作日</x:v>
      </x:c>
      <x:c r="D374" s="14" t="str">
        <x:v>环线1路</x:v>
      </x:c>
      <x:c r="E374" s="14" t="str">
        <x:v>第二班</x:v>
      </x:c>
      <x:c r="F374" s="14" t="n">
        <x:v>4</x:v>
      </x:c>
      <x:c r="G374" s="14" t="str">
        <x:v>9:12</x:v>
      </x:c>
      <x:c r="H374" s="14" t="str">
        <x:v>研究生宿舍楼</x:v>
      </x:c>
      <x:c r="I374" s="14" t="str">
        <x:v>否</x:v>
      </x:c>
      <x:c r="J374" s="14" t="n">
        <x:v>12</x:v>
      </x:c>
      <x:c r="K374" s="14" t="str">
        <x:v>305教学楼</x:v>
      </x:c>
      <x:c r="L374" s="14" t="n">
        <x:v>15</x:v>
      </x:c>
      <x:c r="M374" s="14" t="str">
        <x:v>09:27</x:v>
      </x:c>
      <x:c r="N374" s="14" t="str">
        <x:v>否</x:v>
      </x:c>
      <x:c r="O374" s="14" t="str">
        <x:v>否</x:v>
      </x:c>
      <x:c r="P374" s="14" t="str">
        <x:v>未提供</x:v>
      </x:c>
      <x:c r="Q374" s="14" t="str">
        <x:v>未提供</x:v>
      </x:c>
      <x:c r="R374" s="14" t="str">
        <x:v>预测</x:v>
      </x:c>
      <x:c r="S374" s="14" t="str">
        <x:v>到站时间为估算值</x:v>
      </x:c>
      <x:c r="T374" t="str">
        <x:v>研究生宿舍楼发车</x:v>
      </x:c>
    </x:row>
    <x:row r="375">
      <x:c r="A375" s="14" t="str">
        <x:v>S0030-13</x:v>
      </x:c>
      <x:c r="B375" s="14" t="str">
        <x:v>S0030</x:v>
      </x:c>
      <x:c r="C375" s="14" t="str">
        <x:v>工作日</x:v>
      </x:c>
      <x:c r="D375" s="14" t="str">
        <x:v>环线1路</x:v>
      </x:c>
      <x:c r="E375" s="14" t="str">
        <x:v>第二班</x:v>
      </x:c>
      <x:c r="F375" s="14" t="n">
        <x:v>4</x:v>
      </x:c>
      <x:c r="G375" s="14" t="str">
        <x:v>9:12</x:v>
      </x:c>
      <x:c r="H375" s="14" t="str">
        <x:v>研究生宿舍楼</x:v>
      </x:c>
      <x:c r="I375" s="14" t="str">
        <x:v>否</x:v>
      </x:c>
      <x:c r="J375" s="14" t="n">
        <x:v>13</x:v>
      </x:c>
      <x:c r="K375" s="14" t="str">
        <x:v>研究生宿舍楼</x:v>
      </x:c>
      <x:c r="L375" s="14" t="n">
        <x:v>17</x:v>
      </x:c>
      <x:c r="M375" s="14" t="str">
        <x:v>09:29</x:v>
      </x:c>
      <x:c r="N375" s="14" t="str">
        <x:v>否</x:v>
      </x:c>
      <x:c r="O375" s="14" t="str">
        <x:v>是</x:v>
      </x:c>
      <x:c r="P375" s="14" t="str">
        <x:v>未提供</x:v>
      </x:c>
      <x:c r="Q375" s="14" t="str">
        <x:v>未提供</x:v>
      </x:c>
      <x:c r="R375" s="14" t="str">
        <x:v>预测</x:v>
      </x:c>
      <x:c r="S375" s="14" t="str">
        <x:v>到站时间为估算值</x:v>
      </x:c>
      <x:c r="T375" t="str">
        <x:v>研究生宿舍楼发车</x:v>
      </x:c>
    </x:row>
    <x:row r="376">
      <x:c r="A376" s="14" t="str">
        <x:v>S0031-01</x:v>
      </x:c>
      <x:c r="B376" s="14" t="str">
        <x:v>S0031</x:v>
      </x:c>
      <x:c r="C376" s="14" t="str">
        <x:v>工作日</x:v>
      </x:c>
      <x:c r="D376" s="14" t="str">
        <x:v>环线1路</x:v>
      </x:c>
      <x:c r="E376" s="14" t="str">
        <x:v>第二班</x:v>
      </x:c>
      <x:c r="F376" s="14" t="n">
        <x:v>5</x:v>
      </x:c>
      <x:c r="G376" s="14" t="str">
        <x:v>9:48</x:v>
      </x:c>
      <x:c r="H376" s="14" t="str">
        <x:v>研究生宿舍楼</x:v>
      </x:c>
      <x:c r="I376" s="14" t="str">
        <x:v>否</x:v>
      </x:c>
      <x:c r="J376" s="14" t="n">
        <x:v>1</x:v>
      </x:c>
      <x:c r="K376" s="14" t="str">
        <x:v>研究生宿舍楼</x:v>
      </x:c>
      <x:c r="L376" s="14" t="n">
        <x:v>0</x:v>
      </x:c>
      <x:c r="M376" s="14" t="str">
        <x:v>09:48</x:v>
      </x:c>
      <x:c r="N376" s="14" t="str">
        <x:v>是</x:v>
      </x:c>
      <x:c r="O376" s="14" t="str">
        <x:v>否</x:v>
      </x:c>
      <x:c r="P376" s="14" t="str">
        <x:v>未提供</x:v>
      </x:c>
      <x:c r="Q376" s="14" t="str">
        <x:v>未提供</x:v>
      </x:c>
      <x:c r="R376" s="14" t="str">
        <x:v>预测</x:v>
      </x:c>
      <x:c r="S376" s="14" t="str">
        <x:v>到站时间为估算值</x:v>
      </x:c>
      <x:c r="T376" t="str">
        <x:v>研究生宿舍楼发车</x:v>
      </x:c>
    </x:row>
    <x:row r="377">
      <x:c r="A377" s="14" t="str">
        <x:v>S0031-02</x:v>
      </x:c>
      <x:c r="B377" s="14" t="str">
        <x:v>S0031</x:v>
      </x:c>
      <x:c r="C377" s="14" t="str">
        <x:v>工作日</x:v>
      </x:c>
      <x:c r="D377" s="14" t="str">
        <x:v>环线1路</x:v>
      </x:c>
      <x:c r="E377" s="14" t="str">
        <x:v>第二班</x:v>
      </x:c>
      <x:c r="F377" s="14" t="n">
        <x:v>5</x:v>
      </x:c>
      <x:c r="G377" s="14" t="str">
        <x:v>9:48</x:v>
      </x:c>
      <x:c r="H377" s="14" t="str">
        <x:v>研究生宿舍楼</x:v>
      </x:c>
      <x:c r="I377" s="14" t="str">
        <x:v>否</x:v>
      </x:c>
      <x:c r="J377" s="14" t="n">
        <x:v>2</x:v>
      </x:c>
      <x:c r="K377" s="14" t="str">
        <x:v>东门</x:v>
      </x:c>
      <x:c r="L377" s="14" t="n">
        <x:v>1</x:v>
      </x:c>
      <x:c r="M377" s="14" t="str">
        <x:v>09:49</x:v>
      </x:c>
      <x:c r="N377" s="14" t="str">
        <x:v>否</x:v>
      </x:c>
      <x:c r="O377" s="14" t="str">
        <x:v>否</x:v>
      </x:c>
      <x:c r="P377" s="14" t="str">
        <x:v>未提供</x:v>
      </x:c>
      <x:c r="Q377" s="14" t="str">
        <x:v>未提供</x:v>
      </x:c>
      <x:c r="R377" s="14" t="str">
        <x:v>预测</x:v>
      </x:c>
      <x:c r="S377" s="14" t="str">
        <x:v>到站时间为估算值</x:v>
      </x:c>
      <x:c r="T377" t="str">
        <x:v>研究生宿舍楼发车</x:v>
      </x:c>
    </x:row>
    <x:row r="378">
      <x:c r="A378" s="14" t="str">
        <x:v>S0031-03</x:v>
      </x:c>
      <x:c r="B378" s="14" t="str">
        <x:v>S0031</x:v>
      </x:c>
      <x:c r="C378" s="14" t="str">
        <x:v>工作日</x:v>
      </x:c>
      <x:c r="D378" s="14" t="str">
        <x:v>环线1路</x:v>
      </x:c>
      <x:c r="E378" s="14" t="str">
        <x:v>第二班</x:v>
      </x:c>
      <x:c r="F378" s="14" t="n">
        <x:v>5</x:v>
      </x:c>
      <x:c r="G378" s="14" t="str">
        <x:v>9:48</x:v>
      </x:c>
      <x:c r="H378" s="14" t="str">
        <x:v>研究生宿舍楼</x:v>
      </x:c>
      <x:c r="I378" s="14" t="str">
        <x:v>否</x:v>
      </x:c>
      <x:c r="J378" s="14" t="n">
        <x:v>3</x:v>
      </x:c>
      <x:c r="K378" s="14" t="str">
        <x:v>2号宿舍楼</x:v>
      </x:c>
      <x:c r="L378" s="14" t="n">
        <x:v>2</x:v>
      </x:c>
      <x:c r="M378" s="14" t="str">
        <x:v>09:50</x:v>
      </x:c>
      <x:c r="N378" s="14" t="str">
        <x:v>否</x:v>
      </x:c>
      <x:c r="O378" s="14" t="str">
        <x:v>否</x:v>
      </x:c>
      <x:c r="P378" s="14" t="str">
        <x:v>未提供</x:v>
      </x:c>
      <x:c r="Q378" s="14" t="str">
        <x:v>未提供</x:v>
      </x:c>
      <x:c r="R378" s="14" t="str">
        <x:v>预测</x:v>
      </x:c>
      <x:c r="S378" s="14" t="str">
        <x:v>到站时间为估算值</x:v>
      </x:c>
      <x:c r="T378" t="str">
        <x:v>研究生宿舍楼发车</x:v>
      </x:c>
    </x:row>
    <x:row r="379">
      <x:c r="A379" s="14" t="str">
        <x:v>S0031-04</x:v>
      </x:c>
      <x:c r="B379" s="14" t="str">
        <x:v>S0031</x:v>
      </x:c>
      <x:c r="C379" s="14" t="str">
        <x:v>工作日</x:v>
      </x:c>
      <x:c r="D379" s="14" t="str">
        <x:v>环线1路</x:v>
      </x:c>
      <x:c r="E379" s="14" t="str">
        <x:v>第二班</x:v>
      </x:c>
      <x:c r="F379" s="14" t="n">
        <x:v>5</x:v>
      </x:c>
      <x:c r="G379" s="14" t="str">
        <x:v>9:48</x:v>
      </x:c>
      <x:c r="H379" s="14" t="str">
        <x:v>研究生宿舍楼</x:v>
      </x:c>
      <x:c r="I379" s="14" t="str">
        <x:v>否</x:v>
      </x:c>
      <x:c r="J379" s="14" t="n">
        <x:v>4</x:v>
      </x:c>
      <x:c r="K379" s="14" t="str">
        <x:v>军体活动中心</x:v>
      </x:c>
      <x:c r="L379" s="14" t="n">
        <x:v>3</x:v>
      </x:c>
      <x:c r="M379" s="14" t="str">
        <x:v>09:51</x:v>
      </x:c>
      <x:c r="N379" s="14" t="str">
        <x:v>否</x:v>
      </x:c>
      <x:c r="O379" s="14" t="str">
        <x:v>否</x:v>
      </x:c>
      <x:c r="P379" s="14" t="str">
        <x:v>未提供</x:v>
      </x:c>
      <x:c r="Q379" s="14" t="str">
        <x:v>未提供</x:v>
      </x:c>
      <x:c r="R379" s="14" t="str">
        <x:v>预测</x:v>
      </x:c>
      <x:c r="S379" s="14" t="str">
        <x:v>到站时间为估算值</x:v>
      </x:c>
      <x:c r="T379" t="str">
        <x:v>研究生宿舍楼发车</x:v>
      </x:c>
    </x:row>
    <x:row r="380">
      <x:c r="A380" s="14" t="str">
        <x:v>S0031-05</x:v>
      </x:c>
      <x:c r="B380" s="14" t="str">
        <x:v>S0031</x:v>
      </x:c>
      <x:c r="C380" s="14" t="str">
        <x:v>工作日</x:v>
      </x:c>
      <x:c r="D380" s="14" t="str">
        <x:v>环线1路</x:v>
      </x:c>
      <x:c r="E380" s="14" t="str">
        <x:v>第二班</x:v>
      </x:c>
      <x:c r="F380" s="14" t="n">
        <x:v>5</x:v>
      </x:c>
      <x:c r="G380" s="14" t="str">
        <x:v>9:48</x:v>
      </x:c>
      <x:c r="H380" s="14" t="str">
        <x:v>研究生宿舍楼</x:v>
      </x:c>
      <x:c r="I380" s="14" t="str">
        <x:v>否</x:v>
      </x:c>
      <x:c r="J380" s="14" t="n">
        <x:v>5</x:v>
      </x:c>
      <x:c r="K380" s="14" t="str">
        <x:v>激光所</x:v>
      </x:c>
      <x:c r="L380" s="14" t="n">
        <x:v>5</x:v>
      </x:c>
      <x:c r="M380" s="14" t="str">
        <x:v>09:53</x:v>
      </x:c>
      <x:c r="N380" s="14" t="str">
        <x:v>否</x:v>
      </x:c>
      <x:c r="O380" s="14" t="str">
        <x:v>否</x:v>
      </x:c>
      <x:c r="P380" s="14" t="str">
        <x:v>未提供</x:v>
      </x:c>
      <x:c r="Q380" s="14" t="str">
        <x:v>未提供</x:v>
      </x:c>
      <x:c r="R380" s="14" t="str">
        <x:v>预测</x:v>
      </x:c>
      <x:c r="S380" s="14" t="str">
        <x:v>到站时间为估算值</x:v>
      </x:c>
      <x:c r="T380" t="str">
        <x:v>研究生宿舍楼发车</x:v>
      </x:c>
    </x:row>
    <x:row r="381">
      <x:c r="A381" s="14" t="str">
        <x:v>S0031-06</x:v>
      </x:c>
      <x:c r="B381" s="14" t="str">
        <x:v>S0031</x:v>
      </x:c>
      <x:c r="C381" s="14" t="str">
        <x:v>工作日</x:v>
      </x:c>
      <x:c r="D381" s="14" t="str">
        <x:v>环线1路</x:v>
      </x:c>
      <x:c r="E381" s="14" t="str">
        <x:v>第二班</x:v>
      </x:c>
      <x:c r="F381" s="14" t="n">
        <x:v>5</x:v>
      </x:c>
      <x:c r="G381" s="14" t="str">
        <x:v>9:48</x:v>
      </x:c>
      <x:c r="H381" s="14" t="str">
        <x:v>研究生宿舍楼</x:v>
      </x:c>
      <x:c r="I381" s="14" t="str">
        <x:v>否</x:v>
      </x:c>
      <x:c r="J381" s="14" t="n">
        <x:v>6</x:v>
      </x:c>
      <x:c r="K381" s="14" t="str">
        <x:v>超算中心</x:v>
      </x:c>
      <x:c r="L381" s="14" t="n">
        <x:v>6</x:v>
      </x:c>
      <x:c r="M381" s="14" t="str">
        <x:v>09:54</x:v>
      </x:c>
      <x:c r="N381" s="14" t="str">
        <x:v>否</x:v>
      </x:c>
      <x:c r="O381" s="14" t="str">
        <x:v>否</x:v>
      </x:c>
      <x:c r="P381" s="14" t="str">
        <x:v>未提供</x:v>
      </x:c>
      <x:c r="Q381" s="14" t="str">
        <x:v>未提供</x:v>
      </x:c>
      <x:c r="R381" s="14" t="str">
        <x:v>预测</x:v>
      </x:c>
      <x:c r="S381" s="14" t="str">
        <x:v>到站时间为估算值</x:v>
      </x:c>
      <x:c r="T381" t="str">
        <x:v>研究生宿舍楼发车</x:v>
      </x:c>
    </x:row>
    <x:row r="382">
      <x:c r="A382" s="14" t="str">
        <x:v>S0031-07</x:v>
      </x:c>
      <x:c r="B382" s="14" t="str">
        <x:v>S0031</x:v>
      </x:c>
      <x:c r="C382" s="14" t="str">
        <x:v>工作日</x:v>
      </x:c>
      <x:c r="D382" s="14" t="str">
        <x:v>环线1路</x:v>
      </x:c>
      <x:c r="E382" s="14" t="str">
        <x:v>第二班</x:v>
      </x:c>
      <x:c r="F382" s="14" t="n">
        <x:v>5</x:v>
      </x:c>
      <x:c r="G382" s="14" t="str">
        <x:v>9:48</x:v>
      </x:c>
      <x:c r="H382" s="14" t="str">
        <x:v>研究生宿舍楼</x:v>
      </x:c>
      <x:c r="I382" s="14" t="str">
        <x:v>否</x:v>
      </x:c>
      <x:c r="J382" s="14" t="n">
        <x:v>7</x:v>
      </x:c>
      <x:c r="K382" s="14" t="str">
        <x:v>北门</x:v>
      </x:c>
      <x:c r="L382" s="14" t="n">
        <x:v>8</x:v>
      </x:c>
      <x:c r="M382" s="14" t="str">
        <x:v>09:56</x:v>
      </x:c>
      <x:c r="N382" s="14" t="str">
        <x:v>否</x:v>
      </x:c>
      <x:c r="O382" s="14" t="str">
        <x:v>否</x:v>
      </x:c>
      <x:c r="P382" s="14" t="str">
        <x:v>未提供</x:v>
      </x:c>
      <x:c r="Q382" s="14" t="str">
        <x:v>未提供</x:v>
      </x:c>
      <x:c r="R382" s="14" t="str">
        <x:v>预测</x:v>
      </x:c>
      <x:c r="S382" s="14" t="str">
        <x:v>到站时间为估算值</x:v>
      </x:c>
      <x:c r="T382" t="str">
        <x:v>研究生宿舍楼发车</x:v>
      </x:c>
    </x:row>
    <x:row r="383">
      <x:c r="A383" s="14" t="str">
        <x:v>S0031-08</x:v>
      </x:c>
      <x:c r="B383" s="14" t="str">
        <x:v>S0031</x:v>
      </x:c>
      <x:c r="C383" s="14" t="str">
        <x:v>工作日</x:v>
      </x:c>
      <x:c r="D383" s="14" t="str">
        <x:v>环线1路</x:v>
      </x:c>
      <x:c r="E383" s="14" t="str">
        <x:v>第二班</x:v>
      </x:c>
      <x:c r="F383" s="14" t="n">
        <x:v>5</x:v>
      </x:c>
      <x:c r="G383" s="14" t="str">
        <x:v>9:48</x:v>
      </x:c>
      <x:c r="H383" s="14" t="str">
        <x:v>研究生宿舍楼</x:v>
      </x:c>
      <x:c r="I383" s="14" t="str">
        <x:v>否</x:v>
      </x:c>
      <x:c r="J383" s="14" t="n">
        <x:v>8</x:v>
      </x:c>
      <x:c r="K383" s="14" t="str">
        <x:v>高超楼</x:v>
      </x:c>
      <x:c r="L383" s="14" t="n">
        <x:v>9</x:v>
      </x:c>
      <x:c r="M383" s="14" t="str">
        <x:v>09:57</x:v>
      </x:c>
      <x:c r="N383" s="14" t="str">
        <x:v>否</x:v>
      </x:c>
      <x:c r="O383" s="14" t="str">
        <x:v>否</x:v>
      </x:c>
      <x:c r="P383" s="14" t="str">
        <x:v>未提供</x:v>
      </x:c>
      <x:c r="Q383" s="14" t="str">
        <x:v>未提供</x:v>
      </x:c>
      <x:c r="R383" s="14" t="str">
        <x:v>预测</x:v>
      </x:c>
      <x:c r="S383" s="14" t="str">
        <x:v>到站时间为估算值</x:v>
      </x:c>
      <x:c r="T383" t="str">
        <x:v>研究生宿舍楼发车</x:v>
      </x:c>
    </x:row>
    <x:row r="384">
      <x:c r="A384" s="14" t="str">
        <x:v>S0031-09</x:v>
      </x:c>
      <x:c r="B384" s="14" t="str">
        <x:v>S0031</x:v>
      </x:c>
      <x:c r="C384" s="14" t="str">
        <x:v>工作日</x:v>
      </x:c>
      <x:c r="D384" s="14" t="str">
        <x:v>环线1路</x:v>
      </x:c>
      <x:c r="E384" s="14" t="str">
        <x:v>第二班</x:v>
      </x:c>
      <x:c r="F384" s="14" t="n">
        <x:v>5</x:v>
      </x:c>
      <x:c r="G384" s="14" t="str">
        <x:v>9:48</x:v>
      </x:c>
      <x:c r="H384" s="14" t="str">
        <x:v>研究生宿舍楼</x:v>
      </x:c>
      <x:c r="I384" s="14" t="str">
        <x:v>否</x:v>
      </x:c>
      <x:c r="J384" s="14" t="n">
        <x:v>9</x:v>
      </x:c>
      <x:c r="K384" s="14" t="str">
        <x:v>理学院</x:v>
      </x:c>
      <x:c r="L384" s="14" t="n">
        <x:v>10</x:v>
      </x:c>
      <x:c r="M384" s="14" t="str">
        <x:v>09:58</x:v>
      </x:c>
      <x:c r="N384" s="14" t="str">
        <x:v>否</x:v>
      </x:c>
      <x:c r="O384" s="14" t="str">
        <x:v>否</x:v>
      </x:c>
      <x:c r="P384" s="14" t="str">
        <x:v>未提供</x:v>
      </x:c>
      <x:c r="Q384" s="14" t="str">
        <x:v>未提供</x:v>
      </x:c>
      <x:c r="R384" s="14" t="str">
        <x:v>预测</x:v>
      </x:c>
      <x:c r="S384" s="14" t="str">
        <x:v>到站时间为估算值</x:v>
      </x:c>
      <x:c r="T384" t="str">
        <x:v>研究生宿舍楼发车</x:v>
      </x:c>
    </x:row>
    <x:row r="385">
      <x:c r="A385" s="14" t="str">
        <x:v>S0031-10</x:v>
      </x:c>
      <x:c r="B385" s="14" t="str">
        <x:v>S0031</x:v>
      </x:c>
      <x:c r="C385" s="14" t="str">
        <x:v>工作日</x:v>
      </x:c>
      <x:c r="D385" s="14" t="str">
        <x:v>环线1路</x:v>
      </x:c>
      <x:c r="E385" s="14" t="str">
        <x:v>第二班</x:v>
      </x:c>
      <x:c r="F385" s="14" t="n">
        <x:v>5</x:v>
      </x:c>
      <x:c r="G385" s="14" t="str">
        <x:v>9:48</x:v>
      </x:c>
      <x:c r="H385" s="14" t="str">
        <x:v>研究生宿舍楼</x:v>
      </x:c>
      <x:c r="I385" s="14" t="str">
        <x:v>否</x:v>
      </x:c>
      <x:c r="J385" s="14" t="n">
        <x:v>10</x:v>
      </x:c>
      <x:c r="K385" s="14" t="str">
        <x:v>二食堂</x:v>
      </x:c>
      <x:c r="L385" s="14" t="n">
        <x:v>13</x:v>
      </x:c>
      <x:c r="M385" s="14" t="str">
        <x:v>10:01</x:v>
      </x:c>
      <x:c r="N385" s="14" t="str">
        <x:v>否</x:v>
      </x:c>
      <x:c r="O385" s="14" t="str">
        <x:v>否</x:v>
      </x:c>
      <x:c r="P385" s="14" t="str">
        <x:v>未提供</x:v>
      </x:c>
      <x:c r="Q385" s="14" t="str">
        <x:v>未提供</x:v>
      </x:c>
      <x:c r="R385" s="14" t="str">
        <x:v>预测</x:v>
      </x:c>
      <x:c r="S385" s="14" t="str">
        <x:v>到站时间为估算值</x:v>
      </x:c>
      <x:c r="T385" t="str">
        <x:v>研究生宿舍楼发车</x:v>
      </x:c>
    </x:row>
    <x:row r="386">
      <x:c r="A386" s="14" t="str">
        <x:v>S0031-11</x:v>
      </x:c>
      <x:c r="B386" s="14" t="str">
        <x:v>S0031</x:v>
      </x:c>
      <x:c r="C386" s="14" t="str">
        <x:v>工作日</x:v>
      </x:c>
      <x:c r="D386" s="14" t="str">
        <x:v>环线1路</x:v>
      </x:c>
      <x:c r="E386" s="14" t="str">
        <x:v>第二班</x:v>
      </x:c>
      <x:c r="F386" s="14" t="n">
        <x:v>5</x:v>
      </x:c>
      <x:c r="G386" s="14" t="str">
        <x:v>9:48</x:v>
      </x:c>
      <x:c r="H386" s="14" t="str">
        <x:v>研究生宿舍楼</x:v>
      </x:c>
      <x:c r="I386" s="14" t="str">
        <x:v>否</x:v>
      </x:c>
      <x:c r="J386" s="14" t="n">
        <x:v>11</x:v>
      </x:c>
      <x:c r="K386" s="14" t="str">
        <x:v>5号宿舍楼</x:v>
      </x:c>
      <x:c r="L386" s="14" t="n">
        <x:v>14</x:v>
      </x:c>
      <x:c r="M386" s="14" t="str">
        <x:v>10:02</x:v>
      </x:c>
      <x:c r="N386" s="14" t="str">
        <x:v>否</x:v>
      </x:c>
      <x:c r="O386" s="14" t="str">
        <x:v>否</x:v>
      </x:c>
      <x:c r="P386" s="14" t="str">
        <x:v>未提供</x:v>
      </x:c>
      <x:c r="Q386" s="14" t="str">
        <x:v>未提供</x:v>
      </x:c>
      <x:c r="R386" s="14" t="str">
        <x:v>预测</x:v>
      </x:c>
      <x:c r="S386" s="14" t="str">
        <x:v>到站时间为估算值</x:v>
      </x:c>
      <x:c r="T386" t="str">
        <x:v>研究生宿舍楼发车</x:v>
      </x:c>
    </x:row>
    <x:row r="387">
      <x:c r="A387" s="14" t="str">
        <x:v>S0031-12</x:v>
      </x:c>
      <x:c r="B387" s="14" t="str">
        <x:v>S0031</x:v>
      </x:c>
      <x:c r="C387" s="14" t="str">
        <x:v>工作日</x:v>
      </x:c>
      <x:c r="D387" s="14" t="str">
        <x:v>环线1路</x:v>
      </x:c>
      <x:c r="E387" s="14" t="str">
        <x:v>第二班</x:v>
      </x:c>
      <x:c r="F387" s="14" t="n">
        <x:v>5</x:v>
      </x:c>
      <x:c r="G387" s="14" t="str">
        <x:v>9:48</x:v>
      </x:c>
      <x:c r="H387" s="14" t="str">
        <x:v>研究生宿舍楼</x:v>
      </x:c>
      <x:c r="I387" s="14" t="str">
        <x:v>否</x:v>
      </x:c>
      <x:c r="J387" s="14" t="n">
        <x:v>12</x:v>
      </x:c>
      <x:c r="K387" s="14" t="str">
        <x:v>305教学楼</x:v>
      </x:c>
      <x:c r="L387" s="14" t="n">
        <x:v>15</x:v>
      </x:c>
      <x:c r="M387" s="14" t="str">
        <x:v>10:03</x:v>
      </x:c>
      <x:c r="N387" s="14" t="str">
        <x:v>否</x:v>
      </x:c>
      <x:c r="O387" s="14" t="str">
        <x:v>否</x:v>
      </x:c>
      <x:c r="P387" s="14" t="str">
        <x:v>未提供</x:v>
      </x:c>
      <x:c r="Q387" s="14" t="str">
        <x:v>未提供</x:v>
      </x:c>
      <x:c r="R387" s="14" t="str">
        <x:v>预测</x:v>
      </x:c>
      <x:c r="S387" s="14" t="str">
        <x:v>到站时间为估算值</x:v>
      </x:c>
      <x:c r="T387" t="str">
        <x:v>研究生宿舍楼发车</x:v>
      </x:c>
    </x:row>
    <x:row r="388">
      <x:c r="A388" s="14" t="str">
        <x:v>S0031-13</x:v>
      </x:c>
      <x:c r="B388" s="14" t="str">
        <x:v>S0031</x:v>
      </x:c>
      <x:c r="C388" s="14" t="str">
        <x:v>工作日</x:v>
      </x:c>
      <x:c r="D388" s="14" t="str">
        <x:v>环线1路</x:v>
      </x:c>
      <x:c r="E388" s="14" t="str">
        <x:v>第二班</x:v>
      </x:c>
      <x:c r="F388" s="14" t="n">
        <x:v>5</x:v>
      </x:c>
      <x:c r="G388" s="14" t="str">
        <x:v>9:48</x:v>
      </x:c>
      <x:c r="H388" s="14" t="str">
        <x:v>研究生宿舍楼</x:v>
      </x:c>
      <x:c r="I388" s="14" t="str">
        <x:v>否</x:v>
      </x:c>
      <x:c r="J388" s="14" t="n">
        <x:v>13</x:v>
      </x:c>
      <x:c r="K388" s="14" t="str">
        <x:v>研究生宿舍楼</x:v>
      </x:c>
      <x:c r="L388" s="14" t="n">
        <x:v>17</x:v>
      </x:c>
      <x:c r="M388" s="14" t="str">
        <x:v>10:05</x:v>
      </x:c>
      <x:c r="N388" s="14" t="str">
        <x:v>否</x:v>
      </x:c>
      <x:c r="O388" s="14" t="str">
        <x:v>是</x:v>
      </x:c>
      <x:c r="P388" s="14" t="str">
        <x:v>未提供</x:v>
      </x:c>
      <x:c r="Q388" s="14" t="str">
        <x:v>未提供</x:v>
      </x:c>
      <x:c r="R388" s="14" t="str">
        <x:v>预测</x:v>
      </x:c>
      <x:c r="S388" s="14" t="str">
        <x:v>到站时间为估算值</x:v>
      </x:c>
      <x:c r="T388" t="str">
        <x:v>研究生宿舍楼发车</x:v>
      </x:c>
    </x:row>
    <x:row r="389">
      <x:c r="A389" s="14" t="str">
        <x:v>S0032-01</x:v>
      </x:c>
      <x:c r="B389" s="14" t="str">
        <x:v>S0032</x:v>
      </x:c>
      <x:c r="C389" s="14" t="str">
        <x:v>工作日</x:v>
      </x:c>
      <x:c r="D389" s="14" t="str">
        <x:v>环线1路</x:v>
      </x:c>
      <x:c r="E389" s="14" t="str">
        <x:v>第二班</x:v>
      </x:c>
      <x:c r="F389" s="14" t="n">
        <x:v>6</x:v>
      </x:c>
      <x:c r="G389" s="14" t="str">
        <x:v>10:30</x:v>
      </x:c>
      <x:c r="H389" s="14" t="str">
        <x:v>研究生宿舍楼</x:v>
      </x:c>
      <x:c r="I389" s="14" t="str">
        <x:v>否</x:v>
      </x:c>
      <x:c r="J389" s="14" t="n">
        <x:v>1</x:v>
      </x:c>
      <x:c r="K389" s="14" t="str">
        <x:v>研究生宿舍楼</x:v>
      </x:c>
      <x:c r="L389" s="14" t="n">
        <x:v>0</x:v>
      </x:c>
      <x:c r="M389" s="14" t="str">
        <x:v>10:30</x:v>
      </x:c>
      <x:c r="N389" s="14" t="str">
        <x:v>是</x:v>
      </x:c>
      <x:c r="O389" s="14" t="str">
        <x:v>否</x:v>
      </x:c>
      <x:c r="P389" s="14" t="str">
        <x:v>未提供</x:v>
      </x:c>
      <x:c r="Q389" s="14" t="str">
        <x:v>未提供</x:v>
      </x:c>
      <x:c r="R389" s="14" t="str">
        <x:v>预测</x:v>
      </x:c>
      <x:c r="S389" s="14" t="str">
        <x:v>到站时间为估算值</x:v>
      </x:c>
      <x:c r="T389" t="str">
        <x:v>研究生宿舍楼发车</x:v>
      </x:c>
    </x:row>
    <x:row r="390">
      <x:c r="A390" s="14" t="str">
        <x:v>S0032-02</x:v>
      </x:c>
      <x:c r="B390" s="14" t="str">
        <x:v>S0032</x:v>
      </x:c>
      <x:c r="C390" s="14" t="str">
        <x:v>工作日</x:v>
      </x:c>
      <x:c r="D390" s="14" t="str">
        <x:v>环线1路</x:v>
      </x:c>
      <x:c r="E390" s="14" t="str">
        <x:v>第二班</x:v>
      </x:c>
      <x:c r="F390" s="14" t="n">
        <x:v>6</x:v>
      </x:c>
      <x:c r="G390" s="14" t="str">
        <x:v>10:30</x:v>
      </x:c>
      <x:c r="H390" s="14" t="str">
        <x:v>研究生宿舍楼</x:v>
      </x:c>
      <x:c r="I390" s="14" t="str">
        <x:v>否</x:v>
      </x:c>
      <x:c r="J390" s="14" t="n">
        <x:v>2</x:v>
      </x:c>
      <x:c r="K390" s="14" t="str">
        <x:v>东门</x:v>
      </x:c>
      <x:c r="L390" s="14" t="n">
        <x:v>1</x:v>
      </x:c>
      <x:c r="M390" s="14" t="str">
        <x:v>10:31</x:v>
      </x:c>
      <x:c r="N390" s="14" t="str">
        <x:v>否</x:v>
      </x:c>
      <x:c r="O390" s="14" t="str">
        <x:v>否</x:v>
      </x:c>
      <x:c r="P390" s="14" t="str">
        <x:v>未提供</x:v>
      </x:c>
      <x:c r="Q390" s="14" t="str">
        <x:v>未提供</x:v>
      </x:c>
      <x:c r="R390" s="14" t="str">
        <x:v>预测</x:v>
      </x:c>
      <x:c r="S390" s="14" t="str">
        <x:v>到站时间为估算值</x:v>
      </x:c>
      <x:c r="T390" t="str">
        <x:v>研究生宿舍楼发车</x:v>
      </x:c>
    </x:row>
    <x:row r="391">
      <x:c r="A391" s="14" t="str">
        <x:v>S0032-03</x:v>
      </x:c>
      <x:c r="B391" s="14" t="str">
        <x:v>S0032</x:v>
      </x:c>
      <x:c r="C391" s="14" t="str">
        <x:v>工作日</x:v>
      </x:c>
      <x:c r="D391" s="14" t="str">
        <x:v>环线1路</x:v>
      </x:c>
      <x:c r="E391" s="14" t="str">
        <x:v>第二班</x:v>
      </x:c>
      <x:c r="F391" s="14" t="n">
        <x:v>6</x:v>
      </x:c>
      <x:c r="G391" s="14" t="str">
        <x:v>10:30</x:v>
      </x:c>
      <x:c r="H391" s="14" t="str">
        <x:v>研究生宿舍楼</x:v>
      </x:c>
      <x:c r="I391" s="14" t="str">
        <x:v>否</x:v>
      </x:c>
      <x:c r="J391" s="14" t="n">
        <x:v>3</x:v>
      </x:c>
      <x:c r="K391" s="14" t="str">
        <x:v>2号宿舍楼</x:v>
      </x:c>
      <x:c r="L391" s="14" t="n">
        <x:v>2</x:v>
      </x:c>
      <x:c r="M391" s="14" t="str">
        <x:v>10:32</x:v>
      </x:c>
      <x:c r="N391" s="14" t="str">
        <x:v>否</x:v>
      </x:c>
      <x:c r="O391" s="14" t="str">
        <x:v>否</x:v>
      </x:c>
      <x:c r="P391" s="14" t="str">
        <x:v>未提供</x:v>
      </x:c>
      <x:c r="Q391" s="14" t="str">
        <x:v>未提供</x:v>
      </x:c>
      <x:c r="R391" s="14" t="str">
        <x:v>预测</x:v>
      </x:c>
      <x:c r="S391" s="14" t="str">
        <x:v>到站时间为估算值</x:v>
      </x:c>
      <x:c r="T391" t="str">
        <x:v>研究生宿舍楼发车</x:v>
      </x:c>
    </x:row>
    <x:row r="392">
      <x:c r="A392" s="14" t="str">
        <x:v>S0032-04</x:v>
      </x:c>
      <x:c r="B392" s="14" t="str">
        <x:v>S0032</x:v>
      </x:c>
      <x:c r="C392" s="14" t="str">
        <x:v>工作日</x:v>
      </x:c>
      <x:c r="D392" s="14" t="str">
        <x:v>环线1路</x:v>
      </x:c>
      <x:c r="E392" s="14" t="str">
        <x:v>第二班</x:v>
      </x:c>
      <x:c r="F392" s="14" t="n">
        <x:v>6</x:v>
      </x:c>
      <x:c r="G392" s="14" t="str">
        <x:v>10:30</x:v>
      </x:c>
      <x:c r="H392" s="14" t="str">
        <x:v>研究生宿舍楼</x:v>
      </x:c>
      <x:c r="I392" s="14" t="str">
        <x:v>否</x:v>
      </x:c>
      <x:c r="J392" s="14" t="n">
        <x:v>4</x:v>
      </x:c>
      <x:c r="K392" s="14" t="str">
        <x:v>军体活动中心</x:v>
      </x:c>
      <x:c r="L392" s="14" t="n">
        <x:v>3</x:v>
      </x:c>
      <x:c r="M392" s="14" t="str">
        <x:v>10:33</x:v>
      </x:c>
      <x:c r="N392" s="14" t="str">
        <x:v>否</x:v>
      </x:c>
      <x:c r="O392" s="14" t="str">
        <x:v>否</x:v>
      </x:c>
      <x:c r="P392" s="14" t="str">
        <x:v>未提供</x:v>
      </x:c>
      <x:c r="Q392" s="14" t="str">
        <x:v>未提供</x:v>
      </x:c>
      <x:c r="R392" s="14" t="str">
        <x:v>预测</x:v>
      </x:c>
      <x:c r="S392" s="14" t="str">
        <x:v>到站时间为估算值</x:v>
      </x:c>
      <x:c r="T392" t="str">
        <x:v>研究生宿舍楼发车</x:v>
      </x:c>
    </x:row>
    <x:row r="393">
      <x:c r="A393" s="14" t="str">
        <x:v>S0032-05</x:v>
      </x:c>
      <x:c r="B393" s="14" t="str">
        <x:v>S0032</x:v>
      </x:c>
      <x:c r="C393" s="14" t="str">
        <x:v>工作日</x:v>
      </x:c>
      <x:c r="D393" s="14" t="str">
        <x:v>环线1路</x:v>
      </x:c>
      <x:c r="E393" s="14" t="str">
        <x:v>第二班</x:v>
      </x:c>
      <x:c r="F393" s="14" t="n">
        <x:v>6</x:v>
      </x:c>
      <x:c r="G393" s="14" t="str">
        <x:v>10:30</x:v>
      </x:c>
      <x:c r="H393" s="14" t="str">
        <x:v>研究生宿舍楼</x:v>
      </x:c>
      <x:c r="I393" s="14" t="str">
        <x:v>否</x:v>
      </x:c>
      <x:c r="J393" s="14" t="n">
        <x:v>5</x:v>
      </x:c>
      <x:c r="K393" s="14" t="str">
        <x:v>激光所</x:v>
      </x:c>
      <x:c r="L393" s="14" t="n">
        <x:v>5</x:v>
      </x:c>
      <x:c r="M393" s="14" t="str">
        <x:v>10:35</x:v>
      </x:c>
      <x:c r="N393" s="14" t="str">
        <x:v>否</x:v>
      </x:c>
      <x:c r="O393" s="14" t="str">
        <x:v>否</x:v>
      </x:c>
      <x:c r="P393" s="14" t="str">
        <x:v>未提供</x:v>
      </x:c>
      <x:c r="Q393" s="14" t="str">
        <x:v>未提供</x:v>
      </x:c>
      <x:c r="R393" s="14" t="str">
        <x:v>预测</x:v>
      </x:c>
      <x:c r="S393" s="14" t="str">
        <x:v>到站时间为估算值</x:v>
      </x:c>
      <x:c r="T393" t="str">
        <x:v>研究生宿舍楼发车</x:v>
      </x:c>
    </x:row>
    <x:row r="394">
      <x:c r="A394" s="14" t="str">
        <x:v>S0032-06</x:v>
      </x:c>
      <x:c r="B394" s="14" t="str">
        <x:v>S0032</x:v>
      </x:c>
      <x:c r="C394" s="14" t="str">
        <x:v>工作日</x:v>
      </x:c>
      <x:c r="D394" s="14" t="str">
        <x:v>环线1路</x:v>
      </x:c>
      <x:c r="E394" s="14" t="str">
        <x:v>第二班</x:v>
      </x:c>
      <x:c r="F394" s="14" t="n">
        <x:v>6</x:v>
      </x:c>
      <x:c r="G394" s="14" t="str">
        <x:v>10:30</x:v>
      </x:c>
      <x:c r="H394" s="14" t="str">
        <x:v>研究生宿舍楼</x:v>
      </x:c>
      <x:c r="I394" s="14" t="str">
        <x:v>否</x:v>
      </x:c>
      <x:c r="J394" s="14" t="n">
        <x:v>6</x:v>
      </x:c>
      <x:c r="K394" s="14" t="str">
        <x:v>超算中心</x:v>
      </x:c>
      <x:c r="L394" s="14" t="n">
        <x:v>6</x:v>
      </x:c>
      <x:c r="M394" s="14" t="str">
        <x:v>10:36</x:v>
      </x:c>
      <x:c r="N394" s="14" t="str">
        <x:v>否</x:v>
      </x:c>
      <x:c r="O394" s="14" t="str">
        <x:v>否</x:v>
      </x:c>
      <x:c r="P394" s="14" t="str">
        <x:v>未提供</x:v>
      </x:c>
      <x:c r="Q394" s="14" t="str">
        <x:v>未提供</x:v>
      </x:c>
      <x:c r="R394" s="14" t="str">
        <x:v>预测</x:v>
      </x:c>
      <x:c r="S394" s="14" t="str">
        <x:v>到站时间为估算值</x:v>
      </x:c>
      <x:c r="T394" t="str">
        <x:v>研究生宿舍楼发车</x:v>
      </x:c>
    </x:row>
    <x:row r="395">
      <x:c r="A395" s="14" t="str">
        <x:v>S0032-07</x:v>
      </x:c>
      <x:c r="B395" s="14" t="str">
        <x:v>S0032</x:v>
      </x:c>
      <x:c r="C395" s="14" t="str">
        <x:v>工作日</x:v>
      </x:c>
      <x:c r="D395" s="14" t="str">
        <x:v>环线1路</x:v>
      </x:c>
      <x:c r="E395" s="14" t="str">
        <x:v>第二班</x:v>
      </x:c>
      <x:c r="F395" s="14" t="n">
        <x:v>6</x:v>
      </x:c>
      <x:c r="G395" s="14" t="str">
        <x:v>10:30</x:v>
      </x:c>
      <x:c r="H395" s="14" t="str">
        <x:v>研究生宿舍楼</x:v>
      </x:c>
      <x:c r="I395" s="14" t="str">
        <x:v>否</x:v>
      </x:c>
      <x:c r="J395" s="14" t="n">
        <x:v>7</x:v>
      </x:c>
      <x:c r="K395" s="14" t="str">
        <x:v>北门</x:v>
      </x:c>
      <x:c r="L395" s="14" t="n">
        <x:v>8</x:v>
      </x:c>
      <x:c r="M395" s="14" t="str">
        <x:v>10:38</x:v>
      </x:c>
      <x:c r="N395" s="14" t="str">
        <x:v>否</x:v>
      </x:c>
      <x:c r="O395" s="14" t="str">
        <x:v>否</x:v>
      </x:c>
      <x:c r="P395" s="14" t="str">
        <x:v>未提供</x:v>
      </x:c>
      <x:c r="Q395" s="14" t="str">
        <x:v>未提供</x:v>
      </x:c>
      <x:c r="R395" s="14" t="str">
        <x:v>预测</x:v>
      </x:c>
      <x:c r="S395" s="14" t="str">
        <x:v>到站时间为估算值</x:v>
      </x:c>
      <x:c r="T395" t="str">
        <x:v>研究生宿舍楼发车</x:v>
      </x:c>
    </x:row>
    <x:row r="396">
      <x:c r="A396" s="14" t="str">
        <x:v>S0032-08</x:v>
      </x:c>
      <x:c r="B396" s="14" t="str">
        <x:v>S0032</x:v>
      </x:c>
      <x:c r="C396" s="14" t="str">
        <x:v>工作日</x:v>
      </x:c>
      <x:c r="D396" s="14" t="str">
        <x:v>环线1路</x:v>
      </x:c>
      <x:c r="E396" s="14" t="str">
        <x:v>第二班</x:v>
      </x:c>
      <x:c r="F396" s="14" t="n">
        <x:v>6</x:v>
      </x:c>
      <x:c r="G396" s="14" t="str">
        <x:v>10:30</x:v>
      </x:c>
      <x:c r="H396" s="14" t="str">
        <x:v>研究生宿舍楼</x:v>
      </x:c>
      <x:c r="I396" s="14" t="str">
        <x:v>否</x:v>
      </x:c>
      <x:c r="J396" s="14" t="n">
        <x:v>8</x:v>
      </x:c>
      <x:c r="K396" s="14" t="str">
        <x:v>高超楼</x:v>
      </x:c>
      <x:c r="L396" s="14" t="n">
        <x:v>9</x:v>
      </x:c>
      <x:c r="M396" s="14" t="str">
        <x:v>10:39</x:v>
      </x:c>
      <x:c r="N396" s="14" t="str">
        <x:v>否</x:v>
      </x:c>
      <x:c r="O396" s="14" t="str">
        <x:v>否</x:v>
      </x:c>
      <x:c r="P396" s="14" t="str">
        <x:v>未提供</x:v>
      </x:c>
      <x:c r="Q396" s="14" t="str">
        <x:v>未提供</x:v>
      </x:c>
      <x:c r="R396" s="14" t="str">
        <x:v>预测</x:v>
      </x:c>
      <x:c r="S396" s="14" t="str">
        <x:v>到站时间为估算值</x:v>
      </x:c>
      <x:c r="T396" t="str">
        <x:v>研究生宿舍楼发车</x:v>
      </x:c>
    </x:row>
    <x:row r="397">
      <x:c r="A397" s="14" t="str">
        <x:v>S0032-09</x:v>
      </x:c>
      <x:c r="B397" s="14" t="str">
        <x:v>S0032</x:v>
      </x:c>
      <x:c r="C397" s="14" t="str">
        <x:v>工作日</x:v>
      </x:c>
      <x:c r="D397" s="14" t="str">
        <x:v>环线1路</x:v>
      </x:c>
      <x:c r="E397" s="14" t="str">
        <x:v>第二班</x:v>
      </x:c>
      <x:c r="F397" s="14" t="n">
        <x:v>6</x:v>
      </x:c>
      <x:c r="G397" s="14" t="str">
        <x:v>10:30</x:v>
      </x:c>
      <x:c r="H397" s="14" t="str">
        <x:v>研究生宿舍楼</x:v>
      </x:c>
      <x:c r="I397" s="14" t="str">
        <x:v>否</x:v>
      </x:c>
      <x:c r="J397" s="14" t="n">
        <x:v>9</x:v>
      </x:c>
      <x:c r="K397" s="14" t="str">
        <x:v>理学院</x:v>
      </x:c>
      <x:c r="L397" s="14" t="n">
        <x:v>10</x:v>
      </x:c>
      <x:c r="M397" s="14" t="str">
        <x:v>10:40</x:v>
      </x:c>
      <x:c r="N397" s="14" t="str">
        <x:v>否</x:v>
      </x:c>
      <x:c r="O397" s="14" t="str">
        <x:v>否</x:v>
      </x:c>
      <x:c r="P397" s="14" t="str">
        <x:v>未提供</x:v>
      </x:c>
      <x:c r="Q397" s="14" t="str">
        <x:v>未提供</x:v>
      </x:c>
      <x:c r="R397" s="14" t="str">
        <x:v>预测</x:v>
      </x:c>
      <x:c r="S397" s="14" t="str">
        <x:v>到站时间为估算值</x:v>
      </x:c>
      <x:c r="T397" t="str">
        <x:v>研究生宿舍楼发车</x:v>
      </x:c>
    </x:row>
    <x:row r="398">
      <x:c r="A398" s="14" t="str">
        <x:v>S0032-10</x:v>
      </x:c>
      <x:c r="B398" s="14" t="str">
        <x:v>S0032</x:v>
      </x:c>
      <x:c r="C398" s="14" t="str">
        <x:v>工作日</x:v>
      </x:c>
      <x:c r="D398" s="14" t="str">
        <x:v>环线1路</x:v>
      </x:c>
      <x:c r="E398" s="14" t="str">
        <x:v>第二班</x:v>
      </x:c>
      <x:c r="F398" s="14" t="n">
        <x:v>6</x:v>
      </x:c>
      <x:c r="G398" s="14" t="str">
        <x:v>10:30</x:v>
      </x:c>
      <x:c r="H398" s="14" t="str">
        <x:v>研究生宿舍楼</x:v>
      </x:c>
      <x:c r="I398" s="14" t="str">
        <x:v>否</x:v>
      </x:c>
      <x:c r="J398" s="14" t="n">
        <x:v>10</x:v>
      </x:c>
      <x:c r="K398" s="14" t="str">
        <x:v>二食堂</x:v>
      </x:c>
      <x:c r="L398" s="14" t="n">
        <x:v>13</x:v>
      </x:c>
      <x:c r="M398" s="14" t="str">
        <x:v>10:43</x:v>
      </x:c>
      <x:c r="N398" s="14" t="str">
        <x:v>否</x:v>
      </x:c>
      <x:c r="O398" s="14" t="str">
        <x:v>否</x:v>
      </x:c>
      <x:c r="P398" s="14" t="str">
        <x:v>未提供</x:v>
      </x:c>
      <x:c r="Q398" s="14" t="str">
        <x:v>未提供</x:v>
      </x:c>
      <x:c r="R398" s="14" t="str">
        <x:v>预测</x:v>
      </x:c>
      <x:c r="S398" s="14" t="str">
        <x:v>到站时间为估算值</x:v>
      </x:c>
      <x:c r="T398" t="str">
        <x:v>研究生宿舍楼发车</x:v>
      </x:c>
    </x:row>
    <x:row r="399">
      <x:c r="A399" s="14" t="str">
        <x:v>S0032-11</x:v>
      </x:c>
      <x:c r="B399" s="14" t="str">
        <x:v>S0032</x:v>
      </x:c>
      <x:c r="C399" s="14" t="str">
        <x:v>工作日</x:v>
      </x:c>
      <x:c r="D399" s="14" t="str">
        <x:v>环线1路</x:v>
      </x:c>
      <x:c r="E399" s="14" t="str">
        <x:v>第二班</x:v>
      </x:c>
      <x:c r="F399" s="14" t="n">
        <x:v>6</x:v>
      </x:c>
      <x:c r="G399" s="14" t="str">
        <x:v>10:30</x:v>
      </x:c>
      <x:c r="H399" s="14" t="str">
        <x:v>研究生宿舍楼</x:v>
      </x:c>
      <x:c r="I399" s="14" t="str">
        <x:v>否</x:v>
      </x:c>
      <x:c r="J399" s="14" t="n">
        <x:v>11</x:v>
      </x:c>
      <x:c r="K399" s="14" t="str">
        <x:v>5号宿舍楼</x:v>
      </x:c>
      <x:c r="L399" s="14" t="n">
        <x:v>14</x:v>
      </x:c>
      <x:c r="M399" s="14" t="str">
        <x:v>10:44</x:v>
      </x:c>
      <x:c r="N399" s="14" t="str">
        <x:v>否</x:v>
      </x:c>
      <x:c r="O399" s="14" t="str">
        <x:v>否</x:v>
      </x:c>
      <x:c r="P399" s="14" t="str">
        <x:v>未提供</x:v>
      </x:c>
      <x:c r="Q399" s="14" t="str">
        <x:v>未提供</x:v>
      </x:c>
      <x:c r="R399" s="14" t="str">
        <x:v>预测</x:v>
      </x:c>
      <x:c r="S399" s="14" t="str">
        <x:v>到站时间为估算值</x:v>
      </x:c>
      <x:c r="T399" t="str">
        <x:v>研究生宿舍楼发车</x:v>
      </x:c>
    </x:row>
    <x:row r="400">
      <x:c r="A400" s="14" t="str">
        <x:v>S0032-12</x:v>
      </x:c>
      <x:c r="B400" s="14" t="str">
        <x:v>S0032</x:v>
      </x:c>
      <x:c r="C400" s="14" t="str">
        <x:v>工作日</x:v>
      </x:c>
      <x:c r="D400" s="14" t="str">
        <x:v>环线1路</x:v>
      </x:c>
      <x:c r="E400" s="14" t="str">
        <x:v>第二班</x:v>
      </x:c>
      <x:c r="F400" s="14" t="n">
        <x:v>6</x:v>
      </x:c>
      <x:c r="G400" s="14" t="str">
        <x:v>10:30</x:v>
      </x:c>
      <x:c r="H400" s="14" t="str">
        <x:v>研究生宿舍楼</x:v>
      </x:c>
      <x:c r="I400" s="14" t="str">
        <x:v>否</x:v>
      </x:c>
      <x:c r="J400" s="14" t="n">
        <x:v>12</x:v>
      </x:c>
      <x:c r="K400" s="14" t="str">
        <x:v>305教学楼</x:v>
      </x:c>
      <x:c r="L400" s="14" t="n">
        <x:v>15</x:v>
      </x:c>
      <x:c r="M400" s="14" t="str">
        <x:v>10:45</x:v>
      </x:c>
      <x:c r="N400" s="14" t="str">
        <x:v>否</x:v>
      </x:c>
      <x:c r="O400" s="14" t="str">
        <x:v>否</x:v>
      </x:c>
      <x:c r="P400" s="14" t="str">
        <x:v>未提供</x:v>
      </x:c>
      <x:c r="Q400" s="14" t="str">
        <x:v>未提供</x:v>
      </x:c>
      <x:c r="R400" s="14" t="str">
        <x:v>预测</x:v>
      </x:c>
      <x:c r="S400" s="14" t="str">
        <x:v>到站时间为估算值</x:v>
      </x:c>
      <x:c r="T400" t="str">
        <x:v>研究生宿舍楼发车</x:v>
      </x:c>
    </x:row>
    <x:row r="401">
      <x:c r="A401" s="14" t="str">
        <x:v>S0032-13</x:v>
      </x:c>
      <x:c r="B401" s="14" t="str">
        <x:v>S0032</x:v>
      </x:c>
      <x:c r="C401" s="14" t="str">
        <x:v>工作日</x:v>
      </x:c>
      <x:c r="D401" s="14" t="str">
        <x:v>环线1路</x:v>
      </x:c>
      <x:c r="E401" s="14" t="str">
        <x:v>第二班</x:v>
      </x:c>
      <x:c r="F401" s="14" t="n">
        <x:v>6</x:v>
      </x:c>
      <x:c r="G401" s="14" t="str">
        <x:v>10:30</x:v>
      </x:c>
      <x:c r="H401" s="14" t="str">
        <x:v>研究生宿舍楼</x:v>
      </x:c>
      <x:c r="I401" s="14" t="str">
        <x:v>否</x:v>
      </x:c>
      <x:c r="J401" s="14" t="n">
        <x:v>13</x:v>
      </x:c>
      <x:c r="K401" s="14" t="str">
        <x:v>研究生宿舍楼</x:v>
      </x:c>
      <x:c r="L401" s="14" t="n">
        <x:v>17</x:v>
      </x:c>
      <x:c r="M401" s="14" t="str">
        <x:v>10:47</x:v>
      </x:c>
      <x:c r="N401" s="14" t="str">
        <x:v>否</x:v>
      </x:c>
      <x:c r="O401" s="14" t="str">
        <x:v>是</x:v>
      </x:c>
      <x:c r="P401" s="14" t="str">
        <x:v>未提供</x:v>
      </x:c>
      <x:c r="Q401" s="14" t="str">
        <x:v>未提供</x:v>
      </x:c>
      <x:c r="R401" s="14" t="str">
        <x:v>预测</x:v>
      </x:c>
      <x:c r="S401" s="14" t="str">
        <x:v>到站时间为估算值</x:v>
      </x:c>
      <x:c r="T401" t="str">
        <x:v>研究生宿舍楼发车</x:v>
      </x:c>
    </x:row>
    <x:row r="402">
      <x:c r="A402" s="14" t="str">
        <x:v>S0033-01</x:v>
      </x:c>
      <x:c r="B402" s="14" t="str">
        <x:v>S0033</x:v>
      </x:c>
      <x:c r="C402" s="14" t="str">
        <x:v>工作日</x:v>
      </x:c>
      <x:c r="D402" s="14" t="str">
        <x:v>环线1路</x:v>
      </x:c>
      <x:c r="E402" s="14" t="str">
        <x:v>第二班</x:v>
      </x:c>
      <x:c r="F402" s="14" t="n">
        <x:v>7</x:v>
      </x:c>
      <x:c r="G402" s="14" t="str">
        <x:v>11:00</x:v>
      </x:c>
      <x:c r="H402" s="14" t="str">
        <x:v>研究生宿舍楼</x:v>
      </x:c>
      <x:c r="I402" s="14" t="str">
        <x:v>否</x:v>
      </x:c>
      <x:c r="J402" s="14" t="n">
        <x:v>1</x:v>
      </x:c>
      <x:c r="K402" s="14" t="str">
        <x:v>研究生宿舍楼</x:v>
      </x:c>
      <x:c r="L402" s="14" t="n">
        <x:v>0</x:v>
      </x:c>
      <x:c r="M402" s="14" t="str">
        <x:v>11:00</x:v>
      </x:c>
      <x:c r="N402" s="14" t="str">
        <x:v>是</x:v>
      </x:c>
      <x:c r="O402" s="14" t="str">
        <x:v>否</x:v>
      </x:c>
      <x:c r="P402" s="14" t="str">
        <x:v>未提供</x:v>
      </x:c>
      <x:c r="Q402" s="14" t="str">
        <x:v>未提供</x:v>
      </x:c>
      <x:c r="R402" s="14" t="str">
        <x:v>预测</x:v>
      </x:c>
      <x:c r="S402" s="14" t="str">
        <x:v>到站时间为估算值</x:v>
      </x:c>
      <x:c r="T402" t="str">
        <x:v>研究生宿舍楼发车</x:v>
      </x:c>
    </x:row>
    <x:row r="403">
      <x:c r="A403" s="14" t="str">
        <x:v>S0033-02</x:v>
      </x:c>
      <x:c r="B403" s="14" t="str">
        <x:v>S0033</x:v>
      </x:c>
      <x:c r="C403" s="14" t="str">
        <x:v>工作日</x:v>
      </x:c>
      <x:c r="D403" s="14" t="str">
        <x:v>环线1路</x:v>
      </x:c>
      <x:c r="E403" s="14" t="str">
        <x:v>第二班</x:v>
      </x:c>
      <x:c r="F403" s="14" t="n">
        <x:v>7</x:v>
      </x:c>
      <x:c r="G403" s="14" t="str">
        <x:v>11:00</x:v>
      </x:c>
      <x:c r="H403" s="14" t="str">
        <x:v>研究生宿舍楼</x:v>
      </x:c>
      <x:c r="I403" s="14" t="str">
        <x:v>否</x:v>
      </x:c>
      <x:c r="J403" s="14" t="n">
        <x:v>2</x:v>
      </x:c>
      <x:c r="K403" s="14" t="str">
        <x:v>东门</x:v>
      </x:c>
      <x:c r="L403" s="14" t="n">
        <x:v>1</x:v>
      </x:c>
      <x:c r="M403" s="14" t="str">
        <x:v>11:01</x:v>
      </x:c>
      <x:c r="N403" s="14" t="str">
        <x:v>否</x:v>
      </x:c>
      <x:c r="O403" s="14" t="str">
        <x:v>否</x:v>
      </x:c>
      <x:c r="P403" s="14" t="str">
        <x:v>未提供</x:v>
      </x:c>
      <x:c r="Q403" s="14" t="str">
        <x:v>未提供</x:v>
      </x:c>
      <x:c r="R403" s="14" t="str">
        <x:v>预测</x:v>
      </x:c>
      <x:c r="S403" s="14" t="str">
        <x:v>到站时间为估算值</x:v>
      </x:c>
      <x:c r="T403" t="str">
        <x:v>研究生宿舍楼发车</x:v>
      </x:c>
    </x:row>
    <x:row r="404">
      <x:c r="A404" s="14" t="str">
        <x:v>S0033-03</x:v>
      </x:c>
      <x:c r="B404" s="14" t="str">
        <x:v>S0033</x:v>
      </x:c>
      <x:c r="C404" s="14" t="str">
        <x:v>工作日</x:v>
      </x:c>
      <x:c r="D404" s="14" t="str">
        <x:v>环线1路</x:v>
      </x:c>
      <x:c r="E404" s="14" t="str">
        <x:v>第二班</x:v>
      </x:c>
      <x:c r="F404" s="14" t="n">
        <x:v>7</x:v>
      </x:c>
      <x:c r="G404" s="14" t="str">
        <x:v>11:00</x:v>
      </x:c>
      <x:c r="H404" s="14" t="str">
        <x:v>研究生宿舍楼</x:v>
      </x:c>
      <x:c r="I404" s="14" t="str">
        <x:v>否</x:v>
      </x:c>
      <x:c r="J404" s="14" t="n">
        <x:v>3</x:v>
      </x:c>
      <x:c r="K404" s="14" t="str">
        <x:v>2号宿舍楼</x:v>
      </x:c>
      <x:c r="L404" s="14" t="n">
        <x:v>2</x:v>
      </x:c>
      <x:c r="M404" s="14" t="str">
        <x:v>11:02</x:v>
      </x:c>
      <x:c r="N404" s="14" t="str">
        <x:v>否</x:v>
      </x:c>
      <x:c r="O404" s="14" t="str">
        <x:v>否</x:v>
      </x:c>
      <x:c r="P404" s="14" t="str">
        <x:v>未提供</x:v>
      </x:c>
      <x:c r="Q404" s="14" t="str">
        <x:v>未提供</x:v>
      </x:c>
      <x:c r="R404" s="14" t="str">
        <x:v>预测</x:v>
      </x:c>
      <x:c r="S404" s="14" t="str">
        <x:v>到站时间为估算值</x:v>
      </x:c>
      <x:c r="T404" t="str">
        <x:v>研究生宿舍楼发车</x:v>
      </x:c>
    </x:row>
    <x:row r="405">
      <x:c r="A405" s="14" t="str">
        <x:v>S0033-04</x:v>
      </x:c>
      <x:c r="B405" s="14" t="str">
        <x:v>S0033</x:v>
      </x:c>
      <x:c r="C405" s="14" t="str">
        <x:v>工作日</x:v>
      </x:c>
      <x:c r="D405" s="14" t="str">
        <x:v>环线1路</x:v>
      </x:c>
      <x:c r="E405" s="14" t="str">
        <x:v>第二班</x:v>
      </x:c>
      <x:c r="F405" s="14" t="n">
        <x:v>7</x:v>
      </x:c>
      <x:c r="G405" s="14" t="str">
        <x:v>11:00</x:v>
      </x:c>
      <x:c r="H405" s="14" t="str">
        <x:v>研究生宿舍楼</x:v>
      </x:c>
      <x:c r="I405" s="14" t="str">
        <x:v>否</x:v>
      </x:c>
      <x:c r="J405" s="14" t="n">
        <x:v>4</x:v>
      </x:c>
      <x:c r="K405" s="14" t="str">
        <x:v>军体活动中心</x:v>
      </x:c>
      <x:c r="L405" s="14" t="n">
        <x:v>3</x:v>
      </x:c>
      <x:c r="M405" s="14" t="str">
        <x:v>11:03</x:v>
      </x:c>
      <x:c r="N405" s="14" t="str">
        <x:v>否</x:v>
      </x:c>
      <x:c r="O405" s="14" t="str">
        <x:v>否</x:v>
      </x:c>
      <x:c r="P405" s="14" t="str">
        <x:v>未提供</x:v>
      </x:c>
      <x:c r="Q405" s="14" t="str">
        <x:v>未提供</x:v>
      </x:c>
      <x:c r="R405" s="14" t="str">
        <x:v>预测</x:v>
      </x:c>
      <x:c r="S405" s="14" t="str">
        <x:v>到站时间为估算值</x:v>
      </x:c>
      <x:c r="T405" t="str">
        <x:v>研究生宿舍楼发车</x:v>
      </x:c>
    </x:row>
    <x:row r="406">
      <x:c r="A406" s="14" t="str">
        <x:v>S0033-05</x:v>
      </x:c>
      <x:c r="B406" s="14" t="str">
        <x:v>S0033</x:v>
      </x:c>
      <x:c r="C406" s="14" t="str">
        <x:v>工作日</x:v>
      </x:c>
      <x:c r="D406" s="14" t="str">
        <x:v>环线1路</x:v>
      </x:c>
      <x:c r="E406" s="14" t="str">
        <x:v>第二班</x:v>
      </x:c>
      <x:c r="F406" s="14" t="n">
        <x:v>7</x:v>
      </x:c>
      <x:c r="G406" s="14" t="str">
        <x:v>11:00</x:v>
      </x:c>
      <x:c r="H406" s="14" t="str">
        <x:v>研究生宿舍楼</x:v>
      </x:c>
      <x:c r="I406" s="14" t="str">
        <x:v>否</x:v>
      </x:c>
      <x:c r="J406" s="14" t="n">
        <x:v>5</x:v>
      </x:c>
      <x:c r="K406" s="14" t="str">
        <x:v>激光所</x:v>
      </x:c>
      <x:c r="L406" s="14" t="n">
        <x:v>5</x:v>
      </x:c>
      <x:c r="M406" s="14" t="str">
        <x:v>11:05</x:v>
      </x:c>
      <x:c r="N406" s="14" t="str">
        <x:v>否</x:v>
      </x:c>
      <x:c r="O406" s="14" t="str">
        <x:v>否</x:v>
      </x:c>
      <x:c r="P406" s="14" t="str">
        <x:v>未提供</x:v>
      </x:c>
      <x:c r="Q406" s="14" t="str">
        <x:v>未提供</x:v>
      </x:c>
      <x:c r="R406" s="14" t="str">
        <x:v>预测</x:v>
      </x:c>
      <x:c r="S406" s="14" t="str">
        <x:v>到站时间为估算值</x:v>
      </x:c>
      <x:c r="T406" t="str">
        <x:v>研究生宿舍楼发车</x:v>
      </x:c>
    </x:row>
    <x:row r="407">
      <x:c r="A407" s="14" t="str">
        <x:v>S0033-06</x:v>
      </x:c>
      <x:c r="B407" s="14" t="str">
        <x:v>S0033</x:v>
      </x:c>
      <x:c r="C407" s="14" t="str">
        <x:v>工作日</x:v>
      </x:c>
      <x:c r="D407" s="14" t="str">
        <x:v>环线1路</x:v>
      </x:c>
      <x:c r="E407" s="14" t="str">
        <x:v>第二班</x:v>
      </x:c>
      <x:c r="F407" s="14" t="n">
        <x:v>7</x:v>
      </x:c>
      <x:c r="G407" s="14" t="str">
        <x:v>11:00</x:v>
      </x:c>
      <x:c r="H407" s="14" t="str">
        <x:v>研究生宿舍楼</x:v>
      </x:c>
      <x:c r="I407" s="14" t="str">
        <x:v>否</x:v>
      </x:c>
      <x:c r="J407" s="14" t="n">
        <x:v>6</x:v>
      </x:c>
      <x:c r="K407" s="14" t="str">
        <x:v>超算中心</x:v>
      </x:c>
      <x:c r="L407" s="14" t="n">
        <x:v>6</x:v>
      </x:c>
      <x:c r="M407" s="14" t="str">
        <x:v>11:06</x:v>
      </x:c>
      <x:c r="N407" s="14" t="str">
        <x:v>否</x:v>
      </x:c>
      <x:c r="O407" s="14" t="str">
        <x:v>否</x:v>
      </x:c>
      <x:c r="P407" s="14" t="str">
        <x:v>未提供</x:v>
      </x:c>
      <x:c r="Q407" s="14" t="str">
        <x:v>未提供</x:v>
      </x:c>
      <x:c r="R407" s="14" t="str">
        <x:v>预测</x:v>
      </x:c>
      <x:c r="S407" s="14" t="str">
        <x:v>到站时间为估算值</x:v>
      </x:c>
      <x:c r="T407" t="str">
        <x:v>研究生宿舍楼发车</x:v>
      </x:c>
    </x:row>
    <x:row r="408">
      <x:c r="A408" s="14" t="str">
        <x:v>S0033-07</x:v>
      </x:c>
      <x:c r="B408" s="14" t="str">
        <x:v>S0033</x:v>
      </x:c>
      <x:c r="C408" s="14" t="str">
        <x:v>工作日</x:v>
      </x:c>
      <x:c r="D408" s="14" t="str">
        <x:v>环线1路</x:v>
      </x:c>
      <x:c r="E408" s="14" t="str">
        <x:v>第二班</x:v>
      </x:c>
      <x:c r="F408" s="14" t="n">
        <x:v>7</x:v>
      </x:c>
      <x:c r="G408" s="14" t="str">
        <x:v>11:00</x:v>
      </x:c>
      <x:c r="H408" s="14" t="str">
        <x:v>研究生宿舍楼</x:v>
      </x:c>
      <x:c r="I408" s="14" t="str">
        <x:v>否</x:v>
      </x:c>
      <x:c r="J408" s="14" t="n">
        <x:v>7</x:v>
      </x:c>
      <x:c r="K408" s="14" t="str">
        <x:v>北门</x:v>
      </x:c>
      <x:c r="L408" s="14" t="n">
        <x:v>8</x:v>
      </x:c>
      <x:c r="M408" s="14" t="str">
        <x:v>11:08</x:v>
      </x:c>
      <x:c r="N408" s="14" t="str">
        <x:v>否</x:v>
      </x:c>
      <x:c r="O408" s="14" t="str">
        <x:v>否</x:v>
      </x:c>
      <x:c r="P408" s="14" t="str">
        <x:v>未提供</x:v>
      </x:c>
      <x:c r="Q408" s="14" t="str">
        <x:v>未提供</x:v>
      </x:c>
      <x:c r="R408" s="14" t="str">
        <x:v>预测</x:v>
      </x:c>
      <x:c r="S408" s="14" t="str">
        <x:v>到站时间为估算值</x:v>
      </x:c>
      <x:c r="T408" t="str">
        <x:v>研究生宿舍楼发车</x:v>
      </x:c>
    </x:row>
    <x:row r="409">
      <x:c r="A409" s="14" t="str">
        <x:v>S0033-08</x:v>
      </x:c>
      <x:c r="B409" s="14" t="str">
        <x:v>S0033</x:v>
      </x:c>
      <x:c r="C409" s="14" t="str">
        <x:v>工作日</x:v>
      </x:c>
      <x:c r="D409" s="14" t="str">
        <x:v>环线1路</x:v>
      </x:c>
      <x:c r="E409" s="14" t="str">
        <x:v>第二班</x:v>
      </x:c>
      <x:c r="F409" s="14" t="n">
        <x:v>7</x:v>
      </x:c>
      <x:c r="G409" s="14" t="str">
        <x:v>11:00</x:v>
      </x:c>
      <x:c r="H409" s="14" t="str">
        <x:v>研究生宿舍楼</x:v>
      </x:c>
      <x:c r="I409" s="14" t="str">
        <x:v>否</x:v>
      </x:c>
      <x:c r="J409" s="14" t="n">
        <x:v>8</x:v>
      </x:c>
      <x:c r="K409" s="14" t="str">
        <x:v>高超楼</x:v>
      </x:c>
      <x:c r="L409" s="14" t="n">
        <x:v>9</x:v>
      </x:c>
      <x:c r="M409" s="14" t="str">
        <x:v>11:09</x:v>
      </x:c>
      <x:c r="N409" s="14" t="str">
        <x:v>否</x:v>
      </x:c>
      <x:c r="O409" s="14" t="str">
        <x:v>否</x:v>
      </x:c>
      <x:c r="P409" s="14" t="str">
        <x:v>未提供</x:v>
      </x:c>
      <x:c r="Q409" s="14" t="str">
        <x:v>未提供</x:v>
      </x:c>
      <x:c r="R409" s="14" t="str">
        <x:v>预测</x:v>
      </x:c>
      <x:c r="S409" s="14" t="str">
        <x:v>到站时间为估算值</x:v>
      </x:c>
      <x:c r="T409" t="str">
        <x:v>研究生宿舍楼发车</x:v>
      </x:c>
    </x:row>
    <x:row r="410">
      <x:c r="A410" s="14" t="str">
        <x:v>S0033-09</x:v>
      </x:c>
      <x:c r="B410" s="14" t="str">
        <x:v>S0033</x:v>
      </x:c>
      <x:c r="C410" s="14" t="str">
        <x:v>工作日</x:v>
      </x:c>
      <x:c r="D410" s="14" t="str">
        <x:v>环线1路</x:v>
      </x:c>
      <x:c r="E410" s="14" t="str">
        <x:v>第二班</x:v>
      </x:c>
      <x:c r="F410" s="14" t="n">
        <x:v>7</x:v>
      </x:c>
      <x:c r="G410" s="14" t="str">
        <x:v>11:00</x:v>
      </x:c>
      <x:c r="H410" s="14" t="str">
        <x:v>研究生宿舍楼</x:v>
      </x:c>
      <x:c r="I410" s="14" t="str">
        <x:v>否</x:v>
      </x:c>
      <x:c r="J410" s="14" t="n">
        <x:v>9</x:v>
      </x:c>
      <x:c r="K410" s="14" t="str">
        <x:v>理学院</x:v>
      </x:c>
      <x:c r="L410" s="14" t="n">
        <x:v>10</x:v>
      </x:c>
      <x:c r="M410" s="14" t="str">
        <x:v>11:10</x:v>
      </x:c>
      <x:c r="N410" s="14" t="str">
        <x:v>否</x:v>
      </x:c>
      <x:c r="O410" s="14" t="str">
        <x:v>否</x:v>
      </x:c>
      <x:c r="P410" s="14" t="str">
        <x:v>未提供</x:v>
      </x:c>
      <x:c r="Q410" s="14" t="str">
        <x:v>未提供</x:v>
      </x:c>
      <x:c r="R410" s="14" t="str">
        <x:v>预测</x:v>
      </x:c>
      <x:c r="S410" s="14" t="str">
        <x:v>到站时间为估算值</x:v>
      </x:c>
      <x:c r="T410" t="str">
        <x:v>研究生宿舍楼发车</x:v>
      </x:c>
    </x:row>
    <x:row r="411">
      <x:c r="A411" s="14" t="str">
        <x:v>S0033-10</x:v>
      </x:c>
      <x:c r="B411" s="14" t="str">
        <x:v>S0033</x:v>
      </x:c>
      <x:c r="C411" s="14" t="str">
        <x:v>工作日</x:v>
      </x:c>
      <x:c r="D411" s="14" t="str">
        <x:v>环线1路</x:v>
      </x:c>
      <x:c r="E411" s="14" t="str">
        <x:v>第二班</x:v>
      </x:c>
      <x:c r="F411" s="14" t="n">
        <x:v>7</x:v>
      </x:c>
      <x:c r="G411" s="14" t="str">
        <x:v>11:00</x:v>
      </x:c>
      <x:c r="H411" s="14" t="str">
        <x:v>研究生宿舍楼</x:v>
      </x:c>
      <x:c r="I411" s="14" t="str">
        <x:v>否</x:v>
      </x:c>
      <x:c r="J411" s="14" t="n">
        <x:v>10</x:v>
      </x:c>
      <x:c r="K411" s="14" t="str">
        <x:v>二食堂</x:v>
      </x:c>
      <x:c r="L411" s="14" t="n">
        <x:v>13</x:v>
      </x:c>
      <x:c r="M411" s="14" t="str">
        <x:v>11:13</x:v>
      </x:c>
      <x:c r="N411" s="14" t="str">
        <x:v>否</x:v>
      </x:c>
      <x:c r="O411" s="14" t="str">
        <x:v>否</x:v>
      </x:c>
      <x:c r="P411" s="14" t="str">
        <x:v>未提供</x:v>
      </x:c>
      <x:c r="Q411" s="14" t="str">
        <x:v>未提供</x:v>
      </x:c>
      <x:c r="R411" s="14" t="str">
        <x:v>预测</x:v>
      </x:c>
      <x:c r="S411" s="14" t="str">
        <x:v>到站时间为估算值</x:v>
      </x:c>
      <x:c r="T411" t="str">
        <x:v>研究生宿舍楼发车</x:v>
      </x:c>
    </x:row>
    <x:row r="412">
      <x:c r="A412" s="14" t="str">
        <x:v>S0033-11</x:v>
      </x:c>
      <x:c r="B412" s="14" t="str">
        <x:v>S0033</x:v>
      </x:c>
      <x:c r="C412" s="14" t="str">
        <x:v>工作日</x:v>
      </x:c>
      <x:c r="D412" s="14" t="str">
        <x:v>环线1路</x:v>
      </x:c>
      <x:c r="E412" s="14" t="str">
        <x:v>第二班</x:v>
      </x:c>
      <x:c r="F412" s="14" t="n">
        <x:v>7</x:v>
      </x:c>
      <x:c r="G412" s="14" t="str">
        <x:v>11:00</x:v>
      </x:c>
      <x:c r="H412" s="14" t="str">
        <x:v>研究生宿舍楼</x:v>
      </x:c>
      <x:c r="I412" s="14" t="str">
        <x:v>否</x:v>
      </x:c>
      <x:c r="J412" s="14" t="n">
        <x:v>11</x:v>
      </x:c>
      <x:c r="K412" s="14" t="str">
        <x:v>5号宿舍楼</x:v>
      </x:c>
      <x:c r="L412" s="14" t="n">
        <x:v>14</x:v>
      </x:c>
      <x:c r="M412" s="14" t="str">
        <x:v>11:14</x:v>
      </x:c>
      <x:c r="N412" s="14" t="str">
        <x:v>否</x:v>
      </x:c>
      <x:c r="O412" s="14" t="str">
        <x:v>否</x:v>
      </x:c>
      <x:c r="P412" s="14" t="str">
        <x:v>未提供</x:v>
      </x:c>
      <x:c r="Q412" s="14" t="str">
        <x:v>未提供</x:v>
      </x:c>
      <x:c r="R412" s="14" t="str">
        <x:v>预测</x:v>
      </x:c>
      <x:c r="S412" s="14" t="str">
        <x:v>到站时间为估算值</x:v>
      </x:c>
      <x:c r="T412" t="str">
        <x:v>研究生宿舍楼发车</x:v>
      </x:c>
    </x:row>
    <x:row r="413">
      <x:c r="A413" s="14" t="str">
        <x:v>S0033-12</x:v>
      </x:c>
      <x:c r="B413" s="14" t="str">
        <x:v>S0033</x:v>
      </x:c>
      <x:c r="C413" s="14" t="str">
        <x:v>工作日</x:v>
      </x:c>
      <x:c r="D413" s="14" t="str">
        <x:v>环线1路</x:v>
      </x:c>
      <x:c r="E413" s="14" t="str">
        <x:v>第二班</x:v>
      </x:c>
      <x:c r="F413" s="14" t="n">
        <x:v>7</x:v>
      </x:c>
      <x:c r="G413" s="14" t="str">
        <x:v>11:00</x:v>
      </x:c>
      <x:c r="H413" s="14" t="str">
        <x:v>研究生宿舍楼</x:v>
      </x:c>
      <x:c r="I413" s="14" t="str">
        <x:v>否</x:v>
      </x:c>
      <x:c r="J413" s="14" t="n">
        <x:v>12</x:v>
      </x:c>
      <x:c r="K413" s="14" t="str">
        <x:v>305教学楼</x:v>
      </x:c>
      <x:c r="L413" s="14" t="n">
        <x:v>15</x:v>
      </x:c>
      <x:c r="M413" s="14" t="str">
        <x:v>11:15</x:v>
      </x:c>
      <x:c r="N413" s="14" t="str">
        <x:v>否</x:v>
      </x:c>
      <x:c r="O413" s="14" t="str">
        <x:v>否</x:v>
      </x:c>
      <x:c r="P413" s="14" t="str">
        <x:v>未提供</x:v>
      </x:c>
      <x:c r="Q413" s="14" t="str">
        <x:v>未提供</x:v>
      </x:c>
      <x:c r="R413" s="14" t="str">
        <x:v>预测</x:v>
      </x:c>
      <x:c r="S413" s="14" t="str">
        <x:v>到站时间为估算值</x:v>
      </x:c>
      <x:c r="T413" t="str">
        <x:v>研究生宿舍楼发车</x:v>
      </x:c>
    </x:row>
    <x:row r="414">
      <x:c r="A414" s="14" t="str">
        <x:v>S0033-13</x:v>
      </x:c>
      <x:c r="B414" s="14" t="str">
        <x:v>S0033</x:v>
      </x:c>
      <x:c r="C414" s="14" t="str">
        <x:v>工作日</x:v>
      </x:c>
      <x:c r="D414" s="14" t="str">
        <x:v>环线1路</x:v>
      </x:c>
      <x:c r="E414" s="14" t="str">
        <x:v>第二班</x:v>
      </x:c>
      <x:c r="F414" s="14" t="n">
        <x:v>7</x:v>
      </x:c>
      <x:c r="G414" s="14" t="str">
        <x:v>11:00</x:v>
      </x:c>
      <x:c r="H414" s="14" t="str">
        <x:v>研究生宿舍楼</x:v>
      </x:c>
      <x:c r="I414" s="14" t="str">
        <x:v>否</x:v>
      </x:c>
      <x:c r="J414" s="14" t="n">
        <x:v>13</x:v>
      </x:c>
      <x:c r="K414" s="14" t="str">
        <x:v>研究生宿舍楼</x:v>
      </x:c>
      <x:c r="L414" s="14" t="n">
        <x:v>17</x:v>
      </x:c>
      <x:c r="M414" s="14" t="str">
        <x:v>11:17</x:v>
      </x:c>
      <x:c r="N414" s="14" t="str">
        <x:v>否</x:v>
      </x:c>
      <x:c r="O414" s="14" t="str">
        <x:v>是</x:v>
      </x:c>
      <x:c r="P414" s="14" t="str">
        <x:v>未提供</x:v>
      </x:c>
      <x:c r="Q414" s="14" t="str">
        <x:v>未提供</x:v>
      </x:c>
      <x:c r="R414" s="14" t="str">
        <x:v>预测</x:v>
      </x:c>
      <x:c r="S414" s="14" t="str">
        <x:v>到站时间为估算值</x:v>
      </x:c>
      <x:c r="T414" t="str">
        <x:v>研究生宿舍楼发车</x:v>
      </x:c>
    </x:row>
    <x:row r="415">
      <x:c r="A415" s="14" t="str">
        <x:v>S0034-01</x:v>
      </x:c>
      <x:c r="B415" s="14" t="str">
        <x:v>S0034</x:v>
      </x:c>
      <x:c r="C415" s="14" t="str">
        <x:v>工作日</x:v>
      </x:c>
      <x:c r="D415" s="14" t="str">
        <x:v>环线1路</x:v>
      </x:c>
      <x:c r="E415" s="14" t="str">
        <x:v>第二班</x:v>
      </x:c>
      <x:c r="F415" s="14" t="n">
        <x:v>8</x:v>
      </x:c>
      <x:c r="G415" s="14" t="str">
        <x:v>11:40</x:v>
      </x:c>
      <x:c r="H415" s="14" t="str">
        <x:v>研究生宿舍楼</x:v>
      </x:c>
      <x:c r="I415" s="14" t="str">
        <x:v>否</x:v>
      </x:c>
      <x:c r="J415" s="14" t="n">
        <x:v>1</x:v>
      </x:c>
      <x:c r="K415" s="14" t="str">
        <x:v>研究生宿舍楼</x:v>
      </x:c>
      <x:c r="L415" s="14" t="n">
        <x:v>0</x:v>
      </x:c>
      <x:c r="M415" s="14" t="str">
        <x:v>11:40</x:v>
      </x:c>
      <x:c r="N415" s="14" t="str">
        <x:v>是</x:v>
      </x:c>
      <x:c r="O415" s="14" t="str">
        <x:v>否</x:v>
      </x:c>
      <x:c r="P415" s="14" t="str">
        <x:v>未提供</x:v>
      </x:c>
      <x:c r="Q415" s="14" t="str">
        <x:v>未提供</x:v>
      </x:c>
      <x:c r="R415" s="14" t="str">
        <x:v>预测</x:v>
      </x:c>
      <x:c r="S415" s="14" t="str">
        <x:v>到站时间为估算值</x:v>
      </x:c>
      <x:c r="T415" t="str">
        <x:v>研究生宿舍楼发车</x:v>
      </x:c>
    </x:row>
    <x:row r="416">
      <x:c r="A416" s="14" t="str">
        <x:v>S0034-02</x:v>
      </x:c>
      <x:c r="B416" s="14" t="str">
        <x:v>S0034</x:v>
      </x:c>
      <x:c r="C416" s="14" t="str">
        <x:v>工作日</x:v>
      </x:c>
      <x:c r="D416" s="14" t="str">
        <x:v>环线1路</x:v>
      </x:c>
      <x:c r="E416" s="14" t="str">
        <x:v>第二班</x:v>
      </x:c>
      <x:c r="F416" s="14" t="n">
        <x:v>8</x:v>
      </x:c>
      <x:c r="G416" s="14" t="str">
        <x:v>11:40</x:v>
      </x:c>
      <x:c r="H416" s="14" t="str">
        <x:v>研究生宿舍楼</x:v>
      </x:c>
      <x:c r="I416" s="14" t="str">
        <x:v>否</x:v>
      </x:c>
      <x:c r="J416" s="14" t="n">
        <x:v>2</x:v>
      </x:c>
      <x:c r="K416" s="14" t="str">
        <x:v>东门</x:v>
      </x:c>
      <x:c r="L416" s="14" t="n">
        <x:v>1</x:v>
      </x:c>
      <x:c r="M416" s="14" t="str">
        <x:v>11:41</x:v>
      </x:c>
      <x:c r="N416" s="14" t="str">
        <x:v>否</x:v>
      </x:c>
      <x:c r="O416" s="14" t="str">
        <x:v>否</x:v>
      </x:c>
      <x:c r="P416" s="14" t="str">
        <x:v>未提供</x:v>
      </x:c>
      <x:c r="Q416" s="14" t="str">
        <x:v>未提供</x:v>
      </x:c>
      <x:c r="R416" s="14" t="str">
        <x:v>预测</x:v>
      </x:c>
      <x:c r="S416" s="14" t="str">
        <x:v>到站时间为估算值</x:v>
      </x:c>
      <x:c r="T416" t="str">
        <x:v>研究生宿舍楼发车</x:v>
      </x:c>
    </x:row>
    <x:row r="417">
      <x:c r="A417" s="14" t="str">
        <x:v>S0034-03</x:v>
      </x:c>
      <x:c r="B417" s="14" t="str">
        <x:v>S0034</x:v>
      </x:c>
      <x:c r="C417" s="14" t="str">
        <x:v>工作日</x:v>
      </x:c>
      <x:c r="D417" s="14" t="str">
        <x:v>环线1路</x:v>
      </x:c>
      <x:c r="E417" s="14" t="str">
        <x:v>第二班</x:v>
      </x:c>
      <x:c r="F417" s="14" t="n">
        <x:v>8</x:v>
      </x:c>
      <x:c r="G417" s="14" t="str">
        <x:v>11:40</x:v>
      </x:c>
      <x:c r="H417" s="14" t="str">
        <x:v>研究生宿舍楼</x:v>
      </x:c>
      <x:c r="I417" s="14" t="str">
        <x:v>否</x:v>
      </x:c>
      <x:c r="J417" s="14" t="n">
        <x:v>3</x:v>
      </x:c>
      <x:c r="K417" s="14" t="str">
        <x:v>2号宿舍楼</x:v>
      </x:c>
      <x:c r="L417" s="14" t="n">
        <x:v>2</x:v>
      </x:c>
      <x:c r="M417" s="14" t="str">
        <x:v>11:42</x:v>
      </x:c>
      <x:c r="N417" s="14" t="str">
        <x:v>否</x:v>
      </x:c>
      <x:c r="O417" s="14" t="str">
        <x:v>否</x:v>
      </x:c>
      <x:c r="P417" s="14" t="str">
        <x:v>未提供</x:v>
      </x:c>
      <x:c r="Q417" s="14" t="str">
        <x:v>未提供</x:v>
      </x:c>
      <x:c r="R417" s="14" t="str">
        <x:v>预测</x:v>
      </x:c>
      <x:c r="S417" s="14" t="str">
        <x:v>到站时间为估算值</x:v>
      </x:c>
      <x:c r="T417" t="str">
        <x:v>研究生宿舍楼发车</x:v>
      </x:c>
    </x:row>
    <x:row r="418">
      <x:c r="A418" s="14" t="str">
        <x:v>S0034-04</x:v>
      </x:c>
      <x:c r="B418" s="14" t="str">
        <x:v>S0034</x:v>
      </x:c>
      <x:c r="C418" s="14" t="str">
        <x:v>工作日</x:v>
      </x:c>
      <x:c r="D418" s="14" t="str">
        <x:v>环线1路</x:v>
      </x:c>
      <x:c r="E418" s="14" t="str">
        <x:v>第二班</x:v>
      </x:c>
      <x:c r="F418" s="14" t="n">
        <x:v>8</x:v>
      </x:c>
      <x:c r="G418" s="14" t="str">
        <x:v>11:40</x:v>
      </x:c>
      <x:c r="H418" s="14" t="str">
        <x:v>研究生宿舍楼</x:v>
      </x:c>
      <x:c r="I418" s="14" t="str">
        <x:v>否</x:v>
      </x:c>
      <x:c r="J418" s="14" t="n">
        <x:v>4</x:v>
      </x:c>
      <x:c r="K418" s="14" t="str">
        <x:v>军体活动中心</x:v>
      </x:c>
      <x:c r="L418" s="14" t="n">
        <x:v>3</x:v>
      </x:c>
      <x:c r="M418" s="14" t="str">
        <x:v>11:43</x:v>
      </x:c>
      <x:c r="N418" s="14" t="str">
        <x:v>否</x:v>
      </x:c>
      <x:c r="O418" s="14" t="str">
        <x:v>否</x:v>
      </x:c>
      <x:c r="P418" s="14" t="str">
        <x:v>未提供</x:v>
      </x:c>
      <x:c r="Q418" s="14" t="str">
        <x:v>未提供</x:v>
      </x:c>
      <x:c r="R418" s="14" t="str">
        <x:v>预测</x:v>
      </x:c>
      <x:c r="S418" s="14" t="str">
        <x:v>到站时间为估算值</x:v>
      </x:c>
      <x:c r="T418" t="str">
        <x:v>研究生宿舍楼发车</x:v>
      </x:c>
    </x:row>
    <x:row r="419">
      <x:c r="A419" s="14" t="str">
        <x:v>S0034-05</x:v>
      </x:c>
      <x:c r="B419" s="14" t="str">
        <x:v>S0034</x:v>
      </x:c>
      <x:c r="C419" s="14" t="str">
        <x:v>工作日</x:v>
      </x:c>
      <x:c r="D419" s="14" t="str">
        <x:v>环线1路</x:v>
      </x:c>
      <x:c r="E419" s="14" t="str">
        <x:v>第二班</x:v>
      </x:c>
      <x:c r="F419" s="14" t="n">
        <x:v>8</x:v>
      </x:c>
      <x:c r="G419" s="14" t="str">
        <x:v>11:40</x:v>
      </x:c>
      <x:c r="H419" s="14" t="str">
        <x:v>研究生宿舍楼</x:v>
      </x:c>
      <x:c r="I419" s="14" t="str">
        <x:v>否</x:v>
      </x:c>
      <x:c r="J419" s="14" t="n">
        <x:v>5</x:v>
      </x:c>
      <x:c r="K419" s="14" t="str">
        <x:v>激光所</x:v>
      </x:c>
      <x:c r="L419" s="14" t="n">
        <x:v>5</x:v>
      </x:c>
      <x:c r="M419" s="14" t="str">
        <x:v>11:45</x:v>
      </x:c>
      <x:c r="N419" s="14" t="str">
        <x:v>否</x:v>
      </x:c>
      <x:c r="O419" s="14" t="str">
        <x:v>否</x:v>
      </x:c>
      <x:c r="P419" s="14" t="str">
        <x:v>未提供</x:v>
      </x:c>
      <x:c r="Q419" s="14" t="str">
        <x:v>未提供</x:v>
      </x:c>
      <x:c r="R419" s="14" t="str">
        <x:v>预测</x:v>
      </x:c>
      <x:c r="S419" s="14" t="str">
        <x:v>到站时间为估算值</x:v>
      </x:c>
      <x:c r="T419" t="str">
        <x:v>研究生宿舍楼发车</x:v>
      </x:c>
    </x:row>
    <x:row r="420">
      <x:c r="A420" s="14" t="str">
        <x:v>S0034-06</x:v>
      </x:c>
      <x:c r="B420" s="14" t="str">
        <x:v>S0034</x:v>
      </x:c>
      <x:c r="C420" s="14" t="str">
        <x:v>工作日</x:v>
      </x:c>
      <x:c r="D420" s="14" t="str">
        <x:v>环线1路</x:v>
      </x:c>
      <x:c r="E420" s="14" t="str">
        <x:v>第二班</x:v>
      </x:c>
      <x:c r="F420" s="14" t="n">
        <x:v>8</x:v>
      </x:c>
      <x:c r="G420" s="14" t="str">
        <x:v>11:40</x:v>
      </x:c>
      <x:c r="H420" s="14" t="str">
        <x:v>研究生宿舍楼</x:v>
      </x:c>
      <x:c r="I420" s="14" t="str">
        <x:v>否</x:v>
      </x:c>
      <x:c r="J420" s="14" t="n">
        <x:v>6</x:v>
      </x:c>
      <x:c r="K420" s="14" t="str">
        <x:v>超算中心</x:v>
      </x:c>
      <x:c r="L420" s="14" t="n">
        <x:v>6</x:v>
      </x:c>
      <x:c r="M420" s="14" t="str">
        <x:v>11:46</x:v>
      </x:c>
      <x:c r="N420" s="14" t="str">
        <x:v>否</x:v>
      </x:c>
      <x:c r="O420" s="14" t="str">
        <x:v>否</x:v>
      </x:c>
      <x:c r="P420" s="14" t="str">
        <x:v>未提供</x:v>
      </x:c>
      <x:c r="Q420" s="14" t="str">
        <x:v>未提供</x:v>
      </x:c>
      <x:c r="R420" s="14" t="str">
        <x:v>预测</x:v>
      </x:c>
      <x:c r="S420" s="14" t="str">
        <x:v>到站时间为估算值</x:v>
      </x:c>
      <x:c r="T420" t="str">
        <x:v>研究生宿舍楼发车</x:v>
      </x:c>
    </x:row>
    <x:row r="421">
      <x:c r="A421" s="14" t="str">
        <x:v>S0034-07</x:v>
      </x:c>
      <x:c r="B421" s="14" t="str">
        <x:v>S0034</x:v>
      </x:c>
      <x:c r="C421" s="14" t="str">
        <x:v>工作日</x:v>
      </x:c>
      <x:c r="D421" s="14" t="str">
        <x:v>环线1路</x:v>
      </x:c>
      <x:c r="E421" s="14" t="str">
        <x:v>第二班</x:v>
      </x:c>
      <x:c r="F421" s="14" t="n">
        <x:v>8</x:v>
      </x:c>
      <x:c r="G421" s="14" t="str">
        <x:v>11:40</x:v>
      </x:c>
      <x:c r="H421" s="14" t="str">
        <x:v>研究生宿舍楼</x:v>
      </x:c>
      <x:c r="I421" s="14" t="str">
        <x:v>否</x:v>
      </x:c>
      <x:c r="J421" s="14" t="n">
        <x:v>7</x:v>
      </x:c>
      <x:c r="K421" s="14" t="str">
        <x:v>北门</x:v>
      </x:c>
      <x:c r="L421" s="14" t="n">
        <x:v>8</x:v>
      </x:c>
      <x:c r="M421" s="14" t="str">
        <x:v>11:48</x:v>
      </x:c>
      <x:c r="N421" s="14" t="str">
        <x:v>否</x:v>
      </x:c>
      <x:c r="O421" s="14" t="str">
        <x:v>否</x:v>
      </x:c>
      <x:c r="P421" s="14" t="str">
        <x:v>未提供</x:v>
      </x:c>
      <x:c r="Q421" s="14" t="str">
        <x:v>未提供</x:v>
      </x:c>
      <x:c r="R421" s="14" t="str">
        <x:v>预测</x:v>
      </x:c>
      <x:c r="S421" s="14" t="str">
        <x:v>到站时间为估算值</x:v>
      </x:c>
      <x:c r="T421" t="str">
        <x:v>研究生宿舍楼发车</x:v>
      </x:c>
    </x:row>
    <x:row r="422">
      <x:c r="A422" s="14" t="str">
        <x:v>S0034-08</x:v>
      </x:c>
      <x:c r="B422" s="14" t="str">
        <x:v>S0034</x:v>
      </x:c>
      <x:c r="C422" s="14" t="str">
        <x:v>工作日</x:v>
      </x:c>
      <x:c r="D422" s="14" t="str">
        <x:v>环线1路</x:v>
      </x:c>
      <x:c r="E422" s="14" t="str">
        <x:v>第二班</x:v>
      </x:c>
      <x:c r="F422" s="14" t="n">
        <x:v>8</x:v>
      </x:c>
      <x:c r="G422" s="14" t="str">
        <x:v>11:40</x:v>
      </x:c>
      <x:c r="H422" s="14" t="str">
        <x:v>研究生宿舍楼</x:v>
      </x:c>
      <x:c r="I422" s="14" t="str">
        <x:v>否</x:v>
      </x:c>
      <x:c r="J422" s="14" t="n">
        <x:v>8</x:v>
      </x:c>
      <x:c r="K422" s="14" t="str">
        <x:v>高超楼</x:v>
      </x:c>
      <x:c r="L422" s="14" t="n">
        <x:v>9</x:v>
      </x:c>
      <x:c r="M422" s="14" t="str">
        <x:v>11:49</x:v>
      </x:c>
      <x:c r="N422" s="14" t="str">
        <x:v>否</x:v>
      </x:c>
      <x:c r="O422" s="14" t="str">
        <x:v>否</x:v>
      </x:c>
      <x:c r="P422" s="14" t="str">
        <x:v>未提供</x:v>
      </x:c>
      <x:c r="Q422" s="14" t="str">
        <x:v>未提供</x:v>
      </x:c>
      <x:c r="R422" s="14" t="str">
        <x:v>预测</x:v>
      </x:c>
      <x:c r="S422" s="14" t="str">
        <x:v>到站时间为估算值</x:v>
      </x:c>
      <x:c r="T422" t="str">
        <x:v>研究生宿舍楼发车</x:v>
      </x:c>
    </x:row>
    <x:row r="423">
      <x:c r="A423" s="14" t="str">
        <x:v>S0034-09</x:v>
      </x:c>
      <x:c r="B423" s="14" t="str">
        <x:v>S0034</x:v>
      </x:c>
      <x:c r="C423" s="14" t="str">
        <x:v>工作日</x:v>
      </x:c>
      <x:c r="D423" s="14" t="str">
        <x:v>环线1路</x:v>
      </x:c>
      <x:c r="E423" s="14" t="str">
        <x:v>第二班</x:v>
      </x:c>
      <x:c r="F423" s="14" t="n">
        <x:v>8</x:v>
      </x:c>
      <x:c r="G423" s="14" t="str">
        <x:v>11:40</x:v>
      </x:c>
      <x:c r="H423" s="14" t="str">
        <x:v>研究生宿舍楼</x:v>
      </x:c>
      <x:c r="I423" s="14" t="str">
        <x:v>否</x:v>
      </x:c>
      <x:c r="J423" s="14" t="n">
        <x:v>9</x:v>
      </x:c>
      <x:c r="K423" s="14" t="str">
        <x:v>理学院</x:v>
      </x:c>
      <x:c r="L423" s="14" t="n">
        <x:v>10</x:v>
      </x:c>
      <x:c r="M423" s="14" t="str">
        <x:v>11:50</x:v>
      </x:c>
      <x:c r="N423" s="14" t="str">
        <x:v>否</x:v>
      </x:c>
      <x:c r="O423" s="14" t="str">
        <x:v>否</x:v>
      </x:c>
      <x:c r="P423" s="14" t="str">
        <x:v>未提供</x:v>
      </x:c>
      <x:c r="Q423" s="14" t="str">
        <x:v>未提供</x:v>
      </x:c>
      <x:c r="R423" s="14" t="str">
        <x:v>预测</x:v>
      </x:c>
      <x:c r="S423" s="14" t="str">
        <x:v>到站时间为估算值</x:v>
      </x:c>
      <x:c r="T423" t="str">
        <x:v>研究生宿舍楼发车</x:v>
      </x:c>
    </x:row>
    <x:row r="424">
      <x:c r="A424" s="14" t="str">
        <x:v>S0034-10</x:v>
      </x:c>
      <x:c r="B424" s="14" t="str">
        <x:v>S0034</x:v>
      </x:c>
      <x:c r="C424" s="14" t="str">
        <x:v>工作日</x:v>
      </x:c>
      <x:c r="D424" s="14" t="str">
        <x:v>环线1路</x:v>
      </x:c>
      <x:c r="E424" s="14" t="str">
        <x:v>第二班</x:v>
      </x:c>
      <x:c r="F424" s="14" t="n">
        <x:v>8</x:v>
      </x:c>
      <x:c r="G424" s="14" t="str">
        <x:v>11:40</x:v>
      </x:c>
      <x:c r="H424" s="14" t="str">
        <x:v>研究生宿舍楼</x:v>
      </x:c>
      <x:c r="I424" s="14" t="str">
        <x:v>否</x:v>
      </x:c>
      <x:c r="J424" s="14" t="n">
        <x:v>10</x:v>
      </x:c>
      <x:c r="K424" s="14" t="str">
        <x:v>二食堂</x:v>
      </x:c>
      <x:c r="L424" s="14" t="n">
        <x:v>13</x:v>
      </x:c>
      <x:c r="M424" s="14" t="str">
        <x:v>11:53</x:v>
      </x:c>
      <x:c r="N424" s="14" t="str">
        <x:v>否</x:v>
      </x:c>
      <x:c r="O424" s="14" t="str">
        <x:v>否</x:v>
      </x:c>
      <x:c r="P424" s="14" t="str">
        <x:v>未提供</x:v>
      </x:c>
      <x:c r="Q424" s="14" t="str">
        <x:v>未提供</x:v>
      </x:c>
      <x:c r="R424" s="14" t="str">
        <x:v>预测</x:v>
      </x:c>
      <x:c r="S424" s="14" t="str">
        <x:v>到站时间为估算值</x:v>
      </x:c>
      <x:c r="T424" t="str">
        <x:v>研究生宿舍楼发车</x:v>
      </x:c>
    </x:row>
    <x:row r="425">
      <x:c r="A425" s="14" t="str">
        <x:v>S0034-11</x:v>
      </x:c>
      <x:c r="B425" s="14" t="str">
        <x:v>S0034</x:v>
      </x:c>
      <x:c r="C425" s="14" t="str">
        <x:v>工作日</x:v>
      </x:c>
      <x:c r="D425" s="14" t="str">
        <x:v>环线1路</x:v>
      </x:c>
      <x:c r="E425" s="14" t="str">
        <x:v>第二班</x:v>
      </x:c>
      <x:c r="F425" s="14" t="n">
        <x:v>8</x:v>
      </x:c>
      <x:c r="G425" s="14" t="str">
        <x:v>11:40</x:v>
      </x:c>
      <x:c r="H425" s="14" t="str">
        <x:v>研究生宿舍楼</x:v>
      </x:c>
      <x:c r="I425" s="14" t="str">
        <x:v>否</x:v>
      </x:c>
      <x:c r="J425" s="14" t="n">
        <x:v>11</x:v>
      </x:c>
      <x:c r="K425" s="14" t="str">
        <x:v>5号宿舍楼</x:v>
      </x:c>
      <x:c r="L425" s="14" t="n">
        <x:v>14</x:v>
      </x:c>
      <x:c r="M425" s="14" t="str">
        <x:v>11:54</x:v>
      </x:c>
      <x:c r="N425" s="14" t="str">
        <x:v>否</x:v>
      </x:c>
      <x:c r="O425" s="14" t="str">
        <x:v>否</x:v>
      </x:c>
      <x:c r="P425" s="14" t="str">
        <x:v>未提供</x:v>
      </x:c>
      <x:c r="Q425" s="14" t="str">
        <x:v>未提供</x:v>
      </x:c>
      <x:c r="R425" s="14" t="str">
        <x:v>预测</x:v>
      </x:c>
      <x:c r="S425" s="14" t="str">
        <x:v>到站时间为估算值</x:v>
      </x:c>
      <x:c r="T425" t="str">
        <x:v>研究生宿舍楼发车</x:v>
      </x:c>
    </x:row>
    <x:row r="426">
      <x:c r="A426" s="14" t="str">
        <x:v>S0034-12</x:v>
      </x:c>
      <x:c r="B426" s="14" t="str">
        <x:v>S0034</x:v>
      </x:c>
      <x:c r="C426" s="14" t="str">
        <x:v>工作日</x:v>
      </x:c>
      <x:c r="D426" s="14" t="str">
        <x:v>环线1路</x:v>
      </x:c>
      <x:c r="E426" s="14" t="str">
        <x:v>第二班</x:v>
      </x:c>
      <x:c r="F426" s="14" t="n">
        <x:v>8</x:v>
      </x:c>
      <x:c r="G426" s="14" t="str">
        <x:v>11:40</x:v>
      </x:c>
      <x:c r="H426" s="14" t="str">
        <x:v>研究生宿舍楼</x:v>
      </x:c>
      <x:c r="I426" s="14" t="str">
        <x:v>否</x:v>
      </x:c>
      <x:c r="J426" s="14" t="n">
        <x:v>12</x:v>
      </x:c>
      <x:c r="K426" s="14" t="str">
        <x:v>305教学楼</x:v>
      </x:c>
      <x:c r="L426" s="14" t="n">
        <x:v>15</x:v>
      </x:c>
      <x:c r="M426" s="14" t="str">
        <x:v>11:55</x:v>
      </x:c>
      <x:c r="N426" s="14" t="str">
        <x:v>否</x:v>
      </x:c>
      <x:c r="O426" s="14" t="str">
        <x:v>否</x:v>
      </x:c>
      <x:c r="P426" s="14" t="str">
        <x:v>未提供</x:v>
      </x:c>
      <x:c r="Q426" s="14" t="str">
        <x:v>未提供</x:v>
      </x:c>
      <x:c r="R426" s="14" t="str">
        <x:v>预测</x:v>
      </x:c>
      <x:c r="S426" s="14" t="str">
        <x:v>到站时间为估算值</x:v>
      </x:c>
      <x:c r="T426" t="str">
        <x:v>研究生宿舍楼发车</x:v>
      </x:c>
    </x:row>
    <x:row r="427">
      <x:c r="A427" s="14" t="str">
        <x:v>S0034-13</x:v>
      </x:c>
      <x:c r="B427" s="14" t="str">
        <x:v>S0034</x:v>
      </x:c>
      <x:c r="C427" s="14" t="str">
        <x:v>工作日</x:v>
      </x:c>
      <x:c r="D427" s="14" t="str">
        <x:v>环线1路</x:v>
      </x:c>
      <x:c r="E427" s="14" t="str">
        <x:v>第二班</x:v>
      </x:c>
      <x:c r="F427" s="14" t="n">
        <x:v>8</x:v>
      </x:c>
      <x:c r="G427" s="14" t="str">
        <x:v>11:40</x:v>
      </x:c>
      <x:c r="H427" s="14" t="str">
        <x:v>研究生宿舍楼</x:v>
      </x:c>
      <x:c r="I427" s="14" t="str">
        <x:v>否</x:v>
      </x:c>
      <x:c r="J427" s="14" t="n">
        <x:v>13</x:v>
      </x:c>
      <x:c r="K427" s="14" t="str">
        <x:v>研究生宿舍楼</x:v>
      </x:c>
      <x:c r="L427" s="14" t="n">
        <x:v>17</x:v>
      </x:c>
      <x:c r="M427" s="14" t="str">
        <x:v>11:57</x:v>
      </x:c>
      <x:c r="N427" s="14" t="str">
        <x:v>否</x:v>
      </x:c>
      <x:c r="O427" s="14" t="str">
        <x:v>是</x:v>
      </x:c>
      <x:c r="P427" s="14" t="str">
        <x:v>未提供</x:v>
      </x:c>
      <x:c r="Q427" s="14" t="str">
        <x:v>未提供</x:v>
      </x:c>
      <x:c r="R427" s="14" t="str">
        <x:v>预测</x:v>
      </x:c>
      <x:c r="S427" s="14" t="str">
        <x:v>到站时间为估算值</x:v>
      </x:c>
      <x:c r="T427" t="str">
        <x:v>研究生宿舍楼发车</x:v>
      </x:c>
    </x:row>
    <x:row r="428">
      <x:c r="A428" s="14" t="str">
        <x:v>S0035-01</x:v>
      </x:c>
      <x:c r="B428" s="14" t="str">
        <x:v>S0035</x:v>
      </x:c>
      <x:c r="C428" s="14" t="str">
        <x:v>工作日</x:v>
      </x:c>
      <x:c r="D428" s="14" t="str">
        <x:v>环线1路</x:v>
      </x:c>
      <x:c r="E428" s="14" t="str">
        <x:v>第二班</x:v>
      </x:c>
      <x:c r="F428" s="14" t="n">
        <x:v>9</x:v>
      </x:c>
      <x:c r="G428" s="14" t="str">
        <x:v>12:10</x:v>
      </x:c>
      <x:c r="H428" s="14" t="str">
        <x:v>研究生宿舍楼</x:v>
      </x:c>
      <x:c r="I428" s="14" t="str">
        <x:v>否</x:v>
      </x:c>
      <x:c r="J428" s="14" t="n">
        <x:v>1</x:v>
      </x:c>
      <x:c r="K428" s="14" t="str">
        <x:v>研究生宿舍楼</x:v>
      </x:c>
      <x:c r="L428" s="14" t="n">
        <x:v>0</x:v>
      </x:c>
      <x:c r="M428" s="14" t="str">
        <x:v>12:10</x:v>
      </x:c>
      <x:c r="N428" s="14" t="str">
        <x:v>是</x:v>
      </x:c>
      <x:c r="O428" s="14" t="str">
        <x:v>否</x:v>
      </x:c>
      <x:c r="P428" s="14" t="str">
        <x:v>未提供</x:v>
      </x:c>
      <x:c r="Q428" s="14" t="str">
        <x:v>未提供</x:v>
      </x:c>
      <x:c r="R428" s="14" t="str">
        <x:v>预测</x:v>
      </x:c>
      <x:c r="S428" s="14" t="str">
        <x:v>到站时间为估算值</x:v>
      </x:c>
      <x:c r="T428" t="str">
        <x:v>研究生宿舍楼发车</x:v>
      </x:c>
    </x:row>
    <x:row r="429">
      <x:c r="A429" s="14" t="str">
        <x:v>S0035-02</x:v>
      </x:c>
      <x:c r="B429" s="14" t="str">
        <x:v>S0035</x:v>
      </x:c>
      <x:c r="C429" s="14" t="str">
        <x:v>工作日</x:v>
      </x:c>
      <x:c r="D429" s="14" t="str">
        <x:v>环线1路</x:v>
      </x:c>
      <x:c r="E429" s="14" t="str">
        <x:v>第二班</x:v>
      </x:c>
      <x:c r="F429" s="14" t="n">
        <x:v>9</x:v>
      </x:c>
      <x:c r="G429" s="14" t="str">
        <x:v>12:10</x:v>
      </x:c>
      <x:c r="H429" s="14" t="str">
        <x:v>研究生宿舍楼</x:v>
      </x:c>
      <x:c r="I429" s="14" t="str">
        <x:v>否</x:v>
      </x:c>
      <x:c r="J429" s="14" t="n">
        <x:v>2</x:v>
      </x:c>
      <x:c r="K429" s="14" t="str">
        <x:v>东门</x:v>
      </x:c>
      <x:c r="L429" s="14" t="n">
        <x:v>1</x:v>
      </x:c>
      <x:c r="M429" s="14" t="str">
        <x:v>12:11</x:v>
      </x:c>
      <x:c r="N429" s="14" t="str">
        <x:v>否</x:v>
      </x:c>
      <x:c r="O429" s="14" t="str">
        <x:v>否</x:v>
      </x:c>
      <x:c r="P429" s="14" t="str">
        <x:v>未提供</x:v>
      </x:c>
      <x:c r="Q429" s="14" t="str">
        <x:v>未提供</x:v>
      </x:c>
      <x:c r="R429" s="14" t="str">
        <x:v>预测</x:v>
      </x:c>
      <x:c r="S429" s="14" t="str">
        <x:v>到站时间为估算值</x:v>
      </x:c>
      <x:c r="T429" t="str">
        <x:v>研究生宿舍楼发车</x:v>
      </x:c>
    </x:row>
    <x:row r="430">
      <x:c r="A430" s="14" t="str">
        <x:v>S0035-03</x:v>
      </x:c>
      <x:c r="B430" s="14" t="str">
        <x:v>S0035</x:v>
      </x:c>
      <x:c r="C430" s="14" t="str">
        <x:v>工作日</x:v>
      </x:c>
      <x:c r="D430" s="14" t="str">
        <x:v>环线1路</x:v>
      </x:c>
      <x:c r="E430" s="14" t="str">
        <x:v>第二班</x:v>
      </x:c>
      <x:c r="F430" s="14" t="n">
        <x:v>9</x:v>
      </x:c>
      <x:c r="G430" s="14" t="str">
        <x:v>12:10</x:v>
      </x:c>
      <x:c r="H430" s="14" t="str">
        <x:v>研究生宿舍楼</x:v>
      </x:c>
      <x:c r="I430" s="14" t="str">
        <x:v>否</x:v>
      </x:c>
      <x:c r="J430" s="14" t="n">
        <x:v>3</x:v>
      </x:c>
      <x:c r="K430" s="14" t="str">
        <x:v>2号宿舍楼</x:v>
      </x:c>
      <x:c r="L430" s="14" t="n">
        <x:v>2</x:v>
      </x:c>
      <x:c r="M430" s="14" t="str">
        <x:v>12:12</x:v>
      </x:c>
      <x:c r="N430" s="14" t="str">
        <x:v>否</x:v>
      </x:c>
      <x:c r="O430" s="14" t="str">
        <x:v>否</x:v>
      </x:c>
      <x:c r="P430" s="14" t="str">
        <x:v>未提供</x:v>
      </x:c>
      <x:c r="Q430" s="14" t="str">
        <x:v>未提供</x:v>
      </x:c>
      <x:c r="R430" s="14" t="str">
        <x:v>预测</x:v>
      </x:c>
      <x:c r="S430" s="14" t="str">
        <x:v>到站时间为估算值</x:v>
      </x:c>
      <x:c r="T430" t="str">
        <x:v>研究生宿舍楼发车</x:v>
      </x:c>
    </x:row>
    <x:row r="431">
      <x:c r="A431" s="14" t="str">
        <x:v>S0035-04</x:v>
      </x:c>
      <x:c r="B431" s="14" t="str">
        <x:v>S0035</x:v>
      </x:c>
      <x:c r="C431" s="14" t="str">
        <x:v>工作日</x:v>
      </x:c>
      <x:c r="D431" s="14" t="str">
        <x:v>环线1路</x:v>
      </x:c>
      <x:c r="E431" s="14" t="str">
        <x:v>第二班</x:v>
      </x:c>
      <x:c r="F431" s="14" t="n">
        <x:v>9</x:v>
      </x:c>
      <x:c r="G431" s="14" t="str">
        <x:v>12:10</x:v>
      </x:c>
      <x:c r="H431" s="14" t="str">
        <x:v>研究生宿舍楼</x:v>
      </x:c>
      <x:c r="I431" s="14" t="str">
        <x:v>否</x:v>
      </x:c>
      <x:c r="J431" s="14" t="n">
        <x:v>4</x:v>
      </x:c>
      <x:c r="K431" s="14" t="str">
        <x:v>军体活动中心</x:v>
      </x:c>
      <x:c r="L431" s="14" t="n">
        <x:v>3</x:v>
      </x:c>
      <x:c r="M431" s="14" t="str">
        <x:v>12:13</x:v>
      </x:c>
      <x:c r="N431" s="14" t="str">
        <x:v>否</x:v>
      </x:c>
      <x:c r="O431" s="14" t="str">
        <x:v>否</x:v>
      </x:c>
      <x:c r="P431" s="14" t="str">
        <x:v>未提供</x:v>
      </x:c>
      <x:c r="Q431" s="14" t="str">
        <x:v>未提供</x:v>
      </x:c>
      <x:c r="R431" s="14" t="str">
        <x:v>预测</x:v>
      </x:c>
      <x:c r="S431" s="14" t="str">
        <x:v>到站时间为估算值</x:v>
      </x:c>
      <x:c r="T431" t="str">
        <x:v>研究生宿舍楼发车</x:v>
      </x:c>
    </x:row>
    <x:row r="432">
      <x:c r="A432" s="14" t="str">
        <x:v>S0035-05</x:v>
      </x:c>
      <x:c r="B432" s="14" t="str">
        <x:v>S0035</x:v>
      </x:c>
      <x:c r="C432" s="14" t="str">
        <x:v>工作日</x:v>
      </x:c>
      <x:c r="D432" s="14" t="str">
        <x:v>环线1路</x:v>
      </x:c>
      <x:c r="E432" s="14" t="str">
        <x:v>第二班</x:v>
      </x:c>
      <x:c r="F432" s="14" t="n">
        <x:v>9</x:v>
      </x:c>
      <x:c r="G432" s="14" t="str">
        <x:v>12:10</x:v>
      </x:c>
      <x:c r="H432" s="14" t="str">
        <x:v>研究生宿舍楼</x:v>
      </x:c>
      <x:c r="I432" s="14" t="str">
        <x:v>否</x:v>
      </x:c>
      <x:c r="J432" s="14" t="n">
        <x:v>5</x:v>
      </x:c>
      <x:c r="K432" s="14" t="str">
        <x:v>激光所</x:v>
      </x:c>
      <x:c r="L432" s="14" t="n">
        <x:v>5</x:v>
      </x:c>
      <x:c r="M432" s="14" t="str">
        <x:v>12:15</x:v>
      </x:c>
      <x:c r="N432" s="14" t="str">
        <x:v>否</x:v>
      </x:c>
      <x:c r="O432" s="14" t="str">
        <x:v>否</x:v>
      </x:c>
      <x:c r="P432" s="14" t="str">
        <x:v>未提供</x:v>
      </x:c>
      <x:c r="Q432" s="14" t="str">
        <x:v>未提供</x:v>
      </x:c>
      <x:c r="R432" s="14" t="str">
        <x:v>预测</x:v>
      </x:c>
      <x:c r="S432" s="14" t="str">
        <x:v>到站时间为估算值</x:v>
      </x:c>
      <x:c r="T432" t="str">
        <x:v>研究生宿舍楼发车</x:v>
      </x:c>
    </x:row>
    <x:row r="433">
      <x:c r="A433" s="14" t="str">
        <x:v>S0035-06</x:v>
      </x:c>
      <x:c r="B433" s="14" t="str">
        <x:v>S0035</x:v>
      </x:c>
      <x:c r="C433" s="14" t="str">
        <x:v>工作日</x:v>
      </x:c>
      <x:c r="D433" s="14" t="str">
        <x:v>环线1路</x:v>
      </x:c>
      <x:c r="E433" s="14" t="str">
        <x:v>第二班</x:v>
      </x:c>
      <x:c r="F433" s="14" t="n">
        <x:v>9</x:v>
      </x:c>
      <x:c r="G433" s="14" t="str">
        <x:v>12:10</x:v>
      </x:c>
      <x:c r="H433" s="14" t="str">
        <x:v>研究生宿舍楼</x:v>
      </x:c>
      <x:c r="I433" s="14" t="str">
        <x:v>否</x:v>
      </x:c>
      <x:c r="J433" s="14" t="n">
        <x:v>6</x:v>
      </x:c>
      <x:c r="K433" s="14" t="str">
        <x:v>超算中心</x:v>
      </x:c>
      <x:c r="L433" s="14" t="n">
        <x:v>6</x:v>
      </x:c>
      <x:c r="M433" s="14" t="str">
        <x:v>12:16</x:v>
      </x:c>
      <x:c r="N433" s="14" t="str">
        <x:v>否</x:v>
      </x:c>
      <x:c r="O433" s="14" t="str">
        <x:v>否</x:v>
      </x:c>
      <x:c r="P433" s="14" t="str">
        <x:v>未提供</x:v>
      </x:c>
      <x:c r="Q433" s="14" t="str">
        <x:v>未提供</x:v>
      </x:c>
      <x:c r="R433" s="14" t="str">
        <x:v>预测</x:v>
      </x:c>
      <x:c r="S433" s="14" t="str">
        <x:v>到站时间为估算值</x:v>
      </x:c>
      <x:c r="T433" t="str">
        <x:v>研究生宿舍楼发车</x:v>
      </x:c>
    </x:row>
    <x:row r="434">
      <x:c r="A434" s="14" t="str">
        <x:v>S0035-07</x:v>
      </x:c>
      <x:c r="B434" s="14" t="str">
        <x:v>S0035</x:v>
      </x:c>
      <x:c r="C434" s="14" t="str">
        <x:v>工作日</x:v>
      </x:c>
      <x:c r="D434" s="14" t="str">
        <x:v>环线1路</x:v>
      </x:c>
      <x:c r="E434" s="14" t="str">
        <x:v>第二班</x:v>
      </x:c>
      <x:c r="F434" s="14" t="n">
        <x:v>9</x:v>
      </x:c>
      <x:c r="G434" s="14" t="str">
        <x:v>12:10</x:v>
      </x:c>
      <x:c r="H434" s="14" t="str">
        <x:v>研究生宿舍楼</x:v>
      </x:c>
      <x:c r="I434" s="14" t="str">
        <x:v>否</x:v>
      </x:c>
      <x:c r="J434" s="14" t="n">
        <x:v>7</x:v>
      </x:c>
      <x:c r="K434" s="14" t="str">
        <x:v>北门</x:v>
      </x:c>
      <x:c r="L434" s="14" t="n">
        <x:v>8</x:v>
      </x:c>
      <x:c r="M434" s="14" t="str">
        <x:v>12:18</x:v>
      </x:c>
      <x:c r="N434" s="14" t="str">
        <x:v>否</x:v>
      </x:c>
      <x:c r="O434" s="14" t="str">
        <x:v>否</x:v>
      </x:c>
      <x:c r="P434" s="14" t="str">
        <x:v>未提供</x:v>
      </x:c>
      <x:c r="Q434" s="14" t="str">
        <x:v>未提供</x:v>
      </x:c>
      <x:c r="R434" s="14" t="str">
        <x:v>预测</x:v>
      </x:c>
      <x:c r="S434" s="14" t="str">
        <x:v>到站时间为估算值</x:v>
      </x:c>
      <x:c r="T434" t="str">
        <x:v>研究生宿舍楼发车</x:v>
      </x:c>
    </x:row>
    <x:row r="435">
      <x:c r="A435" s="14" t="str">
        <x:v>S0035-08</x:v>
      </x:c>
      <x:c r="B435" s="14" t="str">
        <x:v>S0035</x:v>
      </x:c>
      <x:c r="C435" s="14" t="str">
        <x:v>工作日</x:v>
      </x:c>
      <x:c r="D435" s="14" t="str">
        <x:v>环线1路</x:v>
      </x:c>
      <x:c r="E435" s="14" t="str">
        <x:v>第二班</x:v>
      </x:c>
      <x:c r="F435" s="14" t="n">
        <x:v>9</x:v>
      </x:c>
      <x:c r="G435" s="14" t="str">
        <x:v>12:10</x:v>
      </x:c>
      <x:c r="H435" s="14" t="str">
        <x:v>研究生宿舍楼</x:v>
      </x:c>
      <x:c r="I435" s="14" t="str">
        <x:v>否</x:v>
      </x:c>
      <x:c r="J435" s="14" t="n">
        <x:v>8</x:v>
      </x:c>
      <x:c r="K435" s="14" t="str">
        <x:v>高超楼</x:v>
      </x:c>
      <x:c r="L435" s="14" t="n">
        <x:v>9</x:v>
      </x:c>
      <x:c r="M435" s="14" t="str">
        <x:v>12:19</x:v>
      </x:c>
      <x:c r="N435" s="14" t="str">
        <x:v>否</x:v>
      </x:c>
      <x:c r="O435" s="14" t="str">
        <x:v>否</x:v>
      </x:c>
      <x:c r="P435" s="14" t="str">
        <x:v>未提供</x:v>
      </x:c>
      <x:c r="Q435" s="14" t="str">
        <x:v>未提供</x:v>
      </x:c>
      <x:c r="R435" s="14" t="str">
        <x:v>预测</x:v>
      </x:c>
      <x:c r="S435" s="14" t="str">
        <x:v>到站时间为估算值</x:v>
      </x:c>
      <x:c r="T435" t="str">
        <x:v>研究生宿舍楼发车</x:v>
      </x:c>
    </x:row>
    <x:row r="436">
      <x:c r="A436" s="14" t="str">
        <x:v>S0035-09</x:v>
      </x:c>
      <x:c r="B436" s="14" t="str">
        <x:v>S0035</x:v>
      </x:c>
      <x:c r="C436" s="14" t="str">
        <x:v>工作日</x:v>
      </x:c>
      <x:c r="D436" s="14" t="str">
        <x:v>环线1路</x:v>
      </x:c>
      <x:c r="E436" s="14" t="str">
        <x:v>第二班</x:v>
      </x:c>
      <x:c r="F436" s="14" t="n">
        <x:v>9</x:v>
      </x:c>
      <x:c r="G436" s="14" t="str">
        <x:v>12:10</x:v>
      </x:c>
      <x:c r="H436" s="14" t="str">
        <x:v>研究生宿舍楼</x:v>
      </x:c>
      <x:c r="I436" s="14" t="str">
        <x:v>否</x:v>
      </x:c>
      <x:c r="J436" s="14" t="n">
        <x:v>9</x:v>
      </x:c>
      <x:c r="K436" s="14" t="str">
        <x:v>理学院</x:v>
      </x:c>
      <x:c r="L436" s="14" t="n">
        <x:v>10</x:v>
      </x:c>
      <x:c r="M436" s="14" t="str">
        <x:v>12:20</x:v>
      </x:c>
      <x:c r="N436" s="14" t="str">
        <x:v>否</x:v>
      </x:c>
      <x:c r="O436" s="14" t="str">
        <x:v>否</x:v>
      </x:c>
      <x:c r="P436" s="14" t="str">
        <x:v>未提供</x:v>
      </x:c>
      <x:c r="Q436" s="14" t="str">
        <x:v>未提供</x:v>
      </x:c>
      <x:c r="R436" s="14" t="str">
        <x:v>预测</x:v>
      </x:c>
      <x:c r="S436" s="14" t="str">
        <x:v>到站时间为估算值</x:v>
      </x:c>
      <x:c r="T436" t="str">
        <x:v>研究生宿舍楼发车</x:v>
      </x:c>
    </x:row>
    <x:row r="437">
      <x:c r="A437" s="14" t="str">
        <x:v>S0035-10</x:v>
      </x:c>
      <x:c r="B437" s="14" t="str">
        <x:v>S0035</x:v>
      </x:c>
      <x:c r="C437" s="14" t="str">
        <x:v>工作日</x:v>
      </x:c>
      <x:c r="D437" s="14" t="str">
        <x:v>环线1路</x:v>
      </x:c>
      <x:c r="E437" s="14" t="str">
        <x:v>第二班</x:v>
      </x:c>
      <x:c r="F437" s="14" t="n">
        <x:v>9</x:v>
      </x:c>
      <x:c r="G437" s="14" t="str">
        <x:v>12:10</x:v>
      </x:c>
      <x:c r="H437" s="14" t="str">
        <x:v>研究生宿舍楼</x:v>
      </x:c>
      <x:c r="I437" s="14" t="str">
        <x:v>否</x:v>
      </x:c>
      <x:c r="J437" s="14" t="n">
        <x:v>10</x:v>
      </x:c>
      <x:c r="K437" s="14" t="str">
        <x:v>二食堂</x:v>
      </x:c>
      <x:c r="L437" s="14" t="n">
        <x:v>13</x:v>
      </x:c>
      <x:c r="M437" s="14" t="str">
        <x:v>12:23</x:v>
      </x:c>
      <x:c r="N437" s="14" t="str">
        <x:v>否</x:v>
      </x:c>
      <x:c r="O437" s="14" t="str">
        <x:v>否</x:v>
      </x:c>
      <x:c r="P437" s="14" t="str">
        <x:v>未提供</x:v>
      </x:c>
      <x:c r="Q437" s="14" t="str">
        <x:v>未提供</x:v>
      </x:c>
      <x:c r="R437" s="14" t="str">
        <x:v>预测</x:v>
      </x:c>
      <x:c r="S437" s="14" t="str">
        <x:v>到站时间为估算值</x:v>
      </x:c>
      <x:c r="T437" t="str">
        <x:v>研究生宿舍楼发车</x:v>
      </x:c>
    </x:row>
    <x:row r="438">
      <x:c r="A438" s="14" t="str">
        <x:v>S0035-11</x:v>
      </x:c>
      <x:c r="B438" s="14" t="str">
        <x:v>S0035</x:v>
      </x:c>
      <x:c r="C438" s="14" t="str">
        <x:v>工作日</x:v>
      </x:c>
      <x:c r="D438" s="14" t="str">
        <x:v>环线1路</x:v>
      </x:c>
      <x:c r="E438" s="14" t="str">
        <x:v>第二班</x:v>
      </x:c>
      <x:c r="F438" s="14" t="n">
        <x:v>9</x:v>
      </x:c>
      <x:c r="G438" s="14" t="str">
        <x:v>12:10</x:v>
      </x:c>
      <x:c r="H438" s="14" t="str">
        <x:v>研究生宿舍楼</x:v>
      </x:c>
      <x:c r="I438" s="14" t="str">
        <x:v>否</x:v>
      </x:c>
      <x:c r="J438" s="14" t="n">
        <x:v>11</x:v>
      </x:c>
      <x:c r="K438" s="14" t="str">
        <x:v>5号宿舍楼</x:v>
      </x:c>
      <x:c r="L438" s="14" t="n">
        <x:v>14</x:v>
      </x:c>
      <x:c r="M438" s="14" t="str">
        <x:v>12:24</x:v>
      </x:c>
      <x:c r="N438" s="14" t="str">
        <x:v>否</x:v>
      </x:c>
      <x:c r="O438" s="14" t="str">
        <x:v>否</x:v>
      </x:c>
      <x:c r="P438" s="14" t="str">
        <x:v>未提供</x:v>
      </x:c>
      <x:c r="Q438" s="14" t="str">
        <x:v>未提供</x:v>
      </x:c>
      <x:c r="R438" s="14" t="str">
        <x:v>预测</x:v>
      </x:c>
      <x:c r="S438" s="14" t="str">
        <x:v>到站时间为估算值</x:v>
      </x:c>
      <x:c r="T438" t="str">
        <x:v>研究生宿舍楼发车</x:v>
      </x:c>
    </x:row>
    <x:row r="439">
      <x:c r="A439" s="14" t="str">
        <x:v>S0035-12</x:v>
      </x:c>
      <x:c r="B439" s="14" t="str">
        <x:v>S0035</x:v>
      </x:c>
      <x:c r="C439" s="14" t="str">
        <x:v>工作日</x:v>
      </x:c>
      <x:c r="D439" s="14" t="str">
        <x:v>环线1路</x:v>
      </x:c>
      <x:c r="E439" s="14" t="str">
        <x:v>第二班</x:v>
      </x:c>
      <x:c r="F439" s="14" t="n">
        <x:v>9</x:v>
      </x:c>
      <x:c r="G439" s="14" t="str">
        <x:v>12:10</x:v>
      </x:c>
      <x:c r="H439" s="14" t="str">
        <x:v>研究生宿舍楼</x:v>
      </x:c>
      <x:c r="I439" s="14" t="str">
        <x:v>否</x:v>
      </x:c>
      <x:c r="J439" s="14" t="n">
        <x:v>12</x:v>
      </x:c>
      <x:c r="K439" s="14" t="str">
        <x:v>305教学楼</x:v>
      </x:c>
      <x:c r="L439" s="14" t="n">
        <x:v>15</x:v>
      </x:c>
      <x:c r="M439" s="14" t="str">
        <x:v>12:25</x:v>
      </x:c>
      <x:c r="N439" s="14" t="str">
        <x:v>否</x:v>
      </x:c>
      <x:c r="O439" s="14" t="str">
        <x:v>否</x:v>
      </x:c>
      <x:c r="P439" s="14" t="str">
        <x:v>未提供</x:v>
      </x:c>
      <x:c r="Q439" s="14" t="str">
        <x:v>未提供</x:v>
      </x:c>
      <x:c r="R439" s="14" t="str">
        <x:v>预测</x:v>
      </x:c>
      <x:c r="S439" s="14" t="str">
        <x:v>到站时间为估算值</x:v>
      </x:c>
      <x:c r="T439" t="str">
        <x:v>研究生宿舍楼发车</x:v>
      </x:c>
    </x:row>
    <x:row r="440">
      <x:c r="A440" s="14" t="str">
        <x:v>S0035-13</x:v>
      </x:c>
      <x:c r="B440" s="14" t="str">
        <x:v>S0035</x:v>
      </x:c>
      <x:c r="C440" s="14" t="str">
        <x:v>工作日</x:v>
      </x:c>
      <x:c r="D440" s="14" t="str">
        <x:v>环线1路</x:v>
      </x:c>
      <x:c r="E440" s="14" t="str">
        <x:v>第二班</x:v>
      </x:c>
      <x:c r="F440" s="14" t="n">
        <x:v>9</x:v>
      </x:c>
      <x:c r="G440" s="14" t="str">
        <x:v>12:10</x:v>
      </x:c>
      <x:c r="H440" s="14" t="str">
        <x:v>研究生宿舍楼</x:v>
      </x:c>
      <x:c r="I440" s="14" t="str">
        <x:v>否</x:v>
      </x:c>
      <x:c r="J440" s="14" t="n">
        <x:v>13</x:v>
      </x:c>
      <x:c r="K440" s="14" t="str">
        <x:v>研究生宿舍楼</x:v>
      </x:c>
      <x:c r="L440" s="14" t="n">
        <x:v>17</x:v>
      </x:c>
      <x:c r="M440" s="14" t="str">
        <x:v>12:27</x:v>
      </x:c>
      <x:c r="N440" s="14" t="str">
        <x:v>否</x:v>
      </x:c>
      <x:c r="O440" s="14" t="str">
        <x:v>是</x:v>
      </x:c>
      <x:c r="P440" s="14" t="str">
        <x:v>未提供</x:v>
      </x:c>
      <x:c r="Q440" s="14" t="str">
        <x:v>未提供</x:v>
      </x:c>
      <x:c r="R440" s="14" t="str">
        <x:v>预测</x:v>
      </x:c>
      <x:c r="S440" s="14" t="str">
        <x:v>到站时间为估算值</x:v>
      </x:c>
      <x:c r="T440" t="str">
        <x:v>研究生宿舍楼发车</x:v>
      </x:c>
    </x:row>
    <x:row r="441">
      <x:c r="A441" s="14" t="str">
        <x:v>S0036-01</x:v>
      </x:c>
      <x:c r="B441" s="14" t="str">
        <x:v>S0036</x:v>
      </x:c>
      <x:c r="C441" s="14" t="str">
        <x:v>工作日</x:v>
      </x:c>
      <x:c r="D441" s="14" t="str">
        <x:v>环线1路</x:v>
      </x:c>
      <x:c r="E441" s="14" t="str">
        <x:v>第二班</x:v>
      </x:c>
      <x:c r="F441" s="14" t="n">
        <x:v>10</x:v>
      </x:c>
      <x:c r="G441" s="14" t="str">
        <x:v>12:40</x:v>
      </x:c>
      <x:c r="H441" s="14" t="str">
        <x:v>研究生宿舍楼</x:v>
      </x:c>
      <x:c r="I441" s="14" t="str">
        <x:v>否</x:v>
      </x:c>
      <x:c r="J441" s="14" t="n">
        <x:v>1</x:v>
      </x:c>
      <x:c r="K441" s="14" t="str">
        <x:v>研究生宿舍楼</x:v>
      </x:c>
      <x:c r="L441" s="14" t="n">
        <x:v>0</x:v>
      </x:c>
      <x:c r="M441" s="14" t="str">
        <x:v>12:40</x:v>
      </x:c>
      <x:c r="N441" s="14" t="str">
        <x:v>是</x:v>
      </x:c>
      <x:c r="O441" s="14" t="str">
        <x:v>否</x:v>
      </x:c>
      <x:c r="P441" s="14" t="str">
        <x:v>未提供</x:v>
      </x:c>
      <x:c r="Q441" s="14" t="str">
        <x:v>未提供</x:v>
      </x:c>
      <x:c r="R441" s="14" t="str">
        <x:v>预测</x:v>
      </x:c>
      <x:c r="S441" s="14" t="str">
        <x:v>到站时间为估算值</x:v>
      </x:c>
      <x:c r="T441" t="str">
        <x:v>研究生宿舍楼发车</x:v>
      </x:c>
    </x:row>
    <x:row r="442">
      <x:c r="A442" s="14" t="str">
        <x:v>S0036-02</x:v>
      </x:c>
      <x:c r="B442" s="14" t="str">
        <x:v>S0036</x:v>
      </x:c>
      <x:c r="C442" s="14" t="str">
        <x:v>工作日</x:v>
      </x:c>
      <x:c r="D442" s="14" t="str">
        <x:v>环线1路</x:v>
      </x:c>
      <x:c r="E442" s="14" t="str">
        <x:v>第二班</x:v>
      </x:c>
      <x:c r="F442" s="14" t="n">
        <x:v>10</x:v>
      </x:c>
      <x:c r="G442" s="14" t="str">
        <x:v>12:40</x:v>
      </x:c>
      <x:c r="H442" s="14" t="str">
        <x:v>研究生宿舍楼</x:v>
      </x:c>
      <x:c r="I442" s="14" t="str">
        <x:v>否</x:v>
      </x:c>
      <x:c r="J442" s="14" t="n">
        <x:v>2</x:v>
      </x:c>
      <x:c r="K442" s="14" t="str">
        <x:v>东门</x:v>
      </x:c>
      <x:c r="L442" s="14" t="n">
        <x:v>1</x:v>
      </x:c>
      <x:c r="M442" s="14" t="str">
        <x:v>12:41</x:v>
      </x:c>
      <x:c r="N442" s="14" t="str">
        <x:v>否</x:v>
      </x:c>
      <x:c r="O442" s="14" t="str">
        <x:v>否</x:v>
      </x:c>
      <x:c r="P442" s="14" t="str">
        <x:v>未提供</x:v>
      </x:c>
      <x:c r="Q442" s="14" t="str">
        <x:v>未提供</x:v>
      </x:c>
      <x:c r="R442" s="14" t="str">
        <x:v>预测</x:v>
      </x:c>
      <x:c r="S442" s="14" t="str">
        <x:v>到站时间为估算值</x:v>
      </x:c>
      <x:c r="T442" t="str">
        <x:v>研究生宿舍楼发车</x:v>
      </x:c>
    </x:row>
    <x:row r="443">
      <x:c r="A443" s="14" t="str">
        <x:v>S0036-03</x:v>
      </x:c>
      <x:c r="B443" s="14" t="str">
        <x:v>S0036</x:v>
      </x:c>
      <x:c r="C443" s="14" t="str">
        <x:v>工作日</x:v>
      </x:c>
      <x:c r="D443" s="14" t="str">
        <x:v>环线1路</x:v>
      </x:c>
      <x:c r="E443" s="14" t="str">
        <x:v>第二班</x:v>
      </x:c>
      <x:c r="F443" s="14" t="n">
        <x:v>10</x:v>
      </x:c>
      <x:c r="G443" s="14" t="str">
        <x:v>12:40</x:v>
      </x:c>
      <x:c r="H443" s="14" t="str">
        <x:v>研究生宿舍楼</x:v>
      </x:c>
      <x:c r="I443" s="14" t="str">
        <x:v>否</x:v>
      </x:c>
      <x:c r="J443" s="14" t="n">
        <x:v>3</x:v>
      </x:c>
      <x:c r="K443" s="14" t="str">
        <x:v>2号宿舍楼</x:v>
      </x:c>
      <x:c r="L443" s="14" t="n">
        <x:v>2</x:v>
      </x:c>
      <x:c r="M443" s="14" t="str">
        <x:v>12:42</x:v>
      </x:c>
      <x:c r="N443" s="14" t="str">
        <x:v>否</x:v>
      </x:c>
      <x:c r="O443" s="14" t="str">
        <x:v>否</x:v>
      </x:c>
      <x:c r="P443" s="14" t="str">
        <x:v>未提供</x:v>
      </x:c>
      <x:c r="Q443" s="14" t="str">
        <x:v>未提供</x:v>
      </x:c>
      <x:c r="R443" s="14" t="str">
        <x:v>预测</x:v>
      </x:c>
      <x:c r="S443" s="14" t="str">
        <x:v>到站时间为估算值</x:v>
      </x:c>
      <x:c r="T443" t="str">
        <x:v>研究生宿舍楼发车</x:v>
      </x:c>
    </x:row>
    <x:row r="444">
      <x:c r="A444" s="14" t="str">
        <x:v>S0036-04</x:v>
      </x:c>
      <x:c r="B444" s="14" t="str">
        <x:v>S0036</x:v>
      </x:c>
      <x:c r="C444" s="14" t="str">
        <x:v>工作日</x:v>
      </x:c>
      <x:c r="D444" s="14" t="str">
        <x:v>环线1路</x:v>
      </x:c>
      <x:c r="E444" s="14" t="str">
        <x:v>第二班</x:v>
      </x:c>
      <x:c r="F444" s="14" t="n">
        <x:v>10</x:v>
      </x:c>
      <x:c r="G444" s="14" t="str">
        <x:v>12:40</x:v>
      </x:c>
      <x:c r="H444" s="14" t="str">
        <x:v>研究生宿舍楼</x:v>
      </x:c>
      <x:c r="I444" s="14" t="str">
        <x:v>否</x:v>
      </x:c>
      <x:c r="J444" s="14" t="n">
        <x:v>4</x:v>
      </x:c>
      <x:c r="K444" s="14" t="str">
        <x:v>军体活动中心</x:v>
      </x:c>
      <x:c r="L444" s="14" t="n">
        <x:v>3</x:v>
      </x:c>
      <x:c r="M444" s="14" t="str">
        <x:v>12:43</x:v>
      </x:c>
      <x:c r="N444" s="14" t="str">
        <x:v>否</x:v>
      </x:c>
      <x:c r="O444" s="14" t="str">
        <x:v>否</x:v>
      </x:c>
      <x:c r="P444" s="14" t="str">
        <x:v>未提供</x:v>
      </x:c>
      <x:c r="Q444" s="14" t="str">
        <x:v>未提供</x:v>
      </x:c>
      <x:c r="R444" s="14" t="str">
        <x:v>预测</x:v>
      </x:c>
      <x:c r="S444" s="14" t="str">
        <x:v>到站时间为估算值</x:v>
      </x:c>
      <x:c r="T444" t="str">
        <x:v>研究生宿舍楼发车</x:v>
      </x:c>
    </x:row>
    <x:row r="445">
      <x:c r="A445" s="14" t="str">
        <x:v>S0036-05</x:v>
      </x:c>
      <x:c r="B445" s="14" t="str">
        <x:v>S0036</x:v>
      </x:c>
      <x:c r="C445" s="14" t="str">
        <x:v>工作日</x:v>
      </x:c>
      <x:c r="D445" s="14" t="str">
        <x:v>环线1路</x:v>
      </x:c>
      <x:c r="E445" s="14" t="str">
        <x:v>第二班</x:v>
      </x:c>
      <x:c r="F445" s="14" t="n">
        <x:v>10</x:v>
      </x:c>
      <x:c r="G445" s="14" t="str">
        <x:v>12:40</x:v>
      </x:c>
      <x:c r="H445" s="14" t="str">
        <x:v>研究生宿舍楼</x:v>
      </x:c>
      <x:c r="I445" s="14" t="str">
        <x:v>否</x:v>
      </x:c>
      <x:c r="J445" s="14" t="n">
        <x:v>5</x:v>
      </x:c>
      <x:c r="K445" s="14" t="str">
        <x:v>激光所</x:v>
      </x:c>
      <x:c r="L445" s="14" t="n">
        <x:v>5</x:v>
      </x:c>
      <x:c r="M445" s="14" t="str">
        <x:v>12:45</x:v>
      </x:c>
      <x:c r="N445" s="14" t="str">
        <x:v>否</x:v>
      </x:c>
      <x:c r="O445" s="14" t="str">
        <x:v>否</x:v>
      </x:c>
      <x:c r="P445" s="14" t="str">
        <x:v>未提供</x:v>
      </x:c>
      <x:c r="Q445" s="14" t="str">
        <x:v>未提供</x:v>
      </x:c>
      <x:c r="R445" s="14" t="str">
        <x:v>预测</x:v>
      </x:c>
      <x:c r="S445" s="14" t="str">
        <x:v>到站时间为估算值</x:v>
      </x:c>
      <x:c r="T445" t="str">
        <x:v>研究生宿舍楼发车</x:v>
      </x:c>
    </x:row>
    <x:row r="446">
      <x:c r="A446" s="14" t="str">
        <x:v>S0036-06</x:v>
      </x:c>
      <x:c r="B446" s="14" t="str">
        <x:v>S0036</x:v>
      </x:c>
      <x:c r="C446" s="14" t="str">
        <x:v>工作日</x:v>
      </x:c>
      <x:c r="D446" s="14" t="str">
        <x:v>环线1路</x:v>
      </x:c>
      <x:c r="E446" s="14" t="str">
        <x:v>第二班</x:v>
      </x:c>
      <x:c r="F446" s="14" t="n">
        <x:v>10</x:v>
      </x:c>
      <x:c r="G446" s="14" t="str">
        <x:v>12:40</x:v>
      </x:c>
      <x:c r="H446" s="14" t="str">
        <x:v>研究生宿舍楼</x:v>
      </x:c>
      <x:c r="I446" s="14" t="str">
        <x:v>否</x:v>
      </x:c>
      <x:c r="J446" s="14" t="n">
        <x:v>6</x:v>
      </x:c>
      <x:c r="K446" s="14" t="str">
        <x:v>超算中心</x:v>
      </x:c>
      <x:c r="L446" s="14" t="n">
        <x:v>6</x:v>
      </x:c>
      <x:c r="M446" s="14" t="str">
        <x:v>12:46</x:v>
      </x:c>
      <x:c r="N446" s="14" t="str">
        <x:v>否</x:v>
      </x:c>
      <x:c r="O446" s="14" t="str">
        <x:v>否</x:v>
      </x:c>
      <x:c r="P446" s="14" t="str">
        <x:v>未提供</x:v>
      </x:c>
      <x:c r="Q446" s="14" t="str">
        <x:v>未提供</x:v>
      </x:c>
      <x:c r="R446" s="14" t="str">
        <x:v>预测</x:v>
      </x:c>
      <x:c r="S446" s="14" t="str">
        <x:v>到站时间为估算值</x:v>
      </x:c>
      <x:c r="T446" t="str">
        <x:v>研究生宿舍楼发车</x:v>
      </x:c>
    </x:row>
    <x:row r="447">
      <x:c r="A447" s="14" t="str">
        <x:v>S0036-07</x:v>
      </x:c>
      <x:c r="B447" s="14" t="str">
        <x:v>S0036</x:v>
      </x:c>
      <x:c r="C447" s="14" t="str">
        <x:v>工作日</x:v>
      </x:c>
      <x:c r="D447" s="14" t="str">
        <x:v>环线1路</x:v>
      </x:c>
      <x:c r="E447" s="14" t="str">
        <x:v>第二班</x:v>
      </x:c>
      <x:c r="F447" s="14" t="n">
        <x:v>10</x:v>
      </x:c>
      <x:c r="G447" s="14" t="str">
        <x:v>12:40</x:v>
      </x:c>
      <x:c r="H447" s="14" t="str">
        <x:v>研究生宿舍楼</x:v>
      </x:c>
      <x:c r="I447" s="14" t="str">
        <x:v>否</x:v>
      </x:c>
      <x:c r="J447" s="14" t="n">
        <x:v>7</x:v>
      </x:c>
      <x:c r="K447" s="14" t="str">
        <x:v>北门</x:v>
      </x:c>
      <x:c r="L447" s="14" t="n">
        <x:v>8</x:v>
      </x:c>
      <x:c r="M447" s="14" t="str">
        <x:v>12:48</x:v>
      </x:c>
      <x:c r="N447" s="14" t="str">
        <x:v>否</x:v>
      </x:c>
      <x:c r="O447" s="14" t="str">
        <x:v>否</x:v>
      </x:c>
      <x:c r="P447" s="14" t="str">
        <x:v>未提供</x:v>
      </x:c>
      <x:c r="Q447" s="14" t="str">
        <x:v>未提供</x:v>
      </x:c>
      <x:c r="R447" s="14" t="str">
        <x:v>预测</x:v>
      </x:c>
      <x:c r="S447" s="14" t="str">
        <x:v>到站时间为估算值</x:v>
      </x:c>
      <x:c r="T447" t="str">
        <x:v>研究生宿舍楼发车</x:v>
      </x:c>
    </x:row>
    <x:row r="448">
      <x:c r="A448" s="14" t="str">
        <x:v>S0036-08</x:v>
      </x:c>
      <x:c r="B448" s="14" t="str">
        <x:v>S0036</x:v>
      </x:c>
      <x:c r="C448" s="14" t="str">
        <x:v>工作日</x:v>
      </x:c>
      <x:c r="D448" s="14" t="str">
        <x:v>环线1路</x:v>
      </x:c>
      <x:c r="E448" s="14" t="str">
        <x:v>第二班</x:v>
      </x:c>
      <x:c r="F448" s="14" t="n">
        <x:v>10</x:v>
      </x:c>
      <x:c r="G448" s="14" t="str">
        <x:v>12:40</x:v>
      </x:c>
      <x:c r="H448" s="14" t="str">
        <x:v>研究生宿舍楼</x:v>
      </x:c>
      <x:c r="I448" s="14" t="str">
        <x:v>否</x:v>
      </x:c>
      <x:c r="J448" s="14" t="n">
        <x:v>8</x:v>
      </x:c>
      <x:c r="K448" s="14" t="str">
        <x:v>高超楼</x:v>
      </x:c>
      <x:c r="L448" s="14" t="n">
        <x:v>9</x:v>
      </x:c>
      <x:c r="M448" s="14" t="str">
        <x:v>12:49</x:v>
      </x:c>
      <x:c r="N448" s="14" t="str">
        <x:v>否</x:v>
      </x:c>
      <x:c r="O448" s="14" t="str">
        <x:v>否</x:v>
      </x:c>
      <x:c r="P448" s="14" t="str">
        <x:v>未提供</x:v>
      </x:c>
      <x:c r="Q448" s="14" t="str">
        <x:v>未提供</x:v>
      </x:c>
      <x:c r="R448" s="14" t="str">
        <x:v>预测</x:v>
      </x:c>
      <x:c r="S448" s="14" t="str">
        <x:v>到站时间为估算值</x:v>
      </x:c>
      <x:c r="T448" t="str">
        <x:v>研究生宿舍楼发车</x:v>
      </x:c>
    </x:row>
    <x:row r="449">
      <x:c r="A449" s="14" t="str">
        <x:v>S0036-09</x:v>
      </x:c>
      <x:c r="B449" s="14" t="str">
        <x:v>S0036</x:v>
      </x:c>
      <x:c r="C449" s="14" t="str">
        <x:v>工作日</x:v>
      </x:c>
      <x:c r="D449" s="14" t="str">
        <x:v>环线1路</x:v>
      </x:c>
      <x:c r="E449" s="14" t="str">
        <x:v>第二班</x:v>
      </x:c>
      <x:c r="F449" s="14" t="n">
        <x:v>10</x:v>
      </x:c>
      <x:c r="G449" s="14" t="str">
        <x:v>12:40</x:v>
      </x:c>
      <x:c r="H449" s="14" t="str">
        <x:v>研究生宿舍楼</x:v>
      </x:c>
      <x:c r="I449" s="14" t="str">
        <x:v>否</x:v>
      </x:c>
      <x:c r="J449" s="14" t="n">
        <x:v>9</x:v>
      </x:c>
      <x:c r="K449" s="14" t="str">
        <x:v>理学院</x:v>
      </x:c>
      <x:c r="L449" s="14" t="n">
        <x:v>10</x:v>
      </x:c>
      <x:c r="M449" s="14" t="str">
        <x:v>12:50</x:v>
      </x:c>
      <x:c r="N449" s="14" t="str">
        <x:v>否</x:v>
      </x:c>
      <x:c r="O449" s="14" t="str">
        <x:v>否</x:v>
      </x:c>
      <x:c r="P449" s="14" t="str">
        <x:v>未提供</x:v>
      </x:c>
      <x:c r="Q449" s="14" t="str">
        <x:v>未提供</x:v>
      </x:c>
      <x:c r="R449" s="14" t="str">
        <x:v>预测</x:v>
      </x:c>
      <x:c r="S449" s="14" t="str">
        <x:v>到站时间为估算值</x:v>
      </x:c>
      <x:c r="T449" t="str">
        <x:v>研究生宿舍楼发车</x:v>
      </x:c>
    </x:row>
    <x:row r="450">
      <x:c r="A450" s="14" t="str">
        <x:v>S0036-10</x:v>
      </x:c>
      <x:c r="B450" s="14" t="str">
        <x:v>S0036</x:v>
      </x:c>
      <x:c r="C450" s="14" t="str">
        <x:v>工作日</x:v>
      </x:c>
      <x:c r="D450" s="14" t="str">
        <x:v>环线1路</x:v>
      </x:c>
      <x:c r="E450" s="14" t="str">
        <x:v>第二班</x:v>
      </x:c>
      <x:c r="F450" s="14" t="n">
        <x:v>10</x:v>
      </x:c>
      <x:c r="G450" s="14" t="str">
        <x:v>12:40</x:v>
      </x:c>
      <x:c r="H450" s="14" t="str">
        <x:v>研究生宿舍楼</x:v>
      </x:c>
      <x:c r="I450" s="14" t="str">
        <x:v>否</x:v>
      </x:c>
      <x:c r="J450" s="14" t="n">
        <x:v>10</x:v>
      </x:c>
      <x:c r="K450" s="14" t="str">
        <x:v>二食堂</x:v>
      </x:c>
      <x:c r="L450" s="14" t="n">
        <x:v>13</x:v>
      </x:c>
      <x:c r="M450" s="14" t="str">
        <x:v>12:53</x:v>
      </x:c>
      <x:c r="N450" s="14" t="str">
        <x:v>否</x:v>
      </x:c>
      <x:c r="O450" s="14" t="str">
        <x:v>否</x:v>
      </x:c>
      <x:c r="P450" s="14" t="str">
        <x:v>未提供</x:v>
      </x:c>
      <x:c r="Q450" s="14" t="str">
        <x:v>未提供</x:v>
      </x:c>
      <x:c r="R450" s="14" t="str">
        <x:v>预测</x:v>
      </x:c>
      <x:c r="S450" s="14" t="str">
        <x:v>到站时间为估算值</x:v>
      </x:c>
      <x:c r="T450" t="str">
        <x:v>研究生宿舍楼发车</x:v>
      </x:c>
    </x:row>
    <x:row r="451">
      <x:c r="A451" s="14" t="str">
        <x:v>S0036-11</x:v>
      </x:c>
      <x:c r="B451" s="14" t="str">
        <x:v>S0036</x:v>
      </x:c>
      <x:c r="C451" s="14" t="str">
        <x:v>工作日</x:v>
      </x:c>
      <x:c r="D451" s="14" t="str">
        <x:v>环线1路</x:v>
      </x:c>
      <x:c r="E451" s="14" t="str">
        <x:v>第二班</x:v>
      </x:c>
      <x:c r="F451" s="14" t="n">
        <x:v>10</x:v>
      </x:c>
      <x:c r="G451" s="14" t="str">
        <x:v>12:40</x:v>
      </x:c>
      <x:c r="H451" s="14" t="str">
        <x:v>研究生宿舍楼</x:v>
      </x:c>
      <x:c r="I451" s="14" t="str">
        <x:v>否</x:v>
      </x:c>
      <x:c r="J451" s="14" t="n">
        <x:v>11</x:v>
      </x:c>
      <x:c r="K451" s="14" t="str">
        <x:v>5号宿舍楼</x:v>
      </x:c>
      <x:c r="L451" s="14" t="n">
        <x:v>14</x:v>
      </x:c>
      <x:c r="M451" s="14" t="str">
        <x:v>12:54</x:v>
      </x:c>
      <x:c r="N451" s="14" t="str">
        <x:v>否</x:v>
      </x:c>
      <x:c r="O451" s="14" t="str">
        <x:v>否</x:v>
      </x:c>
      <x:c r="P451" s="14" t="str">
        <x:v>未提供</x:v>
      </x:c>
      <x:c r="Q451" s="14" t="str">
        <x:v>未提供</x:v>
      </x:c>
      <x:c r="R451" s="14" t="str">
        <x:v>预测</x:v>
      </x:c>
      <x:c r="S451" s="14" t="str">
        <x:v>到站时间为估算值</x:v>
      </x:c>
      <x:c r="T451" t="str">
        <x:v>研究生宿舍楼发车</x:v>
      </x:c>
    </x:row>
    <x:row r="452">
      <x:c r="A452" s="14" t="str">
        <x:v>S0036-12</x:v>
      </x:c>
      <x:c r="B452" s="14" t="str">
        <x:v>S0036</x:v>
      </x:c>
      <x:c r="C452" s="14" t="str">
        <x:v>工作日</x:v>
      </x:c>
      <x:c r="D452" s="14" t="str">
        <x:v>环线1路</x:v>
      </x:c>
      <x:c r="E452" s="14" t="str">
        <x:v>第二班</x:v>
      </x:c>
      <x:c r="F452" s="14" t="n">
        <x:v>10</x:v>
      </x:c>
      <x:c r="G452" s="14" t="str">
        <x:v>12:40</x:v>
      </x:c>
      <x:c r="H452" s="14" t="str">
        <x:v>研究生宿舍楼</x:v>
      </x:c>
      <x:c r="I452" s="14" t="str">
        <x:v>否</x:v>
      </x:c>
      <x:c r="J452" s="14" t="n">
        <x:v>12</x:v>
      </x:c>
      <x:c r="K452" s="14" t="str">
        <x:v>305教学楼</x:v>
      </x:c>
      <x:c r="L452" s="14" t="n">
        <x:v>15</x:v>
      </x:c>
      <x:c r="M452" s="14" t="str">
        <x:v>12:55</x:v>
      </x:c>
      <x:c r="N452" s="14" t="str">
        <x:v>否</x:v>
      </x:c>
      <x:c r="O452" s="14" t="str">
        <x:v>否</x:v>
      </x:c>
      <x:c r="P452" s="14" t="str">
        <x:v>未提供</x:v>
      </x:c>
      <x:c r="Q452" s="14" t="str">
        <x:v>未提供</x:v>
      </x:c>
      <x:c r="R452" s="14" t="str">
        <x:v>预测</x:v>
      </x:c>
      <x:c r="S452" s="14" t="str">
        <x:v>到站时间为估算值</x:v>
      </x:c>
      <x:c r="T452" t="str">
        <x:v>研究生宿舍楼发车</x:v>
      </x:c>
    </x:row>
    <x:row r="453">
      <x:c r="A453" s="14" t="str">
        <x:v>S0036-13</x:v>
      </x:c>
      <x:c r="B453" s="14" t="str">
        <x:v>S0036</x:v>
      </x:c>
      <x:c r="C453" s="14" t="str">
        <x:v>工作日</x:v>
      </x:c>
      <x:c r="D453" s="14" t="str">
        <x:v>环线1路</x:v>
      </x:c>
      <x:c r="E453" s="14" t="str">
        <x:v>第二班</x:v>
      </x:c>
      <x:c r="F453" s="14" t="n">
        <x:v>10</x:v>
      </x:c>
      <x:c r="G453" s="14" t="str">
        <x:v>12:40</x:v>
      </x:c>
      <x:c r="H453" s="14" t="str">
        <x:v>研究生宿舍楼</x:v>
      </x:c>
      <x:c r="I453" s="14" t="str">
        <x:v>否</x:v>
      </x:c>
      <x:c r="J453" s="14" t="n">
        <x:v>13</x:v>
      </x:c>
      <x:c r="K453" s="14" t="str">
        <x:v>研究生宿舍楼</x:v>
      </x:c>
      <x:c r="L453" s="14" t="n">
        <x:v>17</x:v>
      </x:c>
      <x:c r="M453" s="14" t="str">
        <x:v>12:57</x:v>
      </x:c>
      <x:c r="N453" s="14" t="str">
        <x:v>否</x:v>
      </x:c>
      <x:c r="O453" s="14" t="str">
        <x:v>是</x:v>
      </x:c>
      <x:c r="P453" s="14" t="str">
        <x:v>未提供</x:v>
      </x:c>
      <x:c r="Q453" s="14" t="str">
        <x:v>未提供</x:v>
      </x:c>
      <x:c r="R453" s="14" t="str">
        <x:v>预测</x:v>
      </x:c>
      <x:c r="S453" s="14" t="str">
        <x:v>到站时间为估算值</x:v>
      </x:c>
      <x:c r="T453" t="str">
        <x:v>研究生宿舍楼发车</x:v>
      </x:c>
    </x:row>
    <x:row r="454">
      <x:c r="A454" s="14" t="str">
        <x:v>S0037-01</x:v>
      </x:c>
      <x:c r="B454" s="14" t="str">
        <x:v>S0037</x:v>
      </x:c>
      <x:c r="C454" s="14" t="str">
        <x:v>工作日</x:v>
      </x:c>
      <x:c r="D454" s="14" t="str">
        <x:v>环线1路</x:v>
      </x:c>
      <x:c r="E454" s="14" t="str">
        <x:v>第二班</x:v>
      </x:c>
      <x:c r="F454" s="14" t="n">
        <x:v>11</x:v>
      </x:c>
      <x:c r="G454" s="14" t="str">
        <x:v>14:12</x:v>
      </x:c>
      <x:c r="H454" s="14" t="str">
        <x:v>研究生宿舍楼</x:v>
      </x:c>
      <x:c r="I454" s="14" t="str">
        <x:v>否</x:v>
      </x:c>
      <x:c r="J454" s="14" t="n">
        <x:v>1</x:v>
      </x:c>
      <x:c r="K454" s="14" t="str">
        <x:v>研究生宿舍楼</x:v>
      </x:c>
      <x:c r="L454" s="14" t="n">
        <x:v>0</x:v>
      </x:c>
      <x:c r="M454" s="14" t="str">
        <x:v>14:12</x:v>
      </x:c>
      <x:c r="N454" s="14" t="str">
        <x:v>是</x:v>
      </x:c>
      <x:c r="O454" s="14" t="str">
        <x:v>否</x:v>
      </x:c>
      <x:c r="P454" s="14" t="str">
        <x:v>未提供</x:v>
      </x:c>
      <x:c r="Q454" s="14" t="str">
        <x:v>未提供</x:v>
      </x:c>
      <x:c r="R454" s="14" t="str">
        <x:v>预测</x:v>
      </x:c>
      <x:c r="S454" s="14" t="str">
        <x:v>到站时间为估算值</x:v>
      </x:c>
      <x:c r="T454" t="str">
        <x:v>研究生宿舍楼发车</x:v>
      </x:c>
    </x:row>
    <x:row r="455">
      <x:c r="A455" s="14" t="str">
        <x:v>S0037-02</x:v>
      </x:c>
      <x:c r="B455" s="14" t="str">
        <x:v>S0037</x:v>
      </x:c>
      <x:c r="C455" s="14" t="str">
        <x:v>工作日</x:v>
      </x:c>
      <x:c r="D455" s="14" t="str">
        <x:v>环线1路</x:v>
      </x:c>
      <x:c r="E455" s="14" t="str">
        <x:v>第二班</x:v>
      </x:c>
      <x:c r="F455" s="14" t="n">
        <x:v>11</x:v>
      </x:c>
      <x:c r="G455" s="14" t="str">
        <x:v>14:12</x:v>
      </x:c>
      <x:c r="H455" s="14" t="str">
        <x:v>研究生宿舍楼</x:v>
      </x:c>
      <x:c r="I455" s="14" t="str">
        <x:v>否</x:v>
      </x:c>
      <x:c r="J455" s="14" t="n">
        <x:v>2</x:v>
      </x:c>
      <x:c r="K455" s="14" t="str">
        <x:v>东门</x:v>
      </x:c>
      <x:c r="L455" s="14" t="n">
        <x:v>1</x:v>
      </x:c>
      <x:c r="M455" s="14" t="str">
        <x:v>14:13</x:v>
      </x:c>
      <x:c r="N455" s="14" t="str">
        <x:v>否</x:v>
      </x:c>
      <x:c r="O455" s="14" t="str">
        <x:v>否</x:v>
      </x:c>
      <x:c r="P455" s="14" t="str">
        <x:v>未提供</x:v>
      </x:c>
      <x:c r="Q455" s="14" t="str">
        <x:v>未提供</x:v>
      </x:c>
      <x:c r="R455" s="14" t="str">
        <x:v>预测</x:v>
      </x:c>
      <x:c r="S455" s="14" t="str">
        <x:v>到站时间为估算值</x:v>
      </x:c>
      <x:c r="T455" t="str">
        <x:v>研究生宿舍楼发车</x:v>
      </x:c>
    </x:row>
    <x:row r="456">
      <x:c r="A456" s="14" t="str">
        <x:v>S0037-03</x:v>
      </x:c>
      <x:c r="B456" s="14" t="str">
        <x:v>S0037</x:v>
      </x:c>
      <x:c r="C456" s="14" t="str">
        <x:v>工作日</x:v>
      </x:c>
      <x:c r="D456" s="14" t="str">
        <x:v>环线1路</x:v>
      </x:c>
      <x:c r="E456" s="14" t="str">
        <x:v>第二班</x:v>
      </x:c>
      <x:c r="F456" s="14" t="n">
        <x:v>11</x:v>
      </x:c>
      <x:c r="G456" s="14" t="str">
        <x:v>14:12</x:v>
      </x:c>
      <x:c r="H456" s="14" t="str">
        <x:v>研究生宿舍楼</x:v>
      </x:c>
      <x:c r="I456" s="14" t="str">
        <x:v>否</x:v>
      </x:c>
      <x:c r="J456" s="14" t="n">
        <x:v>3</x:v>
      </x:c>
      <x:c r="K456" s="14" t="str">
        <x:v>2号宿舍楼</x:v>
      </x:c>
      <x:c r="L456" s="14" t="n">
        <x:v>2</x:v>
      </x:c>
      <x:c r="M456" s="14" t="str">
        <x:v>14:14</x:v>
      </x:c>
      <x:c r="N456" s="14" t="str">
        <x:v>否</x:v>
      </x:c>
      <x:c r="O456" s="14" t="str">
        <x:v>否</x:v>
      </x:c>
      <x:c r="P456" s="14" t="str">
        <x:v>未提供</x:v>
      </x:c>
      <x:c r="Q456" s="14" t="str">
        <x:v>未提供</x:v>
      </x:c>
      <x:c r="R456" s="14" t="str">
        <x:v>预测</x:v>
      </x:c>
      <x:c r="S456" s="14" t="str">
        <x:v>到站时间为估算值</x:v>
      </x:c>
      <x:c r="T456" t="str">
        <x:v>研究生宿舍楼发车</x:v>
      </x:c>
    </x:row>
    <x:row r="457">
      <x:c r="A457" s="14" t="str">
        <x:v>S0037-04</x:v>
      </x:c>
      <x:c r="B457" s="14" t="str">
        <x:v>S0037</x:v>
      </x:c>
      <x:c r="C457" s="14" t="str">
        <x:v>工作日</x:v>
      </x:c>
      <x:c r="D457" s="14" t="str">
        <x:v>环线1路</x:v>
      </x:c>
      <x:c r="E457" s="14" t="str">
        <x:v>第二班</x:v>
      </x:c>
      <x:c r="F457" s="14" t="n">
        <x:v>11</x:v>
      </x:c>
      <x:c r="G457" s="14" t="str">
        <x:v>14:12</x:v>
      </x:c>
      <x:c r="H457" s="14" t="str">
        <x:v>研究生宿舍楼</x:v>
      </x:c>
      <x:c r="I457" s="14" t="str">
        <x:v>否</x:v>
      </x:c>
      <x:c r="J457" s="14" t="n">
        <x:v>4</x:v>
      </x:c>
      <x:c r="K457" s="14" t="str">
        <x:v>军体活动中心</x:v>
      </x:c>
      <x:c r="L457" s="14" t="n">
        <x:v>3</x:v>
      </x:c>
      <x:c r="M457" s="14" t="str">
        <x:v>14:15</x:v>
      </x:c>
      <x:c r="N457" s="14" t="str">
        <x:v>否</x:v>
      </x:c>
      <x:c r="O457" s="14" t="str">
        <x:v>否</x:v>
      </x:c>
      <x:c r="P457" s="14" t="str">
        <x:v>未提供</x:v>
      </x:c>
      <x:c r="Q457" s="14" t="str">
        <x:v>未提供</x:v>
      </x:c>
      <x:c r="R457" s="14" t="str">
        <x:v>预测</x:v>
      </x:c>
      <x:c r="S457" s="14" t="str">
        <x:v>到站时间为估算值</x:v>
      </x:c>
      <x:c r="T457" t="str">
        <x:v>研究生宿舍楼发车</x:v>
      </x:c>
    </x:row>
    <x:row r="458">
      <x:c r="A458" s="14" t="str">
        <x:v>S0037-05</x:v>
      </x:c>
      <x:c r="B458" s="14" t="str">
        <x:v>S0037</x:v>
      </x:c>
      <x:c r="C458" s="14" t="str">
        <x:v>工作日</x:v>
      </x:c>
      <x:c r="D458" s="14" t="str">
        <x:v>环线1路</x:v>
      </x:c>
      <x:c r="E458" s="14" t="str">
        <x:v>第二班</x:v>
      </x:c>
      <x:c r="F458" s="14" t="n">
        <x:v>11</x:v>
      </x:c>
      <x:c r="G458" s="14" t="str">
        <x:v>14:12</x:v>
      </x:c>
      <x:c r="H458" s="14" t="str">
        <x:v>研究生宿舍楼</x:v>
      </x:c>
      <x:c r="I458" s="14" t="str">
        <x:v>否</x:v>
      </x:c>
      <x:c r="J458" s="14" t="n">
        <x:v>5</x:v>
      </x:c>
      <x:c r="K458" s="14" t="str">
        <x:v>激光所</x:v>
      </x:c>
      <x:c r="L458" s="14" t="n">
        <x:v>5</x:v>
      </x:c>
      <x:c r="M458" s="14" t="str">
        <x:v>14:17</x:v>
      </x:c>
      <x:c r="N458" s="14" t="str">
        <x:v>否</x:v>
      </x:c>
      <x:c r="O458" s="14" t="str">
        <x:v>否</x:v>
      </x:c>
      <x:c r="P458" s="14" t="str">
        <x:v>未提供</x:v>
      </x:c>
      <x:c r="Q458" s="14" t="str">
        <x:v>未提供</x:v>
      </x:c>
      <x:c r="R458" s="14" t="str">
        <x:v>预测</x:v>
      </x:c>
      <x:c r="S458" s="14" t="str">
        <x:v>到站时间为估算值</x:v>
      </x:c>
      <x:c r="T458" t="str">
        <x:v>研究生宿舍楼发车</x:v>
      </x:c>
    </x:row>
    <x:row r="459">
      <x:c r="A459" s="14" t="str">
        <x:v>S0037-06</x:v>
      </x:c>
      <x:c r="B459" s="14" t="str">
        <x:v>S0037</x:v>
      </x:c>
      <x:c r="C459" s="14" t="str">
        <x:v>工作日</x:v>
      </x:c>
      <x:c r="D459" s="14" t="str">
        <x:v>环线1路</x:v>
      </x:c>
      <x:c r="E459" s="14" t="str">
        <x:v>第二班</x:v>
      </x:c>
      <x:c r="F459" s="14" t="n">
        <x:v>11</x:v>
      </x:c>
      <x:c r="G459" s="14" t="str">
        <x:v>14:12</x:v>
      </x:c>
      <x:c r="H459" s="14" t="str">
        <x:v>研究生宿舍楼</x:v>
      </x:c>
      <x:c r="I459" s="14" t="str">
        <x:v>否</x:v>
      </x:c>
      <x:c r="J459" s="14" t="n">
        <x:v>6</x:v>
      </x:c>
      <x:c r="K459" s="14" t="str">
        <x:v>超算中心</x:v>
      </x:c>
      <x:c r="L459" s="14" t="n">
        <x:v>6</x:v>
      </x:c>
      <x:c r="M459" s="14" t="str">
        <x:v>14:18</x:v>
      </x:c>
      <x:c r="N459" s="14" t="str">
        <x:v>否</x:v>
      </x:c>
      <x:c r="O459" s="14" t="str">
        <x:v>否</x:v>
      </x:c>
      <x:c r="P459" s="14" t="str">
        <x:v>未提供</x:v>
      </x:c>
      <x:c r="Q459" s="14" t="str">
        <x:v>未提供</x:v>
      </x:c>
      <x:c r="R459" s="14" t="str">
        <x:v>预测</x:v>
      </x:c>
      <x:c r="S459" s="14" t="str">
        <x:v>到站时间为估算值</x:v>
      </x:c>
      <x:c r="T459" t="str">
        <x:v>研究生宿舍楼发车</x:v>
      </x:c>
    </x:row>
    <x:row r="460">
      <x:c r="A460" s="14" t="str">
        <x:v>S0037-07</x:v>
      </x:c>
      <x:c r="B460" s="14" t="str">
        <x:v>S0037</x:v>
      </x:c>
      <x:c r="C460" s="14" t="str">
        <x:v>工作日</x:v>
      </x:c>
      <x:c r="D460" s="14" t="str">
        <x:v>环线1路</x:v>
      </x:c>
      <x:c r="E460" s="14" t="str">
        <x:v>第二班</x:v>
      </x:c>
      <x:c r="F460" s="14" t="n">
        <x:v>11</x:v>
      </x:c>
      <x:c r="G460" s="14" t="str">
        <x:v>14:12</x:v>
      </x:c>
      <x:c r="H460" s="14" t="str">
        <x:v>研究生宿舍楼</x:v>
      </x:c>
      <x:c r="I460" s="14" t="str">
        <x:v>否</x:v>
      </x:c>
      <x:c r="J460" s="14" t="n">
        <x:v>7</x:v>
      </x:c>
      <x:c r="K460" s="14" t="str">
        <x:v>北门</x:v>
      </x:c>
      <x:c r="L460" s="14" t="n">
        <x:v>8</x:v>
      </x:c>
      <x:c r="M460" s="14" t="str">
        <x:v>14:20</x:v>
      </x:c>
      <x:c r="N460" s="14" t="str">
        <x:v>否</x:v>
      </x:c>
      <x:c r="O460" s="14" t="str">
        <x:v>否</x:v>
      </x:c>
      <x:c r="P460" s="14" t="str">
        <x:v>未提供</x:v>
      </x:c>
      <x:c r="Q460" s="14" t="str">
        <x:v>未提供</x:v>
      </x:c>
      <x:c r="R460" s="14" t="str">
        <x:v>预测</x:v>
      </x:c>
      <x:c r="S460" s="14" t="str">
        <x:v>到站时间为估算值</x:v>
      </x:c>
      <x:c r="T460" t="str">
        <x:v>研究生宿舍楼发车</x:v>
      </x:c>
    </x:row>
    <x:row r="461">
      <x:c r="A461" s="14" t="str">
        <x:v>S0037-08</x:v>
      </x:c>
      <x:c r="B461" s="14" t="str">
        <x:v>S0037</x:v>
      </x:c>
      <x:c r="C461" s="14" t="str">
        <x:v>工作日</x:v>
      </x:c>
      <x:c r="D461" s="14" t="str">
        <x:v>环线1路</x:v>
      </x:c>
      <x:c r="E461" s="14" t="str">
        <x:v>第二班</x:v>
      </x:c>
      <x:c r="F461" s="14" t="n">
        <x:v>11</x:v>
      </x:c>
      <x:c r="G461" s="14" t="str">
        <x:v>14:12</x:v>
      </x:c>
      <x:c r="H461" s="14" t="str">
        <x:v>研究生宿舍楼</x:v>
      </x:c>
      <x:c r="I461" s="14" t="str">
        <x:v>否</x:v>
      </x:c>
      <x:c r="J461" s="14" t="n">
        <x:v>8</x:v>
      </x:c>
      <x:c r="K461" s="14" t="str">
        <x:v>高超楼</x:v>
      </x:c>
      <x:c r="L461" s="14" t="n">
        <x:v>9</x:v>
      </x:c>
      <x:c r="M461" s="14" t="str">
        <x:v>14:21</x:v>
      </x:c>
      <x:c r="N461" s="14" t="str">
        <x:v>否</x:v>
      </x:c>
      <x:c r="O461" s="14" t="str">
        <x:v>否</x:v>
      </x:c>
      <x:c r="P461" s="14" t="str">
        <x:v>未提供</x:v>
      </x:c>
      <x:c r="Q461" s="14" t="str">
        <x:v>未提供</x:v>
      </x:c>
      <x:c r="R461" s="14" t="str">
        <x:v>预测</x:v>
      </x:c>
      <x:c r="S461" s="14" t="str">
        <x:v>到站时间为估算值</x:v>
      </x:c>
      <x:c r="T461" t="str">
        <x:v>研究生宿舍楼发车</x:v>
      </x:c>
    </x:row>
    <x:row r="462">
      <x:c r="A462" s="14" t="str">
        <x:v>S0037-09</x:v>
      </x:c>
      <x:c r="B462" s="14" t="str">
        <x:v>S0037</x:v>
      </x:c>
      <x:c r="C462" s="14" t="str">
        <x:v>工作日</x:v>
      </x:c>
      <x:c r="D462" s="14" t="str">
        <x:v>环线1路</x:v>
      </x:c>
      <x:c r="E462" s="14" t="str">
        <x:v>第二班</x:v>
      </x:c>
      <x:c r="F462" s="14" t="n">
        <x:v>11</x:v>
      </x:c>
      <x:c r="G462" s="14" t="str">
        <x:v>14:12</x:v>
      </x:c>
      <x:c r="H462" s="14" t="str">
        <x:v>研究生宿舍楼</x:v>
      </x:c>
      <x:c r="I462" s="14" t="str">
        <x:v>否</x:v>
      </x:c>
      <x:c r="J462" s="14" t="n">
        <x:v>9</x:v>
      </x:c>
      <x:c r="K462" s="14" t="str">
        <x:v>理学院</x:v>
      </x:c>
      <x:c r="L462" s="14" t="n">
        <x:v>10</x:v>
      </x:c>
      <x:c r="M462" s="14" t="str">
        <x:v>14:22</x:v>
      </x:c>
      <x:c r="N462" s="14" t="str">
        <x:v>否</x:v>
      </x:c>
      <x:c r="O462" s="14" t="str">
        <x:v>否</x:v>
      </x:c>
      <x:c r="P462" s="14" t="str">
        <x:v>未提供</x:v>
      </x:c>
      <x:c r="Q462" s="14" t="str">
        <x:v>未提供</x:v>
      </x:c>
      <x:c r="R462" s="14" t="str">
        <x:v>预测</x:v>
      </x:c>
      <x:c r="S462" s="14" t="str">
        <x:v>到站时间为估算值</x:v>
      </x:c>
      <x:c r="T462" t="str">
        <x:v>研究生宿舍楼发车</x:v>
      </x:c>
    </x:row>
    <x:row r="463">
      <x:c r="A463" s="14" t="str">
        <x:v>S0037-10</x:v>
      </x:c>
      <x:c r="B463" s="14" t="str">
        <x:v>S0037</x:v>
      </x:c>
      <x:c r="C463" s="14" t="str">
        <x:v>工作日</x:v>
      </x:c>
      <x:c r="D463" s="14" t="str">
        <x:v>环线1路</x:v>
      </x:c>
      <x:c r="E463" s="14" t="str">
        <x:v>第二班</x:v>
      </x:c>
      <x:c r="F463" s="14" t="n">
        <x:v>11</x:v>
      </x:c>
      <x:c r="G463" s="14" t="str">
        <x:v>14:12</x:v>
      </x:c>
      <x:c r="H463" s="14" t="str">
        <x:v>研究生宿舍楼</x:v>
      </x:c>
      <x:c r="I463" s="14" t="str">
        <x:v>否</x:v>
      </x:c>
      <x:c r="J463" s="14" t="n">
        <x:v>10</x:v>
      </x:c>
      <x:c r="K463" s="14" t="str">
        <x:v>二食堂</x:v>
      </x:c>
      <x:c r="L463" s="14" t="n">
        <x:v>13</x:v>
      </x:c>
      <x:c r="M463" s="14" t="str">
        <x:v>14:25</x:v>
      </x:c>
      <x:c r="N463" s="14" t="str">
        <x:v>否</x:v>
      </x:c>
      <x:c r="O463" s="14" t="str">
        <x:v>否</x:v>
      </x:c>
      <x:c r="P463" s="14" t="str">
        <x:v>未提供</x:v>
      </x:c>
      <x:c r="Q463" s="14" t="str">
        <x:v>未提供</x:v>
      </x:c>
      <x:c r="R463" s="14" t="str">
        <x:v>预测</x:v>
      </x:c>
      <x:c r="S463" s="14" t="str">
        <x:v>到站时间为估算值</x:v>
      </x:c>
      <x:c r="T463" t="str">
        <x:v>研究生宿舍楼发车</x:v>
      </x:c>
    </x:row>
    <x:row r="464">
      <x:c r="A464" s="14" t="str">
        <x:v>S0037-11</x:v>
      </x:c>
      <x:c r="B464" s="14" t="str">
        <x:v>S0037</x:v>
      </x:c>
      <x:c r="C464" s="14" t="str">
        <x:v>工作日</x:v>
      </x:c>
      <x:c r="D464" s="14" t="str">
        <x:v>环线1路</x:v>
      </x:c>
      <x:c r="E464" s="14" t="str">
        <x:v>第二班</x:v>
      </x:c>
      <x:c r="F464" s="14" t="n">
        <x:v>11</x:v>
      </x:c>
      <x:c r="G464" s="14" t="str">
        <x:v>14:12</x:v>
      </x:c>
      <x:c r="H464" s="14" t="str">
        <x:v>研究生宿舍楼</x:v>
      </x:c>
      <x:c r="I464" s="14" t="str">
        <x:v>否</x:v>
      </x:c>
      <x:c r="J464" s="14" t="n">
        <x:v>11</x:v>
      </x:c>
      <x:c r="K464" s="14" t="str">
        <x:v>5号宿舍楼</x:v>
      </x:c>
      <x:c r="L464" s="14" t="n">
        <x:v>14</x:v>
      </x:c>
      <x:c r="M464" s="14" t="str">
        <x:v>14:26</x:v>
      </x:c>
      <x:c r="N464" s="14" t="str">
        <x:v>否</x:v>
      </x:c>
      <x:c r="O464" s="14" t="str">
        <x:v>否</x:v>
      </x:c>
      <x:c r="P464" s="14" t="str">
        <x:v>未提供</x:v>
      </x:c>
      <x:c r="Q464" s="14" t="str">
        <x:v>未提供</x:v>
      </x:c>
      <x:c r="R464" s="14" t="str">
        <x:v>预测</x:v>
      </x:c>
      <x:c r="S464" s="14" t="str">
        <x:v>到站时间为估算值</x:v>
      </x:c>
      <x:c r="T464" t="str">
        <x:v>研究生宿舍楼发车</x:v>
      </x:c>
    </x:row>
    <x:row r="465">
      <x:c r="A465" s="14" t="str">
        <x:v>S0037-12</x:v>
      </x:c>
      <x:c r="B465" s="14" t="str">
        <x:v>S0037</x:v>
      </x:c>
      <x:c r="C465" s="14" t="str">
        <x:v>工作日</x:v>
      </x:c>
      <x:c r="D465" s="14" t="str">
        <x:v>环线1路</x:v>
      </x:c>
      <x:c r="E465" s="14" t="str">
        <x:v>第二班</x:v>
      </x:c>
      <x:c r="F465" s="14" t="n">
        <x:v>11</x:v>
      </x:c>
      <x:c r="G465" s="14" t="str">
        <x:v>14:12</x:v>
      </x:c>
      <x:c r="H465" s="14" t="str">
        <x:v>研究生宿舍楼</x:v>
      </x:c>
      <x:c r="I465" s="14" t="str">
        <x:v>否</x:v>
      </x:c>
      <x:c r="J465" s="14" t="n">
        <x:v>12</x:v>
      </x:c>
      <x:c r="K465" s="14" t="str">
        <x:v>305教学楼</x:v>
      </x:c>
      <x:c r="L465" s="14" t="n">
        <x:v>15</x:v>
      </x:c>
      <x:c r="M465" s="14" t="str">
        <x:v>14:27</x:v>
      </x:c>
      <x:c r="N465" s="14" t="str">
        <x:v>否</x:v>
      </x:c>
      <x:c r="O465" s="14" t="str">
        <x:v>否</x:v>
      </x:c>
      <x:c r="P465" s="14" t="str">
        <x:v>未提供</x:v>
      </x:c>
      <x:c r="Q465" s="14" t="str">
        <x:v>未提供</x:v>
      </x:c>
      <x:c r="R465" s="14" t="str">
        <x:v>预测</x:v>
      </x:c>
      <x:c r="S465" s="14" t="str">
        <x:v>到站时间为估算值</x:v>
      </x:c>
      <x:c r="T465" t="str">
        <x:v>研究生宿舍楼发车</x:v>
      </x:c>
    </x:row>
    <x:row r="466">
      <x:c r="A466" s="14" t="str">
        <x:v>S0037-13</x:v>
      </x:c>
      <x:c r="B466" s="14" t="str">
        <x:v>S0037</x:v>
      </x:c>
      <x:c r="C466" s="14" t="str">
        <x:v>工作日</x:v>
      </x:c>
      <x:c r="D466" s="14" t="str">
        <x:v>环线1路</x:v>
      </x:c>
      <x:c r="E466" s="14" t="str">
        <x:v>第二班</x:v>
      </x:c>
      <x:c r="F466" s="14" t="n">
        <x:v>11</x:v>
      </x:c>
      <x:c r="G466" s="14" t="str">
        <x:v>14:12</x:v>
      </x:c>
      <x:c r="H466" s="14" t="str">
        <x:v>研究生宿舍楼</x:v>
      </x:c>
      <x:c r="I466" s="14" t="str">
        <x:v>否</x:v>
      </x:c>
      <x:c r="J466" s="14" t="n">
        <x:v>13</x:v>
      </x:c>
      <x:c r="K466" s="14" t="str">
        <x:v>研究生宿舍楼</x:v>
      </x:c>
      <x:c r="L466" s="14" t="n">
        <x:v>17</x:v>
      </x:c>
      <x:c r="M466" s="14" t="str">
        <x:v>14:29</x:v>
      </x:c>
      <x:c r="N466" s="14" t="str">
        <x:v>否</x:v>
      </x:c>
      <x:c r="O466" s="14" t="str">
        <x:v>是</x:v>
      </x:c>
      <x:c r="P466" s="14" t="str">
        <x:v>未提供</x:v>
      </x:c>
      <x:c r="Q466" s="14" t="str">
        <x:v>未提供</x:v>
      </x:c>
      <x:c r="R466" s="14" t="str">
        <x:v>预测</x:v>
      </x:c>
      <x:c r="S466" s="14" t="str">
        <x:v>到站时间为估算值</x:v>
      </x:c>
      <x:c r="T466" t="str">
        <x:v>研究生宿舍楼发车</x:v>
      </x:c>
    </x:row>
    <x:row r="467">
      <x:c r="A467" s="14" t="str">
        <x:v>S0038-01</x:v>
      </x:c>
      <x:c r="B467" s="14" t="str">
        <x:v>S0038</x:v>
      </x:c>
      <x:c r="C467" s="14" t="str">
        <x:v>工作日</x:v>
      </x:c>
      <x:c r="D467" s="14" t="str">
        <x:v>环线1路</x:v>
      </x:c>
      <x:c r="E467" s="14" t="str">
        <x:v>第二班</x:v>
      </x:c>
      <x:c r="F467" s="14" t="n">
        <x:v>12</x:v>
      </x:c>
      <x:c r="G467" s="14" t="str">
        <x:v>14:48</x:v>
      </x:c>
      <x:c r="H467" s="14" t="str">
        <x:v>研究生宿舍楼</x:v>
      </x:c>
      <x:c r="I467" s="14" t="str">
        <x:v>否</x:v>
      </x:c>
      <x:c r="J467" s="14" t="n">
        <x:v>1</x:v>
      </x:c>
      <x:c r="K467" s="14" t="str">
        <x:v>研究生宿舍楼</x:v>
      </x:c>
      <x:c r="L467" s="14" t="n">
        <x:v>0</x:v>
      </x:c>
      <x:c r="M467" s="14" t="str">
        <x:v>14:48</x:v>
      </x:c>
      <x:c r="N467" s="14" t="str">
        <x:v>是</x:v>
      </x:c>
      <x:c r="O467" s="14" t="str">
        <x:v>否</x:v>
      </x:c>
      <x:c r="P467" s="14" t="str">
        <x:v>未提供</x:v>
      </x:c>
      <x:c r="Q467" s="14" t="str">
        <x:v>未提供</x:v>
      </x:c>
      <x:c r="R467" s="14" t="str">
        <x:v>预测</x:v>
      </x:c>
      <x:c r="S467" s="14" t="str">
        <x:v>到站时间为估算值</x:v>
      </x:c>
      <x:c r="T467" t="str">
        <x:v>研究生宿舍楼发车</x:v>
      </x:c>
    </x:row>
    <x:row r="468">
      <x:c r="A468" s="14" t="str">
        <x:v>S0038-02</x:v>
      </x:c>
      <x:c r="B468" s="14" t="str">
        <x:v>S0038</x:v>
      </x:c>
      <x:c r="C468" s="14" t="str">
        <x:v>工作日</x:v>
      </x:c>
      <x:c r="D468" s="14" t="str">
        <x:v>环线1路</x:v>
      </x:c>
      <x:c r="E468" s="14" t="str">
        <x:v>第二班</x:v>
      </x:c>
      <x:c r="F468" s="14" t="n">
        <x:v>12</x:v>
      </x:c>
      <x:c r="G468" s="14" t="str">
        <x:v>14:48</x:v>
      </x:c>
      <x:c r="H468" s="14" t="str">
        <x:v>研究生宿舍楼</x:v>
      </x:c>
      <x:c r="I468" s="14" t="str">
        <x:v>否</x:v>
      </x:c>
      <x:c r="J468" s="14" t="n">
        <x:v>2</x:v>
      </x:c>
      <x:c r="K468" s="14" t="str">
        <x:v>东门</x:v>
      </x:c>
      <x:c r="L468" s="14" t="n">
        <x:v>1</x:v>
      </x:c>
      <x:c r="M468" s="14" t="str">
        <x:v>14:49</x:v>
      </x:c>
      <x:c r="N468" s="14" t="str">
        <x:v>否</x:v>
      </x:c>
      <x:c r="O468" s="14" t="str">
        <x:v>否</x:v>
      </x:c>
      <x:c r="P468" s="14" t="str">
        <x:v>未提供</x:v>
      </x:c>
      <x:c r="Q468" s="14" t="str">
        <x:v>未提供</x:v>
      </x:c>
      <x:c r="R468" s="14" t="str">
        <x:v>预测</x:v>
      </x:c>
      <x:c r="S468" s="14" t="str">
        <x:v>到站时间为估算值</x:v>
      </x:c>
      <x:c r="T468" t="str">
        <x:v>研究生宿舍楼发车</x:v>
      </x:c>
    </x:row>
    <x:row r="469">
      <x:c r="A469" s="14" t="str">
        <x:v>S0038-03</x:v>
      </x:c>
      <x:c r="B469" s="14" t="str">
        <x:v>S0038</x:v>
      </x:c>
      <x:c r="C469" s="14" t="str">
        <x:v>工作日</x:v>
      </x:c>
      <x:c r="D469" s="14" t="str">
        <x:v>环线1路</x:v>
      </x:c>
      <x:c r="E469" s="14" t="str">
        <x:v>第二班</x:v>
      </x:c>
      <x:c r="F469" s="14" t="n">
        <x:v>12</x:v>
      </x:c>
      <x:c r="G469" s="14" t="str">
        <x:v>14:48</x:v>
      </x:c>
      <x:c r="H469" s="14" t="str">
        <x:v>研究生宿舍楼</x:v>
      </x:c>
      <x:c r="I469" s="14" t="str">
        <x:v>否</x:v>
      </x:c>
      <x:c r="J469" s="14" t="n">
        <x:v>3</x:v>
      </x:c>
      <x:c r="K469" s="14" t="str">
        <x:v>2号宿舍楼</x:v>
      </x:c>
      <x:c r="L469" s="14" t="n">
        <x:v>2</x:v>
      </x:c>
      <x:c r="M469" s="14" t="str">
        <x:v>14:50</x:v>
      </x:c>
      <x:c r="N469" s="14" t="str">
        <x:v>否</x:v>
      </x:c>
      <x:c r="O469" s="14" t="str">
        <x:v>否</x:v>
      </x:c>
      <x:c r="P469" s="14" t="str">
        <x:v>未提供</x:v>
      </x:c>
      <x:c r="Q469" s="14" t="str">
        <x:v>未提供</x:v>
      </x:c>
      <x:c r="R469" s="14" t="str">
        <x:v>预测</x:v>
      </x:c>
      <x:c r="S469" s="14" t="str">
        <x:v>到站时间为估算值</x:v>
      </x:c>
      <x:c r="T469" t="str">
        <x:v>研究生宿舍楼发车</x:v>
      </x:c>
    </x:row>
    <x:row r="470">
      <x:c r="A470" s="14" t="str">
        <x:v>S0038-04</x:v>
      </x:c>
      <x:c r="B470" s="14" t="str">
        <x:v>S0038</x:v>
      </x:c>
      <x:c r="C470" s="14" t="str">
        <x:v>工作日</x:v>
      </x:c>
      <x:c r="D470" s="14" t="str">
        <x:v>环线1路</x:v>
      </x:c>
      <x:c r="E470" s="14" t="str">
        <x:v>第二班</x:v>
      </x:c>
      <x:c r="F470" s="14" t="n">
        <x:v>12</x:v>
      </x:c>
      <x:c r="G470" s="14" t="str">
        <x:v>14:48</x:v>
      </x:c>
      <x:c r="H470" s="14" t="str">
        <x:v>研究生宿舍楼</x:v>
      </x:c>
      <x:c r="I470" s="14" t="str">
        <x:v>否</x:v>
      </x:c>
      <x:c r="J470" s="14" t="n">
        <x:v>4</x:v>
      </x:c>
      <x:c r="K470" s="14" t="str">
        <x:v>军体活动中心</x:v>
      </x:c>
      <x:c r="L470" s="14" t="n">
        <x:v>3</x:v>
      </x:c>
      <x:c r="M470" s="14" t="str">
        <x:v>14:51</x:v>
      </x:c>
      <x:c r="N470" s="14" t="str">
        <x:v>否</x:v>
      </x:c>
      <x:c r="O470" s="14" t="str">
        <x:v>否</x:v>
      </x:c>
      <x:c r="P470" s="14" t="str">
        <x:v>未提供</x:v>
      </x:c>
      <x:c r="Q470" s="14" t="str">
        <x:v>未提供</x:v>
      </x:c>
      <x:c r="R470" s="14" t="str">
        <x:v>预测</x:v>
      </x:c>
      <x:c r="S470" s="14" t="str">
        <x:v>到站时间为估算值</x:v>
      </x:c>
      <x:c r="T470" t="str">
        <x:v>研究生宿舍楼发车</x:v>
      </x:c>
    </x:row>
    <x:row r="471">
      <x:c r="A471" s="14" t="str">
        <x:v>S0038-05</x:v>
      </x:c>
      <x:c r="B471" s="14" t="str">
        <x:v>S0038</x:v>
      </x:c>
      <x:c r="C471" s="14" t="str">
        <x:v>工作日</x:v>
      </x:c>
      <x:c r="D471" s="14" t="str">
        <x:v>环线1路</x:v>
      </x:c>
      <x:c r="E471" s="14" t="str">
        <x:v>第二班</x:v>
      </x:c>
      <x:c r="F471" s="14" t="n">
        <x:v>12</x:v>
      </x:c>
      <x:c r="G471" s="14" t="str">
        <x:v>14:48</x:v>
      </x:c>
      <x:c r="H471" s="14" t="str">
        <x:v>研究生宿舍楼</x:v>
      </x:c>
      <x:c r="I471" s="14" t="str">
        <x:v>否</x:v>
      </x:c>
      <x:c r="J471" s="14" t="n">
        <x:v>5</x:v>
      </x:c>
      <x:c r="K471" s="14" t="str">
        <x:v>激光所</x:v>
      </x:c>
      <x:c r="L471" s="14" t="n">
        <x:v>5</x:v>
      </x:c>
      <x:c r="M471" s="14" t="str">
        <x:v>14:53</x:v>
      </x:c>
      <x:c r="N471" s="14" t="str">
        <x:v>否</x:v>
      </x:c>
      <x:c r="O471" s="14" t="str">
        <x:v>否</x:v>
      </x:c>
      <x:c r="P471" s="14" t="str">
        <x:v>未提供</x:v>
      </x:c>
      <x:c r="Q471" s="14" t="str">
        <x:v>未提供</x:v>
      </x:c>
      <x:c r="R471" s="14" t="str">
        <x:v>预测</x:v>
      </x:c>
      <x:c r="S471" s="14" t="str">
        <x:v>到站时间为估算值</x:v>
      </x:c>
      <x:c r="T471" t="str">
        <x:v>研究生宿舍楼发车</x:v>
      </x:c>
    </x:row>
    <x:row r="472">
      <x:c r="A472" s="14" t="str">
        <x:v>S0038-06</x:v>
      </x:c>
      <x:c r="B472" s="14" t="str">
        <x:v>S0038</x:v>
      </x:c>
      <x:c r="C472" s="14" t="str">
        <x:v>工作日</x:v>
      </x:c>
      <x:c r="D472" s="14" t="str">
        <x:v>环线1路</x:v>
      </x:c>
      <x:c r="E472" s="14" t="str">
        <x:v>第二班</x:v>
      </x:c>
      <x:c r="F472" s="14" t="n">
        <x:v>12</x:v>
      </x:c>
      <x:c r="G472" s="14" t="str">
        <x:v>14:48</x:v>
      </x:c>
      <x:c r="H472" s="14" t="str">
        <x:v>研究生宿舍楼</x:v>
      </x:c>
      <x:c r="I472" s="14" t="str">
        <x:v>否</x:v>
      </x:c>
      <x:c r="J472" s="14" t="n">
        <x:v>6</x:v>
      </x:c>
      <x:c r="K472" s="14" t="str">
        <x:v>超算中心</x:v>
      </x:c>
      <x:c r="L472" s="14" t="n">
        <x:v>6</x:v>
      </x:c>
      <x:c r="M472" s="14" t="str">
        <x:v>14:54</x:v>
      </x:c>
      <x:c r="N472" s="14" t="str">
        <x:v>否</x:v>
      </x:c>
      <x:c r="O472" s="14" t="str">
        <x:v>否</x:v>
      </x:c>
      <x:c r="P472" s="14" t="str">
        <x:v>未提供</x:v>
      </x:c>
      <x:c r="Q472" s="14" t="str">
        <x:v>未提供</x:v>
      </x:c>
      <x:c r="R472" s="14" t="str">
        <x:v>预测</x:v>
      </x:c>
      <x:c r="S472" s="14" t="str">
        <x:v>到站时间为估算值</x:v>
      </x:c>
      <x:c r="T472" t="str">
        <x:v>研究生宿舍楼发车</x:v>
      </x:c>
    </x:row>
    <x:row r="473">
      <x:c r="A473" s="14" t="str">
        <x:v>S0038-07</x:v>
      </x:c>
      <x:c r="B473" s="14" t="str">
        <x:v>S0038</x:v>
      </x:c>
      <x:c r="C473" s="14" t="str">
        <x:v>工作日</x:v>
      </x:c>
      <x:c r="D473" s="14" t="str">
        <x:v>环线1路</x:v>
      </x:c>
      <x:c r="E473" s="14" t="str">
        <x:v>第二班</x:v>
      </x:c>
      <x:c r="F473" s="14" t="n">
        <x:v>12</x:v>
      </x:c>
      <x:c r="G473" s="14" t="str">
        <x:v>14:48</x:v>
      </x:c>
      <x:c r="H473" s="14" t="str">
        <x:v>研究生宿舍楼</x:v>
      </x:c>
      <x:c r="I473" s="14" t="str">
        <x:v>否</x:v>
      </x:c>
      <x:c r="J473" s="14" t="n">
        <x:v>7</x:v>
      </x:c>
      <x:c r="K473" s="14" t="str">
        <x:v>北门</x:v>
      </x:c>
      <x:c r="L473" s="14" t="n">
        <x:v>8</x:v>
      </x:c>
      <x:c r="M473" s="14" t="str">
        <x:v>14:56</x:v>
      </x:c>
      <x:c r="N473" s="14" t="str">
        <x:v>否</x:v>
      </x:c>
      <x:c r="O473" s="14" t="str">
        <x:v>否</x:v>
      </x:c>
      <x:c r="P473" s="14" t="str">
        <x:v>未提供</x:v>
      </x:c>
      <x:c r="Q473" s="14" t="str">
        <x:v>未提供</x:v>
      </x:c>
      <x:c r="R473" s="14" t="str">
        <x:v>预测</x:v>
      </x:c>
      <x:c r="S473" s="14" t="str">
        <x:v>到站时间为估算值</x:v>
      </x:c>
      <x:c r="T473" t="str">
        <x:v>研究生宿舍楼发车</x:v>
      </x:c>
    </x:row>
    <x:row r="474">
      <x:c r="A474" s="14" t="str">
        <x:v>S0038-08</x:v>
      </x:c>
      <x:c r="B474" s="14" t="str">
        <x:v>S0038</x:v>
      </x:c>
      <x:c r="C474" s="14" t="str">
        <x:v>工作日</x:v>
      </x:c>
      <x:c r="D474" s="14" t="str">
        <x:v>环线1路</x:v>
      </x:c>
      <x:c r="E474" s="14" t="str">
        <x:v>第二班</x:v>
      </x:c>
      <x:c r="F474" s="14" t="n">
        <x:v>12</x:v>
      </x:c>
      <x:c r="G474" s="14" t="str">
        <x:v>14:48</x:v>
      </x:c>
      <x:c r="H474" s="14" t="str">
        <x:v>研究生宿舍楼</x:v>
      </x:c>
      <x:c r="I474" s="14" t="str">
        <x:v>否</x:v>
      </x:c>
      <x:c r="J474" s="14" t="n">
        <x:v>8</x:v>
      </x:c>
      <x:c r="K474" s="14" t="str">
        <x:v>高超楼</x:v>
      </x:c>
      <x:c r="L474" s="14" t="n">
        <x:v>9</x:v>
      </x:c>
      <x:c r="M474" s="14" t="str">
        <x:v>14:57</x:v>
      </x:c>
      <x:c r="N474" s="14" t="str">
        <x:v>否</x:v>
      </x:c>
      <x:c r="O474" s="14" t="str">
        <x:v>否</x:v>
      </x:c>
      <x:c r="P474" s="14" t="str">
        <x:v>未提供</x:v>
      </x:c>
      <x:c r="Q474" s="14" t="str">
        <x:v>未提供</x:v>
      </x:c>
      <x:c r="R474" s="14" t="str">
        <x:v>预测</x:v>
      </x:c>
      <x:c r="S474" s="14" t="str">
        <x:v>到站时间为估算值</x:v>
      </x:c>
      <x:c r="T474" t="str">
        <x:v>研究生宿舍楼发车</x:v>
      </x:c>
    </x:row>
    <x:row r="475">
      <x:c r="A475" s="14" t="str">
        <x:v>S0038-09</x:v>
      </x:c>
      <x:c r="B475" s="14" t="str">
        <x:v>S0038</x:v>
      </x:c>
      <x:c r="C475" s="14" t="str">
        <x:v>工作日</x:v>
      </x:c>
      <x:c r="D475" s="14" t="str">
        <x:v>环线1路</x:v>
      </x:c>
      <x:c r="E475" s="14" t="str">
        <x:v>第二班</x:v>
      </x:c>
      <x:c r="F475" s="14" t="n">
        <x:v>12</x:v>
      </x:c>
      <x:c r="G475" s="14" t="str">
        <x:v>14:48</x:v>
      </x:c>
      <x:c r="H475" s="14" t="str">
        <x:v>研究生宿舍楼</x:v>
      </x:c>
      <x:c r="I475" s="14" t="str">
        <x:v>否</x:v>
      </x:c>
      <x:c r="J475" s="14" t="n">
        <x:v>9</x:v>
      </x:c>
      <x:c r="K475" s="14" t="str">
        <x:v>理学院</x:v>
      </x:c>
      <x:c r="L475" s="14" t="n">
        <x:v>10</x:v>
      </x:c>
      <x:c r="M475" s="14" t="str">
        <x:v>14:58</x:v>
      </x:c>
      <x:c r="N475" s="14" t="str">
        <x:v>否</x:v>
      </x:c>
      <x:c r="O475" s="14" t="str">
        <x:v>否</x:v>
      </x:c>
      <x:c r="P475" s="14" t="str">
        <x:v>未提供</x:v>
      </x:c>
      <x:c r="Q475" s="14" t="str">
        <x:v>未提供</x:v>
      </x:c>
      <x:c r="R475" s="14" t="str">
        <x:v>预测</x:v>
      </x:c>
      <x:c r="S475" s="14" t="str">
        <x:v>到站时间为估算值</x:v>
      </x:c>
      <x:c r="T475" t="str">
        <x:v>研究生宿舍楼发车</x:v>
      </x:c>
    </x:row>
    <x:row r="476">
      <x:c r="A476" s="14" t="str">
        <x:v>S0038-10</x:v>
      </x:c>
      <x:c r="B476" s="14" t="str">
        <x:v>S0038</x:v>
      </x:c>
      <x:c r="C476" s="14" t="str">
        <x:v>工作日</x:v>
      </x:c>
      <x:c r="D476" s="14" t="str">
        <x:v>环线1路</x:v>
      </x:c>
      <x:c r="E476" s="14" t="str">
        <x:v>第二班</x:v>
      </x:c>
      <x:c r="F476" s="14" t="n">
        <x:v>12</x:v>
      </x:c>
      <x:c r="G476" s="14" t="str">
        <x:v>14:48</x:v>
      </x:c>
      <x:c r="H476" s="14" t="str">
        <x:v>研究生宿舍楼</x:v>
      </x:c>
      <x:c r="I476" s="14" t="str">
        <x:v>否</x:v>
      </x:c>
      <x:c r="J476" s="14" t="n">
        <x:v>10</x:v>
      </x:c>
      <x:c r="K476" s="14" t="str">
        <x:v>二食堂</x:v>
      </x:c>
      <x:c r="L476" s="14" t="n">
        <x:v>13</x:v>
      </x:c>
      <x:c r="M476" s="14" t="str">
        <x:v>15:01</x:v>
      </x:c>
      <x:c r="N476" s="14" t="str">
        <x:v>否</x:v>
      </x:c>
      <x:c r="O476" s="14" t="str">
        <x:v>否</x:v>
      </x:c>
      <x:c r="P476" s="14" t="str">
        <x:v>未提供</x:v>
      </x:c>
      <x:c r="Q476" s="14" t="str">
        <x:v>未提供</x:v>
      </x:c>
      <x:c r="R476" s="14" t="str">
        <x:v>预测</x:v>
      </x:c>
      <x:c r="S476" s="14" t="str">
        <x:v>到站时间为估算值</x:v>
      </x:c>
      <x:c r="T476" t="str">
        <x:v>研究生宿舍楼发车</x:v>
      </x:c>
    </x:row>
    <x:row r="477">
      <x:c r="A477" s="14" t="str">
        <x:v>S0038-11</x:v>
      </x:c>
      <x:c r="B477" s="14" t="str">
        <x:v>S0038</x:v>
      </x:c>
      <x:c r="C477" s="14" t="str">
        <x:v>工作日</x:v>
      </x:c>
      <x:c r="D477" s="14" t="str">
        <x:v>环线1路</x:v>
      </x:c>
      <x:c r="E477" s="14" t="str">
        <x:v>第二班</x:v>
      </x:c>
      <x:c r="F477" s="14" t="n">
        <x:v>12</x:v>
      </x:c>
      <x:c r="G477" s="14" t="str">
        <x:v>14:48</x:v>
      </x:c>
      <x:c r="H477" s="14" t="str">
        <x:v>研究生宿舍楼</x:v>
      </x:c>
      <x:c r="I477" s="14" t="str">
        <x:v>否</x:v>
      </x:c>
      <x:c r="J477" s="14" t="n">
        <x:v>11</x:v>
      </x:c>
      <x:c r="K477" s="14" t="str">
        <x:v>5号宿舍楼</x:v>
      </x:c>
      <x:c r="L477" s="14" t="n">
        <x:v>14</x:v>
      </x:c>
      <x:c r="M477" s="14" t="str">
        <x:v>15:02</x:v>
      </x:c>
      <x:c r="N477" s="14" t="str">
        <x:v>否</x:v>
      </x:c>
      <x:c r="O477" s="14" t="str">
        <x:v>否</x:v>
      </x:c>
      <x:c r="P477" s="14" t="str">
        <x:v>未提供</x:v>
      </x:c>
      <x:c r="Q477" s="14" t="str">
        <x:v>未提供</x:v>
      </x:c>
      <x:c r="R477" s="14" t="str">
        <x:v>预测</x:v>
      </x:c>
      <x:c r="S477" s="14" t="str">
        <x:v>到站时间为估算值</x:v>
      </x:c>
      <x:c r="T477" t="str">
        <x:v>研究生宿舍楼发车</x:v>
      </x:c>
    </x:row>
    <x:row r="478">
      <x:c r="A478" s="14" t="str">
        <x:v>S0038-12</x:v>
      </x:c>
      <x:c r="B478" s="14" t="str">
        <x:v>S0038</x:v>
      </x:c>
      <x:c r="C478" s="14" t="str">
        <x:v>工作日</x:v>
      </x:c>
      <x:c r="D478" s="14" t="str">
        <x:v>环线1路</x:v>
      </x:c>
      <x:c r="E478" s="14" t="str">
        <x:v>第二班</x:v>
      </x:c>
      <x:c r="F478" s="14" t="n">
        <x:v>12</x:v>
      </x:c>
      <x:c r="G478" s="14" t="str">
        <x:v>14:48</x:v>
      </x:c>
      <x:c r="H478" s="14" t="str">
        <x:v>研究生宿舍楼</x:v>
      </x:c>
      <x:c r="I478" s="14" t="str">
        <x:v>否</x:v>
      </x:c>
      <x:c r="J478" s="14" t="n">
        <x:v>12</x:v>
      </x:c>
      <x:c r="K478" s="14" t="str">
        <x:v>305教学楼</x:v>
      </x:c>
      <x:c r="L478" s="14" t="n">
        <x:v>15</x:v>
      </x:c>
      <x:c r="M478" s="14" t="str">
        <x:v>15:03</x:v>
      </x:c>
      <x:c r="N478" s="14" t="str">
        <x:v>否</x:v>
      </x:c>
      <x:c r="O478" s="14" t="str">
        <x:v>否</x:v>
      </x:c>
      <x:c r="P478" s="14" t="str">
        <x:v>未提供</x:v>
      </x:c>
      <x:c r="Q478" s="14" t="str">
        <x:v>未提供</x:v>
      </x:c>
      <x:c r="R478" s="14" t="str">
        <x:v>预测</x:v>
      </x:c>
      <x:c r="S478" s="14" t="str">
        <x:v>到站时间为估算值</x:v>
      </x:c>
      <x:c r="T478" t="str">
        <x:v>研究生宿舍楼发车</x:v>
      </x:c>
    </x:row>
    <x:row r="479">
      <x:c r="A479" s="14" t="str">
        <x:v>S0038-13</x:v>
      </x:c>
      <x:c r="B479" s="14" t="str">
        <x:v>S0038</x:v>
      </x:c>
      <x:c r="C479" s="14" t="str">
        <x:v>工作日</x:v>
      </x:c>
      <x:c r="D479" s="14" t="str">
        <x:v>环线1路</x:v>
      </x:c>
      <x:c r="E479" s="14" t="str">
        <x:v>第二班</x:v>
      </x:c>
      <x:c r="F479" s="14" t="n">
        <x:v>12</x:v>
      </x:c>
      <x:c r="G479" s="14" t="str">
        <x:v>14:48</x:v>
      </x:c>
      <x:c r="H479" s="14" t="str">
        <x:v>研究生宿舍楼</x:v>
      </x:c>
      <x:c r="I479" s="14" t="str">
        <x:v>否</x:v>
      </x:c>
      <x:c r="J479" s="14" t="n">
        <x:v>13</x:v>
      </x:c>
      <x:c r="K479" s="14" t="str">
        <x:v>研究生宿舍楼</x:v>
      </x:c>
      <x:c r="L479" s="14" t="n">
        <x:v>17</x:v>
      </x:c>
      <x:c r="M479" s="14" t="str">
        <x:v>15:05</x:v>
      </x:c>
      <x:c r="N479" s="14" t="str">
        <x:v>否</x:v>
      </x:c>
      <x:c r="O479" s="14" t="str">
        <x:v>是</x:v>
      </x:c>
      <x:c r="P479" s="14" t="str">
        <x:v>未提供</x:v>
      </x:c>
      <x:c r="Q479" s="14" t="str">
        <x:v>未提供</x:v>
      </x:c>
      <x:c r="R479" s="14" t="str">
        <x:v>预测</x:v>
      </x:c>
      <x:c r="S479" s="14" t="str">
        <x:v>到站时间为估算值</x:v>
      </x:c>
      <x:c r="T479" t="str">
        <x:v>研究生宿舍楼发车</x:v>
      </x:c>
    </x:row>
    <x:row r="480">
      <x:c r="A480" s="14" t="str">
        <x:v>S0039-01</x:v>
      </x:c>
      <x:c r="B480" s="14" t="str">
        <x:v>S0039</x:v>
      </x:c>
      <x:c r="C480" s="14" t="str">
        <x:v>工作日</x:v>
      </x:c>
      <x:c r="D480" s="14" t="str">
        <x:v>环线1路</x:v>
      </x:c>
      <x:c r="E480" s="14" t="str">
        <x:v>第二班</x:v>
      </x:c>
      <x:c r="F480" s="14" t="n">
        <x:v>13</x:v>
      </x:c>
      <x:c r="G480" s="14" t="str">
        <x:v>15:40</x:v>
      </x:c>
      <x:c r="H480" s="14" t="str">
        <x:v>研究生宿舍楼</x:v>
      </x:c>
      <x:c r="I480" s="14" t="str">
        <x:v>否</x:v>
      </x:c>
      <x:c r="J480" s="14" t="n">
        <x:v>1</x:v>
      </x:c>
      <x:c r="K480" s="14" t="str">
        <x:v>研究生宿舍楼</x:v>
      </x:c>
      <x:c r="L480" s="14" t="n">
        <x:v>0</x:v>
      </x:c>
      <x:c r="M480" s="14" t="str">
        <x:v>15:40</x:v>
      </x:c>
      <x:c r="N480" s="14" t="str">
        <x:v>是</x:v>
      </x:c>
      <x:c r="O480" s="14" t="str">
        <x:v>否</x:v>
      </x:c>
      <x:c r="P480" s="14" t="str">
        <x:v>未提供</x:v>
      </x:c>
      <x:c r="Q480" s="14" t="str">
        <x:v>未提供</x:v>
      </x:c>
      <x:c r="R480" s="14" t="str">
        <x:v>预测</x:v>
      </x:c>
      <x:c r="S480" s="14" t="str">
        <x:v>到站时间为估算值</x:v>
      </x:c>
      <x:c r="T480" t="str">
        <x:v>研究生宿舍楼发车</x:v>
      </x:c>
    </x:row>
    <x:row r="481">
      <x:c r="A481" s="14" t="str">
        <x:v>S0039-02</x:v>
      </x:c>
      <x:c r="B481" s="14" t="str">
        <x:v>S0039</x:v>
      </x:c>
      <x:c r="C481" s="14" t="str">
        <x:v>工作日</x:v>
      </x:c>
      <x:c r="D481" s="14" t="str">
        <x:v>环线1路</x:v>
      </x:c>
      <x:c r="E481" s="14" t="str">
        <x:v>第二班</x:v>
      </x:c>
      <x:c r="F481" s="14" t="n">
        <x:v>13</x:v>
      </x:c>
      <x:c r="G481" s="14" t="str">
        <x:v>15:40</x:v>
      </x:c>
      <x:c r="H481" s="14" t="str">
        <x:v>研究生宿舍楼</x:v>
      </x:c>
      <x:c r="I481" s="14" t="str">
        <x:v>否</x:v>
      </x:c>
      <x:c r="J481" s="14" t="n">
        <x:v>2</x:v>
      </x:c>
      <x:c r="K481" s="14" t="str">
        <x:v>东门</x:v>
      </x:c>
      <x:c r="L481" s="14" t="n">
        <x:v>1</x:v>
      </x:c>
      <x:c r="M481" s="14" t="str">
        <x:v>15:41</x:v>
      </x:c>
      <x:c r="N481" s="14" t="str">
        <x:v>否</x:v>
      </x:c>
      <x:c r="O481" s="14" t="str">
        <x:v>否</x:v>
      </x:c>
      <x:c r="P481" s="14" t="str">
        <x:v>未提供</x:v>
      </x:c>
      <x:c r="Q481" s="14" t="str">
        <x:v>未提供</x:v>
      </x:c>
      <x:c r="R481" s="14" t="str">
        <x:v>预测</x:v>
      </x:c>
      <x:c r="S481" s="14" t="str">
        <x:v>到站时间为估算值</x:v>
      </x:c>
      <x:c r="T481" t="str">
        <x:v>研究生宿舍楼发车</x:v>
      </x:c>
    </x:row>
    <x:row r="482">
      <x:c r="A482" s="14" t="str">
        <x:v>S0039-03</x:v>
      </x:c>
      <x:c r="B482" s="14" t="str">
        <x:v>S0039</x:v>
      </x:c>
      <x:c r="C482" s="14" t="str">
        <x:v>工作日</x:v>
      </x:c>
      <x:c r="D482" s="14" t="str">
        <x:v>环线1路</x:v>
      </x:c>
      <x:c r="E482" s="14" t="str">
        <x:v>第二班</x:v>
      </x:c>
      <x:c r="F482" s="14" t="n">
        <x:v>13</x:v>
      </x:c>
      <x:c r="G482" s="14" t="str">
        <x:v>15:40</x:v>
      </x:c>
      <x:c r="H482" s="14" t="str">
        <x:v>研究生宿舍楼</x:v>
      </x:c>
      <x:c r="I482" s="14" t="str">
        <x:v>否</x:v>
      </x:c>
      <x:c r="J482" s="14" t="n">
        <x:v>3</x:v>
      </x:c>
      <x:c r="K482" s="14" t="str">
        <x:v>2号宿舍楼</x:v>
      </x:c>
      <x:c r="L482" s="14" t="n">
        <x:v>2</x:v>
      </x:c>
      <x:c r="M482" s="14" t="str">
        <x:v>15:42</x:v>
      </x:c>
      <x:c r="N482" s="14" t="str">
        <x:v>否</x:v>
      </x:c>
      <x:c r="O482" s="14" t="str">
        <x:v>否</x:v>
      </x:c>
      <x:c r="P482" s="14" t="str">
        <x:v>未提供</x:v>
      </x:c>
      <x:c r="Q482" s="14" t="str">
        <x:v>未提供</x:v>
      </x:c>
      <x:c r="R482" s="14" t="str">
        <x:v>预测</x:v>
      </x:c>
      <x:c r="S482" s="14" t="str">
        <x:v>到站时间为估算值</x:v>
      </x:c>
      <x:c r="T482" t="str">
        <x:v>研究生宿舍楼发车</x:v>
      </x:c>
    </x:row>
    <x:row r="483">
      <x:c r="A483" s="14" t="str">
        <x:v>S0039-04</x:v>
      </x:c>
      <x:c r="B483" s="14" t="str">
        <x:v>S0039</x:v>
      </x:c>
      <x:c r="C483" s="14" t="str">
        <x:v>工作日</x:v>
      </x:c>
      <x:c r="D483" s="14" t="str">
        <x:v>环线1路</x:v>
      </x:c>
      <x:c r="E483" s="14" t="str">
        <x:v>第二班</x:v>
      </x:c>
      <x:c r="F483" s="14" t="n">
        <x:v>13</x:v>
      </x:c>
      <x:c r="G483" s="14" t="str">
        <x:v>15:40</x:v>
      </x:c>
      <x:c r="H483" s="14" t="str">
        <x:v>研究生宿舍楼</x:v>
      </x:c>
      <x:c r="I483" s="14" t="str">
        <x:v>否</x:v>
      </x:c>
      <x:c r="J483" s="14" t="n">
        <x:v>4</x:v>
      </x:c>
      <x:c r="K483" s="14" t="str">
        <x:v>军体活动中心</x:v>
      </x:c>
      <x:c r="L483" s="14" t="n">
        <x:v>3</x:v>
      </x:c>
      <x:c r="M483" s="14" t="str">
        <x:v>15:43</x:v>
      </x:c>
      <x:c r="N483" s="14" t="str">
        <x:v>否</x:v>
      </x:c>
      <x:c r="O483" s="14" t="str">
        <x:v>否</x:v>
      </x:c>
      <x:c r="P483" s="14" t="str">
        <x:v>未提供</x:v>
      </x:c>
      <x:c r="Q483" s="14" t="str">
        <x:v>未提供</x:v>
      </x:c>
      <x:c r="R483" s="14" t="str">
        <x:v>预测</x:v>
      </x:c>
      <x:c r="S483" s="14" t="str">
        <x:v>到站时间为估算值</x:v>
      </x:c>
      <x:c r="T483" t="str">
        <x:v>研究生宿舍楼发车</x:v>
      </x:c>
    </x:row>
    <x:row r="484">
      <x:c r="A484" s="14" t="str">
        <x:v>S0039-05</x:v>
      </x:c>
      <x:c r="B484" s="14" t="str">
        <x:v>S0039</x:v>
      </x:c>
      <x:c r="C484" s="14" t="str">
        <x:v>工作日</x:v>
      </x:c>
      <x:c r="D484" s="14" t="str">
        <x:v>环线1路</x:v>
      </x:c>
      <x:c r="E484" s="14" t="str">
        <x:v>第二班</x:v>
      </x:c>
      <x:c r="F484" s="14" t="n">
        <x:v>13</x:v>
      </x:c>
      <x:c r="G484" s="14" t="str">
        <x:v>15:40</x:v>
      </x:c>
      <x:c r="H484" s="14" t="str">
        <x:v>研究生宿舍楼</x:v>
      </x:c>
      <x:c r="I484" s="14" t="str">
        <x:v>否</x:v>
      </x:c>
      <x:c r="J484" s="14" t="n">
        <x:v>5</x:v>
      </x:c>
      <x:c r="K484" s="14" t="str">
        <x:v>激光所</x:v>
      </x:c>
      <x:c r="L484" s="14" t="n">
        <x:v>5</x:v>
      </x:c>
      <x:c r="M484" s="14" t="str">
        <x:v>15:45</x:v>
      </x:c>
      <x:c r="N484" s="14" t="str">
        <x:v>否</x:v>
      </x:c>
      <x:c r="O484" s="14" t="str">
        <x:v>否</x:v>
      </x:c>
      <x:c r="P484" s="14" t="str">
        <x:v>未提供</x:v>
      </x:c>
      <x:c r="Q484" s="14" t="str">
        <x:v>未提供</x:v>
      </x:c>
      <x:c r="R484" s="14" t="str">
        <x:v>预测</x:v>
      </x:c>
      <x:c r="S484" s="14" t="str">
        <x:v>到站时间为估算值</x:v>
      </x:c>
      <x:c r="T484" t="str">
        <x:v>研究生宿舍楼发车</x:v>
      </x:c>
    </x:row>
    <x:row r="485">
      <x:c r="A485" s="14" t="str">
        <x:v>S0039-06</x:v>
      </x:c>
      <x:c r="B485" s="14" t="str">
        <x:v>S0039</x:v>
      </x:c>
      <x:c r="C485" s="14" t="str">
        <x:v>工作日</x:v>
      </x:c>
      <x:c r="D485" s="14" t="str">
        <x:v>环线1路</x:v>
      </x:c>
      <x:c r="E485" s="14" t="str">
        <x:v>第二班</x:v>
      </x:c>
      <x:c r="F485" s="14" t="n">
        <x:v>13</x:v>
      </x:c>
      <x:c r="G485" s="14" t="str">
        <x:v>15:40</x:v>
      </x:c>
      <x:c r="H485" s="14" t="str">
        <x:v>研究生宿舍楼</x:v>
      </x:c>
      <x:c r="I485" s="14" t="str">
        <x:v>否</x:v>
      </x:c>
      <x:c r="J485" s="14" t="n">
        <x:v>6</x:v>
      </x:c>
      <x:c r="K485" s="14" t="str">
        <x:v>超算中心</x:v>
      </x:c>
      <x:c r="L485" s="14" t="n">
        <x:v>6</x:v>
      </x:c>
      <x:c r="M485" s="14" t="str">
        <x:v>15:46</x:v>
      </x:c>
      <x:c r="N485" s="14" t="str">
        <x:v>否</x:v>
      </x:c>
      <x:c r="O485" s="14" t="str">
        <x:v>否</x:v>
      </x:c>
      <x:c r="P485" s="14" t="str">
        <x:v>未提供</x:v>
      </x:c>
      <x:c r="Q485" s="14" t="str">
        <x:v>未提供</x:v>
      </x:c>
      <x:c r="R485" s="14" t="str">
        <x:v>预测</x:v>
      </x:c>
      <x:c r="S485" s="14" t="str">
        <x:v>到站时间为估算值</x:v>
      </x:c>
      <x:c r="T485" t="str">
        <x:v>研究生宿舍楼发车</x:v>
      </x:c>
    </x:row>
    <x:row r="486">
      <x:c r="A486" s="14" t="str">
        <x:v>S0039-07</x:v>
      </x:c>
      <x:c r="B486" s="14" t="str">
        <x:v>S0039</x:v>
      </x:c>
      <x:c r="C486" s="14" t="str">
        <x:v>工作日</x:v>
      </x:c>
      <x:c r="D486" s="14" t="str">
        <x:v>环线1路</x:v>
      </x:c>
      <x:c r="E486" s="14" t="str">
        <x:v>第二班</x:v>
      </x:c>
      <x:c r="F486" s="14" t="n">
        <x:v>13</x:v>
      </x:c>
      <x:c r="G486" s="14" t="str">
        <x:v>15:40</x:v>
      </x:c>
      <x:c r="H486" s="14" t="str">
        <x:v>研究生宿舍楼</x:v>
      </x:c>
      <x:c r="I486" s="14" t="str">
        <x:v>否</x:v>
      </x:c>
      <x:c r="J486" s="14" t="n">
        <x:v>7</x:v>
      </x:c>
      <x:c r="K486" s="14" t="str">
        <x:v>北门</x:v>
      </x:c>
      <x:c r="L486" s="14" t="n">
        <x:v>8</x:v>
      </x:c>
      <x:c r="M486" s="14" t="str">
        <x:v>15:48</x:v>
      </x:c>
      <x:c r="N486" s="14" t="str">
        <x:v>否</x:v>
      </x:c>
      <x:c r="O486" s="14" t="str">
        <x:v>否</x:v>
      </x:c>
      <x:c r="P486" s="14" t="str">
        <x:v>未提供</x:v>
      </x:c>
      <x:c r="Q486" s="14" t="str">
        <x:v>未提供</x:v>
      </x:c>
      <x:c r="R486" s="14" t="str">
        <x:v>预测</x:v>
      </x:c>
      <x:c r="S486" s="14" t="str">
        <x:v>到站时间为估算值</x:v>
      </x:c>
      <x:c r="T486" t="str">
        <x:v>研究生宿舍楼发车</x:v>
      </x:c>
    </x:row>
    <x:row r="487">
      <x:c r="A487" s="14" t="str">
        <x:v>S0039-08</x:v>
      </x:c>
      <x:c r="B487" s="14" t="str">
        <x:v>S0039</x:v>
      </x:c>
      <x:c r="C487" s="14" t="str">
        <x:v>工作日</x:v>
      </x:c>
      <x:c r="D487" s="14" t="str">
        <x:v>环线1路</x:v>
      </x:c>
      <x:c r="E487" s="14" t="str">
        <x:v>第二班</x:v>
      </x:c>
      <x:c r="F487" s="14" t="n">
        <x:v>13</x:v>
      </x:c>
      <x:c r="G487" s="14" t="str">
        <x:v>15:40</x:v>
      </x:c>
      <x:c r="H487" s="14" t="str">
        <x:v>研究生宿舍楼</x:v>
      </x:c>
      <x:c r="I487" s="14" t="str">
        <x:v>否</x:v>
      </x:c>
      <x:c r="J487" s="14" t="n">
        <x:v>8</x:v>
      </x:c>
      <x:c r="K487" s="14" t="str">
        <x:v>高超楼</x:v>
      </x:c>
      <x:c r="L487" s="14" t="n">
        <x:v>9</x:v>
      </x:c>
      <x:c r="M487" s="14" t="str">
        <x:v>15:49</x:v>
      </x:c>
      <x:c r="N487" s="14" t="str">
        <x:v>否</x:v>
      </x:c>
      <x:c r="O487" s="14" t="str">
        <x:v>否</x:v>
      </x:c>
      <x:c r="P487" s="14" t="str">
        <x:v>未提供</x:v>
      </x:c>
      <x:c r="Q487" s="14" t="str">
        <x:v>未提供</x:v>
      </x:c>
      <x:c r="R487" s="14" t="str">
        <x:v>预测</x:v>
      </x:c>
      <x:c r="S487" s="14" t="str">
        <x:v>到站时间为估算值</x:v>
      </x:c>
      <x:c r="T487" t="str">
        <x:v>研究生宿舍楼发车</x:v>
      </x:c>
    </x:row>
    <x:row r="488">
      <x:c r="A488" s="14" t="str">
        <x:v>S0039-09</x:v>
      </x:c>
      <x:c r="B488" s="14" t="str">
        <x:v>S0039</x:v>
      </x:c>
      <x:c r="C488" s="14" t="str">
        <x:v>工作日</x:v>
      </x:c>
      <x:c r="D488" s="14" t="str">
        <x:v>环线1路</x:v>
      </x:c>
      <x:c r="E488" s="14" t="str">
        <x:v>第二班</x:v>
      </x:c>
      <x:c r="F488" s="14" t="n">
        <x:v>13</x:v>
      </x:c>
      <x:c r="G488" s="14" t="str">
        <x:v>15:40</x:v>
      </x:c>
      <x:c r="H488" s="14" t="str">
        <x:v>研究生宿舍楼</x:v>
      </x:c>
      <x:c r="I488" s="14" t="str">
        <x:v>否</x:v>
      </x:c>
      <x:c r="J488" s="14" t="n">
        <x:v>9</x:v>
      </x:c>
      <x:c r="K488" s="14" t="str">
        <x:v>理学院</x:v>
      </x:c>
      <x:c r="L488" s="14" t="n">
        <x:v>10</x:v>
      </x:c>
      <x:c r="M488" s="14" t="str">
        <x:v>15:50</x:v>
      </x:c>
      <x:c r="N488" s="14" t="str">
        <x:v>否</x:v>
      </x:c>
      <x:c r="O488" s="14" t="str">
        <x:v>否</x:v>
      </x:c>
      <x:c r="P488" s="14" t="str">
        <x:v>未提供</x:v>
      </x:c>
      <x:c r="Q488" s="14" t="str">
        <x:v>未提供</x:v>
      </x:c>
      <x:c r="R488" s="14" t="str">
        <x:v>预测</x:v>
      </x:c>
      <x:c r="S488" s="14" t="str">
        <x:v>到站时间为估算值</x:v>
      </x:c>
      <x:c r="T488" t="str">
        <x:v>研究生宿舍楼发车</x:v>
      </x:c>
    </x:row>
    <x:row r="489">
      <x:c r="A489" s="14" t="str">
        <x:v>S0039-10</x:v>
      </x:c>
      <x:c r="B489" s="14" t="str">
        <x:v>S0039</x:v>
      </x:c>
      <x:c r="C489" s="14" t="str">
        <x:v>工作日</x:v>
      </x:c>
      <x:c r="D489" s="14" t="str">
        <x:v>环线1路</x:v>
      </x:c>
      <x:c r="E489" s="14" t="str">
        <x:v>第二班</x:v>
      </x:c>
      <x:c r="F489" s="14" t="n">
        <x:v>13</x:v>
      </x:c>
      <x:c r="G489" s="14" t="str">
        <x:v>15:40</x:v>
      </x:c>
      <x:c r="H489" s="14" t="str">
        <x:v>研究生宿舍楼</x:v>
      </x:c>
      <x:c r="I489" s="14" t="str">
        <x:v>否</x:v>
      </x:c>
      <x:c r="J489" s="14" t="n">
        <x:v>10</x:v>
      </x:c>
      <x:c r="K489" s="14" t="str">
        <x:v>二食堂</x:v>
      </x:c>
      <x:c r="L489" s="14" t="n">
        <x:v>13</x:v>
      </x:c>
      <x:c r="M489" s="14" t="str">
        <x:v>15:53</x:v>
      </x:c>
      <x:c r="N489" s="14" t="str">
        <x:v>否</x:v>
      </x:c>
      <x:c r="O489" s="14" t="str">
        <x:v>否</x:v>
      </x:c>
      <x:c r="P489" s="14" t="str">
        <x:v>未提供</x:v>
      </x:c>
      <x:c r="Q489" s="14" t="str">
        <x:v>未提供</x:v>
      </x:c>
      <x:c r="R489" s="14" t="str">
        <x:v>预测</x:v>
      </x:c>
      <x:c r="S489" s="14" t="str">
        <x:v>到站时间为估算值</x:v>
      </x:c>
      <x:c r="T489" t="str">
        <x:v>研究生宿舍楼发车</x:v>
      </x:c>
    </x:row>
    <x:row r="490">
      <x:c r="A490" s="14" t="str">
        <x:v>S0039-11</x:v>
      </x:c>
      <x:c r="B490" s="14" t="str">
        <x:v>S0039</x:v>
      </x:c>
      <x:c r="C490" s="14" t="str">
        <x:v>工作日</x:v>
      </x:c>
      <x:c r="D490" s="14" t="str">
        <x:v>环线1路</x:v>
      </x:c>
      <x:c r="E490" s="14" t="str">
        <x:v>第二班</x:v>
      </x:c>
      <x:c r="F490" s="14" t="n">
        <x:v>13</x:v>
      </x:c>
      <x:c r="G490" s="14" t="str">
        <x:v>15:40</x:v>
      </x:c>
      <x:c r="H490" s="14" t="str">
        <x:v>研究生宿舍楼</x:v>
      </x:c>
      <x:c r="I490" s="14" t="str">
        <x:v>否</x:v>
      </x:c>
      <x:c r="J490" s="14" t="n">
        <x:v>11</x:v>
      </x:c>
      <x:c r="K490" s="14" t="str">
        <x:v>5号宿舍楼</x:v>
      </x:c>
      <x:c r="L490" s="14" t="n">
        <x:v>14</x:v>
      </x:c>
      <x:c r="M490" s="14" t="str">
        <x:v>15:54</x:v>
      </x:c>
      <x:c r="N490" s="14" t="str">
        <x:v>否</x:v>
      </x:c>
      <x:c r="O490" s="14" t="str">
        <x:v>否</x:v>
      </x:c>
      <x:c r="P490" s="14" t="str">
        <x:v>未提供</x:v>
      </x:c>
      <x:c r="Q490" s="14" t="str">
        <x:v>未提供</x:v>
      </x:c>
      <x:c r="R490" s="14" t="str">
        <x:v>预测</x:v>
      </x:c>
      <x:c r="S490" s="14" t="str">
        <x:v>到站时间为估算值</x:v>
      </x:c>
      <x:c r="T490" t="str">
        <x:v>研究生宿舍楼发车</x:v>
      </x:c>
    </x:row>
    <x:row r="491">
      <x:c r="A491" s="14" t="str">
        <x:v>S0039-12</x:v>
      </x:c>
      <x:c r="B491" s="14" t="str">
        <x:v>S0039</x:v>
      </x:c>
      <x:c r="C491" s="14" t="str">
        <x:v>工作日</x:v>
      </x:c>
      <x:c r="D491" s="14" t="str">
        <x:v>环线1路</x:v>
      </x:c>
      <x:c r="E491" s="14" t="str">
        <x:v>第二班</x:v>
      </x:c>
      <x:c r="F491" s="14" t="n">
        <x:v>13</x:v>
      </x:c>
      <x:c r="G491" s="14" t="str">
        <x:v>15:40</x:v>
      </x:c>
      <x:c r="H491" s="14" t="str">
        <x:v>研究生宿舍楼</x:v>
      </x:c>
      <x:c r="I491" s="14" t="str">
        <x:v>否</x:v>
      </x:c>
      <x:c r="J491" s="14" t="n">
        <x:v>12</x:v>
      </x:c>
      <x:c r="K491" s="14" t="str">
        <x:v>305教学楼</x:v>
      </x:c>
      <x:c r="L491" s="14" t="n">
        <x:v>15</x:v>
      </x:c>
      <x:c r="M491" s="14" t="str">
        <x:v>15:55</x:v>
      </x:c>
      <x:c r="N491" s="14" t="str">
        <x:v>否</x:v>
      </x:c>
      <x:c r="O491" s="14" t="str">
        <x:v>否</x:v>
      </x:c>
      <x:c r="P491" s="14" t="str">
        <x:v>未提供</x:v>
      </x:c>
      <x:c r="Q491" s="14" t="str">
        <x:v>未提供</x:v>
      </x:c>
      <x:c r="R491" s="14" t="str">
        <x:v>预测</x:v>
      </x:c>
      <x:c r="S491" s="14" t="str">
        <x:v>到站时间为估算值</x:v>
      </x:c>
      <x:c r="T491" t="str">
        <x:v>研究生宿舍楼发车</x:v>
      </x:c>
    </x:row>
    <x:row r="492">
      <x:c r="A492" s="14" t="str">
        <x:v>S0039-13</x:v>
      </x:c>
      <x:c r="B492" s="14" t="str">
        <x:v>S0039</x:v>
      </x:c>
      <x:c r="C492" s="14" t="str">
        <x:v>工作日</x:v>
      </x:c>
      <x:c r="D492" s="14" t="str">
        <x:v>环线1路</x:v>
      </x:c>
      <x:c r="E492" s="14" t="str">
        <x:v>第二班</x:v>
      </x:c>
      <x:c r="F492" s="14" t="n">
        <x:v>13</x:v>
      </x:c>
      <x:c r="G492" s="14" t="str">
        <x:v>15:40</x:v>
      </x:c>
      <x:c r="H492" s="14" t="str">
        <x:v>研究生宿舍楼</x:v>
      </x:c>
      <x:c r="I492" s="14" t="str">
        <x:v>否</x:v>
      </x:c>
      <x:c r="J492" s="14" t="n">
        <x:v>13</x:v>
      </x:c>
      <x:c r="K492" s="14" t="str">
        <x:v>研究生宿舍楼</x:v>
      </x:c>
      <x:c r="L492" s="14" t="n">
        <x:v>17</x:v>
      </x:c>
      <x:c r="M492" s="14" t="str">
        <x:v>15:57</x:v>
      </x:c>
      <x:c r="N492" s="14" t="str">
        <x:v>否</x:v>
      </x:c>
      <x:c r="O492" s="14" t="str">
        <x:v>是</x:v>
      </x:c>
      <x:c r="P492" s="14" t="str">
        <x:v>未提供</x:v>
      </x:c>
      <x:c r="Q492" s="14" t="str">
        <x:v>未提供</x:v>
      </x:c>
      <x:c r="R492" s="14" t="str">
        <x:v>预测</x:v>
      </x:c>
      <x:c r="S492" s="14" t="str">
        <x:v>到站时间为估算值</x:v>
      </x:c>
      <x:c r="T492" t="str">
        <x:v>研究生宿舍楼发车</x:v>
      </x:c>
    </x:row>
    <x:row r="493">
      <x:c r="A493" s="14" t="str">
        <x:v>S0040-01</x:v>
      </x:c>
      <x:c r="B493" s="14" t="str">
        <x:v>S0040</x:v>
      </x:c>
      <x:c r="C493" s="14" t="str">
        <x:v>工作日</x:v>
      </x:c>
      <x:c r="D493" s="14" t="str">
        <x:v>环线1路</x:v>
      </x:c>
      <x:c r="E493" s="14" t="str">
        <x:v>第二班</x:v>
      </x:c>
      <x:c r="F493" s="14" t="n">
        <x:v>14</x:v>
      </x:c>
      <x:c r="G493" s="14" t="str">
        <x:v>17:00</x:v>
      </x:c>
      <x:c r="H493" s="14" t="str">
        <x:v>研究生宿舍楼</x:v>
      </x:c>
      <x:c r="I493" s="14" t="str">
        <x:v>否</x:v>
      </x:c>
      <x:c r="J493" s="14" t="n">
        <x:v>1</x:v>
      </x:c>
      <x:c r="K493" s="14" t="str">
        <x:v>研究生宿舍楼</x:v>
      </x:c>
      <x:c r="L493" s="14" t="n">
        <x:v>0</x:v>
      </x:c>
      <x:c r="M493" s="14" t="str">
        <x:v>17:00</x:v>
      </x:c>
      <x:c r="N493" s="14" t="str">
        <x:v>是</x:v>
      </x:c>
      <x:c r="O493" s="14" t="str">
        <x:v>否</x:v>
      </x:c>
      <x:c r="P493" s="14" t="str">
        <x:v>未提供</x:v>
      </x:c>
      <x:c r="Q493" s="14" t="str">
        <x:v>未提供</x:v>
      </x:c>
      <x:c r="R493" s="14" t="str">
        <x:v>预测</x:v>
      </x:c>
      <x:c r="S493" s="14" t="str">
        <x:v>到站时间为估算值</x:v>
      </x:c>
      <x:c r="T493" t="str">
        <x:v>研究生宿舍楼发车</x:v>
      </x:c>
    </x:row>
    <x:row r="494">
      <x:c r="A494" s="14" t="str">
        <x:v>S0040-02</x:v>
      </x:c>
      <x:c r="B494" s="14" t="str">
        <x:v>S0040</x:v>
      </x:c>
      <x:c r="C494" s="14" t="str">
        <x:v>工作日</x:v>
      </x:c>
      <x:c r="D494" s="14" t="str">
        <x:v>环线1路</x:v>
      </x:c>
      <x:c r="E494" s="14" t="str">
        <x:v>第二班</x:v>
      </x:c>
      <x:c r="F494" s="14" t="n">
        <x:v>14</x:v>
      </x:c>
      <x:c r="G494" s="14" t="str">
        <x:v>17:00</x:v>
      </x:c>
      <x:c r="H494" s="14" t="str">
        <x:v>研究生宿舍楼</x:v>
      </x:c>
      <x:c r="I494" s="14" t="str">
        <x:v>否</x:v>
      </x:c>
      <x:c r="J494" s="14" t="n">
        <x:v>2</x:v>
      </x:c>
      <x:c r="K494" s="14" t="str">
        <x:v>东门</x:v>
      </x:c>
      <x:c r="L494" s="14" t="n">
        <x:v>1</x:v>
      </x:c>
      <x:c r="M494" s="14" t="str">
        <x:v>17:01</x:v>
      </x:c>
      <x:c r="N494" s="14" t="str">
        <x:v>否</x:v>
      </x:c>
      <x:c r="O494" s="14" t="str">
        <x:v>否</x:v>
      </x:c>
      <x:c r="P494" s="14" t="str">
        <x:v>未提供</x:v>
      </x:c>
      <x:c r="Q494" s="14" t="str">
        <x:v>未提供</x:v>
      </x:c>
      <x:c r="R494" s="14" t="str">
        <x:v>预测</x:v>
      </x:c>
      <x:c r="S494" s="14" t="str">
        <x:v>到站时间为估算值</x:v>
      </x:c>
      <x:c r="T494" t="str">
        <x:v>研究生宿舍楼发车</x:v>
      </x:c>
    </x:row>
    <x:row r="495">
      <x:c r="A495" s="14" t="str">
        <x:v>S0040-03</x:v>
      </x:c>
      <x:c r="B495" s="14" t="str">
        <x:v>S0040</x:v>
      </x:c>
      <x:c r="C495" s="14" t="str">
        <x:v>工作日</x:v>
      </x:c>
      <x:c r="D495" s="14" t="str">
        <x:v>环线1路</x:v>
      </x:c>
      <x:c r="E495" s="14" t="str">
        <x:v>第二班</x:v>
      </x:c>
      <x:c r="F495" s="14" t="n">
        <x:v>14</x:v>
      </x:c>
      <x:c r="G495" s="14" t="str">
        <x:v>17:00</x:v>
      </x:c>
      <x:c r="H495" s="14" t="str">
        <x:v>研究生宿舍楼</x:v>
      </x:c>
      <x:c r="I495" s="14" t="str">
        <x:v>否</x:v>
      </x:c>
      <x:c r="J495" s="14" t="n">
        <x:v>3</x:v>
      </x:c>
      <x:c r="K495" s="14" t="str">
        <x:v>2号宿舍楼</x:v>
      </x:c>
      <x:c r="L495" s="14" t="n">
        <x:v>2</x:v>
      </x:c>
      <x:c r="M495" s="14" t="str">
        <x:v>17:02</x:v>
      </x:c>
      <x:c r="N495" s="14" t="str">
        <x:v>否</x:v>
      </x:c>
      <x:c r="O495" s="14" t="str">
        <x:v>否</x:v>
      </x:c>
      <x:c r="P495" s="14" t="str">
        <x:v>未提供</x:v>
      </x:c>
      <x:c r="Q495" s="14" t="str">
        <x:v>未提供</x:v>
      </x:c>
      <x:c r="R495" s="14" t="str">
        <x:v>预测</x:v>
      </x:c>
      <x:c r="S495" s="14" t="str">
        <x:v>到站时间为估算值</x:v>
      </x:c>
      <x:c r="T495" t="str">
        <x:v>研究生宿舍楼发车</x:v>
      </x:c>
    </x:row>
    <x:row r="496">
      <x:c r="A496" s="14" t="str">
        <x:v>S0040-04</x:v>
      </x:c>
      <x:c r="B496" s="14" t="str">
        <x:v>S0040</x:v>
      </x:c>
      <x:c r="C496" s="14" t="str">
        <x:v>工作日</x:v>
      </x:c>
      <x:c r="D496" s="14" t="str">
        <x:v>环线1路</x:v>
      </x:c>
      <x:c r="E496" s="14" t="str">
        <x:v>第二班</x:v>
      </x:c>
      <x:c r="F496" s="14" t="n">
        <x:v>14</x:v>
      </x:c>
      <x:c r="G496" s="14" t="str">
        <x:v>17:00</x:v>
      </x:c>
      <x:c r="H496" s="14" t="str">
        <x:v>研究生宿舍楼</x:v>
      </x:c>
      <x:c r="I496" s="14" t="str">
        <x:v>否</x:v>
      </x:c>
      <x:c r="J496" s="14" t="n">
        <x:v>4</x:v>
      </x:c>
      <x:c r="K496" s="14" t="str">
        <x:v>军体活动中心</x:v>
      </x:c>
      <x:c r="L496" s="14" t="n">
        <x:v>3</x:v>
      </x:c>
      <x:c r="M496" s="14" t="str">
        <x:v>17:03</x:v>
      </x:c>
      <x:c r="N496" s="14" t="str">
        <x:v>否</x:v>
      </x:c>
      <x:c r="O496" s="14" t="str">
        <x:v>否</x:v>
      </x:c>
      <x:c r="P496" s="14" t="str">
        <x:v>未提供</x:v>
      </x:c>
      <x:c r="Q496" s="14" t="str">
        <x:v>未提供</x:v>
      </x:c>
      <x:c r="R496" s="14" t="str">
        <x:v>预测</x:v>
      </x:c>
      <x:c r="S496" s="14" t="str">
        <x:v>到站时间为估算值</x:v>
      </x:c>
      <x:c r="T496" t="str">
        <x:v>研究生宿舍楼发车</x:v>
      </x:c>
    </x:row>
    <x:row r="497">
      <x:c r="A497" s="14" t="str">
        <x:v>S0040-05</x:v>
      </x:c>
      <x:c r="B497" s="14" t="str">
        <x:v>S0040</x:v>
      </x:c>
      <x:c r="C497" s="14" t="str">
        <x:v>工作日</x:v>
      </x:c>
      <x:c r="D497" s="14" t="str">
        <x:v>环线1路</x:v>
      </x:c>
      <x:c r="E497" s="14" t="str">
        <x:v>第二班</x:v>
      </x:c>
      <x:c r="F497" s="14" t="n">
        <x:v>14</x:v>
      </x:c>
      <x:c r="G497" s="14" t="str">
        <x:v>17:00</x:v>
      </x:c>
      <x:c r="H497" s="14" t="str">
        <x:v>研究生宿舍楼</x:v>
      </x:c>
      <x:c r="I497" s="14" t="str">
        <x:v>否</x:v>
      </x:c>
      <x:c r="J497" s="14" t="n">
        <x:v>5</x:v>
      </x:c>
      <x:c r="K497" s="14" t="str">
        <x:v>激光所</x:v>
      </x:c>
      <x:c r="L497" s="14" t="n">
        <x:v>5</x:v>
      </x:c>
      <x:c r="M497" s="14" t="str">
        <x:v>17:05</x:v>
      </x:c>
      <x:c r="N497" s="14" t="str">
        <x:v>否</x:v>
      </x:c>
      <x:c r="O497" s="14" t="str">
        <x:v>否</x:v>
      </x:c>
      <x:c r="P497" s="14" t="str">
        <x:v>未提供</x:v>
      </x:c>
      <x:c r="Q497" s="14" t="str">
        <x:v>未提供</x:v>
      </x:c>
      <x:c r="R497" s="14" t="str">
        <x:v>预测</x:v>
      </x:c>
      <x:c r="S497" s="14" t="str">
        <x:v>到站时间为估算值</x:v>
      </x:c>
      <x:c r="T497" t="str">
        <x:v>研究生宿舍楼发车</x:v>
      </x:c>
    </x:row>
    <x:row r="498">
      <x:c r="A498" s="14" t="str">
        <x:v>S0040-06</x:v>
      </x:c>
      <x:c r="B498" s="14" t="str">
        <x:v>S0040</x:v>
      </x:c>
      <x:c r="C498" s="14" t="str">
        <x:v>工作日</x:v>
      </x:c>
      <x:c r="D498" s="14" t="str">
        <x:v>环线1路</x:v>
      </x:c>
      <x:c r="E498" s="14" t="str">
        <x:v>第二班</x:v>
      </x:c>
      <x:c r="F498" s="14" t="n">
        <x:v>14</x:v>
      </x:c>
      <x:c r="G498" s="14" t="str">
        <x:v>17:00</x:v>
      </x:c>
      <x:c r="H498" s="14" t="str">
        <x:v>研究生宿舍楼</x:v>
      </x:c>
      <x:c r="I498" s="14" t="str">
        <x:v>否</x:v>
      </x:c>
      <x:c r="J498" s="14" t="n">
        <x:v>6</x:v>
      </x:c>
      <x:c r="K498" s="14" t="str">
        <x:v>超算中心</x:v>
      </x:c>
      <x:c r="L498" s="14" t="n">
        <x:v>6</x:v>
      </x:c>
      <x:c r="M498" s="14" t="str">
        <x:v>17:06</x:v>
      </x:c>
      <x:c r="N498" s="14" t="str">
        <x:v>否</x:v>
      </x:c>
      <x:c r="O498" s="14" t="str">
        <x:v>否</x:v>
      </x:c>
      <x:c r="P498" s="14" t="str">
        <x:v>未提供</x:v>
      </x:c>
      <x:c r="Q498" s="14" t="str">
        <x:v>未提供</x:v>
      </x:c>
      <x:c r="R498" s="14" t="str">
        <x:v>预测</x:v>
      </x:c>
      <x:c r="S498" s="14" t="str">
        <x:v>到站时间为估算值</x:v>
      </x:c>
      <x:c r="T498" t="str">
        <x:v>研究生宿舍楼发车</x:v>
      </x:c>
    </x:row>
    <x:row r="499">
      <x:c r="A499" s="14" t="str">
        <x:v>S0040-07</x:v>
      </x:c>
      <x:c r="B499" s="14" t="str">
        <x:v>S0040</x:v>
      </x:c>
      <x:c r="C499" s="14" t="str">
        <x:v>工作日</x:v>
      </x:c>
      <x:c r="D499" s="14" t="str">
        <x:v>环线1路</x:v>
      </x:c>
      <x:c r="E499" s="14" t="str">
        <x:v>第二班</x:v>
      </x:c>
      <x:c r="F499" s="14" t="n">
        <x:v>14</x:v>
      </x:c>
      <x:c r="G499" s="14" t="str">
        <x:v>17:00</x:v>
      </x:c>
      <x:c r="H499" s="14" t="str">
        <x:v>研究生宿舍楼</x:v>
      </x:c>
      <x:c r="I499" s="14" t="str">
        <x:v>否</x:v>
      </x:c>
      <x:c r="J499" s="14" t="n">
        <x:v>7</x:v>
      </x:c>
      <x:c r="K499" s="14" t="str">
        <x:v>北门</x:v>
      </x:c>
      <x:c r="L499" s="14" t="n">
        <x:v>8</x:v>
      </x:c>
      <x:c r="M499" s="14" t="str">
        <x:v>17:08</x:v>
      </x:c>
      <x:c r="N499" s="14" t="str">
        <x:v>否</x:v>
      </x:c>
      <x:c r="O499" s="14" t="str">
        <x:v>否</x:v>
      </x:c>
      <x:c r="P499" s="14" t="str">
        <x:v>未提供</x:v>
      </x:c>
      <x:c r="Q499" s="14" t="str">
        <x:v>未提供</x:v>
      </x:c>
      <x:c r="R499" s="14" t="str">
        <x:v>预测</x:v>
      </x:c>
      <x:c r="S499" s="14" t="str">
        <x:v>到站时间为估算值</x:v>
      </x:c>
      <x:c r="T499" t="str">
        <x:v>研究生宿舍楼发车</x:v>
      </x:c>
    </x:row>
    <x:row r="500">
      <x:c r="A500" s="14" t="str">
        <x:v>S0040-08</x:v>
      </x:c>
      <x:c r="B500" s="14" t="str">
        <x:v>S0040</x:v>
      </x:c>
      <x:c r="C500" s="14" t="str">
        <x:v>工作日</x:v>
      </x:c>
      <x:c r="D500" s="14" t="str">
        <x:v>环线1路</x:v>
      </x:c>
      <x:c r="E500" s="14" t="str">
        <x:v>第二班</x:v>
      </x:c>
      <x:c r="F500" s="14" t="n">
        <x:v>14</x:v>
      </x:c>
      <x:c r="G500" s="14" t="str">
        <x:v>17:00</x:v>
      </x:c>
      <x:c r="H500" s="14" t="str">
        <x:v>研究生宿舍楼</x:v>
      </x:c>
      <x:c r="I500" s="14" t="str">
        <x:v>否</x:v>
      </x:c>
      <x:c r="J500" s="14" t="n">
        <x:v>8</x:v>
      </x:c>
      <x:c r="K500" s="14" t="str">
        <x:v>高超楼</x:v>
      </x:c>
      <x:c r="L500" s="14" t="n">
        <x:v>9</x:v>
      </x:c>
      <x:c r="M500" s="14" t="str">
        <x:v>17:09</x:v>
      </x:c>
      <x:c r="N500" s="14" t="str">
        <x:v>否</x:v>
      </x:c>
      <x:c r="O500" s="14" t="str">
        <x:v>否</x:v>
      </x:c>
      <x:c r="P500" s="14" t="str">
        <x:v>未提供</x:v>
      </x:c>
      <x:c r="Q500" s="14" t="str">
        <x:v>未提供</x:v>
      </x:c>
      <x:c r="R500" s="14" t="str">
        <x:v>预测</x:v>
      </x:c>
      <x:c r="S500" s="14" t="str">
        <x:v>到站时间为估算值</x:v>
      </x:c>
      <x:c r="T500" t="str">
        <x:v>研究生宿舍楼发车</x:v>
      </x:c>
    </x:row>
    <x:row r="501">
      <x:c r="A501" s="14" t="str">
        <x:v>S0040-09</x:v>
      </x:c>
      <x:c r="B501" s="14" t="str">
        <x:v>S0040</x:v>
      </x:c>
      <x:c r="C501" s="14" t="str">
        <x:v>工作日</x:v>
      </x:c>
      <x:c r="D501" s="14" t="str">
        <x:v>环线1路</x:v>
      </x:c>
      <x:c r="E501" s="14" t="str">
        <x:v>第二班</x:v>
      </x:c>
      <x:c r="F501" s="14" t="n">
        <x:v>14</x:v>
      </x:c>
      <x:c r="G501" s="14" t="str">
        <x:v>17:00</x:v>
      </x:c>
      <x:c r="H501" s="14" t="str">
        <x:v>研究生宿舍楼</x:v>
      </x:c>
      <x:c r="I501" s="14" t="str">
        <x:v>否</x:v>
      </x:c>
      <x:c r="J501" s="14" t="n">
        <x:v>9</x:v>
      </x:c>
      <x:c r="K501" s="14" t="str">
        <x:v>理学院</x:v>
      </x:c>
      <x:c r="L501" s="14" t="n">
        <x:v>10</x:v>
      </x:c>
      <x:c r="M501" s="14" t="str">
        <x:v>17:10</x:v>
      </x:c>
      <x:c r="N501" s="14" t="str">
        <x:v>否</x:v>
      </x:c>
      <x:c r="O501" s="14" t="str">
        <x:v>否</x:v>
      </x:c>
      <x:c r="P501" s="14" t="str">
        <x:v>未提供</x:v>
      </x:c>
      <x:c r="Q501" s="14" t="str">
        <x:v>未提供</x:v>
      </x:c>
      <x:c r="R501" s="14" t="str">
        <x:v>预测</x:v>
      </x:c>
      <x:c r="S501" s="14" t="str">
        <x:v>到站时间为估算值</x:v>
      </x:c>
      <x:c r="T501" t="str">
        <x:v>研究生宿舍楼发车</x:v>
      </x:c>
    </x:row>
    <x:row r="502">
      <x:c r="A502" s="14" t="str">
        <x:v>S0040-10</x:v>
      </x:c>
      <x:c r="B502" s="14" t="str">
        <x:v>S0040</x:v>
      </x:c>
      <x:c r="C502" s="14" t="str">
        <x:v>工作日</x:v>
      </x:c>
      <x:c r="D502" s="14" t="str">
        <x:v>环线1路</x:v>
      </x:c>
      <x:c r="E502" s="14" t="str">
        <x:v>第二班</x:v>
      </x:c>
      <x:c r="F502" s="14" t="n">
        <x:v>14</x:v>
      </x:c>
      <x:c r="G502" s="14" t="str">
        <x:v>17:00</x:v>
      </x:c>
      <x:c r="H502" s="14" t="str">
        <x:v>研究生宿舍楼</x:v>
      </x:c>
      <x:c r="I502" s="14" t="str">
        <x:v>否</x:v>
      </x:c>
      <x:c r="J502" s="14" t="n">
        <x:v>10</x:v>
      </x:c>
      <x:c r="K502" s="14" t="str">
        <x:v>二食堂</x:v>
      </x:c>
      <x:c r="L502" s="14" t="n">
        <x:v>13</x:v>
      </x:c>
      <x:c r="M502" s="14" t="str">
        <x:v>17:13</x:v>
      </x:c>
      <x:c r="N502" s="14" t="str">
        <x:v>否</x:v>
      </x:c>
      <x:c r="O502" s="14" t="str">
        <x:v>否</x:v>
      </x:c>
      <x:c r="P502" s="14" t="str">
        <x:v>未提供</x:v>
      </x:c>
      <x:c r="Q502" s="14" t="str">
        <x:v>未提供</x:v>
      </x:c>
      <x:c r="R502" s="14" t="str">
        <x:v>预测</x:v>
      </x:c>
      <x:c r="S502" s="14" t="str">
        <x:v>到站时间为估算值</x:v>
      </x:c>
      <x:c r="T502" t="str">
        <x:v>研究生宿舍楼发车</x:v>
      </x:c>
    </x:row>
    <x:row r="503">
      <x:c r="A503" s="14" t="str">
        <x:v>S0040-11</x:v>
      </x:c>
      <x:c r="B503" s="14" t="str">
        <x:v>S0040</x:v>
      </x:c>
      <x:c r="C503" s="14" t="str">
        <x:v>工作日</x:v>
      </x:c>
      <x:c r="D503" s="14" t="str">
        <x:v>环线1路</x:v>
      </x:c>
      <x:c r="E503" s="14" t="str">
        <x:v>第二班</x:v>
      </x:c>
      <x:c r="F503" s="14" t="n">
        <x:v>14</x:v>
      </x:c>
      <x:c r="G503" s="14" t="str">
        <x:v>17:00</x:v>
      </x:c>
      <x:c r="H503" s="14" t="str">
        <x:v>研究生宿舍楼</x:v>
      </x:c>
      <x:c r="I503" s="14" t="str">
        <x:v>否</x:v>
      </x:c>
      <x:c r="J503" s="14" t="n">
        <x:v>11</x:v>
      </x:c>
      <x:c r="K503" s="14" t="str">
        <x:v>5号宿舍楼</x:v>
      </x:c>
      <x:c r="L503" s="14" t="n">
        <x:v>14</x:v>
      </x:c>
      <x:c r="M503" s="14" t="str">
        <x:v>17:14</x:v>
      </x:c>
      <x:c r="N503" s="14" t="str">
        <x:v>否</x:v>
      </x:c>
      <x:c r="O503" s="14" t="str">
        <x:v>否</x:v>
      </x:c>
      <x:c r="P503" s="14" t="str">
        <x:v>未提供</x:v>
      </x:c>
      <x:c r="Q503" s="14" t="str">
        <x:v>未提供</x:v>
      </x:c>
      <x:c r="R503" s="14" t="str">
        <x:v>预测</x:v>
      </x:c>
      <x:c r="S503" s="14" t="str">
        <x:v>到站时间为估算值</x:v>
      </x:c>
      <x:c r="T503" t="str">
        <x:v>研究生宿舍楼发车</x:v>
      </x:c>
    </x:row>
    <x:row r="504">
      <x:c r="A504" s="14" t="str">
        <x:v>S0040-12</x:v>
      </x:c>
      <x:c r="B504" s="14" t="str">
        <x:v>S0040</x:v>
      </x:c>
      <x:c r="C504" s="14" t="str">
        <x:v>工作日</x:v>
      </x:c>
      <x:c r="D504" s="14" t="str">
        <x:v>环线1路</x:v>
      </x:c>
      <x:c r="E504" s="14" t="str">
        <x:v>第二班</x:v>
      </x:c>
      <x:c r="F504" s="14" t="n">
        <x:v>14</x:v>
      </x:c>
      <x:c r="G504" s="14" t="str">
        <x:v>17:00</x:v>
      </x:c>
      <x:c r="H504" s="14" t="str">
        <x:v>研究生宿舍楼</x:v>
      </x:c>
      <x:c r="I504" s="14" t="str">
        <x:v>否</x:v>
      </x:c>
      <x:c r="J504" s="14" t="n">
        <x:v>12</x:v>
      </x:c>
      <x:c r="K504" s="14" t="str">
        <x:v>305教学楼</x:v>
      </x:c>
      <x:c r="L504" s="14" t="n">
        <x:v>15</x:v>
      </x:c>
      <x:c r="M504" s="14" t="str">
        <x:v>17:15</x:v>
      </x:c>
      <x:c r="N504" s="14" t="str">
        <x:v>否</x:v>
      </x:c>
      <x:c r="O504" s="14" t="str">
        <x:v>否</x:v>
      </x:c>
      <x:c r="P504" s="14" t="str">
        <x:v>未提供</x:v>
      </x:c>
      <x:c r="Q504" s="14" t="str">
        <x:v>未提供</x:v>
      </x:c>
      <x:c r="R504" s="14" t="str">
        <x:v>预测</x:v>
      </x:c>
      <x:c r="S504" s="14" t="str">
        <x:v>到站时间为估算值</x:v>
      </x:c>
      <x:c r="T504" t="str">
        <x:v>研究生宿舍楼发车</x:v>
      </x:c>
    </x:row>
    <x:row r="505">
      <x:c r="A505" s="14" t="str">
        <x:v>S0040-13</x:v>
      </x:c>
      <x:c r="B505" s="14" t="str">
        <x:v>S0040</x:v>
      </x:c>
      <x:c r="C505" s="14" t="str">
        <x:v>工作日</x:v>
      </x:c>
      <x:c r="D505" s="14" t="str">
        <x:v>环线1路</x:v>
      </x:c>
      <x:c r="E505" s="14" t="str">
        <x:v>第二班</x:v>
      </x:c>
      <x:c r="F505" s="14" t="n">
        <x:v>14</x:v>
      </x:c>
      <x:c r="G505" s="14" t="str">
        <x:v>17:00</x:v>
      </x:c>
      <x:c r="H505" s="14" t="str">
        <x:v>研究生宿舍楼</x:v>
      </x:c>
      <x:c r="I505" s="14" t="str">
        <x:v>否</x:v>
      </x:c>
      <x:c r="J505" s="14" t="n">
        <x:v>13</x:v>
      </x:c>
      <x:c r="K505" s="14" t="str">
        <x:v>研究生宿舍楼</x:v>
      </x:c>
      <x:c r="L505" s="14" t="n">
        <x:v>17</x:v>
      </x:c>
      <x:c r="M505" s="14" t="str">
        <x:v>17:17</x:v>
      </x:c>
      <x:c r="N505" s="14" t="str">
        <x:v>否</x:v>
      </x:c>
      <x:c r="O505" s="14" t="str">
        <x:v>是</x:v>
      </x:c>
      <x:c r="P505" s="14" t="str">
        <x:v>未提供</x:v>
      </x:c>
      <x:c r="Q505" s="14" t="str">
        <x:v>未提供</x:v>
      </x:c>
      <x:c r="R505" s="14" t="str">
        <x:v>预测</x:v>
      </x:c>
      <x:c r="S505" s="14" t="str">
        <x:v>到站时间为估算值</x:v>
      </x:c>
      <x:c r="T505" t="str">
        <x:v>研究生宿舍楼发车</x:v>
      </x:c>
    </x:row>
    <x:row r="506">
      <x:c r="A506" s="14" t="str">
        <x:v>S0041-01</x:v>
      </x:c>
      <x:c r="B506" s="14" t="str">
        <x:v>S0041</x:v>
      </x:c>
      <x:c r="C506" s="14" t="str">
        <x:v>工作日</x:v>
      </x:c>
      <x:c r="D506" s="14" t="str">
        <x:v>环线1路</x:v>
      </x:c>
      <x:c r="E506" s="14" t="str">
        <x:v>第二班</x:v>
      </x:c>
      <x:c r="F506" s="14" t="n">
        <x:v>15</x:v>
      </x:c>
      <x:c r="G506" s="14" t="str">
        <x:v>17:30</x:v>
      </x:c>
      <x:c r="H506" s="14" t="str">
        <x:v>研究生宿舍楼</x:v>
      </x:c>
      <x:c r="I506" s="14" t="str">
        <x:v>否</x:v>
      </x:c>
      <x:c r="J506" s="14" t="n">
        <x:v>1</x:v>
      </x:c>
      <x:c r="K506" s="14" t="str">
        <x:v>研究生宿舍楼</x:v>
      </x:c>
      <x:c r="L506" s="14" t="n">
        <x:v>0</x:v>
      </x:c>
      <x:c r="M506" s="14" t="str">
        <x:v>17:30</x:v>
      </x:c>
      <x:c r="N506" s="14" t="str">
        <x:v>是</x:v>
      </x:c>
      <x:c r="O506" s="14" t="str">
        <x:v>否</x:v>
      </x:c>
      <x:c r="P506" s="14" t="str">
        <x:v>未提供</x:v>
      </x:c>
      <x:c r="Q506" s="14" t="str">
        <x:v>未提供</x:v>
      </x:c>
      <x:c r="R506" s="14" t="str">
        <x:v>预测</x:v>
      </x:c>
      <x:c r="S506" s="14" t="str">
        <x:v>到站时间为估算值</x:v>
      </x:c>
      <x:c r="T506" t="str">
        <x:v>研究生宿舍楼发车</x:v>
      </x:c>
    </x:row>
    <x:row r="507">
      <x:c r="A507" s="14" t="str">
        <x:v>S0041-02</x:v>
      </x:c>
      <x:c r="B507" s="14" t="str">
        <x:v>S0041</x:v>
      </x:c>
      <x:c r="C507" s="14" t="str">
        <x:v>工作日</x:v>
      </x:c>
      <x:c r="D507" s="14" t="str">
        <x:v>环线1路</x:v>
      </x:c>
      <x:c r="E507" s="14" t="str">
        <x:v>第二班</x:v>
      </x:c>
      <x:c r="F507" s="14" t="n">
        <x:v>15</x:v>
      </x:c>
      <x:c r="G507" s="14" t="str">
        <x:v>17:30</x:v>
      </x:c>
      <x:c r="H507" s="14" t="str">
        <x:v>研究生宿舍楼</x:v>
      </x:c>
      <x:c r="I507" s="14" t="str">
        <x:v>否</x:v>
      </x:c>
      <x:c r="J507" s="14" t="n">
        <x:v>2</x:v>
      </x:c>
      <x:c r="K507" s="14" t="str">
        <x:v>东门</x:v>
      </x:c>
      <x:c r="L507" s="14" t="n">
        <x:v>1</x:v>
      </x:c>
      <x:c r="M507" s="14" t="str">
        <x:v>17:31</x:v>
      </x:c>
      <x:c r="N507" s="14" t="str">
        <x:v>否</x:v>
      </x:c>
      <x:c r="O507" s="14" t="str">
        <x:v>否</x:v>
      </x:c>
      <x:c r="P507" s="14" t="str">
        <x:v>未提供</x:v>
      </x:c>
      <x:c r="Q507" s="14" t="str">
        <x:v>未提供</x:v>
      </x:c>
      <x:c r="R507" s="14" t="str">
        <x:v>预测</x:v>
      </x:c>
      <x:c r="S507" s="14" t="str">
        <x:v>到站时间为估算值</x:v>
      </x:c>
      <x:c r="T507" t="str">
        <x:v>研究生宿舍楼发车</x:v>
      </x:c>
    </x:row>
    <x:row r="508">
      <x:c r="A508" s="14" t="str">
        <x:v>S0041-03</x:v>
      </x:c>
      <x:c r="B508" s="14" t="str">
        <x:v>S0041</x:v>
      </x:c>
      <x:c r="C508" s="14" t="str">
        <x:v>工作日</x:v>
      </x:c>
      <x:c r="D508" s="14" t="str">
        <x:v>环线1路</x:v>
      </x:c>
      <x:c r="E508" s="14" t="str">
        <x:v>第二班</x:v>
      </x:c>
      <x:c r="F508" s="14" t="n">
        <x:v>15</x:v>
      </x:c>
      <x:c r="G508" s="14" t="str">
        <x:v>17:30</x:v>
      </x:c>
      <x:c r="H508" s="14" t="str">
        <x:v>研究生宿舍楼</x:v>
      </x:c>
      <x:c r="I508" s="14" t="str">
        <x:v>否</x:v>
      </x:c>
      <x:c r="J508" s="14" t="n">
        <x:v>3</x:v>
      </x:c>
      <x:c r="K508" s="14" t="str">
        <x:v>2号宿舍楼</x:v>
      </x:c>
      <x:c r="L508" s="14" t="n">
        <x:v>2</x:v>
      </x:c>
      <x:c r="M508" s="14" t="str">
        <x:v>17:32</x:v>
      </x:c>
      <x:c r="N508" s="14" t="str">
        <x:v>否</x:v>
      </x:c>
      <x:c r="O508" s="14" t="str">
        <x:v>否</x:v>
      </x:c>
      <x:c r="P508" s="14" t="str">
        <x:v>未提供</x:v>
      </x:c>
      <x:c r="Q508" s="14" t="str">
        <x:v>未提供</x:v>
      </x:c>
      <x:c r="R508" s="14" t="str">
        <x:v>预测</x:v>
      </x:c>
      <x:c r="S508" s="14" t="str">
        <x:v>到站时间为估算值</x:v>
      </x:c>
      <x:c r="T508" t="str">
        <x:v>研究生宿舍楼发车</x:v>
      </x:c>
    </x:row>
    <x:row r="509">
      <x:c r="A509" s="14" t="str">
        <x:v>S0041-04</x:v>
      </x:c>
      <x:c r="B509" s="14" t="str">
        <x:v>S0041</x:v>
      </x:c>
      <x:c r="C509" s="14" t="str">
        <x:v>工作日</x:v>
      </x:c>
      <x:c r="D509" s="14" t="str">
        <x:v>环线1路</x:v>
      </x:c>
      <x:c r="E509" s="14" t="str">
        <x:v>第二班</x:v>
      </x:c>
      <x:c r="F509" s="14" t="n">
        <x:v>15</x:v>
      </x:c>
      <x:c r="G509" s="14" t="str">
        <x:v>17:30</x:v>
      </x:c>
      <x:c r="H509" s="14" t="str">
        <x:v>研究生宿舍楼</x:v>
      </x:c>
      <x:c r="I509" s="14" t="str">
        <x:v>否</x:v>
      </x:c>
      <x:c r="J509" s="14" t="n">
        <x:v>4</x:v>
      </x:c>
      <x:c r="K509" s="14" t="str">
        <x:v>军体活动中心</x:v>
      </x:c>
      <x:c r="L509" s="14" t="n">
        <x:v>3</x:v>
      </x:c>
      <x:c r="M509" s="14" t="str">
        <x:v>17:33</x:v>
      </x:c>
      <x:c r="N509" s="14" t="str">
        <x:v>否</x:v>
      </x:c>
      <x:c r="O509" s="14" t="str">
        <x:v>否</x:v>
      </x:c>
      <x:c r="P509" s="14" t="str">
        <x:v>未提供</x:v>
      </x:c>
      <x:c r="Q509" s="14" t="str">
        <x:v>未提供</x:v>
      </x:c>
      <x:c r="R509" s="14" t="str">
        <x:v>预测</x:v>
      </x:c>
      <x:c r="S509" s="14" t="str">
        <x:v>到站时间为估算值</x:v>
      </x:c>
      <x:c r="T509" t="str">
        <x:v>研究生宿舍楼发车</x:v>
      </x:c>
    </x:row>
    <x:row r="510">
      <x:c r="A510" s="14" t="str">
        <x:v>S0041-05</x:v>
      </x:c>
      <x:c r="B510" s="14" t="str">
        <x:v>S0041</x:v>
      </x:c>
      <x:c r="C510" s="14" t="str">
        <x:v>工作日</x:v>
      </x:c>
      <x:c r="D510" s="14" t="str">
        <x:v>环线1路</x:v>
      </x:c>
      <x:c r="E510" s="14" t="str">
        <x:v>第二班</x:v>
      </x:c>
      <x:c r="F510" s="14" t="n">
        <x:v>15</x:v>
      </x:c>
      <x:c r="G510" s="14" t="str">
        <x:v>17:30</x:v>
      </x:c>
      <x:c r="H510" s="14" t="str">
        <x:v>研究生宿舍楼</x:v>
      </x:c>
      <x:c r="I510" s="14" t="str">
        <x:v>否</x:v>
      </x:c>
      <x:c r="J510" s="14" t="n">
        <x:v>5</x:v>
      </x:c>
      <x:c r="K510" s="14" t="str">
        <x:v>激光所</x:v>
      </x:c>
      <x:c r="L510" s="14" t="n">
        <x:v>5</x:v>
      </x:c>
      <x:c r="M510" s="14" t="str">
        <x:v>17:35</x:v>
      </x:c>
      <x:c r="N510" s="14" t="str">
        <x:v>否</x:v>
      </x:c>
      <x:c r="O510" s="14" t="str">
        <x:v>否</x:v>
      </x:c>
      <x:c r="P510" s="14" t="str">
        <x:v>未提供</x:v>
      </x:c>
      <x:c r="Q510" s="14" t="str">
        <x:v>未提供</x:v>
      </x:c>
      <x:c r="R510" s="14" t="str">
        <x:v>预测</x:v>
      </x:c>
      <x:c r="S510" s="14" t="str">
        <x:v>到站时间为估算值</x:v>
      </x:c>
      <x:c r="T510" t="str">
        <x:v>研究生宿舍楼发车</x:v>
      </x:c>
    </x:row>
    <x:row r="511">
      <x:c r="A511" s="14" t="str">
        <x:v>S0041-06</x:v>
      </x:c>
      <x:c r="B511" s="14" t="str">
        <x:v>S0041</x:v>
      </x:c>
      <x:c r="C511" s="14" t="str">
        <x:v>工作日</x:v>
      </x:c>
      <x:c r="D511" s="14" t="str">
        <x:v>环线1路</x:v>
      </x:c>
      <x:c r="E511" s="14" t="str">
        <x:v>第二班</x:v>
      </x:c>
      <x:c r="F511" s="14" t="n">
        <x:v>15</x:v>
      </x:c>
      <x:c r="G511" s="14" t="str">
        <x:v>17:30</x:v>
      </x:c>
      <x:c r="H511" s="14" t="str">
        <x:v>研究生宿舍楼</x:v>
      </x:c>
      <x:c r="I511" s="14" t="str">
        <x:v>否</x:v>
      </x:c>
      <x:c r="J511" s="14" t="n">
        <x:v>6</x:v>
      </x:c>
      <x:c r="K511" s="14" t="str">
        <x:v>超算中心</x:v>
      </x:c>
      <x:c r="L511" s="14" t="n">
        <x:v>6</x:v>
      </x:c>
      <x:c r="M511" s="14" t="str">
        <x:v>17:36</x:v>
      </x:c>
      <x:c r="N511" s="14" t="str">
        <x:v>否</x:v>
      </x:c>
      <x:c r="O511" s="14" t="str">
        <x:v>否</x:v>
      </x:c>
      <x:c r="P511" s="14" t="str">
        <x:v>未提供</x:v>
      </x:c>
      <x:c r="Q511" s="14" t="str">
        <x:v>未提供</x:v>
      </x:c>
      <x:c r="R511" s="14" t="str">
        <x:v>预测</x:v>
      </x:c>
      <x:c r="S511" s="14" t="str">
        <x:v>到站时间为估算值</x:v>
      </x:c>
      <x:c r="T511" t="str">
        <x:v>研究生宿舍楼发车</x:v>
      </x:c>
    </x:row>
    <x:row r="512">
      <x:c r="A512" s="14" t="str">
        <x:v>S0041-07</x:v>
      </x:c>
      <x:c r="B512" s="14" t="str">
        <x:v>S0041</x:v>
      </x:c>
      <x:c r="C512" s="14" t="str">
        <x:v>工作日</x:v>
      </x:c>
      <x:c r="D512" s="14" t="str">
        <x:v>环线1路</x:v>
      </x:c>
      <x:c r="E512" s="14" t="str">
        <x:v>第二班</x:v>
      </x:c>
      <x:c r="F512" s="14" t="n">
        <x:v>15</x:v>
      </x:c>
      <x:c r="G512" s="14" t="str">
        <x:v>17:30</x:v>
      </x:c>
      <x:c r="H512" s="14" t="str">
        <x:v>研究生宿舍楼</x:v>
      </x:c>
      <x:c r="I512" s="14" t="str">
        <x:v>否</x:v>
      </x:c>
      <x:c r="J512" s="14" t="n">
        <x:v>7</x:v>
      </x:c>
      <x:c r="K512" s="14" t="str">
        <x:v>北门</x:v>
      </x:c>
      <x:c r="L512" s="14" t="n">
        <x:v>8</x:v>
      </x:c>
      <x:c r="M512" s="14" t="str">
        <x:v>17:38</x:v>
      </x:c>
      <x:c r="N512" s="14" t="str">
        <x:v>否</x:v>
      </x:c>
      <x:c r="O512" s="14" t="str">
        <x:v>否</x:v>
      </x:c>
      <x:c r="P512" s="14" t="str">
        <x:v>未提供</x:v>
      </x:c>
      <x:c r="Q512" s="14" t="str">
        <x:v>未提供</x:v>
      </x:c>
      <x:c r="R512" s="14" t="str">
        <x:v>预测</x:v>
      </x:c>
      <x:c r="S512" s="14" t="str">
        <x:v>到站时间为估算值</x:v>
      </x:c>
      <x:c r="T512" t="str">
        <x:v>研究生宿舍楼发车</x:v>
      </x:c>
    </x:row>
    <x:row r="513">
      <x:c r="A513" s="14" t="str">
        <x:v>S0041-08</x:v>
      </x:c>
      <x:c r="B513" s="14" t="str">
        <x:v>S0041</x:v>
      </x:c>
      <x:c r="C513" s="14" t="str">
        <x:v>工作日</x:v>
      </x:c>
      <x:c r="D513" s="14" t="str">
        <x:v>环线1路</x:v>
      </x:c>
      <x:c r="E513" s="14" t="str">
        <x:v>第二班</x:v>
      </x:c>
      <x:c r="F513" s="14" t="n">
        <x:v>15</x:v>
      </x:c>
      <x:c r="G513" s="14" t="str">
        <x:v>17:30</x:v>
      </x:c>
      <x:c r="H513" s="14" t="str">
        <x:v>研究生宿舍楼</x:v>
      </x:c>
      <x:c r="I513" s="14" t="str">
        <x:v>否</x:v>
      </x:c>
      <x:c r="J513" s="14" t="n">
        <x:v>8</x:v>
      </x:c>
      <x:c r="K513" s="14" t="str">
        <x:v>高超楼</x:v>
      </x:c>
      <x:c r="L513" s="14" t="n">
        <x:v>9</x:v>
      </x:c>
      <x:c r="M513" s="14" t="str">
        <x:v>17:39</x:v>
      </x:c>
      <x:c r="N513" s="14" t="str">
        <x:v>否</x:v>
      </x:c>
      <x:c r="O513" s="14" t="str">
        <x:v>否</x:v>
      </x:c>
      <x:c r="P513" s="14" t="str">
        <x:v>未提供</x:v>
      </x:c>
      <x:c r="Q513" s="14" t="str">
        <x:v>未提供</x:v>
      </x:c>
      <x:c r="R513" s="14" t="str">
        <x:v>预测</x:v>
      </x:c>
      <x:c r="S513" s="14" t="str">
        <x:v>到站时间为估算值</x:v>
      </x:c>
      <x:c r="T513" t="str">
        <x:v>研究生宿舍楼发车</x:v>
      </x:c>
    </x:row>
    <x:row r="514">
      <x:c r="A514" s="14" t="str">
        <x:v>S0041-09</x:v>
      </x:c>
      <x:c r="B514" s="14" t="str">
        <x:v>S0041</x:v>
      </x:c>
      <x:c r="C514" s="14" t="str">
        <x:v>工作日</x:v>
      </x:c>
      <x:c r="D514" s="14" t="str">
        <x:v>环线1路</x:v>
      </x:c>
      <x:c r="E514" s="14" t="str">
        <x:v>第二班</x:v>
      </x:c>
      <x:c r="F514" s="14" t="n">
        <x:v>15</x:v>
      </x:c>
      <x:c r="G514" s="14" t="str">
        <x:v>17:30</x:v>
      </x:c>
      <x:c r="H514" s="14" t="str">
        <x:v>研究生宿舍楼</x:v>
      </x:c>
      <x:c r="I514" s="14" t="str">
        <x:v>否</x:v>
      </x:c>
      <x:c r="J514" s="14" t="n">
        <x:v>9</x:v>
      </x:c>
      <x:c r="K514" s="14" t="str">
        <x:v>理学院</x:v>
      </x:c>
      <x:c r="L514" s="14" t="n">
        <x:v>10</x:v>
      </x:c>
      <x:c r="M514" s="14" t="str">
        <x:v>17:40</x:v>
      </x:c>
      <x:c r="N514" s="14" t="str">
        <x:v>否</x:v>
      </x:c>
      <x:c r="O514" s="14" t="str">
        <x:v>否</x:v>
      </x:c>
      <x:c r="P514" s="14" t="str">
        <x:v>未提供</x:v>
      </x:c>
      <x:c r="Q514" s="14" t="str">
        <x:v>未提供</x:v>
      </x:c>
      <x:c r="R514" s="14" t="str">
        <x:v>预测</x:v>
      </x:c>
      <x:c r="S514" s="14" t="str">
        <x:v>到站时间为估算值</x:v>
      </x:c>
      <x:c r="T514" t="str">
        <x:v>研究生宿舍楼发车</x:v>
      </x:c>
    </x:row>
    <x:row r="515">
      <x:c r="A515" s="14" t="str">
        <x:v>S0041-10</x:v>
      </x:c>
      <x:c r="B515" s="14" t="str">
        <x:v>S0041</x:v>
      </x:c>
      <x:c r="C515" s="14" t="str">
        <x:v>工作日</x:v>
      </x:c>
      <x:c r="D515" s="14" t="str">
        <x:v>环线1路</x:v>
      </x:c>
      <x:c r="E515" s="14" t="str">
        <x:v>第二班</x:v>
      </x:c>
      <x:c r="F515" s="14" t="n">
        <x:v>15</x:v>
      </x:c>
      <x:c r="G515" s="14" t="str">
        <x:v>17:30</x:v>
      </x:c>
      <x:c r="H515" s="14" t="str">
        <x:v>研究生宿舍楼</x:v>
      </x:c>
      <x:c r="I515" s="14" t="str">
        <x:v>否</x:v>
      </x:c>
      <x:c r="J515" s="14" t="n">
        <x:v>10</x:v>
      </x:c>
      <x:c r="K515" s="14" t="str">
        <x:v>二食堂</x:v>
      </x:c>
      <x:c r="L515" s="14" t="n">
        <x:v>13</x:v>
      </x:c>
      <x:c r="M515" s="14" t="str">
        <x:v>17:43</x:v>
      </x:c>
      <x:c r="N515" s="14" t="str">
        <x:v>否</x:v>
      </x:c>
      <x:c r="O515" s="14" t="str">
        <x:v>否</x:v>
      </x:c>
      <x:c r="P515" s="14" t="str">
        <x:v>未提供</x:v>
      </x:c>
      <x:c r="Q515" s="14" t="str">
        <x:v>未提供</x:v>
      </x:c>
      <x:c r="R515" s="14" t="str">
        <x:v>预测</x:v>
      </x:c>
      <x:c r="S515" s="14" t="str">
        <x:v>到站时间为估算值</x:v>
      </x:c>
      <x:c r="T515" t="str">
        <x:v>研究生宿舍楼发车</x:v>
      </x:c>
    </x:row>
    <x:row r="516">
      <x:c r="A516" s="14" t="str">
        <x:v>S0041-11</x:v>
      </x:c>
      <x:c r="B516" s="14" t="str">
        <x:v>S0041</x:v>
      </x:c>
      <x:c r="C516" s="14" t="str">
        <x:v>工作日</x:v>
      </x:c>
      <x:c r="D516" s="14" t="str">
        <x:v>环线1路</x:v>
      </x:c>
      <x:c r="E516" s="14" t="str">
        <x:v>第二班</x:v>
      </x:c>
      <x:c r="F516" s="14" t="n">
        <x:v>15</x:v>
      </x:c>
      <x:c r="G516" s="14" t="str">
        <x:v>17:30</x:v>
      </x:c>
      <x:c r="H516" s="14" t="str">
        <x:v>研究生宿舍楼</x:v>
      </x:c>
      <x:c r="I516" s="14" t="str">
        <x:v>否</x:v>
      </x:c>
      <x:c r="J516" s="14" t="n">
        <x:v>11</x:v>
      </x:c>
      <x:c r="K516" s="14" t="str">
        <x:v>5号宿舍楼</x:v>
      </x:c>
      <x:c r="L516" s="14" t="n">
        <x:v>14</x:v>
      </x:c>
      <x:c r="M516" s="14" t="str">
        <x:v>17:44</x:v>
      </x:c>
      <x:c r="N516" s="14" t="str">
        <x:v>否</x:v>
      </x:c>
      <x:c r="O516" s="14" t="str">
        <x:v>否</x:v>
      </x:c>
      <x:c r="P516" s="14" t="str">
        <x:v>未提供</x:v>
      </x:c>
      <x:c r="Q516" s="14" t="str">
        <x:v>未提供</x:v>
      </x:c>
      <x:c r="R516" s="14" t="str">
        <x:v>预测</x:v>
      </x:c>
      <x:c r="S516" s="14" t="str">
        <x:v>到站时间为估算值</x:v>
      </x:c>
      <x:c r="T516" t="str">
        <x:v>研究生宿舍楼发车</x:v>
      </x:c>
    </x:row>
    <x:row r="517">
      <x:c r="A517" s="14" t="str">
        <x:v>S0041-12</x:v>
      </x:c>
      <x:c r="B517" s="14" t="str">
        <x:v>S0041</x:v>
      </x:c>
      <x:c r="C517" s="14" t="str">
        <x:v>工作日</x:v>
      </x:c>
      <x:c r="D517" s="14" t="str">
        <x:v>环线1路</x:v>
      </x:c>
      <x:c r="E517" s="14" t="str">
        <x:v>第二班</x:v>
      </x:c>
      <x:c r="F517" s="14" t="n">
        <x:v>15</x:v>
      </x:c>
      <x:c r="G517" s="14" t="str">
        <x:v>17:30</x:v>
      </x:c>
      <x:c r="H517" s="14" t="str">
        <x:v>研究生宿舍楼</x:v>
      </x:c>
      <x:c r="I517" s="14" t="str">
        <x:v>否</x:v>
      </x:c>
      <x:c r="J517" s="14" t="n">
        <x:v>12</x:v>
      </x:c>
      <x:c r="K517" s="14" t="str">
        <x:v>305教学楼</x:v>
      </x:c>
      <x:c r="L517" s="14" t="n">
        <x:v>15</x:v>
      </x:c>
      <x:c r="M517" s="14" t="str">
        <x:v>17:45</x:v>
      </x:c>
      <x:c r="N517" s="14" t="str">
        <x:v>否</x:v>
      </x:c>
      <x:c r="O517" s="14" t="str">
        <x:v>否</x:v>
      </x:c>
      <x:c r="P517" s="14" t="str">
        <x:v>未提供</x:v>
      </x:c>
      <x:c r="Q517" s="14" t="str">
        <x:v>未提供</x:v>
      </x:c>
      <x:c r="R517" s="14" t="str">
        <x:v>预测</x:v>
      </x:c>
      <x:c r="S517" s="14" t="str">
        <x:v>到站时间为估算值</x:v>
      </x:c>
      <x:c r="T517" t="str">
        <x:v>研究生宿舍楼发车</x:v>
      </x:c>
    </x:row>
    <x:row r="518">
      <x:c r="A518" s="14" t="str">
        <x:v>S0041-13</x:v>
      </x:c>
      <x:c r="B518" s="14" t="str">
        <x:v>S0041</x:v>
      </x:c>
      <x:c r="C518" s="14" t="str">
        <x:v>工作日</x:v>
      </x:c>
      <x:c r="D518" s="14" t="str">
        <x:v>环线1路</x:v>
      </x:c>
      <x:c r="E518" s="14" t="str">
        <x:v>第二班</x:v>
      </x:c>
      <x:c r="F518" s="14" t="n">
        <x:v>15</x:v>
      </x:c>
      <x:c r="G518" s="14" t="str">
        <x:v>17:30</x:v>
      </x:c>
      <x:c r="H518" s="14" t="str">
        <x:v>研究生宿舍楼</x:v>
      </x:c>
      <x:c r="I518" s="14" t="str">
        <x:v>否</x:v>
      </x:c>
      <x:c r="J518" s="14" t="n">
        <x:v>13</x:v>
      </x:c>
      <x:c r="K518" s="14" t="str">
        <x:v>研究生宿舍楼</x:v>
      </x:c>
      <x:c r="L518" s="14" t="n">
        <x:v>17</x:v>
      </x:c>
      <x:c r="M518" s="14" t="str">
        <x:v>17:47</x:v>
      </x:c>
      <x:c r="N518" s="14" t="str">
        <x:v>否</x:v>
      </x:c>
      <x:c r="O518" s="14" t="str">
        <x:v>是</x:v>
      </x:c>
      <x:c r="P518" s="14" t="str">
        <x:v>未提供</x:v>
      </x:c>
      <x:c r="Q518" s="14" t="str">
        <x:v>未提供</x:v>
      </x:c>
      <x:c r="R518" s="14" t="str">
        <x:v>预测</x:v>
      </x:c>
      <x:c r="S518" s="14" t="str">
        <x:v>到站时间为估算值</x:v>
      </x:c>
      <x:c r="T518" t="str">
        <x:v>研究生宿舍楼发车</x:v>
      </x:c>
    </x:row>
    <x:row r="519">
      <x:c r="A519" s="14" t="str">
        <x:v>S0042-01</x:v>
      </x:c>
      <x:c r="B519" s="14" t="str">
        <x:v>S0042</x:v>
      </x:c>
      <x:c r="C519" s="14" t="str">
        <x:v>工作日</x:v>
      </x:c>
      <x:c r="D519" s="14" t="str">
        <x:v>环线1路</x:v>
      </x:c>
      <x:c r="E519" s="14" t="str">
        <x:v>第五班（夜2）</x:v>
      </x:c>
      <x:c r="F519" s="14" t="n">
        <x:v>1</x:v>
      </x:c>
      <x:c r="G519" s="14" t="str">
        <x:v>16:15</x:v>
      </x:c>
      <x:c r="H519" s="14" t="str">
        <x:v>研究生宿舍楼</x:v>
      </x:c>
      <x:c r="I519" s="14" t="str">
        <x:v>否</x:v>
      </x:c>
      <x:c r="J519" s="14" t="n">
        <x:v>1</x:v>
      </x:c>
      <x:c r="K519" s="14" t="str">
        <x:v>研究生宿舍楼</x:v>
      </x:c>
      <x:c r="L519" s="14" t="n">
        <x:v>0</x:v>
      </x:c>
      <x:c r="M519" s="14" t="str">
        <x:v>16:15</x:v>
      </x:c>
      <x:c r="N519" s="14" t="str">
        <x:v>是</x:v>
      </x:c>
      <x:c r="O519" s="14" t="str">
        <x:v>否</x:v>
      </x:c>
      <x:c r="P519" s="14" t="str">
        <x:v>未提供</x:v>
      </x:c>
      <x:c r="Q519" s="14" t="str">
        <x:v>未提供</x:v>
      </x:c>
      <x:c r="R519" s="14" t="str">
        <x:v>预测</x:v>
      </x:c>
      <x:c r="S519" s="14" t="str">
        <x:v>到站时间为估算值</x:v>
      </x:c>
      <x:c r="T519" t="str">
        <x:v>研究生宿舍楼发车</x:v>
      </x:c>
    </x:row>
    <x:row r="520">
      <x:c r="A520" s="14" t="str">
        <x:v>S0042-02</x:v>
      </x:c>
      <x:c r="B520" s="14" t="str">
        <x:v>S0042</x:v>
      </x:c>
      <x:c r="C520" s="14" t="str">
        <x:v>工作日</x:v>
      </x:c>
      <x:c r="D520" s="14" t="str">
        <x:v>环线1路</x:v>
      </x:c>
      <x:c r="E520" s="14" t="str">
        <x:v>第五班（夜2）</x:v>
      </x:c>
      <x:c r="F520" s="14" t="n">
        <x:v>1</x:v>
      </x:c>
      <x:c r="G520" s="14" t="str">
        <x:v>16:15</x:v>
      </x:c>
      <x:c r="H520" s="14" t="str">
        <x:v>研究生宿舍楼</x:v>
      </x:c>
      <x:c r="I520" s="14" t="str">
        <x:v>否</x:v>
      </x:c>
      <x:c r="J520" s="14" t="n">
        <x:v>2</x:v>
      </x:c>
      <x:c r="K520" s="14" t="str">
        <x:v>东门</x:v>
      </x:c>
      <x:c r="L520" s="14" t="n">
        <x:v>1</x:v>
      </x:c>
      <x:c r="M520" s="14" t="str">
        <x:v>16:16</x:v>
      </x:c>
      <x:c r="N520" s="14" t="str">
        <x:v>否</x:v>
      </x:c>
      <x:c r="O520" s="14" t="str">
        <x:v>否</x:v>
      </x:c>
      <x:c r="P520" s="14" t="str">
        <x:v>未提供</x:v>
      </x:c>
      <x:c r="Q520" s="14" t="str">
        <x:v>未提供</x:v>
      </x:c>
      <x:c r="R520" s="14" t="str">
        <x:v>预测</x:v>
      </x:c>
      <x:c r="S520" s="14" t="str">
        <x:v>到站时间为估算值</x:v>
      </x:c>
      <x:c r="T520" t="str">
        <x:v>研究生宿舍楼发车</x:v>
      </x:c>
    </x:row>
    <x:row r="521">
      <x:c r="A521" s="14" t="str">
        <x:v>S0042-03</x:v>
      </x:c>
      <x:c r="B521" s="14" t="str">
        <x:v>S0042</x:v>
      </x:c>
      <x:c r="C521" s="14" t="str">
        <x:v>工作日</x:v>
      </x:c>
      <x:c r="D521" s="14" t="str">
        <x:v>环线1路</x:v>
      </x:c>
      <x:c r="E521" s="14" t="str">
        <x:v>第五班（夜2）</x:v>
      </x:c>
      <x:c r="F521" s="14" t="n">
        <x:v>1</x:v>
      </x:c>
      <x:c r="G521" s="14" t="str">
        <x:v>16:15</x:v>
      </x:c>
      <x:c r="H521" s="14" t="str">
        <x:v>研究生宿舍楼</x:v>
      </x:c>
      <x:c r="I521" s="14" t="str">
        <x:v>否</x:v>
      </x:c>
      <x:c r="J521" s="14" t="n">
        <x:v>3</x:v>
      </x:c>
      <x:c r="K521" s="14" t="str">
        <x:v>2号宿舍楼</x:v>
      </x:c>
      <x:c r="L521" s="14" t="n">
        <x:v>2</x:v>
      </x:c>
      <x:c r="M521" s="14" t="str">
        <x:v>16:17</x:v>
      </x:c>
      <x:c r="N521" s="14" t="str">
        <x:v>否</x:v>
      </x:c>
      <x:c r="O521" s="14" t="str">
        <x:v>否</x:v>
      </x:c>
      <x:c r="P521" s="14" t="str">
        <x:v>未提供</x:v>
      </x:c>
      <x:c r="Q521" s="14" t="str">
        <x:v>未提供</x:v>
      </x:c>
      <x:c r="R521" s="14" t="str">
        <x:v>预测</x:v>
      </x:c>
      <x:c r="S521" s="14" t="str">
        <x:v>到站时间为估算值</x:v>
      </x:c>
      <x:c r="T521" t="str">
        <x:v>研究生宿舍楼发车</x:v>
      </x:c>
    </x:row>
    <x:row r="522">
      <x:c r="A522" s="14" t="str">
        <x:v>S0042-04</x:v>
      </x:c>
      <x:c r="B522" s="14" t="str">
        <x:v>S0042</x:v>
      </x:c>
      <x:c r="C522" s="14" t="str">
        <x:v>工作日</x:v>
      </x:c>
      <x:c r="D522" s="14" t="str">
        <x:v>环线1路</x:v>
      </x:c>
      <x:c r="E522" s="14" t="str">
        <x:v>第五班（夜2）</x:v>
      </x:c>
      <x:c r="F522" s="14" t="n">
        <x:v>1</x:v>
      </x:c>
      <x:c r="G522" s="14" t="str">
        <x:v>16:15</x:v>
      </x:c>
      <x:c r="H522" s="14" t="str">
        <x:v>研究生宿舍楼</x:v>
      </x:c>
      <x:c r="I522" s="14" t="str">
        <x:v>否</x:v>
      </x:c>
      <x:c r="J522" s="14" t="n">
        <x:v>4</x:v>
      </x:c>
      <x:c r="K522" s="14" t="str">
        <x:v>军体活动中心</x:v>
      </x:c>
      <x:c r="L522" s="14" t="n">
        <x:v>3</x:v>
      </x:c>
      <x:c r="M522" s="14" t="str">
        <x:v>16:18</x:v>
      </x:c>
      <x:c r="N522" s="14" t="str">
        <x:v>否</x:v>
      </x:c>
      <x:c r="O522" s="14" t="str">
        <x:v>否</x:v>
      </x:c>
      <x:c r="P522" s="14" t="str">
        <x:v>未提供</x:v>
      </x:c>
      <x:c r="Q522" s="14" t="str">
        <x:v>未提供</x:v>
      </x:c>
      <x:c r="R522" s="14" t="str">
        <x:v>预测</x:v>
      </x:c>
      <x:c r="S522" s="14" t="str">
        <x:v>到站时间为估算值</x:v>
      </x:c>
      <x:c r="T522" t="str">
        <x:v>研究生宿舍楼发车</x:v>
      </x:c>
    </x:row>
    <x:row r="523">
      <x:c r="A523" s="14" t="str">
        <x:v>S0042-05</x:v>
      </x:c>
      <x:c r="B523" s="14" t="str">
        <x:v>S0042</x:v>
      </x:c>
      <x:c r="C523" s="14" t="str">
        <x:v>工作日</x:v>
      </x:c>
      <x:c r="D523" s="14" t="str">
        <x:v>环线1路</x:v>
      </x:c>
      <x:c r="E523" s="14" t="str">
        <x:v>第五班（夜2）</x:v>
      </x:c>
      <x:c r="F523" s="14" t="n">
        <x:v>1</x:v>
      </x:c>
      <x:c r="G523" s="14" t="str">
        <x:v>16:15</x:v>
      </x:c>
      <x:c r="H523" s="14" t="str">
        <x:v>研究生宿舍楼</x:v>
      </x:c>
      <x:c r="I523" s="14" t="str">
        <x:v>否</x:v>
      </x:c>
      <x:c r="J523" s="14" t="n">
        <x:v>5</x:v>
      </x:c>
      <x:c r="K523" s="14" t="str">
        <x:v>激光所</x:v>
      </x:c>
      <x:c r="L523" s="14" t="n">
        <x:v>5</x:v>
      </x:c>
      <x:c r="M523" s="14" t="str">
        <x:v>16:20</x:v>
      </x:c>
      <x:c r="N523" s="14" t="str">
        <x:v>否</x:v>
      </x:c>
      <x:c r="O523" s="14" t="str">
        <x:v>否</x:v>
      </x:c>
      <x:c r="P523" s="14" t="str">
        <x:v>未提供</x:v>
      </x:c>
      <x:c r="Q523" s="14" t="str">
        <x:v>未提供</x:v>
      </x:c>
      <x:c r="R523" s="14" t="str">
        <x:v>预测</x:v>
      </x:c>
      <x:c r="S523" s="14" t="str">
        <x:v>到站时间为估算值</x:v>
      </x:c>
      <x:c r="T523" t="str">
        <x:v>研究生宿舍楼发车</x:v>
      </x:c>
    </x:row>
    <x:row r="524">
      <x:c r="A524" s="14" t="str">
        <x:v>S0042-06</x:v>
      </x:c>
      <x:c r="B524" s="14" t="str">
        <x:v>S0042</x:v>
      </x:c>
      <x:c r="C524" s="14" t="str">
        <x:v>工作日</x:v>
      </x:c>
      <x:c r="D524" s="14" t="str">
        <x:v>环线1路</x:v>
      </x:c>
      <x:c r="E524" s="14" t="str">
        <x:v>第五班（夜2）</x:v>
      </x:c>
      <x:c r="F524" s="14" t="n">
        <x:v>1</x:v>
      </x:c>
      <x:c r="G524" s="14" t="str">
        <x:v>16:15</x:v>
      </x:c>
      <x:c r="H524" s="14" t="str">
        <x:v>研究生宿舍楼</x:v>
      </x:c>
      <x:c r="I524" s="14" t="str">
        <x:v>否</x:v>
      </x:c>
      <x:c r="J524" s="14" t="n">
        <x:v>6</x:v>
      </x:c>
      <x:c r="K524" s="14" t="str">
        <x:v>超算中心</x:v>
      </x:c>
      <x:c r="L524" s="14" t="n">
        <x:v>6</x:v>
      </x:c>
      <x:c r="M524" s="14" t="str">
        <x:v>16:21</x:v>
      </x:c>
      <x:c r="N524" s="14" t="str">
        <x:v>否</x:v>
      </x:c>
      <x:c r="O524" s="14" t="str">
        <x:v>否</x:v>
      </x:c>
      <x:c r="P524" s="14" t="str">
        <x:v>未提供</x:v>
      </x:c>
      <x:c r="Q524" s="14" t="str">
        <x:v>未提供</x:v>
      </x:c>
      <x:c r="R524" s="14" t="str">
        <x:v>预测</x:v>
      </x:c>
      <x:c r="S524" s="14" t="str">
        <x:v>到站时间为估算值</x:v>
      </x:c>
      <x:c r="T524" t="str">
        <x:v>研究生宿舍楼发车</x:v>
      </x:c>
    </x:row>
    <x:row r="525">
      <x:c r="A525" s="14" t="str">
        <x:v>S0042-07</x:v>
      </x:c>
      <x:c r="B525" s="14" t="str">
        <x:v>S0042</x:v>
      </x:c>
      <x:c r="C525" s="14" t="str">
        <x:v>工作日</x:v>
      </x:c>
      <x:c r="D525" s="14" t="str">
        <x:v>环线1路</x:v>
      </x:c>
      <x:c r="E525" s="14" t="str">
        <x:v>第五班（夜2）</x:v>
      </x:c>
      <x:c r="F525" s="14" t="n">
        <x:v>1</x:v>
      </x:c>
      <x:c r="G525" s="14" t="str">
        <x:v>16:15</x:v>
      </x:c>
      <x:c r="H525" s="14" t="str">
        <x:v>研究生宿舍楼</x:v>
      </x:c>
      <x:c r="I525" s="14" t="str">
        <x:v>否</x:v>
      </x:c>
      <x:c r="J525" s="14" t="n">
        <x:v>7</x:v>
      </x:c>
      <x:c r="K525" s="14" t="str">
        <x:v>北门</x:v>
      </x:c>
      <x:c r="L525" s="14" t="n">
        <x:v>8</x:v>
      </x:c>
      <x:c r="M525" s="14" t="str">
        <x:v>16:23</x:v>
      </x:c>
      <x:c r="N525" s="14" t="str">
        <x:v>否</x:v>
      </x:c>
      <x:c r="O525" s="14" t="str">
        <x:v>否</x:v>
      </x:c>
      <x:c r="P525" s="14" t="str">
        <x:v>未提供</x:v>
      </x:c>
      <x:c r="Q525" s="14" t="str">
        <x:v>未提供</x:v>
      </x:c>
      <x:c r="R525" s="14" t="str">
        <x:v>预测</x:v>
      </x:c>
      <x:c r="S525" s="14" t="str">
        <x:v>到站时间为估算值</x:v>
      </x:c>
      <x:c r="T525" t="str">
        <x:v>研究生宿舍楼发车</x:v>
      </x:c>
    </x:row>
    <x:row r="526">
      <x:c r="A526" s="14" t="str">
        <x:v>S0042-08</x:v>
      </x:c>
      <x:c r="B526" s="14" t="str">
        <x:v>S0042</x:v>
      </x:c>
      <x:c r="C526" s="14" t="str">
        <x:v>工作日</x:v>
      </x:c>
      <x:c r="D526" s="14" t="str">
        <x:v>环线1路</x:v>
      </x:c>
      <x:c r="E526" s="14" t="str">
        <x:v>第五班（夜2）</x:v>
      </x:c>
      <x:c r="F526" s="14" t="n">
        <x:v>1</x:v>
      </x:c>
      <x:c r="G526" s="14" t="str">
        <x:v>16:15</x:v>
      </x:c>
      <x:c r="H526" s="14" t="str">
        <x:v>研究生宿舍楼</x:v>
      </x:c>
      <x:c r="I526" s="14" t="str">
        <x:v>否</x:v>
      </x:c>
      <x:c r="J526" s="14" t="n">
        <x:v>8</x:v>
      </x:c>
      <x:c r="K526" s="14" t="str">
        <x:v>高超楼</x:v>
      </x:c>
      <x:c r="L526" s="14" t="n">
        <x:v>9</x:v>
      </x:c>
      <x:c r="M526" s="14" t="str">
        <x:v>16:24</x:v>
      </x:c>
      <x:c r="N526" s="14" t="str">
        <x:v>否</x:v>
      </x:c>
      <x:c r="O526" s="14" t="str">
        <x:v>否</x:v>
      </x:c>
      <x:c r="P526" s="14" t="str">
        <x:v>未提供</x:v>
      </x:c>
      <x:c r="Q526" s="14" t="str">
        <x:v>未提供</x:v>
      </x:c>
      <x:c r="R526" s="14" t="str">
        <x:v>预测</x:v>
      </x:c>
      <x:c r="S526" s="14" t="str">
        <x:v>到站时间为估算值</x:v>
      </x:c>
      <x:c r="T526" t="str">
        <x:v>研究生宿舍楼发车</x:v>
      </x:c>
    </x:row>
    <x:row r="527">
      <x:c r="A527" s="14" t="str">
        <x:v>S0042-09</x:v>
      </x:c>
      <x:c r="B527" s="14" t="str">
        <x:v>S0042</x:v>
      </x:c>
      <x:c r="C527" s="14" t="str">
        <x:v>工作日</x:v>
      </x:c>
      <x:c r="D527" s="14" t="str">
        <x:v>环线1路</x:v>
      </x:c>
      <x:c r="E527" s="14" t="str">
        <x:v>第五班（夜2）</x:v>
      </x:c>
      <x:c r="F527" s="14" t="n">
        <x:v>1</x:v>
      </x:c>
      <x:c r="G527" s="14" t="str">
        <x:v>16:15</x:v>
      </x:c>
      <x:c r="H527" s="14" t="str">
        <x:v>研究生宿舍楼</x:v>
      </x:c>
      <x:c r="I527" s="14" t="str">
        <x:v>否</x:v>
      </x:c>
      <x:c r="J527" s="14" t="n">
        <x:v>9</x:v>
      </x:c>
      <x:c r="K527" s="14" t="str">
        <x:v>理学院</x:v>
      </x:c>
      <x:c r="L527" s="14" t="n">
        <x:v>10</x:v>
      </x:c>
      <x:c r="M527" s="14" t="str">
        <x:v>16:25</x:v>
      </x:c>
      <x:c r="N527" s="14" t="str">
        <x:v>否</x:v>
      </x:c>
      <x:c r="O527" s="14" t="str">
        <x:v>否</x:v>
      </x:c>
      <x:c r="P527" s="14" t="str">
        <x:v>未提供</x:v>
      </x:c>
      <x:c r="Q527" s="14" t="str">
        <x:v>未提供</x:v>
      </x:c>
      <x:c r="R527" s="14" t="str">
        <x:v>预测</x:v>
      </x:c>
      <x:c r="S527" s="14" t="str">
        <x:v>到站时间为估算值</x:v>
      </x:c>
      <x:c r="T527" t="str">
        <x:v>研究生宿舍楼发车</x:v>
      </x:c>
    </x:row>
    <x:row r="528">
      <x:c r="A528" s="14" t="str">
        <x:v>S0042-10</x:v>
      </x:c>
      <x:c r="B528" s="14" t="str">
        <x:v>S0042</x:v>
      </x:c>
      <x:c r="C528" s="14" t="str">
        <x:v>工作日</x:v>
      </x:c>
      <x:c r="D528" s="14" t="str">
        <x:v>环线1路</x:v>
      </x:c>
      <x:c r="E528" s="14" t="str">
        <x:v>第五班（夜2）</x:v>
      </x:c>
      <x:c r="F528" s="14" t="n">
        <x:v>1</x:v>
      </x:c>
      <x:c r="G528" s="14" t="str">
        <x:v>16:15</x:v>
      </x:c>
      <x:c r="H528" s="14" t="str">
        <x:v>研究生宿舍楼</x:v>
      </x:c>
      <x:c r="I528" s="14" t="str">
        <x:v>否</x:v>
      </x:c>
      <x:c r="J528" s="14" t="n">
        <x:v>10</x:v>
      </x:c>
      <x:c r="K528" s="14" t="str">
        <x:v>二食堂</x:v>
      </x:c>
      <x:c r="L528" s="14" t="n">
        <x:v>13</x:v>
      </x:c>
      <x:c r="M528" s="14" t="str">
        <x:v>16:28</x:v>
      </x:c>
      <x:c r="N528" s="14" t="str">
        <x:v>否</x:v>
      </x:c>
      <x:c r="O528" s="14" t="str">
        <x:v>否</x:v>
      </x:c>
      <x:c r="P528" s="14" t="str">
        <x:v>未提供</x:v>
      </x:c>
      <x:c r="Q528" s="14" t="str">
        <x:v>未提供</x:v>
      </x:c>
      <x:c r="R528" s="14" t="str">
        <x:v>预测</x:v>
      </x:c>
      <x:c r="S528" s="14" t="str">
        <x:v>到站时间为估算值</x:v>
      </x:c>
      <x:c r="T528" t="str">
        <x:v>研究生宿舍楼发车</x:v>
      </x:c>
    </x:row>
    <x:row r="529">
      <x:c r="A529" s="14" t="str">
        <x:v>S0042-11</x:v>
      </x:c>
      <x:c r="B529" s="14" t="str">
        <x:v>S0042</x:v>
      </x:c>
      <x:c r="C529" s="14" t="str">
        <x:v>工作日</x:v>
      </x:c>
      <x:c r="D529" s="14" t="str">
        <x:v>环线1路</x:v>
      </x:c>
      <x:c r="E529" s="14" t="str">
        <x:v>第五班（夜2）</x:v>
      </x:c>
      <x:c r="F529" s="14" t="n">
        <x:v>1</x:v>
      </x:c>
      <x:c r="G529" s="14" t="str">
        <x:v>16:15</x:v>
      </x:c>
      <x:c r="H529" s="14" t="str">
        <x:v>研究生宿舍楼</x:v>
      </x:c>
      <x:c r="I529" s="14" t="str">
        <x:v>否</x:v>
      </x:c>
      <x:c r="J529" s="14" t="n">
        <x:v>11</x:v>
      </x:c>
      <x:c r="K529" s="14" t="str">
        <x:v>5号宿舍楼</x:v>
      </x:c>
      <x:c r="L529" s="14" t="n">
        <x:v>14</x:v>
      </x:c>
      <x:c r="M529" s="14" t="str">
        <x:v>16:29</x:v>
      </x:c>
      <x:c r="N529" s="14" t="str">
        <x:v>否</x:v>
      </x:c>
      <x:c r="O529" s="14" t="str">
        <x:v>否</x:v>
      </x:c>
      <x:c r="P529" s="14" t="str">
        <x:v>未提供</x:v>
      </x:c>
      <x:c r="Q529" s="14" t="str">
        <x:v>未提供</x:v>
      </x:c>
      <x:c r="R529" s="14" t="str">
        <x:v>预测</x:v>
      </x:c>
      <x:c r="S529" s="14" t="str">
        <x:v>到站时间为估算值</x:v>
      </x:c>
      <x:c r="T529" t="str">
        <x:v>研究生宿舍楼发车</x:v>
      </x:c>
    </x:row>
    <x:row r="530">
      <x:c r="A530" s="14" t="str">
        <x:v>S0042-12</x:v>
      </x:c>
      <x:c r="B530" s="14" t="str">
        <x:v>S0042</x:v>
      </x:c>
      <x:c r="C530" s="14" t="str">
        <x:v>工作日</x:v>
      </x:c>
      <x:c r="D530" s="14" t="str">
        <x:v>环线1路</x:v>
      </x:c>
      <x:c r="E530" s="14" t="str">
        <x:v>第五班（夜2）</x:v>
      </x:c>
      <x:c r="F530" s="14" t="n">
        <x:v>1</x:v>
      </x:c>
      <x:c r="G530" s="14" t="str">
        <x:v>16:15</x:v>
      </x:c>
      <x:c r="H530" s="14" t="str">
        <x:v>研究生宿舍楼</x:v>
      </x:c>
      <x:c r="I530" s="14" t="str">
        <x:v>否</x:v>
      </x:c>
      <x:c r="J530" s="14" t="n">
        <x:v>12</x:v>
      </x:c>
      <x:c r="K530" s="14" t="str">
        <x:v>305教学楼</x:v>
      </x:c>
      <x:c r="L530" s="14" t="n">
        <x:v>15</x:v>
      </x:c>
      <x:c r="M530" s="14" t="str">
        <x:v>16:30</x:v>
      </x:c>
      <x:c r="N530" s="14" t="str">
        <x:v>否</x:v>
      </x:c>
      <x:c r="O530" s="14" t="str">
        <x:v>否</x:v>
      </x:c>
      <x:c r="P530" s="14" t="str">
        <x:v>未提供</x:v>
      </x:c>
      <x:c r="Q530" s="14" t="str">
        <x:v>未提供</x:v>
      </x:c>
      <x:c r="R530" s="14" t="str">
        <x:v>预测</x:v>
      </x:c>
      <x:c r="S530" s="14" t="str">
        <x:v>到站时间为估算值</x:v>
      </x:c>
      <x:c r="T530" t="str">
        <x:v>研究生宿舍楼发车</x:v>
      </x:c>
    </x:row>
    <x:row r="531">
      <x:c r="A531" s="14" t="str">
        <x:v>S0042-13</x:v>
      </x:c>
      <x:c r="B531" s="14" t="str">
        <x:v>S0042</x:v>
      </x:c>
      <x:c r="C531" s="14" t="str">
        <x:v>工作日</x:v>
      </x:c>
      <x:c r="D531" s="14" t="str">
        <x:v>环线1路</x:v>
      </x:c>
      <x:c r="E531" s="14" t="str">
        <x:v>第五班（夜2）</x:v>
      </x:c>
      <x:c r="F531" s="14" t="n">
        <x:v>1</x:v>
      </x:c>
      <x:c r="G531" s="14" t="str">
        <x:v>16:15</x:v>
      </x:c>
      <x:c r="H531" s="14" t="str">
        <x:v>研究生宿舍楼</x:v>
      </x:c>
      <x:c r="I531" s="14" t="str">
        <x:v>否</x:v>
      </x:c>
      <x:c r="J531" s="14" t="n">
        <x:v>13</x:v>
      </x:c>
      <x:c r="K531" s="14" t="str">
        <x:v>研究生宿舍楼</x:v>
      </x:c>
      <x:c r="L531" s="14" t="n">
        <x:v>17</x:v>
      </x:c>
      <x:c r="M531" s="14" t="str">
        <x:v>16:32</x:v>
      </x:c>
      <x:c r="N531" s="14" t="str">
        <x:v>否</x:v>
      </x:c>
      <x:c r="O531" s="14" t="str">
        <x:v>是</x:v>
      </x:c>
      <x:c r="P531" s="14" t="str">
        <x:v>未提供</x:v>
      </x:c>
      <x:c r="Q531" s="14" t="str">
        <x:v>未提供</x:v>
      </x:c>
      <x:c r="R531" s="14" t="str">
        <x:v>预测</x:v>
      </x:c>
      <x:c r="S531" s="14" t="str">
        <x:v>到站时间为估算值</x:v>
      </x:c>
      <x:c r="T531" t="str">
        <x:v>研究生宿舍楼发车</x:v>
      </x:c>
    </x:row>
    <x:row r="532">
      <x:c r="A532" s="14" t="str">
        <x:v>S0043-01</x:v>
      </x:c>
      <x:c r="B532" s="14" t="str">
        <x:v>S0043</x:v>
      </x:c>
      <x:c r="C532" s="14" t="str">
        <x:v>工作日</x:v>
      </x:c>
      <x:c r="D532" s="14" t="str">
        <x:v>环线1路</x:v>
      </x:c>
      <x:c r="E532" s="14" t="str">
        <x:v>第五班（夜2）</x:v>
      </x:c>
      <x:c r="F532" s="14" t="n">
        <x:v>2</x:v>
      </x:c>
      <x:c r="G532" s="14" t="str">
        <x:v>16:30</x:v>
      </x:c>
      <x:c r="H532" s="14" t="str">
        <x:v>高超楼（就餐专线）</x:v>
      </x:c>
      <x:c r="I532" s="14" t="str">
        <x:v>是</x:v>
      </x:c>
      <x:c r="J532" s="14" t="n">
        <x:v>1</x:v>
      </x:c>
      <x:c r="K532" s="14" t="str">
        <x:v>高超楼</x:v>
      </x:c>
      <x:c r="L532" s="14" t="n">
        <x:v>0</x:v>
      </x:c>
      <x:c r="M532" s="14" t="str">
        <x:v>16:30</x:v>
      </x:c>
      <x:c r="N532" s="14" t="str">
        <x:v>是</x:v>
      </x:c>
      <x:c r="O532" s="14" t="str">
        <x:v>否</x:v>
      </x:c>
      <x:c r="P532" s="14" t="str">
        <x:v>未提供</x:v>
      </x:c>
      <x:c r="Q532" s="14" t="str">
        <x:v>未提供</x:v>
      </x:c>
      <x:c r="R532" s="14" t="str">
        <x:v>预测</x:v>
      </x:c>
      <x:c r="S532" s="14" t="str">
        <x:v>到站时间为估算值；该打勾车次按就餐专线运行</x:v>
      </x:c>
      <x:c r="T532" t="str">
        <x:v>高超楼发车（就餐专线）</x:v>
      </x:c>
    </x:row>
    <x:row r="533">
      <x:c r="A533" s="14" t="str">
        <x:v>S0043-02</x:v>
      </x:c>
      <x:c r="B533" s="14" t="str">
        <x:v>S0043</x:v>
      </x:c>
      <x:c r="C533" s="14" t="str">
        <x:v>工作日</x:v>
      </x:c>
      <x:c r="D533" s="14" t="str">
        <x:v>环线1路</x:v>
      </x:c>
      <x:c r="E533" s="14" t="str">
        <x:v>第五班（夜2）</x:v>
      </x:c>
      <x:c r="F533" s="14" t="n">
        <x:v>2</x:v>
      </x:c>
      <x:c r="G533" s="14" t="str">
        <x:v>16:30</x:v>
      </x:c>
      <x:c r="H533" s="14" t="str">
        <x:v>高超楼（就餐专线）</x:v>
      </x:c>
      <x:c r="I533" s="14" t="str">
        <x:v>是</x:v>
      </x:c>
      <x:c r="J533" s="14" t="n">
        <x:v>2</x:v>
      </x:c>
      <x:c r="K533" s="14" t="str">
        <x:v>理学院</x:v>
      </x:c>
      <x:c r="L533" s="14" t="n">
        <x:v>1</x:v>
      </x:c>
      <x:c r="M533" s="14" t="str">
        <x:v>16:31</x:v>
      </x:c>
      <x:c r="N533" s="14" t="str">
        <x:v>否</x:v>
      </x:c>
      <x:c r="O533" s="14" t="str">
        <x:v>否</x:v>
      </x:c>
      <x:c r="P533" s="14" t="str">
        <x:v>未提供</x:v>
      </x:c>
      <x:c r="Q533" s="14" t="str">
        <x:v>未提供</x:v>
      </x:c>
      <x:c r="R533" s="14" t="str">
        <x:v>预测</x:v>
      </x:c>
      <x:c r="S533" s="14" t="str">
        <x:v>到站时间为估算值；该打勾车次按就餐专线运行</x:v>
      </x:c>
      <x:c r="T533" t="str">
        <x:v>高超楼发车（就餐专线）</x:v>
      </x:c>
    </x:row>
    <x:row r="534">
      <x:c r="A534" s="14" t="str">
        <x:v>S0043-03</x:v>
      </x:c>
      <x:c r="B534" s="14" t="str">
        <x:v>S0043</x:v>
      </x:c>
      <x:c r="C534" s="14" t="str">
        <x:v>工作日</x:v>
      </x:c>
      <x:c r="D534" s="14" t="str">
        <x:v>环线1路</x:v>
      </x:c>
      <x:c r="E534" s="14" t="str">
        <x:v>第五班（夜2）</x:v>
      </x:c>
      <x:c r="F534" s="14" t="n">
        <x:v>2</x:v>
      </x:c>
      <x:c r="G534" s="14" t="str">
        <x:v>16:30</x:v>
      </x:c>
      <x:c r="H534" s="14" t="str">
        <x:v>高超楼（就餐专线）</x:v>
      </x:c>
      <x:c r="I534" s="14" t="str">
        <x:v>是</x:v>
      </x:c>
      <x:c r="J534" s="14" t="n">
        <x:v>3</x:v>
      </x:c>
      <x:c r="K534" s="14" t="str">
        <x:v>二食堂</x:v>
      </x:c>
      <x:c r="L534" s="14" t="n">
        <x:v>4</x:v>
      </x:c>
      <x:c r="M534" s="14" t="str">
        <x:v>16:34</x:v>
      </x:c>
      <x:c r="N534" s="14" t="str">
        <x:v>否</x:v>
      </x:c>
      <x:c r="O534" s="14" t="str">
        <x:v>否</x:v>
      </x:c>
      <x:c r="P534" s="14" t="str">
        <x:v>未提供</x:v>
      </x:c>
      <x:c r="Q534" s="14" t="str">
        <x:v>未提供</x:v>
      </x:c>
      <x:c r="R534" s="14" t="str">
        <x:v>预测</x:v>
      </x:c>
      <x:c r="S534" s="14" t="str">
        <x:v>到站时间为估算值；该打勾车次按就餐专线运行</x:v>
      </x:c>
      <x:c r="T534" t="str">
        <x:v>高超楼发车（就餐专线）</x:v>
      </x:c>
    </x:row>
    <x:row r="535">
      <x:c r="A535" s="14" t="str">
        <x:v>S0043-04</x:v>
      </x:c>
      <x:c r="B535" s="14" t="str">
        <x:v>S0043</x:v>
      </x:c>
      <x:c r="C535" s="14" t="str">
        <x:v>工作日</x:v>
      </x:c>
      <x:c r="D535" s="14" t="str">
        <x:v>环线1路</x:v>
      </x:c>
      <x:c r="E535" s="14" t="str">
        <x:v>第五班（夜2）</x:v>
      </x:c>
      <x:c r="F535" s="14" t="n">
        <x:v>2</x:v>
      </x:c>
      <x:c r="G535" s="14" t="str">
        <x:v>16:30</x:v>
      </x:c>
      <x:c r="H535" s="14" t="str">
        <x:v>高超楼（就餐专线）</x:v>
      </x:c>
      <x:c r="I535" s="14" t="str">
        <x:v>是</x:v>
      </x:c>
      <x:c r="J535" s="14" t="n">
        <x:v>4</x:v>
      </x:c>
      <x:c r="K535" s="14" t="str">
        <x:v>一食堂</x:v>
      </x:c>
      <x:c r="L535" s="14" t="n">
        <x:v>6</x:v>
      </x:c>
      <x:c r="M535" s="14" t="str">
        <x:v>16:36</x:v>
      </x:c>
      <x:c r="N535" s="14" t="str">
        <x:v>否</x:v>
      </x:c>
      <x:c r="O535" s="14" t="str">
        <x:v>否</x:v>
      </x:c>
      <x:c r="P535" s="14" t="str">
        <x:v>未提供</x:v>
      </x:c>
      <x:c r="Q535" s="14" t="str">
        <x:v>未提供</x:v>
      </x:c>
      <x:c r="R535" s="14" t="str">
        <x:v>预测</x:v>
      </x:c>
      <x:c r="S535" s="14" t="str">
        <x:v>到站时间为估算值；该打勾车次按就餐专线运行</x:v>
      </x:c>
      <x:c r="T535" t="str">
        <x:v>高超楼发车（就餐专线）</x:v>
      </x:c>
    </x:row>
    <x:row r="536">
      <x:c r="A536" s="14" t="str">
        <x:v>S0043-05</x:v>
      </x:c>
      <x:c r="B536" s="14" t="str">
        <x:v>S0043</x:v>
      </x:c>
      <x:c r="C536" s="14" t="str">
        <x:v>工作日</x:v>
      </x:c>
      <x:c r="D536" s="14" t="str">
        <x:v>环线1路</x:v>
      </x:c>
      <x:c r="E536" s="14" t="str">
        <x:v>第五班（夜2）</x:v>
      </x:c>
      <x:c r="F536" s="14" t="n">
        <x:v>2</x:v>
      </x:c>
      <x:c r="G536" s="14" t="str">
        <x:v>16:30</x:v>
      </x:c>
      <x:c r="H536" s="14" t="str">
        <x:v>高超楼（就餐专线）</x:v>
      </x:c>
      <x:c r="I536" s="14" t="str">
        <x:v>是</x:v>
      </x:c>
      <x:c r="J536" s="14" t="n">
        <x:v>5</x:v>
      </x:c>
      <x:c r="K536" s="14" t="str">
        <x:v>305教学楼</x:v>
      </x:c>
      <x:c r="L536" s="14" t="n">
        <x:v>8</x:v>
      </x:c>
      <x:c r="M536" s="14" t="str">
        <x:v>16:38</x:v>
      </x:c>
      <x:c r="N536" s="14" t="str">
        <x:v>否</x:v>
      </x:c>
      <x:c r="O536" s="14" t="str">
        <x:v>否</x:v>
      </x:c>
      <x:c r="P536" s="14" t="str">
        <x:v>未提供</x:v>
      </x:c>
      <x:c r="Q536" s="14" t="str">
        <x:v>未提供</x:v>
      </x:c>
      <x:c r="R536" s="14" t="str">
        <x:v>预测</x:v>
      </x:c>
      <x:c r="S536" s="14" t="str">
        <x:v>到站时间为估算值；该打勾车次按就餐专线运行</x:v>
      </x:c>
      <x:c r="T536" t="str">
        <x:v>高超楼发车（就餐专线）</x:v>
      </x:c>
    </x:row>
    <x:row r="537">
      <x:c r="A537" s="14" t="str">
        <x:v>S0043-06</x:v>
      </x:c>
      <x:c r="B537" s="14" t="str">
        <x:v>S0043</x:v>
      </x:c>
      <x:c r="C537" s="14" t="str">
        <x:v>工作日</x:v>
      </x:c>
      <x:c r="D537" s="14" t="str">
        <x:v>环线1路</x:v>
      </x:c>
      <x:c r="E537" s="14" t="str">
        <x:v>第五班（夜2）</x:v>
      </x:c>
      <x:c r="F537" s="14" t="n">
        <x:v>2</x:v>
      </x:c>
      <x:c r="G537" s="14" t="str">
        <x:v>16:30</x:v>
      </x:c>
      <x:c r="H537" s="14" t="str">
        <x:v>高超楼（就餐专线）</x:v>
      </x:c>
      <x:c r="I537" s="14" t="str">
        <x:v>是</x:v>
      </x:c>
      <x:c r="J537" s="14" t="n">
        <x:v>6</x:v>
      </x:c>
      <x:c r="K537" s="14" t="str">
        <x:v>5号宿舍楼</x:v>
      </x:c>
      <x:c r="L537" s="14" t="n">
        <x:v>10</x:v>
      </x:c>
      <x:c r="M537" s="14" t="str">
        <x:v>16:40</x:v>
      </x:c>
      <x:c r="N537" s="14" t="str">
        <x:v>否</x:v>
      </x:c>
      <x:c r="O537" s="14" t="str">
        <x:v>否</x:v>
      </x:c>
      <x:c r="P537" s="14" t="str">
        <x:v>未提供</x:v>
      </x:c>
      <x:c r="Q537" s="14" t="str">
        <x:v>未提供</x:v>
      </x:c>
      <x:c r="R537" s="14" t="str">
        <x:v>预测</x:v>
      </x:c>
      <x:c r="S537" s="14" t="str">
        <x:v>到站时间为估算值；该打勾车次按就餐专线运行</x:v>
      </x:c>
      <x:c r="T537" t="str">
        <x:v>高超楼发车（就餐专线）</x:v>
      </x:c>
    </x:row>
    <x:row r="538">
      <x:c r="A538" s="14" t="str">
        <x:v>S0043-07</x:v>
      </x:c>
      <x:c r="B538" s="14" t="str">
        <x:v>S0043</x:v>
      </x:c>
      <x:c r="C538" s="14" t="str">
        <x:v>工作日</x:v>
      </x:c>
      <x:c r="D538" s="14" t="str">
        <x:v>环线1路</x:v>
      </x:c>
      <x:c r="E538" s="14" t="str">
        <x:v>第五班（夜2）</x:v>
      </x:c>
      <x:c r="F538" s="14" t="n">
        <x:v>2</x:v>
      </x:c>
      <x:c r="G538" s="14" t="str">
        <x:v>16:30</x:v>
      </x:c>
      <x:c r="H538" s="14" t="str">
        <x:v>高超楼（就餐专线）</x:v>
      </x:c>
      <x:c r="I538" s="14" t="str">
        <x:v>是</x:v>
      </x:c>
      <x:c r="J538" s="14" t="n">
        <x:v>7</x:v>
      </x:c>
      <x:c r="K538" s="14" t="str">
        <x:v>二食堂北</x:v>
      </x:c>
      <x:c r="L538" s="14" t="n">
        <x:v>12</x:v>
      </x:c>
      <x:c r="M538" s="14" t="str">
        <x:v>16:42</x:v>
      </x:c>
      <x:c r="N538" s="14" t="str">
        <x:v>否</x:v>
      </x:c>
      <x:c r="O538" s="14" t="str">
        <x:v>否</x:v>
      </x:c>
      <x:c r="P538" s="14" t="str">
        <x:v>未提供</x:v>
      </x:c>
      <x:c r="Q538" s="14" t="str">
        <x:v>未提供</x:v>
      </x:c>
      <x:c r="R538" s="14" t="str">
        <x:v>预测</x:v>
      </x:c>
      <x:c r="S538" s="14" t="str">
        <x:v>到站时间为估算值；该打勾车次按就餐专线运行</x:v>
      </x:c>
      <x:c r="T538" t="str">
        <x:v>高超楼发车（就餐专线）</x:v>
      </x:c>
    </x:row>
    <x:row r="539">
      <x:c r="A539" s="14" t="str">
        <x:v>S0043-08</x:v>
      </x:c>
      <x:c r="B539" s="14" t="str">
        <x:v>S0043</x:v>
      </x:c>
      <x:c r="C539" s="14" t="str">
        <x:v>工作日</x:v>
      </x:c>
      <x:c r="D539" s="14" t="str">
        <x:v>环线1路</x:v>
      </x:c>
      <x:c r="E539" s="14" t="str">
        <x:v>第五班（夜2）</x:v>
      </x:c>
      <x:c r="F539" s="14" t="n">
        <x:v>2</x:v>
      </x:c>
      <x:c r="G539" s="14" t="str">
        <x:v>16:30</x:v>
      </x:c>
      <x:c r="H539" s="14" t="str">
        <x:v>高超楼（就餐专线）</x:v>
      </x:c>
      <x:c r="I539" s="14" t="str">
        <x:v>是</x:v>
      </x:c>
      <x:c r="J539" s="14" t="n">
        <x:v>8</x:v>
      </x:c>
      <x:c r="K539" s="14" t="str">
        <x:v>理学院</x:v>
      </x:c>
      <x:c r="L539" s="14" t="n">
        <x:v>15</x:v>
      </x:c>
      <x:c r="M539" s="14" t="str">
        <x:v>16:45</x:v>
      </x:c>
      <x:c r="N539" s="14" t="str">
        <x:v>否</x:v>
      </x:c>
      <x:c r="O539" s="14" t="str">
        <x:v>否</x:v>
      </x:c>
      <x:c r="P539" s="14" t="str">
        <x:v>未提供</x:v>
      </x:c>
      <x:c r="Q539" s="14" t="str">
        <x:v>未提供</x:v>
      </x:c>
      <x:c r="R539" s="14" t="str">
        <x:v>预测</x:v>
      </x:c>
      <x:c r="S539" s="14" t="str">
        <x:v>到站时间为估算值；该打勾车次按就餐专线运行</x:v>
      </x:c>
      <x:c r="T539" t="str">
        <x:v>高超楼发车（就餐专线）</x:v>
      </x:c>
    </x:row>
    <x:row r="540">
      <x:c r="A540" s="14" t="str">
        <x:v>S0043-09</x:v>
      </x:c>
      <x:c r="B540" s="14" t="str">
        <x:v>S0043</x:v>
      </x:c>
      <x:c r="C540" s="14" t="str">
        <x:v>工作日</x:v>
      </x:c>
      <x:c r="D540" s="14" t="str">
        <x:v>环线1路</x:v>
      </x:c>
      <x:c r="E540" s="14" t="str">
        <x:v>第五班（夜2）</x:v>
      </x:c>
      <x:c r="F540" s="14" t="n">
        <x:v>2</x:v>
      </x:c>
      <x:c r="G540" s="14" t="str">
        <x:v>16:30</x:v>
      </x:c>
      <x:c r="H540" s="14" t="str">
        <x:v>高超楼（就餐专线）</x:v>
      </x:c>
      <x:c r="I540" s="14" t="str">
        <x:v>是</x:v>
      </x:c>
      <x:c r="J540" s="14" t="n">
        <x:v>9</x:v>
      </x:c>
      <x:c r="K540" s="14" t="str">
        <x:v>高超楼</x:v>
      </x:c>
      <x:c r="L540" s="14" t="n">
        <x:v>16</x:v>
      </x:c>
      <x:c r="M540" s="14" t="str">
        <x:v>16:46</x:v>
      </x:c>
      <x:c r="N540" s="14" t="str">
        <x:v>否</x:v>
      </x:c>
      <x:c r="O540" s="14" t="str">
        <x:v>是</x:v>
      </x:c>
      <x:c r="P540" s="14" t="str">
        <x:v>未提供</x:v>
      </x:c>
      <x:c r="Q540" s="14" t="str">
        <x:v>未提供</x:v>
      </x:c>
      <x:c r="R540" s="14" t="str">
        <x:v>预测</x:v>
      </x:c>
      <x:c r="S540" s="14" t="str">
        <x:v>到站时间为估算值；该打勾车次按就餐专线运行</x:v>
      </x:c>
      <x:c r="T540" t="str">
        <x:v>高超楼发车（就餐专线）</x:v>
      </x:c>
    </x:row>
    <x:row r="541">
      <x:c r="A541" s="14" t="str">
        <x:v>S0044-01</x:v>
      </x:c>
      <x:c r="B541" s="14" t="str">
        <x:v>S0044</x:v>
      </x:c>
      <x:c r="C541" s="14" t="str">
        <x:v>工作日</x:v>
      </x:c>
      <x:c r="D541" s="14" t="str">
        <x:v>环线1路</x:v>
      </x:c>
      <x:c r="E541" s="14" t="str">
        <x:v>第五班（夜2）</x:v>
      </x:c>
      <x:c r="F541" s="14" t="n">
        <x:v>3</x:v>
      </x:c>
      <x:c r="G541" s="14" t="str">
        <x:v>16:50</x:v>
      </x:c>
      <x:c r="H541" s="14" t="str">
        <x:v>高超楼（就餐专线）</x:v>
      </x:c>
      <x:c r="I541" s="14" t="str">
        <x:v>是</x:v>
      </x:c>
      <x:c r="J541" s="14" t="n">
        <x:v>1</x:v>
      </x:c>
      <x:c r="K541" s="14" t="str">
        <x:v>高超楼</x:v>
      </x:c>
      <x:c r="L541" s="14" t="n">
        <x:v>0</x:v>
      </x:c>
      <x:c r="M541" s="14" t="str">
        <x:v>16:50</x:v>
      </x:c>
      <x:c r="N541" s="14" t="str">
        <x:v>是</x:v>
      </x:c>
      <x:c r="O541" s="14" t="str">
        <x:v>否</x:v>
      </x:c>
      <x:c r="P541" s="14" t="str">
        <x:v>未提供</x:v>
      </x:c>
      <x:c r="Q541" s="14" t="str">
        <x:v>未提供</x:v>
      </x:c>
      <x:c r="R541" s="14" t="str">
        <x:v>预测</x:v>
      </x:c>
      <x:c r="S541" s="14" t="str">
        <x:v>到站时间为估算值；该打勾车次按就餐专线运行</x:v>
      </x:c>
      <x:c r="T541" t="str">
        <x:v>高超楼发车（就餐专线）</x:v>
      </x:c>
    </x:row>
    <x:row r="542">
      <x:c r="A542" s="14" t="str">
        <x:v>S0044-02</x:v>
      </x:c>
      <x:c r="B542" s="14" t="str">
        <x:v>S0044</x:v>
      </x:c>
      <x:c r="C542" s="14" t="str">
        <x:v>工作日</x:v>
      </x:c>
      <x:c r="D542" s="14" t="str">
        <x:v>环线1路</x:v>
      </x:c>
      <x:c r="E542" s="14" t="str">
        <x:v>第五班（夜2）</x:v>
      </x:c>
      <x:c r="F542" s="14" t="n">
        <x:v>3</x:v>
      </x:c>
      <x:c r="G542" s="14" t="str">
        <x:v>16:50</x:v>
      </x:c>
      <x:c r="H542" s="14" t="str">
        <x:v>高超楼（就餐专线）</x:v>
      </x:c>
      <x:c r="I542" s="14" t="str">
        <x:v>是</x:v>
      </x:c>
      <x:c r="J542" s="14" t="n">
        <x:v>2</x:v>
      </x:c>
      <x:c r="K542" s="14" t="str">
        <x:v>理学院</x:v>
      </x:c>
      <x:c r="L542" s="14" t="n">
        <x:v>1</x:v>
      </x:c>
      <x:c r="M542" s="14" t="str">
        <x:v>16:51</x:v>
      </x:c>
      <x:c r="N542" s="14" t="str">
        <x:v>否</x:v>
      </x:c>
      <x:c r="O542" s="14" t="str">
        <x:v>否</x:v>
      </x:c>
      <x:c r="P542" s="14" t="str">
        <x:v>未提供</x:v>
      </x:c>
      <x:c r="Q542" s="14" t="str">
        <x:v>未提供</x:v>
      </x:c>
      <x:c r="R542" s="14" t="str">
        <x:v>预测</x:v>
      </x:c>
      <x:c r="S542" s="14" t="str">
        <x:v>到站时间为估算值；该打勾车次按就餐专线运行</x:v>
      </x:c>
      <x:c r="T542" t="str">
        <x:v>高超楼发车（就餐专线）</x:v>
      </x:c>
    </x:row>
    <x:row r="543">
      <x:c r="A543" s="14" t="str">
        <x:v>S0044-03</x:v>
      </x:c>
      <x:c r="B543" s="14" t="str">
        <x:v>S0044</x:v>
      </x:c>
      <x:c r="C543" s="14" t="str">
        <x:v>工作日</x:v>
      </x:c>
      <x:c r="D543" s="14" t="str">
        <x:v>环线1路</x:v>
      </x:c>
      <x:c r="E543" s="14" t="str">
        <x:v>第五班（夜2）</x:v>
      </x:c>
      <x:c r="F543" s="14" t="n">
        <x:v>3</x:v>
      </x:c>
      <x:c r="G543" s="14" t="str">
        <x:v>16:50</x:v>
      </x:c>
      <x:c r="H543" s="14" t="str">
        <x:v>高超楼（就餐专线）</x:v>
      </x:c>
      <x:c r="I543" s="14" t="str">
        <x:v>是</x:v>
      </x:c>
      <x:c r="J543" s="14" t="n">
        <x:v>3</x:v>
      </x:c>
      <x:c r="K543" s="14" t="str">
        <x:v>二食堂</x:v>
      </x:c>
      <x:c r="L543" s="14" t="n">
        <x:v>4</x:v>
      </x:c>
      <x:c r="M543" s="14" t="str">
        <x:v>16:54</x:v>
      </x:c>
      <x:c r="N543" s="14" t="str">
        <x:v>否</x:v>
      </x:c>
      <x:c r="O543" s="14" t="str">
        <x:v>否</x:v>
      </x:c>
      <x:c r="P543" s="14" t="str">
        <x:v>未提供</x:v>
      </x:c>
      <x:c r="Q543" s="14" t="str">
        <x:v>未提供</x:v>
      </x:c>
      <x:c r="R543" s="14" t="str">
        <x:v>预测</x:v>
      </x:c>
      <x:c r="S543" s="14" t="str">
        <x:v>到站时间为估算值；该打勾车次按就餐专线运行</x:v>
      </x:c>
      <x:c r="T543" t="str">
        <x:v>高超楼发车（就餐专线）</x:v>
      </x:c>
    </x:row>
    <x:row r="544">
      <x:c r="A544" s="14" t="str">
        <x:v>S0044-04</x:v>
      </x:c>
      <x:c r="B544" s="14" t="str">
        <x:v>S0044</x:v>
      </x:c>
      <x:c r="C544" s="14" t="str">
        <x:v>工作日</x:v>
      </x:c>
      <x:c r="D544" s="14" t="str">
        <x:v>环线1路</x:v>
      </x:c>
      <x:c r="E544" s="14" t="str">
        <x:v>第五班（夜2）</x:v>
      </x:c>
      <x:c r="F544" s="14" t="n">
        <x:v>3</x:v>
      </x:c>
      <x:c r="G544" s="14" t="str">
        <x:v>16:50</x:v>
      </x:c>
      <x:c r="H544" s="14" t="str">
        <x:v>高超楼（就餐专线）</x:v>
      </x:c>
      <x:c r="I544" s="14" t="str">
        <x:v>是</x:v>
      </x:c>
      <x:c r="J544" s="14" t="n">
        <x:v>4</x:v>
      </x:c>
      <x:c r="K544" s="14" t="str">
        <x:v>一食堂</x:v>
      </x:c>
      <x:c r="L544" s="14" t="n">
        <x:v>6</x:v>
      </x:c>
      <x:c r="M544" s="14" t="str">
        <x:v>16:56</x:v>
      </x:c>
      <x:c r="N544" s="14" t="str">
        <x:v>否</x:v>
      </x:c>
      <x:c r="O544" s="14" t="str">
        <x:v>否</x:v>
      </x:c>
      <x:c r="P544" s="14" t="str">
        <x:v>未提供</x:v>
      </x:c>
      <x:c r="Q544" s="14" t="str">
        <x:v>未提供</x:v>
      </x:c>
      <x:c r="R544" s="14" t="str">
        <x:v>预测</x:v>
      </x:c>
      <x:c r="S544" s="14" t="str">
        <x:v>到站时间为估算值；该打勾车次按就餐专线运行</x:v>
      </x:c>
      <x:c r="T544" t="str">
        <x:v>高超楼发车（就餐专线）</x:v>
      </x:c>
    </x:row>
    <x:row r="545">
      <x:c r="A545" s="14" t="str">
        <x:v>S0044-05</x:v>
      </x:c>
      <x:c r="B545" s="14" t="str">
        <x:v>S0044</x:v>
      </x:c>
      <x:c r="C545" s="14" t="str">
        <x:v>工作日</x:v>
      </x:c>
      <x:c r="D545" s="14" t="str">
        <x:v>环线1路</x:v>
      </x:c>
      <x:c r="E545" s="14" t="str">
        <x:v>第五班（夜2）</x:v>
      </x:c>
      <x:c r="F545" s="14" t="n">
        <x:v>3</x:v>
      </x:c>
      <x:c r="G545" s="14" t="str">
        <x:v>16:50</x:v>
      </x:c>
      <x:c r="H545" s="14" t="str">
        <x:v>高超楼（就餐专线）</x:v>
      </x:c>
      <x:c r="I545" s="14" t="str">
        <x:v>是</x:v>
      </x:c>
      <x:c r="J545" s="14" t="n">
        <x:v>5</x:v>
      </x:c>
      <x:c r="K545" s="14" t="str">
        <x:v>305教学楼</x:v>
      </x:c>
      <x:c r="L545" s="14" t="n">
        <x:v>8</x:v>
      </x:c>
      <x:c r="M545" s="14" t="str">
        <x:v>16:58</x:v>
      </x:c>
      <x:c r="N545" s="14" t="str">
        <x:v>否</x:v>
      </x:c>
      <x:c r="O545" s="14" t="str">
        <x:v>否</x:v>
      </x:c>
      <x:c r="P545" s="14" t="str">
        <x:v>未提供</x:v>
      </x:c>
      <x:c r="Q545" s="14" t="str">
        <x:v>未提供</x:v>
      </x:c>
      <x:c r="R545" s="14" t="str">
        <x:v>预测</x:v>
      </x:c>
      <x:c r="S545" s="14" t="str">
        <x:v>到站时间为估算值；该打勾车次按就餐专线运行</x:v>
      </x:c>
      <x:c r="T545" t="str">
        <x:v>高超楼发车（就餐专线）</x:v>
      </x:c>
    </x:row>
    <x:row r="546">
      <x:c r="A546" s="14" t="str">
        <x:v>S0044-06</x:v>
      </x:c>
      <x:c r="B546" s="14" t="str">
        <x:v>S0044</x:v>
      </x:c>
      <x:c r="C546" s="14" t="str">
        <x:v>工作日</x:v>
      </x:c>
      <x:c r="D546" s="14" t="str">
        <x:v>环线1路</x:v>
      </x:c>
      <x:c r="E546" s="14" t="str">
        <x:v>第五班（夜2）</x:v>
      </x:c>
      <x:c r="F546" s="14" t="n">
        <x:v>3</x:v>
      </x:c>
      <x:c r="G546" s="14" t="str">
        <x:v>16:50</x:v>
      </x:c>
      <x:c r="H546" s="14" t="str">
        <x:v>高超楼（就餐专线）</x:v>
      </x:c>
      <x:c r="I546" s="14" t="str">
        <x:v>是</x:v>
      </x:c>
      <x:c r="J546" s="14" t="n">
        <x:v>6</x:v>
      </x:c>
      <x:c r="K546" s="14" t="str">
        <x:v>5号宿舍楼</x:v>
      </x:c>
      <x:c r="L546" s="14" t="n">
        <x:v>10</x:v>
      </x:c>
      <x:c r="M546" s="14" t="str">
        <x:v>17:00</x:v>
      </x:c>
      <x:c r="N546" s="14" t="str">
        <x:v>否</x:v>
      </x:c>
      <x:c r="O546" s="14" t="str">
        <x:v>否</x:v>
      </x:c>
      <x:c r="P546" s="14" t="str">
        <x:v>未提供</x:v>
      </x:c>
      <x:c r="Q546" s="14" t="str">
        <x:v>未提供</x:v>
      </x:c>
      <x:c r="R546" s="14" t="str">
        <x:v>预测</x:v>
      </x:c>
      <x:c r="S546" s="14" t="str">
        <x:v>到站时间为估算值；该打勾车次按就餐专线运行</x:v>
      </x:c>
      <x:c r="T546" t="str">
        <x:v>高超楼发车（就餐专线）</x:v>
      </x:c>
    </x:row>
    <x:row r="547">
      <x:c r="A547" s="14" t="str">
        <x:v>S0044-07</x:v>
      </x:c>
      <x:c r="B547" s="14" t="str">
        <x:v>S0044</x:v>
      </x:c>
      <x:c r="C547" s="14" t="str">
        <x:v>工作日</x:v>
      </x:c>
      <x:c r="D547" s="14" t="str">
        <x:v>环线1路</x:v>
      </x:c>
      <x:c r="E547" s="14" t="str">
        <x:v>第五班（夜2）</x:v>
      </x:c>
      <x:c r="F547" s="14" t="n">
        <x:v>3</x:v>
      </x:c>
      <x:c r="G547" s="14" t="str">
        <x:v>16:50</x:v>
      </x:c>
      <x:c r="H547" s="14" t="str">
        <x:v>高超楼（就餐专线）</x:v>
      </x:c>
      <x:c r="I547" s="14" t="str">
        <x:v>是</x:v>
      </x:c>
      <x:c r="J547" s="14" t="n">
        <x:v>7</x:v>
      </x:c>
      <x:c r="K547" s="14" t="str">
        <x:v>二食堂北</x:v>
      </x:c>
      <x:c r="L547" s="14" t="n">
        <x:v>12</x:v>
      </x:c>
      <x:c r="M547" s="14" t="str">
        <x:v>17:02</x:v>
      </x:c>
      <x:c r="N547" s="14" t="str">
        <x:v>否</x:v>
      </x:c>
      <x:c r="O547" s="14" t="str">
        <x:v>否</x:v>
      </x:c>
      <x:c r="P547" s="14" t="str">
        <x:v>未提供</x:v>
      </x:c>
      <x:c r="Q547" s="14" t="str">
        <x:v>未提供</x:v>
      </x:c>
      <x:c r="R547" s="14" t="str">
        <x:v>预测</x:v>
      </x:c>
      <x:c r="S547" s="14" t="str">
        <x:v>到站时间为估算值；该打勾车次按就餐专线运行</x:v>
      </x:c>
      <x:c r="T547" t="str">
        <x:v>高超楼发车（就餐专线）</x:v>
      </x:c>
    </x:row>
    <x:row r="548">
      <x:c r="A548" s="14" t="str">
        <x:v>S0044-08</x:v>
      </x:c>
      <x:c r="B548" s="14" t="str">
        <x:v>S0044</x:v>
      </x:c>
      <x:c r="C548" s="14" t="str">
        <x:v>工作日</x:v>
      </x:c>
      <x:c r="D548" s="14" t="str">
        <x:v>环线1路</x:v>
      </x:c>
      <x:c r="E548" s="14" t="str">
        <x:v>第五班（夜2）</x:v>
      </x:c>
      <x:c r="F548" s="14" t="n">
        <x:v>3</x:v>
      </x:c>
      <x:c r="G548" s="14" t="str">
        <x:v>16:50</x:v>
      </x:c>
      <x:c r="H548" s="14" t="str">
        <x:v>高超楼（就餐专线）</x:v>
      </x:c>
      <x:c r="I548" s="14" t="str">
        <x:v>是</x:v>
      </x:c>
      <x:c r="J548" s="14" t="n">
        <x:v>8</x:v>
      </x:c>
      <x:c r="K548" s="14" t="str">
        <x:v>理学院</x:v>
      </x:c>
      <x:c r="L548" s="14" t="n">
        <x:v>15</x:v>
      </x:c>
      <x:c r="M548" s="14" t="str">
        <x:v>17:05</x:v>
      </x:c>
      <x:c r="N548" s="14" t="str">
        <x:v>否</x:v>
      </x:c>
      <x:c r="O548" s="14" t="str">
        <x:v>否</x:v>
      </x:c>
      <x:c r="P548" s="14" t="str">
        <x:v>未提供</x:v>
      </x:c>
      <x:c r="Q548" s="14" t="str">
        <x:v>未提供</x:v>
      </x:c>
      <x:c r="R548" s="14" t="str">
        <x:v>预测</x:v>
      </x:c>
      <x:c r="S548" s="14" t="str">
        <x:v>到站时间为估算值；该打勾车次按就餐专线运行</x:v>
      </x:c>
      <x:c r="T548" t="str">
        <x:v>高超楼发车（就餐专线）</x:v>
      </x:c>
    </x:row>
    <x:row r="549">
      <x:c r="A549" s="14" t="str">
        <x:v>S0044-09</x:v>
      </x:c>
      <x:c r="B549" s="14" t="str">
        <x:v>S0044</x:v>
      </x:c>
      <x:c r="C549" s="14" t="str">
        <x:v>工作日</x:v>
      </x:c>
      <x:c r="D549" s="14" t="str">
        <x:v>环线1路</x:v>
      </x:c>
      <x:c r="E549" s="14" t="str">
        <x:v>第五班（夜2）</x:v>
      </x:c>
      <x:c r="F549" s="14" t="n">
        <x:v>3</x:v>
      </x:c>
      <x:c r="G549" s="14" t="str">
        <x:v>16:50</x:v>
      </x:c>
      <x:c r="H549" s="14" t="str">
        <x:v>高超楼（就餐专线）</x:v>
      </x:c>
      <x:c r="I549" s="14" t="str">
        <x:v>是</x:v>
      </x:c>
      <x:c r="J549" s="14" t="n">
        <x:v>9</x:v>
      </x:c>
      <x:c r="K549" s="14" t="str">
        <x:v>高超楼</x:v>
      </x:c>
      <x:c r="L549" s="14" t="n">
        <x:v>16</x:v>
      </x:c>
      <x:c r="M549" s="14" t="str">
        <x:v>17:06</x:v>
      </x:c>
      <x:c r="N549" s="14" t="str">
        <x:v>否</x:v>
      </x:c>
      <x:c r="O549" s="14" t="str">
        <x:v>是</x:v>
      </x:c>
      <x:c r="P549" s="14" t="str">
        <x:v>未提供</x:v>
      </x:c>
      <x:c r="Q549" s="14" t="str">
        <x:v>未提供</x:v>
      </x:c>
      <x:c r="R549" s="14" t="str">
        <x:v>预测</x:v>
      </x:c>
      <x:c r="S549" s="14" t="str">
        <x:v>到站时间为估算值；该打勾车次按就餐专线运行</x:v>
      </x:c>
      <x:c r="T549" t="str">
        <x:v>高超楼发车（就餐专线）</x:v>
      </x:c>
    </x:row>
    <x:row r="550">
      <x:c r="A550" s="14" t="str">
        <x:v>S0045-01</x:v>
      </x:c>
      <x:c r="B550" s="14" t="str">
        <x:v>S0045</x:v>
      </x:c>
      <x:c r="C550" s="14" t="str">
        <x:v>工作日</x:v>
      </x:c>
      <x:c r="D550" s="14" t="str">
        <x:v>环线1路</x:v>
      </x:c>
      <x:c r="E550" s="14" t="str">
        <x:v>第五班（夜2）</x:v>
      </x:c>
      <x:c r="F550" s="14" t="n">
        <x:v>4</x:v>
      </x:c>
      <x:c r="G550" s="14" t="str">
        <x:v>17:10</x:v>
      </x:c>
      <x:c r="H550" s="14" t="str">
        <x:v>高超楼（就餐专线）</x:v>
      </x:c>
      <x:c r="I550" s="14" t="str">
        <x:v>是</x:v>
      </x:c>
      <x:c r="J550" s="14" t="n">
        <x:v>1</x:v>
      </x:c>
      <x:c r="K550" s="14" t="str">
        <x:v>高超楼</x:v>
      </x:c>
      <x:c r="L550" s="14" t="n">
        <x:v>0</x:v>
      </x:c>
      <x:c r="M550" s="14" t="str">
        <x:v>17:10</x:v>
      </x:c>
      <x:c r="N550" s="14" t="str">
        <x:v>是</x:v>
      </x:c>
      <x:c r="O550" s="14" t="str">
        <x:v>否</x:v>
      </x:c>
      <x:c r="P550" s="14" t="str">
        <x:v>未提供</x:v>
      </x:c>
      <x:c r="Q550" s="14" t="str">
        <x:v>未提供</x:v>
      </x:c>
      <x:c r="R550" s="14" t="str">
        <x:v>预测</x:v>
      </x:c>
      <x:c r="S550" s="14" t="str">
        <x:v>到站时间为估算值；该打勾车次按就餐专线运行</x:v>
      </x:c>
      <x:c r="T550" t="str">
        <x:v>高超楼发车（就餐专线）</x:v>
      </x:c>
    </x:row>
    <x:row r="551">
      <x:c r="A551" s="14" t="str">
        <x:v>S0045-02</x:v>
      </x:c>
      <x:c r="B551" s="14" t="str">
        <x:v>S0045</x:v>
      </x:c>
      <x:c r="C551" s="14" t="str">
        <x:v>工作日</x:v>
      </x:c>
      <x:c r="D551" s="14" t="str">
        <x:v>环线1路</x:v>
      </x:c>
      <x:c r="E551" s="14" t="str">
        <x:v>第五班（夜2）</x:v>
      </x:c>
      <x:c r="F551" s="14" t="n">
        <x:v>4</x:v>
      </x:c>
      <x:c r="G551" s="14" t="str">
        <x:v>17:10</x:v>
      </x:c>
      <x:c r="H551" s="14" t="str">
        <x:v>高超楼（就餐专线）</x:v>
      </x:c>
      <x:c r="I551" s="14" t="str">
        <x:v>是</x:v>
      </x:c>
      <x:c r="J551" s="14" t="n">
        <x:v>2</x:v>
      </x:c>
      <x:c r="K551" s="14" t="str">
        <x:v>理学院</x:v>
      </x:c>
      <x:c r="L551" s="14" t="n">
        <x:v>1</x:v>
      </x:c>
      <x:c r="M551" s="14" t="str">
        <x:v>17:11</x:v>
      </x:c>
      <x:c r="N551" s="14" t="str">
        <x:v>否</x:v>
      </x:c>
      <x:c r="O551" s="14" t="str">
        <x:v>否</x:v>
      </x:c>
      <x:c r="P551" s="14" t="str">
        <x:v>未提供</x:v>
      </x:c>
      <x:c r="Q551" s="14" t="str">
        <x:v>未提供</x:v>
      </x:c>
      <x:c r="R551" s="14" t="str">
        <x:v>预测</x:v>
      </x:c>
      <x:c r="S551" s="14" t="str">
        <x:v>到站时间为估算值；该打勾车次按就餐专线运行</x:v>
      </x:c>
      <x:c r="T551" t="str">
        <x:v>高超楼发车（就餐专线）</x:v>
      </x:c>
    </x:row>
    <x:row r="552">
      <x:c r="A552" s="14" t="str">
        <x:v>S0045-03</x:v>
      </x:c>
      <x:c r="B552" s="14" t="str">
        <x:v>S0045</x:v>
      </x:c>
      <x:c r="C552" s="14" t="str">
        <x:v>工作日</x:v>
      </x:c>
      <x:c r="D552" s="14" t="str">
        <x:v>环线1路</x:v>
      </x:c>
      <x:c r="E552" s="14" t="str">
        <x:v>第五班（夜2）</x:v>
      </x:c>
      <x:c r="F552" s="14" t="n">
        <x:v>4</x:v>
      </x:c>
      <x:c r="G552" s="14" t="str">
        <x:v>17:10</x:v>
      </x:c>
      <x:c r="H552" s="14" t="str">
        <x:v>高超楼（就餐专线）</x:v>
      </x:c>
      <x:c r="I552" s="14" t="str">
        <x:v>是</x:v>
      </x:c>
      <x:c r="J552" s="14" t="n">
        <x:v>3</x:v>
      </x:c>
      <x:c r="K552" s="14" t="str">
        <x:v>二食堂</x:v>
      </x:c>
      <x:c r="L552" s="14" t="n">
        <x:v>4</x:v>
      </x:c>
      <x:c r="M552" s="14" t="str">
        <x:v>17:14</x:v>
      </x:c>
      <x:c r="N552" s="14" t="str">
        <x:v>否</x:v>
      </x:c>
      <x:c r="O552" s="14" t="str">
        <x:v>否</x:v>
      </x:c>
      <x:c r="P552" s="14" t="str">
        <x:v>未提供</x:v>
      </x:c>
      <x:c r="Q552" s="14" t="str">
        <x:v>未提供</x:v>
      </x:c>
      <x:c r="R552" s="14" t="str">
        <x:v>预测</x:v>
      </x:c>
      <x:c r="S552" s="14" t="str">
        <x:v>到站时间为估算值；该打勾车次按就餐专线运行</x:v>
      </x:c>
      <x:c r="T552" t="str">
        <x:v>高超楼发车（就餐专线）</x:v>
      </x:c>
    </x:row>
    <x:row r="553">
      <x:c r="A553" s="14" t="str">
        <x:v>S0045-04</x:v>
      </x:c>
      <x:c r="B553" s="14" t="str">
        <x:v>S0045</x:v>
      </x:c>
      <x:c r="C553" s="14" t="str">
        <x:v>工作日</x:v>
      </x:c>
      <x:c r="D553" s="14" t="str">
        <x:v>环线1路</x:v>
      </x:c>
      <x:c r="E553" s="14" t="str">
        <x:v>第五班（夜2）</x:v>
      </x:c>
      <x:c r="F553" s="14" t="n">
        <x:v>4</x:v>
      </x:c>
      <x:c r="G553" s="14" t="str">
        <x:v>17:10</x:v>
      </x:c>
      <x:c r="H553" s="14" t="str">
        <x:v>高超楼（就餐专线）</x:v>
      </x:c>
      <x:c r="I553" s="14" t="str">
        <x:v>是</x:v>
      </x:c>
      <x:c r="J553" s="14" t="n">
        <x:v>4</x:v>
      </x:c>
      <x:c r="K553" s="14" t="str">
        <x:v>一食堂</x:v>
      </x:c>
      <x:c r="L553" s="14" t="n">
        <x:v>6</x:v>
      </x:c>
      <x:c r="M553" s="14" t="str">
        <x:v>17:16</x:v>
      </x:c>
      <x:c r="N553" s="14" t="str">
        <x:v>否</x:v>
      </x:c>
      <x:c r="O553" s="14" t="str">
        <x:v>否</x:v>
      </x:c>
      <x:c r="P553" s="14" t="str">
        <x:v>未提供</x:v>
      </x:c>
      <x:c r="Q553" s="14" t="str">
        <x:v>未提供</x:v>
      </x:c>
      <x:c r="R553" s="14" t="str">
        <x:v>预测</x:v>
      </x:c>
      <x:c r="S553" s="14" t="str">
        <x:v>到站时间为估算值；该打勾车次按就餐专线运行</x:v>
      </x:c>
      <x:c r="T553" t="str">
        <x:v>高超楼发车（就餐专线）</x:v>
      </x:c>
    </x:row>
    <x:row r="554">
      <x:c r="A554" s="14" t="str">
        <x:v>S0045-05</x:v>
      </x:c>
      <x:c r="B554" s="14" t="str">
        <x:v>S0045</x:v>
      </x:c>
      <x:c r="C554" s="14" t="str">
        <x:v>工作日</x:v>
      </x:c>
      <x:c r="D554" s="14" t="str">
        <x:v>环线1路</x:v>
      </x:c>
      <x:c r="E554" s="14" t="str">
        <x:v>第五班（夜2）</x:v>
      </x:c>
      <x:c r="F554" s="14" t="n">
        <x:v>4</x:v>
      </x:c>
      <x:c r="G554" s="14" t="str">
        <x:v>17:10</x:v>
      </x:c>
      <x:c r="H554" s="14" t="str">
        <x:v>高超楼（就餐专线）</x:v>
      </x:c>
      <x:c r="I554" s="14" t="str">
        <x:v>是</x:v>
      </x:c>
      <x:c r="J554" s="14" t="n">
        <x:v>5</x:v>
      </x:c>
      <x:c r="K554" s="14" t="str">
        <x:v>305教学楼</x:v>
      </x:c>
      <x:c r="L554" s="14" t="n">
        <x:v>8</x:v>
      </x:c>
      <x:c r="M554" s="14" t="str">
        <x:v>17:18</x:v>
      </x:c>
      <x:c r="N554" s="14" t="str">
        <x:v>否</x:v>
      </x:c>
      <x:c r="O554" s="14" t="str">
        <x:v>否</x:v>
      </x:c>
      <x:c r="P554" s="14" t="str">
        <x:v>未提供</x:v>
      </x:c>
      <x:c r="Q554" s="14" t="str">
        <x:v>未提供</x:v>
      </x:c>
      <x:c r="R554" s="14" t="str">
        <x:v>预测</x:v>
      </x:c>
      <x:c r="S554" s="14" t="str">
        <x:v>到站时间为估算值；该打勾车次按就餐专线运行</x:v>
      </x:c>
      <x:c r="T554" t="str">
        <x:v>高超楼发车（就餐专线）</x:v>
      </x:c>
    </x:row>
    <x:row r="555">
      <x:c r="A555" s="14" t="str">
        <x:v>S0045-06</x:v>
      </x:c>
      <x:c r="B555" s="14" t="str">
        <x:v>S0045</x:v>
      </x:c>
      <x:c r="C555" s="14" t="str">
        <x:v>工作日</x:v>
      </x:c>
      <x:c r="D555" s="14" t="str">
        <x:v>环线1路</x:v>
      </x:c>
      <x:c r="E555" s="14" t="str">
        <x:v>第五班（夜2）</x:v>
      </x:c>
      <x:c r="F555" s="14" t="n">
        <x:v>4</x:v>
      </x:c>
      <x:c r="G555" s="14" t="str">
        <x:v>17:10</x:v>
      </x:c>
      <x:c r="H555" s="14" t="str">
        <x:v>高超楼（就餐专线）</x:v>
      </x:c>
      <x:c r="I555" s="14" t="str">
        <x:v>是</x:v>
      </x:c>
      <x:c r="J555" s="14" t="n">
        <x:v>6</x:v>
      </x:c>
      <x:c r="K555" s="14" t="str">
        <x:v>5号宿舍楼</x:v>
      </x:c>
      <x:c r="L555" s="14" t="n">
        <x:v>10</x:v>
      </x:c>
      <x:c r="M555" s="14" t="str">
        <x:v>17:20</x:v>
      </x:c>
      <x:c r="N555" s="14" t="str">
        <x:v>否</x:v>
      </x:c>
      <x:c r="O555" s="14" t="str">
        <x:v>否</x:v>
      </x:c>
      <x:c r="P555" s="14" t="str">
        <x:v>未提供</x:v>
      </x:c>
      <x:c r="Q555" s="14" t="str">
        <x:v>未提供</x:v>
      </x:c>
      <x:c r="R555" s="14" t="str">
        <x:v>预测</x:v>
      </x:c>
      <x:c r="S555" s="14" t="str">
        <x:v>到站时间为估算值；该打勾车次按就餐专线运行</x:v>
      </x:c>
      <x:c r="T555" t="str">
        <x:v>高超楼发车（就餐专线）</x:v>
      </x:c>
    </x:row>
    <x:row r="556">
      <x:c r="A556" s="14" t="str">
        <x:v>S0045-07</x:v>
      </x:c>
      <x:c r="B556" s="14" t="str">
        <x:v>S0045</x:v>
      </x:c>
      <x:c r="C556" s="14" t="str">
        <x:v>工作日</x:v>
      </x:c>
      <x:c r="D556" s="14" t="str">
        <x:v>环线1路</x:v>
      </x:c>
      <x:c r="E556" s="14" t="str">
        <x:v>第五班（夜2）</x:v>
      </x:c>
      <x:c r="F556" s="14" t="n">
        <x:v>4</x:v>
      </x:c>
      <x:c r="G556" s="14" t="str">
        <x:v>17:10</x:v>
      </x:c>
      <x:c r="H556" s="14" t="str">
        <x:v>高超楼（就餐专线）</x:v>
      </x:c>
      <x:c r="I556" s="14" t="str">
        <x:v>是</x:v>
      </x:c>
      <x:c r="J556" s="14" t="n">
        <x:v>7</x:v>
      </x:c>
      <x:c r="K556" s="14" t="str">
        <x:v>二食堂北</x:v>
      </x:c>
      <x:c r="L556" s="14" t="n">
        <x:v>12</x:v>
      </x:c>
      <x:c r="M556" s="14" t="str">
        <x:v>17:22</x:v>
      </x:c>
      <x:c r="N556" s="14" t="str">
        <x:v>否</x:v>
      </x:c>
      <x:c r="O556" s="14" t="str">
        <x:v>否</x:v>
      </x:c>
      <x:c r="P556" s="14" t="str">
        <x:v>未提供</x:v>
      </x:c>
      <x:c r="Q556" s="14" t="str">
        <x:v>未提供</x:v>
      </x:c>
      <x:c r="R556" s="14" t="str">
        <x:v>预测</x:v>
      </x:c>
      <x:c r="S556" s="14" t="str">
        <x:v>到站时间为估算值；该打勾车次按就餐专线运行</x:v>
      </x:c>
      <x:c r="T556" t="str">
        <x:v>高超楼发车（就餐专线）</x:v>
      </x:c>
    </x:row>
    <x:row r="557">
      <x:c r="A557" s="14" t="str">
        <x:v>S0045-08</x:v>
      </x:c>
      <x:c r="B557" s="14" t="str">
        <x:v>S0045</x:v>
      </x:c>
      <x:c r="C557" s="14" t="str">
        <x:v>工作日</x:v>
      </x:c>
      <x:c r="D557" s="14" t="str">
        <x:v>环线1路</x:v>
      </x:c>
      <x:c r="E557" s="14" t="str">
        <x:v>第五班（夜2）</x:v>
      </x:c>
      <x:c r="F557" s="14" t="n">
        <x:v>4</x:v>
      </x:c>
      <x:c r="G557" s="14" t="str">
        <x:v>17:10</x:v>
      </x:c>
      <x:c r="H557" s="14" t="str">
        <x:v>高超楼（就餐专线）</x:v>
      </x:c>
      <x:c r="I557" s="14" t="str">
        <x:v>是</x:v>
      </x:c>
      <x:c r="J557" s="14" t="n">
        <x:v>8</x:v>
      </x:c>
      <x:c r="K557" s="14" t="str">
        <x:v>理学院</x:v>
      </x:c>
      <x:c r="L557" s="14" t="n">
        <x:v>15</x:v>
      </x:c>
      <x:c r="M557" s="14" t="str">
        <x:v>17:25</x:v>
      </x:c>
      <x:c r="N557" s="14" t="str">
        <x:v>否</x:v>
      </x:c>
      <x:c r="O557" s="14" t="str">
        <x:v>否</x:v>
      </x:c>
      <x:c r="P557" s="14" t="str">
        <x:v>未提供</x:v>
      </x:c>
      <x:c r="Q557" s="14" t="str">
        <x:v>未提供</x:v>
      </x:c>
      <x:c r="R557" s="14" t="str">
        <x:v>预测</x:v>
      </x:c>
      <x:c r="S557" s="14" t="str">
        <x:v>到站时间为估算值；该打勾车次按就餐专线运行</x:v>
      </x:c>
      <x:c r="T557" t="str">
        <x:v>高超楼发车（就餐专线）</x:v>
      </x:c>
    </x:row>
    <x:row r="558">
      <x:c r="A558" s="14" t="str">
        <x:v>S0045-09</x:v>
      </x:c>
      <x:c r="B558" s="14" t="str">
        <x:v>S0045</x:v>
      </x:c>
      <x:c r="C558" s="14" t="str">
        <x:v>工作日</x:v>
      </x:c>
      <x:c r="D558" s="14" t="str">
        <x:v>环线1路</x:v>
      </x:c>
      <x:c r="E558" s="14" t="str">
        <x:v>第五班（夜2）</x:v>
      </x:c>
      <x:c r="F558" s="14" t="n">
        <x:v>4</x:v>
      </x:c>
      <x:c r="G558" s="14" t="str">
        <x:v>17:10</x:v>
      </x:c>
      <x:c r="H558" s="14" t="str">
        <x:v>高超楼（就餐专线）</x:v>
      </x:c>
      <x:c r="I558" s="14" t="str">
        <x:v>是</x:v>
      </x:c>
      <x:c r="J558" s="14" t="n">
        <x:v>9</x:v>
      </x:c>
      <x:c r="K558" s="14" t="str">
        <x:v>高超楼</x:v>
      </x:c>
      <x:c r="L558" s="14" t="n">
        <x:v>16</x:v>
      </x:c>
      <x:c r="M558" s="14" t="str">
        <x:v>17:26</x:v>
      </x:c>
      <x:c r="N558" s="14" t="str">
        <x:v>否</x:v>
      </x:c>
      <x:c r="O558" s="14" t="str">
        <x:v>是</x:v>
      </x:c>
      <x:c r="P558" s="14" t="str">
        <x:v>未提供</x:v>
      </x:c>
      <x:c r="Q558" s="14" t="str">
        <x:v>未提供</x:v>
      </x:c>
      <x:c r="R558" s="14" t="str">
        <x:v>预测</x:v>
      </x:c>
      <x:c r="S558" s="14" t="str">
        <x:v>到站时间为估算值；该打勾车次按就餐专线运行</x:v>
      </x:c>
      <x:c r="T558" t="str">
        <x:v>高超楼发车（就餐专线）</x:v>
      </x:c>
    </x:row>
    <x:row r="559">
      <x:c r="A559" s="14" t="str">
        <x:v>S0046-01</x:v>
      </x:c>
      <x:c r="B559" s="14" t="str">
        <x:v>S0046</x:v>
      </x:c>
      <x:c r="C559" s="14" t="str">
        <x:v>工作日</x:v>
      </x:c>
      <x:c r="D559" s="14" t="str">
        <x:v>环线1路</x:v>
      </x:c>
      <x:c r="E559" s="14" t="str">
        <x:v>第五班（夜2）</x:v>
      </x:c>
      <x:c r="F559" s="14" t="n">
        <x:v>5</x:v>
      </x:c>
      <x:c r="G559" s="14" t="str">
        <x:v>17:30</x:v>
      </x:c>
      <x:c r="H559" s="14" t="str">
        <x:v>高超楼（就餐专线）</x:v>
      </x:c>
      <x:c r="I559" s="14" t="str">
        <x:v>是</x:v>
      </x:c>
      <x:c r="J559" s="14" t="n">
        <x:v>1</x:v>
      </x:c>
      <x:c r="K559" s="14" t="str">
        <x:v>高超楼</x:v>
      </x:c>
      <x:c r="L559" s="14" t="n">
        <x:v>0</x:v>
      </x:c>
      <x:c r="M559" s="14" t="str">
        <x:v>17:30</x:v>
      </x:c>
      <x:c r="N559" s="14" t="str">
        <x:v>是</x:v>
      </x:c>
      <x:c r="O559" s="14" t="str">
        <x:v>否</x:v>
      </x:c>
      <x:c r="P559" s="14" t="str">
        <x:v>未提供</x:v>
      </x:c>
      <x:c r="Q559" s="14" t="str">
        <x:v>未提供</x:v>
      </x:c>
      <x:c r="R559" s="14" t="str">
        <x:v>预测</x:v>
      </x:c>
      <x:c r="S559" s="14" t="str">
        <x:v>到站时间为估算值；该打勾车次按就餐专线运行</x:v>
      </x:c>
      <x:c r="T559" t="str">
        <x:v>高超楼发车（就餐专线）</x:v>
      </x:c>
    </x:row>
    <x:row r="560">
      <x:c r="A560" s="14" t="str">
        <x:v>S0046-02</x:v>
      </x:c>
      <x:c r="B560" s="14" t="str">
        <x:v>S0046</x:v>
      </x:c>
      <x:c r="C560" s="14" t="str">
        <x:v>工作日</x:v>
      </x:c>
      <x:c r="D560" s="14" t="str">
        <x:v>环线1路</x:v>
      </x:c>
      <x:c r="E560" s="14" t="str">
        <x:v>第五班（夜2）</x:v>
      </x:c>
      <x:c r="F560" s="14" t="n">
        <x:v>5</x:v>
      </x:c>
      <x:c r="G560" s="14" t="str">
        <x:v>17:30</x:v>
      </x:c>
      <x:c r="H560" s="14" t="str">
        <x:v>高超楼（就餐专线）</x:v>
      </x:c>
      <x:c r="I560" s="14" t="str">
        <x:v>是</x:v>
      </x:c>
      <x:c r="J560" s="14" t="n">
        <x:v>2</x:v>
      </x:c>
      <x:c r="K560" s="14" t="str">
        <x:v>理学院</x:v>
      </x:c>
      <x:c r="L560" s="14" t="n">
        <x:v>1</x:v>
      </x:c>
      <x:c r="M560" s="14" t="str">
        <x:v>17:31</x:v>
      </x:c>
      <x:c r="N560" s="14" t="str">
        <x:v>否</x:v>
      </x:c>
      <x:c r="O560" s="14" t="str">
        <x:v>否</x:v>
      </x:c>
      <x:c r="P560" s="14" t="str">
        <x:v>未提供</x:v>
      </x:c>
      <x:c r="Q560" s="14" t="str">
        <x:v>未提供</x:v>
      </x:c>
      <x:c r="R560" s="14" t="str">
        <x:v>预测</x:v>
      </x:c>
      <x:c r="S560" s="14" t="str">
        <x:v>到站时间为估算值；该打勾车次按就餐专线运行</x:v>
      </x:c>
      <x:c r="T560" t="str">
        <x:v>高超楼发车（就餐专线）</x:v>
      </x:c>
    </x:row>
    <x:row r="561">
      <x:c r="A561" s="14" t="str">
        <x:v>S0046-03</x:v>
      </x:c>
      <x:c r="B561" s="14" t="str">
        <x:v>S0046</x:v>
      </x:c>
      <x:c r="C561" s="14" t="str">
        <x:v>工作日</x:v>
      </x:c>
      <x:c r="D561" s="14" t="str">
        <x:v>环线1路</x:v>
      </x:c>
      <x:c r="E561" s="14" t="str">
        <x:v>第五班（夜2）</x:v>
      </x:c>
      <x:c r="F561" s="14" t="n">
        <x:v>5</x:v>
      </x:c>
      <x:c r="G561" s="14" t="str">
        <x:v>17:30</x:v>
      </x:c>
      <x:c r="H561" s="14" t="str">
        <x:v>高超楼（就餐专线）</x:v>
      </x:c>
      <x:c r="I561" s="14" t="str">
        <x:v>是</x:v>
      </x:c>
      <x:c r="J561" s="14" t="n">
        <x:v>3</x:v>
      </x:c>
      <x:c r="K561" s="14" t="str">
        <x:v>二食堂</x:v>
      </x:c>
      <x:c r="L561" s="14" t="n">
        <x:v>4</x:v>
      </x:c>
      <x:c r="M561" s="14" t="str">
        <x:v>17:34</x:v>
      </x:c>
      <x:c r="N561" s="14" t="str">
        <x:v>否</x:v>
      </x:c>
      <x:c r="O561" s="14" t="str">
        <x:v>否</x:v>
      </x:c>
      <x:c r="P561" s="14" t="str">
        <x:v>未提供</x:v>
      </x:c>
      <x:c r="Q561" s="14" t="str">
        <x:v>未提供</x:v>
      </x:c>
      <x:c r="R561" s="14" t="str">
        <x:v>预测</x:v>
      </x:c>
      <x:c r="S561" s="14" t="str">
        <x:v>到站时间为估算值；该打勾车次按就餐专线运行</x:v>
      </x:c>
      <x:c r="T561" t="str">
        <x:v>高超楼发车（就餐专线）</x:v>
      </x:c>
    </x:row>
    <x:row r="562">
      <x:c r="A562" s="14" t="str">
        <x:v>S0046-04</x:v>
      </x:c>
      <x:c r="B562" s="14" t="str">
        <x:v>S0046</x:v>
      </x:c>
      <x:c r="C562" s="14" t="str">
        <x:v>工作日</x:v>
      </x:c>
      <x:c r="D562" s="14" t="str">
        <x:v>环线1路</x:v>
      </x:c>
      <x:c r="E562" s="14" t="str">
        <x:v>第五班（夜2）</x:v>
      </x:c>
      <x:c r="F562" s="14" t="n">
        <x:v>5</x:v>
      </x:c>
      <x:c r="G562" s="14" t="str">
        <x:v>17:30</x:v>
      </x:c>
      <x:c r="H562" s="14" t="str">
        <x:v>高超楼（就餐专线）</x:v>
      </x:c>
      <x:c r="I562" s="14" t="str">
        <x:v>是</x:v>
      </x:c>
      <x:c r="J562" s="14" t="n">
        <x:v>4</x:v>
      </x:c>
      <x:c r="K562" s="14" t="str">
        <x:v>一食堂</x:v>
      </x:c>
      <x:c r="L562" s="14" t="n">
        <x:v>6</x:v>
      </x:c>
      <x:c r="M562" s="14" t="str">
        <x:v>17:36</x:v>
      </x:c>
      <x:c r="N562" s="14" t="str">
        <x:v>否</x:v>
      </x:c>
      <x:c r="O562" s="14" t="str">
        <x:v>否</x:v>
      </x:c>
      <x:c r="P562" s="14" t="str">
        <x:v>未提供</x:v>
      </x:c>
      <x:c r="Q562" s="14" t="str">
        <x:v>未提供</x:v>
      </x:c>
      <x:c r="R562" s="14" t="str">
        <x:v>预测</x:v>
      </x:c>
      <x:c r="S562" s="14" t="str">
        <x:v>到站时间为估算值；该打勾车次按就餐专线运行</x:v>
      </x:c>
      <x:c r="T562" t="str">
        <x:v>高超楼发车（就餐专线）</x:v>
      </x:c>
    </x:row>
    <x:row r="563">
      <x:c r="A563" s="14" t="str">
        <x:v>S0046-05</x:v>
      </x:c>
      <x:c r="B563" s="14" t="str">
        <x:v>S0046</x:v>
      </x:c>
      <x:c r="C563" s="14" t="str">
        <x:v>工作日</x:v>
      </x:c>
      <x:c r="D563" s="14" t="str">
        <x:v>环线1路</x:v>
      </x:c>
      <x:c r="E563" s="14" t="str">
        <x:v>第五班（夜2）</x:v>
      </x:c>
      <x:c r="F563" s="14" t="n">
        <x:v>5</x:v>
      </x:c>
      <x:c r="G563" s="14" t="str">
        <x:v>17:30</x:v>
      </x:c>
      <x:c r="H563" s="14" t="str">
        <x:v>高超楼（就餐专线）</x:v>
      </x:c>
      <x:c r="I563" s="14" t="str">
        <x:v>是</x:v>
      </x:c>
      <x:c r="J563" s="14" t="n">
        <x:v>5</x:v>
      </x:c>
      <x:c r="K563" s="14" t="str">
        <x:v>305教学楼</x:v>
      </x:c>
      <x:c r="L563" s="14" t="n">
        <x:v>8</x:v>
      </x:c>
      <x:c r="M563" s="14" t="str">
        <x:v>17:38</x:v>
      </x:c>
      <x:c r="N563" s="14" t="str">
        <x:v>否</x:v>
      </x:c>
      <x:c r="O563" s="14" t="str">
        <x:v>否</x:v>
      </x:c>
      <x:c r="P563" s="14" t="str">
        <x:v>未提供</x:v>
      </x:c>
      <x:c r="Q563" s="14" t="str">
        <x:v>未提供</x:v>
      </x:c>
      <x:c r="R563" s="14" t="str">
        <x:v>预测</x:v>
      </x:c>
      <x:c r="S563" s="14" t="str">
        <x:v>到站时间为估算值；该打勾车次按就餐专线运行</x:v>
      </x:c>
      <x:c r="T563" t="str">
        <x:v>高超楼发车（就餐专线）</x:v>
      </x:c>
    </x:row>
    <x:row r="564">
      <x:c r="A564" s="14" t="str">
        <x:v>S0046-06</x:v>
      </x:c>
      <x:c r="B564" s="14" t="str">
        <x:v>S0046</x:v>
      </x:c>
      <x:c r="C564" s="14" t="str">
        <x:v>工作日</x:v>
      </x:c>
      <x:c r="D564" s="14" t="str">
        <x:v>环线1路</x:v>
      </x:c>
      <x:c r="E564" s="14" t="str">
        <x:v>第五班（夜2）</x:v>
      </x:c>
      <x:c r="F564" s="14" t="n">
        <x:v>5</x:v>
      </x:c>
      <x:c r="G564" s="14" t="str">
        <x:v>17:30</x:v>
      </x:c>
      <x:c r="H564" s="14" t="str">
        <x:v>高超楼（就餐专线）</x:v>
      </x:c>
      <x:c r="I564" s="14" t="str">
        <x:v>是</x:v>
      </x:c>
      <x:c r="J564" s="14" t="n">
        <x:v>6</x:v>
      </x:c>
      <x:c r="K564" s="14" t="str">
        <x:v>5号宿舍楼</x:v>
      </x:c>
      <x:c r="L564" s="14" t="n">
        <x:v>10</x:v>
      </x:c>
      <x:c r="M564" s="14" t="str">
        <x:v>17:40</x:v>
      </x:c>
      <x:c r="N564" s="14" t="str">
        <x:v>否</x:v>
      </x:c>
      <x:c r="O564" s="14" t="str">
        <x:v>否</x:v>
      </x:c>
      <x:c r="P564" s="14" t="str">
        <x:v>未提供</x:v>
      </x:c>
      <x:c r="Q564" s="14" t="str">
        <x:v>未提供</x:v>
      </x:c>
      <x:c r="R564" s="14" t="str">
        <x:v>预测</x:v>
      </x:c>
      <x:c r="S564" s="14" t="str">
        <x:v>到站时间为估算值；该打勾车次按就餐专线运行</x:v>
      </x:c>
      <x:c r="T564" t="str">
        <x:v>高超楼发车（就餐专线）</x:v>
      </x:c>
    </x:row>
    <x:row r="565">
      <x:c r="A565" s="14" t="str">
        <x:v>S0046-07</x:v>
      </x:c>
      <x:c r="B565" s="14" t="str">
        <x:v>S0046</x:v>
      </x:c>
      <x:c r="C565" s="14" t="str">
        <x:v>工作日</x:v>
      </x:c>
      <x:c r="D565" s="14" t="str">
        <x:v>环线1路</x:v>
      </x:c>
      <x:c r="E565" s="14" t="str">
        <x:v>第五班（夜2）</x:v>
      </x:c>
      <x:c r="F565" s="14" t="n">
        <x:v>5</x:v>
      </x:c>
      <x:c r="G565" s="14" t="str">
        <x:v>17:30</x:v>
      </x:c>
      <x:c r="H565" s="14" t="str">
        <x:v>高超楼（就餐专线）</x:v>
      </x:c>
      <x:c r="I565" s="14" t="str">
        <x:v>是</x:v>
      </x:c>
      <x:c r="J565" s="14" t="n">
        <x:v>7</x:v>
      </x:c>
      <x:c r="K565" s="14" t="str">
        <x:v>二食堂北</x:v>
      </x:c>
      <x:c r="L565" s="14" t="n">
        <x:v>12</x:v>
      </x:c>
      <x:c r="M565" s="14" t="str">
        <x:v>17:42</x:v>
      </x:c>
      <x:c r="N565" s="14" t="str">
        <x:v>否</x:v>
      </x:c>
      <x:c r="O565" s="14" t="str">
        <x:v>否</x:v>
      </x:c>
      <x:c r="P565" s="14" t="str">
        <x:v>未提供</x:v>
      </x:c>
      <x:c r="Q565" s="14" t="str">
        <x:v>未提供</x:v>
      </x:c>
      <x:c r="R565" s="14" t="str">
        <x:v>预测</x:v>
      </x:c>
      <x:c r="S565" s="14" t="str">
        <x:v>到站时间为估算值；该打勾车次按就餐专线运行</x:v>
      </x:c>
      <x:c r="T565" t="str">
        <x:v>高超楼发车（就餐专线）</x:v>
      </x:c>
    </x:row>
    <x:row r="566">
      <x:c r="A566" s="14" t="str">
        <x:v>S0046-08</x:v>
      </x:c>
      <x:c r="B566" s="14" t="str">
        <x:v>S0046</x:v>
      </x:c>
      <x:c r="C566" s="14" t="str">
        <x:v>工作日</x:v>
      </x:c>
      <x:c r="D566" s="14" t="str">
        <x:v>环线1路</x:v>
      </x:c>
      <x:c r="E566" s="14" t="str">
        <x:v>第五班（夜2）</x:v>
      </x:c>
      <x:c r="F566" s="14" t="n">
        <x:v>5</x:v>
      </x:c>
      <x:c r="G566" s="14" t="str">
        <x:v>17:30</x:v>
      </x:c>
      <x:c r="H566" s="14" t="str">
        <x:v>高超楼（就餐专线）</x:v>
      </x:c>
      <x:c r="I566" s="14" t="str">
        <x:v>是</x:v>
      </x:c>
      <x:c r="J566" s="14" t="n">
        <x:v>8</x:v>
      </x:c>
      <x:c r="K566" s="14" t="str">
        <x:v>理学院</x:v>
      </x:c>
      <x:c r="L566" s="14" t="n">
        <x:v>15</x:v>
      </x:c>
      <x:c r="M566" s="14" t="str">
        <x:v>17:45</x:v>
      </x:c>
      <x:c r="N566" s="14" t="str">
        <x:v>否</x:v>
      </x:c>
      <x:c r="O566" s="14" t="str">
        <x:v>否</x:v>
      </x:c>
      <x:c r="P566" s="14" t="str">
        <x:v>未提供</x:v>
      </x:c>
      <x:c r="Q566" s="14" t="str">
        <x:v>未提供</x:v>
      </x:c>
      <x:c r="R566" s="14" t="str">
        <x:v>预测</x:v>
      </x:c>
      <x:c r="S566" s="14" t="str">
        <x:v>到站时间为估算值；该打勾车次按就餐专线运行</x:v>
      </x:c>
      <x:c r="T566" t="str">
        <x:v>高超楼发车（就餐专线）</x:v>
      </x:c>
    </x:row>
    <x:row r="567">
      <x:c r="A567" s="14" t="str">
        <x:v>S0046-09</x:v>
      </x:c>
      <x:c r="B567" s="14" t="str">
        <x:v>S0046</x:v>
      </x:c>
      <x:c r="C567" s="14" t="str">
        <x:v>工作日</x:v>
      </x:c>
      <x:c r="D567" s="14" t="str">
        <x:v>环线1路</x:v>
      </x:c>
      <x:c r="E567" s="14" t="str">
        <x:v>第五班（夜2）</x:v>
      </x:c>
      <x:c r="F567" s="14" t="n">
        <x:v>5</x:v>
      </x:c>
      <x:c r="G567" s="14" t="str">
        <x:v>17:30</x:v>
      </x:c>
      <x:c r="H567" s="14" t="str">
        <x:v>高超楼（就餐专线）</x:v>
      </x:c>
      <x:c r="I567" s="14" t="str">
        <x:v>是</x:v>
      </x:c>
      <x:c r="J567" s="14" t="n">
        <x:v>9</x:v>
      </x:c>
      <x:c r="K567" s="14" t="str">
        <x:v>高超楼</x:v>
      </x:c>
      <x:c r="L567" s="14" t="n">
        <x:v>16</x:v>
      </x:c>
      <x:c r="M567" s="14" t="str">
        <x:v>17:46</x:v>
      </x:c>
      <x:c r="N567" s="14" t="str">
        <x:v>否</x:v>
      </x:c>
      <x:c r="O567" s="14" t="str">
        <x:v>是</x:v>
      </x:c>
      <x:c r="P567" s="14" t="str">
        <x:v>未提供</x:v>
      </x:c>
      <x:c r="Q567" s="14" t="str">
        <x:v>未提供</x:v>
      </x:c>
      <x:c r="R567" s="14" t="str">
        <x:v>预测</x:v>
      </x:c>
      <x:c r="S567" s="14" t="str">
        <x:v>到站时间为估算值；该打勾车次按就餐专线运行</x:v>
      </x:c>
      <x:c r="T567" t="str">
        <x:v>高超楼发车（就餐专线）</x:v>
      </x:c>
    </x:row>
    <x:row r="568">
      <x:c r="A568" s="14" t="str">
        <x:v>S0047-01</x:v>
      </x:c>
      <x:c r="B568" s="14" t="str">
        <x:v>S0047</x:v>
      </x:c>
      <x:c r="C568" s="14" t="str">
        <x:v>工作日</x:v>
      </x:c>
      <x:c r="D568" s="14" t="str">
        <x:v>环线1路</x:v>
      </x:c>
      <x:c r="E568" s="14" t="str">
        <x:v>第五班（夜2）</x:v>
      </x:c>
      <x:c r="F568" s="14" t="n">
        <x:v>6</x:v>
      </x:c>
      <x:c r="G568" s="14" t="str">
        <x:v>17:50</x:v>
      </x:c>
      <x:c r="H568" s="14" t="str">
        <x:v>高超楼（就餐专线）</x:v>
      </x:c>
      <x:c r="I568" s="14" t="str">
        <x:v>是</x:v>
      </x:c>
      <x:c r="J568" s="14" t="n">
        <x:v>1</x:v>
      </x:c>
      <x:c r="K568" s="14" t="str">
        <x:v>高超楼</x:v>
      </x:c>
      <x:c r="L568" s="14" t="n">
        <x:v>0</x:v>
      </x:c>
      <x:c r="M568" s="14" t="str">
        <x:v>17:50</x:v>
      </x:c>
      <x:c r="N568" s="14" t="str">
        <x:v>是</x:v>
      </x:c>
      <x:c r="O568" s="14" t="str">
        <x:v>否</x:v>
      </x:c>
      <x:c r="P568" s="14" t="str">
        <x:v>未提供</x:v>
      </x:c>
      <x:c r="Q568" s="14" t="str">
        <x:v>未提供</x:v>
      </x:c>
      <x:c r="R568" s="14" t="str">
        <x:v>预测</x:v>
      </x:c>
      <x:c r="S568" s="14" t="str">
        <x:v>到站时间为估算值；该打勾车次按就餐专线运行</x:v>
      </x:c>
      <x:c r="T568" t="str">
        <x:v>高超楼发车（就餐专线）</x:v>
      </x:c>
    </x:row>
    <x:row r="569">
      <x:c r="A569" s="14" t="str">
        <x:v>S0047-02</x:v>
      </x:c>
      <x:c r="B569" s="14" t="str">
        <x:v>S0047</x:v>
      </x:c>
      <x:c r="C569" s="14" t="str">
        <x:v>工作日</x:v>
      </x:c>
      <x:c r="D569" s="14" t="str">
        <x:v>环线1路</x:v>
      </x:c>
      <x:c r="E569" s="14" t="str">
        <x:v>第五班（夜2）</x:v>
      </x:c>
      <x:c r="F569" s="14" t="n">
        <x:v>6</x:v>
      </x:c>
      <x:c r="G569" s="14" t="str">
        <x:v>17:50</x:v>
      </x:c>
      <x:c r="H569" s="14" t="str">
        <x:v>高超楼（就餐专线）</x:v>
      </x:c>
      <x:c r="I569" s="14" t="str">
        <x:v>是</x:v>
      </x:c>
      <x:c r="J569" s="14" t="n">
        <x:v>2</x:v>
      </x:c>
      <x:c r="K569" s="14" t="str">
        <x:v>理学院</x:v>
      </x:c>
      <x:c r="L569" s="14" t="n">
        <x:v>1</x:v>
      </x:c>
      <x:c r="M569" s="14" t="str">
        <x:v>17:51</x:v>
      </x:c>
      <x:c r="N569" s="14" t="str">
        <x:v>否</x:v>
      </x:c>
      <x:c r="O569" s="14" t="str">
        <x:v>否</x:v>
      </x:c>
      <x:c r="P569" s="14" t="str">
        <x:v>未提供</x:v>
      </x:c>
      <x:c r="Q569" s="14" t="str">
        <x:v>未提供</x:v>
      </x:c>
      <x:c r="R569" s="14" t="str">
        <x:v>预测</x:v>
      </x:c>
      <x:c r="S569" s="14" t="str">
        <x:v>到站时间为估算值；该打勾车次按就餐专线运行</x:v>
      </x:c>
      <x:c r="T569" t="str">
        <x:v>高超楼发车（就餐专线）</x:v>
      </x:c>
    </x:row>
    <x:row r="570">
      <x:c r="A570" s="14" t="str">
        <x:v>S0047-03</x:v>
      </x:c>
      <x:c r="B570" s="14" t="str">
        <x:v>S0047</x:v>
      </x:c>
      <x:c r="C570" s="14" t="str">
        <x:v>工作日</x:v>
      </x:c>
      <x:c r="D570" s="14" t="str">
        <x:v>环线1路</x:v>
      </x:c>
      <x:c r="E570" s="14" t="str">
        <x:v>第五班（夜2）</x:v>
      </x:c>
      <x:c r="F570" s="14" t="n">
        <x:v>6</x:v>
      </x:c>
      <x:c r="G570" s="14" t="str">
        <x:v>17:50</x:v>
      </x:c>
      <x:c r="H570" s="14" t="str">
        <x:v>高超楼（就餐专线）</x:v>
      </x:c>
      <x:c r="I570" s="14" t="str">
        <x:v>是</x:v>
      </x:c>
      <x:c r="J570" s="14" t="n">
        <x:v>3</x:v>
      </x:c>
      <x:c r="K570" s="14" t="str">
        <x:v>二食堂</x:v>
      </x:c>
      <x:c r="L570" s="14" t="n">
        <x:v>4</x:v>
      </x:c>
      <x:c r="M570" s="14" t="str">
        <x:v>17:54</x:v>
      </x:c>
      <x:c r="N570" s="14" t="str">
        <x:v>否</x:v>
      </x:c>
      <x:c r="O570" s="14" t="str">
        <x:v>否</x:v>
      </x:c>
      <x:c r="P570" s="14" t="str">
        <x:v>未提供</x:v>
      </x:c>
      <x:c r="Q570" s="14" t="str">
        <x:v>未提供</x:v>
      </x:c>
      <x:c r="R570" s="14" t="str">
        <x:v>预测</x:v>
      </x:c>
      <x:c r="S570" s="14" t="str">
        <x:v>到站时间为估算值；该打勾车次按就餐专线运行</x:v>
      </x:c>
      <x:c r="T570" t="str">
        <x:v>高超楼发车（就餐专线）</x:v>
      </x:c>
    </x:row>
    <x:row r="571">
      <x:c r="A571" s="14" t="str">
        <x:v>S0047-04</x:v>
      </x:c>
      <x:c r="B571" s="14" t="str">
        <x:v>S0047</x:v>
      </x:c>
      <x:c r="C571" s="14" t="str">
        <x:v>工作日</x:v>
      </x:c>
      <x:c r="D571" s="14" t="str">
        <x:v>环线1路</x:v>
      </x:c>
      <x:c r="E571" s="14" t="str">
        <x:v>第五班（夜2）</x:v>
      </x:c>
      <x:c r="F571" s="14" t="n">
        <x:v>6</x:v>
      </x:c>
      <x:c r="G571" s="14" t="str">
        <x:v>17:50</x:v>
      </x:c>
      <x:c r="H571" s="14" t="str">
        <x:v>高超楼（就餐专线）</x:v>
      </x:c>
      <x:c r="I571" s="14" t="str">
        <x:v>是</x:v>
      </x:c>
      <x:c r="J571" s="14" t="n">
        <x:v>4</x:v>
      </x:c>
      <x:c r="K571" s="14" t="str">
        <x:v>一食堂</x:v>
      </x:c>
      <x:c r="L571" s="14" t="n">
        <x:v>6</x:v>
      </x:c>
      <x:c r="M571" s="14" t="str">
        <x:v>17:56</x:v>
      </x:c>
      <x:c r="N571" s="14" t="str">
        <x:v>否</x:v>
      </x:c>
      <x:c r="O571" s="14" t="str">
        <x:v>否</x:v>
      </x:c>
      <x:c r="P571" s="14" t="str">
        <x:v>未提供</x:v>
      </x:c>
      <x:c r="Q571" s="14" t="str">
        <x:v>未提供</x:v>
      </x:c>
      <x:c r="R571" s="14" t="str">
        <x:v>预测</x:v>
      </x:c>
      <x:c r="S571" s="14" t="str">
        <x:v>到站时间为估算值；该打勾车次按就餐专线运行</x:v>
      </x:c>
      <x:c r="T571" t="str">
        <x:v>高超楼发车（就餐专线）</x:v>
      </x:c>
    </x:row>
    <x:row r="572">
      <x:c r="A572" s="14" t="str">
        <x:v>S0047-05</x:v>
      </x:c>
      <x:c r="B572" s="14" t="str">
        <x:v>S0047</x:v>
      </x:c>
      <x:c r="C572" s="14" t="str">
        <x:v>工作日</x:v>
      </x:c>
      <x:c r="D572" s="14" t="str">
        <x:v>环线1路</x:v>
      </x:c>
      <x:c r="E572" s="14" t="str">
        <x:v>第五班（夜2）</x:v>
      </x:c>
      <x:c r="F572" s="14" t="n">
        <x:v>6</x:v>
      </x:c>
      <x:c r="G572" s="14" t="str">
        <x:v>17:50</x:v>
      </x:c>
      <x:c r="H572" s="14" t="str">
        <x:v>高超楼（就餐专线）</x:v>
      </x:c>
      <x:c r="I572" s="14" t="str">
        <x:v>是</x:v>
      </x:c>
      <x:c r="J572" s="14" t="n">
        <x:v>5</x:v>
      </x:c>
      <x:c r="K572" s="14" t="str">
        <x:v>305教学楼</x:v>
      </x:c>
      <x:c r="L572" s="14" t="n">
        <x:v>8</x:v>
      </x:c>
      <x:c r="M572" s="14" t="str">
        <x:v>17:58</x:v>
      </x:c>
      <x:c r="N572" s="14" t="str">
        <x:v>否</x:v>
      </x:c>
      <x:c r="O572" s="14" t="str">
        <x:v>否</x:v>
      </x:c>
      <x:c r="P572" s="14" t="str">
        <x:v>未提供</x:v>
      </x:c>
      <x:c r="Q572" s="14" t="str">
        <x:v>未提供</x:v>
      </x:c>
      <x:c r="R572" s="14" t="str">
        <x:v>预测</x:v>
      </x:c>
      <x:c r="S572" s="14" t="str">
        <x:v>到站时间为估算值；该打勾车次按就餐专线运行</x:v>
      </x:c>
      <x:c r="T572" t="str">
        <x:v>高超楼发车（就餐专线）</x:v>
      </x:c>
    </x:row>
    <x:row r="573">
      <x:c r="A573" s="14" t="str">
        <x:v>S0047-06</x:v>
      </x:c>
      <x:c r="B573" s="14" t="str">
        <x:v>S0047</x:v>
      </x:c>
      <x:c r="C573" s="14" t="str">
        <x:v>工作日</x:v>
      </x:c>
      <x:c r="D573" s="14" t="str">
        <x:v>环线1路</x:v>
      </x:c>
      <x:c r="E573" s="14" t="str">
        <x:v>第五班（夜2）</x:v>
      </x:c>
      <x:c r="F573" s="14" t="n">
        <x:v>6</x:v>
      </x:c>
      <x:c r="G573" s="14" t="str">
        <x:v>17:50</x:v>
      </x:c>
      <x:c r="H573" s="14" t="str">
        <x:v>高超楼（就餐专线）</x:v>
      </x:c>
      <x:c r="I573" s="14" t="str">
        <x:v>是</x:v>
      </x:c>
      <x:c r="J573" s="14" t="n">
        <x:v>6</x:v>
      </x:c>
      <x:c r="K573" s="14" t="str">
        <x:v>5号宿舍楼</x:v>
      </x:c>
      <x:c r="L573" s="14" t="n">
        <x:v>10</x:v>
      </x:c>
      <x:c r="M573" s="14" t="str">
        <x:v>18:00</x:v>
      </x:c>
      <x:c r="N573" s="14" t="str">
        <x:v>否</x:v>
      </x:c>
      <x:c r="O573" s="14" t="str">
        <x:v>否</x:v>
      </x:c>
      <x:c r="P573" s="14" t="str">
        <x:v>未提供</x:v>
      </x:c>
      <x:c r="Q573" s="14" t="str">
        <x:v>未提供</x:v>
      </x:c>
      <x:c r="R573" s="14" t="str">
        <x:v>预测</x:v>
      </x:c>
      <x:c r="S573" s="14" t="str">
        <x:v>到站时间为估算值；该打勾车次按就餐专线运行</x:v>
      </x:c>
      <x:c r="T573" t="str">
        <x:v>高超楼发车（就餐专线）</x:v>
      </x:c>
    </x:row>
    <x:row r="574">
      <x:c r="A574" s="14" t="str">
        <x:v>S0047-07</x:v>
      </x:c>
      <x:c r="B574" s="14" t="str">
        <x:v>S0047</x:v>
      </x:c>
      <x:c r="C574" s="14" t="str">
        <x:v>工作日</x:v>
      </x:c>
      <x:c r="D574" s="14" t="str">
        <x:v>环线1路</x:v>
      </x:c>
      <x:c r="E574" s="14" t="str">
        <x:v>第五班（夜2）</x:v>
      </x:c>
      <x:c r="F574" s="14" t="n">
        <x:v>6</x:v>
      </x:c>
      <x:c r="G574" s="14" t="str">
        <x:v>17:50</x:v>
      </x:c>
      <x:c r="H574" s="14" t="str">
        <x:v>高超楼（就餐专线）</x:v>
      </x:c>
      <x:c r="I574" s="14" t="str">
        <x:v>是</x:v>
      </x:c>
      <x:c r="J574" s="14" t="n">
        <x:v>7</x:v>
      </x:c>
      <x:c r="K574" s="14" t="str">
        <x:v>二食堂北</x:v>
      </x:c>
      <x:c r="L574" s="14" t="n">
        <x:v>12</x:v>
      </x:c>
      <x:c r="M574" s="14" t="str">
        <x:v>18:02</x:v>
      </x:c>
      <x:c r="N574" s="14" t="str">
        <x:v>否</x:v>
      </x:c>
      <x:c r="O574" s="14" t="str">
        <x:v>否</x:v>
      </x:c>
      <x:c r="P574" s="14" t="str">
        <x:v>未提供</x:v>
      </x:c>
      <x:c r="Q574" s="14" t="str">
        <x:v>未提供</x:v>
      </x:c>
      <x:c r="R574" s="14" t="str">
        <x:v>预测</x:v>
      </x:c>
      <x:c r="S574" s="14" t="str">
        <x:v>到站时间为估算值；该打勾车次按就餐专线运行</x:v>
      </x:c>
      <x:c r="T574" t="str">
        <x:v>高超楼发车（就餐专线）</x:v>
      </x:c>
    </x:row>
    <x:row r="575">
      <x:c r="A575" s="14" t="str">
        <x:v>S0047-08</x:v>
      </x:c>
      <x:c r="B575" s="14" t="str">
        <x:v>S0047</x:v>
      </x:c>
      <x:c r="C575" s="14" t="str">
        <x:v>工作日</x:v>
      </x:c>
      <x:c r="D575" s="14" t="str">
        <x:v>环线1路</x:v>
      </x:c>
      <x:c r="E575" s="14" t="str">
        <x:v>第五班（夜2）</x:v>
      </x:c>
      <x:c r="F575" s="14" t="n">
        <x:v>6</x:v>
      </x:c>
      <x:c r="G575" s="14" t="str">
        <x:v>17:50</x:v>
      </x:c>
      <x:c r="H575" s="14" t="str">
        <x:v>高超楼（就餐专线）</x:v>
      </x:c>
      <x:c r="I575" s="14" t="str">
        <x:v>是</x:v>
      </x:c>
      <x:c r="J575" s="14" t="n">
        <x:v>8</x:v>
      </x:c>
      <x:c r="K575" s="14" t="str">
        <x:v>理学院</x:v>
      </x:c>
      <x:c r="L575" s="14" t="n">
        <x:v>15</x:v>
      </x:c>
      <x:c r="M575" s="14" t="str">
        <x:v>18:05</x:v>
      </x:c>
      <x:c r="N575" s="14" t="str">
        <x:v>否</x:v>
      </x:c>
      <x:c r="O575" s="14" t="str">
        <x:v>否</x:v>
      </x:c>
      <x:c r="P575" s="14" t="str">
        <x:v>未提供</x:v>
      </x:c>
      <x:c r="Q575" s="14" t="str">
        <x:v>未提供</x:v>
      </x:c>
      <x:c r="R575" s="14" t="str">
        <x:v>预测</x:v>
      </x:c>
      <x:c r="S575" s="14" t="str">
        <x:v>到站时间为估算值；该打勾车次按就餐专线运行</x:v>
      </x:c>
      <x:c r="T575" t="str">
        <x:v>高超楼发车（就餐专线）</x:v>
      </x:c>
    </x:row>
    <x:row r="576">
      <x:c r="A576" s="14" t="str">
        <x:v>S0047-09</x:v>
      </x:c>
      <x:c r="B576" s="14" t="str">
        <x:v>S0047</x:v>
      </x:c>
      <x:c r="C576" s="14" t="str">
        <x:v>工作日</x:v>
      </x:c>
      <x:c r="D576" s="14" t="str">
        <x:v>环线1路</x:v>
      </x:c>
      <x:c r="E576" s="14" t="str">
        <x:v>第五班（夜2）</x:v>
      </x:c>
      <x:c r="F576" s="14" t="n">
        <x:v>6</x:v>
      </x:c>
      <x:c r="G576" s="14" t="str">
        <x:v>17:50</x:v>
      </x:c>
      <x:c r="H576" s="14" t="str">
        <x:v>高超楼（就餐专线）</x:v>
      </x:c>
      <x:c r="I576" s="14" t="str">
        <x:v>是</x:v>
      </x:c>
      <x:c r="J576" s="14" t="n">
        <x:v>9</x:v>
      </x:c>
      <x:c r="K576" s="14" t="str">
        <x:v>高超楼</x:v>
      </x:c>
      <x:c r="L576" s="14" t="n">
        <x:v>16</x:v>
      </x:c>
      <x:c r="M576" s="14" t="str">
        <x:v>18:06</x:v>
      </x:c>
      <x:c r="N576" s="14" t="str">
        <x:v>否</x:v>
      </x:c>
      <x:c r="O576" s="14" t="str">
        <x:v>是</x:v>
      </x:c>
      <x:c r="P576" s="14" t="str">
        <x:v>未提供</x:v>
      </x:c>
      <x:c r="Q576" s="14" t="str">
        <x:v>未提供</x:v>
      </x:c>
      <x:c r="R576" s="14" t="str">
        <x:v>预测</x:v>
      </x:c>
      <x:c r="S576" s="14" t="str">
        <x:v>到站时间为估算值；该打勾车次按就餐专线运行</x:v>
      </x:c>
      <x:c r="T576" t="str">
        <x:v>高超楼发车（就餐专线）</x:v>
      </x:c>
    </x:row>
    <x:row r="577">
      <x:c r="A577" s="14" t="str">
        <x:v>S0048-01</x:v>
      </x:c>
      <x:c r="B577" s="14" t="str">
        <x:v>S0048</x:v>
      </x:c>
      <x:c r="C577" s="14" t="str">
        <x:v>工作日</x:v>
      </x:c>
      <x:c r="D577" s="14" t="str">
        <x:v>环线1路</x:v>
      </x:c>
      <x:c r="E577" s="14" t="str">
        <x:v>第五班（夜2）</x:v>
      </x:c>
      <x:c r="F577" s="14" t="n">
        <x:v>7</x:v>
      </x:c>
      <x:c r="G577" s="14" t="str">
        <x:v>18:30</x:v>
      </x:c>
      <x:c r="H577" s="14" t="str">
        <x:v>研究生宿舍楼</x:v>
      </x:c>
      <x:c r="I577" s="14" t="str">
        <x:v>否</x:v>
      </x:c>
      <x:c r="J577" s="14" t="n">
        <x:v>1</x:v>
      </x:c>
      <x:c r="K577" s="14" t="str">
        <x:v>研究生宿舍楼</x:v>
      </x:c>
      <x:c r="L577" s="14" t="n">
        <x:v>0</x:v>
      </x:c>
      <x:c r="M577" s="14" t="str">
        <x:v>18:30</x:v>
      </x:c>
      <x:c r="N577" s="14" t="str">
        <x:v>是</x:v>
      </x:c>
      <x:c r="O577" s="14" t="str">
        <x:v>否</x:v>
      </x:c>
      <x:c r="P577" s="14" t="str">
        <x:v>未提供</x:v>
      </x:c>
      <x:c r="Q577" s="14" t="str">
        <x:v>未提供</x:v>
      </x:c>
      <x:c r="R577" s="14" t="str">
        <x:v>预测</x:v>
      </x:c>
      <x:c r="S577" s="14" t="str">
        <x:v>到站时间为估算值</x:v>
      </x:c>
      <x:c r="T577" t="str">
        <x:v>研究生宿舍楼发车</x:v>
      </x:c>
    </x:row>
    <x:row r="578">
      <x:c r="A578" s="14" t="str">
        <x:v>S0048-02</x:v>
      </x:c>
      <x:c r="B578" s="14" t="str">
        <x:v>S0048</x:v>
      </x:c>
      <x:c r="C578" s="14" t="str">
        <x:v>工作日</x:v>
      </x:c>
      <x:c r="D578" s="14" t="str">
        <x:v>环线1路</x:v>
      </x:c>
      <x:c r="E578" s="14" t="str">
        <x:v>第五班（夜2）</x:v>
      </x:c>
      <x:c r="F578" s="14" t="n">
        <x:v>7</x:v>
      </x:c>
      <x:c r="G578" s="14" t="str">
        <x:v>18:30</x:v>
      </x:c>
      <x:c r="H578" s="14" t="str">
        <x:v>研究生宿舍楼</x:v>
      </x:c>
      <x:c r="I578" s="14" t="str">
        <x:v>否</x:v>
      </x:c>
      <x:c r="J578" s="14" t="n">
        <x:v>2</x:v>
      </x:c>
      <x:c r="K578" s="14" t="str">
        <x:v>东门</x:v>
      </x:c>
      <x:c r="L578" s="14" t="n">
        <x:v>1</x:v>
      </x:c>
      <x:c r="M578" s="14" t="str">
        <x:v>18:31</x:v>
      </x:c>
      <x:c r="N578" s="14" t="str">
        <x:v>否</x:v>
      </x:c>
      <x:c r="O578" s="14" t="str">
        <x:v>否</x:v>
      </x:c>
      <x:c r="P578" s="14" t="str">
        <x:v>未提供</x:v>
      </x:c>
      <x:c r="Q578" s="14" t="str">
        <x:v>未提供</x:v>
      </x:c>
      <x:c r="R578" s="14" t="str">
        <x:v>预测</x:v>
      </x:c>
      <x:c r="S578" s="14" t="str">
        <x:v>到站时间为估算值</x:v>
      </x:c>
      <x:c r="T578" t="str">
        <x:v>研究生宿舍楼发车</x:v>
      </x:c>
    </x:row>
    <x:row r="579">
      <x:c r="A579" s="14" t="str">
        <x:v>S0048-03</x:v>
      </x:c>
      <x:c r="B579" s="14" t="str">
        <x:v>S0048</x:v>
      </x:c>
      <x:c r="C579" s="14" t="str">
        <x:v>工作日</x:v>
      </x:c>
      <x:c r="D579" s="14" t="str">
        <x:v>环线1路</x:v>
      </x:c>
      <x:c r="E579" s="14" t="str">
        <x:v>第五班（夜2）</x:v>
      </x:c>
      <x:c r="F579" s="14" t="n">
        <x:v>7</x:v>
      </x:c>
      <x:c r="G579" s="14" t="str">
        <x:v>18:30</x:v>
      </x:c>
      <x:c r="H579" s="14" t="str">
        <x:v>研究生宿舍楼</x:v>
      </x:c>
      <x:c r="I579" s="14" t="str">
        <x:v>否</x:v>
      </x:c>
      <x:c r="J579" s="14" t="n">
        <x:v>3</x:v>
      </x:c>
      <x:c r="K579" s="14" t="str">
        <x:v>2号宿舍楼</x:v>
      </x:c>
      <x:c r="L579" s="14" t="n">
        <x:v>2</x:v>
      </x:c>
      <x:c r="M579" s="14" t="str">
        <x:v>18:32</x:v>
      </x:c>
      <x:c r="N579" s="14" t="str">
        <x:v>否</x:v>
      </x:c>
      <x:c r="O579" s="14" t="str">
        <x:v>否</x:v>
      </x:c>
      <x:c r="P579" s="14" t="str">
        <x:v>未提供</x:v>
      </x:c>
      <x:c r="Q579" s="14" t="str">
        <x:v>未提供</x:v>
      </x:c>
      <x:c r="R579" s="14" t="str">
        <x:v>预测</x:v>
      </x:c>
      <x:c r="S579" s="14" t="str">
        <x:v>到站时间为估算值</x:v>
      </x:c>
      <x:c r="T579" t="str">
        <x:v>研究生宿舍楼发车</x:v>
      </x:c>
    </x:row>
    <x:row r="580">
      <x:c r="A580" s="14" t="str">
        <x:v>S0048-04</x:v>
      </x:c>
      <x:c r="B580" s="14" t="str">
        <x:v>S0048</x:v>
      </x:c>
      <x:c r="C580" s="14" t="str">
        <x:v>工作日</x:v>
      </x:c>
      <x:c r="D580" s="14" t="str">
        <x:v>环线1路</x:v>
      </x:c>
      <x:c r="E580" s="14" t="str">
        <x:v>第五班（夜2）</x:v>
      </x:c>
      <x:c r="F580" s="14" t="n">
        <x:v>7</x:v>
      </x:c>
      <x:c r="G580" s="14" t="str">
        <x:v>18:30</x:v>
      </x:c>
      <x:c r="H580" s="14" t="str">
        <x:v>研究生宿舍楼</x:v>
      </x:c>
      <x:c r="I580" s="14" t="str">
        <x:v>否</x:v>
      </x:c>
      <x:c r="J580" s="14" t="n">
        <x:v>4</x:v>
      </x:c>
      <x:c r="K580" s="14" t="str">
        <x:v>军体活动中心</x:v>
      </x:c>
      <x:c r="L580" s="14" t="n">
        <x:v>3</x:v>
      </x:c>
      <x:c r="M580" s="14" t="str">
        <x:v>18:33</x:v>
      </x:c>
      <x:c r="N580" s="14" t="str">
        <x:v>否</x:v>
      </x:c>
      <x:c r="O580" s="14" t="str">
        <x:v>否</x:v>
      </x:c>
      <x:c r="P580" s="14" t="str">
        <x:v>未提供</x:v>
      </x:c>
      <x:c r="Q580" s="14" t="str">
        <x:v>未提供</x:v>
      </x:c>
      <x:c r="R580" s="14" t="str">
        <x:v>预测</x:v>
      </x:c>
      <x:c r="S580" s="14" t="str">
        <x:v>到站时间为估算值</x:v>
      </x:c>
      <x:c r="T580" t="str">
        <x:v>研究生宿舍楼发车</x:v>
      </x:c>
    </x:row>
    <x:row r="581">
      <x:c r="A581" s="14" t="str">
        <x:v>S0048-05</x:v>
      </x:c>
      <x:c r="B581" s="14" t="str">
        <x:v>S0048</x:v>
      </x:c>
      <x:c r="C581" s="14" t="str">
        <x:v>工作日</x:v>
      </x:c>
      <x:c r="D581" s="14" t="str">
        <x:v>环线1路</x:v>
      </x:c>
      <x:c r="E581" s="14" t="str">
        <x:v>第五班（夜2）</x:v>
      </x:c>
      <x:c r="F581" s="14" t="n">
        <x:v>7</x:v>
      </x:c>
      <x:c r="G581" s="14" t="str">
        <x:v>18:30</x:v>
      </x:c>
      <x:c r="H581" s="14" t="str">
        <x:v>研究生宿舍楼</x:v>
      </x:c>
      <x:c r="I581" s="14" t="str">
        <x:v>否</x:v>
      </x:c>
      <x:c r="J581" s="14" t="n">
        <x:v>5</x:v>
      </x:c>
      <x:c r="K581" s="14" t="str">
        <x:v>激光所</x:v>
      </x:c>
      <x:c r="L581" s="14" t="n">
        <x:v>5</x:v>
      </x:c>
      <x:c r="M581" s="14" t="str">
        <x:v>18:35</x:v>
      </x:c>
      <x:c r="N581" s="14" t="str">
        <x:v>否</x:v>
      </x:c>
      <x:c r="O581" s="14" t="str">
        <x:v>否</x:v>
      </x:c>
      <x:c r="P581" s="14" t="str">
        <x:v>未提供</x:v>
      </x:c>
      <x:c r="Q581" s="14" t="str">
        <x:v>未提供</x:v>
      </x:c>
      <x:c r="R581" s="14" t="str">
        <x:v>预测</x:v>
      </x:c>
      <x:c r="S581" s="14" t="str">
        <x:v>到站时间为估算值</x:v>
      </x:c>
      <x:c r="T581" t="str">
        <x:v>研究生宿舍楼发车</x:v>
      </x:c>
    </x:row>
    <x:row r="582">
      <x:c r="A582" s="14" t="str">
        <x:v>S0048-06</x:v>
      </x:c>
      <x:c r="B582" s="14" t="str">
        <x:v>S0048</x:v>
      </x:c>
      <x:c r="C582" s="14" t="str">
        <x:v>工作日</x:v>
      </x:c>
      <x:c r="D582" s="14" t="str">
        <x:v>环线1路</x:v>
      </x:c>
      <x:c r="E582" s="14" t="str">
        <x:v>第五班（夜2）</x:v>
      </x:c>
      <x:c r="F582" s="14" t="n">
        <x:v>7</x:v>
      </x:c>
      <x:c r="G582" s="14" t="str">
        <x:v>18:30</x:v>
      </x:c>
      <x:c r="H582" s="14" t="str">
        <x:v>研究生宿舍楼</x:v>
      </x:c>
      <x:c r="I582" s="14" t="str">
        <x:v>否</x:v>
      </x:c>
      <x:c r="J582" s="14" t="n">
        <x:v>6</x:v>
      </x:c>
      <x:c r="K582" s="14" t="str">
        <x:v>超算中心</x:v>
      </x:c>
      <x:c r="L582" s="14" t="n">
        <x:v>6</x:v>
      </x:c>
      <x:c r="M582" s="14" t="str">
        <x:v>18:36</x:v>
      </x:c>
      <x:c r="N582" s="14" t="str">
        <x:v>否</x:v>
      </x:c>
      <x:c r="O582" s="14" t="str">
        <x:v>否</x:v>
      </x:c>
      <x:c r="P582" s="14" t="str">
        <x:v>未提供</x:v>
      </x:c>
      <x:c r="Q582" s="14" t="str">
        <x:v>未提供</x:v>
      </x:c>
      <x:c r="R582" s="14" t="str">
        <x:v>预测</x:v>
      </x:c>
      <x:c r="S582" s="14" t="str">
        <x:v>到站时间为估算值</x:v>
      </x:c>
      <x:c r="T582" t="str">
        <x:v>研究生宿舍楼发车</x:v>
      </x:c>
    </x:row>
    <x:row r="583">
      <x:c r="A583" s="14" t="str">
        <x:v>S0048-07</x:v>
      </x:c>
      <x:c r="B583" s="14" t="str">
        <x:v>S0048</x:v>
      </x:c>
      <x:c r="C583" s="14" t="str">
        <x:v>工作日</x:v>
      </x:c>
      <x:c r="D583" s="14" t="str">
        <x:v>环线1路</x:v>
      </x:c>
      <x:c r="E583" s="14" t="str">
        <x:v>第五班（夜2）</x:v>
      </x:c>
      <x:c r="F583" s="14" t="n">
        <x:v>7</x:v>
      </x:c>
      <x:c r="G583" s="14" t="str">
        <x:v>18:30</x:v>
      </x:c>
      <x:c r="H583" s="14" t="str">
        <x:v>研究生宿舍楼</x:v>
      </x:c>
      <x:c r="I583" s="14" t="str">
        <x:v>否</x:v>
      </x:c>
      <x:c r="J583" s="14" t="n">
        <x:v>7</x:v>
      </x:c>
      <x:c r="K583" s="14" t="str">
        <x:v>北门</x:v>
      </x:c>
      <x:c r="L583" s="14" t="n">
        <x:v>8</x:v>
      </x:c>
      <x:c r="M583" s="14" t="str">
        <x:v>18:38</x:v>
      </x:c>
      <x:c r="N583" s="14" t="str">
        <x:v>否</x:v>
      </x:c>
      <x:c r="O583" s="14" t="str">
        <x:v>否</x:v>
      </x:c>
      <x:c r="P583" s="14" t="str">
        <x:v>未提供</x:v>
      </x:c>
      <x:c r="Q583" s="14" t="str">
        <x:v>未提供</x:v>
      </x:c>
      <x:c r="R583" s="14" t="str">
        <x:v>预测</x:v>
      </x:c>
      <x:c r="S583" s="14" t="str">
        <x:v>到站时间为估算值</x:v>
      </x:c>
      <x:c r="T583" t="str">
        <x:v>研究生宿舍楼发车</x:v>
      </x:c>
    </x:row>
    <x:row r="584">
      <x:c r="A584" s="14" t="str">
        <x:v>S0048-08</x:v>
      </x:c>
      <x:c r="B584" s="14" t="str">
        <x:v>S0048</x:v>
      </x:c>
      <x:c r="C584" s="14" t="str">
        <x:v>工作日</x:v>
      </x:c>
      <x:c r="D584" s="14" t="str">
        <x:v>环线1路</x:v>
      </x:c>
      <x:c r="E584" s="14" t="str">
        <x:v>第五班（夜2）</x:v>
      </x:c>
      <x:c r="F584" s="14" t="n">
        <x:v>7</x:v>
      </x:c>
      <x:c r="G584" s="14" t="str">
        <x:v>18:30</x:v>
      </x:c>
      <x:c r="H584" s="14" t="str">
        <x:v>研究生宿舍楼</x:v>
      </x:c>
      <x:c r="I584" s="14" t="str">
        <x:v>否</x:v>
      </x:c>
      <x:c r="J584" s="14" t="n">
        <x:v>8</x:v>
      </x:c>
      <x:c r="K584" s="14" t="str">
        <x:v>高超楼</x:v>
      </x:c>
      <x:c r="L584" s="14" t="n">
        <x:v>9</x:v>
      </x:c>
      <x:c r="M584" s="14" t="str">
        <x:v>18:39</x:v>
      </x:c>
      <x:c r="N584" s="14" t="str">
        <x:v>否</x:v>
      </x:c>
      <x:c r="O584" s="14" t="str">
        <x:v>否</x:v>
      </x:c>
      <x:c r="P584" s="14" t="str">
        <x:v>未提供</x:v>
      </x:c>
      <x:c r="Q584" s="14" t="str">
        <x:v>未提供</x:v>
      </x:c>
      <x:c r="R584" s="14" t="str">
        <x:v>预测</x:v>
      </x:c>
      <x:c r="S584" s="14" t="str">
        <x:v>到站时间为估算值</x:v>
      </x:c>
      <x:c r="T584" t="str">
        <x:v>研究生宿舍楼发车</x:v>
      </x:c>
    </x:row>
    <x:row r="585">
      <x:c r="A585" s="14" t="str">
        <x:v>S0048-09</x:v>
      </x:c>
      <x:c r="B585" s="14" t="str">
        <x:v>S0048</x:v>
      </x:c>
      <x:c r="C585" s="14" t="str">
        <x:v>工作日</x:v>
      </x:c>
      <x:c r="D585" s="14" t="str">
        <x:v>环线1路</x:v>
      </x:c>
      <x:c r="E585" s="14" t="str">
        <x:v>第五班（夜2）</x:v>
      </x:c>
      <x:c r="F585" s="14" t="n">
        <x:v>7</x:v>
      </x:c>
      <x:c r="G585" s="14" t="str">
        <x:v>18:30</x:v>
      </x:c>
      <x:c r="H585" s="14" t="str">
        <x:v>研究生宿舍楼</x:v>
      </x:c>
      <x:c r="I585" s="14" t="str">
        <x:v>否</x:v>
      </x:c>
      <x:c r="J585" s="14" t="n">
        <x:v>9</x:v>
      </x:c>
      <x:c r="K585" s="14" t="str">
        <x:v>理学院</x:v>
      </x:c>
      <x:c r="L585" s="14" t="n">
        <x:v>10</x:v>
      </x:c>
      <x:c r="M585" s="14" t="str">
        <x:v>18:40</x:v>
      </x:c>
      <x:c r="N585" s="14" t="str">
        <x:v>否</x:v>
      </x:c>
      <x:c r="O585" s="14" t="str">
        <x:v>否</x:v>
      </x:c>
      <x:c r="P585" s="14" t="str">
        <x:v>未提供</x:v>
      </x:c>
      <x:c r="Q585" s="14" t="str">
        <x:v>未提供</x:v>
      </x:c>
      <x:c r="R585" s="14" t="str">
        <x:v>预测</x:v>
      </x:c>
      <x:c r="S585" s="14" t="str">
        <x:v>到站时间为估算值</x:v>
      </x:c>
      <x:c r="T585" t="str">
        <x:v>研究生宿舍楼发车</x:v>
      </x:c>
    </x:row>
    <x:row r="586">
      <x:c r="A586" s="14" t="str">
        <x:v>S0048-10</x:v>
      </x:c>
      <x:c r="B586" s="14" t="str">
        <x:v>S0048</x:v>
      </x:c>
      <x:c r="C586" s="14" t="str">
        <x:v>工作日</x:v>
      </x:c>
      <x:c r="D586" s="14" t="str">
        <x:v>环线1路</x:v>
      </x:c>
      <x:c r="E586" s="14" t="str">
        <x:v>第五班（夜2）</x:v>
      </x:c>
      <x:c r="F586" s="14" t="n">
        <x:v>7</x:v>
      </x:c>
      <x:c r="G586" s="14" t="str">
        <x:v>18:30</x:v>
      </x:c>
      <x:c r="H586" s="14" t="str">
        <x:v>研究生宿舍楼</x:v>
      </x:c>
      <x:c r="I586" s="14" t="str">
        <x:v>否</x:v>
      </x:c>
      <x:c r="J586" s="14" t="n">
        <x:v>10</x:v>
      </x:c>
      <x:c r="K586" s="14" t="str">
        <x:v>二食堂</x:v>
      </x:c>
      <x:c r="L586" s="14" t="n">
        <x:v>13</x:v>
      </x:c>
      <x:c r="M586" s="14" t="str">
        <x:v>18:43</x:v>
      </x:c>
      <x:c r="N586" s="14" t="str">
        <x:v>否</x:v>
      </x:c>
      <x:c r="O586" s="14" t="str">
        <x:v>否</x:v>
      </x:c>
      <x:c r="P586" s="14" t="str">
        <x:v>未提供</x:v>
      </x:c>
      <x:c r="Q586" s="14" t="str">
        <x:v>未提供</x:v>
      </x:c>
      <x:c r="R586" s="14" t="str">
        <x:v>预测</x:v>
      </x:c>
      <x:c r="S586" s="14" t="str">
        <x:v>到站时间为估算值</x:v>
      </x:c>
      <x:c r="T586" t="str">
        <x:v>研究生宿舍楼发车</x:v>
      </x:c>
    </x:row>
    <x:row r="587">
      <x:c r="A587" s="14" t="str">
        <x:v>S0048-11</x:v>
      </x:c>
      <x:c r="B587" s="14" t="str">
        <x:v>S0048</x:v>
      </x:c>
      <x:c r="C587" s="14" t="str">
        <x:v>工作日</x:v>
      </x:c>
      <x:c r="D587" s="14" t="str">
        <x:v>环线1路</x:v>
      </x:c>
      <x:c r="E587" s="14" t="str">
        <x:v>第五班（夜2）</x:v>
      </x:c>
      <x:c r="F587" s="14" t="n">
        <x:v>7</x:v>
      </x:c>
      <x:c r="G587" s="14" t="str">
        <x:v>18:30</x:v>
      </x:c>
      <x:c r="H587" s="14" t="str">
        <x:v>研究生宿舍楼</x:v>
      </x:c>
      <x:c r="I587" s="14" t="str">
        <x:v>否</x:v>
      </x:c>
      <x:c r="J587" s="14" t="n">
        <x:v>11</x:v>
      </x:c>
      <x:c r="K587" s="14" t="str">
        <x:v>5号宿舍楼</x:v>
      </x:c>
      <x:c r="L587" s="14" t="n">
        <x:v>14</x:v>
      </x:c>
      <x:c r="M587" s="14" t="str">
        <x:v>18:44</x:v>
      </x:c>
      <x:c r="N587" s="14" t="str">
        <x:v>否</x:v>
      </x:c>
      <x:c r="O587" s="14" t="str">
        <x:v>否</x:v>
      </x:c>
      <x:c r="P587" s="14" t="str">
        <x:v>未提供</x:v>
      </x:c>
      <x:c r="Q587" s="14" t="str">
        <x:v>未提供</x:v>
      </x:c>
      <x:c r="R587" s="14" t="str">
        <x:v>预测</x:v>
      </x:c>
      <x:c r="S587" s="14" t="str">
        <x:v>到站时间为估算值</x:v>
      </x:c>
      <x:c r="T587" t="str">
        <x:v>研究生宿舍楼发车</x:v>
      </x:c>
    </x:row>
    <x:row r="588">
      <x:c r="A588" s="14" t="str">
        <x:v>S0048-12</x:v>
      </x:c>
      <x:c r="B588" s="14" t="str">
        <x:v>S0048</x:v>
      </x:c>
      <x:c r="C588" s="14" t="str">
        <x:v>工作日</x:v>
      </x:c>
      <x:c r="D588" s="14" t="str">
        <x:v>环线1路</x:v>
      </x:c>
      <x:c r="E588" s="14" t="str">
        <x:v>第五班（夜2）</x:v>
      </x:c>
      <x:c r="F588" s="14" t="n">
        <x:v>7</x:v>
      </x:c>
      <x:c r="G588" s="14" t="str">
        <x:v>18:30</x:v>
      </x:c>
      <x:c r="H588" s="14" t="str">
        <x:v>研究生宿舍楼</x:v>
      </x:c>
      <x:c r="I588" s="14" t="str">
        <x:v>否</x:v>
      </x:c>
      <x:c r="J588" s="14" t="n">
        <x:v>12</x:v>
      </x:c>
      <x:c r="K588" s="14" t="str">
        <x:v>305教学楼</x:v>
      </x:c>
      <x:c r="L588" s="14" t="n">
        <x:v>15</x:v>
      </x:c>
      <x:c r="M588" s="14" t="str">
        <x:v>18:45</x:v>
      </x:c>
      <x:c r="N588" s="14" t="str">
        <x:v>否</x:v>
      </x:c>
      <x:c r="O588" s="14" t="str">
        <x:v>否</x:v>
      </x:c>
      <x:c r="P588" s="14" t="str">
        <x:v>未提供</x:v>
      </x:c>
      <x:c r="Q588" s="14" t="str">
        <x:v>未提供</x:v>
      </x:c>
      <x:c r="R588" s="14" t="str">
        <x:v>预测</x:v>
      </x:c>
      <x:c r="S588" s="14" t="str">
        <x:v>到站时间为估算值</x:v>
      </x:c>
      <x:c r="T588" t="str">
        <x:v>研究生宿舍楼发车</x:v>
      </x:c>
    </x:row>
    <x:row r="589">
      <x:c r="A589" s="14" t="str">
        <x:v>S0048-13</x:v>
      </x:c>
      <x:c r="B589" s="14" t="str">
        <x:v>S0048</x:v>
      </x:c>
      <x:c r="C589" s="14" t="str">
        <x:v>工作日</x:v>
      </x:c>
      <x:c r="D589" s="14" t="str">
        <x:v>环线1路</x:v>
      </x:c>
      <x:c r="E589" s="14" t="str">
        <x:v>第五班（夜2）</x:v>
      </x:c>
      <x:c r="F589" s="14" t="n">
        <x:v>7</x:v>
      </x:c>
      <x:c r="G589" s="14" t="str">
        <x:v>18:30</x:v>
      </x:c>
      <x:c r="H589" s="14" t="str">
        <x:v>研究生宿舍楼</x:v>
      </x:c>
      <x:c r="I589" s="14" t="str">
        <x:v>否</x:v>
      </x:c>
      <x:c r="J589" s="14" t="n">
        <x:v>13</x:v>
      </x:c>
      <x:c r="K589" s="14" t="str">
        <x:v>研究生宿舍楼</x:v>
      </x:c>
      <x:c r="L589" s="14" t="n">
        <x:v>17</x:v>
      </x:c>
      <x:c r="M589" s="14" t="str">
        <x:v>18:47</x:v>
      </x:c>
      <x:c r="N589" s="14" t="str">
        <x:v>否</x:v>
      </x:c>
      <x:c r="O589" s="14" t="str">
        <x:v>是</x:v>
      </x:c>
      <x:c r="P589" s="14" t="str">
        <x:v>未提供</x:v>
      </x:c>
      <x:c r="Q589" s="14" t="str">
        <x:v>未提供</x:v>
      </x:c>
      <x:c r="R589" s="14" t="str">
        <x:v>预测</x:v>
      </x:c>
      <x:c r="S589" s="14" t="str">
        <x:v>到站时间为估算值</x:v>
      </x:c>
      <x:c r="T589" t="str">
        <x:v>研究生宿舍楼发车</x:v>
      </x:c>
    </x:row>
    <x:row r="590">
      <x:c r="A590" s="14" t="str">
        <x:v>S0049-01</x:v>
      </x:c>
      <x:c r="B590" s="14" t="str">
        <x:v>S0049</x:v>
      </x:c>
      <x:c r="C590" s="14" t="str">
        <x:v>工作日</x:v>
      </x:c>
      <x:c r="D590" s="14" t="str">
        <x:v>环线1路</x:v>
      </x:c>
      <x:c r="E590" s="14" t="str">
        <x:v>第五班（夜2）</x:v>
      </x:c>
      <x:c r="F590" s="14" t="n">
        <x:v>8</x:v>
      </x:c>
      <x:c r="G590" s="14" t="str">
        <x:v>19:00</x:v>
      </x:c>
      <x:c r="H590" s="14" t="str">
        <x:v>研究生宿舍楼</x:v>
      </x:c>
      <x:c r="I590" s="14" t="str">
        <x:v>否</x:v>
      </x:c>
      <x:c r="J590" s="14" t="n">
        <x:v>1</x:v>
      </x:c>
      <x:c r="K590" s="14" t="str">
        <x:v>研究生宿舍楼</x:v>
      </x:c>
      <x:c r="L590" s="14" t="n">
        <x:v>0</x:v>
      </x:c>
      <x:c r="M590" s="14" t="str">
        <x:v>19:00</x:v>
      </x:c>
      <x:c r="N590" s="14" t="str">
        <x:v>是</x:v>
      </x:c>
      <x:c r="O590" s="14" t="str">
        <x:v>否</x:v>
      </x:c>
      <x:c r="P590" s="14" t="str">
        <x:v>未提供</x:v>
      </x:c>
      <x:c r="Q590" s="14" t="str">
        <x:v>未提供</x:v>
      </x:c>
      <x:c r="R590" s="14" t="str">
        <x:v>预测</x:v>
      </x:c>
      <x:c r="S590" s="14" t="str">
        <x:v>到站时间为估算值</x:v>
      </x:c>
      <x:c r="T590" t="str">
        <x:v>研究生宿舍楼发车</x:v>
      </x:c>
    </x:row>
    <x:row r="591">
      <x:c r="A591" s="14" t="str">
        <x:v>S0049-02</x:v>
      </x:c>
      <x:c r="B591" s="14" t="str">
        <x:v>S0049</x:v>
      </x:c>
      <x:c r="C591" s="14" t="str">
        <x:v>工作日</x:v>
      </x:c>
      <x:c r="D591" s="14" t="str">
        <x:v>环线1路</x:v>
      </x:c>
      <x:c r="E591" s="14" t="str">
        <x:v>第五班（夜2）</x:v>
      </x:c>
      <x:c r="F591" s="14" t="n">
        <x:v>8</x:v>
      </x:c>
      <x:c r="G591" s="14" t="str">
        <x:v>19:00</x:v>
      </x:c>
      <x:c r="H591" s="14" t="str">
        <x:v>研究生宿舍楼</x:v>
      </x:c>
      <x:c r="I591" s="14" t="str">
        <x:v>否</x:v>
      </x:c>
      <x:c r="J591" s="14" t="n">
        <x:v>2</x:v>
      </x:c>
      <x:c r="K591" s="14" t="str">
        <x:v>东门</x:v>
      </x:c>
      <x:c r="L591" s="14" t="n">
        <x:v>1</x:v>
      </x:c>
      <x:c r="M591" s="14" t="str">
        <x:v>19:01</x:v>
      </x:c>
      <x:c r="N591" s="14" t="str">
        <x:v>否</x:v>
      </x:c>
      <x:c r="O591" s="14" t="str">
        <x:v>否</x:v>
      </x:c>
      <x:c r="P591" s="14" t="str">
        <x:v>未提供</x:v>
      </x:c>
      <x:c r="Q591" s="14" t="str">
        <x:v>未提供</x:v>
      </x:c>
      <x:c r="R591" s="14" t="str">
        <x:v>预测</x:v>
      </x:c>
      <x:c r="S591" s="14" t="str">
        <x:v>到站时间为估算值</x:v>
      </x:c>
      <x:c r="T591" t="str">
        <x:v>研究生宿舍楼发车</x:v>
      </x:c>
    </x:row>
    <x:row r="592">
      <x:c r="A592" s="14" t="str">
        <x:v>S0049-03</x:v>
      </x:c>
      <x:c r="B592" s="14" t="str">
        <x:v>S0049</x:v>
      </x:c>
      <x:c r="C592" s="14" t="str">
        <x:v>工作日</x:v>
      </x:c>
      <x:c r="D592" s="14" t="str">
        <x:v>环线1路</x:v>
      </x:c>
      <x:c r="E592" s="14" t="str">
        <x:v>第五班（夜2）</x:v>
      </x:c>
      <x:c r="F592" s="14" t="n">
        <x:v>8</x:v>
      </x:c>
      <x:c r="G592" s="14" t="str">
        <x:v>19:00</x:v>
      </x:c>
      <x:c r="H592" s="14" t="str">
        <x:v>研究生宿舍楼</x:v>
      </x:c>
      <x:c r="I592" s="14" t="str">
        <x:v>否</x:v>
      </x:c>
      <x:c r="J592" s="14" t="n">
        <x:v>3</x:v>
      </x:c>
      <x:c r="K592" s="14" t="str">
        <x:v>2号宿舍楼</x:v>
      </x:c>
      <x:c r="L592" s="14" t="n">
        <x:v>2</x:v>
      </x:c>
      <x:c r="M592" s="14" t="str">
        <x:v>19:02</x:v>
      </x:c>
      <x:c r="N592" s="14" t="str">
        <x:v>否</x:v>
      </x:c>
      <x:c r="O592" s="14" t="str">
        <x:v>否</x:v>
      </x:c>
      <x:c r="P592" s="14" t="str">
        <x:v>未提供</x:v>
      </x:c>
      <x:c r="Q592" s="14" t="str">
        <x:v>未提供</x:v>
      </x:c>
      <x:c r="R592" s="14" t="str">
        <x:v>预测</x:v>
      </x:c>
      <x:c r="S592" s="14" t="str">
        <x:v>到站时间为估算值</x:v>
      </x:c>
      <x:c r="T592" t="str">
        <x:v>研究生宿舍楼发车</x:v>
      </x:c>
    </x:row>
    <x:row r="593">
      <x:c r="A593" s="14" t="str">
        <x:v>S0049-04</x:v>
      </x:c>
      <x:c r="B593" s="14" t="str">
        <x:v>S0049</x:v>
      </x:c>
      <x:c r="C593" s="14" t="str">
        <x:v>工作日</x:v>
      </x:c>
      <x:c r="D593" s="14" t="str">
        <x:v>环线1路</x:v>
      </x:c>
      <x:c r="E593" s="14" t="str">
        <x:v>第五班（夜2）</x:v>
      </x:c>
      <x:c r="F593" s="14" t="n">
        <x:v>8</x:v>
      </x:c>
      <x:c r="G593" s="14" t="str">
        <x:v>19:00</x:v>
      </x:c>
      <x:c r="H593" s="14" t="str">
        <x:v>研究生宿舍楼</x:v>
      </x:c>
      <x:c r="I593" s="14" t="str">
        <x:v>否</x:v>
      </x:c>
      <x:c r="J593" s="14" t="n">
        <x:v>4</x:v>
      </x:c>
      <x:c r="K593" s="14" t="str">
        <x:v>军体活动中心</x:v>
      </x:c>
      <x:c r="L593" s="14" t="n">
        <x:v>3</x:v>
      </x:c>
      <x:c r="M593" s="14" t="str">
        <x:v>19:03</x:v>
      </x:c>
      <x:c r="N593" s="14" t="str">
        <x:v>否</x:v>
      </x:c>
      <x:c r="O593" s="14" t="str">
        <x:v>否</x:v>
      </x:c>
      <x:c r="P593" s="14" t="str">
        <x:v>未提供</x:v>
      </x:c>
      <x:c r="Q593" s="14" t="str">
        <x:v>未提供</x:v>
      </x:c>
      <x:c r="R593" s="14" t="str">
        <x:v>预测</x:v>
      </x:c>
      <x:c r="S593" s="14" t="str">
        <x:v>到站时间为估算值</x:v>
      </x:c>
      <x:c r="T593" t="str">
        <x:v>研究生宿舍楼发车</x:v>
      </x:c>
    </x:row>
    <x:row r="594">
      <x:c r="A594" s="14" t="str">
        <x:v>S0049-05</x:v>
      </x:c>
      <x:c r="B594" s="14" t="str">
        <x:v>S0049</x:v>
      </x:c>
      <x:c r="C594" s="14" t="str">
        <x:v>工作日</x:v>
      </x:c>
      <x:c r="D594" s="14" t="str">
        <x:v>环线1路</x:v>
      </x:c>
      <x:c r="E594" s="14" t="str">
        <x:v>第五班（夜2）</x:v>
      </x:c>
      <x:c r="F594" s="14" t="n">
        <x:v>8</x:v>
      </x:c>
      <x:c r="G594" s="14" t="str">
        <x:v>19:00</x:v>
      </x:c>
      <x:c r="H594" s="14" t="str">
        <x:v>研究生宿舍楼</x:v>
      </x:c>
      <x:c r="I594" s="14" t="str">
        <x:v>否</x:v>
      </x:c>
      <x:c r="J594" s="14" t="n">
        <x:v>5</x:v>
      </x:c>
      <x:c r="K594" s="14" t="str">
        <x:v>激光所</x:v>
      </x:c>
      <x:c r="L594" s="14" t="n">
        <x:v>5</x:v>
      </x:c>
      <x:c r="M594" s="14" t="str">
        <x:v>19:05</x:v>
      </x:c>
      <x:c r="N594" s="14" t="str">
        <x:v>否</x:v>
      </x:c>
      <x:c r="O594" s="14" t="str">
        <x:v>否</x:v>
      </x:c>
      <x:c r="P594" s="14" t="str">
        <x:v>未提供</x:v>
      </x:c>
      <x:c r="Q594" s="14" t="str">
        <x:v>未提供</x:v>
      </x:c>
      <x:c r="R594" s="14" t="str">
        <x:v>预测</x:v>
      </x:c>
      <x:c r="S594" s="14" t="str">
        <x:v>到站时间为估算值</x:v>
      </x:c>
      <x:c r="T594" t="str">
        <x:v>研究生宿舍楼发车</x:v>
      </x:c>
    </x:row>
    <x:row r="595">
      <x:c r="A595" s="14" t="str">
        <x:v>S0049-06</x:v>
      </x:c>
      <x:c r="B595" s="14" t="str">
        <x:v>S0049</x:v>
      </x:c>
      <x:c r="C595" s="14" t="str">
        <x:v>工作日</x:v>
      </x:c>
      <x:c r="D595" s="14" t="str">
        <x:v>环线1路</x:v>
      </x:c>
      <x:c r="E595" s="14" t="str">
        <x:v>第五班（夜2）</x:v>
      </x:c>
      <x:c r="F595" s="14" t="n">
        <x:v>8</x:v>
      </x:c>
      <x:c r="G595" s="14" t="str">
        <x:v>19:00</x:v>
      </x:c>
      <x:c r="H595" s="14" t="str">
        <x:v>研究生宿舍楼</x:v>
      </x:c>
      <x:c r="I595" s="14" t="str">
        <x:v>否</x:v>
      </x:c>
      <x:c r="J595" s="14" t="n">
        <x:v>6</x:v>
      </x:c>
      <x:c r="K595" s="14" t="str">
        <x:v>超算中心</x:v>
      </x:c>
      <x:c r="L595" s="14" t="n">
        <x:v>6</x:v>
      </x:c>
      <x:c r="M595" s="14" t="str">
        <x:v>19:06</x:v>
      </x:c>
      <x:c r="N595" s="14" t="str">
        <x:v>否</x:v>
      </x:c>
      <x:c r="O595" s="14" t="str">
        <x:v>否</x:v>
      </x:c>
      <x:c r="P595" s="14" t="str">
        <x:v>未提供</x:v>
      </x:c>
      <x:c r="Q595" s="14" t="str">
        <x:v>未提供</x:v>
      </x:c>
      <x:c r="R595" s="14" t="str">
        <x:v>预测</x:v>
      </x:c>
      <x:c r="S595" s="14" t="str">
        <x:v>到站时间为估算值</x:v>
      </x:c>
      <x:c r="T595" t="str">
        <x:v>研究生宿舍楼发车</x:v>
      </x:c>
    </x:row>
    <x:row r="596">
      <x:c r="A596" s="14" t="str">
        <x:v>S0049-07</x:v>
      </x:c>
      <x:c r="B596" s="14" t="str">
        <x:v>S0049</x:v>
      </x:c>
      <x:c r="C596" s="14" t="str">
        <x:v>工作日</x:v>
      </x:c>
      <x:c r="D596" s="14" t="str">
        <x:v>环线1路</x:v>
      </x:c>
      <x:c r="E596" s="14" t="str">
        <x:v>第五班（夜2）</x:v>
      </x:c>
      <x:c r="F596" s="14" t="n">
        <x:v>8</x:v>
      </x:c>
      <x:c r="G596" s="14" t="str">
        <x:v>19:00</x:v>
      </x:c>
      <x:c r="H596" s="14" t="str">
        <x:v>研究生宿舍楼</x:v>
      </x:c>
      <x:c r="I596" s="14" t="str">
        <x:v>否</x:v>
      </x:c>
      <x:c r="J596" s="14" t="n">
        <x:v>7</x:v>
      </x:c>
      <x:c r="K596" s="14" t="str">
        <x:v>北门</x:v>
      </x:c>
      <x:c r="L596" s="14" t="n">
        <x:v>8</x:v>
      </x:c>
      <x:c r="M596" s="14" t="str">
        <x:v>19:08</x:v>
      </x:c>
      <x:c r="N596" s="14" t="str">
        <x:v>否</x:v>
      </x:c>
      <x:c r="O596" s="14" t="str">
        <x:v>否</x:v>
      </x:c>
      <x:c r="P596" s="14" t="str">
        <x:v>未提供</x:v>
      </x:c>
      <x:c r="Q596" s="14" t="str">
        <x:v>未提供</x:v>
      </x:c>
      <x:c r="R596" s="14" t="str">
        <x:v>预测</x:v>
      </x:c>
      <x:c r="S596" s="14" t="str">
        <x:v>到站时间为估算值</x:v>
      </x:c>
      <x:c r="T596" t="str">
        <x:v>研究生宿舍楼发车</x:v>
      </x:c>
    </x:row>
    <x:row r="597">
      <x:c r="A597" s="14" t="str">
        <x:v>S0049-08</x:v>
      </x:c>
      <x:c r="B597" s="14" t="str">
        <x:v>S0049</x:v>
      </x:c>
      <x:c r="C597" s="14" t="str">
        <x:v>工作日</x:v>
      </x:c>
      <x:c r="D597" s="14" t="str">
        <x:v>环线1路</x:v>
      </x:c>
      <x:c r="E597" s="14" t="str">
        <x:v>第五班（夜2）</x:v>
      </x:c>
      <x:c r="F597" s="14" t="n">
        <x:v>8</x:v>
      </x:c>
      <x:c r="G597" s="14" t="str">
        <x:v>19:00</x:v>
      </x:c>
      <x:c r="H597" s="14" t="str">
        <x:v>研究生宿舍楼</x:v>
      </x:c>
      <x:c r="I597" s="14" t="str">
        <x:v>否</x:v>
      </x:c>
      <x:c r="J597" s="14" t="n">
        <x:v>8</x:v>
      </x:c>
      <x:c r="K597" s="14" t="str">
        <x:v>高超楼</x:v>
      </x:c>
      <x:c r="L597" s="14" t="n">
        <x:v>9</x:v>
      </x:c>
      <x:c r="M597" s="14" t="str">
        <x:v>19:09</x:v>
      </x:c>
      <x:c r="N597" s="14" t="str">
        <x:v>否</x:v>
      </x:c>
      <x:c r="O597" s="14" t="str">
        <x:v>否</x:v>
      </x:c>
      <x:c r="P597" s="14" t="str">
        <x:v>未提供</x:v>
      </x:c>
      <x:c r="Q597" s="14" t="str">
        <x:v>未提供</x:v>
      </x:c>
      <x:c r="R597" s="14" t="str">
        <x:v>预测</x:v>
      </x:c>
      <x:c r="S597" s="14" t="str">
        <x:v>到站时间为估算值</x:v>
      </x:c>
      <x:c r="T597" t="str">
        <x:v>研究生宿舍楼发车</x:v>
      </x:c>
    </x:row>
    <x:row r="598">
      <x:c r="A598" s="14" t="str">
        <x:v>S0049-09</x:v>
      </x:c>
      <x:c r="B598" s="14" t="str">
        <x:v>S0049</x:v>
      </x:c>
      <x:c r="C598" s="14" t="str">
        <x:v>工作日</x:v>
      </x:c>
      <x:c r="D598" s="14" t="str">
        <x:v>环线1路</x:v>
      </x:c>
      <x:c r="E598" s="14" t="str">
        <x:v>第五班（夜2）</x:v>
      </x:c>
      <x:c r="F598" s="14" t="n">
        <x:v>8</x:v>
      </x:c>
      <x:c r="G598" s="14" t="str">
        <x:v>19:00</x:v>
      </x:c>
      <x:c r="H598" s="14" t="str">
        <x:v>研究生宿舍楼</x:v>
      </x:c>
      <x:c r="I598" s="14" t="str">
        <x:v>否</x:v>
      </x:c>
      <x:c r="J598" s="14" t="n">
        <x:v>9</x:v>
      </x:c>
      <x:c r="K598" s="14" t="str">
        <x:v>理学院</x:v>
      </x:c>
      <x:c r="L598" s="14" t="n">
        <x:v>10</x:v>
      </x:c>
      <x:c r="M598" s="14" t="str">
        <x:v>19:10</x:v>
      </x:c>
      <x:c r="N598" s="14" t="str">
        <x:v>否</x:v>
      </x:c>
      <x:c r="O598" s="14" t="str">
        <x:v>否</x:v>
      </x:c>
      <x:c r="P598" s="14" t="str">
        <x:v>未提供</x:v>
      </x:c>
      <x:c r="Q598" s="14" t="str">
        <x:v>未提供</x:v>
      </x:c>
      <x:c r="R598" s="14" t="str">
        <x:v>预测</x:v>
      </x:c>
      <x:c r="S598" s="14" t="str">
        <x:v>到站时间为估算值</x:v>
      </x:c>
      <x:c r="T598" t="str">
        <x:v>研究生宿舍楼发车</x:v>
      </x:c>
    </x:row>
    <x:row r="599">
      <x:c r="A599" s="14" t="str">
        <x:v>S0049-10</x:v>
      </x:c>
      <x:c r="B599" s="14" t="str">
        <x:v>S0049</x:v>
      </x:c>
      <x:c r="C599" s="14" t="str">
        <x:v>工作日</x:v>
      </x:c>
      <x:c r="D599" s="14" t="str">
        <x:v>环线1路</x:v>
      </x:c>
      <x:c r="E599" s="14" t="str">
        <x:v>第五班（夜2）</x:v>
      </x:c>
      <x:c r="F599" s="14" t="n">
        <x:v>8</x:v>
      </x:c>
      <x:c r="G599" s="14" t="str">
        <x:v>19:00</x:v>
      </x:c>
      <x:c r="H599" s="14" t="str">
        <x:v>研究生宿舍楼</x:v>
      </x:c>
      <x:c r="I599" s="14" t="str">
        <x:v>否</x:v>
      </x:c>
      <x:c r="J599" s="14" t="n">
        <x:v>10</x:v>
      </x:c>
      <x:c r="K599" s="14" t="str">
        <x:v>二食堂</x:v>
      </x:c>
      <x:c r="L599" s="14" t="n">
        <x:v>13</x:v>
      </x:c>
      <x:c r="M599" s="14" t="str">
        <x:v>19:13</x:v>
      </x:c>
      <x:c r="N599" s="14" t="str">
        <x:v>否</x:v>
      </x:c>
      <x:c r="O599" s="14" t="str">
        <x:v>否</x:v>
      </x:c>
      <x:c r="P599" s="14" t="str">
        <x:v>未提供</x:v>
      </x:c>
      <x:c r="Q599" s="14" t="str">
        <x:v>未提供</x:v>
      </x:c>
      <x:c r="R599" s="14" t="str">
        <x:v>预测</x:v>
      </x:c>
      <x:c r="S599" s="14" t="str">
        <x:v>到站时间为估算值</x:v>
      </x:c>
      <x:c r="T599" t="str">
        <x:v>研究生宿舍楼发车</x:v>
      </x:c>
    </x:row>
    <x:row r="600">
      <x:c r="A600" s="14" t="str">
        <x:v>S0049-11</x:v>
      </x:c>
      <x:c r="B600" s="14" t="str">
        <x:v>S0049</x:v>
      </x:c>
      <x:c r="C600" s="14" t="str">
        <x:v>工作日</x:v>
      </x:c>
      <x:c r="D600" s="14" t="str">
        <x:v>环线1路</x:v>
      </x:c>
      <x:c r="E600" s="14" t="str">
        <x:v>第五班（夜2）</x:v>
      </x:c>
      <x:c r="F600" s="14" t="n">
        <x:v>8</x:v>
      </x:c>
      <x:c r="G600" s="14" t="str">
        <x:v>19:00</x:v>
      </x:c>
      <x:c r="H600" s="14" t="str">
        <x:v>研究生宿舍楼</x:v>
      </x:c>
      <x:c r="I600" s="14" t="str">
        <x:v>否</x:v>
      </x:c>
      <x:c r="J600" s="14" t="n">
        <x:v>11</x:v>
      </x:c>
      <x:c r="K600" s="14" t="str">
        <x:v>5号宿舍楼</x:v>
      </x:c>
      <x:c r="L600" s="14" t="n">
        <x:v>14</x:v>
      </x:c>
      <x:c r="M600" s="14" t="str">
        <x:v>19:14</x:v>
      </x:c>
      <x:c r="N600" s="14" t="str">
        <x:v>否</x:v>
      </x:c>
      <x:c r="O600" s="14" t="str">
        <x:v>否</x:v>
      </x:c>
      <x:c r="P600" s="14" t="str">
        <x:v>未提供</x:v>
      </x:c>
      <x:c r="Q600" s="14" t="str">
        <x:v>未提供</x:v>
      </x:c>
      <x:c r="R600" s="14" t="str">
        <x:v>预测</x:v>
      </x:c>
      <x:c r="S600" s="14" t="str">
        <x:v>到站时间为估算值</x:v>
      </x:c>
      <x:c r="T600" t="str">
        <x:v>研究生宿舍楼发车</x:v>
      </x:c>
    </x:row>
    <x:row r="601">
      <x:c r="A601" s="14" t="str">
        <x:v>S0049-12</x:v>
      </x:c>
      <x:c r="B601" s="14" t="str">
        <x:v>S0049</x:v>
      </x:c>
      <x:c r="C601" s="14" t="str">
        <x:v>工作日</x:v>
      </x:c>
      <x:c r="D601" s="14" t="str">
        <x:v>环线1路</x:v>
      </x:c>
      <x:c r="E601" s="14" t="str">
        <x:v>第五班（夜2）</x:v>
      </x:c>
      <x:c r="F601" s="14" t="n">
        <x:v>8</x:v>
      </x:c>
      <x:c r="G601" s="14" t="str">
        <x:v>19:00</x:v>
      </x:c>
      <x:c r="H601" s="14" t="str">
        <x:v>研究生宿舍楼</x:v>
      </x:c>
      <x:c r="I601" s="14" t="str">
        <x:v>否</x:v>
      </x:c>
      <x:c r="J601" s="14" t="n">
        <x:v>12</x:v>
      </x:c>
      <x:c r="K601" s="14" t="str">
        <x:v>305教学楼</x:v>
      </x:c>
      <x:c r="L601" s="14" t="n">
        <x:v>15</x:v>
      </x:c>
      <x:c r="M601" s="14" t="str">
        <x:v>19:15</x:v>
      </x:c>
      <x:c r="N601" s="14" t="str">
        <x:v>否</x:v>
      </x:c>
      <x:c r="O601" s="14" t="str">
        <x:v>否</x:v>
      </x:c>
      <x:c r="P601" s="14" t="str">
        <x:v>未提供</x:v>
      </x:c>
      <x:c r="Q601" s="14" t="str">
        <x:v>未提供</x:v>
      </x:c>
      <x:c r="R601" s="14" t="str">
        <x:v>预测</x:v>
      </x:c>
      <x:c r="S601" s="14" t="str">
        <x:v>到站时间为估算值</x:v>
      </x:c>
      <x:c r="T601" t="str">
        <x:v>研究生宿舍楼发车</x:v>
      </x:c>
    </x:row>
    <x:row r="602">
      <x:c r="A602" s="14" t="str">
        <x:v>S0049-13</x:v>
      </x:c>
      <x:c r="B602" s="14" t="str">
        <x:v>S0049</x:v>
      </x:c>
      <x:c r="C602" s="14" t="str">
        <x:v>工作日</x:v>
      </x:c>
      <x:c r="D602" s="14" t="str">
        <x:v>环线1路</x:v>
      </x:c>
      <x:c r="E602" s="14" t="str">
        <x:v>第五班（夜2）</x:v>
      </x:c>
      <x:c r="F602" s="14" t="n">
        <x:v>8</x:v>
      </x:c>
      <x:c r="G602" s="14" t="str">
        <x:v>19:00</x:v>
      </x:c>
      <x:c r="H602" s="14" t="str">
        <x:v>研究生宿舍楼</x:v>
      </x:c>
      <x:c r="I602" s="14" t="str">
        <x:v>否</x:v>
      </x:c>
      <x:c r="J602" s="14" t="n">
        <x:v>13</x:v>
      </x:c>
      <x:c r="K602" s="14" t="str">
        <x:v>研究生宿舍楼</x:v>
      </x:c>
      <x:c r="L602" s="14" t="n">
        <x:v>17</x:v>
      </x:c>
      <x:c r="M602" s="14" t="str">
        <x:v>19:17</x:v>
      </x:c>
      <x:c r="N602" s="14" t="str">
        <x:v>否</x:v>
      </x:c>
      <x:c r="O602" s="14" t="str">
        <x:v>是</x:v>
      </x:c>
      <x:c r="P602" s="14" t="str">
        <x:v>未提供</x:v>
      </x:c>
      <x:c r="Q602" s="14" t="str">
        <x:v>未提供</x:v>
      </x:c>
      <x:c r="R602" s="14" t="str">
        <x:v>预测</x:v>
      </x:c>
      <x:c r="S602" s="14" t="str">
        <x:v>到站时间为估算值</x:v>
      </x:c>
      <x:c r="T602" t="str">
        <x:v>研究生宿舍楼发车</x:v>
      </x:c>
    </x:row>
    <x:row r="603">
      <x:c r="A603" s="14" t="str">
        <x:v>S0050-01</x:v>
      </x:c>
      <x:c r="B603" s="14" t="str">
        <x:v>S0050</x:v>
      </x:c>
      <x:c r="C603" s="14" t="str">
        <x:v>工作日</x:v>
      </x:c>
      <x:c r="D603" s="14" t="str">
        <x:v>环线1路</x:v>
      </x:c>
      <x:c r="E603" s="14" t="str">
        <x:v>第五班（夜2）</x:v>
      </x:c>
      <x:c r="F603" s="14" t="n">
        <x:v>9</x:v>
      </x:c>
      <x:c r="G603" s="14" t="str">
        <x:v>19:30</x:v>
      </x:c>
      <x:c r="H603" s="14" t="str">
        <x:v>研究生宿舍楼</x:v>
      </x:c>
      <x:c r="I603" s="14" t="str">
        <x:v>否</x:v>
      </x:c>
      <x:c r="J603" s="14" t="n">
        <x:v>1</x:v>
      </x:c>
      <x:c r="K603" s="14" t="str">
        <x:v>研究生宿舍楼</x:v>
      </x:c>
      <x:c r="L603" s="14" t="n">
        <x:v>0</x:v>
      </x:c>
      <x:c r="M603" s="14" t="str">
        <x:v>19:30</x:v>
      </x:c>
      <x:c r="N603" s="14" t="str">
        <x:v>是</x:v>
      </x:c>
      <x:c r="O603" s="14" t="str">
        <x:v>否</x:v>
      </x:c>
      <x:c r="P603" s="14" t="str">
        <x:v>未提供</x:v>
      </x:c>
      <x:c r="Q603" s="14" t="str">
        <x:v>未提供</x:v>
      </x:c>
      <x:c r="R603" s="14" t="str">
        <x:v>预测</x:v>
      </x:c>
      <x:c r="S603" s="14" t="str">
        <x:v>到站时间为估算值</x:v>
      </x:c>
      <x:c r="T603" t="str">
        <x:v>研究生宿舍楼发车</x:v>
      </x:c>
    </x:row>
    <x:row r="604">
      <x:c r="A604" s="14" t="str">
        <x:v>S0050-02</x:v>
      </x:c>
      <x:c r="B604" s="14" t="str">
        <x:v>S0050</x:v>
      </x:c>
      <x:c r="C604" s="14" t="str">
        <x:v>工作日</x:v>
      </x:c>
      <x:c r="D604" s="14" t="str">
        <x:v>环线1路</x:v>
      </x:c>
      <x:c r="E604" s="14" t="str">
        <x:v>第五班（夜2）</x:v>
      </x:c>
      <x:c r="F604" s="14" t="n">
        <x:v>9</x:v>
      </x:c>
      <x:c r="G604" s="14" t="str">
        <x:v>19:30</x:v>
      </x:c>
      <x:c r="H604" s="14" t="str">
        <x:v>研究生宿舍楼</x:v>
      </x:c>
      <x:c r="I604" s="14" t="str">
        <x:v>否</x:v>
      </x:c>
      <x:c r="J604" s="14" t="n">
        <x:v>2</x:v>
      </x:c>
      <x:c r="K604" s="14" t="str">
        <x:v>东门</x:v>
      </x:c>
      <x:c r="L604" s="14" t="n">
        <x:v>1</x:v>
      </x:c>
      <x:c r="M604" s="14" t="str">
        <x:v>19:31</x:v>
      </x:c>
      <x:c r="N604" s="14" t="str">
        <x:v>否</x:v>
      </x:c>
      <x:c r="O604" s="14" t="str">
        <x:v>否</x:v>
      </x:c>
      <x:c r="P604" s="14" t="str">
        <x:v>未提供</x:v>
      </x:c>
      <x:c r="Q604" s="14" t="str">
        <x:v>未提供</x:v>
      </x:c>
      <x:c r="R604" s="14" t="str">
        <x:v>预测</x:v>
      </x:c>
      <x:c r="S604" s="14" t="str">
        <x:v>到站时间为估算值</x:v>
      </x:c>
      <x:c r="T604" t="str">
        <x:v>研究生宿舍楼发车</x:v>
      </x:c>
    </x:row>
    <x:row r="605">
      <x:c r="A605" s="14" t="str">
        <x:v>S0050-03</x:v>
      </x:c>
      <x:c r="B605" s="14" t="str">
        <x:v>S0050</x:v>
      </x:c>
      <x:c r="C605" s="14" t="str">
        <x:v>工作日</x:v>
      </x:c>
      <x:c r="D605" s="14" t="str">
        <x:v>环线1路</x:v>
      </x:c>
      <x:c r="E605" s="14" t="str">
        <x:v>第五班（夜2）</x:v>
      </x:c>
      <x:c r="F605" s="14" t="n">
        <x:v>9</x:v>
      </x:c>
      <x:c r="G605" s="14" t="str">
        <x:v>19:30</x:v>
      </x:c>
      <x:c r="H605" s="14" t="str">
        <x:v>研究生宿舍楼</x:v>
      </x:c>
      <x:c r="I605" s="14" t="str">
        <x:v>否</x:v>
      </x:c>
      <x:c r="J605" s="14" t="n">
        <x:v>3</x:v>
      </x:c>
      <x:c r="K605" s="14" t="str">
        <x:v>2号宿舍楼</x:v>
      </x:c>
      <x:c r="L605" s="14" t="n">
        <x:v>2</x:v>
      </x:c>
      <x:c r="M605" s="14" t="str">
        <x:v>19:32</x:v>
      </x:c>
      <x:c r="N605" s="14" t="str">
        <x:v>否</x:v>
      </x:c>
      <x:c r="O605" s="14" t="str">
        <x:v>否</x:v>
      </x:c>
      <x:c r="P605" s="14" t="str">
        <x:v>未提供</x:v>
      </x:c>
      <x:c r="Q605" s="14" t="str">
        <x:v>未提供</x:v>
      </x:c>
      <x:c r="R605" s="14" t="str">
        <x:v>预测</x:v>
      </x:c>
      <x:c r="S605" s="14" t="str">
        <x:v>到站时间为估算值</x:v>
      </x:c>
      <x:c r="T605" t="str">
        <x:v>研究生宿舍楼发车</x:v>
      </x:c>
    </x:row>
    <x:row r="606">
      <x:c r="A606" s="14" t="str">
        <x:v>S0050-04</x:v>
      </x:c>
      <x:c r="B606" s="14" t="str">
        <x:v>S0050</x:v>
      </x:c>
      <x:c r="C606" s="14" t="str">
        <x:v>工作日</x:v>
      </x:c>
      <x:c r="D606" s="14" t="str">
        <x:v>环线1路</x:v>
      </x:c>
      <x:c r="E606" s="14" t="str">
        <x:v>第五班（夜2）</x:v>
      </x:c>
      <x:c r="F606" s="14" t="n">
        <x:v>9</x:v>
      </x:c>
      <x:c r="G606" s="14" t="str">
        <x:v>19:30</x:v>
      </x:c>
      <x:c r="H606" s="14" t="str">
        <x:v>研究生宿舍楼</x:v>
      </x:c>
      <x:c r="I606" s="14" t="str">
        <x:v>否</x:v>
      </x:c>
      <x:c r="J606" s="14" t="n">
        <x:v>4</x:v>
      </x:c>
      <x:c r="K606" s="14" t="str">
        <x:v>军体活动中心</x:v>
      </x:c>
      <x:c r="L606" s="14" t="n">
        <x:v>3</x:v>
      </x:c>
      <x:c r="M606" s="14" t="str">
        <x:v>19:33</x:v>
      </x:c>
      <x:c r="N606" s="14" t="str">
        <x:v>否</x:v>
      </x:c>
      <x:c r="O606" s="14" t="str">
        <x:v>否</x:v>
      </x:c>
      <x:c r="P606" s="14" t="str">
        <x:v>未提供</x:v>
      </x:c>
      <x:c r="Q606" s="14" t="str">
        <x:v>未提供</x:v>
      </x:c>
      <x:c r="R606" s="14" t="str">
        <x:v>预测</x:v>
      </x:c>
      <x:c r="S606" s="14" t="str">
        <x:v>到站时间为估算值</x:v>
      </x:c>
      <x:c r="T606" t="str">
        <x:v>研究生宿舍楼发车</x:v>
      </x:c>
    </x:row>
    <x:row r="607">
      <x:c r="A607" s="14" t="str">
        <x:v>S0050-05</x:v>
      </x:c>
      <x:c r="B607" s="14" t="str">
        <x:v>S0050</x:v>
      </x:c>
      <x:c r="C607" s="14" t="str">
        <x:v>工作日</x:v>
      </x:c>
      <x:c r="D607" s="14" t="str">
        <x:v>环线1路</x:v>
      </x:c>
      <x:c r="E607" s="14" t="str">
        <x:v>第五班（夜2）</x:v>
      </x:c>
      <x:c r="F607" s="14" t="n">
        <x:v>9</x:v>
      </x:c>
      <x:c r="G607" s="14" t="str">
        <x:v>19:30</x:v>
      </x:c>
      <x:c r="H607" s="14" t="str">
        <x:v>研究生宿舍楼</x:v>
      </x:c>
      <x:c r="I607" s="14" t="str">
        <x:v>否</x:v>
      </x:c>
      <x:c r="J607" s="14" t="n">
        <x:v>5</x:v>
      </x:c>
      <x:c r="K607" s="14" t="str">
        <x:v>激光所</x:v>
      </x:c>
      <x:c r="L607" s="14" t="n">
        <x:v>5</x:v>
      </x:c>
      <x:c r="M607" s="14" t="str">
        <x:v>19:35</x:v>
      </x:c>
      <x:c r="N607" s="14" t="str">
        <x:v>否</x:v>
      </x:c>
      <x:c r="O607" s="14" t="str">
        <x:v>否</x:v>
      </x:c>
      <x:c r="P607" s="14" t="str">
        <x:v>未提供</x:v>
      </x:c>
      <x:c r="Q607" s="14" t="str">
        <x:v>未提供</x:v>
      </x:c>
      <x:c r="R607" s="14" t="str">
        <x:v>预测</x:v>
      </x:c>
      <x:c r="S607" s="14" t="str">
        <x:v>到站时间为估算值</x:v>
      </x:c>
      <x:c r="T607" t="str">
        <x:v>研究生宿舍楼发车</x:v>
      </x:c>
    </x:row>
    <x:row r="608">
      <x:c r="A608" s="14" t="str">
        <x:v>S0050-06</x:v>
      </x:c>
      <x:c r="B608" s="14" t="str">
        <x:v>S0050</x:v>
      </x:c>
      <x:c r="C608" s="14" t="str">
        <x:v>工作日</x:v>
      </x:c>
      <x:c r="D608" s="14" t="str">
        <x:v>环线1路</x:v>
      </x:c>
      <x:c r="E608" s="14" t="str">
        <x:v>第五班（夜2）</x:v>
      </x:c>
      <x:c r="F608" s="14" t="n">
        <x:v>9</x:v>
      </x:c>
      <x:c r="G608" s="14" t="str">
        <x:v>19:30</x:v>
      </x:c>
      <x:c r="H608" s="14" t="str">
        <x:v>研究生宿舍楼</x:v>
      </x:c>
      <x:c r="I608" s="14" t="str">
        <x:v>否</x:v>
      </x:c>
      <x:c r="J608" s="14" t="n">
        <x:v>6</x:v>
      </x:c>
      <x:c r="K608" s="14" t="str">
        <x:v>超算中心</x:v>
      </x:c>
      <x:c r="L608" s="14" t="n">
        <x:v>6</x:v>
      </x:c>
      <x:c r="M608" s="14" t="str">
        <x:v>19:36</x:v>
      </x:c>
      <x:c r="N608" s="14" t="str">
        <x:v>否</x:v>
      </x:c>
      <x:c r="O608" s="14" t="str">
        <x:v>否</x:v>
      </x:c>
      <x:c r="P608" s="14" t="str">
        <x:v>未提供</x:v>
      </x:c>
      <x:c r="Q608" s="14" t="str">
        <x:v>未提供</x:v>
      </x:c>
      <x:c r="R608" s="14" t="str">
        <x:v>预测</x:v>
      </x:c>
      <x:c r="S608" s="14" t="str">
        <x:v>到站时间为估算值</x:v>
      </x:c>
      <x:c r="T608" t="str">
        <x:v>研究生宿舍楼发车</x:v>
      </x:c>
    </x:row>
    <x:row r="609">
      <x:c r="A609" s="14" t="str">
        <x:v>S0050-07</x:v>
      </x:c>
      <x:c r="B609" s="14" t="str">
        <x:v>S0050</x:v>
      </x:c>
      <x:c r="C609" s="14" t="str">
        <x:v>工作日</x:v>
      </x:c>
      <x:c r="D609" s="14" t="str">
        <x:v>环线1路</x:v>
      </x:c>
      <x:c r="E609" s="14" t="str">
        <x:v>第五班（夜2）</x:v>
      </x:c>
      <x:c r="F609" s="14" t="n">
        <x:v>9</x:v>
      </x:c>
      <x:c r="G609" s="14" t="str">
        <x:v>19:30</x:v>
      </x:c>
      <x:c r="H609" s="14" t="str">
        <x:v>研究生宿舍楼</x:v>
      </x:c>
      <x:c r="I609" s="14" t="str">
        <x:v>否</x:v>
      </x:c>
      <x:c r="J609" s="14" t="n">
        <x:v>7</x:v>
      </x:c>
      <x:c r="K609" s="14" t="str">
        <x:v>北门</x:v>
      </x:c>
      <x:c r="L609" s="14" t="n">
        <x:v>8</x:v>
      </x:c>
      <x:c r="M609" s="14" t="str">
        <x:v>19:38</x:v>
      </x:c>
      <x:c r="N609" s="14" t="str">
        <x:v>否</x:v>
      </x:c>
      <x:c r="O609" s="14" t="str">
        <x:v>否</x:v>
      </x:c>
      <x:c r="P609" s="14" t="str">
        <x:v>未提供</x:v>
      </x:c>
      <x:c r="Q609" s="14" t="str">
        <x:v>未提供</x:v>
      </x:c>
      <x:c r="R609" s="14" t="str">
        <x:v>预测</x:v>
      </x:c>
      <x:c r="S609" s="14" t="str">
        <x:v>到站时间为估算值</x:v>
      </x:c>
      <x:c r="T609" t="str">
        <x:v>研究生宿舍楼发车</x:v>
      </x:c>
    </x:row>
    <x:row r="610">
      <x:c r="A610" s="14" t="str">
        <x:v>S0050-08</x:v>
      </x:c>
      <x:c r="B610" s="14" t="str">
        <x:v>S0050</x:v>
      </x:c>
      <x:c r="C610" s="14" t="str">
        <x:v>工作日</x:v>
      </x:c>
      <x:c r="D610" s="14" t="str">
        <x:v>环线1路</x:v>
      </x:c>
      <x:c r="E610" s="14" t="str">
        <x:v>第五班（夜2）</x:v>
      </x:c>
      <x:c r="F610" s="14" t="n">
        <x:v>9</x:v>
      </x:c>
      <x:c r="G610" s="14" t="str">
        <x:v>19:30</x:v>
      </x:c>
      <x:c r="H610" s="14" t="str">
        <x:v>研究生宿舍楼</x:v>
      </x:c>
      <x:c r="I610" s="14" t="str">
        <x:v>否</x:v>
      </x:c>
      <x:c r="J610" s="14" t="n">
        <x:v>8</x:v>
      </x:c>
      <x:c r="K610" s="14" t="str">
        <x:v>高超楼</x:v>
      </x:c>
      <x:c r="L610" s="14" t="n">
        <x:v>9</x:v>
      </x:c>
      <x:c r="M610" s="14" t="str">
        <x:v>19:39</x:v>
      </x:c>
      <x:c r="N610" s="14" t="str">
        <x:v>否</x:v>
      </x:c>
      <x:c r="O610" s="14" t="str">
        <x:v>否</x:v>
      </x:c>
      <x:c r="P610" s="14" t="str">
        <x:v>未提供</x:v>
      </x:c>
      <x:c r="Q610" s="14" t="str">
        <x:v>未提供</x:v>
      </x:c>
      <x:c r="R610" s="14" t="str">
        <x:v>预测</x:v>
      </x:c>
      <x:c r="S610" s="14" t="str">
        <x:v>到站时间为估算值</x:v>
      </x:c>
      <x:c r="T610" t="str">
        <x:v>研究生宿舍楼发车</x:v>
      </x:c>
    </x:row>
    <x:row r="611">
      <x:c r="A611" s="14" t="str">
        <x:v>S0050-09</x:v>
      </x:c>
      <x:c r="B611" s="14" t="str">
        <x:v>S0050</x:v>
      </x:c>
      <x:c r="C611" s="14" t="str">
        <x:v>工作日</x:v>
      </x:c>
      <x:c r="D611" s="14" t="str">
        <x:v>环线1路</x:v>
      </x:c>
      <x:c r="E611" s="14" t="str">
        <x:v>第五班（夜2）</x:v>
      </x:c>
      <x:c r="F611" s="14" t="n">
        <x:v>9</x:v>
      </x:c>
      <x:c r="G611" s="14" t="str">
        <x:v>19:30</x:v>
      </x:c>
      <x:c r="H611" s="14" t="str">
        <x:v>研究生宿舍楼</x:v>
      </x:c>
      <x:c r="I611" s="14" t="str">
        <x:v>否</x:v>
      </x:c>
      <x:c r="J611" s="14" t="n">
        <x:v>9</x:v>
      </x:c>
      <x:c r="K611" s="14" t="str">
        <x:v>理学院</x:v>
      </x:c>
      <x:c r="L611" s="14" t="n">
        <x:v>10</x:v>
      </x:c>
      <x:c r="M611" s="14" t="str">
        <x:v>19:40</x:v>
      </x:c>
      <x:c r="N611" s="14" t="str">
        <x:v>否</x:v>
      </x:c>
      <x:c r="O611" s="14" t="str">
        <x:v>否</x:v>
      </x:c>
      <x:c r="P611" s="14" t="str">
        <x:v>未提供</x:v>
      </x:c>
      <x:c r="Q611" s="14" t="str">
        <x:v>未提供</x:v>
      </x:c>
      <x:c r="R611" s="14" t="str">
        <x:v>预测</x:v>
      </x:c>
      <x:c r="S611" s="14" t="str">
        <x:v>到站时间为估算值</x:v>
      </x:c>
      <x:c r="T611" t="str">
        <x:v>研究生宿舍楼发车</x:v>
      </x:c>
    </x:row>
    <x:row r="612">
      <x:c r="A612" s="14" t="str">
        <x:v>S0050-10</x:v>
      </x:c>
      <x:c r="B612" s="14" t="str">
        <x:v>S0050</x:v>
      </x:c>
      <x:c r="C612" s="14" t="str">
        <x:v>工作日</x:v>
      </x:c>
      <x:c r="D612" s="14" t="str">
        <x:v>环线1路</x:v>
      </x:c>
      <x:c r="E612" s="14" t="str">
        <x:v>第五班（夜2）</x:v>
      </x:c>
      <x:c r="F612" s="14" t="n">
        <x:v>9</x:v>
      </x:c>
      <x:c r="G612" s="14" t="str">
        <x:v>19:30</x:v>
      </x:c>
      <x:c r="H612" s="14" t="str">
        <x:v>研究生宿舍楼</x:v>
      </x:c>
      <x:c r="I612" s="14" t="str">
        <x:v>否</x:v>
      </x:c>
      <x:c r="J612" s="14" t="n">
        <x:v>10</x:v>
      </x:c>
      <x:c r="K612" s="14" t="str">
        <x:v>二食堂</x:v>
      </x:c>
      <x:c r="L612" s="14" t="n">
        <x:v>13</x:v>
      </x:c>
      <x:c r="M612" s="14" t="str">
        <x:v>19:43</x:v>
      </x:c>
      <x:c r="N612" s="14" t="str">
        <x:v>否</x:v>
      </x:c>
      <x:c r="O612" s="14" t="str">
        <x:v>否</x:v>
      </x:c>
      <x:c r="P612" s="14" t="str">
        <x:v>未提供</x:v>
      </x:c>
      <x:c r="Q612" s="14" t="str">
        <x:v>未提供</x:v>
      </x:c>
      <x:c r="R612" s="14" t="str">
        <x:v>预测</x:v>
      </x:c>
      <x:c r="S612" s="14" t="str">
        <x:v>到站时间为估算值</x:v>
      </x:c>
      <x:c r="T612" t="str">
        <x:v>研究生宿舍楼发车</x:v>
      </x:c>
    </x:row>
    <x:row r="613">
      <x:c r="A613" s="14" t="str">
        <x:v>S0050-11</x:v>
      </x:c>
      <x:c r="B613" s="14" t="str">
        <x:v>S0050</x:v>
      </x:c>
      <x:c r="C613" s="14" t="str">
        <x:v>工作日</x:v>
      </x:c>
      <x:c r="D613" s="14" t="str">
        <x:v>环线1路</x:v>
      </x:c>
      <x:c r="E613" s="14" t="str">
        <x:v>第五班（夜2）</x:v>
      </x:c>
      <x:c r="F613" s="14" t="n">
        <x:v>9</x:v>
      </x:c>
      <x:c r="G613" s="14" t="str">
        <x:v>19:30</x:v>
      </x:c>
      <x:c r="H613" s="14" t="str">
        <x:v>研究生宿舍楼</x:v>
      </x:c>
      <x:c r="I613" s="14" t="str">
        <x:v>否</x:v>
      </x:c>
      <x:c r="J613" s="14" t="n">
        <x:v>11</x:v>
      </x:c>
      <x:c r="K613" s="14" t="str">
        <x:v>5号宿舍楼</x:v>
      </x:c>
      <x:c r="L613" s="14" t="n">
        <x:v>14</x:v>
      </x:c>
      <x:c r="M613" s="14" t="str">
        <x:v>19:44</x:v>
      </x:c>
      <x:c r="N613" s="14" t="str">
        <x:v>否</x:v>
      </x:c>
      <x:c r="O613" s="14" t="str">
        <x:v>否</x:v>
      </x:c>
      <x:c r="P613" s="14" t="str">
        <x:v>未提供</x:v>
      </x:c>
      <x:c r="Q613" s="14" t="str">
        <x:v>未提供</x:v>
      </x:c>
      <x:c r="R613" s="14" t="str">
        <x:v>预测</x:v>
      </x:c>
      <x:c r="S613" s="14" t="str">
        <x:v>到站时间为估算值</x:v>
      </x:c>
      <x:c r="T613" t="str">
        <x:v>研究生宿舍楼发车</x:v>
      </x:c>
    </x:row>
    <x:row r="614">
      <x:c r="A614" s="14" t="str">
        <x:v>S0050-12</x:v>
      </x:c>
      <x:c r="B614" s="14" t="str">
        <x:v>S0050</x:v>
      </x:c>
      <x:c r="C614" s="14" t="str">
        <x:v>工作日</x:v>
      </x:c>
      <x:c r="D614" s="14" t="str">
        <x:v>环线1路</x:v>
      </x:c>
      <x:c r="E614" s="14" t="str">
        <x:v>第五班（夜2）</x:v>
      </x:c>
      <x:c r="F614" s="14" t="n">
        <x:v>9</x:v>
      </x:c>
      <x:c r="G614" s="14" t="str">
        <x:v>19:30</x:v>
      </x:c>
      <x:c r="H614" s="14" t="str">
        <x:v>研究生宿舍楼</x:v>
      </x:c>
      <x:c r="I614" s="14" t="str">
        <x:v>否</x:v>
      </x:c>
      <x:c r="J614" s="14" t="n">
        <x:v>12</x:v>
      </x:c>
      <x:c r="K614" s="14" t="str">
        <x:v>305教学楼</x:v>
      </x:c>
      <x:c r="L614" s="14" t="n">
        <x:v>15</x:v>
      </x:c>
      <x:c r="M614" s="14" t="str">
        <x:v>19:45</x:v>
      </x:c>
      <x:c r="N614" s="14" t="str">
        <x:v>否</x:v>
      </x:c>
      <x:c r="O614" s="14" t="str">
        <x:v>否</x:v>
      </x:c>
      <x:c r="P614" s="14" t="str">
        <x:v>未提供</x:v>
      </x:c>
      <x:c r="Q614" s="14" t="str">
        <x:v>未提供</x:v>
      </x:c>
      <x:c r="R614" s="14" t="str">
        <x:v>预测</x:v>
      </x:c>
      <x:c r="S614" s="14" t="str">
        <x:v>到站时间为估算值</x:v>
      </x:c>
      <x:c r="T614" t="str">
        <x:v>研究生宿舍楼发车</x:v>
      </x:c>
    </x:row>
    <x:row r="615">
      <x:c r="A615" s="14" t="str">
        <x:v>S0050-13</x:v>
      </x:c>
      <x:c r="B615" s="14" t="str">
        <x:v>S0050</x:v>
      </x:c>
      <x:c r="C615" s="14" t="str">
        <x:v>工作日</x:v>
      </x:c>
      <x:c r="D615" s="14" t="str">
        <x:v>环线1路</x:v>
      </x:c>
      <x:c r="E615" s="14" t="str">
        <x:v>第五班（夜2）</x:v>
      </x:c>
      <x:c r="F615" s="14" t="n">
        <x:v>9</x:v>
      </x:c>
      <x:c r="G615" s="14" t="str">
        <x:v>19:30</x:v>
      </x:c>
      <x:c r="H615" s="14" t="str">
        <x:v>研究生宿舍楼</x:v>
      </x:c>
      <x:c r="I615" s="14" t="str">
        <x:v>否</x:v>
      </x:c>
      <x:c r="J615" s="14" t="n">
        <x:v>13</x:v>
      </x:c>
      <x:c r="K615" s="14" t="str">
        <x:v>研究生宿舍楼</x:v>
      </x:c>
      <x:c r="L615" s="14" t="n">
        <x:v>17</x:v>
      </x:c>
      <x:c r="M615" s="14" t="str">
        <x:v>19:47</x:v>
      </x:c>
      <x:c r="N615" s="14" t="str">
        <x:v>否</x:v>
      </x:c>
      <x:c r="O615" s="14" t="str">
        <x:v>是</x:v>
      </x:c>
      <x:c r="P615" s="14" t="str">
        <x:v>未提供</x:v>
      </x:c>
      <x:c r="Q615" s="14" t="str">
        <x:v>未提供</x:v>
      </x:c>
      <x:c r="R615" s="14" t="str">
        <x:v>预测</x:v>
      </x:c>
      <x:c r="S615" s="14" t="str">
        <x:v>到站时间为估算值</x:v>
      </x:c>
      <x:c r="T615" t="str">
        <x:v>研究生宿舍楼发车</x:v>
      </x:c>
    </x:row>
    <x:row r="616">
      <x:c r="A616" s="14" t="str">
        <x:v>S0051-01</x:v>
      </x:c>
      <x:c r="B616" s="14" t="str">
        <x:v>S0051</x:v>
      </x:c>
      <x:c r="C616" s="14" t="str">
        <x:v>工作日</x:v>
      </x:c>
      <x:c r="D616" s="14" t="str">
        <x:v>环线1路</x:v>
      </x:c>
      <x:c r="E616" s="14" t="str">
        <x:v>第五班（夜2）</x:v>
      </x:c>
      <x:c r="F616" s="14" t="n">
        <x:v>10</x:v>
      </x:c>
      <x:c r="G616" s="14" t="str">
        <x:v>20:00</x:v>
      </x:c>
      <x:c r="H616" s="14" t="str">
        <x:v>研究生宿舍楼</x:v>
      </x:c>
      <x:c r="I616" s="14" t="str">
        <x:v>否</x:v>
      </x:c>
      <x:c r="J616" s="14" t="n">
        <x:v>1</x:v>
      </x:c>
      <x:c r="K616" s="14" t="str">
        <x:v>研究生宿舍楼</x:v>
      </x:c>
      <x:c r="L616" s="14" t="n">
        <x:v>0</x:v>
      </x:c>
      <x:c r="M616" s="14" t="str">
        <x:v>20:00</x:v>
      </x:c>
      <x:c r="N616" s="14" t="str">
        <x:v>是</x:v>
      </x:c>
      <x:c r="O616" s="14" t="str">
        <x:v>否</x:v>
      </x:c>
      <x:c r="P616" s="14" t="str">
        <x:v>未提供</x:v>
      </x:c>
      <x:c r="Q616" s="14" t="str">
        <x:v>未提供</x:v>
      </x:c>
      <x:c r="R616" s="14" t="str">
        <x:v>预测</x:v>
      </x:c>
      <x:c r="S616" s="14" t="str">
        <x:v>到站时间为估算值</x:v>
      </x:c>
      <x:c r="T616" t="str">
        <x:v>研究生宿舍楼发车</x:v>
      </x:c>
    </x:row>
    <x:row r="617">
      <x:c r="A617" s="14" t="str">
        <x:v>S0051-02</x:v>
      </x:c>
      <x:c r="B617" s="14" t="str">
        <x:v>S0051</x:v>
      </x:c>
      <x:c r="C617" s="14" t="str">
        <x:v>工作日</x:v>
      </x:c>
      <x:c r="D617" s="14" t="str">
        <x:v>环线1路</x:v>
      </x:c>
      <x:c r="E617" s="14" t="str">
        <x:v>第五班（夜2）</x:v>
      </x:c>
      <x:c r="F617" s="14" t="n">
        <x:v>10</x:v>
      </x:c>
      <x:c r="G617" s="14" t="str">
        <x:v>20:00</x:v>
      </x:c>
      <x:c r="H617" s="14" t="str">
        <x:v>研究生宿舍楼</x:v>
      </x:c>
      <x:c r="I617" s="14" t="str">
        <x:v>否</x:v>
      </x:c>
      <x:c r="J617" s="14" t="n">
        <x:v>2</x:v>
      </x:c>
      <x:c r="K617" s="14" t="str">
        <x:v>东门</x:v>
      </x:c>
      <x:c r="L617" s="14" t="n">
        <x:v>1</x:v>
      </x:c>
      <x:c r="M617" s="14" t="str">
        <x:v>20:01</x:v>
      </x:c>
      <x:c r="N617" s="14" t="str">
        <x:v>否</x:v>
      </x:c>
      <x:c r="O617" s="14" t="str">
        <x:v>否</x:v>
      </x:c>
      <x:c r="P617" s="14" t="str">
        <x:v>未提供</x:v>
      </x:c>
      <x:c r="Q617" s="14" t="str">
        <x:v>未提供</x:v>
      </x:c>
      <x:c r="R617" s="14" t="str">
        <x:v>预测</x:v>
      </x:c>
      <x:c r="S617" s="14" t="str">
        <x:v>到站时间为估算值</x:v>
      </x:c>
      <x:c r="T617" t="str">
        <x:v>研究生宿舍楼发车</x:v>
      </x:c>
    </x:row>
    <x:row r="618">
      <x:c r="A618" s="14" t="str">
        <x:v>S0051-03</x:v>
      </x:c>
      <x:c r="B618" s="14" t="str">
        <x:v>S0051</x:v>
      </x:c>
      <x:c r="C618" s="14" t="str">
        <x:v>工作日</x:v>
      </x:c>
      <x:c r="D618" s="14" t="str">
        <x:v>环线1路</x:v>
      </x:c>
      <x:c r="E618" s="14" t="str">
        <x:v>第五班（夜2）</x:v>
      </x:c>
      <x:c r="F618" s="14" t="n">
        <x:v>10</x:v>
      </x:c>
      <x:c r="G618" s="14" t="str">
        <x:v>20:00</x:v>
      </x:c>
      <x:c r="H618" s="14" t="str">
        <x:v>研究生宿舍楼</x:v>
      </x:c>
      <x:c r="I618" s="14" t="str">
        <x:v>否</x:v>
      </x:c>
      <x:c r="J618" s="14" t="n">
        <x:v>3</x:v>
      </x:c>
      <x:c r="K618" s="14" t="str">
        <x:v>2号宿舍楼</x:v>
      </x:c>
      <x:c r="L618" s="14" t="n">
        <x:v>2</x:v>
      </x:c>
      <x:c r="M618" s="14" t="str">
        <x:v>20:02</x:v>
      </x:c>
      <x:c r="N618" s="14" t="str">
        <x:v>否</x:v>
      </x:c>
      <x:c r="O618" s="14" t="str">
        <x:v>否</x:v>
      </x:c>
      <x:c r="P618" s="14" t="str">
        <x:v>未提供</x:v>
      </x:c>
      <x:c r="Q618" s="14" t="str">
        <x:v>未提供</x:v>
      </x:c>
      <x:c r="R618" s="14" t="str">
        <x:v>预测</x:v>
      </x:c>
      <x:c r="S618" s="14" t="str">
        <x:v>到站时间为估算值</x:v>
      </x:c>
      <x:c r="T618" t="str">
        <x:v>研究生宿舍楼发车</x:v>
      </x:c>
    </x:row>
    <x:row r="619">
      <x:c r="A619" s="14" t="str">
        <x:v>S0051-04</x:v>
      </x:c>
      <x:c r="B619" s="14" t="str">
        <x:v>S0051</x:v>
      </x:c>
      <x:c r="C619" s="14" t="str">
        <x:v>工作日</x:v>
      </x:c>
      <x:c r="D619" s="14" t="str">
        <x:v>环线1路</x:v>
      </x:c>
      <x:c r="E619" s="14" t="str">
        <x:v>第五班（夜2）</x:v>
      </x:c>
      <x:c r="F619" s="14" t="n">
        <x:v>10</x:v>
      </x:c>
      <x:c r="G619" s="14" t="str">
        <x:v>20:00</x:v>
      </x:c>
      <x:c r="H619" s="14" t="str">
        <x:v>研究生宿舍楼</x:v>
      </x:c>
      <x:c r="I619" s="14" t="str">
        <x:v>否</x:v>
      </x:c>
      <x:c r="J619" s="14" t="n">
        <x:v>4</x:v>
      </x:c>
      <x:c r="K619" s="14" t="str">
        <x:v>军体活动中心</x:v>
      </x:c>
      <x:c r="L619" s="14" t="n">
        <x:v>3</x:v>
      </x:c>
      <x:c r="M619" s="14" t="str">
        <x:v>20:03</x:v>
      </x:c>
      <x:c r="N619" s="14" t="str">
        <x:v>否</x:v>
      </x:c>
      <x:c r="O619" s="14" t="str">
        <x:v>否</x:v>
      </x:c>
      <x:c r="P619" s="14" t="str">
        <x:v>未提供</x:v>
      </x:c>
      <x:c r="Q619" s="14" t="str">
        <x:v>未提供</x:v>
      </x:c>
      <x:c r="R619" s="14" t="str">
        <x:v>预测</x:v>
      </x:c>
      <x:c r="S619" s="14" t="str">
        <x:v>到站时间为估算值</x:v>
      </x:c>
      <x:c r="T619" t="str">
        <x:v>研究生宿舍楼发车</x:v>
      </x:c>
    </x:row>
    <x:row r="620">
      <x:c r="A620" s="14" t="str">
        <x:v>S0051-05</x:v>
      </x:c>
      <x:c r="B620" s="14" t="str">
        <x:v>S0051</x:v>
      </x:c>
      <x:c r="C620" s="14" t="str">
        <x:v>工作日</x:v>
      </x:c>
      <x:c r="D620" s="14" t="str">
        <x:v>环线1路</x:v>
      </x:c>
      <x:c r="E620" s="14" t="str">
        <x:v>第五班（夜2）</x:v>
      </x:c>
      <x:c r="F620" s="14" t="n">
        <x:v>10</x:v>
      </x:c>
      <x:c r="G620" s="14" t="str">
        <x:v>20:00</x:v>
      </x:c>
      <x:c r="H620" s="14" t="str">
        <x:v>研究生宿舍楼</x:v>
      </x:c>
      <x:c r="I620" s="14" t="str">
        <x:v>否</x:v>
      </x:c>
      <x:c r="J620" s="14" t="n">
        <x:v>5</x:v>
      </x:c>
      <x:c r="K620" s="14" t="str">
        <x:v>激光所</x:v>
      </x:c>
      <x:c r="L620" s="14" t="n">
        <x:v>5</x:v>
      </x:c>
      <x:c r="M620" s="14" t="str">
        <x:v>20:05</x:v>
      </x:c>
      <x:c r="N620" s="14" t="str">
        <x:v>否</x:v>
      </x:c>
      <x:c r="O620" s="14" t="str">
        <x:v>否</x:v>
      </x:c>
      <x:c r="P620" s="14" t="str">
        <x:v>未提供</x:v>
      </x:c>
      <x:c r="Q620" s="14" t="str">
        <x:v>未提供</x:v>
      </x:c>
      <x:c r="R620" s="14" t="str">
        <x:v>预测</x:v>
      </x:c>
      <x:c r="S620" s="14" t="str">
        <x:v>到站时间为估算值</x:v>
      </x:c>
      <x:c r="T620" t="str">
        <x:v>研究生宿舍楼发车</x:v>
      </x:c>
    </x:row>
    <x:row r="621">
      <x:c r="A621" s="14" t="str">
        <x:v>S0051-06</x:v>
      </x:c>
      <x:c r="B621" s="14" t="str">
        <x:v>S0051</x:v>
      </x:c>
      <x:c r="C621" s="14" t="str">
        <x:v>工作日</x:v>
      </x:c>
      <x:c r="D621" s="14" t="str">
        <x:v>环线1路</x:v>
      </x:c>
      <x:c r="E621" s="14" t="str">
        <x:v>第五班（夜2）</x:v>
      </x:c>
      <x:c r="F621" s="14" t="n">
        <x:v>10</x:v>
      </x:c>
      <x:c r="G621" s="14" t="str">
        <x:v>20:00</x:v>
      </x:c>
      <x:c r="H621" s="14" t="str">
        <x:v>研究生宿舍楼</x:v>
      </x:c>
      <x:c r="I621" s="14" t="str">
        <x:v>否</x:v>
      </x:c>
      <x:c r="J621" s="14" t="n">
        <x:v>6</x:v>
      </x:c>
      <x:c r="K621" s="14" t="str">
        <x:v>超算中心</x:v>
      </x:c>
      <x:c r="L621" s="14" t="n">
        <x:v>6</x:v>
      </x:c>
      <x:c r="M621" s="14" t="str">
        <x:v>20:06</x:v>
      </x:c>
      <x:c r="N621" s="14" t="str">
        <x:v>否</x:v>
      </x:c>
      <x:c r="O621" s="14" t="str">
        <x:v>否</x:v>
      </x:c>
      <x:c r="P621" s="14" t="str">
        <x:v>未提供</x:v>
      </x:c>
      <x:c r="Q621" s="14" t="str">
        <x:v>未提供</x:v>
      </x:c>
      <x:c r="R621" s="14" t="str">
        <x:v>预测</x:v>
      </x:c>
      <x:c r="S621" s="14" t="str">
        <x:v>到站时间为估算值</x:v>
      </x:c>
      <x:c r="T621" t="str">
        <x:v>研究生宿舍楼发车</x:v>
      </x:c>
    </x:row>
    <x:row r="622">
      <x:c r="A622" s="14" t="str">
        <x:v>S0051-07</x:v>
      </x:c>
      <x:c r="B622" s="14" t="str">
        <x:v>S0051</x:v>
      </x:c>
      <x:c r="C622" s="14" t="str">
        <x:v>工作日</x:v>
      </x:c>
      <x:c r="D622" s="14" t="str">
        <x:v>环线1路</x:v>
      </x:c>
      <x:c r="E622" s="14" t="str">
        <x:v>第五班（夜2）</x:v>
      </x:c>
      <x:c r="F622" s="14" t="n">
        <x:v>10</x:v>
      </x:c>
      <x:c r="G622" s="14" t="str">
        <x:v>20:00</x:v>
      </x:c>
      <x:c r="H622" s="14" t="str">
        <x:v>研究生宿舍楼</x:v>
      </x:c>
      <x:c r="I622" s="14" t="str">
        <x:v>否</x:v>
      </x:c>
      <x:c r="J622" s="14" t="n">
        <x:v>7</x:v>
      </x:c>
      <x:c r="K622" s="14" t="str">
        <x:v>北门</x:v>
      </x:c>
      <x:c r="L622" s="14" t="n">
        <x:v>8</x:v>
      </x:c>
      <x:c r="M622" s="14" t="str">
        <x:v>20:08</x:v>
      </x:c>
      <x:c r="N622" s="14" t="str">
        <x:v>否</x:v>
      </x:c>
      <x:c r="O622" s="14" t="str">
        <x:v>否</x:v>
      </x:c>
      <x:c r="P622" s="14" t="str">
        <x:v>未提供</x:v>
      </x:c>
      <x:c r="Q622" s="14" t="str">
        <x:v>未提供</x:v>
      </x:c>
      <x:c r="R622" s="14" t="str">
        <x:v>预测</x:v>
      </x:c>
      <x:c r="S622" s="14" t="str">
        <x:v>到站时间为估算值</x:v>
      </x:c>
      <x:c r="T622" t="str">
        <x:v>研究生宿舍楼发车</x:v>
      </x:c>
    </x:row>
    <x:row r="623">
      <x:c r="A623" s="14" t="str">
        <x:v>S0051-08</x:v>
      </x:c>
      <x:c r="B623" s="14" t="str">
        <x:v>S0051</x:v>
      </x:c>
      <x:c r="C623" s="14" t="str">
        <x:v>工作日</x:v>
      </x:c>
      <x:c r="D623" s="14" t="str">
        <x:v>环线1路</x:v>
      </x:c>
      <x:c r="E623" s="14" t="str">
        <x:v>第五班（夜2）</x:v>
      </x:c>
      <x:c r="F623" s="14" t="n">
        <x:v>10</x:v>
      </x:c>
      <x:c r="G623" s="14" t="str">
        <x:v>20:00</x:v>
      </x:c>
      <x:c r="H623" s="14" t="str">
        <x:v>研究生宿舍楼</x:v>
      </x:c>
      <x:c r="I623" s="14" t="str">
        <x:v>否</x:v>
      </x:c>
      <x:c r="J623" s="14" t="n">
        <x:v>8</x:v>
      </x:c>
      <x:c r="K623" s="14" t="str">
        <x:v>高超楼</x:v>
      </x:c>
      <x:c r="L623" s="14" t="n">
        <x:v>9</x:v>
      </x:c>
      <x:c r="M623" s="14" t="str">
        <x:v>20:09</x:v>
      </x:c>
      <x:c r="N623" s="14" t="str">
        <x:v>否</x:v>
      </x:c>
      <x:c r="O623" s="14" t="str">
        <x:v>否</x:v>
      </x:c>
      <x:c r="P623" s="14" t="str">
        <x:v>未提供</x:v>
      </x:c>
      <x:c r="Q623" s="14" t="str">
        <x:v>未提供</x:v>
      </x:c>
      <x:c r="R623" s="14" t="str">
        <x:v>预测</x:v>
      </x:c>
      <x:c r="S623" s="14" t="str">
        <x:v>到站时间为估算值</x:v>
      </x:c>
      <x:c r="T623" t="str">
        <x:v>研究生宿舍楼发车</x:v>
      </x:c>
    </x:row>
    <x:row r="624">
      <x:c r="A624" s="14" t="str">
        <x:v>S0051-09</x:v>
      </x:c>
      <x:c r="B624" s="14" t="str">
        <x:v>S0051</x:v>
      </x:c>
      <x:c r="C624" s="14" t="str">
        <x:v>工作日</x:v>
      </x:c>
      <x:c r="D624" s="14" t="str">
        <x:v>环线1路</x:v>
      </x:c>
      <x:c r="E624" s="14" t="str">
        <x:v>第五班（夜2）</x:v>
      </x:c>
      <x:c r="F624" s="14" t="n">
        <x:v>10</x:v>
      </x:c>
      <x:c r="G624" s="14" t="str">
        <x:v>20:00</x:v>
      </x:c>
      <x:c r="H624" s="14" t="str">
        <x:v>研究生宿舍楼</x:v>
      </x:c>
      <x:c r="I624" s="14" t="str">
        <x:v>否</x:v>
      </x:c>
      <x:c r="J624" s="14" t="n">
        <x:v>9</x:v>
      </x:c>
      <x:c r="K624" s="14" t="str">
        <x:v>理学院</x:v>
      </x:c>
      <x:c r="L624" s="14" t="n">
        <x:v>10</x:v>
      </x:c>
      <x:c r="M624" s="14" t="str">
        <x:v>20:10</x:v>
      </x:c>
      <x:c r="N624" s="14" t="str">
        <x:v>否</x:v>
      </x:c>
      <x:c r="O624" s="14" t="str">
        <x:v>否</x:v>
      </x:c>
      <x:c r="P624" s="14" t="str">
        <x:v>未提供</x:v>
      </x:c>
      <x:c r="Q624" s="14" t="str">
        <x:v>未提供</x:v>
      </x:c>
      <x:c r="R624" s="14" t="str">
        <x:v>预测</x:v>
      </x:c>
      <x:c r="S624" s="14" t="str">
        <x:v>到站时间为估算值</x:v>
      </x:c>
      <x:c r="T624" t="str">
        <x:v>研究生宿舍楼发车</x:v>
      </x:c>
    </x:row>
    <x:row r="625">
      <x:c r="A625" s="14" t="str">
        <x:v>S0051-10</x:v>
      </x:c>
      <x:c r="B625" s="14" t="str">
        <x:v>S0051</x:v>
      </x:c>
      <x:c r="C625" s="14" t="str">
        <x:v>工作日</x:v>
      </x:c>
      <x:c r="D625" s="14" t="str">
        <x:v>环线1路</x:v>
      </x:c>
      <x:c r="E625" s="14" t="str">
        <x:v>第五班（夜2）</x:v>
      </x:c>
      <x:c r="F625" s="14" t="n">
        <x:v>10</x:v>
      </x:c>
      <x:c r="G625" s="14" t="str">
        <x:v>20:00</x:v>
      </x:c>
      <x:c r="H625" s="14" t="str">
        <x:v>研究生宿舍楼</x:v>
      </x:c>
      <x:c r="I625" s="14" t="str">
        <x:v>否</x:v>
      </x:c>
      <x:c r="J625" s="14" t="n">
        <x:v>10</x:v>
      </x:c>
      <x:c r="K625" s="14" t="str">
        <x:v>二食堂</x:v>
      </x:c>
      <x:c r="L625" s="14" t="n">
        <x:v>13</x:v>
      </x:c>
      <x:c r="M625" s="14" t="str">
        <x:v>20:13</x:v>
      </x:c>
      <x:c r="N625" s="14" t="str">
        <x:v>否</x:v>
      </x:c>
      <x:c r="O625" s="14" t="str">
        <x:v>否</x:v>
      </x:c>
      <x:c r="P625" s="14" t="str">
        <x:v>未提供</x:v>
      </x:c>
      <x:c r="Q625" s="14" t="str">
        <x:v>未提供</x:v>
      </x:c>
      <x:c r="R625" s="14" t="str">
        <x:v>预测</x:v>
      </x:c>
      <x:c r="S625" s="14" t="str">
        <x:v>到站时间为估算值</x:v>
      </x:c>
      <x:c r="T625" t="str">
        <x:v>研究生宿舍楼发车</x:v>
      </x:c>
    </x:row>
    <x:row r="626">
      <x:c r="A626" s="14" t="str">
        <x:v>S0051-11</x:v>
      </x:c>
      <x:c r="B626" s="14" t="str">
        <x:v>S0051</x:v>
      </x:c>
      <x:c r="C626" s="14" t="str">
        <x:v>工作日</x:v>
      </x:c>
      <x:c r="D626" s="14" t="str">
        <x:v>环线1路</x:v>
      </x:c>
      <x:c r="E626" s="14" t="str">
        <x:v>第五班（夜2）</x:v>
      </x:c>
      <x:c r="F626" s="14" t="n">
        <x:v>10</x:v>
      </x:c>
      <x:c r="G626" s="14" t="str">
        <x:v>20:00</x:v>
      </x:c>
      <x:c r="H626" s="14" t="str">
        <x:v>研究生宿舍楼</x:v>
      </x:c>
      <x:c r="I626" s="14" t="str">
        <x:v>否</x:v>
      </x:c>
      <x:c r="J626" s="14" t="n">
        <x:v>11</x:v>
      </x:c>
      <x:c r="K626" s="14" t="str">
        <x:v>5号宿舍楼</x:v>
      </x:c>
      <x:c r="L626" s="14" t="n">
        <x:v>14</x:v>
      </x:c>
      <x:c r="M626" s="14" t="str">
        <x:v>20:14</x:v>
      </x:c>
      <x:c r="N626" s="14" t="str">
        <x:v>否</x:v>
      </x:c>
      <x:c r="O626" s="14" t="str">
        <x:v>否</x:v>
      </x:c>
      <x:c r="P626" s="14" t="str">
        <x:v>未提供</x:v>
      </x:c>
      <x:c r="Q626" s="14" t="str">
        <x:v>未提供</x:v>
      </x:c>
      <x:c r="R626" s="14" t="str">
        <x:v>预测</x:v>
      </x:c>
      <x:c r="S626" s="14" t="str">
        <x:v>到站时间为估算值</x:v>
      </x:c>
      <x:c r="T626" t="str">
        <x:v>研究生宿舍楼发车</x:v>
      </x:c>
    </x:row>
    <x:row r="627">
      <x:c r="A627" s="14" t="str">
        <x:v>S0051-12</x:v>
      </x:c>
      <x:c r="B627" s="14" t="str">
        <x:v>S0051</x:v>
      </x:c>
      <x:c r="C627" s="14" t="str">
        <x:v>工作日</x:v>
      </x:c>
      <x:c r="D627" s="14" t="str">
        <x:v>环线1路</x:v>
      </x:c>
      <x:c r="E627" s="14" t="str">
        <x:v>第五班（夜2）</x:v>
      </x:c>
      <x:c r="F627" s="14" t="n">
        <x:v>10</x:v>
      </x:c>
      <x:c r="G627" s="14" t="str">
        <x:v>20:00</x:v>
      </x:c>
      <x:c r="H627" s="14" t="str">
        <x:v>研究生宿舍楼</x:v>
      </x:c>
      <x:c r="I627" s="14" t="str">
        <x:v>否</x:v>
      </x:c>
      <x:c r="J627" s="14" t="n">
        <x:v>12</x:v>
      </x:c>
      <x:c r="K627" s="14" t="str">
        <x:v>305教学楼</x:v>
      </x:c>
      <x:c r="L627" s="14" t="n">
        <x:v>15</x:v>
      </x:c>
      <x:c r="M627" s="14" t="str">
        <x:v>20:15</x:v>
      </x:c>
      <x:c r="N627" s="14" t="str">
        <x:v>否</x:v>
      </x:c>
      <x:c r="O627" s="14" t="str">
        <x:v>否</x:v>
      </x:c>
      <x:c r="P627" s="14" t="str">
        <x:v>未提供</x:v>
      </x:c>
      <x:c r="Q627" s="14" t="str">
        <x:v>未提供</x:v>
      </x:c>
      <x:c r="R627" s="14" t="str">
        <x:v>预测</x:v>
      </x:c>
      <x:c r="S627" s="14" t="str">
        <x:v>到站时间为估算值</x:v>
      </x:c>
      <x:c r="T627" t="str">
        <x:v>研究生宿舍楼发车</x:v>
      </x:c>
    </x:row>
    <x:row r="628">
      <x:c r="A628" s="14" t="str">
        <x:v>S0051-13</x:v>
      </x:c>
      <x:c r="B628" s="14" t="str">
        <x:v>S0051</x:v>
      </x:c>
      <x:c r="C628" s="14" t="str">
        <x:v>工作日</x:v>
      </x:c>
      <x:c r="D628" s="14" t="str">
        <x:v>环线1路</x:v>
      </x:c>
      <x:c r="E628" s="14" t="str">
        <x:v>第五班（夜2）</x:v>
      </x:c>
      <x:c r="F628" s="14" t="n">
        <x:v>10</x:v>
      </x:c>
      <x:c r="G628" s="14" t="str">
        <x:v>20:00</x:v>
      </x:c>
      <x:c r="H628" s="14" t="str">
        <x:v>研究生宿舍楼</x:v>
      </x:c>
      <x:c r="I628" s="14" t="str">
        <x:v>否</x:v>
      </x:c>
      <x:c r="J628" s="14" t="n">
        <x:v>13</x:v>
      </x:c>
      <x:c r="K628" s="14" t="str">
        <x:v>研究生宿舍楼</x:v>
      </x:c>
      <x:c r="L628" s="14" t="n">
        <x:v>17</x:v>
      </x:c>
      <x:c r="M628" s="14" t="str">
        <x:v>20:17</x:v>
      </x:c>
      <x:c r="N628" s="14" t="str">
        <x:v>否</x:v>
      </x:c>
      <x:c r="O628" s="14" t="str">
        <x:v>是</x:v>
      </x:c>
      <x:c r="P628" s="14" t="str">
        <x:v>未提供</x:v>
      </x:c>
      <x:c r="Q628" s="14" t="str">
        <x:v>未提供</x:v>
      </x:c>
      <x:c r="R628" s="14" t="str">
        <x:v>预测</x:v>
      </x:c>
      <x:c r="S628" s="14" t="str">
        <x:v>到站时间为估算值</x:v>
      </x:c>
      <x:c r="T628" t="str">
        <x:v>研究生宿舍楼发车</x:v>
      </x:c>
    </x:row>
    <x:row r="629">
      <x:c r="A629" s="14" t="str">
        <x:v>S0052-01</x:v>
      </x:c>
      <x:c r="B629" s="14" t="str">
        <x:v>S0052</x:v>
      </x:c>
      <x:c r="C629" s="14" t="str">
        <x:v>工作日</x:v>
      </x:c>
      <x:c r="D629" s="14" t="str">
        <x:v>环线1路</x:v>
      </x:c>
      <x:c r="E629" s="14" t="str">
        <x:v>第五班（夜2）</x:v>
      </x:c>
      <x:c r="F629" s="14" t="n">
        <x:v>11</x:v>
      </x:c>
      <x:c r="G629" s="14" t="str">
        <x:v>20:30</x:v>
      </x:c>
      <x:c r="H629" s="14" t="str">
        <x:v>研究生宿舍楼</x:v>
      </x:c>
      <x:c r="I629" s="14" t="str">
        <x:v>否</x:v>
      </x:c>
      <x:c r="J629" s="14" t="n">
        <x:v>1</x:v>
      </x:c>
      <x:c r="K629" s="14" t="str">
        <x:v>研究生宿舍楼</x:v>
      </x:c>
      <x:c r="L629" s="14" t="n">
        <x:v>0</x:v>
      </x:c>
      <x:c r="M629" s="14" t="str">
        <x:v>20:30</x:v>
      </x:c>
      <x:c r="N629" s="14" t="str">
        <x:v>是</x:v>
      </x:c>
      <x:c r="O629" s="14" t="str">
        <x:v>否</x:v>
      </x:c>
      <x:c r="P629" s="14" t="str">
        <x:v>未提供</x:v>
      </x:c>
      <x:c r="Q629" s="14" t="str">
        <x:v>未提供</x:v>
      </x:c>
      <x:c r="R629" s="14" t="str">
        <x:v>预测</x:v>
      </x:c>
      <x:c r="S629" s="14" t="str">
        <x:v>到站时间为估算值</x:v>
      </x:c>
      <x:c r="T629" t="str">
        <x:v>研究生宿舍楼发车</x:v>
      </x:c>
    </x:row>
    <x:row r="630">
      <x:c r="A630" s="14" t="str">
        <x:v>S0052-02</x:v>
      </x:c>
      <x:c r="B630" s="14" t="str">
        <x:v>S0052</x:v>
      </x:c>
      <x:c r="C630" s="14" t="str">
        <x:v>工作日</x:v>
      </x:c>
      <x:c r="D630" s="14" t="str">
        <x:v>环线1路</x:v>
      </x:c>
      <x:c r="E630" s="14" t="str">
        <x:v>第五班（夜2）</x:v>
      </x:c>
      <x:c r="F630" s="14" t="n">
        <x:v>11</x:v>
      </x:c>
      <x:c r="G630" s="14" t="str">
        <x:v>20:30</x:v>
      </x:c>
      <x:c r="H630" s="14" t="str">
        <x:v>研究生宿舍楼</x:v>
      </x:c>
      <x:c r="I630" s="14" t="str">
        <x:v>否</x:v>
      </x:c>
      <x:c r="J630" s="14" t="n">
        <x:v>2</x:v>
      </x:c>
      <x:c r="K630" s="14" t="str">
        <x:v>东门</x:v>
      </x:c>
      <x:c r="L630" s="14" t="n">
        <x:v>1</x:v>
      </x:c>
      <x:c r="M630" s="14" t="str">
        <x:v>20:31</x:v>
      </x:c>
      <x:c r="N630" s="14" t="str">
        <x:v>否</x:v>
      </x:c>
      <x:c r="O630" s="14" t="str">
        <x:v>否</x:v>
      </x:c>
      <x:c r="P630" s="14" t="str">
        <x:v>未提供</x:v>
      </x:c>
      <x:c r="Q630" s="14" t="str">
        <x:v>未提供</x:v>
      </x:c>
      <x:c r="R630" s="14" t="str">
        <x:v>预测</x:v>
      </x:c>
      <x:c r="S630" s="14" t="str">
        <x:v>到站时间为估算值</x:v>
      </x:c>
      <x:c r="T630" t="str">
        <x:v>研究生宿舍楼发车</x:v>
      </x:c>
    </x:row>
    <x:row r="631">
      <x:c r="A631" s="14" t="str">
        <x:v>S0052-03</x:v>
      </x:c>
      <x:c r="B631" s="14" t="str">
        <x:v>S0052</x:v>
      </x:c>
      <x:c r="C631" s="14" t="str">
        <x:v>工作日</x:v>
      </x:c>
      <x:c r="D631" s="14" t="str">
        <x:v>环线1路</x:v>
      </x:c>
      <x:c r="E631" s="14" t="str">
        <x:v>第五班（夜2）</x:v>
      </x:c>
      <x:c r="F631" s="14" t="n">
        <x:v>11</x:v>
      </x:c>
      <x:c r="G631" s="14" t="str">
        <x:v>20:30</x:v>
      </x:c>
      <x:c r="H631" s="14" t="str">
        <x:v>研究生宿舍楼</x:v>
      </x:c>
      <x:c r="I631" s="14" t="str">
        <x:v>否</x:v>
      </x:c>
      <x:c r="J631" s="14" t="n">
        <x:v>3</x:v>
      </x:c>
      <x:c r="K631" s="14" t="str">
        <x:v>2号宿舍楼</x:v>
      </x:c>
      <x:c r="L631" s="14" t="n">
        <x:v>2</x:v>
      </x:c>
      <x:c r="M631" s="14" t="str">
        <x:v>20:32</x:v>
      </x:c>
      <x:c r="N631" s="14" t="str">
        <x:v>否</x:v>
      </x:c>
      <x:c r="O631" s="14" t="str">
        <x:v>否</x:v>
      </x:c>
      <x:c r="P631" s="14" t="str">
        <x:v>未提供</x:v>
      </x:c>
      <x:c r="Q631" s="14" t="str">
        <x:v>未提供</x:v>
      </x:c>
      <x:c r="R631" s="14" t="str">
        <x:v>预测</x:v>
      </x:c>
      <x:c r="S631" s="14" t="str">
        <x:v>到站时间为估算值</x:v>
      </x:c>
      <x:c r="T631" t="str">
        <x:v>研究生宿舍楼发车</x:v>
      </x:c>
    </x:row>
    <x:row r="632">
      <x:c r="A632" s="14" t="str">
        <x:v>S0052-04</x:v>
      </x:c>
      <x:c r="B632" s="14" t="str">
        <x:v>S0052</x:v>
      </x:c>
      <x:c r="C632" s="14" t="str">
        <x:v>工作日</x:v>
      </x:c>
      <x:c r="D632" s="14" t="str">
        <x:v>环线1路</x:v>
      </x:c>
      <x:c r="E632" s="14" t="str">
        <x:v>第五班（夜2）</x:v>
      </x:c>
      <x:c r="F632" s="14" t="n">
        <x:v>11</x:v>
      </x:c>
      <x:c r="G632" s="14" t="str">
        <x:v>20:30</x:v>
      </x:c>
      <x:c r="H632" s="14" t="str">
        <x:v>研究生宿舍楼</x:v>
      </x:c>
      <x:c r="I632" s="14" t="str">
        <x:v>否</x:v>
      </x:c>
      <x:c r="J632" s="14" t="n">
        <x:v>4</x:v>
      </x:c>
      <x:c r="K632" s="14" t="str">
        <x:v>军体活动中心</x:v>
      </x:c>
      <x:c r="L632" s="14" t="n">
        <x:v>3</x:v>
      </x:c>
      <x:c r="M632" s="14" t="str">
        <x:v>20:33</x:v>
      </x:c>
      <x:c r="N632" s="14" t="str">
        <x:v>否</x:v>
      </x:c>
      <x:c r="O632" s="14" t="str">
        <x:v>否</x:v>
      </x:c>
      <x:c r="P632" s="14" t="str">
        <x:v>未提供</x:v>
      </x:c>
      <x:c r="Q632" s="14" t="str">
        <x:v>未提供</x:v>
      </x:c>
      <x:c r="R632" s="14" t="str">
        <x:v>预测</x:v>
      </x:c>
      <x:c r="S632" s="14" t="str">
        <x:v>到站时间为估算值</x:v>
      </x:c>
      <x:c r="T632" t="str">
        <x:v>研究生宿舍楼发车</x:v>
      </x:c>
    </x:row>
    <x:row r="633">
      <x:c r="A633" s="14" t="str">
        <x:v>S0052-05</x:v>
      </x:c>
      <x:c r="B633" s="14" t="str">
        <x:v>S0052</x:v>
      </x:c>
      <x:c r="C633" s="14" t="str">
        <x:v>工作日</x:v>
      </x:c>
      <x:c r="D633" s="14" t="str">
        <x:v>环线1路</x:v>
      </x:c>
      <x:c r="E633" s="14" t="str">
        <x:v>第五班（夜2）</x:v>
      </x:c>
      <x:c r="F633" s="14" t="n">
        <x:v>11</x:v>
      </x:c>
      <x:c r="G633" s="14" t="str">
        <x:v>20:30</x:v>
      </x:c>
      <x:c r="H633" s="14" t="str">
        <x:v>研究生宿舍楼</x:v>
      </x:c>
      <x:c r="I633" s="14" t="str">
        <x:v>否</x:v>
      </x:c>
      <x:c r="J633" s="14" t="n">
        <x:v>5</x:v>
      </x:c>
      <x:c r="K633" s="14" t="str">
        <x:v>激光所</x:v>
      </x:c>
      <x:c r="L633" s="14" t="n">
        <x:v>5</x:v>
      </x:c>
      <x:c r="M633" s="14" t="str">
        <x:v>20:35</x:v>
      </x:c>
      <x:c r="N633" s="14" t="str">
        <x:v>否</x:v>
      </x:c>
      <x:c r="O633" s="14" t="str">
        <x:v>否</x:v>
      </x:c>
      <x:c r="P633" s="14" t="str">
        <x:v>未提供</x:v>
      </x:c>
      <x:c r="Q633" s="14" t="str">
        <x:v>未提供</x:v>
      </x:c>
      <x:c r="R633" s="14" t="str">
        <x:v>预测</x:v>
      </x:c>
      <x:c r="S633" s="14" t="str">
        <x:v>到站时间为估算值</x:v>
      </x:c>
      <x:c r="T633" t="str">
        <x:v>研究生宿舍楼发车</x:v>
      </x:c>
    </x:row>
    <x:row r="634">
      <x:c r="A634" s="14" t="str">
        <x:v>S0052-06</x:v>
      </x:c>
      <x:c r="B634" s="14" t="str">
        <x:v>S0052</x:v>
      </x:c>
      <x:c r="C634" s="14" t="str">
        <x:v>工作日</x:v>
      </x:c>
      <x:c r="D634" s="14" t="str">
        <x:v>环线1路</x:v>
      </x:c>
      <x:c r="E634" s="14" t="str">
        <x:v>第五班（夜2）</x:v>
      </x:c>
      <x:c r="F634" s="14" t="n">
        <x:v>11</x:v>
      </x:c>
      <x:c r="G634" s="14" t="str">
        <x:v>20:30</x:v>
      </x:c>
      <x:c r="H634" s="14" t="str">
        <x:v>研究生宿舍楼</x:v>
      </x:c>
      <x:c r="I634" s="14" t="str">
        <x:v>否</x:v>
      </x:c>
      <x:c r="J634" s="14" t="n">
        <x:v>6</x:v>
      </x:c>
      <x:c r="K634" s="14" t="str">
        <x:v>超算中心</x:v>
      </x:c>
      <x:c r="L634" s="14" t="n">
        <x:v>6</x:v>
      </x:c>
      <x:c r="M634" s="14" t="str">
        <x:v>20:36</x:v>
      </x:c>
      <x:c r="N634" s="14" t="str">
        <x:v>否</x:v>
      </x:c>
      <x:c r="O634" s="14" t="str">
        <x:v>否</x:v>
      </x:c>
      <x:c r="P634" s="14" t="str">
        <x:v>未提供</x:v>
      </x:c>
      <x:c r="Q634" s="14" t="str">
        <x:v>未提供</x:v>
      </x:c>
      <x:c r="R634" s="14" t="str">
        <x:v>预测</x:v>
      </x:c>
      <x:c r="S634" s="14" t="str">
        <x:v>到站时间为估算值</x:v>
      </x:c>
      <x:c r="T634" t="str">
        <x:v>研究生宿舍楼发车</x:v>
      </x:c>
    </x:row>
    <x:row r="635">
      <x:c r="A635" s="14" t="str">
        <x:v>S0052-07</x:v>
      </x:c>
      <x:c r="B635" s="14" t="str">
        <x:v>S0052</x:v>
      </x:c>
      <x:c r="C635" s="14" t="str">
        <x:v>工作日</x:v>
      </x:c>
      <x:c r="D635" s="14" t="str">
        <x:v>环线1路</x:v>
      </x:c>
      <x:c r="E635" s="14" t="str">
        <x:v>第五班（夜2）</x:v>
      </x:c>
      <x:c r="F635" s="14" t="n">
        <x:v>11</x:v>
      </x:c>
      <x:c r="G635" s="14" t="str">
        <x:v>20:30</x:v>
      </x:c>
      <x:c r="H635" s="14" t="str">
        <x:v>研究生宿舍楼</x:v>
      </x:c>
      <x:c r="I635" s="14" t="str">
        <x:v>否</x:v>
      </x:c>
      <x:c r="J635" s="14" t="n">
        <x:v>7</x:v>
      </x:c>
      <x:c r="K635" s="14" t="str">
        <x:v>北门</x:v>
      </x:c>
      <x:c r="L635" s="14" t="n">
        <x:v>8</x:v>
      </x:c>
      <x:c r="M635" s="14" t="str">
        <x:v>20:38</x:v>
      </x:c>
      <x:c r="N635" s="14" t="str">
        <x:v>否</x:v>
      </x:c>
      <x:c r="O635" s="14" t="str">
        <x:v>否</x:v>
      </x:c>
      <x:c r="P635" s="14" t="str">
        <x:v>未提供</x:v>
      </x:c>
      <x:c r="Q635" s="14" t="str">
        <x:v>未提供</x:v>
      </x:c>
      <x:c r="R635" s="14" t="str">
        <x:v>预测</x:v>
      </x:c>
      <x:c r="S635" s="14" t="str">
        <x:v>到站时间为估算值</x:v>
      </x:c>
      <x:c r="T635" t="str">
        <x:v>研究生宿舍楼发车</x:v>
      </x:c>
    </x:row>
    <x:row r="636">
      <x:c r="A636" s="14" t="str">
        <x:v>S0052-08</x:v>
      </x:c>
      <x:c r="B636" s="14" t="str">
        <x:v>S0052</x:v>
      </x:c>
      <x:c r="C636" s="14" t="str">
        <x:v>工作日</x:v>
      </x:c>
      <x:c r="D636" s="14" t="str">
        <x:v>环线1路</x:v>
      </x:c>
      <x:c r="E636" s="14" t="str">
        <x:v>第五班（夜2）</x:v>
      </x:c>
      <x:c r="F636" s="14" t="n">
        <x:v>11</x:v>
      </x:c>
      <x:c r="G636" s="14" t="str">
        <x:v>20:30</x:v>
      </x:c>
      <x:c r="H636" s="14" t="str">
        <x:v>研究生宿舍楼</x:v>
      </x:c>
      <x:c r="I636" s="14" t="str">
        <x:v>否</x:v>
      </x:c>
      <x:c r="J636" s="14" t="n">
        <x:v>8</x:v>
      </x:c>
      <x:c r="K636" s="14" t="str">
        <x:v>高超楼</x:v>
      </x:c>
      <x:c r="L636" s="14" t="n">
        <x:v>9</x:v>
      </x:c>
      <x:c r="M636" s="14" t="str">
        <x:v>20:39</x:v>
      </x:c>
      <x:c r="N636" s="14" t="str">
        <x:v>否</x:v>
      </x:c>
      <x:c r="O636" s="14" t="str">
        <x:v>否</x:v>
      </x:c>
      <x:c r="P636" s="14" t="str">
        <x:v>未提供</x:v>
      </x:c>
      <x:c r="Q636" s="14" t="str">
        <x:v>未提供</x:v>
      </x:c>
      <x:c r="R636" s="14" t="str">
        <x:v>预测</x:v>
      </x:c>
      <x:c r="S636" s="14" t="str">
        <x:v>到站时间为估算值</x:v>
      </x:c>
      <x:c r="T636" t="str">
        <x:v>研究生宿舍楼发车</x:v>
      </x:c>
    </x:row>
    <x:row r="637">
      <x:c r="A637" s="14" t="str">
        <x:v>S0052-09</x:v>
      </x:c>
      <x:c r="B637" s="14" t="str">
        <x:v>S0052</x:v>
      </x:c>
      <x:c r="C637" s="14" t="str">
        <x:v>工作日</x:v>
      </x:c>
      <x:c r="D637" s="14" t="str">
        <x:v>环线1路</x:v>
      </x:c>
      <x:c r="E637" s="14" t="str">
        <x:v>第五班（夜2）</x:v>
      </x:c>
      <x:c r="F637" s="14" t="n">
        <x:v>11</x:v>
      </x:c>
      <x:c r="G637" s="14" t="str">
        <x:v>20:30</x:v>
      </x:c>
      <x:c r="H637" s="14" t="str">
        <x:v>研究生宿舍楼</x:v>
      </x:c>
      <x:c r="I637" s="14" t="str">
        <x:v>否</x:v>
      </x:c>
      <x:c r="J637" s="14" t="n">
        <x:v>9</x:v>
      </x:c>
      <x:c r="K637" s="14" t="str">
        <x:v>理学院</x:v>
      </x:c>
      <x:c r="L637" s="14" t="n">
        <x:v>10</x:v>
      </x:c>
      <x:c r="M637" s="14" t="str">
        <x:v>20:40</x:v>
      </x:c>
      <x:c r="N637" s="14" t="str">
        <x:v>否</x:v>
      </x:c>
      <x:c r="O637" s="14" t="str">
        <x:v>否</x:v>
      </x:c>
      <x:c r="P637" s="14" t="str">
        <x:v>未提供</x:v>
      </x:c>
      <x:c r="Q637" s="14" t="str">
        <x:v>未提供</x:v>
      </x:c>
      <x:c r="R637" s="14" t="str">
        <x:v>预测</x:v>
      </x:c>
      <x:c r="S637" s="14" t="str">
        <x:v>到站时间为估算值</x:v>
      </x:c>
      <x:c r="T637" t="str">
        <x:v>研究生宿舍楼发车</x:v>
      </x:c>
    </x:row>
    <x:row r="638">
      <x:c r="A638" s="14" t="str">
        <x:v>S0052-10</x:v>
      </x:c>
      <x:c r="B638" s="14" t="str">
        <x:v>S0052</x:v>
      </x:c>
      <x:c r="C638" s="14" t="str">
        <x:v>工作日</x:v>
      </x:c>
      <x:c r="D638" s="14" t="str">
        <x:v>环线1路</x:v>
      </x:c>
      <x:c r="E638" s="14" t="str">
        <x:v>第五班（夜2）</x:v>
      </x:c>
      <x:c r="F638" s="14" t="n">
        <x:v>11</x:v>
      </x:c>
      <x:c r="G638" s="14" t="str">
        <x:v>20:30</x:v>
      </x:c>
      <x:c r="H638" s="14" t="str">
        <x:v>研究生宿舍楼</x:v>
      </x:c>
      <x:c r="I638" s="14" t="str">
        <x:v>否</x:v>
      </x:c>
      <x:c r="J638" s="14" t="n">
        <x:v>10</x:v>
      </x:c>
      <x:c r="K638" s="14" t="str">
        <x:v>二食堂</x:v>
      </x:c>
      <x:c r="L638" s="14" t="n">
        <x:v>13</x:v>
      </x:c>
      <x:c r="M638" s="14" t="str">
        <x:v>20:43</x:v>
      </x:c>
      <x:c r="N638" s="14" t="str">
        <x:v>否</x:v>
      </x:c>
      <x:c r="O638" s="14" t="str">
        <x:v>否</x:v>
      </x:c>
      <x:c r="P638" s="14" t="str">
        <x:v>未提供</x:v>
      </x:c>
      <x:c r="Q638" s="14" t="str">
        <x:v>未提供</x:v>
      </x:c>
      <x:c r="R638" s="14" t="str">
        <x:v>预测</x:v>
      </x:c>
      <x:c r="S638" s="14" t="str">
        <x:v>到站时间为估算值</x:v>
      </x:c>
      <x:c r="T638" t="str">
        <x:v>研究生宿舍楼发车</x:v>
      </x:c>
    </x:row>
    <x:row r="639">
      <x:c r="A639" s="14" t="str">
        <x:v>S0052-11</x:v>
      </x:c>
      <x:c r="B639" s="14" t="str">
        <x:v>S0052</x:v>
      </x:c>
      <x:c r="C639" s="14" t="str">
        <x:v>工作日</x:v>
      </x:c>
      <x:c r="D639" s="14" t="str">
        <x:v>环线1路</x:v>
      </x:c>
      <x:c r="E639" s="14" t="str">
        <x:v>第五班（夜2）</x:v>
      </x:c>
      <x:c r="F639" s="14" t="n">
        <x:v>11</x:v>
      </x:c>
      <x:c r="G639" s="14" t="str">
        <x:v>20:30</x:v>
      </x:c>
      <x:c r="H639" s="14" t="str">
        <x:v>研究生宿舍楼</x:v>
      </x:c>
      <x:c r="I639" s="14" t="str">
        <x:v>否</x:v>
      </x:c>
      <x:c r="J639" s="14" t="n">
        <x:v>11</x:v>
      </x:c>
      <x:c r="K639" s="14" t="str">
        <x:v>5号宿舍楼</x:v>
      </x:c>
      <x:c r="L639" s="14" t="n">
        <x:v>14</x:v>
      </x:c>
      <x:c r="M639" s="14" t="str">
        <x:v>20:44</x:v>
      </x:c>
      <x:c r="N639" s="14" t="str">
        <x:v>否</x:v>
      </x:c>
      <x:c r="O639" s="14" t="str">
        <x:v>否</x:v>
      </x:c>
      <x:c r="P639" s="14" t="str">
        <x:v>未提供</x:v>
      </x:c>
      <x:c r="Q639" s="14" t="str">
        <x:v>未提供</x:v>
      </x:c>
      <x:c r="R639" s="14" t="str">
        <x:v>预测</x:v>
      </x:c>
      <x:c r="S639" s="14" t="str">
        <x:v>到站时间为估算值</x:v>
      </x:c>
      <x:c r="T639" t="str">
        <x:v>研究生宿舍楼发车</x:v>
      </x:c>
    </x:row>
    <x:row r="640">
      <x:c r="A640" s="14" t="str">
        <x:v>S0052-12</x:v>
      </x:c>
      <x:c r="B640" s="14" t="str">
        <x:v>S0052</x:v>
      </x:c>
      <x:c r="C640" s="14" t="str">
        <x:v>工作日</x:v>
      </x:c>
      <x:c r="D640" s="14" t="str">
        <x:v>环线1路</x:v>
      </x:c>
      <x:c r="E640" s="14" t="str">
        <x:v>第五班（夜2）</x:v>
      </x:c>
      <x:c r="F640" s="14" t="n">
        <x:v>11</x:v>
      </x:c>
      <x:c r="G640" s="14" t="str">
        <x:v>20:30</x:v>
      </x:c>
      <x:c r="H640" s="14" t="str">
        <x:v>研究生宿舍楼</x:v>
      </x:c>
      <x:c r="I640" s="14" t="str">
        <x:v>否</x:v>
      </x:c>
      <x:c r="J640" s="14" t="n">
        <x:v>12</x:v>
      </x:c>
      <x:c r="K640" s="14" t="str">
        <x:v>305教学楼</x:v>
      </x:c>
      <x:c r="L640" s="14" t="n">
        <x:v>15</x:v>
      </x:c>
      <x:c r="M640" s="14" t="str">
        <x:v>20:45</x:v>
      </x:c>
      <x:c r="N640" s="14" t="str">
        <x:v>否</x:v>
      </x:c>
      <x:c r="O640" s="14" t="str">
        <x:v>否</x:v>
      </x:c>
      <x:c r="P640" s="14" t="str">
        <x:v>未提供</x:v>
      </x:c>
      <x:c r="Q640" s="14" t="str">
        <x:v>未提供</x:v>
      </x:c>
      <x:c r="R640" s="14" t="str">
        <x:v>预测</x:v>
      </x:c>
      <x:c r="S640" s="14" t="str">
        <x:v>到站时间为估算值</x:v>
      </x:c>
      <x:c r="T640" t="str">
        <x:v>研究生宿舍楼发车</x:v>
      </x:c>
    </x:row>
    <x:row r="641">
      <x:c r="A641" s="14" t="str">
        <x:v>S0052-13</x:v>
      </x:c>
      <x:c r="B641" s="14" t="str">
        <x:v>S0052</x:v>
      </x:c>
      <x:c r="C641" s="14" t="str">
        <x:v>工作日</x:v>
      </x:c>
      <x:c r="D641" s="14" t="str">
        <x:v>环线1路</x:v>
      </x:c>
      <x:c r="E641" s="14" t="str">
        <x:v>第五班（夜2）</x:v>
      </x:c>
      <x:c r="F641" s="14" t="n">
        <x:v>11</x:v>
      </x:c>
      <x:c r="G641" s="14" t="str">
        <x:v>20:30</x:v>
      </x:c>
      <x:c r="H641" s="14" t="str">
        <x:v>研究生宿舍楼</x:v>
      </x:c>
      <x:c r="I641" s="14" t="str">
        <x:v>否</x:v>
      </x:c>
      <x:c r="J641" s="14" t="n">
        <x:v>13</x:v>
      </x:c>
      <x:c r="K641" s="14" t="str">
        <x:v>研究生宿舍楼</x:v>
      </x:c>
      <x:c r="L641" s="14" t="n">
        <x:v>17</x:v>
      </x:c>
      <x:c r="M641" s="14" t="str">
        <x:v>20:47</x:v>
      </x:c>
      <x:c r="N641" s="14" t="str">
        <x:v>否</x:v>
      </x:c>
      <x:c r="O641" s="14" t="str">
        <x:v>是</x:v>
      </x:c>
      <x:c r="P641" s="14" t="str">
        <x:v>未提供</x:v>
      </x:c>
      <x:c r="Q641" s="14" t="str">
        <x:v>未提供</x:v>
      </x:c>
      <x:c r="R641" s="14" t="str">
        <x:v>预测</x:v>
      </x:c>
      <x:c r="S641" s="14" t="str">
        <x:v>到站时间为估算值</x:v>
      </x:c>
      <x:c r="T641" t="str">
        <x:v>研究生宿舍楼发车</x:v>
      </x:c>
    </x:row>
    <x:row r="642">
      <x:c r="A642" s="14" t="str">
        <x:v>S0053-01</x:v>
      </x:c>
      <x:c r="B642" s="14" t="str">
        <x:v>S0053</x:v>
      </x:c>
      <x:c r="C642" s="14" t="str">
        <x:v>工作日</x:v>
      </x:c>
      <x:c r="D642" s="14" t="str">
        <x:v>环线1路</x:v>
      </x:c>
      <x:c r="E642" s="14" t="str">
        <x:v>第五班（夜2）</x:v>
      </x:c>
      <x:c r="F642" s="14" t="n">
        <x:v>12</x:v>
      </x:c>
      <x:c r="G642" s="14" t="str">
        <x:v>21:00</x:v>
      </x:c>
      <x:c r="H642" s="14" t="str">
        <x:v>研究生宿舍楼</x:v>
      </x:c>
      <x:c r="I642" s="14" t="str">
        <x:v>否</x:v>
      </x:c>
      <x:c r="J642" s="14" t="n">
        <x:v>1</x:v>
      </x:c>
      <x:c r="K642" s="14" t="str">
        <x:v>研究生宿舍楼</x:v>
      </x:c>
      <x:c r="L642" s="14" t="n">
        <x:v>0</x:v>
      </x:c>
      <x:c r="M642" s="14" t="str">
        <x:v>21:00</x:v>
      </x:c>
      <x:c r="N642" s="14" t="str">
        <x:v>是</x:v>
      </x:c>
      <x:c r="O642" s="14" t="str">
        <x:v>否</x:v>
      </x:c>
      <x:c r="P642" s="14" t="str">
        <x:v>未提供</x:v>
      </x:c>
      <x:c r="Q642" s="14" t="str">
        <x:v>未提供</x:v>
      </x:c>
      <x:c r="R642" s="14" t="str">
        <x:v>预测</x:v>
      </x:c>
      <x:c r="S642" s="14" t="str">
        <x:v>到站时间为估算值</x:v>
      </x:c>
      <x:c r="T642" t="str">
        <x:v>研究生宿舍楼发车</x:v>
      </x:c>
    </x:row>
    <x:row r="643">
      <x:c r="A643" s="14" t="str">
        <x:v>S0053-02</x:v>
      </x:c>
      <x:c r="B643" s="14" t="str">
        <x:v>S0053</x:v>
      </x:c>
      <x:c r="C643" s="14" t="str">
        <x:v>工作日</x:v>
      </x:c>
      <x:c r="D643" s="14" t="str">
        <x:v>环线1路</x:v>
      </x:c>
      <x:c r="E643" s="14" t="str">
        <x:v>第五班（夜2）</x:v>
      </x:c>
      <x:c r="F643" s="14" t="n">
        <x:v>12</x:v>
      </x:c>
      <x:c r="G643" s="14" t="str">
        <x:v>21:00</x:v>
      </x:c>
      <x:c r="H643" s="14" t="str">
        <x:v>研究生宿舍楼</x:v>
      </x:c>
      <x:c r="I643" s="14" t="str">
        <x:v>否</x:v>
      </x:c>
      <x:c r="J643" s="14" t="n">
        <x:v>2</x:v>
      </x:c>
      <x:c r="K643" s="14" t="str">
        <x:v>东门</x:v>
      </x:c>
      <x:c r="L643" s="14" t="n">
        <x:v>1</x:v>
      </x:c>
      <x:c r="M643" s="14" t="str">
        <x:v>21:01</x:v>
      </x:c>
      <x:c r="N643" s="14" t="str">
        <x:v>否</x:v>
      </x:c>
      <x:c r="O643" s="14" t="str">
        <x:v>否</x:v>
      </x:c>
      <x:c r="P643" s="14" t="str">
        <x:v>未提供</x:v>
      </x:c>
      <x:c r="Q643" s="14" t="str">
        <x:v>未提供</x:v>
      </x:c>
      <x:c r="R643" s="14" t="str">
        <x:v>预测</x:v>
      </x:c>
      <x:c r="S643" s="14" t="str">
        <x:v>到站时间为估算值</x:v>
      </x:c>
      <x:c r="T643" t="str">
        <x:v>研究生宿舍楼发车</x:v>
      </x:c>
    </x:row>
    <x:row r="644">
      <x:c r="A644" s="14" t="str">
        <x:v>S0053-03</x:v>
      </x:c>
      <x:c r="B644" s="14" t="str">
        <x:v>S0053</x:v>
      </x:c>
      <x:c r="C644" s="14" t="str">
        <x:v>工作日</x:v>
      </x:c>
      <x:c r="D644" s="14" t="str">
        <x:v>环线1路</x:v>
      </x:c>
      <x:c r="E644" s="14" t="str">
        <x:v>第五班（夜2）</x:v>
      </x:c>
      <x:c r="F644" s="14" t="n">
        <x:v>12</x:v>
      </x:c>
      <x:c r="G644" s="14" t="str">
        <x:v>21:00</x:v>
      </x:c>
      <x:c r="H644" s="14" t="str">
        <x:v>研究生宿舍楼</x:v>
      </x:c>
      <x:c r="I644" s="14" t="str">
        <x:v>否</x:v>
      </x:c>
      <x:c r="J644" s="14" t="n">
        <x:v>3</x:v>
      </x:c>
      <x:c r="K644" s="14" t="str">
        <x:v>2号宿舍楼</x:v>
      </x:c>
      <x:c r="L644" s="14" t="n">
        <x:v>2</x:v>
      </x:c>
      <x:c r="M644" s="14" t="str">
        <x:v>21:02</x:v>
      </x:c>
      <x:c r="N644" s="14" t="str">
        <x:v>否</x:v>
      </x:c>
      <x:c r="O644" s="14" t="str">
        <x:v>否</x:v>
      </x:c>
      <x:c r="P644" s="14" t="str">
        <x:v>未提供</x:v>
      </x:c>
      <x:c r="Q644" s="14" t="str">
        <x:v>未提供</x:v>
      </x:c>
      <x:c r="R644" s="14" t="str">
        <x:v>预测</x:v>
      </x:c>
      <x:c r="S644" s="14" t="str">
        <x:v>到站时间为估算值</x:v>
      </x:c>
      <x:c r="T644" t="str">
        <x:v>研究生宿舍楼发车</x:v>
      </x:c>
    </x:row>
    <x:row r="645">
      <x:c r="A645" s="14" t="str">
        <x:v>S0053-04</x:v>
      </x:c>
      <x:c r="B645" s="14" t="str">
        <x:v>S0053</x:v>
      </x:c>
      <x:c r="C645" s="14" t="str">
        <x:v>工作日</x:v>
      </x:c>
      <x:c r="D645" s="14" t="str">
        <x:v>环线1路</x:v>
      </x:c>
      <x:c r="E645" s="14" t="str">
        <x:v>第五班（夜2）</x:v>
      </x:c>
      <x:c r="F645" s="14" t="n">
        <x:v>12</x:v>
      </x:c>
      <x:c r="G645" s="14" t="str">
        <x:v>21:00</x:v>
      </x:c>
      <x:c r="H645" s="14" t="str">
        <x:v>研究生宿舍楼</x:v>
      </x:c>
      <x:c r="I645" s="14" t="str">
        <x:v>否</x:v>
      </x:c>
      <x:c r="J645" s="14" t="n">
        <x:v>4</x:v>
      </x:c>
      <x:c r="K645" s="14" t="str">
        <x:v>军体活动中心</x:v>
      </x:c>
      <x:c r="L645" s="14" t="n">
        <x:v>3</x:v>
      </x:c>
      <x:c r="M645" s="14" t="str">
        <x:v>21:03</x:v>
      </x:c>
      <x:c r="N645" s="14" t="str">
        <x:v>否</x:v>
      </x:c>
      <x:c r="O645" s="14" t="str">
        <x:v>否</x:v>
      </x:c>
      <x:c r="P645" s="14" t="str">
        <x:v>未提供</x:v>
      </x:c>
      <x:c r="Q645" s="14" t="str">
        <x:v>未提供</x:v>
      </x:c>
      <x:c r="R645" s="14" t="str">
        <x:v>预测</x:v>
      </x:c>
      <x:c r="S645" s="14" t="str">
        <x:v>到站时间为估算值</x:v>
      </x:c>
      <x:c r="T645" t="str">
        <x:v>研究生宿舍楼发车</x:v>
      </x:c>
    </x:row>
    <x:row r="646">
      <x:c r="A646" s="14" t="str">
        <x:v>S0053-05</x:v>
      </x:c>
      <x:c r="B646" s="14" t="str">
        <x:v>S0053</x:v>
      </x:c>
      <x:c r="C646" s="14" t="str">
        <x:v>工作日</x:v>
      </x:c>
      <x:c r="D646" s="14" t="str">
        <x:v>环线1路</x:v>
      </x:c>
      <x:c r="E646" s="14" t="str">
        <x:v>第五班（夜2）</x:v>
      </x:c>
      <x:c r="F646" s="14" t="n">
        <x:v>12</x:v>
      </x:c>
      <x:c r="G646" s="14" t="str">
        <x:v>21:00</x:v>
      </x:c>
      <x:c r="H646" s="14" t="str">
        <x:v>研究生宿舍楼</x:v>
      </x:c>
      <x:c r="I646" s="14" t="str">
        <x:v>否</x:v>
      </x:c>
      <x:c r="J646" s="14" t="n">
        <x:v>5</x:v>
      </x:c>
      <x:c r="K646" s="14" t="str">
        <x:v>激光所</x:v>
      </x:c>
      <x:c r="L646" s="14" t="n">
        <x:v>5</x:v>
      </x:c>
      <x:c r="M646" s="14" t="str">
        <x:v>21:05</x:v>
      </x:c>
      <x:c r="N646" s="14" t="str">
        <x:v>否</x:v>
      </x:c>
      <x:c r="O646" s="14" t="str">
        <x:v>否</x:v>
      </x:c>
      <x:c r="P646" s="14" t="str">
        <x:v>未提供</x:v>
      </x:c>
      <x:c r="Q646" s="14" t="str">
        <x:v>未提供</x:v>
      </x:c>
      <x:c r="R646" s="14" t="str">
        <x:v>预测</x:v>
      </x:c>
      <x:c r="S646" s="14" t="str">
        <x:v>到站时间为估算值</x:v>
      </x:c>
      <x:c r="T646" t="str">
        <x:v>研究生宿舍楼发车</x:v>
      </x:c>
    </x:row>
    <x:row r="647">
      <x:c r="A647" s="14" t="str">
        <x:v>S0053-06</x:v>
      </x:c>
      <x:c r="B647" s="14" t="str">
        <x:v>S0053</x:v>
      </x:c>
      <x:c r="C647" s="14" t="str">
        <x:v>工作日</x:v>
      </x:c>
      <x:c r="D647" s="14" t="str">
        <x:v>环线1路</x:v>
      </x:c>
      <x:c r="E647" s="14" t="str">
        <x:v>第五班（夜2）</x:v>
      </x:c>
      <x:c r="F647" s="14" t="n">
        <x:v>12</x:v>
      </x:c>
      <x:c r="G647" s="14" t="str">
        <x:v>21:00</x:v>
      </x:c>
      <x:c r="H647" s="14" t="str">
        <x:v>研究生宿舍楼</x:v>
      </x:c>
      <x:c r="I647" s="14" t="str">
        <x:v>否</x:v>
      </x:c>
      <x:c r="J647" s="14" t="n">
        <x:v>6</x:v>
      </x:c>
      <x:c r="K647" s="14" t="str">
        <x:v>超算中心</x:v>
      </x:c>
      <x:c r="L647" s="14" t="n">
        <x:v>6</x:v>
      </x:c>
      <x:c r="M647" s="14" t="str">
        <x:v>21:06</x:v>
      </x:c>
      <x:c r="N647" s="14" t="str">
        <x:v>否</x:v>
      </x:c>
      <x:c r="O647" s="14" t="str">
        <x:v>否</x:v>
      </x:c>
      <x:c r="P647" s="14" t="str">
        <x:v>未提供</x:v>
      </x:c>
      <x:c r="Q647" s="14" t="str">
        <x:v>未提供</x:v>
      </x:c>
      <x:c r="R647" s="14" t="str">
        <x:v>预测</x:v>
      </x:c>
      <x:c r="S647" s="14" t="str">
        <x:v>到站时间为估算值</x:v>
      </x:c>
      <x:c r="T647" t="str">
        <x:v>研究生宿舍楼发车</x:v>
      </x:c>
    </x:row>
    <x:row r="648">
      <x:c r="A648" s="14" t="str">
        <x:v>S0053-07</x:v>
      </x:c>
      <x:c r="B648" s="14" t="str">
        <x:v>S0053</x:v>
      </x:c>
      <x:c r="C648" s="14" t="str">
        <x:v>工作日</x:v>
      </x:c>
      <x:c r="D648" s="14" t="str">
        <x:v>环线1路</x:v>
      </x:c>
      <x:c r="E648" s="14" t="str">
        <x:v>第五班（夜2）</x:v>
      </x:c>
      <x:c r="F648" s="14" t="n">
        <x:v>12</x:v>
      </x:c>
      <x:c r="G648" s="14" t="str">
        <x:v>21:00</x:v>
      </x:c>
      <x:c r="H648" s="14" t="str">
        <x:v>研究生宿舍楼</x:v>
      </x:c>
      <x:c r="I648" s="14" t="str">
        <x:v>否</x:v>
      </x:c>
      <x:c r="J648" s="14" t="n">
        <x:v>7</x:v>
      </x:c>
      <x:c r="K648" s="14" t="str">
        <x:v>北门</x:v>
      </x:c>
      <x:c r="L648" s="14" t="n">
        <x:v>8</x:v>
      </x:c>
      <x:c r="M648" s="14" t="str">
        <x:v>21:08</x:v>
      </x:c>
      <x:c r="N648" s="14" t="str">
        <x:v>否</x:v>
      </x:c>
      <x:c r="O648" s="14" t="str">
        <x:v>否</x:v>
      </x:c>
      <x:c r="P648" s="14" t="str">
        <x:v>未提供</x:v>
      </x:c>
      <x:c r="Q648" s="14" t="str">
        <x:v>未提供</x:v>
      </x:c>
      <x:c r="R648" s="14" t="str">
        <x:v>预测</x:v>
      </x:c>
      <x:c r="S648" s="14" t="str">
        <x:v>到站时间为估算值</x:v>
      </x:c>
      <x:c r="T648" t="str">
        <x:v>研究生宿舍楼发车</x:v>
      </x:c>
    </x:row>
    <x:row r="649">
      <x:c r="A649" s="14" t="str">
        <x:v>S0053-08</x:v>
      </x:c>
      <x:c r="B649" s="14" t="str">
        <x:v>S0053</x:v>
      </x:c>
      <x:c r="C649" s="14" t="str">
        <x:v>工作日</x:v>
      </x:c>
      <x:c r="D649" s="14" t="str">
        <x:v>环线1路</x:v>
      </x:c>
      <x:c r="E649" s="14" t="str">
        <x:v>第五班（夜2）</x:v>
      </x:c>
      <x:c r="F649" s="14" t="n">
        <x:v>12</x:v>
      </x:c>
      <x:c r="G649" s="14" t="str">
        <x:v>21:00</x:v>
      </x:c>
      <x:c r="H649" s="14" t="str">
        <x:v>研究生宿舍楼</x:v>
      </x:c>
      <x:c r="I649" s="14" t="str">
        <x:v>否</x:v>
      </x:c>
      <x:c r="J649" s="14" t="n">
        <x:v>8</x:v>
      </x:c>
      <x:c r="K649" s="14" t="str">
        <x:v>高超楼</x:v>
      </x:c>
      <x:c r="L649" s="14" t="n">
        <x:v>9</x:v>
      </x:c>
      <x:c r="M649" s="14" t="str">
        <x:v>21:09</x:v>
      </x:c>
      <x:c r="N649" s="14" t="str">
        <x:v>否</x:v>
      </x:c>
      <x:c r="O649" s="14" t="str">
        <x:v>否</x:v>
      </x:c>
      <x:c r="P649" s="14" t="str">
        <x:v>未提供</x:v>
      </x:c>
      <x:c r="Q649" s="14" t="str">
        <x:v>未提供</x:v>
      </x:c>
      <x:c r="R649" s="14" t="str">
        <x:v>预测</x:v>
      </x:c>
      <x:c r="S649" s="14" t="str">
        <x:v>到站时间为估算值</x:v>
      </x:c>
      <x:c r="T649" t="str">
        <x:v>研究生宿舍楼发车</x:v>
      </x:c>
    </x:row>
    <x:row r="650">
      <x:c r="A650" s="14" t="str">
        <x:v>S0053-09</x:v>
      </x:c>
      <x:c r="B650" s="14" t="str">
        <x:v>S0053</x:v>
      </x:c>
      <x:c r="C650" s="14" t="str">
        <x:v>工作日</x:v>
      </x:c>
      <x:c r="D650" s="14" t="str">
        <x:v>环线1路</x:v>
      </x:c>
      <x:c r="E650" s="14" t="str">
        <x:v>第五班（夜2）</x:v>
      </x:c>
      <x:c r="F650" s="14" t="n">
        <x:v>12</x:v>
      </x:c>
      <x:c r="G650" s="14" t="str">
        <x:v>21:00</x:v>
      </x:c>
      <x:c r="H650" s="14" t="str">
        <x:v>研究生宿舍楼</x:v>
      </x:c>
      <x:c r="I650" s="14" t="str">
        <x:v>否</x:v>
      </x:c>
      <x:c r="J650" s="14" t="n">
        <x:v>9</x:v>
      </x:c>
      <x:c r="K650" s="14" t="str">
        <x:v>理学院</x:v>
      </x:c>
      <x:c r="L650" s="14" t="n">
        <x:v>10</x:v>
      </x:c>
      <x:c r="M650" s="14" t="str">
        <x:v>21:10</x:v>
      </x:c>
      <x:c r="N650" s="14" t="str">
        <x:v>否</x:v>
      </x:c>
      <x:c r="O650" s="14" t="str">
        <x:v>否</x:v>
      </x:c>
      <x:c r="P650" s="14" t="str">
        <x:v>未提供</x:v>
      </x:c>
      <x:c r="Q650" s="14" t="str">
        <x:v>未提供</x:v>
      </x:c>
      <x:c r="R650" s="14" t="str">
        <x:v>预测</x:v>
      </x:c>
      <x:c r="S650" s="14" t="str">
        <x:v>到站时间为估算值</x:v>
      </x:c>
      <x:c r="T650" t="str">
        <x:v>研究生宿舍楼发车</x:v>
      </x:c>
    </x:row>
    <x:row r="651">
      <x:c r="A651" s="14" t="str">
        <x:v>S0053-10</x:v>
      </x:c>
      <x:c r="B651" s="14" t="str">
        <x:v>S0053</x:v>
      </x:c>
      <x:c r="C651" s="14" t="str">
        <x:v>工作日</x:v>
      </x:c>
      <x:c r="D651" s="14" t="str">
        <x:v>环线1路</x:v>
      </x:c>
      <x:c r="E651" s="14" t="str">
        <x:v>第五班（夜2）</x:v>
      </x:c>
      <x:c r="F651" s="14" t="n">
        <x:v>12</x:v>
      </x:c>
      <x:c r="G651" s="14" t="str">
        <x:v>21:00</x:v>
      </x:c>
      <x:c r="H651" s="14" t="str">
        <x:v>研究生宿舍楼</x:v>
      </x:c>
      <x:c r="I651" s="14" t="str">
        <x:v>否</x:v>
      </x:c>
      <x:c r="J651" s="14" t="n">
        <x:v>10</x:v>
      </x:c>
      <x:c r="K651" s="14" t="str">
        <x:v>二食堂</x:v>
      </x:c>
      <x:c r="L651" s="14" t="n">
        <x:v>13</x:v>
      </x:c>
      <x:c r="M651" s="14" t="str">
        <x:v>21:13</x:v>
      </x:c>
      <x:c r="N651" s="14" t="str">
        <x:v>否</x:v>
      </x:c>
      <x:c r="O651" s="14" t="str">
        <x:v>否</x:v>
      </x:c>
      <x:c r="P651" s="14" t="str">
        <x:v>未提供</x:v>
      </x:c>
      <x:c r="Q651" s="14" t="str">
        <x:v>未提供</x:v>
      </x:c>
      <x:c r="R651" s="14" t="str">
        <x:v>预测</x:v>
      </x:c>
      <x:c r="S651" s="14" t="str">
        <x:v>到站时间为估算值</x:v>
      </x:c>
      <x:c r="T651" t="str">
        <x:v>研究生宿舍楼发车</x:v>
      </x:c>
    </x:row>
    <x:row r="652">
      <x:c r="A652" s="14" t="str">
        <x:v>S0053-11</x:v>
      </x:c>
      <x:c r="B652" s="14" t="str">
        <x:v>S0053</x:v>
      </x:c>
      <x:c r="C652" s="14" t="str">
        <x:v>工作日</x:v>
      </x:c>
      <x:c r="D652" s="14" t="str">
        <x:v>环线1路</x:v>
      </x:c>
      <x:c r="E652" s="14" t="str">
        <x:v>第五班（夜2）</x:v>
      </x:c>
      <x:c r="F652" s="14" t="n">
        <x:v>12</x:v>
      </x:c>
      <x:c r="G652" s="14" t="str">
        <x:v>21:00</x:v>
      </x:c>
      <x:c r="H652" s="14" t="str">
        <x:v>研究生宿舍楼</x:v>
      </x:c>
      <x:c r="I652" s="14" t="str">
        <x:v>否</x:v>
      </x:c>
      <x:c r="J652" s="14" t="n">
        <x:v>11</x:v>
      </x:c>
      <x:c r="K652" s="14" t="str">
        <x:v>5号宿舍楼</x:v>
      </x:c>
      <x:c r="L652" s="14" t="n">
        <x:v>14</x:v>
      </x:c>
      <x:c r="M652" s="14" t="str">
        <x:v>21:14</x:v>
      </x:c>
      <x:c r="N652" s="14" t="str">
        <x:v>否</x:v>
      </x:c>
      <x:c r="O652" s="14" t="str">
        <x:v>否</x:v>
      </x:c>
      <x:c r="P652" s="14" t="str">
        <x:v>未提供</x:v>
      </x:c>
      <x:c r="Q652" s="14" t="str">
        <x:v>未提供</x:v>
      </x:c>
      <x:c r="R652" s="14" t="str">
        <x:v>预测</x:v>
      </x:c>
      <x:c r="S652" s="14" t="str">
        <x:v>到站时间为估算值</x:v>
      </x:c>
      <x:c r="T652" t="str">
        <x:v>研究生宿舍楼发车</x:v>
      </x:c>
    </x:row>
    <x:row r="653">
      <x:c r="A653" s="14" t="str">
        <x:v>S0053-12</x:v>
      </x:c>
      <x:c r="B653" s="14" t="str">
        <x:v>S0053</x:v>
      </x:c>
      <x:c r="C653" s="14" t="str">
        <x:v>工作日</x:v>
      </x:c>
      <x:c r="D653" s="14" t="str">
        <x:v>环线1路</x:v>
      </x:c>
      <x:c r="E653" s="14" t="str">
        <x:v>第五班（夜2）</x:v>
      </x:c>
      <x:c r="F653" s="14" t="n">
        <x:v>12</x:v>
      </x:c>
      <x:c r="G653" s="14" t="str">
        <x:v>21:00</x:v>
      </x:c>
      <x:c r="H653" s="14" t="str">
        <x:v>研究生宿舍楼</x:v>
      </x:c>
      <x:c r="I653" s="14" t="str">
        <x:v>否</x:v>
      </x:c>
      <x:c r="J653" s="14" t="n">
        <x:v>12</x:v>
      </x:c>
      <x:c r="K653" s="14" t="str">
        <x:v>305教学楼</x:v>
      </x:c>
      <x:c r="L653" s="14" t="n">
        <x:v>15</x:v>
      </x:c>
      <x:c r="M653" s="14" t="str">
        <x:v>21:15</x:v>
      </x:c>
      <x:c r="N653" s="14" t="str">
        <x:v>否</x:v>
      </x:c>
      <x:c r="O653" s="14" t="str">
        <x:v>否</x:v>
      </x:c>
      <x:c r="P653" s="14" t="str">
        <x:v>未提供</x:v>
      </x:c>
      <x:c r="Q653" s="14" t="str">
        <x:v>未提供</x:v>
      </x:c>
      <x:c r="R653" s="14" t="str">
        <x:v>预测</x:v>
      </x:c>
      <x:c r="S653" s="14" t="str">
        <x:v>到站时间为估算值</x:v>
      </x:c>
      <x:c r="T653" t="str">
        <x:v>研究生宿舍楼发车</x:v>
      </x:c>
    </x:row>
    <x:row r="654">
      <x:c r="A654" s="14" t="str">
        <x:v>S0053-13</x:v>
      </x:c>
      <x:c r="B654" s="14" t="str">
        <x:v>S0053</x:v>
      </x:c>
      <x:c r="C654" s="14" t="str">
        <x:v>工作日</x:v>
      </x:c>
      <x:c r="D654" s="14" t="str">
        <x:v>环线1路</x:v>
      </x:c>
      <x:c r="E654" s="14" t="str">
        <x:v>第五班（夜2）</x:v>
      </x:c>
      <x:c r="F654" s="14" t="n">
        <x:v>12</x:v>
      </x:c>
      <x:c r="G654" s="14" t="str">
        <x:v>21:00</x:v>
      </x:c>
      <x:c r="H654" s="14" t="str">
        <x:v>研究生宿舍楼</x:v>
      </x:c>
      <x:c r="I654" s="14" t="str">
        <x:v>否</x:v>
      </x:c>
      <x:c r="J654" s="14" t="n">
        <x:v>13</x:v>
      </x:c>
      <x:c r="K654" s="14" t="str">
        <x:v>研究生宿舍楼</x:v>
      </x:c>
      <x:c r="L654" s="14" t="n">
        <x:v>17</x:v>
      </x:c>
      <x:c r="M654" s="14" t="str">
        <x:v>21:17</x:v>
      </x:c>
      <x:c r="N654" s="14" t="str">
        <x:v>否</x:v>
      </x:c>
      <x:c r="O654" s="14" t="str">
        <x:v>是</x:v>
      </x:c>
      <x:c r="P654" s="14" t="str">
        <x:v>未提供</x:v>
      </x:c>
      <x:c r="Q654" s="14" t="str">
        <x:v>未提供</x:v>
      </x:c>
      <x:c r="R654" s="14" t="str">
        <x:v>预测</x:v>
      </x:c>
      <x:c r="S654" s="14" t="str">
        <x:v>到站时间为估算值</x:v>
      </x:c>
      <x:c r="T654" t="str">
        <x:v>研究生宿舍楼发车</x:v>
      </x:c>
    </x:row>
    <x:row r="655">
      <x:c r="A655" s="14" t="str">
        <x:v>S0054-01</x:v>
      </x:c>
      <x:c r="B655" s="14" t="str">
        <x:v>S0054</x:v>
      </x:c>
      <x:c r="C655" s="14" t="str">
        <x:v>工作日</x:v>
      </x:c>
      <x:c r="D655" s="14" t="str">
        <x:v>环线1路</x:v>
      </x:c>
      <x:c r="E655" s="14" t="str">
        <x:v>第五班（夜2）</x:v>
      </x:c>
      <x:c r="F655" s="14" t="n">
        <x:v>13</x:v>
      </x:c>
      <x:c r="G655" s="14" t="str">
        <x:v>21:30</x:v>
      </x:c>
      <x:c r="H655" s="14" t="str">
        <x:v>研究生宿舍楼</x:v>
      </x:c>
      <x:c r="I655" s="14" t="str">
        <x:v>否</x:v>
      </x:c>
      <x:c r="J655" s="14" t="n">
        <x:v>1</x:v>
      </x:c>
      <x:c r="K655" s="14" t="str">
        <x:v>研究生宿舍楼</x:v>
      </x:c>
      <x:c r="L655" s="14" t="n">
        <x:v>0</x:v>
      </x:c>
      <x:c r="M655" s="14" t="str">
        <x:v>21:30</x:v>
      </x:c>
      <x:c r="N655" s="14" t="str">
        <x:v>是</x:v>
      </x:c>
      <x:c r="O655" s="14" t="str">
        <x:v>否</x:v>
      </x:c>
      <x:c r="P655" s="14" t="str">
        <x:v>未提供</x:v>
      </x:c>
      <x:c r="Q655" s="14" t="str">
        <x:v>未提供</x:v>
      </x:c>
      <x:c r="R655" s="14" t="str">
        <x:v>预测</x:v>
      </x:c>
      <x:c r="S655" s="14" t="str">
        <x:v>到站时间为估算值</x:v>
      </x:c>
      <x:c r="T655" t="str">
        <x:v>研究生宿舍楼发车</x:v>
      </x:c>
    </x:row>
    <x:row r="656">
      <x:c r="A656" s="14" t="str">
        <x:v>S0054-02</x:v>
      </x:c>
      <x:c r="B656" s="14" t="str">
        <x:v>S0054</x:v>
      </x:c>
      <x:c r="C656" s="14" t="str">
        <x:v>工作日</x:v>
      </x:c>
      <x:c r="D656" s="14" t="str">
        <x:v>环线1路</x:v>
      </x:c>
      <x:c r="E656" s="14" t="str">
        <x:v>第五班（夜2）</x:v>
      </x:c>
      <x:c r="F656" s="14" t="n">
        <x:v>13</x:v>
      </x:c>
      <x:c r="G656" s="14" t="str">
        <x:v>21:30</x:v>
      </x:c>
      <x:c r="H656" s="14" t="str">
        <x:v>研究生宿舍楼</x:v>
      </x:c>
      <x:c r="I656" s="14" t="str">
        <x:v>否</x:v>
      </x:c>
      <x:c r="J656" s="14" t="n">
        <x:v>2</x:v>
      </x:c>
      <x:c r="K656" s="14" t="str">
        <x:v>东门</x:v>
      </x:c>
      <x:c r="L656" s="14" t="n">
        <x:v>1</x:v>
      </x:c>
      <x:c r="M656" s="14" t="str">
        <x:v>21:31</x:v>
      </x:c>
      <x:c r="N656" s="14" t="str">
        <x:v>否</x:v>
      </x:c>
      <x:c r="O656" s="14" t="str">
        <x:v>否</x:v>
      </x:c>
      <x:c r="P656" s="14" t="str">
        <x:v>未提供</x:v>
      </x:c>
      <x:c r="Q656" s="14" t="str">
        <x:v>未提供</x:v>
      </x:c>
      <x:c r="R656" s="14" t="str">
        <x:v>预测</x:v>
      </x:c>
      <x:c r="S656" s="14" t="str">
        <x:v>到站时间为估算值</x:v>
      </x:c>
      <x:c r="T656" t="str">
        <x:v>研究生宿舍楼发车</x:v>
      </x:c>
    </x:row>
    <x:row r="657">
      <x:c r="A657" s="14" t="str">
        <x:v>S0054-03</x:v>
      </x:c>
      <x:c r="B657" s="14" t="str">
        <x:v>S0054</x:v>
      </x:c>
      <x:c r="C657" s="14" t="str">
        <x:v>工作日</x:v>
      </x:c>
      <x:c r="D657" s="14" t="str">
        <x:v>环线1路</x:v>
      </x:c>
      <x:c r="E657" s="14" t="str">
        <x:v>第五班（夜2）</x:v>
      </x:c>
      <x:c r="F657" s="14" t="n">
        <x:v>13</x:v>
      </x:c>
      <x:c r="G657" s="14" t="str">
        <x:v>21:30</x:v>
      </x:c>
      <x:c r="H657" s="14" t="str">
        <x:v>研究生宿舍楼</x:v>
      </x:c>
      <x:c r="I657" s="14" t="str">
        <x:v>否</x:v>
      </x:c>
      <x:c r="J657" s="14" t="n">
        <x:v>3</x:v>
      </x:c>
      <x:c r="K657" s="14" t="str">
        <x:v>2号宿舍楼</x:v>
      </x:c>
      <x:c r="L657" s="14" t="n">
        <x:v>2</x:v>
      </x:c>
      <x:c r="M657" s="14" t="str">
        <x:v>21:32</x:v>
      </x:c>
      <x:c r="N657" s="14" t="str">
        <x:v>否</x:v>
      </x:c>
      <x:c r="O657" s="14" t="str">
        <x:v>否</x:v>
      </x:c>
      <x:c r="P657" s="14" t="str">
        <x:v>未提供</x:v>
      </x:c>
      <x:c r="Q657" s="14" t="str">
        <x:v>未提供</x:v>
      </x:c>
      <x:c r="R657" s="14" t="str">
        <x:v>预测</x:v>
      </x:c>
      <x:c r="S657" s="14" t="str">
        <x:v>到站时间为估算值</x:v>
      </x:c>
      <x:c r="T657" t="str">
        <x:v>研究生宿舍楼发车</x:v>
      </x:c>
    </x:row>
    <x:row r="658">
      <x:c r="A658" s="14" t="str">
        <x:v>S0054-04</x:v>
      </x:c>
      <x:c r="B658" s="14" t="str">
        <x:v>S0054</x:v>
      </x:c>
      <x:c r="C658" s="14" t="str">
        <x:v>工作日</x:v>
      </x:c>
      <x:c r="D658" s="14" t="str">
        <x:v>环线1路</x:v>
      </x:c>
      <x:c r="E658" s="14" t="str">
        <x:v>第五班（夜2）</x:v>
      </x:c>
      <x:c r="F658" s="14" t="n">
        <x:v>13</x:v>
      </x:c>
      <x:c r="G658" s="14" t="str">
        <x:v>21:30</x:v>
      </x:c>
      <x:c r="H658" s="14" t="str">
        <x:v>研究生宿舍楼</x:v>
      </x:c>
      <x:c r="I658" s="14" t="str">
        <x:v>否</x:v>
      </x:c>
      <x:c r="J658" s="14" t="n">
        <x:v>4</x:v>
      </x:c>
      <x:c r="K658" s="14" t="str">
        <x:v>军体活动中心</x:v>
      </x:c>
      <x:c r="L658" s="14" t="n">
        <x:v>3</x:v>
      </x:c>
      <x:c r="M658" s="14" t="str">
        <x:v>21:33</x:v>
      </x:c>
      <x:c r="N658" s="14" t="str">
        <x:v>否</x:v>
      </x:c>
      <x:c r="O658" s="14" t="str">
        <x:v>否</x:v>
      </x:c>
      <x:c r="P658" s="14" t="str">
        <x:v>未提供</x:v>
      </x:c>
      <x:c r="Q658" s="14" t="str">
        <x:v>未提供</x:v>
      </x:c>
      <x:c r="R658" s="14" t="str">
        <x:v>预测</x:v>
      </x:c>
      <x:c r="S658" s="14" t="str">
        <x:v>到站时间为估算值</x:v>
      </x:c>
      <x:c r="T658" t="str">
        <x:v>研究生宿舍楼发车</x:v>
      </x:c>
    </x:row>
    <x:row r="659">
      <x:c r="A659" s="14" t="str">
        <x:v>S0054-05</x:v>
      </x:c>
      <x:c r="B659" s="14" t="str">
        <x:v>S0054</x:v>
      </x:c>
      <x:c r="C659" s="14" t="str">
        <x:v>工作日</x:v>
      </x:c>
      <x:c r="D659" s="14" t="str">
        <x:v>环线1路</x:v>
      </x:c>
      <x:c r="E659" s="14" t="str">
        <x:v>第五班（夜2）</x:v>
      </x:c>
      <x:c r="F659" s="14" t="n">
        <x:v>13</x:v>
      </x:c>
      <x:c r="G659" s="14" t="str">
        <x:v>21:30</x:v>
      </x:c>
      <x:c r="H659" s="14" t="str">
        <x:v>研究生宿舍楼</x:v>
      </x:c>
      <x:c r="I659" s="14" t="str">
        <x:v>否</x:v>
      </x:c>
      <x:c r="J659" s="14" t="n">
        <x:v>5</x:v>
      </x:c>
      <x:c r="K659" s="14" t="str">
        <x:v>激光所</x:v>
      </x:c>
      <x:c r="L659" s="14" t="n">
        <x:v>5</x:v>
      </x:c>
      <x:c r="M659" s="14" t="str">
        <x:v>21:35</x:v>
      </x:c>
      <x:c r="N659" s="14" t="str">
        <x:v>否</x:v>
      </x:c>
      <x:c r="O659" s="14" t="str">
        <x:v>否</x:v>
      </x:c>
      <x:c r="P659" s="14" t="str">
        <x:v>未提供</x:v>
      </x:c>
      <x:c r="Q659" s="14" t="str">
        <x:v>未提供</x:v>
      </x:c>
      <x:c r="R659" s="14" t="str">
        <x:v>预测</x:v>
      </x:c>
      <x:c r="S659" s="14" t="str">
        <x:v>到站时间为估算值</x:v>
      </x:c>
      <x:c r="T659" t="str">
        <x:v>研究生宿舍楼发车</x:v>
      </x:c>
    </x:row>
    <x:row r="660">
      <x:c r="A660" s="14" t="str">
        <x:v>S0054-06</x:v>
      </x:c>
      <x:c r="B660" s="14" t="str">
        <x:v>S0054</x:v>
      </x:c>
      <x:c r="C660" s="14" t="str">
        <x:v>工作日</x:v>
      </x:c>
      <x:c r="D660" s="14" t="str">
        <x:v>环线1路</x:v>
      </x:c>
      <x:c r="E660" s="14" t="str">
        <x:v>第五班（夜2）</x:v>
      </x:c>
      <x:c r="F660" s="14" t="n">
        <x:v>13</x:v>
      </x:c>
      <x:c r="G660" s="14" t="str">
        <x:v>21:30</x:v>
      </x:c>
      <x:c r="H660" s="14" t="str">
        <x:v>研究生宿舍楼</x:v>
      </x:c>
      <x:c r="I660" s="14" t="str">
        <x:v>否</x:v>
      </x:c>
      <x:c r="J660" s="14" t="n">
        <x:v>6</x:v>
      </x:c>
      <x:c r="K660" s="14" t="str">
        <x:v>超算中心</x:v>
      </x:c>
      <x:c r="L660" s="14" t="n">
        <x:v>6</x:v>
      </x:c>
      <x:c r="M660" s="14" t="str">
        <x:v>21:36</x:v>
      </x:c>
      <x:c r="N660" s="14" t="str">
        <x:v>否</x:v>
      </x:c>
      <x:c r="O660" s="14" t="str">
        <x:v>否</x:v>
      </x:c>
      <x:c r="P660" s="14" t="str">
        <x:v>未提供</x:v>
      </x:c>
      <x:c r="Q660" s="14" t="str">
        <x:v>未提供</x:v>
      </x:c>
      <x:c r="R660" s="14" t="str">
        <x:v>预测</x:v>
      </x:c>
      <x:c r="S660" s="14" t="str">
        <x:v>到站时间为估算值</x:v>
      </x:c>
      <x:c r="T660" t="str">
        <x:v>研究生宿舍楼发车</x:v>
      </x:c>
    </x:row>
    <x:row r="661">
      <x:c r="A661" s="14" t="str">
        <x:v>S0054-07</x:v>
      </x:c>
      <x:c r="B661" s="14" t="str">
        <x:v>S0054</x:v>
      </x:c>
      <x:c r="C661" s="14" t="str">
        <x:v>工作日</x:v>
      </x:c>
      <x:c r="D661" s="14" t="str">
        <x:v>环线1路</x:v>
      </x:c>
      <x:c r="E661" s="14" t="str">
        <x:v>第五班（夜2）</x:v>
      </x:c>
      <x:c r="F661" s="14" t="n">
        <x:v>13</x:v>
      </x:c>
      <x:c r="G661" s="14" t="str">
        <x:v>21:30</x:v>
      </x:c>
      <x:c r="H661" s="14" t="str">
        <x:v>研究生宿舍楼</x:v>
      </x:c>
      <x:c r="I661" s="14" t="str">
        <x:v>否</x:v>
      </x:c>
      <x:c r="J661" s="14" t="n">
        <x:v>7</x:v>
      </x:c>
      <x:c r="K661" s="14" t="str">
        <x:v>北门</x:v>
      </x:c>
      <x:c r="L661" s="14" t="n">
        <x:v>8</x:v>
      </x:c>
      <x:c r="M661" s="14" t="str">
        <x:v>21:38</x:v>
      </x:c>
      <x:c r="N661" s="14" t="str">
        <x:v>否</x:v>
      </x:c>
      <x:c r="O661" s="14" t="str">
        <x:v>否</x:v>
      </x:c>
      <x:c r="P661" s="14" t="str">
        <x:v>未提供</x:v>
      </x:c>
      <x:c r="Q661" s="14" t="str">
        <x:v>未提供</x:v>
      </x:c>
      <x:c r="R661" s="14" t="str">
        <x:v>预测</x:v>
      </x:c>
      <x:c r="S661" s="14" t="str">
        <x:v>到站时间为估算值</x:v>
      </x:c>
      <x:c r="T661" t="str">
        <x:v>研究生宿舍楼发车</x:v>
      </x:c>
    </x:row>
    <x:row r="662">
      <x:c r="A662" s="14" t="str">
        <x:v>S0054-08</x:v>
      </x:c>
      <x:c r="B662" s="14" t="str">
        <x:v>S0054</x:v>
      </x:c>
      <x:c r="C662" s="14" t="str">
        <x:v>工作日</x:v>
      </x:c>
      <x:c r="D662" s="14" t="str">
        <x:v>环线1路</x:v>
      </x:c>
      <x:c r="E662" s="14" t="str">
        <x:v>第五班（夜2）</x:v>
      </x:c>
      <x:c r="F662" s="14" t="n">
        <x:v>13</x:v>
      </x:c>
      <x:c r="G662" s="14" t="str">
        <x:v>21:30</x:v>
      </x:c>
      <x:c r="H662" s="14" t="str">
        <x:v>研究生宿舍楼</x:v>
      </x:c>
      <x:c r="I662" s="14" t="str">
        <x:v>否</x:v>
      </x:c>
      <x:c r="J662" s="14" t="n">
        <x:v>8</x:v>
      </x:c>
      <x:c r="K662" s="14" t="str">
        <x:v>高超楼</x:v>
      </x:c>
      <x:c r="L662" s="14" t="n">
        <x:v>9</x:v>
      </x:c>
      <x:c r="M662" s="14" t="str">
        <x:v>21:39</x:v>
      </x:c>
      <x:c r="N662" s="14" t="str">
        <x:v>否</x:v>
      </x:c>
      <x:c r="O662" s="14" t="str">
        <x:v>否</x:v>
      </x:c>
      <x:c r="P662" s="14" t="str">
        <x:v>未提供</x:v>
      </x:c>
      <x:c r="Q662" s="14" t="str">
        <x:v>未提供</x:v>
      </x:c>
      <x:c r="R662" s="14" t="str">
        <x:v>预测</x:v>
      </x:c>
      <x:c r="S662" s="14" t="str">
        <x:v>到站时间为估算值</x:v>
      </x:c>
      <x:c r="T662" t="str">
        <x:v>研究生宿舍楼发车</x:v>
      </x:c>
    </x:row>
    <x:row r="663">
      <x:c r="A663" s="14" t="str">
        <x:v>S0054-09</x:v>
      </x:c>
      <x:c r="B663" s="14" t="str">
        <x:v>S0054</x:v>
      </x:c>
      <x:c r="C663" s="14" t="str">
        <x:v>工作日</x:v>
      </x:c>
      <x:c r="D663" s="14" t="str">
        <x:v>环线1路</x:v>
      </x:c>
      <x:c r="E663" s="14" t="str">
        <x:v>第五班（夜2）</x:v>
      </x:c>
      <x:c r="F663" s="14" t="n">
        <x:v>13</x:v>
      </x:c>
      <x:c r="G663" s="14" t="str">
        <x:v>21:30</x:v>
      </x:c>
      <x:c r="H663" s="14" t="str">
        <x:v>研究生宿舍楼</x:v>
      </x:c>
      <x:c r="I663" s="14" t="str">
        <x:v>否</x:v>
      </x:c>
      <x:c r="J663" s="14" t="n">
        <x:v>9</x:v>
      </x:c>
      <x:c r="K663" s="14" t="str">
        <x:v>理学院</x:v>
      </x:c>
      <x:c r="L663" s="14" t="n">
        <x:v>10</x:v>
      </x:c>
      <x:c r="M663" s="14" t="str">
        <x:v>21:40</x:v>
      </x:c>
      <x:c r="N663" s="14" t="str">
        <x:v>否</x:v>
      </x:c>
      <x:c r="O663" s="14" t="str">
        <x:v>否</x:v>
      </x:c>
      <x:c r="P663" s="14" t="str">
        <x:v>未提供</x:v>
      </x:c>
      <x:c r="Q663" s="14" t="str">
        <x:v>未提供</x:v>
      </x:c>
      <x:c r="R663" s="14" t="str">
        <x:v>预测</x:v>
      </x:c>
      <x:c r="S663" s="14" t="str">
        <x:v>到站时间为估算值</x:v>
      </x:c>
      <x:c r="T663" t="str">
        <x:v>研究生宿舍楼发车</x:v>
      </x:c>
    </x:row>
    <x:row r="664">
      <x:c r="A664" s="14" t="str">
        <x:v>S0054-10</x:v>
      </x:c>
      <x:c r="B664" s="14" t="str">
        <x:v>S0054</x:v>
      </x:c>
      <x:c r="C664" s="14" t="str">
        <x:v>工作日</x:v>
      </x:c>
      <x:c r="D664" s="14" t="str">
        <x:v>环线1路</x:v>
      </x:c>
      <x:c r="E664" s="14" t="str">
        <x:v>第五班（夜2）</x:v>
      </x:c>
      <x:c r="F664" s="14" t="n">
        <x:v>13</x:v>
      </x:c>
      <x:c r="G664" s="14" t="str">
        <x:v>21:30</x:v>
      </x:c>
      <x:c r="H664" s="14" t="str">
        <x:v>研究生宿舍楼</x:v>
      </x:c>
      <x:c r="I664" s="14" t="str">
        <x:v>否</x:v>
      </x:c>
      <x:c r="J664" s="14" t="n">
        <x:v>10</x:v>
      </x:c>
      <x:c r="K664" s="14" t="str">
        <x:v>二食堂</x:v>
      </x:c>
      <x:c r="L664" s="14" t="n">
        <x:v>13</x:v>
      </x:c>
      <x:c r="M664" s="14" t="str">
        <x:v>21:43</x:v>
      </x:c>
      <x:c r="N664" s="14" t="str">
        <x:v>否</x:v>
      </x:c>
      <x:c r="O664" s="14" t="str">
        <x:v>否</x:v>
      </x:c>
      <x:c r="P664" s="14" t="str">
        <x:v>未提供</x:v>
      </x:c>
      <x:c r="Q664" s="14" t="str">
        <x:v>未提供</x:v>
      </x:c>
      <x:c r="R664" s="14" t="str">
        <x:v>预测</x:v>
      </x:c>
      <x:c r="S664" s="14" t="str">
        <x:v>到站时间为估算值</x:v>
      </x:c>
      <x:c r="T664" t="str">
        <x:v>研究生宿舍楼发车</x:v>
      </x:c>
    </x:row>
    <x:row r="665">
      <x:c r="A665" s="14" t="str">
        <x:v>S0054-11</x:v>
      </x:c>
      <x:c r="B665" s="14" t="str">
        <x:v>S0054</x:v>
      </x:c>
      <x:c r="C665" s="14" t="str">
        <x:v>工作日</x:v>
      </x:c>
      <x:c r="D665" s="14" t="str">
        <x:v>环线1路</x:v>
      </x:c>
      <x:c r="E665" s="14" t="str">
        <x:v>第五班（夜2）</x:v>
      </x:c>
      <x:c r="F665" s="14" t="n">
        <x:v>13</x:v>
      </x:c>
      <x:c r="G665" s="14" t="str">
        <x:v>21:30</x:v>
      </x:c>
      <x:c r="H665" s="14" t="str">
        <x:v>研究生宿舍楼</x:v>
      </x:c>
      <x:c r="I665" s="14" t="str">
        <x:v>否</x:v>
      </x:c>
      <x:c r="J665" s="14" t="n">
        <x:v>11</x:v>
      </x:c>
      <x:c r="K665" s="14" t="str">
        <x:v>5号宿舍楼</x:v>
      </x:c>
      <x:c r="L665" s="14" t="n">
        <x:v>14</x:v>
      </x:c>
      <x:c r="M665" s="14" t="str">
        <x:v>21:44</x:v>
      </x:c>
      <x:c r="N665" s="14" t="str">
        <x:v>否</x:v>
      </x:c>
      <x:c r="O665" s="14" t="str">
        <x:v>否</x:v>
      </x:c>
      <x:c r="P665" s="14" t="str">
        <x:v>未提供</x:v>
      </x:c>
      <x:c r="Q665" s="14" t="str">
        <x:v>未提供</x:v>
      </x:c>
      <x:c r="R665" s="14" t="str">
        <x:v>预测</x:v>
      </x:c>
      <x:c r="S665" s="14" t="str">
        <x:v>到站时间为估算值</x:v>
      </x:c>
      <x:c r="T665" t="str">
        <x:v>研究生宿舍楼发车</x:v>
      </x:c>
    </x:row>
    <x:row r="666">
      <x:c r="A666" s="14" t="str">
        <x:v>S0054-12</x:v>
      </x:c>
      <x:c r="B666" s="14" t="str">
        <x:v>S0054</x:v>
      </x:c>
      <x:c r="C666" s="14" t="str">
        <x:v>工作日</x:v>
      </x:c>
      <x:c r="D666" s="14" t="str">
        <x:v>环线1路</x:v>
      </x:c>
      <x:c r="E666" s="14" t="str">
        <x:v>第五班（夜2）</x:v>
      </x:c>
      <x:c r="F666" s="14" t="n">
        <x:v>13</x:v>
      </x:c>
      <x:c r="G666" s="14" t="str">
        <x:v>21:30</x:v>
      </x:c>
      <x:c r="H666" s="14" t="str">
        <x:v>研究生宿舍楼</x:v>
      </x:c>
      <x:c r="I666" s="14" t="str">
        <x:v>否</x:v>
      </x:c>
      <x:c r="J666" s="14" t="n">
        <x:v>12</x:v>
      </x:c>
      <x:c r="K666" s="14" t="str">
        <x:v>305教学楼</x:v>
      </x:c>
      <x:c r="L666" s="14" t="n">
        <x:v>15</x:v>
      </x:c>
      <x:c r="M666" s="14" t="str">
        <x:v>21:45</x:v>
      </x:c>
      <x:c r="N666" s="14" t="str">
        <x:v>否</x:v>
      </x:c>
      <x:c r="O666" s="14" t="str">
        <x:v>否</x:v>
      </x:c>
      <x:c r="P666" s="14" t="str">
        <x:v>未提供</x:v>
      </x:c>
      <x:c r="Q666" s="14" t="str">
        <x:v>未提供</x:v>
      </x:c>
      <x:c r="R666" s="14" t="str">
        <x:v>预测</x:v>
      </x:c>
      <x:c r="S666" s="14" t="str">
        <x:v>到站时间为估算值</x:v>
      </x:c>
      <x:c r="T666" t="str">
        <x:v>研究生宿舍楼发车</x:v>
      </x:c>
    </x:row>
    <x:row r="667">
      <x:c r="A667" s="14" t="str">
        <x:v>S0054-13</x:v>
      </x:c>
      <x:c r="B667" s="14" t="str">
        <x:v>S0054</x:v>
      </x:c>
      <x:c r="C667" s="14" t="str">
        <x:v>工作日</x:v>
      </x:c>
      <x:c r="D667" s="14" t="str">
        <x:v>环线1路</x:v>
      </x:c>
      <x:c r="E667" s="14" t="str">
        <x:v>第五班（夜2）</x:v>
      </x:c>
      <x:c r="F667" s="14" t="n">
        <x:v>13</x:v>
      </x:c>
      <x:c r="G667" s="14" t="str">
        <x:v>21:30</x:v>
      </x:c>
      <x:c r="H667" s="14" t="str">
        <x:v>研究生宿舍楼</x:v>
      </x:c>
      <x:c r="I667" s="14" t="str">
        <x:v>否</x:v>
      </x:c>
      <x:c r="J667" s="14" t="n">
        <x:v>13</x:v>
      </x:c>
      <x:c r="K667" s="14" t="str">
        <x:v>研究生宿舍楼</x:v>
      </x:c>
      <x:c r="L667" s="14" t="n">
        <x:v>17</x:v>
      </x:c>
      <x:c r="M667" s="14" t="str">
        <x:v>21:47</x:v>
      </x:c>
      <x:c r="N667" s="14" t="str">
        <x:v>否</x:v>
      </x:c>
      <x:c r="O667" s="14" t="str">
        <x:v>是</x:v>
      </x:c>
      <x:c r="P667" s="14" t="str">
        <x:v>未提供</x:v>
      </x:c>
      <x:c r="Q667" s="14" t="str">
        <x:v>未提供</x:v>
      </x:c>
      <x:c r="R667" s="14" t="str">
        <x:v>预测</x:v>
      </x:c>
      <x:c r="S667" s="14" t="str">
        <x:v>到站时间为估算值</x:v>
      </x:c>
      <x:c r="T667" t="str">
        <x:v>研究生宿舍楼发车</x:v>
      </x:c>
    </x:row>
    <x:row r="668">
      <x:c r="A668" s="14" t="str">
        <x:v>S0055-01</x:v>
      </x:c>
      <x:c r="B668" s="14" t="str">
        <x:v>S0055</x:v>
      </x:c>
      <x:c r="C668" s="14" t="str">
        <x:v>工作日</x:v>
      </x:c>
      <x:c r="D668" s="14" t="str">
        <x:v>环线1路</x:v>
      </x:c>
      <x:c r="E668" s="14" t="str">
        <x:v>第五班（夜2）</x:v>
      </x:c>
      <x:c r="F668" s="14" t="n">
        <x:v>14</x:v>
      </x:c>
      <x:c r="G668" s="14" t="str">
        <x:v>22:00</x:v>
      </x:c>
      <x:c r="H668" s="14" t="str">
        <x:v>研究生宿舍楼</x:v>
      </x:c>
      <x:c r="I668" s="14" t="str">
        <x:v>否</x:v>
      </x:c>
      <x:c r="J668" s="14" t="n">
        <x:v>1</x:v>
      </x:c>
      <x:c r="K668" s="14" t="str">
        <x:v>研究生宿舍楼</x:v>
      </x:c>
      <x:c r="L668" s="14" t="n">
        <x:v>0</x:v>
      </x:c>
      <x:c r="M668" s="14" t="str">
        <x:v>22:00</x:v>
      </x:c>
      <x:c r="N668" s="14" t="str">
        <x:v>是</x:v>
      </x:c>
      <x:c r="O668" s="14" t="str">
        <x:v>否</x:v>
      </x:c>
      <x:c r="P668" s="14" t="str">
        <x:v>未提供</x:v>
      </x:c>
      <x:c r="Q668" s="14" t="str">
        <x:v>未提供</x:v>
      </x:c>
      <x:c r="R668" s="14" t="str">
        <x:v>预测</x:v>
      </x:c>
      <x:c r="S668" s="14" t="str">
        <x:v>到站时间为估算值</x:v>
      </x:c>
      <x:c r="T668" t="str">
        <x:v>研究生宿舍楼发车</x:v>
      </x:c>
    </x:row>
    <x:row r="669">
      <x:c r="A669" s="14" t="str">
        <x:v>S0055-02</x:v>
      </x:c>
      <x:c r="B669" s="14" t="str">
        <x:v>S0055</x:v>
      </x:c>
      <x:c r="C669" s="14" t="str">
        <x:v>工作日</x:v>
      </x:c>
      <x:c r="D669" s="14" t="str">
        <x:v>环线1路</x:v>
      </x:c>
      <x:c r="E669" s="14" t="str">
        <x:v>第五班（夜2）</x:v>
      </x:c>
      <x:c r="F669" s="14" t="n">
        <x:v>14</x:v>
      </x:c>
      <x:c r="G669" s="14" t="str">
        <x:v>22:00</x:v>
      </x:c>
      <x:c r="H669" s="14" t="str">
        <x:v>研究生宿舍楼</x:v>
      </x:c>
      <x:c r="I669" s="14" t="str">
        <x:v>否</x:v>
      </x:c>
      <x:c r="J669" s="14" t="n">
        <x:v>2</x:v>
      </x:c>
      <x:c r="K669" s="14" t="str">
        <x:v>东门</x:v>
      </x:c>
      <x:c r="L669" s="14" t="n">
        <x:v>1</x:v>
      </x:c>
      <x:c r="M669" s="14" t="str">
        <x:v>22:01</x:v>
      </x:c>
      <x:c r="N669" s="14" t="str">
        <x:v>否</x:v>
      </x:c>
      <x:c r="O669" s="14" t="str">
        <x:v>否</x:v>
      </x:c>
      <x:c r="P669" s="14" t="str">
        <x:v>未提供</x:v>
      </x:c>
      <x:c r="Q669" s="14" t="str">
        <x:v>未提供</x:v>
      </x:c>
      <x:c r="R669" s="14" t="str">
        <x:v>预测</x:v>
      </x:c>
      <x:c r="S669" s="14" t="str">
        <x:v>到站时间为估算值</x:v>
      </x:c>
      <x:c r="T669" t="str">
        <x:v>研究生宿舍楼发车</x:v>
      </x:c>
    </x:row>
    <x:row r="670">
      <x:c r="A670" s="14" t="str">
        <x:v>S0055-03</x:v>
      </x:c>
      <x:c r="B670" s="14" t="str">
        <x:v>S0055</x:v>
      </x:c>
      <x:c r="C670" s="14" t="str">
        <x:v>工作日</x:v>
      </x:c>
      <x:c r="D670" s="14" t="str">
        <x:v>环线1路</x:v>
      </x:c>
      <x:c r="E670" s="14" t="str">
        <x:v>第五班（夜2）</x:v>
      </x:c>
      <x:c r="F670" s="14" t="n">
        <x:v>14</x:v>
      </x:c>
      <x:c r="G670" s="14" t="str">
        <x:v>22:00</x:v>
      </x:c>
      <x:c r="H670" s="14" t="str">
        <x:v>研究生宿舍楼</x:v>
      </x:c>
      <x:c r="I670" s="14" t="str">
        <x:v>否</x:v>
      </x:c>
      <x:c r="J670" s="14" t="n">
        <x:v>3</x:v>
      </x:c>
      <x:c r="K670" s="14" t="str">
        <x:v>2号宿舍楼</x:v>
      </x:c>
      <x:c r="L670" s="14" t="n">
        <x:v>2</x:v>
      </x:c>
      <x:c r="M670" s="14" t="str">
        <x:v>22:02</x:v>
      </x:c>
      <x:c r="N670" s="14" t="str">
        <x:v>否</x:v>
      </x:c>
      <x:c r="O670" s="14" t="str">
        <x:v>否</x:v>
      </x:c>
      <x:c r="P670" s="14" t="str">
        <x:v>未提供</x:v>
      </x:c>
      <x:c r="Q670" s="14" t="str">
        <x:v>未提供</x:v>
      </x:c>
      <x:c r="R670" s="14" t="str">
        <x:v>预测</x:v>
      </x:c>
      <x:c r="S670" s="14" t="str">
        <x:v>到站时间为估算值</x:v>
      </x:c>
      <x:c r="T670" t="str">
        <x:v>研究生宿舍楼发车</x:v>
      </x:c>
    </x:row>
    <x:row r="671">
      <x:c r="A671" s="14" t="str">
        <x:v>S0055-04</x:v>
      </x:c>
      <x:c r="B671" s="14" t="str">
        <x:v>S0055</x:v>
      </x:c>
      <x:c r="C671" s="14" t="str">
        <x:v>工作日</x:v>
      </x:c>
      <x:c r="D671" s="14" t="str">
        <x:v>环线1路</x:v>
      </x:c>
      <x:c r="E671" s="14" t="str">
        <x:v>第五班（夜2）</x:v>
      </x:c>
      <x:c r="F671" s="14" t="n">
        <x:v>14</x:v>
      </x:c>
      <x:c r="G671" s="14" t="str">
        <x:v>22:00</x:v>
      </x:c>
      <x:c r="H671" s="14" t="str">
        <x:v>研究生宿舍楼</x:v>
      </x:c>
      <x:c r="I671" s="14" t="str">
        <x:v>否</x:v>
      </x:c>
      <x:c r="J671" s="14" t="n">
        <x:v>4</x:v>
      </x:c>
      <x:c r="K671" s="14" t="str">
        <x:v>军体活动中心</x:v>
      </x:c>
      <x:c r="L671" s="14" t="n">
        <x:v>3</x:v>
      </x:c>
      <x:c r="M671" s="14" t="str">
        <x:v>22:03</x:v>
      </x:c>
      <x:c r="N671" s="14" t="str">
        <x:v>否</x:v>
      </x:c>
      <x:c r="O671" s="14" t="str">
        <x:v>否</x:v>
      </x:c>
      <x:c r="P671" s="14" t="str">
        <x:v>未提供</x:v>
      </x:c>
      <x:c r="Q671" s="14" t="str">
        <x:v>未提供</x:v>
      </x:c>
      <x:c r="R671" s="14" t="str">
        <x:v>预测</x:v>
      </x:c>
      <x:c r="S671" s="14" t="str">
        <x:v>到站时间为估算值</x:v>
      </x:c>
      <x:c r="T671" t="str">
        <x:v>研究生宿舍楼发车</x:v>
      </x:c>
    </x:row>
    <x:row r="672">
      <x:c r="A672" s="14" t="str">
        <x:v>S0055-05</x:v>
      </x:c>
      <x:c r="B672" s="14" t="str">
        <x:v>S0055</x:v>
      </x:c>
      <x:c r="C672" s="14" t="str">
        <x:v>工作日</x:v>
      </x:c>
      <x:c r="D672" s="14" t="str">
        <x:v>环线1路</x:v>
      </x:c>
      <x:c r="E672" s="14" t="str">
        <x:v>第五班（夜2）</x:v>
      </x:c>
      <x:c r="F672" s="14" t="n">
        <x:v>14</x:v>
      </x:c>
      <x:c r="G672" s="14" t="str">
        <x:v>22:00</x:v>
      </x:c>
      <x:c r="H672" s="14" t="str">
        <x:v>研究生宿舍楼</x:v>
      </x:c>
      <x:c r="I672" s="14" t="str">
        <x:v>否</x:v>
      </x:c>
      <x:c r="J672" s="14" t="n">
        <x:v>5</x:v>
      </x:c>
      <x:c r="K672" s="14" t="str">
        <x:v>激光所</x:v>
      </x:c>
      <x:c r="L672" s="14" t="n">
        <x:v>5</x:v>
      </x:c>
      <x:c r="M672" s="14" t="str">
        <x:v>22:05</x:v>
      </x:c>
      <x:c r="N672" s="14" t="str">
        <x:v>否</x:v>
      </x:c>
      <x:c r="O672" s="14" t="str">
        <x:v>否</x:v>
      </x:c>
      <x:c r="P672" s="14" t="str">
        <x:v>未提供</x:v>
      </x:c>
      <x:c r="Q672" s="14" t="str">
        <x:v>未提供</x:v>
      </x:c>
      <x:c r="R672" s="14" t="str">
        <x:v>预测</x:v>
      </x:c>
      <x:c r="S672" s="14" t="str">
        <x:v>到站时间为估算值</x:v>
      </x:c>
      <x:c r="T672" t="str">
        <x:v>研究生宿舍楼发车</x:v>
      </x:c>
    </x:row>
    <x:row r="673">
      <x:c r="A673" s="14" t="str">
        <x:v>S0055-06</x:v>
      </x:c>
      <x:c r="B673" s="14" t="str">
        <x:v>S0055</x:v>
      </x:c>
      <x:c r="C673" s="14" t="str">
        <x:v>工作日</x:v>
      </x:c>
      <x:c r="D673" s="14" t="str">
        <x:v>环线1路</x:v>
      </x:c>
      <x:c r="E673" s="14" t="str">
        <x:v>第五班（夜2）</x:v>
      </x:c>
      <x:c r="F673" s="14" t="n">
        <x:v>14</x:v>
      </x:c>
      <x:c r="G673" s="14" t="str">
        <x:v>22:00</x:v>
      </x:c>
      <x:c r="H673" s="14" t="str">
        <x:v>研究生宿舍楼</x:v>
      </x:c>
      <x:c r="I673" s="14" t="str">
        <x:v>否</x:v>
      </x:c>
      <x:c r="J673" s="14" t="n">
        <x:v>6</x:v>
      </x:c>
      <x:c r="K673" s="14" t="str">
        <x:v>超算中心</x:v>
      </x:c>
      <x:c r="L673" s="14" t="n">
        <x:v>6</x:v>
      </x:c>
      <x:c r="M673" s="14" t="str">
        <x:v>22:06</x:v>
      </x:c>
      <x:c r="N673" s="14" t="str">
        <x:v>否</x:v>
      </x:c>
      <x:c r="O673" s="14" t="str">
        <x:v>否</x:v>
      </x:c>
      <x:c r="P673" s="14" t="str">
        <x:v>未提供</x:v>
      </x:c>
      <x:c r="Q673" s="14" t="str">
        <x:v>未提供</x:v>
      </x:c>
      <x:c r="R673" s="14" t="str">
        <x:v>预测</x:v>
      </x:c>
      <x:c r="S673" s="14" t="str">
        <x:v>到站时间为估算值</x:v>
      </x:c>
      <x:c r="T673" t="str">
        <x:v>研究生宿舍楼发车</x:v>
      </x:c>
    </x:row>
    <x:row r="674">
      <x:c r="A674" s="14" t="str">
        <x:v>S0055-07</x:v>
      </x:c>
      <x:c r="B674" s="14" t="str">
        <x:v>S0055</x:v>
      </x:c>
      <x:c r="C674" s="14" t="str">
        <x:v>工作日</x:v>
      </x:c>
      <x:c r="D674" s="14" t="str">
        <x:v>环线1路</x:v>
      </x:c>
      <x:c r="E674" s="14" t="str">
        <x:v>第五班（夜2）</x:v>
      </x:c>
      <x:c r="F674" s="14" t="n">
        <x:v>14</x:v>
      </x:c>
      <x:c r="G674" s="14" t="str">
        <x:v>22:00</x:v>
      </x:c>
      <x:c r="H674" s="14" t="str">
        <x:v>研究生宿舍楼</x:v>
      </x:c>
      <x:c r="I674" s="14" t="str">
        <x:v>否</x:v>
      </x:c>
      <x:c r="J674" s="14" t="n">
        <x:v>7</x:v>
      </x:c>
      <x:c r="K674" s="14" t="str">
        <x:v>北门</x:v>
      </x:c>
      <x:c r="L674" s="14" t="n">
        <x:v>8</x:v>
      </x:c>
      <x:c r="M674" s="14" t="str">
        <x:v>22:08</x:v>
      </x:c>
      <x:c r="N674" s="14" t="str">
        <x:v>否</x:v>
      </x:c>
      <x:c r="O674" s="14" t="str">
        <x:v>否</x:v>
      </x:c>
      <x:c r="P674" s="14" t="str">
        <x:v>未提供</x:v>
      </x:c>
      <x:c r="Q674" s="14" t="str">
        <x:v>未提供</x:v>
      </x:c>
      <x:c r="R674" s="14" t="str">
        <x:v>预测</x:v>
      </x:c>
      <x:c r="S674" s="14" t="str">
        <x:v>到站时间为估算值</x:v>
      </x:c>
      <x:c r="T674" t="str">
        <x:v>研究生宿舍楼发车</x:v>
      </x:c>
    </x:row>
    <x:row r="675">
      <x:c r="A675" s="14" t="str">
        <x:v>S0055-08</x:v>
      </x:c>
      <x:c r="B675" s="14" t="str">
        <x:v>S0055</x:v>
      </x:c>
      <x:c r="C675" s="14" t="str">
        <x:v>工作日</x:v>
      </x:c>
      <x:c r="D675" s="14" t="str">
        <x:v>环线1路</x:v>
      </x:c>
      <x:c r="E675" s="14" t="str">
        <x:v>第五班（夜2）</x:v>
      </x:c>
      <x:c r="F675" s="14" t="n">
        <x:v>14</x:v>
      </x:c>
      <x:c r="G675" s="14" t="str">
        <x:v>22:00</x:v>
      </x:c>
      <x:c r="H675" s="14" t="str">
        <x:v>研究生宿舍楼</x:v>
      </x:c>
      <x:c r="I675" s="14" t="str">
        <x:v>否</x:v>
      </x:c>
      <x:c r="J675" s="14" t="n">
        <x:v>8</x:v>
      </x:c>
      <x:c r="K675" s="14" t="str">
        <x:v>高超楼</x:v>
      </x:c>
      <x:c r="L675" s="14" t="n">
        <x:v>9</x:v>
      </x:c>
      <x:c r="M675" s="14" t="str">
        <x:v>22:09</x:v>
      </x:c>
      <x:c r="N675" s="14" t="str">
        <x:v>否</x:v>
      </x:c>
      <x:c r="O675" s="14" t="str">
        <x:v>否</x:v>
      </x:c>
      <x:c r="P675" s="14" t="str">
        <x:v>未提供</x:v>
      </x:c>
      <x:c r="Q675" s="14" t="str">
        <x:v>未提供</x:v>
      </x:c>
      <x:c r="R675" s="14" t="str">
        <x:v>预测</x:v>
      </x:c>
      <x:c r="S675" s="14" t="str">
        <x:v>到站时间为估算值</x:v>
      </x:c>
      <x:c r="T675" t="str">
        <x:v>研究生宿舍楼发车</x:v>
      </x:c>
    </x:row>
    <x:row r="676">
      <x:c r="A676" s="14" t="str">
        <x:v>S0055-09</x:v>
      </x:c>
      <x:c r="B676" s="14" t="str">
        <x:v>S0055</x:v>
      </x:c>
      <x:c r="C676" s="14" t="str">
        <x:v>工作日</x:v>
      </x:c>
      <x:c r="D676" s="14" t="str">
        <x:v>环线1路</x:v>
      </x:c>
      <x:c r="E676" s="14" t="str">
        <x:v>第五班（夜2）</x:v>
      </x:c>
      <x:c r="F676" s="14" t="n">
        <x:v>14</x:v>
      </x:c>
      <x:c r="G676" s="14" t="str">
        <x:v>22:00</x:v>
      </x:c>
      <x:c r="H676" s="14" t="str">
        <x:v>研究生宿舍楼</x:v>
      </x:c>
      <x:c r="I676" s="14" t="str">
        <x:v>否</x:v>
      </x:c>
      <x:c r="J676" s="14" t="n">
        <x:v>9</x:v>
      </x:c>
      <x:c r="K676" s="14" t="str">
        <x:v>理学院</x:v>
      </x:c>
      <x:c r="L676" s="14" t="n">
        <x:v>10</x:v>
      </x:c>
      <x:c r="M676" s="14" t="str">
        <x:v>22:10</x:v>
      </x:c>
      <x:c r="N676" s="14" t="str">
        <x:v>否</x:v>
      </x:c>
      <x:c r="O676" s="14" t="str">
        <x:v>否</x:v>
      </x:c>
      <x:c r="P676" s="14" t="str">
        <x:v>未提供</x:v>
      </x:c>
      <x:c r="Q676" s="14" t="str">
        <x:v>未提供</x:v>
      </x:c>
      <x:c r="R676" s="14" t="str">
        <x:v>预测</x:v>
      </x:c>
      <x:c r="S676" s="14" t="str">
        <x:v>到站时间为估算值</x:v>
      </x:c>
      <x:c r="T676" t="str">
        <x:v>研究生宿舍楼发车</x:v>
      </x:c>
    </x:row>
    <x:row r="677">
      <x:c r="A677" s="14" t="str">
        <x:v>S0055-10</x:v>
      </x:c>
      <x:c r="B677" s="14" t="str">
        <x:v>S0055</x:v>
      </x:c>
      <x:c r="C677" s="14" t="str">
        <x:v>工作日</x:v>
      </x:c>
      <x:c r="D677" s="14" t="str">
        <x:v>环线1路</x:v>
      </x:c>
      <x:c r="E677" s="14" t="str">
        <x:v>第五班（夜2）</x:v>
      </x:c>
      <x:c r="F677" s="14" t="n">
        <x:v>14</x:v>
      </x:c>
      <x:c r="G677" s="14" t="str">
        <x:v>22:00</x:v>
      </x:c>
      <x:c r="H677" s="14" t="str">
        <x:v>研究生宿舍楼</x:v>
      </x:c>
      <x:c r="I677" s="14" t="str">
        <x:v>否</x:v>
      </x:c>
      <x:c r="J677" s="14" t="n">
        <x:v>10</x:v>
      </x:c>
      <x:c r="K677" s="14" t="str">
        <x:v>二食堂</x:v>
      </x:c>
      <x:c r="L677" s="14" t="n">
        <x:v>13</x:v>
      </x:c>
      <x:c r="M677" s="14" t="str">
        <x:v>22:13</x:v>
      </x:c>
      <x:c r="N677" s="14" t="str">
        <x:v>否</x:v>
      </x:c>
      <x:c r="O677" s="14" t="str">
        <x:v>否</x:v>
      </x:c>
      <x:c r="P677" s="14" t="str">
        <x:v>未提供</x:v>
      </x:c>
      <x:c r="Q677" s="14" t="str">
        <x:v>未提供</x:v>
      </x:c>
      <x:c r="R677" s="14" t="str">
        <x:v>预测</x:v>
      </x:c>
      <x:c r="S677" s="14" t="str">
        <x:v>到站时间为估算值</x:v>
      </x:c>
      <x:c r="T677" t="str">
        <x:v>研究生宿舍楼发车</x:v>
      </x:c>
    </x:row>
    <x:row r="678">
      <x:c r="A678" s="14" t="str">
        <x:v>S0055-11</x:v>
      </x:c>
      <x:c r="B678" s="14" t="str">
        <x:v>S0055</x:v>
      </x:c>
      <x:c r="C678" s="14" t="str">
        <x:v>工作日</x:v>
      </x:c>
      <x:c r="D678" s="14" t="str">
        <x:v>环线1路</x:v>
      </x:c>
      <x:c r="E678" s="14" t="str">
        <x:v>第五班（夜2）</x:v>
      </x:c>
      <x:c r="F678" s="14" t="n">
        <x:v>14</x:v>
      </x:c>
      <x:c r="G678" s="14" t="str">
        <x:v>22:00</x:v>
      </x:c>
      <x:c r="H678" s="14" t="str">
        <x:v>研究生宿舍楼</x:v>
      </x:c>
      <x:c r="I678" s="14" t="str">
        <x:v>否</x:v>
      </x:c>
      <x:c r="J678" s="14" t="n">
        <x:v>11</x:v>
      </x:c>
      <x:c r="K678" s="14" t="str">
        <x:v>5号宿舍楼</x:v>
      </x:c>
      <x:c r="L678" s="14" t="n">
        <x:v>14</x:v>
      </x:c>
      <x:c r="M678" s="14" t="str">
        <x:v>22:14</x:v>
      </x:c>
      <x:c r="N678" s="14" t="str">
        <x:v>否</x:v>
      </x:c>
      <x:c r="O678" s="14" t="str">
        <x:v>否</x:v>
      </x:c>
      <x:c r="P678" s="14" t="str">
        <x:v>未提供</x:v>
      </x:c>
      <x:c r="Q678" s="14" t="str">
        <x:v>未提供</x:v>
      </x:c>
      <x:c r="R678" s="14" t="str">
        <x:v>预测</x:v>
      </x:c>
      <x:c r="S678" s="14" t="str">
        <x:v>到站时间为估算值</x:v>
      </x:c>
      <x:c r="T678" t="str">
        <x:v>研究生宿舍楼发车</x:v>
      </x:c>
    </x:row>
    <x:row r="679">
      <x:c r="A679" s="14" t="str">
        <x:v>S0055-12</x:v>
      </x:c>
      <x:c r="B679" s="14" t="str">
        <x:v>S0055</x:v>
      </x:c>
      <x:c r="C679" s="14" t="str">
        <x:v>工作日</x:v>
      </x:c>
      <x:c r="D679" s="14" t="str">
        <x:v>环线1路</x:v>
      </x:c>
      <x:c r="E679" s="14" t="str">
        <x:v>第五班（夜2）</x:v>
      </x:c>
      <x:c r="F679" s="14" t="n">
        <x:v>14</x:v>
      </x:c>
      <x:c r="G679" s="14" t="str">
        <x:v>22:00</x:v>
      </x:c>
      <x:c r="H679" s="14" t="str">
        <x:v>研究生宿舍楼</x:v>
      </x:c>
      <x:c r="I679" s="14" t="str">
        <x:v>否</x:v>
      </x:c>
      <x:c r="J679" s="14" t="n">
        <x:v>12</x:v>
      </x:c>
      <x:c r="K679" s="14" t="str">
        <x:v>305教学楼</x:v>
      </x:c>
      <x:c r="L679" s="14" t="n">
        <x:v>15</x:v>
      </x:c>
      <x:c r="M679" s="14" t="str">
        <x:v>22:15</x:v>
      </x:c>
      <x:c r="N679" s="14" t="str">
        <x:v>否</x:v>
      </x:c>
      <x:c r="O679" s="14" t="str">
        <x:v>否</x:v>
      </x:c>
      <x:c r="P679" s="14" t="str">
        <x:v>未提供</x:v>
      </x:c>
      <x:c r="Q679" s="14" t="str">
        <x:v>未提供</x:v>
      </x:c>
      <x:c r="R679" s="14" t="str">
        <x:v>预测</x:v>
      </x:c>
      <x:c r="S679" s="14" t="str">
        <x:v>到站时间为估算值</x:v>
      </x:c>
      <x:c r="T679" t="str">
        <x:v>研究生宿舍楼发车</x:v>
      </x:c>
    </x:row>
    <x:row r="680">
      <x:c r="A680" s="14" t="str">
        <x:v>S0055-13</x:v>
      </x:c>
      <x:c r="B680" s="14" t="str">
        <x:v>S0055</x:v>
      </x:c>
      <x:c r="C680" s="14" t="str">
        <x:v>工作日</x:v>
      </x:c>
      <x:c r="D680" s="14" t="str">
        <x:v>环线1路</x:v>
      </x:c>
      <x:c r="E680" s="14" t="str">
        <x:v>第五班（夜2）</x:v>
      </x:c>
      <x:c r="F680" s="14" t="n">
        <x:v>14</x:v>
      </x:c>
      <x:c r="G680" s="14" t="str">
        <x:v>22:00</x:v>
      </x:c>
      <x:c r="H680" s="14" t="str">
        <x:v>研究生宿舍楼</x:v>
      </x:c>
      <x:c r="I680" s="14" t="str">
        <x:v>否</x:v>
      </x:c>
      <x:c r="J680" s="14" t="n">
        <x:v>13</x:v>
      </x:c>
      <x:c r="K680" s="14" t="str">
        <x:v>研究生宿舍楼</x:v>
      </x:c>
      <x:c r="L680" s="14" t="n">
        <x:v>17</x:v>
      </x:c>
      <x:c r="M680" s="14" t="str">
        <x:v>22:17</x:v>
      </x:c>
      <x:c r="N680" s="14" t="str">
        <x:v>否</x:v>
      </x:c>
      <x:c r="O680" s="14" t="str">
        <x:v>是</x:v>
      </x:c>
      <x:c r="P680" s="14" t="str">
        <x:v>未提供</x:v>
      </x:c>
      <x:c r="Q680" s="14" t="str">
        <x:v>未提供</x:v>
      </x:c>
      <x:c r="R680" s="14" t="str">
        <x:v>预测</x:v>
      </x:c>
      <x:c r="S680" s="14" t="str">
        <x:v>到站时间为估算值</x:v>
      </x:c>
      <x:c r="T680" t="str">
        <x:v>研究生宿舍楼发车</x:v>
      </x:c>
    </x:row>
    <x:row r="681">
      <x:c r="A681" s="14" t="str">
        <x:v>S0056-01</x:v>
      </x:c>
      <x:c r="B681" s="14" t="str">
        <x:v>S0056</x:v>
      </x:c>
      <x:c r="C681" s="14" t="str">
        <x:v>工作日</x:v>
      </x:c>
      <x:c r="D681" s="14" t="str">
        <x:v>环线1路</x:v>
      </x:c>
      <x:c r="E681" s="14" t="str">
        <x:v>第五班（夜2）</x:v>
      </x:c>
      <x:c r="F681" s="14" t="n">
        <x:v>15</x:v>
      </x:c>
      <x:c r="G681" s="14" t="str">
        <x:v>22:30</x:v>
      </x:c>
      <x:c r="H681" s="14" t="str">
        <x:v>研究生宿舍楼</x:v>
      </x:c>
      <x:c r="I681" s="14" t="str">
        <x:v>否</x:v>
      </x:c>
      <x:c r="J681" s="14" t="n">
        <x:v>1</x:v>
      </x:c>
      <x:c r="K681" s="14" t="str">
        <x:v>研究生宿舍楼</x:v>
      </x:c>
      <x:c r="L681" s="14" t="n">
        <x:v>0</x:v>
      </x:c>
      <x:c r="M681" s="14" t="str">
        <x:v>22:30</x:v>
      </x:c>
      <x:c r="N681" s="14" t="str">
        <x:v>是</x:v>
      </x:c>
      <x:c r="O681" s="14" t="str">
        <x:v>否</x:v>
      </x:c>
      <x:c r="P681" s="14" t="str">
        <x:v>未提供</x:v>
      </x:c>
      <x:c r="Q681" s="14" t="str">
        <x:v>未提供</x:v>
      </x:c>
      <x:c r="R681" s="14" t="str">
        <x:v>预测</x:v>
      </x:c>
      <x:c r="S681" s="14" t="str">
        <x:v>到站时间为估算值</x:v>
      </x:c>
      <x:c r="T681" t="str">
        <x:v>研究生宿舍楼发车</x:v>
      </x:c>
    </x:row>
    <x:row r="682">
      <x:c r="A682" s="14" t="str">
        <x:v>S0056-02</x:v>
      </x:c>
      <x:c r="B682" s="14" t="str">
        <x:v>S0056</x:v>
      </x:c>
      <x:c r="C682" s="14" t="str">
        <x:v>工作日</x:v>
      </x:c>
      <x:c r="D682" s="14" t="str">
        <x:v>环线1路</x:v>
      </x:c>
      <x:c r="E682" s="14" t="str">
        <x:v>第五班（夜2）</x:v>
      </x:c>
      <x:c r="F682" s="14" t="n">
        <x:v>15</x:v>
      </x:c>
      <x:c r="G682" s="14" t="str">
        <x:v>22:30</x:v>
      </x:c>
      <x:c r="H682" s="14" t="str">
        <x:v>研究生宿舍楼</x:v>
      </x:c>
      <x:c r="I682" s="14" t="str">
        <x:v>否</x:v>
      </x:c>
      <x:c r="J682" s="14" t="n">
        <x:v>2</x:v>
      </x:c>
      <x:c r="K682" s="14" t="str">
        <x:v>东门</x:v>
      </x:c>
      <x:c r="L682" s="14" t="n">
        <x:v>1</x:v>
      </x:c>
      <x:c r="M682" s="14" t="str">
        <x:v>22:31</x:v>
      </x:c>
      <x:c r="N682" s="14" t="str">
        <x:v>否</x:v>
      </x:c>
      <x:c r="O682" s="14" t="str">
        <x:v>否</x:v>
      </x:c>
      <x:c r="P682" s="14" t="str">
        <x:v>未提供</x:v>
      </x:c>
      <x:c r="Q682" s="14" t="str">
        <x:v>未提供</x:v>
      </x:c>
      <x:c r="R682" s="14" t="str">
        <x:v>预测</x:v>
      </x:c>
      <x:c r="S682" s="14" t="str">
        <x:v>到站时间为估算值</x:v>
      </x:c>
      <x:c r="T682" t="str">
        <x:v>研究生宿舍楼发车</x:v>
      </x:c>
    </x:row>
    <x:row r="683">
      <x:c r="A683" s="14" t="str">
        <x:v>S0056-03</x:v>
      </x:c>
      <x:c r="B683" s="14" t="str">
        <x:v>S0056</x:v>
      </x:c>
      <x:c r="C683" s="14" t="str">
        <x:v>工作日</x:v>
      </x:c>
      <x:c r="D683" s="14" t="str">
        <x:v>环线1路</x:v>
      </x:c>
      <x:c r="E683" s="14" t="str">
        <x:v>第五班（夜2）</x:v>
      </x:c>
      <x:c r="F683" s="14" t="n">
        <x:v>15</x:v>
      </x:c>
      <x:c r="G683" s="14" t="str">
        <x:v>22:30</x:v>
      </x:c>
      <x:c r="H683" s="14" t="str">
        <x:v>研究生宿舍楼</x:v>
      </x:c>
      <x:c r="I683" s="14" t="str">
        <x:v>否</x:v>
      </x:c>
      <x:c r="J683" s="14" t="n">
        <x:v>3</x:v>
      </x:c>
      <x:c r="K683" s="14" t="str">
        <x:v>2号宿舍楼</x:v>
      </x:c>
      <x:c r="L683" s="14" t="n">
        <x:v>2</x:v>
      </x:c>
      <x:c r="M683" s="14" t="str">
        <x:v>22:32</x:v>
      </x:c>
      <x:c r="N683" s="14" t="str">
        <x:v>否</x:v>
      </x:c>
      <x:c r="O683" s="14" t="str">
        <x:v>否</x:v>
      </x:c>
      <x:c r="P683" s="14" t="str">
        <x:v>未提供</x:v>
      </x:c>
      <x:c r="Q683" s="14" t="str">
        <x:v>未提供</x:v>
      </x:c>
      <x:c r="R683" s="14" t="str">
        <x:v>预测</x:v>
      </x:c>
      <x:c r="S683" s="14" t="str">
        <x:v>到站时间为估算值</x:v>
      </x:c>
      <x:c r="T683" t="str">
        <x:v>研究生宿舍楼发车</x:v>
      </x:c>
    </x:row>
    <x:row r="684">
      <x:c r="A684" s="14" t="str">
        <x:v>S0056-04</x:v>
      </x:c>
      <x:c r="B684" s="14" t="str">
        <x:v>S0056</x:v>
      </x:c>
      <x:c r="C684" s="14" t="str">
        <x:v>工作日</x:v>
      </x:c>
      <x:c r="D684" s="14" t="str">
        <x:v>环线1路</x:v>
      </x:c>
      <x:c r="E684" s="14" t="str">
        <x:v>第五班（夜2）</x:v>
      </x:c>
      <x:c r="F684" s="14" t="n">
        <x:v>15</x:v>
      </x:c>
      <x:c r="G684" s="14" t="str">
        <x:v>22:30</x:v>
      </x:c>
      <x:c r="H684" s="14" t="str">
        <x:v>研究生宿舍楼</x:v>
      </x:c>
      <x:c r="I684" s="14" t="str">
        <x:v>否</x:v>
      </x:c>
      <x:c r="J684" s="14" t="n">
        <x:v>4</x:v>
      </x:c>
      <x:c r="K684" s="14" t="str">
        <x:v>军体活动中心</x:v>
      </x:c>
      <x:c r="L684" s="14" t="n">
        <x:v>3</x:v>
      </x:c>
      <x:c r="M684" s="14" t="str">
        <x:v>22:33</x:v>
      </x:c>
      <x:c r="N684" s="14" t="str">
        <x:v>否</x:v>
      </x:c>
      <x:c r="O684" s="14" t="str">
        <x:v>否</x:v>
      </x:c>
      <x:c r="P684" s="14" t="str">
        <x:v>未提供</x:v>
      </x:c>
      <x:c r="Q684" s="14" t="str">
        <x:v>未提供</x:v>
      </x:c>
      <x:c r="R684" s="14" t="str">
        <x:v>预测</x:v>
      </x:c>
      <x:c r="S684" s="14" t="str">
        <x:v>到站时间为估算值</x:v>
      </x:c>
      <x:c r="T684" t="str">
        <x:v>研究生宿舍楼发车</x:v>
      </x:c>
    </x:row>
    <x:row r="685">
      <x:c r="A685" s="14" t="str">
        <x:v>S0056-05</x:v>
      </x:c>
      <x:c r="B685" s="14" t="str">
        <x:v>S0056</x:v>
      </x:c>
      <x:c r="C685" s="14" t="str">
        <x:v>工作日</x:v>
      </x:c>
      <x:c r="D685" s="14" t="str">
        <x:v>环线1路</x:v>
      </x:c>
      <x:c r="E685" s="14" t="str">
        <x:v>第五班（夜2）</x:v>
      </x:c>
      <x:c r="F685" s="14" t="n">
        <x:v>15</x:v>
      </x:c>
      <x:c r="G685" s="14" t="str">
        <x:v>22:30</x:v>
      </x:c>
      <x:c r="H685" s="14" t="str">
        <x:v>研究生宿舍楼</x:v>
      </x:c>
      <x:c r="I685" s="14" t="str">
        <x:v>否</x:v>
      </x:c>
      <x:c r="J685" s="14" t="n">
        <x:v>5</x:v>
      </x:c>
      <x:c r="K685" s="14" t="str">
        <x:v>激光所</x:v>
      </x:c>
      <x:c r="L685" s="14" t="n">
        <x:v>5</x:v>
      </x:c>
      <x:c r="M685" s="14" t="str">
        <x:v>22:35</x:v>
      </x:c>
      <x:c r="N685" s="14" t="str">
        <x:v>否</x:v>
      </x:c>
      <x:c r="O685" s="14" t="str">
        <x:v>否</x:v>
      </x:c>
      <x:c r="P685" s="14" t="str">
        <x:v>未提供</x:v>
      </x:c>
      <x:c r="Q685" s="14" t="str">
        <x:v>未提供</x:v>
      </x:c>
      <x:c r="R685" s="14" t="str">
        <x:v>预测</x:v>
      </x:c>
      <x:c r="S685" s="14" t="str">
        <x:v>到站时间为估算值</x:v>
      </x:c>
      <x:c r="T685" t="str">
        <x:v>研究生宿舍楼发车</x:v>
      </x:c>
    </x:row>
    <x:row r="686">
      <x:c r="A686" s="14" t="str">
        <x:v>S0056-06</x:v>
      </x:c>
      <x:c r="B686" s="14" t="str">
        <x:v>S0056</x:v>
      </x:c>
      <x:c r="C686" s="14" t="str">
        <x:v>工作日</x:v>
      </x:c>
      <x:c r="D686" s="14" t="str">
        <x:v>环线1路</x:v>
      </x:c>
      <x:c r="E686" s="14" t="str">
        <x:v>第五班（夜2）</x:v>
      </x:c>
      <x:c r="F686" s="14" t="n">
        <x:v>15</x:v>
      </x:c>
      <x:c r="G686" s="14" t="str">
        <x:v>22:30</x:v>
      </x:c>
      <x:c r="H686" s="14" t="str">
        <x:v>研究生宿舍楼</x:v>
      </x:c>
      <x:c r="I686" s="14" t="str">
        <x:v>否</x:v>
      </x:c>
      <x:c r="J686" s="14" t="n">
        <x:v>6</x:v>
      </x:c>
      <x:c r="K686" s="14" t="str">
        <x:v>超算中心</x:v>
      </x:c>
      <x:c r="L686" s="14" t="n">
        <x:v>6</x:v>
      </x:c>
      <x:c r="M686" s="14" t="str">
        <x:v>22:36</x:v>
      </x:c>
      <x:c r="N686" s="14" t="str">
        <x:v>否</x:v>
      </x:c>
      <x:c r="O686" s="14" t="str">
        <x:v>否</x:v>
      </x:c>
      <x:c r="P686" s="14" t="str">
        <x:v>未提供</x:v>
      </x:c>
      <x:c r="Q686" s="14" t="str">
        <x:v>未提供</x:v>
      </x:c>
      <x:c r="R686" s="14" t="str">
        <x:v>预测</x:v>
      </x:c>
      <x:c r="S686" s="14" t="str">
        <x:v>到站时间为估算值</x:v>
      </x:c>
      <x:c r="T686" t="str">
        <x:v>研究生宿舍楼发车</x:v>
      </x:c>
    </x:row>
    <x:row r="687">
      <x:c r="A687" s="14" t="str">
        <x:v>S0056-07</x:v>
      </x:c>
      <x:c r="B687" s="14" t="str">
        <x:v>S0056</x:v>
      </x:c>
      <x:c r="C687" s="14" t="str">
        <x:v>工作日</x:v>
      </x:c>
      <x:c r="D687" s="14" t="str">
        <x:v>环线1路</x:v>
      </x:c>
      <x:c r="E687" s="14" t="str">
        <x:v>第五班（夜2）</x:v>
      </x:c>
      <x:c r="F687" s="14" t="n">
        <x:v>15</x:v>
      </x:c>
      <x:c r="G687" s="14" t="str">
        <x:v>22:30</x:v>
      </x:c>
      <x:c r="H687" s="14" t="str">
        <x:v>研究生宿舍楼</x:v>
      </x:c>
      <x:c r="I687" s="14" t="str">
        <x:v>否</x:v>
      </x:c>
      <x:c r="J687" s="14" t="n">
        <x:v>7</x:v>
      </x:c>
      <x:c r="K687" s="14" t="str">
        <x:v>北门</x:v>
      </x:c>
      <x:c r="L687" s="14" t="n">
        <x:v>8</x:v>
      </x:c>
      <x:c r="M687" s="14" t="str">
        <x:v>22:38</x:v>
      </x:c>
      <x:c r="N687" s="14" t="str">
        <x:v>否</x:v>
      </x:c>
      <x:c r="O687" s="14" t="str">
        <x:v>否</x:v>
      </x:c>
      <x:c r="P687" s="14" t="str">
        <x:v>未提供</x:v>
      </x:c>
      <x:c r="Q687" s="14" t="str">
        <x:v>未提供</x:v>
      </x:c>
      <x:c r="R687" s="14" t="str">
        <x:v>预测</x:v>
      </x:c>
      <x:c r="S687" s="14" t="str">
        <x:v>到站时间为估算值</x:v>
      </x:c>
      <x:c r="T687" t="str">
        <x:v>研究生宿舍楼发车</x:v>
      </x:c>
    </x:row>
    <x:row r="688">
      <x:c r="A688" s="14" t="str">
        <x:v>S0056-08</x:v>
      </x:c>
      <x:c r="B688" s="14" t="str">
        <x:v>S0056</x:v>
      </x:c>
      <x:c r="C688" s="14" t="str">
        <x:v>工作日</x:v>
      </x:c>
      <x:c r="D688" s="14" t="str">
        <x:v>环线1路</x:v>
      </x:c>
      <x:c r="E688" s="14" t="str">
        <x:v>第五班（夜2）</x:v>
      </x:c>
      <x:c r="F688" s="14" t="n">
        <x:v>15</x:v>
      </x:c>
      <x:c r="G688" s="14" t="str">
        <x:v>22:30</x:v>
      </x:c>
      <x:c r="H688" s="14" t="str">
        <x:v>研究生宿舍楼</x:v>
      </x:c>
      <x:c r="I688" s="14" t="str">
        <x:v>否</x:v>
      </x:c>
      <x:c r="J688" s="14" t="n">
        <x:v>8</x:v>
      </x:c>
      <x:c r="K688" s="14" t="str">
        <x:v>高超楼</x:v>
      </x:c>
      <x:c r="L688" s="14" t="n">
        <x:v>9</x:v>
      </x:c>
      <x:c r="M688" s="14" t="str">
        <x:v>22:39</x:v>
      </x:c>
      <x:c r="N688" s="14" t="str">
        <x:v>否</x:v>
      </x:c>
      <x:c r="O688" s="14" t="str">
        <x:v>否</x:v>
      </x:c>
      <x:c r="P688" s="14" t="str">
        <x:v>未提供</x:v>
      </x:c>
      <x:c r="Q688" s="14" t="str">
        <x:v>未提供</x:v>
      </x:c>
      <x:c r="R688" s="14" t="str">
        <x:v>预测</x:v>
      </x:c>
      <x:c r="S688" s="14" t="str">
        <x:v>到站时间为估算值</x:v>
      </x:c>
      <x:c r="T688" t="str">
        <x:v>研究生宿舍楼发车</x:v>
      </x:c>
    </x:row>
    <x:row r="689">
      <x:c r="A689" s="14" t="str">
        <x:v>S0056-09</x:v>
      </x:c>
      <x:c r="B689" s="14" t="str">
        <x:v>S0056</x:v>
      </x:c>
      <x:c r="C689" s="14" t="str">
        <x:v>工作日</x:v>
      </x:c>
      <x:c r="D689" s="14" t="str">
        <x:v>环线1路</x:v>
      </x:c>
      <x:c r="E689" s="14" t="str">
        <x:v>第五班（夜2）</x:v>
      </x:c>
      <x:c r="F689" s="14" t="n">
        <x:v>15</x:v>
      </x:c>
      <x:c r="G689" s="14" t="str">
        <x:v>22:30</x:v>
      </x:c>
      <x:c r="H689" s="14" t="str">
        <x:v>研究生宿舍楼</x:v>
      </x:c>
      <x:c r="I689" s="14" t="str">
        <x:v>否</x:v>
      </x:c>
      <x:c r="J689" s="14" t="n">
        <x:v>9</x:v>
      </x:c>
      <x:c r="K689" s="14" t="str">
        <x:v>理学院</x:v>
      </x:c>
      <x:c r="L689" s="14" t="n">
        <x:v>10</x:v>
      </x:c>
      <x:c r="M689" s="14" t="str">
        <x:v>22:40</x:v>
      </x:c>
      <x:c r="N689" s="14" t="str">
        <x:v>否</x:v>
      </x:c>
      <x:c r="O689" s="14" t="str">
        <x:v>否</x:v>
      </x:c>
      <x:c r="P689" s="14" t="str">
        <x:v>未提供</x:v>
      </x:c>
      <x:c r="Q689" s="14" t="str">
        <x:v>未提供</x:v>
      </x:c>
      <x:c r="R689" s="14" t="str">
        <x:v>预测</x:v>
      </x:c>
      <x:c r="S689" s="14" t="str">
        <x:v>到站时间为估算值</x:v>
      </x:c>
      <x:c r="T689" t="str">
        <x:v>研究生宿舍楼发车</x:v>
      </x:c>
    </x:row>
    <x:row r="690">
      <x:c r="A690" s="14" t="str">
        <x:v>S0056-10</x:v>
      </x:c>
      <x:c r="B690" s="14" t="str">
        <x:v>S0056</x:v>
      </x:c>
      <x:c r="C690" s="14" t="str">
        <x:v>工作日</x:v>
      </x:c>
      <x:c r="D690" s="14" t="str">
        <x:v>环线1路</x:v>
      </x:c>
      <x:c r="E690" s="14" t="str">
        <x:v>第五班（夜2）</x:v>
      </x:c>
      <x:c r="F690" s="14" t="n">
        <x:v>15</x:v>
      </x:c>
      <x:c r="G690" s="14" t="str">
        <x:v>22:30</x:v>
      </x:c>
      <x:c r="H690" s="14" t="str">
        <x:v>研究生宿舍楼</x:v>
      </x:c>
      <x:c r="I690" s="14" t="str">
        <x:v>否</x:v>
      </x:c>
      <x:c r="J690" s="14" t="n">
        <x:v>10</x:v>
      </x:c>
      <x:c r="K690" s="14" t="str">
        <x:v>二食堂</x:v>
      </x:c>
      <x:c r="L690" s="14" t="n">
        <x:v>13</x:v>
      </x:c>
      <x:c r="M690" s="14" t="str">
        <x:v>22:43</x:v>
      </x:c>
      <x:c r="N690" s="14" t="str">
        <x:v>否</x:v>
      </x:c>
      <x:c r="O690" s="14" t="str">
        <x:v>否</x:v>
      </x:c>
      <x:c r="P690" s="14" t="str">
        <x:v>未提供</x:v>
      </x:c>
      <x:c r="Q690" s="14" t="str">
        <x:v>未提供</x:v>
      </x:c>
      <x:c r="R690" s="14" t="str">
        <x:v>预测</x:v>
      </x:c>
      <x:c r="S690" s="14" t="str">
        <x:v>到站时间为估算值</x:v>
      </x:c>
      <x:c r="T690" t="str">
        <x:v>研究生宿舍楼发车</x:v>
      </x:c>
    </x:row>
    <x:row r="691">
      <x:c r="A691" s="14" t="str">
        <x:v>S0056-11</x:v>
      </x:c>
      <x:c r="B691" s="14" t="str">
        <x:v>S0056</x:v>
      </x:c>
      <x:c r="C691" s="14" t="str">
        <x:v>工作日</x:v>
      </x:c>
      <x:c r="D691" s="14" t="str">
        <x:v>环线1路</x:v>
      </x:c>
      <x:c r="E691" s="14" t="str">
        <x:v>第五班（夜2）</x:v>
      </x:c>
      <x:c r="F691" s="14" t="n">
        <x:v>15</x:v>
      </x:c>
      <x:c r="G691" s="14" t="str">
        <x:v>22:30</x:v>
      </x:c>
      <x:c r="H691" s="14" t="str">
        <x:v>研究生宿舍楼</x:v>
      </x:c>
      <x:c r="I691" s="14" t="str">
        <x:v>否</x:v>
      </x:c>
      <x:c r="J691" s="14" t="n">
        <x:v>11</x:v>
      </x:c>
      <x:c r="K691" s="14" t="str">
        <x:v>5号宿舍楼</x:v>
      </x:c>
      <x:c r="L691" s="14" t="n">
        <x:v>14</x:v>
      </x:c>
      <x:c r="M691" s="14" t="str">
        <x:v>22:44</x:v>
      </x:c>
      <x:c r="N691" s="14" t="str">
        <x:v>否</x:v>
      </x:c>
      <x:c r="O691" s="14" t="str">
        <x:v>否</x:v>
      </x:c>
      <x:c r="P691" s="14" t="str">
        <x:v>未提供</x:v>
      </x:c>
      <x:c r="Q691" s="14" t="str">
        <x:v>未提供</x:v>
      </x:c>
      <x:c r="R691" s="14" t="str">
        <x:v>预测</x:v>
      </x:c>
      <x:c r="S691" s="14" t="str">
        <x:v>到站时间为估算值</x:v>
      </x:c>
      <x:c r="T691" t="str">
        <x:v>研究生宿舍楼发车</x:v>
      </x:c>
    </x:row>
    <x:row r="692">
      <x:c r="A692" s="14" t="str">
        <x:v>S0056-12</x:v>
      </x:c>
      <x:c r="B692" s="14" t="str">
        <x:v>S0056</x:v>
      </x:c>
      <x:c r="C692" s="14" t="str">
        <x:v>工作日</x:v>
      </x:c>
      <x:c r="D692" s="14" t="str">
        <x:v>环线1路</x:v>
      </x:c>
      <x:c r="E692" s="14" t="str">
        <x:v>第五班（夜2）</x:v>
      </x:c>
      <x:c r="F692" s="14" t="n">
        <x:v>15</x:v>
      </x:c>
      <x:c r="G692" s="14" t="str">
        <x:v>22:30</x:v>
      </x:c>
      <x:c r="H692" s="14" t="str">
        <x:v>研究生宿舍楼</x:v>
      </x:c>
      <x:c r="I692" s="14" t="str">
        <x:v>否</x:v>
      </x:c>
      <x:c r="J692" s="14" t="n">
        <x:v>12</x:v>
      </x:c>
      <x:c r="K692" s="14" t="str">
        <x:v>305教学楼</x:v>
      </x:c>
      <x:c r="L692" s="14" t="n">
        <x:v>15</x:v>
      </x:c>
      <x:c r="M692" s="14" t="str">
        <x:v>22:45</x:v>
      </x:c>
      <x:c r="N692" s="14" t="str">
        <x:v>否</x:v>
      </x:c>
      <x:c r="O692" s="14" t="str">
        <x:v>否</x:v>
      </x:c>
      <x:c r="P692" s="14" t="str">
        <x:v>未提供</x:v>
      </x:c>
      <x:c r="Q692" s="14" t="str">
        <x:v>未提供</x:v>
      </x:c>
      <x:c r="R692" s="14" t="str">
        <x:v>预测</x:v>
      </x:c>
      <x:c r="S692" s="14" t="str">
        <x:v>到站时间为估算值</x:v>
      </x:c>
      <x:c r="T692" t="str">
        <x:v>研究生宿舍楼发车</x:v>
      </x:c>
    </x:row>
    <x:row r="693">
      <x:c r="A693" s="14" t="str">
        <x:v>S0056-13</x:v>
      </x:c>
      <x:c r="B693" s="14" t="str">
        <x:v>S0056</x:v>
      </x:c>
      <x:c r="C693" s="14" t="str">
        <x:v>工作日</x:v>
      </x:c>
      <x:c r="D693" s="14" t="str">
        <x:v>环线1路</x:v>
      </x:c>
      <x:c r="E693" s="14" t="str">
        <x:v>第五班（夜2）</x:v>
      </x:c>
      <x:c r="F693" s="14" t="n">
        <x:v>15</x:v>
      </x:c>
      <x:c r="G693" s="14" t="str">
        <x:v>22:30</x:v>
      </x:c>
      <x:c r="H693" s="14" t="str">
        <x:v>研究生宿舍楼</x:v>
      </x:c>
      <x:c r="I693" s="14" t="str">
        <x:v>否</x:v>
      </x:c>
      <x:c r="J693" s="14" t="n">
        <x:v>13</x:v>
      </x:c>
      <x:c r="K693" s="14" t="str">
        <x:v>研究生宿舍楼</x:v>
      </x:c>
      <x:c r="L693" s="14" t="n">
        <x:v>17</x:v>
      </x:c>
      <x:c r="M693" s="14" t="str">
        <x:v>22:47</x:v>
      </x:c>
      <x:c r="N693" s="14" t="str">
        <x:v>否</x:v>
      </x:c>
      <x:c r="O693" s="14" t="str">
        <x:v>是</x:v>
      </x:c>
      <x:c r="P693" s="14" t="str">
        <x:v>未提供</x:v>
      </x:c>
      <x:c r="Q693" s="14" t="str">
        <x:v>未提供</x:v>
      </x:c>
      <x:c r="R693" s="14" t="str">
        <x:v>预测</x:v>
      </x:c>
      <x:c r="S693" s="14" t="str">
        <x:v>到站时间为估算值</x:v>
      </x:c>
      <x:c r="T693" t="str">
        <x:v>研究生宿舍楼发车</x:v>
      </x:c>
    </x:row>
    <x:row r="694">
      <x:c r="A694" s="14" t="str">
        <x:v>S0057-01</x:v>
      </x:c>
      <x:c r="B694" s="14" t="str">
        <x:v>S0057</x:v>
      </x:c>
      <x:c r="C694" s="14" t="str">
        <x:v>工作日</x:v>
      </x:c>
      <x:c r="D694" s="14" t="str">
        <x:v>环线1路</x:v>
      </x:c>
      <x:c r="E694" s="14" t="str">
        <x:v>第四班（夜1）</x:v>
      </x:c>
      <x:c r="F694" s="14" t="n">
        <x:v>1</x:v>
      </x:c>
      <x:c r="G694" s="14" t="str">
        <x:v>14:24</x:v>
      </x:c>
      <x:c r="H694" s="14" t="str">
        <x:v>研究生宿舍楼</x:v>
      </x:c>
      <x:c r="I694" s="14" t="str">
        <x:v>否</x:v>
      </x:c>
      <x:c r="J694" s="14" t="n">
        <x:v>1</x:v>
      </x:c>
      <x:c r="K694" s="14" t="str">
        <x:v>研究生宿舍楼</x:v>
      </x:c>
      <x:c r="L694" s="14" t="n">
        <x:v>0</x:v>
      </x:c>
      <x:c r="M694" s="14" t="str">
        <x:v>14:24</x:v>
      </x:c>
      <x:c r="N694" s="14" t="str">
        <x:v>是</x:v>
      </x:c>
      <x:c r="O694" s="14" t="str">
        <x:v>否</x:v>
      </x:c>
      <x:c r="P694" s="14" t="str">
        <x:v>未提供</x:v>
      </x:c>
      <x:c r="Q694" s="14" t="str">
        <x:v>未提供</x:v>
      </x:c>
      <x:c r="R694" s="14" t="str">
        <x:v>预测</x:v>
      </x:c>
      <x:c r="S694" s="14" t="str">
        <x:v>到站时间为估算值</x:v>
      </x:c>
      <x:c r="T694" t="str">
        <x:v>研究生宿舍楼发车</x:v>
      </x:c>
    </x:row>
    <x:row r="695">
      <x:c r="A695" s="14" t="str">
        <x:v>S0057-02</x:v>
      </x:c>
      <x:c r="B695" s="14" t="str">
        <x:v>S0057</x:v>
      </x:c>
      <x:c r="C695" s="14" t="str">
        <x:v>工作日</x:v>
      </x:c>
      <x:c r="D695" s="14" t="str">
        <x:v>环线1路</x:v>
      </x:c>
      <x:c r="E695" s="14" t="str">
        <x:v>第四班（夜1）</x:v>
      </x:c>
      <x:c r="F695" s="14" t="n">
        <x:v>1</x:v>
      </x:c>
      <x:c r="G695" s="14" t="str">
        <x:v>14:24</x:v>
      </x:c>
      <x:c r="H695" s="14" t="str">
        <x:v>研究生宿舍楼</x:v>
      </x:c>
      <x:c r="I695" s="14" t="str">
        <x:v>否</x:v>
      </x:c>
      <x:c r="J695" s="14" t="n">
        <x:v>2</x:v>
      </x:c>
      <x:c r="K695" s="14" t="str">
        <x:v>东门</x:v>
      </x:c>
      <x:c r="L695" s="14" t="n">
        <x:v>1</x:v>
      </x:c>
      <x:c r="M695" s="14" t="str">
        <x:v>14:25</x:v>
      </x:c>
      <x:c r="N695" s="14" t="str">
        <x:v>否</x:v>
      </x:c>
      <x:c r="O695" s="14" t="str">
        <x:v>否</x:v>
      </x:c>
      <x:c r="P695" s="14" t="str">
        <x:v>未提供</x:v>
      </x:c>
      <x:c r="Q695" s="14" t="str">
        <x:v>未提供</x:v>
      </x:c>
      <x:c r="R695" s="14" t="str">
        <x:v>预测</x:v>
      </x:c>
      <x:c r="S695" s="14" t="str">
        <x:v>到站时间为估算值</x:v>
      </x:c>
      <x:c r="T695" t="str">
        <x:v>研究生宿舍楼发车</x:v>
      </x:c>
    </x:row>
    <x:row r="696">
      <x:c r="A696" s="14" t="str">
        <x:v>S0057-03</x:v>
      </x:c>
      <x:c r="B696" s="14" t="str">
        <x:v>S0057</x:v>
      </x:c>
      <x:c r="C696" s="14" t="str">
        <x:v>工作日</x:v>
      </x:c>
      <x:c r="D696" s="14" t="str">
        <x:v>环线1路</x:v>
      </x:c>
      <x:c r="E696" s="14" t="str">
        <x:v>第四班（夜1）</x:v>
      </x:c>
      <x:c r="F696" s="14" t="n">
        <x:v>1</x:v>
      </x:c>
      <x:c r="G696" s="14" t="str">
        <x:v>14:24</x:v>
      </x:c>
      <x:c r="H696" s="14" t="str">
        <x:v>研究生宿舍楼</x:v>
      </x:c>
      <x:c r="I696" s="14" t="str">
        <x:v>否</x:v>
      </x:c>
      <x:c r="J696" s="14" t="n">
        <x:v>3</x:v>
      </x:c>
      <x:c r="K696" s="14" t="str">
        <x:v>2号宿舍楼</x:v>
      </x:c>
      <x:c r="L696" s="14" t="n">
        <x:v>2</x:v>
      </x:c>
      <x:c r="M696" s="14" t="str">
        <x:v>14:26</x:v>
      </x:c>
      <x:c r="N696" s="14" t="str">
        <x:v>否</x:v>
      </x:c>
      <x:c r="O696" s="14" t="str">
        <x:v>否</x:v>
      </x:c>
      <x:c r="P696" s="14" t="str">
        <x:v>未提供</x:v>
      </x:c>
      <x:c r="Q696" s="14" t="str">
        <x:v>未提供</x:v>
      </x:c>
      <x:c r="R696" s="14" t="str">
        <x:v>预测</x:v>
      </x:c>
      <x:c r="S696" s="14" t="str">
        <x:v>到站时间为估算值</x:v>
      </x:c>
      <x:c r="T696" t="str">
        <x:v>研究生宿舍楼发车</x:v>
      </x:c>
    </x:row>
    <x:row r="697">
      <x:c r="A697" s="14" t="str">
        <x:v>S0057-04</x:v>
      </x:c>
      <x:c r="B697" s="14" t="str">
        <x:v>S0057</x:v>
      </x:c>
      <x:c r="C697" s="14" t="str">
        <x:v>工作日</x:v>
      </x:c>
      <x:c r="D697" s="14" t="str">
        <x:v>环线1路</x:v>
      </x:c>
      <x:c r="E697" s="14" t="str">
        <x:v>第四班（夜1）</x:v>
      </x:c>
      <x:c r="F697" s="14" t="n">
        <x:v>1</x:v>
      </x:c>
      <x:c r="G697" s="14" t="str">
        <x:v>14:24</x:v>
      </x:c>
      <x:c r="H697" s="14" t="str">
        <x:v>研究生宿舍楼</x:v>
      </x:c>
      <x:c r="I697" s="14" t="str">
        <x:v>否</x:v>
      </x:c>
      <x:c r="J697" s="14" t="n">
        <x:v>4</x:v>
      </x:c>
      <x:c r="K697" s="14" t="str">
        <x:v>军体活动中心</x:v>
      </x:c>
      <x:c r="L697" s="14" t="n">
        <x:v>3</x:v>
      </x:c>
      <x:c r="M697" s="14" t="str">
        <x:v>14:27</x:v>
      </x:c>
      <x:c r="N697" s="14" t="str">
        <x:v>否</x:v>
      </x:c>
      <x:c r="O697" s="14" t="str">
        <x:v>否</x:v>
      </x:c>
      <x:c r="P697" s="14" t="str">
        <x:v>未提供</x:v>
      </x:c>
      <x:c r="Q697" s="14" t="str">
        <x:v>未提供</x:v>
      </x:c>
      <x:c r="R697" s="14" t="str">
        <x:v>预测</x:v>
      </x:c>
      <x:c r="S697" s="14" t="str">
        <x:v>到站时间为估算值</x:v>
      </x:c>
      <x:c r="T697" t="str">
        <x:v>研究生宿舍楼发车</x:v>
      </x:c>
    </x:row>
    <x:row r="698">
      <x:c r="A698" s="14" t="str">
        <x:v>S0057-05</x:v>
      </x:c>
      <x:c r="B698" s="14" t="str">
        <x:v>S0057</x:v>
      </x:c>
      <x:c r="C698" s="14" t="str">
        <x:v>工作日</x:v>
      </x:c>
      <x:c r="D698" s="14" t="str">
        <x:v>环线1路</x:v>
      </x:c>
      <x:c r="E698" s="14" t="str">
        <x:v>第四班（夜1）</x:v>
      </x:c>
      <x:c r="F698" s="14" t="n">
        <x:v>1</x:v>
      </x:c>
      <x:c r="G698" s="14" t="str">
        <x:v>14:24</x:v>
      </x:c>
      <x:c r="H698" s="14" t="str">
        <x:v>研究生宿舍楼</x:v>
      </x:c>
      <x:c r="I698" s="14" t="str">
        <x:v>否</x:v>
      </x:c>
      <x:c r="J698" s="14" t="n">
        <x:v>5</x:v>
      </x:c>
      <x:c r="K698" s="14" t="str">
        <x:v>激光所</x:v>
      </x:c>
      <x:c r="L698" s="14" t="n">
        <x:v>5</x:v>
      </x:c>
      <x:c r="M698" s="14" t="str">
        <x:v>14:29</x:v>
      </x:c>
      <x:c r="N698" s="14" t="str">
        <x:v>否</x:v>
      </x:c>
      <x:c r="O698" s="14" t="str">
        <x:v>否</x:v>
      </x:c>
      <x:c r="P698" s="14" t="str">
        <x:v>未提供</x:v>
      </x:c>
      <x:c r="Q698" s="14" t="str">
        <x:v>未提供</x:v>
      </x:c>
      <x:c r="R698" s="14" t="str">
        <x:v>预测</x:v>
      </x:c>
      <x:c r="S698" s="14" t="str">
        <x:v>到站时间为估算值</x:v>
      </x:c>
      <x:c r="T698" t="str">
        <x:v>研究生宿舍楼发车</x:v>
      </x:c>
    </x:row>
    <x:row r="699">
      <x:c r="A699" s="14" t="str">
        <x:v>S0057-06</x:v>
      </x:c>
      <x:c r="B699" s="14" t="str">
        <x:v>S0057</x:v>
      </x:c>
      <x:c r="C699" s="14" t="str">
        <x:v>工作日</x:v>
      </x:c>
      <x:c r="D699" s="14" t="str">
        <x:v>环线1路</x:v>
      </x:c>
      <x:c r="E699" s="14" t="str">
        <x:v>第四班（夜1）</x:v>
      </x:c>
      <x:c r="F699" s="14" t="n">
        <x:v>1</x:v>
      </x:c>
      <x:c r="G699" s="14" t="str">
        <x:v>14:24</x:v>
      </x:c>
      <x:c r="H699" s="14" t="str">
        <x:v>研究生宿舍楼</x:v>
      </x:c>
      <x:c r="I699" s="14" t="str">
        <x:v>否</x:v>
      </x:c>
      <x:c r="J699" s="14" t="n">
        <x:v>6</x:v>
      </x:c>
      <x:c r="K699" s="14" t="str">
        <x:v>超算中心</x:v>
      </x:c>
      <x:c r="L699" s="14" t="n">
        <x:v>6</x:v>
      </x:c>
      <x:c r="M699" s="14" t="str">
        <x:v>14:30</x:v>
      </x:c>
      <x:c r="N699" s="14" t="str">
        <x:v>否</x:v>
      </x:c>
      <x:c r="O699" s="14" t="str">
        <x:v>否</x:v>
      </x:c>
      <x:c r="P699" s="14" t="str">
        <x:v>未提供</x:v>
      </x:c>
      <x:c r="Q699" s="14" t="str">
        <x:v>未提供</x:v>
      </x:c>
      <x:c r="R699" s="14" t="str">
        <x:v>预测</x:v>
      </x:c>
      <x:c r="S699" s="14" t="str">
        <x:v>到站时间为估算值</x:v>
      </x:c>
      <x:c r="T699" t="str">
        <x:v>研究生宿舍楼发车</x:v>
      </x:c>
    </x:row>
    <x:row r="700">
      <x:c r="A700" s="14" t="str">
        <x:v>S0057-07</x:v>
      </x:c>
      <x:c r="B700" s="14" t="str">
        <x:v>S0057</x:v>
      </x:c>
      <x:c r="C700" s="14" t="str">
        <x:v>工作日</x:v>
      </x:c>
      <x:c r="D700" s="14" t="str">
        <x:v>环线1路</x:v>
      </x:c>
      <x:c r="E700" s="14" t="str">
        <x:v>第四班（夜1）</x:v>
      </x:c>
      <x:c r="F700" s="14" t="n">
        <x:v>1</x:v>
      </x:c>
      <x:c r="G700" s="14" t="str">
        <x:v>14:24</x:v>
      </x:c>
      <x:c r="H700" s="14" t="str">
        <x:v>研究生宿舍楼</x:v>
      </x:c>
      <x:c r="I700" s="14" t="str">
        <x:v>否</x:v>
      </x:c>
      <x:c r="J700" s="14" t="n">
        <x:v>7</x:v>
      </x:c>
      <x:c r="K700" s="14" t="str">
        <x:v>北门</x:v>
      </x:c>
      <x:c r="L700" s="14" t="n">
        <x:v>8</x:v>
      </x:c>
      <x:c r="M700" s="14" t="str">
        <x:v>14:32</x:v>
      </x:c>
      <x:c r="N700" s="14" t="str">
        <x:v>否</x:v>
      </x:c>
      <x:c r="O700" s="14" t="str">
        <x:v>否</x:v>
      </x:c>
      <x:c r="P700" s="14" t="str">
        <x:v>未提供</x:v>
      </x:c>
      <x:c r="Q700" s="14" t="str">
        <x:v>未提供</x:v>
      </x:c>
      <x:c r="R700" s="14" t="str">
        <x:v>预测</x:v>
      </x:c>
      <x:c r="S700" s="14" t="str">
        <x:v>到站时间为估算值</x:v>
      </x:c>
      <x:c r="T700" t="str">
        <x:v>研究生宿舍楼发车</x:v>
      </x:c>
    </x:row>
    <x:row r="701">
      <x:c r="A701" s="14" t="str">
        <x:v>S0057-08</x:v>
      </x:c>
      <x:c r="B701" s="14" t="str">
        <x:v>S0057</x:v>
      </x:c>
      <x:c r="C701" s="14" t="str">
        <x:v>工作日</x:v>
      </x:c>
      <x:c r="D701" s="14" t="str">
        <x:v>环线1路</x:v>
      </x:c>
      <x:c r="E701" s="14" t="str">
        <x:v>第四班（夜1）</x:v>
      </x:c>
      <x:c r="F701" s="14" t="n">
        <x:v>1</x:v>
      </x:c>
      <x:c r="G701" s="14" t="str">
        <x:v>14:24</x:v>
      </x:c>
      <x:c r="H701" s="14" t="str">
        <x:v>研究生宿舍楼</x:v>
      </x:c>
      <x:c r="I701" s="14" t="str">
        <x:v>否</x:v>
      </x:c>
      <x:c r="J701" s="14" t="n">
        <x:v>8</x:v>
      </x:c>
      <x:c r="K701" s="14" t="str">
        <x:v>高超楼</x:v>
      </x:c>
      <x:c r="L701" s="14" t="n">
        <x:v>9</x:v>
      </x:c>
      <x:c r="M701" s="14" t="str">
        <x:v>14:33</x:v>
      </x:c>
      <x:c r="N701" s="14" t="str">
        <x:v>否</x:v>
      </x:c>
      <x:c r="O701" s="14" t="str">
        <x:v>否</x:v>
      </x:c>
      <x:c r="P701" s="14" t="str">
        <x:v>未提供</x:v>
      </x:c>
      <x:c r="Q701" s="14" t="str">
        <x:v>未提供</x:v>
      </x:c>
      <x:c r="R701" s="14" t="str">
        <x:v>预测</x:v>
      </x:c>
      <x:c r="S701" s="14" t="str">
        <x:v>到站时间为估算值</x:v>
      </x:c>
      <x:c r="T701" t="str">
        <x:v>研究生宿舍楼发车</x:v>
      </x:c>
    </x:row>
    <x:row r="702">
      <x:c r="A702" s="14" t="str">
        <x:v>S0057-09</x:v>
      </x:c>
      <x:c r="B702" s="14" t="str">
        <x:v>S0057</x:v>
      </x:c>
      <x:c r="C702" s="14" t="str">
        <x:v>工作日</x:v>
      </x:c>
      <x:c r="D702" s="14" t="str">
        <x:v>环线1路</x:v>
      </x:c>
      <x:c r="E702" s="14" t="str">
        <x:v>第四班（夜1）</x:v>
      </x:c>
      <x:c r="F702" s="14" t="n">
        <x:v>1</x:v>
      </x:c>
      <x:c r="G702" s="14" t="str">
        <x:v>14:24</x:v>
      </x:c>
      <x:c r="H702" s="14" t="str">
        <x:v>研究生宿舍楼</x:v>
      </x:c>
      <x:c r="I702" s="14" t="str">
        <x:v>否</x:v>
      </x:c>
      <x:c r="J702" s="14" t="n">
        <x:v>9</x:v>
      </x:c>
      <x:c r="K702" s="14" t="str">
        <x:v>理学院</x:v>
      </x:c>
      <x:c r="L702" s="14" t="n">
        <x:v>10</x:v>
      </x:c>
      <x:c r="M702" s="14" t="str">
        <x:v>14:34</x:v>
      </x:c>
      <x:c r="N702" s="14" t="str">
        <x:v>否</x:v>
      </x:c>
      <x:c r="O702" s="14" t="str">
        <x:v>否</x:v>
      </x:c>
      <x:c r="P702" s="14" t="str">
        <x:v>未提供</x:v>
      </x:c>
      <x:c r="Q702" s="14" t="str">
        <x:v>未提供</x:v>
      </x:c>
      <x:c r="R702" s="14" t="str">
        <x:v>预测</x:v>
      </x:c>
      <x:c r="S702" s="14" t="str">
        <x:v>到站时间为估算值</x:v>
      </x:c>
      <x:c r="T702" t="str">
        <x:v>研究生宿舍楼发车</x:v>
      </x:c>
    </x:row>
    <x:row r="703">
      <x:c r="A703" s="14" t="str">
        <x:v>S0057-10</x:v>
      </x:c>
      <x:c r="B703" s="14" t="str">
        <x:v>S0057</x:v>
      </x:c>
      <x:c r="C703" s="14" t="str">
        <x:v>工作日</x:v>
      </x:c>
      <x:c r="D703" s="14" t="str">
        <x:v>环线1路</x:v>
      </x:c>
      <x:c r="E703" s="14" t="str">
        <x:v>第四班（夜1）</x:v>
      </x:c>
      <x:c r="F703" s="14" t="n">
        <x:v>1</x:v>
      </x:c>
      <x:c r="G703" s="14" t="str">
        <x:v>14:24</x:v>
      </x:c>
      <x:c r="H703" s="14" t="str">
        <x:v>研究生宿舍楼</x:v>
      </x:c>
      <x:c r="I703" s="14" t="str">
        <x:v>否</x:v>
      </x:c>
      <x:c r="J703" s="14" t="n">
        <x:v>10</x:v>
      </x:c>
      <x:c r="K703" s="14" t="str">
        <x:v>二食堂</x:v>
      </x:c>
      <x:c r="L703" s="14" t="n">
        <x:v>13</x:v>
      </x:c>
      <x:c r="M703" s="14" t="str">
        <x:v>14:37</x:v>
      </x:c>
      <x:c r="N703" s="14" t="str">
        <x:v>否</x:v>
      </x:c>
      <x:c r="O703" s="14" t="str">
        <x:v>否</x:v>
      </x:c>
      <x:c r="P703" s="14" t="str">
        <x:v>未提供</x:v>
      </x:c>
      <x:c r="Q703" s="14" t="str">
        <x:v>未提供</x:v>
      </x:c>
      <x:c r="R703" s="14" t="str">
        <x:v>预测</x:v>
      </x:c>
      <x:c r="S703" s="14" t="str">
        <x:v>到站时间为估算值</x:v>
      </x:c>
      <x:c r="T703" t="str">
        <x:v>研究生宿舍楼发车</x:v>
      </x:c>
    </x:row>
    <x:row r="704">
      <x:c r="A704" s="14" t="str">
        <x:v>S0057-11</x:v>
      </x:c>
      <x:c r="B704" s="14" t="str">
        <x:v>S0057</x:v>
      </x:c>
      <x:c r="C704" s="14" t="str">
        <x:v>工作日</x:v>
      </x:c>
      <x:c r="D704" s="14" t="str">
        <x:v>环线1路</x:v>
      </x:c>
      <x:c r="E704" s="14" t="str">
        <x:v>第四班（夜1）</x:v>
      </x:c>
      <x:c r="F704" s="14" t="n">
        <x:v>1</x:v>
      </x:c>
      <x:c r="G704" s="14" t="str">
        <x:v>14:24</x:v>
      </x:c>
      <x:c r="H704" s="14" t="str">
        <x:v>研究生宿舍楼</x:v>
      </x:c>
      <x:c r="I704" s="14" t="str">
        <x:v>否</x:v>
      </x:c>
      <x:c r="J704" s="14" t="n">
        <x:v>11</x:v>
      </x:c>
      <x:c r="K704" s="14" t="str">
        <x:v>5号宿舍楼</x:v>
      </x:c>
      <x:c r="L704" s="14" t="n">
        <x:v>14</x:v>
      </x:c>
      <x:c r="M704" s="14" t="str">
        <x:v>14:38</x:v>
      </x:c>
      <x:c r="N704" s="14" t="str">
        <x:v>否</x:v>
      </x:c>
      <x:c r="O704" s="14" t="str">
        <x:v>否</x:v>
      </x:c>
      <x:c r="P704" s="14" t="str">
        <x:v>未提供</x:v>
      </x:c>
      <x:c r="Q704" s="14" t="str">
        <x:v>未提供</x:v>
      </x:c>
      <x:c r="R704" s="14" t="str">
        <x:v>预测</x:v>
      </x:c>
      <x:c r="S704" s="14" t="str">
        <x:v>到站时间为估算值</x:v>
      </x:c>
      <x:c r="T704" t="str">
        <x:v>研究生宿舍楼发车</x:v>
      </x:c>
    </x:row>
    <x:row r="705">
      <x:c r="A705" s="14" t="str">
        <x:v>S0057-12</x:v>
      </x:c>
      <x:c r="B705" s="14" t="str">
        <x:v>S0057</x:v>
      </x:c>
      <x:c r="C705" s="14" t="str">
        <x:v>工作日</x:v>
      </x:c>
      <x:c r="D705" s="14" t="str">
        <x:v>环线1路</x:v>
      </x:c>
      <x:c r="E705" s="14" t="str">
        <x:v>第四班（夜1）</x:v>
      </x:c>
      <x:c r="F705" s="14" t="n">
        <x:v>1</x:v>
      </x:c>
      <x:c r="G705" s="14" t="str">
        <x:v>14:24</x:v>
      </x:c>
      <x:c r="H705" s="14" t="str">
        <x:v>研究生宿舍楼</x:v>
      </x:c>
      <x:c r="I705" s="14" t="str">
        <x:v>否</x:v>
      </x:c>
      <x:c r="J705" s="14" t="n">
        <x:v>12</x:v>
      </x:c>
      <x:c r="K705" s="14" t="str">
        <x:v>305教学楼</x:v>
      </x:c>
      <x:c r="L705" s="14" t="n">
        <x:v>15</x:v>
      </x:c>
      <x:c r="M705" s="14" t="str">
        <x:v>14:39</x:v>
      </x:c>
      <x:c r="N705" s="14" t="str">
        <x:v>否</x:v>
      </x:c>
      <x:c r="O705" s="14" t="str">
        <x:v>否</x:v>
      </x:c>
      <x:c r="P705" s="14" t="str">
        <x:v>未提供</x:v>
      </x:c>
      <x:c r="Q705" s="14" t="str">
        <x:v>未提供</x:v>
      </x:c>
      <x:c r="R705" s="14" t="str">
        <x:v>预测</x:v>
      </x:c>
      <x:c r="S705" s="14" t="str">
        <x:v>到站时间为估算值</x:v>
      </x:c>
      <x:c r="T705" t="str">
        <x:v>研究生宿舍楼发车</x:v>
      </x:c>
    </x:row>
    <x:row r="706">
      <x:c r="A706" s="14" t="str">
        <x:v>S0057-13</x:v>
      </x:c>
      <x:c r="B706" s="14" t="str">
        <x:v>S0057</x:v>
      </x:c>
      <x:c r="C706" s="14" t="str">
        <x:v>工作日</x:v>
      </x:c>
      <x:c r="D706" s="14" t="str">
        <x:v>环线1路</x:v>
      </x:c>
      <x:c r="E706" s="14" t="str">
        <x:v>第四班（夜1）</x:v>
      </x:c>
      <x:c r="F706" s="14" t="n">
        <x:v>1</x:v>
      </x:c>
      <x:c r="G706" s="14" t="str">
        <x:v>14:24</x:v>
      </x:c>
      <x:c r="H706" s="14" t="str">
        <x:v>研究生宿舍楼</x:v>
      </x:c>
      <x:c r="I706" s="14" t="str">
        <x:v>否</x:v>
      </x:c>
      <x:c r="J706" s="14" t="n">
        <x:v>13</x:v>
      </x:c>
      <x:c r="K706" s="14" t="str">
        <x:v>研究生宿舍楼</x:v>
      </x:c>
      <x:c r="L706" s="14" t="n">
        <x:v>17</x:v>
      </x:c>
      <x:c r="M706" s="14" t="str">
        <x:v>14:41</x:v>
      </x:c>
      <x:c r="N706" s="14" t="str">
        <x:v>否</x:v>
      </x:c>
      <x:c r="O706" s="14" t="str">
        <x:v>是</x:v>
      </x:c>
      <x:c r="P706" s="14" t="str">
        <x:v>未提供</x:v>
      </x:c>
      <x:c r="Q706" s="14" t="str">
        <x:v>未提供</x:v>
      </x:c>
      <x:c r="R706" s="14" t="str">
        <x:v>预测</x:v>
      </x:c>
      <x:c r="S706" s="14" t="str">
        <x:v>到站时间为估算值</x:v>
      </x:c>
      <x:c r="T706" t="str">
        <x:v>研究生宿舍楼发车</x:v>
      </x:c>
    </x:row>
    <x:row r="707">
      <x:c r="A707" s="14" t="str">
        <x:v>S0058-01</x:v>
      </x:c>
      <x:c r="B707" s="14" t="str">
        <x:v>S0058</x:v>
      </x:c>
      <x:c r="C707" s="14" t="str">
        <x:v>工作日</x:v>
      </x:c>
      <x:c r="D707" s="14" t="str">
        <x:v>环线1路</x:v>
      </x:c>
      <x:c r="E707" s="14" t="str">
        <x:v>第四班（夜1）</x:v>
      </x:c>
      <x:c r="F707" s="14" t="n">
        <x:v>2</x:v>
      </x:c>
      <x:c r="G707" s="14" t="str">
        <x:v>15:00</x:v>
      </x:c>
      <x:c r="H707" s="14" t="str">
        <x:v>研究生宿舍楼</x:v>
      </x:c>
      <x:c r="I707" s="14" t="str">
        <x:v>否</x:v>
      </x:c>
      <x:c r="J707" s="14" t="n">
        <x:v>1</x:v>
      </x:c>
      <x:c r="K707" s="14" t="str">
        <x:v>研究生宿舍楼</x:v>
      </x:c>
      <x:c r="L707" s="14" t="n">
        <x:v>0</x:v>
      </x:c>
      <x:c r="M707" s="14" t="str">
        <x:v>15:00</x:v>
      </x:c>
      <x:c r="N707" s="14" t="str">
        <x:v>是</x:v>
      </x:c>
      <x:c r="O707" s="14" t="str">
        <x:v>否</x:v>
      </x:c>
      <x:c r="P707" s="14" t="str">
        <x:v>未提供</x:v>
      </x:c>
      <x:c r="Q707" s="14" t="str">
        <x:v>未提供</x:v>
      </x:c>
      <x:c r="R707" s="14" t="str">
        <x:v>预测</x:v>
      </x:c>
      <x:c r="S707" s="14" t="str">
        <x:v>到站时间为估算值</x:v>
      </x:c>
      <x:c r="T707" t="str">
        <x:v>研究生宿舍楼发车</x:v>
      </x:c>
    </x:row>
    <x:row r="708">
      <x:c r="A708" s="14" t="str">
        <x:v>S0058-02</x:v>
      </x:c>
      <x:c r="B708" s="14" t="str">
        <x:v>S0058</x:v>
      </x:c>
      <x:c r="C708" s="14" t="str">
        <x:v>工作日</x:v>
      </x:c>
      <x:c r="D708" s="14" t="str">
        <x:v>环线1路</x:v>
      </x:c>
      <x:c r="E708" s="14" t="str">
        <x:v>第四班（夜1）</x:v>
      </x:c>
      <x:c r="F708" s="14" t="n">
        <x:v>2</x:v>
      </x:c>
      <x:c r="G708" s="14" t="str">
        <x:v>15:00</x:v>
      </x:c>
      <x:c r="H708" s="14" t="str">
        <x:v>研究生宿舍楼</x:v>
      </x:c>
      <x:c r="I708" s="14" t="str">
        <x:v>否</x:v>
      </x:c>
      <x:c r="J708" s="14" t="n">
        <x:v>2</x:v>
      </x:c>
      <x:c r="K708" s="14" t="str">
        <x:v>东门</x:v>
      </x:c>
      <x:c r="L708" s="14" t="n">
        <x:v>1</x:v>
      </x:c>
      <x:c r="M708" s="14" t="str">
        <x:v>15:01</x:v>
      </x:c>
      <x:c r="N708" s="14" t="str">
        <x:v>否</x:v>
      </x:c>
      <x:c r="O708" s="14" t="str">
        <x:v>否</x:v>
      </x:c>
      <x:c r="P708" s="14" t="str">
        <x:v>未提供</x:v>
      </x:c>
      <x:c r="Q708" s="14" t="str">
        <x:v>未提供</x:v>
      </x:c>
      <x:c r="R708" s="14" t="str">
        <x:v>预测</x:v>
      </x:c>
      <x:c r="S708" s="14" t="str">
        <x:v>到站时间为估算值</x:v>
      </x:c>
      <x:c r="T708" t="str">
        <x:v>研究生宿舍楼发车</x:v>
      </x:c>
    </x:row>
    <x:row r="709">
      <x:c r="A709" s="14" t="str">
        <x:v>S0058-03</x:v>
      </x:c>
      <x:c r="B709" s="14" t="str">
        <x:v>S0058</x:v>
      </x:c>
      <x:c r="C709" s="14" t="str">
        <x:v>工作日</x:v>
      </x:c>
      <x:c r="D709" s="14" t="str">
        <x:v>环线1路</x:v>
      </x:c>
      <x:c r="E709" s="14" t="str">
        <x:v>第四班（夜1）</x:v>
      </x:c>
      <x:c r="F709" s="14" t="n">
        <x:v>2</x:v>
      </x:c>
      <x:c r="G709" s="14" t="str">
        <x:v>15:00</x:v>
      </x:c>
      <x:c r="H709" s="14" t="str">
        <x:v>研究生宿舍楼</x:v>
      </x:c>
      <x:c r="I709" s="14" t="str">
        <x:v>否</x:v>
      </x:c>
      <x:c r="J709" s="14" t="n">
        <x:v>3</x:v>
      </x:c>
      <x:c r="K709" s="14" t="str">
        <x:v>2号宿舍楼</x:v>
      </x:c>
      <x:c r="L709" s="14" t="n">
        <x:v>2</x:v>
      </x:c>
      <x:c r="M709" s="14" t="str">
        <x:v>15:02</x:v>
      </x:c>
      <x:c r="N709" s="14" t="str">
        <x:v>否</x:v>
      </x:c>
      <x:c r="O709" s="14" t="str">
        <x:v>否</x:v>
      </x:c>
      <x:c r="P709" s="14" t="str">
        <x:v>未提供</x:v>
      </x:c>
      <x:c r="Q709" s="14" t="str">
        <x:v>未提供</x:v>
      </x:c>
      <x:c r="R709" s="14" t="str">
        <x:v>预测</x:v>
      </x:c>
      <x:c r="S709" s="14" t="str">
        <x:v>到站时间为估算值</x:v>
      </x:c>
      <x:c r="T709" t="str">
        <x:v>研究生宿舍楼发车</x:v>
      </x:c>
    </x:row>
    <x:row r="710">
      <x:c r="A710" s="14" t="str">
        <x:v>S0058-04</x:v>
      </x:c>
      <x:c r="B710" s="14" t="str">
        <x:v>S0058</x:v>
      </x:c>
      <x:c r="C710" s="14" t="str">
        <x:v>工作日</x:v>
      </x:c>
      <x:c r="D710" s="14" t="str">
        <x:v>环线1路</x:v>
      </x:c>
      <x:c r="E710" s="14" t="str">
        <x:v>第四班（夜1）</x:v>
      </x:c>
      <x:c r="F710" s="14" t="n">
        <x:v>2</x:v>
      </x:c>
      <x:c r="G710" s="14" t="str">
        <x:v>15:00</x:v>
      </x:c>
      <x:c r="H710" s="14" t="str">
        <x:v>研究生宿舍楼</x:v>
      </x:c>
      <x:c r="I710" s="14" t="str">
        <x:v>否</x:v>
      </x:c>
      <x:c r="J710" s="14" t="n">
        <x:v>4</x:v>
      </x:c>
      <x:c r="K710" s="14" t="str">
        <x:v>军体活动中心</x:v>
      </x:c>
      <x:c r="L710" s="14" t="n">
        <x:v>3</x:v>
      </x:c>
      <x:c r="M710" s="14" t="str">
        <x:v>15:03</x:v>
      </x:c>
      <x:c r="N710" s="14" t="str">
        <x:v>否</x:v>
      </x:c>
      <x:c r="O710" s="14" t="str">
        <x:v>否</x:v>
      </x:c>
      <x:c r="P710" s="14" t="str">
        <x:v>未提供</x:v>
      </x:c>
      <x:c r="Q710" s="14" t="str">
        <x:v>未提供</x:v>
      </x:c>
      <x:c r="R710" s="14" t="str">
        <x:v>预测</x:v>
      </x:c>
      <x:c r="S710" s="14" t="str">
        <x:v>到站时间为估算值</x:v>
      </x:c>
      <x:c r="T710" t="str">
        <x:v>研究生宿舍楼发车</x:v>
      </x:c>
    </x:row>
    <x:row r="711">
      <x:c r="A711" s="14" t="str">
        <x:v>S0058-05</x:v>
      </x:c>
      <x:c r="B711" s="14" t="str">
        <x:v>S0058</x:v>
      </x:c>
      <x:c r="C711" s="14" t="str">
        <x:v>工作日</x:v>
      </x:c>
      <x:c r="D711" s="14" t="str">
        <x:v>环线1路</x:v>
      </x:c>
      <x:c r="E711" s="14" t="str">
        <x:v>第四班（夜1）</x:v>
      </x:c>
      <x:c r="F711" s="14" t="n">
        <x:v>2</x:v>
      </x:c>
      <x:c r="G711" s="14" t="str">
        <x:v>15:00</x:v>
      </x:c>
      <x:c r="H711" s="14" t="str">
        <x:v>研究生宿舍楼</x:v>
      </x:c>
      <x:c r="I711" s="14" t="str">
        <x:v>否</x:v>
      </x:c>
      <x:c r="J711" s="14" t="n">
        <x:v>5</x:v>
      </x:c>
      <x:c r="K711" s="14" t="str">
        <x:v>激光所</x:v>
      </x:c>
      <x:c r="L711" s="14" t="n">
        <x:v>5</x:v>
      </x:c>
      <x:c r="M711" s="14" t="str">
        <x:v>15:05</x:v>
      </x:c>
      <x:c r="N711" s="14" t="str">
        <x:v>否</x:v>
      </x:c>
      <x:c r="O711" s="14" t="str">
        <x:v>否</x:v>
      </x:c>
      <x:c r="P711" s="14" t="str">
        <x:v>未提供</x:v>
      </x:c>
      <x:c r="Q711" s="14" t="str">
        <x:v>未提供</x:v>
      </x:c>
      <x:c r="R711" s="14" t="str">
        <x:v>预测</x:v>
      </x:c>
      <x:c r="S711" s="14" t="str">
        <x:v>到站时间为估算值</x:v>
      </x:c>
      <x:c r="T711" t="str">
        <x:v>研究生宿舍楼发车</x:v>
      </x:c>
    </x:row>
    <x:row r="712">
      <x:c r="A712" s="14" t="str">
        <x:v>S0058-06</x:v>
      </x:c>
      <x:c r="B712" s="14" t="str">
        <x:v>S0058</x:v>
      </x:c>
      <x:c r="C712" s="14" t="str">
        <x:v>工作日</x:v>
      </x:c>
      <x:c r="D712" s="14" t="str">
        <x:v>环线1路</x:v>
      </x:c>
      <x:c r="E712" s="14" t="str">
        <x:v>第四班（夜1）</x:v>
      </x:c>
      <x:c r="F712" s="14" t="n">
        <x:v>2</x:v>
      </x:c>
      <x:c r="G712" s="14" t="str">
        <x:v>15:00</x:v>
      </x:c>
      <x:c r="H712" s="14" t="str">
        <x:v>研究生宿舍楼</x:v>
      </x:c>
      <x:c r="I712" s="14" t="str">
        <x:v>否</x:v>
      </x:c>
      <x:c r="J712" s="14" t="n">
        <x:v>6</x:v>
      </x:c>
      <x:c r="K712" s="14" t="str">
        <x:v>超算中心</x:v>
      </x:c>
      <x:c r="L712" s="14" t="n">
        <x:v>6</x:v>
      </x:c>
      <x:c r="M712" s="14" t="str">
        <x:v>15:06</x:v>
      </x:c>
      <x:c r="N712" s="14" t="str">
        <x:v>否</x:v>
      </x:c>
      <x:c r="O712" s="14" t="str">
        <x:v>否</x:v>
      </x:c>
      <x:c r="P712" s="14" t="str">
        <x:v>未提供</x:v>
      </x:c>
      <x:c r="Q712" s="14" t="str">
        <x:v>未提供</x:v>
      </x:c>
      <x:c r="R712" s="14" t="str">
        <x:v>预测</x:v>
      </x:c>
      <x:c r="S712" s="14" t="str">
        <x:v>到站时间为估算值</x:v>
      </x:c>
      <x:c r="T712" t="str">
        <x:v>研究生宿舍楼发车</x:v>
      </x:c>
    </x:row>
    <x:row r="713">
      <x:c r="A713" s="14" t="str">
        <x:v>S0058-07</x:v>
      </x:c>
      <x:c r="B713" s="14" t="str">
        <x:v>S0058</x:v>
      </x:c>
      <x:c r="C713" s="14" t="str">
        <x:v>工作日</x:v>
      </x:c>
      <x:c r="D713" s="14" t="str">
        <x:v>环线1路</x:v>
      </x:c>
      <x:c r="E713" s="14" t="str">
        <x:v>第四班（夜1）</x:v>
      </x:c>
      <x:c r="F713" s="14" t="n">
        <x:v>2</x:v>
      </x:c>
      <x:c r="G713" s="14" t="str">
        <x:v>15:00</x:v>
      </x:c>
      <x:c r="H713" s="14" t="str">
        <x:v>研究生宿舍楼</x:v>
      </x:c>
      <x:c r="I713" s="14" t="str">
        <x:v>否</x:v>
      </x:c>
      <x:c r="J713" s="14" t="n">
        <x:v>7</x:v>
      </x:c>
      <x:c r="K713" s="14" t="str">
        <x:v>北门</x:v>
      </x:c>
      <x:c r="L713" s="14" t="n">
        <x:v>8</x:v>
      </x:c>
      <x:c r="M713" s="14" t="str">
        <x:v>15:08</x:v>
      </x:c>
      <x:c r="N713" s="14" t="str">
        <x:v>否</x:v>
      </x:c>
      <x:c r="O713" s="14" t="str">
        <x:v>否</x:v>
      </x:c>
      <x:c r="P713" s="14" t="str">
        <x:v>未提供</x:v>
      </x:c>
      <x:c r="Q713" s="14" t="str">
        <x:v>未提供</x:v>
      </x:c>
      <x:c r="R713" s="14" t="str">
        <x:v>预测</x:v>
      </x:c>
      <x:c r="S713" s="14" t="str">
        <x:v>到站时间为估算值</x:v>
      </x:c>
      <x:c r="T713" t="str">
        <x:v>研究生宿舍楼发车</x:v>
      </x:c>
    </x:row>
    <x:row r="714">
      <x:c r="A714" s="14" t="str">
        <x:v>S0058-08</x:v>
      </x:c>
      <x:c r="B714" s="14" t="str">
        <x:v>S0058</x:v>
      </x:c>
      <x:c r="C714" s="14" t="str">
        <x:v>工作日</x:v>
      </x:c>
      <x:c r="D714" s="14" t="str">
        <x:v>环线1路</x:v>
      </x:c>
      <x:c r="E714" s="14" t="str">
        <x:v>第四班（夜1）</x:v>
      </x:c>
      <x:c r="F714" s="14" t="n">
        <x:v>2</x:v>
      </x:c>
      <x:c r="G714" s="14" t="str">
        <x:v>15:00</x:v>
      </x:c>
      <x:c r="H714" s="14" t="str">
        <x:v>研究生宿舍楼</x:v>
      </x:c>
      <x:c r="I714" s="14" t="str">
        <x:v>否</x:v>
      </x:c>
      <x:c r="J714" s="14" t="n">
        <x:v>8</x:v>
      </x:c>
      <x:c r="K714" s="14" t="str">
        <x:v>高超楼</x:v>
      </x:c>
      <x:c r="L714" s="14" t="n">
        <x:v>9</x:v>
      </x:c>
      <x:c r="M714" s="14" t="str">
        <x:v>15:09</x:v>
      </x:c>
      <x:c r="N714" s="14" t="str">
        <x:v>否</x:v>
      </x:c>
      <x:c r="O714" s="14" t="str">
        <x:v>否</x:v>
      </x:c>
      <x:c r="P714" s="14" t="str">
        <x:v>未提供</x:v>
      </x:c>
      <x:c r="Q714" s="14" t="str">
        <x:v>未提供</x:v>
      </x:c>
      <x:c r="R714" s="14" t="str">
        <x:v>预测</x:v>
      </x:c>
      <x:c r="S714" s="14" t="str">
        <x:v>到站时间为估算值</x:v>
      </x:c>
      <x:c r="T714" t="str">
        <x:v>研究生宿舍楼发车</x:v>
      </x:c>
    </x:row>
    <x:row r="715">
      <x:c r="A715" s="14" t="str">
        <x:v>S0058-09</x:v>
      </x:c>
      <x:c r="B715" s="14" t="str">
        <x:v>S0058</x:v>
      </x:c>
      <x:c r="C715" s="14" t="str">
        <x:v>工作日</x:v>
      </x:c>
      <x:c r="D715" s="14" t="str">
        <x:v>环线1路</x:v>
      </x:c>
      <x:c r="E715" s="14" t="str">
        <x:v>第四班（夜1）</x:v>
      </x:c>
      <x:c r="F715" s="14" t="n">
        <x:v>2</x:v>
      </x:c>
      <x:c r="G715" s="14" t="str">
        <x:v>15:00</x:v>
      </x:c>
      <x:c r="H715" s="14" t="str">
        <x:v>研究生宿舍楼</x:v>
      </x:c>
      <x:c r="I715" s="14" t="str">
        <x:v>否</x:v>
      </x:c>
      <x:c r="J715" s="14" t="n">
        <x:v>9</x:v>
      </x:c>
      <x:c r="K715" s="14" t="str">
        <x:v>理学院</x:v>
      </x:c>
      <x:c r="L715" s="14" t="n">
        <x:v>10</x:v>
      </x:c>
      <x:c r="M715" s="14" t="str">
        <x:v>15:10</x:v>
      </x:c>
      <x:c r="N715" s="14" t="str">
        <x:v>否</x:v>
      </x:c>
      <x:c r="O715" s="14" t="str">
        <x:v>否</x:v>
      </x:c>
      <x:c r="P715" s="14" t="str">
        <x:v>未提供</x:v>
      </x:c>
      <x:c r="Q715" s="14" t="str">
        <x:v>未提供</x:v>
      </x:c>
      <x:c r="R715" s="14" t="str">
        <x:v>预测</x:v>
      </x:c>
      <x:c r="S715" s="14" t="str">
        <x:v>到站时间为估算值</x:v>
      </x:c>
      <x:c r="T715" t="str">
        <x:v>研究生宿舍楼发车</x:v>
      </x:c>
    </x:row>
    <x:row r="716">
      <x:c r="A716" s="14" t="str">
        <x:v>S0058-10</x:v>
      </x:c>
      <x:c r="B716" s="14" t="str">
        <x:v>S0058</x:v>
      </x:c>
      <x:c r="C716" s="14" t="str">
        <x:v>工作日</x:v>
      </x:c>
      <x:c r="D716" s="14" t="str">
        <x:v>环线1路</x:v>
      </x:c>
      <x:c r="E716" s="14" t="str">
        <x:v>第四班（夜1）</x:v>
      </x:c>
      <x:c r="F716" s="14" t="n">
        <x:v>2</x:v>
      </x:c>
      <x:c r="G716" s="14" t="str">
        <x:v>15:00</x:v>
      </x:c>
      <x:c r="H716" s="14" t="str">
        <x:v>研究生宿舍楼</x:v>
      </x:c>
      <x:c r="I716" s="14" t="str">
        <x:v>否</x:v>
      </x:c>
      <x:c r="J716" s="14" t="n">
        <x:v>10</x:v>
      </x:c>
      <x:c r="K716" s="14" t="str">
        <x:v>二食堂</x:v>
      </x:c>
      <x:c r="L716" s="14" t="n">
        <x:v>13</x:v>
      </x:c>
      <x:c r="M716" s="14" t="str">
        <x:v>15:13</x:v>
      </x:c>
      <x:c r="N716" s="14" t="str">
        <x:v>否</x:v>
      </x:c>
      <x:c r="O716" s="14" t="str">
        <x:v>否</x:v>
      </x:c>
      <x:c r="P716" s="14" t="str">
        <x:v>未提供</x:v>
      </x:c>
      <x:c r="Q716" s="14" t="str">
        <x:v>未提供</x:v>
      </x:c>
      <x:c r="R716" s="14" t="str">
        <x:v>预测</x:v>
      </x:c>
      <x:c r="S716" s="14" t="str">
        <x:v>到站时间为估算值</x:v>
      </x:c>
      <x:c r="T716" t="str">
        <x:v>研究生宿舍楼发车</x:v>
      </x:c>
    </x:row>
    <x:row r="717">
      <x:c r="A717" s="14" t="str">
        <x:v>S0058-11</x:v>
      </x:c>
      <x:c r="B717" s="14" t="str">
        <x:v>S0058</x:v>
      </x:c>
      <x:c r="C717" s="14" t="str">
        <x:v>工作日</x:v>
      </x:c>
      <x:c r="D717" s="14" t="str">
        <x:v>环线1路</x:v>
      </x:c>
      <x:c r="E717" s="14" t="str">
        <x:v>第四班（夜1）</x:v>
      </x:c>
      <x:c r="F717" s="14" t="n">
        <x:v>2</x:v>
      </x:c>
      <x:c r="G717" s="14" t="str">
        <x:v>15:00</x:v>
      </x:c>
      <x:c r="H717" s="14" t="str">
        <x:v>研究生宿舍楼</x:v>
      </x:c>
      <x:c r="I717" s="14" t="str">
        <x:v>否</x:v>
      </x:c>
      <x:c r="J717" s="14" t="n">
        <x:v>11</x:v>
      </x:c>
      <x:c r="K717" s="14" t="str">
        <x:v>5号宿舍楼</x:v>
      </x:c>
      <x:c r="L717" s="14" t="n">
        <x:v>14</x:v>
      </x:c>
      <x:c r="M717" s="14" t="str">
        <x:v>15:14</x:v>
      </x:c>
      <x:c r="N717" s="14" t="str">
        <x:v>否</x:v>
      </x:c>
      <x:c r="O717" s="14" t="str">
        <x:v>否</x:v>
      </x:c>
      <x:c r="P717" s="14" t="str">
        <x:v>未提供</x:v>
      </x:c>
      <x:c r="Q717" s="14" t="str">
        <x:v>未提供</x:v>
      </x:c>
      <x:c r="R717" s="14" t="str">
        <x:v>预测</x:v>
      </x:c>
      <x:c r="S717" s="14" t="str">
        <x:v>到站时间为估算值</x:v>
      </x:c>
      <x:c r="T717" t="str">
        <x:v>研究生宿舍楼发车</x:v>
      </x:c>
    </x:row>
    <x:row r="718">
      <x:c r="A718" s="14" t="str">
        <x:v>S0058-12</x:v>
      </x:c>
      <x:c r="B718" s="14" t="str">
        <x:v>S0058</x:v>
      </x:c>
      <x:c r="C718" s="14" t="str">
        <x:v>工作日</x:v>
      </x:c>
      <x:c r="D718" s="14" t="str">
        <x:v>环线1路</x:v>
      </x:c>
      <x:c r="E718" s="14" t="str">
        <x:v>第四班（夜1）</x:v>
      </x:c>
      <x:c r="F718" s="14" t="n">
        <x:v>2</x:v>
      </x:c>
      <x:c r="G718" s="14" t="str">
        <x:v>15:00</x:v>
      </x:c>
      <x:c r="H718" s="14" t="str">
        <x:v>研究生宿舍楼</x:v>
      </x:c>
      <x:c r="I718" s="14" t="str">
        <x:v>否</x:v>
      </x:c>
      <x:c r="J718" s="14" t="n">
        <x:v>12</x:v>
      </x:c>
      <x:c r="K718" s="14" t="str">
        <x:v>305教学楼</x:v>
      </x:c>
      <x:c r="L718" s="14" t="n">
        <x:v>15</x:v>
      </x:c>
      <x:c r="M718" s="14" t="str">
        <x:v>15:15</x:v>
      </x:c>
      <x:c r="N718" s="14" t="str">
        <x:v>否</x:v>
      </x:c>
      <x:c r="O718" s="14" t="str">
        <x:v>否</x:v>
      </x:c>
      <x:c r="P718" s="14" t="str">
        <x:v>未提供</x:v>
      </x:c>
      <x:c r="Q718" s="14" t="str">
        <x:v>未提供</x:v>
      </x:c>
      <x:c r="R718" s="14" t="str">
        <x:v>预测</x:v>
      </x:c>
      <x:c r="S718" s="14" t="str">
        <x:v>到站时间为估算值</x:v>
      </x:c>
      <x:c r="T718" t="str">
        <x:v>研究生宿舍楼发车</x:v>
      </x:c>
    </x:row>
    <x:row r="719">
      <x:c r="A719" s="14" t="str">
        <x:v>S0058-13</x:v>
      </x:c>
      <x:c r="B719" s="14" t="str">
        <x:v>S0058</x:v>
      </x:c>
      <x:c r="C719" s="14" t="str">
        <x:v>工作日</x:v>
      </x:c>
      <x:c r="D719" s="14" t="str">
        <x:v>环线1路</x:v>
      </x:c>
      <x:c r="E719" s="14" t="str">
        <x:v>第四班（夜1）</x:v>
      </x:c>
      <x:c r="F719" s="14" t="n">
        <x:v>2</x:v>
      </x:c>
      <x:c r="G719" s="14" t="str">
        <x:v>15:00</x:v>
      </x:c>
      <x:c r="H719" s="14" t="str">
        <x:v>研究生宿舍楼</x:v>
      </x:c>
      <x:c r="I719" s="14" t="str">
        <x:v>否</x:v>
      </x:c>
      <x:c r="J719" s="14" t="n">
        <x:v>13</x:v>
      </x:c>
      <x:c r="K719" s="14" t="str">
        <x:v>研究生宿舍楼</x:v>
      </x:c>
      <x:c r="L719" s="14" t="n">
        <x:v>17</x:v>
      </x:c>
      <x:c r="M719" s="14" t="str">
        <x:v>15:17</x:v>
      </x:c>
      <x:c r="N719" s="14" t="str">
        <x:v>否</x:v>
      </x:c>
      <x:c r="O719" s="14" t="str">
        <x:v>是</x:v>
      </x:c>
      <x:c r="P719" s="14" t="str">
        <x:v>未提供</x:v>
      </x:c>
      <x:c r="Q719" s="14" t="str">
        <x:v>未提供</x:v>
      </x:c>
      <x:c r="R719" s="14" t="str">
        <x:v>预测</x:v>
      </x:c>
      <x:c r="S719" s="14" t="str">
        <x:v>到站时间为估算值</x:v>
      </x:c>
      <x:c r="T719" t="str">
        <x:v>研究生宿舍楼发车</x:v>
      </x:c>
    </x:row>
    <x:row r="720">
      <x:c r="A720" s="14" t="str">
        <x:v>S0059-01</x:v>
      </x:c>
      <x:c r="B720" s="14" t="str">
        <x:v>S0059</x:v>
      </x:c>
      <x:c r="C720" s="14" t="str">
        <x:v>工作日</x:v>
      </x:c>
      <x:c r="D720" s="14" t="str">
        <x:v>环线1路</x:v>
      </x:c>
      <x:c r="E720" s="14" t="str">
        <x:v>第四班（夜1）</x:v>
      </x:c>
      <x:c r="F720" s="14" t="n">
        <x:v>3</x:v>
      </x:c>
      <x:c r="G720" s="14" t="str">
        <x:v>16:00</x:v>
      </x:c>
      <x:c r="H720" s="14" t="str">
        <x:v>研究生宿舍楼</x:v>
      </x:c>
      <x:c r="I720" s="14" t="str">
        <x:v>否</x:v>
      </x:c>
      <x:c r="J720" s="14" t="n">
        <x:v>1</x:v>
      </x:c>
      <x:c r="K720" s="14" t="str">
        <x:v>研究生宿舍楼</x:v>
      </x:c>
      <x:c r="L720" s="14" t="n">
        <x:v>0</x:v>
      </x:c>
      <x:c r="M720" s="14" t="str">
        <x:v>16:00</x:v>
      </x:c>
      <x:c r="N720" s="14" t="str">
        <x:v>是</x:v>
      </x:c>
      <x:c r="O720" s="14" t="str">
        <x:v>否</x:v>
      </x:c>
      <x:c r="P720" s="14" t="str">
        <x:v>未提供</x:v>
      </x:c>
      <x:c r="Q720" s="14" t="str">
        <x:v>未提供</x:v>
      </x:c>
      <x:c r="R720" s="14" t="str">
        <x:v>预测</x:v>
      </x:c>
      <x:c r="S720" s="14" t="str">
        <x:v>到站时间为估算值</x:v>
      </x:c>
      <x:c r="T720" t="str">
        <x:v>研究生宿舍楼发车</x:v>
      </x:c>
    </x:row>
    <x:row r="721">
      <x:c r="A721" s="14" t="str">
        <x:v>S0059-02</x:v>
      </x:c>
      <x:c r="B721" s="14" t="str">
        <x:v>S0059</x:v>
      </x:c>
      <x:c r="C721" s="14" t="str">
        <x:v>工作日</x:v>
      </x:c>
      <x:c r="D721" s="14" t="str">
        <x:v>环线1路</x:v>
      </x:c>
      <x:c r="E721" s="14" t="str">
        <x:v>第四班（夜1）</x:v>
      </x:c>
      <x:c r="F721" s="14" t="n">
        <x:v>3</x:v>
      </x:c>
      <x:c r="G721" s="14" t="str">
        <x:v>16:00</x:v>
      </x:c>
      <x:c r="H721" s="14" t="str">
        <x:v>研究生宿舍楼</x:v>
      </x:c>
      <x:c r="I721" s="14" t="str">
        <x:v>否</x:v>
      </x:c>
      <x:c r="J721" s="14" t="n">
        <x:v>2</x:v>
      </x:c>
      <x:c r="K721" s="14" t="str">
        <x:v>东门</x:v>
      </x:c>
      <x:c r="L721" s="14" t="n">
        <x:v>1</x:v>
      </x:c>
      <x:c r="M721" s="14" t="str">
        <x:v>16:01</x:v>
      </x:c>
      <x:c r="N721" s="14" t="str">
        <x:v>否</x:v>
      </x:c>
      <x:c r="O721" s="14" t="str">
        <x:v>否</x:v>
      </x:c>
      <x:c r="P721" s="14" t="str">
        <x:v>未提供</x:v>
      </x:c>
      <x:c r="Q721" s="14" t="str">
        <x:v>未提供</x:v>
      </x:c>
      <x:c r="R721" s="14" t="str">
        <x:v>预测</x:v>
      </x:c>
      <x:c r="S721" s="14" t="str">
        <x:v>到站时间为估算值</x:v>
      </x:c>
      <x:c r="T721" t="str">
        <x:v>研究生宿舍楼发车</x:v>
      </x:c>
    </x:row>
    <x:row r="722">
      <x:c r="A722" s="14" t="str">
        <x:v>S0059-03</x:v>
      </x:c>
      <x:c r="B722" s="14" t="str">
        <x:v>S0059</x:v>
      </x:c>
      <x:c r="C722" s="14" t="str">
        <x:v>工作日</x:v>
      </x:c>
      <x:c r="D722" s="14" t="str">
        <x:v>环线1路</x:v>
      </x:c>
      <x:c r="E722" s="14" t="str">
        <x:v>第四班（夜1）</x:v>
      </x:c>
      <x:c r="F722" s="14" t="n">
        <x:v>3</x:v>
      </x:c>
      <x:c r="G722" s="14" t="str">
        <x:v>16:00</x:v>
      </x:c>
      <x:c r="H722" s="14" t="str">
        <x:v>研究生宿舍楼</x:v>
      </x:c>
      <x:c r="I722" s="14" t="str">
        <x:v>否</x:v>
      </x:c>
      <x:c r="J722" s="14" t="n">
        <x:v>3</x:v>
      </x:c>
      <x:c r="K722" s="14" t="str">
        <x:v>2号宿舍楼</x:v>
      </x:c>
      <x:c r="L722" s="14" t="n">
        <x:v>2</x:v>
      </x:c>
      <x:c r="M722" s="14" t="str">
        <x:v>16:02</x:v>
      </x:c>
      <x:c r="N722" s="14" t="str">
        <x:v>否</x:v>
      </x:c>
      <x:c r="O722" s="14" t="str">
        <x:v>否</x:v>
      </x:c>
      <x:c r="P722" s="14" t="str">
        <x:v>未提供</x:v>
      </x:c>
      <x:c r="Q722" s="14" t="str">
        <x:v>未提供</x:v>
      </x:c>
      <x:c r="R722" s="14" t="str">
        <x:v>预测</x:v>
      </x:c>
      <x:c r="S722" s="14" t="str">
        <x:v>到站时间为估算值</x:v>
      </x:c>
      <x:c r="T722" t="str">
        <x:v>研究生宿舍楼发车</x:v>
      </x:c>
    </x:row>
    <x:row r="723">
      <x:c r="A723" s="14" t="str">
        <x:v>S0059-04</x:v>
      </x:c>
      <x:c r="B723" s="14" t="str">
        <x:v>S0059</x:v>
      </x:c>
      <x:c r="C723" s="14" t="str">
        <x:v>工作日</x:v>
      </x:c>
      <x:c r="D723" s="14" t="str">
        <x:v>环线1路</x:v>
      </x:c>
      <x:c r="E723" s="14" t="str">
        <x:v>第四班（夜1）</x:v>
      </x:c>
      <x:c r="F723" s="14" t="n">
        <x:v>3</x:v>
      </x:c>
      <x:c r="G723" s="14" t="str">
        <x:v>16:00</x:v>
      </x:c>
      <x:c r="H723" s="14" t="str">
        <x:v>研究生宿舍楼</x:v>
      </x:c>
      <x:c r="I723" s="14" t="str">
        <x:v>否</x:v>
      </x:c>
      <x:c r="J723" s="14" t="n">
        <x:v>4</x:v>
      </x:c>
      <x:c r="K723" s="14" t="str">
        <x:v>军体活动中心</x:v>
      </x:c>
      <x:c r="L723" s="14" t="n">
        <x:v>3</x:v>
      </x:c>
      <x:c r="M723" s="14" t="str">
        <x:v>16:03</x:v>
      </x:c>
      <x:c r="N723" s="14" t="str">
        <x:v>否</x:v>
      </x:c>
      <x:c r="O723" s="14" t="str">
        <x:v>否</x:v>
      </x:c>
      <x:c r="P723" s="14" t="str">
        <x:v>未提供</x:v>
      </x:c>
      <x:c r="Q723" s="14" t="str">
        <x:v>未提供</x:v>
      </x:c>
      <x:c r="R723" s="14" t="str">
        <x:v>预测</x:v>
      </x:c>
      <x:c r="S723" s="14" t="str">
        <x:v>到站时间为估算值</x:v>
      </x:c>
      <x:c r="T723" t="str">
        <x:v>研究生宿舍楼发车</x:v>
      </x:c>
    </x:row>
    <x:row r="724">
      <x:c r="A724" s="14" t="str">
        <x:v>S0059-05</x:v>
      </x:c>
      <x:c r="B724" s="14" t="str">
        <x:v>S0059</x:v>
      </x:c>
      <x:c r="C724" s="14" t="str">
        <x:v>工作日</x:v>
      </x:c>
      <x:c r="D724" s="14" t="str">
        <x:v>环线1路</x:v>
      </x:c>
      <x:c r="E724" s="14" t="str">
        <x:v>第四班（夜1）</x:v>
      </x:c>
      <x:c r="F724" s="14" t="n">
        <x:v>3</x:v>
      </x:c>
      <x:c r="G724" s="14" t="str">
        <x:v>16:00</x:v>
      </x:c>
      <x:c r="H724" s="14" t="str">
        <x:v>研究生宿舍楼</x:v>
      </x:c>
      <x:c r="I724" s="14" t="str">
        <x:v>否</x:v>
      </x:c>
      <x:c r="J724" s="14" t="n">
        <x:v>5</x:v>
      </x:c>
      <x:c r="K724" s="14" t="str">
        <x:v>激光所</x:v>
      </x:c>
      <x:c r="L724" s="14" t="n">
        <x:v>5</x:v>
      </x:c>
      <x:c r="M724" s="14" t="str">
        <x:v>16:05</x:v>
      </x:c>
      <x:c r="N724" s="14" t="str">
        <x:v>否</x:v>
      </x:c>
      <x:c r="O724" s="14" t="str">
        <x:v>否</x:v>
      </x:c>
      <x:c r="P724" s="14" t="str">
        <x:v>未提供</x:v>
      </x:c>
      <x:c r="Q724" s="14" t="str">
        <x:v>未提供</x:v>
      </x:c>
      <x:c r="R724" s="14" t="str">
        <x:v>预测</x:v>
      </x:c>
      <x:c r="S724" s="14" t="str">
        <x:v>到站时间为估算值</x:v>
      </x:c>
      <x:c r="T724" t="str">
        <x:v>研究生宿舍楼发车</x:v>
      </x:c>
    </x:row>
    <x:row r="725">
      <x:c r="A725" s="14" t="str">
        <x:v>S0059-06</x:v>
      </x:c>
      <x:c r="B725" s="14" t="str">
        <x:v>S0059</x:v>
      </x:c>
      <x:c r="C725" s="14" t="str">
        <x:v>工作日</x:v>
      </x:c>
      <x:c r="D725" s="14" t="str">
        <x:v>环线1路</x:v>
      </x:c>
      <x:c r="E725" s="14" t="str">
        <x:v>第四班（夜1）</x:v>
      </x:c>
      <x:c r="F725" s="14" t="n">
        <x:v>3</x:v>
      </x:c>
      <x:c r="G725" s="14" t="str">
        <x:v>16:00</x:v>
      </x:c>
      <x:c r="H725" s="14" t="str">
        <x:v>研究生宿舍楼</x:v>
      </x:c>
      <x:c r="I725" s="14" t="str">
        <x:v>否</x:v>
      </x:c>
      <x:c r="J725" s="14" t="n">
        <x:v>6</x:v>
      </x:c>
      <x:c r="K725" s="14" t="str">
        <x:v>超算中心</x:v>
      </x:c>
      <x:c r="L725" s="14" t="n">
        <x:v>6</x:v>
      </x:c>
      <x:c r="M725" s="14" t="str">
        <x:v>16:06</x:v>
      </x:c>
      <x:c r="N725" s="14" t="str">
        <x:v>否</x:v>
      </x:c>
      <x:c r="O725" s="14" t="str">
        <x:v>否</x:v>
      </x:c>
      <x:c r="P725" s="14" t="str">
        <x:v>未提供</x:v>
      </x:c>
      <x:c r="Q725" s="14" t="str">
        <x:v>未提供</x:v>
      </x:c>
      <x:c r="R725" s="14" t="str">
        <x:v>预测</x:v>
      </x:c>
      <x:c r="S725" s="14" t="str">
        <x:v>到站时间为估算值</x:v>
      </x:c>
      <x:c r="T725" t="str">
        <x:v>研究生宿舍楼发车</x:v>
      </x:c>
    </x:row>
    <x:row r="726">
      <x:c r="A726" s="14" t="str">
        <x:v>S0059-07</x:v>
      </x:c>
      <x:c r="B726" s="14" t="str">
        <x:v>S0059</x:v>
      </x:c>
      <x:c r="C726" s="14" t="str">
        <x:v>工作日</x:v>
      </x:c>
      <x:c r="D726" s="14" t="str">
        <x:v>环线1路</x:v>
      </x:c>
      <x:c r="E726" s="14" t="str">
        <x:v>第四班（夜1）</x:v>
      </x:c>
      <x:c r="F726" s="14" t="n">
        <x:v>3</x:v>
      </x:c>
      <x:c r="G726" s="14" t="str">
        <x:v>16:00</x:v>
      </x:c>
      <x:c r="H726" s="14" t="str">
        <x:v>研究生宿舍楼</x:v>
      </x:c>
      <x:c r="I726" s="14" t="str">
        <x:v>否</x:v>
      </x:c>
      <x:c r="J726" s="14" t="n">
        <x:v>7</x:v>
      </x:c>
      <x:c r="K726" s="14" t="str">
        <x:v>北门</x:v>
      </x:c>
      <x:c r="L726" s="14" t="n">
        <x:v>8</x:v>
      </x:c>
      <x:c r="M726" s="14" t="str">
        <x:v>16:08</x:v>
      </x:c>
      <x:c r="N726" s="14" t="str">
        <x:v>否</x:v>
      </x:c>
      <x:c r="O726" s="14" t="str">
        <x:v>否</x:v>
      </x:c>
      <x:c r="P726" s="14" t="str">
        <x:v>未提供</x:v>
      </x:c>
      <x:c r="Q726" s="14" t="str">
        <x:v>未提供</x:v>
      </x:c>
      <x:c r="R726" s="14" t="str">
        <x:v>预测</x:v>
      </x:c>
      <x:c r="S726" s="14" t="str">
        <x:v>到站时间为估算值</x:v>
      </x:c>
      <x:c r="T726" t="str">
        <x:v>研究生宿舍楼发车</x:v>
      </x:c>
    </x:row>
    <x:row r="727">
      <x:c r="A727" s="14" t="str">
        <x:v>S0059-08</x:v>
      </x:c>
      <x:c r="B727" s="14" t="str">
        <x:v>S0059</x:v>
      </x:c>
      <x:c r="C727" s="14" t="str">
        <x:v>工作日</x:v>
      </x:c>
      <x:c r="D727" s="14" t="str">
        <x:v>环线1路</x:v>
      </x:c>
      <x:c r="E727" s="14" t="str">
        <x:v>第四班（夜1）</x:v>
      </x:c>
      <x:c r="F727" s="14" t="n">
        <x:v>3</x:v>
      </x:c>
      <x:c r="G727" s="14" t="str">
        <x:v>16:00</x:v>
      </x:c>
      <x:c r="H727" s="14" t="str">
        <x:v>研究生宿舍楼</x:v>
      </x:c>
      <x:c r="I727" s="14" t="str">
        <x:v>否</x:v>
      </x:c>
      <x:c r="J727" s="14" t="n">
        <x:v>8</x:v>
      </x:c>
      <x:c r="K727" s="14" t="str">
        <x:v>高超楼</x:v>
      </x:c>
      <x:c r="L727" s="14" t="n">
        <x:v>9</x:v>
      </x:c>
      <x:c r="M727" s="14" t="str">
        <x:v>16:09</x:v>
      </x:c>
      <x:c r="N727" s="14" t="str">
        <x:v>否</x:v>
      </x:c>
      <x:c r="O727" s="14" t="str">
        <x:v>否</x:v>
      </x:c>
      <x:c r="P727" s="14" t="str">
        <x:v>未提供</x:v>
      </x:c>
      <x:c r="Q727" s="14" t="str">
        <x:v>未提供</x:v>
      </x:c>
      <x:c r="R727" s="14" t="str">
        <x:v>预测</x:v>
      </x:c>
      <x:c r="S727" s="14" t="str">
        <x:v>到站时间为估算值</x:v>
      </x:c>
      <x:c r="T727" t="str">
        <x:v>研究生宿舍楼发车</x:v>
      </x:c>
    </x:row>
    <x:row r="728">
      <x:c r="A728" s="14" t="str">
        <x:v>S0059-09</x:v>
      </x:c>
      <x:c r="B728" s="14" t="str">
        <x:v>S0059</x:v>
      </x:c>
      <x:c r="C728" s="14" t="str">
        <x:v>工作日</x:v>
      </x:c>
      <x:c r="D728" s="14" t="str">
        <x:v>环线1路</x:v>
      </x:c>
      <x:c r="E728" s="14" t="str">
        <x:v>第四班（夜1）</x:v>
      </x:c>
      <x:c r="F728" s="14" t="n">
        <x:v>3</x:v>
      </x:c>
      <x:c r="G728" s="14" t="str">
        <x:v>16:00</x:v>
      </x:c>
      <x:c r="H728" s="14" t="str">
        <x:v>研究生宿舍楼</x:v>
      </x:c>
      <x:c r="I728" s="14" t="str">
        <x:v>否</x:v>
      </x:c>
      <x:c r="J728" s="14" t="n">
        <x:v>9</x:v>
      </x:c>
      <x:c r="K728" s="14" t="str">
        <x:v>理学院</x:v>
      </x:c>
      <x:c r="L728" s="14" t="n">
        <x:v>10</x:v>
      </x:c>
      <x:c r="M728" s="14" t="str">
        <x:v>16:10</x:v>
      </x:c>
      <x:c r="N728" s="14" t="str">
        <x:v>否</x:v>
      </x:c>
      <x:c r="O728" s="14" t="str">
        <x:v>否</x:v>
      </x:c>
      <x:c r="P728" s="14" t="str">
        <x:v>未提供</x:v>
      </x:c>
      <x:c r="Q728" s="14" t="str">
        <x:v>未提供</x:v>
      </x:c>
      <x:c r="R728" s="14" t="str">
        <x:v>预测</x:v>
      </x:c>
      <x:c r="S728" s="14" t="str">
        <x:v>到站时间为估算值</x:v>
      </x:c>
      <x:c r="T728" t="str">
        <x:v>研究生宿舍楼发车</x:v>
      </x:c>
    </x:row>
    <x:row r="729">
      <x:c r="A729" s="14" t="str">
        <x:v>S0059-10</x:v>
      </x:c>
      <x:c r="B729" s="14" t="str">
        <x:v>S0059</x:v>
      </x:c>
      <x:c r="C729" s="14" t="str">
        <x:v>工作日</x:v>
      </x:c>
      <x:c r="D729" s="14" t="str">
        <x:v>环线1路</x:v>
      </x:c>
      <x:c r="E729" s="14" t="str">
        <x:v>第四班（夜1）</x:v>
      </x:c>
      <x:c r="F729" s="14" t="n">
        <x:v>3</x:v>
      </x:c>
      <x:c r="G729" s="14" t="str">
        <x:v>16:00</x:v>
      </x:c>
      <x:c r="H729" s="14" t="str">
        <x:v>研究生宿舍楼</x:v>
      </x:c>
      <x:c r="I729" s="14" t="str">
        <x:v>否</x:v>
      </x:c>
      <x:c r="J729" s="14" t="n">
        <x:v>10</x:v>
      </x:c>
      <x:c r="K729" s="14" t="str">
        <x:v>二食堂</x:v>
      </x:c>
      <x:c r="L729" s="14" t="n">
        <x:v>13</x:v>
      </x:c>
      <x:c r="M729" s="14" t="str">
        <x:v>16:13</x:v>
      </x:c>
      <x:c r="N729" s="14" t="str">
        <x:v>否</x:v>
      </x:c>
      <x:c r="O729" s="14" t="str">
        <x:v>否</x:v>
      </x:c>
      <x:c r="P729" s="14" t="str">
        <x:v>未提供</x:v>
      </x:c>
      <x:c r="Q729" s="14" t="str">
        <x:v>未提供</x:v>
      </x:c>
      <x:c r="R729" s="14" t="str">
        <x:v>预测</x:v>
      </x:c>
      <x:c r="S729" s="14" t="str">
        <x:v>到站时间为估算值</x:v>
      </x:c>
      <x:c r="T729" t="str">
        <x:v>研究生宿舍楼发车</x:v>
      </x:c>
    </x:row>
    <x:row r="730">
      <x:c r="A730" s="14" t="str">
        <x:v>S0059-11</x:v>
      </x:c>
      <x:c r="B730" s="14" t="str">
        <x:v>S0059</x:v>
      </x:c>
      <x:c r="C730" s="14" t="str">
        <x:v>工作日</x:v>
      </x:c>
      <x:c r="D730" s="14" t="str">
        <x:v>环线1路</x:v>
      </x:c>
      <x:c r="E730" s="14" t="str">
        <x:v>第四班（夜1）</x:v>
      </x:c>
      <x:c r="F730" s="14" t="n">
        <x:v>3</x:v>
      </x:c>
      <x:c r="G730" s="14" t="str">
        <x:v>16:00</x:v>
      </x:c>
      <x:c r="H730" s="14" t="str">
        <x:v>研究生宿舍楼</x:v>
      </x:c>
      <x:c r="I730" s="14" t="str">
        <x:v>否</x:v>
      </x:c>
      <x:c r="J730" s="14" t="n">
        <x:v>11</x:v>
      </x:c>
      <x:c r="K730" s="14" t="str">
        <x:v>5号宿舍楼</x:v>
      </x:c>
      <x:c r="L730" s="14" t="n">
        <x:v>14</x:v>
      </x:c>
      <x:c r="M730" s="14" t="str">
        <x:v>16:14</x:v>
      </x:c>
      <x:c r="N730" s="14" t="str">
        <x:v>否</x:v>
      </x:c>
      <x:c r="O730" s="14" t="str">
        <x:v>否</x:v>
      </x:c>
      <x:c r="P730" s="14" t="str">
        <x:v>未提供</x:v>
      </x:c>
      <x:c r="Q730" s="14" t="str">
        <x:v>未提供</x:v>
      </x:c>
      <x:c r="R730" s="14" t="str">
        <x:v>预测</x:v>
      </x:c>
      <x:c r="S730" s="14" t="str">
        <x:v>到站时间为估算值</x:v>
      </x:c>
      <x:c r="T730" t="str">
        <x:v>研究生宿舍楼发车</x:v>
      </x:c>
    </x:row>
    <x:row r="731">
      <x:c r="A731" s="14" t="str">
        <x:v>S0059-12</x:v>
      </x:c>
      <x:c r="B731" s="14" t="str">
        <x:v>S0059</x:v>
      </x:c>
      <x:c r="C731" s="14" t="str">
        <x:v>工作日</x:v>
      </x:c>
      <x:c r="D731" s="14" t="str">
        <x:v>环线1路</x:v>
      </x:c>
      <x:c r="E731" s="14" t="str">
        <x:v>第四班（夜1）</x:v>
      </x:c>
      <x:c r="F731" s="14" t="n">
        <x:v>3</x:v>
      </x:c>
      <x:c r="G731" s="14" t="str">
        <x:v>16:00</x:v>
      </x:c>
      <x:c r="H731" s="14" t="str">
        <x:v>研究生宿舍楼</x:v>
      </x:c>
      <x:c r="I731" s="14" t="str">
        <x:v>否</x:v>
      </x:c>
      <x:c r="J731" s="14" t="n">
        <x:v>12</x:v>
      </x:c>
      <x:c r="K731" s="14" t="str">
        <x:v>305教学楼</x:v>
      </x:c>
      <x:c r="L731" s="14" t="n">
        <x:v>15</x:v>
      </x:c>
      <x:c r="M731" s="14" t="str">
        <x:v>16:15</x:v>
      </x:c>
      <x:c r="N731" s="14" t="str">
        <x:v>否</x:v>
      </x:c>
      <x:c r="O731" s="14" t="str">
        <x:v>否</x:v>
      </x:c>
      <x:c r="P731" s="14" t="str">
        <x:v>未提供</x:v>
      </x:c>
      <x:c r="Q731" s="14" t="str">
        <x:v>未提供</x:v>
      </x:c>
      <x:c r="R731" s="14" t="str">
        <x:v>预测</x:v>
      </x:c>
      <x:c r="S731" s="14" t="str">
        <x:v>到站时间为估算值</x:v>
      </x:c>
      <x:c r="T731" t="str">
        <x:v>研究生宿舍楼发车</x:v>
      </x:c>
    </x:row>
    <x:row r="732">
      <x:c r="A732" s="14" t="str">
        <x:v>S0059-13</x:v>
      </x:c>
      <x:c r="B732" s="14" t="str">
        <x:v>S0059</x:v>
      </x:c>
      <x:c r="C732" s="14" t="str">
        <x:v>工作日</x:v>
      </x:c>
      <x:c r="D732" s="14" t="str">
        <x:v>环线1路</x:v>
      </x:c>
      <x:c r="E732" s="14" t="str">
        <x:v>第四班（夜1）</x:v>
      </x:c>
      <x:c r="F732" s="14" t="n">
        <x:v>3</x:v>
      </x:c>
      <x:c r="G732" s="14" t="str">
        <x:v>16:00</x:v>
      </x:c>
      <x:c r="H732" s="14" t="str">
        <x:v>研究生宿舍楼</x:v>
      </x:c>
      <x:c r="I732" s="14" t="str">
        <x:v>否</x:v>
      </x:c>
      <x:c r="J732" s="14" t="n">
        <x:v>13</x:v>
      </x:c>
      <x:c r="K732" s="14" t="str">
        <x:v>研究生宿舍楼</x:v>
      </x:c>
      <x:c r="L732" s="14" t="n">
        <x:v>17</x:v>
      </x:c>
      <x:c r="M732" s="14" t="str">
        <x:v>16:17</x:v>
      </x:c>
      <x:c r="N732" s="14" t="str">
        <x:v>否</x:v>
      </x:c>
      <x:c r="O732" s="14" t="str">
        <x:v>是</x:v>
      </x:c>
      <x:c r="P732" s="14" t="str">
        <x:v>未提供</x:v>
      </x:c>
      <x:c r="Q732" s="14" t="str">
        <x:v>未提供</x:v>
      </x:c>
      <x:c r="R732" s="14" t="str">
        <x:v>预测</x:v>
      </x:c>
      <x:c r="S732" s="14" t="str">
        <x:v>到站时间为估算值</x:v>
      </x:c>
      <x:c r="T732" t="str">
        <x:v>研究生宿舍楼发车</x:v>
      </x:c>
    </x:row>
    <x:row r="733">
      <x:c r="A733" s="14" t="str">
        <x:v>S0060-01</x:v>
      </x:c>
      <x:c r="B733" s="14" t="str">
        <x:v>S0060</x:v>
      </x:c>
      <x:c r="C733" s="14" t="str">
        <x:v>工作日</x:v>
      </x:c>
      <x:c r="D733" s="14" t="str">
        <x:v>环线1路</x:v>
      </x:c>
      <x:c r="E733" s="14" t="str">
        <x:v>第四班（夜1）</x:v>
      </x:c>
      <x:c r="F733" s="14" t="n">
        <x:v>4</x:v>
      </x:c>
      <x:c r="G733" s="14" t="str">
        <x:v>16:45</x:v>
      </x:c>
      <x:c r="H733" s="14" t="str">
        <x:v>研究生宿舍楼</x:v>
      </x:c>
      <x:c r="I733" s="14" t="str">
        <x:v>否</x:v>
      </x:c>
      <x:c r="J733" s="14" t="n">
        <x:v>1</x:v>
      </x:c>
      <x:c r="K733" s="14" t="str">
        <x:v>研究生宿舍楼</x:v>
      </x:c>
      <x:c r="L733" s="14" t="n">
        <x:v>0</x:v>
      </x:c>
      <x:c r="M733" s="14" t="str">
        <x:v>16:45</x:v>
      </x:c>
      <x:c r="N733" s="14" t="str">
        <x:v>是</x:v>
      </x:c>
      <x:c r="O733" s="14" t="str">
        <x:v>否</x:v>
      </x:c>
      <x:c r="P733" s="14" t="str">
        <x:v>未提供</x:v>
      </x:c>
      <x:c r="Q733" s="14" t="str">
        <x:v>未提供</x:v>
      </x:c>
      <x:c r="R733" s="14" t="str">
        <x:v>预测</x:v>
      </x:c>
      <x:c r="S733" s="14" t="str">
        <x:v>到站时间为估算值</x:v>
      </x:c>
      <x:c r="T733" t="str">
        <x:v>研究生宿舍楼发车</x:v>
      </x:c>
    </x:row>
    <x:row r="734">
      <x:c r="A734" s="14" t="str">
        <x:v>S0060-02</x:v>
      </x:c>
      <x:c r="B734" s="14" t="str">
        <x:v>S0060</x:v>
      </x:c>
      <x:c r="C734" s="14" t="str">
        <x:v>工作日</x:v>
      </x:c>
      <x:c r="D734" s="14" t="str">
        <x:v>环线1路</x:v>
      </x:c>
      <x:c r="E734" s="14" t="str">
        <x:v>第四班（夜1）</x:v>
      </x:c>
      <x:c r="F734" s="14" t="n">
        <x:v>4</x:v>
      </x:c>
      <x:c r="G734" s="14" t="str">
        <x:v>16:45</x:v>
      </x:c>
      <x:c r="H734" s="14" t="str">
        <x:v>研究生宿舍楼</x:v>
      </x:c>
      <x:c r="I734" s="14" t="str">
        <x:v>否</x:v>
      </x:c>
      <x:c r="J734" s="14" t="n">
        <x:v>2</x:v>
      </x:c>
      <x:c r="K734" s="14" t="str">
        <x:v>东门</x:v>
      </x:c>
      <x:c r="L734" s="14" t="n">
        <x:v>1</x:v>
      </x:c>
      <x:c r="M734" s="14" t="str">
        <x:v>16:46</x:v>
      </x:c>
      <x:c r="N734" s="14" t="str">
        <x:v>否</x:v>
      </x:c>
      <x:c r="O734" s="14" t="str">
        <x:v>否</x:v>
      </x:c>
      <x:c r="P734" s="14" t="str">
        <x:v>未提供</x:v>
      </x:c>
      <x:c r="Q734" s="14" t="str">
        <x:v>未提供</x:v>
      </x:c>
      <x:c r="R734" s="14" t="str">
        <x:v>预测</x:v>
      </x:c>
      <x:c r="S734" s="14" t="str">
        <x:v>到站时间为估算值</x:v>
      </x:c>
      <x:c r="T734" t="str">
        <x:v>研究生宿舍楼发车</x:v>
      </x:c>
    </x:row>
    <x:row r="735">
      <x:c r="A735" s="14" t="str">
        <x:v>S0060-03</x:v>
      </x:c>
      <x:c r="B735" s="14" t="str">
        <x:v>S0060</x:v>
      </x:c>
      <x:c r="C735" s="14" t="str">
        <x:v>工作日</x:v>
      </x:c>
      <x:c r="D735" s="14" t="str">
        <x:v>环线1路</x:v>
      </x:c>
      <x:c r="E735" s="14" t="str">
        <x:v>第四班（夜1）</x:v>
      </x:c>
      <x:c r="F735" s="14" t="n">
        <x:v>4</x:v>
      </x:c>
      <x:c r="G735" s="14" t="str">
        <x:v>16:45</x:v>
      </x:c>
      <x:c r="H735" s="14" t="str">
        <x:v>研究生宿舍楼</x:v>
      </x:c>
      <x:c r="I735" s="14" t="str">
        <x:v>否</x:v>
      </x:c>
      <x:c r="J735" s="14" t="n">
        <x:v>3</x:v>
      </x:c>
      <x:c r="K735" s="14" t="str">
        <x:v>2号宿舍楼</x:v>
      </x:c>
      <x:c r="L735" s="14" t="n">
        <x:v>2</x:v>
      </x:c>
      <x:c r="M735" s="14" t="str">
        <x:v>16:47</x:v>
      </x:c>
      <x:c r="N735" s="14" t="str">
        <x:v>否</x:v>
      </x:c>
      <x:c r="O735" s="14" t="str">
        <x:v>否</x:v>
      </x:c>
      <x:c r="P735" s="14" t="str">
        <x:v>未提供</x:v>
      </x:c>
      <x:c r="Q735" s="14" t="str">
        <x:v>未提供</x:v>
      </x:c>
      <x:c r="R735" s="14" t="str">
        <x:v>预测</x:v>
      </x:c>
      <x:c r="S735" s="14" t="str">
        <x:v>到站时间为估算值</x:v>
      </x:c>
      <x:c r="T735" t="str">
        <x:v>研究生宿舍楼发车</x:v>
      </x:c>
    </x:row>
    <x:row r="736">
      <x:c r="A736" s="14" t="str">
        <x:v>S0060-04</x:v>
      </x:c>
      <x:c r="B736" s="14" t="str">
        <x:v>S0060</x:v>
      </x:c>
      <x:c r="C736" s="14" t="str">
        <x:v>工作日</x:v>
      </x:c>
      <x:c r="D736" s="14" t="str">
        <x:v>环线1路</x:v>
      </x:c>
      <x:c r="E736" s="14" t="str">
        <x:v>第四班（夜1）</x:v>
      </x:c>
      <x:c r="F736" s="14" t="n">
        <x:v>4</x:v>
      </x:c>
      <x:c r="G736" s="14" t="str">
        <x:v>16:45</x:v>
      </x:c>
      <x:c r="H736" s="14" t="str">
        <x:v>研究生宿舍楼</x:v>
      </x:c>
      <x:c r="I736" s="14" t="str">
        <x:v>否</x:v>
      </x:c>
      <x:c r="J736" s="14" t="n">
        <x:v>4</x:v>
      </x:c>
      <x:c r="K736" s="14" t="str">
        <x:v>军体活动中心</x:v>
      </x:c>
      <x:c r="L736" s="14" t="n">
        <x:v>3</x:v>
      </x:c>
      <x:c r="M736" s="14" t="str">
        <x:v>16:48</x:v>
      </x:c>
      <x:c r="N736" s="14" t="str">
        <x:v>否</x:v>
      </x:c>
      <x:c r="O736" s="14" t="str">
        <x:v>否</x:v>
      </x:c>
      <x:c r="P736" s="14" t="str">
        <x:v>未提供</x:v>
      </x:c>
      <x:c r="Q736" s="14" t="str">
        <x:v>未提供</x:v>
      </x:c>
      <x:c r="R736" s="14" t="str">
        <x:v>预测</x:v>
      </x:c>
      <x:c r="S736" s="14" t="str">
        <x:v>到站时间为估算值</x:v>
      </x:c>
      <x:c r="T736" t="str">
        <x:v>研究生宿舍楼发车</x:v>
      </x:c>
    </x:row>
    <x:row r="737">
      <x:c r="A737" s="14" t="str">
        <x:v>S0060-05</x:v>
      </x:c>
      <x:c r="B737" s="14" t="str">
        <x:v>S0060</x:v>
      </x:c>
      <x:c r="C737" s="14" t="str">
        <x:v>工作日</x:v>
      </x:c>
      <x:c r="D737" s="14" t="str">
        <x:v>环线1路</x:v>
      </x:c>
      <x:c r="E737" s="14" t="str">
        <x:v>第四班（夜1）</x:v>
      </x:c>
      <x:c r="F737" s="14" t="n">
        <x:v>4</x:v>
      </x:c>
      <x:c r="G737" s="14" t="str">
        <x:v>16:45</x:v>
      </x:c>
      <x:c r="H737" s="14" t="str">
        <x:v>研究生宿舍楼</x:v>
      </x:c>
      <x:c r="I737" s="14" t="str">
        <x:v>否</x:v>
      </x:c>
      <x:c r="J737" s="14" t="n">
        <x:v>5</x:v>
      </x:c>
      <x:c r="K737" s="14" t="str">
        <x:v>激光所</x:v>
      </x:c>
      <x:c r="L737" s="14" t="n">
        <x:v>5</x:v>
      </x:c>
      <x:c r="M737" s="14" t="str">
        <x:v>16:50</x:v>
      </x:c>
      <x:c r="N737" s="14" t="str">
        <x:v>否</x:v>
      </x:c>
      <x:c r="O737" s="14" t="str">
        <x:v>否</x:v>
      </x:c>
      <x:c r="P737" s="14" t="str">
        <x:v>未提供</x:v>
      </x:c>
      <x:c r="Q737" s="14" t="str">
        <x:v>未提供</x:v>
      </x:c>
      <x:c r="R737" s="14" t="str">
        <x:v>预测</x:v>
      </x:c>
      <x:c r="S737" s="14" t="str">
        <x:v>到站时间为估算值</x:v>
      </x:c>
      <x:c r="T737" t="str">
        <x:v>研究生宿舍楼发车</x:v>
      </x:c>
    </x:row>
    <x:row r="738">
      <x:c r="A738" s="14" t="str">
        <x:v>S0060-06</x:v>
      </x:c>
      <x:c r="B738" s="14" t="str">
        <x:v>S0060</x:v>
      </x:c>
      <x:c r="C738" s="14" t="str">
        <x:v>工作日</x:v>
      </x:c>
      <x:c r="D738" s="14" t="str">
        <x:v>环线1路</x:v>
      </x:c>
      <x:c r="E738" s="14" t="str">
        <x:v>第四班（夜1）</x:v>
      </x:c>
      <x:c r="F738" s="14" t="n">
        <x:v>4</x:v>
      </x:c>
      <x:c r="G738" s="14" t="str">
        <x:v>16:45</x:v>
      </x:c>
      <x:c r="H738" s="14" t="str">
        <x:v>研究生宿舍楼</x:v>
      </x:c>
      <x:c r="I738" s="14" t="str">
        <x:v>否</x:v>
      </x:c>
      <x:c r="J738" s="14" t="n">
        <x:v>6</x:v>
      </x:c>
      <x:c r="K738" s="14" t="str">
        <x:v>超算中心</x:v>
      </x:c>
      <x:c r="L738" s="14" t="n">
        <x:v>6</x:v>
      </x:c>
      <x:c r="M738" s="14" t="str">
        <x:v>16:51</x:v>
      </x:c>
      <x:c r="N738" s="14" t="str">
        <x:v>否</x:v>
      </x:c>
      <x:c r="O738" s="14" t="str">
        <x:v>否</x:v>
      </x:c>
      <x:c r="P738" s="14" t="str">
        <x:v>未提供</x:v>
      </x:c>
      <x:c r="Q738" s="14" t="str">
        <x:v>未提供</x:v>
      </x:c>
      <x:c r="R738" s="14" t="str">
        <x:v>预测</x:v>
      </x:c>
      <x:c r="S738" s="14" t="str">
        <x:v>到站时间为估算值</x:v>
      </x:c>
      <x:c r="T738" t="str">
        <x:v>研究生宿舍楼发车</x:v>
      </x:c>
    </x:row>
    <x:row r="739">
      <x:c r="A739" s="14" t="str">
        <x:v>S0060-07</x:v>
      </x:c>
      <x:c r="B739" s="14" t="str">
        <x:v>S0060</x:v>
      </x:c>
      <x:c r="C739" s="14" t="str">
        <x:v>工作日</x:v>
      </x:c>
      <x:c r="D739" s="14" t="str">
        <x:v>环线1路</x:v>
      </x:c>
      <x:c r="E739" s="14" t="str">
        <x:v>第四班（夜1）</x:v>
      </x:c>
      <x:c r="F739" s="14" t="n">
        <x:v>4</x:v>
      </x:c>
      <x:c r="G739" s="14" t="str">
        <x:v>16:45</x:v>
      </x:c>
      <x:c r="H739" s="14" t="str">
        <x:v>研究生宿舍楼</x:v>
      </x:c>
      <x:c r="I739" s="14" t="str">
        <x:v>否</x:v>
      </x:c>
      <x:c r="J739" s="14" t="n">
        <x:v>7</x:v>
      </x:c>
      <x:c r="K739" s="14" t="str">
        <x:v>北门</x:v>
      </x:c>
      <x:c r="L739" s="14" t="n">
        <x:v>8</x:v>
      </x:c>
      <x:c r="M739" s="14" t="str">
        <x:v>16:53</x:v>
      </x:c>
      <x:c r="N739" s="14" t="str">
        <x:v>否</x:v>
      </x:c>
      <x:c r="O739" s="14" t="str">
        <x:v>否</x:v>
      </x:c>
      <x:c r="P739" s="14" t="str">
        <x:v>未提供</x:v>
      </x:c>
      <x:c r="Q739" s="14" t="str">
        <x:v>未提供</x:v>
      </x:c>
      <x:c r="R739" s="14" t="str">
        <x:v>预测</x:v>
      </x:c>
      <x:c r="S739" s="14" t="str">
        <x:v>到站时间为估算值</x:v>
      </x:c>
      <x:c r="T739" t="str">
        <x:v>研究生宿舍楼发车</x:v>
      </x:c>
    </x:row>
    <x:row r="740">
      <x:c r="A740" s="14" t="str">
        <x:v>S0060-08</x:v>
      </x:c>
      <x:c r="B740" s="14" t="str">
        <x:v>S0060</x:v>
      </x:c>
      <x:c r="C740" s="14" t="str">
        <x:v>工作日</x:v>
      </x:c>
      <x:c r="D740" s="14" t="str">
        <x:v>环线1路</x:v>
      </x:c>
      <x:c r="E740" s="14" t="str">
        <x:v>第四班（夜1）</x:v>
      </x:c>
      <x:c r="F740" s="14" t="n">
        <x:v>4</x:v>
      </x:c>
      <x:c r="G740" s="14" t="str">
        <x:v>16:45</x:v>
      </x:c>
      <x:c r="H740" s="14" t="str">
        <x:v>研究生宿舍楼</x:v>
      </x:c>
      <x:c r="I740" s="14" t="str">
        <x:v>否</x:v>
      </x:c>
      <x:c r="J740" s="14" t="n">
        <x:v>8</x:v>
      </x:c>
      <x:c r="K740" s="14" t="str">
        <x:v>高超楼</x:v>
      </x:c>
      <x:c r="L740" s="14" t="n">
        <x:v>9</x:v>
      </x:c>
      <x:c r="M740" s="14" t="str">
        <x:v>16:54</x:v>
      </x:c>
      <x:c r="N740" s="14" t="str">
        <x:v>否</x:v>
      </x:c>
      <x:c r="O740" s="14" t="str">
        <x:v>否</x:v>
      </x:c>
      <x:c r="P740" s="14" t="str">
        <x:v>未提供</x:v>
      </x:c>
      <x:c r="Q740" s="14" t="str">
        <x:v>未提供</x:v>
      </x:c>
      <x:c r="R740" s="14" t="str">
        <x:v>预测</x:v>
      </x:c>
      <x:c r="S740" s="14" t="str">
        <x:v>到站时间为估算值</x:v>
      </x:c>
      <x:c r="T740" t="str">
        <x:v>研究生宿舍楼发车</x:v>
      </x:c>
    </x:row>
    <x:row r="741">
      <x:c r="A741" s="14" t="str">
        <x:v>S0060-09</x:v>
      </x:c>
      <x:c r="B741" s="14" t="str">
        <x:v>S0060</x:v>
      </x:c>
      <x:c r="C741" s="14" t="str">
        <x:v>工作日</x:v>
      </x:c>
      <x:c r="D741" s="14" t="str">
        <x:v>环线1路</x:v>
      </x:c>
      <x:c r="E741" s="14" t="str">
        <x:v>第四班（夜1）</x:v>
      </x:c>
      <x:c r="F741" s="14" t="n">
        <x:v>4</x:v>
      </x:c>
      <x:c r="G741" s="14" t="str">
        <x:v>16:45</x:v>
      </x:c>
      <x:c r="H741" s="14" t="str">
        <x:v>研究生宿舍楼</x:v>
      </x:c>
      <x:c r="I741" s="14" t="str">
        <x:v>否</x:v>
      </x:c>
      <x:c r="J741" s="14" t="n">
        <x:v>9</x:v>
      </x:c>
      <x:c r="K741" s="14" t="str">
        <x:v>理学院</x:v>
      </x:c>
      <x:c r="L741" s="14" t="n">
        <x:v>10</x:v>
      </x:c>
      <x:c r="M741" s="14" t="str">
        <x:v>16:55</x:v>
      </x:c>
      <x:c r="N741" s="14" t="str">
        <x:v>否</x:v>
      </x:c>
      <x:c r="O741" s="14" t="str">
        <x:v>否</x:v>
      </x:c>
      <x:c r="P741" s="14" t="str">
        <x:v>未提供</x:v>
      </x:c>
      <x:c r="Q741" s="14" t="str">
        <x:v>未提供</x:v>
      </x:c>
      <x:c r="R741" s="14" t="str">
        <x:v>预测</x:v>
      </x:c>
      <x:c r="S741" s="14" t="str">
        <x:v>到站时间为估算值</x:v>
      </x:c>
      <x:c r="T741" t="str">
        <x:v>研究生宿舍楼发车</x:v>
      </x:c>
    </x:row>
    <x:row r="742">
      <x:c r="A742" s="14" t="str">
        <x:v>S0060-10</x:v>
      </x:c>
      <x:c r="B742" s="14" t="str">
        <x:v>S0060</x:v>
      </x:c>
      <x:c r="C742" s="14" t="str">
        <x:v>工作日</x:v>
      </x:c>
      <x:c r="D742" s="14" t="str">
        <x:v>环线1路</x:v>
      </x:c>
      <x:c r="E742" s="14" t="str">
        <x:v>第四班（夜1）</x:v>
      </x:c>
      <x:c r="F742" s="14" t="n">
        <x:v>4</x:v>
      </x:c>
      <x:c r="G742" s="14" t="str">
        <x:v>16:45</x:v>
      </x:c>
      <x:c r="H742" s="14" t="str">
        <x:v>研究生宿舍楼</x:v>
      </x:c>
      <x:c r="I742" s="14" t="str">
        <x:v>否</x:v>
      </x:c>
      <x:c r="J742" s="14" t="n">
        <x:v>10</x:v>
      </x:c>
      <x:c r="K742" s="14" t="str">
        <x:v>二食堂</x:v>
      </x:c>
      <x:c r="L742" s="14" t="n">
        <x:v>13</x:v>
      </x:c>
      <x:c r="M742" s="14" t="str">
        <x:v>16:58</x:v>
      </x:c>
      <x:c r="N742" s="14" t="str">
        <x:v>否</x:v>
      </x:c>
      <x:c r="O742" s="14" t="str">
        <x:v>否</x:v>
      </x:c>
      <x:c r="P742" s="14" t="str">
        <x:v>未提供</x:v>
      </x:c>
      <x:c r="Q742" s="14" t="str">
        <x:v>未提供</x:v>
      </x:c>
      <x:c r="R742" s="14" t="str">
        <x:v>预测</x:v>
      </x:c>
      <x:c r="S742" s="14" t="str">
        <x:v>到站时间为估算值</x:v>
      </x:c>
      <x:c r="T742" t="str">
        <x:v>研究生宿舍楼发车</x:v>
      </x:c>
    </x:row>
    <x:row r="743">
      <x:c r="A743" s="14" t="str">
        <x:v>S0060-11</x:v>
      </x:c>
      <x:c r="B743" s="14" t="str">
        <x:v>S0060</x:v>
      </x:c>
      <x:c r="C743" s="14" t="str">
        <x:v>工作日</x:v>
      </x:c>
      <x:c r="D743" s="14" t="str">
        <x:v>环线1路</x:v>
      </x:c>
      <x:c r="E743" s="14" t="str">
        <x:v>第四班（夜1）</x:v>
      </x:c>
      <x:c r="F743" s="14" t="n">
        <x:v>4</x:v>
      </x:c>
      <x:c r="G743" s="14" t="str">
        <x:v>16:45</x:v>
      </x:c>
      <x:c r="H743" s="14" t="str">
        <x:v>研究生宿舍楼</x:v>
      </x:c>
      <x:c r="I743" s="14" t="str">
        <x:v>否</x:v>
      </x:c>
      <x:c r="J743" s="14" t="n">
        <x:v>11</x:v>
      </x:c>
      <x:c r="K743" s="14" t="str">
        <x:v>5号宿舍楼</x:v>
      </x:c>
      <x:c r="L743" s="14" t="n">
        <x:v>14</x:v>
      </x:c>
      <x:c r="M743" s="14" t="str">
        <x:v>16:59</x:v>
      </x:c>
      <x:c r="N743" s="14" t="str">
        <x:v>否</x:v>
      </x:c>
      <x:c r="O743" s="14" t="str">
        <x:v>否</x:v>
      </x:c>
      <x:c r="P743" s="14" t="str">
        <x:v>未提供</x:v>
      </x:c>
      <x:c r="Q743" s="14" t="str">
        <x:v>未提供</x:v>
      </x:c>
      <x:c r="R743" s="14" t="str">
        <x:v>预测</x:v>
      </x:c>
      <x:c r="S743" s="14" t="str">
        <x:v>到站时间为估算值</x:v>
      </x:c>
      <x:c r="T743" t="str">
        <x:v>研究生宿舍楼发车</x:v>
      </x:c>
    </x:row>
    <x:row r="744">
      <x:c r="A744" s="14" t="str">
        <x:v>S0060-12</x:v>
      </x:c>
      <x:c r="B744" s="14" t="str">
        <x:v>S0060</x:v>
      </x:c>
      <x:c r="C744" s="14" t="str">
        <x:v>工作日</x:v>
      </x:c>
      <x:c r="D744" s="14" t="str">
        <x:v>环线1路</x:v>
      </x:c>
      <x:c r="E744" s="14" t="str">
        <x:v>第四班（夜1）</x:v>
      </x:c>
      <x:c r="F744" s="14" t="n">
        <x:v>4</x:v>
      </x:c>
      <x:c r="G744" s="14" t="str">
        <x:v>16:45</x:v>
      </x:c>
      <x:c r="H744" s="14" t="str">
        <x:v>研究生宿舍楼</x:v>
      </x:c>
      <x:c r="I744" s="14" t="str">
        <x:v>否</x:v>
      </x:c>
      <x:c r="J744" s="14" t="n">
        <x:v>12</x:v>
      </x:c>
      <x:c r="K744" s="14" t="str">
        <x:v>305教学楼</x:v>
      </x:c>
      <x:c r="L744" s="14" t="n">
        <x:v>15</x:v>
      </x:c>
      <x:c r="M744" s="14" t="str">
        <x:v>17:00</x:v>
      </x:c>
      <x:c r="N744" s="14" t="str">
        <x:v>否</x:v>
      </x:c>
      <x:c r="O744" s="14" t="str">
        <x:v>否</x:v>
      </x:c>
      <x:c r="P744" s="14" t="str">
        <x:v>未提供</x:v>
      </x:c>
      <x:c r="Q744" s="14" t="str">
        <x:v>未提供</x:v>
      </x:c>
      <x:c r="R744" s="14" t="str">
        <x:v>预测</x:v>
      </x:c>
      <x:c r="S744" s="14" t="str">
        <x:v>到站时间为估算值</x:v>
      </x:c>
      <x:c r="T744" t="str">
        <x:v>研究生宿舍楼发车</x:v>
      </x:c>
    </x:row>
    <x:row r="745">
      <x:c r="A745" s="14" t="str">
        <x:v>S0060-13</x:v>
      </x:c>
      <x:c r="B745" s="14" t="str">
        <x:v>S0060</x:v>
      </x:c>
      <x:c r="C745" s="14" t="str">
        <x:v>工作日</x:v>
      </x:c>
      <x:c r="D745" s="14" t="str">
        <x:v>环线1路</x:v>
      </x:c>
      <x:c r="E745" s="14" t="str">
        <x:v>第四班（夜1）</x:v>
      </x:c>
      <x:c r="F745" s="14" t="n">
        <x:v>4</x:v>
      </x:c>
      <x:c r="G745" s="14" t="str">
        <x:v>16:45</x:v>
      </x:c>
      <x:c r="H745" s="14" t="str">
        <x:v>研究生宿舍楼</x:v>
      </x:c>
      <x:c r="I745" s="14" t="str">
        <x:v>否</x:v>
      </x:c>
      <x:c r="J745" s="14" t="n">
        <x:v>13</x:v>
      </x:c>
      <x:c r="K745" s="14" t="str">
        <x:v>研究生宿舍楼</x:v>
      </x:c>
      <x:c r="L745" s="14" t="n">
        <x:v>17</x:v>
      </x:c>
      <x:c r="M745" s="14" t="str">
        <x:v>17:02</x:v>
      </x:c>
      <x:c r="N745" s="14" t="str">
        <x:v>否</x:v>
      </x:c>
      <x:c r="O745" s="14" t="str">
        <x:v>是</x:v>
      </x:c>
      <x:c r="P745" s="14" t="str">
        <x:v>未提供</x:v>
      </x:c>
      <x:c r="Q745" s="14" t="str">
        <x:v>未提供</x:v>
      </x:c>
      <x:c r="R745" s="14" t="str">
        <x:v>预测</x:v>
      </x:c>
      <x:c r="S745" s="14" t="str">
        <x:v>到站时间为估算值</x:v>
      </x:c>
      <x:c r="T745" t="str">
        <x:v>研究生宿舍楼发车</x:v>
      </x:c>
    </x:row>
    <x:row r="746">
      <x:c r="A746" s="14" t="str">
        <x:v>S0061-01</x:v>
      </x:c>
      <x:c r="B746" s="14" t="str">
        <x:v>S0061</x:v>
      </x:c>
      <x:c r="C746" s="14" t="str">
        <x:v>工作日</x:v>
      </x:c>
      <x:c r="D746" s="14" t="str">
        <x:v>环线1路</x:v>
      </x:c>
      <x:c r="E746" s="14" t="str">
        <x:v>第四班（夜1）</x:v>
      </x:c>
      <x:c r="F746" s="14" t="n">
        <x:v>5</x:v>
      </x:c>
      <x:c r="G746" s="14" t="str">
        <x:v>17:45</x:v>
      </x:c>
      <x:c r="H746" s="14" t="str">
        <x:v>研究生宿舍楼</x:v>
      </x:c>
      <x:c r="I746" s="14" t="str">
        <x:v>否</x:v>
      </x:c>
      <x:c r="J746" s="14" t="n">
        <x:v>1</x:v>
      </x:c>
      <x:c r="K746" s="14" t="str">
        <x:v>研究生宿舍楼</x:v>
      </x:c>
      <x:c r="L746" s="14" t="n">
        <x:v>0</x:v>
      </x:c>
      <x:c r="M746" s="14" t="str">
        <x:v>17:45</x:v>
      </x:c>
      <x:c r="N746" s="14" t="str">
        <x:v>是</x:v>
      </x:c>
      <x:c r="O746" s="14" t="str">
        <x:v>否</x:v>
      </x:c>
      <x:c r="P746" s="14" t="str">
        <x:v>未提供</x:v>
      </x:c>
      <x:c r="Q746" s="14" t="str">
        <x:v>未提供</x:v>
      </x:c>
      <x:c r="R746" s="14" t="str">
        <x:v>预测</x:v>
      </x:c>
      <x:c r="S746" s="14" t="str">
        <x:v>到站时间为估算值</x:v>
      </x:c>
      <x:c r="T746" t="str">
        <x:v>研究生宿舍楼发车</x:v>
      </x:c>
    </x:row>
    <x:row r="747">
      <x:c r="A747" s="14" t="str">
        <x:v>S0061-02</x:v>
      </x:c>
      <x:c r="B747" s="14" t="str">
        <x:v>S0061</x:v>
      </x:c>
      <x:c r="C747" s="14" t="str">
        <x:v>工作日</x:v>
      </x:c>
      <x:c r="D747" s="14" t="str">
        <x:v>环线1路</x:v>
      </x:c>
      <x:c r="E747" s="14" t="str">
        <x:v>第四班（夜1）</x:v>
      </x:c>
      <x:c r="F747" s="14" t="n">
        <x:v>5</x:v>
      </x:c>
      <x:c r="G747" s="14" t="str">
        <x:v>17:45</x:v>
      </x:c>
      <x:c r="H747" s="14" t="str">
        <x:v>研究生宿舍楼</x:v>
      </x:c>
      <x:c r="I747" s="14" t="str">
        <x:v>否</x:v>
      </x:c>
      <x:c r="J747" s="14" t="n">
        <x:v>2</x:v>
      </x:c>
      <x:c r="K747" s="14" t="str">
        <x:v>东门</x:v>
      </x:c>
      <x:c r="L747" s="14" t="n">
        <x:v>1</x:v>
      </x:c>
      <x:c r="M747" s="14" t="str">
        <x:v>17:46</x:v>
      </x:c>
      <x:c r="N747" s="14" t="str">
        <x:v>否</x:v>
      </x:c>
      <x:c r="O747" s="14" t="str">
        <x:v>否</x:v>
      </x:c>
      <x:c r="P747" s="14" t="str">
        <x:v>未提供</x:v>
      </x:c>
      <x:c r="Q747" s="14" t="str">
        <x:v>未提供</x:v>
      </x:c>
      <x:c r="R747" s="14" t="str">
        <x:v>预测</x:v>
      </x:c>
      <x:c r="S747" s="14" t="str">
        <x:v>到站时间为估算值</x:v>
      </x:c>
      <x:c r="T747" t="str">
        <x:v>研究生宿舍楼发车</x:v>
      </x:c>
    </x:row>
    <x:row r="748">
      <x:c r="A748" s="14" t="str">
        <x:v>S0061-03</x:v>
      </x:c>
      <x:c r="B748" s="14" t="str">
        <x:v>S0061</x:v>
      </x:c>
      <x:c r="C748" s="14" t="str">
        <x:v>工作日</x:v>
      </x:c>
      <x:c r="D748" s="14" t="str">
        <x:v>环线1路</x:v>
      </x:c>
      <x:c r="E748" s="14" t="str">
        <x:v>第四班（夜1）</x:v>
      </x:c>
      <x:c r="F748" s="14" t="n">
        <x:v>5</x:v>
      </x:c>
      <x:c r="G748" s="14" t="str">
        <x:v>17:45</x:v>
      </x:c>
      <x:c r="H748" s="14" t="str">
        <x:v>研究生宿舍楼</x:v>
      </x:c>
      <x:c r="I748" s="14" t="str">
        <x:v>否</x:v>
      </x:c>
      <x:c r="J748" s="14" t="n">
        <x:v>3</x:v>
      </x:c>
      <x:c r="K748" s="14" t="str">
        <x:v>2号宿舍楼</x:v>
      </x:c>
      <x:c r="L748" s="14" t="n">
        <x:v>2</x:v>
      </x:c>
      <x:c r="M748" s="14" t="str">
        <x:v>17:47</x:v>
      </x:c>
      <x:c r="N748" s="14" t="str">
        <x:v>否</x:v>
      </x:c>
      <x:c r="O748" s="14" t="str">
        <x:v>否</x:v>
      </x:c>
      <x:c r="P748" s="14" t="str">
        <x:v>未提供</x:v>
      </x:c>
      <x:c r="Q748" s="14" t="str">
        <x:v>未提供</x:v>
      </x:c>
      <x:c r="R748" s="14" t="str">
        <x:v>预测</x:v>
      </x:c>
      <x:c r="S748" s="14" t="str">
        <x:v>到站时间为估算值</x:v>
      </x:c>
      <x:c r="T748" t="str">
        <x:v>研究生宿舍楼发车</x:v>
      </x:c>
    </x:row>
    <x:row r="749">
      <x:c r="A749" s="14" t="str">
        <x:v>S0061-04</x:v>
      </x:c>
      <x:c r="B749" s="14" t="str">
        <x:v>S0061</x:v>
      </x:c>
      <x:c r="C749" s="14" t="str">
        <x:v>工作日</x:v>
      </x:c>
      <x:c r="D749" s="14" t="str">
        <x:v>环线1路</x:v>
      </x:c>
      <x:c r="E749" s="14" t="str">
        <x:v>第四班（夜1）</x:v>
      </x:c>
      <x:c r="F749" s="14" t="n">
        <x:v>5</x:v>
      </x:c>
      <x:c r="G749" s="14" t="str">
        <x:v>17:45</x:v>
      </x:c>
      <x:c r="H749" s="14" t="str">
        <x:v>研究生宿舍楼</x:v>
      </x:c>
      <x:c r="I749" s="14" t="str">
        <x:v>否</x:v>
      </x:c>
      <x:c r="J749" s="14" t="n">
        <x:v>4</x:v>
      </x:c>
      <x:c r="K749" s="14" t="str">
        <x:v>军体活动中心</x:v>
      </x:c>
      <x:c r="L749" s="14" t="n">
        <x:v>3</x:v>
      </x:c>
      <x:c r="M749" s="14" t="str">
        <x:v>17:48</x:v>
      </x:c>
      <x:c r="N749" s="14" t="str">
        <x:v>否</x:v>
      </x:c>
      <x:c r="O749" s="14" t="str">
        <x:v>否</x:v>
      </x:c>
      <x:c r="P749" s="14" t="str">
        <x:v>未提供</x:v>
      </x:c>
      <x:c r="Q749" s="14" t="str">
        <x:v>未提供</x:v>
      </x:c>
      <x:c r="R749" s="14" t="str">
        <x:v>预测</x:v>
      </x:c>
      <x:c r="S749" s="14" t="str">
        <x:v>到站时间为估算值</x:v>
      </x:c>
      <x:c r="T749" t="str">
        <x:v>研究生宿舍楼发车</x:v>
      </x:c>
    </x:row>
    <x:row r="750">
      <x:c r="A750" s="14" t="str">
        <x:v>S0061-05</x:v>
      </x:c>
      <x:c r="B750" s="14" t="str">
        <x:v>S0061</x:v>
      </x:c>
      <x:c r="C750" s="14" t="str">
        <x:v>工作日</x:v>
      </x:c>
      <x:c r="D750" s="14" t="str">
        <x:v>环线1路</x:v>
      </x:c>
      <x:c r="E750" s="14" t="str">
        <x:v>第四班（夜1）</x:v>
      </x:c>
      <x:c r="F750" s="14" t="n">
        <x:v>5</x:v>
      </x:c>
      <x:c r="G750" s="14" t="str">
        <x:v>17:45</x:v>
      </x:c>
      <x:c r="H750" s="14" t="str">
        <x:v>研究生宿舍楼</x:v>
      </x:c>
      <x:c r="I750" s="14" t="str">
        <x:v>否</x:v>
      </x:c>
      <x:c r="J750" s="14" t="n">
        <x:v>5</x:v>
      </x:c>
      <x:c r="K750" s="14" t="str">
        <x:v>激光所</x:v>
      </x:c>
      <x:c r="L750" s="14" t="n">
        <x:v>5</x:v>
      </x:c>
      <x:c r="M750" s="14" t="str">
        <x:v>17:50</x:v>
      </x:c>
      <x:c r="N750" s="14" t="str">
        <x:v>否</x:v>
      </x:c>
      <x:c r="O750" s="14" t="str">
        <x:v>否</x:v>
      </x:c>
      <x:c r="P750" s="14" t="str">
        <x:v>未提供</x:v>
      </x:c>
      <x:c r="Q750" s="14" t="str">
        <x:v>未提供</x:v>
      </x:c>
      <x:c r="R750" s="14" t="str">
        <x:v>预测</x:v>
      </x:c>
      <x:c r="S750" s="14" t="str">
        <x:v>到站时间为估算值</x:v>
      </x:c>
      <x:c r="T750" t="str">
        <x:v>研究生宿舍楼发车</x:v>
      </x:c>
    </x:row>
    <x:row r="751">
      <x:c r="A751" s="14" t="str">
        <x:v>S0061-06</x:v>
      </x:c>
      <x:c r="B751" s="14" t="str">
        <x:v>S0061</x:v>
      </x:c>
      <x:c r="C751" s="14" t="str">
        <x:v>工作日</x:v>
      </x:c>
      <x:c r="D751" s="14" t="str">
        <x:v>环线1路</x:v>
      </x:c>
      <x:c r="E751" s="14" t="str">
        <x:v>第四班（夜1）</x:v>
      </x:c>
      <x:c r="F751" s="14" t="n">
        <x:v>5</x:v>
      </x:c>
      <x:c r="G751" s="14" t="str">
        <x:v>17:45</x:v>
      </x:c>
      <x:c r="H751" s="14" t="str">
        <x:v>研究生宿舍楼</x:v>
      </x:c>
      <x:c r="I751" s="14" t="str">
        <x:v>否</x:v>
      </x:c>
      <x:c r="J751" s="14" t="n">
        <x:v>6</x:v>
      </x:c>
      <x:c r="K751" s="14" t="str">
        <x:v>超算中心</x:v>
      </x:c>
      <x:c r="L751" s="14" t="n">
        <x:v>6</x:v>
      </x:c>
      <x:c r="M751" s="14" t="str">
        <x:v>17:51</x:v>
      </x:c>
      <x:c r="N751" s="14" t="str">
        <x:v>否</x:v>
      </x:c>
      <x:c r="O751" s="14" t="str">
        <x:v>否</x:v>
      </x:c>
      <x:c r="P751" s="14" t="str">
        <x:v>未提供</x:v>
      </x:c>
      <x:c r="Q751" s="14" t="str">
        <x:v>未提供</x:v>
      </x:c>
      <x:c r="R751" s="14" t="str">
        <x:v>预测</x:v>
      </x:c>
      <x:c r="S751" s="14" t="str">
        <x:v>到站时间为估算值</x:v>
      </x:c>
      <x:c r="T751" t="str">
        <x:v>研究生宿舍楼发车</x:v>
      </x:c>
    </x:row>
    <x:row r="752">
      <x:c r="A752" s="14" t="str">
        <x:v>S0061-07</x:v>
      </x:c>
      <x:c r="B752" s="14" t="str">
        <x:v>S0061</x:v>
      </x:c>
      <x:c r="C752" s="14" t="str">
        <x:v>工作日</x:v>
      </x:c>
      <x:c r="D752" s="14" t="str">
        <x:v>环线1路</x:v>
      </x:c>
      <x:c r="E752" s="14" t="str">
        <x:v>第四班（夜1）</x:v>
      </x:c>
      <x:c r="F752" s="14" t="n">
        <x:v>5</x:v>
      </x:c>
      <x:c r="G752" s="14" t="str">
        <x:v>17:45</x:v>
      </x:c>
      <x:c r="H752" s="14" t="str">
        <x:v>研究生宿舍楼</x:v>
      </x:c>
      <x:c r="I752" s="14" t="str">
        <x:v>否</x:v>
      </x:c>
      <x:c r="J752" s="14" t="n">
        <x:v>7</x:v>
      </x:c>
      <x:c r="K752" s="14" t="str">
        <x:v>北门</x:v>
      </x:c>
      <x:c r="L752" s="14" t="n">
        <x:v>8</x:v>
      </x:c>
      <x:c r="M752" s="14" t="str">
        <x:v>17:53</x:v>
      </x:c>
      <x:c r="N752" s="14" t="str">
        <x:v>否</x:v>
      </x:c>
      <x:c r="O752" s="14" t="str">
        <x:v>否</x:v>
      </x:c>
      <x:c r="P752" s="14" t="str">
        <x:v>未提供</x:v>
      </x:c>
      <x:c r="Q752" s="14" t="str">
        <x:v>未提供</x:v>
      </x:c>
      <x:c r="R752" s="14" t="str">
        <x:v>预测</x:v>
      </x:c>
      <x:c r="S752" s="14" t="str">
        <x:v>到站时间为估算值</x:v>
      </x:c>
      <x:c r="T752" t="str">
        <x:v>研究生宿舍楼发车</x:v>
      </x:c>
    </x:row>
    <x:row r="753">
      <x:c r="A753" s="14" t="str">
        <x:v>S0061-08</x:v>
      </x:c>
      <x:c r="B753" s="14" t="str">
        <x:v>S0061</x:v>
      </x:c>
      <x:c r="C753" s="14" t="str">
        <x:v>工作日</x:v>
      </x:c>
      <x:c r="D753" s="14" t="str">
        <x:v>环线1路</x:v>
      </x:c>
      <x:c r="E753" s="14" t="str">
        <x:v>第四班（夜1）</x:v>
      </x:c>
      <x:c r="F753" s="14" t="n">
        <x:v>5</x:v>
      </x:c>
      <x:c r="G753" s="14" t="str">
        <x:v>17:45</x:v>
      </x:c>
      <x:c r="H753" s="14" t="str">
        <x:v>研究生宿舍楼</x:v>
      </x:c>
      <x:c r="I753" s="14" t="str">
        <x:v>否</x:v>
      </x:c>
      <x:c r="J753" s="14" t="n">
        <x:v>8</x:v>
      </x:c>
      <x:c r="K753" s="14" t="str">
        <x:v>高超楼</x:v>
      </x:c>
      <x:c r="L753" s="14" t="n">
        <x:v>9</x:v>
      </x:c>
      <x:c r="M753" s="14" t="str">
        <x:v>17:54</x:v>
      </x:c>
      <x:c r="N753" s="14" t="str">
        <x:v>否</x:v>
      </x:c>
      <x:c r="O753" s="14" t="str">
        <x:v>否</x:v>
      </x:c>
      <x:c r="P753" s="14" t="str">
        <x:v>未提供</x:v>
      </x:c>
      <x:c r="Q753" s="14" t="str">
        <x:v>未提供</x:v>
      </x:c>
      <x:c r="R753" s="14" t="str">
        <x:v>预测</x:v>
      </x:c>
      <x:c r="S753" s="14" t="str">
        <x:v>到站时间为估算值</x:v>
      </x:c>
      <x:c r="T753" t="str">
        <x:v>研究生宿舍楼发车</x:v>
      </x:c>
    </x:row>
    <x:row r="754">
      <x:c r="A754" s="14" t="str">
        <x:v>S0061-09</x:v>
      </x:c>
      <x:c r="B754" s="14" t="str">
        <x:v>S0061</x:v>
      </x:c>
      <x:c r="C754" s="14" t="str">
        <x:v>工作日</x:v>
      </x:c>
      <x:c r="D754" s="14" t="str">
        <x:v>环线1路</x:v>
      </x:c>
      <x:c r="E754" s="14" t="str">
        <x:v>第四班（夜1）</x:v>
      </x:c>
      <x:c r="F754" s="14" t="n">
        <x:v>5</x:v>
      </x:c>
      <x:c r="G754" s="14" t="str">
        <x:v>17:45</x:v>
      </x:c>
      <x:c r="H754" s="14" t="str">
        <x:v>研究生宿舍楼</x:v>
      </x:c>
      <x:c r="I754" s="14" t="str">
        <x:v>否</x:v>
      </x:c>
      <x:c r="J754" s="14" t="n">
        <x:v>9</x:v>
      </x:c>
      <x:c r="K754" s="14" t="str">
        <x:v>理学院</x:v>
      </x:c>
      <x:c r="L754" s="14" t="n">
        <x:v>10</x:v>
      </x:c>
      <x:c r="M754" s="14" t="str">
        <x:v>17:55</x:v>
      </x:c>
      <x:c r="N754" s="14" t="str">
        <x:v>否</x:v>
      </x:c>
      <x:c r="O754" s="14" t="str">
        <x:v>否</x:v>
      </x:c>
      <x:c r="P754" s="14" t="str">
        <x:v>未提供</x:v>
      </x:c>
      <x:c r="Q754" s="14" t="str">
        <x:v>未提供</x:v>
      </x:c>
      <x:c r="R754" s="14" t="str">
        <x:v>预测</x:v>
      </x:c>
      <x:c r="S754" s="14" t="str">
        <x:v>到站时间为估算值</x:v>
      </x:c>
      <x:c r="T754" t="str">
        <x:v>研究生宿舍楼发车</x:v>
      </x:c>
    </x:row>
    <x:row r="755">
      <x:c r="A755" s="14" t="str">
        <x:v>S0061-10</x:v>
      </x:c>
      <x:c r="B755" s="14" t="str">
        <x:v>S0061</x:v>
      </x:c>
      <x:c r="C755" s="14" t="str">
        <x:v>工作日</x:v>
      </x:c>
      <x:c r="D755" s="14" t="str">
        <x:v>环线1路</x:v>
      </x:c>
      <x:c r="E755" s="14" t="str">
        <x:v>第四班（夜1）</x:v>
      </x:c>
      <x:c r="F755" s="14" t="n">
        <x:v>5</x:v>
      </x:c>
      <x:c r="G755" s="14" t="str">
        <x:v>17:45</x:v>
      </x:c>
      <x:c r="H755" s="14" t="str">
        <x:v>研究生宿舍楼</x:v>
      </x:c>
      <x:c r="I755" s="14" t="str">
        <x:v>否</x:v>
      </x:c>
      <x:c r="J755" s="14" t="n">
        <x:v>10</x:v>
      </x:c>
      <x:c r="K755" s="14" t="str">
        <x:v>二食堂</x:v>
      </x:c>
      <x:c r="L755" s="14" t="n">
        <x:v>13</x:v>
      </x:c>
      <x:c r="M755" s="14" t="str">
        <x:v>17:58</x:v>
      </x:c>
      <x:c r="N755" s="14" t="str">
        <x:v>否</x:v>
      </x:c>
      <x:c r="O755" s="14" t="str">
        <x:v>否</x:v>
      </x:c>
      <x:c r="P755" s="14" t="str">
        <x:v>未提供</x:v>
      </x:c>
      <x:c r="Q755" s="14" t="str">
        <x:v>未提供</x:v>
      </x:c>
      <x:c r="R755" s="14" t="str">
        <x:v>预测</x:v>
      </x:c>
      <x:c r="S755" s="14" t="str">
        <x:v>到站时间为估算值</x:v>
      </x:c>
      <x:c r="T755" t="str">
        <x:v>研究生宿舍楼发车</x:v>
      </x:c>
    </x:row>
    <x:row r="756">
      <x:c r="A756" s="14" t="str">
        <x:v>S0061-11</x:v>
      </x:c>
      <x:c r="B756" s="14" t="str">
        <x:v>S0061</x:v>
      </x:c>
      <x:c r="C756" s="14" t="str">
        <x:v>工作日</x:v>
      </x:c>
      <x:c r="D756" s="14" t="str">
        <x:v>环线1路</x:v>
      </x:c>
      <x:c r="E756" s="14" t="str">
        <x:v>第四班（夜1）</x:v>
      </x:c>
      <x:c r="F756" s="14" t="n">
        <x:v>5</x:v>
      </x:c>
      <x:c r="G756" s="14" t="str">
        <x:v>17:45</x:v>
      </x:c>
      <x:c r="H756" s="14" t="str">
        <x:v>研究生宿舍楼</x:v>
      </x:c>
      <x:c r="I756" s="14" t="str">
        <x:v>否</x:v>
      </x:c>
      <x:c r="J756" s="14" t="n">
        <x:v>11</x:v>
      </x:c>
      <x:c r="K756" s="14" t="str">
        <x:v>5号宿舍楼</x:v>
      </x:c>
      <x:c r="L756" s="14" t="n">
        <x:v>14</x:v>
      </x:c>
      <x:c r="M756" s="14" t="str">
        <x:v>17:59</x:v>
      </x:c>
      <x:c r="N756" s="14" t="str">
        <x:v>否</x:v>
      </x:c>
      <x:c r="O756" s="14" t="str">
        <x:v>否</x:v>
      </x:c>
      <x:c r="P756" s="14" t="str">
        <x:v>未提供</x:v>
      </x:c>
      <x:c r="Q756" s="14" t="str">
        <x:v>未提供</x:v>
      </x:c>
      <x:c r="R756" s="14" t="str">
        <x:v>预测</x:v>
      </x:c>
      <x:c r="S756" s="14" t="str">
        <x:v>到站时间为估算值</x:v>
      </x:c>
      <x:c r="T756" t="str">
        <x:v>研究生宿舍楼发车</x:v>
      </x:c>
    </x:row>
    <x:row r="757">
      <x:c r="A757" s="14" t="str">
        <x:v>S0061-12</x:v>
      </x:c>
      <x:c r="B757" s="14" t="str">
        <x:v>S0061</x:v>
      </x:c>
      <x:c r="C757" s="14" t="str">
        <x:v>工作日</x:v>
      </x:c>
      <x:c r="D757" s="14" t="str">
        <x:v>环线1路</x:v>
      </x:c>
      <x:c r="E757" s="14" t="str">
        <x:v>第四班（夜1）</x:v>
      </x:c>
      <x:c r="F757" s="14" t="n">
        <x:v>5</x:v>
      </x:c>
      <x:c r="G757" s="14" t="str">
        <x:v>17:45</x:v>
      </x:c>
      <x:c r="H757" s="14" t="str">
        <x:v>研究生宿舍楼</x:v>
      </x:c>
      <x:c r="I757" s="14" t="str">
        <x:v>否</x:v>
      </x:c>
      <x:c r="J757" s="14" t="n">
        <x:v>12</x:v>
      </x:c>
      <x:c r="K757" s="14" t="str">
        <x:v>305教学楼</x:v>
      </x:c>
      <x:c r="L757" s="14" t="n">
        <x:v>15</x:v>
      </x:c>
      <x:c r="M757" s="14" t="str">
        <x:v>18:00</x:v>
      </x:c>
      <x:c r="N757" s="14" t="str">
        <x:v>否</x:v>
      </x:c>
      <x:c r="O757" s="14" t="str">
        <x:v>否</x:v>
      </x:c>
      <x:c r="P757" s="14" t="str">
        <x:v>未提供</x:v>
      </x:c>
      <x:c r="Q757" s="14" t="str">
        <x:v>未提供</x:v>
      </x:c>
      <x:c r="R757" s="14" t="str">
        <x:v>预测</x:v>
      </x:c>
      <x:c r="S757" s="14" t="str">
        <x:v>到站时间为估算值</x:v>
      </x:c>
      <x:c r="T757" t="str">
        <x:v>研究生宿舍楼发车</x:v>
      </x:c>
    </x:row>
    <x:row r="758">
      <x:c r="A758" s="14" t="str">
        <x:v>S0061-13</x:v>
      </x:c>
      <x:c r="B758" s="14" t="str">
        <x:v>S0061</x:v>
      </x:c>
      <x:c r="C758" s="14" t="str">
        <x:v>工作日</x:v>
      </x:c>
      <x:c r="D758" s="14" t="str">
        <x:v>环线1路</x:v>
      </x:c>
      <x:c r="E758" s="14" t="str">
        <x:v>第四班（夜1）</x:v>
      </x:c>
      <x:c r="F758" s="14" t="n">
        <x:v>5</x:v>
      </x:c>
      <x:c r="G758" s="14" t="str">
        <x:v>17:45</x:v>
      </x:c>
      <x:c r="H758" s="14" t="str">
        <x:v>研究生宿舍楼</x:v>
      </x:c>
      <x:c r="I758" s="14" t="str">
        <x:v>否</x:v>
      </x:c>
      <x:c r="J758" s="14" t="n">
        <x:v>13</x:v>
      </x:c>
      <x:c r="K758" s="14" t="str">
        <x:v>研究生宿舍楼</x:v>
      </x:c>
      <x:c r="L758" s="14" t="n">
        <x:v>17</x:v>
      </x:c>
      <x:c r="M758" s="14" t="str">
        <x:v>18:02</x:v>
      </x:c>
      <x:c r="N758" s="14" t="str">
        <x:v>否</x:v>
      </x:c>
      <x:c r="O758" s="14" t="str">
        <x:v>是</x:v>
      </x:c>
      <x:c r="P758" s="14" t="str">
        <x:v>未提供</x:v>
      </x:c>
      <x:c r="Q758" s="14" t="str">
        <x:v>未提供</x:v>
      </x:c>
      <x:c r="R758" s="14" t="str">
        <x:v>预测</x:v>
      </x:c>
      <x:c r="S758" s="14" t="str">
        <x:v>到站时间为估算值</x:v>
      </x:c>
      <x:c r="T758" t="str">
        <x:v>研究生宿舍楼发车</x:v>
      </x:c>
    </x:row>
    <x:row r="759">
      <x:c r="A759" s="14" t="str">
        <x:v>S0062-01</x:v>
      </x:c>
      <x:c r="B759" s="14" t="str">
        <x:v>S0062</x:v>
      </x:c>
      <x:c r="C759" s="14" t="str">
        <x:v>工作日</x:v>
      </x:c>
      <x:c r="D759" s="14" t="str">
        <x:v>环线1路</x:v>
      </x:c>
      <x:c r="E759" s="14" t="str">
        <x:v>第四班（夜1）</x:v>
      </x:c>
      <x:c r="F759" s="14" t="n">
        <x:v>6</x:v>
      </x:c>
      <x:c r="G759" s="14" t="str">
        <x:v>18:15</x:v>
      </x:c>
      <x:c r="H759" s="14" t="str">
        <x:v>研究生宿舍楼</x:v>
      </x:c>
      <x:c r="I759" s="14" t="str">
        <x:v>否</x:v>
      </x:c>
      <x:c r="J759" s="14" t="n">
        <x:v>1</x:v>
      </x:c>
      <x:c r="K759" s="14" t="str">
        <x:v>研究生宿舍楼</x:v>
      </x:c>
      <x:c r="L759" s="14" t="n">
        <x:v>0</x:v>
      </x:c>
      <x:c r="M759" s="14" t="str">
        <x:v>18:15</x:v>
      </x:c>
      <x:c r="N759" s="14" t="str">
        <x:v>是</x:v>
      </x:c>
      <x:c r="O759" s="14" t="str">
        <x:v>否</x:v>
      </x:c>
      <x:c r="P759" s="14" t="str">
        <x:v>未提供</x:v>
      </x:c>
      <x:c r="Q759" s="14" t="str">
        <x:v>未提供</x:v>
      </x:c>
      <x:c r="R759" s="14" t="str">
        <x:v>预测</x:v>
      </x:c>
      <x:c r="S759" s="14" t="str">
        <x:v>到站时间为估算值</x:v>
      </x:c>
      <x:c r="T759" t="str">
        <x:v>研究生宿舍楼发车</x:v>
      </x:c>
    </x:row>
    <x:row r="760">
      <x:c r="A760" s="14" t="str">
        <x:v>S0062-02</x:v>
      </x:c>
      <x:c r="B760" s="14" t="str">
        <x:v>S0062</x:v>
      </x:c>
      <x:c r="C760" s="14" t="str">
        <x:v>工作日</x:v>
      </x:c>
      <x:c r="D760" s="14" t="str">
        <x:v>环线1路</x:v>
      </x:c>
      <x:c r="E760" s="14" t="str">
        <x:v>第四班（夜1）</x:v>
      </x:c>
      <x:c r="F760" s="14" t="n">
        <x:v>6</x:v>
      </x:c>
      <x:c r="G760" s="14" t="str">
        <x:v>18:15</x:v>
      </x:c>
      <x:c r="H760" s="14" t="str">
        <x:v>研究生宿舍楼</x:v>
      </x:c>
      <x:c r="I760" s="14" t="str">
        <x:v>否</x:v>
      </x:c>
      <x:c r="J760" s="14" t="n">
        <x:v>2</x:v>
      </x:c>
      <x:c r="K760" s="14" t="str">
        <x:v>东门</x:v>
      </x:c>
      <x:c r="L760" s="14" t="n">
        <x:v>1</x:v>
      </x:c>
      <x:c r="M760" s="14" t="str">
        <x:v>18:16</x:v>
      </x:c>
      <x:c r="N760" s="14" t="str">
        <x:v>否</x:v>
      </x:c>
      <x:c r="O760" s="14" t="str">
        <x:v>否</x:v>
      </x:c>
      <x:c r="P760" s="14" t="str">
        <x:v>未提供</x:v>
      </x:c>
      <x:c r="Q760" s="14" t="str">
        <x:v>未提供</x:v>
      </x:c>
      <x:c r="R760" s="14" t="str">
        <x:v>预测</x:v>
      </x:c>
      <x:c r="S760" s="14" t="str">
        <x:v>到站时间为估算值</x:v>
      </x:c>
      <x:c r="T760" t="str">
        <x:v>研究生宿舍楼发车</x:v>
      </x:c>
    </x:row>
    <x:row r="761">
      <x:c r="A761" s="14" t="str">
        <x:v>S0062-03</x:v>
      </x:c>
      <x:c r="B761" s="14" t="str">
        <x:v>S0062</x:v>
      </x:c>
      <x:c r="C761" s="14" t="str">
        <x:v>工作日</x:v>
      </x:c>
      <x:c r="D761" s="14" t="str">
        <x:v>环线1路</x:v>
      </x:c>
      <x:c r="E761" s="14" t="str">
        <x:v>第四班（夜1）</x:v>
      </x:c>
      <x:c r="F761" s="14" t="n">
        <x:v>6</x:v>
      </x:c>
      <x:c r="G761" s="14" t="str">
        <x:v>18:15</x:v>
      </x:c>
      <x:c r="H761" s="14" t="str">
        <x:v>研究生宿舍楼</x:v>
      </x:c>
      <x:c r="I761" s="14" t="str">
        <x:v>否</x:v>
      </x:c>
      <x:c r="J761" s="14" t="n">
        <x:v>3</x:v>
      </x:c>
      <x:c r="K761" s="14" t="str">
        <x:v>2号宿舍楼</x:v>
      </x:c>
      <x:c r="L761" s="14" t="n">
        <x:v>2</x:v>
      </x:c>
      <x:c r="M761" s="14" t="str">
        <x:v>18:17</x:v>
      </x:c>
      <x:c r="N761" s="14" t="str">
        <x:v>否</x:v>
      </x:c>
      <x:c r="O761" s="14" t="str">
        <x:v>否</x:v>
      </x:c>
      <x:c r="P761" s="14" t="str">
        <x:v>未提供</x:v>
      </x:c>
      <x:c r="Q761" s="14" t="str">
        <x:v>未提供</x:v>
      </x:c>
      <x:c r="R761" s="14" t="str">
        <x:v>预测</x:v>
      </x:c>
      <x:c r="S761" s="14" t="str">
        <x:v>到站时间为估算值</x:v>
      </x:c>
      <x:c r="T761" t="str">
        <x:v>研究生宿舍楼发车</x:v>
      </x:c>
    </x:row>
    <x:row r="762">
      <x:c r="A762" s="14" t="str">
        <x:v>S0062-04</x:v>
      </x:c>
      <x:c r="B762" s="14" t="str">
        <x:v>S0062</x:v>
      </x:c>
      <x:c r="C762" s="14" t="str">
        <x:v>工作日</x:v>
      </x:c>
      <x:c r="D762" s="14" t="str">
        <x:v>环线1路</x:v>
      </x:c>
      <x:c r="E762" s="14" t="str">
        <x:v>第四班（夜1）</x:v>
      </x:c>
      <x:c r="F762" s="14" t="n">
        <x:v>6</x:v>
      </x:c>
      <x:c r="G762" s="14" t="str">
        <x:v>18:15</x:v>
      </x:c>
      <x:c r="H762" s="14" t="str">
        <x:v>研究生宿舍楼</x:v>
      </x:c>
      <x:c r="I762" s="14" t="str">
        <x:v>否</x:v>
      </x:c>
      <x:c r="J762" s="14" t="n">
        <x:v>4</x:v>
      </x:c>
      <x:c r="K762" s="14" t="str">
        <x:v>军体活动中心</x:v>
      </x:c>
      <x:c r="L762" s="14" t="n">
        <x:v>3</x:v>
      </x:c>
      <x:c r="M762" s="14" t="str">
        <x:v>18:18</x:v>
      </x:c>
      <x:c r="N762" s="14" t="str">
        <x:v>否</x:v>
      </x:c>
      <x:c r="O762" s="14" t="str">
        <x:v>否</x:v>
      </x:c>
      <x:c r="P762" s="14" t="str">
        <x:v>未提供</x:v>
      </x:c>
      <x:c r="Q762" s="14" t="str">
        <x:v>未提供</x:v>
      </x:c>
      <x:c r="R762" s="14" t="str">
        <x:v>预测</x:v>
      </x:c>
      <x:c r="S762" s="14" t="str">
        <x:v>到站时间为估算值</x:v>
      </x:c>
      <x:c r="T762" t="str">
        <x:v>研究生宿舍楼发车</x:v>
      </x:c>
    </x:row>
    <x:row r="763">
      <x:c r="A763" s="14" t="str">
        <x:v>S0062-05</x:v>
      </x:c>
      <x:c r="B763" s="14" t="str">
        <x:v>S0062</x:v>
      </x:c>
      <x:c r="C763" s="14" t="str">
        <x:v>工作日</x:v>
      </x:c>
      <x:c r="D763" s="14" t="str">
        <x:v>环线1路</x:v>
      </x:c>
      <x:c r="E763" s="14" t="str">
        <x:v>第四班（夜1）</x:v>
      </x:c>
      <x:c r="F763" s="14" t="n">
        <x:v>6</x:v>
      </x:c>
      <x:c r="G763" s="14" t="str">
        <x:v>18:15</x:v>
      </x:c>
      <x:c r="H763" s="14" t="str">
        <x:v>研究生宿舍楼</x:v>
      </x:c>
      <x:c r="I763" s="14" t="str">
        <x:v>否</x:v>
      </x:c>
      <x:c r="J763" s="14" t="n">
        <x:v>5</x:v>
      </x:c>
      <x:c r="K763" s="14" t="str">
        <x:v>激光所</x:v>
      </x:c>
      <x:c r="L763" s="14" t="n">
        <x:v>5</x:v>
      </x:c>
      <x:c r="M763" s="14" t="str">
        <x:v>18:20</x:v>
      </x:c>
      <x:c r="N763" s="14" t="str">
        <x:v>否</x:v>
      </x:c>
      <x:c r="O763" s="14" t="str">
        <x:v>否</x:v>
      </x:c>
      <x:c r="P763" s="14" t="str">
        <x:v>未提供</x:v>
      </x:c>
      <x:c r="Q763" s="14" t="str">
        <x:v>未提供</x:v>
      </x:c>
      <x:c r="R763" s="14" t="str">
        <x:v>预测</x:v>
      </x:c>
      <x:c r="S763" s="14" t="str">
        <x:v>到站时间为估算值</x:v>
      </x:c>
      <x:c r="T763" t="str">
        <x:v>研究生宿舍楼发车</x:v>
      </x:c>
    </x:row>
    <x:row r="764">
      <x:c r="A764" s="14" t="str">
        <x:v>S0062-06</x:v>
      </x:c>
      <x:c r="B764" s="14" t="str">
        <x:v>S0062</x:v>
      </x:c>
      <x:c r="C764" s="14" t="str">
        <x:v>工作日</x:v>
      </x:c>
      <x:c r="D764" s="14" t="str">
        <x:v>环线1路</x:v>
      </x:c>
      <x:c r="E764" s="14" t="str">
        <x:v>第四班（夜1）</x:v>
      </x:c>
      <x:c r="F764" s="14" t="n">
        <x:v>6</x:v>
      </x:c>
      <x:c r="G764" s="14" t="str">
        <x:v>18:15</x:v>
      </x:c>
      <x:c r="H764" s="14" t="str">
        <x:v>研究生宿舍楼</x:v>
      </x:c>
      <x:c r="I764" s="14" t="str">
        <x:v>否</x:v>
      </x:c>
      <x:c r="J764" s="14" t="n">
        <x:v>6</x:v>
      </x:c>
      <x:c r="K764" s="14" t="str">
        <x:v>超算中心</x:v>
      </x:c>
      <x:c r="L764" s="14" t="n">
        <x:v>6</x:v>
      </x:c>
      <x:c r="M764" s="14" t="str">
        <x:v>18:21</x:v>
      </x:c>
      <x:c r="N764" s="14" t="str">
        <x:v>否</x:v>
      </x:c>
      <x:c r="O764" s="14" t="str">
        <x:v>否</x:v>
      </x:c>
      <x:c r="P764" s="14" t="str">
        <x:v>未提供</x:v>
      </x:c>
      <x:c r="Q764" s="14" t="str">
        <x:v>未提供</x:v>
      </x:c>
      <x:c r="R764" s="14" t="str">
        <x:v>预测</x:v>
      </x:c>
      <x:c r="S764" s="14" t="str">
        <x:v>到站时间为估算值</x:v>
      </x:c>
      <x:c r="T764" t="str">
        <x:v>研究生宿舍楼发车</x:v>
      </x:c>
    </x:row>
    <x:row r="765">
      <x:c r="A765" s="14" t="str">
        <x:v>S0062-07</x:v>
      </x:c>
      <x:c r="B765" s="14" t="str">
        <x:v>S0062</x:v>
      </x:c>
      <x:c r="C765" s="14" t="str">
        <x:v>工作日</x:v>
      </x:c>
      <x:c r="D765" s="14" t="str">
        <x:v>环线1路</x:v>
      </x:c>
      <x:c r="E765" s="14" t="str">
        <x:v>第四班（夜1）</x:v>
      </x:c>
      <x:c r="F765" s="14" t="n">
        <x:v>6</x:v>
      </x:c>
      <x:c r="G765" s="14" t="str">
        <x:v>18:15</x:v>
      </x:c>
      <x:c r="H765" s="14" t="str">
        <x:v>研究生宿舍楼</x:v>
      </x:c>
      <x:c r="I765" s="14" t="str">
        <x:v>否</x:v>
      </x:c>
      <x:c r="J765" s="14" t="n">
        <x:v>7</x:v>
      </x:c>
      <x:c r="K765" s="14" t="str">
        <x:v>北门</x:v>
      </x:c>
      <x:c r="L765" s="14" t="n">
        <x:v>8</x:v>
      </x:c>
      <x:c r="M765" s="14" t="str">
        <x:v>18:23</x:v>
      </x:c>
      <x:c r="N765" s="14" t="str">
        <x:v>否</x:v>
      </x:c>
      <x:c r="O765" s="14" t="str">
        <x:v>否</x:v>
      </x:c>
      <x:c r="P765" s="14" t="str">
        <x:v>未提供</x:v>
      </x:c>
      <x:c r="Q765" s="14" t="str">
        <x:v>未提供</x:v>
      </x:c>
      <x:c r="R765" s="14" t="str">
        <x:v>预测</x:v>
      </x:c>
      <x:c r="S765" s="14" t="str">
        <x:v>到站时间为估算值</x:v>
      </x:c>
      <x:c r="T765" t="str">
        <x:v>研究生宿舍楼发车</x:v>
      </x:c>
    </x:row>
    <x:row r="766">
      <x:c r="A766" s="14" t="str">
        <x:v>S0062-08</x:v>
      </x:c>
      <x:c r="B766" s="14" t="str">
        <x:v>S0062</x:v>
      </x:c>
      <x:c r="C766" s="14" t="str">
        <x:v>工作日</x:v>
      </x:c>
      <x:c r="D766" s="14" t="str">
        <x:v>环线1路</x:v>
      </x:c>
      <x:c r="E766" s="14" t="str">
        <x:v>第四班（夜1）</x:v>
      </x:c>
      <x:c r="F766" s="14" t="n">
        <x:v>6</x:v>
      </x:c>
      <x:c r="G766" s="14" t="str">
        <x:v>18:15</x:v>
      </x:c>
      <x:c r="H766" s="14" t="str">
        <x:v>研究生宿舍楼</x:v>
      </x:c>
      <x:c r="I766" s="14" t="str">
        <x:v>否</x:v>
      </x:c>
      <x:c r="J766" s="14" t="n">
        <x:v>8</x:v>
      </x:c>
      <x:c r="K766" s="14" t="str">
        <x:v>高超楼</x:v>
      </x:c>
      <x:c r="L766" s="14" t="n">
        <x:v>9</x:v>
      </x:c>
      <x:c r="M766" s="14" t="str">
        <x:v>18:24</x:v>
      </x:c>
      <x:c r="N766" s="14" t="str">
        <x:v>否</x:v>
      </x:c>
      <x:c r="O766" s="14" t="str">
        <x:v>否</x:v>
      </x:c>
      <x:c r="P766" s="14" t="str">
        <x:v>未提供</x:v>
      </x:c>
      <x:c r="Q766" s="14" t="str">
        <x:v>未提供</x:v>
      </x:c>
      <x:c r="R766" s="14" t="str">
        <x:v>预测</x:v>
      </x:c>
      <x:c r="S766" s="14" t="str">
        <x:v>到站时间为估算值</x:v>
      </x:c>
      <x:c r="T766" t="str">
        <x:v>研究生宿舍楼发车</x:v>
      </x:c>
    </x:row>
    <x:row r="767">
      <x:c r="A767" s="14" t="str">
        <x:v>S0062-09</x:v>
      </x:c>
      <x:c r="B767" s="14" t="str">
        <x:v>S0062</x:v>
      </x:c>
      <x:c r="C767" s="14" t="str">
        <x:v>工作日</x:v>
      </x:c>
      <x:c r="D767" s="14" t="str">
        <x:v>环线1路</x:v>
      </x:c>
      <x:c r="E767" s="14" t="str">
        <x:v>第四班（夜1）</x:v>
      </x:c>
      <x:c r="F767" s="14" t="n">
        <x:v>6</x:v>
      </x:c>
      <x:c r="G767" s="14" t="str">
        <x:v>18:15</x:v>
      </x:c>
      <x:c r="H767" s="14" t="str">
        <x:v>研究生宿舍楼</x:v>
      </x:c>
      <x:c r="I767" s="14" t="str">
        <x:v>否</x:v>
      </x:c>
      <x:c r="J767" s="14" t="n">
        <x:v>9</x:v>
      </x:c>
      <x:c r="K767" s="14" t="str">
        <x:v>理学院</x:v>
      </x:c>
      <x:c r="L767" s="14" t="n">
        <x:v>10</x:v>
      </x:c>
      <x:c r="M767" s="14" t="str">
        <x:v>18:25</x:v>
      </x:c>
      <x:c r="N767" s="14" t="str">
        <x:v>否</x:v>
      </x:c>
      <x:c r="O767" s="14" t="str">
        <x:v>否</x:v>
      </x:c>
      <x:c r="P767" s="14" t="str">
        <x:v>未提供</x:v>
      </x:c>
      <x:c r="Q767" s="14" t="str">
        <x:v>未提供</x:v>
      </x:c>
      <x:c r="R767" s="14" t="str">
        <x:v>预测</x:v>
      </x:c>
      <x:c r="S767" s="14" t="str">
        <x:v>到站时间为估算值</x:v>
      </x:c>
      <x:c r="T767" t="str">
        <x:v>研究生宿舍楼发车</x:v>
      </x:c>
    </x:row>
    <x:row r="768">
      <x:c r="A768" s="14" t="str">
        <x:v>S0062-10</x:v>
      </x:c>
      <x:c r="B768" s="14" t="str">
        <x:v>S0062</x:v>
      </x:c>
      <x:c r="C768" s="14" t="str">
        <x:v>工作日</x:v>
      </x:c>
      <x:c r="D768" s="14" t="str">
        <x:v>环线1路</x:v>
      </x:c>
      <x:c r="E768" s="14" t="str">
        <x:v>第四班（夜1）</x:v>
      </x:c>
      <x:c r="F768" s="14" t="n">
        <x:v>6</x:v>
      </x:c>
      <x:c r="G768" s="14" t="str">
        <x:v>18:15</x:v>
      </x:c>
      <x:c r="H768" s="14" t="str">
        <x:v>研究生宿舍楼</x:v>
      </x:c>
      <x:c r="I768" s="14" t="str">
        <x:v>否</x:v>
      </x:c>
      <x:c r="J768" s="14" t="n">
        <x:v>10</x:v>
      </x:c>
      <x:c r="K768" s="14" t="str">
        <x:v>二食堂</x:v>
      </x:c>
      <x:c r="L768" s="14" t="n">
        <x:v>13</x:v>
      </x:c>
      <x:c r="M768" s="14" t="str">
        <x:v>18:28</x:v>
      </x:c>
      <x:c r="N768" s="14" t="str">
        <x:v>否</x:v>
      </x:c>
      <x:c r="O768" s="14" t="str">
        <x:v>否</x:v>
      </x:c>
      <x:c r="P768" s="14" t="str">
        <x:v>未提供</x:v>
      </x:c>
      <x:c r="Q768" s="14" t="str">
        <x:v>未提供</x:v>
      </x:c>
      <x:c r="R768" s="14" t="str">
        <x:v>预测</x:v>
      </x:c>
      <x:c r="S768" s="14" t="str">
        <x:v>到站时间为估算值</x:v>
      </x:c>
      <x:c r="T768" t="str">
        <x:v>研究生宿舍楼发车</x:v>
      </x:c>
    </x:row>
    <x:row r="769">
      <x:c r="A769" s="14" t="str">
        <x:v>S0062-11</x:v>
      </x:c>
      <x:c r="B769" s="14" t="str">
        <x:v>S0062</x:v>
      </x:c>
      <x:c r="C769" s="14" t="str">
        <x:v>工作日</x:v>
      </x:c>
      <x:c r="D769" s="14" t="str">
        <x:v>环线1路</x:v>
      </x:c>
      <x:c r="E769" s="14" t="str">
        <x:v>第四班（夜1）</x:v>
      </x:c>
      <x:c r="F769" s="14" t="n">
        <x:v>6</x:v>
      </x:c>
      <x:c r="G769" s="14" t="str">
        <x:v>18:15</x:v>
      </x:c>
      <x:c r="H769" s="14" t="str">
        <x:v>研究生宿舍楼</x:v>
      </x:c>
      <x:c r="I769" s="14" t="str">
        <x:v>否</x:v>
      </x:c>
      <x:c r="J769" s="14" t="n">
        <x:v>11</x:v>
      </x:c>
      <x:c r="K769" s="14" t="str">
        <x:v>5号宿舍楼</x:v>
      </x:c>
      <x:c r="L769" s="14" t="n">
        <x:v>14</x:v>
      </x:c>
      <x:c r="M769" s="14" t="str">
        <x:v>18:29</x:v>
      </x:c>
      <x:c r="N769" s="14" t="str">
        <x:v>否</x:v>
      </x:c>
      <x:c r="O769" s="14" t="str">
        <x:v>否</x:v>
      </x:c>
      <x:c r="P769" s="14" t="str">
        <x:v>未提供</x:v>
      </x:c>
      <x:c r="Q769" s="14" t="str">
        <x:v>未提供</x:v>
      </x:c>
      <x:c r="R769" s="14" t="str">
        <x:v>预测</x:v>
      </x:c>
      <x:c r="S769" s="14" t="str">
        <x:v>到站时间为估算值</x:v>
      </x:c>
      <x:c r="T769" t="str">
        <x:v>研究生宿舍楼发车</x:v>
      </x:c>
    </x:row>
    <x:row r="770">
      <x:c r="A770" s="14" t="str">
        <x:v>S0062-12</x:v>
      </x:c>
      <x:c r="B770" s="14" t="str">
        <x:v>S0062</x:v>
      </x:c>
      <x:c r="C770" s="14" t="str">
        <x:v>工作日</x:v>
      </x:c>
      <x:c r="D770" s="14" t="str">
        <x:v>环线1路</x:v>
      </x:c>
      <x:c r="E770" s="14" t="str">
        <x:v>第四班（夜1）</x:v>
      </x:c>
      <x:c r="F770" s="14" t="n">
        <x:v>6</x:v>
      </x:c>
      <x:c r="G770" s="14" t="str">
        <x:v>18:15</x:v>
      </x:c>
      <x:c r="H770" s="14" t="str">
        <x:v>研究生宿舍楼</x:v>
      </x:c>
      <x:c r="I770" s="14" t="str">
        <x:v>否</x:v>
      </x:c>
      <x:c r="J770" s="14" t="n">
        <x:v>12</x:v>
      </x:c>
      <x:c r="K770" s="14" t="str">
        <x:v>305教学楼</x:v>
      </x:c>
      <x:c r="L770" s="14" t="n">
        <x:v>15</x:v>
      </x:c>
      <x:c r="M770" s="14" t="str">
        <x:v>18:30</x:v>
      </x:c>
      <x:c r="N770" s="14" t="str">
        <x:v>否</x:v>
      </x:c>
      <x:c r="O770" s="14" t="str">
        <x:v>否</x:v>
      </x:c>
      <x:c r="P770" s="14" t="str">
        <x:v>未提供</x:v>
      </x:c>
      <x:c r="Q770" s="14" t="str">
        <x:v>未提供</x:v>
      </x:c>
      <x:c r="R770" s="14" t="str">
        <x:v>预测</x:v>
      </x:c>
      <x:c r="S770" s="14" t="str">
        <x:v>到站时间为估算值</x:v>
      </x:c>
      <x:c r="T770" t="str">
        <x:v>研究生宿舍楼发车</x:v>
      </x:c>
    </x:row>
    <x:row r="771">
      <x:c r="A771" s="14" t="str">
        <x:v>S0062-13</x:v>
      </x:c>
      <x:c r="B771" s="14" t="str">
        <x:v>S0062</x:v>
      </x:c>
      <x:c r="C771" s="14" t="str">
        <x:v>工作日</x:v>
      </x:c>
      <x:c r="D771" s="14" t="str">
        <x:v>环线1路</x:v>
      </x:c>
      <x:c r="E771" s="14" t="str">
        <x:v>第四班（夜1）</x:v>
      </x:c>
      <x:c r="F771" s="14" t="n">
        <x:v>6</x:v>
      </x:c>
      <x:c r="G771" s="14" t="str">
        <x:v>18:15</x:v>
      </x:c>
      <x:c r="H771" s="14" t="str">
        <x:v>研究生宿舍楼</x:v>
      </x:c>
      <x:c r="I771" s="14" t="str">
        <x:v>否</x:v>
      </x:c>
      <x:c r="J771" s="14" t="n">
        <x:v>13</x:v>
      </x:c>
      <x:c r="K771" s="14" t="str">
        <x:v>研究生宿舍楼</x:v>
      </x:c>
      <x:c r="L771" s="14" t="n">
        <x:v>17</x:v>
      </x:c>
      <x:c r="M771" s="14" t="str">
        <x:v>18:32</x:v>
      </x:c>
      <x:c r="N771" s="14" t="str">
        <x:v>否</x:v>
      </x:c>
      <x:c r="O771" s="14" t="str">
        <x:v>是</x:v>
      </x:c>
      <x:c r="P771" s="14" t="str">
        <x:v>未提供</x:v>
      </x:c>
      <x:c r="Q771" s="14" t="str">
        <x:v>未提供</x:v>
      </x:c>
      <x:c r="R771" s="14" t="str">
        <x:v>预测</x:v>
      </x:c>
      <x:c r="S771" s="14" t="str">
        <x:v>到站时间为估算值</x:v>
      </x:c>
      <x:c r="T771" t="str">
        <x:v>研究生宿舍楼发车</x:v>
      </x:c>
    </x:row>
    <x:row r="772">
      <x:c r="A772" s="14" t="str">
        <x:v>S0063-01</x:v>
      </x:c>
      <x:c r="B772" s="14" t="str">
        <x:v>S0063</x:v>
      </x:c>
      <x:c r="C772" s="14" t="str">
        <x:v>工作日</x:v>
      </x:c>
      <x:c r="D772" s="14" t="str">
        <x:v>环线1路</x:v>
      </x:c>
      <x:c r="E772" s="14" t="str">
        <x:v>第四班（夜1）</x:v>
      </x:c>
      <x:c r="F772" s="14" t="n">
        <x:v>7</x:v>
      </x:c>
      <x:c r="G772" s="14" t="str">
        <x:v>18:45</x:v>
      </x:c>
      <x:c r="H772" s="14" t="str">
        <x:v>研究生宿舍楼</x:v>
      </x:c>
      <x:c r="I772" s="14" t="str">
        <x:v>否</x:v>
      </x:c>
      <x:c r="J772" s="14" t="n">
        <x:v>1</x:v>
      </x:c>
      <x:c r="K772" s="14" t="str">
        <x:v>研究生宿舍楼</x:v>
      </x:c>
      <x:c r="L772" s="14" t="n">
        <x:v>0</x:v>
      </x:c>
      <x:c r="M772" s="14" t="str">
        <x:v>18:45</x:v>
      </x:c>
      <x:c r="N772" s="14" t="str">
        <x:v>是</x:v>
      </x:c>
      <x:c r="O772" s="14" t="str">
        <x:v>否</x:v>
      </x:c>
      <x:c r="P772" s="14" t="str">
        <x:v>未提供</x:v>
      </x:c>
      <x:c r="Q772" s="14" t="str">
        <x:v>未提供</x:v>
      </x:c>
      <x:c r="R772" s="14" t="str">
        <x:v>预测</x:v>
      </x:c>
      <x:c r="S772" s="14" t="str">
        <x:v>到站时间为估算值</x:v>
      </x:c>
      <x:c r="T772" t="str">
        <x:v>研究生宿舍楼发车</x:v>
      </x:c>
    </x:row>
    <x:row r="773">
      <x:c r="A773" s="14" t="str">
        <x:v>S0063-02</x:v>
      </x:c>
      <x:c r="B773" s="14" t="str">
        <x:v>S0063</x:v>
      </x:c>
      <x:c r="C773" s="14" t="str">
        <x:v>工作日</x:v>
      </x:c>
      <x:c r="D773" s="14" t="str">
        <x:v>环线1路</x:v>
      </x:c>
      <x:c r="E773" s="14" t="str">
        <x:v>第四班（夜1）</x:v>
      </x:c>
      <x:c r="F773" s="14" t="n">
        <x:v>7</x:v>
      </x:c>
      <x:c r="G773" s="14" t="str">
        <x:v>18:45</x:v>
      </x:c>
      <x:c r="H773" s="14" t="str">
        <x:v>研究生宿舍楼</x:v>
      </x:c>
      <x:c r="I773" s="14" t="str">
        <x:v>否</x:v>
      </x:c>
      <x:c r="J773" s="14" t="n">
        <x:v>2</x:v>
      </x:c>
      <x:c r="K773" s="14" t="str">
        <x:v>东门</x:v>
      </x:c>
      <x:c r="L773" s="14" t="n">
        <x:v>1</x:v>
      </x:c>
      <x:c r="M773" s="14" t="str">
        <x:v>18:46</x:v>
      </x:c>
      <x:c r="N773" s="14" t="str">
        <x:v>否</x:v>
      </x:c>
      <x:c r="O773" s="14" t="str">
        <x:v>否</x:v>
      </x:c>
      <x:c r="P773" s="14" t="str">
        <x:v>未提供</x:v>
      </x:c>
      <x:c r="Q773" s="14" t="str">
        <x:v>未提供</x:v>
      </x:c>
      <x:c r="R773" s="14" t="str">
        <x:v>预测</x:v>
      </x:c>
      <x:c r="S773" s="14" t="str">
        <x:v>到站时间为估算值</x:v>
      </x:c>
      <x:c r="T773" t="str">
        <x:v>研究生宿舍楼发车</x:v>
      </x:c>
    </x:row>
    <x:row r="774">
      <x:c r="A774" s="14" t="str">
        <x:v>S0063-03</x:v>
      </x:c>
      <x:c r="B774" s="14" t="str">
        <x:v>S0063</x:v>
      </x:c>
      <x:c r="C774" s="14" t="str">
        <x:v>工作日</x:v>
      </x:c>
      <x:c r="D774" s="14" t="str">
        <x:v>环线1路</x:v>
      </x:c>
      <x:c r="E774" s="14" t="str">
        <x:v>第四班（夜1）</x:v>
      </x:c>
      <x:c r="F774" s="14" t="n">
        <x:v>7</x:v>
      </x:c>
      <x:c r="G774" s="14" t="str">
        <x:v>18:45</x:v>
      </x:c>
      <x:c r="H774" s="14" t="str">
        <x:v>研究生宿舍楼</x:v>
      </x:c>
      <x:c r="I774" s="14" t="str">
        <x:v>否</x:v>
      </x:c>
      <x:c r="J774" s="14" t="n">
        <x:v>3</x:v>
      </x:c>
      <x:c r="K774" s="14" t="str">
        <x:v>2号宿舍楼</x:v>
      </x:c>
      <x:c r="L774" s="14" t="n">
        <x:v>2</x:v>
      </x:c>
      <x:c r="M774" s="14" t="str">
        <x:v>18:47</x:v>
      </x:c>
      <x:c r="N774" s="14" t="str">
        <x:v>否</x:v>
      </x:c>
      <x:c r="O774" s="14" t="str">
        <x:v>否</x:v>
      </x:c>
      <x:c r="P774" s="14" t="str">
        <x:v>未提供</x:v>
      </x:c>
      <x:c r="Q774" s="14" t="str">
        <x:v>未提供</x:v>
      </x:c>
      <x:c r="R774" s="14" t="str">
        <x:v>预测</x:v>
      </x:c>
      <x:c r="S774" s="14" t="str">
        <x:v>到站时间为估算值</x:v>
      </x:c>
      <x:c r="T774" t="str">
        <x:v>研究生宿舍楼发车</x:v>
      </x:c>
    </x:row>
    <x:row r="775">
      <x:c r="A775" s="14" t="str">
        <x:v>S0063-04</x:v>
      </x:c>
      <x:c r="B775" s="14" t="str">
        <x:v>S0063</x:v>
      </x:c>
      <x:c r="C775" s="14" t="str">
        <x:v>工作日</x:v>
      </x:c>
      <x:c r="D775" s="14" t="str">
        <x:v>环线1路</x:v>
      </x:c>
      <x:c r="E775" s="14" t="str">
        <x:v>第四班（夜1）</x:v>
      </x:c>
      <x:c r="F775" s="14" t="n">
        <x:v>7</x:v>
      </x:c>
      <x:c r="G775" s="14" t="str">
        <x:v>18:45</x:v>
      </x:c>
      <x:c r="H775" s="14" t="str">
        <x:v>研究生宿舍楼</x:v>
      </x:c>
      <x:c r="I775" s="14" t="str">
        <x:v>否</x:v>
      </x:c>
      <x:c r="J775" s="14" t="n">
        <x:v>4</x:v>
      </x:c>
      <x:c r="K775" s="14" t="str">
        <x:v>军体活动中心</x:v>
      </x:c>
      <x:c r="L775" s="14" t="n">
        <x:v>3</x:v>
      </x:c>
      <x:c r="M775" s="14" t="str">
        <x:v>18:48</x:v>
      </x:c>
      <x:c r="N775" s="14" t="str">
        <x:v>否</x:v>
      </x:c>
      <x:c r="O775" s="14" t="str">
        <x:v>否</x:v>
      </x:c>
      <x:c r="P775" s="14" t="str">
        <x:v>未提供</x:v>
      </x:c>
      <x:c r="Q775" s="14" t="str">
        <x:v>未提供</x:v>
      </x:c>
      <x:c r="R775" s="14" t="str">
        <x:v>预测</x:v>
      </x:c>
      <x:c r="S775" s="14" t="str">
        <x:v>到站时间为估算值</x:v>
      </x:c>
      <x:c r="T775" t="str">
        <x:v>研究生宿舍楼发车</x:v>
      </x:c>
    </x:row>
    <x:row r="776">
      <x:c r="A776" s="14" t="str">
        <x:v>S0063-05</x:v>
      </x:c>
      <x:c r="B776" s="14" t="str">
        <x:v>S0063</x:v>
      </x:c>
      <x:c r="C776" s="14" t="str">
        <x:v>工作日</x:v>
      </x:c>
      <x:c r="D776" s="14" t="str">
        <x:v>环线1路</x:v>
      </x:c>
      <x:c r="E776" s="14" t="str">
        <x:v>第四班（夜1）</x:v>
      </x:c>
      <x:c r="F776" s="14" t="n">
        <x:v>7</x:v>
      </x:c>
      <x:c r="G776" s="14" t="str">
        <x:v>18:45</x:v>
      </x:c>
      <x:c r="H776" s="14" t="str">
        <x:v>研究生宿舍楼</x:v>
      </x:c>
      <x:c r="I776" s="14" t="str">
        <x:v>否</x:v>
      </x:c>
      <x:c r="J776" s="14" t="n">
        <x:v>5</x:v>
      </x:c>
      <x:c r="K776" s="14" t="str">
        <x:v>激光所</x:v>
      </x:c>
      <x:c r="L776" s="14" t="n">
        <x:v>5</x:v>
      </x:c>
      <x:c r="M776" s="14" t="str">
        <x:v>18:50</x:v>
      </x:c>
      <x:c r="N776" s="14" t="str">
        <x:v>否</x:v>
      </x:c>
      <x:c r="O776" s="14" t="str">
        <x:v>否</x:v>
      </x:c>
      <x:c r="P776" s="14" t="str">
        <x:v>未提供</x:v>
      </x:c>
      <x:c r="Q776" s="14" t="str">
        <x:v>未提供</x:v>
      </x:c>
      <x:c r="R776" s="14" t="str">
        <x:v>预测</x:v>
      </x:c>
      <x:c r="S776" s="14" t="str">
        <x:v>到站时间为估算值</x:v>
      </x:c>
      <x:c r="T776" t="str">
        <x:v>研究生宿舍楼发车</x:v>
      </x:c>
    </x:row>
    <x:row r="777">
      <x:c r="A777" s="14" t="str">
        <x:v>S0063-06</x:v>
      </x:c>
      <x:c r="B777" s="14" t="str">
        <x:v>S0063</x:v>
      </x:c>
      <x:c r="C777" s="14" t="str">
        <x:v>工作日</x:v>
      </x:c>
      <x:c r="D777" s="14" t="str">
        <x:v>环线1路</x:v>
      </x:c>
      <x:c r="E777" s="14" t="str">
        <x:v>第四班（夜1）</x:v>
      </x:c>
      <x:c r="F777" s="14" t="n">
        <x:v>7</x:v>
      </x:c>
      <x:c r="G777" s="14" t="str">
        <x:v>18:45</x:v>
      </x:c>
      <x:c r="H777" s="14" t="str">
        <x:v>研究生宿舍楼</x:v>
      </x:c>
      <x:c r="I777" s="14" t="str">
        <x:v>否</x:v>
      </x:c>
      <x:c r="J777" s="14" t="n">
        <x:v>6</x:v>
      </x:c>
      <x:c r="K777" s="14" t="str">
        <x:v>超算中心</x:v>
      </x:c>
      <x:c r="L777" s="14" t="n">
        <x:v>6</x:v>
      </x:c>
      <x:c r="M777" s="14" t="str">
        <x:v>18:51</x:v>
      </x:c>
      <x:c r="N777" s="14" t="str">
        <x:v>否</x:v>
      </x:c>
      <x:c r="O777" s="14" t="str">
        <x:v>否</x:v>
      </x:c>
      <x:c r="P777" s="14" t="str">
        <x:v>未提供</x:v>
      </x:c>
      <x:c r="Q777" s="14" t="str">
        <x:v>未提供</x:v>
      </x:c>
      <x:c r="R777" s="14" t="str">
        <x:v>预测</x:v>
      </x:c>
      <x:c r="S777" s="14" t="str">
        <x:v>到站时间为估算值</x:v>
      </x:c>
      <x:c r="T777" t="str">
        <x:v>研究生宿舍楼发车</x:v>
      </x:c>
    </x:row>
    <x:row r="778">
      <x:c r="A778" s="14" t="str">
        <x:v>S0063-07</x:v>
      </x:c>
      <x:c r="B778" s="14" t="str">
        <x:v>S0063</x:v>
      </x:c>
      <x:c r="C778" s="14" t="str">
        <x:v>工作日</x:v>
      </x:c>
      <x:c r="D778" s="14" t="str">
        <x:v>环线1路</x:v>
      </x:c>
      <x:c r="E778" s="14" t="str">
        <x:v>第四班（夜1）</x:v>
      </x:c>
      <x:c r="F778" s="14" t="n">
        <x:v>7</x:v>
      </x:c>
      <x:c r="G778" s="14" t="str">
        <x:v>18:45</x:v>
      </x:c>
      <x:c r="H778" s="14" t="str">
        <x:v>研究生宿舍楼</x:v>
      </x:c>
      <x:c r="I778" s="14" t="str">
        <x:v>否</x:v>
      </x:c>
      <x:c r="J778" s="14" t="n">
        <x:v>7</x:v>
      </x:c>
      <x:c r="K778" s="14" t="str">
        <x:v>北门</x:v>
      </x:c>
      <x:c r="L778" s="14" t="n">
        <x:v>8</x:v>
      </x:c>
      <x:c r="M778" s="14" t="str">
        <x:v>18:53</x:v>
      </x:c>
      <x:c r="N778" s="14" t="str">
        <x:v>否</x:v>
      </x:c>
      <x:c r="O778" s="14" t="str">
        <x:v>否</x:v>
      </x:c>
      <x:c r="P778" s="14" t="str">
        <x:v>未提供</x:v>
      </x:c>
      <x:c r="Q778" s="14" t="str">
        <x:v>未提供</x:v>
      </x:c>
      <x:c r="R778" s="14" t="str">
        <x:v>预测</x:v>
      </x:c>
      <x:c r="S778" s="14" t="str">
        <x:v>到站时间为估算值</x:v>
      </x:c>
      <x:c r="T778" t="str">
        <x:v>研究生宿舍楼发车</x:v>
      </x:c>
    </x:row>
    <x:row r="779">
      <x:c r="A779" s="14" t="str">
        <x:v>S0063-08</x:v>
      </x:c>
      <x:c r="B779" s="14" t="str">
        <x:v>S0063</x:v>
      </x:c>
      <x:c r="C779" s="14" t="str">
        <x:v>工作日</x:v>
      </x:c>
      <x:c r="D779" s="14" t="str">
        <x:v>环线1路</x:v>
      </x:c>
      <x:c r="E779" s="14" t="str">
        <x:v>第四班（夜1）</x:v>
      </x:c>
      <x:c r="F779" s="14" t="n">
        <x:v>7</x:v>
      </x:c>
      <x:c r="G779" s="14" t="str">
        <x:v>18:45</x:v>
      </x:c>
      <x:c r="H779" s="14" t="str">
        <x:v>研究生宿舍楼</x:v>
      </x:c>
      <x:c r="I779" s="14" t="str">
        <x:v>否</x:v>
      </x:c>
      <x:c r="J779" s="14" t="n">
        <x:v>8</x:v>
      </x:c>
      <x:c r="K779" s="14" t="str">
        <x:v>高超楼</x:v>
      </x:c>
      <x:c r="L779" s="14" t="n">
        <x:v>9</x:v>
      </x:c>
      <x:c r="M779" s="14" t="str">
        <x:v>18:54</x:v>
      </x:c>
      <x:c r="N779" s="14" t="str">
        <x:v>否</x:v>
      </x:c>
      <x:c r="O779" s="14" t="str">
        <x:v>否</x:v>
      </x:c>
      <x:c r="P779" s="14" t="str">
        <x:v>未提供</x:v>
      </x:c>
      <x:c r="Q779" s="14" t="str">
        <x:v>未提供</x:v>
      </x:c>
      <x:c r="R779" s="14" t="str">
        <x:v>预测</x:v>
      </x:c>
      <x:c r="S779" s="14" t="str">
        <x:v>到站时间为估算值</x:v>
      </x:c>
      <x:c r="T779" t="str">
        <x:v>研究生宿舍楼发车</x:v>
      </x:c>
    </x:row>
    <x:row r="780">
      <x:c r="A780" s="14" t="str">
        <x:v>S0063-09</x:v>
      </x:c>
      <x:c r="B780" s="14" t="str">
        <x:v>S0063</x:v>
      </x:c>
      <x:c r="C780" s="14" t="str">
        <x:v>工作日</x:v>
      </x:c>
      <x:c r="D780" s="14" t="str">
        <x:v>环线1路</x:v>
      </x:c>
      <x:c r="E780" s="14" t="str">
        <x:v>第四班（夜1）</x:v>
      </x:c>
      <x:c r="F780" s="14" t="n">
        <x:v>7</x:v>
      </x:c>
      <x:c r="G780" s="14" t="str">
        <x:v>18:45</x:v>
      </x:c>
      <x:c r="H780" s="14" t="str">
        <x:v>研究生宿舍楼</x:v>
      </x:c>
      <x:c r="I780" s="14" t="str">
        <x:v>否</x:v>
      </x:c>
      <x:c r="J780" s="14" t="n">
        <x:v>9</x:v>
      </x:c>
      <x:c r="K780" s="14" t="str">
        <x:v>理学院</x:v>
      </x:c>
      <x:c r="L780" s="14" t="n">
        <x:v>10</x:v>
      </x:c>
      <x:c r="M780" s="14" t="str">
        <x:v>18:55</x:v>
      </x:c>
      <x:c r="N780" s="14" t="str">
        <x:v>否</x:v>
      </x:c>
      <x:c r="O780" s="14" t="str">
        <x:v>否</x:v>
      </x:c>
      <x:c r="P780" s="14" t="str">
        <x:v>未提供</x:v>
      </x:c>
      <x:c r="Q780" s="14" t="str">
        <x:v>未提供</x:v>
      </x:c>
      <x:c r="R780" s="14" t="str">
        <x:v>预测</x:v>
      </x:c>
      <x:c r="S780" s="14" t="str">
        <x:v>到站时间为估算值</x:v>
      </x:c>
      <x:c r="T780" t="str">
        <x:v>研究生宿舍楼发车</x:v>
      </x:c>
    </x:row>
    <x:row r="781">
      <x:c r="A781" s="14" t="str">
        <x:v>S0063-10</x:v>
      </x:c>
      <x:c r="B781" s="14" t="str">
        <x:v>S0063</x:v>
      </x:c>
      <x:c r="C781" s="14" t="str">
        <x:v>工作日</x:v>
      </x:c>
      <x:c r="D781" s="14" t="str">
        <x:v>环线1路</x:v>
      </x:c>
      <x:c r="E781" s="14" t="str">
        <x:v>第四班（夜1）</x:v>
      </x:c>
      <x:c r="F781" s="14" t="n">
        <x:v>7</x:v>
      </x:c>
      <x:c r="G781" s="14" t="str">
        <x:v>18:45</x:v>
      </x:c>
      <x:c r="H781" s="14" t="str">
        <x:v>研究生宿舍楼</x:v>
      </x:c>
      <x:c r="I781" s="14" t="str">
        <x:v>否</x:v>
      </x:c>
      <x:c r="J781" s="14" t="n">
        <x:v>10</x:v>
      </x:c>
      <x:c r="K781" s="14" t="str">
        <x:v>二食堂</x:v>
      </x:c>
      <x:c r="L781" s="14" t="n">
        <x:v>13</x:v>
      </x:c>
      <x:c r="M781" s="14" t="str">
        <x:v>18:58</x:v>
      </x:c>
      <x:c r="N781" s="14" t="str">
        <x:v>否</x:v>
      </x:c>
      <x:c r="O781" s="14" t="str">
        <x:v>否</x:v>
      </x:c>
      <x:c r="P781" s="14" t="str">
        <x:v>未提供</x:v>
      </x:c>
      <x:c r="Q781" s="14" t="str">
        <x:v>未提供</x:v>
      </x:c>
      <x:c r="R781" s="14" t="str">
        <x:v>预测</x:v>
      </x:c>
      <x:c r="S781" s="14" t="str">
        <x:v>到站时间为估算值</x:v>
      </x:c>
      <x:c r="T781" t="str">
        <x:v>研究生宿舍楼发车</x:v>
      </x:c>
    </x:row>
    <x:row r="782">
      <x:c r="A782" s="14" t="str">
        <x:v>S0063-11</x:v>
      </x:c>
      <x:c r="B782" s="14" t="str">
        <x:v>S0063</x:v>
      </x:c>
      <x:c r="C782" s="14" t="str">
        <x:v>工作日</x:v>
      </x:c>
      <x:c r="D782" s="14" t="str">
        <x:v>环线1路</x:v>
      </x:c>
      <x:c r="E782" s="14" t="str">
        <x:v>第四班（夜1）</x:v>
      </x:c>
      <x:c r="F782" s="14" t="n">
        <x:v>7</x:v>
      </x:c>
      <x:c r="G782" s="14" t="str">
        <x:v>18:45</x:v>
      </x:c>
      <x:c r="H782" s="14" t="str">
        <x:v>研究生宿舍楼</x:v>
      </x:c>
      <x:c r="I782" s="14" t="str">
        <x:v>否</x:v>
      </x:c>
      <x:c r="J782" s="14" t="n">
        <x:v>11</x:v>
      </x:c>
      <x:c r="K782" s="14" t="str">
        <x:v>5号宿舍楼</x:v>
      </x:c>
      <x:c r="L782" s="14" t="n">
        <x:v>14</x:v>
      </x:c>
      <x:c r="M782" s="14" t="str">
        <x:v>18:59</x:v>
      </x:c>
      <x:c r="N782" s="14" t="str">
        <x:v>否</x:v>
      </x:c>
      <x:c r="O782" s="14" t="str">
        <x:v>否</x:v>
      </x:c>
      <x:c r="P782" s="14" t="str">
        <x:v>未提供</x:v>
      </x:c>
      <x:c r="Q782" s="14" t="str">
        <x:v>未提供</x:v>
      </x:c>
      <x:c r="R782" s="14" t="str">
        <x:v>预测</x:v>
      </x:c>
      <x:c r="S782" s="14" t="str">
        <x:v>到站时间为估算值</x:v>
      </x:c>
      <x:c r="T782" t="str">
        <x:v>研究生宿舍楼发车</x:v>
      </x:c>
    </x:row>
    <x:row r="783">
      <x:c r="A783" s="14" t="str">
        <x:v>S0063-12</x:v>
      </x:c>
      <x:c r="B783" s="14" t="str">
        <x:v>S0063</x:v>
      </x:c>
      <x:c r="C783" s="14" t="str">
        <x:v>工作日</x:v>
      </x:c>
      <x:c r="D783" s="14" t="str">
        <x:v>环线1路</x:v>
      </x:c>
      <x:c r="E783" s="14" t="str">
        <x:v>第四班（夜1）</x:v>
      </x:c>
      <x:c r="F783" s="14" t="n">
        <x:v>7</x:v>
      </x:c>
      <x:c r="G783" s="14" t="str">
        <x:v>18:45</x:v>
      </x:c>
      <x:c r="H783" s="14" t="str">
        <x:v>研究生宿舍楼</x:v>
      </x:c>
      <x:c r="I783" s="14" t="str">
        <x:v>否</x:v>
      </x:c>
      <x:c r="J783" s="14" t="n">
        <x:v>12</x:v>
      </x:c>
      <x:c r="K783" s="14" t="str">
        <x:v>305教学楼</x:v>
      </x:c>
      <x:c r="L783" s="14" t="n">
        <x:v>15</x:v>
      </x:c>
      <x:c r="M783" s="14" t="str">
        <x:v>19:00</x:v>
      </x:c>
      <x:c r="N783" s="14" t="str">
        <x:v>否</x:v>
      </x:c>
      <x:c r="O783" s="14" t="str">
        <x:v>否</x:v>
      </x:c>
      <x:c r="P783" s="14" t="str">
        <x:v>未提供</x:v>
      </x:c>
      <x:c r="Q783" s="14" t="str">
        <x:v>未提供</x:v>
      </x:c>
      <x:c r="R783" s="14" t="str">
        <x:v>预测</x:v>
      </x:c>
      <x:c r="S783" s="14" t="str">
        <x:v>到站时间为估算值</x:v>
      </x:c>
      <x:c r="T783" t="str">
        <x:v>研究生宿舍楼发车</x:v>
      </x:c>
    </x:row>
    <x:row r="784">
      <x:c r="A784" s="14" t="str">
        <x:v>S0063-13</x:v>
      </x:c>
      <x:c r="B784" s="14" t="str">
        <x:v>S0063</x:v>
      </x:c>
      <x:c r="C784" s="14" t="str">
        <x:v>工作日</x:v>
      </x:c>
      <x:c r="D784" s="14" t="str">
        <x:v>环线1路</x:v>
      </x:c>
      <x:c r="E784" s="14" t="str">
        <x:v>第四班（夜1）</x:v>
      </x:c>
      <x:c r="F784" s="14" t="n">
        <x:v>7</x:v>
      </x:c>
      <x:c r="G784" s="14" t="str">
        <x:v>18:45</x:v>
      </x:c>
      <x:c r="H784" s="14" t="str">
        <x:v>研究生宿舍楼</x:v>
      </x:c>
      <x:c r="I784" s="14" t="str">
        <x:v>否</x:v>
      </x:c>
      <x:c r="J784" s="14" t="n">
        <x:v>13</x:v>
      </x:c>
      <x:c r="K784" s="14" t="str">
        <x:v>研究生宿舍楼</x:v>
      </x:c>
      <x:c r="L784" s="14" t="n">
        <x:v>17</x:v>
      </x:c>
      <x:c r="M784" s="14" t="str">
        <x:v>19:02</x:v>
      </x:c>
      <x:c r="N784" s="14" t="str">
        <x:v>否</x:v>
      </x:c>
      <x:c r="O784" s="14" t="str">
        <x:v>是</x:v>
      </x:c>
      <x:c r="P784" s="14" t="str">
        <x:v>未提供</x:v>
      </x:c>
      <x:c r="Q784" s="14" t="str">
        <x:v>未提供</x:v>
      </x:c>
      <x:c r="R784" s="14" t="str">
        <x:v>预测</x:v>
      </x:c>
      <x:c r="S784" s="14" t="str">
        <x:v>到站时间为估算值</x:v>
      </x:c>
      <x:c r="T784" t="str">
        <x:v>研究生宿舍楼发车</x:v>
      </x:c>
    </x:row>
    <x:row r="785">
      <x:c r="A785" s="14" t="str">
        <x:v>S0064-01</x:v>
      </x:c>
      <x:c r="B785" s="14" t="str">
        <x:v>S0064</x:v>
      </x:c>
      <x:c r="C785" s="14" t="str">
        <x:v>工作日</x:v>
      </x:c>
      <x:c r="D785" s="14" t="str">
        <x:v>环线1路</x:v>
      </x:c>
      <x:c r="E785" s="14" t="str">
        <x:v>第四班（夜1）</x:v>
      </x:c>
      <x:c r="F785" s="14" t="n">
        <x:v>8</x:v>
      </x:c>
      <x:c r="G785" s="14" t="str">
        <x:v>19:15</x:v>
      </x:c>
      <x:c r="H785" s="14" t="str">
        <x:v>研究生宿舍楼</x:v>
      </x:c>
      <x:c r="I785" s="14" t="str">
        <x:v>否</x:v>
      </x:c>
      <x:c r="J785" s="14" t="n">
        <x:v>1</x:v>
      </x:c>
      <x:c r="K785" s="14" t="str">
        <x:v>研究生宿舍楼</x:v>
      </x:c>
      <x:c r="L785" s="14" t="n">
        <x:v>0</x:v>
      </x:c>
      <x:c r="M785" s="14" t="str">
        <x:v>19:15</x:v>
      </x:c>
      <x:c r="N785" s="14" t="str">
        <x:v>是</x:v>
      </x:c>
      <x:c r="O785" s="14" t="str">
        <x:v>否</x:v>
      </x:c>
      <x:c r="P785" s="14" t="str">
        <x:v>未提供</x:v>
      </x:c>
      <x:c r="Q785" s="14" t="str">
        <x:v>未提供</x:v>
      </x:c>
      <x:c r="R785" s="14" t="str">
        <x:v>预测</x:v>
      </x:c>
      <x:c r="S785" s="14" t="str">
        <x:v>到站时间为估算值</x:v>
      </x:c>
      <x:c r="T785" t="str">
        <x:v>研究生宿舍楼发车</x:v>
      </x:c>
    </x:row>
    <x:row r="786">
      <x:c r="A786" s="14" t="str">
        <x:v>S0064-02</x:v>
      </x:c>
      <x:c r="B786" s="14" t="str">
        <x:v>S0064</x:v>
      </x:c>
      <x:c r="C786" s="14" t="str">
        <x:v>工作日</x:v>
      </x:c>
      <x:c r="D786" s="14" t="str">
        <x:v>环线1路</x:v>
      </x:c>
      <x:c r="E786" s="14" t="str">
        <x:v>第四班（夜1）</x:v>
      </x:c>
      <x:c r="F786" s="14" t="n">
        <x:v>8</x:v>
      </x:c>
      <x:c r="G786" s="14" t="str">
        <x:v>19:15</x:v>
      </x:c>
      <x:c r="H786" s="14" t="str">
        <x:v>研究生宿舍楼</x:v>
      </x:c>
      <x:c r="I786" s="14" t="str">
        <x:v>否</x:v>
      </x:c>
      <x:c r="J786" s="14" t="n">
        <x:v>2</x:v>
      </x:c>
      <x:c r="K786" s="14" t="str">
        <x:v>东门</x:v>
      </x:c>
      <x:c r="L786" s="14" t="n">
        <x:v>1</x:v>
      </x:c>
      <x:c r="M786" s="14" t="str">
        <x:v>19:16</x:v>
      </x:c>
      <x:c r="N786" s="14" t="str">
        <x:v>否</x:v>
      </x:c>
      <x:c r="O786" s="14" t="str">
        <x:v>否</x:v>
      </x:c>
      <x:c r="P786" s="14" t="str">
        <x:v>未提供</x:v>
      </x:c>
      <x:c r="Q786" s="14" t="str">
        <x:v>未提供</x:v>
      </x:c>
      <x:c r="R786" s="14" t="str">
        <x:v>预测</x:v>
      </x:c>
      <x:c r="S786" s="14" t="str">
        <x:v>到站时间为估算值</x:v>
      </x:c>
      <x:c r="T786" t="str">
        <x:v>研究生宿舍楼发车</x:v>
      </x:c>
    </x:row>
    <x:row r="787">
      <x:c r="A787" s="14" t="str">
        <x:v>S0064-03</x:v>
      </x:c>
      <x:c r="B787" s="14" t="str">
        <x:v>S0064</x:v>
      </x:c>
      <x:c r="C787" s="14" t="str">
        <x:v>工作日</x:v>
      </x:c>
      <x:c r="D787" s="14" t="str">
        <x:v>环线1路</x:v>
      </x:c>
      <x:c r="E787" s="14" t="str">
        <x:v>第四班（夜1）</x:v>
      </x:c>
      <x:c r="F787" s="14" t="n">
        <x:v>8</x:v>
      </x:c>
      <x:c r="G787" s="14" t="str">
        <x:v>19:15</x:v>
      </x:c>
      <x:c r="H787" s="14" t="str">
        <x:v>研究生宿舍楼</x:v>
      </x:c>
      <x:c r="I787" s="14" t="str">
        <x:v>否</x:v>
      </x:c>
      <x:c r="J787" s="14" t="n">
        <x:v>3</x:v>
      </x:c>
      <x:c r="K787" s="14" t="str">
        <x:v>2号宿舍楼</x:v>
      </x:c>
      <x:c r="L787" s="14" t="n">
        <x:v>2</x:v>
      </x:c>
      <x:c r="M787" s="14" t="str">
        <x:v>19:17</x:v>
      </x:c>
      <x:c r="N787" s="14" t="str">
        <x:v>否</x:v>
      </x:c>
      <x:c r="O787" s="14" t="str">
        <x:v>否</x:v>
      </x:c>
      <x:c r="P787" s="14" t="str">
        <x:v>未提供</x:v>
      </x:c>
      <x:c r="Q787" s="14" t="str">
        <x:v>未提供</x:v>
      </x:c>
      <x:c r="R787" s="14" t="str">
        <x:v>预测</x:v>
      </x:c>
      <x:c r="S787" s="14" t="str">
        <x:v>到站时间为估算值</x:v>
      </x:c>
      <x:c r="T787" t="str">
        <x:v>研究生宿舍楼发车</x:v>
      </x:c>
    </x:row>
    <x:row r="788">
      <x:c r="A788" s="14" t="str">
        <x:v>S0064-04</x:v>
      </x:c>
      <x:c r="B788" s="14" t="str">
        <x:v>S0064</x:v>
      </x:c>
      <x:c r="C788" s="14" t="str">
        <x:v>工作日</x:v>
      </x:c>
      <x:c r="D788" s="14" t="str">
        <x:v>环线1路</x:v>
      </x:c>
      <x:c r="E788" s="14" t="str">
        <x:v>第四班（夜1）</x:v>
      </x:c>
      <x:c r="F788" s="14" t="n">
        <x:v>8</x:v>
      </x:c>
      <x:c r="G788" s="14" t="str">
        <x:v>19:15</x:v>
      </x:c>
      <x:c r="H788" s="14" t="str">
        <x:v>研究生宿舍楼</x:v>
      </x:c>
      <x:c r="I788" s="14" t="str">
        <x:v>否</x:v>
      </x:c>
      <x:c r="J788" s="14" t="n">
        <x:v>4</x:v>
      </x:c>
      <x:c r="K788" s="14" t="str">
        <x:v>军体活动中心</x:v>
      </x:c>
      <x:c r="L788" s="14" t="n">
        <x:v>3</x:v>
      </x:c>
      <x:c r="M788" s="14" t="str">
        <x:v>19:18</x:v>
      </x:c>
      <x:c r="N788" s="14" t="str">
        <x:v>否</x:v>
      </x:c>
      <x:c r="O788" s="14" t="str">
        <x:v>否</x:v>
      </x:c>
      <x:c r="P788" s="14" t="str">
        <x:v>未提供</x:v>
      </x:c>
      <x:c r="Q788" s="14" t="str">
        <x:v>未提供</x:v>
      </x:c>
      <x:c r="R788" s="14" t="str">
        <x:v>预测</x:v>
      </x:c>
      <x:c r="S788" s="14" t="str">
        <x:v>到站时间为估算值</x:v>
      </x:c>
      <x:c r="T788" t="str">
        <x:v>研究生宿舍楼发车</x:v>
      </x:c>
    </x:row>
    <x:row r="789">
      <x:c r="A789" s="14" t="str">
        <x:v>S0064-05</x:v>
      </x:c>
      <x:c r="B789" s="14" t="str">
        <x:v>S0064</x:v>
      </x:c>
      <x:c r="C789" s="14" t="str">
        <x:v>工作日</x:v>
      </x:c>
      <x:c r="D789" s="14" t="str">
        <x:v>环线1路</x:v>
      </x:c>
      <x:c r="E789" s="14" t="str">
        <x:v>第四班（夜1）</x:v>
      </x:c>
      <x:c r="F789" s="14" t="n">
        <x:v>8</x:v>
      </x:c>
      <x:c r="G789" s="14" t="str">
        <x:v>19:15</x:v>
      </x:c>
      <x:c r="H789" s="14" t="str">
        <x:v>研究生宿舍楼</x:v>
      </x:c>
      <x:c r="I789" s="14" t="str">
        <x:v>否</x:v>
      </x:c>
      <x:c r="J789" s="14" t="n">
        <x:v>5</x:v>
      </x:c>
      <x:c r="K789" s="14" t="str">
        <x:v>激光所</x:v>
      </x:c>
      <x:c r="L789" s="14" t="n">
        <x:v>5</x:v>
      </x:c>
      <x:c r="M789" s="14" t="str">
        <x:v>19:20</x:v>
      </x:c>
      <x:c r="N789" s="14" t="str">
        <x:v>否</x:v>
      </x:c>
      <x:c r="O789" s="14" t="str">
        <x:v>否</x:v>
      </x:c>
      <x:c r="P789" s="14" t="str">
        <x:v>未提供</x:v>
      </x:c>
      <x:c r="Q789" s="14" t="str">
        <x:v>未提供</x:v>
      </x:c>
      <x:c r="R789" s="14" t="str">
        <x:v>预测</x:v>
      </x:c>
      <x:c r="S789" s="14" t="str">
        <x:v>到站时间为估算值</x:v>
      </x:c>
      <x:c r="T789" t="str">
        <x:v>研究生宿舍楼发车</x:v>
      </x:c>
    </x:row>
    <x:row r="790">
      <x:c r="A790" s="14" t="str">
        <x:v>S0064-06</x:v>
      </x:c>
      <x:c r="B790" s="14" t="str">
        <x:v>S0064</x:v>
      </x:c>
      <x:c r="C790" s="14" t="str">
        <x:v>工作日</x:v>
      </x:c>
      <x:c r="D790" s="14" t="str">
        <x:v>环线1路</x:v>
      </x:c>
      <x:c r="E790" s="14" t="str">
        <x:v>第四班（夜1）</x:v>
      </x:c>
      <x:c r="F790" s="14" t="n">
        <x:v>8</x:v>
      </x:c>
      <x:c r="G790" s="14" t="str">
        <x:v>19:15</x:v>
      </x:c>
      <x:c r="H790" s="14" t="str">
        <x:v>研究生宿舍楼</x:v>
      </x:c>
      <x:c r="I790" s="14" t="str">
        <x:v>否</x:v>
      </x:c>
      <x:c r="J790" s="14" t="n">
        <x:v>6</x:v>
      </x:c>
      <x:c r="K790" s="14" t="str">
        <x:v>超算中心</x:v>
      </x:c>
      <x:c r="L790" s="14" t="n">
        <x:v>6</x:v>
      </x:c>
      <x:c r="M790" s="14" t="str">
        <x:v>19:21</x:v>
      </x:c>
      <x:c r="N790" s="14" t="str">
        <x:v>否</x:v>
      </x:c>
      <x:c r="O790" s="14" t="str">
        <x:v>否</x:v>
      </x:c>
      <x:c r="P790" s="14" t="str">
        <x:v>未提供</x:v>
      </x:c>
      <x:c r="Q790" s="14" t="str">
        <x:v>未提供</x:v>
      </x:c>
      <x:c r="R790" s="14" t="str">
        <x:v>预测</x:v>
      </x:c>
      <x:c r="S790" s="14" t="str">
        <x:v>到站时间为估算值</x:v>
      </x:c>
      <x:c r="T790" t="str">
        <x:v>研究生宿舍楼发车</x:v>
      </x:c>
    </x:row>
    <x:row r="791">
      <x:c r="A791" s="14" t="str">
        <x:v>S0064-07</x:v>
      </x:c>
      <x:c r="B791" s="14" t="str">
        <x:v>S0064</x:v>
      </x:c>
      <x:c r="C791" s="14" t="str">
        <x:v>工作日</x:v>
      </x:c>
      <x:c r="D791" s="14" t="str">
        <x:v>环线1路</x:v>
      </x:c>
      <x:c r="E791" s="14" t="str">
        <x:v>第四班（夜1）</x:v>
      </x:c>
      <x:c r="F791" s="14" t="n">
        <x:v>8</x:v>
      </x:c>
      <x:c r="G791" s="14" t="str">
        <x:v>19:15</x:v>
      </x:c>
      <x:c r="H791" s="14" t="str">
        <x:v>研究生宿舍楼</x:v>
      </x:c>
      <x:c r="I791" s="14" t="str">
        <x:v>否</x:v>
      </x:c>
      <x:c r="J791" s="14" t="n">
        <x:v>7</x:v>
      </x:c>
      <x:c r="K791" s="14" t="str">
        <x:v>北门</x:v>
      </x:c>
      <x:c r="L791" s="14" t="n">
        <x:v>8</x:v>
      </x:c>
      <x:c r="M791" s="14" t="str">
        <x:v>19:23</x:v>
      </x:c>
      <x:c r="N791" s="14" t="str">
        <x:v>否</x:v>
      </x:c>
      <x:c r="O791" s="14" t="str">
        <x:v>否</x:v>
      </x:c>
      <x:c r="P791" s="14" t="str">
        <x:v>未提供</x:v>
      </x:c>
      <x:c r="Q791" s="14" t="str">
        <x:v>未提供</x:v>
      </x:c>
      <x:c r="R791" s="14" t="str">
        <x:v>预测</x:v>
      </x:c>
      <x:c r="S791" s="14" t="str">
        <x:v>到站时间为估算值</x:v>
      </x:c>
      <x:c r="T791" t="str">
        <x:v>研究生宿舍楼发车</x:v>
      </x:c>
    </x:row>
    <x:row r="792">
      <x:c r="A792" s="14" t="str">
        <x:v>S0064-08</x:v>
      </x:c>
      <x:c r="B792" s="14" t="str">
        <x:v>S0064</x:v>
      </x:c>
      <x:c r="C792" s="14" t="str">
        <x:v>工作日</x:v>
      </x:c>
      <x:c r="D792" s="14" t="str">
        <x:v>环线1路</x:v>
      </x:c>
      <x:c r="E792" s="14" t="str">
        <x:v>第四班（夜1）</x:v>
      </x:c>
      <x:c r="F792" s="14" t="n">
        <x:v>8</x:v>
      </x:c>
      <x:c r="G792" s="14" t="str">
        <x:v>19:15</x:v>
      </x:c>
      <x:c r="H792" s="14" t="str">
        <x:v>研究生宿舍楼</x:v>
      </x:c>
      <x:c r="I792" s="14" t="str">
        <x:v>否</x:v>
      </x:c>
      <x:c r="J792" s="14" t="n">
        <x:v>8</x:v>
      </x:c>
      <x:c r="K792" s="14" t="str">
        <x:v>高超楼</x:v>
      </x:c>
      <x:c r="L792" s="14" t="n">
        <x:v>9</x:v>
      </x:c>
      <x:c r="M792" s="14" t="str">
        <x:v>19:24</x:v>
      </x:c>
      <x:c r="N792" s="14" t="str">
        <x:v>否</x:v>
      </x:c>
      <x:c r="O792" s="14" t="str">
        <x:v>否</x:v>
      </x:c>
      <x:c r="P792" s="14" t="str">
        <x:v>未提供</x:v>
      </x:c>
      <x:c r="Q792" s="14" t="str">
        <x:v>未提供</x:v>
      </x:c>
      <x:c r="R792" s="14" t="str">
        <x:v>预测</x:v>
      </x:c>
      <x:c r="S792" s="14" t="str">
        <x:v>到站时间为估算值</x:v>
      </x:c>
      <x:c r="T792" t="str">
        <x:v>研究生宿舍楼发车</x:v>
      </x:c>
    </x:row>
    <x:row r="793">
      <x:c r="A793" s="14" t="str">
        <x:v>S0064-09</x:v>
      </x:c>
      <x:c r="B793" s="14" t="str">
        <x:v>S0064</x:v>
      </x:c>
      <x:c r="C793" s="14" t="str">
        <x:v>工作日</x:v>
      </x:c>
      <x:c r="D793" s="14" t="str">
        <x:v>环线1路</x:v>
      </x:c>
      <x:c r="E793" s="14" t="str">
        <x:v>第四班（夜1）</x:v>
      </x:c>
      <x:c r="F793" s="14" t="n">
        <x:v>8</x:v>
      </x:c>
      <x:c r="G793" s="14" t="str">
        <x:v>19:15</x:v>
      </x:c>
      <x:c r="H793" s="14" t="str">
        <x:v>研究生宿舍楼</x:v>
      </x:c>
      <x:c r="I793" s="14" t="str">
        <x:v>否</x:v>
      </x:c>
      <x:c r="J793" s="14" t="n">
        <x:v>9</x:v>
      </x:c>
      <x:c r="K793" s="14" t="str">
        <x:v>理学院</x:v>
      </x:c>
      <x:c r="L793" s="14" t="n">
        <x:v>10</x:v>
      </x:c>
      <x:c r="M793" s="14" t="str">
        <x:v>19:25</x:v>
      </x:c>
      <x:c r="N793" s="14" t="str">
        <x:v>否</x:v>
      </x:c>
      <x:c r="O793" s="14" t="str">
        <x:v>否</x:v>
      </x:c>
      <x:c r="P793" s="14" t="str">
        <x:v>未提供</x:v>
      </x:c>
      <x:c r="Q793" s="14" t="str">
        <x:v>未提供</x:v>
      </x:c>
      <x:c r="R793" s="14" t="str">
        <x:v>预测</x:v>
      </x:c>
      <x:c r="S793" s="14" t="str">
        <x:v>到站时间为估算值</x:v>
      </x:c>
      <x:c r="T793" t="str">
        <x:v>研究生宿舍楼发车</x:v>
      </x:c>
    </x:row>
    <x:row r="794">
      <x:c r="A794" s="14" t="str">
        <x:v>S0064-10</x:v>
      </x:c>
      <x:c r="B794" s="14" t="str">
        <x:v>S0064</x:v>
      </x:c>
      <x:c r="C794" s="14" t="str">
        <x:v>工作日</x:v>
      </x:c>
      <x:c r="D794" s="14" t="str">
        <x:v>环线1路</x:v>
      </x:c>
      <x:c r="E794" s="14" t="str">
        <x:v>第四班（夜1）</x:v>
      </x:c>
      <x:c r="F794" s="14" t="n">
        <x:v>8</x:v>
      </x:c>
      <x:c r="G794" s="14" t="str">
        <x:v>19:15</x:v>
      </x:c>
      <x:c r="H794" s="14" t="str">
        <x:v>研究生宿舍楼</x:v>
      </x:c>
      <x:c r="I794" s="14" t="str">
        <x:v>否</x:v>
      </x:c>
      <x:c r="J794" s="14" t="n">
        <x:v>10</x:v>
      </x:c>
      <x:c r="K794" s="14" t="str">
        <x:v>二食堂</x:v>
      </x:c>
      <x:c r="L794" s="14" t="n">
        <x:v>13</x:v>
      </x:c>
      <x:c r="M794" s="14" t="str">
        <x:v>19:28</x:v>
      </x:c>
      <x:c r="N794" s="14" t="str">
        <x:v>否</x:v>
      </x:c>
      <x:c r="O794" s="14" t="str">
        <x:v>否</x:v>
      </x:c>
      <x:c r="P794" s="14" t="str">
        <x:v>未提供</x:v>
      </x:c>
      <x:c r="Q794" s="14" t="str">
        <x:v>未提供</x:v>
      </x:c>
      <x:c r="R794" s="14" t="str">
        <x:v>预测</x:v>
      </x:c>
      <x:c r="S794" s="14" t="str">
        <x:v>到站时间为估算值</x:v>
      </x:c>
      <x:c r="T794" t="str">
        <x:v>研究生宿舍楼发车</x:v>
      </x:c>
    </x:row>
    <x:row r="795">
      <x:c r="A795" s="14" t="str">
        <x:v>S0064-11</x:v>
      </x:c>
      <x:c r="B795" s="14" t="str">
        <x:v>S0064</x:v>
      </x:c>
      <x:c r="C795" s="14" t="str">
        <x:v>工作日</x:v>
      </x:c>
      <x:c r="D795" s="14" t="str">
        <x:v>环线1路</x:v>
      </x:c>
      <x:c r="E795" s="14" t="str">
        <x:v>第四班（夜1）</x:v>
      </x:c>
      <x:c r="F795" s="14" t="n">
        <x:v>8</x:v>
      </x:c>
      <x:c r="G795" s="14" t="str">
        <x:v>19:15</x:v>
      </x:c>
      <x:c r="H795" s="14" t="str">
        <x:v>研究生宿舍楼</x:v>
      </x:c>
      <x:c r="I795" s="14" t="str">
        <x:v>否</x:v>
      </x:c>
      <x:c r="J795" s="14" t="n">
        <x:v>11</x:v>
      </x:c>
      <x:c r="K795" s="14" t="str">
        <x:v>5号宿舍楼</x:v>
      </x:c>
      <x:c r="L795" s="14" t="n">
        <x:v>14</x:v>
      </x:c>
      <x:c r="M795" s="14" t="str">
        <x:v>19:29</x:v>
      </x:c>
      <x:c r="N795" s="14" t="str">
        <x:v>否</x:v>
      </x:c>
      <x:c r="O795" s="14" t="str">
        <x:v>否</x:v>
      </x:c>
      <x:c r="P795" s="14" t="str">
        <x:v>未提供</x:v>
      </x:c>
      <x:c r="Q795" s="14" t="str">
        <x:v>未提供</x:v>
      </x:c>
      <x:c r="R795" s="14" t="str">
        <x:v>预测</x:v>
      </x:c>
      <x:c r="S795" s="14" t="str">
        <x:v>到站时间为估算值</x:v>
      </x:c>
      <x:c r="T795" t="str">
        <x:v>研究生宿舍楼发车</x:v>
      </x:c>
    </x:row>
    <x:row r="796">
      <x:c r="A796" s="14" t="str">
        <x:v>S0064-12</x:v>
      </x:c>
      <x:c r="B796" s="14" t="str">
        <x:v>S0064</x:v>
      </x:c>
      <x:c r="C796" s="14" t="str">
        <x:v>工作日</x:v>
      </x:c>
      <x:c r="D796" s="14" t="str">
        <x:v>环线1路</x:v>
      </x:c>
      <x:c r="E796" s="14" t="str">
        <x:v>第四班（夜1）</x:v>
      </x:c>
      <x:c r="F796" s="14" t="n">
        <x:v>8</x:v>
      </x:c>
      <x:c r="G796" s="14" t="str">
        <x:v>19:15</x:v>
      </x:c>
      <x:c r="H796" s="14" t="str">
        <x:v>研究生宿舍楼</x:v>
      </x:c>
      <x:c r="I796" s="14" t="str">
        <x:v>否</x:v>
      </x:c>
      <x:c r="J796" s="14" t="n">
        <x:v>12</x:v>
      </x:c>
      <x:c r="K796" s="14" t="str">
        <x:v>305教学楼</x:v>
      </x:c>
      <x:c r="L796" s="14" t="n">
        <x:v>15</x:v>
      </x:c>
      <x:c r="M796" s="14" t="str">
        <x:v>19:30</x:v>
      </x:c>
      <x:c r="N796" s="14" t="str">
        <x:v>否</x:v>
      </x:c>
      <x:c r="O796" s="14" t="str">
        <x:v>否</x:v>
      </x:c>
      <x:c r="P796" s="14" t="str">
        <x:v>未提供</x:v>
      </x:c>
      <x:c r="Q796" s="14" t="str">
        <x:v>未提供</x:v>
      </x:c>
      <x:c r="R796" s="14" t="str">
        <x:v>预测</x:v>
      </x:c>
      <x:c r="S796" s="14" t="str">
        <x:v>到站时间为估算值</x:v>
      </x:c>
      <x:c r="T796" t="str">
        <x:v>研究生宿舍楼发车</x:v>
      </x:c>
    </x:row>
    <x:row r="797">
      <x:c r="A797" s="14" t="str">
        <x:v>S0064-13</x:v>
      </x:c>
      <x:c r="B797" s="14" t="str">
        <x:v>S0064</x:v>
      </x:c>
      <x:c r="C797" s="14" t="str">
        <x:v>工作日</x:v>
      </x:c>
      <x:c r="D797" s="14" t="str">
        <x:v>环线1路</x:v>
      </x:c>
      <x:c r="E797" s="14" t="str">
        <x:v>第四班（夜1）</x:v>
      </x:c>
      <x:c r="F797" s="14" t="n">
        <x:v>8</x:v>
      </x:c>
      <x:c r="G797" s="14" t="str">
        <x:v>19:15</x:v>
      </x:c>
      <x:c r="H797" s="14" t="str">
        <x:v>研究生宿舍楼</x:v>
      </x:c>
      <x:c r="I797" s="14" t="str">
        <x:v>否</x:v>
      </x:c>
      <x:c r="J797" s="14" t="n">
        <x:v>13</x:v>
      </x:c>
      <x:c r="K797" s="14" t="str">
        <x:v>研究生宿舍楼</x:v>
      </x:c>
      <x:c r="L797" s="14" t="n">
        <x:v>17</x:v>
      </x:c>
      <x:c r="M797" s="14" t="str">
        <x:v>19:32</x:v>
      </x:c>
      <x:c r="N797" s="14" t="str">
        <x:v>否</x:v>
      </x:c>
      <x:c r="O797" s="14" t="str">
        <x:v>是</x:v>
      </x:c>
      <x:c r="P797" s="14" t="str">
        <x:v>未提供</x:v>
      </x:c>
      <x:c r="Q797" s="14" t="str">
        <x:v>未提供</x:v>
      </x:c>
      <x:c r="R797" s="14" t="str">
        <x:v>预测</x:v>
      </x:c>
      <x:c r="S797" s="14" t="str">
        <x:v>到站时间为估算值</x:v>
      </x:c>
      <x:c r="T797" t="str">
        <x:v>研究生宿舍楼发车</x:v>
      </x:c>
    </x:row>
    <x:row r="798">
      <x:c r="A798" s="14" t="str">
        <x:v>S0065-01</x:v>
      </x:c>
      <x:c r="B798" s="14" t="str">
        <x:v>S0065</x:v>
      </x:c>
      <x:c r="C798" s="14" t="str">
        <x:v>工作日</x:v>
      </x:c>
      <x:c r="D798" s="14" t="str">
        <x:v>环线1路</x:v>
      </x:c>
      <x:c r="E798" s="14" t="str">
        <x:v>第四班（夜1）</x:v>
      </x:c>
      <x:c r="F798" s="14" t="n">
        <x:v>9</x:v>
      </x:c>
      <x:c r="G798" s="14" t="str">
        <x:v>19:45</x:v>
      </x:c>
      <x:c r="H798" s="14" t="str">
        <x:v>研究生宿舍楼</x:v>
      </x:c>
      <x:c r="I798" s="14" t="str">
        <x:v>否</x:v>
      </x:c>
      <x:c r="J798" s="14" t="n">
        <x:v>1</x:v>
      </x:c>
      <x:c r="K798" s="14" t="str">
        <x:v>研究生宿舍楼</x:v>
      </x:c>
      <x:c r="L798" s="14" t="n">
        <x:v>0</x:v>
      </x:c>
      <x:c r="M798" s="14" t="str">
        <x:v>19:45</x:v>
      </x:c>
      <x:c r="N798" s="14" t="str">
        <x:v>是</x:v>
      </x:c>
      <x:c r="O798" s="14" t="str">
        <x:v>否</x:v>
      </x:c>
      <x:c r="P798" s="14" t="str">
        <x:v>未提供</x:v>
      </x:c>
      <x:c r="Q798" s="14" t="str">
        <x:v>未提供</x:v>
      </x:c>
      <x:c r="R798" s="14" t="str">
        <x:v>预测</x:v>
      </x:c>
      <x:c r="S798" s="14" t="str">
        <x:v>到站时间为估算值</x:v>
      </x:c>
      <x:c r="T798" t="str">
        <x:v>研究生宿舍楼发车</x:v>
      </x:c>
    </x:row>
    <x:row r="799">
      <x:c r="A799" s="14" t="str">
        <x:v>S0065-02</x:v>
      </x:c>
      <x:c r="B799" s="14" t="str">
        <x:v>S0065</x:v>
      </x:c>
      <x:c r="C799" s="14" t="str">
        <x:v>工作日</x:v>
      </x:c>
      <x:c r="D799" s="14" t="str">
        <x:v>环线1路</x:v>
      </x:c>
      <x:c r="E799" s="14" t="str">
        <x:v>第四班（夜1）</x:v>
      </x:c>
      <x:c r="F799" s="14" t="n">
        <x:v>9</x:v>
      </x:c>
      <x:c r="G799" s="14" t="str">
        <x:v>19:45</x:v>
      </x:c>
      <x:c r="H799" s="14" t="str">
        <x:v>研究生宿舍楼</x:v>
      </x:c>
      <x:c r="I799" s="14" t="str">
        <x:v>否</x:v>
      </x:c>
      <x:c r="J799" s="14" t="n">
        <x:v>2</x:v>
      </x:c>
      <x:c r="K799" s="14" t="str">
        <x:v>东门</x:v>
      </x:c>
      <x:c r="L799" s="14" t="n">
        <x:v>1</x:v>
      </x:c>
      <x:c r="M799" s="14" t="str">
        <x:v>19:46</x:v>
      </x:c>
      <x:c r="N799" s="14" t="str">
        <x:v>否</x:v>
      </x:c>
      <x:c r="O799" s="14" t="str">
        <x:v>否</x:v>
      </x:c>
      <x:c r="P799" s="14" t="str">
        <x:v>未提供</x:v>
      </x:c>
      <x:c r="Q799" s="14" t="str">
        <x:v>未提供</x:v>
      </x:c>
      <x:c r="R799" s="14" t="str">
        <x:v>预测</x:v>
      </x:c>
      <x:c r="S799" s="14" t="str">
        <x:v>到站时间为估算值</x:v>
      </x:c>
      <x:c r="T799" t="str">
        <x:v>研究生宿舍楼发车</x:v>
      </x:c>
    </x:row>
    <x:row r="800">
      <x:c r="A800" s="14" t="str">
        <x:v>S0065-03</x:v>
      </x:c>
      <x:c r="B800" s="14" t="str">
        <x:v>S0065</x:v>
      </x:c>
      <x:c r="C800" s="14" t="str">
        <x:v>工作日</x:v>
      </x:c>
      <x:c r="D800" s="14" t="str">
        <x:v>环线1路</x:v>
      </x:c>
      <x:c r="E800" s="14" t="str">
        <x:v>第四班（夜1）</x:v>
      </x:c>
      <x:c r="F800" s="14" t="n">
        <x:v>9</x:v>
      </x:c>
      <x:c r="G800" s="14" t="str">
        <x:v>19:45</x:v>
      </x:c>
      <x:c r="H800" s="14" t="str">
        <x:v>研究生宿舍楼</x:v>
      </x:c>
      <x:c r="I800" s="14" t="str">
        <x:v>否</x:v>
      </x:c>
      <x:c r="J800" s="14" t="n">
        <x:v>3</x:v>
      </x:c>
      <x:c r="K800" s="14" t="str">
        <x:v>2号宿舍楼</x:v>
      </x:c>
      <x:c r="L800" s="14" t="n">
        <x:v>2</x:v>
      </x:c>
      <x:c r="M800" s="14" t="str">
        <x:v>19:47</x:v>
      </x:c>
      <x:c r="N800" s="14" t="str">
        <x:v>否</x:v>
      </x:c>
      <x:c r="O800" s="14" t="str">
        <x:v>否</x:v>
      </x:c>
      <x:c r="P800" s="14" t="str">
        <x:v>未提供</x:v>
      </x:c>
      <x:c r="Q800" s="14" t="str">
        <x:v>未提供</x:v>
      </x:c>
      <x:c r="R800" s="14" t="str">
        <x:v>预测</x:v>
      </x:c>
      <x:c r="S800" s="14" t="str">
        <x:v>到站时间为估算值</x:v>
      </x:c>
      <x:c r="T800" t="str">
        <x:v>研究生宿舍楼发车</x:v>
      </x:c>
    </x:row>
    <x:row r="801">
      <x:c r="A801" s="14" t="str">
        <x:v>S0065-04</x:v>
      </x:c>
      <x:c r="B801" s="14" t="str">
        <x:v>S0065</x:v>
      </x:c>
      <x:c r="C801" s="14" t="str">
        <x:v>工作日</x:v>
      </x:c>
      <x:c r="D801" s="14" t="str">
        <x:v>环线1路</x:v>
      </x:c>
      <x:c r="E801" s="14" t="str">
        <x:v>第四班（夜1）</x:v>
      </x:c>
      <x:c r="F801" s="14" t="n">
        <x:v>9</x:v>
      </x:c>
      <x:c r="G801" s="14" t="str">
        <x:v>19:45</x:v>
      </x:c>
      <x:c r="H801" s="14" t="str">
        <x:v>研究生宿舍楼</x:v>
      </x:c>
      <x:c r="I801" s="14" t="str">
        <x:v>否</x:v>
      </x:c>
      <x:c r="J801" s="14" t="n">
        <x:v>4</x:v>
      </x:c>
      <x:c r="K801" s="14" t="str">
        <x:v>军体活动中心</x:v>
      </x:c>
      <x:c r="L801" s="14" t="n">
        <x:v>3</x:v>
      </x:c>
      <x:c r="M801" s="14" t="str">
        <x:v>19:48</x:v>
      </x:c>
      <x:c r="N801" s="14" t="str">
        <x:v>否</x:v>
      </x:c>
      <x:c r="O801" s="14" t="str">
        <x:v>否</x:v>
      </x:c>
      <x:c r="P801" s="14" t="str">
        <x:v>未提供</x:v>
      </x:c>
      <x:c r="Q801" s="14" t="str">
        <x:v>未提供</x:v>
      </x:c>
      <x:c r="R801" s="14" t="str">
        <x:v>预测</x:v>
      </x:c>
      <x:c r="S801" s="14" t="str">
        <x:v>到站时间为估算值</x:v>
      </x:c>
      <x:c r="T801" t="str">
        <x:v>研究生宿舍楼发车</x:v>
      </x:c>
    </x:row>
    <x:row r="802">
      <x:c r="A802" s="14" t="str">
        <x:v>S0065-05</x:v>
      </x:c>
      <x:c r="B802" s="14" t="str">
        <x:v>S0065</x:v>
      </x:c>
      <x:c r="C802" s="14" t="str">
        <x:v>工作日</x:v>
      </x:c>
      <x:c r="D802" s="14" t="str">
        <x:v>环线1路</x:v>
      </x:c>
      <x:c r="E802" s="14" t="str">
        <x:v>第四班（夜1）</x:v>
      </x:c>
      <x:c r="F802" s="14" t="n">
        <x:v>9</x:v>
      </x:c>
      <x:c r="G802" s="14" t="str">
        <x:v>19:45</x:v>
      </x:c>
      <x:c r="H802" s="14" t="str">
        <x:v>研究生宿舍楼</x:v>
      </x:c>
      <x:c r="I802" s="14" t="str">
        <x:v>否</x:v>
      </x:c>
      <x:c r="J802" s="14" t="n">
        <x:v>5</x:v>
      </x:c>
      <x:c r="K802" s="14" t="str">
        <x:v>激光所</x:v>
      </x:c>
      <x:c r="L802" s="14" t="n">
        <x:v>5</x:v>
      </x:c>
      <x:c r="M802" s="14" t="str">
        <x:v>19:50</x:v>
      </x:c>
      <x:c r="N802" s="14" t="str">
        <x:v>否</x:v>
      </x:c>
      <x:c r="O802" s="14" t="str">
        <x:v>否</x:v>
      </x:c>
      <x:c r="P802" s="14" t="str">
        <x:v>未提供</x:v>
      </x:c>
      <x:c r="Q802" s="14" t="str">
        <x:v>未提供</x:v>
      </x:c>
      <x:c r="R802" s="14" t="str">
        <x:v>预测</x:v>
      </x:c>
      <x:c r="S802" s="14" t="str">
        <x:v>到站时间为估算值</x:v>
      </x:c>
      <x:c r="T802" t="str">
        <x:v>研究生宿舍楼发车</x:v>
      </x:c>
    </x:row>
    <x:row r="803">
      <x:c r="A803" s="14" t="str">
        <x:v>S0065-06</x:v>
      </x:c>
      <x:c r="B803" s="14" t="str">
        <x:v>S0065</x:v>
      </x:c>
      <x:c r="C803" s="14" t="str">
        <x:v>工作日</x:v>
      </x:c>
      <x:c r="D803" s="14" t="str">
        <x:v>环线1路</x:v>
      </x:c>
      <x:c r="E803" s="14" t="str">
        <x:v>第四班（夜1）</x:v>
      </x:c>
      <x:c r="F803" s="14" t="n">
        <x:v>9</x:v>
      </x:c>
      <x:c r="G803" s="14" t="str">
        <x:v>19:45</x:v>
      </x:c>
      <x:c r="H803" s="14" t="str">
        <x:v>研究生宿舍楼</x:v>
      </x:c>
      <x:c r="I803" s="14" t="str">
        <x:v>否</x:v>
      </x:c>
      <x:c r="J803" s="14" t="n">
        <x:v>6</x:v>
      </x:c>
      <x:c r="K803" s="14" t="str">
        <x:v>超算中心</x:v>
      </x:c>
      <x:c r="L803" s="14" t="n">
        <x:v>6</x:v>
      </x:c>
      <x:c r="M803" s="14" t="str">
        <x:v>19:51</x:v>
      </x:c>
      <x:c r="N803" s="14" t="str">
        <x:v>否</x:v>
      </x:c>
      <x:c r="O803" s="14" t="str">
        <x:v>否</x:v>
      </x:c>
      <x:c r="P803" s="14" t="str">
        <x:v>未提供</x:v>
      </x:c>
      <x:c r="Q803" s="14" t="str">
        <x:v>未提供</x:v>
      </x:c>
      <x:c r="R803" s="14" t="str">
        <x:v>预测</x:v>
      </x:c>
      <x:c r="S803" s="14" t="str">
        <x:v>到站时间为估算值</x:v>
      </x:c>
      <x:c r="T803" t="str">
        <x:v>研究生宿舍楼发车</x:v>
      </x:c>
    </x:row>
    <x:row r="804">
      <x:c r="A804" s="14" t="str">
        <x:v>S0065-07</x:v>
      </x:c>
      <x:c r="B804" s="14" t="str">
        <x:v>S0065</x:v>
      </x:c>
      <x:c r="C804" s="14" t="str">
        <x:v>工作日</x:v>
      </x:c>
      <x:c r="D804" s="14" t="str">
        <x:v>环线1路</x:v>
      </x:c>
      <x:c r="E804" s="14" t="str">
        <x:v>第四班（夜1）</x:v>
      </x:c>
      <x:c r="F804" s="14" t="n">
        <x:v>9</x:v>
      </x:c>
      <x:c r="G804" s="14" t="str">
        <x:v>19:45</x:v>
      </x:c>
      <x:c r="H804" s="14" t="str">
        <x:v>研究生宿舍楼</x:v>
      </x:c>
      <x:c r="I804" s="14" t="str">
        <x:v>否</x:v>
      </x:c>
      <x:c r="J804" s="14" t="n">
        <x:v>7</x:v>
      </x:c>
      <x:c r="K804" s="14" t="str">
        <x:v>北门</x:v>
      </x:c>
      <x:c r="L804" s="14" t="n">
        <x:v>8</x:v>
      </x:c>
      <x:c r="M804" s="14" t="str">
        <x:v>19:53</x:v>
      </x:c>
      <x:c r="N804" s="14" t="str">
        <x:v>否</x:v>
      </x:c>
      <x:c r="O804" s="14" t="str">
        <x:v>否</x:v>
      </x:c>
      <x:c r="P804" s="14" t="str">
        <x:v>未提供</x:v>
      </x:c>
      <x:c r="Q804" s="14" t="str">
        <x:v>未提供</x:v>
      </x:c>
      <x:c r="R804" s="14" t="str">
        <x:v>预测</x:v>
      </x:c>
      <x:c r="S804" s="14" t="str">
        <x:v>到站时间为估算值</x:v>
      </x:c>
      <x:c r="T804" t="str">
        <x:v>研究生宿舍楼发车</x:v>
      </x:c>
    </x:row>
    <x:row r="805">
      <x:c r="A805" s="14" t="str">
        <x:v>S0065-08</x:v>
      </x:c>
      <x:c r="B805" s="14" t="str">
        <x:v>S0065</x:v>
      </x:c>
      <x:c r="C805" s="14" t="str">
        <x:v>工作日</x:v>
      </x:c>
      <x:c r="D805" s="14" t="str">
        <x:v>环线1路</x:v>
      </x:c>
      <x:c r="E805" s="14" t="str">
        <x:v>第四班（夜1）</x:v>
      </x:c>
      <x:c r="F805" s="14" t="n">
        <x:v>9</x:v>
      </x:c>
      <x:c r="G805" s="14" t="str">
        <x:v>19:45</x:v>
      </x:c>
      <x:c r="H805" s="14" t="str">
        <x:v>研究生宿舍楼</x:v>
      </x:c>
      <x:c r="I805" s="14" t="str">
        <x:v>否</x:v>
      </x:c>
      <x:c r="J805" s="14" t="n">
        <x:v>8</x:v>
      </x:c>
      <x:c r="K805" s="14" t="str">
        <x:v>高超楼</x:v>
      </x:c>
      <x:c r="L805" s="14" t="n">
        <x:v>9</x:v>
      </x:c>
      <x:c r="M805" s="14" t="str">
        <x:v>19:54</x:v>
      </x:c>
      <x:c r="N805" s="14" t="str">
        <x:v>否</x:v>
      </x:c>
      <x:c r="O805" s="14" t="str">
        <x:v>否</x:v>
      </x:c>
      <x:c r="P805" s="14" t="str">
        <x:v>未提供</x:v>
      </x:c>
      <x:c r="Q805" s="14" t="str">
        <x:v>未提供</x:v>
      </x:c>
      <x:c r="R805" s="14" t="str">
        <x:v>预测</x:v>
      </x:c>
      <x:c r="S805" s="14" t="str">
        <x:v>到站时间为估算值</x:v>
      </x:c>
      <x:c r="T805" t="str">
        <x:v>研究生宿舍楼发车</x:v>
      </x:c>
    </x:row>
    <x:row r="806">
      <x:c r="A806" s="14" t="str">
        <x:v>S0065-09</x:v>
      </x:c>
      <x:c r="B806" s="14" t="str">
        <x:v>S0065</x:v>
      </x:c>
      <x:c r="C806" s="14" t="str">
        <x:v>工作日</x:v>
      </x:c>
      <x:c r="D806" s="14" t="str">
        <x:v>环线1路</x:v>
      </x:c>
      <x:c r="E806" s="14" t="str">
        <x:v>第四班（夜1）</x:v>
      </x:c>
      <x:c r="F806" s="14" t="n">
        <x:v>9</x:v>
      </x:c>
      <x:c r="G806" s="14" t="str">
        <x:v>19:45</x:v>
      </x:c>
      <x:c r="H806" s="14" t="str">
        <x:v>研究生宿舍楼</x:v>
      </x:c>
      <x:c r="I806" s="14" t="str">
        <x:v>否</x:v>
      </x:c>
      <x:c r="J806" s="14" t="n">
        <x:v>9</x:v>
      </x:c>
      <x:c r="K806" s="14" t="str">
        <x:v>理学院</x:v>
      </x:c>
      <x:c r="L806" s="14" t="n">
        <x:v>10</x:v>
      </x:c>
      <x:c r="M806" s="14" t="str">
        <x:v>19:55</x:v>
      </x:c>
      <x:c r="N806" s="14" t="str">
        <x:v>否</x:v>
      </x:c>
      <x:c r="O806" s="14" t="str">
        <x:v>否</x:v>
      </x:c>
      <x:c r="P806" s="14" t="str">
        <x:v>未提供</x:v>
      </x:c>
      <x:c r="Q806" s="14" t="str">
        <x:v>未提供</x:v>
      </x:c>
      <x:c r="R806" s="14" t="str">
        <x:v>预测</x:v>
      </x:c>
      <x:c r="S806" s="14" t="str">
        <x:v>到站时间为估算值</x:v>
      </x:c>
      <x:c r="T806" t="str">
        <x:v>研究生宿舍楼发车</x:v>
      </x:c>
    </x:row>
    <x:row r="807">
      <x:c r="A807" s="14" t="str">
        <x:v>S0065-10</x:v>
      </x:c>
      <x:c r="B807" s="14" t="str">
        <x:v>S0065</x:v>
      </x:c>
      <x:c r="C807" s="14" t="str">
        <x:v>工作日</x:v>
      </x:c>
      <x:c r="D807" s="14" t="str">
        <x:v>环线1路</x:v>
      </x:c>
      <x:c r="E807" s="14" t="str">
        <x:v>第四班（夜1）</x:v>
      </x:c>
      <x:c r="F807" s="14" t="n">
        <x:v>9</x:v>
      </x:c>
      <x:c r="G807" s="14" t="str">
        <x:v>19:45</x:v>
      </x:c>
      <x:c r="H807" s="14" t="str">
        <x:v>研究生宿舍楼</x:v>
      </x:c>
      <x:c r="I807" s="14" t="str">
        <x:v>否</x:v>
      </x:c>
      <x:c r="J807" s="14" t="n">
        <x:v>10</x:v>
      </x:c>
      <x:c r="K807" s="14" t="str">
        <x:v>二食堂</x:v>
      </x:c>
      <x:c r="L807" s="14" t="n">
        <x:v>13</x:v>
      </x:c>
      <x:c r="M807" s="14" t="str">
        <x:v>19:58</x:v>
      </x:c>
      <x:c r="N807" s="14" t="str">
        <x:v>否</x:v>
      </x:c>
      <x:c r="O807" s="14" t="str">
        <x:v>否</x:v>
      </x:c>
      <x:c r="P807" s="14" t="str">
        <x:v>未提供</x:v>
      </x:c>
      <x:c r="Q807" s="14" t="str">
        <x:v>未提供</x:v>
      </x:c>
      <x:c r="R807" s="14" t="str">
        <x:v>预测</x:v>
      </x:c>
      <x:c r="S807" s="14" t="str">
        <x:v>到站时间为估算值</x:v>
      </x:c>
      <x:c r="T807" t="str">
        <x:v>研究生宿舍楼发车</x:v>
      </x:c>
    </x:row>
    <x:row r="808">
      <x:c r="A808" s="14" t="str">
        <x:v>S0065-11</x:v>
      </x:c>
      <x:c r="B808" s="14" t="str">
        <x:v>S0065</x:v>
      </x:c>
      <x:c r="C808" s="14" t="str">
        <x:v>工作日</x:v>
      </x:c>
      <x:c r="D808" s="14" t="str">
        <x:v>环线1路</x:v>
      </x:c>
      <x:c r="E808" s="14" t="str">
        <x:v>第四班（夜1）</x:v>
      </x:c>
      <x:c r="F808" s="14" t="n">
        <x:v>9</x:v>
      </x:c>
      <x:c r="G808" s="14" t="str">
        <x:v>19:45</x:v>
      </x:c>
      <x:c r="H808" s="14" t="str">
        <x:v>研究生宿舍楼</x:v>
      </x:c>
      <x:c r="I808" s="14" t="str">
        <x:v>否</x:v>
      </x:c>
      <x:c r="J808" s="14" t="n">
        <x:v>11</x:v>
      </x:c>
      <x:c r="K808" s="14" t="str">
        <x:v>5号宿舍楼</x:v>
      </x:c>
      <x:c r="L808" s="14" t="n">
        <x:v>14</x:v>
      </x:c>
      <x:c r="M808" s="14" t="str">
        <x:v>19:59</x:v>
      </x:c>
      <x:c r="N808" s="14" t="str">
        <x:v>否</x:v>
      </x:c>
      <x:c r="O808" s="14" t="str">
        <x:v>否</x:v>
      </x:c>
      <x:c r="P808" s="14" t="str">
        <x:v>未提供</x:v>
      </x:c>
      <x:c r="Q808" s="14" t="str">
        <x:v>未提供</x:v>
      </x:c>
      <x:c r="R808" s="14" t="str">
        <x:v>预测</x:v>
      </x:c>
      <x:c r="S808" s="14" t="str">
        <x:v>到站时间为估算值</x:v>
      </x:c>
      <x:c r="T808" t="str">
        <x:v>研究生宿舍楼发车</x:v>
      </x:c>
    </x:row>
    <x:row r="809">
      <x:c r="A809" s="14" t="str">
        <x:v>S0065-12</x:v>
      </x:c>
      <x:c r="B809" s="14" t="str">
        <x:v>S0065</x:v>
      </x:c>
      <x:c r="C809" s="14" t="str">
        <x:v>工作日</x:v>
      </x:c>
      <x:c r="D809" s="14" t="str">
        <x:v>环线1路</x:v>
      </x:c>
      <x:c r="E809" s="14" t="str">
        <x:v>第四班（夜1）</x:v>
      </x:c>
      <x:c r="F809" s="14" t="n">
        <x:v>9</x:v>
      </x:c>
      <x:c r="G809" s="14" t="str">
        <x:v>19:45</x:v>
      </x:c>
      <x:c r="H809" s="14" t="str">
        <x:v>研究生宿舍楼</x:v>
      </x:c>
      <x:c r="I809" s="14" t="str">
        <x:v>否</x:v>
      </x:c>
      <x:c r="J809" s="14" t="n">
        <x:v>12</x:v>
      </x:c>
      <x:c r="K809" s="14" t="str">
        <x:v>305教学楼</x:v>
      </x:c>
      <x:c r="L809" s="14" t="n">
        <x:v>15</x:v>
      </x:c>
      <x:c r="M809" s="14" t="str">
        <x:v>20:00</x:v>
      </x:c>
      <x:c r="N809" s="14" t="str">
        <x:v>否</x:v>
      </x:c>
      <x:c r="O809" s="14" t="str">
        <x:v>否</x:v>
      </x:c>
      <x:c r="P809" s="14" t="str">
        <x:v>未提供</x:v>
      </x:c>
      <x:c r="Q809" s="14" t="str">
        <x:v>未提供</x:v>
      </x:c>
      <x:c r="R809" s="14" t="str">
        <x:v>预测</x:v>
      </x:c>
      <x:c r="S809" s="14" t="str">
        <x:v>到站时间为估算值</x:v>
      </x:c>
      <x:c r="T809" t="str">
        <x:v>研究生宿舍楼发车</x:v>
      </x:c>
    </x:row>
    <x:row r="810">
      <x:c r="A810" s="14" t="str">
        <x:v>S0065-13</x:v>
      </x:c>
      <x:c r="B810" s="14" t="str">
        <x:v>S0065</x:v>
      </x:c>
      <x:c r="C810" s="14" t="str">
        <x:v>工作日</x:v>
      </x:c>
      <x:c r="D810" s="14" t="str">
        <x:v>环线1路</x:v>
      </x:c>
      <x:c r="E810" s="14" t="str">
        <x:v>第四班（夜1）</x:v>
      </x:c>
      <x:c r="F810" s="14" t="n">
        <x:v>9</x:v>
      </x:c>
      <x:c r="G810" s="14" t="str">
        <x:v>19:45</x:v>
      </x:c>
      <x:c r="H810" s="14" t="str">
        <x:v>研究生宿舍楼</x:v>
      </x:c>
      <x:c r="I810" s="14" t="str">
        <x:v>否</x:v>
      </x:c>
      <x:c r="J810" s="14" t="n">
        <x:v>13</x:v>
      </x:c>
      <x:c r="K810" s="14" t="str">
        <x:v>研究生宿舍楼</x:v>
      </x:c>
      <x:c r="L810" s="14" t="n">
        <x:v>17</x:v>
      </x:c>
      <x:c r="M810" s="14" t="str">
        <x:v>20:02</x:v>
      </x:c>
      <x:c r="N810" s="14" t="str">
        <x:v>否</x:v>
      </x:c>
      <x:c r="O810" s="14" t="str">
        <x:v>是</x:v>
      </x:c>
      <x:c r="P810" s="14" t="str">
        <x:v>未提供</x:v>
      </x:c>
      <x:c r="Q810" s="14" t="str">
        <x:v>未提供</x:v>
      </x:c>
      <x:c r="R810" s="14" t="str">
        <x:v>预测</x:v>
      </x:c>
      <x:c r="S810" s="14" t="str">
        <x:v>到站时间为估算值</x:v>
      </x:c>
      <x:c r="T810" t="str">
        <x:v>研究生宿舍楼发车</x:v>
      </x:c>
    </x:row>
    <x:row r="811">
      <x:c r="A811" s="14" t="str">
        <x:v>S0066-01</x:v>
      </x:c>
      <x:c r="B811" s="14" t="str">
        <x:v>S0066</x:v>
      </x:c>
      <x:c r="C811" s="14" t="str">
        <x:v>工作日</x:v>
      </x:c>
      <x:c r="D811" s="14" t="str">
        <x:v>环线1路</x:v>
      </x:c>
      <x:c r="E811" s="14" t="str">
        <x:v>第四班（夜1）</x:v>
      </x:c>
      <x:c r="F811" s="14" t="n">
        <x:v>10</x:v>
      </x:c>
      <x:c r="G811" s="14" t="str">
        <x:v>20:15</x:v>
      </x:c>
      <x:c r="H811" s="14" t="str">
        <x:v>研究生宿舍楼</x:v>
      </x:c>
      <x:c r="I811" s="14" t="str">
        <x:v>否</x:v>
      </x:c>
      <x:c r="J811" s="14" t="n">
        <x:v>1</x:v>
      </x:c>
      <x:c r="K811" s="14" t="str">
        <x:v>研究生宿舍楼</x:v>
      </x:c>
      <x:c r="L811" s="14" t="n">
        <x:v>0</x:v>
      </x:c>
      <x:c r="M811" s="14" t="str">
        <x:v>20:15</x:v>
      </x:c>
      <x:c r="N811" s="14" t="str">
        <x:v>是</x:v>
      </x:c>
      <x:c r="O811" s="14" t="str">
        <x:v>否</x:v>
      </x:c>
      <x:c r="P811" s="14" t="str">
        <x:v>未提供</x:v>
      </x:c>
      <x:c r="Q811" s="14" t="str">
        <x:v>未提供</x:v>
      </x:c>
      <x:c r="R811" s="14" t="str">
        <x:v>预测</x:v>
      </x:c>
      <x:c r="S811" s="14" t="str">
        <x:v>到站时间为估算值</x:v>
      </x:c>
      <x:c r="T811" t="str">
        <x:v>研究生宿舍楼发车</x:v>
      </x:c>
    </x:row>
    <x:row r="812">
      <x:c r="A812" s="14" t="str">
        <x:v>S0066-02</x:v>
      </x:c>
      <x:c r="B812" s="14" t="str">
        <x:v>S0066</x:v>
      </x:c>
      <x:c r="C812" s="14" t="str">
        <x:v>工作日</x:v>
      </x:c>
      <x:c r="D812" s="14" t="str">
        <x:v>环线1路</x:v>
      </x:c>
      <x:c r="E812" s="14" t="str">
        <x:v>第四班（夜1）</x:v>
      </x:c>
      <x:c r="F812" s="14" t="n">
        <x:v>10</x:v>
      </x:c>
      <x:c r="G812" s="14" t="str">
        <x:v>20:15</x:v>
      </x:c>
      <x:c r="H812" s="14" t="str">
        <x:v>研究生宿舍楼</x:v>
      </x:c>
      <x:c r="I812" s="14" t="str">
        <x:v>否</x:v>
      </x:c>
      <x:c r="J812" s="14" t="n">
        <x:v>2</x:v>
      </x:c>
      <x:c r="K812" s="14" t="str">
        <x:v>东门</x:v>
      </x:c>
      <x:c r="L812" s="14" t="n">
        <x:v>1</x:v>
      </x:c>
      <x:c r="M812" s="14" t="str">
        <x:v>20:16</x:v>
      </x:c>
      <x:c r="N812" s="14" t="str">
        <x:v>否</x:v>
      </x:c>
      <x:c r="O812" s="14" t="str">
        <x:v>否</x:v>
      </x:c>
      <x:c r="P812" s="14" t="str">
        <x:v>未提供</x:v>
      </x:c>
      <x:c r="Q812" s="14" t="str">
        <x:v>未提供</x:v>
      </x:c>
      <x:c r="R812" s="14" t="str">
        <x:v>预测</x:v>
      </x:c>
      <x:c r="S812" s="14" t="str">
        <x:v>到站时间为估算值</x:v>
      </x:c>
      <x:c r="T812" t="str">
        <x:v>研究生宿舍楼发车</x:v>
      </x:c>
    </x:row>
    <x:row r="813">
      <x:c r="A813" s="14" t="str">
        <x:v>S0066-03</x:v>
      </x:c>
      <x:c r="B813" s="14" t="str">
        <x:v>S0066</x:v>
      </x:c>
      <x:c r="C813" s="14" t="str">
        <x:v>工作日</x:v>
      </x:c>
      <x:c r="D813" s="14" t="str">
        <x:v>环线1路</x:v>
      </x:c>
      <x:c r="E813" s="14" t="str">
        <x:v>第四班（夜1）</x:v>
      </x:c>
      <x:c r="F813" s="14" t="n">
        <x:v>10</x:v>
      </x:c>
      <x:c r="G813" s="14" t="str">
        <x:v>20:15</x:v>
      </x:c>
      <x:c r="H813" s="14" t="str">
        <x:v>研究生宿舍楼</x:v>
      </x:c>
      <x:c r="I813" s="14" t="str">
        <x:v>否</x:v>
      </x:c>
      <x:c r="J813" s="14" t="n">
        <x:v>3</x:v>
      </x:c>
      <x:c r="K813" s="14" t="str">
        <x:v>2号宿舍楼</x:v>
      </x:c>
      <x:c r="L813" s="14" t="n">
        <x:v>2</x:v>
      </x:c>
      <x:c r="M813" s="14" t="str">
        <x:v>20:17</x:v>
      </x:c>
      <x:c r="N813" s="14" t="str">
        <x:v>否</x:v>
      </x:c>
      <x:c r="O813" s="14" t="str">
        <x:v>否</x:v>
      </x:c>
      <x:c r="P813" s="14" t="str">
        <x:v>未提供</x:v>
      </x:c>
      <x:c r="Q813" s="14" t="str">
        <x:v>未提供</x:v>
      </x:c>
      <x:c r="R813" s="14" t="str">
        <x:v>预测</x:v>
      </x:c>
      <x:c r="S813" s="14" t="str">
        <x:v>到站时间为估算值</x:v>
      </x:c>
      <x:c r="T813" t="str">
        <x:v>研究生宿舍楼发车</x:v>
      </x:c>
    </x:row>
    <x:row r="814">
      <x:c r="A814" s="14" t="str">
        <x:v>S0066-04</x:v>
      </x:c>
      <x:c r="B814" s="14" t="str">
        <x:v>S0066</x:v>
      </x:c>
      <x:c r="C814" s="14" t="str">
        <x:v>工作日</x:v>
      </x:c>
      <x:c r="D814" s="14" t="str">
        <x:v>环线1路</x:v>
      </x:c>
      <x:c r="E814" s="14" t="str">
        <x:v>第四班（夜1）</x:v>
      </x:c>
      <x:c r="F814" s="14" t="n">
        <x:v>10</x:v>
      </x:c>
      <x:c r="G814" s="14" t="str">
        <x:v>20:15</x:v>
      </x:c>
      <x:c r="H814" s="14" t="str">
        <x:v>研究生宿舍楼</x:v>
      </x:c>
      <x:c r="I814" s="14" t="str">
        <x:v>否</x:v>
      </x:c>
      <x:c r="J814" s="14" t="n">
        <x:v>4</x:v>
      </x:c>
      <x:c r="K814" s="14" t="str">
        <x:v>军体活动中心</x:v>
      </x:c>
      <x:c r="L814" s="14" t="n">
        <x:v>3</x:v>
      </x:c>
      <x:c r="M814" s="14" t="str">
        <x:v>20:18</x:v>
      </x:c>
      <x:c r="N814" s="14" t="str">
        <x:v>否</x:v>
      </x:c>
      <x:c r="O814" s="14" t="str">
        <x:v>否</x:v>
      </x:c>
      <x:c r="P814" s="14" t="str">
        <x:v>未提供</x:v>
      </x:c>
      <x:c r="Q814" s="14" t="str">
        <x:v>未提供</x:v>
      </x:c>
      <x:c r="R814" s="14" t="str">
        <x:v>预测</x:v>
      </x:c>
      <x:c r="S814" s="14" t="str">
        <x:v>到站时间为估算值</x:v>
      </x:c>
      <x:c r="T814" t="str">
        <x:v>研究生宿舍楼发车</x:v>
      </x:c>
    </x:row>
    <x:row r="815">
      <x:c r="A815" s="14" t="str">
        <x:v>S0066-05</x:v>
      </x:c>
      <x:c r="B815" s="14" t="str">
        <x:v>S0066</x:v>
      </x:c>
      <x:c r="C815" s="14" t="str">
        <x:v>工作日</x:v>
      </x:c>
      <x:c r="D815" s="14" t="str">
        <x:v>环线1路</x:v>
      </x:c>
      <x:c r="E815" s="14" t="str">
        <x:v>第四班（夜1）</x:v>
      </x:c>
      <x:c r="F815" s="14" t="n">
        <x:v>10</x:v>
      </x:c>
      <x:c r="G815" s="14" t="str">
        <x:v>20:15</x:v>
      </x:c>
      <x:c r="H815" s="14" t="str">
        <x:v>研究生宿舍楼</x:v>
      </x:c>
      <x:c r="I815" s="14" t="str">
        <x:v>否</x:v>
      </x:c>
      <x:c r="J815" s="14" t="n">
        <x:v>5</x:v>
      </x:c>
      <x:c r="K815" s="14" t="str">
        <x:v>激光所</x:v>
      </x:c>
      <x:c r="L815" s="14" t="n">
        <x:v>5</x:v>
      </x:c>
      <x:c r="M815" s="14" t="str">
        <x:v>20:20</x:v>
      </x:c>
      <x:c r="N815" s="14" t="str">
        <x:v>否</x:v>
      </x:c>
      <x:c r="O815" s="14" t="str">
        <x:v>否</x:v>
      </x:c>
      <x:c r="P815" s="14" t="str">
        <x:v>未提供</x:v>
      </x:c>
      <x:c r="Q815" s="14" t="str">
        <x:v>未提供</x:v>
      </x:c>
      <x:c r="R815" s="14" t="str">
        <x:v>预测</x:v>
      </x:c>
      <x:c r="S815" s="14" t="str">
        <x:v>到站时间为估算值</x:v>
      </x:c>
      <x:c r="T815" t="str">
        <x:v>研究生宿舍楼发车</x:v>
      </x:c>
    </x:row>
    <x:row r="816">
      <x:c r="A816" s="14" t="str">
        <x:v>S0066-06</x:v>
      </x:c>
      <x:c r="B816" s="14" t="str">
        <x:v>S0066</x:v>
      </x:c>
      <x:c r="C816" s="14" t="str">
        <x:v>工作日</x:v>
      </x:c>
      <x:c r="D816" s="14" t="str">
        <x:v>环线1路</x:v>
      </x:c>
      <x:c r="E816" s="14" t="str">
        <x:v>第四班（夜1）</x:v>
      </x:c>
      <x:c r="F816" s="14" t="n">
        <x:v>10</x:v>
      </x:c>
      <x:c r="G816" s="14" t="str">
        <x:v>20:15</x:v>
      </x:c>
      <x:c r="H816" s="14" t="str">
        <x:v>研究生宿舍楼</x:v>
      </x:c>
      <x:c r="I816" s="14" t="str">
        <x:v>否</x:v>
      </x:c>
      <x:c r="J816" s="14" t="n">
        <x:v>6</x:v>
      </x:c>
      <x:c r="K816" s="14" t="str">
        <x:v>超算中心</x:v>
      </x:c>
      <x:c r="L816" s="14" t="n">
        <x:v>6</x:v>
      </x:c>
      <x:c r="M816" s="14" t="str">
        <x:v>20:21</x:v>
      </x:c>
      <x:c r="N816" s="14" t="str">
        <x:v>否</x:v>
      </x:c>
      <x:c r="O816" s="14" t="str">
        <x:v>否</x:v>
      </x:c>
      <x:c r="P816" s="14" t="str">
        <x:v>未提供</x:v>
      </x:c>
      <x:c r="Q816" s="14" t="str">
        <x:v>未提供</x:v>
      </x:c>
      <x:c r="R816" s="14" t="str">
        <x:v>预测</x:v>
      </x:c>
      <x:c r="S816" s="14" t="str">
        <x:v>到站时间为估算值</x:v>
      </x:c>
      <x:c r="T816" t="str">
        <x:v>研究生宿舍楼发车</x:v>
      </x:c>
    </x:row>
    <x:row r="817">
      <x:c r="A817" s="14" t="str">
        <x:v>S0066-07</x:v>
      </x:c>
      <x:c r="B817" s="14" t="str">
        <x:v>S0066</x:v>
      </x:c>
      <x:c r="C817" s="14" t="str">
        <x:v>工作日</x:v>
      </x:c>
      <x:c r="D817" s="14" t="str">
        <x:v>环线1路</x:v>
      </x:c>
      <x:c r="E817" s="14" t="str">
        <x:v>第四班（夜1）</x:v>
      </x:c>
      <x:c r="F817" s="14" t="n">
        <x:v>10</x:v>
      </x:c>
      <x:c r="G817" s="14" t="str">
        <x:v>20:15</x:v>
      </x:c>
      <x:c r="H817" s="14" t="str">
        <x:v>研究生宿舍楼</x:v>
      </x:c>
      <x:c r="I817" s="14" t="str">
        <x:v>否</x:v>
      </x:c>
      <x:c r="J817" s="14" t="n">
        <x:v>7</x:v>
      </x:c>
      <x:c r="K817" s="14" t="str">
        <x:v>北门</x:v>
      </x:c>
      <x:c r="L817" s="14" t="n">
        <x:v>8</x:v>
      </x:c>
      <x:c r="M817" s="14" t="str">
        <x:v>20:23</x:v>
      </x:c>
      <x:c r="N817" s="14" t="str">
        <x:v>否</x:v>
      </x:c>
      <x:c r="O817" s="14" t="str">
        <x:v>否</x:v>
      </x:c>
      <x:c r="P817" s="14" t="str">
        <x:v>未提供</x:v>
      </x:c>
      <x:c r="Q817" s="14" t="str">
        <x:v>未提供</x:v>
      </x:c>
      <x:c r="R817" s="14" t="str">
        <x:v>预测</x:v>
      </x:c>
      <x:c r="S817" s="14" t="str">
        <x:v>到站时间为估算值</x:v>
      </x:c>
      <x:c r="T817" t="str">
        <x:v>研究生宿舍楼发车</x:v>
      </x:c>
    </x:row>
    <x:row r="818">
      <x:c r="A818" s="14" t="str">
        <x:v>S0066-08</x:v>
      </x:c>
      <x:c r="B818" s="14" t="str">
        <x:v>S0066</x:v>
      </x:c>
      <x:c r="C818" s="14" t="str">
        <x:v>工作日</x:v>
      </x:c>
      <x:c r="D818" s="14" t="str">
        <x:v>环线1路</x:v>
      </x:c>
      <x:c r="E818" s="14" t="str">
        <x:v>第四班（夜1）</x:v>
      </x:c>
      <x:c r="F818" s="14" t="n">
        <x:v>10</x:v>
      </x:c>
      <x:c r="G818" s="14" t="str">
        <x:v>20:15</x:v>
      </x:c>
      <x:c r="H818" s="14" t="str">
        <x:v>研究生宿舍楼</x:v>
      </x:c>
      <x:c r="I818" s="14" t="str">
        <x:v>否</x:v>
      </x:c>
      <x:c r="J818" s="14" t="n">
        <x:v>8</x:v>
      </x:c>
      <x:c r="K818" s="14" t="str">
        <x:v>高超楼</x:v>
      </x:c>
      <x:c r="L818" s="14" t="n">
        <x:v>9</x:v>
      </x:c>
      <x:c r="M818" s="14" t="str">
        <x:v>20:24</x:v>
      </x:c>
      <x:c r="N818" s="14" t="str">
        <x:v>否</x:v>
      </x:c>
      <x:c r="O818" s="14" t="str">
        <x:v>否</x:v>
      </x:c>
      <x:c r="P818" s="14" t="str">
        <x:v>未提供</x:v>
      </x:c>
      <x:c r="Q818" s="14" t="str">
        <x:v>未提供</x:v>
      </x:c>
      <x:c r="R818" s="14" t="str">
        <x:v>预测</x:v>
      </x:c>
      <x:c r="S818" s="14" t="str">
        <x:v>到站时间为估算值</x:v>
      </x:c>
      <x:c r="T818" t="str">
        <x:v>研究生宿舍楼发车</x:v>
      </x:c>
    </x:row>
    <x:row r="819">
      <x:c r="A819" s="14" t="str">
        <x:v>S0066-09</x:v>
      </x:c>
      <x:c r="B819" s="14" t="str">
        <x:v>S0066</x:v>
      </x:c>
      <x:c r="C819" s="14" t="str">
        <x:v>工作日</x:v>
      </x:c>
      <x:c r="D819" s="14" t="str">
        <x:v>环线1路</x:v>
      </x:c>
      <x:c r="E819" s="14" t="str">
        <x:v>第四班（夜1）</x:v>
      </x:c>
      <x:c r="F819" s="14" t="n">
        <x:v>10</x:v>
      </x:c>
      <x:c r="G819" s="14" t="str">
        <x:v>20:15</x:v>
      </x:c>
      <x:c r="H819" s="14" t="str">
        <x:v>研究生宿舍楼</x:v>
      </x:c>
      <x:c r="I819" s="14" t="str">
        <x:v>否</x:v>
      </x:c>
      <x:c r="J819" s="14" t="n">
        <x:v>9</x:v>
      </x:c>
      <x:c r="K819" s="14" t="str">
        <x:v>理学院</x:v>
      </x:c>
      <x:c r="L819" s="14" t="n">
        <x:v>10</x:v>
      </x:c>
      <x:c r="M819" s="14" t="str">
        <x:v>20:25</x:v>
      </x:c>
      <x:c r="N819" s="14" t="str">
        <x:v>否</x:v>
      </x:c>
      <x:c r="O819" s="14" t="str">
        <x:v>否</x:v>
      </x:c>
      <x:c r="P819" s="14" t="str">
        <x:v>未提供</x:v>
      </x:c>
      <x:c r="Q819" s="14" t="str">
        <x:v>未提供</x:v>
      </x:c>
      <x:c r="R819" s="14" t="str">
        <x:v>预测</x:v>
      </x:c>
      <x:c r="S819" s="14" t="str">
        <x:v>到站时间为估算值</x:v>
      </x:c>
      <x:c r="T819" t="str">
        <x:v>研究生宿舍楼发车</x:v>
      </x:c>
    </x:row>
    <x:row r="820">
      <x:c r="A820" s="14" t="str">
        <x:v>S0066-10</x:v>
      </x:c>
      <x:c r="B820" s="14" t="str">
        <x:v>S0066</x:v>
      </x:c>
      <x:c r="C820" s="14" t="str">
        <x:v>工作日</x:v>
      </x:c>
      <x:c r="D820" s="14" t="str">
        <x:v>环线1路</x:v>
      </x:c>
      <x:c r="E820" s="14" t="str">
        <x:v>第四班（夜1）</x:v>
      </x:c>
      <x:c r="F820" s="14" t="n">
        <x:v>10</x:v>
      </x:c>
      <x:c r="G820" s="14" t="str">
        <x:v>20:15</x:v>
      </x:c>
      <x:c r="H820" s="14" t="str">
        <x:v>研究生宿舍楼</x:v>
      </x:c>
      <x:c r="I820" s="14" t="str">
        <x:v>否</x:v>
      </x:c>
      <x:c r="J820" s="14" t="n">
        <x:v>10</x:v>
      </x:c>
      <x:c r="K820" s="14" t="str">
        <x:v>二食堂</x:v>
      </x:c>
      <x:c r="L820" s="14" t="n">
        <x:v>13</x:v>
      </x:c>
      <x:c r="M820" s="14" t="str">
        <x:v>20:28</x:v>
      </x:c>
      <x:c r="N820" s="14" t="str">
        <x:v>否</x:v>
      </x:c>
      <x:c r="O820" s="14" t="str">
        <x:v>否</x:v>
      </x:c>
      <x:c r="P820" s="14" t="str">
        <x:v>未提供</x:v>
      </x:c>
      <x:c r="Q820" s="14" t="str">
        <x:v>未提供</x:v>
      </x:c>
      <x:c r="R820" s="14" t="str">
        <x:v>预测</x:v>
      </x:c>
      <x:c r="S820" s="14" t="str">
        <x:v>到站时间为估算值</x:v>
      </x:c>
      <x:c r="T820" t="str">
        <x:v>研究生宿舍楼发车</x:v>
      </x:c>
    </x:row>
    <x:row r="821">
      <x:c r="A821" s="14" t="str">
        <x:v>S0066-11</x:v>
      </x:c>
      <x:c r="B821" s="14" t="str">
        <x:v>S0066</x:v>
      </x:c>
      <x:c r="C821" s="14" t="str">
        <x:v>工作日</x:v>
      </x:c>
      <x:c r="D821" s="14" t="str">
        <x:v>环线1路</x:v>
      </x:c>
      <x:c r="E821" s="14" t="str">
        <x:v>第四班（夜1）</x:v>
      </x:c>
      <x:c r="F821" s="14" t="n">
        <x:v>10</x:v>
      </x:c>
      <x:c r="G821" s="14" t="str">
        <x:v>20:15</x:v>
      </x:c>
      <x:c r="H821" s="14" t="str">
        <x:v>研究生宿舍楼</x:v>
      </x:c>
      <x:c r="I821" s="14" t="str">
        <x:v>否</x:v>
      </x:c>
      <x:c r="J821" s="14" t="n">
        <x:v>11</x:v>
      </x:c>
      <x:c r="K821" s="14" t="str">
        <x:v>5号宿舍楼</x:v>
      </x:c>
      <x:c r="L821" s="14" t="n">
        <x:v>14</x:v>
      </x:c>
      <x:c r="M821" s="14" t="str">
        <x:v>20:29</x:v>
      </x:c>
      <x:c r="N821" s="14" t="str">
        <x:v>否</x:v>
      </x:c>
      <x:c r="O821" s="14" t="str">
        <x:v>否</x:v>
      </x:c>
      <x:c r="P821" s="14" t="str">
        <x:v>未提供</x:v>
      </x:c>
      <x:c r="Q821" s="14" t="str">
        <x:v>未提供</x:v>
      </x:c>
      <x:c r="R821" s="14" t="str">
        <x:v>预测</x:v>
      </x:c>
      <x:c r="S821" s="14" t="str">
        <x:v>到站时间为估算值</x:v>
      </x:c>
      <x:c r="T821" t="str">
        <x:v>研究生宿舍楼发车</x:v>
      </x:c>
    </x:row>
    <x:row r="822">
      <x:c r="A822" s="14" t="str">
        <x:v>S0066-12</x:v>
      </x:c>
      <x:c r="B822" s="14" t="str">
        <x:v>S0066</x:v>
      </x:c>
      <x:c r="C822" s="14" t="str">
        <x:v>工作日</x:v>
      </x:c>
      <x:c r="D822" s="14" t="str">
        <x:v>环线1路</x:v>
      </x:c>
      <x:c r="E822" s="14" t="str">
        <x:v>第四班（夜1）</x:v>
      </x:c>
      <x:c r="F822" s="14" t="n">
        <x:v>10</x:v>
      </x:c>
      <x:c r="G822" s="14" t="str">
        <x:v>20:15</x:v>
      </x:c>
      <x:c r="H822" s="14" t="str">
        <x:v>研究生宿舍楼</x:v>
      </x:c>
      <x:c r="I822" s="14" t="str">
        <x:v>否</x:v>
      </x:c>
      <x:c r="J822" s="14" t="n">
        <x:v>12</x:v>
      </x:c>
      <x:c r="K822" s="14" t="str">
        <x:v>305教学楼</x:v>
      </x:c>
      <x:c r="L822" s="14" t="n">
        <x:v>15</x:v>
      </x:c>
      <x:c r="M822" s="14" t="str">
        <x:v>20:30</x:v>
      </x:c>
      <x:c r="N822" s="14" t="str">
        <x:v>否</x:v>
      </x:c>
      <x:c r="O822" s="14" t="str">
        <x:v>否</x:v>
      </x:c>
      <x:c r="P822" s="14" t="str">
        <x:v>未提供</x:v>
      </x:c>
      <x:c r="Q822" s="14" t="str">
        <x:v>未提供</x:v>
      </x:c>
      <x:c r="R822" s="14" t="str">
        <x:v>预测</x:v>
      </x:c>
      <x:c r="S822" s="14" t="str">
        <x:v>到站时间为估算值</x:v>
      </x:c>
      <x:c r="T822" t="str">
        <x:v>研究生宿舍楼发车</x:v>
      </x:c>
    </x:row>
    <x:row r="823">
      <x:c r="A823" s="14" t="str">
        <x:v>S0066-13</x:v>
      </x:c>
      <x:c r="B823" s="14" t="str">
        <x:v>S0066</x:v>
      </x:c>
      <x:c r="C823" s="14" t="str">
        <x:v>工作日</x:v>
      </x:c>
      <x:c r="D823" s="14" t="str">
        <x:v>环线1路</x:v>
      </x:c>
      <x:c r="E823" s="14" t="str">
        <x:v>第四班（夜1）</x:v>
      </x:c>
      <x:c r="F823" s="14" t="n">
        <x:v>10</x:v>
      </x:c>
      <x:c r="G823" s="14" t="str">
        <x:v>20:15</x:v>
      </x:c>
      <x:c r="H823" s="14" t="str">
        <x:v>研究生宿舍楼</x:v>
      </x:c>
      <x:c r="I823" s="14" t="str">
        <x:v>否</x:v>
      </x:c>
      <x:c r="J823" s="14" t="n">
        <x:v>13</x:v>
      </x:c>
      <x:c r="K823" s="14" t="str">
        <x:v>研究生宿舍楼</x:v>
      </x:c>
      <x:c r="L823" s="14" t="n">
        <x:v>17</x:v>
      </x:c>
      <x:c r="M823" s="14" t="str">
        <x:v>20:32</x:v>
      </x:c>
      <x:c r="N823" s="14" t="str">
        <x:v>否</x:v>
      </x:c>
      <x:c r="O823" s="14" t="str">
        <x:v>是</x:v>
      </x:c>
      <x:c r="P823" s="14" t="str">
        <x:v>未提供</x:v>
      </x:c>
      <x:c r="Q823" s="14" t="str">
        <x:v>未提供</x:v>
      </x:c>
      <x:c r="R823" s="14" t="str">
        <x:v>预测</x:v>
      </x:c>
      <x:c r="S823" s="14" t="str">
        <x:v>到站时间为估算值</x:v>
      </x:c>
      <x:c r="T823" t="str">
        <x:v>研究生宿舍楼发车</x:v>
      </x:c>
    </x:row>
    <x:row r="824">
      <x:c r="A824" s="14" t="str">
        <x:v>S0067-01</x:v>
      </x:c>
      <x:c r="B824" s="14" t="str">
        <x:v>S0067</x:v>
      </x:c>
      <x:c r="C824" s="14" t="str">
        <x:v>工作日</x:v>
      </x:c>
      <x:c r="D824" s="14" t="str">
        <x:v>环线1路</x:v>
      </x:c>
      <x:c r="E824" s="14" t="str">
        <x:v>第四班（夜1）</x:v>
      </x:c>
      <x:c r="F824" s="14" t="n">
        <x:v>11</x:v>
      </x:c>
      <x:c r="G824" s="14" t="str">
        <x:v>20:45</x:v>
      </x:c>
      <x:c r="H824" s="14" t="str">
        <x:v>研究生宿舍楼</x:v>
      </x:c>
      <x:c r="I824" s="14" t="str">
        <x:v>否</x:v>
      </x:c>
      <x:c r="J824" s="14" t="n">
        <x:v>1</x:v>
      </x:c>
      <x:c r="K824" s="14" t="str">
        <x:v>研究生宿舍楼</x:v>
      </x:c>
      <x:c r="L824" s="14" t="n">
        <x:v>0</x:v>
      </x:c>
      <x:c r="M824" s="14" t="str">
        <x:v>20:45</x:v>
      </x:c>
      <x:c r="N824" s="14" t="str">
        <x:v>是</x:v>
      </x:c>
      <x:c r="O824" s="14" t="str">
        <x:v>否</x:v>
      </x:c>
      <x:c r="P824" s="14" t="str">
        <x:v>未提供</x:v>
      </x:c>
      <x:c r="Q824" s="14" t="str">
        <x:v>未提供</x:v>
      </x:c>
      <x:c r="R824" s="14" t="str">
        <x:v>预测</x:v>
      </x:c>
      <x:c r="S824" s="14" t="str">
        <x:v>到站时间为估算值</x:v>
      </x:c>
      <x:c r="T824" t="str">
        <x:v>研究生宿舍楼发车</x:v>
      </x:c>
    </x:row>
    <x:row r="825">
      <x:c r="A825" s="14" t="str">
        <x:v>S0067-02</x:v>
      </x:c>
      <x:c r="B825" s="14" t="str">
        <x:v>S0067</x:v>
      </x:c>
      <x:c r="C825" s="14" t="str">
        <x:v>工作日</x:v>
      </x:c>
      <x:c r="D825" s="14" t="str">
        <x:v>环线1路</x:v>
      </x:c>
      <x:c r="E825" s="14" t="str">
        <x:v>第四班（夜1）</x:v>
      </x:c>
      <x:c r="F825" s="14" t="n">
        <x:v>11</x:v>
      </x:c>
      <x:c r="G825" s="14" t="str">
        <x:v>20:45</x:v>
      </x:c>
      <x:c r="H825" s="14" t="str">
        <x:v>研究生宿舍楼</x:v>
      </x:c>
      <x:c r="I825" s="14" t="str">
        <x:v>否</x:v>
      </x:c>
      <x:c r="J825" s="14" t="n">
        <x:v>2</x:v>
      </x:c>
      <x:c r="K825" s="14" t="str">
        <x:v>东门</x:v>
      </x:c>
      <x:c r="L825" s="14" t="n">
        <x:v>1</x:v>
      </x:c>
      <x:c r="M825" s="14" t="str">
        <x:v>20:46</x:v>
      </x:c>
      <x:c r="N825" s="14" t="str">
        <x:v>否</x:v>
      </x:c>
      <x:c r="O825" s="14" t="str">
        <x:v>否</x:v>
      </x:c>
      <x:c r="P825" s="14" t="str">
        <x:v>未提供</x:v>
      </x:c>
      <x:c r="Q825" s="14" t="str">
        <x:v>未提供</x:v>
      </x:c>
      <x:c r="R825" s="14" t="str">
        <x:v>预测</x:v>
      </x:c>
      <x:c r="S825" s="14" t="str">
        <x:v>到站时间为估算值</x:v>
      </x:c>
      <x:c r="T825" t="str">
        <x:v>研究生宿舍楼发车</x:v>
      </x:c>
    </x:row>
    <x:row r="826">
      <x:c r="A826" s="14" t="str">
        <x:v>S0067-03</x:v>
      </x:c>
      <x:c r="B826" s="14" t="str">
        <x:v>S0067</x:v>
      </x:c>
      <x:c r="C826" s="14" t="str">
        <x:v>工作日</x:v>
      </x:c>
      <x:c r="D826" s="14" t="str">
        <x:v>环线1路</x:v>
      </x:c>
      <x:c r="E826" s="14" t="str">
        <x:v>第四班（夜1）</x:v>
      </x:c>
      <x:c r="F826" s="14" t="n">
        <x:v>11</x:v>
      </x:c>
      <x:c r="G826" s="14" t="str">
        <x:v>20:45</x:v>
      </x:c>
      <x:c r="H826" s="14" t="str">
        <x:v>研究生宿舍楼</x:v>
      </x:c>
      <x:c r="I826" s="14" t="str">
        <x:v>否</x:v>
      </x:c>
      <x:c r="J826" s="14" t="n">
        <x:v>3</x:v>
      </x:c>
      <x:c r="K826" s="14" t="str">
        <x:v>2号宿舍楼</x:v>
      </x:c>
      <x:c r="L826" s="14" t="n">
        <x:v>2</x:v>
      </x:c>
      <x:c r="M826" s="14" t="str">
        <x:v>20:47</x:v>
      </x:c>
      <x:c r="N826" s="14" t="str">
        <x:v>否</x:v>
      </x:c>
      <x:c r="O826" s="14" t="str">
        <x:v>否</x:v>
      </x:c>
      <x:c r="P826" s="14" t="str">
        <x:v>未提供</x:v>
      </x:c>
      <x:c r="Q826" s="14" t="str">
        <x:v>未提供</x:v>
      </x:c>
      <x:c r="R826" s="14" t="str">
        <x:v>预测</x:v>
      </x:c>
      <x:c r="S826" s="14" t="str">
        <x:v>到站时间为估算值</x:v>
      </x:c>
      <x:c r="T826" t="str">
        <x:v>研究生宿舍楼发车</x:v>
      </x:c>
    </x:row>
    <x:row r="827">
      <x:c r="A827" s="14" t="str">
        <x:v>S0067-04</x:v>
      </x:c>
      <x:c r="B827" s="14" t="str">
        <x:v>S0067</x:v>
      </x:c>
      <x:c r="C827" s="14" t="str">
        <x:v>工作日</x:v>
      </x:c>
      <x:c r="D827" s="14" t="str">
        <x:v>环线1路</x:v>
      </x:c>
      <x:c r="E827" s="14" t="str">
        <x:v>第四班（夜1）</x:v>
      </x:c>
      <x:c r="F827" s="14" t="n">
        <x:v>11</x:v>
      </x:c>
      <x:c r="G827" s="14" t="str">
        <x:v>20:45</x:v>
      </x:c>
      <x:c r="H827" s="14" t="str">
        <x:v>研究生宿舍楼</x:v>
      </x:c>
      <x:c r="I827" s="14" t="str">
        <x:v>否</x:v>
      </x:c>
      <x:c r="J827" s="14" t="n">
        <x:v>4</x:v>
      </x:c>
      <x:c r="K827" s="14" t="str">
        <x:v>军体活动中心</x:v>
      </x:c>
      <x:c r="L827" s="14" t="n">
        <x:v>3</x:v>
      </x:c>
      <x:c r="M827" s="14" t="str">
        <x:v>20:48</x:v>
      </x:c>
      <x:c r="N827" s="14" t="str">
        <x:v>否</x:v>
      </x:c>
      <x:c r="O827" s="14" t="str">
        <x:v>否</x:v>
      </x:c>
      <x:c r="P827" s="14" t="str">
        <x:v>未提供</x:v>
      </x:c>
      <x:c r="Q827" s="14" t="str">
        <x:v>未提供</x:v>
      </x:c>
      <x:c r="R827" s="14" t="str">
        <x:v>预测</x:v>
      </x:c>
      <x:c r="S827" s="14" t="str">
        <x:v>到站时间为估算值</x:v>
      </x:c>
      <x:c r="T827" t="str">
        <x:v>研究生宿舍楼发车</x:v>
      </x:c>
    </x:row>
    <x:row r="828">
      <x:c r="A828" s="14" t="str">
        <x:v>S0067-05</x:v>
      </x:c>
      <x:c r="B828" s="14" t="str">
        <x:v>S0067</x:v>
      </x:c>
      <x:c r="C828" s="14" t="str">
        <x:v>工作日</x:v>
      </x:c>
      <x:c r="D828" s="14" t="str">
        <x:v>环线1路</x:v>
      </x:c>
      <x:c r="E828" s="14" t="str">
        <x:v>第四班（夜1）</x:v>
      </x:c>
      <x:c r="F828" s="14" t="n">
        <x:v>11</x:v>
      </x:c>
      <x:c r="G828" s="14" t="str">
        <x:v>20:45</x:v>
      </x:c>
      <x:c r="H828" s="14" t="str">
        <x:v>研究生宿舍楼</x:v>
      </x:c>
      <x:c r="I828" s="14" t="str">
        <x:v>否</x:v>
      </x:c>
      <x:c r="J828" s="14" t="n">
        <x:v>5</x:v>
      </x:c>
      <x:c r="K828" s="14" t="str">
        <x:v>激光所</x:v>
      </x:c>
      <x:c r="L828" s="14" t="n">
        <x:v>5</x:v>
      </x:c>
      <x:c r="M828" s="14" t="str">
        <x:v>20:50</x:v>
      </x:c>
      <x:c r="N828" s="14" t="str">
        <x:v>否</x:v>
      </x:c>
      <x:c r="O828" s="14" t="str">
        <x:v>否</x:v>
      </x:c>
      <x:c r="P828" s="14" t="str">
        <x:v>未提供</x:v>
      </x:c>
      <x:c r="Q828" s="14" t="str">
        <x:v>未提供</x:v>
      </x:c>
      <x:c r="R828" s="14" t="str">
        <x:v>预测</x:v>
      </x:c>
      <x:c r="S828" s="14" t="str">
        <x:v>到站时间为估算值</x:v>
      </x:c>
      <x:c r="T828" t="str">
        <x:v>研究生宿舍楼发车</x:v>
      </x:c>
    </x:row>
    <x:row r="829">
      <x:c r="A829" s="14" t="str">
        <x:v>S0067-06</x:v>
      </x:c>
      <x:c r="B829" s="14" t="str">
        <x:v>S0067</x:v>
      </x:c>
      <x:c r="C829" s="14" t="str">
        <x:v>工作日</x:v>
      </x:c>
      <x:c r="D829" s="14" t="str">
        <x:v>环线1路</x:v>
      </x:c>
      <x:c r="E829" s="14" t="str">
        <x:v>第四班（夜1）</x:v>
      </x:c>
      <x:c r="F829" s="14" t="n">
        <x:v>11</x:v>
      </x:c>
      <x:c r="G829" s="14" t="str">
        <x:v>20:45</x:v>
      </x:c>
      <x:c r="H829" s="14" t="str">
        <x:v>研究生宿舍楼</x:v>
      </x:c>
      <x:c r="I829" s="14" t="str">
        <x:v>否</x:v>
      </x:c>
      <x:c r="J829" s="14" t="n">
        <x:v>6</x:v>
      </x:c>
      <x:c r="K829" s="14" t="str">
        <x:v>超算中心</x:v>
      </x:c>
      <x:c r="L829" s="14" t="n">
        <x:v>6</x:v>
      </x:c>
      <x:c r="M829" s="14" t="str">
        <x:v>20:51</x:v>
      </x:c>
      <x:c r="N829" s="14" t="str">
        <x:v>否</x:v>
      </x:c>
      <x:c r="O829" s="14" t="str">
        <x:v>否</x:v>
      </x:c>
      <x:c r="P829" s="14" t="str">
        <x:v>未提供</x:v>
      </x:c>
      <x:c r="Q829" s="14" t="str">
        <x:v>未提供</x:v>
      </x:c>
      <x:c r="R829" s="14" t="str">
        <x:v>预测</x:v>
      </x:c>
      <x:c r="S829" s="14" t="str">
        <x:v>到站时间为估算值</x:v>
      </x:c>
      <x:c r="T829" t="str">
        <x:v>研究生宿舍楼发车</x:v>
      </x:c>
    </x:row>
    <x:row r="830">
      <x:c r="A830" s="14" t="str">
        <x:v>S0067-07</x:v>
      </x:c>
      <x:c r="B830" s="14" t="str">
        <x:v>S0067</x:v>
      </x:c>
      <x:c r="C830" s="14" t="str">
        <x:v>工作日</x:v>
      </x:c>
      <x:c r="D830" s="14" t="str">
        <x:v>环线1路</x:v>
      </x:c>
      <x:c r="E830" s="14" t="str">
        <x:v>第四班（夜1）</x:v>
      </x:c>
      <x:c r="F830" s="14" t="n">
        <x:v>11</x:v>
      </x:c>
      <x:c r="G830" s="14" t="str">
        <x:v>20:45</x:v>
      </x:c>
      <x:c r="H830" s="14" t="str">
        <x:v>研究生宿舍楼</x:v>
      </x:c>
      <x:c r="I830" s="14" t="str">
        <x:v>否</x:v>
      </x:c>
      <x:c r="J830" s="14" t="n">
        <x:v>7</x:v>
      </x:c>
      <x:c r="K830" s="14" t="str">
        <x:v>北门</x:v>
      </x:c>
      <x:c r="L830" s="14" t="n">
        <x:v>8</x:v>
      </x:c>
      <x:c r="M830" s="14" t="str">
        <x:v>20:53</x:v>
      </x:c>
      <x:c r="N830" s="14" t="str">
        <x:v>否</x:v>
      </x:c>
      <x:c r="O830" s="14" t="str">
        <x:v>否</x:v>
      </x:c>
      <x:c r="P830" s="14" t="str">
        <x:v>未提供</x:v>
      </x:c>
      <x:c r="Q830" s="14" t="str">
        <x:v>未提供</x:v>
      </x:c>
      <x:c r="R830" s="14" t="str">
        <x:v>预测</x:v>
      </x:c>
      <x:c r="S830" s="14" t="str">
        <x:v>到站时间为估算值</x:v>
      </x:c>
      <x:c r="T830" t="str">
        <x:v>研究生宿舍楼发车</x:v>
      </x:c>
    </x:row>
    <x:row r="831">
      <x:c r="A831" s="14" t="str">
        <x:v>S0067-08</x:v>
      </x:c>
      <x:c r="B831" s="14" t="str">
        <x:v>S0067</x:v>
      </x:c>
      <x:c r="C831" s="14" t="str">
        <x:v>工作日</x:v>
      </x:c>
      <x:c r="D831" s="14" t="str">
        <x:v>环线1路</x:v>
      </x:c>
      <x:c r="E831" s="14" t="str">
        <x:v>第四班（夜1）</x:v>
      </x:c>
      <x:c r="F831" s="14" t="n">
        <x:v>11</x:v>
      </x:c>
      <x:c r="G831" s="14" t="str">
        <x:v>20:45</x:v>
      </x:c>
      <x:c r="H831" s="14" t="str">
        <x:v>研究生宿舍楼</x:v>
      </x:c>
      <x:c r="I831" s="14" t="str">
        <x:v>否</x:v>
      </x:c>
      <x:c r="J831" s="14" t="n">
        <x:v>8</x:v>
      </x:c>
      <x:c r="K831" s="14" t="str">
        <x:v>高超楼</x:v>
      </x:c>
      <x:c r="L831" s="14" t="n">
        <x:v>9</x:v>
      </x:c>
      <x:c r="M831" s="14" t="str">
        <x:v>20:54</x:v>
      </x:c>
      <x:c r="N831" s="14" t="str">
        <x:v>否</x:v>
      </x:c>
      <x:c r="O831" s="14" t="str">
        <x:v>否</x:v>
      </x:c>
      <x:c r="P831" s="14" t="str">
        <x:v>未提供</x:v>
      </x:c>
      <x:c r="Q831" s="14" t="str">
        <x:v>未提供</x:v>
      </x:c>
      <x:c r="R831" s="14" t="str">
        <x:v>预测</x:v>
      </x:c>
      <x:c r="S831" s="14" t="str">
        <x:v>到站时间为估算值</x:v>
      </x:c>
      <x:c r="T831" t="str">
        <x:v>研究生宿舍楼发车</x:v>
      </x:c>
    </x:row>
    <x:row r="832">
      <x:c r="A832" s="14" t="str">
        <x:v>S0067-09</x:v>
      </x:c>
      <x:c r="B832" s="14" t="str">
        <x:v>S0067</x:v>
      </x:c>
      <x:c r="C832" s="14" t="str">
        <x:v>工作日</x:v>
      </x:c>
      <x:c r="D832" s="14" t="str">
        <x:v>环线1路</x:v>
      </x:c>
      <x:c r="E832" s="14" t="str">
        <x:v>第四班（夜1）</x:v>
      </x:c>
      <x:c r="F832" s="14" t="n">
        <x:v>11</x:v>
      </x:c>
      <x:c r="G832" s="14" t="str">
        <x:v>20:45</x:v>
      </x:c>
      <x:c r="H832" s="14" t="str">
        <x:v>研究生宿舍楼</x:v>
      </x:c>
      <x:c r="I832" s="14" t="str">
        <x:v>否</x:v>
      </x:c>
      <x:c r="J832" s="14" t="n">
        <x:v>9</x:v>
      </x:c>
      <x:c r="K832" s="14" t="str">
        <x:v>理学院</x:v>
      </x:c>
      <x:c r="L832" s="14" t="n">
        <x:v>10</x:v>
      </x:c>
      <x:c r="M832" s="14" t="str">
        <x:v>20:55</x:v>
      </x:c>
      <x:c r="N832" s="14" t="str">
        <x:v>否</x:v>
      </x:c>
      <x:c r="O832" s="14" t="str">
        <x:v>否</x:v>
      </x:c>
      <x:c r="P832" s="14" t="str">
        <x:v>未提供</x:v>
      </x:c>
      <x:c r="Q832" s="14" t="str">
        <x:v>未提供</x:v>
      </x:c>
      <x:c r="R832" s="14" t="str">
        <x:v>预测</x:v>
      </x:c>
      <x:c r="S832" s="14" t="str">
        <x:v>到站时间为估算值</x:v>
      </x:c>
      <x:c r="T832" t="str">
        <x:v>研究生宿舍楼发车</x:v>
      </x:c>
    </x:row>
    <x:row r="833">
      <x:c r="A833" s="14" t="str">
        <x:v>S0067-10</x:v>
      </x:c>
      <x:c r="B833" s="14" t="str">
        <x:v>S0067</x:v>
      </x:c>
      <x:c r="C833" s="14" t="str">
        <x:v>工作日</x:v>
      </x:c>
      <x:c r="D833" s="14" t="str">
        <x:v>环线1路</x:v>
      </x:c>
      <x:c r="E833" s="14" t="str">
        <x:v>第四班（夜1）</x:v>
      </x:c>
      <x:c r="F833" s="14" t="n">
        <x:v>11</x:v>
      </x:c>
      <x:c r="G833" s="14" t="str">
        <x:v>20:45</x:v>
      </x:c>
      <x:c r="H833" s="14" t="str">
        <x:v>研究生宿舍楼</x:v>
      </x:c>
      <x:c r="I833" s="14" t="str">
        <x:v>否</x:v>
      </x:c>
      <x:c r="J833" s="14" t="n">
        <x:v>10</x:v>
      </x:c>
      <x:c r="K833" s="14" t="str">
        <x:v>二食堂</x:v>
      </x:c>
      <x:c r="L833" s="14" t="n">
        <x:v>13</x:v>
      </x:c>
      <x:c r="M833" s="14" t="str">
        <x:v>20:58</x:v>
      </x:c>
      <x:c r="N833" s="14" t="str">
        <x:v>否</x:v>
      </x:c>
      <x:c r="O833" s="14" t="str">
        <x:v>否</x:v>
      </x:c>
      <x:c r="P833" s="14" t="str">
        <x:v>未提供</x:v>
      </x:c>
      <x:c r="Q833" s="14" t="str">
        <x:v>未提供</x:v>
      </x:c>
      <x:c r="R833" s="14" t="str">
        <x:v>预测</x:v>
      </x:c>
      <x:c r="S833" s="14" t="str">
        <x:v>到站时间为估算值</x:v>
      </x:c>
      <x:c r="T833" t="str">
        <x:v>研究生宿舍楼发车</x:v>
      </x:c>
    </x:row>
    <x:row r="834">
      <x:c r="A834" s="14" t="str">
        <x:v>S0067-11</x:v>
      </x:c>
      <x:c r="B834" s="14" t="str">
        <x:v>S0067</x:v>
      </x:c>
      <x:c r="C834" s="14" t="str">
        <x:v>工作日</x:v>
      </x:c>
      <x:c r="D834" s="14" t="str">
        <x:v>环线1路</x:v>
      </x:c>
      <x:c r="E834" s="14" t="str">
        <x:v>第四班（夜1）</x:v>
      </x:c>
      <x:c r="F834" s="14" t="n">
        <x:v>11</x:v>
      </x:c>
      <x:c r="G834" s="14" t="str">
        <x:v>20:45</x:v>
      </x:c>
      <x:c r="H834" s="14" t="str">
        <x:v>研究生宿舍楼</x:v>
      </x:c>
      <x:c r="I834" s="14" t="str">
        <x:v>否</x:v>
      </x:c>
      <x:c r="J834" s="14" t="n">
        <x:v>11</x:v>
      </x:c>
      <x:c r="K834" s="14" t="str">
        <x:v>5号宿舍楼</x:v>
      </x:c>
      <x:c r="L834" s="14" t="n">
        <x:v>14</x:v>
      </x:c>
      <x:c r="M834" s="14" t="str">
        <x:v>20:59</x:v>
      </x:c>
      <x:c r="N834" s="14" t="str">
        <x:v>否</x:v>
      </x:c>
      <x:c r="O834" s="14" t="str">
        <x:v>否</x:v>
      </x:c>
      <x:c r="P834" s="14" t="str">
        <x:v>未提供</x:v>
      </x:c>
      <x:c r="Q834" s="14" t="str">
        <x:v>未提供</x:v>
      </x:c>
      <x:c r="R834" s="14" t="str">
        <x:v>预测</x:v>
      </x:c>
      <x:c r="S834" s="14" t="str">
        <x:v>到站时间为估算值</x:v>
      </x:c>
      <x:c r="T834" t="str">
        <x:v>研究生宿舍楼发车</x:v>
      </x:c>
    </x:row>
    <x:row r="835">
      <x:c r="A835" s="14" t="str">
        <x:v>S0067-12</x:v>
      </x:c>
      <x:c r="B835" s="14" t="str">
        <x:v>S0067</x:v>
      </x:c>
      <x:c r="C835" s="14" t="str">
        <x:v>工作日</x:v>
      </x:c>
      <x:c r="D835" s="14" t="str">
        <x:v>环线1路</x:v>
      </x:c>
      <x:c r="E835" s="14" t="str">
        <x:v>第四班（夜1）</x:v>
      </x:c>
      <x:c r="F835" s="14" t="n">
        <x:v>11</x:v>
      </x:c>
      <x:c r="G835" s="14" t="str">
        <x:v>20:45</x:v>
      </x:c>
      <x:c r="H835" s="14" t="str">
        <x:v>研究生宿舍楼</x:v>
      </x:c>
      <x:c r="I835" s="14" t="str">
        <x:v>否</x:v>
      </x:c>
      <x:c r="J835" s="14" t="n">
        <x:v>12</x:v>
      </x:c>
      <x:c r="K835" s="14" t="str">
        <x:v>305教学楼</x:v>
      </x:c>
      <x:c r="L835" s="14" t="n">
        <x:v>15</x:v>
      </x:c>
      <x:c r="M835" s="14" t="str">
        <x:v>21:00</x:v>
      </x:c>
      <x:c r="N835" s="14" t="str">
        <x:v>否</x:v>
      </x:c>
      <x:c r="O835" s="14" t="str">
        <x:v>否</x:v>
      </x:c>
      <x:c r="P835" s="14" t="str">
        <x:v>未提供</x:v>
      </x:c>
      <x:c r="Q835" s="14" t="str">
        <x:v>未提供</x:v>
      </x:c>
      <x:c r="R835" s="14" t="str">
        <x:v>预测</x:v>
      </x:c>
      <x:c r="S835" s="14" t="str">
        <x:v>到站时间为估算值</x:v>
      </x:c>
      <x:c r="T835" t="str">
        <x:v>研究生宿舍楼发车</x:v>
      </x:c>
    </x:row>
    <x:row r="836">
      <x:c r="A836" s="14" t="str">
        <x:v>S0067-13</x:v>
      </x:c>
      <x:c r="B836" s="14" t="str">
        <x:v>S0067</x:v>
      </x:c>
      <x:c r="C836" s="14" t="str">
        <x:v>工作日</x:v>
      </x:c>
      <x:c r="D836" s="14" t="str">
        <x:v>环线1路</x:v>
      </x:c>
      <x:c r="E836" s="14" t="str">
        <x:v>第四班（夜1）</x:v>
      </x:c>
      <x:c r="F836" s="14" t="n">
        <x:v>11</x:v>
      </x:c>
      <x:c r="G836" s="14" t="str">
        <x:v>20:45</x:v>
      </x:c>
      <x:c r="H836" s="14" t="str">
        <x:v>研究生宿舍楼</x:v>
      </x:c>
      <x:c r="I836" s="14" t="str">
        <x:v>否</x:v>
      </x:c>
      <x:c r="J836" s="14" t="n">
        <x:v>13</x:v>
      </x:c>
      <x:c r="K836" s="14" t="str">
        <x:v>研究生宿舍楼</x:v>
      </x:c>
      <x:c r="L836" s="14" t="n">
        <x:v>17</x:v>
      </x:c>
      <x:c r="M836" s="14" t="str">
        <x:v>21:02</x:v>
      </x:c>
      <x:c r="N836" s="14" t="str">
        <x:v>否</x:v>
      </x:c>
      <x:c r="O836" s="14" t="str">
        <x:v>是</x:v>
      </x:c>
      <x:c r="P836" s="14" t="str">
        <x:v>未提供</x:v>
      </x:c>
      <x:c r="Q836" s="14" t="str">
        <x:v>未提供</x:v>
      </x:c>
      <x:c r="R836" s="14" t="str">
        <x:v>预测</x:v>
      </x:c>
      <x:c r="S836" s="14" t="str">
        <x:v>到站时间为估算值</x:v>
      </x:c>
      <x:c r="T836" t="str">
        <x:v>研究生宿舍楼发车</x:v>
      </x:c>
    </x:row>
    <x:row r="837">
      <x:c r="A837" s="14" t="str">
        <x:v>S0068-01</x:v>
      </x:c>
      <x:c r="B837" s="14" t="str">
        <x:v>S0068</x:v>
      </x:c>
      <x:c r="C837" s="14" t="str">
        <x:v>工作日</x:v>
      </x:c>
      <x:c r="D837" s="14" t="str">
        <x:v>环线1路</x:v>
      </x:c>
      <x:c r="E837" s="14" t="str">
        <x:v>第四班（夜1）</x:v>
      </x:c>
      <x:c r="F837" s="14" t="n">
        <x:v>12</x:v>
      </x:c>
      <x:c r="G837" s="14" t="str">
        <x:v>21:15</x:v>
      </x:c>
      <x:c r="H837" s="14" t="str">
        <x:v>研究生宿舍楼</x:v>
      </x:c>
      <x:c r="I837" s="14" t="str">
        <x:v>否</x:v>
      </x:c>
      <x:c r="J837" s="14" t="n">
        <x:v>1</x:v>
      </x:c>
      <x:c r="K837" s="14" t="str">
        <x:v>研究生宿舍楼</x:v>
      </x:c>
      <x:c r="L837" s="14" t="n">
        <x:v>0</x:v>
      </x:c>
      <x:c r="M837" s="14" t="str">
        <x:v>21:15</x:v>
      </x:c>
      <x:c r="N837" s="14" t="str">
        <x:v>是</x:v>
      </x:c>
      <x:c r="O837" s="14" t="str">
        <x:v>否</x:v>
      </x:c>
      <x:c r="P837" s="14" t="str">
        <x:v>未提供</x:v>
      </x:c>
      <x:c r="Q837" s="14" t="str">
        <x:v>未提供</x:v>
      </x:c>
      <x:c r="R837" s="14" t="str">
        <x:v>预测</x:v>
      </x:c>
      <x:c r="S837" s="14" t="str">
        <x:v>到站时间为估算值</x:v>
      </x:c>
      <x:c r="T837" t="str">
        <x:v>研究生宿舍楼发车</x:v>
      </x:c>
    </x:row>
    <x:row r="838">
      <x:c r="A838" s="14" t="str">
        <x:v>S0068-02</x:v>
      </x:c>
      <x:c r="B838" s="14" t="str">
        <x:v>S0068</x:v>
      </x:c>
      <x:c r="C838" s="14" t="str">
        <x:v>工作日</x:v>
      </x:c>
      <x:c r="D838" s="14" t="str">
        <x:v>环线1路</x:v>
      </x:c>
      <x:c r="E838" s="14" t="str">
        <x:v>第四班（夜1）</x:v>
      </x:c>
      <x:c r="F838" s="14" t="n">
        <x:v>12</x:v>
      </x:c>
      <x:c r="G838" s="14" t="str">
        <x:v>21:15</x:v>
      </x:c>
      <x:c r="H838" s="14" t="str">
        <x:v>研究生宿舍楼</x:v>
      </x:c>
      <x:c r="I838" s="14" t="str">
        <x:v>否</x:v>
      </x:c>
      <x:c r="J838" s="14" t="n">
        <x:v>2</x:v>
      </x:c>
      <x:c r="K838" s="14" t="str">
        <x:v>东门</x:v>
      </x:c>
      <x:c r="L838" s="14" t="n">
        <x:v>1</x:v>
      </x:c>
      <x:c r="M838" s="14" t="str">
        <x:v>21:16</x:v>
      </x:c>
      <x:c r="N838" s="14" t="str">
        <x:v>否</x:v>
      </x:c>
      <x:c r="O838" s="14" t="str">
        <x:v>否</x:v>
      </x:c>
      <x:c r="P838" s="14" t="str">
        <x:v>未提供</x:v>
      </x:c>
      <x:c r="Q838" s="14" t="str">
        <x:v>未提供</x:v>
      </x:c>
      <x:c r="R838" s="14" t="str">
        <x:v>预测</x:v>
      </x:c>
      <x:c r="S838" s="14" t="str">
        <x:v>到站时间为估算值</x:v>
      </x:c>
      <x:c r="T838" t="str">
        <x:v>研究生宿舍楼发车</x:v>
      </x:c>
    </x:row>
    <x:row r="839">
      <x:c r="A839" s="14" t="str">
        <x:v>S0068-03</x:v>
      </x:c>
      <x:c r="B839" s="14" t="str">
        <x:v>S0068</x:v>
      </x:c>
      <x:c r="C839" s="14" t="str">
        <x:v>工作日</x:v>
      </x:c>
      <x:c r="D839" s="14" t="str">
        <x:v>环线1路</x:v>
      </x:c>
      <x:c r="E839" s="14" t="str">
        <x:v>第四班（夜1）</x:v>
      </x:c>
      <x:c r="F839" s="14" t="n">
        <x:v>12</x:v>
      </x:c>
      <x:c r="G839" s="14" t="str">
        <x:v>21:15</x:v>
      </x:c>
      <x:c r="H839" s="14" t="str">
        <x:v>研究生宿舍楼</x:v>
      </x:c>
      <x:c r="I839" s="14" t="str">
        <x:v>否</x:v>
      </x:c>
      <x:c r="J839" s="14" t="n">
        <x:v>3</x:v>
      </x:c>
      <x:c r="K839" s="14" t="str">
        <x:v>2号宿舍楼</x:v>
      </x:c>
      <x:c r="L839" s="14" t="n">
        <x:v>2</x:v>
      </x:c>
      <x:c r="M839" s="14" t="str">
        <x:v>21:17</x:v>
      </x:c>
      <x:c r="N839" s="14" t="str">
        <x:v>否</x:v>
      </x:c>
      <x:c r="O839" s="14" t="str">
        <x:v>否</x:v>
      </x:c>
      <x:c r="P839" s="14" t="str">
        <x:v>未提供</x:v>
      </x:c>
      <x:c r="Q839" s="14" t="str">
        <x:v>未提供</x:v>
      </x:c>
      <x:c r="R839" s="14" t="str">
        <x:v>预测</x:v>
      </x:c>
      <x:c r="S839" s="14" t="str">
        <x:v>到站时间为估算值</x:v>
      </x:c>
      <x:c r="T839" t="str">
        <x:v>研究生宿舍楼发车</x:v>
      </x:c>
    </x:row>
    <x:row r="840">
      <x:c r="A840" s="14" t="str">
        <x:v>S0068-04</x:v>
      </x:c>
      <x:c r="B840" s="14" t="str">
        <x:v>S0068</x:v>
      </x:c>
      <x:c r="C840" s="14" t="str">
        <x:v>工作日</x:v>
      </x:c>
      <x:c r="D840" s="14" t="str">
        <x:v>环线1路</x:v>
      </x:c>
      <x:c r="E840" s="14" t="str">
        <x:v>第四班（夜1）</x:v>
      </x:c>
      <x:c r="F840" s="14" t="n">
        <x:v>12</x:v>
      </x:c>
      <x:c r="G840" s="14" t="str">
        <x:v>21:15</x:v>
      </x:c>
      <x:c r="H840" s="14" t="str">
        <x:v>研究生宿舍楼</x:v>
      </x:c>
      <x:c r="I840" s="14" t="str">
        <x:v>否</x:v>
      </x:c>
      <x:c r="J840" s="14" t="n">
        <x:v>4</x:v>
      </x:c>
      <x:c r="K840" s="14" t="str">
        <x:v>军体活动中心</x:v>
      </x:c>
      <x:c r="L840" s="14" t="n">
        <x:v>3</x:v>
      </x:c>
      <x:c r="M840" s="14" t="str">
        <x:v>21:18</x:v>
      </x:c>
      <x:c r="N840" s="14" t="str">
        <x:v>否</x:v>
      </x:c>
      <x:c r="O840" s="14" t="str">
        <x:v>否</x:v>
      </x:c>
      <x:c r="P840" s="14" t="str">
        <x:v>未提供</x:v>
      </x:c>
      <x:c r="Q840" s="14" t="str">
        <x:v>未提供</x:v>
      </x:c>
      <x:c r="R840" s="14" t="str">
        <x:v>预测</x:v>
      </x:c>
      <x:c r="S840" s="14" t="str">
        <x:v>到站时间为估算值</x:v>
      </x:c>
      <x:c r="T840" t="str">
        <x:v>研究生宿舍楼发车</x:v>
      </x:c>
    </x:row>
    <x:row r="841">
      <x:c r="A841" s="14" t="str">
        <x:v>S0068-05</x:v>
      </x:c>
      <x:c r="B841" s="14" t="str">
        <x:v>S0068</x:v>
      </x:c>
      <x:c r="C841" s="14" t="str">
        <x:v>工作日</x:v>
      </x:c>
      <x:c r="D841" s="14" t="str">
        <x:v>环线1路</x:v>
      </x:c>
      <x:c r="E841" s="14" t="str">
        <x:v>第四班（夜1）</x:v>
      </x:c>
      <x:c r="F841" s="14" t="n">
        <x:v>12</x:v>
      </x:c>
      <x:c r="G841" s="14" t="str">
        <x:v>21:15</x:v>
      </x:c>
      <x:c r="H841" s="14" t="str">
        <x:v>研究生宿舍楼</x:v>
      </x:c>
      <x:c r="I841" s="14" t="str">
        <x:v>否</x:v>
      </x:c>
      <x:c r="J841" s="14" t="n">
        <x:v>5</x:v>
      </x:c>
      <x:c r="K841" s="14" t="str">
        <x:v>激光所</x:v>
      </x:c>
      <x:c r="L841" s="14" t="n">
        <x:v>5</x:v>
      </x:c>
      <x:c r="M841" s="14" t="str">
        <x:v>21:20</x:v>
      </x:c>
      <x:c r="N841" s="14" t="str">
        <x:v>否</x:v>
      </x:c>
      <x:c r="O841" s="14" t="str">
        <x:v>否</x:v>
      </x:c>
      <x:c r="P841" s="14" t="str">
        <x:v>未提供</x:v>
      </x:c>
      <x:c r="Q841" s="14" t="str">
        <x:v>未提供</x:v>
      </x:c>
      <x:c r="R841" s="14" t="str">
        <x:v>预测</x:v>
      </x:c>
      <x:c r="S841" s="14" t="str">
        <x:v>到站时间为估算值</x:v>
      </x:c>
      <x:c r="T841" t="str">
        <x:v>研究生宿舍楼发车</x:v>
      </x:c>
    </x:row>
    <x:row r="842">
      <x:c r="A842" s="14" t="str">
        <x:v>S0068-06</x:v>
      </x:c>
      <x:c r="B842" s="14" t="str">
        <x:v>S0068</x:v>
      </x:c>
      <x:c r="C842" s="14" t="str">
        <x:v>工作日</x:v>
      </x:c>
      <x:c r="D842" s="14" t="str">
        <x:v>环线1路</x:v>
      </x:c>
      <x:c r="E842" s="14" t="str">
        <x:v>第四班（夜1）</x:v>
      </x:c>
      <x:c r="F842" s="14" t="n">
        <x:v>12</x:v>
      </x:c>
      <x:c r="G842" s="14" t="str">
        <x:v>21:15</x:v>
      </x:c>
      <x:c r="H842" s="14" t="str">
        <x:v>研究生宿舍楼</x:v>
      </x:c>
      <x:c r="I842" s="14" t="str">
        <x:v>否</x:v>
      </x:c>
      <x:c r="J842" s="14" t="n">
        <x:v>6</x:v>
      </x:c>
      <x:c r="K842" s="14" t="str">
        <x:v>超算中心</x:v>
      </x:c>
      <x:c r="L842" s="14" t="n">
        <x:v>6</x:v>
      </x:c>
      <x:c r="M842" s="14" t="str">
        <x:v>21:21</x:v>
      </x:c>
      <x:c r="N842" s="14" t="str">
        <x:v>否</x:v>
      </x:c>
      <x:c r="O842" s="14" t="str">
        <x:v>否</x:v>
      </x:c>
      <x:c r="P842" s="14" t="str">
        <x:v>未提供</x:v>
      </x:c>
      <x:c r="Q842" s="14" t="str">
        <x:v>未提供</x:v>
      </x:c>
      <x:c r="R842" s="14" t="str">
        <x:v>预测</x:v>
      </x:c>
      <x:c r="S842" s="14" t="str">
        <x:v>到站时间为估算值</x:v>
      </x:c>
      <x:c r="T842" t="str">
        <x:v>研究生宿舍楼发车</x:v>
      </x:c>
    </x:row>
    <x:row r="843">
      <x:c r="A843" s="14" t="str">
        <x:v>S0068-07</x:v>
      </x:c>
      <x:c r="B843" s="14" t="str">
        <x:v>S0068</x:v>
      </x:c>
      <x:c r="C843" s="14" t="str">
        <x:v>工作日</x:v>
      </x:c>
      <x:c r="D843" s="14" t="str">
        <x:v>环线1路</x:v>
      </x:c>
      <x:c r="E843" s="14" t="str">
        <x:v>第四班（夜1）</x:v>
      </x:c>
      <x:c r="F843" s="14" t="n">
        <x:v>12</x:v>
      </x:c>
      <x:c r="G843" s="14" t="str">
        <x:v>21:15</x:v>
      </x:c>
      <x:c r="H843" s="14" t="str">
        <x:v>研究生宿舍楼</x:v>
      </x:c>
      <x:c r="I843" s="14" t="str">
        <x:v>否</x:v>
      </x:c>
      <x:c r="J843" s="14" t="n">
        <x:v>7</x:v>
      </x:c>
      <x:c r="K843" s="14" t="str">
        <x:v>北门</x:v>
      </x:c>
      <x:c r="L843" s="14" t="n">
        <x:v>8</x:v>
      </x:c>
      <x:c r="M843" s="14" t="str">
        <x:v>21:23</x:v>
      </x:c>
      <x:c r="N843" s="14" t="str">
        <x:v>否</x:v>
      </x:c>
      <x:c r="O843" s="14" t="str">
        <x:v>否</x:v>
      </x:c>
      <x:c r="P843" s="14" t="str">
        <x:v>未提供</x:v>
      </x:c>
      <x:c r="Q843" s="14" t="str">
        <x:v>未提供</x:v>
      </x:c>
      <x:c r="R843" s="14" t="str">
        <x:v>预测</x:v>
      </x:c>
      <x:c r="S843" s="14" t="str">
        <x:v>到站时间为估算值</x:v>
      </x:c>
      <x:c r="T843" t="str">
        <x:v>研究生宿舍楼发车</x:v>
      </x:c>
    </x:row>
    <x:row r="844">
      <x:c r="A844" s="14" t="str">
        <x:v>S0068-08</x:v>
      </x:c>
      <x:c r="B844" s="14" t="str">
        <x:v>S0068</x:v>
      </x:c>
      <x:c r="C844" s="14" t="str">
        <x:v>工作日</x:v>
      </x:c>
      <x:c r="D844" s="14" t="str">
        <x:v>环线1路</x:v>
      </x:c>
      <x:c r="E844" s="14" t="str">
        <x:v>第四班（夜1）</x:v>
      </x:c>
      <x:c r="F844" s="14" t="n">
        <x:v>12</x:v>
      </x:c>
      <x:c r="G844" s="14" t="str">
        <x:v>21:15</x:v>
      </x:c>
      <x:c r="H844" s="14" t="str">
        <x:v>研究生宿舍楼</x:v>
      </x:c>
      <x:c r="I844" s="14" t="str">
        <x:v>否</x:v>
      </x:c>
      <x:c r="J844" s="14" t="n">
        <x:v>8</x:v>
      </x:c>
      <x:c r="K844" s="14" t="str">
        <x:v>高超楼</x:v>
      </x:c>
      <x:c r="L844" s="14" t="n">
        <x:v>9</x:v>
      </x:c>
      <x:c r="M844" s="14" t="str">
        <x:v>21:24</x:v>
      </x:c>
      <x:c r="N844" s="14" t="str">
        <x:v>否</x:v>
      </x:c>
      <x:c r="O844" s="14" t="str">
        <x:v>否</x:v>
      </x:c>
      <x:c r="P844" s="14" t="str">
        <x:v>未提供</x:v>
      </x:c>
      <x:c r="Q844" s="14" t="str">
        <x:v>未提供</x:v>
      </x:c>
      <x:c r="R844" s="14" t="str">
        <x:v>预测</x:v>
      </x:c>
      <x:c r="S844" s="14" t="str">
        <x:v>到站时间为估算值</x:v>
      </x:c>
      <x:c r="T844" t="str">
        <x:v>研究生宿舍楼发车</x:v>
      </x:c>
    </x:row>
    <x:row r="845">
      <x:c r="A845" s="14" t="str">
        <x:v>S0068-09</x:v>
      </x:c>
      <x:c r="B845" s="14" t="str">
        <x:v>S0068</x:v>
      </x:c>
      <x:c r="C845" s="14" t="str">
        <x:v>工作日</x:v>
      </x:c>
      <x:c r="D845" s="14" t="str">
        <x:v>环线1路</x:v>
      </x:c>
      <x:c r="E845" s="14" t="str">
        <x:v>第四班（夜1）</x:v>
      </x:c>
      <x:c r="F845" s="14" t="n">
        <x:v>12</x:v>
      </x:c>
      <x:c r="G845" s="14" t="str">
        <x:v>21:15</x:v>
      </x:c>
      <x:c r="H845" s="14" t="str">
        <x:v>研究生宿舍楼</x:v>
      </x:c>
      <x:c r="I845" s="14" t="str">
        <x:v>否</x:v>
      </x:c>
      <x:c r="J845" s="14" t="n">
        <x:v>9</x:v>
      </x:c>
      <x:c r="K845" s="14" t="str">
        <x:v>理学院</x:v>
      </x:c>
      <x:c r="L845" s="14" t="n">
        <x:v>10</x:v>
      </x:c>
      <x:c r="M845" s="14" t="str">
        <x:v>21:25</x:v>
      </x:c>
      <x:c r="N845" s="14" t="str">
        <x:v>否</x:v>
      </x:c>
      <x:c r="O845" s="14" t="str">
        <x:v>否</x:v>
      </x:c>
      <x:c r="P845" s="14" t="str">
        <x:v>未提供</x:v>
      </x:c>
      <x:c r="Q845" s="14" t="str">
        <x:v>未提供</x:v>
      </x:c>
      <x:c r="R845" s="14" t="str">
        <x:v>预测</x:v>
      </x:c>
      <x:c r="S845" s="14" t="str">
        <x:v>到站时间为估算值</x:v>
      </x:c>
      <x:c r="T845" t="str">
        <x:v>研究生宿舍楼发车</x:v>
      </x:c>
    </x:row>
    <x:row r="846">
      <x:c r="A846" s="14" t="str">
        <x:v>S0068-10</x:v>
      </x:c>
      <x:c r="B846" s="14" t="str">
        <x:v>S0068</x:v>
      </x:c>
      <x:c r="C846" s="14" t="str">
        <x:v>工作日</x:v>
      </x:c>
      <x:c r="D846" s="14" t="str">
        <x:v>环线1路</x:v>
      </x:c>
      <x:c r="E846" s="14" t="str">
        <x:v>第四班（夜1）</x:v>
      </x:c>
      <x:c r="F846" s="14" t="n">
        <x:v>12</x:v>
      </x:c>
      <x:c r="G846" s="14" t="str">
        <x:v>21:15</x:v>
      </x:c>
      <x:c r="H846" s="14" t="str">
        <x:v>研究生宿舍楼</x:v>
      </x:c>
      <x:c r="I846" s="14" t="str">
        <x:v>否</x:v>
      </x:c>
      <x:c r="J846" s="14" t="n">
        <x:v>10</x:v>
      </x:c>
      <x:c r="K846" s="14" t="str">
        <x:v>二食堂</x:v>
      </x:c>
      <x:c r="L846" s="14" t="n">
        <x:v>13</x:v>
      </x:c>
      <x:c r="M846" s="14" t="str">
        <x:v>21:28</x:v>
      </x:c>
      <x:c r="N846" s="14" t="str">
        <x:v>否</x:v>
      </x:c>
      <x:c r="O846" s="14" t="str">
        <x:v>否</x:v>
      </x:c>
      <x:c r="P846" s="14" t="str">
        <x:v>未提供</x:v>
      </x:c>
      <x:c r="Q846" s="14" t="str">
        <x:v>未提供</x:v>
      </x:c>
      <x:c r="R846" s="14" t="str">
        <x:v>预测</x:v>
      </x:c>
      <x:c r="S846" s="14" t="str">
        <x:v>到站时间为估算值</x:v>
      </x:c>
      <x:c r="T846" t="str">
        <x:v>研究生宿舍楼发车</x:v>
      </x:c>
    </x:row>
    <x:row r="847">
      <x:c r="A847" s="14" t="str">
        <x:v>S0068-11</x:v>
      </x:c>
      <x:c r="B847" s="14" t="str">
        <x:v>S0068</x:v>
      </x:c>
      <x:c r="C847" s="14" t="str">
        <x:v>工作日</x:v>
      </x:c>
      <x:c r="D847" s="14" t="str">
        <x:v>环线1路</x:v>
      </x:c>
      <x:c r="E847" s="14" t="str">
        <x:v>第四班（夜1）</x:v>
      </x:c>
      <x:c r="F847" s="14" t="n">
        <x:v>12</x:v>
      </x:c>
      <x:c r="G847" s="14" t="str">
        <x:v>21:15</x:v>
      </x:c>
      <x:c r="H847" s="14" t="str">
        <x:v>研究生宿舍楼</x:v>
      </x:c>
      <x:c r="I847" s="14" t="str">
        <x:v>否</x:v>
      </x:c>
      <x:c r="J847" s="14" t="n">
        <x:v>11</x:v>
      </x:c>
      <x:c r="K847" s="14" t="str">
        <x:v>5号宿舍楼</x:v>
      </x:c>
      <x:c r="L847" s="14" t="n">
        <x:v>14</x:v>
      </x:c>
      <x:c r="M847" s="14" t="str">
        <x:v>21:29</x:v>
      </x:c>
      <x:c r="N847" s="14" t="str">
        <x:v>否</x:v>
      </x:c>
      <x:c r="O847" s="14" t="str">
        <x:v>否</x:v>
      </x:c>
      <x:c r="P847" s="14" t="str">
        <x:v>未提供</x:v>
      </x:c>
      <x:c r="Q847" s="14" t="str">
        <x:v>未提供</x:v>
      </x:c>
      <x:c r="R847" s="14" t="str">
        <x:v>预测</x:v>
      </x:c>
      <x:c r="S847" s="14" t="str">
        <x:v>到站时间为估算值</x:v>
      </x:c>
      <x:c r="T847" t="str">
        <x:v>研究生宿舍楼发车</x:v>
      </x:c>
    </x:row>
    <x:row r="848">
      <x:c r="A848" s="14" t="str">
        <x:v>S0068-12</x:v>
      </x:c>
      <x:c r="B848" s="14" t="str">
        <x:v>S0068</x:v>
      </x:c>
      <x:c r="C848" s="14" t="str">
        <x:v>工作日</x:v>
      </x:c>
      <x:c r="D848" s="14" t="str">
        <x:v>环线1路</x:v>
      </x:c>
      <x:c r="E848" s="14" t="str">
        <x:v>第四班（夜1）</x:v>
      </x:c>
      <x:c r="F848" s="14" t="n">
        <x:v>12</x:v>
      </x:c>
      <x:c r="G848" s="14" t="str">
        <x:v>21:15</x:v>
      </x:c>
      <x:c r="H848" s="14" t="str">
        <x:v>研究生宿舍楼</x:v>
      </x:c>
      <x:c r="I848" s="14" t="str">
        <x:v>否</x:v>
      </x:c>
      <x:c r="J848" s="14" t="n">
        <x:v>12</x:v>
      </x:c>
      <x:c r="K848" s="14" t="str">
        <x:v>305教学楼</x:v>
      </x:c>
      <x:c r="L848" s="14" t="n">
        <x:v>15</x:v>
      </x:c>
      <x:c r="M848" s="14" t="str">
        <x:v>21:30</x:v>
      </x:c>
      <x:c r="N848" s="14" t="str">
        <x:v>否</x:v>
      </x:c>
      <x:c r="O848" s="14" t="str">
        <x:v>否</x:v>
      </x:c>
      <x:c r="P848" s="14" t="str">
        <x:v>未提供</x:v>
      </x:c>
      <x:c r="Q848" s="14" t="str">
        <x:v>未提供</x:v>
      </x:c>
      <x:c r="R848" s="14" t="str">
        <x:v>预测</x:v>
      </x:c>
      <x:c r="S848" s="14" t="str">
        <x:v>到站时间为估算值</x:v>
      </x:c>
      <x:c r="T848" t="str">
        <x:v>研究生宿舍楼发车</x:v>
      </x:c>
    </x:row>
    <x:row r="849">
      <x:c r="A849" s="14" t="str">
        <x:v>S0068-13</x:v>
      </x:c>
      <x:c r="B849" s="14" t="str">
        <x:v>S0068</x:v>
      </x:c>
      <x:c r="C849" s="14" t="str">
        <x:v>工作日</x:v>
      </x:c>
      <x:c r="D849" s="14" t="str">
        <x:v>环线1路</x:v>
      </x:c>
      <x:c r="E849" s="14" t="str">
        <x:v>第四班（夜1）</x:v>
      </x:c>
      <x:c r="F849" s="14" t="n">
        <x:v>12</x:v>
      </x:c>
      <x:c r="G849" s="14" t="str">
        <x:v>21:15</x:v>
      </x:c>
      <x:c r="H849" s="14" t="str">
        <x:v>研究生宿舍楼</x:v>
      </x:c>
      <x:c r="I849" s="14" t="str">
        <x:v>否</x:v>
      </x:c>
      <x:c r="J849" s="14" t="n">
        <x:v>13</x:v>
      </x:c>
      <x:c r="K849" s="14" t="str">
        <x:v>研究生宿舍楼</x:v>
      </x:c>
      <x:c r="L849" s="14" t="n">
        <x:v>17</x:v>
      </x:c>
      <x:c r="M849" s="14" t="str">
        <x:v>21:32</x:v>
      </x:c>
      <x:c r="N849" s="14" t="str">
        <x:v>否</x:v>
      </x:c>
      <x:c r="O849" s="14" t="str">
        <x:v>是</x:v>
      </x:c>
      <x:c r="P849" s="14" t="str">
        <x:v>未提供</x:v>
      </x:c>
      <x:c r="Q849" s="14" t="str">
        <x:v>未提供</x:v>
      </x:c>
      <x:c r="R849" s="14" t="str">
        <x:v>预测</x:v>
      </x:c>
      <x:c r="S849" s="14" t="str">
        <x:v>到站时间为估算值</x:v>
      </x:c>
      <x:c r="T849" t="str">
        <x:v>研究生宿舍楼发车</x:v>
      </x:c>
    </x:row>
    <x:row r="850">
      <x:c r="A850" s="14" t="str">
        <x:v>S0069-01</x:v>
      </x:c>
      <x:c r="B850" s="14" t="str">
        <x:v>S0069</x:v>
      </x:c>
      <x:c r="C850" s="14" t="str">
        <x:v>工作日</x:v>
      </x:c>
      <x:c r="D850" s="14" t="str">
        <x:v>环线1路</x:v>
      </x:c>
      <x:c r="E850" s="14" t="str">
        <x:v>第四班（夜1）</x:v>
      </x:c>
      <x:c r="F850" s="14" t="n">
        <x:v>13</x:v>
      </x:c>
      <x:c r="G850" s="14" t="str">
        <x:v>21:45</x:v>
      </x:c>
      <x:c r="H850" s="14" t="str">
        <x:v>研究生宿舍楼</x:v>
      </x:c>
      <x:c r="I850" s="14" t="str">
        <x:v>否</x:v>
      </x:c>
      <x:c r="J850" s="14" t="n">
        <x:v>1</x:v>
      </x:c>
      <x:c r="K850" s="14" t="str">
        <x:v>研究生宿舍楼</x:v>
      </x:c>
      <x:c r="L850" s="14" t="n">
        <x:v>0</x:v>
      </x:c>
      <x:c r="M850" s="14" t="str">
        <x:v>21:45</x:v>
      </x:c>
      <x:c r="N850" s="14" t="str">
        <x:v>是</x:v>
      </x:c>
      <x:c r="O850" s="14" t="str">
        <x:v>否</x:v>
      </x:c>
      <x:c r="P850" s="14" t="str">
        <x:v>未提供</x:v>
      </x:c>
      <x:c r="Q850" s="14" t="str">
        <x:v>未提供</x:v>
      </x:c>
      <x:c r="R850" s="14" t="str">
        <x:v>预测</x:v>
      </x:c>
      <x:c r="S850" s="14" t="str">
        <x:v>到站时间为估算值</x:v>
      </x:c>
      <x:c r="T850" t="str">
        <x:v>研究生宿舍楼发车</x:v>
      </x:c>
    </x:row>
    <x:row r="851">
      <x:c r="A851" s="14" t="str">
        <x:v>S0069-02</x:v>
      </x:c>
      <x:c r="B851" s="14" t="str">
        <x:v>S0069</x:v>
      </x:c>
      <x:c r="C851" s="14" t="str">
        <x:v>工作日</x:v>
      </x:c>
      <x:c r="D851" s="14" t="str">
        <x:v>环线1路</x:v>
      </x:c>
      <x:c r="E851" s="14" t="str">
        <x:v>第四班（夜1）</x:v>
      </x:c>
      <x:c r="F851" s="14" t="n">
        <x:v>13</x:v>
      </x:c>
      <x:c r="G851" s="14" t="str">
        <x:v>21:45</x:v>
      </x:c>
      <x:c r="H851" s="14" t="str">
        <x:v>研究生宿舍楼</x:v>
      </x:c>
      <x:c r="I851" s="14" t="str">
        <x:v>否</x:v>
      </x:c>
      <x:c r="J851" s="14" t="n">
        <x:v>2</x:v>
      </x:c>
      <x:c r="K851" s="14" t="str">
        <x:v>东门</x:v>
      </x:c>
      <x:c r="L851" s="14" t="n">
        <x:v>1</x:v>
      </x:c>
      <x:c r="M851" s="14" t="str">
        <x:v>21:46</x:v>
      </x:c>
      <x:c r="N851" s="14" t="str">
        <x:v>否</x:v>
      </x:c>
      <x:c r="O851" s="14" t="str">
        <x:v>否</x:v>
      </x:c>
      <x:c r="P851" s="14" t="str">
        <x:v>未提供</x:v>
      </x:c>
      <x:c r="Q851" s="14" t="str">
        <x:v>未提供</x:v>
      </x:c>
      <x:c r="R851" s="14" t="str">
        <x:v>预测</x:v>
      </x:c>
      <x:c r="S851" s="14" t="str">
        <x:v>到站时间为估算值</x:v>
      </x:c>
      <x:c r="T851" t="str">
        <x:v>研究生宿舍楼发车</x:v>
      </x:c>
    </x:row>
    <x:row r="852">
      <x:c r="A852" s="14" t="str">
        <x:v>S0069-03</x:v>
      </x:c>
      <x:c r="B852" s="14" t="str">
        <x:v>S0069</x:v>
      </x:c>
      <x:c r="C852" s="14" t="str">
        <x:v>工作日</x:v>
      </x:c>
      <x:c r="D852" s="14" t="str">
        <x:v>环线1路</x:v>
      </x:c>
      <x:c r="E852" s="14" t="str">
        <x:v>第四班（夜1）</x:v>
      </x:c>
      <x:c r="F852" s="14" t="n">
        <x:v>13</x:v>
      </x:c>
      <x:c r="G852" s="14" t="str">
        <x:v>21:45</x:v>
      </x:c>
      <x:c r="H852" s="14" t="str">
        <x:v>研究生宿舍楼</x:v>
      </x:c>
      <x:c r="I852" s="14" t="str">
        <x:v>否</x:v>
      </x:c>
      <x:c r="J852" s="14" t="n">
        <x:v>3</x:v>
      </x:c>
      <x:c r="K852" s="14" t="str">
        <x:v>2号宿舍楼</x:v>
      </x:c>
      <x:c r="L852" s="14" t="n">
        <x:v>2</x:v>
      </x:c>
      <x:c r="M852" s="14" t="str">
        <x:v>21:47</x:v>
      </x:c>
      <x:c r="N852" s="14" t="str">
        <x:v>否</x:v>
      </x:c>
      <x:c r="O852" s="14" t="str">
        <x:v>否</x:v>
      </x:c>
      <x:c r="P852" s="14" t="str">
        <x:v>未提供</x:v>
      </x:c>
      <x:c r="Q852" s="14" t="str">
        <x:v>未提供</x:v>
      </x:c>
      <x:c r="R852" s="14" t="str">
        <x:v>预测</x:v>
      </x:c>
      <x:c r="S852" s="14" t="str">
        <x:v>到站时间为估算值</x:v>
      </x:c>
      <x:c r="T852" t="str">
        <x:v>研究生宿舍楼发车</x:v>
      </x:c>
    </x:row>
    <x:row r="853">
      <x:c r="A853" s="14" t="str">
        <x:v>S0069-04</x:v>
      </x:c>
      <x:c r="B853" s="14" t="str">
        <x:v>S0069</x:v>
      </x:c>
      <x:c r="C853" s="14" t="str">
        <x:v>工作日</x:v>
      </x:c>
      <x:c r="D853" s="14" t="str">
        <x:v>环线1路</x:v>
      </x:c>
      <x:c r="E853" s="14" t="str">
        <x:v>第四班（夜1）</x:v>
      </x:c>
      <x:c r="F853" s="14" t="n">
        <x:v>13</x:v>
      </x:c>
      <x:c r="G853" s="14" t="str">
        <x:v>21:45</x:v>
      </x:c>
      <x:c r="H853" s="14" t="str">
        <x:v>研究生宿舍楼</x:v>
      </x:c>
      <x:c r="I853" s="14" t="str">
        <x:v>否</x:v>
      </x:c>
      <x:c r="J853" s="14" t="n">
        <x:v>4</x:v>
      </x:c>
      <x:c r="K853" s="14" t="str">
        <x:v>军体活动中心</x:v>
      </x:c>
      <x:c r="L853" s="14" t="n">
        <x:v>3</x:v>
      </x:c>
      <x:c r="M853" s="14" t="str">
        <x:v>21:48</x:v>
      </x:c>
      <x:c r="N853" s="14" t="str">
        <x:v>否</x:v>
      </x:c>
      <x:c r="O853" s="14" t="str">
        <x:v>否</x:v>
      </x:c>
      <x:c r="P853" s="14" t="str">
        <x:v>未提供</x:v>
      </x:c>
      <x:c r="Q853" s="14" t="str">
        <x:v>未提供</x:v>
      </x:c>
      <x:c r="R853" s="14" t="str">
        <x:v>预测</x:v>
      </x:c>
      <x:c r="S853" s="14" t="str">
        <x:v>到站时间为估算值</x:v>
      </x:c>
      <x:c r="T853" t="str">
        <x:v>研究生宿舍楼发车</x:v>
      </x:c>
    </x:row>
    <x:row r="854">
      <x:c r="A854" s="14" t="str">
        <x:v>S0069-05</x:v>
      </x:c>
      <x:c r="B854" s="14" t="str">
        <x:v>S0069</x:v>
      </x:c>
      <x:c r="C854" s="14" t="str">
        <x:v>工作日</x:v>
      </x:c>
      <x:c r="D854" s="14" t="str">
        <x:v>环线1路</x:v>
      </x:c>
      <x:c r="E854" s="14" t="str">
        <x:v>第四班（夜1）</x:v>
      </x:c>
      <x:c r="F854" s="14" t="n">
        <x:v>13</x:v>
      </x:c>
      <x:c r="G854" s="14" t="str">
        <x:v>21:45</x:v>
      </x:c>
      <x:c r="H854" s="14" t="str">
        <x:v>研究生宿舍楼</x:v>
      </x:c>
      <x:c r="I854" s="14" t="str">
        <x:v>否</x:v>
      </x:c>
      <x:c r="J854" s="14" t="n">
        <x:v>5</x:v>
      </x:c>
      <x:c r="K854" s="14" t="str">
        <x:v>激光所</x:v>
      </x:c>
      <x:c r="L854" s="14" t="n">
        <x:v>5</x:v>
      </x:c>
      <x:c r="M854" s="14" t="str">
        <x:v>21:50</x:v>
      </x:c>
      <x:c r="N854" s="14" t="str">
        <x:v>否</x:v>
      </x:c>
      <x:c r="O854" s="14" t="str">
        <x:v>否</x:v>
      </x:c>
      <x:c r="P854" s="14" t="str">
        <x:v>未提供</x:v>
      </x:c>
      <x:c r="Q854" s="14" t="str">
        <x:v>未提供</x:v>
      </x:c>
      <x:c r="R854" s="14" t="str">
        <x:v>预测</x:v>
      </x:c>
      <x:c r="S854" s="14" t="str">
        <x:v>到站时间为估算值</x:v>
      </x:c>
      <x:c r="T854" t="str">
        <x:v>研究生宿舍楼发车</x:v>
      </x:c>
    </x:row>
    <x:row r="855">
      <x:c r="A855" s="14" t="str">
        <x:v>S0069-06</x:v>
      </x:c>
      <x:c r="B855" s="14" t="str">
        <x:v>S0069</x:v>
      </x:c>
      <x:c r="C855" s="14" t="str">
        <x:v>工作日</x:v>
      </x:c>
      <x:c r="D855" s="14" t="str">
        <x:v>环线1路</x:v>
      </x:c>
      <x:c r="E855" s="14" t="str">
        <x:v>第四班（夜1）</x:v>
      </x:c>
      <x:c r="F855" s="14" t="n">
        <x:v>13</x:v>
      </x:c>
      <x:c r="G855" s="14" t="str">
        <x:v>21:45</x:v>
      </x:c>
      <x:c r="H855" s="14" t="str">
        <x:v>研究生宿舍楼</x:v>
      </x:c>
      <x:c r="I855" s="14" t="str">
        <x:v>否</x:v>
      </x:c>
      <x:c r="J855" s="14" t="n">
        <x:v>6</x:v>
      </x:c>
      <x:c r="K855" s="14" t="str">
        <x:v>超算中心</x:v>
      </x:c>
      <x:c r="L855" s="14" t="n">
        <x:v>6</x:v>
      </x:c>
      <x:c r="M855" s="14" t="str">
        <x:v>21:51</x:v>
      </x:c>
      <x:c r="N855" s="14" t="str">
        <x:v>否</x:v>
      </x:c>
      <x:c r="O855" s="14" t="str">
        <x:v>否</x:v>
      </x:c>
      <x:c r="P855" s="14" t="str">
        <x:v>未提供</x:v>
      </x:c>
      <x:c r="Q855" s="14" t="str">
        <x:v>未提供</x:v>
      </x:c>
      <x:c r="R855" s="14" t="str">
        <x:v>预测</x:v>
      </x:c>
      <x:c r="S855" s="14" t="str">
        <x:v>到站时间为估算值</x:v>
      </x:c>
      <x:c r="T855" t="str">
        <x:v>研究生宿舍楼发车</x:v>
      </x:c>
    </x:row>
    <x:row r="856">
      <x:c r="A856" s="14" t="str">
        <x:v>S0069-07</x:v>
      </x:c>
      <x:c r="B856" s="14" t="str">
        <x:v>S0069</x:v>
      </x:c>
      <x:c r="C856" s="14" t="str">
        <x:v>工作日</x:v>
      </x:c>
      <x:c r="D856" s="14" t="str">
        <x:v>环线1路</x:v>
      </x:c>
      <x:c r="E856" s="14" t="str">
        <x:v>第四班（夜1）</x:v>
      </x:c>
      <x:c r="F856" s="14" t="n">
        <x:v>13</x:v>
      </x:c>
      <x:c r="G856" s="14" t="str">
        <x:v>21:45</x:v>
      </x:c>
      <x:c r="H856" s="14" t="str">
        <x:v>研究生宿舍楼</x:v>
      </x:c>
      <x:c r="I856" s="14" t="str">
        <x:v>否</x:v>
      </x:c>
      <x:c r="J856" s="14" t="n">
        <x:v>7</x:v>
      </x:c>
      <x:c r="K856" s="14" t="str">
        <x:v>北门</x:v>
      </x:c>
      <x:c r="L856" s="14" t="n">
        <x:v>8</x:v>
      </x:c>
      <x:c r="M856" s="14" t="str">
        <x:v>21:53</x:v>
      </x:c>
      <x:c r="N856" s="14" t="str">
        <x:v>否</x:v>
      </x:c>
      <x:c r="O856" s="14" t="str">
        <x:v>否</x:v>
      </x:c>
      <x:c r="P856" s="14" t="str">
        <x:v>未提供</x:v>
      </x:c>
      <x:c r="Q856" s="14" t="str">
        <x:v>未提供</x:v>
      </x:c>
      <x:c r="R856" s="14" t="str">
        <x:v>预测</x:v>
      </x:c>
      <x:c r="S856" s="14" t="str">
        <x:v>到站时间为估算值</x:v>
      </x:c>
      <x:c r="T856" t="str">
        <x:v>研究生宿舍楼发车</x:v>
      </x:c>
    </x:row>
    <x:row r="857">
      <x:c r="A857" s="14" t="str">
        <x:v>S0069-08</x:v>
      </x:c>
      <x:c r="B857" s="14" t="str">
        <x:v>S0069</x:v>
      </x:c>
      <x:c r="C857" s="14" t="str">
        <x:v>工作日</x:v>
      </x:c>
      <x:c r="D857" s="14" t="str">
        <x:v>环线1路</x:v>
      </x:c>
      <x:c r="E857" s="14" t="str">
        <x:v>第四班（夜1）</x:v>
      </x:c>
      <x:c r="F857" s="14" t="n">
        <x:v>13</x:v>
      </x:c>
      <x:c r="G857" s="14" t="str">
        <x:v>21:45</x:v>
      </x:c>
      <x:c r="H857" s="14" t="str">
        <x:v>研究生宿舍楼</x:v>
      </x:c>
      <x:c r="I857" s="14" t="str">
        <x:v>否</x:v>
      </x:c>
      <x:c r="J857" s="14" t="n">
        <x:v>8</x:v>
      </x:c>
      <x:c r="K857" s="14" t="str">
        <x:v>高超楼</x:v>
      </x:c>
      <x:c r="L857" s="14" t="n">
        <x:v>9</x:v>
      </x:c>
      <x:c r="M857" s="14" t="str">
        <x:v>21:54</x:v>
      </x:c>
      <x:c r="N857" s="14" t="str">
        <x:v>否</x:v>
      </x:c>
      <x:c r="O857" s="14" t="str">
        <x:v>否</x:v>
      </x:c>
      <x:c r="P857" s="14" t="str">
        <x:v>未提供</x:v>
      </x:c>
      <x:c r="Q857" s="14" t="str">
        <x:v>未提供</x:v>
      </x:c>
      <x:c r="R857" s="14" t="str">
        <x:v>预测</x:v>
      </x:c>
      <x:c r="S857" s="14" t="str">
        <x:v>到站时间为估算值</x:v>
      </x:c>
      <x:c r="T857" t="str">
        <x:v>研究生宿舍楼发车</x:v>
      </x:c>
    </x:row>
    <x:row r="858">
      <x:c r="A858" s="14" t="str">
        <x:v>S0069-09</x:v>
      </x:c>
      <x:c r="B858" s="14" t="str">
        <x:v>S0069</x:v>
      </x:c>
      <x:c r="C858" s="14" t="str">
        <x:v>工作日</x:v>
      </x:c>
      <x:c r="D858" s="14" t="str">
        <x:v>环线1路</x:v>
      </x:c>
      <x:c r="E858" s="14" t="str">
        <x:v>第四班（夜1）</x:v>
      </x:c>
      <x:c r="F858" s="14" t="n">
        <x:v>13</x:v>
      </x:c>
      <x:c r="G858" s="14" t="str">
        <x:v>21:45</x:v>
      </x:c>
      <x:c r="H858" s="14" t="str">
        <x:v>研究生宿舍楼</x:v>
      </x:c>
      <x:c r="I858" s="14" t="str">
        <x:v>否</x:v>
      </x:c>
      <x:c r="J858" s="14" t="n">
        <x:v>9</x:v>
      </x:c>
      <x:c r="K858" s="14" t="str">
        <x:v>理学院</x:v>
      </x:c>
      <x:c r="L858" s="14" t="n">
        <x:v>10</x:v>
      </x:c>
      <x:c r="M858" s="14" t="str">
        <x:v>21:55</x:v>
      </x:c>
      <x:c r="N858" s="14" t="str">
        <x:v>否</x:v>
      </x:c>
      <x:c r="O858" s="14" t="str">
        <x:v>否</x:v>
      </x:c>
      <x:c r="P858" s="14" t="str">
        <x:v>未提供</x:v>
      </x:c>
      <x:c r="Q858" s="14" t="str">
        <x:v>未提供</x:v>
      </x:c>
      <x:c r="R858" s="14" t="str">
        <x:v>预测</x:v>
      </x:c>
      <x:c r="S858" s="14" t="str">
        <x:v>到站时间为估算值</x:v>
      </x:c>
      <x:c r="T858" t="str">
        <x:v>研究生宿舍楼发车</x:v>
      </x:c>
    </x:row>
    <x:row r="859">
      <x:c r="A859" s="14" t="str">
        <x:v>S0069-10</x:v>
      </x:c>
      <x:c r="B859" s="14" t="str">
        <x:v>S0069</x:v>
      </x:c>
      <x:c r="C859" s="14" t="str">
        <x:v>工作日</x:v>
      </x:c>
      <x:c r="D859" s="14" t="str">
        <x:v>环线1路</x:v>
      </x:c>
      <x:c r="E859" s="14" t="str">
        <x:v>第四班（夜1）</x:v>
      </x:c>
      <x:c r="F859" s="14" t="n">
        <x:v>13</x:v>
      </x:c>
      <x:c r="G859" s="14" t="str">
        <x:v>21:45</x:v>
      </x:c>
      <x:c r="H859" s="14" t="str">
        <x:v>研究生宿舍楼</x:v>
      </x:c>
      <x:c r="I859" s="14" t="str">
        <x:v>否</x:v>
      </x:c>
      <x:c r="J859" s="14" t="n">
        <x:v>10</x:v>
      </x:c>
      <x:c r="K859" s="14" t="str">
        <x:v>二食堂</x:v>
      </x:c>
      <x:c r="L859" s="14" t="n">
        <x:v>13</x:v>
      </x:c>
      <x:c r="M859" s="14" t="str">
        <x:v>21:58</x:v>
      </x:c>
      <x:c r="N859" s="14" t="str">
        <x:v>否</x:v>
      </x:c>
      <x:c r="O859" s="14" t="str">
        <x:v>否</x:v>
      </x:c>
      <x:c r="P859" s="14" t="str">
        <x:v>未提供</x:v>
      </x:c>
      <x:c r="Q859" s="14" t="str">
        <x:v>未提供</x:v>
      </x:c>
      <x:c r="R859" s="14" t="str">
        <x:v>预测</x:v>
      </x:c>
      <x:c r="S859" s="14" t="str">
        <x:v>到站时间为估算值</x:v>
      </x:c>
      <x:c r="T859" t="str">
        <x:v>研究生宿舍楼发车</x:v>
      </x:c>
    </x:row>
    <x:row r="860">
      <x:c r="A860" s="14" t="str">
        <x:v>S0069-11</x:v>
      </x:c>
      <x:c r="B860" s="14" t="str">
        <x:v>S0069</x:v>
      </x:c>
      <x:c r="C860" s="14" t="str">
        <x:v>工作日</x:v>
      </x:c>
      <x:c r="D860" s="14" t="str">
        <x:v>环线1路</x:v>
      </x:c>
      <x:c r="E860" s="14" t="str">
        <x:v>第四班（夜1）</x:v>
      </x:c>
      <x:c r="F860" s="14" t="n">
        <x:v>13</x:v>
      </x:c>
      <x:c r="G860" s="14" t="str">
        <x:v>21:45</x:v>
      </x:c>
      <x:c r="H860" s="14" t="str">
        <x:v>研究生宿舍楼</x:v>
      </x:c>
      <x:c r="I860" s="14" t="str">
        <x:v>否</x:v>
      </x:c>
      <x:c r="J860" s="14" t="n">
        <x:v>11</x:v>
      </x:c>
      <x:c r="K860" s="14" t="str">
        <x:v>5号宿舍楼</x:v>
      </x:c>
      <x:c r="L860" s="14" t="n">
        <x:v>14</x:v>
      </x:c>
      <x:c r="M860" s="14" t="str">
        <x:v>21:59</x:v>
      </x:c>
      <x:c r="N860" s="14" t="str">
        <x:v>否</x:v>
      </x:c>
      <x:c r="O860" s="14" t="str">
        <x:v>否</x:v>
      </x:c>
      <x:c r="P860" s="14" t="str">
        <x:v>未提供</x:v>
      </x:c>
      <x:c r="Q860" s="14" t="str">
        <x:v>未提供</x:v>
      </x:c>
      <x:c r="R860" s="14" t="str">
        <x:v>预测</x:v>
      </x:c>
      <x:c r="S860" s="14" t="str">
        <x:v>到站时间为估算值</x:v>
      </x:c>
      <x:c r="T860" t="str">
        <x:v>研究生宿舍楼发车</x:v>
      </x:c>
    </x:row>
    <x:row r="861">
      <x:c r="A861" s="14" t="str">
        <x:v>S0069-12</x:v>
      </x:c>
      <x:c r="B861" s="14" t="str">
        <x:v>S0069</x:v>
      </x:c>
      <x:c r="C861" s="14" t="str">
        <x:v>工作日</x:v>
      </x:c>
      <x:c r="D861" s="14" t="str">
        <x:v>环线1路</x:v>
      </x:c>
      <x:c r="E861" s="14" t="str">
        <x:v>第四班（夜1）</x:v>
      </x:c>
      <x:c r="F861" s="14" t="n">
        <x:v>13</x:v>
      </x:c>
      <x:c r="G861" s="14" t="str">
        <x:v>21:45</x:v>
      </x:c>
      <x:c r="H861" s="14" t="str">
        <x:v>研究生宿舍楼</x:v>
      </x:c>
      <x:c r="I861" s="14" t="str">
        <x:v>否</x:v>
      </x:c>
      <x:c r="J861" s="14" t="n">
        <x:v>12</x:v>
      </x:c>
      <x:c r="K861" s="14" t="str">
        <x:v>305教学楼</x:v>
      </x:c>
      <x:c r="L861" s="14" t="n">
        <x:v>15</x:v>
      </x:c>
      <x:c r="M861" s="14" t="str">
        <x:v>22:00</x:v>
      </x:c>
      <x:c r="N861" s="14" t="str">
        <x:v>否</x:v>
      </x:c>
      <x:c r="O861" s="14" t="str">
        <x:v>否</x:v>
      </x:c>
      <x:c r="P861" s="14" t="str">
        <x:v>未提供</x:v>
      </x:c>
      <x:c r="Q861" s="14" t="str">
        <x:v>未提供</x:v>
      </x:c>
      <x:c r="R861" s="14" t="str">
        <x:v>预测</x:v>
      </x:c>
      <x:c r="S861" s="14" t="str">
        <x:v>到站时间为估算值</x:v>
      </x:c>
      <x:c r="T861" t="str">
        <x:v>研究生宿舍楼发车</x:v>
      </x:c>
    </x:row>
    <x:row r="862">
      <x:c r="A862" s="14" t="str">
        <x:v>S0069-13</x:v>
      </x:c>
      <x:c r="B862" s="14" t="str">
        <x:v>S0069</x:v>
      </x:c>
      <x:c r="C862" s="14" t="str">
        <x:v>工作日</x:v>
      </x:c>
      <x:c r="D862" s="14" t="str">
        <x:v>环线1路</x:v>
      </x:c>
      <x:c r="E862" s="14" t="str">
        <x:v>第四班（夜1）</x:v>
      </x:c>
      <x:c r="F862" s="14" t="n">
        <x:v>13</x:v>
      </x:c>
      <x:c r="G862" s="14" t="str">
        <x:v>21:45</x:v>
      </x:c>
      <x:c r="H862" s="14" t="str">
        <x:v>研究生宿舍楼</x:v>
      </x:c>
      <x:c r="I862" s="14" t="str">
        <x:v>否</x:v>
      </x:c>
      <x:c r="J862" s="14" t="n">
        <x:v>13</x:v>
      </x:c>
      <x:c r="K862" s="14" t="str">
        <x:v>研究生宿舍楼</x:v>
      </x:c>
      <x:c r="L862" s="14" t="n">
        <x:v>17</x:v>
      </x:c>
      <x:c r="M862" s="14" t="str">
        <x:v>22:02</x:v>
      </x:c>
      <x:c r="N862" s="14" t="str">
        <x:v>否</x:v>
      </x:c>
      <x:c r="O862" s="14" t="str">
        <x:v>是</x:v>
      </x:c>
      <x:c r="P862" s="14" t="str">
        <x:v>未提供</x:v>
      </x:c>
      <x:c r="Q862" s="14" t="str">
        <x:v>未提供</x:v>
      </x:c>
      <x:c r="R862" s="14" t="str">
        <x:v>预测</x:v>
      </x:c>
      <x:c r="S862" s="14" t="str">
        <x:v>到站时间为估算值</x:v>
      </x:c>
      <x:c r="T862" t="str">
        <x:v>研究生宿舍楼发车</x:v>
      </x:c>
    </x:row>
    <x:row r="863">
      <x:c r="A863" s="14" t="str">
        <x:v>S0070-01</x:v>
      </x:c>
      <x:c r="B863" s="14" t="str">
        <x:v>S0070</x:v>
      </x:c>
      <x:c r="C863" s="14" t="str">
        <x:v>工作日</x:v>
      </x:c>
      <x:c r="D863" s="14" t="str">
        <x:v>环线1路</x:v>
      </x:c>
      <x:c r="E863" s="14" t="str">
        <x:v>第四班（夜1）</x:v>
      </x:c>
      <x:c r="F863" s="14" t="n">
        <x:v>14</x:v>
      </x:c>
      <x:c r="G863" s="14" t="str">
        <x:v>22:15</x:v>
      </x:c>
      <x:c r="H863" s="14" t="str">
        <x:v>研究生宿舍楼</x:v>
      </x:c>
      <x:c r="I863" s="14" t="str">
        <x:v>否</x:v>
      </x:c>
      <x:c r="J863" s="14" t="n">
        <x:v>1</x:v>
      </x:c>
      <x:c r="K863" s="14" t="str">
        <x:v>研究生宿舍楼</x:v>
      </x:c>
      <x:c r="L863" s="14" t="n">
        <x:v>0</x:v>
      </x:c>
      <x:c r="M863" s="14" t="str">
        <x:v>22:15</x:v>
      </x:c>
      <x:c r="N863" s="14" t="str">
        <x:v>是</x:v>
      </x:c>
      <x:c r="O863" s="14" t="str">
        <x:v>否</x:v>
      </x:c>
      <x:c r="P863" s="14" t="str">
        <x:v>未提供</x:v>
      </x:c>
      <x:c r="Q863" s="14" t="str">
        <x:v>未提供</x:v>
      </x:c>
      <x:c r="R863" s="14" t="str">
        <x:v>预测</x:v>
      </x:c>
      <x:c r="S863" s="14" t="str">
        <x:v>到站时间为估算值</x:v>
      </x:c>
      <x:c r="T863" t="str">
        <x:v>研究生宿舍楼发车</x:v>
      </x:c>
    </x:row>
    <x:row r="864">
      <x:c r="A864" s="14" t="str">
        <x:v>S0070-02</x:v>
      </x:c>
      <x:c r="B864" s="14" t="str">
        <x:v>S0070</x:v>
      </x:c>
      <x:c r="C864" s="14" t="str">
        <x:v>工作日</x:v>
      </x:c>
      <x:c r="D864" s="14" t="str">
        <x:v>环线1路</x:v>
      </x:c>
      <x:c r="E864" s="14" t="str">
        <x:v>第四班（夜1）</x:v>
      </x:c>
      <x:c r="F864" s="14" t="n">
        <x:v>14</x:v>
      </x:c>
      <x:c r="G864" s="14" t="str">
        <x:v>22:15</x:v>
      </x:c>
      <x:c r="H864" s="14" t="str">
        <x:v>研究生宿舍楼</x:v>
      </x:c>
      <x:c r="I864" s="14" t="str">
        <x:v>否</x:v>
      </x:c>
      <x:c r="J864" s="14" t="n">
        <x:v>2</x:v>
      </x:c>
      <x:c r="K864" s="14" t="str">
        <x:v>东门</x:v>
      </x:c>
      <x:c r="L864" s="14" t="n">
        <x:v>1</x:v>
      </x:c>
      <x:c r="M864" s="14" t="str">
        <x:v>22:16</x:v>
      </x:c>
      <x:c r="N864" s="14" t="str">
        <x:v>否</x:v>
      </x:c>
      <x:c r="O864" s="14" t="str">
        <x:v>否</x:v>
      </x:c>
      <x:c r="P864" s="14" t="str">
        <x:v>未提供</x:v>
      </x:c>
      <x:c r="Q864" s="14" t="str">
        <x:v>未提供</x:v>
      </x:c>
      <x:c r="R864" s="14" t="str">
        <x:v>预测</x:v>
      </x:c>
      <x:c r="S864" s="14" t="str">
        <x:v>到站时间为估算值</x:v>
      </x:c>
      <x:c r="T864" t="str">
        <x:v>研究生宿舍楼发车</x:v>
      </x:c>
    </x:row>
    <x:row r="865">
      <x:c r="A865" s="14" t="str">
        <x:v>S0070-03</x:v>
      </x:c>
      <x:c r="B865" s="14" t="str">
        <x:v>S0070</x:v>
      </x:c>
      <x:c r="C865" s="14" t="str">
        <x:v>工作日</x:v>
      </x:c>
      <x:c r="D865" s="14" t="str">
        <x:v>环线1路</x:v>
      </x:c>
      <x:c r="E865" s="14" t="str">
        <x:v>第四班（夜1）</x:v>
      </x:c>
      <x:c r="F865" s="14" t="n">
        <x:v>14</x:v>
      </x:c>
      <x:c r="G865" s="14" t="str">
        <x:v>22:15</x:v>
      </x:c>
      <x:c r="H865" s="14" t="str">
        <x:v>研究生宿舍楼</x:v>
      </x:c>
      <x:c r="I865" s="14" t="str">
        <x:v>否</x:v>
      </x:c>
      <x:c r="J865" s="14" t="n">
        <x:v>3</x:v>
      </x:c>
      <x:c r="K865" s="14" t="str">
        <x:v>2号宿舍楼</x:v>
      </x:c>
      <x:c r="L865" s="14" t="n">
        <x:v>2</x:v>
      </x:c>
      <x:c r="M865" s="14" t="str">
        <x:v>22:17</x:v>
      </x:c>
      <x:c r="N865" s="14" t="str">
        <x:v>否</x:v>
      </x:c>
      <x:c r="O865" s="14" t="str">
        <x:v>否</x:v>
      </x:c>
      <x:c r="P865" s="14" t="str">
        <x:v>未提供</x:v>
      </x:c>
      <x:c r="Q865" s="14" t="str">
        <x:v>未提供</x:v>
      </x:c>
      <x:c r="R865" s="14" t="str">
        <x:v>预测</x:v>
      </x:c>
      <x:c r="S865" s="14" t="str">
        <x:v>到站时间为估算值</x:v>
      </x:c>
      <x:c r="T865" t="str">
        <x:v>研究生宿舍楼发车</x:v>
      </x:c>
    </x:row>
    <x:row r="866">
      <x:c r="A866" s="14" t="str">
        <x:v>S0070-04</x:v>
      </x:c>
      <x:c r="B866" s="14" t="str">
        <x:v>S0070</x:v>
      </x:c>
      <x:c r="C866" s="14" t="str">
        <x:v>工作日</x:v>
      </x:c>
      <x:c r="D866" s="14" t="str">
        <x:v>环线1路</x:v>
      </x:c>
      <x:c r="E866" s="14" t="str">
        <x:v>第四班（夜1）</x:v>
      </x:c>
      <x:c r="F866" s="14" t="n">
        <x:v>14</x:v>
      </x:c>
      <x:c r="G866" s="14" t="str">
        <x:v>22:15</x:v>
      </x:c>
      <x:c r="H866" s="14" t="str">
        <x:v>研究生宿舍楼</x:v>
      </x:c>
      <x:c r="I866" s="14" t="str">
        <x:v>否</x:v>
      </x:c>
      <x:c r="J866" s="14" t="n">
        <x:v>4</x:v>
      </x:c>
      <x:c r="K866" s="14" t="str">
        <x:v>军体活动中心</x:v>
      </x:c>
      <x:c r="L866" s="14" t="n">
        <x:v>3</x:v>
      </x:c>
      <x:c r="M866" s="14" t="str">
        <x:v>22:18</x:v>
      </x:c>
      <x:c r="N866" s="14" t="str">
        <x:v>否</x:v>
      </x:c>
      <x:c r="O866" s="14" t="str">
        <x:v>否</x:v>
      </x:c>
      <x:c r="P866" s="14" t="str">
        <x:v>未提供</x:v>
      </x:c>
      <x:c r="Q866" s="14" t="str">
        <x:v>未提供</x:v>
      </x:c>
      <x:c r="R866" s="14" t="str">
        <x:v>预测</x:v>
      </x:c>
      <x:c r="S866" s="14" t="str">
        <x:v>到站时间为估算值</x:v>
      </x:c>
      <x:c r="T866" t="str">
        <x:v>研究生宿舍楼发车</x:v>
      </x:c>
    </x:row>
    <x:row r="867">
      <x:c r="A867" s="14" t="str">
        <x:v>S0070-05</x:v>
      </x:c>
      <x:c r="B867" s="14" t="str">
        <x:v>S0070</x:v>
      </x:c>
      <x:c r="C867" s="14" t="str">
        <x:v>工作日</x:v>
      </x:c>
      <x:c r="D867" s="14" t="str">
        <x:v>环线1路</x:v>
      </x:c>
      <x:c r="E867" s="14" t="str">
        <x:v>第四班（夜1）</x:v>
      </x:c>
      <x:c r="F867" s="14" t="n">
        <x:v>14</x:v>
      </x:c>
      <x:c r="G867" s="14" t="str">
        <x:v>22:15</x:v>
      </x:c>
      <x:c r="H867" s="14" t="str">
        <x:v>研究生宿舍楼</x:v>
      </x:c>
      <x:c r="I867" s="14" t="str">
        <x:v>否</x:v>
      </x:c>
      <x:c r="J867" s="14" t="n">
        <x:v>5</x:v>
      </x:c>
      <x:c r="K867" s="14" t="str">
        <x:v>激光所</x:v>
      </x:c>
      <x:c r="L867" s="14" t="n">
        <x:v>5</x:v>
      </x:c>
      <x:c r="M867" s="14" t="str">
        <x:v>22:20</x:v>
      </x:c>
      <x:c r="N867" s="14" t="str">
        <x:v>否</x:v>
      </x:c>
      <x:c r="O867" s="14" t="str">
        <x:v>否</x:v>
      </x:c>
      <x:c r="P867" s="14" t="str">
        <x:v>未提供</x:v>
      </x:c>
      <x:c r="Q867" s="14" t="str">
        <x:v>未提供</x:v>
      </x:c>
      <x:c r="R867" s="14" t="str">
        <x:v>预测</x:v>
      </x:c>
      <x:c r="S867" s="14" t="str">
        <x:v>到站时间为估算值</x:v>
      </x:c>
      <x:c r="T867" t="str">
        <x:v>研究生宿舍楼发车</x:v>
      </x:c>
    </x:row>
    <x:row r="868">
      <x:c r="A868" s="14" t="str">
        <x:v>S0070-06</x:v>
      </x:c>
      <x:c r="B868" s="14" t="str">
        <x:v>S0070</x:v>
      </x:c>
      <x:c r="C868" s="14" t="str">
        <x:v>工作日</x:v>
      </x:c>
      <x:c r="D868" s="14" t="str">
        <x:v>环线1路</x:v>
      </x:c>
      <x:c r="E868" s="14" t="str">
        <x:v>第四班（夜1）</x:v>
      </x:c>
      <x:c r="F868" s="14" t="n">
        <x:v>14</x:v>
      </x:c>
      <x:c r="G868" s="14" t="str">
        <x:v>22:15</x:v>
      </x:c>
      <x:c r="H868" s="14" t="str">
        <x:v>研究生宿舍楼</x:v>
      </x:c>
      <x:c r="I868" s="14" t="str">
        <x:v>否</x:v>
      </x:c>
      <x:c r="J868" s="14" t="n">
        <x:v>6</x:v>
      </x:c>
      <x:c r="K868" s="14" t="str">
        <x:v>超算中心</x:v>
      </x:c>
      <x:c r="L868" s="14" t="n">
        <x:v>6</x:v>
      </x:c>
      <x:c r="M868" s="14" t="str">
        <x:v>22:21</x:v>
      </x:c>
      <x:c r="N868" s="14" t="str">
        <x:v>否</x:v>
      </x:c>
      <x:c r="O868" s="14" t="str">
        <x:v>否</x:v>
      </x:c>
      <x:c r="P868" s="14" t="str">
        <x:v>未提供</x:v>
      </x:c>
      <x:c r="Q868" s="14" t="str">
        <x:v>未提供</x:v>
      </x:c>
      <x:c r="R868" s="14" t="str">
        <x:v>预测</x:v>
      </x:c>
      <x:c r="S868" s="14" t="str">
        <x:v>到站时间为估算值</x:v>
      </x:c>
      <x:c r="T868" t="str">
        <x:v>研究生宿舍楼发车</x:v>
      </x:c>
    </x:row>
    <x:row r="869">
      <x:c r="A869" s="14" t="str">
        <x:v>S0070-07</x:v>
      </x:c>
      <x:c r="B869" s="14" t="str">
        <x:v>S0070</x:v>
      </x:c>
      <x:c r="C869" s="14" t="str">
        <x:v>工作日</x:v>
      </x:c>
      <x:c r="D869" s="14" t="str">
        <x:v>环线1路</x:v>
      </x:c>
      <x:c r="E869" s="14" t="str">
        <x:v>第四班（夜1）</x:v>
      </x:c>
      <x:c r="F869" s="14" t="n">
        <x:v>14</x:v>
      </x:c>
      <x:c r="G869" s="14" t="str">
        <x:v>22:15</x:v>
      </x:c>
      <x:c r="H869" s="14" t="str">
        <x:v>研究生宿舍楼</x:v>
      </x:c>
      <x:c r="I869" s="14" t="str">
        <x:v>否</x:v>
      </x:c>
      <x:c r="J869" s="14" t="n">
        <x:v>7</x:v>
      </x:c>
      <x:c r="K869" s="14" t="str">
        <x:v>北门</x:v>
      </x:c>
      <x:c r="L869" s="14" t="n">
        <x:v>8</x:v>
      </x:c>
      <x:c r="M869" s="14" t="str">
        <x:v>22:23</x:v>
      </x:c>
      <x:c r="N869" s="14" t="str">
        <x:v>否</x:v>
      </x:c>
      <x:c r="O869" s="14" t="str">
        <x:v>否</x:v>
      </x:c>
      <x:c r="P869" s="14" t="str">
        <x:v>未提供</x:v>
      </x:c>
      <x:c r="Q869" s="14" t="str">
        <x:v>未提供</x:v>
      </x:c>
      <x:c r="R869" s="14" t="str">
        <x:v>预测</x:v>
      </x:c>
      <x:c r="S869" s="14" t="str">
        <x:v>到站时间为估算值</x:v>
      </x:c>
      <x:c r="T869" t="str">
        <x:v>研究生宿舍楼发车</x:v>
      </x:c>
    </x:row>
    <x:row r="870">
      <x:c r="A870" s="14" t="str">
        <x:v>S0070-08</x:v>
      </x:c>
      <x:c r="B870" s="14" t="str">
        <x:v>S0070</x:v>
      </x:c>
      <x:c r="C870" s="14" t="str">
        <x:v>工作日</x:v>
      </x:c>
      <x:c r="D870" s="14" t="str">
        <x:v>环线1路</x:v>
      </x:c>
      <x:c r="E870" s="14" t="str">
        <x:v>第四班（夜1）</x:v>
      </x:c>
      <x:c r="F870" s="14" t="n">
        <x:v>14</x:v>
      </x:c>
      <x:c r="G870" s="14" t="str">
        <x:v>22:15</x:v>
      </x:c>
      <x:c r="H870" s="14" t="str">
        <x:v>研究生宿舍楼</x:v>
      </x:c>
      <x:c r="I870" s="14" t="str">
        <x:v>否</x:v>
      </x:c>
      <x:c r="J870" s="14" t="n">
        <x:v>8</x:v>
      </x:c>
      <x:c r="K870" s="14" t="str">
        <x:v>高超楼</x:v>
      </x:c>
      <x:c r="L870" s="14" t="n">
        <x:v>9</x:v>
      </x:c>
      <x:c r="M870" s="14" t="str">
        <x:v>22:24</x:v>
      </x:c>
      <x:c r="N870" s="14" t="str">
        <x:v>否</x:v>
      </x:c>
      <x:c r="O870" s="14" t="str">
        <x:v>否</x:v>
      </x:c>
      <x:c r="P870" s="14" t="str">
        <x:v>未提供</x:v>
      </x:c>
      <x:c r="Q870" s="14" t="str">
        <x:v>未提供</x:v>
      </x:c>
      <x:c r="R870" s="14" t="str">
        <x:v>预测</x:v>
      </x:c>
      <x:c r="S870" s="14" t="str">
        <x:v>到站时间为估算值</x:v>
      </x:c>
      <x:c r="T870" t="str">
        <x:v>研究生宿舍楼发车</x:v>
      </x:c>
    </x:row>
    <x:row r="871">
      <x:c r="A871" s="14" t="str">
        <x:v>S0070-09</x:v>
      </x:c>
      <x:c r="B871" s="14" t="str">
        <x:v>S0070</x:v>
      </x:c>
      <x:c r="C871" s="14" t="str">
        <x:v>工作日</x:v>
      </x:c>
      <x:c r="D871" s="14" t="str">
        <x:v>环线1路</x:v>
      </x:c>
      <x:c r="E871" s="14" t="str">
        <x:v>第四班（夜1）</x:v>
      </x:c>
      <x:c r="F871" s="14" t="n">
        <x:v>14</x:v>
      </x:c>
      <x:c r="G871" s="14" t="str">
        <x:v>22:15</x:v>
      </x:c>
      <x:c r="H871" s="14" t="str">
        <x:v>研究生宿舍楼</x:v>
      </x:c>
      <x:c r="I871" s="14" t="str">
        <x:v>否</x:v>
      </x:c>
      <x:c r="J871" s="14" t="n">
        <x:v>9</x:v>
      </x:c>
      <x:c r="K871" s="14" t="str">
        <x:v>理学院</x:v>
      </x:c>
      <x:c r="L871" s="14" t="n">
        <x:v>10</x:v>
      </x:c>
      <x:c r="M871" s="14" t="str">
        <x:v>22:25</x:v>
      </x:c>
      <x:c r="N871" s="14" t="str">
        <x:v>否</x:v>
      </x:c>
      <x:c r="O871" s="14" t="str">
        <x:v>否</x:v>
      </x:c>
      <x:c r="P871" s="14" t="str">
        <x:v>未提供</x:v>
      </x:c>
      <x:c r="Q871" s="14" t="str">
        <x:v>未提供</x:v>
      </x:c>
      <x:c r="R871" s="14" t="str">
        <x:v>预测</x:v>
      </x:c>
      <x:c r="S871" s="14" t="str">
        <x:v>到站时间为估算值</x:v>
      </x:c>
      <x:c r="T871" t="str">
        <x:v>研究生宿舍楼发车</x:v>
      </x:c>
    </x:row>
    <x:row r="872">
      <x:c r="A872" s="14" t="str">
        <x:v>S0070-10</x:v>
      </x:c>
      <x:c r="B872" s="14" t="str">
        <x:v>S0070</x:v>
      </x:c>
      <x:c r="C872" s="14" t="str">
        <x:v>工作日</x:v>
      </x:c>
      <x:c r="D872" s="14" t="str">
        <x:v>环线1路</x:v>
      </x:c>
      <x:c r="E872" s="14" t="str">
        <x:v>第四班（夜1）</x:v>
      </x:c>
      <x:c r="F872" s="14" t="n">
        <x:v>14</x:v>
      </x:c>
      <x:c r="G872" s="14" t="str">
        <x:v>22:15</x:v>
      </x:c>
      <x:c r="H872" s="14" t="str">
        <x:v>研究生宿舍楼</x:v>
      </x:c>
      <x:c r="I872" s="14" t="str">
        <x:v>否</x:v>
      </x:c>
      <x:c r="J872" s="14" t="n">
        <x:v>10</x:v>
      </x:c>
      <x:c r="K872" s="14" t="str">
        <x:v>二食堂</x:v>
      </x:c>
      <x:c r="L872" s="14" t="n">
        <x:v>13</x:v>
      </x:c>
      <x:c r="M872" s="14" t="str">
        <x:v>22:28</x:v>
      </x:c>
      <x:c r="N872" s="14" t="str">
        <x:v>否</x:v>
      </x:c>
      <x:c r="O872" s="14" t="str">
        <x:v>否</x:v>
      </x:c>
      <x:c r="P872" s="14" t="str">
        <x:v>未提供</x:v>
      </x:c>
      <x:c r="Q872" s="14" t="str">
        <x:v>未提供</x:v>
      </x:c>
      <x:c r="R872" s="14" t="str">
        <x:v>预测</x:v>
      </x:c>
      <x:c r="S872" s="14" t="str">
        <x:v>到站时间为估算值</x:v>
      </x:c>
      <x:c r="T872" t="str">
        <x:v>研究生宿舍楼发车</x:v>
      </x:c>
    </x:row>
    <x:row r="873">
      <x:c r="A873" s="14" t="str">
        <x:v>S0070-11</x:v>
      </x:c>
      <x:c r="B873" s="14" t="str">
        <x:v>S0070</x:v>
      </x:c>
      <x:c r="C873" s="14" t="str">
        <x:v>工作日</x:v>
      </x:c>
      <x:c r="D873" s="14" t="str">
        <x:v>环线1路</x:v>
      </x:c>
      <x:c r="E873" s="14" t="str">
        <x:v>第四班（夜1）</x:v>
      </x:c>
      <x:c r="F873" s="14" t="n">
        <x:v>14</x:v>
      </x:c>
      <x:c r="G873" s="14" t="str">
        <x:v>22:15</x:v>
      </x:c>
      <x:c r="H873" s="14" t="str">
        <x:v>研究生宿舍楼</x:v>
      </x:c>
      <x:c r="I873" s="14" t="str">
        <x:v>否</x:v>
      </x:c>
      <x:c r="J873" s="14" t="n">
        <x:v>11</x:v>
      </x:c>
      <x:c r="K873" s="14" t="str">
        <x:v>5号宿舍楼</x:v>
      </x:c>
      <x:c r="L873" s="14" t="n">
        <x:v>14</x:v>
      </x:c>
      <x:c r="M873" s="14" t="str">
        <x:v>22:29</x:v>
      </x:c>
      <x:c r="N873" s="14" t="str">
        <x:v>否</x:v>
      </x:c>
      <x:c r="O873" s="14" t="str">
        <x:v>否</x:v>
      </x:c>
      <x:c r="P873" s="14" t="str">
        <x:v>未提供</x:v>
      </x:c>
      <x:c r="Q873" s="14" t="str">
        <x:v>未提供</x:v>
      </x:c>
      <x:c r="R873" s="14" t="str">
        <x:v>预测</x:v>
      </x:c>
      <x:c r="S873" s="14" t="str">
        <x:v>到站时间为估算值</x:v>
      </x:c>
      <x:c r="T873" t="str">
        <x:v>研究生宿舍楼发车</x:v>
      </x:c>
    </x:row>
    <x:row r="874">
      <x:c r="A874" s="14" t="str">
        <x:v>S0070-12</x:v>
      </x:c>
      <x:c r="B874" s="14" t="str">
        <x:v>S0070</x:v>
      </x:c>
      <x:c r="C874" s="14" t="str">
        <x:v>工作日</x:v>
      </x:c>
      <x:c r="D874" s="14" t="str">
        <x:v>环线1路</x:v>
      </x:c>
      <x:c r="E874" s="14" t="str">
        <x:v>第四班（夜1）</x:v>
      </x:c>
      <x:c r="F874" s="14" t="n">
        <x:v>14</x:v>
      </x:c>
      <x:c r="G874" s="14" t="str">
        <x:v>22:15</x:v>
      </x:c>
      <x:c r="H874" s="14" t="str">
        <x:v>研究生宿舍楼</x:v>
      </x:c>
      <x:c r="I874" s="14" t="str">
        <x:v>否</x:v>
      </x:c>
      <x:c r="J874" s="14" t="n">
        <x:v>12</x:v>
      </x:c>
      <x:c r="K874" s="14" t="str">
        <x:v>305教学楼</x:v>
      </x:c>
      <x:c r="L874" s="14" t="n">
        <x:v>15</x:v>
      </x:c>
      <x:c r="M874" s="14" t="str">
        <x:v>22:30</x:v>
      </x:c>
      <x:c r="N874" s="14" t="str">
        <x:v>否</x:v>
      </x:c>
      <x:c r="O874" s="14" t="str">
        <x:v>否</x:v>
      </x:c>
      <x:c r="P874" s="14" t="str">
        <x:v>未提供</x:v>
      </x:c>
      <x:c r="Q874" s="14" t="str">
        <x:v>未提供</x:v>
      </x:c>
      <x:c r="R874" s="14" t="str">
        <x:v>预测</x:v>
      </x:c>
      <x:c r="S874" s="14" t="str">
        <x:v>到站时间为估算值</x:v>
      </x:c>
      <x:c r="T874" t="str">
        <x:v>研究生宿舍楼发车</x:v>
      </x:c>
    </x:row>
    <x:row r="875">
      <x:c r="A875" s="14" t="str">
        <x:v>S0070-13</x:v>
      </x:c>
      <x:c r="B875" s="14" t="str">
        <x:v>S0070</x:v>
      </x:c>
      <x:c r="C875" s="14" t="str">
        <x:v>工作日</x:v>
      </x:c>
      <x:c r="D875" s="14" t="str">
        <x:v>环线1路</x:v>
      </x:c>
      <x:c r="E875" s="14" t="str">
        <x:v>第四班（夜1）</x:v>
      </x:c>
      <x:c r="F875" s="14" t="n">
        <x:v>14</x:v>
      </x:c>
      <x:c r="G875" s="14" t="str">
        <x:v>22:15</x:v>
      </x:c>
      <x:c r="H875" s="14" t="str">
        <x:v>研究生宿舍楼</x:v>
      </x:c>
      <x:c r="I875" s="14" t="str">
        <x:v>否</x:v>
      </x:c>
      <x:c r="J875" s="14" t="n">
        <x:v>13</x:v>
      </x:c>
      <x:c r="K875" s="14" t="str">
        <x:v>研究生宿舍楼</x:v>
      </x:c>
      <x:c r="L875" s="14" t="n">
        <x:v>17</x:v>
      </x:c>
      <x:c r="M875" s="14" t="str">
        <x:v>22:32</x:v>
      </x:c>
      <x:c r="N875" s="14" t="str">
        <x:v>否</x:v>
      </x:c>
      <x:c r="O875" s="14" t="str">
        <x:v>是</x:v>
      </x:c>
      <x:c r="P875" s="14" t="str">
        <x:v>未提供</x:v>
      </x:c>
      <x:c r="Q875" s="14" t="str">
        <x:v>未提供</x:v>
      </x:c>
      <x:c r="R875" s="14" t="str">
        <x:v>预测</x:v>
      </x:c>
      <x:c r="S875" s="14" t="str">
        <x:v>到站时间为估算值</x:v>
      </x:c>
      <x:c r="T875" t="str">
        <x:v>研究生宿舍楼发车</x:v>
      </x:c>
    </x:row>
    <x:row r="876">
      <x:c r="A876" s="14" t="str">
        <x:v>S0071-01</x:v>
      </x:c>
      <x:c r="B876" s="14" t="str">
        <x:v>S0071</x:v>
      </x:c>
      <x:c r="C876" s="14" t="str">
        <x:v>工作日</x:v>
      </x:c>
      <x:c r="D876" s="14" t="str">
        <x:v>环线2路</x:v>
      </x:c>
      <x:c r="E876" s="14" t="str">
        <x:v>第一班</x:v>
      </x:c>
      <x:c r="F876" s="14" t="n">
        <x:v>1</x:v>
      </x:c>
      <x:c r="G876" s="14" t="str">
        <x:v>7:35</x:v>
      </x:c>
      <x:c r="H876" s="14" t="str">
        <x:v>研究生宿舍楼</x:v>
      </x:c>
      <x:c r="I876" s="14" t="str">
        <x:v>否</x:v>
      </x:c>
      <x:c r="J876" s="14" t="n">
        <x:v>1</x:v>
      </x:c>
      <x:c r="K876" s="14" t="str">
        <x:v>研究生宿舍楼</x:v>
      </x:c>
      <x:c r="L876" s="14" t="n">
        <x:v>0</x:v>
      </x:c>
      <x:c r="M876" s="14" t="str">
        <x:v>07:35</x:v>
      </x:c>
      <x:c r="N876" s="14" t="str">
        <x:v>是</x:v>
      </x:c>
      <x:c r="O876" s="14" t="str">
        <x:v>否</x:v>
      </x:c>
      <x:c r="P876" s="14" t="str">
        <x:v>未提供</x:v>
      </x:c>
      <x:c r="Q876" s="14" t="str">
        <x:v>未提供</x:v>
      </x:c>
      <x:c r="R876" s="14" t="str">
        <x:v>预测</x:v>
      </x:c>
      <x:c r="S876" s="14" t="str">
        <x:v>到站时间为估算值</x:v>
      </x:c>
      <x:c r="T876" t="str">
        <x:v>研究生宿舍楼发车</x:v>
      </x:c>
    </x:row>
    <x:row r="877">
      <x:c r="A877" s="14" t="str">
        <x:v>S0071-02</x:v>
      </x:c>
      <x:c r="B877" s="14" t="str">
        <x:v>S0071</x:v>
      </x:c>
      <x:c r="C877" s="14" t="str">
        <x:v>工作日</x:v>
      </x:c>
      <x:c r="D877" s="14" t="str">
        <x:v>环线2路</x:v>
      </x:c>
      <x:c r="E877" s="14" t="str">
        <x:v>第一班</x:v>
      </x:c>
      <x:c r="F877" s="14" t="n">
        <x:v>1</x:v>
      </x:c>
      <x:c r="G877" s="14" t="str">
        <x:v>7:35</x:v>
      </x:c>
      <x:c r="H877" s="14" t="str">
        <x:v>研究生宿舍楼</x:v>
      </x:c>
      <x:c r="I877" s="14" t="str">
        <x:v>否</x:v>
      </x:c>
      <x:c r="J877" s="14" t="n">
        <x:v>2</x:v>
      </x:c>
      <x:c r="K877" s="14" t="str">
        <x:v>一食堂</x:v>
      </x:c>
      <x:c r="L877" s="14" t="n">
        <x:v>1</x:v>
      </x:c>
      <x:c r="M877" s="14" t="str">
        <x:v>07:36</x:v>
      </x:c>
      <x:c r="N877" s="14" t="str">
        <x:v>否</x:v>
      </x:c>
      <x:c r="O877" s="14" t="str">
        <x:v>否</x:v>
      </x:c>
      <x:c r="P877" s="14" t="str">
        <x:v>未提供</x:v>
      </x:c>
      <x:c r="Q877" s="14" t="str">
        <x:v>未提供</x:v>
      </x:c>
      <x:c r="R877" s="14" t="str">
        <x:v>预测</x:v>
      </x:c>
      <x:c r="S877" s="14" t="str">
        <x:v>到站时间为估算值</x:v>
      </x:c>
      <x:c r="T877" t="str">
        <x:v>研究生宿舍楼发车</x:v>
      </x:c>
    </x:row>
    <x:row r="878">
      <x:c r="A878" s="14" t="str">
        <x:v>S0071-03</x:v>
      </x:c>
      <x:c r="B878" s="14" t="str">
        <x:v>S0071</x:v>
      </x:c>
      <x:c r="C878" s="14" t="str">
        <x:v>工作日</x:v>
      </x:c>
      <x:c r="D878" s="14" t="str">
        <x:v>环线2路</x:v>
      </x:c>
      <x:c r="E878" s="14" t="str">
        <x:v>第一班</x:v>
      </x:c>
      <x:c r="F878" s="14" t="n">
        <x:v>1</x:v>
      </x:c>
      <x:c r="G878" s="14" t="str">
        <x:v>7:35</x:v>
      </x:c>
      <x:c r="H878" s="14" t="str">
        <x:v>研究生宿舍楼</x:v>
      </x:c>
      <x:c r="I878" s="14" t="str">
        <x:v>否</x:v>
      </x:c>
      <x:c r="J878" s="14" t="n">
        <x:v>3</x:v>
      </x:c>
      <x:c r="K878" s="14" t="str">
        <x:v>门诊部</x:v>
      </x:c>
      <x:c r="L878" s="14" t="n">
        <x:v>2</x:v>
      </x:c>
      <x:c r="M878" s="14" t="str">
        <x:v>07:37</x:v>
      </x:c>
      <x:c r="N878" s="14" t="str">
        <x:v>否</x:v>
      </x:c>
      <x:c r="O878" s="14" t="str">
        <x:v>否</x:v>
      </x:c>
      <x:c r="P878" s="14" t="str">
        <x:v>未提供</x:v>
      </x:c>
      <x:c r="Q878" s="14" t="str">
        <x:v>未提供</x:v>
      </x:c>
      <x:c r="R878" s="14" t="str">
        <x:v>预测</x:v>
      </x:c>
      <x:c r="S878" s="14" t="str">
        <x:v>到站时间为估算值</x:v>
      </x:c>
      <x:c r="T878" t="str">
        <x:v>研究生宿舍楼发车</x:v>
      </x:c>
    </x:row>
    <x:row r="879">
      <x:c r="A879" s="14" t="str">
        <x:v>S0071-04</x:v>
      </x:c>
      <x:c r="B879" s="14" t="str">
        <x:v>S0071</x:v>
      </x:c>
      <x:c r="C879" s="14" t="str">
        <x:v>工作日</x:v>
      </x:c>
      <x:c r="D879" s="14" t="str">
        <x:v>环线2路</x:v>
      </x:c>
      <x:c r="E879" s="14" t="str">
        <x:v>第一班</x:v>
      </x:c>
      <x:c r="F879" s="14" t="n">
        <x:v>1</x:v>
      </x:c>
      <x:c r="G879" s="14" t="str">
        <x:v>7:35</x:v>
      </x:c>
      <x:c r="H879" s="14" t="str">
        <x:v>研究生宿舍楼</x:v>
      </x:c>
      <x:c r="I879" s="14" t="str">
        <x:v>否</x:v>
      </x:c>
      <x:c r="J879" s="14" t="n">
        <x:v>4</x:v>
      </x:c>
      <x:c r="K879" s="14" t="str">
        <x:v>1号宿舍楼</x:v>
      </x:c>
      <x:c r="L879" s="14" t="n">
        <x:v>3</x:v>
      </x:c>
      <x:c r="M879" s="14" t="str">
        <x:v>07:38</x:v>
      </x:c>
      <x:c r="N879" s="14" t="str">
        <x:v>否</x:v>
      </x:c>
      <x:c r="O879" s="14" t="str">
        <x:v>否</x:v>
      </x:c>
      <x:c r="P879" s="14" t="str">
        <x:v>未提供</x:v>
      </x:c>
      <x:c r="Q879" s="14" t="str">
        <x:v>未提供</x:v>
      </x:c>
      <x:c r="R879" s="14" t="str">
        <x:v>预测</x:v>
      </x:c>
      <x:c r="S879" s="14" t="str">
        <x:v>到站时间为估算值</x:v>
      </x:c>
      <x:c r="T879" t="str">
        <x:v>研究生宿舍楼发车</x:v>
      </x:c>
    </x:row>
    <x:row r="880">
      <x:c r="A880" s="14" t="str">
        <x:v>S0071-05</x:v>
      </x:c>
      <x:c r="B880" s="14" t="str">
        <x:v>S0071</x:v>
      </x:c>
      <x:c r="C880" s="14" t="str">
        <x:v>工作日</x:v>
      </x:c>
      <x:c r="D880" s="14" t="str">
        <x:v>环线2路</x:v>
      </x:c>
      <x:c r="E880" s="14" t="str">
        <x:v>第一班</x:v>
      </x:c>
      <x:c r="F880" s="14" t="n">
        <x:v>1</x:v>
      </x:c>
      <x:c r="G880" s="14" t="str">
        <x:v>7:35</x:v>
      </x:c>
      <x:c r="H880" s="14" t="str">
        <x:v>研究生宿舍楼</x:v>
      </x:c>
      <x:c r="I880" s="14" t="str">
        <x:v>否</x:v>
      </x:c>
      <x:c r="J880" s="14" t="n">
        <x:v>5</x:v>
      </x:c>
      <x:c r="K880" s="14" t="str">
        <x:v>水上训练中心</x:v>
      </x:c>
      <x:c r="L880" s="14" t="n">
        <x:v>5</x:v>
      </x:c>
      <x:c r="M880" s="14" t="str">
        <x:v>07:40</x:v>
      </x:c>
      <x:c r="N880" s="14" t="str">
        <x:v>否</x:v>
      </x:c>
      <x:c r="O880" s="14" t="str">
        <x:v>否</x:v>
      </x:c>
      <x:c r="P880" s="14" t="str">
        <x:v>未提供</x:v>
      </x:c>
      <x:c r="Q880" s="14" t="str">
        <x:v>未提供</x:v>
      </x:c>
      <x:c r="R880" s="14" t="str">
        <x:v>预测</x:v>
      </x:c>
      <x:c r="S880" s="14" t="str">
        <x:v>到站时间为估算值</x:v>
      </x:c>
      <x:c r="T880" t="str">
        <x:v>研究生宿舍楼发车</x:v>
      </x:c>
    </x:row>
    <x:row r="881">
      <x:c r="A881" s="14" t="str">
        <x:v>S0071-06</x:v>
      </x:c>
      <x:c r="B881" s="14" t="str">
        <x:v>S0071</x:v>
      </x:c>
      <x:c r="C881" s="14" t="str">
        <x:v>工作日</x:v>
      </x:c>
      <x:c r="D881" s="14" t="str">
        <x:v>环线2路</x:v>
      </x:c>
      <x:c r="E881" s="14" t="str">
        <x:v>第一班</x:v>
      </x:c>
      <x:c r="F881" s="14" t="n">
        <x:v>1</x:v>
      </x:c>
      <x:c r="G881" s="14" t="str">
        <x:v>7:35</x:v>
      </x:c>
      <x:c r="H881" s="14" t="str">
        <x:v>研究生宿舍楼</x:v>
      </x:c>
      <x:c r="I881" s="14" t="str">
        <x:v>否</x:v>
      </x:c>
      <x:c r="J881" s="14" t="n">
        <x:v>6</x:v>
      </x:c>
      <x:c r="K881" s="14" t="str">
        <x:v>军体活动中心</x:v>
      </x:c>
      <x:c r="L881" s="14" t="n">
        <x:v>6</x:v>
      </x:c>
      <x:c r="M881" s="14" t="str">
        <x:v>07:41</x:v>
      </x:c>
      <x:c r="N881" s="14" t="str">
        <x:v>否</x:v>
      </x:c>
      <x:c r="O881" s="14" t="str">
        <x:v>否</x:v>
      </x:c>
      <x:c r="P881" s="14" t="str">
        <x:v>未提供</x:v>
      </x:c>
      <x:c r="Q881" s="14" t="str">
        <x:v>未提供</x:v>
      </x:c>
      <x:c r="R881" s="14" t="str">
        <x:v>预测</x:v>
      </x:c>
      <x:c r="S881" s="14" t="str">
        <x:v>到站时间为估算值</x:v>
      </x:c>
      <x:c r="T881" t="str">
        <x:v>研究生宿舍楼发车</x:v>
      </x:c>
    </x:row>
    <x:row r="882">
      <x:c r="A882" s="14" t="str">
        <x:v>S0071-07</x:v>
      </x:c>
      <x:c r="B882" s="14" t="str">
        <x:v>S0071</x:v>
      </x:c>
      <x:c r="C882" s="14" t="str">
        <x:v>工作日</x:v>
      </x:c>
      <x:c r="D882" s="14" t="str">
        <x:v>环线2路</x:v>
      </x:c>
      <x:c r="E882" s="14" t="str">
        <x:v>第一班</x:v>
      </x:c>
      <x:c r="F882" s="14" t="n">
        <x:v>1</x:v>
      </x:c>
      <x:c r="G882" s="14" t="str">
        <x:v>7:35</x:v>
      </x:c>
      <x:c r="H882" s="14" t="str">
        <x:v>研究生宿舍楼</x:v>
      </x:c>
      <x:c r="I882" s="14" t="str">
        <x:v>否</x:v>
      </x:c>
      <x:c r="J882" s="14" t="n">
        <x:v>7</x:v>
      </x:c>
      <x:c r="K882" s="14" t="str">
        <x:v>二食堂</x:v>
      </x:c>
      <x:c r="L882" s="14" t="n">
        <x:v>8</x:v>
      </x:c>
      <x:c r="M882" s="14" t="str">
        <x:v>07:43</x:v>
      </x:c>
      <x:c r="N882" s="14" t="str">
        <x:v>否</x:v>
      </x:c>
      <x:c r="O882" s="14" t="str">
        <x:v>否</x:v>
      </x:c>
      <x:c r="P882" s="14" t="str">
        <x:v>未提供</x:v>
      </x:c>
      <x:c r="Q882" s="14" t="str">
        <x:v>未提供</x:v>
      </x:c>
      <x:c r="R882" s="14" t="str">
        <x:v>预测</x:v>
      </x:c>
      <x:c r="S882" s="14" t="str">
        <x:v>到站时间为估算值</x:v>
      </x:c>
      <x:c r="T882" t="str">
        <x:v>研究生宿舍楼发车</x:v>
      </x:c>
    </x:row>
    <x:row r="883">
      <x:c r="A883" s="14" t="str">
        <x:v>S0071-08</x:v>
      </x:c>
      <x:c r="B883" s="14" t="str">
        <x:v>S0071</x:v>
      </x:c>
      <x:c r="C883" s="14" t="str">
        <x:v>工作日</x:v>
      </x:c>
      <x:c r="D883" s="14" t="str">
        <x:v>环线2路</x:v>
      </x:c>
      <x:c r="E883" s="14" t="str">
        <x:v>第一班</x:v>
      </x:c>
      <x:c r="F883" s="14" t="n">
        <x:v>1</x:v>
      </x:c>
      <x:c r="G883" s="14" t="str">
        <x:v>7:35</x:v>
      </x:c>
      <x:c r="H883" s="14" t="str">
        <x:v>研究生宿舍楼</x:v>
      </x:c>
      <x:c r="I883" s="14" t="str">
        <x:v>否</x:v>
      </x:c>
      <x:c r="J883" s="14" t="n">
        <x:v>8</x:v>
      </x:c>
      <x:c r="K883" s="14" t="str">
        <x:v>5号宿舍楼</x:v>
      </x:c>
      <x:c r="L883" s="14" t="n">
        <x:v>9</x:v>
      </x:c>
      <x:c r="M883" s="14" t="str">
        <x:v>07:44</x:v>
      </x:c>
      <x:c r="N883" s="14" t="str">
        <x:v>否</x:v>
      </x:c>
      <x:c r="O883" s="14" t="str">
        <x:v>否</x:v>
      </x:c>
      <x:c r="P883" s="14" t="str">
        <x:v>未提供</x:v>
      </x:c>
      <x:c r="Q883" s="14" t="str">
        <x:v>未提供</x:v>
      </x:c>
      <x:c r="R883" s="14" t="str">
        <x:v>预测</x:v>
      </x:c>
      <x:c r="S883" s="14" t="str">
        <x:v>到站时间为估算值</x:v>
      </x:c>
      <x:c r="T883" t="str">
        <x:v>研究生宿舍楼发车</x:v>
      </x:c>
    </x:row>
    <x:row r="884">
      <x:c r="A884" s="14" t="str">
        <x:v>S0071-09</x:v>
      </x:c>
      <x:c r="B884" s="14" t="str">
        <x:v>S0071</x:v>
      </x:c>
      <x:c r="C884" s="14" t="str">
        <x:v>工作日</x:v>
      </x:c>
      <x:c r="D884" s="14" t="str">
        <x:v>环线2路</x:v>
      </x:c>
      <x:c r="E884" s="14" t="str">
        <x:v>第一班</x:v>
      </x:c>
      <x:c r="F884" s="14" t="n">
        <x:v>1</x:v>
      </x:c>
      <x:c r="G884" s="14" t="str">
        <x:v>7:35</x:v>
      </x:c>
      <x:c r="H884" s="14" t="str">
        <x:v>研究生宿舍楼</x:v>
      </x:c>
      <x:c r="I884" s="14" t="str">
        <x:v>否</x:v>
      </x:c>
      <x:c r="J884" s="14" t="n">
        <x:v>9</x:v>
      </x:c>
      <x:c r="K884" s="14" t="str">
        <x:v>305教学楼</x:v>
      </x:c>
      <x:c r="L884" s="14" t="n">
        <x:v>10</x:v>
      </x:c>
      <x:c r="M884" s="14" t="str">
        <x:v>07:45</x:v>
      </x:c>
      <x:c r="N884" s="14" t="str">
        <x:v>否</x:v>
      </x:c>
      <x:c r="O884" s="14" t="str">
        <x:v>否</x:v>
      </x:c>
      <x:c r="P884" s="14" t="str">
        <x:v>未提供</x:v>
      </x:c>
      <x:c r="Q884" s="14" t="str">
        <x:v>未提供</x:v>
      </x:c>
      <x:c r="R884" s="14" t="str">
        <x:v>预测</x:v>
      </x:c>
      <x:c r="S884" s="14" t="str">
        <x:v>到站时间为估算值</x:v>
      </x:c>
      <x:c r="T884" t="str">
        <x:v>研究生宿舍楼发车</x:v>
      </x:c>
    </x:row>
    <x:row r="885">
      <x:c r="A885" s="14" t="str">
        <x:v>S0071-10</x:v>
      </x:c>
      <x:c r="B885" s="14" t="str">
        <x:v>S0071</x:v>
      </x:c>
      <x:c r="C885" s="14" t="str">
        <x:v>工作日</x:v>
      </x:c>
      <x:c r="D885" s="14" t="str">
        <x:v>环线2路</x:v>
      </x:c>
      <x:c r="E885" s="14" t="str">
        <x:v>第一班</x:v>
      </x:c>
      <x:c r="F885" s="14" t="n">
        <x:v>1</x:v>
      </x:c>
      <x:c r="G885" s="14" t="str">
        <x:v>7:35</x:v>
      </x:c>
      <x:c r="H885" s="14" t="str">
        <x:v>研究生宿舍楼</x:v>
      </x:c>
      <x:c r="I885" s="14" t="str">
        <x:v>否</x:v>
      </x:c>
      <x:c r="J885" s="14" t="n">
        <x:v>10</x:v>
      </x:c>
      <x:c r="K885" s="14" t="str">
        <x:v>研究生宿舍楼</x:v>
      </x:c>
      <x:c r="L885" s="14" t="n">
        <x:v>12</x:v>
      </x:c>
      <x:c r="M885" s="14" t="str">
        <x:v>07:47</x:v>
      </x:c>
      <x:c r="N885" s="14" t="str">
        <x:v>否</x:v>
      </x:c>
      <x:c r="O885" s="14" t="str">
        <x:v>是</x:v>
      </x:c>
      <x:c r="P885" s="14" t="str">
        <x:v>未提供</x:v>
      </x:c>
      <x:c r="Q885" s="14" t="str">
        <x:v>未提供</x:v>
      </x:c>
      <x:c r="R885" s="14" t="str">
        <x:v>预测</x:v>
      </x:c>
      <x:c r="S885" s="14" t="str">
        <x:v>到站时间为估算值</x:v>
      </x:c>
      <x:c r="T885" t="str">
        <x:v>研究生宿舍楼发车</x:v>
      </x:c>
    </x:row>
    <x:row r="886">
      <x:c r="A886" s="14" t="str">
        <x:v>S0072-01</x:v>
      </x:c>
      <x:c r="B886" s="14" t="str">
        <x:v>S0072</x:v>
      </x:c>
      <x:c r="C886" s="14" t="str">
        <x:v>工作日</x:v>
      </x:c>
      <x:c r="D886" s="14" t="str">
        <x:v>环线2路</x:v>
      </x:c>
      <x:c r="E886" s="14" t="str">
        <x:v>第一班</x:v>
      </x:c>
      <x:c r="F886" s="14" t="n">
        <x:v>2</x:v>
      </x:c>
      <x:c r="G886" s="14" t="str">
        <x:v>7:50</x:v>
      </x:c>
      <x:c r="H886" s="14" t="str">
        <x:v>研究生宿舍楼</x:v>
      </x:c>
      <x:c r="I886" s="14" t="str">
        <x:v>否</x:v>
      </x:c>
      <x:c r="J886" s="14" t="n">
        <x:v>1</x:v>
      </x:c>
      <x:c r="K886" s="14" t="str">
        <x:v>研究生宿舍楼</x:v>
      </x:c>
      <x:c r="L886" s="14" t="n">
        <x:v>0</x:v>
      </x:c>
      <x:c r="M886" s="14" t="str">
        <x:v>07:50</x:v>
      </x:c>
      <x:c r="N886" s="14" t="str">
        <x:v>是</x:v>
      </x:c>
      <x:c r="O886" s="14" t="str">
        <x:v>否</x:v>
      </x:c>
      <x:c r="P886" s="14" t="str">
        <x:v>未提供</x:v>
      </x:c>
      <x:c r="Q886" s="14" t="str">
        <x:v>未提供</x:v>
      </x:c>
      <x:c r="R886" s="14" t="str">
        <x:v>预测</x:v>
      </x:c>
      <x:c r="S886" s="14" t="str">
        <x:v>到站时间为估算值</x:v>
      </x:c>
      <x:c r="T886" t="str">
        <x:v>研究生宿舍楼发车</x:v>
      </x:c>
    </x:row>
    <x:row r="887">
      <x:c r="A887" s="14" t="str">
        <x:v>S0072-02</x:v>
      </x:c>
      <x:c r="B887" s="14" t="str">
        <x:v>S0072</x:v>
      </x:c>
      <x:c r="C887" s="14" t="str">
        <x:v>工作日</x:v>
      </x:c>
      <x:c r="D887" s="14" t="str">
        <x:v>环线2路</x:v>
      </x:c>
      <x:c r="E887" s="14" t="str">
        <x:v>第一班</x:v>
      </x:c>
      <x:c r="F887" s="14" t="n">
        <x:v>2</x:v>
      </x:c>
      <x:c r="G887" s="14" t="str">
        <x:v>7:50</x:v>
      </x:c>
      <x:c r="H887" s="14" t="str">
        <x:v>研究生宿舍楼</x:v>
      </x:c>
      <x:c r="I887" s="14" t="str">
        <x:v>否</x:v>
      </x:c>
      <x:c r="J887" s="14" t="n">
        <x:v>2</x:v>
      </x:c>
      <x:c r="K887" s="14" t="str">
        <x:v>一食堂</x:v>
      </x:c>
      <x:c r="L887" s="14" t="n">
        <x:v>1</x:v>
      </x:c>
      <x:c r="M887" s="14" t="str">
        <x:v>07:51</x:v>
      </x:c>
      <x:c r="N887" s="14" t="str">
        <x:v>否</x:v>
      </x:c>
      <x:c r="O887" s="14" t="str">
        <x:v>否</x:v>
      </x:c>
      <x:c r="P887" s="14" t="str">
        <x:v>未提供</x:v>
      </x:c>
      <x:c r="Q887" s="14" t="str">
        <x:v>未提供</x:v>
      </x:c>
      <x:c r="R887" s="14" t="str">
        <x:v>预测</x:v>
      </x:c>
      <x:c r="S887" s="14" t="str">
        <x:v>到站时间为估算值</x:v>
      </x:c>
      <x:c r="T887" t="str">
        <x:v>研究生宿舍楼发车</x:v>
      </x:c>
    </x:row>
    <x:row r="888">
      <x:c r="A888" s="14" t="str">
        <x:v>S0072-03</x:v>
      </x:c>
      <x:c r="B888" s="14" t="str">
        <x:v>S0072</x:v>
      </x:c>
      <x:c r="C888" s="14" t="str">
        <x:v>工作日</x:v>
      </x:c>
      <x:c r="D888" s="14" t="str">
        <x:v>环线2路</x:v>
      </x:c>
      <x:c r="E888" s="14" t="str">
        <x:v>第一班</x:v>
      </x:c>
      <x:c r="F888" s="14" t="n">
        <x:v>2</x:v>
      </x:c>
      <x:c r="G888" s="14" t="str">
        <x:v>7:50</x:v>
      </x:c>
      <x:c r="H888" s="14" t="str">
        <x:v>研究生宿舍楼</x:v>
      </x:c>
      <x:c r="I888" s="14" t="str">
        <x:v>否</x:v>
      </x:c>
      <x:c r="J888" s="14" t="n">
        <x:v>3</x:v>
      </x:c>
      <x:c r="K888" s="14" t="str">
        <x:v>门诊部</x:v>
      </x:c>
      <x:c r="L888" s="14" t="n">
        <x:v>2</x:v>
      </x:c>
      <x:c r="M888" s="14" t="str">
        <x:v>07:52</x:v>
      </x:c>
      <x:c r="N888" s="14" t="str">
        <x:v>否</x:v>
      </x:c>
      <x:c r="O888" s="14" t="str">
        <x:v>否</x:v>
      </x:c>
      <x:c r="P888" s="14" t="str">
        <x:v>未提供</x:v>
      </x:c>
      <x:c r="Q888" s="14" t="str">
        <x:v>未提供</x:v>
      </x:c>
      <x:c r="R888" s="14" t="str">
        <x:v>预测</x:v>
      </x:c>
      <x:c r="S888" s="14" t="str">
        <x:v>到站时间为估算值</x:v>
      </x:c>
      <x:c r="T888" t="str">
        <x:v>研究生宿舍楼发车</x:v>
      </x:c>
    </x:row>
    <x:row r="889">
      <x:c r="A889" s="14" t="str">
        <x:v>S0072-04</x:v>
      </x:c>
      <x:c r="B889" s="14" t="str">
        <x:v>S0072</x:v>
      </x:c>
      <x:c r="C889" s="14" t="str">
        <x:v>工作日</x:v>
      </x:c>
      <x:c r="D889" s="14" t="str">
        <x:v>环线2路</x:v>
      </x:c>
      <x:c r="E889" s="14" t="str">
        <x:v>第一班</x:v>
      </x:c>
      <x:c r="F889" s="14" t="n">
        <x:v>2</x:v>
      </x:c>
      <x:c r="G889" s="14" t="str">
        <x:v>7:50</x:v>
      </x:c>
      <x:c r="H889" s="14" t="str">
        <x:v>研究生宿舍楼</x:v>
      </x:c>
      <x:c r="I889" s="14" t="str">
        <x:v>否</x:v>
      </x:c>
      <x:c r="J889" s="14" t="n">
        <x:v>4</x:v>
      </x:c>
      <x:c r="K889" s="14" t="str">
        <x:v>1号宿舍楼</x:v>
      </x:c>
      <x:c r="L889" s="14" t="n">
        <x:v>3</x:v>
      </x:c>
      <x:c r="M889" s="14" t="str">
        <x:v>07:53</x:v>
      </x:c>
      <x:c r="N889" s="14" t="str">
        <x:v>否</x:v>
      </x:c>
      <x:c r="O889" s="14" t="str">
        <x:v>否</x:v>
      </x:c>
      <x:c r="P889" s="14" t="str">
        <x:v>未提供</x:v>
      </x:c>
      <x:c r="Q889" s="14" t="str">
        <x:v>未提供</x:v>
      </x:c>
      <x:c r="R889" s="14" t="str">
        <x:v>预测</x:v>
      </x:c>
      <x:c r="S889" s="14" t="str">
        <x:v>到站时间为估算值</x:v>
      </x:c>
      <x:c r="T889" t="str">
        <x:v>研究生宿舍楼发车</x:v>
      </x:c>
    </x:row>
    <x:row r="890">
      <x:c r="A890" s="14" t="str">
        <x:v>S0072-05</x:v>
      </x:c>
      <x:c r="B890" s="14" t="str">
        <x:v>S0072</x:v>
      </x:c>
      <x:c r="C890" s="14" t="str">
        <x:v>工作日</x:v>
      </x:c>
      <x:c r="D890" s="14" t="str">
        <x:v>环线2路</x:v>
      </x:c>
      <x:c r="E890" s="14" t="str">
        <x:v>第一班</x:v>
      </x:c>
      <x:c r="F890" s="14" t="n">
        <x:v>2</x:v>
      </x:c>
      <x:c r="G890" s="14" t="str">
        <x:v>7:50</x:v>
      </x:c>
      <x:c r="H890" s="14" t="str">
        <x:v>研究生宿舍楼</x:v>
      </x:c>
      <x:c r="I890" s="14" t="str">
        <x:v>否</x:v>
      </x:c>
      <x:c r="J890" s="14" t="n">
        <x:v>5</x:v>
      </x:c>
      <x:c r="K890" s="14" t="str">
        <x:v>水上训练中心</x:v>
      </x:c>
      <x:c r="L890" s="14" t="n">
        <x:v>5</x:v>
      </x:c>
      <x:c r="M890" s="14" t="str">
        <x:v>07:55</x:v>
      </x:c>
      <x:c r="N890" s="14" t="str">
        <x:v>否</x:v>
      </x:c>
      <x:c r="O890" s="14" t="str">
        <x:v>否</x:v>
      </x:c>
      <x:c r="P890" s="14" t="str">
        <x:v>未提供</x:v>
      </x:c>
      <x:c r="Q890" s="14" t="str">
        <x:v>未提供</x:v>
      </x:c>
      <x:c r="R890" s="14" t="str">
        <x:v>预测</x:v>
      </x:c>
      <x:c r="S890" s="14" t="str">
        <x:v>到站时间为估算值</x:v>
      </x:c>
      <x:c r="T890" t="str">
        <x:v>研究生宿舍楼发车</x:v>
      </x:c>
    </x:row>
    <x:row r="891">
      <x:c r="A891" s="14" t="str">
        <x:v>S0072-06</x:v>
      </x:c>
      <x:c r="B891" s="14" t="str">
        <x:v>S0072</x:v>
      </x:c>
      <x:c r="C891" s="14" t="str">
        <x:v>工作日</x:v>
      </x:c>
      <x:c r="D891" s="14" t="str">
        <x:v>环线2路</x:v>
      </x:c>
      <x:c r="E891" s="14" t="str">
        <x:v>第一班</x:v>
      </x:c>
      <x:c r="F891" s="14" t="n">
        <x:v>2</x:v>
      </x:c>
      <x:c r="G891" s="14" t="str">
        <x:v>7:50</x:v>
      </x:c>
      <x:c r="H891" s="14" t="str">
        <x:v>研究生宿舍楼</x:v>
      </x:c>
      <x:c r="I891" s="14" t="str">
        <x:v>否</x:v>
      </x:c>
      <x:c r="J891" s="14" t="n">
        <x:v>6</x:v>
      </x:c>
      <x:c r="K891" s="14" t="str">
        <x:v>军体活动中心</x:v>
      </x:c>
      <x:c r="L891" s="14" t="n">
        <x:v>6</x:v>
      </x:c>
      <x:c r="M891" s="14" t="str">
        <x:v>07:56</x:v>
      </x:c>
      <x:c r="N891" s="14" t="str">
        <x:v>否</x:v>
      </x:c>
      <x:c r="O891" s="14" t="str">
        <x:v>否</x:v>
      </x:c>
      <x:c r="P891" s="14" t="str">
        <x:v>未提供</x:v>
      </x:c>
      <x:c r="Q891" s="14" t="str">
        <x:v>未提供</x:v>
      </x:c>
      <x:c r="R891" s="14" t="str">
        <x:v>预测</x:v>
      </x:c>
      <x:c r="S891" s="14" t="str">
        <x:v>到站时间为估算值</x:v>
      </x:c>
      <x:c r="T891" t="str">
        <x:v>研究生宿舍楼发车</x:v>
      </x:c>
    </x:row>
    <x:row r="892">
      <x:c r="A892" s="14" t="str">
        <x:v>S0072-07</x:v>
      </x:c>
      <x:c r="B892" s="14" t="str">
        <x:v>S0072</x:v>
      </x:c>
      <x:c r="C892" s="14" t="str">
        <x:v>工作日</x:v>
      </x:c>
      <x:c r="D892" s="14" t="str">
        <x:v>环线2路</x:v>
      </x:c>
      <x:c r="E892" s="14" t="str">
        <x:v>第一班</x:v>
      </x:c>
      <x:c r="F892" s="14" t="n">
        <x:v>2</x:v>
      </x:c>
      <x:c r="G892" s="14" t="str">
        <x:v>7:50</x:v>
      </x:c>
      <x:c r="H892" s="14" t="str">
        <x:v>研究生宿舍楼</x:v>
      </x:c>
      <x:c r="I892" s="14" t="str">
        <x:v>否</x:v>
      </x:c>
      <x:c r="J892" s="14" t="n">
        <x:v>7</x:v>
      </x:c>
      <x:c r="K892" s="14" t="str">
        <x:v>二食堂</x:v>
      </x:c>
      <x:c r="L892" s="14" t="n">
        <x:v>8</x:v>
      </x:c>
      <x:c r="M892" s="14" t="str">
        <x:v>07:58</x:v>
      </x:c>
      <x:c r="N892" s="14" t="str">
        <x:v>否</x:v>
      </x:c>
      <x:c r="O892" s="14" t="str">
        <x:v>否</x:v>
      </x:c>
      <x:c r="P892" s="14" t="str">
        <x:v>未提供</x:v>
      </x:c>
      <x:c r="Q892" s="14" t="str">
        <x:v>未提供</x:v>
      </x:c>
      <x:c r="R892" s="14" t="str">
        <x:v>预测</x:v>
      </x:c>
      <x:c r="S892" s="14" t="str">
        <x:v>到站时间为估算值</x:v>
      </x:c>
      <x:c r="T892" t="str">
        <x:v>研究生宿舍楼发车</x:v>
      </x:c>
    </x:row>
    <x:row r="893">
      <x:c r="A893" s="14" t="str">
        <x:v>S0072-08</x:v>
      </x:c>
      <x:c r="B893" s="14" t="str">
        <x:v>S0072</x:v>
      </x:c>
      <x:c r="C893" s="14" t="str">
        <x:v>工作日</x:v>
      </x:c>
      <x:c r="D893" s="14" t="str">
        <x:v>环线2路</x:v>
      </x:c>
      <x:c r="E893" s="14" t="str">
        <x:v>第一班</x:v>
      </x:c>
      <x:c r="F893" s="14" t="n">
        <x:v>2</x:v>
      </x:c>
      <x:c r="G893" s="14" t="str">
        <x:v>7:50</x:v>
      </x:c>
      <x:c r="H893" s="14" t="str">
        <x:v>研究生宿舍楼</x:v>
      </x:c>
      <x:c r="I893" s="14" t="str">
        <x:v>否</x:v>
      </x:c>
      <x:c r="J893" s="14" t="n">
        <x:v>8</x:v>
      </x:c>
      <x:c r="K893" s="14" t="str">
        <x:v>5号宿舍楼</x:v>
      </x:c>
      <x:c r="L893" s="14" t="n">
        <x:v>9</x:v>
      </x:c>
      <x:c r="M893" s="14" t="str">
        <x:v>07:59</x:v>
      </x:c>
      <x:c r="N893" s="14" t="str">
        <x:v>否</x:v>
      </x:c>
      <x:c r="O893" s="14" t="str">
        <x:v>否</x:v>
      </x:c>
      <x:c r="P893" s="14" t="str">
        <x:v>未提供</x:v>
      </x:c>
      <x:c r="Q893" s="14" t="str">
        <x:v>未提供</x:v>
      </x:c>
      <x:c r="R893" s="14" t="str">
        <x:v>预测</x:v>
      </x:c>
      <x:c r="S893" s="14" t="str">
        <x:v>到站时间为估算值</x:v>
      </x:c>
      <x:c r="T893" t="str">
        <x:v>研究生宿舍楼发车</x:v>
      </x:c>
    </x:row>
    <x:row r="894">
      <x:c r="A894" s="14" t="str">
        <x:v>S0072-09</x:v>
      </x:c>
      <x:c r="B894" s="14" t="str">
        <x:v>S0072</x:v>
      </x:c>
      <x:c r="C894" s="14" t="str">
        <x:v>工作日</x:v>
      </x:c>
      <x:c r="D894" s="14" t="str">
        <x:v>环线2路</x:v>
      </x:c>
      <x:c r="E894" s="14" t="str">
        <x:v>第一班</x:v>
      </x:c>
      <x:c r="F894" s="14" t="n">
        <x:v>2</x:v>
      </x:c>
      <x:c r="G894" s="14" t="str">
        <x:v>7:50</x:v>
      </x:c>
      <x:c r="H894" s="14" t="str">
        <x:v>研究生宿舍楼</x:v>
      </x:c>
      <x:c r="I894" s="14" t="str">
        <x:v>否</x:v>
      </x:c>
      <x:c r="J894" s="14" t="n">
        <x:v>9</x:v>
      </x:c>
      <x:c r="K894" s="14" t="str">
        <x:v>305教学楼</x:v>
      </x:c>
      <x:c r="L894" s="14" t="n">
        <x:v>10</x:v>
      </x:c>
      <x:c r="M894" s="14" t="str">
        <x:v>08:00</x:v>
      </x:c>
      <x:c r="N894" s="14" t="str">
        <x:v>否</x:v>
      </x:c>
      <x:c r="O894" s="14" t="str">
        <x:v>否</x:v>
      </x:c>
      <x:c r="P894" s="14" t="str">
        <x:v>未提供</x:v>
      </x:c>
      <x:c r="Q894" s="14" t="str">
        <x:v>未提供</x:v>
      </x:c>
      <x:c r="R894" s="14" t="str">
        <x:v>预测</x:v>
      </x:c>
      <x:c r="S894" s="14" t="str">
        <x:v>到站时间为估算值</x:v>
      </x:c>
      <x:c r="T894" t="str">
        <x:v>研究生宿舍楼发车</x:v>
      </x:c>
    </x:row>
    <x:row r="895">
      <x:c r="A895" s="14" t="str">
        <x:v>S0072-10</x:v>
      </x:c>
      <x:c r="B895" s="14" t="str">
        <x:v>S0072</x:v>
      </x:c>
      <x:c r="C895" s="14" t="str">
        <x:v>工作日</x:v>
      </x:c>
      <x:c r="D895" s="14" t="str">
        <x:v>环线2路</x:v>
      </x:c>
      <x:c r="E895" s="14" t="str">
        <x:v>第一班</x:v>
      </x:c>
      <x:c r="F895" s="14" t="n">
        <x:v>2</x:v>
      </x:c>
      <x:c r="G895" s="14" t="str">
        <x:v>7:50</x:v>
      </x:c>
      <x:c r="H895" s="14" t="str">
        <x:v>研究生宿舍楼</x:v>
      </x:c>
      <x:c r="I895" s="14" t="str">
        <x:v>否</x:v>
      </x:c>
      <x:c r="J895" s="14" t="n">
        <x:v>10</x:v>
      </x:c>
      <x:c r="K895" s="14" t="str">
        <x:v>研究生宿舍楼</x:v>
      </x:c>
      <x:c r="L895" s="14" t="n">
        <x:v>12</x:v>
      </x:c>
      <x:c r="M895" s="14" t="str">
        <x:v>08:02</x:v>
      </x:c>
      <x:c r="N895" s="14" t="str">
        <x:v>否</x:v>
      </x:c>
      <x:c r="O895" s="14" t="str">
        <x:v>是</x:v>
      </x:c>
      <x:c r="P895" s="14" t="str">
        <x:v>未提供</x:v>
      </x:c>
      <x:c r="Q895" s="14" t="str">
        <x:v>未提供</x:v>
      </x:c>
      <x:c r="R895" s="14" t="str">
        <x:v>预测</x:v>
      </x:c>
      <x:c r="S895" s="14" t="str">
        <x:v>到站时间为估算值</x:v>
      </x:c>
      <x:c r="T895" t="str">
        <x:v>研究生宿舍楼发车</x:v>
      </x:c>
    </x:row>
    <x:row r="896">
      <x:c r="A896" s="14" t="str">
        <x:v>S0073-01</x:v>
      </x:c>
      <x:c r="B896" s="14" t="str">
        <x:v>S0073</x:v>
      </x:c>
      <x:c r="C896" s="14" t="str">
        <x:v>工作日</x:v>
      </x:c>
      <x:c r="D896" s="14" t="str">
        <x:v>环线2路</x:v>
      </x:c>
      <x:c r="E896" s="14" t="str">
        <x:v>第一班</x:v>
      </x:c>
      <x:c r="F896" s="14" t="n">
        <x:v>3</x:v>
      </x:c>
      <x:c r="G896" s="14" t="str">
        <x:v>8:05</x:v>
      </x:c>
      <x:c r="H896" s="14" t="str">
        <x:v>研究生宿舍楼</x:v>
      </x:c>
      <x:c r="I896" s="14" t="str">
        <x:v>否</x:v>
      </x:c>
      <x:c r="J896" s="14" t="n">
        <x:v>1</x:v>
      </x:c>
      <x:c r="K896" s="14" t="str">
        <x:v>研究生宿舍楼</x:v>
      </x:c>
      <x:c r="L896" s="14" t="n">
        <x:v>0</x:v>
      </x:c>
      <x:c r="M896" s="14" t="str">
        <x:v>08:05</x:v>
      </x:c>
      <x:c r="N896" s="14" t="str">
        <x:v>是</x:v>
      </x:c>
      <x:c r="O896" s="14" t="str">
        <x:v>否</x:v>
      </x:c>
      <x:c r="P896" s="14" t="str">
        <x:v>未提供</x:v>
      </x:c>
      <x:c r="Q896" s="14" t="str">
        <x:v>未提供</x:v>
      </x:c>
      <x:c r="R896" s="14" t="str">
        <x:v>预测</x:v>
      </x:c>
      <x:c r="S896" s="14" t="str">
        <x:v>到站时间为估算值</x:v>
      </x:c>
      <x:c r="T896" t="str">
        <x:v>研究生宿舍楼发车</x:v>
      </x:c>
    </x:row>
    <x:row r="897">
      <x:c r="A897" s="14" t="str">
        <x:v>S0073-02</x:v>
      </x:c>
      <x:c r="B897" s="14" t="str">
        <x:v>S0073</x:v>
      </x:c>
      <x:c r="C897" s="14" t="str">
        <x:v>工作日</x:v>
      </x:c>
      <x:c r="D897" s="14" t="str">
        <x:v>环线2路</x:v>
      </x:c>
      <x:c r="E897" s="14" t="str">
        <x:v>第一班</x:v>
      </x:c>
      <x:c r="F897" s="14" t="n">
        <x:v>3</x:v>
      </x:c>
      <x:c r="G897" s="14" t="str">
        <x:v>8:05</x:v>
      </x:c>
      <x:c r="H897" s="14" t="str">
        <x:v>研究生宿舍楼</x:v>
      </x:c>
      <x:c r="I897" s="14" t="str">
        <x:v>否</x:v>
      </x:c>
      <x:c r="J897" s="14" t="n">
        <x:v>2</x:v>
      </x:c>
      <x:c r="K897" s="14" t="str">
        <x:v>一食堂</x:v>
      </x:c>
      <x:c r="L897" s="14" t="n">
        <x:v>1</x:v>
      </x:c>
      <x:c r="M897" s="14" t="str">
        <x:v>08:06</x:v>
      </x:c>
      <x:c r="N897" s="14" t="str">
        <x:v>否</x:v>
      </x:c>
      <x:c r="O897" s="14" t="str">
        <x:v>否</x:v>
      </x:c>
      <x:c r="P897" s="14" t="str">
        <x:v>未提供</x:v>
      </x:c>
      <x:c r="Q897" s="14" t="str">
        <x:v>未提供</x:v>
      </x:c>
      <x:c r="R897" s="14" t="str">
        <x:v>预测</x:v>
      </x:c>
      <x:c r="S897" s="14" t="str">
        <x:v>到站时间为估算值</x:v>
      </x:c>
      <x:c r="T897" t="str">
        <x:v>研究生宿舍楼发车</x:v>
      </x:c>
    </x:row>
    <x:row r="898">
      <x:c r="A898" s="14" t="str">
        <x:v>S0073-03</x:v>
      </x:c>
      <x:c r="B898" s="14" t="str">
        <x:v>S0073</x:v>
      </x:c>
      <x:c r="C898" s="14" t="str">
        <x:v>工作日</x:v>
      </x:c>
      <x:c r="D898" s="14" t="str">
        <x:v>环线2路</x:v>
      </x:c>
      <x:c r="E898" s="14" t="str">
        <x:v>第一班</x:v>
      </x:c>
      <x:c r="F898" s="14" t="n">
        <x:v>3</x:v>
      </x:c>
      <x:c r="G898" s="14" t="str">
        <x:v>8:05</x:v>
      </x:c>
      <x:c r="H898" s="14" t="str">
        <x:v>研究生宿舍楼</x:v>
      </x:c>
      <x:c r="I898" s="14" t="str">
        <x:v>否</x:v>
      </x:c>
      <x:c r="J898" s="14" t="n">
        <x:v>3</x:v>
      </x:c>
      <x:c r="K898" s="14" t="str">
        <x:v>门诊部</x:v>
      </x:c>
      <x:c r="L898" s="14" t="n">
        <x:v>2</x:v>
      </x:c>
      <x:c r="M898" s="14" t="str">
        <x:v>08:07</x:v>
      </x:c>
      <x:c r="N898" s="14" t="str">
        <x:v>否</x:v>
      </x:c>
      <x:c r="O898" s="14" t="str">
        <x:v>否</x:v>
      </x:c>
      <x:c r="P898" s="14" t="str">
        <x:v>未提供</x:v>
      </x:c>
      <x:c r="Q898" s="14" t="str">
        <x:v>未提供</x:v>
      </x:c>
      <x:c r="R898" s="14" t="str">
        <x:v>预测</x:v>
      </x:c>
      <x:c r="S898" s="14" t="str">
        <x:v>到站时间为估算值</x:v>
      </x:c>
      <x:c r="T898" t="str">
        <x:v>研究生宿舍楼发车</x:v>
      </x:c>
    </x:row>
    <x:row r="899">
      <x:c r="A899" s="14" t="str">
        <x:v>S0073-04</x:v>
      </x:c>
      <x:c r="B899" s="14" t="str">
        <x:v>S0073</x:v>
      </x:c>
      <x:c r="C899" s="14" t="str">
        <x:v>工作日</x:v>
      </x:c>
      <x:c r="D899" s="14" t="str">
        <x:v>环线2路</x:v>
      </x:c>
      <x:c r="E899" s="14" t="str">
        <x:v>第一班</x:v>
      </x:c>
      <x:c r="F899" s="14" t="n">
        <x:v>3</x:v>
      </x:c>
      <x:c r="G899" s="14" t="str">
        <x:v>8:05</x:v>
      </x:c>
      <x:c r="H899" s="14" t="str">
        <x:v>研究生宿舍楼</x:v>
      </x:c>
      <x:c r="I899" s="14" t="str">
        <x:v>否</x:v>
      </x:c>
      <x:c r="J899" s="14" t="n">
        <x:v>4</x:v>
      </x:c>
      <x:c r="K899" s="14" t="str">
        <x:v>1号宿舍楼</x:v>
      </x:c>
      <x:c r="L899" s="14" t="n">
        <x:v>3</x:v>
      </x:c>
      <x:c r="M899" s="14" t="str">
        <x:v>08:08</x:v>
      </x:c>
      <x:c r="N899" s="14" t="str">
        <x:v>否</x:v>
      </x:c>
      <x:c r="O899" s="14" t="str">
        <x:v>否</x:v>
      </x:c>
      <x:c r="P899" s="14" t="str">
        <x:v>未提供</x:v>
      </x:c>
      <x:c r="Q899" s="14" t="str">
        <x:v>未提供</x:v>
      </x:c>
      <x:c r="R899" s="14" t="str">
        <x:v>预测</x:v>
      </x:c>
      <x:c r="S899" s="14" t="str">
        <x:v>到站时间为估算值</x:v>
      </x:c>
      <x:c r="T899" t="str">
        <x:v>研究生宿舍楼发车</x:v>
      </x:c>
    </x:row>
    <x:row r="900">
      <x:c r="A900" s="14" t="str">
        <x:v>S0073-05</x:v>
      </x:c>
      <x:c r="B900" s="14" t="str">
        <x:v>S0073</x:v>
      </x:c>
      <x:c r="C900" s="14" t="str">
        <x:v>工作日</x:v>
      </x:c>
      <x:c r="D900" s="14" t="str">
        <x:v>环线2路</x:v>
      </x:c>
      <x:c r="E900" s="14" t="str">
        <x:v>第一班</x:v>
      </x:c>
      <x:c r="F900" s="14" t="n">
        <x:v>3</x:v>
      </x:c>
      <x:c r="G900" s="14" t="str">
        <x:v>8:05</x:v>
      </x:c>
      <x:c r="H900" s="14" t="str">
        <x:v>研究生宿舍楼</x:v>
      </x:c>
      <x:c r="I900" s="14" t="str">
        <x:v>否</x:v>
      </x:c>
      <x:c r="J900" s="14" t="n">
        <x:v>5</x:v>
      </x:c>
      <x:c r="K900" s="14" t="str">
        <x:v>水上训练中心</x:v>
      </x:c>
      <x:c r="L900" s="14" t="n">
        <x:v>5</x:v>
      </x:c>
      <x:c r="M900" s="14" t="str">
        <x:v>08:10</x:v>
      </x:c>
      <x:c r="N900" s="14" t="str">
        <x:v>否</x:v>
      </x:c>
      <x:c r="O900" s="14" t="str">
        <x:v>否</x:v>
      </x:c>
      <x:c r="P900" s="14" t="str">
        <x:v>未提供</x:v>
      </x:c>
      <x:c r="Q900" s="14" t="str">
        <x:v>未提供</x:v>
      </x:c>
      <x:c r="R900" s="14" t="str">
        <x:v>预测</x:v>
      </x:c>
      <x:c r="S900" s="14" t="str">
        <x:v>到站时间为估算值</x:v>
      </x:c>
      <x:c r="T900" t="str">
        <x:v>研究生宿舍楼发车</x:v>
      </x:c>
    </x:row>
    <x:row r="901">
      <x:c r="A901" s="14" t="str">
        <x:v>S0073-06</x:v>
      </x:c>
      <x:c r="B901" s="14" t="str">
        <x:v>S0073</x:v>
      </x:c>
      <x:c r="C901" s="14" t="str">
        <x:v>工作日</x:v>
      </x:c>
      <x:c r="D901" s="14" t="str">
        <x:v>环线2路</x:v>
      </x:c>
      <x:c r="E901" s="14" t="str">
        <x:v>第一班</x:v>
      </x:c>
      <x:c r="F901" s="14" t="n">
        <x:v>3</x:v>
      </x:c>
      <x:c r="G901" s="14" t="str">
        <x:v>8:05</x:v>
      </x:c>
      <x:c r="H901" s="14" t="str">
        <x:v>研究生宿舍楼</x:v>
      </x:c>
      <x:c r="I901" s="14" t="str">
        <x:v>否</x:v>
      </x:c>
      <x:c r="J901" s="14" t="n">
        <x:v>6</x:v>
      </x:c>
      <x:c r="K901" s="14" t="str">
        <x:v>军体活动中心</x:v>
      </x:c>
      <x:c r="L901" s="14" t="n">
        <x:v>6</x:v>
      </x:c>
      <x:c r="M901" s="14" t="str">
        <x:v>08:11</x:v>
      </x:c>
      <x:c r="N901" s="14" t="str">
        <x:v>否</x:v>
      </x:c>
      <x:c r="O901" s="14" t="str">
        <x:v>否</x:v>
      </x:c>
      <x:c r="P901" s="14" t="str">
        <x:v>未提供</x:v>
      </x:c>
      <x:c r="Q901" s="14" t="str">
        <x:v>未提供</x:v>
      </x:c>
      <x:c r="R901" s="14" t="str">
        <x:v>预测</x:v>
      </x:c>
      <x:c r="S901" s="14" t="str">
        <x:v>到站时间为估算值</x:v>
      </x:c>
      <x:c r="T901" t="str">
        <x:v>研究生宿舍楼发车</x:v>
      </x:c>
    </x:row>
    <x:row r="902">
      <x:c r="A902" s="14" t="str">
        <x:v>S0073-07</x:v>
      </x:c>
      <x:c r="B902" s="14" t="str">
        <x:v>S0073</x:v>
      </x:c>
      <x:c r="C902" s="14" t="str">
        <x:v>工作日</x:v>
      </x:c>
      <x:c r="D902" s="14" t="str">
        <x:v>环线2路</x:v>
      </x:c>
      <x:c r="E902" s="14" t="str">
        <x:v>第一班</x:v>
      </x:c>
      <x:c r="F902" s="14" t="n">
        <x:v>3</x:v>
      </x:c>
      <x:c r="G902" s="14" t="str">
        <x:v>8:05</x:v>
      </x:c>
      <x:c r="H902" s="14" t="str">
        <x:v>研究生宿舍楼</x:v>
      </x:c>
      <x:c r="I902" s="14" t="str">
        <x:v>否</x:v>
      </x:c>
      <x:c r="J902" s="14" t="n">
        <x:v>7</x:v>
      </x:c>
      <x:c r="K902" s="14" t="str">
        <x:v>二食堂</x:v>
      </x:c>
      <x:c r="L902" s="14" t="n">
        <x:v>8</x:v>
      </x:c>
      <x:c r="M902" s="14" t="str">
        <x:v>08:13</x:v>
      </x:c>
      <x:c r="N902" s="14" t="str">
        <x:v>否</x:v>
      </x:c>
      <x:c r="O902" s="14" t="str">
        <x:v>否</x:v>
      </x:c>
      <x:c r="P902" s="14" t="str">
        <x:v>未提供</x:v>
      </x:c>
      <x:c r="Q902" s="14" t="str">
        <x:v>未提供</x:v>
      </x:c>
      <x:c r="R902" s="14" t="str">
        <x:v>预测</x:v>
      </x:c>
      <x:c r="S902" s="14" t="str">
        <x:v>到站时间为估算值</x:v>
      </x:c>
      <x:c r="T902" t="str">
        <x:v>研究生宿舍楼发车</x:v>
      </x:c>
    </x:row>
    <x:row r="903">
      <x:c r="A903" s="14" t="str">
        <x:v>S0073-08</x:v>
      </x:c>
      <x:c r="B903" s="14" t="str">
        <x:v>S0073</x:v>
      </x:c>
      <x:c r="C903" s="14" t="str">
        <x:v>工作日</x:v>
      </x:c>
      <x:c r="D903" s="14" t="str">
        <x:v>环线2路</x:v>
      </x:c>
      <x:c r="E903" s="14" t="str">
        <x:v>第一班</x:v>
      </x:c>
      <x:c r="F903" s="14" t="n">
        <x:v>3</x:v>
      </x:c>
      <x:c r="G903" s="14" t="str">
        <x:v>8:05</x:v>
      </x:c>
      <x:c r="H903" s="14" t="str">
        <x:v>研究生宿舍楼</x:v>
      </x:c>
      <x:c r="I903" s="14" t="str">
        <x:v>否</x:v>
      </x:c>
      <x:c r="J903" s="14" t="n">
        <x:v>8</x:v>
      </x:c>
      <x:c r="K903" s="14" t="str">
        <x:v>5号宿舍楼</x:v>
      </x:c>
      <x:c r="L903" s="14" t="n">
        <x:v>9</x:v>
      </x:c>
      <x:c r="M903" s="14" t="str">
        <x:v>08:14</x:v>
      </x:c>
      <x:c r="N903" s="14" t="str">
        <x:v>否</x:v>
      </x:c>
      <x:c r="O903" s="14" t="str">
        <x:v>否</x:v>
      </x:c>
      <x:c r="P903" s="14" t="str">
        <x:v>未提供</x:v>
      </x:c>
      <x:c r="Q903" s="14" t="str">
        <x:v>未提供</x:v>
      </x:c>
      <x:c r="R903" s="14" t="str">
        <x:v>预测</x:v>
      </x:c>
      <x:c r="S903" s="14" t="str">
        <x:v>到站时间为估算值</x:v>
      </x:c>
      <x:c r="T903" t="str">
        <x:v>研究生宿舍楼发车</x:v>
      </x:c>
    </x:row>
    <x:row r="904">
      <x:c r="A904" s="14" t="str">
        <x:v>S0073-09</x:v>
      </x:c>
      <x:c r="B904" s="14" t="str">
        <x:v>S0073</x:v>
      </x:c>
      <x:c r="C904" s="14" t="str">
        <x:v>工作日</x:v>
      </x:c>
      <x:c r="D904" s="14" t="str">
        <x:v>环线2路</x:v>
      </x:c>
      <x:c r="E904" s="14" t="str">
        <x:v>第一班</x:v>
      </x:c>
      <x:c r="F904" s="14" t="n">
        <x:v>3</x:v>
      </x:c>
      <x:c r="G904" s="14" t="str">
        <x:v>8:05</x:v>
      </x:c>
      <x:c r="H904" s="14" t="str">
        <x:v>研究生宿舍楼</x:v>
      </x:c>
      <x:c r="I904" s="14" t="str">
        <x:v>否</x:v>
      </x:c>
      <x:c r="J904" s="14" t="n">
        <x:v>9</x:v>
      </x:c>
      <x:c r="K904" s="14" t="str">
        <x:v>305教学楼</x:v>
      </x:c>
      <x:c r="L904" s="14" t="n">
        <x:v>10</x:v>
      </x:c>
      <x:c r="M904" s="14" t="str">
        <x:v>08:15</x:v>
      </x:c>
      <x:c r="N904" s="14" t="str">
        <x:v>否</x:v>
      </x:c>
      <x:c r="O904" s="14" t="str">
        <x:v>否</x:v>
      </x:c>
      <x:c r="P904" s="14" t="str">
        <x:v>未提供</x:v>
      </x:c>
      <x:c r="Q904" s="14" t="str">
        <x:v>未提供</x:v>
      </x:c>
      <x:c r="R904" s="14" t="str">
        <x:v>预测</x:v>
      </x:c>
      <x:c r="S904" s="14" t="str">
        <x:v>到站时间为估算值</x:v>
      </x:c>
      <x:c r="T904" t="str">
        <x:v>研究生宿舍楼发车</x:v>
      </x:c>
    </x:row>
    <x:row r="905">
      <x:c r="A905" s="14" t="str">
        <x:v>S0073-10</x:v>
      </x:c>
      <x:c r="B905" s="14" t="str">
        <x:v>S0073</x:v>
      </x:c>
      <x:c r="C905" s="14" t="str">
        <x:v>工作日</x:v>
      </x:c>
      <x:c r="D905" s="14" t="str">
        <x:v>环线2路</x:v>
      </x:c>
      <x:c r="E905" s="14" t="str">
        <x:v>第一班</x:v>
      </x:c>
      <x:c r="F905" s="14" t="n">
        <x:v>3</x:v>
      </x:c>
      <x:c r="G905" s="14" t="str">
        <x:v>8:05</x:v>
      </x:c>
      <x:c r="H905" s="14" t="str">
        <x:v>研究生宿舍楼</x:v>
      </x:c>
      <x:c r="I905" s="14" t="str">
        <x:v>否</x:v>
      </x:c>
      <x:c r="J905" s="14" t="n">
        <x:v>10</x:v>
      </x:c>
      <x:c r="K905" s="14" t="str">
        <x:v>研究生宿舍楼</x:v>
      </x:c>
      <x:c r="L905" s="14" t="n">
        <x:v>12</x:v>
      </x:c>
      <x:c r="M905" s="14" t="str">
        <x:v>08:17</x:v>
      </x:c>
      <x:c r="N905" s="14" t="str">
        <x:v>否</x:v>
      </x:c>
      <x:c r="O905" s="14" t="str">
        <x:v>是</x:v>
      </x:c>
      <x:c r="P905" s="14" t="str">
        <x:v>未提供</x:v>
      </x:c>
      <x:c r="Q905" s="14" t="str">
        <x:v>未提供</x:v>
      </x:c>
      <x:c r="R905" s="14" t="str">
        <x:v>预测</x:v>
      </x:c>
      <x:c r="S905" s="14" t="str">
        <x:v>到站时间为估算值</x:v>
      </x:c>
      <x:c r="T905" t="str">
        <x:v>研究生宿舍楼发车</x:v>
      </x:c>
    </x:row>
    <x:row r="906">
      <x:c r="A906" s="14" t="str">
        <x:v>S0074-01</x:v>
      </x:c>
      <x:c r="B906" s="14" t="str">
        <x:v>S0074</x:v>
      </x:c>
      <x:c r="C906" s="14" t="str">
        <x:v>工作日</x:v>
      </x:c>
      <x:c r="D906" s="14" t="str">
        <x:v>环线2路</x:v>
      </x:c>
      <x:c r="E906" s="14" t="str">
        <x:v>第一班</x:v>
      </x:c>
      <x:c r="F906" s="14" t="n">
        <x:v>4</x:v>
      </x:c>
      <x:c r="G906" s="14" t="str">
        <x:v>8:20</x:v>
      </x:c>
      <x:c r="H906" s="14" t="str">
        <x:v>研究生宿舍楼</x:v>
      </x:c>
      <x:c r="I906" s="14" t="str">
        <x:v>否</x:v>
      </x:c>
      <x:c r="J906" s="14" t="n">
        <x:v>1</x:v>
      </x:c>
      <x:c r="K906" s="14" t="str">
        <x:v>研究生宿舍楼</x:v>
      </x:c>
      <x:c r="L906" s="14" t="n">
        <x:v>0</x:v>
      </x:c>
      <x:c r="M906" s="14" t="str">
        <x:v>08:20</x:v>
      </x:c>
      <x:c r="N906" s="14" t="str">
        <x:v>是</x:v>
      </x:c>
      <x:c r="O906" s="14" t="str">
        <x:v>否</x:v>
      </x:c>
      <x:c r="P906" s="14" t="str">
        <x:v>未提供</x:v>
      </x:c>
      <x:c r="Q906" s="14" t="str">
        <x:v>未提供</x:v>
      </x:c>
      <x:c r="R906" s="14" t="str">
        <x:v>预测</x:v>
      </x:c>
      <x:c r="S906" s="14" t="str">
        <x:v>到站时间为估算值</x:v>
      </x:c>
      <x:c r="T906" t="str">
        <x:v>研究生宿舍楼发车</x:v>
      </x:c>
    </x:row>
    <x:row r="907">
      <x:c r="A907" s="14" t="str">
        <x:v>S0074-02</x:v>
      </x:c>
      <x:c r="B907" s="14" t="str">
        <x:v>S0074</x:v>
      </x:c>
      <x:c r="C907" s="14" t="str">
        <x:v>工作日</x:v>
      </x:c>
      <x:c r="D907" s="14" t="str">
        <x:v>环线2路</x:v>
      </x:c>
      <x:c r="E907" s="14" t="str">
        <x:v>第一班</x:v>
      </x:c>
      <x:c r="F907" s="14" t="n">
        <x:v>4</x:v>
      </x:c>
      <x:c r="G907" s="14" t="str">
        <x:v>8:20</x:v>
      </x:c>
      <x:c r="H907" s="14" t="str">
        <x:v>研究生宿舍楼</x:v>
      </x:c>
      <x:c r="I907" s="14" t="str">
        <x:v>否</x:v>
      </x:c>
      <x:c r="J907" s="14" t="n">
        <x:v>2</x:v>
      </x:c>
      <x:c r="K907" s="14" t="str">
        <x:v>一食堂</x:v>
      </x:c>
      <x:c r="L907" s="14" t="n">
        <x:v>1</x:v>
      </x:c>
      <x:c r="M907" s="14" t="str">
        <x:v>08:21</x:v>
      </x:c>
      <x:c r="N907" s="14" t="str">
        <x:v>否</x:v>
      </x:c>
      <x:c r="O907" s="14" t="str">
        <x:v>否</x:v>
      </x:c>
      <x:c r="P907" s="14" t="str">
        <x:v>未提供</x:v>
      </x:c>
      <x:c r="Q907" s="14" t="str">
        <x:v>未提供</x:v>
      </x:c>
      <x:c r="R907" s="14" t="str">
        <x:v>预测</x:v>
      </x:c>
      <x:c r="S907" s="14" t="str">
        <x:v>到站时间为估算值</x:v>
      </x:c>
      <x:c r="T907" t="str">
        <x:v>研究生宿舍楼发车</x:v>
      </x:c>
    </x:row>
    <x:row r="908">
      <x:c r="A908" s="14" t="str">
        <x:v>S0074-03</x:v>
      </x:c>
      <x:c r="B908" s="14" t="str">
        <x:v>S0074</x:v>
      </x:c>
      <x:c r="C908" s="14" t="str">
        <x:v>工作日</x:v>
      </x:c>
      <x:c r="D908" s="14" t="str">
        <x:v>环线2路</x:v>
      </x:c>
      <x:c r="E908" s="14" t="str">
        <x:v>第一班</x:v>
      </x:c>
      <x:c r="F908" s="14" t="n">
        <x:v>4</x:v>
      </x:c>
      <x:c r="G908" s="14" t="str">
        <x:v>8:20</x:v>
      </x:c>
      <x:c r="H908" s="14" t="str">
        <x:v>研究生宿舍楼</x:v>
      </x:c>
      <x:c r="I908" s="14" t="str">
        <x:v>否</x:v>
      </x:c>
      <x:c r="J908" s="14" t="n">
        <x:v>3</x:v>
      </x:c>
      <x:c r="K908" s="14" t="str">
        <x:v>门诊部</x:v>
      </x:c>
      <x:c r="L908" s="14" t="n">
        <x:v>2</x:v>
      </x:c>
      <x:c r="M908" s="14" t="str">
        <x:v>08:22</x:v>
      </x:c>
      <x:c r="N908" s="14" t="str">
        <x:v>否</x:v>
      </x:c>
      <x:c r="O908" s="14" t="str">
        <x:v>否</x:v>
      </x:c>
      <x:c r="P908" s="14" t="str">
        <x:v>未提供</x:v>
      </x:c>
      <x:c r="Q908" s="14" t="str">
        <x:v>未提供</x:v>
      </x:c>
      <x:c r="R908" s="14" t="str">
        <x:v>预测</x:v>
      </x:c>
      <x:c r="S908" s="14" t="str">
        <x:v>到站时间为估算值</x:v>
      </x:c>
      <x:c r="T908" t="str">
        <x:v>研究生宿舍楼发车</x:v>
      </x:c>
    </x:row>
    <x:row r="909">
      <x:c r="A909" s="14" t="str">
        <x:v>S0074-04</x:v>
      </x:c>
      <x:c r="B909" s="14" t="str">
        <x:v>S0074</x:v>
      </x:c>
      <x:c r="C909" s="14" t="str">
        <x:v>工作日</x:v>
      </x:c>
      <x:c r="D909" s="14" t="str">
        <x:v>环线2路</x:v>
      </x:c>
      <x:c r="E909" s="14" t="str">
        <x:v>第一班</x:v>
      </x:c>
      <x:c r="F909" s="14" t="n">
        <x:v>4</x:v>
      </x:c>
      <x:c r="G909" s="14" t="str">
        <x:v>8:20</x:v>
      </x:c>
      <x:c r="H909" s="14" t="str">
        <x:v>研究生宿舍楼</x:v>
      </x:c>
      <x:c r="I909" s="14" t="str">
        <x:v>否</x:v>
      </x:c>
      <x:c r="J909" s="14" t="n">
        <x:v>4</x:v>
      </x:c>
      <x:c r="K909" s="14" t="str">
        <x:v>1号宿舍楼</x:v>
      </x:c>
      <x:c r="L909" s="14" t="n">
        <x:v>3</x:v>
      </x:c>
      <x:c r="M909" s="14" t="str">
        <x:v>08:23</x:v>
      </x:c>
      <x:c r="N909" s="14" t="str">
        <x:v>否</x:v>
      </x:c>
      <x:c r="O909" s="14" t="str">
        <x:v>否</x:v>
      </x:c>
      <x:c r="P909" s="14" t="str">
        <x:v>未提供</x:v>
      </x:c>
      <x:c r="Q909" s="14" t="str">
        <x:v>未提供</x:v>
      </x:c>
      <x:c r="R909" s="14" t="str">
        <x:v>预测</x:v>
      </x:c>
      <x:c r="S909" s="14" t="str">
        <x:v>到站时间为估算值</x:v>
      </x:c>
      <x:c r="T909" t="str">
        <x:v>研究生宿舍楼发车</x:v>
      </x:c>
    </x:row>
    <x:row r="910">
      <x:c r="A910" s="14" t="str">
        <x:v>S0074-05</x:v>
      </x:c>
      <x:c r="B910" s="14" t="str">
        <x:v>S0074</x:v>
      </x:c>
      <x:c r="C910" s="14" t="str">
        <x:v>工作日</x:v>
      </x:c>
      <x:c r="D910" s="14" t="str">
        <x:v>环线2路</x:v>
      </x:c>
      <x:c r="E910" s="14" t="str">
        <x:v>第一班</x:v>
      </x:c>
      <x:c r="F910" s="14" t="n">
        <x:v>4</x:v>
      </x:c>
      <x:c r="G910" s="14" t="str">
        <x:v>8:20</x:v>
      </x:c>
      <x:c r="H910" s="14" t="str">
        <x:v>研究生宿舍楼</x:v>
      </x:c>
      <x:c r="I910" s="14" t="str">
        <x:v>否</x:v>
      </x:c>
      <x:c r="J910" s="14" t="n">
        <x:v>5</x:v>
      </x:c>
      <x:c r="K910" s="14" t="str">
        <x:v>水上训练中心</x:v>
      </x:c>
      <x:c r="L910" s="14" t="n">
        <x:v>5</x:v>
      </x:c>
      <x:c r="M910" s="14" t="str">
        <x:v>08:25</x:v>
      </x:c>
      <x:c r="N910" s="14" t="str">
        <x:v>否</x:v>
      </x:c>
      <x:c r="O910" s="14" t="str">
        <x:v>否</x:v>
      </x:c>
      <x:c r="P910" s="14" t="str">
        <x:v>未提供</x:v>
      </x:c>
      <x:c r="Q910" s="14" t="str">
        <x:v>未提供</x:v>
      </x:c>
      <x:c r="R910" s="14" t="str">
        <x:v>预测</x:v>
      </x:c>
      <x:c r="S910" s="14" t="str">
        <x:v>到站时间为估算值</x:v>
      </x:c>
      <x:c r="T910" t="str">
        <x:v>研究生宿舍楼发车</x:v>
      </x:c>
    </x:row>
    <x:row r="911">
      <x:c r="A911" s="14" t="str">
        <x:v>S0074-06</x:v>
      </x:c>
      <x:c r="B911" s="14" t="str">
        <x:v>S0074</x:v>
      </x:c>
      <x:c r="C911" s="14" t="str">
        <x:v>工作日</x:v>
      </x:c>
      <x:c r="D911" s="14" t="str">
        <x:v>环线2路</x:v>
      </x:c>
      <x:c r="E911" s="14" t="str">
        <x:v>第一班</x:v>
      </x:c>
      <x:c r="F911" s="14" t="n">
        <x:v>4</x:v>
      </x:c>
      <x:c r="G911" s="14" t="str">
        <x:v>8:20</x:v>
      </x:c>
      <x:c r="H911" s="14" t="str">
        <x:v>研究生宿舍楼</x:v>
      </x:c>
      <x:c r="I911" s="14" t="str">
        <x:v>否</x:v>
      </x:c>
      <x:c r="J911" s="14" t="n">
        <x:v>6</x:v>
      </x:c>
      <x:c r="K911" s="14" t="str">
        <x:v>军体活动中心</x:v>
      </x:c>
      <x:c r="L911" s="14" t="n">
        <x:v>6</x:v>
      </x:c>
      <x:c r="M911" s="14" t="str">
        <x:v>08:26</x:v>
      </x:c>
      <x:c r="N911" s="14" t="str">
        <x:v>否</x:v>
      </x:c>
      <x:c r="O911" s="14" t="str">
        <x:v>否</x:v>
      </x:c>
      <x:c r="P911" s="14" t="str">
        <x:v>未提供</x:v>
      </x:c>
      <x:c r="Q911" s="14" t="str">
        <x:v>未提供</x:v>
      </x:c>
      <x:c r="R911" s="14" t="str">
        <x:v>预测</x:v>
      </x:c>
      <x:c r="S911" s="14" t="str">
        <x:v>到站时间为估算值</x:v>
      </x:c>
      <x:c r="T911" t="str">
        <x:v>研究生宿舍楼发车</x:v>
      </x:c>
    </x:row>
    <x:row r="912">
      <x:c r="A912" s="14" t="str">
        <x:v>S0074-07</x:v>
      </x:c>
      <x:c r="B912" s="14" t="str">
        <x:v>S0074</x:v>
      </x:c>
      <x:c r="C912" s="14" t="str">
        <x:v>工作日</x:v>
      </x:c>
      <x:c r="D912" s="14" t="str">
        <x:v>环线2路</x:v>
      </x:c>
      <x:c r="E912" s="14" t="str">
        <x:v>第一班</x:v>
      </x:c>
      <x:c r="F912" s="14" t="n">
        <x:v>4</x:v>
      </x:c>
      <x:c r="G912" s="14" t="str">
        <x:v>8:20</x:v>
      </x:c>
      <x:c r="H912" s="14" t="str">
        <x:v>研究生宿舍楼</x:v>
      </x:c>
      <x:c r="I912" s="14" t="str">
        <x:v>否</x:v>
      </x:c>
      <x:c r="J912" s="14" t="n">
        <x:v>7</x:v>
      </x:c>
      <x:c r="K912" s="14" t="str">
        <x:v>二食堂</x:v>
      </x:c>
      <x:c r="L912" s="14" t="n">
        <x:v>8</x:v>
      </x:c>
      <x:c r="M912" s="14" t="str">
        <x:v>08:28</x:v>
      </x:c>
      <x:c r="N912" s="14" t="str">
        <x:v>否</x:v>
      </x:c>
      <x:c r="O912" s="14" t="str">
        <x:v>否</x:v>
      </x:c>
      <x:c r="P912" s="14" t="str">
        <x:v>未提供</x:v>
      </x:c>
      <x:c r="Q912" s="14" t="str">
        <x:v>未提供</x:v>
      </x:c>
      <x:c r="R912" s="14" t="str">
        <x:v>预测</x:v>
      </x:c>
      <x:c r="S912" s="14" t="str">
        <x:v>到站时间为估算值</x:v>
      </x:c>
      <x:c r="T912" t="str">
        <x:v>研究生宿舍楼发车</x:v>
      </x:c>
    </x:row>
    <x:row r="913">
      <x:c r="A913" s="14" t="str">
        <x:v>S0074-08</x:v>
      </x:c>
      <x:c r="B913" s="14" t="str">
        <x:v>S0074</x:v>
      </x:c>
      <x:c r="C913" s="14" t="str">
        <x:v>工作日</x:v>
      </x:c>
      <x:c r="D913" s="14" t="str">
        <x:v>环线2路</x:v>
      </x:c>
      <x:c r="E913" s="14" t="str">
        <x:v>第一班</x:v>
      </x:c>
      <x:c r="F913" s="14" t="n">
        <x:v>4</x:v>
      </x:c>
      <x:c r="G913" s="14" t="str">
        <x:v>8:20</x:v>
      </x:c>
      <x:c r="H913" s="14" t="str">
        <x:v>研究生宿舍楼</x:v>
      </x:c>
      <x:c r="I913" s="14" t="str">
        <x:v>否</x:v>
      </x:c>
      <x:c r="J913" s="14" t="n">
        <x:v>8</x:v>
      </x:c>
      <x:c r="K913" s="14" t="str">
        <x:v>5号宿舍楼</x:v>
      </x:c>
      <x:c r="L913" s="14" t="n">
        <x:v>9</x:v>
      </x:c>
      <x:c r="M913" s="14" t="str">
        <x:v>08:29</x:v>
      </x:c>
      <x:c r="N913" s="14" t="str">
        <x:v>否</x:v>
      </x:c>
      <x:c r="O913" s="14" t="str">
        <x:v>否</x:v>
      </x:c>
      <x:c r="P913" s="14" t="str">
        <x:v>未提供</x:v>
      </x:c>
      <x:c r="Q913" s="14" t="str">
        <x:v>未提供</x:v>
      </x:c>
      <x:c r="R913" s="14" t="str">
        <x:v>预测</x:v>
      </x:c>
      <x:c r="S913" s="14" t="str">
        <x:v>到站时间为估算值</x:v>
      </x:c>
      <x:c r="T913" t="str">
        <x:v>研究生宿舍楼发车</x:v>
      </x:c>
    </x:row>
    <x:row r="914">
      <x:c r="A914" s="14" t="str">
        <x:v>S0074-09</x:v>
      </x:c>
      <x:c r="B914" s="14" t="str">
        <x:v>S0074</x:v>
      </x:c>
      <x:c r="C914" s="14" t="str">
        <x:v>工作日</x:v>
      </x:c>
      <x:c r="D914" s="14" t="str">
        <x:v>环线2路</x:v>
      </x:c>
      <x:c r="E914" s="14" t="str">
        <x:v>第一班</x:v>
      </x:c>
      <x:c r="F914" s="14" t="n">
        <x:v>4</x:v>
      </x:c>
      <x:c r="G914" s="14" t="str">
        <x:v>8:20</x:v>
      </x:c>
      <x:c r="H914" s="14" t="str">
        <x:v>研究生宿舍楼</x:v>
      </x:c>
      <x:c r="I914" s="14" t="str">
        <x:v>否</x:v>
      </x:c>
      <x:c r="J914" s="14" t="n">
        <x:v>9</x:v>
      </x:c>
      <x:c r="K914" s="14" t="str">
        <x:v>305教学楼</x:v>
      </x:c>
      <x:c r="L914" s="14" t="n">
        <x:v>10</x:v>
      </x:c>
      <x:c r="M914" s="14" t="str">
        <x:v>08:30</x:v>
      </x:c>
      <x:c r="N914" s="14" t="str">
        <x:v>否</x:v>
      </x:c>
      <x:c r="O914" s="14" t="str">
        <x:v>否</x:v>
      </x:c>
      <x:c r="P914" s="14" t="str">
        <x:v>未提供</x:v>
      </x:c>
      <x:c r="Q914" s="14" t="str">
        <x:v>未提供</x:v>
      </x:c>
      <x:c r="R914" s="14" t="str">
        <x:v>预测</x:v>
      </x:c>
      <x:c r="S914" s="14" t="str">
        <x:v>到站时间为估算值</x:v>
      </x:c>
      <x:c r="T914" t="str">
        <x:v>研究生宿舍楼发车</x:v>
      </x:c>
    </x:row>
    <x:row r="915">
      <x:c r="A915" s="14" t="str">
        <x:v>S0074-10</x:v>
      </x:c>
      <x:c r="B915" s="14" t="str">
        <x:v>S0074</x:v>
      </x:c>
      <x:c r="C915" s="14" t="str">
        <x:v>工作日</x:v>
      </x:c>
      <x:c r="D915" s="14" t="str">
        <x:v>环线2路</x:v>
      </x:c>
      <x:c r="E915" s="14" t="str">
        <x:v>第一班</x:v>
      </x:c>
      <x:c r="F915" s="14" t="n">
        <x:v>4</x:v>
      </x:c>
      <x:c r="G915" s="14" t="str">
        <x:v>8:20</x:v>
      </x:c>
      <x:c r="H915" s="14" t="str">
        <x:v>研究生宿舍楼</x:v>
      </x:c>
      <x:c r="I915" s="14" t="str">
        <x:v>否</x:v>
      </x:c>
      <x:c r="J915" s="14" t="n">
        <x:v>10</x:v>
      </x:c>
      <x:c r="K915" s="14" t="str">
        <x:v>研究生宿舍楼</x:v>
      </x:c>
      <x:c r="L915" s="14" t="n">
        <x:v>12</x:v>
      </x:c>
      <x:c r="M915" s="14" t="str">
        <x:v>08:32</x:v>
      </x:c>
      <x:c r="N915" s="14" t="str">
        <x:v>否</x:v>
      </x:c>
      <x:c r="O915" s="14" t="str">
        <x:v>是</x:v>
      </x:c>
      <x:c r="P915" s="14" t="str">
        <x:v>未提供</x:v>
      </x:c>
      <x:c r="Q915" s="14" t="str">
        <x:v>未提供</x:v>
      </x:c>
      <x:c r="R915" s="14" t="str">
        <x:v>预测</x:v>
      </x:c>
      <x:c r="S915" s="14" t="str">
        <x:v>到站时间为估算值</x:v>
      </x:c>
      <x:c r="T915" t="str">
        <x:v>研究生宿舍楼发车</x:v>
      </x:c>
    </x:row>
    <x:row r="916">
      <x:c r="A916" s="14" t="str">
        <x:v>S0075-01</x:v>
      </x:c>
      <x:c r="B916" s="14" t="str">
        <x:v>S0075</x:v>
      </x:c>
      <x:c r="C916" s="14" t="str">
        <x:v>工作日</x:v>
      </x:c>
      <x:c r="D916" s="14" t="str">
        <x:v>环线2路</x:v>
      </x:c>
      <x:c r="E916" s="14" t="str">
        <x:v>第一班</x:v>
      </x:c>
      <x:c r="F916" s="14" t="n">
        <x:v>5</x:v>
      </x:c>
      <x:c r="G916" s="14" t="str">
        <x:v>8:35</x:v>
      </x:c>
      <x:c r="H916" s="14" t="str">
        <x:v>研究生宿舍楼</x:v>
      </x:c>
      <x:c r="I916" s="14" t="str">
        <x:v>否</x:v>
      </x:c>
      <x:c r="J916" s="14" t="n">
        <x:v>1</x:v>
      </x:c>
      <x:c r="K916" s="14" t="str">
        <x:v>研究生宿舍楼</x:v>
      </x:c>
      <x:c r="L916" s="14" t="n">
        <x:v>0</x:v>
      </x:c>
      <x:c r="M916" s="14" t="str">
        <x:v>08:35</x:v>
      </x:c>
      <x:c r="N916" s="14" t="str">
        <x:v>是</x:v>
      </x:c>
      <x:c r="O916" s="14" t="str">
        <x:v>否</x:v>
      </x:c>
      <x:c r="P916" s="14" t="str">
        <x:v>未提供</x:v>
      </x:c>
      <x:c r="Q916" s="14" t="str">
        <x:v>未提供</x:v>
      </x:c>
      <x:c r="R916" s="14" t="str">
        <x:v>预测</x:v>
      </x:c>
      <x:c r="S916" s="14" t="str">
        <x:v>到站时间为估算值</x:v>
      </x:c>
      <x:c r="T916" t="str">
        <x:v>研究生宿舍楼发车</x:v>
      </x:c>
    </x:row>
    <x:row r="917">
      <x:c r="A917" s="14" t="str">
        <x:v>S0075-02</x:v>
      </x:c>
      <x:c r="B917" s="14" t="str">
        <x:v>S0075</x:v>
      </x:c>
      <x:c r="C917" s="14" t="str">
        <x:v>工作日</x:v>
      </x:c>
      <x:c r="D917" s="14" t="str">
        <x:v>环线2路</x:v>
      </x:c>
      <x:c r="E917" s="14" t="str">
        <x:v>第一班</x:v>
      </x:c>
      <x:c r="F917" s="14" t="n">
        <x:v>5</x:v>
      </x:c>
      <x:c r="G917" s="14" t="str">
        <x:v>8:35</x:v>
      </x:c>
      <x:c r="H917" s="14" t="str">
        <x:v>研究生宿舍楼</x:v>
      </x:c>
      <x:c r="I917" s="14" t="str">
        <x:v>否</x:v>
      </x:c>
      <x:c r="J917" s="14" t="n">
        <x:v>2</x:v>
      </x:c>
      <x:c r="K917" s="14" t="str">
        <x:v>一食堂</x:v>
      </x:c>
      <x:c r="L917" s="14" t="n">
        <x:v>1</x:v>
      </x:c>
      <x:c r="M917" s="14" t="str">
        <x:v>08:36</x:v>
      </x:c>
      <x:c r="N917" s="14" t="str">
        <x:v>否</x:v>
      </x:c>
      <x:c r="O917" s="14" t="str">
        <x:v>否</x:v>
      </x:c>
      <x:c r="P917" s="14" t="str">
        <x:v>未提供</x:v>
      </x:c>
      <x:c r="Q917" s="14" t="str">
        <x:v>未提供</x:v>
      </x:c>
      <x:c r="R917" s="14" t="str">
        <x:v>预测</x:v>
      </x:c>
      <x:c r="S917" s="14" t="str">
        <x:v>到站时间为估算值</x:v>
      </x:c>
      <x:c r="T917" t="str">
        <x:v>研究生宿舍楼发车</x:v>
      </x:c>
    </x:row>
    <x:row r="918">
      <x:c r="A918" s="14" t="str">
        <x:v>S0075-03</x:v>
      </x:c>
      <x:c r="B918" s="14" t="str">
        <x:v>S0075</x:v>
      </x:c>
      <x:c r="C918" s="14" t="str">
        <x:v>工作日</x:v>
      </x:c>
      <x:c r="D918" s="14" t="str">
        <x:v>环线2路</x:v>
      </x:c>
      <x:c r="E918" s="14" t="str">
        <x:v>第一班</x:v>
      </x:c>
      <x:c r="F918" s="14" t="n">
        <x:v>5</x:v>
      </x:c>
      <x:c r="G918" s="14" t="str">
        <x:v>8:35</x:v>
      </x:c>
      <x:c r="H918" s="14" t="str">
        <x:v>研究生宿舍楼</x:v>
      </x:c>
      <x:c r="I918" s="14" t="str">
        <x:v>否</x:v>
      </x:c>
      <x:c r="J918" s="14" t="n">
        <x:v>3</x:v>
      </x:c>
      <x:c r="K918" s="14" t="str">
        <x:v>门诊部</x:v>
      </x:c>
      <x:c r="L918" s="14" t="n">
        <x:v>2</x:v>
      </x:c>
      <x:c r="M918" s="14" t="str">
        <x:v>08:37</x:v>
      </x:c>
      <x:c r="N918" s="14" t="str">
        <x:v>否</x:v>
      </x:c>
      <x:c r="O918" s="14" t="str">
        <x:v>否</x:v>
      </x:c>
      <x:c r="P918" s="14" t="str">
        <x:v>未提供</x:v>
      </x:c>
      <x:c r="Q918" s="14" t="str">
        <x:v>未提供</x:v>
      </x:c>
      <x:c r="R918" s="14" t="str">
        <x:v>预测</x:v>
      </x:c>
      <x:c r="S918" s="14" t="str">
        <x:v>到站时间为估算值</x:v>
      </x:c>
      <x:c r="T918" t="str">
        <x:v>研究生宿舍楼发车</x:v>
      </x:c>
    </x:row>
    <x:row r="919">
      <x:c r="A919" s="14" t="str">
        <x:v>S0075-04</x:v>
      </x:c>
      <x:c r="B919" s="14" t="str">
        <x:v>S0075</x:v>
      </x:c>
      <x:c r="C919" s="14" t="str">
        <x:v>工作日</x:v>
      </x:c>
      <x:c r="D919" s="14" t="str">
        <x:v>环线2路</x:v>
      </x:c>
      <x:c r="E919" s="14" t="str">
        <x:v>第一班</x:v>
      </x:c>
      <x:c r="F919" s="14" t="n">
        <x:v>5</x:v>
      </x:c>
      <x:c r="G919" s="14" t="str">
        <x:v>8:35</x:v>
      </x:c>
      <x:c r="H919" s="14" t="str">
        <x:v>研究生宿舍楼</x:v>
      </x:c>
      <x:c r="I919" s="14" t="str">
        <x:v>否</x:v>
      </x:c>
      <x:c r="J919" s="14" t="n">
        <x:v>4</x:v>
      </x:c>
      <x:c r="K919" s="14" t="str">
        <x:v>1号宿舍楼</x:v>
      </x:c>
      <x:c r="L919" s="14" t="n">
        <x:v>3</x:v>
      </x:c>
      <x:c r="M919" s="14" t="str">
        <x:v>08:38</x:v>
      </x:c>
      <x:c r="N919" s="14" t="str">
        <x:v>否</x:v>
      </x:c>
      <x:c r="O919" s="14" t="str">
        <x:v>否</x:v>
      </x:c>
      <x:c r="P919" s="14" t="str">
        <x:v>未提供</x:v>
      </x:c>
      <x:c r="Q919" s="14" t="str">
        <x:v>未提供</x:v>
      </x:c>
      <x:c r="R919" s="14" t="str">
        <x:v>预测</x:v>
      </x:c>
      <x:c r="S919" s="14" t="str">
        <x:v>到站时间为估算值</x:v>
      </x:c>
      <x:c r="T919" t="str">
        <x:v>研究生宿舍楼发车</x:v>
      </x:c>
    </x:row>
    <x:row r="920">
      <x:c r="A920" s="14" t="str">
        <x:v>S0075-05</x:v>
      </x:c>
      <x:c r="B920" s="14" t="str">
        <x:v>S0075</x:v>
      </x:c>
      <x:c r="C920" s="14" t="str">
        <x:v>工作日</x:v>
      </x:c>
      <x:c r="D920" s="14" t="str">
        <x:v>环线2路</x:v>
      </x:c>
      <x:c r="E920" s="14" t="str">
        <x:v>第一班</x:v>
      </x:c>
      <x:c r="F920" s="14" t="n">
        <x:v>5</x:v>
      </x:c>
      <x:c r="G920" s="14" t="str">
        <x:v>8:35</x:v>
      </x:c>
      <x:c r="H920" s="14" t="str">
        <x:v>研究生宿舍楼</x:v>
      </x:c>
      <x:c r="I920" s="14" t="str">
        <x:v>否</x:v>
      </x:c>
      <x:c r="J920" s="14" t="n">
        <x:v>5</x:v>
      </x:c>
      <x:c r="K920" s="14" t="str">
        <x:v>水上训练中心</x:v>
      </x:c>
      <x:c r="L920" s="14" t="n">
        <x:v>5</x:v>
      </x:c>
      <x:c r="M920" s="14" t="str">
        <x:v>08:40</x:v>
      </x:c>
      <x:c r="N920" s="14" t="str">
        <x:v>否</x:v>
      </x:c>
      <x:c r="O920" s="14" t="str">
        <x:v>否</x:v>
      </x:c>
      <x:c r="P920" s="14" t="str">
        <x:v>未提供</x:v>
      </x:c>
      <x:c r="Q920" s="14" t="str">
        <x:v>未提供</x:v>
      </x:c>
      <x:c r="R920" s="14" t="str">
        <x:v>预测</x:v>
      </x:c>
      <x:c r="S920" s="14" t="str">
        <x:v>到站时间为估算值</x:v>
      </x:c>
      <x:c r="T920" t="str">
        <x:v>研究生宿舍楼发车</x:v>
      </x:c>
    </x:row>
    <x:row r="921">
      <x:c r="A921" s="14" t="str">
        <x:v>S0075-06</x:v>
      </x:c>
      <x:c r="B921" s="14" t="str">
        <x:v>S0075</x:v>
      </x:c>
      <x:c r="C921" s="14" t="str">
        <x:v>工作日</x:v>
      </x:c>
      <x:c r="D921" s="14" t="str">
        <x:v>环线2路</x:v>
      </x:c>
      <x:c r="E921" s="14" t="str">
        <x:v>第一班</x:v>
      </x:c>
      <x:c r="F921" s="14" t="n">
        <x:v>5</x:v>
      </x:c>
      <x:c r="G921" s="14" t="str">
        <x:v>8:35</x:v>
      </x:c>
      <x:c r="H921" s="14" t="str">
        <x:v>研究生宿舍楼</x:v>
      </x:c>
      <x:c r="I921" s="14" t="str">
        <x:v>否</x:v>
      </x:c>
      <x:c r="J921" s="14" t="n">
        <x:v>6</x:v>
      </x:c>
      <x:c r="K921" s="14" t="str">
        <x:v>军体活动中心</x:v>
      </x:c>
      <x:c r="L921" s="14" t="n">
        <x:v>6</x:v>
      </x:c>
      <x:c r="M921" s="14" t="str">
        <x:v>08:41</x:v>
      </x:c>
      <x:c r="N921" s="14" t="str">
        <x:v>否</x:v>
      </x:c>
      <x:c r="O921" s="14" t="str">
        <x:v>否</x:v>
      </x:c>
      <x:c r="P921" s="14" t="str">
        <x:v>未提供</x:v>
      </x:c>
      <x:c r="Q921" s="14" t="str">
        <x:v>未提供</x:v>
      </x:c>
      <x:c r="R921" s="14" t="str">
        <x:v>预测</x:v>
      </x:c>
      <x:c r="S921" s="14" t="str">
        <x:v>到站时间为估算值</x:v>
      </x:c>
      <x:c r="T921" t="str">
        <x:v>研究生宿舍楼发车</x:v>
      </x:c>
    </x:row>
    <x:row r="922">
      <x:c r="A922" s="14" t="str">
        <x:v>S0075-07</x:v>
      </x:c>
      <x:c r="B922" s="14" t="str">
        <x:v>S0075</x:v>
      </x:c>
      <x:c r="C922" s="14" t="str">
        <x:v>工作日</x:v>
      </x:c>
      <x:c r="D922" s="14" t="str">
        <x:v>环线2路</x:v>
      </x:c>
      <x:c r="E922" s="14" t="str">
        <x:v>第一班</x:v>
      </x:c>
      <x:c r="F922" s="14" t="n">
        <x:v>5</x:v>
      </x:c>
      <x:c r="G922" s="14" t="str">
        <x:v>8:35</x:v>
      </x:c>
      <x:c r="H922" s="14" t="str">
        <x:v>研究生宿舍楼</x:v>
      </x:c>
      <x:c r="I922" s="14" t="str">
        <x:v>否</x:v>
      </x:c>
      <x:c r="J922" s="14" t="n">
        <x:v>7</x:v>
      </x:c>
      <x:c r="K922" s="14" t="str">
        <x:v>二食堂</x:v>
      </x:c>
      <x:c r="L922" s="14" t="n">
        <x:v>8</x:v>
      </x:c>
      <x:c r="M922" s="14" t="str">
        <x:v>08:43</x:v>
      </x:c>
      <x:c r="N922" s="14" t="str">
        <x:v>否</x:v>
      </x:c>
      <x:c r="O922" s="14" t="str">
        <x:v>否</x:v>
      </x:c>
      <x:c r="P922" s="14" t="str">
        <x:v>未提供</x:v>
      </x:c>
      <x:c r="Q922" s="14" t="str">
        <x:v>未提供</x:v>
      </x:c>
      <x:c r="R922" s="14" t="str">
        <x:v>预测</x:v>
      </x:c>
      <x:c r="S922" s="14" t="str">
        <x:v>到站时间为估算值</x:v>
      </x:c>
      <x:c r="T922" t="str">
        <x:v>研究生宿舍楼发车</x:v>
      </x:c>
    </x:row>
    <x:row r="923">
      <x:c r="A923" s="14" t="str">
        <x:v>S0075-08</x:v>
      </x:c>
      <x:c r="B923" s="14" t="str">
        <x:v>S0075</x:v>
      </x:c>
      <x:c r="C923" s="14" t="str">
        <x:v>工作日</x:v>
      </x:c>
      <x:c r="D923" s="14" t="str">
        <x:v>环线2路</x:v>
      </x:c>
      <x:c r="E923" s="14" t="str">
        <x:v>第一班</x:v>
      </x:c>
      <x:c r="F923" s="14" t="n">
        <x:v>5</x:v>
      </x:c>
      <x:c r="G923" s="14" t="str">
        <x:v>8:35</x:v>
      </x:c>
      <x:c r="H923" s="14" t="str">
        <x:v>研究生宿舍楼</x:v>
      </x:c>
      <x:c r="I923" s="14" t="str">
        <x:v>否</x:v>
      </x:c>
      <x:c r="J923" s="14" t="n">
        <x:v>8</x:v>
      </x:c>
      <x:c r="K923" s="14" t="str">
        <x:v>5号宿舍楼</x:v>
      </x:c>
      <x:c r="L923" s="14" t="n">
        <x:v>9</x:v>
      </x:c>
      <x:c r="M923" s="14" t="str">
        <x:v>08:44</x:v>
      </x:c>
      <x:c r="N923" s="14" t="str">
        <x:v>否</x:v>
      </x:c>
      <x:c r="O923" s="14" t="str">
        <x:v>否</x:v>
      </x:c>
      <x:c r="P923" s="14" t="str">
        <x:v>未提供</x:v>
      </x:c>
      <x:c r="Q923" s="14" t="str">
        <x:v>未提供</x:v>
      </x:c>
      <x:c r="R923" s="14" t="str">
        <x:v>预测</x:v>
      </x:c>
      <x:c r="S923" s="14" t="str">
        <x:v>到站时间为估算值</x:v>
      </x:c>
      <x:c r="T923" t="str">
        <x:v>研究生宿舍楼发车</x:v>
      </x:c>
    </x:row>
    <x:row r="924">
      <x:c r="A924" s="14" t="str">
        <x:v>S0075-09</x:v>
      </x:c>
      <x:c r="B924" s="14" t="str">
        <x:v>S0075</x:v>
      </x:c>
      <x:c r="C924" s="14" t="str">
        <x:v>工作日</x:v>
      </x:c>
      <x:c r="D924" s="14" t="str">
        <x:v>环线2路</x:v>
      </x:c>
      <x:c r="E924" s="14" t="str">
        <x:v>第一班</x:v>
      </x:c>
      <x:c r="F924" s="14" t="n">
        <x:v>5</x:v>
      </x:c>
      <x:c r="G924" s="14" t="str">
        <x:v>8:35</x:v>
      </x:c>
      <x:c r="H924" s="14" t="str">
        <x:v>研究生宿舍楼</x:v>
      </x:c>
      <x:c r="I924" s="14" t="str">
        <x:v>否</x:v>
      </x:c>
      <x:c r="J924" s="14" t="n">
        <x:v>9</x:v>
      </x:c>
      <x:c r="K924" s="14" t="str">
        <x:v>305教学楼</x:v>
      </x:c>
      <x:c r="L924" s="14" t="n">
        <x:v>10</x:v>
      </x:c>
      <x:c r="M924" s="14" t="str">
        <x:v>08:45</x:v>
      </x:c>
      <x:c r="N924" s="14" t="str">
        <x:v>否</x:v>
      </x:c>
      <x:c r="O924" s="14" t="str">
        <x:v>否</x:v>
      </x:c>
      <x:c r="P924" s="14" t="str">
        <x:v>未提供</x:v>
      </x:c>
      <x:c r="Q924" s="14" t="str">
        <x:v>未提供</x:v>
      </x:c>
      <x:c r="R924" s="14" t="str">
        <x:v>预测</x:v>
      </x:c>
      <x:c r="S924" s="14" t="str">
        <x:v>到站时间为估算值</x:v>
      </x:c>
      <x:c r="T924" t="str">
        <x:v>研究生宿舍楼发车</x:v>
      </x:c>
    </x:row>
    <x:row r="925">
      <x:c r="A925" s="14" t="str">
        <x:v>S0075-10</x:v>
      </x:c>
      <x:c r="B925" s="14" t="str">
        <x:v>S0075</x:v>
      </x:c>
      <x:c r="C925" s="14" t="str">
        <x:v>工作日</x:v>
      </x:c>
      <x:c r="D925" s="14" t="str">
        <x:v>环线2路</x:v>
      </x:c>
      <x:c r="E925" s="14" t="str">
        <x:v>第一班</x:v>
      </x:c>
      <x:c r="F925" s="14" t="n">
        <x:v>5</x:v>
      </x:c>
      <x:c r="G925" s="14" t="str">
        <x:v>8:35</x:v>
      </x:c>
      <x:c r="H925" s="14" t="str">
        <x:v>研究生宿舍楼</x:v>
      </x:c>
      <x:c r="I925" s="14" t="str">
        <x:v>否</x:v>
      </x:c>
      <x:c r="J925" s="14" t="n">
        <x:v>10</x:v>
      </x:c>
      <x:c r="K925" s="14" t="str">
        <x:v>研究生宿舍楼</x:v>
      </x:c>
      <x:c r="L925" s="14" t="n">
        <x:v>12</x:v>
      </x:c>
      <x:c r="M925" s="14" t="str">
        <x:v>08:47</x:v>
      </x:c>
      <x:c r="N925" s="14" t="str">
        <x:v>否</x:v>
      </x:c>
      <x:c r="O925" s="14" t="str">
        <x:v>是</x:v>
      </x:c>
      <x:c r="P925" s="14" t="str">
        <x:v>未提供</x:v>
      </x:c>
      <x:c r="Q925" s="14" t="str">
        <x:v>未提供</x:v>
      </x:c>
      <x:c r="R925" s="14" t="str">
        <x:v>预测</x:v>
      </x:c>
      <x:c r="S925" s="14" t="str">
        <x:v>到站时间为估算值</x:v>
      </x:c>
      <x:c r="T925" t="str">
        <x:v>研究生宿舍楼发车</x:v>
      </x:c>
    </x:row>
    <x:row r="926">
      <x:c r="A926" s="14" t="str">
        <x:v>S0076-01</x:v>
      </x:c>
      <x:c r="B926" s="14" t="str">
        <x:v>S0076</x:v>
      </x:c>
      <x:c r="C926" s="14" t="str">
        <x:v>工作日</x:v>
      </x:c>
      <x:c r="D926" s="14" t="str">
        <x:v>环线2路</x:v>
      </x:c>
      <x:c r="E926" s="14" t="str">
        <x:v>第一班</x:v>
      </x:c>
      <x:c r="F926" s="14" t="n">
        <x:v>6</x:v>
      </x:c>
      <x:c r="G926" s="14" t="str">
        <x:v>8:50</x:v>
      </x:c>
      <x:c r="H926" s="14" t="str">
        <x:v>研究生宿舍楼</x:v>
      </x:c>
      <x:c r="I926" s="14" t="str">
        <x:v>否</x:v>
      </x:c>
      <x:c r="J926" s="14" t="n">
        <x:v>1</x:v>
      </x:c>
      <x:c r="K926" s="14" t="str">
        <x:v>研究生宿舍楼</x:v>
      </x:c>
      <x:c r="L926" s="14" t="n">
        <x:v>0</x:v>
      </x:c>
      <x:c r="M926" s="14" t="str">
        <x:v>08:50</x:v>
      </x:c>
      <x:c r="N926" s="14" t="str">
        <x:v>是</x:v>
      </x:c>
      <x:c r="O926" s="14" t="str">
        <x:v>否</x:v>
      </x:c>
      <x:c r="P926" s="14" t="str">
        <x:v>未提供</x:v>
      </x:c>
      <x:c r="Q926" s="14" t="str">
        <x:v>未提供</x:v>
      </x:c>
      <x:c r="R926" s="14" t="str">
        <x:v>预测</x:v>
      </x:c>
      <x:c r="S926" s="14" t="str">
        <x:v>到站时间为估算值</x:v>
      </x:c>
      <x:c r="T926" t="str">
        <x:v>研究生宿舍楼发车</x:v>
      </x:c>
    </x:row>
    <x:row r="927">
      <x:c r="A927" s="14" t="str">
        <x:v>S0076-02</x:v>
      </x:c>
      <x:c r="B927" s="14" t="str">
        <x:v>S0076</x:v>
      </x:c>
      <x:c r="C927" s="14" t="str">
        <x:v>工作日</x:v>
      </x:c>
      <x:c r="D927" s="14" t="str">
        <x:v>环线2路</x:v>
      </x:c>
      <x:c r="E927" s="14" t="str">
        <x:v>第一班</x:v>
      </x:c>
      <x:c r="F927" s="14" t="n">
        <x:v>6</x:v>
      </x:c>
      <x:c r="G927" s="14" t="str">
        <x:v>8:50</x:v>
      </x:c>
      <x:c r="H927" s="14" t="str">
        <x:v>研究生宿舍楼</x:v>
      </x:c>
      <x:c r="I927" s="14" t="str">
        <x:v>否</x:v>
      </x:c>
      <x:c r="J927" s="14" t="n">
        <x:v>2</x:v>
      </x:c>
      <x:c r="K927" s="14" t="str">
        <x:v>一食堂</x:v>
      </x:c>
      <x:c r="L927" s="14" t="n">
        <x:v>1</x:v>
      </x:c>
      <x:c r="M927" s="14" t="str">
        <x:v>08:51</x:v>
      </x:c>
      <x:c r="N927" s="14" t="str">
        <x:v>否</x:v>
      </x:c>
      <x:c r="O927" s="14" t="str">
        <x:v>否</x:v>
      </x:c>
      <x:c r="P927" s="14" t="str">
        <x:v>未提供</x:v>
      </x:c>
      <x:c r="Q927" s="14" t="str">
        <x:v>未提供</x:v>
      </x:c>
      <x:c r="R927" s="14" t="str">
        <x:v>预测</x:v>
      </x:c>
      <x:c r="S927" s="14" t="str">
        <x:v>到站时间为估算值</x:v>
      </x:c>
      <x:c r="T927" t="str">
        <x:v>研究生宿舍楼发车</x:v>
      </x:c>
    </x:row>
    <x:row r="928">
      <x:c r="A928" s="14" t="str">
        <x:v>S0076-03</x:v>
      </x:c>
      <x:c r="B928" s="14" t="str">
        <x:v>S0076</x:v>
      </x:c>
      <x:c r="C928" s="14" t="str">
        <x:v>工作日</x:v>
      </x:c>
      <x:c r="D928" s="14" t="str">
        <x:v>环线2路</x:v>
      </x:c>
      <x:c r="E928" s="14" t="str">
        <x:v>第一班</x:v>
      </x:c>
      <x:c r="F928" s="14" t="n">
        <x:v>6</x:v>
      </x:c>
      <x:c r="G928" s="14" t="str">
        <x:v>8:50</x:v>
      </x:c>
      <x:c r="H928" s="14" t="str">
        <x:v>研究生宿舍楼</x:v>
      </x:c>
      <x:c r="I928" s="14" t="str">
        <x:v>否</x:v>
      </x:c>
      <x:c r="J928" s="14" t="n">
        <x:v>3</x:v>
      </x:c>
      <x:c r="K928" s="14" t="str">
        <x:v>门诊部</x:v>
      </x:c>
      <x:c r="L928" s="14" t="n">
        <x:v>2</x:v>
      </x:c>
      <x:c r="M928" s="14" t="str">
        <x:v>08:52</x:v>
      </x:c>
      <x:c r="N928" s="14" t="str">
        <x:v>否</x:v>
      </x:c>
      <x:c r="O928" s="14" t="str">
        <x:v>否</x:v>
      </x:c>
      <x:c r="P928" s="14" t="str">
        <x:v>未提供</x:v>
      </x:c>
      <x:c r="Q928" s="14" t="str">
        <x:v>未提供</x:v>
      </x:c>
      <x:c r="R928" s="14" t="str">
        <x:v>预测</x:v>
      </x:c>
      <x:c r="S928" s="14" t="str">
        <x:v>到站时间为估算值</x:v>
      </x:c>
      <x:c r="T928" t="str">
        <x:v>研究生宿舍楼发车</x:v>
      </x:c>
    </x:row>
    <x:row r="929">
      <x:c r="A929" s="14" t="str">
        <x:v>S0076-04</x:v>
      </x:c>
      <x:c r="B929" s="14" t="str">
        <x:v>S0076</x:v>
      </x:c>
      <x:c r="C929" s="14" t="str">
        <x:v>工作日</x:v>
      </x:c>
      <x:c r="D929" s="14" t="str">
        <x:v>环线2路</x:v>
      </x:c>
      <x:c r="E929" s="14" t="str">
        <x:v>第一班</x:v>
      </x:c>
      <x:c r="F929" s="14" t="n">
        <x:v>6</x:v>
      </x:c>
      <x:c r="G929" s="14" t="str">
        <x:v>8:50</x:v>
      </x:c>
      <x:c r="H929" s="14" t="str">
        <x:v>研究生宿舍楼</x:v>
      </x:c>
      <x:c r="I929" s="14" t="str">
        <x:v>否</x:v>
      </x:c>
      <x:c r="J929" s="14" t="n">
        <x:v>4</x:v>
      </x:c>
      <x:c r="K929" s="14" t="str">
        <x:v>1号宿舍楼</x:v>
      </x:c>
      <x:c r="L929" s="14" t="n">
        <x:v>3</x:v>
      </x:c>
      <x:c r="M929" s="14" t="str">
        <x:v>08:53</x:v>
      </x:c>
      <x:c r="N929" s="14" t="str">
        <x:v>否</x:v>
      </x:c>
      <x:c r="O929" s="14" t="str">
        <x:v>否</x:v>
      </x:c>
      <x:c r="P929" s="14" t="str">
        <x:v>未提供</x:v>
      </x:c>
      <x:c r="Q929" s="14" t="str">
        <x:v>未提供</x:v>
      </x:c>
      <x:c r="R929" s="14" t="str">
        <x:v>预测</x:v>
      </x:c>
      <x:c r="S929" s="14" t="str">
        <x:v>到站时间为估算值</x:v>
      </x:c>
      <x:c r="T929" t="str">
        <x:v>研究生宿舍楼发车</x:v>
      </x:c>
    </x:row>
    <x:row r="930">
      <x:c r="A930" s="14" t="str">
        <x:v>S0076-05</x:v>
      </x:c>
      <x:c r="B930" s="14" t="str">
        <x:v>S0076</x:v>
      </x:c>
      <x:c r="C930" s="14" t="str">
        <x:v>工作日</x:v>
      </x:c>
      <x:c r="D930" s="14" t="str">
        <x:v>环线2路</x:v>
      </x:c>
      <x:c r="E930" s="14" t="str">
        <x:v>第一班</x:v>
      </x:c>
      <x:c r="F930" s="14" t="n">
        <x:v>6</x:v>
      </x:c>
      <x:c r="G930" s="14" t="str">
        <x:v>8:50</x:v>
      </x:c>
      <x:c r="H930" s="14" t="str">
        <x:v>研究生宿舍楼</x:v>
      </x:c>
      <x:c r="I930" s="14" t="str">
        <x:v>否</x:v>
      </x:c>
      <x:c r="J930" s="14" t="n">
        <x:v>5</x:v>
      </x:c>
      <x:c r="K930" s="14" t="str">
        <x:v>水上训练中心</x:v>
      </x:c>
      <x:c r="L930" s="14" t="n">
        <x:v>5</x:v>
      </x:c>
      <x:c r="M930" s="14" t="str">
        <x:v>08:55</x:v>
      </x:c>
      <x:c r="N930" s="14" t="str">
        <x:v>否</x:v>
      </x:c>
      <x:c r="O930" s="14" t="str">
        <x:v>否</x:v>
      </x:c>
      <x:c r="P930" s="14" t="str">
        <x:v>未提供</x:v>
      </x:c>
      <x:c r="Q930" s="14" t="str">
        <x:v>未提供</x:v>
      </x:c>
      <x:c r="R930" s="14" t="str">
        <x:v>预测</x:v>
      </x:c>
      <x:c r="S930" s="14" t="str">
        <x:v>到站时间为估算值</x:v>
      </x:c>
      <x:c r="T930" t="str">
        <x:v>研究生宿舍楼发车</x:v>
      </x:c>
    </x:row>
    <x:row r="931">
      <x:c r="A931" s="14" t="str">
        <x:v>S0076-06</x:v>
      </x:c>
      <x:c r="B931" s="14" t="str">
        <x:v>S0076</x:v>
      </x:c>
      <x:c r="C931" s="14" t="str">
        <x:v>工作日</x:v>
      </x:c>
      <x:c r="D931" s="14" t="str">
        <x:v>环线2路</x:v>
      </x:c>
      <x:c r="E931" s="14" t="str">
        <x:v>第一班</x:v>
      </x:c>
      <x:c r="F931" s="14" t="n">
        <x:v>6</x:v>
      </x:c>
      <x:c r="G931" s="14" t="str">
        <x:v>8:50</x:v>
      </x:c>
      <x:c r="H931" s="14" t="str">
        <x:v>研究生宿舍楼</x:v>
      </x:c>
      <x:c r="I931" s="14" t="str">
        <x:v>否</x:v>
      </x:c>
      <x:c r="J931" s="14" t="n">
        <x:v>6</x:v>
      </x:c>
      <x:c r="K931" s="14" t="str">
        <x:v>军体活动中心</x:v>
      </x:c>
      <x:c r="L931" s="14" t="n">
        <x:v>6</x:v>
      </x:c>
      <x:c r="M931" s="14" t="str">
        <x:v>08:56</x:v>
      </x:c>
      <x:c r="N931" s="14" t="str">
        <x:v>否</x:v>
      </x:c>
      <x:c r="O931" s="14" t="str">
        <x:v>否</x:v>
      </x:c>
      <x:c r="P931" s="14" t="str">
        <x:v>未提供</x:v>
      </x:c>
      <x:c r="Q931" s="14" t="str">
        <x:v>未提供</x:v>
      </x:c>
      <x:c r="R931" s="14" t="str">
        <x:v>预测</x:v>
      </x:c>
      <x:c r="S931" s="14" t="str">
        <x:v>到站时间为估算值</x:v>
      </x:c>
      <x:c r="T931" t="str">
        <x:v>研究生宿舍楼发车</x:v>
      </x:c>
    </x:row>
    <x:row r="932">
      <x:c r="A932" s="14" t="str">
        <x:v>S0076-07</x:v>
      </x:c>
      <x:c r="B932" s="14" t="str">
        <x:v>S0076</x:v>
      </x:c>
      <x:c r="C932" s="14" t="str">
        <x:v>工作日</x:v>
      </x:c>
      <x:c r="D932" s="14" t="str">
        <x:v>环线2路</x:v>
      </x:c>
      <x:c r="E932" s="14" t="str">
        <x:v>第一班</x:v>
      </x:c>
      <x:c r="F932" s="14" t="n">
        <x:v>6</x:v>
      </x:c>
      <x:c r="G932" s="14" t="str">
        <x:v>8:50</x:v>
      </x:c>
      <x:c r="H932" s="14" t="str">
        <x:v>研究生宿舍楼</x:v>
      </x:c>
      <x:c r="I932" s="14" t="str">
        <x:v>否</x:v>
      </x:c>
      <x:c r="J932" s="14" t="n">
        <x:v>7</x:v>
      </x:c>
      <x:c r="K932" s="14" t="str">
        <x:v>二食堂</x:v>
      </x:c>
      <x:c r="L932" s="14" t="n">
        <x:v>8</x:v>
      </x:c>
      <x:c r="M932" s="14" t="str">
        <x:v>08:58</x:v>
      </x:c>
      <x:c r="N932" s="14" t="str">
        <x:v>否</x:v>
      </x:c>
      <x:c r="O932" s="14" t="str">
        <x:v>否</x:v>
      </x:c>
      <x:c r="P932" s="14" t="str">
        <x:v>未提供</x:v>
      </x:c>
      <x:c r="Q932" s="14" t="str">
        <x:v>未提供</x:v>
      </x:c>
      <x:c r="R932" s="14" t="str">
        <x:v>预测</x:v>
      </x:c>
      <x:c r="S932" s="14" t="str">
        <x:v>到站时间为估算值</x:v>
      </x:c>
      <x:c r="T932" t="str">
        <x:v>研究生宿舍楼发车</x:v>
      </x:c>
    </x:row>
    <x:row r="933">
      <x:c r="A933" s="14" t="str">
        <x:v>S0076-08</x:v>
      </x:c>
      <x:c r="B933" s="14" t="str">
        <x:v>S0076</x:v>
      </x:c>
      <x:c r="C933" s="14" t="str">
        <x:v>工作日</x:v>
      </x:c>
      <x:c r="D933" s="14" t="str">
        <x:v>环线2路</x:v>
      </x:c>
      <x:c r="E933" s="14" t="str">
        <x:v>第一班</x:v>
      </x:c>
      <x:c r="F933" s="14" t="n">
        <x:v>6</x:v>
      </x:c>
      <x:c r="G933" s="14" t="str">
        <x:v>8:50</x:v>
      </x:c>
      <x:c r="H933" s="14" t="str">
        <x:v>研究生宿舍楼</x:v>
      </x:c>
      <x:c r="I933" s="14" t="str">
        <x:v>否</x:v>
      </x:c>
      <x:c r="J933" s="14" t="n">
        <x:v>8</x:v>
      </x:c>
      <x:c r="K933" s="14" t="str">
        <x:v>5号宿舍楼</x:v>
      </x:c>
      <x:c r="L933" s="14" t="n">
        <x:v>9</x:v>
      </x:c>
      <x:c r="M933" s="14" t="str">
        <x:v>08:59</x:v>
      </x:c>
      <x:c r="N933" s="14" t="str">
        <x:v>否</x:v>
      </x:c>
      <x:c r="O933" s="14" t="str">
        <x:v>否</x:v>
      </x:c>
      <x:c r="P933" s="14" t="str">
        <x:v>未提供</x:v>
      </x:c>
      <x:c r="Q933" s="14" t="str">
        <x:v>未提供</x:v>
      </x:c>
      <x:c r="R933" s="14" t="str">
        <x:v>预测</x:v>
      </x:c>
      <x:c r="S933" s="14" t="str">
        <x:v>到站时间为估算值</x:v>
      </x:c>
      <x:c r="T933" t="str">
        <x:v>研究生宿舍楼发车</x:v>
      </x:c>
    </x:row>
    <x:row r="934">
      <x:c r="A934" s="14" t="str">
        <x:v>S0076-09</x:v>
      </x:c>
      <x:c r="B934" s="14" t="str">
        <x:v>S0076</x:v>
      </x:c>
      <x:c r="C934" s="14" t="str">
        <x:v>工作日</x:v>
      </x:c>
      <x:c r="D934" s="14" t="str">
        <x:v>环线2路</x:v>
      </x:c>
      <x:c r="E934" s="14" t="str">
        <x:v>第一班</x:v>
      </x:c>
      <x:c r="F934" s="14" t="n">
        <x:v>6</x:v>
      </x:c>
      <x:c r="G934" s="14" t="str">
        <x:v>8:50</x:v>
      </x:c>
      <x:c r="H934" s="14" t="str">
        <x:v>研究生宿舍楼</x:v>
      </x:c>
      <x:c r="I934" s="14" t="str">
        <x:v>否</x:v>
      </x:c>
      <x:c r="J934" s="14" t="n">
        <x:v>9</x:v>
      </x:c>
      <x:c r="K934" s="14" t="str">
        <x:v>305教学楼</x:v>
      </x:c>
      <x:c r="L934" s="14" t="n">
        <x:v>10</x:v>
      </x:c>
      <x:c r="M934" s="14" t="str">
        <x:v>09:00</x:v>
      </x:c>
      <x:c r="N934" s="14" t="str">
        <x:v>否</x:v>
      </x:c>
      <x:c r="O934" s="14" t="str">
        <x:v>否</x:v>
      </x:c>
      <x:c r="P934" s="14" t="str">
        <x:v>未提供</x:v>
      </x:c>
      <x:c r="Q934" s="14" t="str">
        <x:v>未提供</x:v>
      </x:c>
      <x:c r="R934" s="14" t="str">
        <x:v>预测</x:v>
      </x:c>
      <x:c r="S934" s="14" t="str">
        <x:v>到站时间为估算值</x:v>
      </x:c>
      <x:c r="T934" t="str">
        <x:v>研究生宿舍楼发车</x:v>
      </x:c>
    </x:row>
    <x:row r="935">
      <x:c r="A935" s="14" t="str">
        <x:v>S0076-10</x:v>
      </x:c>
      <x:c r="B935" s="14" t="str">
        <x:v>S0076</x:v>
      </x:c>
      <x:c r="C935" s="14" t="str">
        <x:v>工作日</x:v>
      </x:c>
      <x:c r="D935" s="14" t="str">
        <x:v>环线2路</x:v>
      </x:c>
      <x:c r="E935" s="14" t="str">
        <x:v>第一班</x:v>
      </x:c>
      <x:c r="F935" s="14" t="n">
        <x:v>6</x:v>
      </x:c>
      <x:c r="G935" s="14" t="str">
        <x:v>8:50</x:v>
      </x:c>
      <x:c r="H935" s="14" t="str">
        <x:v>研究生宿舍楼</x:v>
      </x:c>
      <x:c r="I935" s="14" t="str">
        <x:v>否</x:v>
      </x:c>
      <x:c r="J935" s="14" t="n">
        <x:v>10</x:v>
      </x:c>
      <x:c r="K935" s="14" t="str">
        <x:v>研究生宿舍楼</x:v>
      </x:c>
      <x:c r="L935" s="14" t="n">
        <x:v>12</x:v>
      </x:c>
      <x:c r="M935" s="14" t="str">
        <x:v>09:02</x:v>
      </x:c>
      <x:c r="N935" s="14" t="str">
        <x:v>否</x:v>
      </x:c>
      <x:c r="O935" s="14" t="str">
        <x:v>是</x:v>
      </x:c>
      <x:c r="P935" s="14" t="str">
        <x:v>未提供</x:v>
      </x:c>
      <x:c r="Q935" s="14" t="str">
        <x:v>未提供</x:v>
      </x:c>
      <x:c r="R935" s="14" t="str">
        <x:v>预测</x:v>
      </x:c>
      <x:c r="S935" s="14" t="str">
        <x:v>到站时间为估算值</x:v>
      </x:c>
      <x:c r="T935" t="str">
        <x:v>研究生宿舍楼发车</x:v>
      </x:c>
    </x:row>
    <x:row r="936">
      <x:c r="A936" s="14" t="str">
        <x:v>S0077-01</x:v>
      </x:c>
      <x:c r="B936" s="14" t="str">
        <x:v>S0077</x:v>
      </x:c>
      <x:c r="C936" s="14" t="str">
        <x:v>工作日</x:v>
      </x:c>
      <x:c r="D936" s="14" t="str">
        <x:v>环线2路</x:v>
      </x:c>
      <x:c r="E936" s="14" t="str">
        <x:v>第一班</x:v>
      </x:c>
      <x:c r="F936" s="14" t="n">
        <x:v>7</x:v>
      </x:c>
      <x:c r="G936" s="14" t="str">
        <x:v>9:10</x:v>
      </x:c>
      <x:c r="H936" s="14" t="str">
        <x:v>研究生宿舍楼</x:v>
      </x:c>
      <x:c r="I936" s="14" t="str">
        <x:v>否</x:v>
      </x:c>
      <x:c r="J936" s="14" t="n">
        <x:v>1</x:v>
      </x:c>
      <x:c r="K936" s="14" t="str">
        <x:v>研究生宿舍楼</x:v>
      </x:c>
      <x:c r="L936" s="14" t="n">
        <x:v>0</x:v>
      </x:c>
      <x:c r="M936" s="14" t="str">
        <x:v>09:10</x:v>
      </x:c>
      <x:c r="N936" s="14" t="str">
        <x:v>是</x:v>
      </x:c>
      <x:c r="O936" s="14" t="str">
        <x:v>否</x:v>
      </x:c>
      <x:c r="P936" s="14" t="str">
        <x:v>未提供</x:v>
      </x:c>
      <x:c r="Q936" s="14" t="str">
        <x:v>未提供</x:v>
      </x:c>
      <x:c r="R936" s="14" t="str">
        <x:v>预测</x:v>
      </x:c>
      <x:c r="S936" s="14" t="str">
        <x:v>到站时间为估算值</x:v>
      </x:c>
      <x:c r="T936" t="str">
        <x:v>研究生宿舍楼发车</x:v>
      </x:c>
    </x:row>
    <x:row r="937">
      <x:c r="A937" s="14" t="str">
        <x:v>S0077-02</x:v>
      </x:c>
      <x:c r="B937" s="14" t="str">
        <x:v>S0077</x:v>
      </x:c>
      <x:c r="C937" s="14" t="str">
        <x:v>工作日</x:v>
      </x:c>
      <x:c r="D937" s="14" t="str">
        <x:v>环线2路</x:v>
      </x:c>
      <x:c r="E937" s="14" t="str">
        <x:v>第一班</x:v>
      </x:c>
      <x:c r="F937" s="14" t="n">
        <x:v>7</x:v>
      </x:c>
      <x:c r="G937" s="14" t="str">
        <x:v>9:10</x:v>
      </x:c>
      <x:c r="H937" s="14" t="str">
        <x:v>研究生宿舍楼</x:v>
      </x:c>
      <x:c r="I937" s="14" t="str">
        <x:v>否</x:v>
      </x:c>
      <x:c r="J937" s="14" t="n">
        <x:v>2</x:v>
      </x:c>
      <x:c r="K937" s="14" t="str">
        <x:v>一食堂</x:v>
      </x:c>
      <x:c r="L937" s="14" t="n">
        <x:v>1</x:v>
      </x:c>
      <x:c r="M937" s="14" t="str">
        <x:v>09:11</x:v>
      </x:c>
      <x:c r="N937" s="14" t="str">
        <x:v>否</x:v>
      </x:c>
      <x:c r="O937" s="14" t="str">
        <x:v>否</x:v>
      </x:c>
      <x:c r="P937" s="14" t="str">
        <x:v>未提供</x:v>
      </x:c>
      <x:c r="Q937" s="14" t="str">
        <x:v>未提供</x:v>
      </x:c>
      <x:c r="R937" s="14" t="str">
        <x:v>预测</x:v>
      </x:c>
      <x:c r="S937" s="14" t="str">
        <x:v>到站时间为估算值</x:v>
      </x:c>
      <x:c r="T937" t="str">
        <x:v>研究生宿舍楼发车</x:v>
      </x:c>
    </x:row>
    <x:row r="938">
      <x:c r="A938" s="14" t="str">
        <x:v>S0077-03</x:v>
      </x:c>
      <x:c r="B938" s="14" t="str">
        <x:v>S0077</x:v>
      </x:c>
      <x:c r="C938" s="14" t="str">
        <x:v>工作日</x:v>
      </x:c>
      <x:c r="D938" s="14" t="str">
        <x:v>环线2路</x:v>
      </x:c>
      <x:c r="E938" s="14" t="str">
        <x:v>第一班</x:v>
      </x:c>
      <x:c r="F938" s="14" t="n">
        <x:v>7</x:v>
      </x:c>
      <x:c r="G938" s="14" t="str">
        <x:v>9:10</x:v>
      </x:c>
      <x:c r="H938" s="14" t="str">
        <x:v>研究生宿舍楼</x:v>
      </x:c>
      <x:c r="I938" s="14" t="str">
        <x:v>否</x:v>
      </x:c>
      <x:c r="J938" s="14" t="n">
        <x:v>3</x:v>
      </x:c>
      <x:c r="K938" s="14" t="str">
        <x:v>门诊部</x:v>
      </x:c>
      <x:c r="L938" s="14" t="n">
        <x:v>2</x:v>
      </x:c>
      <x:c r="M938" s="14" t="str">
        <x:v>09:12</x:v>
      </x:c>
      <x:c r="N938" s="14" t="str">
        <x:v>否</x:v>
      </x:c>
      <x:c r="O938" s="14" t="str">
        <x:v>否</x:v>
      </x:c>
      <x:c r="P938" s="14" t="str">
        <x:v>未提供</x:v>
      </x:c>
      <x:c r="Q938" s="14" t="str">
        <x:v>未提供</x:v>
      </x:c>
      <x:c r="R938" s="14" t="str">
        <x:v>预测</x:v>
      </x:c>
      <x:c r="S938" s="14" t="str">
        <x:v>到站时间为估算值</x:v>
      </x:c>
      <x:c r="T938" t="str">
        <x:v>研究生宿舍楼发车</x:v>
      </x:c>
    </x:row>
    <x:row r="939">
      <x:c r="A939" s="14" t="str">
        <x:v>S0077-04</x:v>
      </x:c>
      <x:c r="B939" s="14" t="str">
        <x:v>S0077</x:v>
      </x:c>
      <x:c r="C939" s="14" t="str">
        <x:v>工作日</x:v>
      </x:c>
      <x:c r="D939" s="14" t="str">
        <x:v>环线2路</x:v>
      </x:c>
      <x:c r="E939" s="14" t="str">
        <x:v>第一班</x:v>
      </x:c>
      <x:c r="F939" s="14" t="n">
        <x:v>7</x:v>
      </x:c>
      <x:c r="G939" s="14" t="str">
        <x:v>9:10</x:v>
      </x:c>
      <x:c r="H939" s="14" t="str">
        <x:v>研究生宿舍楼</x:v>
      </x:c>
      <x:c r="I939" s="14" t="str">
        <x:v>否</x:v>
      </x:c>
      <x:c r="J939" s="14" t="n">
        <x:v>4</x:v>
      </x:c>
      <x:c r="K939" s="14" t="str">
        <x:v>1号宿舍楼</x:v>
      </x:c>
      <x:c r="L939" s="14" t="n">
        <x:v>3</x:v>
      </x:c>
      <x:c r="M939" s="14" t="str">
        <x:v>09:13</x:v>
      </x:c>
      <x:c r="N939" s="14" t="str">
        <x:v>否</x:v>
      </x:c>
      <x:c r="O939" s="14" t="str">
        <x:v>否</x:v>
      </x:c>
      <x:c r="P939" s="14" t="str">
        <x:v>未提供</x:v>
      </x:c>
      <x:c r="Q939" s="14" t="str">
        <x:v>未提供</x:v>
      </x:c>
      <x:c r="R939" s="14" t="str">
        <x:v>预测</x:v>
      </x:c>
      <x:c r="S939" s="14" t="str">
        <x:v>到站时间为估算值</x:v>
      </x:c>
      <x:c r="T939" t="str">
        <x:v>研究生宿舍楼发车</x:v>
      </x:c>
    </x:row>
    <x:row r="940">
      <x:c r="A940" s="14" t="str">
        <x:v>S0077-05</x:v>
      </x:c>
      <x:c r="B940" s="14" t="str">
        <x:v>S0077</x:v>
      </x:c>
      <x:c r="C940" s="14" t="str">
        <x:v>工作日</x:v>
      </x:c>
      <x:c r="D940" s="14" t="str">
        <x:v>环线2路</x:v>
      </x:c>
      <x:c r="E940" s="14" t="str">
        <x:v>第一班</x:v>
      </x:c>
      <x:c r="F940" s="14" t="n">
        <x:v>7</x:v>
      </x:c>
      <x:c r="G940" s="14" t="str">
        <x:v>9:10</x:v>
      </x:c>
      <x:c r="H940" s="14" t="str">
        <x:v>研究生宿舍楼</x:v>
      </x:c>
      <x:c r="I940" s="14" t="str">
        <x:v>否</x:v>
      </x:c>
      <x:c r="J940" s="14" t="n">
        <x:v>5</x:v>
      </x:c>
      <x:c r="K940" s="14" t="str">
        <x:v>水上训练中心</x:v>
      </x:c>
      <x:c r="L940" s="14" t="n">
        <x:v>5</x:v>
      </x:c>
      <x:c r="M940" s="14" t="str">
        <x:v>09:15</x:v>
      </x:c>
      <x:c r="N940" s="14" t="str">
        <x:v>否</x:v>
      </x:c>
      <x:c r="O940" s="14" t="str">
        <x:v>否</x:v>
      </x:c>
      <x:c r="P940" s="14" t="str">
        <x:v>未提供</x:v>
      </x:c>
      <x:c r="Q940" s="14" t="str">
        <x:v>未提供</x:v>
      </x:c>
      <x:c r="R940" s="14" t="str">
        <x:v>预测</x:v>
      </x:c>
      <x:c r="S940" s="14" t="str">
        <x:v>到站时间为估算值</x:v>
      </x:c>
      <x:c r="T940" t="str">
        <x:v>研究生宿舍楼发车</x:v>
      </x:c>
    </x:row>
    <x:row r="941">
      <x:c r="A941" s="14" t="str">
        <x:v>S0077-06</x:v>
      </x:c>
      <x:c r="B941" s="14" t="str">
        <x:v>S0077</x:v>
      </x:c>
      <x:c r="C941" s="14" t="str">
        <x:v>工作日</x:v>
      </x:c>
      <x:c r="D941" s="14" t="str">
        <x:v>环线2路</x:v>
      </x:c>
      <x:c r="E941" s="14" t="str">
        <x:v>第一班</x:v>
      </x:c>
      <x:c r="F941" s="14" t="n">
        <x:v>7</x:v>
      </x:c>
      <x:c r="G941" s="14" t="str">
        <x:v>9:10</x:v>
      </x:c>
      <x:c r="H941" s="14" t="str">
        <x:v>研究生宿舍楼</x:v>
      </x:c>
      <x:c r="I941" s="14" t="str">
        <x:v>否</x:v>
      </x:c>
      <x:c r="J941" s="14" t="n">
        <x:v>6</x:v>
      </x:c>
      <x:c r="K941" s="14" t="str">
        <x:v>军体活动中心</x:v>
      </x:c>
      <x:c r="L941" s="14" t="n">
        <x:v>6</x:v>
      </x:c>
      <x:c r="M941" s="14" t="str">
        <x:v>09:16</x:v>
      </x:c>
      <x:c r="N941" s="14" t="str">
        <x:v>否</x:v>
      </x:c>
      <x:c r="O941" s="14" t="str">
        <x:v>否</x:v>
      </x:c>
      <x:c r="P941" s="14" t="str">
        <x:v>未提供</x:v>
      </x:c>
      <x:c r="Q941" s="14" t="str">
        <x:v>未提供</x:v>
      </x:c>
      <x:c r="R941" s="14" t="str">
        <x:v>预测</x:v>
      </x:c>
      <x:c r="S941" s="14" t="str">
        <x:v>到站时间为估算值</x:v>
      </x:c>
      <x:c r="T941" t="str">
        <x:v>研究生宿舍楼发车</x:v>
      </x:c>
    </x:row>
    <x:row r="942">
      <x:c r="A942" s="14" t="str">
        <x:v>S0077-07</x:v>
      </x:c>
      <x:c r="B942" s="14" t="str">
        <x:v>S0077</x:v>
      </x:c>
      <x:c r="C942" s="14" t="str">
        <x:v>工作日</x:v>
      </x:c>
      <x:c r="D942" s="14" t="str">
        <x:v>环线2路</x:v>
      </x:c>
      <x:c r="E942" s="14" t="str">
        <x:v>第一班</x:v>
      </x:c>
      <x:c r="F942" s="14" t="n">
        <x:v>7</x:v>
      </x:c>
      <x:c r="G942" s="14" t="str">
        <x:v>9:10</x:v>
      </x:c>
      <x:c r="H942" s="14" t="str">
        <x:v>研究生宿舍楼</x:v>
      </x:c>
      <x:c r="I942" s="14" t="str">
        <x:v>否</x:v>
      </x:c>
      <x:c r="J942" s="14" t="n">
        <x:v>7</x:v>
      </x:c>
      <x:c r="K942" s="14" t="str">
        <x:v>二食堂</x:v>
      </x:c>
      <x:c r="L942" s="14" t="n">
        <x:v>8</x:v>
      </x:c>
      <x:c r="M942" s="14" t="str">
        <x:v>09:18</x:v>
      </x:c>
      <x:c r="N942" s="14" t="str">
        <x:v>否</x:v>
      </x:c>
      <x:c r="O942" s="14" t="str">
        <x:v>否</x:v>
      </x:c>
      <x:c r="P942" s="14" t="str">
        <x:v>未提供</x:v>
      </x:c>
      <x:c r="Q942" s="14" t="str">
        <x:v>未提供</x:v>
      </x:c>
      <x:c r="R942" s="14" t="str">
        <x:v>预测</x:v>
      </x:c>
      <x:c r="S942" s="14" t="str">
        <x:v>到站时间为估算值</x:v>
      </x:c>
      <x:c r="T942" t="str">
        <x:v>研究生宿舍楼发车</x:v>
      </x:c>
    </x:row>
    <x:row r="943">
      <x:c r="A943" s="14" t="str">
        <x:v>S0077-08</x:v>
      </x:c>
      <x:c r="B943" s="14" t="str">
        <x:v>S0077</x:v>
      </x:c>
      <x:c r="C943" s="14" t="str">
        <x:v>工作日</x:v>
      </x:c>
      <x:c r="D943" s="14" t="str">
        <x:v>环线2路</x:v>
      </x:c>
      <x:c r="E943" s="14" t="str">
        <x:v>第一班</x:v>
      </x:c>
      <x:c r="F943" s="14" t="n">
        <x:v>7</x:v>
      </x:c>
      <x:c r="G943" s="14" t="str">
        <x:v>9:10</x:v>
      </x:c>
      <x:c r="H943" s="14" t="str">
        <x:v>研究生宿舍楼</x:v>
      </x:c>
      <x:c r="I943" s="14" t="str">
        <x:v>否</x:v>
      </x:c>
      <x:c r="J943" s="14" t="n">
        <x:v>8</x:v>
      </x:c>
      <x:c r="K943" s="14" t="str">
        <x:v>5号宿舍楼</x:v>
      </x:c>
      <x:c r="L943" s="14" t="n">
        <x:v>9</x:v>
      </x:c>
      <x:c r="M943" s="14" t="str">
        <x:v>09:19</x:v>
      </x:c>
      <x:c r="N943" s="14" t="str">
        <x:v>否</x:v>
      </x:c>
      <x:c r="O943" s="14" t="str">
        <x:v>否</x:v>
      </x:c>
      <x:c r="P943" s="14" t="str">
        <x:v>未提供</x:v>
      </x:c>
      <x:c r="Q943" s="14" t="str">
        <x:v>未提供</x:v>
      </x:c>
      <x:c r="R943" s="14" t="str">
        <x:v>预测</x:v>
      </x:c>
      <x:c r="S943" s="14" t="str">
        <x:v>到站时间为估算值</x:v>
      </x:c>
      <x:c r="T943" t="str">
        <x:v>研究生宿舍楼发车</x:v>
      </x:c>
    </x:row>
    <x:row r="944">
      <x:c r="A944" s="14" t="str">
        <x:v>S0077-09</x:v>
      </x:c>
      <x:c r="B944" s="14" t="str">
        <x:v>S0077</x:v>
      </x:c>
      <x:c r="C944" s="14" t="str">
        <x:v>工作日</x:v>
      </x:c>
      <x:c r="D944" s="14" t="str">
        <x:v>环线2路</x:v>
      </x:c>
      <x:c r="E944" s="14" t="str">
        <x:v>第一班</x:v>
      </x:c>
      <x:c r="F944" s="14" t="n">
        <x:v>7</x:v>
      </x:c>
      <x:c r="G944" s="14" t="str">
        <x:v>9:10</x:v>
      </x:c>
      <x:c r="H944" s="14" t="str">
        <x:v>研究生宿舍楼</x:v>
      </x:c>
      <x:c r="I944" s="14" t="str">
        <x:v>否</x:v>
      </x:c>
      <x:c r="J944" s="14" t="n">
        <x:v>9</x:v>
      </x:c>
      <x:c r="K944" s="14" t="str">
        <x:v>305教学楼</x:v>
      </x:c>
      <x:c r="L944" s="14" t="n">
        <x:v>10</x:v>
      </x:c>
      <x:c r="M944" s="14" t="str">
        <x:v>09:20</x:v>
      </x:c>
      <x:c r="N944" s="14" t="str">
        <x:v>否</x:v>
      </x:c>
      <x:c r="O944" s="14" t="str">
        <x:v>否</x:v>
      </x:c>
      <x:c r="P944" s="14" t="str">
        <x:v>未提供</x:v>
      </x:c>
      <x:c r="Q944" s="14" t="str">
        <x:v>未提供</x:v>
      </x:c>
      <x:c r="R944" s="14" t="str">
        <x:v>预测</x:v>
      </x:c>
      <x:c r="S944" s="14" t="str">
        <x:v>到站时间为估算值</x:v>
      </x:c>
      <x:c r="T944" t="str">
        <x:v>研究生宿舍楼发车</x:v>
      </x:c>
    </x:row>
    <x:row r="945">
      <x:c r="A945" s="14" t="str">
        <x:v>S0077-10</x:v>
      </x:c>
      <x:c r="B945" s="14" t="str">
        <x:v>S0077</x:v>
      </x:c>
      <x:c r="C945" s="14" t="str">
        <x:v>工作日</x:v>
      </x:c>
      <x:c r="D945" s="14" t="str">
        <x:v>环线2路</x:v>
      </x:c>
      <x:c r="E945" s="14" t="str">
        <x:v>第一班</x:v>
      </x:c>
      <x:c r="F945" s="14" t="n">
        <x:v>7</x:v>
      </x:c>
      <x:c r="G945" s="14" t="str">
        <x:v>9:10</x:v>
      </x:c>
      <x:c r="H945" s="14" t="str">
        <x:v>研究生宿舍楼</x:v>
      </x:c>
      <x:c r="I945" s="14" t="str">
        <x:v>否</x:v>
      </x:c>
      <x:c r="J945" s="14" t="n">
        <x:v>10</x:v>
      </x:c>
      <x:c r="K945" s="14" t="str">
        <x:v>研究生宿舍楼</x:v>
      </x:c>
      <x:c r="L945" s="14" t="n">
        <x:v>12</x:v>
      </x:c>
      <x:c r="M945" s="14" t="str">
        <x:v>09:22</x:v>
      </x:c>
      <x:c r="N945" s="14" t="str">
        <x:v>否</x:v>
      </x:c>
      <x:c r="O945" s="14" t="str">
        <x:v>是</x:v>
      </x:c>
      <x:c r="P945" s="14" t="str">
        <x:v>未提供</x:v>
      </x:c>
      <x:c r="Q945" s="14" t="str">
        <x:v>未提供</x:v>
      </x:c>
      <x:c r="R945" s="14" t="str">
        <x:v>预测</x:v>
      </x:c>
      <x:c r="S945" s="14" t="str">
        <x:v>到站时间为估算值</x:v>
      </x:c>
      <x:c r="T945" t="str">
        <x:v>研究生宿舍楼发车</x:v>
      </x:c>
    </x:row>
    <x:row r="946">
      <x:c r="A946" s="14" t="str">
        <x:v>S0078-01</x:v>
      </x:c>
      <x:c r="B946" s="14" t="str">
        <x:v>S0078</x:v>
      </x:c>
      <x:c r="C946" s="14" t="str">
        <x:v>工作日</x:v>
      </x:c>
      <x:c r="D946" s="14" t="str">
        <x:v>环线2路</x:v>
      </x:c>
      <x:c r="E946" s="14" t="str">
        <x:v>第一班</x:v>
      </x:c>
      <x:c r="F946" s="14" t="n">
        <x:v>8</x:v>
      </x:c>
      <x:c r="G946" s="14" t="str">
        <x:v>9:40</x:v>
      </x:c>
      <x:c r="H946" s="14" t="str">
        <x:v>研究生宿舍楼</x:v>
      </x:c>
      <x:c r="I946" s="14" t="str">
        <x:v>否</x:v>
      </x:c>
      <x:c r="J946" s="14" t="n">
        <x:v>1</x:v>
      </x:c>
      <x:c r="K946" s="14" t="str">
        <x:v>研究生宿舍楼</x:v>
      </x:c>
      <x:c r="L946" s="14" t="n">
        <x:v>0</x:v>
      </x:c>
      <x:c r="M946" s="14" t="str">
        <x:v>09:40</x:v>
      </x:c>
      <x:c r="N946" s="14" t="str">
        <x:v>是</x:v>
      </x:c>
      <x:c r="O946" s="14" t="str">
        <x:v>否</x:v>
      </x:c>
      <x:c r="P946" s="14" t="str">
        <x:v>未提供</x:v>
      </x:c>
      <x:c r="Q946" s="14" t="str">
        <x:v>未提供</x:v>
      </x:c>
      <x:c r="R946" s="14" t="str">
        <x:v>预测</x:v>
      </x:c>
      <x:c r="S946" s="14" t="str">
        <x:v>到站时间为估算值</x:v>
      </x:c>
      <x:c r="T946" t="str">
        <x:v>研究生宿舍楼发车</x:v>
      </x:c>
    </x:row>
    <x:row r="947">
      <x:c r="A947" s="14" t="str">
        <x:v>S0078-02</x:v>
      </x:c>
      <x:c r="B947" s="14" t="str">
        <x:v>S0078</x:v>
      </x:c>
      <x:c r="C947" s="14" t="str">
        <x:v>工作日</x:v>
      </x:c>
      <x:c r="D947" s="14" t="str">
        <x:v>环线2路</x:v>
      </x:c>
      <x:c r="E947" s="14" t="str">
        <x:v>第一班</x:v>
      </x:c>
      <x:c r="F947" s="14" t="n">
        <x:v>8</x:v>
      </x:c>
      <x:c r="G947" s="14" t="str">
        <x:v>9:40</x:v>
      </x:c>
      <x:c r="H947" s="14" t="str">
        <x:v>研究生宿舍楼</x:v>
      </x:c>
      <x:c r="I947" s="14" t="str">
        <x:v>否</x:v>
      </x:c>
      <x:c r="J947" s="14" t="n">
        <x:v>2</x:v>
      </x:c>
      <x:c r="K947" s="14" t="str">
        <x:v>一食堂</x:v>
      </x:c>
      <x:c r="L947" s="14" t="n">
        <x:v>1</x:v>
      </x:c>
      <x:c r="M947" s="14" t="str">
        <x:v>09:41</x:v>
      </x:c>
      <x:c r="N947" s="14" t="str">
        <x:v>否</x:v>
      </x:c>
      <x:c r="O947" s="14" t="str">
        <x:v>否</x:v>
      </x:c>
      <x:c r="P947" s="14" t="str">
        <x:v>未提供</x:v>
      </x:c>
      <x:c r="Q947" s="14" t="str">
        <x:v>未提供</x:v>
      </x:c>
      <x:c r="R947" s="14" t="str">
        <x:v>预测</x:v>
      </x:c>
      <x:c r="S947" s="14" t="str">
        <x:v>到站时间为估算值</x:v>
      </x:c>
      <x:c r="T947" t="str">
        <x:v>研究生宿舍楼发车</x:v>
      </x:c>
    </x:row>
    <x:row r="948">
      <x:c r="A948" s="14" t="str">
        <x:v>S0078-03</x:v>
      </x:c>
      <x:c r="B948" s="14" t="str">
        <x:v>S0078</x:v>
      </x:c>
      <x:c r="C948" s="14" t="str">
        <x:v>工作日</x:v>
      </x:c>
      <x:c r="D948" s="14" t="str">
        <x:v>环线2路</x:v>
      </x:c>
      <x:c r="E948" s="14" t="str">
        <x:v>第一班</x:v>
      </x:c>
      <x:c r="F948" s="14" t="n">
        <x:v>8</x:v>
      </x:c>
      <x:c r="G948" s="14" t="str">
        <x:v>9:40</x:v>
      </x:c>
      <x:c r="H948" s="14" t="str">
        <x:v>研究生宿舍楼</x:v>
      </x:c>
      <x:c r="I948" s="14" t="str">
        <x:v>否</x:v>
      </x:c>
      <x:c r="J948" s="14" t="n">
        <x:v>3</x:v>
      </x:c>
      <x:c r="K948" s="14" t="str">
        <x:v>门诊部</x:v>
      </x:c>
      <x:c r="L948" s="14" t="n">
        <x:v>2</x:v>
      </x:c>
      <x:c r="M948" s="14" t="str">
        <x:v>09:42</x:v>
      </x:c>
      <x:c r="N948" s="14" t="str">
        <x:v>否</x:v>
      </x:c>
      <x:c r="O948" s="14" t="str">
        <x:v>否</x:v>
      </x:c>
      <x:c r="P948" s="14" t="str">
        <x:v>未提供</x:v>
      </x:c>
      <x:c r="Q948" s="14" t="str">
        <x:v>未提供</x:v>
      </x:c>
      <x:c r="R948" s="14" t="str">
        <x:v>预测</x:v>
      </x:c>
      <x:c r="S948" s="14" t="str">
        <x:v>到站时间为估算值</x:v>
      </x:c>
      <x:c r="T948" t="str">
        <x:v>研究生宿舍楼发车</x:v>
      </x:c>
    </x:row>
    <x:row r="949">
      <x:c r="A949" s="14" t="str">
        <x:v>S0078-04</x:v>
      </x:c>
      <x:c r="B949" s="14" t="str">
        <x:v>S0078</x:v>
      </x:c>
      <x:c r="C949" s="14" t="str">
        <x:v>工作日</x:v>
      </x:c>
      <x:c r="D949" s="14" t="str">
        <x:v>环线2路</x:v>
      </x:c>
      <x:c r="E949" s="14" t="str">
        <x:v>第一班</x:v>
      </x:c>
      <x:c r="F949" s="14" t="n">
        <x:v>8</x:v>
      </x:c>
      <x:c r="G949" s="14" t="str">
        <x:v>9:40</x:v>
      </x:c>
      <x:c r="H949" s="14" t="str">
        <x:v>研究生宿舍楼</x:v>
      </x:c>
      <x:c r="I949" s="14" t="str">
        <x:v>否</x:v>
      </x:c>
      <x:c r="J949" s="14" t="n">
        <x:v>4</x:v>
      </x:c>
      <x:c r="K949" s="14" t="str">
        <x:v>1号宿舍楼</x:v>
      </x:c>
      <x:c r="L949" s="14" t="n">
        <x:v>3</x:v>
      </x:c>
      <x:c r="M949" s="14" t="str">
        <x:v>09:43</x:v>
      </x:c>
      <x:c r="N949" s="14" t="str">
        <x:v>否</x:v>
      </x:c>
      <x:c r="O949" s="14" t="str">
        <x:v>否</x:v>
      </x:c>
      <x:c r="P949" s="14" t="str">
        <x:v>未提供</x:v>
      </x:c>
      <x:c r="Q949" s="14" t="str">
        <x:v>未提供</x:v>
      </x:c>
      <x:c r="R949" s="14" t="str">
        <x:v>预测</x:v>
      </x:c>
      <x:c r="S949" s="14" t="str">
        <x:v>到站时间为估算值</x:v>
      </x:c>
      <x:c r="T949" t="str">
        <x:v>研究生宿舍楼发车</x:v>
      </x:c>
    </x:row>
    <x:row r="950">
      <x:c r="A950" s="14" t="str">
        <x:v>S0078-05</x:v>
      </x:c>
      <x:c r="B950" s="14" t="str">
        <x:v>S0078</x:v>
      </x:c>
      <x:c r="C950" s="14" t="str">
        <x:v>工作日</x:v>
      </x:c>
      <x:c r="D950" s="14" t="str">
        <x:v>环线2路</x:v>
      </x:c>
      <x:c r="E950" s="14" t="str">
        <x:v>第一班</x:v>
      </x:c>
      <x:c r="F950" s="14" t="n">
        <x:v>8</x:v>
      </x:c>
      <x:c r="G950" s="14" t="str">
        <x:v>9:40</x:v>
      </x:c>
      <x:c r="H950" s="14" t="str">
        <x:v>研究生宿舍楼</x:v>
      </x:c>
      <x:c r="I950" s="14" t="str">
        <x:v>否</x:v>
      </x:c>
      <x:c r="J950" s="14" t="n">
        <x:v>5</x:v>
      </x:c>
      <x:c r="K950" s="14" t="str">
        <x:v>水上训练中心</x:v>
      </x:c>
      <x:c r="L950" s="14" t="n">
        <x:v>5</x:v>
      </x:c>
      <x:c r="M950" s="14" t="str">
        <x:v>09:45</x:v>
      </x:c>
      <x:c r="N950" s="14" t="str">
        <x:v>否</x:v>
      </x:c>
      <x:c r="O950" s="14" t="str">
        <x:v>否</x:v>
      </x:c>
      <x:c r="P950" s="14" t="str">
        <x:v>未提供</x:v>
      </x:c>
      <x:c r="Q950" s="14" t="str">
        <x:v>未提供</x:v>
      </x:c>
      <x:c r="R950" s="14" t="str">
        <x:v>预测</x:v>
      </x:c>
      <x:c r="S950" s="14" t="str">
        <x:v>到站时间为估算值</x:v>
      </x:c>
      <x:c r="T950" t="str">
        <x:v>研究生宿舍楼发车</x:v>
      </x:c>
    </x:row>
    <x:row r="951">
      <x:c r="A951" s="14" t="str">
        <x:v>S0078-06</x:v>
      </x:c>
      <x:c r="B951" s="14" t="str">
        <x:v>S0078</x:v>
      </x:c>
      <x:c r="C951" s="14" t="str">
        <x:v>工作日</x:v>
      </x:c>
      <x:c r="D951" s="14" t="str">
        <x:v>环线2路</x:v>
      </x:c>
      <x:c r="E951" s="14" t="str">
        <x:v>第一班</x:v>
      </x:c>
      <x:c r="F951" s="14" t="n">
        <x:v>8</x:v>
      </x:c>
      <x:c r="G951" s="14" t="str">
        <x:v>9:40</x:v>
      </x:c>
      <x:c r="H951" s="14" t="str">
        <x:v>研究生宿舍楼</x:v>
      </x:c>
      <x:c r="I951" s="14" t="str">
        <x:v>否</x:v>
      </x:c>
      <x:c r="J951" s="14" t="n">
        <x:v>6</x:v>
      </x:c>
      <x:c r="K951" s="14" t="str">
        <x:v>军体活动中心</x:v>
      </x:c>
      <x:c r="L951" s="14" t="n">
        <x:v>6</x:v>
      </x:c>
      <x:c r="M951" s="14" t="str">
        <x:v>09:46</x:v>
      </x:c>
      <x:c r="N951" s="14" t="str">
        <x:v>否</x:v>
      </x:c>
      <x:c r="O951" s="14" t="str">
        <x:v>否</x:v>
      </x:c>
      <x:c r="P951" s="14" t="str">
        <x:v>未提供</x:v>
      </x:c>
      <x:c r="Q951" s="14" t="str">
        <x:v>未提供</x:v>
      </x:c>
      <x:c r="R951" s="14" t="str">
        <x:v>预测</x:v>
      </x:c>
      <x:c r="S951" s="14" t="str">
        <x:v>到站时间为估算值</x:v>
      </x:c>
      <x:c r="T951" t="str">
        <x:v>研究生宿舍楼发车</x:v>
      </x:c>
    </x:row>
    <x:row r="952">
      <x:c r="A952" s="14" t="str">
        <x:v>S0078-07</x:v>
      </x:c>
      <x:c r="B952" s="14" t="str">
        <x:v>S0078</x:v>
      </x:c>
      <x:c r="C952" s="14" t="str">
        <x:v>工作日</x:v>
      </x:c>
      <x:c r="D952" s="14" t="str">
        <x:v>环线2路</x:v>
      </x:c>
      <x:c r="E952" s="14" t="str">
        <x:v>第一班</x:v>
      </x:c>
      <x:c r="F952" s="14" t="n">
        <x:v>8</x:v>
      </x:c>
      <x:c r="G952" s="14" t="str">
        <x:v>9:40</x:v>
      </x:c>
      <x:c r="H952" s="14" t="str">
        <x:v>研究生宿舍楼</x:v>
      </x:c>
      <x:c r="I952" s="14" t="str">
        <x:v>否</x:v>
      </x:c>
      <x:c r="J952" s="14" t="n">
        <x:v>7</x:v>
      </x:c>
      <x:c r="K952" s="14" t="str">
        <x:v>二食堂</x:v>
      </x:c>
      <x:c r="L952" s="14" t="n">
        <x:v>8</x:v>
      </x:c>
      <x:c r="M952" s="14" t="str">
        <x:v>09:48</x:v>
      </x:c>
      <x:c r="N952" s="14" t="str">
        <x:v>否</x:v>
      </x:c>
      <x:c r="O952" s="14" t="str">
        <x:v>否</x:v>
      </x:c>
      <x:c r="P952" s="14" t="str">
        <x:v>未提供</x:v>
      </x:c>
      <x:c r="Q952" s="14" t="str">
        <x:v>未提供</x:v>
      </x:c>
      <x:c r="R952" s="14" t="str">
        <x:v>预测</x:v>
      </x:c>
      <x:c r="S952" s="14" t="str">
        <x:v>到站时间为估算值</x:v>
      </x:c>
      <x:c r="T952" t="str">
        <x:v>研究生宿舍楼发车</x:v>
      </x:c>
    </x:row>
    <x:row r="953">
      <x:c r="A953" s="14" t="str">
        <x:v>S0078-08</x:v>
      </x:c>
      <x:c r="B953" s="14" t="str">
        <x:v>S0078</x:v>
      </x:c>
      <x:c r="C953" s="14" t="str">
        <x:v>工作日</x:v>
      </x:c>
      <x:c r="D953" s="14" t="str">
        <x:v>环线2路</x:v>
      </x:c>
      <x:c r="E953" s="14" t="str">
        <x:v>第一班</x:v>
      </x:c>
      <x:c r="F953" s="14" t="n">
        <x:v>8</x:v>
      </x:c>
      <x:c r="G953" s="14" t="str">
        <x:v>9:40</x:v>
      </x:c>
      <x:c r="H953" s="14" t="str">
        <x:v>研究生宿舍楼</x:v>
      </x:c>
      <x:c r="I953" s="14" t="str">
        <x:v>否</x:v>
      </x:c>
      <x:c r="J953" s="14" t="n">
        <x:v>8</x:v>
      </x:c>
      <x:c r="K953" s="14" t="str">
        <x:v>5号宿舍楼</x:v>
      </x:c>
      <x:c r="L953" s="14" t="n">
        <x:v>9</x:v>
      </x:c>
      <x:c r="M953" s="14" t="str">
        <x:v>09:49</x:v>
      </x:c>
      <x:c r="N953" s="14" t="str">
        <x:v>否</x:v>
      </x:c>
      <x:c r="O953" s="14" t="str">
        <x:v>否</x:v>
      </x:c>
      <x:c r="P953" s="14" t="str">
        <x:v>未提供</x:v>
      </x:c>
      <x:c r="Q953" s="14" t="str">
        <x:v>未提供</x:v>
      </x:c>
      <x:c r="R953" s="14" t="str">
        <x:v>预测</x:v>
      </x:c>
      <x:c r="S953" s="14" t="str">
        <x:v>到站时间为估算值</x:v>
      </x:c>
      <x:c r="T953" t="str">
        <x:v>研究生宿舍楼发车</x:v>
      </x:c>
    </x:row>
    <x:row r="954">
      <x:c r="A954" s="14" t="str">
        <x:v>S0078-09</x:v>
      </x:c>
      <x:c r="B954" s="14" t="str">
        <x:v>S0078</x:v>
      </x:c>
      <x:c r="C954" s="14" t="str">
        <x:v>工作日</x:v>
      </x:c>
      <x:c r="D954" s="14" t="str">
        <x:v>环线2路</x:v>
      </x:c>
      <x:c r="E954" s="14" t="str">
        <x:v>第一班</x:v>
      </x:c>
      <x:c r="F954" s="14" t="n">
        <x:v>8</x:v>
      </x:c>
      <x:c r="G954" s="14" t="str">
        <x:v>9:40</x:v>
      </x:c>
      <x:c r="H954" s="14" t="str">
        <x:v>研究生宿舍楼</x:v>
      </x:c>
      <x:c r="I954" s="14" t="str">
        <x:v>否</x:v>
      </x:c>
      <x:c r="J954" s="14" t="n">
        <x:v>9</x:v>
      </x:c>
      <x:c r="K954" s="14" t="str">
        <x:v>305教学楼</x:v>
      </x:c>
      <x:c r="L954" s="14" t="n">
        <x:v>10</x:v>
      </x:c>
      <x:c r="M954" s="14" t="str">
        <x:v>09:50</x:v>
      </x:c>
      <x:c r="N954" s="14" t="str">
        <x:v>否</x:v>
      </x:c>
      <x:c r="O954" s="14" t="str">
        <x:v>否</x:v>
      </x:c>
      <x:c r="P954" s="14" t="str">
        <x:v>未提供</x:v>
      </x:c>
      <x:c r="Q954" s="14" t="str">
        <x:v>未提供</x:v>
      </x:c>
      <x:c r="R954" s="14" t="str">
        <x:v>预测</x:v>
      </x:c>
      <x:c r="S954" s="14" t="str">
        <x:v>到站时间为估算值</x:v>
      </x:c>
      <x:c r="T954" t="str">
        <x:v>研究生宿舍楼发车</x:v>
      </x:c>
    </x:row>
    <x:row r="955">
      <x:c r="A955" s="14" t="str">
        <x:v>S0078-10</x:v>
      </x:c>
      <x:c r="B955" s="14" t="str">
        <x:v>S0078</x:v>
      </x:c>
      <x:c r="C955" s="14" t="str">
        <x:v>工作日</x:v>
      </x:c>
      <x:c r="D955" s="14" t="str">
        <x:v>环线2路</x:v>
      </x:c>
      <x:c r="E955" s="14" t="str">
        <x:v>第一班</x:v>
      </x:c>
      <x:c r="F955" s="14" t="n">
        <x:v>8</x:v>
      </x:c>
      <x:c r="G955" s="14" t="str">
        <x:v>9:40</x:v>
      </x:c>
      <x:c r="H955" s="14" t="str">
        <x:v>研究生宿舍楼</x:v>
      </x:c>
      <x:c r="I955" s="14" t="str">
        <x:v>否</x:v>
      </x:c>
      <x:c r="J955" s="14" t="n">
        <x:v>10</x:v>
      </x:c>
      <x:c r="K955" s="14" t="str">
        <x:v>研究生宿舍楼</x:v>
      </x:c>
      <x:c r="L955" s="14" t="n">
        <x:v>12</x:v>
      </x:c>
      <x:c r="M955" s="14" t="str">
        <x:v>09:52</x:v>
      </x:c>
      <x:c r="N955" s="14" t="str">
        <x:v>否</x:v>
      </x:c>
      <x:c r="O955" s="14" t="str">
        <x:v>是</x:v>
      </x:c>
      <x:c r="P955" s="14" t="str">
        <x:v>未提供</x:v>
      </x:c>
      <x:c r="Q955" s="14" t="str">
        <x:v>未提供</x:v>
      </x:c>
      <x:c r="R955" s="14" t="str">
        <x:v>预测</x:v>
      </x:c>
      <x:c r="S955" s="14" t="str">
        <x:v>到站时间为估算值</x:v>
      </x:c>
      <x:c r="T955" t="str">
        <x:v>研究生宿舍楼发车</x:v>
      </x:c>
    </x:row>
    <x:row r="956">
      <x:c r="A956" s="14" t="str">
        <x:v>S0079-01</x:v>
      </x:c>
      <x:c r="B956" s="14" t="str">
        <x:v>S0079</x:v>
      </x:c>
      <x:c r="C956" s="14" t="str">
        <x:v>工作日</x:v>
      </x:c>
      <x:c r="D956" s="14" t="str">
        <x:v>环线2路</x:v>
      </x:c>
      <x:c r="E956" s="14" t="str">
        <x:v>第一班</x:v>
      </x:c>
      <x:c r="F956" s="14" t="n">
        <x:v>9</x:v>
      </x:c>
      <x:c r="G956" s="14" t="str">
        <x:v>10:10</x:v>
      </x:c>
      <x:c r="H956" s="14" t="str">
        <x:v>研究生宿舍楼</x:v>
      </x:c>
      <x:c r="I956" s="14" t="str">
        <x:v>否</x:v>
      </x:c>
      <x:c r="J956" s="14" t="n">
        <x:v>1</x:v>
      </x:c>
      <x:c r="K956" s="14" t="str">
        <x:v>研究生宿舍楼</x:v>
      </x:c>
      <x:c r="L956" s="14" t="n">
        <x:v>0</x:v>
      </x:c>
      <x:c r="M956" s="14" t="str">
        <x:v>10:10</x:v>
      </x:c>
      <x:c r="N956" s="14" t="str">
        <x:v>是</x:v>
      </x:c>
      <x:c r="O956" s="14" t="str">
        <x:v>否</x:v>
      </x:c>
      <x:c r="P956" s="14" t="str">
        <x:v>未提供</x:v>
      </x:c>
      <x:c r="Q956" s="14" t="str">
        <x:v>未提供</x:v>
      </x:c>
      <x:c r="R956" s="14" t="str">
        <x:v>预测</x:v>
      </x:c>
      <x:c r="S956" s="14" t="str">
        <x:v>到站时间为估算值</x:v>
      </x:c>
      <x:c r="T956" t="str">
        <x:v>研究生宿舍楼发车</x:v>
      </x:c>
    </x:row>
    <x:row r="957">
      <x:c r="A957" s="14" t="str">
        <x:v>S0079-02</x:v>
      </x:c>
      <x:c r="B957" s="14" t="str">
        <x:v>S0079</x:v>
      </x:c>
      <x:c r="C957" s="14" t="str">
        <x:v>工作日</x:v>
      </x:c>
      <x:c r="D957" s="14" t="str">
        <x:v>环线2路</x:v>
      </x:c>
      <x:c r="E957" s="14" t="str">
        <x:v>第一班</x:v>
      </x:c>
      <x:c r="F957" s="14" t="n">
        <x:v>9</x:v>
      </x:c>
      <x:c r="G957" s="14" t="str">
        <x:v>10:10</x:v>
      </x:c>
      <x:c r="H957" s="14" t="str">
        <x:v>研究生宿舍楼</x:v>
      </x:c>
      <x:c r="I957" s="14" t="str">
        <x:v>否</x:v>
      </x:c>
      <x:c r="J957" s="14" t="n">
        <x:v>2</x:v>
      </x:c>
      <x:c r="K957" s="14" t="str">
        <x:v>一食堂</x:v>
      </x:c>
      <x:c r="L957" s="14" t="n">
        <x:v>1</x:v>
      </x:c>
      <x:c r="M957" s="14" t="str">
        <x:v>10:11</x:v>
      </x:c>
      <x:c r="N957" s="14" t="str">
        <x:v>否</x:v>
      </x:c>
      <x:c r="O957" s="14" t="str">
        <x:v>否</x:v>
      </x:c>
      <x:c r="P957" s="14" t="str">
        <x:v>未提供</x:v>
      </x:c>
      <x:c r="Q957" s="14" t="str">
        <x:v>未提供</x:v>
      </x:c>
      <x:c r="R957" s="14" t="str">
        <x:v>预测</x:v>
      </x:c>
      <x:c r="S957" s="14" t="str">
        <x:v>到站时间为估算值</x:v>
      </x:c>
      <x:c r="T957" t="str">
        <x:v>研究生宿舍楼发车</x:v>
      </x:c>
    </x:row>
    <x:row r="958">
      <x:c r="A958" s="14" t="str">
        <x:v>S0079-03</x:v>
      </x:c>
      <x:c r="B958" s="14" t="str">
        <x:v>S0079</x:v>
      </x:c>
      <x:c r="C958" s="14" t="str">
        <x:v>工作日</x:v>
      </x:c>
      <x:c r="D958" s="14" t="str">
        <x:v>环线2路</x:v>
      </x:c>
      <x:c r="E958" s="14" t="str">
        <x:v>第一班</x:v>
      </x:c>
      <x:c r="F958" s="14" t="n">
        <x:v>9</x:v>
      </x:c>
      <x:c r="G958" s="14" t="str">
        <x:v>10:10</x:v>
      </x:c>
      <x:c r="H958" s="14" t="str">
        <x:v>研究生宿舍楼</x:v>
      </x:c>
      <x:c r="I958" s="14" t="str">
        <x:v>否</x:v>
      </x:c>
      <x:c r="J958" s="14" t="n">
        <x:v>3</x:v>
      </x:c>
      <x:c r="K958" s="14" t="str">
        <x:v>门诊部</x:v>
      </x:c>
      <x:c r="L958" s="14" t="n">
        <x:v>2</x:v>
      </x:c>
      <x:c r="M958" s="14" t="str">
        <x:v>10:12</x:v>
      </x:c>
      <x:c r="N958" s="14" t="str">
        <x:v>否</x:v>
      </x:c>
      <x:c r="O958" s="14" t="str">
        <x:v>否</x:v>
      </x:c>
      <x:c r="P958" s="14" t="str">
        <x:v>未提供</x:v>
      </x:c>
      <x:c r="Q958" s="14" t="str">
        <x:v>未提供</x:v>
      </x:c>
      <x:c r="R958" s="14" t="str">
        <x:v>预测</x:v>
      </x:c>
      <x:c r="S958" s="14" t="str">
        <x:v>到站时间为估算值</x:v>
      </x:c>
      <x:c r="T958" t="str">
        <x:v>研究生宿舍楼发车</x:v>
      </x:c>
    </x:row>
    <x:row r="959">
      <x:c r="A959" s="14" t="str">
        <x:v>S0079-04</x:v>
      </x:c>
      <x:c r="B959" s="14" t="str">
        <x:v>S0079</x:v>
      </x:c>
      <x:c r="C959" s="14" t="str">
        <x:v>工作日</x:v>
      </x:c>
      <x:c r="D959" s="14" t="str">
        <x:v>环线2路</x:v>
      </x:c>
      <x:c r="E959" s="14" t="str">
        <x:v>第一班</x:v>
      </x:c>
      <x:c r="F959" s="14" t="n">
        <x:v>9</x:v>
      </x:c>
      <x:c r="G959" s="14" t="str">
        <x:v>10:10</x:v>
      </x:c>
      <x:c r="H959" s="14" t="str">
        <x:v>研究生宿舍楼</x:v>
      </x:c>
      <x:c r="I959" s="14" t="str">
        <x:v>否</x:v>
      </x:c>
      <x:c r="J959" s="14" t="n">
        <x:v>4</x:v>
      </x:c>
      <x:c r="K959" s="14" t="str">
        <x:v>1号宿舍楼</x:v>
      </x:c>
      <x:c r="L959" s="14" t="n">
        <x:v>3</x:v>
      </x:c>
      <x:c r="M959" s="14" t="str">
        <x:v>10:13</x:v>
      </x:c>
      <x:c r="N959" s="14" t="str">
        <x:v>否</x:v>
      </x:c>
      <x:c r="O959" s="14" t="str">
        <x:v>否</x:v>
      </x:c>
      <x:c r="P959" s="14" t="str">
        <x:v>未提供</x:v>
      </x:c>
      <x:c r="Q959" s="14" t="str">
        <x:v>未提供</x:v>
      </x:c>
      <x:c r="R959" s="14" t="str">
        <x:v>预测</x:v>
      </x:c>
      <x:c r="S959" s="14" t="str">
        <x:v>到站时间为估算值</x:v>
      </x:c>
      <x:c r="T959" t="str">
        <x:v>研究生宿舍楼发车</x:v>
      </x:c>
    </x:row>
    <x:row r="960">
      <x:c r="A960" s="14" t="str">
        <x:v>S0079-05</x:v>
      </x:c>
      <x:c r="B960" s="14" t="str">
        <x:v>S0079</x:v>
      </x:c>
      <x:c r="C960" s="14" t="str">
        <x:v>工作日</x:v>
      </x:c>
      <x:c r="D960" s="14" t="str">
        <x:v>环线2路</x:v>
      </x:c>
      <x:c r="E960" s="14" t="str">
        <x:v>第一班</x:v>
      </x:c>
      <x:c r="F960" s="14" t="n">
        <x:v>9</x:v>
      </x:c>
      <x:c r="G960" s="14" t="str">
        <x:v>10:10</x:v>
      </x:c>
      <x:c r="H960" s="14" t="str">
        <x:v>研究生宿舍楼</x:v>
      </x:c>
      <x:c r="I960" s="14" t="str">
        <x:v>否</x:v>
      </x:c>
      <x:c r="J960" s="14" t="n">
        <x:v>5</x:v>
      </x:c>
      <x:c r="K960" s="14" t="str">
        <x:v>水上训练中心</x:v>
      </x:c>
      <x:c r="L960" s="14" t="n">
        <x:v>5</x:v>
      </x:c>
      <x:c r="M960" s="14" t="str">
        <x:v>10:15</x:v>
      </x:c>
      <x:c r="N960" s="14" t="str">
        <x:v>否</x:v>
      </x:c>
      <x:c r="O960" s="14" t="str">
        <x:v>否</x:v>
      </x:c>
      <x:c r="P960" s="14" t="str">
        <x:v>未提供</x:v>
      </x:c>
      <x:c r="Q960" s="14" t="str">
        <x:v>未提供</x:v>
      </x:c>
      <x:c r="R960" s="14" t="str">
        <x:v>预测</x:v>
      </x:c>
      <x:c r="S960" s="14" t="str">
        <x:v>到站时间为估算值</x:v>
      </x:c>
      <x:c r="T960" t="str">
        <x:v>研究生宿舍楼发车</x:v>
      </x:c>
    </x:row>
    <x:row r="961">
      <x:c r="A961" s="14" t="str">
        <x:v>S0079-06</x:v>
      </x:c>
      <x:c r="B961" s="14" t="str">
        <x:v>S0079</x:v>
      </x:c>
      <x:c r="C961" s="14" t="str">
        <x:v>工作日</x:v>
      </x:c>
      <x:c r="D961" s="14" t="str">
        <x:v>环线2路</x:v>
      </x:c>
      <x:c r="E961" s="14" t="str">
        <x:v>第一班</x:v>
      </x:c>
      <x:c r="F961" s="14" t="n">
        <x:v>9</x:v>
      </x:c>
      <x:c r="G961" s="14" t="str">
        <x:v>10:10</x:v>
      </x:c>
      <x:c r="H961" s="14" t="str">
        <x:v>研究生宿舍楼</x:v>
      </x:c>
      <x:c r="I961" s="14" t="str">
        <x:v>否</x:v>
      </x:c>
      <x:c r="J961" s="14" t="n">
        <x:v>6</x:v>
      </x:c>
      <x:c r="K961" s="14" t="str">
        <x:v>军体活动中心</x:v>
      </x:c>
      <x:c r="L961" s="14" t="n">
        <x:v>6</x:v>
      </x:c>
      <x:c r="M961" s="14" t="str">
        <x:v>10:16</x:v>
      </x:c>
      <x:c r="N961" s="14" t="str">
        <x:v>否</x:v>
      </x:c>
      <x:c r="O961" s="14" t="str">
        <x:v>否</x:v>
      </x:c>
      <x:c r="P961" s="14" t="str">
        <x:v>未提供</x:v>
      </x:c>
      <x:c r="Q961" s="14" t="str">
        <x:v>未提供</x:v>
      </x:c>
      <x:c r="R961" s="14" t="str">
        <x:v>预测</x:v>
      </x:c>
      <x:c r="S961" s="14" t="str">
        <x:v>到站时间为估算值</x:v>
      </x:c>
      <x:c r="T961" t="str">
        <x:v>研究生宿舍楼发车</x:v>
      </x:c>
    </x:row>
    <x:row r="962">
      <x:c r="A962" s="14" t="str">
        <x:v>S0079-07</x:v>
      </x:c>
      <x:c r="B962" s="14" t="str">
        <x:v>S0079</x:v>
      </x:c>
      <x:c r="C962" s="14" t="str">
        <x:v>工作日</x:v>
      </x:c>
      <x:c r="D962" s="14" t="str">
        <x:v>环线2路</x:v>
      </x:c>
      <x:c r="E962" s="14" t="str">
        <x:v>第一班</x:v>
      </x:c>
      <x:c r="F962" s="14" t="n">
        <x:v>9</x:v>
      </x:c>
      <x:c r="G962" s="14" t="str">
        <x:v>10:10</x:v>
      </x:c>
      <x:c r="H962" s="14" t="str">
        <x:v>研究生宿舍楼</x:v>
      </x:c>
      <x:c r="I962" s="14" t="str">
        <x:v>否</x:v>
      </x:c>
      <x:c r="J962" s="14" t="n">
        <x:v>7</x:v>
      </x:c>
      <x:c r="K962" s="14" t="str">
        <x:v>二食堂</x:v>
      </x:c>
      <x:c r="L962" s="14" t="n">
        <x:v>8</x:v>
      </x:c>
      <x:c r="M962" s="14" t="str">
        <x:v>10:18</x:v>
      </x:c>
      <x:c r="N962" s="14" t="str">
        <x:v>否</x:v>
      </x:c>
      <x:c r="O962" s="14" t="str">
        <x:v>否</x:v>
      </x:c>
      <x:c r="P962" s="14" t="str">
        <x:v>未提供</x:v>
      </x:c>
      <x:c r="Q962" s="14" t="str">
        <x:v>未提供</x:v>
      </x:c>
      <x:c r="R962" s="14" t="str">
        <x:v>预测</x:v>
      </x:c>
      <x:c r="S962" s="14" t="str">
        <x:v>到站时间为估算值</x:v>
      </x:c>
      <x:c r="T962" t="str">
        <x:v>研究生宿舍楼发车</x:v>
      </x:c>
    </x:row>
    <x:row r="963">
      <x:c r="A963" s="14" t="str">
        <x:v>S0079-08</x:v>
      </x:c>
      <x:c r="B963" s="14" t="str">
        <x:v>S0079</x:v>
      </x:c>
      <x:c r="C963" s="14" t="str">
        <x:v>工作日</x:v>
      </x:c>
      <x:c r="D963" s="14" t="str">
        <x:v>环线2路</x:v>
      </x:c>
      <x:c r="E963" s="14" t="str">
        <x:v>第一班</x:v>
      </x:c>
      <x:c r="F963" s="14" t="n">
        <x:v>9</x:v>
      </x:c>
      <x:c r="G963" s="14" t="str">
        <x:v>10:10</x:v>
      </x:c>
      <x:c r="H963" s="14" t="str">
        <x:v>研究生宿舍楼</x:v>
      </x:c>
      <x:c r="I963" s="14" t="str">
        <x:v>否</x:v>
      </x:c>
      <x:c r="J963" s="14" t="n">
        <x:v>8</x:v>
      </x:c>
      <x:c r="K963" s="14" t="str">
        <x:v>5号宿舍楼</x:v>
      </x:c>
      <x:c r="L963" s="14" t="n">
        <x:v>9</x:v>
      </x:c>
      <x:c r="M963" s="14" t="str">
        <x:v>10:19</x:v>
      </x:c>
      <x:c r="N963" s="14" t="str">
        <x:v>否</x:v>
      </x:c>
      <x:c r="O963" s="14" t="str">
        <x:v>否</x:v>
      </x:c>
      <x:c r="P963" s="14" t="str">
        <x:v>未提供</x:v>
      </x:c>
      <x:c r="Q963" s="14" t="str">
        <x:v>未提供</x:v>
      </x:c>
      <x:c r="R963" s="14" t="str">
        <x:v>预测</x:v>
      </x:c>
      <x:c r="S963" s="14" t="str">
        <x:v>到站时间为估算值</x:v>
      </x:c>
      <x:c r="T963" t="str">
        <x:v>研究生宿舍楼发车</x:v>
      </x:c>
    </x:row>
    <x:row r="964">
      <x:c r="A964" s="14" t="str">
        <x:v>S0079-09</x:v>
      </x:c>
      <x:c r="B964" s="14" t="str">
        <x:v>S0079</x:v>
      </x:c>
      <x:c r="C964" s="14" t="str">
        <x:v>工作日</x:v>
      </x:c>
      <x:c r="D964" s="14" t="str">
        <x:v>环线2路</x:v>
      </x:c>
      <x:c r="E964" s="14" t="str">
        <x:v>第一班</x:v>
      </x:c>
      <x:c r="F964" s="14" t="n">
        <x:v>9</x:v>
      </x:c>
      <x:c r="G964" s="14" t="str">
        <x:v>10:10</x:v>
      </x:c>
      <x:c r="H964" s="14" t="str">
        <x:v>研究生宿舍楼</x:v>
      </x:c>
      <x:c r="I964" s="14" t="str">
        <x:v>否</x:v>
      </x:c>
      <x:c r="J964" s="14" t="n">
        <x:v>9</x:v>
      </x:c>
      <x:c r="K964" s="14" t="str">
        <x:v>305教学楼</x:v>
      </x:c>
      <x:c r="L964" s="14" t="n">
        <x:v>10</x:v>
      </x:c>
      <x:c r="M964" s="14" t="str">
        <x:v>10:20</x:v>
      </x:c>
      <x:c r="N964" s="14" t="str">
        <x:v>否</x:v>
      </x:c>
      <x:c r="O964" s="14" t="str">
        <x:v>否</x:v>
      </x:c>
      <x:c r="P964" s="14" t="str">
        <x:v>未提供</x:v>
      </x:c>
      <x:c r="Q964" s="14" t="str">
        <x:v>未提供</x:v>
      </x:c>
      <x:c r="R964" s="14" t="str">
        <x:v>预测</x:v>
      </x:c>
      <x:c r="S964" s="14" t="str">
        <x:v>到站时间为估算值</x:v>
      </x:c>
      <x:c r="T964" t="str">
        <x:v>研究生宿舍楼发车</x:v>
      </x:c>
    </x:row>
    <x:row r="965">
      <x:c r="A965" s="14" t="str">
        <x:v>S0079-10</x:v>
      </x:c>
      <x:c r="B965" s="14" t="str">
        <x:v>S0079</x:v>
      </x:c>
      <x:c r="C965" s="14" t="str">
        <x:v>工作日</x:v>
      </x:c>
      <x:c r="D965" s="14" t="str">
        <x:v>环线2路</x:v>
      </x:c>
      <x:c r="E965" s="14" t="str">
        <x:v>第一班</x:v>
      </x:c>
      <x:c r="F965" s="14" t="n">
        <x:v>9</x:v>
      </x:c>
      <x:c r="G965" s="14" t="str">
        <x:v>10:10</x:v>
      </x:c>
      <x:c r="H965" s="14" t="str">
        <x:v>研究生宿舍楼</x:v>
      </x:c>
      <x:c r="I965" s="14" t="str">
        <x:v>否</x:v>
      </x:c>
      <x:c r="J965" s="14" t="n">
        <x:v>10</x:v>
      </x:c>
      <x:c r="K965" s="14" t="str">
        <x:v>研究生宿舍楼</x:v>
      </x:c>
      <x:c r="L965" s="14" t="n">
        <x:v>12</x:v>
      </x:c>
      <x:c r="M965" s="14" t="str">
        <x:v>10:22</x:v>
      </x:c>
      <x:c r="N965" s="14" t="str">
        <x:v>否</x:v>
      </x:c>
      <x:c r="O965" s="14" t="str">
        <x:v>是</x:v>
      </x:c>
      <x:c r="P965" s="14" t="str">
        <x:v>未提供</x:v>
      </x:c>
      <x:c r="Q965" s="14" t="str">
        <x:v>未提供</x:v>
      </x:c>
      <x:c r="R965" s="14" t="str">
        <x:v>预测</x:v>
      </x:c>
      <x:c r="S965" s="14" t="str">
        <x:v>到站时间为估算值</x:v>
      </x:c>
      <x:c r="T965" t="str">
        <x:v>研究生宿舍楼发车</x:v>
      </x:c>
    </x:row>
    <x:row r="966">
      <x:c r="A966" s="14" t="str">
        <x:v>S0080-01</x:v>
      </x:c>
      <x:c r="B966" s="14" t="str">
        <x:v>S0080</x:v>
      </x:c>
      <x:c r="C966" s="14" t="str">
        <x:v>工作日</x:v>
      </x:c>
      <x:c r="D966" s="14" t="str">
        <x:v>环线2路</x:v>
      </x:c>
      <x:c r="E966" s="14" t="str">
        <x:v>第一班</x:v>
      </x:c>
      <x:c r="F966" s="14" t="n">
        <x:v>10</x:v>
      </x:c>
      <x:c r="G966" s="14" t="str">
        <x:v>10:40</x:v>
      </x:c>
      <x:c r="H966" s="14" t="str">
        <x:v>研究生宿舍楼</x:v>
      </x:c>
      <x:c r="I966" s="14" t="str">
        <x:v>否</x:v>
      </x:c>
      <x:c r="J966" s="14" t="n">
        <x:v>1</x:v>
      </x:c>
      <x:c r="K966" s="14" t="str">
        <x:v>研究生宿舍楼</x:v>
      </x:c>
      <x:c r="L966" s="14" t="n">
        <x:v>0</x:v>
      </x:c>
      <x:c r="M966" s="14" t="str">
        <x:v>10:40</x:v>
      </x:c>
      <x:c r="N966" s="14" t="str">
        <x:v>是</x:v>
      </x:c>
      <x:c r="O966" s="14" t="str">
        <x:v>否</x:v>
      </x:c>
      <x:c r="P966" s="14" t="str">
        <x:v>未提供</x:v>
      </x:c>
      <x:c r="Q966" s="14" t="str">
        <x:v>未提供</x:v>
      </x:c>
      <x:c r="R966" s="14" t="str">
        <x:v>预测</x:v>
      </x:c>
      <x:c r="S966" s="14" t="str">
        <x:v>到站时间为估算值</x:v>
      </x:c>
      <x:c r="T966" t="str">
        <x:v>研究生宿舍楼发车</x:v>
      </x:c>
    </x:row>
    <x:row r="967">
      <x:c r="A967" s="14" t="str">
        <x:v>S0080-02</x:v>
      </x:c>
      <x:c r="B967" s="14" t="str">
        <x:v>S0080</x:v>
      </x:c>
      <x:c r="C967" s="14" t="str">
        <x:v>工作日</x:v>
      </x:c>
      <x:c r="D967" s="14" t="str">
        <x:v>环线2路</x:v>
      </x:c>
      <x:c r="E967" s="14" t="str">
        <x:v>第一班</x:v>
      </x:c>
      <x:c r="F967" s="14" t="n">
        <x:v>10</x:v>
      </x:c>
      <x:c r="G967" s="14" t="str">
        <x:v>10:40</x:v>
      </x:c>
      <x:c r="H967" s="14" t="str">
        <x:v>研究生宿舍楼</x:v>
      </x:c>
      <x:c r="I967" s="14" t="str">
        <x:v>否</x:v>
      </x:c>
      <x:c r="J967" s="14" t="n">
        <x:v>2</x:v>
      </x:c>
      <x:c r="K967" s="14" t="str">
        <x:v>一食堂</x:v>
      </x:c>
      <x:c r="L967" s="14" t="n">
        <x:v>1</x:v>
      </x:c>
      <x:c r="M967" s="14" t="str">
        <x:v>10:41</x:v>
      </x:c>
      <x:c r="N967" s="14" t="str">
        <x:v>否</x:v>
      </x:c>
      <x:c r="O967" s="14" t="str">
        <x:v>否</x:v>
      </x:c>
      <x:c r="P967" s="14" t="str">
        <x:v>未提供</x:v>
      </x:c>
      <x:c r="Q967" s="14" t="str">
        <x:v>未提供</x:v>
      </x:c>
      <x:c r="R967" s="14" t="str">
        <x:v>预测</x:v>
      </x:c>
      <x:c r="S967" s="14" t="str">
        <x:v>到站时间为估算值</x:v>
      </x:c>
      <x:c r="T967" t="str">
        <x:v>研究生宿舍楼发车</x:v>
      </x:c>
    </x:row>
    <x:row r="968">
      <x:c r="A968" s="14" t="str">
        <x:v>S0080-03</x:v>
      </x:c>
      <x:c r="B968" s="14" t="str">
        <x:v>S0080</x:v>
      </x:c>
      <x:c r="C968" s="14" t="str">
        <x:v>工作日</x:v>
      </x:c>
      <x:c r="D968" s="14" t="str">
        <x:v>环线2路</x:v>
      </x:c>
      <x:c r="E968" s="14" t="str">
        <x:v>第一班</x:v>
      </x:c>
      <x:c r="F968" s="14" t="n">
        <x:v>10</x:v>
      </x:c>
      <x:c r="G968" s="14" t="str">
        <x:v>10:40</x:v>
      </x:c>
      <x:c r="H968" s="14" t="str">
        <x:v>研究生宿舍楼</x:v>
      </x:c>
      <x:c r="I968" s="14" t="str">
        <x:v>否</x:v>
      </x:c>
      <x:c r="J968" s="14" t="n">
        <x:v>3</x:v>
      </x:c>
      <x:c r="K968" s="14" t="str">
        <x:v>门诊部</x:v>
      </x:c>
      <x:c r="L968" s="14" t="n">
        <x:v>2</x:v>
      </x:c>
      <x:c r="M968" s="14" t="str">
        <x:v>10:42</x:v>
      </x:c>
      <x:c r="N968" s="14" t="str">
        <x:v>否</x:v>
      </x:c>
      <x:c r="O968" s="14" t="str">
        <x:v>否</x:v>
      </x:c>
      <x:c r="P968" s="14" t="str">
        <x:v>未提供</x:v>
      </x:c>
      <x:c r="Q968" s="14" t="str">
        <x:v>未提供</x:v>
      </x:c>
      <x:c r="R968" s="14" t="str">
        <x:v>预测</x:v>
      </x:c>
      <x:c r="S968" s="14" t="str">
        <x:v>到站时间为估算值</x:v>
      </x:c>
      <x:c r="T968" t="str">
        <x:v>研究生宿舍楼发车</x:v>
      </x:c>
    </x:row>
    <x:row r="969">
      <x:c r="A969" s="14" t="str">
        <x:v>S0080-04</x:v>
      </x:c>
      <x:c r="B969" s="14" t="str">
        <x:v>S0080</x:v>
      </x:c>
      <x:c r="C969" s="14" t="str">
        <x:v>工作日</x:v>
      </x:c>
      <x:c r="D969" s="14" t="str">
        <x:v>环线2路</x:v>
      </x:c>
      <x:c r="E969" s="14" t="str">
        <x:v>第一班</x:v>
      </x:c>
      <x:c r="F969" s="14" t="n">
        <x:v>10</x:v>
      </x:c>
      <x:c r="G969" s="14" t="str">
        <x:v>10:40</x:v>
      </x:c>
      <x:c r="H969" s="14" t="str">
        <x:v>研究生宿舍楼</x:v>
      </x:c>
      <x:c r="I969" s="14" t="str">
        <x:v>否</x:v>
      </x:c>
      <x:c r="J969" s="14" t="n">
        <x:v>4</x:v>
      </x:c>
      <x:c r="K969" s="14" t="str">
        <x:v>1号宿舍楼</x:v>
      </x:c>
      <x:c r="L969" s="14" t="n">
        <x:v>3</x:v>
      </x:c>
      <x:c r="M969" s="14" t="str">
        <x:v>10:43</x:v>
      </x:c>
      <x:c r="N969" s="14" t="str">
        <x:v>否</x:v>
      </x:c>
      <x:c r="O969" s="14" t="str">
        <x:v>否</x:v>
      </x:c>
      <x:c r="P969" s="14" t="str">
        <x:v>未提供</x:v>
      </x:c>
      <x:c r="Q969" s="14" t="str">
        <x:v>未提供</x:v>
      </x:c>
      <x:c r="R969" s="14" t="str">
        <x:v>预测</x:v>
      </x:c>
      <x:c r="S969" s="14" t="str">
        <x:v>到站时间为估算值</x:v>
      </x:c>
      <x:c r="T969" t="str">
        <x:v>研究生宿舍楼发车</x:v>
      </x:c>
    </x:row>
    <x:row r="970">
      <x:c r="A970" s="14" t="str">
        <x:v>S0080-05</x:v>
      </x:c>
      <x:c r="B970" s="14" t="str">
        <x:v>S0080</x:v>
      </x:c>
      <x:c r="C970" s="14" t="str">
        <x:v>工作日</x:v>
      </x:c>
      <x:c r="D970" s="14" t="str">
        <x:v>环线2路</x:v>
      </x:c>
      <x:c r="E970" s="14" t="str">
        <x:v>第一班</x:v>
      </x:c>
      <x:c r="F970" s="14" t="n">
        <x:v>10</x:v>
      </x:c>
      <x:c r="G970" s="14" t="str">
        <x:v>10:40</x:v>
      </x:c>
      <x:c r="H970" s="14" t="str">
        <x:v>研究生宿舍楼</x:v>
      </x:c>
      <x:c r="I970" s="14" t="str">
        <x:v>否</x:v>
      </x:c>
      <x:c r="J970" s="14" t="n">
        <x:v>5</x:v>
      </x:c>
      <x:c r="K970" s="14" t="str">
        <x:v>水上训练中心</x:v>
      </x:c>
      <x:c r="L970" s="14" t="n">
        <x:v>5</x:v>
      </x:c>
      <x:c r="M970" s="14" t="str">
        <x:v>10:45</x:v>
      </x:c>
      <x:c r="N970" s="14" t="str">
        <x:v>否</x:v>
      </x:c>
      <x:c r="O970" s="14" t="str">
        <x:v>否</x:v>
      </x:c>
      <x:c r="P970" s="14" t="str">
        <x:v>未提供</x:v>
      </x:c>
      <x:c r="Q970" s="14" t="str">
        <x:v>未提供</x:v>
      </x:c>
      <x:c r="R970" s="14" t="str">
        <x:v>预测</x:v>
      </x:c>
      <x:c r="S970" s="14" t="str">
        <x:v>到站时间为估算值</x:v>
      </x:c>
      <x:c r="T970" t="str">
        <x:v>研究生宿舍楼发车</x:v>
      </x:c>
    </x:row>
    <x:row r="971">
      <x:c r="A971" s="14" t="str">
        <x:v>S0080-06</x:v>
      </x:c>
      <x:c r="B971" s="14" t="str">
        <x:v>S0080</x:v>
      </x:c>
      <x:c r="C971" s="14" t="str">
        <x:v>工作日</x:v>
      </x:c>
      <x:c r="D971" s="14" t="str">
        <x:v>环线2路</x:v>
      </x:c>
      <x:c r="E971" s="14" t="str">
        <x:v>第一班</x:v>
      </x:c>
      <x:c r="F971" s="14" t="n">
        <x:v>10</x:v>
      </x:c>
      <x:c r="G971" s="14" t="str">
        <x:v>10:40</x:v>
      </x:c>
      <x:c r="H971" s="14" t="str">
        <x:v>研究生宿舍楼</x:v>
      </x:c>
      <x:c r="I971" s="14" t="str">
        <x:v>否</x:v>
      </x:c>
      <x:c r="J971" s="14" t="n">
        <x:v>6</x:v>
      </x:c>
      <x:c r="K971" s="14" t="str">
        <x:v>军体活动中心</x:v>
      </x:c>
      <x:c r="L971" s="14" t="n">
        <x:v>6</x:v>
      </x:c>
      <x:c r="M971" s="14" t="str">
        <x:v>10:46</x:v>
      </x:c>
      <x:c r="N971" s="14" t="str">
        <x:v>否</x:v>
      </x:c>
      <x:c r="O971" s="14" t="str">
        <x:v>否</x:v>
      </x:c>
      <x:c r="P971" s="14" t="str">
        <x:v>未提供</x:v>
      </x:c>
      <x:c r="Q971" s="14" t="str">
        <x:v>未提供</x:v>
      </x:c>
      <x:c r="R971" s="14" t="str">
        <x:v>预测</x:v>
      </x:c>
      <x:c r="S971" s="14" t="str">
        <x:v>到站时间为估算值</x:v>
      </x:c>
      <x:c r="T971" t="str">
        <x:v>研究生宿舍楼发车</x:v>
      </x:c>
    </x:row>
    <x:row r="972">
      <x:c r="A972" s="14" t="str">
        <x:v>S0080-07</x:v>
      </x:c>
      <x:c r="B972" s="14" t="str">
        <x:v>S0080</x:v>
      </x:c>
      <x:c r="C972" s="14" t="str">
        <x:v>工作日</x:v>
      </x:c>
      <x:c r="D972" s="14" t="str">
        <x:v>环线2路</x:v>
      </x:c>
      <x:c r="E972" s="14" t="str">
        <x:v>第一班</x:v>
      </x:c>
      <x:c r="F972" s="14" t="n">
        <x:v>10</x:v>
      </x:c>
      <x:c r="G972" s="14" t="str">
        <x:v>10:40</x:v>
      </x:c>
      <x:c r="H972" s="14" t="str">
        <x:v>研究生宿舍楼</x:v>
      </x:c>
      <x:c r="I972" s="14" t="str">
        <x:v>否</x:v>
      </x:c>
      <x:c r="J972" s="14" t="n">
        <x:v>7</x:v>
      </x:c>
      <x:c r="K972" s="14" t="str">
        <x:v>二食堂</x:v>
      </x:c>
      <x:c r="L972" s="14" t="n">
        <x:v>8</x:v>
      </x:c>
      <x:c r="M972" s="14" t="str">
        <x:v>10:48</x:v>
      </x:c>
      <x:c r="N972" s="14" t="str">
        <x:v>否</x:v>
      </x:c>
      <x:c r="O972" s="14" t="str">
        <x:v>否</x:v>
      </x:c>
      <x:c r="P972" s="14" t="str">
        <x:v>未提供</x:v>
      </x:c>
      <x:c r="Q972" s="14" t="str">
        <x:v>未提供</x:v>
      </x:c>
      <x:c r="R972" s="14" t="str">
        <x:v>预测</x:v>
      </x:c>
      <x:c r="S972" s="14" t="str">
        <x:v>到站时间为估算值</x:v>
      </x:c>
      <x:c r="T972" t="str">
        <x:v>研究生宿舍楼发车</x:v>
      </x:c>
    </x:row>
    <x:row r="973">
      <x:c r="A973" s="14" t="str">
        <x:v>S0080-08</x:v>
      </x:c>
      <x:c r="B973" s="14" t="str">
        <x:v>S0080</x:v>
      </x:c>
      <x:c r="C973" s="14" t="str">
        <x:v>工作日</x:v>
      </x:c>
      <x:c r="D973" s="14" t="str">
        <x:v>环线2路</x:v>
      </x:c>
      <x:c r="E973" s="14" t="str">
        <x:v>第一班</x:v>
      </x:c>
      <x:c r="F973" s="14" t="n">
        <x:v>10</x:v>
      </x:c>
      <x:c r="G973" s="14" t="str">
        <x:v>10:40</x:v>
      </x:c>
      <x:c r="H973" s="14" t="str">
        <x:v>研究生宿舍楼</x:v>
      </x:c>
      <x:c r="I973" s="14" t="str">
        <x:v>否</x:v>
      </x:c>
      <x:c r="J973" s="14" t="n">
        <x:v>8</x:v>
      </x:c>
      <x:c r="K973" s="14" t="str">
        <x:v>5号宿舍楼</x:v>
      </x:c>
      <x:c r="L973" s="14" t="n">
        <x:v>9</x:v>
      </x:c>
      <x:c r="M973" s="14" t="str">
        <x:v>10:49</x:v>
      </x:c>
      <x:c r="N973" s="14" t="str">
        <x:v>否</x:v>
      </x:c>
      <x:c r="O973" s="14" t="str">
        <x:v>否</x:v>
      </x:c>
      <x:c r="P973" s="14" t="str">
        <x:v>未提供</x:v>
      </x:c>
      <x:c r="Q973" s="14" t="str">
        <x:v>未提供</x:v>
      </x:c>
      <x:c r="R973" s="14" t="str">
        <x:v>预测</x:v>
      </x:c>
      <x:c r="S973" s="14" t="str">
        <x:v>到站时间为估算值</x:v>
      </x:c>
      <x:c r="T973" t="str">
        <x:v>研究生宿舍楼发车</x:v>
      </x:c>
    </x:row>
    <x:row r="974">
      <x:c r="A974" s="14" t="str">
        <x:v>S0080-09</x:v>
      </x:c>
      <x:c r="B974" s="14" t="str">
        <x:v>S0080</x:v>
      </x:c>
      <x:c r="C974" s="14" t="str">
        <x:v>工作日</x:v>
      </x:c>
      <x:c r="D974" s="14" t="str">
        <x:v>环线2路</x:v>
      </x:c>
      <x:c r="E974" s="14" t="str">
        <x:v>第一班</x:v>
      </x:c>
      <x:c r="F974" s="14" t="n">
        <x:v>10</x:v>
      </x:c>
      <x:c r="G974" s="14" t="str">
        <x:v>10:40</x:v>
      </x:c>
      <x:c r="H974" s="14" t="str">
        <x:v>研究生宿舍楼</x:v>
      </x:c>
      <x:c r="I974" s="14" t="str">
        <x:v>否</x:v>
      </x:c>
      <x:c r="J974" s="14" t="n">
        <x:v>9</x:v>
      </x:c>
      <x:c r="K974" s="14" t="str">
        <x:v>305教学楼</x:v>
      </x:c>
      <x:c r="L974" s="14" t="n">
        <x:v>10</x:v>
      </x:c>
      <x:c r="M974" s="14" t="str">
        <x:v>10:50</x:v>
      </x:c>
      <x:c r="N974" s="14" t="str">
        <x:v>否</x:v>
      </x:c>
      <x:c r="O974" s="14" t="str">
        <x:v>否</x:v>
      </x:c>
      <x:c r="P974" s="14" t="str">
        <x:v>未提供</x:v>
      </x:c>
      <x:c r="Q974" s="14" t="str">
        <x:v>未提供</x:v>
      </x:c>
      <x:c r="R974" s="14" t="str">
        <x:v>预测</x:v>
      </x:c>
      <x:c r="S974" s="14" t="str">
        <x:v>到站时间为估算值</x:v>
      </x:c>
      <x:c r="T974" t="str">
        <x:v>研究生宿舍楼发车</x:v>
      </x:c>
    </x:row>
    <x:row r="975">
      <x:c r="A975" s="14" t="str">
        <x:v>S0080-10</x:v>
      </x:c>
      <x:c r="B975" s="14" t="str">
        <x:v>S0080</x:v>
      </x:c>
      <x:c r="C975" s="14" t="str">
        <x:v>工作日</x:v>
      </x:c>
      <x:c r="D975" s="14" t="str">
        <x:v>环线2路</x:v>
      </x:c>
      <x:c r="E975" s="14" t="str">
        <x:v>第一班</x:v>
      </x:c>
      <x:c r="F975" s="14" t="n">
        <x:v>10</x:v>
      </x:c>
      <x:c r="G975" s="14" t="str">
        <x:v>10:40</x:v>
      </x:c>
      <x:c r="H975" s="14" t="str">
        <x:v>研究生宿舍楼</x:v>
      </x:c>
      <x:c r="I975" s="14" t="str">
        <x:v>否</x:v>
      </x:c>
      <x:c r="J975" s="14" t="n">
        <x:v>10</x:v>
      </x:c>
      <x:c r="K975" s="14" t="str">
        <x:v>研究生宿舍楼</x:v>
      </x:c>
      <x:c r="L975" s="14" t="n">
        <x:v>12</x:v>
      </x:c>
      <x:c r="M975" s="14" t="str">
        <x:v>10:52</x:v>
      </x:c>
      <x:c r="N975" s="14" t="str">
        <x:v>否</x:v>
      </x:c>
      <x:c r="O975" s="14" t="str">
        <x:v>是</x:v>
      </x:c>
      <x:c r="P975" s="14" t="str">
        <x:v>未提供</x:v>
      </x:c>
      <x:c r="Q975" s="14" t="str">
        <x:v>未提供</x:v>
      </x:c>
      <x:c r="R975" s="14" t="str">
        <x:v>预测</x:v>
      </x:c>
      <x:c r="S975" s="14" t="str">
        <x:v>到站时间为估算值</x:v>
      </x:c>
      <x:c r="T975" t="str">
        <x:v>研究生宿舍楼发车</x:v>
      </x:c>
    </x:row>
    <x:row r="976">
      <x:c r="A976" s="14" t="str">
        <x:v>S0081-01</x:v>
      </x:c>
      <x:c r="B976" s="14" t="str">
        <x:v>S0081</x:v>
      </x:c>
      <x:c r="C976" s="14" t="str">
        <x:v>工作日</x:v>
      </x:c>
      <x:c r="D976" s="14" t="str">
        <x:v>环线2路</x:v>
      </x:c>
      <x:c r="E976" s="14" t="str">
        <x:v>第一班</x:v>
      </x:c>
      <x:c r="F976" s="14" t="n">
        <x:v>11</x:v>
      </x:c>
      <x:c r="G976" s="14" t="str">
        <x:v>11:15</x:v>
      </x:c>
      <x:c r="H976" s="14" t="str">
        <x:v>研究生宿舍楼</x:v>
      </x:c>
      <x:c r="I976" s="14" t="str">
        <x:v>否</x:v>
      </x:c>
      <x:c r="J976" s="14" t="n">
        <x:v>1</x:v>
      </x:c>
      <x:c r="K976" s="14" t="str">
        <x:v>研究生宿舍楼</x:v>
      </x:c>
      <x:c r="L976" s="14" t="n">
        <x:v>0</x:v>
      </x:c>
      <x:c r="M976" s="14" t="str">
        <x:v>11:15</x:v>
      </x:c>
      <x:c r="N976" s="14" t="str">
        <x:v>是</x:v>
      </x:c>
      <x:c r="O976" s="14" t="str">
        <x:v>否</x:v>
      </x:c>
      <x:c r="P976" s="14" t="str">
        <x:v>未提供</x:v>
      </x:c>
      <x:c r="Q976" s="14" t="str">
        <x:v>未提供</x:v>
      </x:c>
      <x:c r="R976" s="14" t="str">
        <x:v>预测</x:v>
      </x:c>
      <x:c r="S976" s="14" t="str">
        <x:v>到站时间为估算值</x:v>
      </x:c>
      <x:c r="T976" t="str">
        <x:v>研究生宿舍楼发车</x:v>
      </x:c>
    </x:row>
    <x:row r="977">
      <x:c r="A977" s="14" t="str">
        <x:v>S0081-02</x:v>
      </x:c>
      <x:c r="B977" s="14" t="str">
        <x:v>S0081</x:v>
      </x:c>
      <x:c r="C977" s="14" t="str">
        <x:v>工作日</x:v>
      </x:c>
      <x:c r="D977" s="14" t="str">
        <x:v>环线2路</x:v>
      </x:c>
      <x:c r="E977" s="14" t="str">
        <x:v>第一班</x:v>
      </x:c>
      <x:c r="F977" s="14" t="n">
        <x:v>11</x:v>
      </x:c>
      <x:c r="G977" s="14" t="str">
        <x:v>11:15</x:v>
      </x:c>
      <x:c r="H977" s="14" t="str">
        <x:v>研究生宿舍楼</x:v>
      </x:c>
      <x:c r="I977" s="14" t="str">
        <x:v>否</x:v>
      </x:c>
      <x:c r="J977" s="14" t="n">
        <x:v>2</x:v>
      </x:c>
      <x:c r="K977" s="14" t="str">
        <x:v>一食堂</x:v>
      </x:c>
      <x:c r="L977" s="14" t="n">
        <x:v>1</x:v>
      </x:c>
      <x:c r="M977" s="14" t="str">
        <x:v>11:16</x:v>
      </x:c>
      <x:c r="N977" s="14" t="str">
        <x:v>否</x:v>
      </x:c>
      <x:c r="O977" s="14" t="str">
        <x:v>否</x:v>
      </x:c>
      <x:c r="P977" s="14" t="str">
        <x:v>未提供</x:v>
      </x:c>
      <x:c r="Q977" s="14" t="str">
        <x:v>未提供</x:v>
      </x:c>
      <x:c r="R977" s="14" t="str">
        <x:v>预测</x:v>
      </x:c>
      <x:c r="S977" s="14" t="str">
        <x:v>到站时间为估算值</x:v>
      </x:c>
      <x:c r="T977" t="str">
        <x:v>研究生宿舍楼发车</x:v>
      </x:c>
    </x:row>
    <x:row r="978">
      <x:c r="A978" s="14" t="str">
        <x:v>S0081-03</x:v>
      </x:c>
      <x:c r="B978" s="14" t="str">
        <x:v>S0081</x:v>
      </x:c>
      <x:c r="C978" s="14" t="str">
        <x:v>工作日</x:v>
      </x:c>
      <x:c r="D978" s="14" t="str">
        <x:v>环线2路</x:v>
      </x:c>
      <x:c r="E978" s="14" t="str">
        <x:v>第一班</x:v>
      </x:c>
      <x:c r="F978" s="14" t="n">
        <x:v>11</x:v>
      </x:c>
      <x:c r="G978" s="14" t="str">
        <x:v>11:15</x:v>
      </x:c>
      <x:c r="H978" s="14" t="str">
        <x:v>研究生宿舍楼</x:v>
      </x:c>
      <x:c r="I978" s="14" t="str">
        <x:v>否</x:v>
      </x:c>
      <x:c r="J978" s="14" t="n">
        <x:v>3</x:v>
      </x:c>
      <x:c r="K978" s="14" t="str">
        <x:v>门诊部</x:v>
      </x:c>
      <x:c r="L978" s="14" t="n">
        <x:v>2</x:v>
      </x:c>
      <x:c r="M978" s="14" t="str">
        <x:v>11:17</x:v>
      </x:c>
      <x:c r="N978" s="14" t="str">
        <x:v>否</x:v>
      </x:c>
      <x:c r="O978" s="14" t="str">
        <x:v>否</x:v>
      </x:c>
      <x:c r="P978" s="14" t="str">
        <x:v>未提供</x:v>
      </x:c>
      <x:c r="Q978" s="14" t="str">
        <x:v>未提供</x:v>
      </x:c>
      <x:c r="R978" s="14" t="str">
        <x:v>预测</x:v>
      </x:c>
      <x:c r="S978" s="14" t="str">
        <x:v>到站时间为估算值</x:v>
      </x:c>
      <x:c r="T978" t="str">
        <x:v>研究生宿舍楼发车</x:v>
      </x:c>
    </x:row>
    <x:row r="979">
      <x:c r="A979" s="14" t="str">
        <x:v>S0081-04</x:v>
      </x:c>
      <x:c r="B979" s="14" t="str">
        <x:v>S0081</x:v>
      </x:c>
      <x:c r="C979" s="14" t="str">
        <x:v>工作日</x:v>
      </x:c>
      <x:c r="D979" s="14" t="str">
        <x:v>环线2路</x:v>
      </x:c>
      <x:c r="E979" s="14" t="str">
        <x:v>第一班</x:v>
      </x:c>
      <x:c r="F979" s="14" t="n">
        <x:v>11</x:v>
      </x:c>
      <x:c r="G979" s="14" t="str">
        <x:v>11:15</x:v>
      </x:c>
      <x:c r="H979" s="14" t="str">
        <x:v>研究生宿舍楼</x:v>
      </x:c>
      <x:c r="I979" s="14" t="str">
        <x:v>否</x:v>
      </x:c>
      <x:c r="J979" s="14" t="n">
        <x:v>4</x:v>
      </x:c>
      <x:c r="K979" s="14" t="str">
        <x:v>1号宿舍楼</x:v>
      </x:c>
      <x:c r="L979" s="14" t="n">
        <x:v>3</x:v>
      </x:c>
      <x:c r="M979" s="14" t="str">
        <x:v>11:18</x:v>
      </x:c>
      <x:c r="N979" s="14" t="str">
        <x:v>否</x:v>
      </x:c>
      <x:c r="O979" s="14" t="str">
        <x:v>否</x:v>
      </x:c>
      <x:c r="P979" s="14" t="str">
        <x:v>未提供</x:v>
      </x:c>
      <x:c r="Q979" s="14" t="str">
        <x:v>未提供</x:v>
      </x:c>
      <x:c r="R979" s="14" t="str">
        <x:v>预测</x:v>
      </x:c>
      <x:c r="S979" s="14" t="str">
        <x:v>到站时间为估算值</x:v>
      </x:c>
      <x:c r="T979" t="str">
        <x:v>研究生宿舍楼发车</x:v>
      </x:c>
    </x:row>
    <x:row r="980">
      <x:c r="A980" s="14" t="str">
        <x:v>S0081-05</x:v>
      </x:c>
      <x:c r="B980" s="14" t="str">
        <x:v>S0081</x:v>
      </x:c>
      <x:c r="C980" s="14" t="str">
        <x:v>工作日</x:v>
      </x:c>
      <x:c r="D980" s="14" t="str">
        <x:v>环线2路</x:v>
      </x:c>
      <x:c r="E980" s="14" t="str">
        <x:v>第一班</x:v>
      </x:c>
      <x:c r="F980" s="14" t="n">
        <x:v>11</x:v>
      </x:c>
      <x:c r="G980" s="14" t="str">
        <x:v>11:15</x:v>
      </x:c>
      <x:c r="H980" s="14" t="str">
        <x:v>研究生宿舍楼</x:v>
      </x:c>
      <x:c r="I980" s="14" t="str">
        <x:v>否</x:v>
      </x:c>
      <x:c r="J980" s="14" t="n">
        <x:v>5</x:v>
      </x:c>
      <x:c r="K980" s="14" t="str">
        <x:v>水上训练中心</x:v>
      </x:c>
      <x:c r="L980" s="14" t="n">
        <x:v>5</x:v>
      </x:c>
      <x:c r="M980" s="14" t="str">
        <x:v>11:20</x:v>
      </x:c>
      <x:c r="N980" s="14" t="str">
        <x:v>否</x:v>
      </x:c>
      <x:c r="O980" s="14" t="str">
        <x:v>否</x:v>
      </x:c>
      <x:c r="P980" s="14" t="str">
        <x:v>未提供</x:v>
      </x:c>
      <x:c r="Q980" s="14" t="str">
        <x:v>未提供</x:v>
      </x:c>
      <x:c r="R980" s="14" t="str">
        <x:v>预测</x:v>
      </x:c>
      <x:c r="S980" s="14" t="str">
        <x:v>到站时间为估算值</x:v>
      </x:c>
      <x:c r="T980" t="str">
        <x:v>研究生宿舍楼发车</x:v>
      </x:c>
    </x:row>
    <x:row r="981">
      <x:c r="A981" s="14" t="str">
        <x:v>S0081-06</x:v>
      </x:c>
      <x:c r="B981" s="14" t="str">
        <x:v>S0081</x:v>
      </x:c>
      <x:c r="C981" s="14" t="str">
        <x:v>工作日</x:v>
      </x:c>
      <x:c r="D981" s="14" t="str">
        <x:v>环线2路</x:v>
      </x:c>
      <x:c r="E981" s="14" t="str">
        <x:v>第一班</x:v>
      </x:c>
      <x:c r="F981" s="14" t="n">
        <x:v>11</x:v>
      </x:c>
      <x:c r="G981" s="14" t="str">
        <x:v>11:15</x:v>
      </x:c>
      <x:c r="H981" s="14" t="str">
        <x:v>研究生宿舍楼</x:v>
      </x:c>
      <x:c r="I981" s="14" t="str">
        <x:v>否</x:v>
      </x:c>
      <x:c r="J981" s="14" t="n">
        <x:v>6</x:v>
      </x:c>
      <x:c r="K981" s="14" t="str">
        <x:v>军体活动中心</x:v>
      </x:c>
      <x:c r="L981" s="14" t="n">
        <x:v>6</x:v>
      </x:c>
      <x:c r="M981" s="14" t="str">
        <x:v>11:21</x:v>
      </x:c>
      <x:c r="N981" s="14" t="str">
        <x:v>否</x:v>
      </x:c>
      <x:c r="O981" s="14" t="str">
        <x:v>否</x:v>
      </x:c>
      <x:c r="P981" s="14" t="str">
        <x:v>未提供</x:v>
      </x:c>
      <x:c r="Q981" s="14" t="str">
        <x:v>未提供</x:v>
      </x:c>
      <x:c r="R981" s="14" t="str">
        <x:v>预测</x:v>
      </x:c>
      <x:c r="S981" s="14" t="str">
        <x:v>到站时间为估算值</x:v>
      </x:c>
      <x:c r="T981" t="str">
        <x:v>研究生宿舍楼发车</x:v>
      </x:c>
    </x:row>
    <x:row r="982">
      <x:c r="A982" s="14" t="str">
        <x:v>S0081-07</x:v>
      </x:c>
      <x:c r="B982" s="14" t="str">
        <x:v>S0081</x:v>
      </x:c>
      <x:c r="C982" s="14" t="str">
        <x:v>工作日</x:v>
      </x:c>
      <x:c r="D982" s="14" t="str">
        <x:v>环线2路</x:v>
      </x:c>
      <x:c r="E982" s="14" t="str">
        <x:v>第一班</x:v>
      </x:c>
      <x:c r="F982" s="14" t="n">
        <x:v>11</x:v>
      </x:c>
      <x:c r="G982" s="14" t="str">
        <x:v>11:15</x:v>
      </x:c>
      <x:c r="H982" s="14" t="str">
        <x:v>研究生宿舍楼</x:v>
      </x:c>
      <x:c r="I982" s="14" t="str">
        <x:v>否</x:v>
      </x:c>
      <x:c r="J982" s="14" t="n">
        <x:v>7</x:v>
      </x:c>
      <x:c r="K982" s="14" t="str">
        <x:v>二食堂</x:v>
      </x:c>
      <x:c r="L982" s="14" t="n">
        <x:v>8</x:v>
      </x:c>
      <x:c r="M982" s="14" t="str">
        <x:v>11:23</x:v>
      </x:c>
      <x:c r="N982" s="14" t="str">
        <x:v>否</x:v>
      </x:c>
      <x:c r="O982" s="14" t="str">
        <x:v>否</x:v>
      </x:c>
      <x:c r="P982" s="14" t="str">
        <x:v>未提供</x:v>
      </x:c>
      <x:c r="Q982" s="14" t="str">
        <x:v>未提供</x:v>
      </x:c>
      <x:c r="R982" s="14" t="str">
        <x:v>预测</x:v>
      </x:c>
      <x:c r="S982" s="14" t="str">
        <x:v>到站时间为估算值</x:v>
      </x:c>
      <x:c r="T982" t="str">
        <x:v>研究生宿舍楼发车</x:v>
      </x:c>
    </x:row>
    <x:row r="983">
      <x:c r="A983" s="14" t="str">
        <x:v>S0081-08</x:v>
      </x:c>
      <x:c r="B983" s="14" t="str">
        <x:v>S0081</x:v>
      </x:c>
      <x:c r="C983" s="14" t="str">
        <x:v>工作日</x:v>
      </x:c>
      <x:c r="D983" s="14" t="str">
        <x:v>环线2路</x:v>
      </x:c>
      <x:c r="E983" s="14" t="str">
        <x:v>第一班</x:v>
      </x:c>
      <x:c r="F983" s="14" t="n">
        <x:v>11</x:v>
      </x:c>
      <x:c r="G983" s="14" t="str">
        <x:v>11:15</x:v>
      </x:c>
      <x:c r="H983" s="14" t="str">
        <x:v>研究生宿舍楼</x:v>
      </x:c>
      <x:c r="I983" s="14" t="str">
        <x:v>否</x:v>
      </x:c>
      <x:c r="J983" s="14" t="n">
        <x:v>8</x:v>
      </x:c>
      <x:c r="K983" s="14" t="str">
        <x:v>5号宿舍楼</x:v>
      </x:c>
      <x:c r="L983" s="14" t="n">
        <x:v>9</x:v>
      </x:c>
      <x:c r="M983" s="14" t="str">
        <x:v>11:24</x:v>
      </x:c>
      <x:c r="N983" s="14" t="str">
        <x:v>否</x:v>
      </x:c>
      <x:c r="O983" s="14" t="str">
        <x:v>否</x:v>
      </x:c>
      <x:c r="P983" s="14" t="str">
        <x:v>未提供</x:v>
      </x:c>
      <x:c r="Q983" s="14" t="str">
        <x:v>未提供</x:v>
      </x:c>
      <x:c r="R983" s="14" t="str">
        <x:v>预测</x:v>
      </x:c>
      <x:c r="S983" s="14" t="str">
        <x:v>到站时间为估算值</x:v>
      </x:c>
      <x:c r="T983" t="str">
        <x:v>研究生宿舍楼发车</x:v>
      </x:c>
    </x:row>
    <x:row r="984">
      <x:c r="A984" s="14" t="str">
        <x:v>S0081-09</x:v>
      </x:c>
      <x:c r="B984" s="14" t="str">
        <x:v>S0081</x:v>
      </x:c>
      <x:c r="C984" s="14" t="str">
        <x:v>工作日</x:v>
      </x:c>
      <x:c r="D984" s="14" t="str">
        <x:v>环线2路</x:v>
      </x:c>
      <x:c r="E984" s="14" t="str">
        <x:v>第一班</x:v>
      </x:c>
      <x:c r="F984" s="14" t="n">
        <x:v>11</x:v>
      </x:c>
      <x:c r="G984" s="14" t="str">
        <x:v>11:15</x:v>
      </x:c>
      <x:c r="H984" s="14" t="str">
        <x:v>研究生宿舍楼</x:v>
      </x:c>
      <x:c r="I984" s="14" t="str">
        <x:v>否</x:v>
      </x:c>
      <x:c r="J984" s="14" t="n">
        <x:v>9</x:v>
      </x:c>
      <x:c r="K984" s="14" t="str">
        <x:v>305教学楼</x:v>
      </x:c>
      <x:c r="L984" s="14" t="n">
        <x:v>10</x:v>
      </x:c>
      <x:c r="M984" s="14" t="str">
        <x:v>11:25</x:v>
      </x:c>
      <x:c r="N984" s="14" t="str">
        <x:v>否</x:v>
      </x:c>
      <x:c r="O984" s="14" t="str">
        <x:v>否</x:v>
      </x:c>
      <x:c r="P984" s="14" t="str">
        <x:v>未提供</x:v>
      </x:c>
      <x:c r="Q984" s="14" t="str">
        <x:v>未提供</x:v>
      </x:c>
      <x:c r="R984" s="14" t="str">
        <x:v>预测</x:v>
      </x:c>
      <x:c r="S984" s="14" t="str">
        <x:v>到站时间为估算值</x:v>
      </x:c>
      <x:c r="T984" t="str">
        <x:v>研究生宿舍楼发车</x:v>
      </x:c>
    </x:row>
    <x:row r="985">
      <x:c r="A985" s="14" t="str">
        <x:v>S0081-10</x:v>
      </x:c>
      <x:c r="B985" s="14" t="str">
        <x:v>S0081</x:v>
      </x:c>
      <x:c r="C985" s="14" t="str">
        <x:v>工作日</x:v>
      </x:c>
      <x:c r="D985" s="14" t="str">
        <x:v>环线2路</x:v>
      </x:c>
      <x:c r="E985" s="14" t="str">
        <x:v>第一班</x:v>
      </x:c>
      <x:c r="F985" s="14" t="n">
        <x:v>11</x:v>
      </x:c>
      <x:c r="G985" s="14" t="str">
        <x:v>11:15</x:v>
      </x:c>
      <x:c r="H985" s="14" t="str">
        <x:v>研究生宿舍楼</x:v>
      </x:c>
      <x:c r="I985" s="14" t="str">
        <x:v>否</x:v>
      </x:c>
      <x:c r="J985" s="14" t="n">
        <x:v>10</x:v>
      </x:c>
      <x:c r="K985" s="14" t="str">
        <x:v>研究生宿舍楼</x:v>
      </x:c>
      <x:c r="L985" s="14" t="n">
        <x:v>12</x:v>
      </x:c>
      <x:c r="M985" s="14" t="str">
        <x:v>11:27</x:v>
      </x:c>
      <x:c r="N985" s="14" t="str">
        <x:v>否</x:v>
      </x:c>
      <x:c r="O985" s="14" t="str">
        <x:v>是</x:v>
      </x:c>
      <x:c r="P985" s="14" t="str">
        <x:v>未提供</x:v>
      </x:c>
      <x:c r="Q985" s="14" t="str">
        <x:v>未提供</x:v>
      </x:c>
      <x:c r="R985" s="14" t="str">
        <x:v>预测</x:v>
      </x:c>
      <x:c r="S985" s="14" t="str">
        <x:v>到站时间为估算值</x:v>
      </x:c>
      <x:c r="T985" t="str">
        <x:v>研究生宿舍楼发车</x:v>
      </x:c>
    </x:row>
    <x:row r="986">
      <x:c r="A986" s="14" t="str">
        <x:v>S0082-01</x:v>
      </x:c>
      <x:c r="B986" s="14" t="str">
        <x:v>S0082</x:v>
      </x:c>
      <x:c r="C986" s="14" t="str">
        <x:v>工作日</x:v>
      </x:c>
      <x:c r="D986" s="14" t="str">
        <x:v>环线2路</x:v>
      </x:c>
      <x:c r="E986" s="14" t="str">
        <x:v>第一班</x:v>
      </x:c>
      <x:c r="F986" s="14" t="n">
        <x:v>12</x:v>
      </x:c>
      <x:c r="G986" s="14" t="str">
        <x:v>11:40</x:v>
      </x:c>
      <x:c r="H986" s="14" t="str">
        <x:v>研究生宿舍楼</x:v>
      </x:c>
      <x:c r="I986" s="14" t="str">
        <x:v>否</x:v>
      </x:c>
      <x:c r="J986" s="14" t="n">
        <x:v>1</x:v>
      </x:c>
      <x:c r="K986" s="14" t="str">
        <x:v>研究生宿舍楼</x:v>
      </x:c>
      <x:c r="L986" s="14" t="n">
        <x:v>0</x:v>
      </x:c>
      <x:c r="M986" s="14" t="str">
        <x:v>11:40</x:v>
      </x:c>
      <x:c r="N986" s="14" t="str">
        <x:v>是</x:v>
      </x:c>
      <x:c r="O986" s="14" t="str">
        <x:v>否</x:v>
      </x:c>
      <x:c r="P986" s="14" t="str">
        <x:v>未提供</x:v>
      </x:c>
      <x:c r="Q986" s="14" t="str">
        <x:v>未提供</x:v>
      </x:c>
      <x:c r="R986" s="14" t="str">
        <x:v>预测</x:v>
      </x:c>
      <x:c r="S986" s="14" t="str">
        <x:v>到站时间为估算值</x:v>
      </x:c>
      <x:c r="T986" t="str">
        <x:v>研究生宿舍楼发车</x:v>
      </x:c>
    </x:row>
    <x:row r="987">
      <x:c r="A987" s="14" t="str">
        <x:v>S0082-02</x:v>
      </x:c>
      <x:c r="B987" s="14" t="str">
        <x:v>S0082</x:v>
      </x:c>
      <x:c r="C987" s="14" t="str">
        <x:v>工作日</x:v>
      </x:c>
      <x:c r="D987" s="14" t="str">
        <x:v>环线2路</x:v>
      </x:c>
      <x:c r="E987" s="14" t="str">
        <x:v>第一班</x:v>
      </x:c>
      <x:c r="F987" s="14" t="n">
        <x:v>12</x:v>
      </x:c>
      <x:c r="G987" s="14" t="str">
        <x:v>11:40</x:v>
      </x:c>
      <x:c r="H987" s="14" t="str">
        <x:v>研究生宿舍楼</x:v>
      </x:c>
      <x:c r="I987" s="14" t="str">
        <x:v>否</x:v>
      </x:c>
      <x:c r="J987" s="14" t="n">
        <x:v>2</x:v>
      </x:c>
      <x:c r="K987" s="14" t="str">
        <x:v>一食堂</x:v>
      </x:c>
      <x:c r="L987" s="14" t="n">
        <x:v>1</x:v>
      </x:c>
      <x:c r="M987" s="14" t="str">
        <x:v>11:41</x:v>
      </x:c>
      <x:c r="N987" s="14" t="str">
        <x:v>否</x:v>
      </x:c>
      <x:c r="O987" s="14" t="str">
        <x:v>否</x:v>
      </x:c>
      <x:c r="P987" s="14" t="str">
        <x:v>未提供</x:v>
      </x:c>
      <x:c r="Q987" s="14" t="str">
        <x:v>未提供</x:v>
      </x:c>
      <x:c r="R987" s="14" t="str">
        <x:v>预测</x:v>
      </x:c>
      <x:c r="S987" s="14" t="str">
        <x:v>到站时间为估算值</x:v>
      </x:c>
      <x:c r="T987" t="str">
        <x:v>研究生宿舍楼发车</x:v>
      </x:c>
    </x:row>
    <x:row r="988">
      <x:c r="A988" s="14" t="str">
        <x:v>S0082-03</x:v>
      </x:c>
      <x:c r="B988" s="14" t="str">
        <x:v>S0082</x:v>
      </x:c>
      <x:c r="C988" s="14" t="str">
        <x:v>工作日</x:v>
      </x:c>
      <x:c r="D988" s="14" t="str">
        <x:v>环线2路</x:v>
      </x:c>
      <x:c r="E988" s="14" t="str">
        <x:v>第一班</x:v>
      </x:c>
      <x:c r="F988" s="14" t="n">
        <x:v>12</x:v>
      </x:c>
      <x:c r="G988" s="14" t="str">
        <x:v>11:40</x:v>
      </x:c>
      <x:c r="H988" s="14" t="str">
        <x:v>研究生宿舍楼</x:v>
      </x:c>
      <x:c r="I988" s="14" t="str">
        <x:v>否</x:v>
      </x:c>
      <x:c r="J988" s="14" t="n">
        <x:v>3</x:v>
      </x:c>
      <x:c r="K988" s="14" t="str">
        <x:v>门诊部</x:v>
      </x:c>
      <x:c r="L988" s="14" t="n">
        <x:v>2</x:v>
      </x:c>
      <x:c r="M988" s="14" t="str">
        <x:v>11:42</x:v>
      </x:c>
      <x:c r="N988" s="14" t="str">
        <x:v>否</x:v>
      </x:c>
      <x:c r="O988" s="14" t="str">
        <x:v>否</x:v>
      </x:c>
      <x:c r="P988" s="14" t="str">
        <x:v>未提供</x:v>
      </x:c>
      <x:c r="Q988" s="14" t="str">
        <x:v>未提供</x:v>
      </x:c>
      <x:c r="R988" s="14" t="str">
        <x:v>预测</x:v>
      </x:c>
      <x:c r="S988" s="14" t="str">
        <x:v>到站时间为估算值</x:v>
      </x:c>
      <x:c r="T988" t="str">
        <x:v>研究生宿舍楼发车</x:v>
      </x:c>
    </x:row>
    <x:row r="989">
      <x:c r="A989" s="14" t="str">
        <x:v>S0082-04</x:v>
      </x:c>
      <x:c r="B989" s="14" t="str">
        <x:v>S0082</x:v>
      </x:c>
      <x:c r="C989" s="14" t="str">
        <x:v>工作日</x:v>
      </x:c>
      <x:c r="D989" s="14" t="str">
        <x:v>环线2路</x:v>
      </x:c>
      <x:c r="E989" s="14" t="str">
        <x:v>第一班</x:v>
      </x:c>
      <x:c r="F989" s="14" t="n">
        <x:v>12</x:v>
      </x:c>
      <x:c r="G989" s="14" t="str">
        <x:v>11:40</x:v>
      </x:c>
      <x:c r="H989" s="14" t="str">
        <x:v>研究生宿舍楼</x:v>
      </x:c>
      <x:c r="I989" s="14" t="str">
        <x:v>否</x:v>
      </x:c>
      <x:c r="J989" s="14" t="n">
        <x:v>4</x:v>
      </x:c>
      <x:c r="K989" s="14" t="str">
        <x:v>1号宿舍楼</x:v>
      </x:c>
      <x:c r="L989" s="14" t="n">
        <x:v>3</x:v>
      </x:c>
      <x:c r="M989" s="14" t="str">
        <x:v>11:43</x:v>
      </x:c>
      <x:c r="N989" s="14" t="str">
        <x:v>否</x:v>
      </x:c>
      <x:c r="O989" s="14" t="str">
        <x:v>否</x:v>
      </x:c>
      <x:c r="P989" s="14" t="str">
        <x:v>未提供</x:v>
      </x:c>
      <x:c r="Q989" s="14" t="str">
        <x:v>未提供</x:v>
      </x:c>
      <x:c r="R989" s="14" t="str">
        <x:v>预测</x:v>
      </x:c>
      <x:c r="S989" s="14" t="str">
        <x:v>到站时间为估算值</x:v>
      </x:c>
      <x:c r="T989" t="str">
        <x:v>研究生宿舍楼发车</x:v>
      </x:c>
    </x:row>
    <x:row r="990">
      <x:c r="A990" s="14" t="str">
        <x:v>S0082-05</x:v>
      </x:c>
      <x:c r="B990" s="14" t="str">
        <x:v>S0082</x:v>
      </x:c>
      <x:c r="C990" s="14" t="str">
        <x:v>工作日</x:v>
      </x:c>
      <x:c r="D990" s="14" t="str">
        <x:v>环线2路</x:v>
      </x:c>
      <x:c r="E990" s="14" t="str">
        <x:v>第一班</x:v>
      </x:c>
      <x:c r="F990" s="14" t="n">
        <x:v>12</x:v>
      </x:c>
      <x:c r="G990" s="14" t="str">
        <x:v>11:40</x:v>
      </x:c>
      <x:c r="H990" s="14" t="str">
        <x:v>研究生宿舍楼</x:v>
      </x:c>
      <x:c r="I990" s="14" t="str">
        <x:v>否</x:v>
      </x:c>
      <x:c r="J990" s="14" t="n">
        <x:v>5</x:v>
      </x:c>
      <x:c r="K990" s="14" t="str">
        <x:v>水上训练中心</x:v>
      </x:c>
      <x:c r="L990" s="14" t="n">
        <x:v>5</x:v>
      </x:c>
      <x:c r="M990" s="14" t="str">
        <x:v>11:45</x:v>
      </x:c>
      <x:c r="N990" s="14" t="str">
        <x:v>否</x:v>
      </x:c>
      <x:c r="O990" s="14" t="str">
        <x:v>否</x:v>
      </x:c>
      <x:c r="P990" s="14" t="str">
        <x:v>未提供</x:v>
      </x:c>
      <x:c r="Q990" s="14" t="str">
        <x:v>未提供</x:v>
      </x:c>
      <x:c r="R990" s="14" t="str">
        <x:v>预测</x:v>
      </x:c>
      <x:c r="S990" s="14" t="str">
        <x:v>到站时间为估算值</x:v>
      </x:c>
      <x:c r="T990" t="str">
        <x:v>研究生宿舍楼发车</x:v>
      </x:c>
    </x:row>
    <x:row r="991">
      <x:c r="A991" s="14" t="str">
        <x:v>S0082-06</x:v>
      </x:c>
      <x:c r="B991" s="14" t="str">
        <x:v>S0082</x:v>
      </x:c>
      <x:c r="C991" s="14" t="str">
        <x:v>工作日</x:v>
      </x:c>
      <x:c r="D991" s="14" t="str">
        <x:v>环线2路</x:v>
      </x:c>
      <x:c r="E991" s="14" t="str">
        <x:v>第一班</x:v>
      </x:c>
      <x:c r="F991" s="14" t="n">
        <x:v>12</x:v>
      </x:c>
      <x:c r="G991" s="14" t="str">
        <x:v>11:40</x:v>
      </x:c>
      <x:c r="H991" s="14" t="str">
        <x:v>研究生宿舍楼</x:v>
      </x:c>
      <x:c r="I991" s="14" t="str">
        <x:v>否</x:v>
      </x:c>
      <x:c r="J991" s="14" t="n">
        <x:v>6</x:v>
      </x:c>
      <x:c r="K991" s="14" t="str">
        <x:v>军体活动中心</x:v>
      </x:c>
      <x:c r="L991" s="14" t="n">
        <x:v>6</x:v>
      </x:c>
      <x:c r="M991" s="14" t="str">
        <x:v>11:46</x:v>
      </x:c>
      <x:c r="N991" s="14" t="str">
        <x:v>否</x:v>
      </x:c>
      <x:c r="O991" s="14" t="str">
        <x:v>否</x:v>
      </x:c>
      <x:c r="P991" s="14" t="str">
        <x:v>未提供</x:v>
      </x:c>
      <x:c r="Q991" s="14" t="str">
        <x:v>未提供</x:v>
      </x:c>
      <x:c r="R991" s="14" t="str">
        <x:v>预测</x:v>
      </x:c>
      <x:c r="S991" s="14" t="str">
        <x:v>到站时间为估算值</x:v>
      </x:c>
      <x:c r="T991" t="str">
        <x:v>研究生宿舍楼发车</x:v>
      </x:c>
    </x:row>
    <x:row r="992">
      <x:c r="A992" s="14" t="str">
        <x:v>S0082-07</x:v>
      </x:c>
      <x:c r="B992" s="14" t="str">
        <x:v>S0082</x:v>
      </x:c>
      <x:c r="C992" s="14" t="str">
        <x:v>工作日</x:v>
      </x:c>
      <x:c r="D992" s="14" t="str">
        <x:v>环线2路</x:v>
      </x:c>
      <x:c r="E992" s="14" t="str">
        <x:v>第一班</x:v>
      </x:c>
      <x:c r="F992" s="14" t="n">
        <x:v>12</x:v>
      </x:c>
      <x:c r="G992" s="14" t="str">
        <x:v>11:40</x:v>
      </x:c>
      <x:c r="H992" s="14" t="str">
        <x:v>研究生宿舍楼</x:v>
      </x:c>
      <x:c r="I992" s="14" t="str">
        <x:v>否</x:v>
      </x:c>
      <x:c r="J992" s="14" t="n">
        <x:v>7</x:v>
      </x:c>
      <x:c r="K992" s="14" t="str">
        <x:v>二食堂</x:v>
      </x:c>
      <x:c r="L992" s="14" t="n">
        <x:v>8</x:v>
      </x:c>
      <x:c r="M992" s="14" t="str">
        <x:v>11:48</x:v>
      </x:c>
      <x:c r="N992" s="14" t="str">
        <x:v>否</x:v>
      </x:c>
      <x:c r="O992" s="14" t="str">
        <x:v>否</x:v>
      </x:c>
      <x:c r="P992" s="14" t="str">
        <x:v>未提供</x:v>
      </x:c>
      <x:c r="Q992" s="14" t="str">
        <x:v>未提供</x:v>
      </x:c>
      <x:c r="R992" s="14" t="str">
        <x:v>预测</x:v>
      </x:c>
      <x:c r="S992" s="14" t="str">
        <x:v>到站时间为估算值</x:v>
      </x:c>
      <x:c r="T992" t="str">
        <x:v>研究生宿舍楼发车</x:v>
      </x:c>
    </x:row>
    <x:row r="993">
      <x:c r="A993" s="14" t="str">
        <x:v>S0082-08</x:v>
      </x:c>
      <x:c r="B993" s="14" t="str">
        <x:v>S0082</x:v>
      </x:c>
      <x:c r="C993" s="14" t="str">
        <x:v>工作日</x:v>
      </x:c>
      <x:c r="D993" s="14" t="str">
        <x:v>环线2路</x:v>
      </x:c>
      <x:c r="E993" s="14" t="str">
        <x:v>第一班</x:v>
      </x:c>
      <x:c r="F993" s="14" t="n">
        <x:v>12</x:v>
      </x:c>
      <x:c r="G993" s="14" t="str">
        <x:v>11:40</x:v>
      </x:c>
      <x:c r="H993" s="14" t="str">
        <x:v>研究生宿舍楼</x:v>
      </x:c>
      <x:c r="I993" s="14" t="str">
        <x:v>否</x:v>
      </x:c>
      <x:c r="J993" s="14" t="n">
        <x:v>8</x:v>
      </x:c>
      <x:c r="K993" s="14" t="str">
        <x:v>5号宿舍楼</x:v>
      </x:c>
      <x:c r="L993" s="14" t="n">
        <x:v>9</x:v>
      </x:c>
      <x:c r="M993" s="14" t="str">
        <x:v>11:49</x:v>
      </x:c>
      <x:c r="N993" s="14" t="str">
        <x:v>否</x:v>
      </x:c>
      <x:c r="O993" s="14" t="str">
        <x:v>否</x:v>
      </x:c>
      <x:c r="P993" s="14" t="str">
        <x:v>未提供</x:v>
      </x:c>
      <x:c r="Q993" s="14" t="str">
        <x:v>未提供</x:v>
      </x:c>
      <x:c r="R993" s="14" t="str">
        <x:v>预测</x:v>
      </x:c>
      <x:c r="S993" s="14" t="str">
        <x:v>到站时间为估算值</x:v>
      </x:c>
      <x:c r="T993" t="str">
        <x:v>研究生宿舍楼发车</x:v>
      </x:c>
    </x:row>
    <x:row r="994">
      <x:c r="A994" s="14" t="str">
        <x:v>S0082-09</x:v>
      </x:c>
      <x:c r="B994" s="14" t="str">
        <x:v>S0082</x:v>
      </x:c>
      <x:c r="C994" s="14" t="str">
        <x:v>工作日</x:v>
      </x:c>
      <x:c r="D994" s="14" t="str">
        <x:v>环线2路</x:v>
      </x:c>
      <x:c r="E994" s="14" t="str">
        <x:v>第一班</x:v>
      </x:c>
      <x:c r="F994" s="14" t="n">
        <x:v>12</x:v>
      </x:c>
      <x:c r="G994" s="14" t="str">
        <x:v>11:40</x:v>
      </x:c>
      <x:c r="H994" s="14" t="str">
        <x:v>研究生宿舍楼</x:v>
      </x:c>
      <x:c r="I994" s="14" t="str">
        <x:v>否</x:v>
      </x:c>
      <x:c r="J994" s="14" t="n">
        <x:v>9</x:v>
      </x:c>
      <x:c r="K994" s="14" t="str">
        <x:v>305教学楼</x:v>
      </x:c>
      <x:c r="L994" s="14" t="n">
        <x:v>10</x:v>
      </x:c>
      <x:c r="M994" s="14" t="str">
        <x:v>11:50</x:v>
      </x:c>
      <x:c r="N994" s="14" t="str">
        <x:v>否</x:v>
      </x:c>
      <x:c r="O994" s="14" t="str">
        <x:v>否</x:v>
      </x:c>
      <x:c r="P994" s="14" t="str">
        <x:v>未提供</x:v>
      </x:c>
      <x:c r="Q994" s="14" t="str">
        <x:v>未提供</x:v>
      </x:c>
      <x:c r="R994" s="14" t="str">
        <x:v>预测</x:v>
      </x:c>
      <x:c r="S994" s="14" t="str">
        <x:v>到站时间为估算值</x:v>
      </x:c>
      <x:c r="T994" t="str">
        <x:v>研究生宿舍楼发车</x:v>
      </x:c>
    </x:row>
    <x:row r="995">
      <x:c r="A995" s="14" t="str">
        <x:v>S0082-10</x:v>
      </x:c>
      <x:c r="B995" s="14" t="str">
        <x:v>S0082</x:v>
      </x:c>
      <x:c r="C995" s="14" t="str">
        <x:v>工作日</x:v>
      </x:c>
      <x:c r="D995" s="14" t="str">
        <x:v>环线2路</x:v>
      </x:c>
      <x:c r="E995" s="14" t="str">
        <x:v>第一班</x:v>
      </x:c>
      <x:c r="F995" s="14" t="n">
        <x:v>12</x:v>
      </x:c>
      <x:c r="G995" s="14" t="str">
        <x:v>11:40</x:v>
      </x:c>
      <x:c r="H995" s="14" t="str">
        <x:v>研究生宿舍楼</x:v>
      </x:c>
      <x:c r="I995" s="14" t="str">
        <x:v>否</x:v>
      </x:c>
      <x:c r="J995" s="14" t="n">
        <x:v>10</x:v>
      </x:c>
      <x:c r="K995" s="14" t="str">
        <x:v>研究生宿舍楼</x:v>
      </x:c>
      <x:c r="L995" s="14" t="n">
        <x:v>12</x:v>
      </x:c>
      <x:c r="M995" s="14" t="str">
        <x:v>11:52</x:v>
      </x:c>
      <x:c r="N995" s="14" t="str">
        <x:v>否</x:v>
      </x:c>
      <x:c r="O995" s="14" t="str">
        <x:v>是</x:v>
      </x:c>
      <x:c r="P995" s="14" t="str">
        <x:v>未提供</x:v>
      </x:c>
      <x:c r="Q995" s="14" t="str">
        <x:v>未提供</x:v>
      </x:c>
      <x:c r="R995" s="14" t="str">
        <x:v>预测</x:v>
      </x:c>
      <x:c r="S995" s="14" t="str">
        <x:v>到站时间为估算值</x:v>
      </x:c>
      <x:c r="T995" t="str">
        <x:v>研究生宿舍楼发车</x:v>
      </x:c>
    </x:row>
    <x:row r="996">
      <x:c r="A996" s="14" t="str">
        <x:v>S0083-01</x:v>
      </x:c>
      <x:c r="B996" s="14" t="str">
        <x:v>S0083</x:v>
      </x:c>
      <x:c r="C996" s="14" t="str">
        <x:v>工作日</x:v>
      </x:c>
      <x:c r="D996" s="14" t="str">
        <x:v>环线2路</x:v>
      </x:c>
      <x:c r="E996" s="14" t="str">
        <x:v>第一班</x:v>
      </x:c>
      <x:c r="F996" s="14" t="n">
        <x:v>13</x:v>
      </x:c>
      <x:c r="G996" s="14" t="str">
        <x:v>12:00</x:v>
      </x:c>
      <x:c r="H996" s="14" t="str">
        <x:v>研究生宿舍楼</x:v>
      </x:c>
      <x:c r="I996" s="14" t="str">
        <x:v>否</x:v>
      </x:c>
      <x:c r="J996" s="14" t="n">
        <x:v>1</x:v>
      </x:c>
      <x:c r="K996" s="14" t="str">
        <x:v>研究生宿舍楼</x:v>
      </x:c>
      <x:c r="L996" s="14" t="n">
        <x:v>0</x:v>
      </x:c>
      <x:c r="M996" s="14" t="str">
        <x:v>12:00</x:v>
      </x:c>
      <x:c r="N996" s="14" t="str">
        <x:v>是</x:v>
      </x:c>
      <x:c r="O996" s="14" t="str">
        <x:v>否</x:v>
      </x:c>
      <x:c r="P996" s="14" t="str">
        <x:v>未提供</x:v>
      </x:c>
      <x:c r="Q996" s="14" t="str">
        <x:v>未提供</x:v>
      </x:c>
      <x:c r="R996" s="14" t="str">
        <x:v>预测</x:v>
      </x:c>
      <x:c r="S996" s="14" t="str">
        <x:v>到站时间为估算值</x:v>
      </x:c>
      <x:c r="T996" t="str">
        <x:v>研究生宿舍楼发车</x:v>
      </x:c>
    </x:row>
    <x:row r="997">
      <x:c r="A997" s="14" t="str">
        <x:v>S0083-02</x:v>
      </x:c>
      <x:c r="B997" s="14" t="str">
        <x:v>S0083</x:v>
      </x:c>
      <x:c r="C997" s="14" t="str">
        <x:v>工作日</x:v>
      </x:c>
      <x:c r="D997" s="14" t="str">
        <x:v>环线2路</x:v>
      </x:c>
      <x:c r="E997" s="14" t="str">
        <x:v>第一班</x:v>
      </x:c>
      <x:c r="F997" s="14" t="n">
        <x:v>13</x:v>
      </x:c>
      <x:c r="G997" s="14" t="str">
        <x:v>12:00</x:v>
      </x:c>
      <x:c r="H997" s="14" t="str">
        <x:v>研究生宿舍楼</x:v>
      </x:c>
      <x:c r="I997" s="14" t="str">
        <x:v>否</x:v>
      </x:c>
      <x:c r="J997" s="14" t="n">
        <x:v>2</x:v>
      </x:c>
      <x:c r="K997" s="14" t="str">
        <x:v>一食堂</x:v>
      </x:c>
      <x:c r="L997" s="14" t="n">
        <x:v>1</x:v>
      </x:c>
      <x:c r="M997" s="14" t="str">
        <x:v>12:01</x:v>
      </x:c>
      <x:c r="N997" s="14" t="str">
        <x:v>否</x:v>
      </x:c>
      <x:c r="O997" s="14" t="str">
        <x:v>否</x:v>
      </x:c>
      <x:c r="P997" s="14" t="str">
        <x:v>未提供</x:v>
      </x:c>
      <x:c r="Q997" s="14" t="str">
        <x:v>未提供</x:v>
      </x:c>
      <x:c r="R997" s="14" t="str">
        <x:v>预测</x:v>
      </x:c>
      <x:c r="S997" s="14" t="str">
        <x:v>到站时间为估算值</x:v>
      </x:c>
      <x:c r="T997" t="str">
        <x:v>研究生宿舍楼发车</x:v>
      </x:c>
    </x:row>
    <x:row r="998">
      <x:c r="A998" s="14" t="str">
        <x:v>S0083-03</x:v>
      </x:c>
      <x:c r="B998" s="14" t="str">
        <x:v>S0083</x:v>
      </x:c>
      <x:c r="C998" s="14" t="str">
        <x:v>工作日</x:v>
      </x:c>
      <x:c r="D998" s="14" t="str">
        <x:v>环线2路</x:v>
      </x:c>
      <x:c r="E998" s="14" t="str">
        <x:v>第一班</x:v>
      </x:c>
      <x:c r="F998" s="14" t="n">
        <x:v>13</x:v>
      </x:c>
      <x:c r="G998" s="14" t="str">
        <x:v>12:00</x:v>
      </x:c>
      <x:c r="H998" s="14" t="str">
        <x:v>研究生宿舍楼</x:v>
      </x:c>
      <x:c r="I998" s="14" t="str">
        <x:v>否</x:v>
      </x:c>
      <x:c r="J998" s="14" t="n">
        <x:v>3</x:v>
      </x:c>
      <x:c r="K998" s="14" t="str">
        <x:v>门诊部</x:v>
      </x:c>
      <x:c r="L998" s="14" t="n">
        <x:v>2</x:v>
      </x:c>
      <x:c r="M998" s="14" t="str">
        <x:v>12:02</x:v>
      </x:c>
      <x:c r="N998" s="14" t="str">
        <x:v>否</x:v>
      </x:c>
      <x:c r="O998" s="14" t="str">
        <x:v>否</x:v>
      </x:c>
      <x:c r="P998" s="14" t="str">
        <x:v>未提供</x:v>
      </x:c>
      <x:c r="Q998" s="14" t="str">
        <x:v>未提供</x:v>
      </x:c>
      <x:c r="R998" s="14" t="str">
        <x:v>预测</x:v>
      </x:c>
      <x:c r="S998" s="14" t="str">
        <x:v>到站时间为估算值</x:v>
      </x:c>
      <x:c r="T998" t="str">
        <x:v>研究生宿舍楼发车</x:v>
      </x:c>
    </x:row>
    <x:row r="999">
      <x:c r="A999" s="14" t="str">
        <x:v>S0083-04</x:v>
      </x:c>
      <x:c r="B999" s="14" t="str">
        <x:v>S0083</x:v>
      </x:c>
      <x:c r="C999" s="14" t="str">
        <x:v>工作日</x:v>
      </x:c>
      <x:c r="D999" s="14" t="str">
        <x:v>环线2路</x:v>
      </x:c>
      <x:c r="E999" s="14" t="str">
        <x:v>第一班</x:v>
      </x:c>
      <x:c r="F999" s="14" t="n">
        <x:v>13</x:v>
      </x:c>
      <x:c r="G999" s="14" t="str">
        <x:v>12:00</x:v>
      </x:c>
      <x:c r="H999" s="14" t="str">
        <x:v>研究生宿舍楼</x:v>
      </x:c>
      <x:c r="I999" s="14" t="str">
        <x:v>否</x:v>
      </x:c>
      <x:c r="J999" s="14" t="n">
        <x:v>4</x:v>
      </x:c>
      <x:c r="K999" s="14" t="str">
        <x:v>1号宿舍楼</x:v>
      </x:c>
      <x:c r="L999" s="14" t="n">
        <x:v>3</x:v>
      </x:c>
      <x:c r="M999" s="14" t="str">
        <x:v>12:03</x:v>
      </x:c>
      <x:c r="N999" s="14" t="str">
        <x:v>否</x:v>
      </x:c>
      <x:c r="O999" s="14" t="str">
        <x:v>否</x:v>
      </x:c>
      <x:c r="P999" s="14" t="str">
        <x:v>未提供</x:v>
      </x:c>
      <x:c r="Q999" s="14" t="str">
        <x:v>未提供</x:v>
      </x:c>
      <x:c r="R999" s="14" t="str">
        <x:v>预测</x:v>
      </x:c>
      <x:c r="S999" s="14" t="str">
        <x:v>到站时间为估算值</x:v>
      </x:c>
      <x:c r="T999" t="str">
        <x:v>研究生宿舍楼发车</x:v>
      </x:c>
    </x:row>
    <x:row r="1000">
      <x:c r="A1000" s="14" t="str">
        <x:v>S0083-05</x:v>
      </x:c>
      <x:c r="B1000" s="14" t="str">
        <x:v>S0083</x:v>
      </x:c>
      <x:c r="C1000" s="14" t="str">
        <x:v>工作日</x:v>
      </x:c>
      <x:c r="D1000" s="14" t="str">
        <x:v>环线2路</x:v>
      </x:c>
      <x:c r="E1000" s="14" t="str">
        <x:v>第一班</x:v>
      </x:c>
      <x:c r="F1000" s="14" t="n">
        <x:v>13</x:v>
      </x:c>
      <x:c r="G1000" s="14" t="str">
        <x:v>12:00</x:v>
      </x:c>
      <x:c r="H1000" s="14" t="str">
        <x:v>研究生宿舍楼</x:v>
      </x:c>
      <x:c r="I1000" s="14" t="str">
        <x:v>否</x:v>
      </x:c>
      <x:c r="J1000" s="14" t="n">
        <x:v>5</x:v>
      </x:c>
      <x:c r="K1000" s="14" t="str">
        <x:v>水上训练中心</x:v>
      </x:c>
      <x:c r="L1000" s="14" t="n">
        <x:v>5</x:v>
      </x:c>
      <x:c r="M1000" s="14" t="str">
        <x:v>12:05</x:v>
      </x:c>
      <x:c r="N1000" s="14" t="str">
        <x:v>否</x:v>
      </x:c>
      <x:c r="O1000" s="14" t="str">
        <x:v>否</x:v>
      </x:c>
      <x:c r="P1000" s="14" t="str">
        <x:v>未提供</x:v>
      </x:c>
      <x:c r="Q1000" s="14" t="str">
        <x:v>未提供</x:v>
      </x:c>
      <x:c r="R1000" s="14" t="str">
        <x:v>预测</x:v>
      </x:c>
      <x:c r="S1000" s="14" t="str">
        <x:v>到站时间为估算值</x:v>
      </x:c>
      <x:c r="T1000" t="str">
        <x:v>研究生宿舍楼发车</x:v>
      </x:c>
    </x:row>
    <x:row r="1001">
      <x:c r="A1001" s="14" t="str">
        <x:v>S0083-06</x:v>
      </x:c>
      <x:c r="B1001" s="14" t="str">
        <x:v>S0083</x:v>
      </x:c>
      <x:c r="C1001" s="14" t="str">
        <x:v>工作日</x:v>
      </x:c>
      <x:c r="D1001" s="14" t="str">
        <x:v>环线2路</x:v>
      </x:c>
      <x:c r="E1001" s="14" t="str">
        <x:v>第一班</x:v>
      </x:c>
      <x:c r="F1001" s="14" t="n">
        <x:v>13</x:v>
      </x:c>
      <x:c r="G1001" s="14" t="str">
        <x:v>12:00</x:v>
      </x:c>
      <x:c r="H1001" s="14" t="str">
        <x:v>研究生宿舍楼</x:v>
      </x:c>
      <x:c r="I1001" s="14" t="str">
        <x:v>否</x:v>
      </x:c>
      <x:c r="J1001" s="14" t="n">
        <x:v>6</x:v>
      </x:c>
      <x:c r="K1001" s="14" t="str">
        <x:v>军体活动中心</x:v>
      </x:c>
      <x:c r="L1001" s="14" t="n">
        <x:v>6</x:v>
      </x:c>
      <x:c r="M1001" s="14" t="str">
        <x:v>12:06</x:v>
      </x:c>
      <x:c r="N1001" s="14" t="str">
        <x:v>否</x:v>
      </x:c>
      <x:c r="O1001" s="14" t="str">
        <x:v>否</x:v>
      </x:c>
      <x:c r="P1001" s="14" t="str">
        <x:v>未提供</x:v>
      </x:c>
      <x:c r="Q1001" s="14" t="str">
        <x:v>未提供</x:v>
      </x:c>
      <x:c r="R1001" s="14" t="str">
        <x:v>预测</x:v>
      </x:c>
      <x:c r="S1001" s="14" t="str">
        <x:v>到站时间为估算值</x:v>
      </x:c>
      <x:c r="T1001" t="str">
        <x:v>研究生宿舍楼发车</x:v>
      </x:c>
    </x:row>
    <x:row r="1002">
      <x:c r="A1002" s="14" t="str">
        <x:v>S0083-07</x:v>
      </x:c>
      <x:c r="B1002" s="14" t="str">
        <x:v>S0083</x:v>
      </x:c>
      <x:c r="C1002" s="14" t="str">
        <x:v>工作日</x:v>
      </x:c>
      <x:c r="D1002" s="14" t="str">
        <x:v>环线2路</x:v>
      </x:c>
      <x:c r="E1002" s="14" t="str">
        <x:v>第一班</x:v>
      </x:c>
      <x:c r="F1002" s="14" t="n">
        <x:v>13</x:v>
      </x:c>
      <x:c r="G1002" s="14" t="str">
        <x:v>12:00</x:v>
      </x:c>
      <x:c r="H1002" s="14" t="str">
        <x:v>研究生宿舍楼</x:v>
      </x:c>
      <x:c r="I1002" s="14" t="str">
        <x:v>否</x:v>
      </x:c>
      <x:c r="J1002" s="14" t="n">
        <x:v>7</x:v>
      </x:c>
      <x:c r="K1002" s="14" t="str">
        <x:v>二食堂</x:v>
      </x:c>
      <x:c r="L1002" s="14" t="n">
        <x:v>8</x:v>
      </x:c>
      <x:c r="M1002" s="14" t="str">
        <x:v>12:08</x:v>
      </x:c>
      <x:c r="N1002" s="14" t="str">
        <x:v>否</x:v>
      </x:c>
      <x:c r="O1002" s="14" t="str">
        <x:v>否</x:v>
      </x:c>
      <x:c r="P1002" s="14" t="str">
        <x:v>未提供</x:v>
      </x:c>
      <x:c r="Q1002" s="14" t="str">
        <x:v>未提供</x:v>
      </x:c>
      <x:c r="R1002" s="14" t="str">
        <x:v>预测</x:v>
      </x:c>
      <x:c r="S1002" s="14" t="str">
        <x:v>到站时间为估算值</x:v>
      </x:c>
      <x:c r="T1002" t="str">
        <x:v>研究生宿舍楼发车</x:v>
      </x:c>
    </x:row>
    <x:row r="1003">
      <x:c r="A1003" s="14" t="str">
        <x:v>S0083-08</x:v>
      </x:c>
      <x:c r="B1003" s="14" t="str">
        <x:v>S0083</x:v>
      </x:c>
      <x:c r="C1003" s="14" t="str">
        <x:v>工作日</x:v>
      </x:c>
      <x:c r="D1003" s="14" t="str">
        <x:v>环线2路</x:v>
      </x:c>
      <x:c r="E1003" s="14" t="str">
        <x:v>第一班</x:v>
      </x:c>
      <x:c r="F1003" s="14" t="n">
        <x:v>13</x:v>
      </x:c>
      <x:c r="G1003" s="14" t="str">
        <x:v>12:00</x:v>
      </x:c>
      <x:c r="H1003" s="14" t="str">
        <x:v>研究生宿舍楼</x:v>
      </x:c>
      <x:c r="I1003" s="14" t="str">
        <x:v>否</x:v>
      </x:c>
      <x:c r="J1003" s="14" t="n">
        <x:v>8</x:v>
      </x:c>
      <x:c r="K1003" s="14" t="str">
        <x:v>5号宿舍楼</x:v>
      </x:c>
      <x:c r="L1003" s="14" t="n">
        <x:v>9</x:v>
      </x:c>
      <x:c r="M1003" s="14" t="str">
        <x:v>12:09</x:v>
      </x:c>
      <x:c r="N1003" s="14" t="str">
        <x:v>否</x:v>
      </x:c>
      <x:c r="O1003" s="14" t="str">
        <x:v>否</x:v>
      </x:c>
      <x:c r="P1003" s="14" t="str">
        <x:v>未提供</x:v>
      </x:c>
      <x:c r="Q1003" s="14" t="str">
        <x:v>未提供</x:v>
      </x:c>
      <x:c r="R1003" s="14" t="str">
        <x:v>预测</x:v>
      </x:c>
      <x:c r="S1003" s="14" t="str">
        <x:v>到站时间为估算值</x:v>
      </x:c>
      <x:c r="T1003" t="str">
        <x:v>研究生宿舍楼发车</x:v>
      </x:c>
    </x:row>
    <x:row r="1004">
      <x:c r="A1004" s="14" t="str">
        <x:v>S0083-09</x:v>
      </x:c>
      <x:c r="B1004" s="14" t="str">
        <x:v>S0083</x:v>
      </x:c>
      <x:c r="C1004" s="14" t="str">
        <x:v>工作日</x:v>
      </x:c>
      <x:c r="D1004" s="14" t="str">
        <x:v>环线2路</x:v>
      </x:c>
      <x:c r="E1004" s="14" t="str">
        <x:v>第一班</x:v>
      </x:c>
      <x:c r="F1004" s="14" t="n">
        <x:v>13</x:v>
      </x:c>
      <x:c r="G1004" s="14" t="str">
        <x:v>12:00</x:v>
      </x:c>
      <x:c r="H1004" s="14" t="str">
        <x:v>研究生宿舍楼</x:v>
      </x:c>
      <x:c r="I1004" s="14" t="str">
        <x:v>否</x:v>
      </x:c>
      <x:c r="J1004" s="14" t="n">
        <x:v>9</x:v>
      </x:c>
      <x:c r="K1004" s="14" t="str">
        <x:v>305教学楼</x:v>
      </x:c>
      <x:c r="L1004" s="14" t="n">
        <x:v>10</x:v>
      </x:c>
      <x:c r="M1004" s="14" t="str">
        <x:v>12:10</x:v>
      </x:c>
      <x:c r="N1004" s="14" t="str">
        <x:v>否</x:v>
      </x:c>
      <x:c r="O1004" s="14" t="str">
        <x:v>否</x:v>
      </x:c>
      <x:c r="P1004" s="14" t="str">
        <x:v>未提供</x:v>
      </x:c>
      <x:c r="Q1004" s="14" t="str">
        <x:v>未提供</x:v>
      </x:c>
      <x:c r="R1004" s="14" t="str">
        <x:v>预测</x:v>
      </x:c>
      <x:c r="S1004" s="14" t="str">
        <x:v>到站时间为估算值</x:v>
      </x:c>
      <x:c r="T1004" t="str">
        <x:v>研究生宿舍楼发车</x:v>
      </x:c>
    </x:row>
    <x:row r="1005">
      <x:c r="A1005" s="14" t="str">
        <x:v>S0083-10</x:v>
      </x:c>
      <x:c r="B1005" s="14" t="str">
        <x:v>S0083</x:v>
      </x:c>
      <x:c r="C1005" s="14" t="str">
        <x:v>工作日</x:v>
      </x:c>
      <x:c r="D1005" s="14" t="str">
        <x:v>环线2路</x:v>
      </x:c>
      <x:c r="E1005" s="14" t="str">
        <x:v>第一班</x:v>
      </x:c>
      <x:c r="F1005" s="14" t="n">
        <x:v>13</x:v>
      </x:c>
      <x:c r="G1005" s="14" t="str">
        <x:v>12:00</x:v>
      </x:c>
      <x:c r="H1005" s="14" t="str">
        <x:v>研究生宿舍楼</x:v>
      </x:c>
      <x:c r="I1005" s="14" t="str">
        <x:v>否</x:v>
      </x:c>
      <x:c r="J1005" s="14" t="n">
        <x:v>10</x:v>
      </x:c>
      <x:c r="K1005" s="14" t="str">
        <x:v>研究生宿舍楼</x:v>
      </x:c>
      <x:c r="L1005" s="14" t="n">
        <x:v>12</x:v>
      </x:c>
      <x:c r="M1005" s="14" t="str">
        <x:v>12:12</x:v>
      </x:c>
      <x:c r="N1005" s="14" t="str">
        <x:v>否</x:v>
      </x:c>
      <x:c r="O1005" s="14" t="str">
        <x:v>是</x:v>
      </x:c>
      <x:c r="P1005" s="14" t="str">
        <x:v>未提供</x:v>
      </x:c>
      <x:c r="Q1005" s="14" t="str">
        <x:v>未提供</x:v>
      </x:c>
      <x:c r="R1005" s="14" t="str">
        <x:v>预测</x:v>
      </x:c>
      <x:c r="S1005" s="14" t="str">
        <x:v>到站时间为估算值</x:v>
      </x:c>
      <x:c r="T1005" t="str">
        <x:v>研究生宿舍楼发车</x:v>
      </x:c>
    </x:row>
    <x:row r="1006">
      <x:c r="A1006" s="14" t="str">
        <x:v>S0084-01</x:v>
      </x:c>
      <x:c r="B1006" s="14" t="str">
        <x:v>S0084</x:v>
      </x:c>
      <x:c r="C1006" s="14" t="str">
        <x:v>工作日</x:v>
      </x:c>
      <x:c r="D1006" s="14" t="str">
        <x:v>环线2路</x:v>
      </x:c>
      <x:c r="E1006" s="14" t="str">
        <x:v>第一班</x:v>
      </x:c>
      <x:c r="F1006" s="14" t="n">
        <x:v>14</x:v>
      </x:c>
      <x:c r="G1006" s="14" t="str">
        <x:v>12:15</x:v>
      </x:c>
      <x:c r="H1006" s="14" t="str">
        <x:v>研究生宿舍楼</x:v>
      </x:c>
      <x:c r="I1006" s="14" t="str">
        <x:v>否</x:v>
      </x:c>
      <x:c r="J1006" s="14" t="n">
        <x:v>1</x:v>
      </x:c>
      <x:c r="K1006" s="14" t="str">
        <x:v>研究生宿舍楼</x:v>
      </x:c>
      <x:c r="L1006" s="14" t="n">
        <x:v>0</x:v>
      </x:c>
      <x:c r="M1006" s="14" t="str">
        <x:v>12:15</x:v>
      </x:c>
      <x:c r="N1006" s="14" t="str">
        <x:v>是</x:v>
      </x:c>
      <x:c r="O1006" s="14" t="str">
        <x:v>否</x:v>
      </x:c>
      <x:c r="P1006" s="14" t="str">
        <x:v>未提供</x:v>
      </x:c>
      <x:c r="Q1006" s="14" t="str">
        <x:v>未提供</x:v>
      </x:c>
      <x:c r="R1006" s="14" t="str">
        <x:v>预测</x:v>
      </x:c>
      <x:c r="S1006" s="14" t="str">
        <x:v>到站时间为估算值</x:v>
      </x:c>
      <x:c r="T1006" t="str">
        <x:v>研究生宿舍楼发车</x:v>
      </x:c>
    </x:row>
    <x:row r="1007">
      <x:c r="A1007" s="14" t="str">
        <x:v>S0084-02</x:v>
      </x:c>
      <x:c r="B1007" s="14" t="str">
        <x:v>S0084</x:v>
      </x:c>
      <x:c r="C1007" s="14" t="str">
        <x:v>工作日</x:v>
      </x:c>
      <x:c r="D1007" s="14" t="str">
        <x:v>环线2路</x:v>
      </x:c>
      <x:c r="E1007" s="14" t="str">
        <x:v>第一班</x:v>
      </x:c>
      <x:c r="F1007" s="14" t="n">
        <x:v>14</x:v>
      </x:c>
      <x:c r="G1007" s="14" t="str">
        <x:v>12:15</x:v>
      </x:c>
      <x:c r="H1007" s="14" t="str">
        <x:v>研究生宿舍楼</x:v>
      </x:c>
      <x:c r="I1007" s="14" t="str">
        <x:v>否</x:v>
      </x:c>
      <x:c r="J1007" s="14" t="n">
        <x:v>2</x:v>
      </x:c>
      <x:c r="K1007" s="14" t="str">
        <x:v>一食堂</x:v>
      </x:c>
      <x:c r="L1007" s="14" t="n">
        <x:v>1</x:v>
      </x:c>
      <x:c r="M1007" s="14" t="str">
        <x:v>12:16</x:v>
      </x:c>
      <x:c r="N1007" s="14" t="str">
        <x:v>否</x:v>
      </x:c>
      <x:c r="O1007" s="14" t="str">
        <x:v>否</x:v>
      </x:c>
      <x:c r="P1007" s="14" t="str">
        <x:v>未提供</x:v>
      </x:c>
      <x:c r="Q1007" s="14" t="str">
        <x:v>未提供</x:v>
      </x:c>
      <x:c r="R1007" s="14" t="str">
        <x:v>预测</x:v>
      </x:c>
      <x:c r="S1007" s="14" t="str">
        <x:v>到站时间为估算值</x:v>
      </x:c>
      <x:c r="T1007" t="str">
        <x:v>研究生宿舍楼发车</x:v>
      </x:c>
    </x:row>
    <x:row r="1008">
      <x:c r="A1008" s="14" t="str">
        <x:v>S0084-03</x:v>
      </x:c>
      <x:c r="B1008" s="14" t="str">
        <x:v>S0084</x:v>
      </x:c>
      <x:c r="C1008" s="14" t="str">
        <x:v>工作日</x:v>
      </x:c>
      <x:c r="D1008" s="14" t="str">
        <x:v>环线2路</x:v>
      </x:c>
      <x:c r="E1008" s="14" t="str">
        <x:v>第一班</x:v>
      </x:c>
      <x:c r="F1008" s="14" t="n">
        <x:v>14</x:v>
      </x:c>
      <x:c r="G1008" s="14" t="str">
        <x:v>12:15</x:v>
      </x:c>
      <x:c r="H1008" s="14" t="str">
        <x:v>研究生宿舍楼</x:v>
      </x:c>
      <x:c r="I1008" s="14" t="str">
        <x:v>否</x:v>
      </x:c>
      <x:c r="J1008" s="14" t="n">
        <x:v>3</x:v>
      </x:c>
      <x:c r="K1008" s="14" t="str">
        <x:v>门诊部</x:v>
      </x:c>
      <x:c r="L1008" s="14" t="n">
        <x:v>2</x:v>
      </x:c>
      <x:c r="M1008" s="14" t="str">
        <x:v>12:17</x:v>
      </x:c>
      <x:c r="N1008" s="14" t="str">
        <x:v>否</x:v>
      </x:c>
      <x:c r="O1008" s="14" t="str">
        <x:v>否</x:v>
      </x:c>
      <x:c r="P1008" s="14" t="str">
        <x:v>未提供</x:v>
      </x:c>
      <x:c r="Q1008" s="14" t="str">
        <x:v>未提供</x:v>
      </x:c>
      <x:c r="R1008" s="14" t="str">
        <x:v>预测</x:v>
      </x:c>
      <x:c r="S1008" s="14" t="str">
        <x:v>到站时间为估算值</x:v>
      </x:c>
      <x:c r="T1008" t="str">
        <x:v>研究生宿舍楼发车</x:v>
      </x:c>
    </x:row>
    <x:row r="1009">
      <x:c r="A1009" s="14" t="str">
        <x:v>S0084-04</x:v>
      </x:c>
      <x:c r="B1009" s="14" t="str">
        <x:v>S0084</x:v>
      </x:c>
      <x:c r="C1009" s="14" t="str">
        <x:v>工作日</x:v>
      </x:c>
      <x:c r="D1009" s="14" t="str">
        <x:v>环线2路</x:v>
      </x:c>
      <x:c r="E1009" s="14" t="str">
        <x:v>第一班</x:v>
      </x:c>
      <x:c r="F1009" s="14" t="n">
        <x:v>14</x:v>
      </x:c>
      <x:c r="G1009" s="14" t="str">
        <x:v>12:15</x:v>
      </x:c>
      <x:c r="H1009" s="14" t="str">
        <x:v>研究生宿舍楼</x:v>
      </x:c>
      <x:c r="I1009" s="14" t="str">
        <x:v>否</x:v>
      </x:c>
      <x:c r="J1009" s="14" t="n">
        <x:v>4</x:v>
      </x:c>
      <x:c r="K1009" s="14" t="str">
        <x:v>1号宿舍楼</x:v>
      </x:c>
      <x:c r="L1009" s="14" t="n">
        <x:v>3</x:v>
      </x:c>
      <x:c r="M1009" s="14" t="str">
        <x:v>12:18</x:v>
      </x:c>
      <x:c r="N1009" s="14" t="str">
        <x:v>否</x:v>
      </x:c>
      <x:c r="O1009" s="14" t="str">
        <x:v>否</x:v>
      </x:c>
      <x:c r="P1009" s="14" t="str">
        <x:v>未提供</x:v>
      </x:c>
      <x:c r="Q1009" s="14" t="str">
        <x:v>未提供</x:v>
      </x:c>
      <x:c r="R1009" s="14" t="str">
        <x:v>预测</x:v>
      </x:c>
      <x:c r="S1009" s="14" t="str">
        <x:v>到站时间为估算值</x:v>
      </x:c>
      <x:c r="T1009" t="str">
        <x:v>研究生宿舍楼发车</x:v>
      </x:c>
    </x:row>
    <x:row r="1010">
      <x:c r="A1010" s="14" t="str">
        <x:v>S0084-05</x:v>
      </x:c>
      <x:c r="B1010" s="14" t="str">
        <x:v>S0084</x:v>
      </x:c>
      <x:c r="C1010" s="14" t="str">
        <x:v>工作日</x:v>
      </x:c>
      <x:c r="D1010" s="14" t="str">
        <x:v>环线2路</x:v>
      </x:c>
      <x:c r="E1010" s="14" t="str">
        <x:v>第一班</x:v>
      </x:c>
      <x:c r="F1010" s="14" t="n">
        <x:v>14</x:v>
      </x:c>
      <x:c r="G1010" s="14" t="str">
        <x:v>12:15</x:v>
      </x:c>
      <x:c r="H1010" s="14" t="str">
        <x:v>研究生宿舍楼</x:v>
      </x:c>
      <x:c r="I1010" s="14" t="str">
        <x:v>否</x:v>
      </x:c>
      <x:c r="J1010" s="14" t="n">
        <x:v>5</x:v>
      </x:c>
      <x:c r="K1010" s="14" t="str">
        <x:v>水上训练中心</x:v>
      </x:c>
      <x:c r="L1010" s="14" t="n">
        <x:v>5</x:v>
      </x:c>
      <x:c r="M1010" s="14" t="str">
        <x:v>12:20</x:v>
      </x:c>
      <x:c r="N1010" s="14" t="str">
        <x:v>否</x:v>
      </x:c>
      <x:c r="O1010" s="14" t="str">
        <x:v>否</x:v>
      </x:c>
      <x:c r="P1010" s="14" t="str">
        <x:v>未提供</x:v>
      </x:c>
      <x:c r="Q1010" s="14" t="str">
        <x:v>未提供</x:v>
      </x:c>
      <x:c r="R1010" s="14" t="str">
        <x:v>预测</x:v>
      </x:c>
      <x:c r="S1010" s="14" t="str">
        <x:v>到站时间为估算值</x:v>
      </x:c>
      <x:c r="T1010" t="str">
        <x:v>研究生宿舍楼发车</x:v>
      </x:c>
    </x:row>
    <x:row r="1011">
      <x:c r="A1011" s="14" t="str">
        <x:v>S0084-06</x:v>
      </x:c>
      <x:c r="B1011" s="14" t="str">
        <x:v>S0084</x:v>
      </x:c>
      <x:c r="C1011" s="14" t="str">
        <x:v>工作日</x:v>
      </x:c>
      <x:c r="D1011" s="14" t="str">
        <x:v>环线2路</x:v>
      </x:c>
      <x:c r="E1011" s="14" t="str">
        <x:v>第一班</x:v>
      </x:c>
      <x:c r="F1011" s="14" t="n">
        <x:v>14</x:v>
      </x:c>
      <x:c r="G1011" s="14" t="str">
        <x:v>12:15</x:v>
      </x:c>
      <x:c r="H1011" s="14" t="str">
        <x:v>研究生宿舍楼</x:v>
      </x:c>
      <x:c r="I1011" s="14" t="str">
        <x:v>否</x:v>
      </x:c>
      <x:c r="J1011" s="14" t="n">
        <x:v>6</x:v>
      </x:c>
      <x:c r="K1011" s="14" t="str">
        <x:v>军体活动中心</x:v>
      </x:c>
      <x:c r="L1011" s="14" t="n">
        <x:v>6</x:v>
      </x:c>
      <x:c r="M1011" s="14" t="str">
        <x:v>12:21</x:v>
      </x:c>
      <x:c r="N1011" s="14" t="str">
        <x:v>否</x:v>
      </x:c>
      <x:c r="O1011" s="14" t="str">
        <x:v>否</x:v>
      </x:c>
      <x:c r="P1011" s="14" t="str">
        <x:v>未提供</x:v>
      </x:c>
      <x:c r="Q1011" s="14" t="str">
        <x:v>未提供</x:v>
      </x:c>
      <x:c r="R1011" s="14" t="str">
        <x:v>预测</x:v>
      </x:c>
      <x:c r="S1011" s="14" t="str">
        <x:v>到站时间为估算值</x:v>
      </x:c>
      <x:c r="T1011" t="str">
        <x:v>研究生宿舍楼发车</x:v>
      </x:c>
    </x:row>
    <x:row r="1012">
      <x:c r="A1012" s="14" t="str">
        <x:v>S0084-07</x:v>
      </x:c>
      <x:c r="B1012" s="14" t="str">
        <x:v>S0084</x:v>
      </x:c>
      <x:c r="C1012" s="14" t="str">
        <x:v>工作日</x:v>
      </x:c>
      <x:c r="D1012" s="14" t="str">
        <x:v>环线2路</x:v>
      </x:c>
      <x:c r="E1012" s="14" t="str">
        <x:v>第一班</x:v>
      </x:c>
      <x:c r="F1012" s="14" t="n">
        <x:v>14</x:v>
      </x:c>
      <x:c r="G1012" s="14" t="str">
        <x:v>12:15</x:v>
      </x:c>
      <x:c r="H1012" s="14" t="str">
        <x:v>研究生宿舍楼</x:v>
      </x:c>
      <x:c r="I1012" s="14" t="str">
        <x:v>否</x:v>
      </x:c>
      <x:c r="J1012" s="14" t="n">
        <x:v>7</x:v>
      </x:c>
      <x:c r="K1012" s="14" t="str">
        <x:v>二食堂</x:v>
      </x:c>
      <x:c r="L1012" s="14" t="n">
        <x:v>8</x:v>
      </x:c>
      <x:c r="M1012" s="14" t="str">
        <x:v>12:23</x:v>
      </x:c>
      <x:c r="N1012" s="14" t="str">
        <x:v>否</x:v>
      </x:c>
      <x:c r="O1012" s="14" t="str">
        <x:v>否</x:v>
      </x:c>
      <x:c r="P1012" s="14" t="str">
        <x:v>未提供</x:v>
      </x:c>
      <x:c r="Q1012" s="14" t="str">
        <x:v>未提供</x:v>
      </x:c>
      <x:c r="R1012" s="14" t="str">
        <x:v>预测</x:v>
      </x:c>
      <x:c r="S1012" s="14" t="str">
        <x:v>到站时间为估算值</x:v>
      </x:c>
      <x:c r="T1012" t="str">
        <x:v>研究生宿舍楼发车</x:v>
      </x:c>
    </x:row>
    <x:row r="1013">
      <x:c r="A1013" s="14" t="str">
        <x:v>S0084-08</x:v>
      </x:c>
      <x:c r="B1013" s="14" t="str">
        <x:v>S0084</x:v>
      </x:c>
      <x:c r="C1013" s="14" t="str">
        <x:v>工作日</x:v>
      </x:c>
      <x:c r="D1013" s="14" t="str">
        <x:v>环线2路</x:v>
      </x:c>
      <x:c r="E1013" s="14" t="str">
        <x:v>第一班</x:v>
      </x:c>
      <x:c r="F1013" s="14" t="n">
        <x:v>14</x:v>
      </x:c>
      <x:c r="G1013" s="14" t="str">
        <x:v>12:15</x:v>
      </x:c>
      <x:c r="H1013" s="14" t="str">
        <x:v>研究生宿舍楼</x:v>
      </x:c>
      <x:c r="I1013" s="14" t="str">
        <x:v>否</x:v>
      </x:c>
      <x:c r="J1013" s="14" t="n">
        <x:v>8</x:v>
      </x:c>
      <x:c r="K1013" s="14" t="str">
        <x:v>5号宿舍楼</x:v>
      </x:c>
      <x:c r="L1013" s="14" t="n">
        <x:v>9</x:v>
      </x:c>
      <x:c r="M1013" s="14" t="str">
        <x:v>12:24</x:v>
      </x:c>
      <x:c r="N1013" s="14" t="str">
        <x:v>否</x:v>
      </x:c>
      <x:c r="O1013" s="14" t="str">
        <x:v>否</x:v>
      </x:c>
      <x:c r="P1013" s="14" t="str">
        <x:v>未提供</x:v>
      </x:c>
      <x:c r="Q1013" s="14" t="str">
        <x:v>未提供</x:v>
      </x:c>
      <x:c r="R1013" s="14" t="str">
        <x:v>预测</x:v>
      </x:c>
      <x:c r="S1013" s="14" t="str">
        <x:v>到站时间为估算值</x:v>
      </x:c>
      <x:c r="T1013" t="str">
        <x:v>研究生宿舍楼发车</x:v>
      </x:c>
    </x:row>
    <x:row r="1014">
      <x:c r="A1014" s="14" t="str">
        <x:v>S0084-09</x:v>
      </x:c>
      <x:c r="B1014" s="14" t="str">
        <x:v>S0084</x:v>
      </x:c>
      <x:c r="C1014" s="14" t="str">
        <x:v>工作日</x:v>
      </x:c>
      <x:c r="D1014" s="14" t="str">
        <x:v>环线2路</x:v>
      </x:c>
      <x:c r="E1014" s="14" t="str">
        <x:v>第一班</x:v>
      </x:c>
      <x:c r="F1014" s="14" t="n">
        <x:v>14</x:v>
      </x:c>
      <x:c r="G1014" s="14" t="str">
        <x:v>12:15</x:v>
      </x:c>
      <x:c r="H1014" s="14" t="str">
        <x:v>研究生宿舍楼</x:v>
      </x:c>
      <x:c r="I1014" s="14" t="str">
        <x:v>否</x:v>
      </x:c>
      <x:c r="J1014" s="14" t="n">
        <x:v>9</x:v>
      </x:c>
      <x:c r="K1014" s="14" t="str">
        <x:v>305教学楼</x:v>
      </x:c>
      <x:c r="L1014" s="14" t="n">
        <x:v>10</x:v>
      </x:c>
      <x:c r="M1014" s="14" t="str">
        <x:v>12:25</x:v>
      </x:c>
      <x:c r="N1014" s="14" t="str">
        <x:v>否</x:v>
      </x:c>
      <x:c r="O1014" s="14" t="str">
        <x:v>否</x:v>
      </x:c>
      <x:c r="P1014" s="14" t="str">
        <x:v>未提供</x:v>
      </x:c>
      <x:c r="Q1014" s="14" t="str">
        <x:v>未提供</x:v>
      </x:c>
      <x:c r="R1014" s="14" t="str">
        <x:v>预测</x:v>
      </x:c>
      <x:c r="S1014" s="14" t="str">
        <x:v>到站时间为估算值</x:v>
      </x:c>
      <x:c r="T1014" t="str">
        <x:v>研究生宿舍楼发车</x:v>
      </x:c>
    </x:row>
    <x:row r="1015">
      <x:c r="A1015" s="14" t="str">
        <x:v>S0084-10</x:v>
      </x:c>
      <x:c r="B1015" s="14" t="str">
        <x:v>S0084</x:v>
      </x:c>
      <x:c r="C1015" s="14" t="str">
        <x:v>工作日</x:v>
      </x:c>
      <x:c r="D1015" s="14" t="str">
        <x:v>环线2路</x:v>
      </x:c>
      <x:c r="E1015" s="14" t="str">
        <x:v>第一班</x:v>
      </x:c>
      <x:c r="F1015" s="14" t="n">
        <x:v>14</x:v>
      </x:c>
      <x:c r="G1015" s="14" t="str">
        <x:v>12:15</x:v>
      </x:c>
      <x:c r="H1015" s="14" t="str">
        <x:v>研究生宿舍楼</x:v>
      </x:c>
      <x:c r="I1015" s="14" t="str">
        <x:v>否</x:v>
      </x:c>
      <x:c r="J1015" s="14" t="n">
        <x:v>10</x:v>
      </x:c>
      <x:c r="K1015" s="14" t="str">
        <x:v>研究生宿舍楼</x:v>
      </x:c>
      <x:c r="L1015" s="14" t="n">
        <x:v>12</x:v>
      </x:c>
      <x:c r="M1015" s="14" t="str">
        <x:v>12:27</x:v>
      </x:c>
      <x:c r="N1015" s="14" t="str">
        <x:v>否</x:v>
      </x:c>
      <x:c r="O1015" s="14" t="str">
        <x:v>是</x:v>
      </x:c>
      <x:c r="P1015" s="14" t="str">
        <x:v>未提供</x:v>
      </x:c>
      <x:c r="Q1015" s="14" t="str">
        <x:v>未提供</x:v>
      </x:c>
      <x:c r="R1015" s="14" t="str">
        <x:v>预测</x:v>
      </x:c>
      <x:c r="S1015" s="14" t="str">
        <x:v>到站时间为估算值</x:v>
      </x:c>
      <x:c r="T1015" t="str">
        <x:v>研究生宿舍楼发车</x:v>
      </x:c>
    </x:row>
    <x:row r="1016">
      <x:c r="A1016" s="14" t="str">
        <x:v>S0085-01</x:v>
      </x:c>
      <x:c r="B1016" s="14" t="str">
        <x:v>S0085</x:v>
      </x:c>
      <x:c r="C1016" s="14" t="str">
        <x:v>工作日</x:v>
      </x:c>
      <x:c r="D1016" s="14" t="str">
        <x:v>环线2路</x:v>
      </x:c>
      <x:c r="E1016" s="14" t="str">
        <x:v>第一班</x:v>
      </x:c>
      <x:c r="F1016" s="14" t="n">
        <x:v>15</x:v>
      </x:c>
      <x:c r="G1016" s="14" t="str">
        <x:v>12:30</x:v>
      </x:c>
      <x:c r="H1016" s="14" t="str">
        <x:v>研究生宿舍楼</x:v>
      </x:c>
      <x:c r="I1016" s="14" t="str">
        <x:v>否</x:v>
      </x:c>
      <x:c r="J1016" s="14" t="n">
        <x:v>1</x:v>
      </x:c>
      <x:c r="K1016" s="14" t="str">
        <x:v>研究生宿舍楼</x:v>
      </x:c>
      <x:c r="L1016" s="14" t="n">
        <x:v>0</x:v>
      </x:c>
      <x:c r="M1016" s="14" t="str">
        <x:v>12:30</x:v>
      </x:c>
      <x:c r="N1016" s="14" t="str">
        <x:v>是</x:v>
      </x:c>
      <x:c r="O1016" s="14" t="str">
        <x:v>否</x:v>
      </x:c>
      <x:c r="P1016" s="14" t="str">
        <x:v>未提供</x:v>
      </x:c>
      <x:c r="Q1016" s="14" t="str">
        <x:v>未提供</x:v>
      </x:c>
      <x:c r="R1016" s="14" t="str">
        <x:v>预测</x:v>
      </x:c>
      <x:c r="S1016" s="14" t="str">
        <x:v>到站时间为估算值</x:v>
      </x:c>
      <x:c r="T1016" t="str">
        <x:v>研究生宿舍楼发车</x:v>
      </x:c>
    </x:row>
    <x:row r="1017">
      <x:c r="A1017" s="14" t="str">
        <x:v>S0085-02</x:v>
      </x:c>
      <x:c r="B1017" s="14" t="str">
        <x:v>S0085</x:v>
      </x:c>
      <x:c r="C1017" s="14" t="str">
        <x:v>工作日</x:v>
      </x:c>
      <x:c r="D1017" s="14" t="str">
        <x:v>环线2路</x:v>
      </x:c>
      <x:c r="E1017" s="14" t="str">
        <x:v>第一班</x:v>
      </x:c>
      <x:c r="F1017" s="14" t="n">
        <x:v>15</x:v>
      </x:c>
      <x:c r="G1017" s="14" t="str">
        <x:v>12:30</x:v>
      </x:c>
      <x:c r="H1017" s="14" t="str">
        <x:v>研究生宿舍楼</x:v>
      </x:c>
      <x:c r="I1017" s="14" t="str">
        <x:v>否</x:v>
      </x:c>
      <x:c r="J1017" s="14" t="n">
        <x:v>2</x:v>
      </x:c>
      <x:c r="K1017" s="14" t="str">
        <x:v>一食堂</x:v>
      </x:c>
      <x:c r="L1017" s="14" t="n">
        <x:v>1</x:v>
      </x:c>
      <x:c r="M1017" s="14" t="str">
        <x:v>12:31</x:v>
      </x:c>
      <x:c r="N1017" s="14" t="str">
        <x:v>否</x:v>
      </x:c>
      <x:c r="O1017" s="14" t="str">
        <x:v>否</x:v>
      </x:c>
      <x:c r="P1017" s="14" t="str">
        <x:v>未提供</x:v>
      </x:c>
      <x:c r="Q1017" s="14" t="str">
        <x:v>未提供</x:v>
      </x:c>
      <x:c r="R1017" s="14" t="str">
        <x:v>预测</x:v>
      </x:c>
      <x:c r="S1017" s="14" t="str">
        <x:v>到站时间为估算值</x:v>
      </x:c>
      <x:c r="T1017" t="str">
        <x:v>研究生宿舍楼发车</x:v>
      </x:c>
    </x:row>
    <x:row r="1018">
      <x:c r="A1018" s="14" t="str">
        <x:v>S0085-03</x:v>
      </x:c>
      <x:c r="B1018" s="14" t="str">
        <x:v>S0085</x:v>
      </x:c>
      <x:c r="C1018" s="14" t="str">
        <x:v>工作日</x:v>
      </x:c>
      <x:c r="D1018" s="14" t="str">
        <x:v>环线2路</x:v>
      </x:c>
      <x:c r="E1018" s="14" t="str">
        <x:v>第一班</x:v>
      </x:c>
      <x:c r="F1018" s="14" t="n">
        <x:v>15</x:v>
      </x:c>
      <x:c r="G1018" s="14" t="str">
        <x:v>12:30</x:v>
      </x:c>
      <x:c r="H1018" s="14" t="str">
        <x:v>研究生宿舍楼</x:v>
      </x:c>
      <x:c r="I1018" s="14" t="str">
        <x:v>否</x:v>
      </x:c>
      <x:c r="J1018" s="14" t="n">
        <x:v>3</x:v>
      </x:c>
      <x:c r="K1018" s="14" t="str">
        <x:v>门诊部</x:v>
      </x:c>
      <x:c r="L1018" s="14" t="n">
        <x:v>2</x:v>
      </x:c>
      <x:c r="M1018" s="14" t="str">
        <x:v>12:32</x:v>
      </x:c>
      <x:c r="N1018" s="14" t="str">
        <x:v>否</x:v>
      </x:c>
      <x:c r="O1018" s="14" t="str">
        <x:v>否</x:v>
      </x:c>
      <x:c r="P1018" s="14" t="str">
        <x:v>未提供</x:v>
      </x:c>
      <x:c r="Q1018" s="14" t="str">
        <x:v>未提供</x:v>
      </x:c>
      <x:c r="R1018" s="14" t="str">
        <x:v>预测</x:v>
      </x:c>
      <x:c r="S1018" s="14" t="str">
        <x:v>到站时间为估算值</x:v>
      </x:c>
      <x:c r="T1018" t="str">
        <x:v>研究生宿舍楼发车</x:v>
      </x:c>
    </x:row>
    <x:row r="1019">
      <x:c r="A1019" s="14" t="str">
        <x:v>S0085-04</x:v>
      </x:c>
      <x:c r="B1019" s="14" t="str">
        <x:v>S0085</x:v>
      </x:c>
      <x:c r="C1019" s="14" t="str">
        <x:v>工作日</x:v>
      </x:c>
      <x:c r="D1019" s="14" t="str">
        <x:v>环线2路</x:v>
      </x:c>
      <x:c r="E1019" s="14" t="str">
        <x:v>第一班</x:v>
      </x:c>
      <x:c r="F1019" s="14" t="n">
        <x:v>15</x:v>
      </x:c>
      <x:c r="G1019" s="14" t="str">
        <x:v>12:30</x:v>
      </x:c>
      <x:c r="H1019" s="14" t="str">
        <x:v>研究生宿舍楼</x:v>
      </x:c>
      <x:c r="I1019" s="14" t="str">
        <x:v>否</x:v>
      </x:c>
      <x:c r="J1019" s="14" t="n">
        <x:v>4</x:v>
      </x:c>
      <x:c r="K1019" s="14" t="str">
        <x:v>1号宿舍楼</x:v>
      </x:c>
      <x:c r="L1019" s="14" t="n">
        <x:v>3</x:v>
      </x:c>
      <x:c r="M1019" s="14" t="str">
        <x:v>12:33</x:v>
      </x:c>
      <x:c r="N1019" s="14" t="str">
        <x:v>否</x:v>
      </x:c>
      <x:c r="O1019" s="14" t="str">
        <x:v>否</x:v>
      </x:c>
      <x:c r="P1019" s="14" t="str">
        <x:v>未提供</x:v>
      </x:c>
      <x:c r="Q1019" s="14" t="str">
        <x:v>未提供</x:v>
      </x:c>
      <x:c r="R1019" s="14" t="str">
        <x:v>预测</x:v>
      </x:c>
      <x:c r="S1019" s="14" t="str">
        <x:v>到站时间为估算值</x:v>
      </x:c>
      <x:c r="T1019" t="str">
        <x:v>研究生宿舍楼发车</x:v>
      </x:c>
    </x:row>
    <x:row r="1020">
      <x:c r="A1020" s="14" t="str">
        <x:v>S0085-05</x:v>
      </x:c>
      <x:c r="B1020" s="14" t="str">
        <x:v>S0085</x:v>
      </x:c>
      <x:c r="C1020" s="14" t="str">
        <x:v>工作日</x:v>
      </x:c>
      <x:c r="D1020" s="14" t="str">
        <x:v>环线2路</x:v>
      </x:c>
      <x:c r="E1020" s="14" t="str">
        <x:v>第一班</x:v>
      </x:c>
      <x:c r="F1020" s="14" t="n">
        <x:v>15</x:v>
      </x:c>
      <x:c r="G1020" s="14" t="str">
        <x:v>12:30</x:v>
      </x:c>
      <x:c r="H1020" s="14" t="str">
        <x:v>研究生宿舍楼</x:v>
      </x:c>
      <x:c r="I1020" s="14" t="str">
        <x:v>否</x:v>
      </x:c>
      <x:c r="J1020" s="14" t="n">
        <x:v>5</x:v>
      </x:c>
      <x:c r="K1020" s="14" t="str">
        <x:v>水上训练中心</x:v>
      </x:c>
      <x:c r="L1020" s="14" t="n">
        <x:v>5</x:v>
      </x:c>
      <x:c r="M1020" s="14" t="str">
        <x:v>12:35</x:v>
      </x:c>
      <x:c r="N1020" s="14" t="str">
        <x:v>否</x:v>
      </x:c>
      <x:c r="O1020" s="14" t="str">
        <x:v>否</x:v>
      </x:c>
      <x:c r="P1020" s="14" t="str">
        <x:v>未提供</x:v>
      </x:c>
      <x:c r="Q1020" s="14" t="str">
        <x:v>未提供</x:v>
      </x:c>
      <x:c r="R1020" s="14" t="str">
        <x:v>预测</x:v>
      </x:c>
      <x:c r="S1020" s="14" t="str">
        <x:v>到站时间为估算值</x:v>
      </x:c>
      <x:c r="T1020" t="str">
        <x:v>研究生宿舍楼发车</x:v>
      </x:c>
    </x:row>
    <x:row r="1021">
      <x:c r="A1021" s="14" t="str">
        <x:v>S0085-06</x:v>
      </x:c>
      <x:c r="B1021" s="14" t="str">
        <x:v>S0085</x:v>
      </x:c>
      <x:c r="C1021" s="14" t="str">
        <x:v>工作日</x:v>
      </x:c>
      <x:c r="D1021" s="14" t="str">
        <x:v>环线2路</x:v>
      </x:c>
      <x:c r="E1021" s="14" t="str">
        <x:v>第一班</x:v>
      </x:c>
      <x:c r="F1021" s="14" t="n">
        <x:v>15</x:v>
      </x:c>
      <x:c r="G1021" s="14" t="str">
        <x:v>12:30</x:v>
      </x:c>
      <x:c r="H1021" s="14" t="str">
        <x:v>研究生宿舍楼</x:v>
      </x:c>
      <x:c r="I1021" s="14" t="str">
        <x:v>否</x:v>
      </x:c>
      <x:c r="J1021" s="14" t="n">
        <x:v>6</x:v>
      </x:c>
      <x:c r="K1021" s="14" t="str">
        <x:v>军体活动中心</x:v>
      </x:c>
      <x:c r="L1021" s="14" t="n">
        <x:v>6</x:v>
      </x:c>
      <x:c r="M1021" s="14" t="str">
        <x:v>12:36</x:v>
      </x:c>
      <x:c r="N1021" s="14" t="str">
        <x:v>否</x:v>
      </x:c>
      <x:c r="O1021" s="14" t="str">
        <x:v>否</x:v>
      </x:c>
      <x:c r="P1021" s="14" t="str">
        <x:v>未提供</x:v>
      </x:c>
      <x:c r="Q1021" s="14" t="str">
        <x:v>未提供</x:v>
      </x:c>
      <x:c r="R1021" s="14" t="str">
        <x:v>预测</x:v>
      </x:c>
      <x:c r="S1021" s="14" t="str">
        <x:v>到站时间为估算值</x:v>
      </x:c>
      <x:c r="T1021" t="str">
        <x:v>研究生宿舍楼发车</x:v>
      </x:c>
    </x:row>
    <x:row r="1022">
      <x:c r="A1022" s="14" t="str">
        <x:v>S0085-07</x:v>
      </x:c>
      <x:c r="B1022" s="14" t="str">
        <x:v>S0085</x:v>
      </x:c>
      <x:c r="C1022" s="14" t="str">
        <x:v>工作日</x:v>
      </x:c>
      <x:c r="D1022" s="14" t="str">
        <x:v>环线2路</x:v>
      </x:c>
      <x:c r="E1022" s="14" t="str">
        <x:v>第一班</x:v>
      </x:c>
      <x:c r="F1022" s="14" t="n">
        <x:v>15</x:v>
      </x:c>
      <x:c r="G1022" s="14" t="str">
        <x:v>12:30</x:v>
      </x:c>
      <x:c r="H1022" s="14" t="str">
        <x:v>研究生宿舍楼</x:v>
      </x:c>
      <x:c r="I1022" s="14" t="str">
        <x:v>否</x:v>
      </x:c>
      <x:c r="J1022" s="14" t="n">
        <x:v>7</x:v>
      </x:c>
      <x:c r="K1022" s="14" t="str">
        <x:v>二食堂</x:v>
      </x:c>
      <x:c r="L1022" s="14" t="n">
        <x:v>8</x:v>
      </x:c>
      <x:c r="M1022" s="14" t="str">
        <x:v>12:38</x:v>
      </x:c>
      <x:c r="N1022" s="14" t="str">
        <x:v>否</x:v>
      </x:c>
      <x:c r="O1022" s="14" t="str">
        <x:v>否</x:v>
      </x:c>
      <x:c r="P1022" s="14" t="str">
        <x:v>未提供</x:v>
      </x:c>
      <x:c r="Q1022" s="14" t="str">
        <x:v>未提供</x:v>
      </x:c>
      <x:c r="R1022" s="14" t="str">
        <x:v>预测</x:v>
      </x:c>
      <x:c r="S1022" s="14" t="str">
        <x:v>到站时间为估算值</x:v>
      </x:c>
      <x:c r="T1022" t="str">
        <x:v>研究生宿舍楼发车</x:v>
      </x:c>
    </x:row>
    <x:row r="1023">
      <x:c r="A1023" s="14" t="str">
        <x:v>S0085-08</x:v>
      </x:c>
      <x:c r="B1023" s="14" t="str">
        <x:v>S0085</x:v>
      </x:c>
      <x:c r="C1023" s="14" t="str">
        <x:v>工作日</x:v>
      </x:c>
      <x:c r="D1023" s="14" t="str">
        <x:v>环线2路</x:v>
      </x:c>
      <x:c r="E1023" s="14" t="str">
        <x:v>第一班</x:v>
      </x:c>
      <x:c r="F1023" s="14" t="n">
        <x:v>15</x:v>
      </x:c>
      <x:c r="G1023" s="14" t="str">
        <x:v>12:30</x:v>
      </x:c>
      <x:c r="H1023" s="14" t="str">
        <x:v>研究生宿舍楼</x:v>
      </x:c>
      <x:c r="I1023" s="14" t="str">
        <x:v>否</x:v>
      </x:c>
      <x:c r="J1023" s="14" t="n">
        <x:v>8</x:v>
      </x:c>
      <x:c r="K1023" s="14" t="str">
        <x:v>5号宿舍楼</x:v>
      </x:c>
      <x:c r="L1023" s="14" t="n">
        <x:v>9</x:v>
      </x:c>
      <x:c r="M1023" s="14" t="str">
        <x:v>12:39</x:v>
      </x:c>
      <x:c r="N1023" s="14" t="str">
        <x:v>否</x:v>
      </x:c>
      <x:c r="O1023" s="14" t="str">
        <x:v>否</x:v>
      </x:c>
      <x:c r="P1023" s="14" t="str">
        <x:v>未提供</x:v>
      </x:c>
      <x:c r="Q1023" s="14" t="str">
        <x:v>未提供</x:v>
      </x:c>
      <x:c r="R1023" s="14" t="str">
        <x:v>预测</x:v>
      </x:c>
      <x:c r="S1023" s="14" t="str">
        <x:v>到站时间为估算值</x:v>
      </x:c>
      <x:c r="T1023" t="str">
        <x:v>研究生宿舍楼发车</x:v>
      </x:c>
    </x:row>
    <x:row r="1024">
      <x:c r="A1024" s="14" t="str">
        <x:v>S0085-09</x:v>
      </x:c>
      <x:c r="B1024" s="14" t="str">
        <x:v>S0085</x:v>
      </x:c>
      <x:c r="C1024" s="14" t="str">
        <x:v>工作日</x:v>
      </x:c>
      <x:c r="D1024" s="14" t="str">
        <x:v>环线2路</x:v>
      </x:c>
      <x:c r="E1024" s="14" t="str">
        <x:v>第一班</x:v>
      </x:c>
      <x:c r="F1024" s="14" t="n">
        <x:v>15</x:v>
      </x:c>
      <x:c r="G1024" s="14" t="str">
        <x:v>12:30</x:v>
      </x:c>
      <x:c r="H1024" s="14" t="str">
        <x:v>研究生宿舍楼</x:v>
      </x:c>
      <x:c r="I1024" s="14" t="str">
        <x:v>否</x:v>
      </x:c>
      <x:c r="J1024" s="14" t="n">
        <x:v>9</x:v>
      </x:c>
      <x:c r="K1024" s="14" t="str">
        <x:v>305教学楼</x:v>
      </x:c>
      <x:c r="L1024" s="14" t="n">
        <x:v>10</x:v>
      </x:c>
      <x:c r="M1024" s="14" t="str">
        <x:v>12:40</x:v>
      </x:c>
      <x:c r="N1024" s="14" t="str">
        <x:v>否</x:v>
      </x:c>
      <x:c r="O1024" s="14" t="str">
        <x:v>否</x:v>
      </x:c>
      <x:c r="P1024" s="14" t="str">
        <x:v>未提供</x:v>
      </x:c>
      <x:c r="Q1024" s="14" t="str">
        <x:v>未提供</x:v>
      </x:c>
      <x:c r="R1024" s="14" t="str">
        <x:v>预测</x:v>
      </x:c>
      <x:c r="S1024" s="14" t="str">
        <x:v>到站时间为估算值</x:v>
      </x:c>
      <x:c r="T1024" t="str">
        <x:v>研究生宿舍楼发车</x:v>
      </x:c>
    </x:row>
    <x:row r="1025">
      <x:c r="A1025" s="14" t="str">
        <x:v>S0085-10</x:v>
      </x:c>
      <x:c r="B1025" s="14" t="str">
        <x:v>S0085</x:v>
      </x:c>
      <x:c r="C1025" s="14" t="str">
        <x:v>工作日</x:v>
      </x:c>
      <x:c r="D1025" s="14" t="str">
        <x:v>环线2路</x:v>
      </x:c>
      <x:c r="E1025" s="14" t="str">
        <x:v>第一班</x:v>
      </x:c>
      <x:c r="F1025" s="14" t="n">
        <x:v>15</x:v>
      </x:c>
      <x:c r="G1025" s="14" t="str">
        <x:v>12:30</x:v>
      </x:c>
      <x:c r="H1025" s="14" t="str">
        <x:v>研究生宿舍楼</x:v>
      </x:c>
      <x:c r="I1025" s="14" t="str">
        <x:v>否</x:v>
      </x:c>
      <x:c r="J1025" s="14" t="n">
        <x:v>10</x:v>
      </x:c>
      <x:c r="K1025" s="14" t="str">
        <x:v>研究生宿舍楼</x:v>
      </x:c>
      <x:c r="L1025" s="14" t="n">
        <x:v>12</x:v>
      </x:c>
      <x:c r="M1025" s="14" t="str">
        <x:v>12:42</x:v>
      </x:c>
      <x:c r="N1025" s="14" t="str">
        <x:v>否</x:v>
      </x:c>
      <x:c r="O1025" s="14" t="str">
        <x:v>是</x:v>
      </x:c>
      <x:c r="P1025" s="14" t="str">
        <x:v>未提供</x:v>
      </x:c>
      <x:c r="Q1025" s="14" t="str">
        <x:v>未提供</x:v>
      </x:c>
      <x:c r="R1025" s="14" t="str">
        <x:v>预测</x:v>
      </x:c>
      <x:c r="S1025" s="14" t="str">
        <x:v>到站时间为估算值</x:v>
      </x:c>
      <x:c r="T1025" t="str">
        <x:v>研究生宿舍楼发车</x:v>
      </x:c>
    </x:row>
    <x:row r="1026">
      <x:c r="A1026" s="14" t="str">
        <x:v>S0086-01</x:v>
      </x:c>
      <x:c r="B1026" s="14" t="str">
        <x:v>S0086</x:v>
      </x:c>
      <x:c r="C1026" s="14" t="str">
        <x:v>工作日</x:v>
      </x:c>
      <x:c r="D1026" s="14" t="str">
        <x:v>环线2路</x:v>
      </x:c>
      <x:c r="E1026" s="14" t="str">
        <x:v>第一班</x:v>
      </x:c>
      <x:c r="F1026" s="14" t="n">
        <x:v>16</x:v>
      </x:c>
      <x:c r="G1026" s="14" t="str">
        <x:v>14:10</x:v>
      </x:c>
      <x:c r="H1026" s="14" t="str">
        <x:v>研究生宿舍楼</x:v>
      </x:c>
      <x:c r="I1026" s="14" t="str">
        <x:v>否</x:v>
      </x:c>
      <x:c r="J1026" s="14" t="n">
        <x:v>1</x:v>
      </x:c>
      <x:c r="K1026" s="14" t="str">
        <x:v>研究生宿舍楼</x:v>
      </x:c>
      <x:c r="L1026" s="14" t="n">
        <x:v>0</x:v>
      </x:c>
      <x:c r="M1026" s="14" t="str">
        <x:v>14:10</x:v>
      </x:c>
      <x:c r="N1026" s="14" t="str">
        <x:v>是</x:v>
      </x:c>
      <x:c r="O1026" s="14" t="str">
        <x:v>否</x:v>
      </x:c>
      <x:c r="P1026" s="14" t="str">
        <x:v>未提供</x:v>
      </x:c>
      <x:c r="Q1026" s="14" t="str">
        <x:v>未提供</x:v>
      </x:c>
      <x:c r="R1026" s="14" t="str">
        <x:v>预测</x:v>
      </x:c>
      <x:c r="S1026" s="14" t="str">
        <x:v>到站时间为估算值</x:v>
      </x:c>
      <x:c r="T1026" t="str">
        <x:v>研究生宿舍楼发车</x:v>
      </x:c>
    </x:row>
    <x:row r="1027">
      <x:c r="A1027" s="14" t="str">
        <x:v>S0086-02</x:v>
      </x:c>
      <x:c r="B1027" s="14" t="str">
        <x:v>S0086</x:v>
      </x:c>
      <x:c r="C1027" s="14" t="str">
        <x:v>工作日</x:v>
      </x:c>
      <x:c r="D1027" s="14" t="str">
        <x:v>环线2路</x:v>
      </x:c>
      <x:c r="E1027" s="14" t="str">
        <x:v>第一班</x:v>
      </x:c>
      <x:c r="F1027" s="14" t="n">
        <x:v>16</x:v>
      </x:c>
      <x:c r="G1027" s="14" t="str">
        <x:v>14:10</x:v>
      </x:c>
      <x:c r="H1027" s="14" t="str">
        <x:v>研究生宿舍楼</x:v>
      </x:c>
      <x:c r="I1027" s="14" t="str">
        <x:v>否</x:v>
      </x:c>
      <x:c r="J1027" s="14" t="n">
        <x:v>2</x:v>
      </x:c>
      <x:c r="K1027" s="14" t="str">
        <x:v>一食堂</x:v>
      </x:c>
      <x:c r="L1027" s="14" t="n">
        <x:v>1</x:v>
      </x:c>
      <x:c r="M1027" s="14" t="str">
        <x:v>14:11</x:v>
      </x:c>
      <x:c r="N1027" s="14" t="str">
        <x:v>否</x:v>
      </x:c>
      <x:c r="O1027" s="14" t="str">
        <x:v>否</x:v>
      </x:c>
      <x:c r="P1027" s="14" t="str">
        <x:v>未提供</x:v>
      </x:c>
      <x:c r="Q1027" s="14" t="str">
        <x:v>未提供</x:v>
      </x:c>
      <x:c r="R1027" s="14" t="str">
        <x:v>预测</x:v>
      </x:c>
      <x:c r="S1027" s="14" t="str">
        <x:v>到站时间为估算值</x:v>
      </x:c>
      <x:c r="T1027" t="str">
        <x:v>研究生宿舍楼发车</x:v>
      </x:c>
    </x:row>
    <x:row r="1028">
      <x:c r="A1028" s="14" t="str">
        <x:v>S0086-03</x:v>
      </x:c>
      <x:c r="B1028" s="14" t="str">
        <x:v>S0086</x:v>
      </x:c>
      <x:c r="C1028" s="14" t="str">
        <x:v>工作日</x:v>
      </x:c>
      <x:c r="D1028" s="14" t="str">
        <x:v>环线2路</x:v>
      </x:c>
      <x:c r="E1028" s="14" t="str">
        <x:v>第一班</x:v>
      </x:c>
      <x:c r="F1028" s="14" t="n">
        <x:v>16</x:v>
      </x:c>
      <x:c r="G1028" s="14" t="str">
        <x:v>14:10</x:v>
      </x:c>
      <x:c r="H1028" s="14" t="str">
        <x:v>研究生宿舍楼</x:v>
      </x:c>
      <x:c r="I1028" s="14" t="str">
        <x:v>否</x:v>
      </x:c>
      <x:c r="J1028" s="14" t="n">
        <x:v>3</x:v>
      </x:c>
      <x:c r="K1028" s="14" t="str">
        <x:v>门诊部</x:v>
      </x:c>
      <x:c r="L1028" s="14" t="n">
        <x:v>2</x:v>
      </x:c>
      <x:c r="M1028" s="14" t="str">
        <x:v>14:12</x:v>
      </x:c>
      <x:c r="N1028" s="14" t="str">
        <x:v>否</x:v>
      </x:c>
      <x:c r="O1028" s="14" t="str">
        <x:v>否</x:v>
      </x:c>
      <x:c r="P1028" s="14" t="str">
        <x:v>未提供</x:v>
      </x:c>
      <x:c r="Q1028" s="14" t="str">
        <x:v>未提供</x:v>
      </x:c>
      <x:c r="R1028" s="14" t="str">
        <x:v>预测</x:v>
      </x:c>
      <x:c r="S1028" s="14" t="str">
        <x:v>到站时间为估算值</x:v>
      </x:c>
      <x:c r="T1028" t="str">
        <x:v>研究生宿舍楼发车</x:v>
      </x:c>
    </x:row>
    <x:row r="1029">
      <x:c r="A1029" s="14" t="str">
        <x:v>S0086-04</x:v>
      </x:c>
      <x:c r="B1029" s="14" t="str">
        <x:v>S0086</x:v>
      </x:c>
      <x:c r="C1029" s="14" t="str">
        <x:v>工作日</x:v>
      </x:c>
      <x:c r="D1029" s="14" t="str">
        <x:v>环线2路</x:v>
      </x:c>
      <x:c r="E1029" s="14" t="str">
        <x:v>第一班</x:v>
      </x:c>
      <x:c r="F1029" s="14" t="n">
        <x:v>16</x:v>
      </x:c>
      <x:c r="G1029" s="14" t="str">
        <x:v>14:10</x:v>
      </x:c>
      <x:c r="H1029" s="14" t="str">
        <x:v>研究生宿舍楼</x:v>
      </x:c>
      <x:c r="I1029" s="14" t="str">
        <x:v>否</x:v>
      </x:c>
      <x:c r="J1029" s="14" t="n">
        <x:v>4</x:v>
      </x:c>
      <x:c r="K1029" s="14" t="str">
        <x:v>1号宿舍楼</x:v>
      </x:c>
      <x:c r="L1029" s="14" t="n">
        <x:v>3</x:v>
      </x:c>
      <x:c r="M1029" s="14" t="str">
        <x:v>14:13</x:v>
      </x:c>
      <x:c r="N1029" s="14" t="str">
        <x:v>否</x:v>
      </x:c>
      <x:c r="O1029" s="14" t="str">
        <x:v>否</x:v>
      </x:c>
      <x:c r="P1029" s="14" t="str">
        <x:v>未提供</x:v>
      </x:c>
      <x:c r="Q1029" s="14" t="str">
        <x:v>未提供</x:v>
      </x:c>
      <x:c r="R1029" s="14" t="str">
        <x:v>预测</x:v>
      </x:c>
      <x:c r="S1029" s="14" t="str">
        <x:v>到站时间为估算值</x:v>
      </x:c>
      <x:c r="T1029" t="str">
        <x:v>研究生宿舍楼发车</x:v>
      </x:c>
    </x:row>
    <x:row r="1030">
      <x:c r="A1030" s="14" t="str">
        <x:v>S0086-05</x:v>
      </x:c>
      <x:c r="B1030" s="14" t="str">
        <x:v>S0086</x:v>
      </x:c>
      <x:c r="C1030" s="14" t="str">
        <x:v>工作日</x:v>
      </x:c>
      <x:c r="D1030" s="14" t="str">
        <x:v>环线2路</x:v>
      </x:c>
      <x:c r="E1030" s="14" t="str">
        <x:v>第一班</x:v>
      </x:c>
      <x:c r="F1030" s="14" t="n">
        <x:v>16</x:v>
      </x:c>
      <x:c r="G1030" s="14" t="str">
        <x:v>14:10</x:v>
      </x:c>
      <x:c r="H1030" s="14" t="str">
        <x:v>研究生宿舍楼</x:v>
      </x:c>
      <x:c r="I1030" s="14" t="str">
        <x:v>否</x:v>
      </x:c>
      <x:c r="J1030" s="14" t="n">
        <x:v>5</x:v>
      </x:c>
      <x:c r="K1030" s="14" t="str">
        <x:v>水上训练中心</x:v>
      </x:c>
      <x:c r="L1030" s="14" t="n">
        <x:v>5</x:v>
      </x:c>
      <x:c r="M1030" s="14" t="str">
        <x:v>14:15</x:v>
      </x:c>
      <x:c r="N1030" s="14" t="str">
        <x:v>否</x:v>
      </x:c>
      <x:c r="O1030" s="14" t="str">
        <x:v>否</x:v>
      </x:c>
      <x:c r="P1030" s="14" t="str">
        <x:v>未提供</x:v>
      </x:c>
      <x:c r="Q1030" s="14" t="str">
        <x:v>未提供</x:v>
      </x:c>
      <x:c r="R1030" s="14" t="str">
        <x:v>预测</x:v>
      </x:c>
      <x:c r="S1030" s="14" t="str">
        <x:v>到站时间为估算值</x:v>
      </x:c>
      <x:c r="T1030" t="str">
        <x:v>研究生宿舍楼发车</x:v>
      </x:c>
    </x:row>
    <x:row r="1031">
      <x:c r="A1031" s="14" t="str">
        <x:v>S0086-06</x:v>
      </x:c>
      <x:c r="B1031" s="14" t="str">
        <x:v>S0086</x:v>
      </x:c>
      <x:c r="C1031" s="14" t="str">
        <x:v>工作日</x:v>
      </x:c>
      <x:c r="D1031" s="14" t="str">
        <x:v>环线2路</x:v>
      </x:c>
      <x:c r="E1031" s="14" t="str">
        <x:v>第一班</x:v>
      </x:c>
      <x:c r="F1031" s="14" t="n">
        <x:v>16</x:v>
      </x:c>
      <x:c r="G1031" s="14" t="str">
        <x:v>14:10</x:v>
      </x:c>
      <x:c r="H1031" s="14" t="str">
        <x:v>研究生宿舍楼</x:v>
      </x:c>
      <x:c r="I1031" s="14" t="str">
        <x:v>否</x:v>
      </x:c>
      <x:c r="J1031" s="14" t="n">
        <x:v>6</x:v>
      </x:c>
      <x:c r="K1031" s="14" t="str">
        <x:v>军体活动中心</x:v>
      </x:c>
      <x:c r="L1031" s="14" t="n">
        <x:v>6</x:v>
      </x:c>
      <x:c r="M1031" s="14" t="str">
        <x:v>14:16</x:v>
      </x:c>
      <x:c r="N1031" s="14" t="str">
        <x:v>否</x:v>
      </x:c>
      <x:c r="O1031" s="14" t="str">
        <x:v>否</x:v>
      </x:c>
      <x:c r="P1031" s="14" t="str">
        <x:v>未提供</x:v>
      </x:c>
      <x:c r="Q1031" s="14" t="str">
        <x:v>未提供</x:v>
      </x:c>
      <x:c r="R1031" s="14" t="str">
        <x:v>预测</x:v>
      </x:c>
      <x:c r="S1031" s="14" t="str">
        <x:v>到站时间为估算值</x:v>
      </x:c>
      <x:c r="T1031" t="str">
        <x:v>研究生宿舍楼发车</x:v>
      </x:c>
    </x:row>
    <x:row r="1032">
      <x:c r="A1032" s="14" t="str">
        <x:v>S0086-07</x:v>
      </x:c>
      <x:c r="B1032" s="14" t="str">
        <x:v>S0086</x:v>
      </x:c>
      <x:c r="C1032" s="14" t="str">
        <x:v>工作日</x:v>
      </x:c>
      <x:c r="D1032" s="14" t="str">
        <x:v>环线2路</x:v>
      </x:c>
      <x:c r="E1032" s="14" t="str">
        <x:v>第一班</x:v>
      </x:c>
      <x:c r="F1032" s="14" t="n">
        <x:v>16</x:v>
      </x:c>
      <x:c r="G1032" s="14" t="str">
        <x:v>14:10</x:v>
      </x:c>
      <x:c r="H1032" s="14" t="str">
        <x:v>研究生宿舍楼</x:v>
      </x:c>
      <x:c r="I1032" s="14" t="str">
        <x:v>否</x:v>
      </x:c>
      <x:c r="J1032" s="14" t="n">
        <x:v>7</x:v>
      </x:c>
      <x:c r="K1032" s="14" t="str">
        <x:v>二食堂</x:v>
      </x:c>
      <x:c r="L1032" s="14" t="n">
        <x:v>8</x:v>
      </x:c>
      <x:c r="M1032" s="14" t="str">
        <x:v>14:18</x:v>
      </x:c>
      <x:c r="N1032" s="14" t="str">
        <x:v>否</x:v>
      </x:c>
      <x:c r="O1032" s="14" t="str">
        <x:v>否</x:v>
      </x:c>
      <x:c r="P1032" s="14" t="str">
        <x:v>未提供</x:v>
      </x:c>
      <x:c r="Q1032" s="14" t="str">
        <x:v>未提供</x:v>
      </x:c>
      <x:c r="R1032" s="14" t="str">
        <x:v>预测</x:v>
      </x:c>
      <x:c r="S1032" s="14" t="str">
        <x:v>到站时间为估算值</x:v>
      </x:c>
      <x:c r="T1032" t="str">
        <x:v>研究生宿舍楼发车</x:v>
      </x:c>
    </x:row>
    <x:row r="1033">
      <x:c r="A1033" s="14" t="str">
        <x:v>S0086-08</x:v>
      </x:c>
      <x:c r="B1033" s="14" t="str">
        <x:v>S0086</x:v>
      </x:c>
      <x:c r="C1033" s="14" t="str">
        <x:v>工作日</x:v>
      </x:c>
      <x:c r="D1033" s="14" t="str">
        <x:v>环线2路</x:v>
      </x:c>
      <x:c r="E1033" s="14" t="str">
        <x:v>第一班</x:v>
      </x:c>
      <x:c r="F1033" s="14" t="n">
        <x:v>16</x:v>
      </x:c>
      <x:c r="G1033" s="14" t="str">
        <x:v>14:10</x:v>
      </x:c>
      <x:c r="H1033" s="14" t="str">
        <x:v>研究生宿舍楼</x:v>
      </x:c>
      <x:c r="I1033" s="14" t="str">
        <x:v>否</x:v>
      </x:c>
      <x:c r="J1033" s="14" t="n">
        <x:v>8</x:v>
      </x:c>
      <x:c r="K1033" s="14" t="str">
        <x:v>5号宿舍楼</x:v>
      </x:c>
      <x:c r="L1033" s="14" t="n">
        <x:v>9</x:v>
      </x:c>
      <x:c r="M1033" s="14" t="str">
        <x:v>14:19</x:v>
      </x:c>
      <x:c r="N1033" s="14" t="str">
        <x:v>否</x:v>
      </x:c>
      <x:c r="O1033" s="14" t="str">
        <x:v>否</x:v>
      </x:c>
      <x:c r="P1033" s="14" t="str">
        <x:v>未提供</x:v>
      </x:c>
      <x:c r="Q1033" s="14" t="str">
        <x:v>未提供</x:v>
      </x:c>
      <x:c r="R1033" s="14" t="str">
        <x:v>预测</x:v>
      </x:c>
      <x:c r="S1033" s="14" t="str">
        <x:v>到站时间为估算值</x:v>
      </x:c>
      <x:c r="T1033" t="str">
        <x:v>研究生宿舍楼发车</x:v>
      </x:c>
    </x:row>
    <x:row r="1034">
      <x:c r="A1034" s="14" t="str">
        <x:v>S0086-09</x:v>
      </x:c>
      <x:c r="B1034" s="14" t="str">
        <x:v>S0086</x:v>
      </x:c>
      <x:c r="C1034" s="14" t="str">
        <x:v>工作日</x:v>
      </x:c>
      <x:c r="D1034" s="14" t="str">
        <x:v>环线2路</x:v>
      </x:c>
      <x:c r="E1034" s="14" t="str">
        <x:v>第一班</x:v>
      </x:c>
      <x:c r="F1034" s="14" t="n">
        <x:v>16</x:v>
      </x:c>
      <x:c r="G1034" s="14" t="str">
        <x:v>14:10</x:v>
      </x:c>
      <x:c r="H1034" s="14" t="str">
        <x:v>研究生宿舍楼</x:v>
      </x:c>
      <x:c r="I1034" s="14" t="str">
        <x:v>否</x:v>
      </x:c>
      <x:c r="J1034" s="14" t="n">
        <x:v>9</x:v>
      </x:c>
      <x:c r="K1034" s="14" t="str">
        <x:v>305教学楼</x:v>
      </x:c>
      <x:c r="L1034" s="14" t="n">
        <x:v>10</x:v>
      </x:c>
      <x:c r="M1034" s="14" t="str">
        <x:v>14:20</x:v>
      </x:c>
      <x:c r="N1034" s="14" t="str">
        <x:v>否</x:v>
      </x:c>
      <x:c r="O1034" s="14" t="str">
        <x:v>否</x:v>
      </x:c>
      <x:c r="P1034" s="14" t="str">
        <x:v>未提供</x:v>
      </x:c>
      <x:c r="Q1034" s="14" t="str">
        <x:v>未提供</x:v>
      </x:c>
      <x:c r="R1034" s="14" t="str">
        <x:v>预测</x:v>
      </x:c>
      <x:c r="S1034" s="14" t="str">
        <x:v>到站时间为估算值</x:v>
      </x:c>
      <x:c r="T1034" t="str">
        <x:v>研究生宿舍楼发车</x:v>
      </x:c>
    </x:row>
    <x:row r="1035">
      <x:c r="A1035" s="14" t="str">
        <x:v>S0086-10</x:v>
      </x:c>
      <x:c r="B1035" s="14" t="str">
        <x:v>S0086</x:v>
      </x:c>
      <x:c r="C1035" s="14" t="str">
        <x:v>工作日</x:v>
      </x:c>
      <x:c r="D1035" s="14" t="str">
        <x:v>环线2路</x:v>
      </x:c>
      <x:c r="E1035" s="14" t="str">
        <x:v>第一班</x:v>
      </x:c>
      <x:c r="F1035" s="14" t="n">
        <x:v>16</x:v>
      </x:c>
      <x:c r="G1035" s="14" t="str">
        <x:v>14:10</x:v>
      </x:c>
      <x:c r="H1035" s="14" t="str">
        <x:v>研究生宿舍楼</x:v>
      </x:c>
      <x:c r="I1035" s="14" t="str">
        <x:v>否</x:v>
      </x:c>
      <x:c r="J1035" s="14" t="n">
        <x:v>10</x:v>
      </x:c>
      <x:c r="K1035" s="14" t="str">
        <x:v>研究生宿舍楼</x:v>
      </x:c>
      <x:c r="L1035" s="14" t="n">
        <x:v>12</x:v>
      </x:c>
      <x:c r="M1035" s="14" t="str">
        <x:v>14:22</x:v>
      </x:c>
      <x:c r="N1035" s="14" t="str">
        <x:v>否</x:v>
      </x:c>
      <x:c r="O1035" s="14" t="str">
        <x:v>是</x:v>
      </x:c>
      <x:c r="P1035" s="14" t="str">
        <x:v>未提供</x:v>
      </x:c>
      <x:c r="Q1035" s="14" t="str">
        <x:v>未提供</x:v>
      </x:c>
      <x:c r="R1035" s="14" t="str">
        <x:v>预测</x:v>
      </x:c>
      <x:c r="S1035" s="14" t="str">
        <x:v>到站时间为估算值</x:v>
      </x:c>
      <x:c r="T1035" t="str">
        <x:v>研究生宿舍楼发车</x:v>
      </x:c>
    </x:row>
    <x:row r="1036">
      <x:c r="A1036" s="14" t="str">
        <x:v>S0087-01</x:v>
      </x:c>
      <x:c r="B1036" s="14" t="str">
        <x:v>S0087</x:v>
      </x:c>
      <x:c r="C1036" s="14" t="str">
        <x:v>工作日</x:v>
      </x:c>
      <x:c r="D1036" s="14" t="str">
        <x:v>环线2路</x:v>
      </x:c>
      <x:c r="E1036" s="14" t="str">
        <x:v>第一班</x:v>
      </x:c>
      <x:c r="F1036" s="14" t="n">
        <x:v>17</x:v>
      </x:c>
      <x:c r="G1036" s="14" t="str">
        <x:v>16:20</x:v>
      </x:c>
      <x:c r="H1036" s="14" t="str">
        <x:v>研究生宿舍楼</x:v>
      </x:c>
      <x:c r="I1036" s="14" t="str">
        <x:v>否</x:v>
      </x:c>
      <x:c r="J1036" s="14" t="n">
        <x:v>1</x:v>
      </x:c>
      <x:c r="K1036" s="14" t="str">
        <x:v>研究生宿舍楼</x:v>
      </x:c>
      <x:c r="L1036" s="14" t="n">
        <x:v>0</x:v>
      </x:c>
      <x:c r="M1036" s="14" t="str">
        <x:v>16:20</x:v>
      </x:c>
      <x:c r="N1036" s="14" t="str">
        <x:v>是</x:v>
      </x:c>
      <x:c r="O1036" s="14" t="str">
        <x:v>否</x:v>
      </x:c>
      <x:c r="P1036" s="14" t="str">
        <x:v>未提供</x:v>
      </x:c>
      <x:c r="Q1036" s="14" t="str">
        <x:v>未提供</x:v>
      </x:c>
      <x:c r="R1036" s="14" t="str">
        <x:v>预测</x:v>
      </x:c>
      <x:c r="S1036" s="14" t="str">
        <x:v>到站时间为估算值</x:v>
      </x:c>
      <x:c r="T1036" t="str">
        <x:v>研究生宿舍楼发车</x:v>
      </x:c>
    </x:row>
    <x:row r="1037">
      <x:c r="A1037" s="14" t="str">
        <x:v>S0087-02</x:v>
      </x:c>
      <x:c r="B1037" s="14" t="str">
        <x:v>S0087</x:v>
      </x:c>
      <x:c r="C1037" s="14" t="str">
        <x:v>工作日</x:v>
      </x:c>
      <x:c r="D1037" s="14" t="str">
        <x:v>环线2路</x:v>
      </x:c>
      <x:c r="E1037" s="14" t="str">
        <x:v>第一班</x:v>
      </x:c>
      <x:c r="F1037" s="14" t="n">
        <x:v>17</x:v>
      </x:c>
      <x:c r="G1037" s="14" t="str">
        <x:v>16:20</x:v>
      </x:c>
      <x:c r="H1037" s="14" t="str">
        <x:v>研究生宿舍楼</x:v>
      </x:c>
      <x:c r="I1037" s="14" t="str">
        <x:v>否</x:v>
      </x:c>
      <x:c r="J1037" s="14" t="n">
        <x:v>2</x:v>
      </x:c>
      <x:c r="K1037" s="14" t="str">
        <x:v>一食堂</x:v>
      </x:c>
      <x:c r="L1037" s="14" t="n">
        <x:v>1</x:v>
      </x:c>
      <x:c r="M1037" s="14" t="str">
        <x:v>16:21</x:v>
      </x:c>
      <x:c r="N1037" s="14" t="str">
        <x:v>否</x:v>
      </x:c>
      <x:c r="O1037" s="14" t="str">
        <x:v>否</x:v>
      </x:c>
      <x:c r="P1037" s="14" t="str">
        <x:v>未提供</x:v>
      </x:c>
      <x:c r="Q1037" s="14" t="str">
        <x:v>未提供</x:v>
      </x:c>
      <x:c r="R1037" s="14" t="str">
        <x:v>预测</x:v>
      </x:c>
      <x:c r="S1037" s="14" t="str">
        <x:v>到站时间为估算值</x:v>
      </x:c>
      <x:c r="T1037" t="str">
        <x:v>研究生宿舍楼发车</x:v>
      </x:c>
    </x:row>
    <x:row r="1038">
      <x:c r="A1038" s="14" t="str">
        <x:v>S0087-03</x:v>
      </x:c>
      <x:c r="B1038" s="14" t="str">
        <x:v>S0087</x:v>
      </x:c>
      <x:c r="C1038" s="14" t="str">
        <x:v>工作日</x:v>
      </x:c>
      <x:c r="D1038" s="14" t="str">
        <x:v>环线2路</x:v>
      </x:c>
      <x:c r="E1038" s="14" t="str">
        <x:v>第一班</x:v>
      </x:c>
      <x:c r="F1038" s="14" t="n">
        <x:v>17</x:v>
      </x:c>
      <x:c r="G1038" s="14" t="str">
        <x:v>16:20</x:v>
      </x:c>
      <x:c r="H1038" s="14" t="str">
        <x:v>研究生宿舍楼</x:v>
      </x:c>
      <x:c r="I1038" s="14" t="str">
        <x:v>否</x:v>
      </x:c>
      <x:c r="J1038" s="14" t="n">
        <x:v>3</x:v>
      </x:c>
      <x:c r="K1038" s="14" t="str">
        <x:v>门诊部</x:v>
      </x:c>
      <x:c r="L1038" s="14" t="n">
        <x:v>2</x:v>
      </x:c>
      <x:c r="M1038" s="14" t="str">
        <x:v>16:22</x:v>
      </x:c>
      <x:c r="N1038" s="14" t="str">
        <x:v>否</x:v>
      </x:c>
      <x:c r="O1038" s="14" t="str">
        <x:v>否</x:v>
      </x:c>
      <x:c r="P1038" s="14" t="str">
        <x:v>未提供</x:v>
      </x:c>
      <x:c r="Q1038" s="14" t="str">
        <x:v>未提供</x:v>
      </x:c>
      <x:c r="R1038" s="14" t="str">
        <x:v>预测</x:v>
      </x:c>
      <x:c r="S1038" s="14" t="str">
        <x:v>到站时间为估算值</x:v>
      </x:c>
      <x:c r="T1038" t="str">
        <x:v>研究生宿舍楼发车</x:v>
      </x:c>
    </x:row>
    <x:row r="1039">
      <x:c r="A1039" s="14" t="str">
        <x:v>S0087-04</x:v>
      </x:c>
      <x:c r="B1039" s="14" t="str">
        <x:v>S0087</x:v>
      </x:c>
      <x:c r="C1039" s="14" t="str">
        <x:v>工作日</x:v>
      </x:c>
      <x:c r="D1039" s="14" t="str">
        <x:v>环线2路</x:v>
      </x:c>
      <x:c r="E1039" s="14" t="str">
        <x:v>第一班</x:v>
      </x:c>
      <x:c r="F1039" s="14" t="n">
        <x:v>17</x:v>
      </x:c>
      <x:c r="G1039" s="14" t="str">
        <x:v>16:20</x:v>
      </x:c>
      <x:c r="H1039" s="14" t="str">
        <x:v>研究生宿舍楼</x:v>
      </x:c>
      <x:c r="I1039" s="14" t="str">
        <x:v>否</x:v>
      </x:c>
      <x:c r="J1039" s="14" t="n">
        <x:v>4</x:v>
      </x:c>
      <x:c r="K1039" s="14" t="str">
        <x:v>1号宿舍楼</x:v>
      </x:c>
      <x:c r="L1039" s="14" t="n">
        <x:v>3</x:v>
      </x:c>
      <x:c r="M1039" s="14" t="str">
        <x:v>16:23</x:v>
      </x:c>
      <x:c r="N1039" s="14" t="str">
        <x:v>否</x:v>
      </x:c>
      <x:c r="O1039" s="14" t="str">
        <x:v>否</x:v>
      </x:c>
      <x:c r="P1039" s="14" t="str">
        <x:v>未提供</x:v>
      </x:c>
      <x:c r="Q1039" s="14" t="str">
        <x:v>未提供</x:v>
      </x:c>
      <x:c r="R1039" s="14" t="str">
        <x:v>预测</x:v>
      </x:c>
      <x:c r="S1039" s="14" t="str">
        <x:v>到站时间为估算值</x:v>
      </x:c>
      <x:c r="T1039" t="str">
        <x:v>研究生宿舍楼发车</x:v>
      </x:c>
    </x:row>
    <x:row r="1040">
      <x:c r="A1040" s="14" t="str">
        <x:v>S0087-05</x:v>
      </x:c>
      <x:c r="B1040" s="14" t="str">
        <x:v>S0087</x:v>
      </x:c>
      <x:c r="C1040" s="14" t="str">
        <x:v>工作日</x:v>
      </x:c>
      <x:c r="D1040" s="14" t="str">
        <x:v>环线2路</x:v>
      </x:c>
      <x:c r="E1040" s="14" t="str">
        <x:v>第一班</x:v>
      </x:c>
      <x:c r="F1040" s="14" t="n">
        <x:v>17</x:v>
      </x:c>
      <x:c r="G1040" s="14" t="str">
        <x:v>16:20</x:v>
      </x:c>
      <x:c r="H1040" s="14" t="str">
        <x:v>研究生宿舍楼</x:v>
      </x:c>
      <x:c r="I1040" s="14" t="str">
        <x:v>否</x:v>
      </x:c>
      <x:c r="J1040" s="14" t="n">
        <x:v>5</x:v>
      </x:c>
      <x:c r="K1040" s="14" t="str">
        <x:v>水上训练中心</x:v>
      </x:c>
      <x:c r="L1040" s="14" t="n">
        <x:v>5</x:v>
      </x:c>
      <x:c r="M1040" s="14" t="str">
        <x:v>16:25</x:v>
      </x:c>
      <x:c r="N1040" s="14" t="str">
        <x:v>否</x:v>
      </x:c>
      <x:c r="O1040" s="14" t="str">
        <x:v>否</x:v>
      </x:c>
      <x:c r="P1040" s="14" t="str">
        <x:v>未提供</x:v>
      </x:c>
      <x:c r="Q1040" s="14" t="str">
        <x:v>未提供</x:v>
      </x:c>
      <x:c r="R1040" s="14" t="str">
        <x:v>预测</x:v>
      </x:c>
      <x:c r="S1040" s="14" t="str">
        <x:v>到站时间为估算值</x:v>
      </x:c>
      <x:c r="T1040" t="str">
        <x:v>研究生宿舍楼发车</x:v>
      </x:c>
    </x:row>
    <x:row r="1041">
      <x:c r="A1041" s="14" t="str">
        <x:v>S0087-06</x:v>
      </x:c>
      <x:c r="B1041" s="14" t="str">
        <x:v>S0087</x:v>
      </x:c>
      <x:c r="C1041" s="14" t="str">
        <x:v>工作日</x:v>
      </x:c>
      <x:c r="D1041" s="14" t="str">
        <x:v>环线2路</x:v>
      </x:c>
      <x:c r="E1041" s="14" t="str">
        <x:v>第一班</x:v>
      </x:c>
      <x:c r="F1041" s="14" t="n">
        <x:v>17</x:v>
      </x:c>
      <x:c r="G1041" s="14" t="str">
        <x:v>16:20</x:v>
      </x:c>
      <x:c r="H1041" s="14" t="str">
        <x:v>研究生宿舍楼</x:v>
      </x:c>
      <x:c r="I1041" s="14" t="str">
        <x:v>否</x:v>
      </x:c>
      <x:c r="J1041" s="14" t="n">
        <x:v>6</x:v>
      </x:c>
      <x:c r="K1041" s="14" t="str">
        <x:v>军体活动中心</x:v>
      </x:c>
      <x:c r="L1041" s="14" t="n">
        <x:v>6</x:v>
      </x:c>
      <x:c r="M1041" s="14" t="str">
        <x:v>16:26</x:v>
      </x:c>
      <x:c r="N1041" s="14" t="str">
        <x:v>否</x:v>
      </x:c>
      <x:c r="O1041" s="14" t="str">
        <x:v>否</x:v>
      </x:c>
      <x:c r="P1041" s="14" t="str">
        <x:v>未提供</x:v>
      </x:c>
      <x:c r="Q1041" s="14" t="str">
        <x:v>未提供</x:v>
      </x:c>
      <x:c r="R1041" s="14" t="str">
        <x:v>预测</x:v>
      </x:c>
      <x:c r="S1041" s="14" t="str">
        <x:v>到站时间为估算值</x:v>
      </x:c>
      <x:c r="T1041" t="str">
        <x:v>研究生宿舍楼发车</x:v>
      </x:c>
    </x:row>
    <x:row r="1042">
      <x:c r="A1042" s="14" t="str">
        <x:v>S0087-07</x:v>
      </x:c>
      <x:c r="B1042" s="14" t="str">
        <x:v>S0087</x:v>
      </x:c>
      <x:c r="C1042" s="14" t="str">
        <x:v>工作日</x:v>
      </x:c>
      <x:c r="D1042" s="14" t="str">
        <x:v>环线2路</x:v>
      </x:c>
      <x:c r="E1042" s="14" t="str">
        <x:v>第一班</x:v>
      </x:c>
      <x:c r="F1042" s="14" t="n">
        <x:v>17</x:v>
      </x:c>
      <x:c r="G1042" s="14" t="str">
        <x:v>16:20</x:v>
      </x:c>
      <x:c r="H1042" s="14" t="str">
        <x:v>研究生宿舍楼</x:v>
      </x:c>
      <x:c r="I1042" s="14" t="str">
        <x:v>否</x:v>
      </x:c>
      <x:c r="J1042" s="14" t="n">
        <x:v>7</x:v>
      </x:c>
      <x:c r="K1042" s="14" t="str">
        <x:v>二食堂</x:v>
      </x:c>
      <x:c r="L1042" s="14" t="n">
        <x:v>8</x:v>
      </x:c>
      <x:c r="M1042" s="14" t="str">
        <x:v>16:28</x:v>
      </x:c>
      <x:c r="N1042" s="14" t="str">
        <x:v>否</x:v>
      </x:c>
      <x:c r="O1042" s="14" t="str">
        <x:v>否</x:v>
      </x:c>
      <x:c r="P1042" s="14" t="str">
        <x:v>未提供</x:v>
      </x:c>
      <x:c r="Q1042" s="14" t="str">
        <x:v>未提供</x:v>
      </x:c>
      <x:c r="R1042" s="14" t="str">
        <x:v>预测</x:v>
      </x:c>
      <x:c r="S1042" s="14" t="str">
        <x:v>到站时间为估算值</x:v>
      </x:c>
      <x:c r="T1042" t="str">
        <x:v>研究生宿舍楼发车</x:v>
      </x:c>
    </x:row>
    <x:row r="1043">
      <x:c r="A1043" s="14" t="str">
        <x:v>S0087-08</x:v>
      </x:c>
      <x:c r="B1043" s="14" t="str">
        <x:v>S0087</x:v>
      </x:c>
      <x:c r="C1043" s="14" t="str">
        <x:v>工作日</x:v>
      </x:c>
      <x:c r="D1043" s="14" t="str">
        <x:v>环线2路</x:v>
      </x:c>
      <x:c r="E1043" s="14" t="str">
        <x:v>第一班</x:v>
      </x:c>
      <x:c r="F1043" s="14" t="n">
        <x:v>17</x:v>
      </x:c>
      <x:c r="G1043" s="14" t="str">
        <x:v>16:20</x:v>
      </x:c>
      <x:c r="H1043" s="14" t="str">
        <x:v>研究生宿舍楼</x:v>
      </x:c>
      <x:c r="I1043" s="14" t="str">
        <x:v>否</x:v>
      </x:c>
      <x:c r="J1043" s="14" t="n">
        <x:v>8</x:v>
      </x:c>
      <x:c r="K1043" s="14" t="str">
        <x:v>5号宿舍楼</x:v>
      </x:c>
      <x:c r="L1043" s="14" t="n">
        <x:v>9</x:v>
      </x:c>
      <x:c r="M1043" s="14" t="str">
        <x:v>16:29</x:v>
      </x:c>
      <x:c r="N1043" s="14" t="str">
        <x:v>否</x:v>
      </x:c>
      <x:c r="O1043" s="14" t="str">
        <x:v>否</x:v>
      </x:c>
      <x:c r="P1043" s="14" t="str">
        <x:v>未提供</x:v>
      </x:c>
      <x:c r="Q1043" s="14" t="str">
        <x:v>未提供</x:v>
      </x:c>
      <x:c r="R1043" s="14" t="str">
        <x:v>预测</x:v>
      </x:c>
      <x:c r="S1043" s="14" t="str">
        <x:v>到站时间为估算值</x:v>
      </x:c>
      <x:c r="T1043" t="str">
        <x:v>研究生宿舍楼发车</x:v>
      </x:c>
    </x:row>
    <x:row r="1044">
      <x:c r="A1044" s="14" t="str">
        <x:v>S0087-09</x:v>
      </x:c>
      <x:c r="B1044" s="14" t="str">
        <x:v>S0087</x:v>
      </x:c>
      <x:c r="C1044" s="14" t="str">
        <x:v>工作日</x:v>
      </x:c>
      <x:c r="D1044" s="14" t="str">
        <x:v>环线2路</x:v>
      </x:c>
      <x:c r="E1044" s="14" t="str">
        <x:v>第一班</x:v>
      </x:c>
      <x:c r="F1044" s="14" t="n">
        <x:v>17</x:v>
      </x:c>
      <x:c r="G1044" s="14" t="str">
        <x:v>16:20</x:v>
      </x:c>
      <x:c r="H1044" s="14" t="str">
        <x:v>研究生宿舍楼</x:v>
      </x:c>
      <x:c r="I1044" s="14" t="str">
        <x:v>否</x:v>
      </x:c>
      <x:c r="J1044" s="14" t="n">
        <x:v>9</x:v>
      </x:c>
      <x:c r="K1044" s="14" t="str">
        <x:v>305教学楼</x:v>
      </x:c>
      <x:c r="L1044" s="14" t="n">
        <x:v>10</x:v>
      </x:c>
      <x:c r="M1044" s="14" t="str">
        <x:v>16:30</x:v>
      </x:c>
      <x:c r="N1044" s="14" t="str">
        <x:v>否</x:v>
      </x:c>
      <x:c r="O1044" s="14" t="str">
        <x:v>否</x:v>
      </x:c>
      <x:c r="P1044" s="14" t="str">
        <x:v>未提供</x:v>
      </x:c>
      <x:c r="Q1044" s="14" t="str">
        <x:v>未提供</x:v>
      </x:c>
      <x:c r="R1044" s="14" t="str">
        <x:v>预测</x:v>
      </x:c>
      <x:c r="S1044" s="14" t="str">
        <x:v>到站时间为估算值</x:v>
      </x:c>
      <x:c r="T1044" t="str">
        <x:v>研究生宿舍楼发车</x:v>
      </x:c>
    </x:row>
    <x:row r="1045">
      <x:c r="A1045" s="14" t="str">
        <x:v>S0087-10</x:v>
      </x:c>
      <x:c r="B1045" s="14" t="str">
        <x:v>S0087</x:v>
      </x:c>
      <x:c r="C1045" s="14" t="str">
        <x:v>工作日</x:v>
      </x:c>
      <x:c r="D1045" s="14" t="str">
        <x:v>环线2路</x:v>
      </x:c>
      <x:c r="E1045" s="14" t="str">
        <x:v>第一班</x:v>
      </x:c>
      <x:c r="F1045" s="14" t="n">
        <x:v>17</x:v>
      </x:c>
      <x:c r="G1045" s="14" t="str">
        <x:v>16:20</x:v>
      </x:c>
      <x:c r="H1045" s="14" t="str">
        <x:v>研究生宿舍楼</x:v>
      </x:c>
      <x:c r="I1045" s="14" t="str">
        <x:v>否</x:v>
      </x:c>
      <x:c r="J1045" s="14" t="n">
        <x:v>10</x:v>
      </x:c>
      <x:c r="K1045" s="14" t="str">
        <x:v>研究生宿舍楼</x:v>
      </x:c>
      <x:c r="L1045" s="14" t="n">
        <x:v>12</x:v>
      </x:c>
      <x:c r="M1045" s="14" t="str">
        <x:v>16:32</x:v>
      </x:c>
      <x:c r="N1045" s="14" t="str">
        <x:v>否</x:v>
      </x:c>
      <x:c r="O1045" s="14" t="str">
        <x:v>是</x:v>
      </x:c>
      <x:c r="P1045" s="14" t="str">
        <x:v>未提供</x:v>
      </x:c>
      <x:c r="Q1045" s="14" t="str">
        <x:v>未提供</x:v>
      </x:c>
      <x:c r="R1045" s="14" t="str">
        <x:v>预测</x:v>
      </x:c>
      <x:c r="S1045" s="14" t="str">
        <x:v>到站时间为估算值</x:v>
      </x:c>
      <x:c r="T1045" t="str">
        <x:v>研究生宿舍楼发车</x:v>
      </x:c>
    </x:row>
    <x:row r="1046">
      <x:c r="A1046" s="14" t="str">
        <x:v>S0088-01</x:v>
      </x:c>
      <x:c r="B1046" s="14" t="str">
        <x:v>S0088</x:v>
      </x:c>
      <x:c r="C1046" s="14" t="str">
        <x:v>工作日</x:v>
      </x:c>
      <x:c r="D1046" s="14" t="str">
        <x:v>环线2路</x:v>
      </x:c>
      <x:c r="E1046" s="14" t="str">
        <x:v>第一班</x:v>
      </x:c>
      <x:c r="F1046" s="14" t="n">
        <x:v>18</x:v>
      </x:c>
      <x:c r="G1046" s="14" t="str">
        <x:v>16:50</x:v>
      </x:c>
      <x:c r="H1046" s="14" t="str">
        <x:v>研究生宿舍楼</x:v>
      </x:c>
      <x:c r="I1046" s="14" t="str">
        <x:v>否</x:v>
      </x:c>
      <x:c r="J1046" s="14" t="n">
        <x:v>1</x:v>
      </x:c>
      <x:c r="K1046" s="14" t="str">
        <x:v>研究生宿舍楼</x:v>
      </x:c>
      <x:c r="L1046" s="14" t="n">
        <x:v>0</x:v>
      </x:c>
      <x:c r="M1046" s="14" t="str">
        <x:v>16:50</x:v>
      </x:c>
      <x:c r="N1046" s="14" t="str">
        <x:v>是</x:v>
      </x:c>
      <x:c r="O1046" s="14" t="str">
        <x:v>否</x:v>
      </x:c>
      <x:c r="P1046" s="14" t="str">
        <x:v>未提供</x:v>
      </x:c>
      <x:c r="Q1046" s="14" t="str">
        <x:v>未提供</x:v>
      </x:c>
      <x:c r="R1046" s="14" t="str">
        <x:v>预测</x:v>
      </x:c>
      <x:c r="S1046" s="14" t="str">
        <x:v>到站时间为估算值</x:v>
      </x:c>
      <x:c r="T1046" t="str">
        <x:v>研究生宿舍楼发车</x:v>
      </x:c>
    </x:row>
    <x:row r="1047">
      <x:c r="A1047" s="14" t="str">
        <x:v>S0088-02</x:v>
      </x:c>
      <x:c r="B1047" s="14" t="str">
        <x:v>S0088</x:v>
      </x:c>
      <x:c r="C1047" s="14" t="str">
        <x:v>工作日</x:v>
      </x:c>
      <x:c r="D1047" s="14" t="str">
        <x:v>环线2路</x:v>
      </x:c>
      <x:c r="E1047" s="14" t="str">
        <x:v>第一班</x:v>
      </x:c>
      <x:c r="F1047" s="14" t="n">
        <x:v>18</x:v>
      </x:c>
      <x:c r="G1047" s="14" t="str">
        <x:v>16:50</x:v>
      </x:c>
      <x:c r="H1047" s="14" t="str">
        <x:v>研究生宿舍楼</x:v>
      </x:c>
      <x:c r="I1047" s="14" t="str">
        <x:v>否</x:v>
      </x:c>
      <x:c r="J1047" s="14" t="n">
        <x:v>2</x:v>
      </x:c>
      <x:c r="K1047" s="14" t="str">
        <x:v>一食堂</x:v>
      </x:c>
      <x:c r="L1047" s="14" t="n">
        <x:v>1</x:v>
      </x:c>
      <x:c r="M1047" s="14" t="str">
        <x:v>16:51</x:v>
      </x:c>
      <x:c r="N1047" s="14" t="str">
        <x:v>否</x:v>
      </x:c>
      <x:c r="O1047" s="14" t="str">
        <x:v>否</x:v>
      </x:c>
      <x:c r="P1047" s="14" t="str">
        <x:v>未提供</x:v>
      </x:c>
      <x:c r="Q1047" s="14" t="str">
        <x:v>未提供</x:v>
      </x:c>
      <x:c r="R1047" s="14" t="str">
        <x:v>预测</x:v>
      </x:c>
      <x:c r="S1047" s="14" t="str">
        <x:v>到站时间为估算值</x:v>
      </x:c>
      <x:c r="T1047" t="str">
        <x:v>研究生宿舍楼发车</x:v>
      </x:c>
    </x:row>
    <x:row r="1048">
      <x:c r="A1048" s="14" t="str">
        <x:v>S0088-03</x:v>
      </x:c>
      <x:c r="B1048" s="14" t="str">
        <x:v>S0088</x:v>
      </x:c>
      <x:c r="C1048" s="14" t="str">
        <x:v>工作日</x:v>
      </x:c>
      <x:c r="D1048" s="14" t="str">
        <x:v>环线2路</x:v>
      </x:c>
      <x:c r="E1048" s="14" t="str">
        <x:v>第一班</x:v>
      </x:c>
      <x:c r="F1048" s="14" t="n">
        <x:v>18</x:v>
      </x:c>
      <x:c r="G1048" s="14" t="str">
        <x:v>16:50</x:v>
      </x:c>
      <x:c r="H1048" s="14" t="str">
        <x:v>研究生宿舍楼</x:v>
      </x:c>
      <x:c r="I1048" s="14" t="str">
        <x:v>否</x:v>
      </x:c>
      <x:c r="J1048" s="14" t="n">
        <x:v>3</x:v>
      </x:c>
      <x:c r="K1048" s="14" t="str">
        <x:v>门诊部</x:v>
      </x:c>
      <x:c r="L1048" s="14" t="n">
        <x:v>2</x:v>
      </x:c>
      <x:c r="M1048" s="14" t="str">
        <x:v>16:52</x:v>
      </x:c>
      <x:c r="N1048" s="14" t="str">
        <x:v>否</x:v>
      </x:c>
      <x:c r="O1048" s="14" t="str">
        <x:v>否</x:v>
      </x:c>
      <x:c r="P1048" s="14" t="str">
        <x:v>未提供</x:v>
      </x:c>
      <x:c r="Q1048" s="14" t="str">
        <x:v>未提供</x:v>
      </x:c>
      <x:c r="R1048" s="14" t="str">
        <x:v>预测</x:v>
      </x:c>
      <x:c r="S1048" s="14" t="str">
        <x:v>到站时间为估算值</x:v>
      </x:c>
      <x:c r="T1048" t="str">
        <x:v>研究生宿舍楼发车</x:v>
      </x:c>
    </x:row>
    <x:row r="1049">
      <x:c r="A1049" s="14" t="str">
        <x:v>S0088-04</x:v>
      </x:c>
      <x:c r="B1049" s="14" t="str">
        <x:v>S0088</x:v>
      </x:c>
      <x:c r="C1049" s="14" t="str">
        <x:v>工作日</x:v>
      </x:c>
      <x:c r="D1049" s="14" t="str">
        <x:v>环线2路</x:v>
      </x:c>
      <x:c r="E1049" s="14" t="str">
        <x:v>第一班</x:v>
      </x:c>
      <x:c r="F1049" s="14" t="n">
        <x:v>18</x:v>
      </x:c>
      <x:c r="G1049" s="14" t="str">
        <x:v>16:50</x:v>
      </x:c>
      <x:c r="H1049" s="14" t="str">
        <x:v>研究生宿舍楼</x:v>
      </x:c>
      <x:c r="I1049" s="14" t="str">
        <x:v>否</x:v>
      </x:c>
      <x:c r="J1049" s="14" t="n">
        <x:v>4</x:v>
      </x:c>
      <x:c r="K1049" s="14" t="str">
        <x:v>1号宿舍楼</x:v>
      </x:c>
      <x:c r="L1049" s="14" t="n">
        <x:v>3</x:v>
      </x:c>
      <x:c r="M1049" s="14" t="str">
        <x:v>16:53</x:v>
      </x:c>
      <x:c r="N1049" s="14" t="str">
        <x:v>否</x:v>
      </x:c>
      <x:c r="O1049" s="14" t="str">
        <x:v>否</x:v>
      </x:c>
      <x:c r="P1049" s="14" t="str">
        <x:v>未提供</x:v>
      </x:c>
      <x:c r="Q1049" s="14" t="str">
        <x:v>未提供</x:v>
      </x:c>
      <x:c r="R1049" s="14" t="str">
        <x:v>预测</x:v>
      </x:c>
      <x:c r="S1049" s="14" t="str">
        <x:v>到站时间为估算值</x:v>
      </x:c>
      <x:c r="T1049" t="str">
        <x:v>研究生宿舍楼发车</x:v>
      </x:c>
    </x:row>
    <x:row r="1050">
      <x:c r="A1050" s="14" t="str">
        <x:v>S0088-05</x:v>
      </x:c>
      <x:c r="B1050" s="14" t="str">
        <x:v>S0088</x:v>
      </x:c>
      <x:c r="C1050" s="14" t="str">
        <x:v>工作日</x:v>
      </x:c>
      <x:c r="D1050" s="14" t="str">
        <x:v>环线2路</x:v>
      </x:c>
      <x:c r="E1050" s="14" t="str">
        <x:v>第一班</x:v>
      </x:c>
      <x:c r="F1050" s="14" t="n">
        <x:v>18</x:v>
      </x:c>
      <x:c r="G1050" s="14" t="str">
        <x:v>16:50</x:v>
      </x:c>
      <x:c r="H1050" s="14" t="str">
        <x:v>研究生宿舍楼</x:v>
      </x:c>
      <x:c r="I1050" s="14" t="str">
        <x:v>否</x:v>
      </x:c>
      <x:c r="J1050" s="14" t="n">
        <x:v>5</x:v>
      </x:c>
      <x:c r="K1050" s="14" t="str">
        <x:v>水上训练中心</x:v>
      </x:c>
      <x:c r="L1050" s="14" t="n">
        <x:v>5</x:v>
      </x:c>
      <x:c r="M1050" s="14" t="str">
        <x:v>16:55</x:v>
      </x:c>
      <x:c r="N1050" s="14" t="str">
        <x:v>否</x:v>
      </x:c>
      <x:c r="O1050" s="14" t="str">
        <x:v>否</x:v>
      </x:c>
      <x:c r="P1050" s="14" t="str">
        <x:v>未提供</x:v>
      </x:c>
      <x:c r="Q1050" s="14" t="str">
        <x:v>未提供</x:v>
      </x:c>
      <x:c r="R1050" s="14" t="str">
        <x:v>预测</x:v>
      </x:c>
      <x:c r="S1050" s="14" t="str">
        <x:v>到站时间为估算值</x:v>
      </x:c>
      <x:c r="T1050" t="str">
        <x:v>研究生宿舍楼发车</x:v>
      </x:c>
    </x:row>
    <x:row r="1051">
      <x:c r="A1051" s="14" t="str">
        <x:v>S0088-06</x:v>
      </x:c>
      <x:c r="B1051" s="14" t="str">
        <x:v>S0088</x:v>
      </x:c>
      <x:c r="C1051" s="14" t="str">
        <x:v>工作日</x:v>
      </x:c>
      <x:c r="D1051" s="14" t="str">
        <x:v>环线2路</x:v>
      </x:c>
      <x:c r="E1051" s="14" t="str">
        <x:v>第一班</x:v>
      </x:c>
      <x:c r="F1051" s="14" t="n">
        <x:v>18</x:v>
      </x:c>
      <x:c r="G1051" s="14" t="str">
        <x:v>16:50</x:v>
      </x:c>
      <x:c r="H1051" s="14" t="str">
        <x:v>研究生宿舍楼</x:v>
      </x:c>
      <x:c r="I1051" s="14" t="str">
        <x:v>否</x:v>
      </x:c>
      <x:c r="J1051" s="14" t="n">
        <x:v>6</x:v>
      </x:c>
      <x:c r="K1051" s="14" t="str">
        <x:v>军体活动中心</x:v>
      </x:c>
      <x:c r="L1051" s="14" t="n">
        <x:v>6</x:v>
      </x:c>
      <x:c r="M1051" s="14" t="str">
        <x:v>16:56</x:v>
      </x:c>
      <x:c r="N1051" s="14" t="str">
        <x:v>否</x:v>
      </x:c>
      <x:c r="O1051" s="14" t="str">
        <x:v>否</x:v>
      </x:c>
      <x:c r="P1051" s="14" t="str">
        <x:v>未提供</x:v>
      </x:c>
      <x:c r="Q1051" s="14" t="str">
        <x:v>未提供</x:v>
      </x:c>
      <x:c r="R1051" s="14" t="str">
        <x:v>预测</x:v>
      </x:c>
      <x:c r="S1051" s="14" t="str">
        <x:v>到站时间为估算值</x:v>
      </x:c>
      <x:c r="T1051" t="str">
        <x:v>研究生宿舍楼发车</x:v>
      </x:c>
    </x:row>
    <x:row r="1052">
      <x:c r="A1052" s="14" t="str">
        <x:v>S0088-07</x:v>
      </x:c>
      <x:c r="B1052" s="14" t="str">
        <x:v>S0088</x:v>
      </x:c>
      <x:c r="C1052" s="14" t="str">
        <x:v>工作日</x:v>
      </x:c>
      <x:c r="D1052" s="14" t="str">
        <x:v>环线2路</x:v>
      </x:c>
      <x:c r="E1052" s="14" t="str">
        <x:v>第一班</x:v>
      </x:c>
      <x:c r="F1052" s="14" t="n">
        <x:v>18</x:v>
      </x:c>
      <x:c r="G1052" s="14" t="str">
        <x:v>16:50</x:v>
      </x:c>
      <x:c r="H1052" s="14" t="str">
        <x:v>研究生宿舍楼</x:v>
      </x:c>
      <x:c r="I1052" s="14" t="str">
        <x:v>否</x:v>
      </x:c>
      <x:c r="J1052" s="14" t="n">
        <x:v>7</x:v>
      </x:c>
      <x:c r="K1052" s="14" t="str">
        <x:v>二食堂</x:v>
      </x:c>
      <x:c r="L1052" s="14" t="n">
        <x:v>8</x:v>
      </x:c>
      <x:c r="M1052" s="14" t="str">
        <x:v>16:58</x:v>
      </x:c>
      <x:c r="N1052" s="14" t="str">
        <x:v>否</x:v>
      </x:c>
      <x:c r="O1052" s="14" t="str">
        <x:v>否</x:v>
      </x:c>
      <x:c r="P1052" s="14" t="str">
        <x:v>未提供</x:v>
      </x:c>
      <x:c r="Q1052" s="14" t="str">
        <x:v>未提供</x:v>
      </x:c>
      <x:c r="R1052" s="14" t="str">
        <x:v>预测</x:v>
      </x:c>
      <x:c r="S1052" s="14" t="str">
        <x:v>到站时间为估算值</x:v>
      </x:c>
      <x:c r="T1052" t="str">
        <x:v>研究生宿舍楼发车</x:v>
      </x:c>
    </x:row>
    <x:row r="1053">
      <x:c r="A1053" s="14" t="str">
        <x:v>S0088-08</x:v>
      </x:c>
      <x:c r="B1053" s="14" t="str">
        <x:v>S0088</x:v>
      </x:c>
      <x:c r="C1053" s="14" t="str">
        <x:v>工作日</x:v>
      </x:c>
      <x:c r="D1053" s="14" t="str">
        <x:v>环线2路</x:v>
      </x:c>
      <x:c r="E1053" s="14" t="str">
        <x:v>第一班</x:v>
      </x:c>
      <x:c r="F1053" s="14" t="n">
        <x:v>18</x:v>
      </x:c>
      <x:c r="G1053" s="14" t="str">
        <x:v>16:50</x:v>
      </x:c>
      <x:c r="H1053" s="14" t="str">
        <x:v>研究生宿舍楼</x:v>
      </x:c>
      <x:c r="I1053" s="14" t="str">
        <x:v>否</x:v>
      </x:c>
      <x:c r="J1053" s="14" t="n">
        <x:v>8</x:v>
      </x:c>
      <x:c r="K1053" s="14" t="str">
        <x:v>5号宿舍楼</x:v>
      </x:c>
      <x:c r="L1053" s="14" t="n">
        <x:v>9</x:v>
      </x:c>
      <x:c r="M1053" s="14" t="str">
        <x:v>16:59</x:v>
      </x:c>
      <x:c r="N1053" s="14" t="str">
        <x:v>否</x:v>
      </x:c>
      <x:c r="O1053" s="14" t="str">
        <x:v>否</x:v>
      </x:c>
      <x:c r="P1053" s="14" t="str">
        <x:v>未提供</x:v>
      </x:c>
      <x:c r="Q1053" s="14" t="str">
        <x:v>未提供</x:v>
      </x:c>
      <x:c r="R1053" s="14" t="str">
        <x:v>预测</x:v>
      </x:c>
      <x:c r="S1053" s="14" t="str">
        <x:v>到站时间为估算值</x:v>
      </x:c>
      <x:c r="T1053" t="str">
        <x:v>研究生宿舍楼发车</x:v>
      </x:c>
    </x:row>
    <x:row r="1054">
      <x:c r="A1054" s="14" t="str">
        <x:v>S0088-09</x:v>
      </x:c>
      <x:c r="B1054" s="14" t="str">
        <x:v>S0088</x:v>
      </x:c>
      <x:c r="C1054" s="14" t="str">
        <x:v>工作日</x:v>
      </x:c>
      <x:c r="D1054" s="14" t="str">
        <x:v>环线2路</x:v>
      </x:c>
      <x:c r="E1054" s="14" t="str">
        <x:v>第一班</x:v>
      </x:c>
      <x:c r="F1054" s="14" t="n">
        <x:v>18</x:v>
      </x:c>
      <x:c r="G1054" s="14" t="str">
        <x:v>16:50</x:v>
      </x:c>
      <x:c r="H1054" s="14" t="str">
        <x:v>研究生宿舍楼</x:v>
      </x:c>
      <x:c r="I1054" s="14" t="str">
        <x:v>否</x:v>
      </x:c>
      <x:c r="J1054" s="14" t="n">
        <x:v>9</x:v>
      </x:c>
      <x:c r="K1054" s="14" t="str">
        <x:v>305教学楼</x:v>
      </x:c>
      <x:c r="L1054" s="14" t="n">
        <x:v>10</x:v>
      </x:c>
      <x:c r="M1054" s="14" t="str">
        <x:v>17:00</x:v>
      </x:c>
      <x:c r="N1054" s="14" t="str">
        <x:v>否</x:v>
      </x:c>
      <x:c r="O1054" s="14" t="str">
        <x:v>否</x:v>
      </x:c>
      <x:c r="P1054" s="14" t="str">
        <x:v>未提供</x:v>
      </x:c>
      <x:c r="Q1054" s="14" t="str">
        <x:v>未提供</x:v>
      </x:c>
      <x:c r="R1054" s="14" t="str">
        <x:v>预测</x:v>
      </x:c>
      <x:c r="S1054" s="14" t="str">
        <x:v>到站时间为估算值</x:v>
      </x:c>
      <x:c r="T1054" t="str">
        <x:v>研究生宿舍楼发车</x:v>
      </x:c>
    </x:row>
    <x:row r="1055">
      <x:c r="A1055" s="14" t="str">
        <x:v>S0088-10</x:v>
      </x:c>
      <x:c r="B1055" s="14" t="str">
        <x:v>S0088</x:v>
      </x:c>
      <x:c r="C1055" s="14" t="str">
        <x:v>工作日</x:v>
      </x:c>
      <x:c r="D1055" s="14" t="str">
        <x:v>环线2路</x:v>
      </x:c>
      <x:c r="E1055" s="14" t="str">
        <x:v>第一班</x:v>
      </x:c>
      <x:c r="F1055" s="14" t="n">
        <x:v>18</x:v>
      </x:c>
      <x:c r="G1055" s="14" t="str">
        <x:v>16:50</x:v>
      </x:c>
      <x:c r="H1055" s="14" t="str">
        <x:v>研究生宿舍楼</x:v>
      </x:c>
      <x:c r="I1055" s="14" t="str">
        <x:v>否</x:v>
      </x:c>
      <x:c r="J1055" s="14" t="n">
        <x:v>10</x:v>
      </x:c>
      <x:c r="K1055" s="14" t="str">
        <x:v>研究生宿舍楼</x:v>
      </x:c>
      <x:c r="L1055" s="14" t="n">
        <x:v>12</x:v>
      </x:c>
      <x:c r="M1055" s="14" t="str">
        <x:v>17:02</x:v>
      </x:c>
      <x:c r="N1055" s="14" t="str">
        <x:v>否</x:v>
      </x:c>
      <x:c r="O1055" s="14" t="str">
        <x:v>是</x:v>
      </x:c>
      <x:c r="P1055" s="14" t="str">
        <x:v>未提供</x:v>
      </x:c>
      <x:c r="Q1055" s="14" t="str">
        <x:v>未提供</x:v>
      </x:c>
      <x:c r="R1055" s="14" t="str">
        <x:v>预测</x:v>
      </x:c>
      <x:c r="S1055" s="14" t="str">
        <x:v>到站时间为估算值</x:v>
      </x:c>
      <x:c r="T1055" t="str">
        <x:v>研究生宿舍楼发车</x:v>
      </x:c>
    </x:row>
    <x:row r="1056">
      <x:c r="A1056" s="14" t="str">
        <x:v>S0089-01</x:v>
      </x:c>
      <x:c r="B1056" s="14" t="str">
        <x:v>S0089</x:v>
      </x:c>
      <x:c r="C1056" s="14" t="str">
        <x:v>工作日</x:v>
      </x:c>
      <x:c r="D1056" s="14" t="str">
        <x:v>环线2路</x:v>
      </x:c>
      <x:c r="E1056" s="14" t="str">
        <x:v>第一班</x:v>
      </x:c>
      <x:c r="F1056" s="14" t="n">
        <x:v>19</x:v>
      </x:c>
      <x:c r="G1056" s="14" t="str">
        <x:v>17:10</x:v>
      </x:c>
      <x:c r="H1056" s="14" t="str">
        <x:v>研究生宿舍楼</x:v>
      </x:c>
      <x:c r="I1056" s="14" t="str">
        <x:v>否</x:v>
      </x:c>
      <x:c r="J1056" s="14" t="n">
        <x:v>1</x:v>
      </x:c>
      <x:c r="K1056" s="14" t="str">
        <x:v>研究生宿舍楼</x:v>
      </x:c>
      <x:c r="L1056" s="14" t="n">
        <x:v>0</x:v>
      </x:c>
      <x:c r="M1056" s="14" t="str">
        <x:v>17:10</x:v>
      </x:c>
      <x:c r="N1056" s="14" t="str">
        <x:v>是</x:v>
      </x:c>
      <x:c r="O1056" s="14" t="str">
        <x:v>否</x:v>
      </x:c>
      <x:c r="P1056" s="14" t="str">
        <x:v>未提供</x:v>
      </x:c>
      <x:c r="Q1056" s="14" t="str">
        <x:v>未提供</x:v>
      </x:c>
      <x:c r="R1056" s="14" t="str">
        <x:v>预测</x:v>
      </x:c>
      <x:c r="S1056" s="14" t="str">
        <x:v>到站时间为估算值</x:v>
      </x:c>
      <x:c r="T1056" t="str">
        <x:v>研究生宿舍楼发车</x:v>
      </x:c>
    </x:row>
    <x:row r="1057">
      <x:c r="A1057" s="14" t="str">
        <x:v>S0089-02</x:v>
      </x:c>
      <x:c r="B1057" s="14" t="str">
        <x:v>S0089</x:v>
      </x:c>
      <x:c r="C1057" s="14" t="str">
        <x:v>工作日</x:v>
      </x:c>
      <x:c r="D1057" s="14" t="str">
        <x:v>环线2路</x:v>
      </x:c>
      <x:c r="E1057" s="14" t="str">
        <x:v>第一班</x:v>
      </x:c>
      <x:c r="F1057" s="14" t="n">
        <x:v>19</x:v>
      </x:c>
      <x:c r="G1057" s="14" t="str">
        <x:v>17:10</x:v>
      </x:c>
      <x:c r="H1057" s="14" t="str">
        <x:v>研究生宿舍楼</x:v>
      </x:c>
      <x:c r="I1057" s="14" t="str">
        <x:v>否</x:v>
      </x:c>
      <x:c r="J1057" s="14" t="n">
        <x:v>2</x:v>
      </x:c>
      <x:c r="K1057" s="14" t="str">
        <x:v>一食堂</x:v>
      </x:c>
      <x:c r="L1057" s="14" t="n">
        <x:v>1</x:v>
      </x:c>
      <x:c r="M1057" s="14" t="str">
        <x:v>17:11</x:v>
      </x:c>
      <x:c r="N1057" s="14" t="str">
        <x:v>否</x:v>
      </x:c>
      <x:c r="O1057" s="14" t="str">
        <x:v>否</x:v>
      </x:c>
      <x:c r="P1057" s="14" t="str">
        <x:v>未提供</x:v>
      </x:c>
      <x:c r="Q1057" s="14" t="str">
        <x:v>未提供</x:v>
      </x:c>
      <x:c r="R1057" s="14" t="str">
        <x:v>预测</x:v>
      </x:c>
      <x:c r="S1057" s="14" t="str">
        <x:v>到站时间为估算值</x:v>
      </x:c>
      <x:c r="T1057" t="str">
        <x:v>研究生宿舍楼发车</x:v>
      </x:c>
    </x:row>
    <x:row r="1058">
      <x:c r="A1058" s="14" t="str">
        <x:v>S0089-03</x:v>
      </x:c>
      <x:c r="B1058" s="14" t="str">
        <x:v>S0089</x:v>
      </x:c>
      <x:c r="C1058" s="14" t="str">
        <x:v>工作日</x:v>
      </x:c>
      <x:c r="D1058" s="14" t="str">
        <x:v>环线2路</x:v>
      </x:c>
      <x:c r="E1058" s="14" t="str">
        <x:v>第一班</x:v>
      </x:c>
      <x:c r="F1058" s="14" t="n">
        <x:v>19</x:v>
      </x:c>
      <x:c r="G1058" s="14" t="str">
        <x:v>17:10</x:v>
      </x:c>
      <x:c r="H1058" s="14" t="str">
        <x:v>研究生宿舍楼</x:v>
      </x:c>
      <x:c r="I1058" s="14" t="str">
        <x:v>否</x:v>
      </x:c>
      <x:c r="J1058" s="14" t="n">
        <x:v>3</x:v>
      </x:c>
      <x:c r="K1058" s="14" t="str">
        <x:v>门诊部</x:v>
      </x:c>
      <x:c r="L1058" s="14" t="n">
        <x:v>2</x:v>
      </x:c>
      <x:c r="M1058" s="14" t="str">
        <x:v>17:12</x:v>
      </x:c>
      <x:c r="N1058" s="14" t="str">
        <x:v>否</x:v>
      </x:c>
      <x:c r="O1058" s="14" t="str">
        <x:v>否</x:v>
      </x:c>
      <x:c r="P1058" s="14" t="str">
        <x:v>未提供</x:v>
      </x:c>
      <x:c r="Q1058" s="14" t="str">
        <x:v>未提供</x:v>
      </x:c>
      <x:c r="R1058" s="14" t="str">
        <x:v>预测</x:v>
      </x:c>
      <x:c r="S1058" s="14" t="str">
        <x:v>到站时间为估算值</x:v>
      </x:c>
      <x:c r="T1058" t="str">
        <x:v>研究生宿舍楼发车</x:v>
      </x:c>
    </x:row>
    <x:row r="1059">
      <x:c r="A1059" s="14" t="str">
        <x:v>S0089-04</x:v>
      </x:c>
      <x:c r="B1059" s="14" t="str">
        <x:v>S0089</x:v>
      </x:c>
      <x:c r="C1059" s="14" t="str">
        <x:v>工作日</x:v>
      </x:c>
      <x:c r="D1059" s="14" t="str">
        <x:v>环线2路</x:v>
      </x:c>
      <x:c r="E1059" s="14" t="str">
        <x:v>第一班</x:v>
      </x:c>
      <x:c r="F1059" s="14" t="n">
        <x:v>19</x:v>
      </x:c>
      <x:c r="G1059" s="14" t="str">
        <x:v>17:10</x:v>
      </x:c>
      <x:c r="H1059" s="14" t="str">
        <x:v>研究生宿舍楼</x:v>
      </x:c>
      <x:c r="I1059" s="14" t="str">
        <x:v>否</x:v>
      </x:c>
      <x:c r="J1059" s="14" t="n">
        <x:v>4</x:v>
      </x:c>
      <x:c r="K1059" s="14" t="str">
        <x:v>1号宿舍楼</x:v>
      </x:c>
      <x:c r="L1059" s="14" t="n">
        <x:v>3</x:v>
      </x:c>
      <x:c r="M1059" s="14" t="str">
        <x:v>17:13</x:v>
      </x:c>
      <x:c r="N1059" s="14" t="str">
        <x:v>否</x:v>
      </x:c>
      <x:c r="O1059" s="14" t="str">
        <x:v>否</x:v>
      </x:c>
      <x:c r="P1059" s="14" t="str">
        <x:v>未提供</x:v>
      </x:c>
      <x:c r="Q1059" s="14" t="str">
        <x:v>未提供</x:v>
      </x:c>
      <x:c r="R1059" s="14" t="str">
        <x:v>预测</x:v>
      </x:c>
      <x:c r="S1059" s="14" t="str">
        <x:v>到站时间为估算值</x:v>
      </x:c>
      <x:c r="T1059" t="str">
        <x:v>研究生宿舍楼发车</x:v>
      </x:c>
    </x:row>
    <x:row r="1060">
      <x:c r="A1060" s="14" t="str">
        <x:v>S0089-05</x:v>
      </x:c>
      <x:c r="B1060" s="14" t="str">
        <x:v>S0089</x:v>
      </x:c>
      <x:c r="C1060" s="14" t="str">
        <x:v>工作日</x:v>
      </x:c>
      <x:c r="D1060" s="14" t="str">
        <x:v>环线2路</x:v>
      </x:c>
      <x:c r="E1060" s="14" t="str">
        <x:v>第一班</x:v>
      </x:c>
      <x:c r="F1060" s="14" t="n">
        <x:v>19</x:v>
      </x:c>
      <x:c r="G1060" s="14" t="str">
        <x:v>17:10</x:v>
      </x:c>
      <x:c r="H1060" s="14" t="str">
        <x:v>研究生宿舍楼</x:v>
      </x:c>
      <x:c r="I1060" s="14" t="str">
        <x:v>否</x:v>
      </x:c>
      <x:c r="J1060" s="14" t="n">
        <x:v>5</x:v>
      </x:c>
      <x:c r="K1060" s="14" t="str">
        <x:v>水上训练中心</x:v>
      </x:c>
      <x:c r="L1060" s="14" t="n">
        <x:v>5</x:v>
      </x:c>
      <x:c r="M1060" s="14" t="str">
        <x:v>17:15</x:v>
      </x:c>
      <x:c r="N1060" s="14" t="str">
        <x:v>否</x:v>
      </x:c>
      <x:c r="O1060" s="14" t="str">
        <x:v>否</x:v>
      </x:c>
      <x:c r="P1060" s="14" t="str">
        <x:v>未提供</x:v>
      </x:c>
      <x:c r="Q1060" s="14" t="str">
        <x:v>未提供</x:v>
      </x:c>
      <x:c r="R1060" s="14" t="str">
        <x:v>预测</x:v>
      </x:c>
      <x:c r="S1060" s="14" t="str">
        <x:v>到站时间为估算值</x:v>
      </x:c>
      <x:c r="T1060" t="str">
        <x:v>研究生宿舍楼发车</x:v>
      </x:c>
    </x:row>
    <x:row r="1061">
      <x:c r="A1061" s="14" t="str">
        <x:v>S0089-06</x:v>
      </x:c>
      <x:c r="B1061" s="14" t="str">
        <x:v>S0089</x:v>
      </x:c>
      <x:c r="C1061" s="14" t="str">
        <x:v>工作日</x:v>
      </x:c>
      <x:c r="D1061" s="14" t="str">
        <x:v>环线2路</x:v>
      </x:c>
      <x:c r="E1061" s="14" t="str">
        <x:v>第一班</x:v>
      </x:c>
      <x:c r="F1061" s="14" t="n">
        <x:v>19</x:v>
      </x:c>
      <x:c r="G1061" s="14" t="str">
        <x:v>17:10</x:v>
      </x:c>
      <x:c r="H1061" s="14" t="str">
        <x:v>研究生宿舍楼</x:v>
      </x:c>
      <x:c r="I1061" s="14" t="str">
        <x:v>否</x:v>
      </x:c>
      <x:c r="J1061" s="14" t="n">
        <x:v>6</x:v>
      </x:c>
      <x:c r="K1061" s="14" t="str">
        <x:v>军体活动中心</x:v>
      </x:c>
      <x:c r="L1061" s="14" t="n">
        <x:v>6</x:v>
      </x:c>
      <x:c r="M1061" s="14" t="str">
        <x:v>17:16</x:v>
      </x:c>
      <x:c r="N1061" s="14" t="str">
        <x:v>否</x:v>
      </x:c>
      <x:c r="O1061" s="14" t="str">
        <x:v>否</x:v>
      </x:c>
      <x:c r="P1061" s="14" t="str">
        <x:v>未提供</x:v>
      </x:c>
      <x:c r="Q1061" s="14" t="str">
        <x:v>未提供</x:v>
      </x:c>
      <x:c r="R1061" s="14" t="str">
        <x:v>预测</x:v>
      </x:c>
      <x:c r="S1061" s="14" t="str">
        <x:v>到站时间为估算值</x:v>
      </x:c>
      <x:c r="T1061" t="str">
        <x:v>研究生宿舍楼发车</x:v>
      </x:c>
    </x:row>
    <x:row r="1062">
      <x:c r="A1062" s="14" t="str">
        <x:v>S0089-07</x:v>
      </x:c>
      <x:c r="B1062" s="14" t="str">
        <x:v>S0089</x:v>
      </x:c>
      <x:c r="C1062" s="14" t="str">
        <x:v>工作日</x:v>
      </x:c>
      <x:c r="D1062" s="14" t="str">
        <x:v>环线2路</x:v>
      </x:c>
      <x:c r="E1062" s="14" t="str">
        <x:v>第一班</x:v>
      </x:c>
      <x:c r="F1062" s="14" t="n">
        <x:v>19</x:v>
      </x:c>
      <x:c r="G1062" s="14" t="str">
        <x:v>17:10</x:v>
      </x:c>
      <x:c r="H1062" s="14" t="str">
        <x:v>研究生宿舍楼</x:v>
      </x:c>
      <x:c r="I1062" s="14" t="str">
        <x:v>否</x:v>
      </x:c>
      <x:c r="J1062" s="14" t="n">
        <x:v>7</x:v>
      </x:c>
      <x:c r="K1062" s="14" t="str">
        <x:v>二食堂</x:v>
      </x:c>
      <x:c r="L1062" s="14" t="n">
        <x:v>8</x:v>
      </x:c>
      <x:c r="M1062" s="14" t="str">
        <x:v>17:18</x:v>
      </x:c>
      <x:c r="N1062" s="14" t="str">
        <x:v>否</x:v>
      </x:c>
      <x:c r="O1062" s="14" t="str">
        <x:v>否</x:v>
      </x:c>
      <x:c r="P1062" s="14" t="str">
        <x:v>未提供</x:v>
      </x:c>
      <x:c r="Q1062" s="14" t="str">
        <x:v>未提供</x:v>
      </x:c>
      <x:c r="R1062" s="14" t="str">
        <x:v>预测</x:v>
      </x:c>
      <x:c r="S1062" s="14" t="str">
        <x:v>到站时间为估算值</x:v>
      </x:c>
      <x:c r="T1062" t="str">
        <x:v>研究生宿舍楼发车</x:v>
      </x:c>
    </x:row>
    <x:row r="1063">
      <x:c r="A1063" s="14" t="str">
        <x:v>S0089-08</x:v>
      </x:c>
      <x:c r="B1063" s="14" t="str">
        <x:v>S0089</x:v>
      </x:c>
      <x:c r="C1063" s="14" t="str">
        <x:v>工作日</x:v>
      </x:c>
      <x:c r="D1063" s="14" t="str">
        <x:v>环线2路</x:v>
      </x:c>
      <x:c r="E1063" s="14" t="str">
        <x:v>第一班</x:v>
      </x:c>
      <x:c r="F1063" s="14" t="n">
        <x:v>19</x:v>
      </x:c>
      <x:c r="G1063" s="14" t="str">
        <x:v>17:10</x:v>
      </x:c>
      <x:c r="H1063" s="14" t="str">
        <x:v>研究生宿舍楼</x:v>
      </x:c>
      <x:c r="I1063" s="14" t="str">
        <x:v>否</x:v>
      </x:c>
      <x:c r="J1063" s="14" t="n">
        <x:v>8</x:v>
      </x:c>
      <x:c r="K1063" s="14" t="str">
        <x:v>5号宿舍楼</x:v>
      </x:c>
      <x:c r="L1063" s="14" t="n">
        <x:v>9</x:v>
      </x:c>
      <x:c r="M1063" s="14" t="str">
        <x:v>17:19</x:v>
      </x:c>
      <x:c r="N1063" s="14" t="str">
        <x:v>否</x:v>
      </x:c>
      <x:c r="O1063" s="14" t="str">
        <x:v>否</x:v>
      </x:c>
      <x:c r="P1063" s="14" t="str">
        <x:v>未提供</x:v>
      </x:c>
      <x:c r="Q1063" s="14" t="str">
        <x:v>未提供</x:v>
      </x:c>
      <x:c r="R1063" s="14" t="str">
        <x:v>预测</x:v>
      </x:c>
      <x:c r="S1063" s="14" t="str">
        <x:v>到站时间为估算值</x:v>
      </x:c>
      <x:c r="T1063" t="str">
        <x:v>研究生宿舍楼发车</x:v>
      </x:c>
    </x:row>
    <x:row r="1064">
      <x:c r="A1064" s="14" t="str">
        <x:v>S0089-09</x:v>
      </x:c>
      <x:c r="B1064" s="14" t="str">
        <x:v>S0089</x:v>
      </x:c>
      <x:c r="C1064" s="14" t="str">
        <x:v>工作日</x:v>
      </x:c>
      <x:c r="D1064" s="14" t="str">
        <x:v>环线2路</x:v>
      </x:c>
      <x:c r="E1064" s="14" t="str">
        <x:v>第一班</x:v>
      </x:c>
      <x:c r="F1064" s="14" t="n">
        <x:v>19</x:v>
      </x:c>
      <x:c r="G1064" s="14" t="str">
        <x:v>17:10</x:v>
      </x:c>
      <x:c r="H1064" s="14" t="str">
        <x:v>研究生宿舍楼</x:v>
      </x:c>
      <x:c r="I1064" s="14" t="str">
        <x:v>否</x:v>
      </x:c>
      <x:c r="J1064" s="14" t="n">
        <x:v>9</x:v>
      </x:c>
      <x:c r="K1064" s="14" t="str">
        <x:v>305教学楼</x:v>
      </x:c>
      <x:c r="L1064" s="14" t="n">
        <x:v>10</x:v>
      </x:c>
      <x:c r="M1064" s="14" t="str">
        <x:v>17:20</x:v>
      </x:c>
      <x:c r="N1064" s="14" t="str">
        <x:v>否</x:v>
      </x:c>
      <x:c r="O1064" s="14" t="str">
        <x:v>否</x:v>
      </x:c>
      <x:c r="P1064" s="14" t="str">
        <x:v>未提供</x:v>
      </x:c>
      <x:c r="Q1064" s="14" t="str">
        <x:v>未提供</x:v>
      </x:c>
      <x:c r="R1064" s="14" t="str">
        <x:v>预测</x:v>
      </x:c>
      <x:c r="S1064" s="14" t="str">
        <x:v>到站时间为估算值</x:v>
      </x:c>
      <x:c r="T1064" t="str">
        <x:v>研究生宿舍楼发车</x:v>
      </x:c>
    </x:row>
    <x:row r="1065">
      <x:c r="A1065" s="14" t="str">
        <x:v>S0089-10</x:v>
      </x:c>
      <x:c r="B1065" s="14" t="str">
        <x:v>S0089</x:v>
      </x:c>
      <x:c r="C1065" s="14" t="str">
        <x:v>工作日</x:v>
      </x:c>
      <x:c r="D1065" s="14" t="str">
        <x:v>环线2路</x:v>
      </x:c>
      <x:c r="E1065" s="14" t="str">
        <x:v>第一班</x:v>
      </x:c>
      <x:c r="F1065" s="14" t="n">
        <x:v>19</x:v>
      </x:c>
      <x:c r="G1065" s="14" t="str">
        <x:v>17:10</x:v>
      </x:c>
      <x:c r="H1065" s="14" t="str">
        <x:v>研究生宿舍楼</x:v>
      </x:c>
      <x:c r="I1065" s="14" t="str">
        <x:v>否</x:v>
      </x:c>
      <x:c r="J1065" s="14" t="n">
        <x:v>10</x:v>
      </x:c>
      <x:c r="K1065" s="14" t="str">
        <x:v>研究生宿舍楼</x:v>
      </x:c>
      <x:c r="L1065" s="14" t="n">
        <x:v>12</x:v>
      </x:c>
      <x:c r="M1065" s="14" t="str">
        <x:v>17:22</x:v>
      </x:c>
      <x:c r="N1065" s="14" t="str">
        <x:v>否</x:v>
      </x:c>
      <x:c r="O1065" s="14" t="str">
        <x:v>是</x:v>
      </x:c>
      <x:c r="P1065" s="14" t="str">
        <x:v>未提供</x:v>
      </x:c>
      <x:c r="Q1065" s="14" t="str">
        <x:v>未提供</x:v>
      </x:c>
      <x:c r="R1065" s="14" t="str">
        <x:v>预测</x:v>
      </x:c>
      <x:c r="S1065" s="14" t="str">
        <x:v>到站时间为估算值</x:v>
      </x:c>
      <x:c r="T1065" t="str">
        <x:v>研究生宿舍楼发车</x:v>
      </x:c>
    </x:row>
    <x:row r="1066">
      <x:c r="A1066" s="14" t="str">
        <x:v>S0090-01</x:v>
      </x:c>
      <x:c r="B1066" s="14" t="str">
        <x:v>S0090</x:v>
      </x:c>
      <x:c r="C1066" s="14" t="str">
        <x:v>工作日</x:v>
      </x:c>
      <x:c r="D1066" s="14" t="str">
        <x:v>环线2路</x:v>
      </x:c>
      <x:c r="E1066" s="14" t="str">
        <x:v>第二班</x:v>
      </x:c>
      <x:c r="F1066" s="14" t="n">
        <x:v>1</x:v>
      </x:c>
      <x:c r="G1066" s="14" t="str">
        <x:v>14:25</x:v>
      </x:c>
      <x:c r="H1066" s="14" t="str">
        <x:v>研究生宿舍楼</x:v>
      </x:c>
      <x:c r="I1066" s="14" t="str">
        <x:v>否</x:v>
      </x:c>
      <x:c r="J1066" s="14" t="n">
        <x:v>1</x:v>
      </x:c>
      <x:c r="K1066" s="14" t="str">
        <x:v>研究生宿舍楼</x:v>
      </x:c>
      <x:c r="L1066" s="14" t="n">
        <x:v>0</x:v>
      </x:c>
      <x:c r="M1066" s="14" t="str">
        <x:v>14:25</x:v>
      </x:c>
      <x:c r="N1066" s="14" t="str">
        <x:v>是</x:v>
      </x:c>
      <x:c r="O1066" s="14" t="str">
        <x:v>否</x:v>
      </x:c>
      <x:c r="P1066" s="14" t="str">
        <x:v>未提供</x:v>
      </x:c>
      <x:c r="Q1066" s="14" t="str">
        <x:v>未提供</x:v>
      </x:c>
      <x:c r="R1066" s="14" t="str">
        <x:v>预测</x:v>
      </x:c>
      <x:c r="S1066" s="14" t="str">
        <x:v>到站时间为估算值</x:v>
      </x:c>
      <x:c r="T1066" t="str">
        <x:v>研究生宿舍楼发车</x:v>
      </x:c>
    </x:row>
    <x:row r="1067">
      <x:c r="A1067" s="14" t="str">
        <x:v>S0090-02</x:v>
      </x:c>
      <x:c r="B1067" s="14" t="str">
        <x:v>S0090</x:v>
      </x:c>
      <x:c r="C1067" s="14" t="str">
        <x:v>工作日</x:v>
      </x:c>
      <x:c r="D1067" s="14" t="str">
        <x:v>环线2路</x:v>
      </x:c>
      <x:c r="E1067" s="14" t="str">
        <x:v>第二班</x:v>
      </x:c>
      <x:c r="F1067" s="14" t="n">
        <x:v>1</x:v>
      </x:c>
      <x:c r="G1067" s="14" t="str">
        <x:v>14:25</x:v>
      </x:c>
      <x:c r="H1067" s="14" t="str">
        <x:v>研究生宿舍楼</x:v>
      </x:c>
      <x:c r="I1067" s="14" t="str">
        <x:v>否</x:v>
      </x:c>
      <x:c r="J1067" s="14" t="n">
        <x:v>2</x:v>
      </x:c>
      <x:c r="K1067" s="14" t="str">
        <x:v>一食堂</x:v>
      </x:c>
      <x:c r="L1067" s="14" t="n">
        <x:v>1</x:v>
      </x:c>
      <x:c r="M1067" s="14" t="str">
        <x:v>14:26</x:v>
      </x:c>
      <x:c r="N1067" s="14" t="str">
        <x:v>否</x:v>
      </x:c>
      <x:c r="O1067" s="14" t="str">
        <x:v>否</x:v>
      </x:c>
      <x:c r="P1067" s="14" t="str">
        <x:v>未提供</x:v>
      </x:c>
      <x:c r="Q1067" s="14" t="str">
        <x:v>未提供</x:v>
      </x:c>
      <x:c r="R1067" s="14" t="str">
        <x:v>预测</x:v>
      </x:c>
      <x:c r="S1067" s="14" t="str">
        <x:v>到站时间为估算值</x:v>
      </x:c>
      <x:c r="T1067" t="str">
        <x:v>研究生宿舍楼发车</x:v>
      </x:c>
    </x:row>
    <x:row r="1068">
      <x:c r="A1068" s="14" t="str">
        <x:v>S0090-03</x:v>
      </x:c>
      <x:c r="B1068" s="14" t="str">
        <x:v>S0090</x:v>
      </x:c>
      <x:c r="C1068" s="14" t="str">
        <x:v>工作日</x:v>
      </x:c>
      <x:c r="D1068" s="14" t="str">
        <x:v>环线2路</x:v>
      </x:c>
      <x:c r="E1068" s="14" t="str">
        <x:v>第二班</x:v>
      </x:c>
      <x:c r="F1068" s="14" t="n">
        <x:v>1</x:v>
      </x:c>
      <x:c r="G1068" s="14" t="str">
        <x:v>14:25</x:v>
      </x:c>
      <x:c r="H1068" s="14" t="str">
        <x:v>研究生宿舍楼</x:v>
      </x:c>
      <x:c r="I1068" s="14" t="str">
        <x:v>否</x:v>
      </x:c>
      <x:c r="J1068" s="14" t="n">
        <x:v>3</x:v>
      </x:c>
      <x:c r="K1068" s="14" t="str">
        <x:v>门诊部</x:v>
      </x:c>
      <x:c r="L1068" s="14" t="n">
        <x:v>2</x:v>
      </x:c>
      <x:c r="M1068" s="14" t="str">
        <x:v>14:27</x:v>
      </x:c>
      <x:c r="N1068" s="14" t="str">
        <x:v>否</x:v>
      </x:c>
      <x:c r="O1068" s="14" t="str">
        <x:v>否</x:v>
      </x:c>
      <x:c r="P1068" s="14" t="str">
        <x:v>未提供</x:v>
      </x:c>
      <x:c r="Q1068" s="14" t="str">
        <x:v>未提供</x:v>
      </x:c>
      <x:c r="R1068" s="14" t="str">
        <x:v>预测</x:v>
      </x:c>
      <x:c r="S1068" s="14" t="str">
        <x:v>到站时间为估算值</x:v>
      </x:c>
      <x:c r="T1068" t="str">
        <x:v>研究生宿舍楼发车</x:v>
      </x:c>
    </x:row>
    <x:row r="1069">
      <x:c r="A1069" s="14" t="str">
        <x:v>S0090-04</x:v>
      </x:c>
      <x:c r="B1069" s="14" t="str">
        <x:v>S0090</x:v>
      </x:c>
      <x:c r="C1069" s="14" t="str">
        <x:v>工作日</x:v>
      </x:c>
      <x:c r="D1069" s="14" t="str">
        <x:v>环线2路</x:v>
      </x:c>
      <x:c r="E1069" s="14" t="str">
        <x:v>第二班</x:v>
      </x:c>
      <x:c r="F1069" s="14" t="n">
        <x:v>1</x:v>
      </x:c>
      <x:c r="G1069" s="14" t="str">
        <x:v>14:25</x:v>
      </x:c>
      <x:c r="H1069" s="14" t="str">
        <x:v>研究生宿舍楼</x:v>
      </x:c>
      <x:c r="I1069" s="14" t="str">
        <x:v>否</x:v>
      </x:c>
      <x:c r="J1069" s="14" t="n">
        <x:v>4</x:v>
      </x:c>
      <x:c r="K1069" s="14" t="str">
        <x:v>1号宿舍楼</x:v>
      </x:c>
      <x:c r="L1069" s="14" t="n">
        <x:v>3</x:v>
      </x:c>
      <x:c r="M1069" s="14" t="str">
        <x:v>14:28</x:v>
      </x:c>
      <x:c r="N1069" s="14" t="str">
        <x:v>否</x:v>
      </x:c>
      <x:c r="O1069" s="14" t="str">
        <x:v>否</x:v>
      </x:c>
      <x:c r="P1069" s="14" t="str">
        <x:v>未提供</x:v>
      </x:c>
      <x:c r="Q1069" s="14" t="str">
        <x:v>未提供</x:v>
      </x:c>
      <x:c r="R1069" s="14" t="str">
        <x:v>预测</x:v>
      </x:c>
      <x:c r="S1069" s="14" t="str">
        <x:v>到站时间为估算值</x:v>
      </x:c>
      <x:c r="T1069" t="str">
        <x:v>研究生宿舍楼发车</x:v>
      </x:c>
    </x:row>
    <x:row r="1070">
      <x:c r="A1070" s="14" t="str">
        <x:v>S0090-05</x:v>
      </x:c>
      <x:c r="B1070" s="14" t="str">
        <x:v>S0090</x:v>
      </x:c>
      <x:c r="C1070" s="14" t="str">
        <x:v>工作日</x:v>
      </x:c>
      <x:c r="D1070" s="14" t="str">
        <x:v>环线2路</x:v>
      </x:c>
      <x:c r="E1070" s="14" t="str">
        <x:v>第二班</x:v>
      </x:c>
      <x:c r="F1070" s="14" t="n">
        <x:v>1</x:v>
      </x:c>
      <x:c r="G1070" s="14" t="str">
        <x:v>14:25</x:v>
      </x:c>
      <x:c r="H1070" s="14" t="str">
        <x:v>研究生宿舍楼</x:v>
      </x:c>
      <x:c r="I1070" s="14" t="str">
        <x:v>否</x:v>
      </x:c>
      <x:c r="J1070" s="14" t="n">
        <x:v>5</x:v>
      </x:c>
      <x:c r="K1070" s="14" t="str">
        <x:v>水上训练中心</x:v>
      </x:c>
      <x:c r="L1070" s="14" t="n">
        <x:v>5</x:v>
      </x:c>
      <x:c r="M1070" s="14" t="str">
        <x:v>14:30</x:v>
      </x:c>
      <x:c r="N1070" s="14" t="str">
        <x:v>否</x:v>
      </x:c>
      <x:c r="O1070" s="14" t="str">
        <x:v>否</x:v>
      </x:c>
      <x:c r="P1070" s="14" t="str">
        <x:v>未提供</x:v>
      </x:c>
      <x:c r="Q1070" s="14" t="str">
        <x:v>未提供</x:v>
      </x:c>
      <x:c r="R1070" s="14" t="str">
        <x:v>预测</x:v>
      </x:c>
      <x:c r="S1070" s="14" t="str">
        <x:v>到站时间为估算值</x:v>
      </x:c>
      <x:c r="T1070" t="str">
        <x:v>研究生宿舍楼发车</x:v>
      </x:c>
    </x:row>
    <x:row r="1071">
      <x:c r="A1071" s="14" t="str">
        <x:v>S0090-06</x:v>
      </x:c>
      <x:c r="B1071" s="14" t="str">
        <x:v>S0090</x:v>
      </x:c>
      <x:c r="C1071" s="14" t="str">
        <x:v>工作日</x:v>
      </x:c>
      <x:c r="D1071" s="14" t="str">
        <x:v>环线2路</x:v>
      </x:c>
      <x:c r="E1071" s="14" t="str">
        <x:v>第二班</x:v>
      </x:c>
      <x:c r="F1071" s="14" t="n">
        <x:v>1</x:v>
      </x:c>
      <x:c r="G1071" s="14" t="str">
        <x:v>14:25</x:v>
      </x:c>
      <x:c r="H1071" s="14" t="str">
        <x:v>研究生宿舍楼</x:v>
      </x:c>
      <x:c r="I1071" s="14" t="str">
        <x:v>否</x:v>
      </x:c>
      <x:c r="J1071" s="14" t="n">
        <x:v>6</x:v>
      </x:c>
      <x:c r="K1071" s="14" t="str">
        <x:v>军体活动中心</x:v>
      </x:c>
      <x:c r="L1071" s="14" t="n">
        <x:v>6</x:v>
      </x:c>
      <x:c r="M1071" s="14" t="str">
        <x:v>14:31</x:v>
      </x:c>
      <x:c r="N1071" s="14" t="str">
        <x:v>否</x:v>
      </x:c>
      <x:c r="O1071" s="14" t="str">
        <x:v>否</x:v>
      </x:c>
      <x:c r="P1071" s="14" t="str">
        <x:v>未提供</x:v>
      </x:c>
      <x:c r="Q1071" s="14" t="str">
        <x:v>未提供</x:v>
      </x:c>
      <x:c r="R1071" s="14" t="str">
        <x:v>预测</x:v>
      </x:c>
      <x:c r="S1071" s="14" t="str">
        <x:v>到站时间为估算值</x:v>
      </x:c>
      <x:c r="T1071" t="str">
        <x:v>研究生宿舍楼发车</x:v>
      </x:c>
    </x:row>
    <x:row r="1072">
      <x:c r="A1072" s="14" t="str">
        <x:v>S0090-07</x:v>
      </x:c>
      <x:c r="B1072" s="14" t="str">
        <x:v>S0090</x:v>
      </x:c>
      <x:c r="C1072" s="14" t="str">
        <x:v>工作日</x:v>
      </x:c>
      <x:c r="D1072" s="14" t="str">
        <x:v>环线2路</x:v>
      </x:c>
      <x:c r="E1072" s="14" t="str">
        <x:v>第二班</x:v>
      </x:c>
      <x:c r="F1072" s="14" t="n">
        <x:v>1</x:v>
      </x:c>
      <x:c r="G1072" s="14" t="str">
        <x:v>14:25</x:v>
      </x:c>
      <x:c r="H1072" s="14" t="str">
        <x:v>研究生宿舍楼</x:v>
      </x:c>
      <x:c r="I1072" s="14" t="str">
        <x:v>否</x:v>
      </x:c>
      <x:c r="J1072" s="14" t="n">
        <x:v>7</x:v>
      </x:c>
      <x:c r="K1072" s="14" t="str">
        <x:v>二食堂</x:v>
      </x:c>
      <x:c r="L1072" s="14" t="n">
        <x:v>8</x:v>
      </x:c>
      <x:c r="M1072" s="14" t="str">
        <x:v>14:33</x:v>
      </x:c>
      <x:c r="N1072" s="14" t="str">
        <x:v>否</x:v>
      </x:c>
      <x:c r="O1072" s="14" t="str">
        <x:v>否</x:v>
      </x:c>
      <x:c r="P1072" s="14" t="str">
        <x:v>未提供</x:v>
      </x:c>
      <x:c r="Q1072" s="14" t="str">
        <x:v>未提供</x:v>
      </x:c>
      <x:c r="R1072" s="14" t="str">
        <x:v>预测</x:v>
      </x:c>
      <x:c r="S1072" s="14" t="str">
        <x:v>到站时间为估算值</x:v>
      </x:c>
      <x:c r="T1072" t="str">
        <x:v>研究生宿舍楼发车</x:v>
      </x:c>
    </x:row>
    <x:row r="1073">
      <x:c r="A1073" s="14" t="str">
        <x:v>S0090-08</x:v>
      </x:c>
      <x:c r="B1073" s="14" t="str">
        <x:v>S0090</x:v>
      </x:c>
      <x:c r="C1073" s="14" t="str">
        <x:v>工作日</x:v>
      </x:c>
      <x:c r="D1073" s="14" t="str">
        <x:v>环线2路</x:v>
      </x:c>
      <x:c r="E1073" s="14" t="str">
        <x:v>第二班</x:v>
      </x:c>
      <x:c r="F1073" s="14" t="n">
        <x:v>1</x:v>
      </x:c>
      <x:c r="G1073" s="14" t="str">
        <x:v>14:25</x:v>
      </x:c>
      <x:c r="H1073" s="14" t="str">
        <x:v>研究生宿舍楼</x:v>
      </x:c>
      <x:c r="I1073" s="14" t="str">
        <x:v>否</x:v>
      </x:c>
      <x:c r="J1073" s="14" t="n">
        <x:v>8</x:v>
      </x:c>
      <x:c r="K1073" s="14" t="str">
        <x:v>5号宿舍楼</x:v>
      </x:c>
      <x:c r="L1073" s="14" t="n">
        <x:v>9</x:v>
      </x:c>
      <x:c r="M1073" s="14" t="str">
        <x:v>14:34</x:v>
      </x:c>
      <x:c r="N1073" s="14" t="str">
        <x:v>否</x:v>
      </x:c>
      <x:c r="O1073" s="14" t="str">
        <x:v>否</x:v>
      </x:c>
      <x:c r="P1073" s="14" t="str">
        <x:v>未提供</x:v>
      </x:c>
      <x:c r="Q1073" s="14" t="str">
        <x:v>未提供</x:v>
      </x:c>
      <x:c r="R1073" s="14" t="str">
        <x:v>预测</x:v>
      </x:c>
      <x:c r="S1073" s="14" t="str">
        <x:v>到站时间为估算值</x:v>
      </x:c>
      <x:c r="T1073" t="str">
        <x:v>研究生宿舍楼发车</x:v>
      </x:c>
    </x:row>
    <x:row r="1074">
      <x:c r="A1074" s="14" t="str">
        <x:v>S0090-09</x:v>
      </x:c>
      <x:c r="B1074" s="14" t="str">
        <x:v>S0090</x:v>
      </x:c>
      <x:c r="C1074" s="14" t="str">
        <x:v>工作日</x:v>
      </x:c>
      <x:c r="D1074" s="14" t="str">
        <x:v>环线2路</x:v>
      </x:c>
      <x:c r="E1074" s="14" t="str">
        <x:v>第二班</x:v>
      </x:c>
      <x:c r="F1074" s="14" t="n">
        <x:v>1</x:v>
      </x:c>
      <x:c r="G1074" s="14" t="str">
        <x:v>14:25</x:v>
      </x:c>
      <x:c r="H1074" s="14" t="str">
        <x:v>研究生宿舍楼</x:v>
      </x:c>
      <x:c r="I1074" s="14" t="str">
        <x:v>否</x:v>
      </x:c>
      <x:c r="J1074" s="14" t="n">
        <x:v>9</x:v>
      </x:c>
      <x:c r="K1074" s="14" t="str">
        <x:v>305教学楼</x:v>
      </x:c>
      <x:c r="L1074" s="14" t="n">
        <x:v>10</x:v>
      </x:c>
      <x:c r="M1074" s="14" t="str">
        <x:v>14:35</x:v>
      </x:c>
      <x:c r="N1074" s="14" t="str">
        <x:v>否</x:v>
      </x:c>
      <x:c r="O1074" s="14" t="str">
        <x:v>否</x:v>
      </x:c>
      <x:c r="P1074" s="14" t="str">
        <x:v>未提供</x:v>
      </x:c>
      <x:c r="Q1074" s="14" t="str">
        <x:v>未提供</x:v>
      </x:c>
      <x:c r="R1074" s="14" t="str">
        <x:v>预测</x:v>
      </x:c>
      <x:c r="S1074" s="14" t="str">
        <x:v>到站时间为估算值</x:v>
      </x:c>
      <x:c r="T1074" t="str">
        <x:v>研究生宿舍楼发车</x:v>
      </x:c>
    </x:row>
    <x:row r="1075">
      <x:c r="A1075" s="14" t="str">
        <x:v>S0090-10</x:v>
      </x:c>
      <x:c r="B1075" s="14" t="str">
        <x:v>S0090</x:v>
      </x:c>
      <x:c r="C1075" s="14" t="str">
        <x:v>工作日</x:v>
      </x:c>
      <x:c r="D1075" s="14" t="str">
        <x:v>环线2路</x:v>
      </x:c>
      <x:c r="E1075" s="14" t="str">
        <x:v>第二班</x:v>
      </x:c>
      <x:c r="F1075" s="14" t="n">
        <x:v>1</x:v>
      </x:c>
      <x:c r="G1075" s="14" t="str">
        <x:v>14:25</x:v>
      </x:c>
      <x:c r="H1075" s="14" t="str">
        <x:v>研究生宿舍楼</x:v>
      </x:c>
      <x:c r="I1075" s="14" t="str">
        <x:v>否</x:v>
      </x:c>
      <x:c r="J1075" s="14" t="n">
        <x:v>10</x:v>
      </x:c>
      <x:c r="K1075" s="14" t="str">
        <x:v>研究生宿舍楼</x:v>
      </x:c>
      <x:c r="L1075" s="14" t="n">
        <x:v>12</x:v>
      </x:c>
      <x:c r="M1075" s="14" t="str">
        <x:v>14:37</x:v>
      </x:c>
      <x:c r="N1075" s="14" t="str">
        <x:v>否</x:v>
      </x:c>
      <x:c r="O1075" s="14" t="str">
        <x:v>是</x:v>
      </x:c>
      <x:c r="P1075" s="14" t="str">
        <x:v>未提供</x:v>
      </x:c>
      <x:c r="Q1075" s="14" t="str">
        <x:v>未提供</x:v>
      </x:c>
      <x:c r="R1075" s="14" t="str">
        <x:v>预测</x:v>
      </x:c>
      <x:c r="S1075" s="14" t="str">
        <x:v>到站时间为估算值</x:v>
      </x:c>
      <x:c r="T1075" t="str">
        <x:v>研究生宿舍楼发车</x:v>
      </x:c>
    </x:row>
    <x:row r="1076">
      <x:c r="A1076" s="14" t="str">
        <x:v>S0091-01</x:v>
      </x:c>
      <x:c r="B1076" s="14" t="str">
        <x:v>S0091</x:v>
      </x:c>
      <x:c r="C1076" s="14" t="str">
        <x:v>工作日</x:v>
      </x:c>
      <x:c r="D1076" s="14" t="str">
        <x:v>环线2路</x:v>
      </x:c>
      <x:c r="E1076" s="14" t="str">
        <x:v>第二班</x:v>
      </x:c>
      <x:c r="F1076" s="14" t="n">
        <x:v>2</x:v>
      </x:c>
      <x:c r="G1076" s="14" t="str">
        <x:v>14:40</x:v>
      </x:c>
      <x:c r="H1076" s="14" t="str">
        <x:v>研究生宿舍楼</x:v>
      </x:c>
      <x:c r="I1076" s="14" t="str">
        <x:v>否</x:v>
      </x:c>
      <x:c r="J1076" s="14" t="n">
        <x:v>1</x:v>
      </x:c>
      <x:c r="K1076" s="14" t="str">
        <x:v>研究生宿舍楼</x:v>
      </x:c>
      <x:c r="L1076" s="14" t="n">
        <x:v>0</x:v>
      </x:c>
      <x:c r="M1076" s="14" t="str">
        <x:v>14:40</x:v>
      </x:c>
      <x:c r="N1076" s="14" t="str">
        <x:v>是</x:v>
      </x:c>
      <x:c r="O1076" s="14" t="str">
        <x:v>否</x:v>
      </x:c>
      <x:c r="P1076" s="14" t="str">
        <x:v>未提供</x:v>
      </x:c>
      <x:c r="Q1076" s="14" t="str">
        <x:v>未提供</x:v>
      </x:c>
      <x:c r="R1076" s="14" t="str">
        <x:v>预测</x:v>
      </x:c>
      <x:c r="S1076" s="14" t="str">
        <x:v>到站时间为估算值</x:v>
      </x:c>
      <x:c r="T1076" t="str">
        <x:v>研究生宿舍楼发车</x:v>
      </x:c>
    </x:row>
    <x:row r="1077">
      <x:c r="A1077" s="14" t="str">
        <x:v>S0091-02</x:v>
      </x:c>
      <x:c r="B1077" s="14" t="str">
        <x:v>S0091</x:v>
      </x:c>
      <x:c r="C1077" s="14" t="str">
        <x:v>工作日</x:v>
      </x:c>
      <x:c r="D1077" s="14" t="str">
        <x:v>环线2路</x:v>
      </x:c>
      <x:c r="E1077" s="14" t="str">
        <x:v>第二班</x:v>
      </x:c>
      <x:c r="F1077" s="14" t="n">
        <x:v>2</x:v>
      </x:c>
      <x:c r="G1077" s="14" t="str">
        <x:v>14:40</x:v>
      </x:c>
      <x:c r="H1077" s="14" t="str">
        <x:v>研究生宿舍楼</x:v>
      </x:c>
      <x:c r="I1077" s="14" t="str">
        <x:v>否</x:v>
      </x:c>
      <x:c r="J1077" s="14" t="n">
        <x:v>2</x:v>
      </x:c>
      <x:c r="K1077" s="14" t="str">
        <x:v>一食堂</x:v>
      </x:c>
      <x:c r="L1077" s="14" t="n">
        <x:v>1</x:v>
      </x:c>
      <x:c r="M1077" s="14" t="str">
        <x:v>14:41</x:v>
      </x:c>
      <x:c r="N1077" s="14" t="str">
        <x:v>否</x:v>
      </x:c>
      <x:c r="O1077" s="14" t="str">
        <x:v>否</x:v>
      </x:c>
      <x:c r="P1077" s="14" t="str">
        <x:v>未提供</x:v>
      </x:c>
      <x:c r="Q1077" s="14" t="str">
        <x:v>未提供</x:v>
      </x:c>
      <x:c r="R1077" s="14" t="str">
        <x:v>预测</x:v>
      </x:c>
      <x:c r="S1077" s="14" t="str">
        <x:v>到站时间为估算值</x:v>
      </x:c>
      <x:c r="T1077" t="str">
        <x:v>研究生宿舍楼发车</x:v>
      </x:c>
    </x:row>
    <x:row r="1078">
      <x:c r="A1078" s="14" t="str">
        <x:v>S0091-03</x:v>
      </x:c>
      <x:c r="B1078" s="14" t="str">
        <x:v>S0091</x:v>
      </x:c>
      <x:c r="C1078" s="14" t="str">
        <x:v>工作日</x:v>
      </x:c>
      <x:c r="D1078" s="14" t="str">
        <x:v>环线2路</x:v>
      </x:c>
      <x:c r="E1078" s="14" t="str">
        <x:v>第二班</x:v>
      </x:c>
      <x:c r="F1078" s="14" t="n">
        <x:v>2</x:v>
      </x:c>
      <x:c r="G1078" s="14" t="str">
        <x:v>14:40</x:v>
      </x:c>
      <x:c r="H1078" s="14" t="str">
        <x:v>研究生宿舍楼</x:v>
      </x:c>
      <x:c r="I1078" s="14" t="str">
        <x:v>否</x:v>
      </x:c>
      <x:c r="J1078" s="14" t="n">
        <x:v>3</x:v>
      </x:c>
      <x:c r="K1078" s="14" t="str">
        <x:v>门诊部</x:v>
      </x:c>
      <x:c r="L1078" s="14" t="n">
        <x:v>2</x:v>
      </x:c>
      <x:c r="M1078" s="14" t="str">
        <x:v>14:42</x:v>
      </x:c>
      <x:c r="N1078" s="14" t="str">
        <x:v>否</x:v>
      </x:c>
      <x:c r="O1078" s="14" t="str">
        <x:v>否</x:v>
      </x:c>
      <x:c r="P1078" s="14" t="str">
        <x:v>未提供</x:v>
      </x:c>
      <x:c r="Q1078" s="14" t="str">
        <x:v>未提供</x:v>
      </x:c>
      <x:c r="R1078" s="14" t="str">
        <x:v>预测</x:v>
      </x:c>
      <x:c r="S1078" s="14" t="str">
        <x:v>到站时间为估算值</x:v>
      </x:c>
      <x:c r="T1078" t="str">
        <x:v>研究生宿舍楼发车</x:v>
      </x:c>
    </x:row>
    <x:row r="1079">
      <x:c r="A1079" s="14" t="str">
        <x:v>S0091-04</x:v>
      </x:c>
      <x:c r="B1079" s="14" t="str">
        <x:v>S0091</x:v>
      </x:c>
      <x:c r="C1079" s="14" t="str">
        <x:v>工作日</x:v>
      </x:c>
      <x:c r="D1079" s="14" t="str">
        <x:v>环线2路</x:v>
      </x:c>
      <x:c r="E1079" s="14" t="str">
        <x:v>第二班</x:v>
      </x:c>
      <x:c r="F1079" s="14" t="n">
        <x:v>2</x:v>
      </x:c>
      <x:c r="G1079" s="14" t="str">
        <x:v>14:40</x:v>
      </x:c>
      <x:c r="H1079" s="14" t="str">
        <x:v>研究生宿舍楼</x:v>
      </x:c>
      <x:c r="I1079" s="14" t="str">
        <x:v>否</x:v>
      </x:c>
      <x:c r="J1079" s="14" t="n">
        <x:v>4</x:v>
      </x:c>
      <x:c r="K1079" s="14" t="str">
        <x:v>1号宿舍楼</x:v>
      </x:c>
      <x:c r="L1079" s="14" t="n">
        <x:v>3</x:v>
      </x:c>
      <x:c r="M1079" s="14" t="str">
        <x:v>14:43</x:v>
      </x:c>
      <x:c r="N1079" s="14" t="str">
        <x:v>否</x:v>
      </x:c>
      <x:c r="O1079" s="14" t="str">
        <x:v>否</x:v>
      </x:c>
      <x:c r="P1079" s="14" t="str">
        <x:v>未提供</x:v>
      </x:c>
      <x:c r="Q1079" s="14" t="str">
        <x:v>未提供</x:v>
      </x:c>
      <x:c r="R1079" s="14" t="str">
        <x:v>预测</x:v>
      </x:c>
      <x:c r="S1079" s="14" t="str">
        <x:v>到站时间为估算值</x:v>
      </x:c>
      <x:c r="T1079" t="str">
        <x:v>研究生宿舍楼发车</x:v>
      </x:c>
    </x:row>
    <x:row r="1080">
      <x:c r="A1080" s="14" t="str">
        <x:v>S0091-05</x:v>
      </x:c>
      <x:c r="B1080" s="14" t="str">
        <x:v>S0091</x:v>
      </x:c>
      <x:c r="C1080" s="14" t="str">
        <x:v>工作日</x:v>
      </x:c>
      <x:c r="D1080" s="14" t="str">
        <x:v>环线2路</x:v>
      </x:c>
      <x:c r="E1080" s="14" t="str">
        <x:v>第二班</x:v>
      </x:c>
      <x:c r="F1080" s="14" t="n">
        <x:v>2</x:v>
      </x:c>
      <x:c r="G1080" s="14" t="str">
        <x:v>14:40</x:v>
      </x:c>
      <x:c r="H1080" s="14" t="str">
        <x:v>研究生宿舍楼</x:v>
      </x:c>
      <x:c r="I1080" s="14" t="str">
        <x:v>否</x:v>
      </x:c>
      <x:c r="J1080" s="14" t="n">
        <x:v>5</x:v>
      </x:c>
      <x:c r="K1080" s="14" t="str">
        <x:v>水上训练中心</x:v>
      </x:c>
      <x:c r="L1080" s="14" t="n">
        <x:v>5</x:v>
      </x:c>
      <x:c r="M1080" s="14" t="str">
        <x:v>14:45</x:v>
      </x:c>
      <x:c r="N1080" s="14" t="str">
        <x:v>否</x:v>
      </x:c>
      <x:c r="O1080" s="14" t="str">
        <x:v>否</x:v>
      </x:c>
      <x:c r="P1080" s="14" t="str">
        <x:v>未提供</x:v>
      </x:c>
      <x:c r="Q1080" s="14" t="str">
        <x:v>未提供</x:v>
      </x:c>
      <x:c r="R1080" s="14" t="str">
        <x:v>预测</x:v>
      </x:c>
      <x:c r="S1080" s="14" t="str">
        <x:v>到站时间为估算值</x:v>
      </x:c>
      <x:c r="T1080" t="str">
        <x:v>研究生宿舍楼发车</x:v>
      </x:c>
    </x:row>
    <x:row r="1081">
      <x:c r="A1081" s="14" t="str">
        <x:v>S0091-06</x:v>
      </x:c>
      <x:c r="B1081" s="14" t="str">
        <x:v>S0091</x:v>
      </x:c>
      <x:c r="C1081" s="14" t="str">
        <x:v>工作日</x:v>
      </x:c>
      <x:c r="D1081" s="14" t="str">
        <x:v>环线2路</x:v>
      </x:c>
      <x:c r="E1081" s="14" t="str">
        <x:v>第二班</x:v>
      </x:c>
      <x:c r="F1081" s="14" t="n">
        <x:v>2</x:v>
      </x:c>
      <x:c r="G1081" s="14" t="str">
        <x:v>14:40</x:v>
      </x:c>
      <x:c r="H1081" s="14" t="str">
        <x:v>研究生宿舍楼</x:v>
      </x:c>
      <x:c r="I1081" s="14" t="str">
        <x:v>否</x:v>
      </x:c>
      <x:c r="J1081" s="14" t="n">
        <x:v>6</x:v>
      </x:c>
      <x:c r="K1081" s="14" t="str">
        <x:v>军体活动中心</x:v>
      </x:c>
      <x:c r="L1081" s="14" t="n">
        <x:v>6</x:v>
      </x:c>
      <x:c r="M1081" s="14" t="str">
        <x:v>14:46</x:v>
      </x:c>
      <x:c r="N1081" s="14" t="str">
        <x:v>否</x:v>
      </x:c>
      <x:c r="O1081" s="14" t="str">
        <x:v>否</x:v>
      </x:c>
      <x:c r="P1081" s="14" t="str">
        <x:v>未提供</x:v>
      </x:c>
      <x:c r="Q1081" s="14" t="str">
        <x:v>未提供</x:v>
      </x:c>
      <x:c r="R1081" s="14" t="str">
        <x:v>预测</x:v>
      </x:c>
      <x:c r="S1081" s="14" t="str">
        <x:v>到站时间为估算值</x:v>
      </x:c>
      <x:c r="T1081" t="str">
        <x:v>研究生宿舍楼发车</x:v>
      </x:c>
    </x:row>
    <x:row r="1082">
      <x:c r="A1082" s="14" t="str">
        <x:v>S0091-07</x:v>
      </x:c>
      <x:c r="B1082" s="14" t="str">
        <x:v>S0091</x:v>
      </x:c>
      <x:c r="C1082" s="14" t="str">
        <x:v>工作日</x:v>
      </x:c>
      <x:c r="D1082" s="14" t="str">
        <x:v>环线2路</x:v>
      </x:c>
      <x:c r="E1082" s="14" t="str">
        <x:v>第二班</x:v>
      </x:c>
      <x:c r="F1082" s="14" t="n">
        <x:v>2</x:v>
      </x:c>
      <x:c r="G1082" s="14" t="str">
        <x:v>14:40</x:v>
      </x:c>
      <x:c r="H1082" s="14" t="str">
        <x:v>研究生宿舍楼</x:v>
      </x:c>
      <x:c r="I1082" s="14" t="str">
        <x:v>否</x:v>
      </x:c>
      <x:c r="J1082" s="14" t="n">
        <x:v>7</x:v>
      </x:c>
      <x:c r="K1082" s="14" t="str">
        <x:v>二食堂</x:v>
      </x:c>
      <x:c r="L1082" s="14" t="n">
        <x:v>8</x:v>
      </x:c>
      <x:c r="M1082" s="14" t="str">
        <x:v>14:48</x:v>
      </x:c>
      <x:c r="N1082" s="14" t="str">
        <x:v>否</x:v>
      </x:c>
      <x:c r="O1082" s="14" t="str">
        <x:v>否</x:v>
      </x:c>
      <x:c r="P1082" s="14" t="str">
        <x:v>未提供</x:v>
      </x:c>
      <x:c r="Q1082" s="14" t="str">
        <x:v>未提供</x:v>
      </x:c>
      <x:c r="R1082" s="14" t="str">
        <x:v>预测</x:v>
      </x:c>
      <x:c r="S1082" s="14" t="str">
        <x:v>到站时间为估算值</x:v>
      </x:c>
      <x:c r="T1082" t="str">
        <x:v>研究生宿舍楼发车</x:v>
      </x:c>
    </x:row>
    <x:row r="1083">
      <x:c r="A1083" s="14" t="str">
        <x:v>S0091-08</x:v>
      </x:c>
      <x:c r="B1083" s="14" t="str">
        <x:v>S0091</x:v>
      </x:c>
      <x:c r="C1083" s="14" t="str">
        <x:v>工作日</x:v>
      </x:c>
      <x:c r="D1083" s="14" t="str">
        <x:v>环线2路</x:v>
      </x:c>
      <x:c r="E1083" s="14" t="str">
        <x:v>第二班</x:v>
      </x:c>
      <x:c r="F1083" s="14" t="n">
        <x:v>2</x:v>
      </x:c>
      <x:c r="G1083" s="14" t="str">
        <x:v>14:40</x:v>
      </x:c>
      <x:c r="H1083" s="14" t="str">
        <x:v>研究生宿舍楼</x:v>
      </x:c>
      <x:c r="I1083" s="14" t="str">
        <x:v>否</x:v>
      </x:c>
      <x:c r="J1083" s="14" t="n">
        <x:v>8</x:v>
      </x:c>
      <x:c r="K1083" s="14" t="str">
        <x:v>5号宿舍楼</x:v>
      </x:c>
      <x:c r="L1083" s="14" t="n">
        <x:v>9</x:v>
      </x:c>
      <x:c r="M1083" s="14" t="str">
        <x:v>14:49</x:v>
      </x:c>
      <x:c r="N1083" s="14" t="str">
        <x:v>否</x:v>
      </x:c>
      <x:c r="O1083" s="14" t="str">
        <x:v>否</x:v>
      </x:c>
      <x:c r="P1083" s="14" t="str">
        <x:v>未提供</x:v>
      </x:c>
      <x:c r="Q1083" s="14" t="str">
        <x:v>未提供</x:v>
      </x:c>
      <x:c r="R1083" s="14" t="str">
        <x:v>预测</x:v>
      </x:c>
      <x:c r="S1083" s="14" t="str">
        <x:v>到站时间为估算值</x:v>
      </x:c>
      <x:c r="T1083" t="str">
        <x:v>研究生宿舍楼发车</x:v>
      </x:c>
    </x:row>
    <x:row r="1084">
      <x:c r="A1084" s="14" t="str">
        <x:v>S0091-09</x:v>
      </x:c>
      <x:c r="B1084" s="14" t="str">
        <x:v>S0091</x:v>
      </x:c>
      <x:c r="C1084" s="14" t="str">
        <x:v>工作日</x:v>
      </x:c>
      <x:c r="D1084" s="14" t="str">
        <x:v>环线2路</x:v>
      </x:c>
      <x:c r="E1084" s="14" t="str">
        <x:v>第二班</x:v>
      </x:c>
      <x:c r="F1084" s="14" t="n">
        <x:v>2</x:v>
      </x:c>
      <x:c r="G1084" s="14" t="str">
        <x:v>14:40</x:v>
      </x:c>
      <x:c r="H1084" s="14" t="str">
        <x:v>研究生宿舍楼</x:v>
      </x:c>
      <x:c r="I1084" s="14" t="str">
        <x:v>否</x:v>
      </x:c>
      <x:c r="J1084" s="14" t="n">
        <x:v>9</x:v>
      </x:c>
      <x:c r="K1084" s="14" t="str">
        <x:v>305教学楼</x:v>
      </x:c>
      <x:c r="L1084" s="14" t="n">
        <x:v>10</x:v>
      </x:c>
      <x:c r="M1084" s="14" t="str">
        <x:v>14:50</x:v>
      </x:c>
      <x:c r="N1084" s="14" t="str">
        <x:v>否</x:v>
      </x:c>
      <x:c r="O1084" s="14" t="str">
        <x:v>否</x:v>
      </x:c>
      <x:c r="P1084" s="14" t="str">
        <x:v>未提供</x:v>
      </x:c>
      <x:c r="Q1084" s="14" t="str">
        <x:v>未提供</x:v>
      </x:c>
      <x:c r="R1084" s="14" t="str">
        <x:v>预测</x:v>
      </x:c>
      <x:c r="S1084" s="14" t="str">
        <x:v>到站时间为估算值</x:v>
      </x:c>
      <x:c r="T1084" t="str">
        <x:v>研究生宿舍楼发车</x:v>
      </x:c>
    </x:row>
    <x:row r="1085">
      <x:c r="A1085" s="14" t="str">
        <x:v>S0091-10</x:v>
      </x:c>
      <x:c r="B1085" s="14" t="str">
        <x:v>S0091</x:v>
      </x:c>
      <x:c r="C1085" s="14" t="str">
        <x:v>工作日</x:v>
      </x:c>
      <x:c r="D1085" s="14" t="str">
        <x:v>环线2路</x:v>
      </x:c>
      <x:c r="E1085" s="14" t="str">
        <x:v>第二班</x:v>
      </x:c>
      <x:c r="F1085" s="14" t="n">
        <x:v>2</x:v>
      </x:c>
      <x:c r="G1085" s="14" t="str">
        <x:v>14:40</x:v>
      </x:c>
      <x:c r="H1085" s="14" t="str">
        <x:v>研究生宿舍楼</x:v>
      </x:c>
      <x:c r="I1085" s="14" t="str">
        <x:v>否</x:v>
      </x:c>
      <x:c r="J1085" s="14" t="n">
        <x:v>10</x:v>
      </x:c>
      <x:c r="K1085" s="14" t="str">
        <x:v>研究生宿舍楼</x:v>
      </x:c>
      <x:c r="L1085" s="14" t="n">
        <x:v>12</x:v>
      </x:c>
      <x:c r="M1085" s="14" t="str">
        <x:v>14:52</x:v>
      </x:c>
      <x:c r="N1085" s="14" t="str">
        <x:v>否</x:v>
      </x:c>
      <x:c r="O1085" s="14" t="str">
        <x:v>是</x:v>
      </x:c>
      <x:c r="P1085" s="14" t="str">
        <x:v>未提供</x:v>
      </x:c>
      <x:c r="Q1085" s="14" t="str">
        <x:v>未提供</x:v>
      </x:c>
      <x:c r="R1085" s="14" t="str">
        <x:v>预测</x:v>
      </x:c>
      <x:c r="S1085" s="14" t="str">
        <x:v>到站时间为估算值</x:v>
      </x:c>
      <x:c r="T1085" t="str">
        <x:v>研究生宿舍楼发车</x:v>
      </x:c>
    </x:row>
    <x:row r="1086">
      <x:c r="A1086" s="14" t="str">
        <x:v>S0092-01</x:v>
      </x:c>
      <x:c r="B1086" s="14" t="str">
        <x:v>S0092</x:v>
      </x:c>
      <x:c r="C1086" s="14" t="str">
        <x:v>工作日</x:v>
      </x:c>
      <x:c r="D1086" s="14" t="str">
        <x:v>环线2路</x:v>
      </x:c>
      <x:c r="E1086" s="14" t="str">
        <x:v>第二班</x:v>
      </x:c>
      <x:c r="F1086" s="14" t="n">
        <x:v>3</x:v>
      </x:c>
      <x:c r="G1086" s="14" t="str">
        <x:v>15:00</x:v>
      </x:c>
      <x:c r="H1086" s="14" t="str">
        <x:v>研究生宿舍楼</x:v>
      </x:c>
      <x:c r="I1086" s="14" t="str">
        <x:v>否</x:v>
      </x:c>
      <x:c r="J1086" s="14" t="n">
        <x:v>1</x:v>
      </x:c>
      <x:c r="K1086" s="14" t="str">
        <x:v>研究生宿舍楼</x:v>
      </x:c>
      <x:c r="L1086" s="14" t="n">
        <x:v>0</x:v>
      </x:c>
      <x:c r="M1086" s="14" t="str">
        <x:v>15:00</x:v>
      </x:c>
      <x:c r="N1086" s="14" t="str">
        <x:v>是</x:v>
      </x:c>
      <x:c r="O1086" s="14" t="str">
        <x:v>否</x:v>
      </x:c>
      <x:c r="P1086" s="14" t="str">
        <x:v>未提供</x:v>
      </x:c>
      <x:c r="Q1086" s="14" t="str">
        <x:v>未提供</x:v>
      </x:c>
      <x:c r="R1086" s="14" t="str">
        <x:v>预测</x:v>
      </x:c>
      <x:c r="S1086" s="14" t="str">
        <x:v>到站时间为估算值</x:v>
      </x:c>
      <x:c r="T1086" t="str">
        <x:v>研究生宿舍楼发车</x:v>
      </x:c>
    </x:row>
    <x:row r="1087">
      <x:c r="A1087" s="14" t="str">
        <x:v>S0092-02</x:v>
      </x:c>
      <x:c r="B1087" s="14" t="str">
        <x:v>S0092</x:v>
      </x:c>
      <x:c r="C1087" s="14" t="str">
        <x:v>工作日</x:v>
      </x:c>
      <x:c r="D1087" s="14" t="str">
        <x:v>环线2路</x:v>
      </x:c>
      <x:c r="E1087" s="14" t="str">
        <x:v>第二班</x:v>
      </x:c>
      <x:c r="F1087" s="14" t="n">
        <x:v>3</x:v>
      </x:c>
      <x:c r="G1087" s="14" t="str">
        <x:v>15:00</x:v>
      </x:c>
      <x:c r="H1087" s="14" t="str">
        <x:v>研究生宿舍楼</x:v>
      </x:c>
      <x:c r="I1087" s="14" t="str">
        <x:v>否</x:v>
      </x:c>
      <x:c r="J1087" s="14" t="n">
        <x:v>2</x:v>
      </x:c>
      <x:c r="K1087" s="14" t="str">
        <x:v>一食堂</x:v>
      </x:c>
      <x:c r="L1087" s="14" t="n">
        <x:v>1</x:v>
      </x:c>
      <x:c r="M1087" s="14" t="str">
        <x:v>15:01</x:v>
      </x:c>
      <x:c r="N1087" s="14" t="str">
        <x:v>否</x:v>
      </x:c>
      <x:c r="O1087" s="14" t="str">
        <x:v>否</x:v>
      </x:c>
      <x:c r="P1087" s="14" t="str">
        <x:v>未提供</x:v>
      </x:c>
      <x:c r="Q1087" s="14" t="str">
        <x:v>未提供</x:v>
      </x:c>
      <x:c r="R1087" s="14" t="str">
        <x:v>预测</x:v>
      </x:c>
      <x:c r="S1087" s="14" t="str">
        <x:v>到站时间为估算值</x:v>
      </x:c>
      <x:c r="T1087" t="str">
        <x:v>研究生宿舍楼发车</x:v>
      </x:c>
    </x:row>
    <x:row r="1088">
      <x:c r="A1088" s="14" t="str">
        <x:v>S0092-03</x:v>
      </x:c>
      <x:c r="B1088" s="14" t="str">
        <x:v>S0092</x:v>
      </x:c>
      <x:c r="C1088" s="14" t="str">
        <x:v>工作日</x:v>
      </x:c>
      <x:c r="D1088" s="14" t="str">
        <x:v>环线2路</x:v>
      </x:c>
      <x:c r="E1088" s="14" t="str">
        <x:v>第二班</x:v>
      </x:c>
      <x:c r="F1088" s="14" t="n">
        <x:v>3</x:v>
      </x:c>
      <x:c r="G1088" s="14" t="str">
        <x:v>15:00</x:v>
      </x:c>
      <x:c r="H1088" s="14" t="str">
        <x:v>研究生宿舍楼</x:v>
      </x:c>
      <x:c r="I1088" s="14" t="str">
        <x:v>否</x:v>
      </x:c>
      <x:c r="J1088" s="14" t="n">
        <x:v>3</x:v>
      </x:c>
      <x:c r="K1088" s="14" t="str">
        <x:v>门诊部</x:v>
      </x:c>
      <x:c r="L1088" s="14" t="n">
        <x:v>2</x:v>
      </x:c>
      <x:c r="M1088" s="14" t="str">
        <x:v>15:02</x:v>
      </x:c>
      <x:c r="N1088" s="14" t="str">
        <x:v>否</x:v>
      </x:c>
      <x:c r="O1088" s="14" t="str">
        <x:v>否</x:v>
      </x:c>
      <x:c r="P1088" s="14" t="str">
        <x:v>未提供</x:v>
      </x:c>
      <x:c r="Q1088" s="14" t="str">
        <x:v>未提供</x:v>
      </x:c>
      <x:c r="R1088" s="14" t="str">
        <x:v>预测</x:v>
      </x:c>
      <x:c r="S1088" s="14" t="str">
        <x:v>到站时间为估算值</x:v>
      </x:c>
      <x:c r="T1088" t="str">
        <x:v>研究生宿舍楼发车</x:v>
      </x:c>
    </x:row>
    <x:row r="1089">
      <x:c r="A1089" s="14" t="str">
        <x:v>S0092-04</x:v>
      </x:c>
      <x:c r="B1089" s="14" t="str">
        <x:v>S0092</x:v>
      </x:c>
      <x:c r="C1089" s="14" t="str">
        <x:v>工作日</x:v>
      </x:c>
      <x:c r="D1089" s="14" t="str">
        <x:v>环线2路</x:v>
      </x:c>
      <x:c r="E1089" s="14" t="str">
        <x:v>第二班</x:v>
      </x:c>
      <x:c r="F1089" s="14" t="n">
        <x:v>3</x:v>
      </x:c>
      <x:c r="G1089" s="14" t="str">
        <x:v>15:00</x:v>
      </x:c>
      <x:c r="H1089" s="14" t="str">
        <x:v>研究生宿舍楼</x:v>
      </x:c>
      <x:c r="I1089" s="14" t="str">
        <x:v>否</x:v>
      </x:c>
      <x:c r="J1089" s="14" t="n">
        <x:v>4</x:v>
      </x:c>
      <x:c r="K1089" s="14" t="str">
        <x:v>1号宿舍楼</x:v>
      </x:c>
      <x:c r="L1089" s="14" t="n">
        <x:v>3</x:v>
      </x:c>
      <x:c r="M1089" s="14" t="str">
        <x:v>15:03</x:v>
      </x:c>
      <x:c r="N1089" s="14" t="str">
        <x:v>否</x:v>
      </x:c>
      <x:c r="O1089" s="14" t="str">
        <x:v>否</x:v>
      </x:c>
      <x:c r="P1089" s="14" t="str">
        <x:v>未提供</x:v>
      </x:c>
      <x:c r="Q1089" s="14" t="str">
        <x:v>未提供</x:v>
      </x:c>
      <x:c r="R1089" s="14" t="str">
        <x:v>预测</x:v>
      </x:c>
      <x:c r="S1089" s="14" t="str">
        <x:v>到站时间为估算值</x:v>
      </x:c>
      <x:c r="T1089" t="str">
        <x:v>研究生宿舍楼发车</x:v>
      </x:c>
    </x:row>
    <x:row r="1090">
      <x:c r="A1090" s="14" t="str">
        <x:v>S0092-05</x:v>
      </x:c>
      <x:c r="B1090" s="14" t="str">
        <x:v>S0092</x:v>
      </x:c>
      <x:c r="C1090" s="14" t="str">
        <x:v>工作日</x:v>
      </x:c>
      <x:c r="D1090" s="14" t="str">
        <x:v>环线2路</x:v>
      </x:c>
      <x:c r="E1090" s="14" t="str">
        <x:v>第二班</x:v>
      </x:c>
      <x:c r="F1090" s="14" t="n">
        <x:v>3</x:v>
      </x:c>
      <x:c r="G1090" s="14" t="str">
        <x:v>15:00</x:v>
      </x:c>
      <x:c r="H1090" s="14" t="str">
        <x:v>研究生宿舍楼</x:v>
      </x:c>
      <x:c r="I1090" s="14" t="str">
        <x:v>否</x:v>
      </x:c>
      <x:c r="J1090" s="14" t="n">
        <x:v>5</x:v>
      </x:c>
      <x:c r="K1090" s="14" t="str">
        <x:v>水上训练中心</x:v>
      </x:c>
      <x:c r="L1090" s="14" t="n">
        <x:v>5</x:v>
      </x:c>
      <x:c r="M1090" s="14" t="str">
        <x:v>15:05</x:v>
      </x:c>
      <x:c r="N1090" s="14" t="str">
        <x:v>否</x:v>
      </x:c>
      <x:c r="O1090" s="14" t="str">
        <x:v>否</x:v>
      </x:c>
      <x:c r="P1090" s="14" t="str">
        <x:v>未提供</x:v>
      </x:c>
      <x:c r="Q1090" s="14" t="str">
        <x:v>未提供</x:v>
      </x:c>
      <x:c r="R1090" s="14" t="str">
        <x:v>预测</x:v>
      </x:c>
      <x:c r="S1090" s="14" t="str">
        <x:v>到站时间为估算值</x:v>
      </x:c>
      <x:c r="T1090" t="str">
        <x:v>研究生宿舍楼发车</x:v>
      </x:c>
    </x:row>
    <x:row r="1091">
      <x:c r="A1091" s="14" t="str">
        <x:v>S0092-06</x:v>
      </x:c>
      <x:c r="B1091" s="14" t="str">
        <x:v>S0092</x:v>
      </x:c>
      <x:c r="C1091" s="14" t="str">
        <x:v>工作日</x:v>
      </x:c>
      <x:c r="D1091" s="14" t="str">
        <x:v>环线2路</x:v>
      </x:c>
      <x:c r="E1091" s="14" t="str">
        <x:v>第二班</x:v>
      </x:c>
      <x:c r="F1091" s="14" t="n">
        <x:v>3</x:v>
      </x:c>
      <x:c r="G1091" s="14" t="str">
        <x:v>15:00</x:v>
      </x:c>
      <x:c r="H1091" s="14" t="str">
        <x:v>研究生宿舍楼</x:v>
      </x:c>
      <x:c r="I1091" s="14" t="str">
        <x:v>否</x:v>
      </x:c>
      <x:c r="J1091" s="14" t="n">
        <x:v>6</x:v>
      </x:c>
      <x:c r="K1091" s="14" t="str">
        <x:v>军体活动中心</x:v>
      </x:c>
      <x:c r="L1091" s="14" t="n">
        <x:v>6</x:v>
      </x:c>
      <x:c r="M1091" s="14" t="str">
        <x:v>15:06</x:v>
      </x:c>
      <x:c r="N1091" s="14" t="str">
        <x:v>否</x:v>
      </x:c>
      <x:c r="O1091" s="14" t="str">
        <x:v>否</x:v>
      </x:c>
      <x:c r="P1091" s="14" t="str">
        <x:v>未提供</x:v>
      </x:c>
      <x:c r="Q1091" s="14" t="str">
        <x:v>未提供</x:v>
      </x:c>
      <x:c r="R1091" s="14" t="str">
        <x:v>预测</x:v>
      </x:c>
      <x:c r="S1091" s="14" t="str">
        <x:v>到站时间为估算值</x:v>
      </x:c>
      <x:c r="T1091" t="str">
        <x:v>研究生宿舍楼发车</x:v>
      </x:c>
    </x:row>
    <x:row r="1092">
      <x:c r="A1092" s="14" t="str">
        <x:v>S0092-07</x:v>
      </x:c>
      <x:c r="B1092" s="14" t="str">
        <x:v>S0092</x:v>
      </x:c>
      <x:c r="C1092" s="14" t="str">
        <x:v>工作日</x:v>
      </x:c>
      <x:c r="D1092" s="14" t="str">
        <x:v>环线2路</x:v>
      </x:c>
      <x:c r="E1092" s="14" t="str">
        <x:v>第二班</x:v>
      </x:c>
      <x:c r="F1092" s="14" t="n">
        <x:v>3</x:v>
      </x:c>
      <x:c r="G1092" s="14" t="str">
        <x:v>15:00</x:v>
      </x:c>
      <x:c r="H1092" s="14" t="str">
        <x:v>研究生宿舍楼</x:v>
      </x:c>
      <x:c r="I1092" s="14" t="str">
        <x:v>否</x:v>
      </x:c>
      <x:c r="J1092" s="14" t="n">
        <x:v>7</x:v>
      </x:c>
      <x:c r="K1092" s="14" t="str">
        <x:v>二食堂</x:v>
      </x:c>
      <x:c r="L1092" s="14" t="n">
        <x:v>8</x:v>
      </x:c>
      <x:c r="M1092" s="14" t="str">
        <x:v>15:08</x:v>
      </x:c>
      <x:c r="N1092" s="14" t="str">
        <x:v>否</x:v>
      </x:c>
      <x:c r="O1092" s="14" t="str">
        <x:v>否</x:v>
      </x:c>
      <x:c r="P1092" s="14" t="str">
        <x:v>未提供</x:v>
      </x:c>
      <x:c r="Q1092" s="14" t="str">
        <x:v>未提供</x:v>
      </x:c>
      <x:c r="R1092" s="14" t="str">
        <x:v>预测</x:v>
      </x:c>
      <x:c r="S1092" s="14" t="str">
        <x:v>到站时间为估算值</x:v>
      </x:c>
      <x:c r="T1092" t="str">
        <x:v>研究生宿舍楼发车</x:v>
      </x:c>
    </x:row>
    <x:row r="1093">
      <x:c r="A1093" s="14" t="str">
        <x:v>S0092-08</x:v>
      </x:c>
      <x:c r="B1093" s="14" t="str">
        <x:v>S0092</x:v>
      </x:c>
      <x:c r="C1093" s="14" t="str">
        <x:v>工作日</x:v>
      </x:c>
      <x:c r="D1093" s="14" t="str">
        <x:v>环线2路</x:v>
      </x:c>
      <x:c r="E1093" s="14" t="str">
        <x:v>第二班</x:v>
      </x:c>
      <x:c r="F1093" s="14" t="n">
        <x:v>3</x:v>
      </x:c>
      <x:c r="G1093" s="14" t="str">
        <x:v>15:00</x:v>
      </x:c>
      <x:c r="H1093" s="14" t="str">
        <x:v>研究生宿舍楼</x:v>
      </x:c>
      <x:c r="I1093" s="14" t="str">
        <x:v>否</x:v>
      </x:c>
      <x:c r="J1093" s="14" t="n">
        <x:v>8</x:v>
      </x:c>
      <x:c r="K1093" s="14" t="str">
        <x:v>5号宿舍楼</x:v>
      </x:c>
      <x:c r="L1093" s="14" t="n">
        <x:v>9</x:v>
      </x:c>
      <x:c r="M1093" s="14" t="str">
        <x:v>15:09</x:v>
      </x:c>
      <x:c r="N1093" s="14" t="str">
        <x:v>否</x:v>
      </x:c>
      <x:c r="O1093" s="14" t="str">
        <x:v>否</x:v>
      </x:c>
      <x:c r="P1093" s="14" t="str">
        <x:v>未提供</x:v>
      </x:c>
      <x:c r="Q1093" s="14" t="str">
        <x:v>未提供</x:v>
      </x:c>
      <x:c r="R1093" s="14" t="str">
        <x:v>预测</x:v>
      </x:c>
      <x:c r="S1093" s="14" t="str">
        <x:v>到站时间为估算值</x:v>
      </x:c>
      <x:c r="T1093" t="str">
        <x:v>研究生宿舍楼发车</x:v>
      </x:c>
    </x:row>
    <x:row r="1094">
      <x:c r="A1094" s="14" t="str">
        <x:v>S0092-09</x:v>
      </x:c>
      <x:c r="B1094" s="14" t="str">
        <x:v>S0092</x:v>
      </x:c>
      <x:c r="C1094" s="14" t="str">
        <x:v>工作日</x:v>
      </x:c>
      <x:c r="D1094" s="14" t="str">
        <x:v>环线2路</x:v>
      </x:c>
      <x:c r="E1094" s="14" t="str">
        <x:v>第二班</x:v>
      </x:c>
      <x:c r="F1094" s="14" t="n">
        <x:v>3</x:v>
      </x:c>
      <x:c r="G1094" s="14" t="str">
        <x:v>15:00</x:v>
      </x:c>
      <x:c r="H1094" s="14" t="str">
        <x:v>研究生宿舍楼</x:v>
      </x:c>
      <x:c r="I1094" s="14" t="str">
        <x:v>否</x:v>
      </x:c>
      <x:c r="J1094" s="14" t="n">
        <x:v>9</x:v>
      </x:c>
      <x:c r="K1094" s="14" t="str">
        <x:v>305教学楼</x:v>
      </x:c>
      <x:c r="L1094" s="14" t="n">
        <x:v>10</x:v>
      </x:c>
      <x:c r="M1094" s="14" t="str">
        <x:v>15:10</x:v>
      </x:c>
      <x:c r="N1094" s="14" t="str">
        <x:v>否</x:v>
      </x:c>
      <x:c r="O1094" s="14" t="str">
        <x:v>否</x:v>
      </x:c>
      <x:c r="P1094" s="14" t="str">
        <x:v>未提供</x:v>
      </x:c>
      <x:c r="Q1094" s="14" t="str">
        <x:v>未提供</x:v>
      </x:c>
      <x:c r="R1094" s="14" t="str">
        <x:v>预测</x:v>
      </x:c>
      <x:c r="S1094" s="14" t="str">
        <x:v>到站时间为估算值</x:v>
      </x:c>
      <x:c r="T1094" t="str">
        <x:v>研究生宿舍楼发车</x:v>
      </x:c>
    </x:row>
    <x:row r="1095">
      <x:c r="A1095" s="14" t="str">
        <x:v>S0092-10</x:v>
      </x:c>
      <x:c r="B1095" s="14" t="str">
        <x:v>S0092</x:v>
      </x:c>
      <x:c r="C1095" s="14" t="str">
        <x:v>工作日</x:v>
      </x:c>
      <x:c r="D1095" s="14" t="str">
        <x:v>环线2路</x:v>
      </x:c>
      <x:c r="E1095" s="14" t="str">
        <x:v>第二班</x:v>
      </x:c>
      <x:c r="F1095" s="14" t="n">
        <x:v>3</x:v>
      </x:c>
      <x:c r="G1095" s="14" t="str">
        <x:v>15:00</x:v>
      </x:c>
      <x:c r="H1095" s="14" t="str">
        <x:v>研究生宿舍楼</x:v>
      </x:c>
      <x:c r="I1095" s="14" t="str">
        <x:v>否</x:v>
      </x:c>
      <x:c r="J1095" s="14" t="n">
        <x:v>10</x:v>
      </x:c>
      <x:c r="K1095" s="14" t="str">
        <x:v>研究生宿舍楼</x:v>
      </x:c>
      <x:c r="L1095" s="14" t="n">
        <x:v>12</x:v>
      </x:c>
      <x:c r="M1095" s="14" t="str">
        <x:v>15:12</x:v>
      </x:c>
      <x:c r="N1095" s="14" t="str">
        <x:v>否</x:v>
      </x:c>
      <x:c r="O1095" s="14" t="str">
        <x:v>是</x:v>
      </x:c>
      <x:c r="P1095" s="14" t="str">
        <x:v>未提供</x:v>
      </x:c>
      <x:c r="Q1095" s="14" t="str">
        <x:v>未提供</x:v>
      </x:c>
      <x:c r="R1095" s="14" t="str">
        <x:v>预测</x:v>
      </x:c>
      <x:c r="S1095" s="14" t="str">
        <x:v>到站时间为估算值</x:v>
      </x:c>
      <x:c r="T1095" t="str">
        <x:v>研究生宿舍楼发车</x:v>
      </x:c>
    </x:row>
    <x:row r="1096">
      <x:c r="A1096" s="14" t="str">
        <x:v>S0093-01</x:v>
      </x:c>
      <x:c r="B1096" s="14" t="str">
        <x:v>S0093</x:v>
      </x:c>
      <x:c r="C1096" s="14" t="str">
        <x:v>工作日</x:v>
      </x:c>
      <x:c r="D1096" s="14" t="str">
        <x:v>环线2路</x:v>
      </x:c>
      <x:c r="E1096" s="14" t="str">
        <x:v>第二班</x:v>
      </x:c>
      <x:c r="F1096" s="14" t="n">
        <x:v>4</x:v>
      </x:c>
      <x:c r="G1096" s="14" t="str">
        <x:v>15:20</x:v>
      </x:c>
      <x:c r="H1096" s="14" t="str">
        <x:v>研究生宿舍楼</x:v>
      </x:c>
      <x:c r="I1096" s="14" t="str">
        <x:v>否</x:v>
      </x:c>
      <x:c r="J1096" s="14" t="n">
        <x:v>1</x:v>
      </x:c>
      <x:c r="K1096" s="14" t="str">
        <x:v>研究生宿舍楼</x:v>
      </x:c>
      <x:c r="L1096" s="14" t="n">
        <x:v>0</x:v>
      </x:c>
      <x:c r="M1096" s="14" t="str">
        <x:v>15:20</x:v>
      </x:c>
      <x:c r="N1096" s="14" t="str">
        <x:v>是</x:v>
      </x:c>
      <x:c r="O1096" s="14" t="str">
        <x:v>否</x:v>
      </x:c>
      <x:c r="P1096" s="14" t="str">
        <x:v>未提供</x:v>
      </x:c>
      <x:c r="Q1096" s="14" t="str">
        <x:v>未提供</x:v>
      </x:c>
      <x:c r="R1096" s="14" t="str">
        <x:v>预测</x:v>
      </x:c>
      <x:c r="S1096" s="14" t="str">
        <x:v>到站时间为估算值</x:v>
      </x:c>
      <x:c r="T1096" t="str">
        <x:v>研究生宿舍楼发车</x:v>
      </x:c>
    </x:row>
    <x:row r="1097">
      <x:c r="A1097" s="14" t="str">
        <x:v>S0093-02</x:v>
      </x:c>
      <x:c r="B1097" s="14" t="str">
        <x:v>S0093</x:v>
      </x:c>
      <x:c r="C1097" s="14" t="str">
        <x:v>工作日</x:v>
      </x:c>
      <x:c r="D1097" s="14" t="str">
        <x:v>环线2路</x:v>
      </x:c>
      <x:c r="E1097" s="14" t="str">
        <x:v>第二班</x:v>
      </x:c>
      <x:c r="F1097" s="14" t="n">
        <x:v>4</x:v>
      </x:c>
      <x:c r="G1097" s="14" t="str">
        <x:v>15:20</x:v>
      </x:c>
      <x:c r="H1097" s="14" t="str">
        <x:v>研究生宿舍楼</x:v>
      </x:c>
      <x:c r="I1097" s="14" t="str">
        <x:v>否</x:v>
      </x:c>
      <x:c r="J1097" s="14" t="n">
        <x:v>2</x:v>
      </x:c>
      <x:c r="K1097" s="14" t="str">
        <x:v>一食堂</x:v>
      </x:c>
      <x:c r="L1097" s="14" t="n">
        <x:v>1</x:v>
      </x:c>
      <x:c r="M1097" s="14" t="str">
        <x:v>15:21</x:v>
      </x:c>
      <x:c r="N1097" s="14" t="str">
        <x:v>否</x:v>
      </x:c>
      <x:c r="O1097" s="14" t="str">
        <x:v>否</x:v>
      </x:c>
      <x:c r="P1097" s="14" t="str">
        <x:v>未提供</x:v>
      </x:c>
      <x:c r="Q1097" s="14" t="str">
        <x:v>未提供</x:v>
      </x:c>
      <x:c r="R1097" s="14" t="str">
        <x:v>预测</x:v>
      </x:c>
      <x:c r="S1097" s="14" t="str">
        <x:v>到站时间为估算值</x:v>
      </x:c>
      <x:c r="T1097" t="str">
        <x:v>研究生宿舍楼发车</x:v>
      </x:c>
    </x:row>
    <x:row r="1098">
      <x:c r="A1098" s="14" t="str">
        <x:v>S0093-03</x:v>
      </x:c>
      <x:c r="B1098" s="14" t="str">
        <x:v>S0093</x:v>
      </x:c>
      <x:c r="C1098" s="14" t="str">
        <x:v>工作日</x:v>
      </x:c>
      <x:c r="D1098" s="14" t="str">
        <x:v>环线2路</x:v>
      </x:c>
      <x:c r="E1098" s="14" t="str">
        <x:v>第二班</x:v>
      </x:c>
      <x:c r="F1098" s="14" t="n">
        <x:v>4</x:v>
      </x:c>
      <x:c r="G1098" s="14" t="str">
        <x:v>15:20</x:v>
      </x:c>
      <x:c r="H1098" s="14" t="str">
        <x:v>研究生宿舍楼</x:v>
      </x:c>
      <x:c r="I1098" s="14" t="str">
        <x:v>否</x:v>
      </x:c>
      <x:c r="J1098" s="14" t="n">
        <x:v>3</x:v>
      </x:c>
      <x:c r="K1098" s="14" t="str">
        <x:v>门诊部</x:v>
      </x:c>
      <x:c r="L1098" s="14" t="n">
        <x:v>2</x:v>
      </x:c>
      <x:c r="M1098" s="14" t="str">
        <x:v>15:22</x:v>
      </x:c>
      <x:c r="N1098" s="14" t="str">
        <x:v>否</x:v>
      </x:c>
      <x:c r="O1098" s="14" t="str">
        <x:v>否</x:v>
      </x:c>
      <x:c r="P1098" s="14" t="str">
        <x:v>未提供</x:v>
      </x:c>
      <x:c r="Q1098" s="14" t="str">
        <x:v>未提供</x:v>
      </x:c>
      <x:c r="R1098" s="14" t="str">
        <x:v>预测</x:v>
      </x:c>
      <x:c r="S1098" s="14" t="str">
        <x:v>到站时间为估算值</x:v>
      </x:c>
      <x:c r="T1098" t="str">
        <x:v>研究生宿舍楼发车</x:v>
      </x:c>
    </x:row>
    <x:row r="1099">
      <x:c r="A1099" s="14" t="str">
        <x:v>S0093-04</x:v>
      </x:c>
      <x:c r="B1099" s="14" t="str">
        <x:v>S0093</x:v>
      </x:c>
      <x:c r="C1099" s="14" t="str">
        <x:v>工作日</x:v>
      </x:c>
      <x:c r="D1099" s="14" t="str">
        <x:v>环线2路</x:v>
      </x:c>
      <x:c r="E1099" s="14" t="str">
        <x:v>第二班</x:v>
      </x:c>
      <x:c r="F1099" s="14" t="n">
        <x:v>4</x:v>
      </x:c>
      <x:c r="G1099" s="14" t="str">
        <x:v>15:20</x:v>
      </x:c>
      <x:c r="H1099" s="14" t="str">
        <x:v>研究生宿舍楼</x:v>
      </x:c>
      <x:c r="I1099" s="14" t="str">
        <x:v>否</x:v>
      </x:c>
      <x:c r="J1099" s="14" t="n">
        <x:v>4</x:v>
      </x:c>
      <x:c r="K1099" s="14" t="str">
        <x:v>1号宿舍楼</x:v>
      </x:c>
      <x:c r="L1099" s="14" t="n">
        <x:v>3</x:v>
      </x:c>
      <x:c r="M1099" s="14" t="str">
        <x:v>15:23</x:v>
      </x:c>
      <x:c r="N1099" s="14" t="str">
        <x:v>否</x:v>
      </x:c>
      <x:c r="O1099" s="14" t="str">
        <x:v>否</x:v>
      </x:c>
      <x:c r="P1099" s="14" t="str">
        <x:v>未提供</x:v>
      </x:c>
      <x:c r="Q1099" s="14" t="str">
        <x:v>未提供</x:v>
      </x:c>
      <x:c r="R1099" s="14" t="str">
        <x:v>预测</x:v>
      </x:c>
      <x:c r="S1099" s="14" t="str">
        <x:v>到站时间为估算值</x:v>
      </x:c>
      <x:c r="T1099" t="str">
        <x:v>研究生宿舍楼发车</x:v>
      </x:c>
    </x:row>
    <x:row r="1100">
      <x:c r="A1100" s="14" t="str">
        <x:v>S0093-05</x:v>
      </x:c>
      <x:c r="B1100" s="14" t="str">
        <x:v>S0093</x:v>
      </x:c>
      <x:c r="C1100" s="14" t="str">
        <x:v>工作日</x:v>
      </x:c>
      <x:c r="D1100" s="14" t="str">
        <x:v>环线2路</x:v>
      </x:c>
      <x:c r="E1100" s="14" t="str">
        <x:v>第二班</x:v>
      </x:c>
      <x:c r="F1100" s="14" t="n">
        <x:v>4</x:v>
      </x:c>
      <x:c r="G1100" s="14" t="str">
        <x:v>15:20</x:v>
      </x:c>
      <x:c r="H1100" s="14" t="str">
        <x:v>研究生宿舍楼</x:v>
      </x:c>
      <x:c r="I1100" s="14" t="str">
        <x:v>否</x:v>
      </x:c>
      <x:c r="J1100" s="14" t="n">
        <x:v>5</x:v>
      </x:c>
      <x:c r="K1100" s="14" t="str">
        <x:v>水上训练中心</x:v>
      </x:c>
      <x:c r="L1100" s="14" t="n">
        <x:v>5</x:v>
      </x:c>
      <x:c r="M1100" s="14" t="str">
        <x:v>15:25</x:v>
      </x:c>
      <x:c r="N1100" s="14" t="str">
        <x:v>否</x:v>
      </x:c>
      <x:c r="O1100" s="14" t="str">
        <x:v>否</x:v>
      </x:c>
      <x:c r="P1100" s="14" t="str">
        <x:v>未提供</x:v>
      </x:c>
      <x:c r="Q1100" s="14" t="str">
        <x:v>未提供</x:v>
      </x:c>
      <x:c r="R1100" s="14" t="str">
        <x:v>预测</x:v>
      </x:c>
      <x:c r="S1100" s="14" t="str">
        <x:v>到站时间为估算值</x:v>
      </x:c>
      <x:c r="T1100" t="str">
        <x:v>研究生宿舍楼发车</x:v>
      </x:c>
    </x:row>
    <x:row r="1101">
      <x:c r="A1101" s="14" t="str">
        <x:v>S0093-06</x:v>
      </x:c>
      <x:c r="B1101" s="14" t="str">
        <x:v>S0093</x:v>
      </x:c>
      <x:c r="C1101" s="14" t="str">
        <x:v>工作日</x:v>
      </x:c>
      <x:c r="D1101" s="14" t="str">
        <x:v>环线2路</x:v>
      </x:c>
      <x:c r="E1101" s="14" t="str">
        <x:v>第二班</x:v>
      </x:c>
      <x:c r="F1101" s="14" t="n">
        <x:v>4</x:v>
      </x:c>
      <x:c r="G1101" s="14" t="str">
        <x:v>15:20</x:v>
      </x:c>
      <x:c r="H1101" s="14" t="str">
        <x:v>研究生宿舍楼</x:v>
      </x:c>
      <x:c r="I1101" s="14" t="str">
        <x:v>否</x:v>
      </x:c>
      <x:c r="J1101" s="14" t="n">
        <x:v>6</x:v>
      </x:c>
      <x:c r="K1101" s="14" t="str">
        <x:v>军体活动中心</x:v>
      </x:c>
      <x:c r="L1101" s="14" t="n">
        <x:v>6</x:v>
      </x:c>
      <x:c r="M1101" s="14" t="str">
        <x:v>15:26</x:v>
      </x:c>
      <x:c r="N1101" s="14" t="str">
        <x:v>否</x:v>
      </x:c>
      <x:c r="O1101" s="14" t="str">
        <x:v>否</x:v>
      </x:c>
      <x:c r="P1101" s="14" t="str">
        <x:v>未提供</x:v>
      </x:c>
      <x:c r="Q1101" s="14" t="str">
        <x:v>未提供</x:v>
      </x:c>
      <x:c r="R1101" s="14" t="str">
        <x:v>预测</x:v>
      </x:c>
      <x:c r="S1101" s="14" t="str">
        <x:v>到站时间为估算值</x:v>
      </x:c>
      <x:c r="T1101" t="str">
        <x:v>研究生宿舍楼发车</x:v>
      </x:c>
    </x:row>
    <x:row r="1102">
      <x:c r="A1102" s="14" t="str">
        <x:v>S0093-07</x:v>
      </x:c>
      <x:c r="B1102" s="14" t="str">
        <x:v>S0093</x:v>
      </x:c>
      <x:c r="C1102" s="14" t="str">
        <x:v>工作日</x:v>
      </x:c>
      <x:c r="D1102" s="14" t="str">
        <x:v>环线2路</x:v>
      </x:c>
      <x:c r="E1102" s="14" t="str">
        <x:v>第二班</x:v>
      </x:c>
      <x:c r="F1102" s="14" t="n">
        <x:v>4</x:v>
      </x:c>
      <x:c r="G1102" s="14" t="str">
        <x:v>15:20</x:v>
      </x:c>
      <x:c r="H1102" s="14" t="str">
        <x:v>研究生宿舍楼</x:v>
      </x:c>
      <x:c r="I1102" s="14" t="str">
        <x:v>否</x:v>
      </x:c>
      <x:c r="J1102" s="14" t="n">
        <x:v>7</x:v>
      </x:c>
      <x:c r="K1102" s="14" t="str">
        <x:v>二食堂</x:v>
      </x:c>
      <x:c r="L1102" s="14" t="n">
        <x:v>8</x:v>
      </x:c>
      <x:c r="M1102" s="14" t="str">
        <x:v>15:28</x:v>
      </x:c>
      <x:c r="N1102" s="14" t="str">
        <x:v>否</x:v>
      </x:c>
      <x:c r="O1102" s="14" t="str">
        <x:v>否</x:v>
      </x:c>
      <x:c r="P1102" s="14" t="str">
        <x:v>未提供</x:v>
      </x:c>
      <x:c r="Q1102" s="14" t="str">
        <x:v>未提供</x:v>
      </x:c>
      <x:c r="R1102" s="14" t="str">
        <x:v>预测</x:v>
      </x:c>
      <x:c r="S1102" s="14" t="str">
        <x:v>到站时间为估算值</x:v>
      </x:c>
      <x:c r="T1102" t="str">
        <x:v>研究生宿舍楼发车</x:v>
      </x:c>
    </x:row>
    <x:row r="1103">
      <x:c r="A1103" s="14" t="str">
        <x:v>S0093-08</x:v>
      </x:c>
      <x:c r="B1103" s="14" t="str">
        <x:v>S0093</x:v>
      </x:c>
      <x:c r="C1103" s="14" t="str">
        <x:v>工作日</x:v>
      </x:c>
      <x:c r="D1103" s="14" t="str">
        <x:v>环线2路</x:v>
      </x:c>
      <x:c r="E1103" s="14" t="str">
        <x:v>第二班</x:v>
      </x:c>
      <x:c r="F1103" s="14" t="n">
        <x:v>4</x:v>
      </x:c>
      <x:c r="G1103" s="14" t="str">
        <x:v>15:20</x:v>
      </x:c>
      <x:c r="H1103" s="14" t="str">
        <x:v>研究生宿舍楼</x:v>
      </x:c>
      <x:c r="I1103" s="14" t="str">
        <x:v>否</x:v>
      </x:c>
      <x:c r="J1103" s="14" t="n">
        <x:v>8</x:v>
      </x:c>
      <x:c r="K1103" s="14" t="str">
        <x:v>5号宿舍楼</x:v>
      </x:c>
      <x:c r="L1103" s="14" t="n">
        <x:v>9</x:v>
      </x:c>
      <x:c r="M1103" s="14" t="str">
        <x:v>15:29</x:v>
      </x:c>
      <x:c r="N1103" s="14" t="str">
        <x:v>否</x:v>
      </x:c>
      <x:c r="O1103" s="14" t="str">
        <x:v>否</x:v>
      </x:c>
      <x:c r="P1103" s="14" t="str">
        <x:v>未提供</x:v>
      </x:c>
      <x:c r="Q1103" s="14" t="str">
        <x:v>未提供</x:v>
      </x:c>
      <x:c r="R1103" s="14" t="str">
        <x:v>预测</x:v>
      </x:c>
      <x:c r="S1103" s="14" t="str">
        <x:v>到站时间为估算值</x:v>
      </x:c>
      <x:c r="T1103" t="str">
        <x:v>研究生宿舍楼发车</x:v>
      </x:c>
    </x:row>
    <x:row r="1104">
      <x:c r="A1104" s="14" t="str">
        <x:v>S0093-09</x:v>
      </x:c>
      <x:c r="B1104" s="14" t="str">
        <x:v>S0093</x:v>
      </x:c>
      <x:c r="C1104" s="14" t="str">
        <x:v>工作日</x:v>
      </x:c>
      <x:c r="D1104" s="14" t="str">
        <x:v>环线2路</x:v>
      </x:c>
      <x:c r="E1104" s="14" t="str">
        <x:v>第二班</x:v>
      </x:c>
      <x:c r="F1104" s="14" t="n">
        <x:v>4</x:v>
      </x:c>
      <x:c r="G1104" s="14" t="str">
        <x:v>15:20</x:v>
      </x:c>
      <x:c r="H1104" s="14" t="str">
        <x:v>研究生宿舍楼</x:v>
      </x:c>
      <x:c r="I1104" s="14" t="str">
        <x:v>否</x:v>
      </x:c>
      <x:c r="J1104" s="14" t="n">
        <x:v>9</x:v>
      </x:c>
      <x:c r="K1104" s="14" t="str">
        <x:v>305教学楼</x:v>
      </x:c>
      <x:c r="L1104" s="14" t="n">
        <x:v>10</x:v>
      </x:c>
      <x:c r="M1104" s="14" t="str">
        <x:v>15:30</x:v>
      </x:c>
      <x:c r="N1104" s="14" t="str">
        <x:v>否</x:v>
      </x:c>
      <x:c r="O1104" s="14" t="str">
        <x:v>否</x:v>
      </x:c>
      <x:c r="P1104" s="14" t="str">
        <x:v>未提供</x:v>
      </x:c>
      <x:c r="Q1104" s="14" t="str">
        <x:v>未提供</x:v>
      </x:c>
      <x:c r="R1104" s="14" t="str">
        <x:v>预测</x:v>
      </x:c>
      <x:c r="S1104" s="14" t="str">
        <x:v>到站时间为估算值</x:v>
      </x:c>
      <x:c r="T1104" t="str">
        <x:v>研究生宿舍楼发车</x:v>
      </x:c>
    </x:row>
    <x:row r="1105">
      <x:c r="A1105" s="14" t="str">
        <x:v>S0093-10</x:v>
      </x:c>
      <x:c r="B1105" s="14" t="str">
        <x:v>S0093</x:v>
      </x:c>
      <x:c r="C1105" s="14" t="str">
        <x:v>工作日</x:v>
      </x:c>
      <x:c r="D1105" s="14" t="str">
        <x:v>环线2路</x:v>
      </x:c>
      <x:c r="E1105" s="14" t="str">
        <x:v>第二班</x:v>
      </x:c>
      <x:c r="F1105" s="14" t="n">
        <x:v>4</x:v>
      </x:c>
      <x:c r="G1105" s="14" t="str">
        <x:v>15:20</x:v>
      </x:c>
      <x:c r="H1105" s="14" t="str">
        <x:v>研究生宿舍楼</x:v>
      </x:c>
      <x:c r="I1105" s="14" t="str">
        <x:v>否</x:v>
      </x:c>
      <x:c r="J1105" s="14" t="n">
        <x:v>10</x:v>
      </x:c>
      <x:c r="K1105" s="14" t="str">
        <x:v>研究生宿舍楼</x:v>
      </x:c>
      <x:c r="L1105" s="14" t="n">
        <x:v>12</x:v>
      </x:c>
      <x:c r="M1105" s="14" t="str">
        <x:v>15:32</x:v>
      </x:c>
      <x:c r="N1105" s="14" t="str">
        <x:v>否</x:v>
      </x:c>
      <x:c r="O1105" s="14" t="str">
        <x:v>是</x:v>
      </x:c>
      <x:c r="P1105" s="14" t="str">
        <x:v>未提供</x:v>
      </x:c>
      <x:c r="Q1105" s="14" t="str">
        <x:v>未提供</x:v>
      </x:c>
      <x:c r="R1105" s="14" t="str">
        <x:v>预测</x:v>
      </x:c>
      <x:c r="S1105" s="14" t="str">
        <x:v>到站时间为估算值</x:v>
      </x:c>
      <x:c r="T1105" t="str">
        <x:v>研究生宿舍楼发车</x:v>
      </x:c>
    </x:row>
    <x:row r="1106">
      <x:c r="A1106" s="14" t="str">
        <x:v>S0094-01</x:v>
      </x:c>
      <x:c r="B1106" s="14" t="str">
        <x:v>S0094</x:v>
      </x:c>
      <x:c r="C1106" s="14" t="str">
        <x:v>工作日</x:v>
      </x:c>
      <x:c r="D1106" s="14" t="str">
        <x:v>环线2路</x:v>
      </x:c>
      <x:c r="E1106" s="14" t="str">
        <x:v>第二班</x:v>
      </x:c>
      <x:c r="F1106" s="14" t="n">
        <x:v>5</x:v>
      </x:c>
      <x:c r="G1106" s="14" t="str">
        <x:v>15:40</x:v>
      </x:c>
      <x:c r="H1106" s="14" t="str">
        <x:v>研究生宿舍楼</x:v>
      </x:c>
      <x:c r="I1106" s="14" t="str">
        <x:v>否</x:v>
      </x:c>
      <x:c r="J1106" s="14" t="n">
        <x:v>1</x:v>
      </x:c>
      <x:c r="K1106" s="14" t="str">
        <x:v>研究生宿舍楼</x:v>
      </x:c>
      <x:c r="L1106" s="14" t="n">
        <x:v>0</x:v>
      </x:c>
      <x:c r="M1106" s="14" t="str">
        <x:v>15:40</x:v>
      </x:c>
      <x:c r="N1106" s="14" t="str">
        <x:v>是</x:v>
      </x:c>
      <x:c r="O1106" s="14" t="str">
        <x:v>否</x:v>
      </x:c>
      <x:c r="P1106" s="14" t="str">
        <x:v>未提供</x:v>
      </x:c>
      <x:c r="Q1106" s="14" t="str">
        <x:v>未提供</x:v>
      </x:c>
      <x:c r="R1106" s="14" t="str">
        <x:v>预测</x:v>
      </x:c>
      <x:c r="S1106" s="14" t="str">
        <x:v>到站时间为估算值</x:v>
      </x:c>
      <x:c r="T1106" t="str">
        <x:v>研究生宿舍楼发车</x:v>
      </x:c>
    </x:row>
    <x:row r="1107">
      <x:c r="A1107" s="14" t="str">
        <x:v>S0094-02</x:v>
      </x:c>
      <x:c r="B1107" s="14" t="str">
        <x:v>S0094</x:v>
      </x:c>
      <x:c r="C1107" s="14" t="str">
        <x:v>工作日</x:v>
      </x:c>
      <x:c r="D1107" s="14" t="str">
        <x:v>环线2路</x:v>
      </x:c>
      <x:c r="E1107" s="14" t="str">
        <x:v>第二班</x:v>
      </x:c>
      <x:c r="F1107" s="14" t="n">
        <x:v>5</x:v>
      </x:c>
      <x:c r="G1107" s="14" t="str">
        <x:v>15:40</x:v>
      </x:c>
      <x:c r="H1107" s="14" t="str">
        <x:v>研究生宿舍楼</x:v>
      </x:c>
      <x:c r="I1107" s="14" t="str">
        <x:v>否</x:v>
      </x:c>
      <x:c r="J1107" s="14" t="n">
        <x:v>2</x:v>
      </x:c>
      <x:c r="K1107" s="14" t="str">
        <x:v>一食堂</x:v>
      </x:c>
      <x:c r="L1107" s="14" t="n">
        <x:v>1</x:v>
      </x:c>
      <x:c r="M1107" s="14" t="str">
        <x:v>15:41</x:v>
      </x:c>
      <x:c r="N1107" s="14" t="str">
        <x:v>否</x:v>
      </x:c>
      <x:c r="O1107" s="14" t="str">
        <x:v>否</x:v>
      </x:c>
      <x:c r="P1107" s="14" t="str">
        <x:v>未提供</x:v>
      </x:c>
      <x:c r="Q1107" s="14" t="str">
        <x:v>未提供</x:v>
      </x:c>
      <x:c r="R1107" s="14" t="str">
        <x:v>预测</x:v>
      </x:c>
      <x:c r="S1107" s="14" t="str">
        <x:v>到站时间为估算值</x:v>
      </x:c>
      <x:c r="T1107" t="str">
        <x:v>研究生宿舍楼发车</x:v>
      </x:c>
    </x:row>
    <x:row r="1108">
      <x:c r="A1108" s="14" t="str">
        <x:v>S0094-03</x:v>
      </x:c>
      <x:c r="B1108" s="14" t="str">
        <x:v>S0094</x:v>
      </x:c>
      <x:c r="C1108" s="14" t="str">
        <x:v>工作日</x:v>
      </x:c>
      <x:c r="D1108" s="14" t="str">
        <x:v>环线2路</x:v>
      </x:c>
      <x:c r="E1108" s="14" t="str">
        <x:v>第二班</x:v>
      </x:c>
      <x:c r="F1108" s="14" t="n">
        <x:v>5</x:v>
      </x:c>
      <x:c r="G1108" s="14" t="str">
        <x:v>15:40</x:v>
      </x:c>
      <x:c r="H1108" s="14" t="str">
        <x:v>研究生宿舍楼</x:v>
      </x:c>
      <x:c r="I1108" s="14" t="str">
        <x:v>否</x:v>
      </x:c>
      <x:c r="J1108" s="14" t="n">
        <x:v>3</x:v>
      </x:c>
      <x:c r="K1108" s="14" t="str">
        <x:v>门诊部</x:v>
      </x:c>
      <x:c r="L1108" s="14" t="n">
        <x:v>2</x:v>
      </x:c>
      <x:c r="M1108" s="14" t="str">
        <x:v>15:42</x:v>
      </x:c>
      <x:c r="N1108" s="14" t="str">
        <x:v>否</x:v>
      </x:c>
      <x:c r="O1108" s="14" t="str">
        <x:v>否</x:v>
      </x:c>
      <x:c r="P1108" s="14" t="str">
        <x:v>未提供</x:v>
      </x:c>
      <x:c r="Q1108" s="14" t="str">
        <x:v>未提供</x:v>
      </x:c>
      <x:c r="R1108" s="14" t="str">
        <x:v>预测</x:v>
      </x:c>
      <x:c r="S1108" s="14" t="str">
        <x:v>到站时间为估算值</x:v>
      </x:c>
      <x:c r="T1108" t="str">
        <x:v>研究生宿舍楼发车</x:v>
      </x:c>
    </x:row>
    <x:row r="1109">
      <x:c r="A1109" s="14" t="str">
        <x:v>S0094-04</x:v>
      </x:c>
      <x:c r="B1109" s="14" t="str">
        <x:v>S0094</x:v>
      </x:c>
      <x:c r="C1109" s="14" t="str">
        <x:v>工作日</x:v>
      </x:c>
      <x:c r="D1109" s="14" t="str">
        <x:v>环线2路</x:v>
      </x:c>
      <x:c r="E1109" s="14" t="str">
        <x:v>第二班</x:v>
      </x:c>
      <x:c r="F1109" s="14" t="n">
        <x:v>5</x:v>
      </x:c>
      <x:c r="G1109" s="14" t="str">
        <x:v>15:40</x:v>
      </x:c>
      <x:c r="H1109" s="14" t="str">
        <x:v>研究生宿舍楼</x:v>
      </x:c>
      <x:c r="I1109" s="14" t="str">
        <x:v>否</x:v>
      </x:c>
      <x:c r="J1109" s="14" t="n">
        <x:v>4</x:v>
      </x:c>
      <x:c r="K1109" s="14" t="str">
        <x:v>1号宿舍楼</x:v>
      </x:c>
      <x:c r="L1109" s="14" t="n">
        <x:v>3</x:v>
      </x:c>
      <x:c r="M1109" s="14" t="str">
        <x:v>15:43</x:v>
      </x:c>
      <x:c r="N1109" s="14" t="str">
        <x:v>否</x:v>
      </x:c>
      <x:c r="O1109" s="14" t="str">
        <x:v>否</x:v>
      </x:c>
      <x:c r="P1109" s="14" t="str">
        <x:v>未提供</x:v>
      </x:c>
      <x:c r="Q1109" s="14" t="str">
        <x:v>未提供</x:v>
      </x:c>
      <x:c r="R1109" s="14" t="str">
        <x:v>预测</x:v>
      </x:c>
      <x:c r="S1109" s="14" t="str">
        <x:v>到站时间为估算值</x:v>
      </x:c>
      <x:c r="T1109" t="str">
        <x:v>研究生宿舍楼发车</x:v>
      </x:c>
    </x:row>
    <x:row r="1110">
      <x:c r="A1110" s="14" t="str">
        <x:v>S0094-05</x:v>
      </x:c>
      <x:c r="B1110" s="14" t="str">
        <x:v>S0094</x:v>
      </x:c>
      <x:c r="C1110" s="14" t="str">
        <x:v>工作日</x:v>
      </x:c>
      <x:c r="D1110" s="14" t="str">
        <x:v>环线2路</x:v>
      </x:c>
      <x:c r="E1110" s="14" t="str">
        <x:v>第二班</x:v>
      </x:c>
      <x:c r="F1110" s="14" t="n">
        <x:v>5</x:v>
      </x:c>
      <x:c r="G1110" s="14" t="str">
        <x:v>15:40</x:v>
      </x:c>
      <x:c r="H1110" s="14" t="str">
        <x:v>研究生宿舍楼</x:v>
      </x:c>
      <x:c r="I1110" s="14" t="str">
        <x:v>否</x:v>
      </x:c>
      <x:c r="J1110" s="14" t="n">
        <x:v>5</x:v>
      </x:c>
      <x:c r="K1110" s="14" t="str">
        <x:v>水上训练中心</x:v>
      </x:c>
      <x:c r="L1110" s="14" t="n">
        <x:v>5</x:v>
      </x:c>
      <x:c r="M1110" s="14" t="str">
        <x:v>15:45</x:v>
      </x:c>
      <x:c r="N1110" s="14" t="str">
        <x:v>否</x:v>
      </x:c>
      <x:c r="O1110" s="14" t="str">
        <x:v>否</x:v>
      </x:c>
      <x:c r="P1110" s="14" t="str">
        <x:v>未提供</x:v>
      </x:c>
      <x:c r="Q1110" s="14" t="str">
        <x:v>未提供</x:v>
      </x:c>
      <x:c r="R1110" s="14" t="str">
        <x:v>预测</x:v>
      </x:c>
      <x:c r="S1110" s="14" t="str">
        <x:v>到站时间为估算值</x:v>
      </x:c>
      <x:c r="T1110" t="str">
        <x:v>研究生宿舍楼发车</x:v>
      </x:c>
    </x:row>
    <x:row r="1111">
      <x:c r="A1111" s="14" t="str">
        <x:v>S0094-06</x:v>
      </x:c>
      <x:c r="B1111" s="14" t="str">
        <x:v>S0094</x:v>
      </x:c>
      <x:c r="C1111" s="14" t="str">
        <x:v>工作日</x:v>
      </x:c>
      <x:c r="D1111" s="14" t="str">
        <x:v>环线2路</x:v>
      </x:c>
      <x:c r="E1111" s="14" t="str">
        <x:v>第二班</x:v>
      </x:c>
      <x:c r="F1111" s="14" t="n">
        <x:v>5</x:v>
      </x:c>
      <x:c r="G1111" s="14" t="str">
        <x:v>15:40</x:v>
      </x:c>
      <x:c r="H1111" s="14" t="str">
        <x:v>研究生宿舍楼</x:v>
      </x:c>
      <x:c r="I1111" s="14" t="str">
        <x:v>否</x:v>
      </x:c>
      <x:c r="J1111" s="14" t="n">
        <x:v>6</x:v>
      </x:c>
      <x:c r="K1111" s="14" t="str">
        <x:v>军体活动中心</x:v>
      </x:c>
      <x:c r="L1111" s="14" t="n">
        <x:v>6</x:v>
      </x:c>
      <x:c r="M1111" s="14" t="str">
        <x:v>15:46</x:v>
      </x:c>
      <x:c r="N1111" s="14" t="str">
        <x:v>否</x:v>
      </x:c>
      <x:c r="O1111" s="14" t="str">
        <x:v>否</x:v>
      </x:c>
      <x:c r="P1111" s="14" t="str">
        <x:v>未提供</x:v>
      </x:c>
      <x:c r="Q1111" s="14" t="str">
        <x:v>未提供</x:v>
      </x:c>
      <x:c r="R1111" s="14" t="str">
        <x:v>预测</x:v>
      </x:c>
      <x:c r="S1111" s="14" t="str">
        <x:v>到站时间为估算值</x:v>
      </x:c>
      <x:c r="T1111" t="str">
        <x:v>研究生宿舍楼发车</x:v>
      </x:c>
    </x:row>
    <x:row r="1112">
      <x:c r="A1112" s="14" t="str">
        <x:v>S0094-07</x:v>
      </x:c>
      <x:c r="B1112" s="14" t="str">
        <x:v>S0094</x:v>
      </x:c>
      <x:c r="C1112" s="14" t="str">
        <x:v>工作日</x:v>
      </x:c>
      <x:c r="D1112" s="14" t="str">
        <x:v>环线2路</x:v>
      </x:c>
      <x:c r="E1112" s="14" t="str">
        <x:v>第二班</x:v>
      </x:c>
      <x:c r="F1112" s="14" t="n">
        <x:v>5</x:v>
      </x:c>
      <x:c r="G1112" s="14" t="str">
        <x:v>15:40</x:v>
      </x:c>
      <x:c r="H1112" s="14" t="str">
        <x:v>研究生宿舍楼</x:v>
      </x:c>
      <x:c r="I1112" s="14" t="str">
        <x:v>否</x:v>
      </x:c>
      <x:c r="J1112" s="14" t="n">
        <x:v>7</x:v>
      </x:c>
      <x:c r="K1112" s="14" t="str">
        <x:v>二食堂</x:v>
      </x:c>
      <x:c r="L1112" s="14" t="n">
        <x:v>8</x:v>
      </x:c>
      <x:c r="M1112" s="14" t="str">
        <x:v>15:48</x:v>
      </x:c>
      <x:c r="N1112" s="14" t="str">
        <x:v>否</x:v>
      </x:c>
      <x:c r="O1112" s="14" t="str">
        <x:v>否</x:v>
      </x:c>
      <x:c r="P1112" s="14" t="str">
        <x:v>未提供</x:v>
      </x:c>
      <x:c r="Q1112" s="14" t="str">
        <x:v>未提供</x:v>
      </x:c>
      <x:c r="R1112" s="14" t="str">
        <x:v>预测</x:v>
      </x:c>
      <x:c r="S1112" s="14" t="str">
        <x:v>到站时间为估算值</x:v>
      </x:c>
      <x:c r="T1112" t="str">
        <x:v>研究生宿舍楼发车</x:v>
      </x:c>
    </x:row>
    <x:row r="1113">
      <x:c r="A1113" s="14" t="str">
        <x:v>S0094-08</x:v>
      </x:c>
      <x:c r="B1113" s="14" t="str">
        <x:v>S0094</x:v>
      </x:c>
      <x:c r="C1113" s="14" t="str">
        <x:v>工作日</x:v>
      </x:c>
      <x:c r="D1113" s="14" t="str">
        <x:v>环线2路</x:v>
      </x:c>
      <x:c r="E1113" s="14" t="str">
        <x:v>第二班</x:v>
      </x:c>
      <x:c r="F1113" s="14" t="n">
        <x:v>5</x:v>
      </x:c>
      <x:c r="G1113" s="14" t="str">
        <x:v>15:40</x:v>
      </x:c>
      <x:c r="H1113" s="14" t="str">
        <x:v>研究生宿舍楼</x:v>
      </x:c>
      <x:c r="I1113" s="14" t="str">
        <x:v>否</x:v>
      </x:c>
      <x:c r="J1113" s="14" t="n">
        <x:v>8</x:v>
      </x:c>
      <x:c r="K1113" s="14" t="str">
        <x:v>5号宿舍楼</x:v>
      </x:c>
      <x:c r="L1113" s="14" t="n">
        <x:v>9</x:v>
      </x:c>
      <x:c r="M1113" s="14" t="str">
        <x:v>15:49</x:v>
      </x:c>
      <x:c r="N1113" s="14" t="str">
        <x:v>否</x:v>
      </x:c>
      <x:c r="O1113" s="14" t="str">
        <x:v>否</x:v>
      </x:c>
      <x:c r="P1113" s="14" t="str">
        <x:v>未提供</x:v>
      </x:c>
      <x:c r="Q1113" s="14" t="str">
        <x:v>未提供</x:v>
      </x:c>
      <x:c r="R1113" s="14" t="str">
        <x:v>预测</x:v>
      </x:c>
      <x:c r="S1113" s="14" t="str">
        <x:v>到站时间为估算值</x:v>
      </x:c>
      <x:c r="T1113" t="str">
        <x:v>研究生宿舍楼发车</x:v>
      </x:c>
    </x:row>
    <x:row r="1114">
      <x:c r="A1114" s="14" t="str">
        <x:v>S0094-09</x:v>
      </x:c>
      <x:c r="B1114" s="14" t="str">
        <x:v>S0094</x:v>
      </x:c>
      <x:c r="C1114" s="14" t="str">
        <x:v>工作日</x:v>
      </x:c>
      <x:c r="D1114" s="14" t="str">
        <x:v>环线2路</x:v>
      </x:c>
      <x:c r="E1114" s="14" t="str">
        <x:v>第二班</x:v>
      </x:c>
      <x:c r="F1114" s="14" t="n">
        <x:v>5</x:v>
      </x:c>
      <x:c r="G1114" s="14" t="str">
        <x:v>15:40</x:v>
      </x:c>
      <x:c r="H1114" s="14" t="str">
        <x:v>研究生宿舍楼</x:v>
      </x:c>
      <x:c r="I1114" s="14" t="str">
        <x:v>否</x:v>
      </x:c>
      <x:c r="J1114" s="14" t="n">
        <x:v>9</x:v>
      </x:c>
      <x:c r="K1114" s="14" t="str">
        <x:v>305教学楼</x:v>
      </x:c>
      <x:c r="L1114" s="14" t="n">
        <x:v>10</x:v>
      </x:c>
      <x:c r="M1114" s="14" t="str">
        <x:v>15:50</x:v>
      </x:c>
      <x:c r="N1114" s="14" t="str">
        <x:v>否</x:v>
      </x:c>
      <x:c r="O1114" s="14" t="str">
        <x:v>否</x:v>
      </x:c>
      <x:c r="P1114" s="14" t="str">
        <x:v>未提供</x:v>
      </x:c>
      <x:c r="Q1114" s="14" t="str">
        <x:v>未提供</x:v>
      </x:c>
      <x:c r="R1114" s="14" t="str">
        <x:v>预测</x:v>
      </x:c>
      <x:c r="S1114" s="14" t="str">
        <x:v>到站时间为估算值</x:v>
      </x:c>
      <x:c r="T1114" t="str">
        <x:v>研究生宿舍楼发车</x:v>
      </x:c>
    </x:row>
    <x:row r="1115">
      <x:c r="A1115" s="14" t="str">
        <x:v>S0094-10</x:v>
      </x:c>
      <x:c r="B1115" s="14" t="str">
        <x:v>S0094</x:v>
      </x:c>
      <x:c r="C1115" s="14" t="str">
        <x:v>工作日</x:v>
      </x:c>
      <x:c r="D1115" s="14" t="str">
        <x:v>环线2路</x:v>
      </x:c>
      <x:c r="E1115" s="14" t="str">
        <x:v>第二班</x:v>
      </x:c>
      <x:c r="F1115" s="14" t="n">
        <x:v>5</x:v>
      </x:c>
      <x:c r="G1115" s="14" t="str">
        <x:v>15:40</x:v>
      </x:c>
      <x:c r="H1115" s="14" t="str">
        <x:v>研究生宿舍楼</x:v>
      </x:c>
      <x:c r="I1115" s="14" t="str">
        <x:v>否</x:v>
      </x:c>
      <x:c r="J1115" s="14" t="n">
        <x:v>10</x:v>
      </x:c>
      <x:c r="K1115" s="14" t="str">
        <x:v>研究生宿舍楼</x:v>
      </x:c>
      <x:c r="L1115" s="14" t="n">
        <x:v>12</x:v>
      </x:c>
      <x:c r="M1115" s="14" t="str">
        <x:v>15:52</x:v>
      </x:c>
      <x:c r="N1115" s="14" t="str">
        <x:v>否</x:v>
      </x:c>
      <x:c r="O1115" s="14" t="str">
        <x:v>是</x:v>
      </x:c>
      <x:c r="P1115" s="14" t="str">
        <x:v>未提供</x:v>
      </x:c>
      <x:c r="Q1115" s="14" t="str">
        <x:v>未提供</x:v>
      </x:c>
      <x:c r="R1115" s="14" t="str">
        <x:v>预测</x:v>
      </x:c>
      <x:c r="S1115" s="14" t="str">
        <x:v>到站时间为估算值</x:v>
      </x:c>
      <x:c r="T1115" t="str">
        <x:v>研究生宿舍楼发车</x:v>
      </x:c>
    </x:row>
    <x:row r="1116">
      <x:c r="A1116" s="14" t="str">
        <x:v>S0095-01</x:v>
      </x:c>
      <x:c r="B1116" s="14" t="str">
        <x:v>S0095</x:v>
      </x:c>
      <x:c r="C1116" s="14" t="str">
        <x:v>工作日</x:v>
      </x:c>
      <x:c r="D1116" s="14" t="str">
        <x:v>环线2路</x:v>
      </x:c>
      <x:c r="E1116" s="14" t="str">
        <x:v>第二班</x:v>
      </x:c>
      <x:c r="F1116" s="14" t="n">
        <x:v>6</x:v>
      </x:c>
      <x:c r="G1116" s="14" t="str">
        <x:v>16:00</x:v>
      </x:c>
      <x:c r="H1116" s="14" t="str">
        <x:v>研究生宿舍楼</x:v>
      </x:c>
      <x:c r="I1116" s="14" t="str">
        <x:v>否</x:v>
      </x:c>
      <x:c r="J1116" s="14" t="n">
        <x:v>1</x:v>
      </x:c>
      <x:c r="K1116" s="14" t="str">
        <x:v>研究生宿舍楼</x:v>
      </x:c>
      <x:c r="L1116" s="14" t="n">
        <x:v>0</x:v>
      </x:c>
      <x:c r="M1116" s="14" t="str">
        <x:v>16:00</x:v>
      </x:c>
      <x:c r="N1116" s="14" t="str">
        <x:v>是</x:v>
      </x:c>
      <x:c r="O1116" s="14" t="str">
        <x:v>否</x:v>
      </x:c>
      <x:c r="P1116" s="14" t="str">
        <x:v>未提供</x:v>
      </x:c>
      <x:c r="Q1116" s="14" t="str">
        <x:v>未提供</x:v>
      </x:c>
      <x:c r="R1116" s="14" t="str">
        <x:v>预测</x:v>
      </x:c>
      <x:c r="S1116" s="14" t="str">
        <x:v>到站时间为估算值</x:v>
      </x:c>
      <x:c r="T1116" t="str">
        <x:v>研究生宿舍楼发车</x:v>
      </x:c>
    </x:row>
    <x:row r="1117">
      <x:c r="A1117" s="14" t="str">
        <x:v>S0095-02</x:v>
      </x:c>
      <x:c r="B1117" s="14" t="str">
        <x:v>S0095</x:v>
      </x:c>
      <x:c r="C1117" s="14" t="str">
        <x:v>工作日</x:v>
      </x:c>
      <x:c r="D1117" s="14" t="str">
        <x:v>环线2路</x:v>
      </x:c>
      <x:c r="E1117" s="14" t="str">
        <x:v>第二班</x:v>
      </x:c>
      <x:c r="F1117" s="14" t="n">
        <x:v>6</x:v>
      </x:c>
      <x:c r="G1117" s="14" t="str">
        <x:v>16:00</x:v>
      </x:c>
      <x:c r="H1117" s="14" t="str">
        <x:v>研究生宿舍楼</x:v>
      </x:c>
      <x:c r="I1117" s="14" t="str">
        <x:v>否</x:v>
      </x:c>
      <x:c r="J1117" s="14" t="n">
        <x:v>2</x:v>
      </x:c>
      <x:c r="K1117" s="14" t="str">
        <x:v>一食堂</x:v>
      </x:c>
      <x:c r="L1117" s="14" t="n">
        <x:v>1</x:v>
      </x:c>
      <x:c r="M1117" s="14" t="str">
        <x:v>16:01</x:v>
      </x:c>
      <x:c r="N1117" s="14" t="str">
        <x:v>否</x:v>
      </x:c>
      <x:c r="O1117" s="14" t="str">
        <x:v>否</x:v>
      </x:c>
      <x:c r="P1117" s="14" t="str">
        <x:v>未提供</x:v>
      </x:c>
      <x:c r="Q1117" s="14" t="str">
        <x:v>未提供</x:v>
      </x:c>
      <x:c r="R1117" s="14" t="str">
        <x:v>预测</x:v>
      </x:c>
      <x:c r="S1117" s="14" t="str">
        <x:v>到站时间为估算值</x:v>
      </x:c>
      <x:c r="T1117" t="str">
        <x:v>研究生宿舍楼发车</x:v>
      </x:c>
    </x:row>
    <x:row r="1118">
      <x:c r="A1118" s="14" t="str">
        <x:v>S0095-03</x:v>
      </x:c>
      <x:c r="B1118" s="14" t="str">
        <x:v>S0095</x:v>
      </x:c>
      <x:c r="C1118" s="14" t="str">
        <x:v>工作日</x:v>
      </x:c>
      <x:c r="D1118" s="14" t="str">
        <x:v>环线2路</x:v>
      </x:c>
      <x:c r="E1118" s="14" t="str">
        <x:v>第二班</x:v>
      </x:c>
      <x:c r="F1118" s="14" t="n">
        <x:v>6</x:v>
      </x:c>
      <x:c r="G1118" s="14" t="str">
        <x:v>16:00</x:v>
      </x:c>
      <x:c r="H1118" s="14" t="str">
        <x:v>研究生宿舍楼</x:v>
      </x:c>
      <x:c r="I1118" s="14" t="str">
        <x:v>否</x:v>
      </x:c>
      <x:c r="J1118" s="14" t="n">
        <x:v>3</x:v>
      </x:c>
      <x:c r="K1118" s="14" t="str">
        <x:v>门诊部</x:v>
      </x:c>
      <x:c r="L1118" s="14" t="n">
        <x:v>2</x:v>
      </x:c>
      <x:c r="M1118" s="14" t="str">
        <x:v>16:02</x:v>
      </x:c>
      <x:c r="N1118" s="14" t="str">
        <x:v>否</x:v>
      </x:c>
      <x:c r="O1118" s="14" t="str">
        <x:v>否</x:v>
      </x:c>
      <x:c r="P1118" s="14" t="str">
        <x:v>未提供</x:v>
      </x:c>
      <x:c r="Q1118" s="14" t="str">
        <x:v>未提供</x:v>
      </x:c>
      <x:c r="R1118" s="14" t="str">
        <x:v>预测</x:v>
      </x:c>
      <x:c r="S1118" s="14" t="str">
        <x:v>到站时间为估算值</x:v>
      </x:c>
      <x:c r="T1118" t="str">
        <x:v>研究生宿舍楼发车</x:v>
      </x:c>
    </x:row>
    <x:row r="1119">
      <x:c r="A1119" s="14" t="str">
        <x:v>S0095-04</x:v>
      </x:c>
      <x:c r="B1119" s="14" t="str">
        <x:v>S0095</x:v>
      </x:c>
      <x:c r="C1119" s="14" t="str">
        <x:v>工作日</x:v>
      </x:c>
      <x:c r="D1119" s="14" t="str">
        <x:v>环线2路</x:v>
      </x:c>
      <x:c r="E1119" s="14" t="str">
        <x:v>第二班</x:v>
      </x:c>
      <x:c r="F1119" s="14" t="n">
        <x:v>6</x:v>
      </x:c>
      <x:c r="G1119" s="14" t="str">
        <x:v>16:00</x:v>
      </x:c>
      <x:c r="H1119" s="14" t="str">
        <x:v>研究生宿舍楼</x:v>
      </x:c>
      <x:c r="I1119" s="14" t="str">
        <x:v>否</x:v>
      </x:c>
      <x:c r="J1119" s="14" t="n">
        <x:v>4</x:v>
      </x:c>
      <x:c r="K1119" s="14" t="str">
        <x:v>1号宿舍楼</x:v>
      </x:c>
      <x:c r="L1119" s="14" t="n">
        <x:v>3</x:v>
      </x:c>
      <x:c r="M1119" s="14" t="str">
        <x:v>16:03</x:v>
      </x:c>
      <x:c r="N1119" s="14" t="str">
        <x:v>否</x:v>
      </x:c>
      <x:c r="O1119" s="14" t="str">
        <x:v>否</x:v>
      </x:c>
      <x:c r="P1119" s="14" t="str">
        <x:v>未提供</x:v>
      </x:c>
      <x:c r="Q1119" s="14" t="str">
        <x:v>未提供</x:v>
      </x:c>
      <x:c r="R1119" s="14" t="str">
        <x:v>预测</x:v>
      </x:c>
      <x:c r="S1119" s="14" t="str">
        <x:v>到站时间为估算值</x:v>
      </x:c>
      <x:c r="T1119" t="str">
        <x:v>研究生宿舍楼发车</x:v>
      </x:c>
    </x:row>
    <x:row r="1120">
      <x:c r="A1120" s="14" t="str">
        <x:v>S0095-05</x:v>
      </x:c>
      <x:c r="B1120" s="14" t="str">
        <x:v>S0095</x:v>
      </x:c>
      <x:c r="C1120" s="14" t="str">
        <x:v>工作日</x:v>
      </x:c>
      <x:c r="D1120" s="14" t="str">
        <x:v>环线2路</x:v>
      </x:c>
      <x:c r="E1120" s="14" t="str">
        <x:v>第二班</x:v>
      </x:c>
      <x:c r="F1120" s="14" t="n">
        <x:v>6</x:v>
      </x:c>
      <x:c r="G1120" s="14" t="str">
        <x:v>16:00</x:v>
      </x:c>
      <x:c r="H1120" s="14" t="str">
        <x:v>研究生宿舍楼</x:v>
      </x:c>
      <x:c r="I1120" s="14" t="str">
        <x:v>否</x:v>
      </x:c>
      <x:c r="J1120" s="14" t="n">
        <x:v>5</x:v>
      </x:c>
      <x:c r="K1120" s="14" t="str">
        <x:v>水上训练中心</x:v>
      </x:c>
      <x:c r="L1120" s="14" t="n">
        <x:v>5</x:v>
      </x:c>
      <x:c r="M1120" s="14" t="str">
        <x:v>16:05</x:v>
      </x:c>
      <x:c r="N1120" s="14" t="str">
        <x:v>否</x:v>
      </x:c>
      <x:c r="O1120" s="14" t="str">
        <x:v>否</x:v>
      </x:c>
      <x:c r="P1120" s="14" t="str">
        <x:v>未提供</x:v>
      </x:c>
      <x:c r="Q1120" s="14" t="str">
        <x:v>未提供</x:v>
      </x:c>
      <x:c r="R1120" s="14" t="str">
        <x:v>预测</x:v>
      </x:c>
      <x:c r="S1120" s="14" t="str">
        <x:v>到站时间为估算值</x:v>
      </x:c>
      <x:c r="T1120" t="str">
        <x:v>研究生宿舍楼发车</x:v>
      </x:c>
    </x:row>
    <x:row r="1121">
      <x:c r="A1121" s="14" t="str">
        <x:v>S0095-06</x:v>
      </x:c>
      <x:c r="B1121" s="14" t="str">
        <x:v>S0095</x:v>
      </x:c>
      <x:c r="C1121" s="14" t="str">
        <x:v>工作日</x:v>
      </x:c>
      <x:c r="D1121" s="14" t="str">
        <x:v>环线2路</x:v>
      </x:c>
      <x:c r="E1121" s="14" t="str">
        <x:v>第二班</x:v>
      </x:c>
      <x:c r="F1121" s="14" t="n">
        <x:v>6</x:v>
      </x:c>
      <x:c r="G1121" s="14" t="str">
        <x:v>16:00</x:v>
      </x:c>
      <x:c r="H1121" s="14" t="str">
        <x:v>研究生宿舍楼</x:v>
      </x:c>
      <x:c r="I1121" s="14" t="str">
        <x:v>否</x:v>
      </x:c>
      <x:c r="J1121" s="14" t="n">
        <x:v>6</x:v>
      </x:c>
      <x:c r="K1121" s="14" t="str">
        <x:v>军体活动中心</x:v>
      </x:c>
      <x:c r="L1121" s="14" t="n">
        <x:v>6</x:v>
      </x:c>
      <x:c r="M1121" s="14" t="str">
        <x:v>16:06</x:v>
      </x:c>
      <x:c r="N1121" s="14" t="str">
        <x:v>否</x:v>
      </x:c>
      <x:c r="O1121" s="14" t="str">
        <x:v>否</x:v>
      </x:c>
      <x:c r="P1121" s="14" t="str">
        <x:v>未提供</x:v>
      </x:c>
      <x:c r="Q1121" s="14" t="str">
        <x:v>未提供</x:v>
      </x:c>
      <x:c r="R1121" s="14" t="str">
        <x:v>预测</x:v>
      </x:c>
      <x:c r="S1121" s="14" t="str">
        <x:v>到站时间为估算值</x:v>
      </x:c>
      <x:c r="T1121" t="str">
        <x:v>研究生宿舍楼发车</x:v>
      </x:c>
    </x:row>
    <x:row r="1122">
      <x:c r="A1122" s="14" t="str">
        <x:v>S0095-07</x:v>
      </x:c>
      <x:c r="B1122" s="14" t="str">
        <x:v>S0095</x:v>
      </x:c>
      <x:c r="C1122" s="14" t="str">
        <x:v>工作日</x:v>
      </x:c>
      <x:c r="D1122" s="14" t="str">
        <x:v>环线2路</x:v>
      </x:c>
      <x:c r="E1122" s="14" t="str">
        <x:v>第二班</x:v>
      </x:c>
      <x:c r="F1122" s="14" t="n">
        <x:v>6</x:v>
      </x:c>
      <x:c r="G1122" s="14" t="str">
        <x:v>16:00</x:v>
      </x:c>
      <x:c r="H1122" s="14" t="str">
        <x:v>研究生宿舍楼</x:v>
      </x:c>
      <x:c r="I1122" s="14" t="str">
        <x:v>否</x:v>
      </x:c>
      <x:c r="J1122" s="14" t="n">
        <x:v>7</x:v>
      </x:c>
      <x:c r="K1122" s="14" t="str">
        <x:v>二食堂</x:v>
      </x:c>
      <x:c r="L1122" s="14" t="n">
        <x:v>8</x:v>
      </x:c>
      <x:c r="M1122" s="14" t="str">
        <x:v>16:08</x:v>
      </x:c>
      <x:c r="N1122" s="14" t="str">
        <x:v>否</x:v>
      </x:c>
      <x:c r="O1122" s="14" t="str">
        <x:v>否</x:v>
      </x:c>
      <x:c r="P1122" s="14" t="str">
        <x:v>未提供</x:v>
      </x:c>
      <x:c r="Q1122" s="14" t="str">
        <x:v>未提供</x:v>
      </x:c>
      <x:c r="R1122" s="14" t="str">
        <x:v>预测</x:v>
      </x:c>
      <x:c r="S1122" s="14" t="str">
        <x:v>到站时间为估算值</x:v>
      </x:c>
      <x:c r="T1122" t="str">
        <x:v>研究生宿舍楼发车</x:v>
      </x:c>
    </x:row>
    <x:row r="1123">
      <x:c r="A1123" s="14" t="str">
        <x:v>S0095-08</x:v>
      </x:c>
      <x:c r="B1123" s="14" t="str">
        <x:v>S0095</x:v>
      </x:c>
      <x:c r="C1123" s="14" t="str">
        <x:v>工作日</x:v>
      </x:c>
      <x:c r="D1123" s="14" t="str">
        <x:v>环线2路</x:v>
      </x:c>
      <x:c r="E1123" s="14" t="str">
        <x:v>第二班</x:v>
      </x:c>
      <x:c r="F1123" s="14" t="n">
        <x:v>6</x:v>
      </x:c>
      <x:c r="G1123" s="14" t="str">
        <x:v>16:00</x:v>
      </x:c>
      <x:c r="H1123" s="14" t="str">
        <x:v>研究生宿舍楼</x:v>
      </x:c>
      <x:c r="I1123" s="14" t="str">
        <x:v>否</x:v>
      </x:c>
      <x:c r="J1123" s="14" t="n">
        <x:v>8</x:v>
      </x:c>
      <x:c r="K1123" s="14" t="str">
        <x:v>5号宿舍楼</x:v>
      </x:c>
      <x:c r="L1123" s="14" t="n">
        <x:v>9</x:v>
      </x:c>
      <x:c r="M1123" s="14" t="str">
        <x:v>16:09</x:v>
      </x:c>
      <x:c r="N1123" s="14" t="str">
        <x:v>否</x:v>
      </x:c>
      <x:c r="O1123" s="14" t="str">
        <x:v>否</x:v>
      </x:c>
      <x:c r="P1123" s="14" t="str">
        <x:v>未提供</x:v>
      </x:c>
      <x:c r="Q1123" s="14" t="str">
        <x:v>未提供</x:v>
      </x:c>
      <x:c r="R1123" s="14" t="str">
        <x:v>预测</x:v>
      </x:c>
      <x:c r="S1123" s="14" t="str">
        <x:v>到站时间为估算值</x:v>
      </x:c>
      <x:c r="T1123" t="str">
        <x:v>研究生宿舍楼发车</x:v>
      </x:c>
    </x:row>
    <x:row r="1124">
      <x:c r="A1124" s="14" t="str">
        <x:v>S0095-09</x:v>
      </x:c>
      <x:c r="B1124" s="14" t="str">
        <x:v>S0095</x:v>
      </x:c>
      <x:c r="C1124" s="14" t="str">
        <x:v>工作日</x:v>
      </x:c>
      <x:c r="D1124" s="14" t="str">
        <x:v>环线2路</x:v>
      </x:c>
      <x:c r="E1124" s="14" t="str">
        <x:v>第二班</x:v>
      </x:c>
      <x:c r="F1124" s="14" t="n">
        <x:v>6</x:v>
      </x:c>
      <x:c r="G1124" s="14" t="str">
        <x:v>16:00</x:v>
      </x:c>
      <x:c r="H1124" s="14" t="str">
        <x:v>研究生宿舍楼</x:v>
      </x:c>
      <x:c r="I1124" s="14" t="str">
        <x:v>否</x:v>
      </x:c>
      <x:c r="J1124" s="14" t="n">
        <x:v>9</x:v>
      </x:c>
      <x:c r="K1124" s="14" t="str">
        <x:v>305教学楼</x:v>
      </x:c>
      <x:c r="L1124" s="14" t="n">
        <x:v>10</x:v>
      </x:c>
      <x:c r="M1124" s="14" t="str">
        <x:v>16:10</x:v>
      </x:c>
      <x:c r="N1124" s="14" t="str">
        <x:v>否</x:v>
      </x:c>
      <x:c r="O1124" s="14" t="str">
        <x:v>否</x:v>
      </x:c>
      <x:c r="P1124" s="14" t="str">
        <x:v>未提供</x:v>
      </x:c>
      <x:c r="Q1124" s="14" t="str">
        <x:v>未提供</x:v>
      </x:c>
      <x:c r="R1124" s="14" t="str">
        <x:v>预测</x:v>
      </x:c>
      <x:c r="S1124" s="14" t="str">
        <x:v>到站时间为估算值</x:v>
      </x:c>
      <x:c r="T1124" t="str">
        <x:v>研究生宿舍楼发车</x:v>
      </x:c>
    </x:row>
    <x:row r="1125">
      <x:c r="A1125" s="14" t="str">
        <x:v>S0095-10</x:v>
      </x:c>
      <x:c r="B1125" s="14" t="str">
        <x:v>S0095</x:v>
      </x:c>
      <x:c r="C1125" s="14" t="str">
        <x:v>工作日</x:v>
      </x:c>
      <x:c r="D1125" s="14" t="str">
        <x:v>环线2路</x:v>
      </x:c>
      <x:c r="E1125" s="14" t="str">
        <x:v>第二班</x:v>
      </x:c>
      <x:c r="F1125" s="14" t="n">
        <x:v>6</x:v>
      </x:c>
      <x:c r="G1125" s="14" t="str">
        <x:v>16:00</x:v>
      </x:c>
      <x:c r="H1125" s="14" t="str">
        <x:v>研究生宿舍楼</x:v>
      </x:c>
      <x:c r="I1125" s="14" t="str">
        <x:v>否</x:v>
      </x:c>
      <x:c r="J1125" s="14" t="n">
        <x:v>10</x:v>
      </x:c>
      <x:c r="K1125" s="14" t="str">
        <x:v>研究生宿舍楼</x:v>
      </x:c>
      <x:c r="L1125" s="14" t="n">
        <x:v>12</x:v>
      </x:c>
      <x:c r="M1125" s="14" t="str">
        <x:v>16:12</x:v>
      </x:c>
      <x:c r="N1125" s="14" t="str">
        <x:v>否</x:v>
      </x:c>
      <x:c r="O1125" s="14" t="str">
        <x:v>是</x:v>
      </x:c>
      <x:c r="P1125" s="14" t="str">
        <x:v>未提供</x:v>
      </x:c>
      <x:c r="Q1125" s="14" t="str">
        <x:v>未提供</x:v>
      </x:c>
      <x:c r="R1125" s="14" t="str">
        <x:v>预测</x:v>
      </x:c>
      <x:c r="S1125" s="14" t="str">
        <x:v>到站时间为估算值</x:v>
      </x:c>
      <x:c r="T1125" t="str">
        <x:v>研究生宿舍楼发车</x:v>
      </x:c>
    </x:row>
    <x:row r="1126">
      <x:c r="A1126" s="14" t="str">
        <x:v>S0096-01</x:v>
      </x:c>
      <x:c r="B1126" s="14" t="str">
        <x:v>S0096</x:v>
      </x:c>
      <x:c r="C1126" s="14" t="str">
        <x:v>工作日</x:v>
      </x:c>
      <x:c r="D1126" s="14" t="str">
        <x:v>环线2路</x:v>
      </x:c>
      <x:c r="E1126" s="14" t="str">
        <x:v>第二班</x:v>
      </x:c>
      <x:c r="F1126" s="14" t="n">
        <x:v>7</x:v>
      </x:c>
      <x:c r="G1126" s="14" t="str">
        <x:v>16:35</x:v>
      </x:c>
      <x:c r="H1126" s="14" t="str">
        <x:v>研究生宿舍楼</x:v>
      </x:c>
      <x:c r="I1126" s="14" t="str">
        <x:v>否</x:v>
      </x:c>
      <x:c r="J1126" s="14" t="n">
        <x:v>1</x:v>
      </x:c>
      <x:c r="K1126" s="14" t="str">
        <x:v>研究生宿舍楼</x:v>
      </x:c>
      <x:c r="L1126" s="14" t="n">
        <x:v>0</x:v>
      </x:c>
      <x:c r="M1126" s="14" t="str">
        <x:v>16:35</x:v>
      </x:c>
      <x:c r="N1126" s="14" t="str">
        <x:v>是</x:v>
      </x:c>
      <x:c r="O1126" s="14" t="str">
        <x:v>否</x:v>
      </x:c>
      <x:c r="P1126" s="14" t="str">
        <x:v>未提供</x:v>
      </x:c>
      <x:c r="Q1126" s="14" t="str">
        <x:v>未提供</x:v>
      </x:c>
      <x:c r="R1126" s="14" t="str">
        <x:v>预测</x:v>
      </x:c>
      <x:c r="S1126" s="14" t="str">
        <x:v>到站时间为估算值</x:v>
      </x:c>
      <x:c r="T1126" t="str">
        <x:v>研究生宿舍楼发车</x:v>
      </x:c>
    </x:row>
    <x:row r="1127">
      <x:c r="A1127" s="14" t="str">
        <x:v>S0096-02</x:v>
      </x:c>
      <x:c r="B1127" s="14" t="str">
        <x:v>S0096</x:v>
      </x:c>
      <x:c r="C1127" s="14" t="str">
        <x:v>工作日</x:v>
      </x:c>
      <x:c r="D1127" s="14" t="str">
        <x:v>环线2路</x:v>
      </x:c>
      <x:c r="E1127" s="14" t="str">
        <x:v>第二班</x:v>
      </x:c>
      <x:c r="F1127" s="14" t="n">
        <x:v>7</x:v>
      </x:c>
      <x:c r="G1127" s="14" t="str">
        <x:v>16:35</x:v>
      </x:c>
      <x:c r="H1127" s="14" t="str">
        <x:v>研究生宿舍楼</x:v>
      </x:c>
      <x:c r="I1127" s="14" t="str">
        <x:v>否</x:v>
      </x:c>
      <x:c r="J1127" s="14" t="n">
        <x:v>2</x:v>
      </x:c>
      <x:c r="K1127" s="14" t="str">
        <x:v>一食堂</x:v>
      </x:c>
      <x:c r="L1127" s="14" t="n">
        <x:v>1</x:v>
      </x:c>
      <x:c r="M1127" s="14" t="str">
        <x:v>16:36</x:v>
      </x:c>
      <x:c r="N1127" s="14" t="str">
        <x:v>否</x:v>
      </x:c>
      <x:c r="O1127" s="14" t="str">
        <x:v>否</x:v>
      </x:c>
      <x:c r="P1127" s="14" t="str">
        <x:v>未提供</x:v>
      </x:c>
      <x:c r="Q1127" s="14" t="str">
        <x:v>未提供</x:v>
      </x:c>
      <x:c r="R1127" s="14" t="str">
        <x:v>预测</x:v>
      </x:c>
      <x:c r="S1127" s="14" t="str">
        <x:v>到站时间为估算值</x:v>
      </x:c>
      <x:c r="T1127" t="str">
        <x:v>研究生宿舍楼发车</x:v>
      </x:c>
    </x:row>
    <x:row r="1128">
      <x:c r="A1128" s="14" t="str">
        <x:v>S0096-03</x:v>
      </x:c>
      <x:c r="B1128" s="14" t="str">
        <x:v>S0096</x:v>
      </x:c>
      <x:c r="C1128" s="14" t="str">
        <x:v>工作日</x:v>
      </x:c>
      <x:c r="D1128" s="14" t="str">
        <x:v>环线2路</x:v>
      </x:c>
      <x:c r="E1128" s="14" t="str">
        <x:v>第二班</x:v>
      </x:c>
      <x:c r="F1128" s="14" t="n">
        <x:v>7</x:v>
      </x:c>
      <x:c r="G1128" s="14" t="str">
        <x:v>16:35</x:v>
      </x:c>
      <x:c r="H1128" s="14" t="str">
        <x:v>研究生宿舍楼</x:v>
      </x:c>
      <x:c r="I1128" s="14" t="str">
        <x:v>否</x:v>
      </x:c>
      <x:c r="J1128" s="14" t="n">
        <x:v>3</x:v>
      </x:c>
      <x:c r="K1128" s="14" t="str">
        <x:v>门诊部</x:v>
      </x:c>
      <x:c r="L1128" s="14" t="n">
        <x:v>2</x:v>
      </x:c>
      <x:c r="M1128" s="14" t="str">
        <x:v>16:37</x:v>
      </x:c>
      <x:c r="N1128" s="14" t="str">
        <x:v>否</x:v>
      </x:c>
      <x:c r="O1128" s="14" t="str">
        <x:v>否</x:v>
      </x:c>
      <x:c r="P1128" s="14" t="str">
        <x:v>未提供</x:v>
      </x:c>
      <x:c r="Q1128" s="14" t="str">
        <x:v>未提供</x:v>
      </x:c>
      <x:c r="R1128" s="14" t="str">
        <x:v>预测</x:v>
      </x:c>
      <x:c r="S1128" s="14" t="str">
        <x:v>到站时间为估算值</x:v>
      </x:c>
      <x:c r="T1128" t="str">
        <x:v>研究生宿舍楼发车</x:v>
      </x:c>
    </x:row>
    <x:row r="1129">
      <x:c r="A1129" s="14" t="str">
        <x:v>S0096-04</x:v>
      </x:c>
      <x:c r="B1129" s="14" t="str">
        <x:v>S0096</x:v>
      </x:c>
      <x:c r="C1129" s="14" t="str">
        <x:v>工作日</x:v>
      </x:c>
      <x:c r="D1129" s="14" t="str">
        <x:v>环线2路</x:v>
      </x:c>
      <x:c r="E1129" s="14" t="str">
        <x:v>第二班</x:v>
      </x:c>
      <x:c r="F1129" s="14" t="n">
        <x:v>7</x:v>
      </x:c>
      <x:c r="G1129" s="14" t="str">
        <x:v>16:35</x:v>
      </x:c>
      <x:c r="H1129" s="14" t="str">
        <x:v>研究生宿舍楼</x:v>
      </x:c>
      <x:c r="I1129" s="14" t="str">
        <x:v>否</x:v>
      </x:c>
      <x:c r="J1129" s="14" t="n">
        <x:v>4</x:v>
      </x:c>
      <x:c r="K1129" s="14" t="str">
        <x:v>1号宿舍楼</x:v>
      </x:c>
      <x:c r="L1129" s="14" t="n">
        <x:v>3</x:v>
      </x:c>
      <x:c r="M1129" s="14" t="str">
        <x:v>16:38</x:v>
      </x:c>
      <x:c r="N1129" s="14" t="str">
        <x:v>否</x:v>
      </x:c>
      <x:c r="O1129" s="14" t="str">
        <x:v>否</x:v>
      </x:c>
      <x:c r="P1129" s="14" t="str">
        <x:v>未提供</x:v>
      </x:c>
      <x:c r="Q1129" s="14" t="str">
        <x:v>未提供</x:v>
      </x:c>
      <x:c r="R1129" s="14" t="str">
        <x:v>预测</x:v>
      </x:c>
      <x:c r="S1129" s="14" t="str">
        <x:v>到站时间为估算值</x:v>
      </x:c>
      <x:c r="T1129" t="str">
        <x:v>研究生宿舍楼发车</x:v>
      </x:c>
    </x:row>
    <x:row r="1130">
      <x:c r="A1130" s="14" t="str">
        <x:v>S0096-05</x:v>
      </x:c>
      <x:c r="B1130" s="14" t="str">
        <x:v>S0096</x:v>
      </x:c>
      <x:c r="C1130" s="14" t="str">
        <x:v>工作日</x:v>
      </x:c>
      <x:c r="D1130" s="14" t="str">
        <x:v>环线2路</x:v>
      </x:c>
      <x:c r="E1130" s="14" t="str">
        <x:v>第二班</x:v>
      </x:c>
      <x:c r="F1130" s="14" t="n">
        <x:v>7</x:v>
      </x:c>
      <x:c r="G1130" s="14" t="str">
        <x:v>16:35</x:v>
      </x:c>
      <x:c r="H1130" s="14" t="str">
        <x:v>研究生宿舍楼</x:v>
      </x:c>
      <x:c r="I1130" s="14" t="str">
        <x:v>否</x:v>
      </x:c>
      <x:c r="J1130" s="14" t="n">
        <x:v>5</x:v>
      </x:c>
      <x:c r="K1130" s="14" t="str">
        <x:v>水上训练中心</x:v>
      </x:c>
      <x:c r="L1130" s="14" t="n">
        <x:v>5</x:v>
      </x:c>
      <x:c r="M1130" s="14" t="str">
        <x:v>16:40</x:v>
      </x:c>
      <x:c r="N1130" s="14" t="str">
        <x:v>否</x:v>
      </x:c>
      <x:c r="O1130" s="14" t="str">
        <x:v>否</x:v>
      </x:c>
      <x:c r="P1130" s="14" t="str">
        <x:v>未提供</x:v>
      </x:c>
      <x:c r="Q1130" s="14" t="str">
        <x:v>未提供</x:v>
      </x:c>
      <x:c r="R1130" s="14" t="str">
        <x:v>预测</x:v>
      </x:c>
      <x:c r="S1130" s="14" t="str">
        <x:v>到站时间为估算值</x:v>
      </x:c>
      <x:c r="T1130" t="str">
        <x:v>研究生宿舍楼发车</x:v>
      </x:c>
    </x:row>
    <x:row r="1131">
      <x:c r="A1131" s="14" t="str">
        <x:v>S0096-06</x:v>
      </x:c>
      <x:c r="B1131" s="14" t="str">
        <x:v>S0096</x:v>
      </x:c>
      <x:c r="C1131" s="14" t="str">
        <x:v>工作日</x:v>
      </x:c>
      <x:c r="D1131" s="14" t="str">
        <x:v>环线2路</x:v>
      </x:c>
      <x:c r="E1131" s="14" t="str">
        <x:v>第二班</x:v>
      </x:c>
      <x:c r="F1131" s="14" t="n">
        <x:v>7</x:v>
      </x:c>
      <x:c r="G1131" s="14" t="str">
        <x:v>16:35</x:v>
      </x:c>
      <x:c r="H1131" s="14" t="str">
        <x:v>研究生宿舍楼</x:v>
      </x:c>
      <x:c r="I1131" s="14" t="str">
        <x:v>否</x:v>
      </x:c>
      <x:c r="J1131" s="14" t="n">
        <x:v>6</x:v>
      </x:c>
      <x:c r="K1131" s="14" t="str">
        <x:v>军体活动中心</x:v>
      </x:c>
      <x:c r="L1131" s="14" t="n">
        <x:v>6</x:v>
      </x:c>
      <x:c r="M1131" s="14" t="str">
        <x:v>16:41</x:v>
      </x:c>
      <x:c r="N1131" s="14" t="str">
        <x:v>否</x:v>
      </x:c>
      <x:c r="O1131" s="14" t="str">
        <x:v>否</x:v>
      </x:c>
      <x:c r="P1131" s="14" t="str">
        <x:v>未提供</x:v>
      </x:c>
      <x:c r="Q1131" s="14" t="str">
        <x:v>未提供</x:v>
      </x:c>
      <x:c r="R1131" s="14" t="str">
        <x:v>预测</x:v>
      </x:c>
      <x:c r="S1131" s="14" t="str">
        <x:v>到站时间为估算值</x:v>
      </x:c>
      <x:c r="T1131" t="str">
        <x:v>研究生宿舍楼发车</x:v>
      </x:c>
    </x:row>
    <x:row r="1132">
      <x:c r="A1132" s="14" t="str">
        <x:v>S0096-07</x:v>
      </x:c>
      <x:c r="B1132" s="14" t="str">
        <x:v>S0096</x:v>
      </x:c>
      <x:c r="C1132" s="14" t="str">
        <x:v>工作日</x:v>
      </x:c>
      <x:c r="D1132" s="14" t="str">
        <x:v>环线2路</x:v>
      </x:c>
      <x:c r="E1132" s="14" t="str">
        <x:v>第二班</x:v>
      </x:c>
      <x:c r="F1132" s="14" t="n">
        <x:v>7</x:v>
      </x:c>
      <x:c r="G1132" s="14" t="str">
        <x:v>16:35</x:v>
      </x:c>
      <x:c r="H1132" s="14" t="str">
        <x:v>研究生宿舍楼</x:v>
      </x:c>
      <x:c r="I1132" s="14" t="str">
        <x:v>否</x:v>
      </x:c>
      <x:c r="J1132" s="14" t="n">
        <x:v>7</x:v>
      </x:c>
      <x:c r="K1132" s="14" t="str">
        <x:v>二食堂</x:v>
      </x:c>
      <x:c r="L1132" s="14" t="n">
        <x:v>8</x:v>
      </x:c>
      <x:c r="M1132" s="14" t="str">
        <x:v>16:43</x:v>
      </x:c>
      <x:c r="N1132" s="14" t="str">
        <x:v>否</x:v>
      </x:c>
      <x:c r="O1132" s="14" t="str">
        <x:v>否</x:v>
      </x:c>
      <x:c r="P1132" s="14" t="str">
        <x:v>未提供</x:v>
      </x:c>
      <x:c r="Q1132" s="14" t="str">
        <x:v>未提供</x:v>
      </x:c>
      <x:c r="R1132" s="14" t="str">
        <x:v>预测</x:v>
      </x:c>
      <x:c r="S1132" s="14" t="str">
        <x:v>到站时间为估算值</x:v>
      </x:c>
      <x:c r="T1132" t="str">
        <x:v>研究生宿舍楼发车</x:v>
      </x:c>
    </x:row>
    <x:row r="1133">
      <x:c r="A1133" s="14" t="str">
        <x:v>S0096-08</x:v>
      </x:c>
      <x:c r="B1133" s="14" t="str">
        <x:v>S0096</x:v>
      </x:c>
      <x:c r="C1133" s="14" t="str">
        <x:v>工作日</x:v>
      </x:c>
      <x:c r="D1133" s="14" t="str">
        <x:v>环线2路</x:v>
      </x:c>
      <x:c r="E1133" s="14" t="str">
        <x:v>第二班</x:v>
      </x:c>
      <x:c r="F1133" s="14" t="n">
        <x:v>7</x:v>
      </x:c>
      <x:c r="G1133" s="14" t="str">
        <x:v>16:35</x:v>
      </x:c>
      <x:c r="H1133" s="14" t="str">
        <x:v>研究生宿舍楼</x:v>
      </x:c>
      <x:c r="I1133" s="14" t="str">
        <x:v>否</x:v>
      </x:c>
      <x:c r="J1133" s="14" t="n">
        <x:v>8</x:v>
      </x:c>
      <x:c r="K1133" s="14" t="str">
        <x:v>5号宿舍楼</x:v>
      </x:c>
      <x:c r="L1133" s="14" t="n">
        <x:v>9</x:v>
      </x:c>
      <x:c r="M1133" s="14" t="str">
        <x:v>16:44</x:v>
      </x:c>
      <x:c r="N1133" s="14" t="str">
        <x:v>否</x:v>
      </x:c>
      <x:c r="O1133" s="14" t="str">
        <x:v>否</x:v>
      </x:c>
      <x:c r="P1133" s="14" t="str">
        <x:v>未提供</x:v>
      </x:c>
      <x:c r="Q1133" s="14" t="str">
        <x:v>未提供</x:v>
      </x:c>
      <x:c r="R1133" s="14" t="str">
        <x:v>预测</x:v>
      </x:c>
      <x:c r="S1133" s="14" t="str">
        <x:v>到站时间为估算值</x:v>
      </x:c>
      <x:c r="T1133" t="str">
        <x:v>研究生宿舍楼发车</x:v>
      </x:c>
    </x:row>
    <x:row r="1134">
      <x:c r="A1134" s="14" t="str">
        <x:v>S0096-09</x:v>
      </x:c>
      <x:c r="B1134" s="14" t="str">
        <x:v>S0096</x:v>
      </x:c>
      <x:c r="C1134" s="14" t="str">
        <x:v>工作日</x:v>
      </x:c>
      <x:c r="D1134" s="14" t="str">
        <x:v>环线2路</x:v>
      </x:c>
      <x:c r="E1134" s="14" t="str">
        <x:v>第二班</x:v>
      </x:c>
      <x:c r="F1134" s="14" t="n">
        <x:v>7</x:v>
      </x:c>
      <x:c r="G1134" s="14" t="str">
        <x:v>16:35</x:v>
      </x:c>
      <x:c r="H1134" s="14" t="str">
        <x:v>研究生宿舍楼</x:v>
      </x:c>
      <x:c r="I1134" s="14" t="str">
        <x:v>否</x:v>
      </x:c>
      <x:c r="J1134" s="14" t="n">
        <x:v>9</x:v>
      </x:c>
      <x:c r="K1134" s="14" t="str">
        <x:v>305教学楼</x:v>
      </x:c>
      <x:c r="L1134" s="14" t="n">
        <x:v>10</x:v>
      </x:c>
      <x:c r="M1134" s="14" t="str">
        <x:v>16:45</x:v>
      </x:c>
      <x:c r="N1134" s="14" t="str">
        <x:v>否</x:v>
      </x:c>
      <x:c r="O1134" s="14" t="str">
        <x:v>否</x:v>
      </x:c>
      <x:c r="P1134" s="14" t="str">
        <x:v>未提供</x:v>
      </x:c>
      <x:c r="Q1134" s="14" t="str">
        <x:v>未提供</x:v>
      </x:c>
      <x:c r="R1134" s="14" t="str">
        <x:v>预测</x:v>
      </x:c>
      <x:c r="S1134" s="14" t="str">
        <x:v>到站时间为估算值</x:v>
      </x:c>
      <x:c r="T1134" t="str">
        <x:v>研究生宿舍楼发车</x:v>
      </x:c>
    </x:row>
    <x:row r="1135">
      <x:c r="A1135" s="14" t="str">
        <x:v>S0096-10</x:v>
      </x:c>
      <x:c r="B1135" s="14" t="str">
        <x:v>S0096</x:v>
      </x:c>
      <x:c r="C1135" s="14" t="str">
        <x:v>工作日</x:v>
      </x:c>
      <x:c r="D1135" s="14" t="str">
        <x:v>环线2路</x:v>
      </x:c>
      <x:c r="E1135" s="14" t="str">
        <x:v>第二班</x:v>
      </x:c>
      <x:c r="F1135" s="14" t="n">
        <x:v>7</x:v>
      </x:c>
      <x:c r="G1135" s="14" t="str">
        <x:v>16:35</x:v>
      </x:c>
      <x:c r="H1135" s="14" t="str">
        <x:v>研究生宿舍楼</x:v>
      </x:c>
      <x:c r="I1135" s="14" t="str">
        <x:v>否</x:v>
      </x:c>
      <x:c r="J1135" s="14" t="n">
        <x:v>10</x:v>
      </x:c>
      <x:c r="K1135" s="14" t="str">
        <x:v>研究生宿舍楼</x:v>
      </x:c>
      <x:c r="L1135" s="14" t="n">
        <x:v>12</x:v>
      </x:c>
      <x:c r="M1135" s="14" t="str">
        <x:v>16:47</x:v>
      </x:c>
      <x:c r="N1135" s="14" t="str">
        <x:v>否</x:v>
      </x:c>
      <x:c r="O1135" s="14" t="str">
        <x:v>是</x:v>
      </x:c>
      <x:c r="P1135" s="14" t="str">
        <x:v>未提供</x:v>
      </x:c>
      <x:c r="Q1135" s="14" t="str">
        <x:v>未提供</x:v>
      </x:c>
      <x:c r="R1135" s="14" t="str">
        <x:v>预测</x:v>
      </x:c>
      <x:c r="S1135" s="14" t="str">
        <x:v>到站时间为估算值</x:v>
      </x:c>
      <x:c r="T1135" t="str">
        <x:v>研究生宿舍楼发车</x:v>
      </x:c>
    </x:row>
    <x:row r="1136">
      <x:c r="A1136" s="14" t="str">
        <x:v>S0097-01</x:v>
      </x:c>
      <x:c r="B1136" s="14" t="str">
        <x:v>S0097</x:v>
      </x:c>
      <x:c r="C1136" s="14" t="str">
        <x:v>工作日</x:v>
      </x:c>
      <x:c r="D1136" s="14" t="str">
        <x:v>环线2路</x:v>
      </x:c>
      <x:c r="E1136" s="14" t="str">
        <x:v>第二班</x:v>
      </x:c>
      <x:c r="F1136" s="14" t="n">
        <x:v>8</x:v>
      </x:c>
      <x:c r="G1136" s="14" t="str">
        <x:v>17:05</x:v>
      </x:c>
      <x:c r="H1136" s="14" t="str">
        <x:v>研究生宿舍楼</x:v>
      </x:c>
      <x:c r="I1136" s="14" t="str">
        <x:v>否</x:v>
      </x:c>
      <x:c r="J1136" s="14" t="n">
        <x:v>1</x:v>
      </x:c>
      <x:c r="K1136" s="14" t="str">
        <x:v>研究生宿舍楼</x:v>
      </x:c>
      <x:c r="L1136" s="14" t="n">
        <x:v>0</x:v>
      </x:c>
      <x:c r="M1136" s="14" t="str">
        <x:v>17:05</x:v>
      </x:c>
      <x:c r="N1136" s="14" t="str">
        <x:v>是</x:v>
      </x:c>
      <x:c r="O1136" s="14" t="str">
        <x:v>否</x:v>
      </x:c>
      <x:c r="P1136" s="14" t="str">
        <x:v>未提供</x:v>
      </x:c>
      <x:c r="Q1136" s="14" t="str">
        <x:v>未提供</x:v>
      </x:c>
      <x:c r="R1136" s="14" t="str">
        <x:v>预测</x:v>
      </x:c>
      <x:c r="S1136" s="14" t="str">
        <x:v>到站时间为估算值</x:v>
      </x:c>
      <x:c r="T1136" t="str">
        <x:v>研究生宿舍楼发车</x:v>
      </x:c>
    </x:row>
    <x:row r="1137">
      <x:c r="A1137" s="14" t="str">
        <x:v>S0097-02</x:v>
      </x:c>
      <x:c r="B1137" s="14" t="str">
        <x:v>S0097</x:v>
      </x:c>
      <x:c r="C1137" s="14" t="str">
        <x:v>工作日</x:v>
      </x:c>
      <x:c r="D1137" s="14" t="str">
        <x:v>环线2路</x:v>
      </x:c>
      <x:c r="E1137" s="14" t="str">
        <x:v>第二班</x:v>
      </x:c>
      <x:c r="F1137" s="14" t="n">
        <x:v>8</x:v>
      </x:c>
      <x:c r="G1137" s="14" t="str">
        <x:v>17:05</x:v>
      </x:c>
      <x:c r="H1137" s="14" t="str">
        <x:v>研究生宿舍楼</x:v>
      </x:c>
      <x:c r="I1137" s="14" t="str">
        <x:v>否</x:v>
      </x:c>
      <x:c r="J1137" s="14" t="n">
        <x:v>2</x:v>
      </x:c>
      <x:c r="K1137" s="14" t="str">
        <x:v>一食堂</x:v>
      </x:c>
      <x:c r="L1137" s="14" t="n">
        <x:v>1</x:v>
      </x:c>
      <x:c r="M1137" s="14" t="str">
        <x:v>17:06</x:v>
      </x:c>
      <x:c r="N1137" s="14" t="str">
        <x:v>否</x:v>
      </x:c>
      <x:c r="O1137" s="14" t="str">
        <x:v>否</x:v>
      </x:c>
      <x:c r="P1137" s="14" t="str">
        <x:v>未提供</x:v>
      </x:c>
      <x:c r="Q1137" s="14" t="str">
        <x:v>未提供</x:v>
      </x:c>
      <x:c r="R1137" s="14" t="str">
        <x:v>预测</x:v>
      </x:c>
      <x:c r="S1137" s="14" t="str">
        <x:v>到站时间为估算值</x:v>
      </x:c>
      <x:c r="T1137" t="str">
        <x:v>研究生宿舍楼发车</x:v>
      </x:c>
    </x:row>
    <x:row r="1138">
      <x:c r="A1138" s="14" t="str">
        <x:v>S0097-03</x:v>
      </x:c>
      <x:c r="B1138" s="14" t="str">
        <x:v>S0097</x:v>
      </x:c>
      <x:c r="C1138" s="14" t="str">
        <x:v>工作日</x:v>
      </x:c>
      <x:c r="D1138" s="14" t="str">
        <x:v>环线2路</x:v>
      </x:c>
      <x:c r="E1138" s="14" t="str">
        <x:v>第二班</x:v>
      </x:c>
      <x:c r="F1138" s="14" t="n">
        <x:v>8</x:v>
      </x:c>
      <x:c r="G1138" s="14" t="str">
        <x:v>17:05</x:v>
      </x:c>
      <x:c r="H1138" s="14" t="str">
        <x:v>研究生宿舍楼</x:v>
      </x:c>
      <x:c r="I1138" s="14" t="str">
        <x:v>否</x:v>
      </x:c>
      <x:c r="J1138" s="14" t="n">
        <x:v>3</x:v>
      </x:c>
      <x:c r="K1138" s="14" t="str">
        <x:v>门诊部</x:v>
      </x:c>
      <x:c r="L1138" s="14" t="n">
        <x:v>2</x:v>
      </x:c>
      <x:c r="M1138" s="14" t="str">
        <x:v>17:07</x:v>
      </x:c>
      <x:c r="N1138" s="14" t="str">
        <x:v>否</x:v>
      </x:c>
      <x:c r="O1138" s="14" t="str">
        <x:v>否</x:v>
      </x:c>
      <x:c r="P1138" s="14" t="str">
        <x:v>未提供</x:v>
      </x:c>
      <x:c r="Q1138" s="14" t="str">
        <x:v>未提供</x:v>
      </x:c>
      <x:c r="R1138" s="14" t="str">
        <x:v>预测</x:v>
      </x:c>
      <x:c r="S1138" s="14" t="str">
        <x:v>到站时间为估算值</x:v>
      </x:c>
      <x:c r="T1138" t="str">
        <x:v>研究生宿舍楼发车</x:v>
      </x:c>
    </x:row>
    <x:row r="1139">
      <x:c r="A1139" s="14" t="str">
        <x:v>S0097-04</x:v>
      </x:c>
      <x:c r="B1139" s="14" t="str">
        <x:v>S0097</x:v>
      </x:c>
      <x:c r="C1139" s="14" t="str">
        <x:v>工作日</x:v>
      </x:c>
      <x:c r="D1139" s="14" t="str">
        <x:v>环线2路</x:v>
      </x:c>
      <x:c r="E1139" s="14" t="str">
        <x:v>第二班</x:v>
      </x:c>
      <x:c r="F1139" s="14" t="n">
        <x:v>8</x:v>
      </x:c>
      <x:c r="G1139" s="14" t="str">
        <x:v>17:05</x:v>
      </x:c>
      <x:c r="H1139" s="14" t="str">
        <x:v>研究生宿舍楼</x:v>
      </x:c>
      <x:c r="I1139" s="14" t="str">
        <x:v>否</x:v>
      </x:c>
      <x:c r="J1139" s="14" t="n">
        <x:v>4</x:v>
      </x:c>
      <x:c r="K1139" s="14" t="str">
        <x:v>1号宿舍楼</x:v>
      </x:c>
      <x:c r="L1139" s="14" t="n">
        <x:v>3</x:v>
      </x:c>
      <x:c r="M1139" s="14" t="str">
        <x:v>17:08</x:v>
      </x:c>
      <x:c r="N1139" s="14" t="str">
        <x:v>否</x:v>
      </x:c>
      <x:c r="O1139" s="14" t="str">
        <x:v>否</x:v>
      </x:c>
      <x:c r="P1139" s="14" t="str">
        <x:v>未提供</x:v>
      </x:c>
      <x:c r="Q1139" s="14" t="str">
        <x:v>未提供</x:v>
      </x:c>
      <x:c r="R1139" s="14" t="str">
        <x:v>预测</x:v>
      </x:c>
      <x:c r="S1139" s="14" t="str">
        <x:v>到站时间为估算值</x:v>
      </x:c>
      <x:c r="T1139" t="str">
        <x:v>研究生宿舍楼发车</x:v>
      </x:c>
    </x:row>
    <x:row r="1140">
      <x:c r="A1140" s="14" t="str">
        <x:v>S0097-05</x:v>
      </x:c>
      <x:c r="B1140" s="14" t="str">
        <x:v>S0097</x:v>
      </x:c>
      <x:c r="C1140" s="14" t="str">
        <x:v>工作日</x:v>
      </x:c>
      <x:c r="D1140" s="14" t="str">
        <x:v>环线2路</x:v>
      </x:c>
      <x:c r="E1140" s="14" t="str">
        <x:v>第二班</x:v>
      </x:c>
      <x:c r="F1140" s="14" t="n">
        <x:v>8</x:v>
      </x:c>
      <x:c r="G1140" s="14" t="str">
        <x:v>17:05</x:v>
      </x:c>
      <x:c r="H1140" s="14" t="str">
        <x:v>研究生宿舍楼</x:v>
      </x:c>
      <x:c r="I1140" s="14" t="str">
        <x:v>否</x:v>
      </x:c>
      <x:c r="J1140" s="14" t="n">
        <x:v>5</x:v>
      </x:c>
      <x:c r="K1140" s="14" t="str">
        <x:v>水上训练中心</x:v>
      </x:c>
      <x:c r="L1140" s="14" t="n">
        <x:v>5</x:v>
      </x:c>
      <x:c r="M1140" s="14" t="str">
        <x:v>17:10</x:v>
      </x:c>
      <x:c r="N1140" s="14" t="str">
        <x:v>否</x:v>
      </x:c>
      <x:c r="O1140" s="14" t="str">
        <x:v>否</x:v>
      </x:c>
      <x:c r="P1140" s="14" t="str">
        <x:v>未提供</x:v>
      </x:c>
      <x:c r="Q1140" s="14" t="str">
        <x:v>未提供</x:v>
      </x:c>
      <x:c r="R1140" s="14" t="str">
        <x:v>预测</x:v>
      </x:c>
      <x:c r="S1140" s="14" t="str">
        <x:v>到站时间为估算值</x:v>
      </x:c>
      <x:c r="T1140" t="str">
        <x:v>研究生宿舍楼发车</x:v>
      </x:c>
    </x:row>
    <x:row r="1141">
      <x:c r="A1141" s="14" t="str">
        <x:v>S0097-06</x:v>
      </x:c>
      <x:c r="B1141" s="14" t="str">
        <x:v>S0097</x:v>
      </x:c>
      <x:c r="C1141" s="14" t="str">
        <x:v>工作日</x:v>
      </x:c>
      <x:c r="D1141" s="14" t="str">
        <x:v>环线2路</x:v>
      </x:c>
      <x:c r="E1141" s="14" t="str">
        <x:v>第二班</x:v>
      </x:c>
      <x:c r="F1141" s="14" t="n">
        <x:v>8</x:v>
      </x:c>
      <x:c r="G1141" s="14" t="str">
        <x:v>17:05</x:v>
      </x:c>
      <x:c r="H1141" s="14" t="str">
        <x:v>研究生宿舍楼</x:v>
      </x:c>
      <x:c r="I1141" s="14" t="str">
        <x:v>否</x:v>
      </x:c>
      <x:c r="J1141" s="14" t="n">
        <x:v>6</x:v>
      </x:c>
      <x:c r="K1141" s="14" t="str">
        <x:v>军体活动中心</x:v>
      </x:c>
      <x:c r="L1141" s="14" t="n">
        <x:v>6</x:v>
      </x:c>
      <x:c r="M1141" s="14" t="str">
        <x:v>17:11</x:v>
      </x:c>
      <x:c r="N1141" s="14" t="str">
        <x:v>否</x:v>
      </x:c>
      <x:c r="O1141" s="14" t="str">
        <x:v>否</x:v>
      </x:c>
      <x:c r="P1141" s="14" t="str">
        <x:v>未提供</x:v>
      </x:c>
      <x:c r="Q1141" s="14" t="str">
        <x:v>未提供</x:v>
      </x:c>
      <x:c r="R1141" s="14" t="str">
        <x:v>预测</x:v>
      </x:c>
      <x:c r="S1141" s="14" t="str">
        <x:v>到站时间为估算值</x:v>
      </x:c>
      <x:c r="T1141" t="str">
        <x:v>研究生宿舍楼发车</x:v>
      </x:c>
    </x:row>
    <x:row r="1142">
      <x:c r="A1142" s="14" t="str">
        <x:v>S0097-07</x:v>
      </x:c>
      <x:c r="B1142" s="14" t="str">
        <x:v>S0097</x:v>
      </x:c>
      <x:c r="C1142" s="14" t="str">
        <x:v>工作日</x:v>
      </x:c>
      <x:c r="D1142" s="14" t="str">
        <x:v>环线2路</x:v>
      </x:c>
      <x:c r="E1142" s="14" t="str">
        <x:v>第二班</x:v>
      </x:c>
      <x:c r="F1142" s="14" t="n">
        <x:v>8</x:v>
      </x:c>
      <x:c r="G1142" s="14" t="str">
        <x:v>17:05</x:v>
      </x:c>
      <x:c r="H1142" s="14" t="str">
        <x:v>研究生宿舍楼</x:v>
      </x:c>
      <x:c r="I1142" s="14" t="str">
        <x:v>否</x:v>
      </x:c>
      <x:c r="J1142" s="14" t="n">
        <x:v>7</x:v>
      </x:c>
      <x:c r="K1142" s="14" t="str">
        <x:v>二食堂</x:v>
      </x:c>
      <x:c r="L1142" s="14" t="n">
        <x:v>8</x:v>
      </x:c>
      <x:c r="M1142" s="14" t="str">
        <x:v>17:13</x:v>
      </x:c>
      <x:c r="N1142" s="14" t="str">
        <x:v>否</x:v>
      </x:c>
      <x:c r="O1142" s="14" t="str">
        <x:v>否</x:v>
      </x:c>
      <x:c r="P1142" s="14" t="str">
        <x:v>未提供</x:v>
      </x:c>
      <x:c r="Q1142" s="14" t="str">
        <x:v>未提供</x:v>
      </x:c>
      <x:c r="R1142" s="14" t="str">
        <x:v>预测</x:v>
      </x:c>
      <x:c r="S1142" s="14" t="str">
        <x:v>到站时间为估算值</x:v>
      </x:c>
      <x:c r="T1142" t="str">
        <x:v>研究生宿舍楼发车</x:v>
      </x:c>
    </x:row>
    <x:row r="1143">
      <x:c r="A1143" s="14" t="str">
        <x:v>S0097-08</x:v>
      </x:c>
      <x:c r="B1143" s="14" t="str">
        <x:v>S0097</x:v>
      </x:c>
      <x:c r="C1143" s="14" t="str">
        <x:v>工作日</x:v>
      </x:c>
      <x:c r="D1143" s="14" t="str">
        <x:v>环线2路</x:v>
      </x:c>
      <x:c r="E1143" s="14" t="str">
        <x:v>第二班</x:v>
      </x:c>
      <x:c r="F1143" s="14" t="n">
        <x:v>8</x:v>
      </x:c>
      <x:c r="G1143" s="14" t="str">
        <x:v>17:05</x:v>
      </x:c>
      <x:c r="H1143" s="14" t="str">
        <x:v>研究生宿舍楼</x:v>
      </x:c>
      <x:c r="I1143" s="14" t="str">
        <x:v>否</x:v>
      </x:c>
      <x:c r="J1143" s="14" t="n">
        <x:v>8</x:v>
      </x:c>
      <x:c r="K1143" s="14" t="str">
        <x:v>5号宿舍楼</x:v>
      </x:c>
      <x:c r="L1143" s="14" t="n">
        <x:v>9</x:v>
      </x:c>
      <x:c r="M1143" s="14" t="str">
        <x:v>17:14</x:v>
      </x:c>
      <x:c r="N1143" s="14" t="str">
        <x:v>否</x:v>
      </x:c>
      <x:c r="O1143" s="14" t="str">
        <x:v>否</x:v>
      </x:c>
      <x:c r="P1143" s="14" t="str">
        <x:v>未提供</x:v>
      </x:c>
      <x:c r="Q1143" s="14" t="str">
        <x:v>未提供</x:v>
      </x:c>
      <x:c r="R1143" s="14" t="str">
        <x:v>预测</x:v>
      </x:c>
      <x:c r="S1143" s="14" t="str">
        <x:v>到站时间为估算值</x:v>
      </x:c>
      <x:c r="T1143" t="str">
        <x:v>研究生宿舍楼发车</x:v>
      </x:c>
    </x:row>
    <x:row r="1144">
      <x:c r="A1144" s="14" t="str">
        <x:v>S0097-09</x:v>
      </x:c>
      <x:c r="B1144" s="14" t="str">
        <x:v>S0097</x:v>
      </x:c>
      <x:c r="C1144" s="14" t="str">
        <x:v>工作日</x:v>
      </x:c>
      <x:c r="D1144" s="14" t="str">
        <x:v>环线2路</x:v>
      </x:c>
      <x:c r="E1144" s="14" t="str">
        <x:v>第二班</x:v>
      </x:c>
      <x:c r="F1144" s="14" t="n">
        <x:v>8</x:v>
      </x:c>
      <x:c r="G1144" s="14" t="str">
        <x:v>17:05</x:v>
      </x:c>
      <x:c r="H1144" s="14" t="str">
        <x:v>研究生宿舍楼</x:v>
      </x:c>
      <x:c r="I1144" s="14" t="str">
        <x:v>否</x:v>
      </x:c>
      <x:c r="J1144" s="14" t="n">
        <x:v>9</x:v>
      </x:c>
      <x:c r="K1144" s="14" t="str">
        <x:v>305教学楼</x:v>
      </x:c>
      <x:c r="L1144" s="14" t="n">
        <x:v>10</x:v>
      </x:c>
      <x:c r="M1144" s="14" t="str">
        <x:v>17:15</x:v>
      </x:c>
      <x:c r="N1144" s="14" t="str">
        <x:v>否</x:v>
      </x:c>
      <x:c r="O1144" s="14" t="str">
        <x:v>否</x:v>
      </x:c>
      <x:c r="P1144" s="14" t="str">
        <x:v>未提供</x:v>
      </x:c>
      <x:c r="Q1144" s="14" t="str">
        <x:v>未提供</x:v>
      </x:c>
      <x:c r="R1144" s="14" t="str">
        <x:v>预测</x:v>
      </x:c>
      <x:c r="S1144" s="14" t="str">
        <x:v>到站时间为估算值</x:v>
      </x:c>
      <x:c r="T1144" t="str">
        <x:v>研究生宿舍楼发车</x:v>
      </x:c>
    </x:row>
    <x:row r="1145">
      <x:c r="A1145" s="14" t="str">
        <x:v>S0097-10</x:v>
      </x:c>
      <x:c r="B1145" s="14" t="str">
        <x:v>S0097</x:v>
      </x:c>
      <x:c r="C1145" s="14" t="str">
        <x:v>工作日</x:v>
      </x:c>
      <x:c r="D1145" s="14" t="str">
        <x:v>环线2路</x:v>
      </x:c>
      <x:c r="E1145" s="14" t="str">
        <x:v>第二班</x:v>
      </x:c>
      <x:c r="F1145" s="14" t="n">
        <x:v>8</x:v>
      </x:c>
      <x:c r="G1145" s="14" t="str">
        <x:v>17:05</x:v>
      </x:c>
      <x:c r="H1145" s="14" t="str">
        <x:v>研究生宿舍楼</x:v>
      </x:c>
      <x:c r="I1145" s="14" t="str">
        <x:v>否</x:v>
      </x:c>
      <x:c r="J1145" s="14" t="n">
        <x:v>10</x:v>
      </x:c>
      <x:c r="K1145" s="14" t="str">
        <x:v>研究生宿舍楼</x:v>
      </x:c>
      <x:c r="L1145" s="14" t="n">
        <x:v>12</x:v>
      </x:c>
      <x:c r="M1145" s="14" t="str">
        <x:v>17:17</x:v>
      </x:c>
      <x:c r="N1145" s="14" t="str">
        <x:v>否</x:v>
      </x:c>
      <x:c r="O1145" s="14" t="str">
        <x:v>是</x:v>
      </x:c>
      <x:c r="P1145" s="14" t="str">
        <x:v>未提供</x:v>
      </x:c>
      <x:c r="Q1145" s="14" t="str">
        <x:v>未提供</x:v>
      </x:c>
      <x:c r="R1145" s="14" t="str">
        <x:v>预测</x:v>
      </x:c>
      <x:c r="S1145" s="14" t="str">
        <x:v>到站时间为估算值</x:v>
      </x:c>
      <x:c r="T1145" t="str">
        <x:v>研究生宿舍楼发车</x:v>
      </x:c>
    </x:row>
    <x:row r="1146">
      <x:c r="A1146" s="14" t="str">
        <x:v>S0098-01</x:v>
      </x:c>
      <x:c r="B1146" s="14" t="str">
        <x:v>S0098</x:v>
      </x:c>
      <x:c r="C1146" s="14" t="str">
        <x:v>工作日</x:v>
      </x:c>
      <x:c r="D1146" s="14" t="str">
        <x:v>环线2路</x:v>
      </x:c>
      <x:c r="E1146" s="14" t="str">
        <x:v>第二班</x:v>
      </x:c>
      <x:c r="F1146" s="14" t="n">
        <x:v>9</x:v>
      </x:c>
      <x:c r="G1146" s="14" t="str">
        <x:v>17:35</x:v>
      </x:c>
      <x:c r="H1146" s="14" t="str">
        <x:v>研究生宿舍楼</x:v>
      </x:c>
      <x:c r="I1146" s="14" t="str">
        <x:v>否</x:v>
      </x:c>
      <x:c r="J1146" s="14" t="n">
        <x:v>1</x:v>
      </x:c>
      <x:c r="K1146" s="14" t="str">
        <x:v>研究生宿舍楼</x:v>
      </x:c>
      <x:c r="L1146" s="14" t="n">
        <x:v>0</x:v>
      </x:c>
      <x:c r="M1146" s="14" t="str">
        <x:v>17:35</x:v>
      </x:c>
      <x:c r="N1146" s="14" t="str">
        <x:v>是</x:v>
      </x:c>
      <x:c r="O1146" s="14" t="str">
        <x:v>否</x:v>
      </x:c>
      <x:c r="P1146" s="14" t="str">
        <x:v>未提供</x:v>
      </x:c>
      <x:c r="Q1146" s="14" t="str">
        <x:v>未提供</x:v>
      </x:c>
      <x:c r="R1146" s="14" t="str">
        <x:v>预测</x:v>
      </x:c>
      <x:c r="S1146" s="14" t="str">
        <x:v>到站时间为估算值</x:v>
      </x:c>
      <x:c r="T1146" t="str">
        <x:v>研究生宿舍楼发车</x:v>
      </x:c>
    </x:row>
    <x:row r="1147">
      <x:c r="A1147" s="14" t="str">
        <x:v>S0098-02</x:v>
      </x:c>
      <x:c r="B1147" s="14" t="str">
        <x:v>S0098</x:v>
      </x:c>
      <x:c r="C1147" s="14" t="str">
        <x:v>工作日</x:v>
      </x:c>
      <x:c r="D1147" s="14" t="str">
        <x:v>环线2路</x:v>
      </x:c>
      <x:c r="E1147" s="14" t="str">
        <x:v>第二班</x:v>
      </x:c>
      <x:c r="F1147" s="14" t="n">
        <x:v>9</x:v>
      </x:c>
      <x:c r="G1147" s="14" t="str">
        <x:v>17:35</x:v>
      </x:c>
      <x:c r="H1147" s="14" t="str">
        <x:v>研究生宿舍楼</x:v>
      </x:c>
      <x:c r="I1147" s="14" t="str">
        <x:v>否</x:v>
      </x:c>
      <x:c r="J1147" s="14" t="n">
        <x:v>2</x:v>
      </x:c>
      <x:c r="K1147" s="14" t="str">
        <x:v>一食堂</x:v>
      </x:c>
      <x:c r="L1147" s="14" t="n">
        <x:v>1</x:v>
      </x:c>
      <x:c r="M1147" s="14" t="str">
        <x:v>17:36</x:v>
      </x:c>
      <x:c r="N1147" s="14" t="str">
        <x:v>否</x:v>
      </x:c>
      <x:c r="O1147" s="14" t="str">
        <x:v>否</x:v>
      </x:c>
      <x:c r="P1147" s="14" t="str">
        <x:v>未提供</x:v>
      </x:c>
      <x:c r="Q1147" s="14" t="str">
        <x:v>未提供</x:v>
      </x:c>
      <x:c r="R1147" s="14" t="str">
        <x:v>预测</x:v>
      </x:c>
      <x:c r="S1147" s="14" t="str">
        <x:v>到站时间为估算值</x:v>
      </x:c>
      <x:c r="T1147" t="str">
        <x:v>研究生宿舍楼发车</x:v>
      </x:c>
    </x:row>
    <x:row r="1148">
      <x:c r="A1148" s="14" t="str">
        <x:v>S0098-03</x:v>
      </x:c>
      <x:c r="B1148" s="14" t="str">
        <x:v>S0098</x:v>
      </x:c>
      <x:c r="C1148" s="14" t="str">
        <x:v>工作日</x:v>
      </x:c>
      <x:c r="D1148" s="14" t="str">
        <x:v>环线2路</x:v>
      </x:c>
      <x:c r="E1148" s="14" t="str">
        <x:v>第二班</x:v>
      </x:c>
      <x:c r="F1148" s="14" t="n">
        <x:v>9</x:v>
      </x:c>
      <x:c r="G1148" s="14" t="str">
        <x:v>17:35</x:v>
      </x:c>
      <x:c r="H1148" s="14" t="str">
        <x:v>研究生宿舍楼</x:v>
      </x:c>
      <x:c r="I1148" s="14" t="str">
        <x:v>否</x:v>
      </x:c>
      <x:c r="J1148" s="14" t="n">
        <x:v>3</x:v>
      </x:c>
      <x:c r="K1148" s="14" t="str">
        <x:v>门诊部</x:v>
      </x:c>
      <x:c r="L1148" s="14" t="n">
        <x:v>2</x:v>
      </x:c>
      <x:c r="M1148" s="14" t="str">
        <x:v>17:37</x:v>
      </x:c>
      <x:c r="N1148" s="14" t="str">
        <x:v>否</x:v>
      </x:c>
      <x:c r="O1148" s="14" t="str">
        <x:v>否</x:v>
      </x:c>
      <x:c r="P1148" s="14" t="str">
        <x:v>未提供</x:v>
      </x:c>
      <x:c r="Q1148" s="14" t="str">
        <x:v>未提供</x:v>
      </x:c>
      <x:c r="R1148" s="14" t="str">
        <x:v>预测</x:v>
      </x:c>
      <x:c r="S1148" s="14" t="str">
        <x:v>到站时间为估算值</x:v>
      </x:c>
      <x:c r="T1148" t="str">
        <x:v>研究生宿舍楼发车</x:v>
      </x:c>
    </x:row>
    <x:row r="1149">
      <x:c r="A1149" s="14" t="str">
        <x:v>S0098-04</x:v>
      </x:c>
      <x:c r="B1149" s="14" t="str">
        <x:v>S0098</x:v>
      </x:c>
      <x:c r="C1149" s="14" t="str">
        <x:v>工作日</x:v>
      </x:c>
      <x:c r="D1149" s="14" t="str">
        <x:v>环线2路</x:v>
      </x:c>
      <x:c r="E1149" s="14" t="str">
        <x:v>第二班</x:v>
      </x:c>
      <x:c r="F1149" s="14" t="n">
        <x:v>9</x:v>
      </x:c>
      <x:c r="G1149" s="14" t="str">
        <x:v>17:35</x:v>
      </x:c>
      <x:c r="H1149" s="14" t="str">
        <x:v>研究生宿舍楼</x:v>
      </x:c>
      <x:c r="I1149" s="14" t="str">
        <x:v>否</x:v>
      </x:c>
      <x:c r="J1149" s="14" t="n">
        <x:v>4</x:v>
      </x:c>
      <x:c r="K1149" s="14" t="str">
        <x:v>1号宿舍楼</x:v>
      </x:c>
      <x:c r="L1149" s="14" t="n">
        <x:v>3</x:v>
      </x:c>
      <x:c r="M1149" s="14" t="str">
        <x:v>17:38</x:v>
      </x:c>
      <x:c r="N1149" s="14" t="str">
        <x:v>否</x:v>
      </x:c>
      <x:c r="O1149" s="14" t="str">
        <x:v>否</x:v>
      </x:c>
      <x:c r="P1149" s="14" t="str">
        <x:v>未提供</x:v>
      </x:c>
      <x:c r="Q1149" s="14" t="str">
        <x:v>未提供</x:v>
      </x:c>
      <x:c r="R1149" s="14" t="str">
        <x:v>预测</x:v>
      </x:c>
      <x:c r="S1149" s="14" t="str">
        <x:v>到站时间为估算值</x:v>
      </x:c>
      <x:c r="T1149" t="str">
        <x:v>研究生宿舍楼发车</x:v>
      </x:c>
    </x:row>
    <x:row r="1150">
      <x:c r="A1150" s="14" t="str">
        <x:v>S0098-05</x:v>
      </x:c>
      <x:c r="B1150" s="14" t="str">
        <x:v>S0098</x:v>
      </x:c>
      <x:c r="C1150" s="14" t="str">
        <x:v>工作日</x:v>
      </x:c>
      <x:c r="D1150" s="14" t="str">
        <x:v>环线2路</x:v>
      </x:c>
      <x:c r="E1150" s="14" t="str">
        <x:v>第二班</x:v>
      </x:c>
      <x:c r="F1150" s="14" t="n">
        <x:v>9</x:v>
      </x:c>
      <x:c r="G1150" s="14" t="str">
        <x:v>17:35</x:v>
      </x:c>
      <x:c r="H1150" s="14" t="str">
        <x:v>研究生宿舍楼</x:v>
      </x:c>
      <x:c r="I1150" s="14" t="str">
        <x:v>否</x:v>
      </x:c>
      <x:c r="J1150" s="14" t="n">
        <x:v>5</x:v>
      </x:c>
      <x:c r="K1150" s="14" t="str">
        <x:v>水上训练中心</x:v>
      </x:c>
      <x:c r="L1150" s="14" t="n">
        <x:v>5</x:v>
      </x:c>
      <x:c r="M1150" s="14" t="str">
        <x:v>17:40</x:v>
      </x:c>
      <x:c r="N1150" s="14" t="str">
        <x:v>否</x:v>
      </x:c>
      <x:c r="O1150" s="14" t="str">
        <x:v>否</x:v>
      </x:c>
      <x:c r="P1150" s="14" t="str">
        <x:v>未提供</x:v>
      </x:c>
      <x:c r="Q1150" s="14" t="str">
        <x:v>未提供</x:v>
      </x:c>
      <x:c r="R1150" s="14" t="str">
        <x:v>预测</x:v>
      </x:c>
      <x:c r="S1150" s="14" t="str">
        <x:v>到站时间为估算值</x:v>
      </x:c>
      <x:c r="T1150" t="str">
        <x:v>研究生宿舍楼发车</x:v>
      </x:c>
    </x:row>
    <x:row r="1151">
      <x:c r="A1151" s="14" t="str">
        <x:v>S0098-06</x:v>
      </x:c>
      <x:c r="B1151" s="14" t="str">
        <x:v>S0098</x:v>
      </x:c>
      <x:c r="C1151" s="14" t="str">
        <x:v>工作日</x:v>
      </x:c>
      <x:c r="D1151" s="14" t="str">
        <x:v>环线2路</x:v>
      </x:c>
      <x:c r="E1151" s="14" t="str">
        <x:v>第二班</x:v>
      </x:c>
      <x:c r="F1151" s="14" t="n">
        <x:v>9</x:v>
      </x:c>
      <x:c r="G1151" s="14" t="str">
        <x:v>17:35</x:v>
      </x:c>
      <x:c r="H1151" s="14" t="str">
        <x:v>研究生宿舍楼</x:v>
      </x:c>
      <x:c r="I1151" s="14" t="str">
        <x:v>否</x:v>
      </x:c>
      <x:c r="J1151" s="14" t="n">
        <x:v>6</x:v>
      </x:c>
      <x:c r="K1151" s="14" t="str">
        <x:v>军体活动中心</x:v>
      </x:c>
      <x:c r="L1151" s="14" t="n">
        <x:v>6</x:v>
      </x:c>
      <x:c r="M1151" s="14" t="str">
        <x:v>17:41</x:v>
      </x:c>
      <x:c r="N1151" s="14" t="str">
        <x:v>否</x:v>
      </x:c>
      <x:c r="O1151" s="14" t="str">
        <x:v>否</x:v>
      </x:c>
      <x:c r="P1151" s="14" t="str">
        <x:v>未提供</x:v>
      </x:c>
      <x:c r="Q1151" s="14" t="str">
        <x:v>未提供</x:v>
      </x:c>
      <x:c r="R1151" s="14" t="str">
        <x:v>预测</x:v>
      </x:c>
      <x:c r="S1151" s="14" t="str">
        <x:v>到站时间为估算值</x:v>
      </x:c>
      <x:c r="T1151" t="str">
        <x:v>研究生宿舍楼发车</x:v>
      </x:c>
    </x:row>
    <x:row r="1152">
      <x:c r="A1152" s="14" t="str">
        <x:v>S0098-07</x:v>
      </x:c>
      <x:c r="B1152" s="14" t="str">
        <x:v>S0098</x:v>
      </x:c>
      <x:c r="C1152" s="14" t="str">
        <x:v>工作日</x:v>
      </x:c>
      <x:c r="D1152" s="14" t="str">
        <x:v>环线2路</x:v>
      </x:c>
      <x:c r="E1152" s="14" t="str">
        <x:v>第二班</x:v>
      </x:c>
      <x:c r="F1152" s="14" t="n">
        <x:v>9</x:v>
      </x:c>
      <x:c r="G1152" s="14" t="str">
        <x:v>17:35</x:v>
      </x:c>
      <x:c r="H1152" s="14" t="str">
        <x:v>研究生宿舍楼</x:v>
      </x:c>
      <x:c r="I1152" s="14" t="str">
        <x:v>否</x:v>
      </x:c>
      <x:c r="J1152" s="14" t="n">
        <x:v>7</x:v>
      </x:c>
      <x:c r="K1152" s="14" t="str">
        <x:v>二食堂</x:v>
      </x:c>
      <x:c r="L1152" s="14" t="n">
        <x:v>8</x:v>
      </x:c>
      <x:c r="M1152" s="14" t="str">
        <x:v>17:43</x:v>
      </x:c>
      <x:c r="N1152" s="14" t="str">
        <x:v>否</x:v>
      </x:c>
      <x:c r="O1152" s="14" t="str">
        <x:v>否</x:v>
      </x:c>
      <x:c r="P1152" s="14" t="str">
        <x:v>未提供</x:v>
      </x:c>
      <x:c r="Q1152" s="14" t="str">
        <x:v>未提供</x:v>
      </x:c>
      <x:c r="R1152" s="14" t="str">
        <x:v>预测</x:v>
      </x:c>
      <x:c r="S1152" s="14" t="str">
        <x:v>到站时间为估算值</x:v>
      </x:c>
      <x:c r="T1152" t="str">
        <x:v>研究生宿舍楼发车</x:v>
      </x:c>
    </x:row>
    <x:row r="1153">
      <x:c r="A1153" s="14" t="str">
        <x:v>S0098-08</x:v>
      </x:c>
      <x:c r="B1153" s="14" t="str">
        <x:v>S0098</x:v>
      </x:c>
      <x:c r="C1153" s="14" t="str">
        <x:v>工作日</x:v>
      </x:c>
      <x:c r="D1153" s="14" t="str">
        <x:v>环线2路</x:v>
      </x:c>
      <x:c r="E1153" s="14" t="str">
        <x:v>第二班</x:v>
      </x:c>
      <x:c r="F1153" s="14" t="n">
        <x:v>9</x:v>
      </x:c>
      <x:c r="G1153" s="14" t="str">
        <x:v>17:35</x:v>
      </x:c>
      <x:c r="H1153" s="14" t="str">
        <x:v>研究生宿舍楼</x:v>
      </x:c>
      <x:c r="I1153" s="14" t="str">
        <x:v>否</x:v>
      </x:c>
      <x:c r="J1153" s="14" t="n">
        <x:v>8</x:v>
      </x:c>
      <x:c r="K1153" s="14" t="str">
        <x:v>5号宿舍楼</x:v>
      </x:c>
      <x:c r="L1153" s="14" t="n">
        <x:v>9</x:v>
      </x:c>
      <x:c r="M1153" s="14" t="str">
        <x:v>17:44</x:v>
      </x:c>
      <x:c r="N1153" s="14" t="str">
        <x:v>否</x:v>
      </x:c>
      <x:c r="O1153" s="14" t="str">
        <x:v>否</x:v>
      </x:c>
      <x:c r="P1153" s="14" t="str">
        <x:v>未提供</x:v>
      </x:c>
      <x:c r="Q1153" s="14" t="str">
        <x:v>未提供</x:v>
      </x:c>
      <x:c r="R1153" s="14" t="str">
        <x:v>预测</x:v>
      </x:c>
      <x:c r="S1153" s="14" t="str">
        <x:v>到站时间为估算值</x:v>
      </x:c>
      <x:c r="T1153" t="str">
        <x:v>研究生宿舍楼发车</x:v>
      </x:c>
    </x:row>
    <x:row r="1154">
      <x:c r="A1154" s="14" t="str">
        <x:v>S0098-09</x:v>
      </x:c>
      <x:c r="B1154" s="14" t="str">
        <x:v>S0098</x:v>
      </x:c>
      <x:c r="C1154" s="14" t="str">
        <x:v>工作日</x:v>
      </x:c>
      <x:c r="D1154" s="14" t="str">
        <x:v>环线2路</x:v>
      </x:c>
      <x:c r="E1154" s="14" t="str">
        <x:v>第二班</x:v>
      </x:c>
      <x:c r="F1154" s="14" t="n">
        <x:v>9</x:v>
      </x:c>
      <x:c r="G1154" s="14" t="str">
        <x:v>17:35</x:v>
      </x:c>
      <x:c r="H1154" s="14" t="str">
        <x:v>研究生宿舍楼</x:v>
      </x:c>
      <x:c r="I1154" s="14" t="str">
        <x:v>否</x:v>
      </x:c>
      <x:c r="J1154" s="14" t="n">
        <x:v>9</x:v>
      </x:c>
      <x:c r="K1154" s="14" t="str">
        <x:v>305教学楼</x:v>
      </x:c>
      <x:c r="L1154" s="14" t="n">
        <x:v>10</x:v>
      </x:c>
      <x:c r="M1154" s="14" t="str">
        <x:v>17:45</x:v>
      </x:c>
      <x:c r="N1154" s="14" t="str">
        <x:v>否</x:v>
      </x:c>
      <x:c r="O1154" s="14" t="str">
        <x:v>否</x:v>
      </x:c>
      <x:c r="P1154" s="14" t="str">
        <x:v>未提供</x:v>
      </x:c>
      <x:c r="Q1154" s="14" t="str">
        <x:v>未提供</x:v>
      </x:c>
      <x:c r="R1154" s="14" t="str">
        <x:v>预测</x:v>
      </x:c>
      <x:c r="S1154" s="14" t="str">
        <x:v>到站时间为估算值</x:v>
      </x:c>
      <x:c r="T1154" t="str">
        <x:v>研究生宿舍楼发车</x:v>
      </x:c>
    </x:row>
    <x:row r="1155">
      <x:c r="A1155" s="14" t="str">
        <x:v>S0098-10</x:v>
      </x:c>
      <x:c r="B1155" s="14" t="str">
        <x:v>S0098</x:v>
      </x:c>
      <x:c r="C1155" s="14" t="str">
        <x:v>工作日</x:v>
      </x:c>
      <x:c r="D1155" s="14" t="str">
        <x:v>环线2路</x:v>
      </x:c>
      <x:c r="E1155" s="14" t="str">
        <x:v>第二班</x:v>
      </x:c>
      <x:c r="F1155" s="14" t="n">
        <x:v>9</x:v>
      </x:c>
      <x:c r="G1155" s="14" t="str">
        <x:v>17:35</x:v>
      </x:c>
      <x:c r="H1155" s="14" t="str">
        <x:v>研究生宿舍楼</x:v>
      </x:c>
      <x:c r="I1155" s="14" t="str">
        <x:v>否</x:v>
      </x:c>
      <x:c r="J1155" s="14" t="n">
        <x:v>10</x:v>
      </x:c>
      <x:c r="K1155" s="14" t="str">
        <x:v>研究生宿舍楼</x:v>
      </x:c>
      <x:c r="L1155" s="14" t="n">
        <x:v>12</x:v>
      </x:c>
      <x:c r="M1155" s="14" t="str">
        <x:v>17:47</x:v>
      </x:c>
      <x:c r="N1155" s="14" t="str">
        <x:v>否</x:v>
      </x:c>
      <x:c r="O1155" s="14" t="str">
        <x:v>是</x:v>
      </x:c>
      <x:c r="P1155" s="14" t="str">
        <x:v>未提供</x:v>
      </x:c>
      <x:c r="Q1155" s="14" t="str">
        <x:v>未提供</x:v>
      </x:c>
      <x:c r="R1155" s="14" t="str">
        <x:v>预测</x:v>
      </x:c>
      <x:c r="S1155" s="14" t="str">
        <x:v>到站时间为估算值</x:v>
      </x:c>
      <x:c r="T1155" t="str">
        <x:v>研究生宿舍楼发车</x:v>
      </x:c>
    </x:row>
    <x:row r="1156">
      <x:c r="A1156" s="14" t="str">
        <x:v>S0099-01</x:v>
      </x:c>
      <x:c r="B1156" s="14" t="str">
        <x:v>S0099</x:v>
      </x:c>
      <x:c r="C1156" s="14" t="str">
        <x:v>工作日</x:v>
      </x:c>
      <x:c r="D1156" s="14" t="str">
        <x:v>环线2路</x:v>
      </x:c>
      <x:c r="E1156" s="14" t="str">
        <x:v>第二班</x:v>
      </x:c>
      <x:c r="F1156" s="14" t="n">
        <x:v>10</x:v>
      </x:c>
      <x:c r="G1156" s="14" t="str">
        <x:v>18:10</x:v>
      </x:c>
      <x:c r="H1156" s="14" t="str">
        <x:v>研究生宿舍楼</x:v>
      </x:c>
      <x:c r="I1156" s="14" t="str">
        <x:v>否</x:v>
      </x:c>
      <x:c r="J1156" s="14" t="n">
        <x:v>1</x:v>
      </x:c>
      <x:c r="K1156" s="14" t="str">
        <x:v>研究生宿舍楼</x:v>
      </x:c>
      <x:c r="L1156" s="14" t="n">
        <x:v>0</x:v>
      </x:c>
      <x:c r="M1156" s="14" t="str">
        <x:v>18:10</x:v>
      </x:c>
      <x:c r="N1156" s="14" t="str">
        <x:v>是</x:v>
      </x:c>
      <x:c r="O1156" s="14" t="str">
        <x:v>否</x:v>
      </x:c>
      <x:c r="P1156" s="14" t="str">
        <x:v>未提供</x:v>
      </x:c>
      <x:c r="Q1156" s="14" t="str">
        <x:v>未提供</x:v>
      </x:c>
      <x:c r="R1156" s="14" t="str">
        <x:v>预测</x:v>
      </x:c>
      <x:c r="S1156" s="14" t="str">
        <x:v>到站时间为估算值</x:v>
      </x:c>
      <x:c r="T1156" t="str">
        <x:v>研究生宿舍楼发车</x:v>
      </x:c>
    </x:row>
    <x:row r="1157">
      <x:c r="A1157" s="14" t="str">
        <x:v>S0099-02</x:v>
      </x:c>
      <x:c r="B1157" s="14" t="str">
        <x:v>S0099</x:v>
      </x:c>
      <x:c r="C1157" s="14" t="str">
        <x:v>工作日</x:v>
      </x:c>
      <x:c r="D1157" s="14" t="str">
        <x:v>环线2路</x:v>
      </x:c>
      <x:c r="E1157" s="14" t="str">
        <x:v>第二班</x:v>
      </x:c>
      <x:c r="F1157" s="14" t="n">
        <x:v>10</x:v>
      </x:c>
      <x:c r="G1157" s="14" t="str">
        <x:v>18:10</x:v>
      </x:c>
      <x:c r="H1157" s="14" t="str">
        <x:v>研究生宿舍楼</x:v>
      </x:c>
      <x:c r="I1157" s="14" t="str">
        <x:v>否</x:v>
      </x:c>
      <x:c r="J1157" s="14" t="n">
        <x:v>2</x:v>
      </x:c>
      <x:c r="K1157" s="14" t="str">
        <x:v>一食堂</x:v>
      </x:c>
      <x:c r="L1157" s="14" t="n">
        <x:v>1</x:v>
      </x:c>
      <x:c r="M1157" s="14" t="str">
        <x:v>18:11</x:v>
      </x:c>
      <x:c r="N1157" s="14" t="str">
        <x:v>否</x:v>
      </x:c>
      <x:c r="O1157" s="14" t="str">
        <x:v>否</x:v>
      </x:c>
      <x:c r="P1157" s="14" t="str">
        <x:v>未提供</x:v>
      </x:c>
      <x:c r="Q1157" s="14" t="str">
        <x:v>未提供</x:v>
      </x:c>
      <x:c r="R1157" s="14" t="str">
        <x:v>预测</x:v>
      </x:c>
      <x:c r="S1157" s="14" t="str">
        <x:v>到站时间为估算值</x:v>
      </x:c>
      <x:c r="T1157" t="str">
        <x:v>研究生宿舍楼发车</x:v>
      </x:c>
    </x:row>
    <x:row r="1158">
      <x:c r="A1158" s="14" t="str">
        <x:v>S0099-03</x:v>
      </x:c>
      <x:c r="B1158" s="14" t="str">
        <x:v>S0099</x:v>
      </x:c>
      <x:c r="C1158" s="14" t="str">
        <x:v>工作日</x:v>
      </x:c>
      <x:c r="D1158" s="14" t="str">
        <x:v>环线2路</x:v>
      </x:c>
      <x:c r="E1158" s="14" t="str">
        <x:v>第二班</x:v>
      </x:c>
      <x:c r="F1158" s="14" t="n">
        <x:v>10</x:v>
      </x:c>
      <x:c r="G1158" s="14" t="str">
        <x:v>18:10</x:v>
      </x:c>
      <x:c r="H1158" s="14" t="str">
        <x:v>研究生宿舍楼</x:v>
      </x:c>
      <x:c r="I1158" s="14" t="str">
        <x:v>否</x:v>
      </x:c>
      <x:c r="J1158" s="14" t="n">
        <x:v>3</x:v>
      </x:c>
      <x:c r="K1158" s="14" t="str">
        <x:v>门诊部</x:v>
      </x:c>
      <x:c r="L1158" s="14" t="n">
        <x:v>2</x:v>
      </x:c>
      <x:c r="M1158" s="14" t="str">
        <x:v>18:12</x:v>
      </x:c>
      <x:c r="N1158" s="14" t="str">
        <x:v>否</x:v>
      </x:c>
      <x:c r="O1158" s="14" t="str">
        <x:v>否</x:v>
      </x:c>
      <x:c r="P1158" s="14" t="str">
        <x:v>未提供</x:v>
      </x:c>
      <x:c r="Q1158" s="14" t="str">
        <x:v>未提供</x:v>
      </x:c>
      <x:c r="R1158" s="14" t="str">
        <x:v>预测</x:v>
      </x:c>
      <x:c r="S1158" s="14" t="str">
        <x:v>到站时间为估算值</x:v>
      </x:c>
      <x:c r="T1158" t="str">
        <x:v>研究生宿舍楼发车</x:v>
      </x:c>
    </x:row>
    <x:row r="1159">
      <x:c r="A1159" s="14" t="str">
        <x:v>S0099-04</x:v>
      </x:c>
      <x:c r="B1159" s="14" t="str">
        <x:v>S0099</x:v>
      </x:c>
      <x:c r="C1159" s="14" t="str">
        <x:v>工作日</x:v>
      </x:c>
      <x:c r="D1159" s="14" t="str">
        <x:v>环线2路</x:v>
      </x:c>
      <x:c r="E1159" s="14" t="str">
        <x:v>第二班</x:v>
      </x:c>
      <x:c r="F1159" s="14" t="n">
        <x:v>10</x:v>
      </x:c>
      <x:c r="G1159" s="14" t="str">
        <x:v>18:10</x:v>
      </x:c>
      <x:c r="H1159" s="14" t="str">
        <x:v>研究生宿舍楼</x:v>
      </x:c>
      <x:c r="I1159" s="14" t="str">
        <x:v>否</x:v>
      </x:c>
      <x:c r="J1159" s="14" t="n">
        <x:v>4</x:v>
      </x:c>
      <x:c r="K1159" s="14" t="str">
        <x:v>1号宿舍楼</x:v>
      </x:c>
      <x:c r="L1159" s="14" t="n">
        <x:v>3</x:v>
      </x:c>
      <x:c r="M1159" s="14" t="str">
        <x:v>18:13</x:v>
      </x:c>
      <x:c r="N1159" s="14" t="str">
        <x:v>否</x:v>
      </x:c>
      <x:c r="O1159" s="14" t="str">
        <x:v>否</x:v>
      </x:c>
      <x:c r="P1159" s="14" t="str">
        <x:v>未提供</x:v>
      </x:c>
      <x:c r="Q1159" s="14" t="str">
        <x:v>未提供</x:v>
      </x:c>
      <x:c r="R1159" s="14" t="str">
        <x:v>预测</x:v>
      </x:c>
      <x:c r="S1159" s="14" t="str">
        <x:v>到站时间为估算值</x:v>
      </x:c>
      <x:c r="T1159" t="str">
        <x:v>研究生宿舍楼发车</x:v>
      </x:c>
    </x:row>
    <x:row r="1160">
      <x:c r="A1160" s="14" t="str">
        <x:v>S0099-05</x:v>
      </x:c>
      <x:c r="B1160" s="14" t="str">
        <x:v>S0099</x:v>
      </x:c>
      <x:c r="C1160" s="14" t="str">
        <x:v>工作日</x:v>
      </x:c>
      <x:c r="D1160" s="14" t="str">
        <x:v>环线2路</x:v>
      </x:c>
      <x:c r="E1160" s="14" t="str">
        <x:v>第二班</x:v>
      </x:c>
      <x:c r="F1160" s="14" t="n">
        <x:v>10</x:v>
      </x:c>
      <x:c r="G1160" s="14" t="str">
        <x:v>18:10</x:v>
      </x:c>
      <x:c r="H1160" s="14" t="str">
        <x:v>研究生宿舍楼</x:v>
      </x:c>
      <x:c r="I1160" s="14" t="str">
        <x:v>否</x:v>
      </x:c>
      <x:c r="J1160" s="14" t="n">
        <x:v>5</x:v>
      </x:c>
      <x:c r="K1160" s="14" t="str">
        <x:v>水上训练中心</x:v>
      </x:c>
      <x:c r="L1160" s="14" t="n">
        <x:v>5</x:v>
      </x:c>
      <x:c r="M1160" s="14" t="str">
        <x:v>18:15</x:v>
      </x:c>
      <x:c r="N1160" s="14" t="str">
        <x:v>否</x:v>
      </x:c>
      <x:c r="O1160" s="14" t="str">
        <x:v>否</x:v>
      </x:c>
      <x:c r="P1160" s="14" t="str">
        <x:v>未提供</x:v>
      </x:c>
      <x:c r="Q1160" s="14" t="str">
        <x:v>未提供</x:v>
      </x:c>
      <x:c r="R1160" s="14" t="str">
        <x:v>预测</x:v>
      </x:c>
      <x:c r="S1160" s="14" t="str">
        <x:v>到站时间为估算值</x:v>
      </x:c>
      <x:c r="T1160" t="str">
        <x:v>研究生宿舍楼发车</x:v>
      </x:c>
    </x:row>
    <x:row r="1161">
      <x:c r="A1161" s="14" t="str">
        <x:v>S0099-06</x:v>
      </x:c>
      <x:c r="B1161" s="14" t="str">
        <x:v>S0099</x:v>
      </x:c>
      <x:c r="C1161" s="14" t="str">
        <x:v>工作日</x:v>
      </x:c>
      <x:c r="D1161" s="14" t="str">
        <x:v>环线2路</x:v>
      </x:c>
      <x:c r="E1161" s="14" t="str">
        <x:v>第二班</x:v>
      </x:c>
      <x:c r="F1161" s="14" t="n">
        <x:v>10</x:v>
      </x:c>
      <x:c r="G1161" s="14" t="str">
        <x:v>18:10</x:v>
      </x:c>
      <x:c r="H1161" s="14" t="str">
        <x:v>研究生宿舍楼</x:v>
      </x:c>
      <x:c r="I1161" s="14" t="str">
        <x:v>否</x:v>
      </x:c>
      <x:c r="J1161" s="14" t="n">
        <x:v>6</x:v>
      </x:c>
      <x:c r="K1161" s="14" t="str">
        <x:v>军体活动中心</x:v>
      </x:c>
      <x:c r="L1161" s="14" t="n">
        <x:v>6</x:v>
      </x:c>
      <x:c r="M1161" s="14" t="str">
        <x:v>18:16</x:v>
      </x:c>
      <x:c r="N1161" s="14" t="str">
        <x:v>否</x:v>
      </x:c>
      <x:c r="O1161" s="14" t="str">
        <x:v>否</x:v>
      </x:c>
      <x:c r="P1161" s="14" t="str">
        <x:v>未提供</x:v>
      </x:c>
      <x:c r="Q1161" s="14" t="str">
        <x:v>未提供</x:v>
      </x:c>
      <x:c r="R1161" s="14" t="str">
        <x:v>预测</x:v>
      </x:c>
      <x:c r="S1161" s="14" t="str">
        <x:v>到站时间为估算值</x:v>
      </x:c>
      <x:c r="T1161" t="str">
        <x:v>研究生宿舍楼发车</x:v>
      </x:c>
    </x:row>
    <x:row r="1162">
      <x:c r="A1162" s="14" t="str">
        <x:v>S0099-07</x:v>
      </x:c>
      <x:c r="B1162" s="14" t="str">
        <x:v>S0099</x:v>
      </x:c>
      <x:c r="C1162" s="14" t="str">
        <x:v>工作日</x:v>
      </x:c>
      <x:c r="D1162" s="14" t="str">
        <x:v>环线2路</x:v>
      </x:c>
      <x:c r="E1162" s="14" t="str">
        <x:v>第二班</x:v>
      </x:c>
      <x:c r="F1162" s="14" t="n">
        <x:v>10</x:v>
      </x:c>
      <x:c r="G1162" s="14" t="str">
        <x:v>18:10</x:v>
      </x:c>
      <x:c r="H1162" s="14" t="str">
        <x:v>研究生宿舍楼</x:v>
      </x:c>
      <x:c r="I1162" s="14" t="str">
        <x:v>否</x:v>
      </x:c>
      <x:c r="J1162" s="14" t="n">
        <x:v>7</x:v>
      </x:c>
      <x:c r="K1162" s="14" t="str">
        <x:v>二食堂</x:v>
      </x:c>
      <x:c r="L1162" s="14" t="n">
        <x:v>8</x:v>
      </x:c>
      <x:c r="M1162" s="14" t="str">
        <x:v>18:18</x:v>
      </x:c>
      <x:c r="N1162" s="14" t="str">
        <x:v>否</x:v>
      </x:c>
      <x:c r="O1162" s="14" t="str">
        <x:v>否</x:v>
      </x:c>
      <x:c r="P1162" s="14" t="str">
        <x:v>未提供</x:v>
      </x:c>
      <x:c r="Q1162" s="14" t="str">
        <x:v>未提供</x:v>
      </x:c>
      <x:c r="R1162" s="14" t="str">
        <x:v>预测</x:v>
      </x:c>
      <x:c r="S1162" s="14" t="str">
        <x:v>到站时间为估算值</x:v>
      </x:c>
      <x:c r="T1162" t="str">
        <x:v>研究生宿舍楼发车</x:v>
      </x:c>
    </x:row>
    <x:row r="1163">
      <x:c r="A1163" s="14" t="str">
        <x:v>S0099-08</x:v>
      </x:c>
      <x:c r="B1163" s="14" t="str">
        <x:v>S0099</x:v>
      </x:c>
      <x:c r="C1163" s="14" t="str">
        <x:v>工作日</x:v>
      </x:c>
      <x:c r="D1163" s="14" t="str">
        <x:v>环线2路</x:v>
      </x:c>
      <x:c r="E1163" s="14" t="str">
        <x:v>第二班</x:v>
      </x:c>
      <x:c r="F1163" s="14" t="n">
        <x:v>10</x:v>
      </x:c>
      <x:c r="G1163" s="14" t="str">
        <x:v>18:10</x:v>
      </x:c>
      <x:c r="H1163" s="14" t="str">
        <x:v>研究生宿舍楼</x:v>
      </x:c>
      <x:c r="I1163" s="14" t="str">
        <x:v>否</x:v>
      </x:c>
      <x:c r="J1163" s="14" t="n">
        <x:v>8</x:v>
      </x:c>
      <x:c r="K1163" s="14" t="str">
        <x:v>5号宿舍楼</x:v>
      </x:c>
      <x:c r="L1163" s="14" t="n">
        <x:v>9</x:v>
      </x:c>
      <x:c r="M1163" s="14" t="str">
        <x:v>18:19</x:v>
      </x:c>
      <x:c r="N1163" s="14" t="str">
        <x:v>否</x:v>
      </x:c>
      <x:c r="O1163" s="14" t="str">
        <x:v>否</x:v>
      </x:c>
      <x:c r="P1163" s="14" t="str">
        <x:v>未提供</x:v>
      </x:c>
      <x:c r="Q1163" s="14" t="str">
        <x:v>未提供</x:v>
      </x:c>
      <x:c r="R1163" s="14" t="str">
        <x:v>预测</x:v>
      </x:c>
      <x:c r="S1163" s="14" t="str">
        <x:v>到站时间为估算值</x:v>
      </x:c>
      <x:c r="T1163" t="str">
        <x:v>研究生宿舍楼发车</x:v>
      </x:c>
    </x:row>
    <x:row r="1164">
      <x:c r="A1164" s="14" t="str">
        <x:v>S0099-09</x:v>
      </x:c>
      <x:c r="B1164" s="14" t="str">
        <x:v>S0099</x:v>
      </x:c>
      <x:c r="C1164" s="14" t="str">
        <x:v>工作日</x:v>
      </x:c>
      <x:c r="D1164" s="14" t="str">
        <x:v>环线2路</x:v>
      </x:c>
      <x:c r="E1164" s="14" t="str">
        <x:v>第二班</x:v>
      </x:c>
      <x:c r="F1164" s="14" t="n">
        <x:v>10</x:v>
      </x:c>
      <x:c r="G1164" s="14" t="str">
        <x:v>18:10</x:v>
      </x:c>
      <x:c r="H1164" s="14" t="str">
        <x:v>研究生宿舍楼</x:v>
      </x:c>
      <x:c r="I1164" s="14" t="str">
        <x:v>否</x:v>
      </x:c>
      <x:c r="J1164" s="14" t="n">
        <x:v>9</x:v>
      </x:c>
      <x:c r="K1164" s="14" t="str">
        <x:v>305教学楼</x:v>
      </x:c>
      <x:c r="L1164" s="14" t="n">
        <x:v>10</x:v>
      </x:c>
      <x:c r="M1164" s="14" t="str">
        <x:v>18:20</x:v>
      </x:c>
      <x:c r="N1164" s="14" t="str">
        <x:v>否</x:v>
      </x:c>
      <x:c r="O1164" s="14" t="str">
        <x:v>否</x:v>
      </x:c>
      <x:c r="P1164" s="14" t="str">
        <x:v>未提供</x:v>
      </x:c>
      <x:c r="Q1164" s="14" t="str">
        <x:v>未提供</x:v>
      </x:c>
      <x:c r="R1164" s="14" t="str">
        <x:v>预测</x:v>
      </x:c>
      <x:c r="S1164" s="14" t="str">
        <x:v>到站时间为估算值</x:v>
      </x:c>
      <x:c r="T1164" t="str">
        <x:v>研究生宿舍楼发车</x:v>
      </x:c>
    </x:row>
    <x:row r="1165">
      <x:c r="A1165" s="14" t="str">
        <x:v>S0099-10</x:v>
      </x:c>
      <x:c r="B1165" s="14" t="str">
        <x:v>S0099</x:v>
      </x:c>
      <x:c r="C1165" s="14" t="str">
        <x:v>工作日</x:v>
      </x:c>
      <x:c r="D1165" s="14" t="str">
        <x:v>环线2路</x:v>
      </x:c>
      <x:c r="E1165" s="14" t="str">
        <x:v>第二班</x:v>
      </x:c>
      <x:c r="F1165" s="14" t="n">
        <x:v>10</x:v>
      </x:c>
      <x:c r="G1165" s="14" t="str">
        <x:v>18:10</x:v>
      </x:c>
      <x:c r="H1165" s="14" t="str">
        <x:v>研究生宿舍楼</x:v>
      </x:c>
      <x:c r="I1165" s="14" t="str">
        <x:v>否</x:v>
      </x:c>
      <x:c r="J1165" s="14" t="n">
        <x:v>10</x:v>
      </x:c>
      <x:c r="K1165" s="14" t="str">
        <x:v>研究生宿舍楼</x:v>
      </x:c>
      <x:c r="L1165" s="14" t="n">
        <x:v>12</x:v>
      </x:c>
      <x:c r="M1165" s="14" t="str">
        <x:v>18:22</x:v>
      </x:c>
      <x:c r="N1165" s="14" t="str">
        <x:v>否</x:v>
      </x:c>
      <x:c r="O1165" s="14" t="str">
        <x:v>是</x:v>
      </x:c>
      <x:c r="P1165" s="14" t="str">
        <x:v>未提供</x:v>
      </x:c>
      <x:c r="Q1165" s="14" t="str">
        <x:v>未提供</x:v>
      </x:c>
      <x:c r="R1165" s="14" t="str">
        <x:v>预测</x:v>
      </x:c>
      <x:c r="S1165" s="14" t="str">
        <x:v>到站时间为估算值</x:v>
      </x:c>
      <x:c r="T1165" t="str">
        <x:v>研究生宿舍楼发车</x:v>
      </x:c>
    </x:row>
    <x:row r="1166">
      <x:c r="A1166" s="14" t="str">
        <x:v>S0100-01</x:v>
      </x:c>
      <x:c r="B1166" s="14" t="str">
        <x:v>S0100</x:v>
      </x:c>
      <x:c r="C1166" s="14" t="str">
        <x:v>工作日</x:v>
      </x:c>
      <x:c r="D1166" s="14" t="str">
        <x:v>环线2路</x:v>
      </x:c>
      <x:c r="E1166" s="14" t="str">
        <x:v>第二班</x:v>
      </x:c>
      <x:c r="F1166" s="14" t="n">
        <x:v>11</x:v>
      </x:c>
      <x:c r="G1166" s="14" t="str">
        <x:v>18:25</x:v>
      </x:c>
      <x:c r="H1166" s="14" t="str">
        <x:v>研究生宿舍楼</x:v>
      </x:c>
      <x:c r="I1166" s="14" t="str">
        <x:v>否</x:v>
      </x:c>
      <x:c r="J1166" s="14" t="n">
        <x:v>1</x:v>
      </x:c>
      <x:c r="K1166" s="14" t="str">
        <x:v>研究生宿舍楼</x:v>
      </x:c>
      <x:c r="L1166" s="14" t="n">
        <x:v>0</x:v>
      </x:c>
      <x:c r="M1166" s="14" t="str">
        <x:v>18:25</x:v>
      </x:c>
      <x:c r="N1166" s="14" t="str">
        <x:v>是</x:v>
      </x:c>
      <x:c r="O1166" s="14" t="str">
        <x:v>否</x:v>
      </x:c>
      <x:c r="P1166" s="14" t="str">
        <x:v>未提供</x:v>
      </x:c>
      <x:c r="Q1166" s="14" t="str">
        <x:v>未提供</x:v>
      </x:c>
      <x:c r="R1166" s="14" t="str">
        <x:v>预测</x:v>
      </x:c>
      <x:c r="S1166" s="14" t="str">
        <x:v>到站时间为估算值</x:v>
      </x:c>
      <x:c r="T1166" t="str">
        <x:v>研究生宿舍楼发车</x:v>
      </x:c>
    </x:row>
    <x:row r="1167">
      <x:c r="A1167" s="14" t="str">
        <x:v>S0100-02</x:v>
      </x:c>
      <x:c r="B1167" s="14" t="str">
        <x:v>S0100</x:v>
      </x:c>
      <x:c r="C1167" s="14" t="str">
        <x:v>工作日</x:v>
      </x:c>
      <x:c r="D1167" s="14" t="str">
        <x:v>环线2路</x:v>
      </x:c>
      <x:c r="E1167" s="14" t="str">
        <x:v>第二班</x:v>
      </x:c>
      <x:c r="F1167" s="14" t="n">
        <x:v>11</x:v>
      </x:c>
      <x:c r="G1167" s="14" t="str">
        <x:v>18:25</x:v>
      </x:c>
      <x:c r="H1167" s="14" t="str">
        <x:v>研究生宿舍楼</x:v>
      </x:c>
      <x:c r="I1167" s="14" t="str">
        <x:v>否</x:v>
      </x:c>
      <x:c r="J1167" s="14" t="n">
        <x:v>2</x:v>
      </x:c>
      <x:c r="K1167" s="14" t="str">
        <x:v>一食堂</x:v>
      </x:c>
      <x:c r="L1167" s="14" t="n">
        <x:v>1</x:v>
      </x:c>
      <x:c r="M1167" s="14" t="str">
        <x:v>18:26</x:v>
      </x:c>
      <x:c r="N1167" s="14" t="str">
        <x:v>否</x:v>
      </x:c>
      <x:c r="O1167" s="14" t="str">
        <x:v>否</x:v>
      </x:c>
      <x:c r="P1167" s="14" t="str">
        <x:v>未提供</x:v>
      </x:c>
      <x:c r="Q1167" s="14" t="str">
        <x:v>未提供</x:v>
      </x:c>
      <x:c r="R1167" s="14" t="str">
        <x:v>预测</x:v>
      </x:c>
      <x:c r="S1167" s="14" t="str">
        <x:v>到站时间为估算值</x:v>
      </x:c>
      <x:c r="T1167" t="str">
        <x:v>研究生宿舍楼发车</x:v>
      </x:c>
    </x:row>
    <x:row r="1168">
      <x:c r="A1168" s="14" t="str">
        <x:v>S0100-03</x:v>
      </x:c>
      <x:c r="B1168" s="14" t="str">
        <x:v>S0100</x:v>
      </x:c>
      <x:c r="C1168" s="14" t="str">
        <x:v>工作日</x:v>
      </x:c>
      <x:c r="D1168" s="14" t="str">
        <x:v>环线2路</x:v>
      </x:c>
      <x:c r="E1168" s="14" t="str">
        <x:v>第二班</x:v>
      </x:c>
      <x:c r="F1168" s="14" t="n">
        <x:v>11</x:v>
      </x:c>
      <x:c r="G1168" s="14" t="str">
        <x:v>18:25</x:v>
      </x:c>
      <x:c r="H1168" s="14" t="str">
        <x:v>研究生宿舍楼</x:v>
      </x:c>
      <x:c r="I1168" s="14" t="str">
        <x:v>否</x:v>
      </x:c>
      <x:c r="J1168" s="14" t="n">
        <x:v>3</x:v>
      </x:c>
      <x:c r="K1168" s="14" t="str">
        <x:v>门诊部</x:v>
      </x:c>
      <x:c r="L1168" s="14" t="n">
        <x:v>2</x:v>
      </x:c>
      <x:c r="M1168" s="14" t="str">
        <x:v>18:27</x:v>
      </x:c>
      <x:c r="N1168" s="14" t="str">
        <x:v>否</x:v>
      </x:c>
      <x:c r="O1168" s="14" t="str">
        <x:v>否</x:v>
      </x:c>
      <x:c r="P1168" s="14" t="str">
        <x:v>未提供</x:v>
      </x:c>
      <x:c r="Q1168" s="14" t="str">
        <x:v>未提供</x:v>
      </x:c>
      <x:c r="R1168" s="14" t="str">
        <x:v>预测</x:v>
      </x:c>
      <x:c r="S1168" s="14" t="str">
        <x:v>到站时间为估算值</x:v>
      </x:c>
      <x:c r="T1168" t="str">
        <x:v>研究生宿舍楼发车</x:v>
      </x:c>
    </x:row>
    <x:row r="1169">
      <x:c r="A1169" s="14" t="str">
        <x:v>S0100-04</x:v>
      </x:c>
      <x:c r="B1169" s="14" t="str">
        <x:v>S0100</x:v>
      </x:c>
      <x:c r="C1169" s="14" t="str">
        <x:v>工作日</x:v>
      </x:c>
      <x:c r="D1169" s="14" t="str">
        <x:v>环线2路</x:v>
      </x:c>
      <x:c r="E1169" s="14" t="str">
        <x:v>第二班</x:v>
      </x:c>
      <x:c r="F1169" s="14" t="n">
        <x:v>11</x:v>
      </x:c>
      <x:c r="G1169" s="14" t="str">
        <x:v>18:25</x:v>
      </x:c>
      <x:c r="H1169" s="14" t="str">
        <x:v>研究生宿舍楼</x:v>
      </x:c>
      <x:c r="I1169" s="14" t="str">
        <x:v>否</x:v>
      </x:c>
      <x:c r="J1169" s="14" t="n">
        <x:v>4</x:v>
      </x:c>
      <x:c r="K1169" s="14" t="str">
        <x:v>1号宿舍楼</x:v>
      </x:c>
      <x:c r="L1169" s="14" t="n">
        <x:v>3</x:v>
      </x:c>
      <x:c r="M1169" s="14" t="str">
        <x:v>18:28</x:v>
      </x:c>
      <x:c r="N1169" s="14" t="str">
        <x:v>否</x:v>
      </x:c>
      <x:c r="O1169" s="14" t="str">
        <x:v>否</x:v>
      </x:c>
      <x:c r="P1169" s="14" t="str">
        <x:v>未提供</x:v>
      </x:c>
      <x:c r="Q1169" s="14" t="str">
        <x:v>未提供</x:v>
      </x:c>
      <x:c r="R1169" s="14" t="str">
        <x:v>预测</x:v>
      </x:c>
      <x:c r="S1169" s="14" t="str">
        <x:v>到站时间为估算值</x:v>
      </x:c>
      <x:c r="T1169" t="str">
        <x:v>研究生宿舍楼发车</x:v>
      </x:c>
    </x:row>
    <x:row r="1170">
      <x:c r="A1170" s="14" t="str">
        <x:v>S0100-05</x:v>
      </x:c>
      <x:c r="B1170" s="14" t="str">
        <x:v>S0100</x:v>
      </x:c>
      <x:c r="C1170" s="14" t="str">
        <x:v>工作日</x:v>
      </x:c>
      <x:c r="D1170" s="14" t="str">
        <x:v>环线2路</x:v>
      </x:c>
      <x:c r="E1170" s="14" t="str">
        <x:v>第二班</x:v>
      </x:c>
      <x:c r="F1170" s="14" t="n">
        <x:v>11</x:v>
      </x:c>
      <x:c r="G1170" s="14" t="str">
        <x:v>18:25</x:v>
      </x:c>
      <x:c r="H1170" s="14" t="str">
        <x:v>研究生宿舍楼</x:v>
      </x:c>
      <x:c r="I1170" s="14" t="str">
        <x:v>否</x:v>
      </x:c>
      <x:c r="J1170" s="14" t="n">
        <x:v>5</x:v>
      </x:c>
      <x:c r="K1170" s="14" t="str">
        <x:v>水上训练中心</x:v>
      </x:c>
      <x:c r="L1170" s="14" t="n">
        <x:v>5</x:v>
      </x:c>
      <x:c r="M1170" s="14" t="str">
        <x:v>18:30</x:v>
      </x:c>
      <x:c r="N1170" s="14" t="str">
        <x:v>否</x:v>
      </x:c>
      <x:c r="O1170" s="14" t="str">
        <x:v>否</x:v>
      </x:c>
      <x:c r="P1170" s="14" t="str">
        <x:v>未提供</x:v>
      </x:c>
      <x:c r="Q1170" s="14" t="str">
        <x:v>未提供</x:v>
      </x:c>
      <x:c r="R1170" s="14" t="str">
        <x:v>预测</x:v>
      </x:c>
      <x:c r="S1170" s="14" t="str">
        <x:v>到站时间为估算值</x:v>
      </x:c>
      <x:c r="T1170" t="str">
        <x:v>研究生宿舍楼发车</x:v>
      </x:c>
    </x:row>
    <x:row r="1171">
      <x:c r="A1171" s="14" t="str">
        <x:v>S0100-06</x:v>
      </x:c>
      <x:c r="B1171" s="14" t="str">
        <x:v>S0100</x:v>
      </x:c>
      <x:c r="C1171" s="14" t="str">
        <x:v>工作日</x:v>
      </x:c>
      <x:c r="D1171" s="14" t="str">
        <x:v>环线2路</x:v>
      </x:c>
      <x:c r="E1171" s="14" t="str">
        <x:v>第二班</x:v>
      </x:c>
      <x:c r="F1171" s="14" t="n">
        <x:v>11</x:v>
      </x:c>
      <x:c r="G1171" s="14" t="str">
        <x:v>18:25</x:v>
      </x:c>
      <x:c r="H1171" s="14" t="str">
        <x:v>研究生宿舍楼</x:v>
      </x:c>
      <x:c r="I1171" s="14" t="str">
        <x:v>否</x:v>
      </x:c>
      <x:c r="J1171" s="14" t="n">
        <x:v>6</x:v>
      </x:c>
      <x:c r="K1171" s="14" t="str">
        <x:v>军体活动中心</x:v>
      </x:c>
      <x:c r="L1171" s="14" t="n">
        <x:v>6</x:v>
      </x:c>
      <x:c r="M1171" s="14" t="str">
        <x:v>18:31</x:v>
      </x:c>
      <x:c r="N1171" s="14" t="str">
        <x:v>否</x:v>
      </x:c>
      <x:c r="O1171" s="14" t="str">
        <x:v>否</x:v>
      </x:c>
      <x:c r="P1171" s="14" t="str">
        <x:v>未提供</x:v>
      </x:c>
      <x:c r="Q1171" s="14" t="str">
        <x:v>未提供</x:v>
      </x:c>
      <x:c r="R1171" s="14" t="str">
        <x:v>预测</x:v>
      </x:c>
      <x:c r="S1171" s="14" t="str">
        <x:v>到站时间为估算值</x:v>
      </x:c>
      <x:c r="T1171" t="str">
        <x:v>研究生宿舍楼发车</x:v>
      </x:c>
    </x:row>
    <x:row r="1172">
      <x:c r="A1172" s="14" t="str">
        <x:v>S0100-07</x:v>
      </x:c>
      <x:c r="B1172" s="14" t="str">
        <x:v>S0100</x:v>
      </x:c>
      <x:c r="C1172" s="14" t="str">
        <x:v>工作日</x:v>
      </x:c>
      <x:c r="D1172" s="14" t="str">
        <x:v>环线2路</x:v>
      </x:c>
      <x:c r="E1172" s="14" t="str">
        <x:v>第二班</x:v>
      </x:c>
      <x:c r="F1172" s="14" t="n">
        <x:v>11</x:v>
      </x:c>
      <x:c r="G1172" s="14" t="str">
        <x:v>18:25</x:v>
      </x:c>
      <x:c r="H1172" s="14" t="str">
        <x:v>研究生宿舍楼</x:v>
      </x:c>
      <x:c r="I1172" s="14" t="str">
        <x:v>否</x:v>
      </x:c>
      <x:c r="J1172" s="14" t="n">
        <x:v>7</x:v>
      </x:c>
      <x:c r="K1172" s="14" t="str">
        <x:v>二食堂</x:v>
      </x:c>
      <x:c r="L1172" s="14" t="n">
        <x:v>8</x:v>
      </x:c>
      <x:c r="M1172" s="14" t="str">
        <x:v>18:33</x:v>
      </x:c>
      <x:c r="N1172" s="14" t="str">
        <x:v>否</x:v>
      </x:c>
      <x:c r="O1172" s="14" t="str">
        <x:v>否</x:v>
      </x:c>
      <x:c r="P1172" s="14" t="str">
        <x:v>未提供</x:v>
      </x:c>
      <x:c r="Q1172" s="14" t="str">
        <x:v>未提供</x:v>
      </x:c>
      <x:c r="R1172" s="14" t="str">
        <x:v>预测</x:v>
      </x:c>
      <x:c r="S1172" s="14" t="str">
        <x:v>到站时间为估算值</x:v>
      </x:c>
      <x:c r="T1172" t="str">
        <x:v>研究生宿舍楼发车</x:v>
      </x:c>
    </x:row>
    <x:row r="1173">
      <x:c r="A1173" s="14" t="str">
        <x:v>S0100-08</x:v>
      </x:c>
      <x:c r="B1173" s="14" t="str">
        <x:v>S0100</x:v>
      </x:c>
      <x:c r="C1173" s="14" t="str">
        <x:v>工作日</x:v>
      </x:c>
      <x:c r="D1173" s="14" t="str">
        <x:v>环线2路</x:v>
      </x:c>
      <x:c r="E1173" s="14" t="str">
        <x:v>第二班</x:v>
      </x:c>
      <x:c r="F1173" s="14" t="n">
        <x:v>11</x:v>
      </x:c>
      <x:c r="G1173" s="14" t="str">
        <x:v>18:25</x:v>
      </x:c>
      <x:c r="H1173" s="14" t="str">
        <x:v>研究生宿舍楼</x:v>
      </x:c>
      <x:c r="I1173" s="14" t="str">
        <x:v>否</x:v>
      </x:c>
      <x:c r="J1173" s="14" t="n">
        <x:v>8</x:v>
      </x:c>
      <x:c r="K1173" s="14" t="str">
        <x:v>5号宿舍楼</x:v>
      </x:c>
      <x:c r="L1173" s="14" t="n">
        <x:v>9</x:v>
      </x:c>
      <x:c r="M1173" s="14" t="str">
        <x:v>18:34</x:v>
      </x:c>
      <x:c r="N1173" s="14" t="str">
        <x:v>否</x:v>
      </x:c>
      <x:c r="O1173" s="14" t="str">
        <x:v>否</x:v>
      </x:c>
      <x:c r="P1173" s="14" t="str">
        <x:v>未提供</x:v>
      </x:c>
      <x:c r="Q1173" s="14" t="str">
        <x:v>未提供</x:v>
      </x:c>
      <x:c r="R1173" s="14" t="str">
        <x:v>预测</x:v>
      </x:c>
      <x:c r="S1173" s="14" t="str">
        <x:v>到站时间为估算值</x:v>
      </x:c>
      <x:c r="T1173" t="str">
        <x:v>研究生宿舍楼发车</x:v>
      </x:c>
    </x:row>
    <x:row r="1174">
      <x:c r="A1174" s="14" t="str">
        <x:v>S0100-09</x:v>
      </x:c>
      <x:c r="B1174" s="14" t="str">
        <x:v>S0100</x:v>
      </x:c>
      <x:c r="C1174" s="14" t="str">
        <x:v>工作日</x:v>
      </x:c>
      <x:c r="D1174" s="14" t="str">
        <x:v>环线2路</x:v>
      </x:c>
      <x:c r="E1174" s="14" t="str">
        <x:v>第二班</x:v>
      </x:c>
      <x:c r="F1174" s="14" t="n">
        <x:v>11</x:v>
      </x:c>
      <x:c r="G1174" s="14" t="str">
        <x:v>18:25</x:v>
      </x:c>
      <x:c r="H1174" s="14" t="str">
        <x:v>研究生宿舍楼</x:v>
      </x:c>
      <x:c r="I1174" s="14" t="str">
        <x:v>否</x:v>
      </x:c>
      <x:c r="J1174" s="14" t="n">
        <x:v>9</x:v>
      </x:c>
      <x:c r="K1174" s="14" t="str">
        <x:v>305教学楼</x:v>
      </x:c>
      <x:c r="L1174" s="14" t="n">
        <x:v>10</x:v>
      </x:c>
      <x:c r="M1174" s="14" t="str">
        <x:v>18:35</x:v>
      </x:c>
      <x:c r="N1174" s="14" t="str">
        <x:v>否</x:v>
      </x:c>
      <x:c r="O1174" s="14" t="str">
        <x:v>否</x:v>
      </x:c>
      <x:c r="P1174" s="14" t="str">
        <x:v>未提供</x:v>
      </x:c>
      <x:c r="Q1174" s="14" t="str">
        <x:v>未提供</x:v>
      </x:c>
      <x:c r="R1174" s="14" t="str">
        <x:v>预测</x:v>
      </x:c>
      <x:c r="S1174" s="14" t="str">
        <x:v>到站时间为估算值</x:v>
      </x:c>
      <x:c r="T1174" t="str">
        <x:v>研究生宿舍楼发车</x:v>
      </x:c>
    </x:row>
    <x:row r="1175">
      <x:c r="A1175" s="14" t="str">
        <x:v>S0100-10</x:v>
      </x:c>
      <x:c r="B1175" s="14" t="str">
        <x:v>S0100</x:v>
      </x:c>
      <x:c r="C1175" s="14" t="str">
        <x:v>工作日</x:v>
      </x:c>
      <x:c r="D1175" s="14" t="str">
        <x:v>环线2路</x:v>
      </x:c>
      <x:c r="E1175" s="14" t="str">
        <x:v>第二班</x:v>
      </x:c>
      <x:c r="F1175" s="14" t="n">
        <x:v>11</x:v>
      </x:c>
      <x:c r="G1175" s="14" t="str">
        <x:v>18:25</x:v>
      </x:c>
      <x:c r="H1175" s="14" t="str">
        <x:v>研究生宿舍楼</x:v>
      </x:c>
      <x:c r="I1175" s="14" t="str">
        <x:v>否</x:v>
      </x:c>
      <x:c r="J1175" s="14" t="n">
        <x:v>10</x:v>
      </x:c>
      <x:c r="K1175" s="14" t="str">
        <x:v>研究生宿舍楼</x:v>
      </x:c>
      <x:c r="L1175" s="14" t="n">
        <x:v>12</x:v>
      </x:c>
      <x:c r="M1175" s="14" t="str">
        <x:v>18:37</x:v>
      </x:c>
      <x:c r="N1175" s="14" t="str">
        <x:v>否</x:v>
      </x:c>
      <x:c r="O1175" s="14" t="str">
        <x:v>是</x:v>
      </x:c>
      <x:c r="P1175" s="14" t="str">
        <x:v>未提供</x:v>
      </x:c>
      <x:c r="Q1175" s="14" t="str">
        <x:v>未提供</x:v>
      </x:c>
      <x:c r="R1175" s="14" t="str">
        <x:v>预测</x:v>
      </x:c>
      <x:c r="S1175" s="14" t="str">
        <x:v>到站时间为估算值</x:v>
      </x:c>
      <x:c r="T1175" t="str">
        <x:v>研究生宿舍楼发车</x:v>
      </x:c>
    </x:row>
    <x:row r="1176">
      <x:c r="A1176" s="14" t="str">
        <x:v>S0101-01</x:v>
      </x:c>
      <x:c r="B1176" s="14" t="str">
        <x:v>S0101</x:v>
      </x:c>
      <x:c r="C1176" s="14" t="str">
        <x:v>工作日</x:v>
      </x:c>
      <x:c r="D1176" s="14" t="str">
        <x:v>环线2路</x:v>
      </x:c>
      <x:c r="E1176" s="14" t="str">
        <x:v>第二班</x:v>
      </x:c>
      <x:c r="F1176" s="14" t="n">
        <x:v>12</x:v>
      </x:c>
      <x:c r="G1176" s="14" t="str">
        <x:v>18:45</x:v>
      </x:c>
      <x:c r="H1176" s="14" t="str">
        <x:v>研究生宿舍楼</x:v>
      </x:c>
      <x:c r="I1176" s="14" t="str">
        <x:v>否</x:v>
      </x:c>
      <x:c r="J1176" s="14" t="n">
        <x:v>1</x:v>
      </x:c>
      <x:c r="K1176" s="14" t="str">
        <x:v>研究生宿舍楼</x:v>
      </x:c>
      <x:c r="L1176" s="14" t="n">
        <x:v>0</x:v>
      </x:c>
      <x:c r="M1176" s="14" t="str">
        <x:v>18:45</x:v>
      </x:c>
      <x:c r="N1176" s="14" t="str">
        <x:v>是</x:v>
      </x:c>
      <x:c r="O1176" s="14" t="str">
        <x:v>否</x:v>
      </x:c>
      <x:c r="P1176" s="14" t="str">
        <x:v>未提供</x:v>
      </x:c>
      <x:c r="Q1176" s="14" t="str">
        <x:v>未提供</x:v>
      </x:c>
      <x:c r="R1176" s="14" t="str">
        <x:v>预测</x:v>
      </x:c>
      <x:c r="S1176" s="14" t="str">
        <x:v>到站时间为估算值</x:v>
      </x:c>
      <x:c r="T1176" t="str">
        <x:v>研究生宿舍楼发车</x:v>
      </x:c>
    </x:row>
    <x:row r="1177">
      <x:c r="A1177" s="14" t="str">
        <x:v>S0101-02</x:v>
      </x:c>
      <x:c r="B1177" s="14" t="str">
        <x:v>S0101</x:v>
      </x:c>
      <x:c r="C1177" s="14" t="str">
        <x:v>工作日</x:v>
      </x:c>
      <x:c r="D1177" s="14" t="str">
        <x:v>环线2路</x:v>
      </x:c>
      <x:c r="E1177" s="14" t="str">
        <x:v>第二班</x:v>
      </x:c>
      <x:c r="F1177" s="14" t="n">
        <x:v>12</x:v>
      </x:c>
      <x:c r="G1177" s="14" t="str">
        <x:v>18:45</x:v>
      </x:c>
      <x:c r="H1177" s="14" t="str">
        <x:v>研究生宿舍楼</x:v>
      </x:c>
      <x:c r="I1177" s="14" t="str">
        <x:v>否</x:v>
      </x:c>
      <x:c r="J1177" s="14" t="n">
        <x:v>2</x:v>
      </x:c>
      <x:c r="K1177" s="14" t="str">
        <x:v>一食堂</x:v>
      </x:c>
      <x:c r="L1177" s="14" t="n">
        <x:v>1</x:v>
      </x:c>
      <x:c r="M1177" s="14" t="str">
        <x:v>18:46</x:v>
      </x:c>
      <x:c r="N1177" s="14" t="str">
        <x:v>否</x:v>
      </x:c>
      <x:c r="O1177" s="14" t="str">
        <x:v>否</x:v>
      </x:c>
      <x:c r="P1177" s="14" t="str">
        <x:v>未提供</x:v>
      </x:c>
      <x:c r="Q1177" s="14" t="str">
        <x:v>未提供</x:v>
      </x:c>
      <x:c r="R1177" s="14" t="str">
        <x:v>预测</x:v>
      </x:c>
      <x:c r="S1177" s="14" t="str">
        <x:v>到站时间为估算值</x:v>
      </x:c>
      <x:c r="T1177" t="str">
        <x:v>研究生宿舍楼发车</x:v>
      </x:c>
    </x:row>
    <x:row r="1178">
      <x:c r="A1178" s="14" t="str">
        <x:v>S0101-03</x:v>
      </x:c>
      <x:c r="B1178" s="14" t="str">
        <x:v>S0101</x:v>
      </x:c>
      <x:c r="C1178" s="14" t="str">
        <x:v>工作日</x:v>
      </x:c>
      <x:c r="D1178" s="14" t="str">
        <x:v>环线2路</x:v>
      </x:c>
      <x:c r="E1178" s="14" t="str">
        <x:v>第二班</x:v>
      </x:c>
      <x:c r="F1178" s="14" t="n">
        <x:v>12</x:v>
      </x:c>
      <x:c r="G1178" s="14" t="str">
        <x:v>18:45</x:v>
      </x:c>
      <x:c r="H1178" s="14" t="str">
        <x:v>研究生宿舍楼</x:v>
      </x:c>
      <x:c r="I1178" s="14" t="str">
        <x:v>否</x:v>
      </x:c>
      <x:c r="J1178" s="14" t="n">
        <x:v>3</x:v>
      </x:c>
      <x:c r="K1178" s="14" t="str">
        <x:v>门诊部</x:v>
      </x:c>
      <x:c r="L1178" s="14" t="n">
        <x:v>2</x:v>
      </x:c>
      <x:c r="M1178" s="14" t="str">
        <x:v>18:47</x:v>
      </x:c>
      <x:c r="N1178" s="14" t="str">
        <x:v>否</x:v>
      </x:c>
      <x:c r="O1178" s="14" t="str">
        <x:v>否</x:v>
      </x:c>
      <x:c r="P1178" s="14" t="str">
        <x:v>未提供</x:v>
      </x:c>
      <x:c r="Q1178" s="14" t="str">
        <x:v>未提供</x:v>
      </x:c>
      <x:c r="R1178" s="14" t="str">
        <x:v>预测</x:v>
      </x:c>
      <x:c r="S1178" s="14" t="str">
        <x:v>到站时间为估算值</x:v>
      </x:c>
      <x:c r="T1178" t="str">
        <x:v>研究生宿舍楼发车</x:v>
      </x:c>
    </x:row>
    <x:row r="1179">
      <x:c r="A1179" s="14" t="str">
        <x:v>S0101-04</x:v>
      </x:c>
      <x:c r="B1179" s="14" t="str">
        <x:v>S0101</x:v>
      </x:c>
      <x:c r="C1179" s="14" t="str">
        <x:v>工作日</x:v>
      </x:c>
      <x:c r="D1179" s="14" t="str">
        <x:v>环线2路</x:v>
      </x:c>
      <x:c r="E1179" s="14" t="str">
        <x:v>第二班</x:v>
      </x:c>
      <x:c r="F1179" s="14" t="n">
        <x:v>12</x:v>
      </x:c>
      <x:c r="G1179" s="14" t="str">
        <x:v>18:45</x:v>
      </x:c>
      <x:c r="H1179" s="14" t="str">
        <x:v>研究生宿舍楼</x:v>
      </x:c>
      <x:c r="I1179" s="14" t="str">
        <x:v>否</x:v>
      </x:c>
      <x:c r="J1179" s="14" t="n">
        <x:v>4</x:v>
      </x:c>
      <x:c r="K1179" s="14" t="str">
        <x:v>1号宿舍楼</x:v>
      </x:c>
      <x:c r="L1179" s="14" t="n">
        <x:v>3</x:v>
      </x:c>
      <x:c r="M1179" s="14" t="str">
        <x:v>18:48</x:v>
      </x:c>
      <x:c r="N1179" s="14" t="str">
        <x:v>否</x:v>
      </x:c>
      <x:c r="O1179" s="14" t="str">
        <x:v>否</x:v>
      </x:c>
      <x:c r="P1179" s="14" t="str">
        <x:v>未提供</x:v>
      </x:c>
      <x:c r="Q1179" s="14" t="str">
        <x:v>未提供</x:v>
      </x:c>
      <x:c r="R1179" s="14" t="str">
        <x:v>预测</x:v>
      </x:c>
      <x:c r="S1179" s="14" t="str">
        <x:v>到站时间为估算值</x:v>
      </x:c>
      <x:c r="T1179" t="str">
        <x:v>研究生宿舍楼发车</x:v>
      </x:c>
    </x:row>
    <x:row r="1180">
      <x:c r="A1180" s="14" t="str">
        <x:v>S0101-05</x:v>
      </x:c>
      <x:c r="B1180" s="14" t="str">
        <x:v>S0101</x:v>
      </x:c>
      <x:c r="C1180" s="14" t="str">
        <x:v>工作日</x:v>
      </x:c>
      <x:c r="D1180" s="14" t="str">
        <x:v>环线2路</x:v>
      </x:c>
      <x:c r="E1180" s="14" t="str">
        <x:v>第二班</x:v>
      </x:c>
      <x:c r="F1180" s="14" t="n">
        <x:v>12</x:v>
      </x:c>
      <x:c r="G1180" s="14" t="str">
        <x:v>18:45</x:v>
      </x:c>
      <x:c r="H1180" s="14" t="str">
        <x:v>研究生宿舍楼</x:v>
      </x:c>
      <x:c r="I1180" s="14" t="str">
        <x:v>否</x:v>
      </x:c>
      <x:c r="J1180" s="14" t="n">
        <x:v>5</x:v>
      </x:c>
      <x:c r="K1180" s="14" t="str">
        <x:v>水上训练中心</x:v>
      </x:c>
      <x:c r="L1180" s="14" t="n">
        <x:v>5</x:v>
      </x:c>
      <x:c r="M1180" s="14" t="str">
        <x:v>18:50</x:v>
      </x:c>
      <x:c r="N1180" s="14" t="str">
        <x:v>否</x:v>
      </x:c>
      <x:c r="O1180" s="14" t="str">
        <x:v>否</x:v>
      </x:c>
      <x:c r="P1180" s="14" t="str">
        <x:v>未提供</x:v>
      </x:c>
      <x:c r="Q1180" s="14" t="str">
        <x:v>未提供</x:v>
      </x:c>
      <x:c r="R1180" s="14" t="str">
        <x:v>预测</x:v>
      </x:c>
      <x:c r="S1180" s="14" t="str">
        <x:v>到站时间为估算值</x:v>
      </x:c>
      <x:c r="T1180" t="str">
        <x:v>研究生宿舍楼发车</x:v>
      </x:c>
    </x:row>
    <x:row r="1181">
      <x:c r="A1181" s="14" t="str">
        <x:v>S0101-06</x:v>
      </x:c>
      <x:c r="B1181" s="14" t="str">
        <x:v>S0101</x:v>
      </x:c>
      <x:c r="C1181" s="14" t="str">
        <x:v>工作日</x:v>
      </x:c>
      <x:c r="D1181" s="14" t="str">
        <x:v>环线2路</x:v>
      </x:c>
      <x:c r="E1181" s="14" t="str">
        <x:v>第二班</x:v>
      </x:c>
      <x:c r="F1181" s="14" t="n">
        <x:v>12</x:v>
      </x:c>
      <x:c r="G1181" s="14" t="str">
        <x:v>18:45</x:v>
      </x:c>
      <x:c r="H1181" s="14" t="str">
        <x:v>研究生宿舍楼</x:v>
      </x:c>
      <x:c r="I1181" s="14" t="str">
        <x:v>否</x:v>
      </x:c>
      <x:c r="J1181" s="14" t="n">
        <x:v>6</x:v>
      </x:c>
      <x:c r="K1181" s="14" t="str">
        <x:v>军体活动中心</x:v>
      </x:c>
      <x:c r="L1181" s="14" t="n">
        <x:v>6</x:v>
      </x:c>
      <x:c r="M1181" s="14" t="str">
        <x:v>18:51</x:v>
      </x:c>
      <x:c r="N1181" s="14" t="str">
        <x:v>否</x:v>
      </x:c>
      <x:c r="O1181" s="14" t="str">
        <x:v>否</x:v>
      </x:c>
      <x:c r="P1181" s="14" t="str">
        <x:v>未提供</x:v>
      </x:c>
      <x:c r="Q1181" s="14" t="str">
        <x:v>未提供</x:v>
      </x:c>
      <x:c r="R1181" s="14" t="str">
        <x:v>预测</x:v>
      </x:c>
      <x:c r="S1181" s="14" t="str">
        <x:v>到站时间为估算值</x:v>
      </x:c>
      <x:c r="T1181" t="str">
        <x:v>研究生宿舍楼发车</x:v>
      </x:c>
    </x:row>
    <x:row r="1182">
      <x:c r="A1182" s="14" t="str">
        <x:v>S0101-07</x:v>
      </x:c>
      <x:c r="B1182" s="14" t="str">
        <x:v>S0101</x:v>
      </x:c>
      <x:c r="C1182" s="14" t="str">
        <x:v>工作日</x:v>
      </x:c>
      <x:c r="D1182" s="14" t="str">
        <x:v>环线2路</x:v>
      </x:c>
      <x:c r="E1182" s="14" t="str">
        <x:v>第二班</x:v>
      </x:c>
      <x:c r="F1182" s="14" t="n">
        <x:v>12</x:v>
      </x:c>
      <x:c r="G1182" s="14" t="str">
        <x:v>18:45</x:v>
      </x:c>
      <x:c r="H1182" s="14" t="str">
        <x:v>研究生宿舍楼</x:v>
      </x:c>
      <x:c r="I1182" s="14" t="str">
        <x:v>否</x:v>
      </x:c>
      <x:c r="J1182" s="14" t="n">
        <x:v>7</x:v>
      </x:c>
      <x:c r="K1182" s="14" t="str">
        <x:v>二食堂</x:v>
      </x:c>
      <x:c r="L1182" s="14" t="n">
        <x:v>8</x:v>
      </x:c>
      <x:c r="M1182" s="14" t="str">
        <x:v>18:53</x:v>
      </x:c>
      <x:c r="N1182" s="14" t="str">
        <x:v>否</x:v>
      </x:c>
      <x:c r="O1182" s="14" t="str">
        <x:v>否</x:v>
      </x:c>
      <x:c r="P1182" s="14" t="str">
        <x:v>未提供</x:v>
      </x:c>
      <x:c r="Q1182" s="14" t="str">
        <x:v>未提供</x:v>
      </x:c>
      <x:c r="R1182" s="14" t="str">
        <x:v>预测</x:v>
      </x:c>
      <x:c r="S1182" s="14" t="str">
        <x:v>到站时间为估算值</x:v>
      </x:c>
      <x:c r="T1182" t="str">
        <x:v>研究生宿舍楼发车</x:v>
      </x:c>
    </x:row>
    <x:row r="1183">
      <x:c r="A1183" s="14" t="str">
        <x:v>S0101-08</x:v>
      </x:c>
      <x:c r="B1183" s="14" t="str">
        <x:v>S0101</x:v>
      </x:c>
      <x:c r="C1183" s="14" t="str">
        <x:v>工作日</x:v>
      </x:c>
      <x:c r="D1183" s="14" t="str">
        <x:v>环线2路</x:v>
      </x:c>
      <x:c r="E1183" s="14" t="str">
        <x:v>第二班</x:v>
      </x:c>
      <x:c r="F1183" s="14" t="n">
        <x:v>12</x:v>
      </x:c>
      <x:c r="G1183" s="14" t="str">
        <x:v>18:45</x:v>
      </x:c>
      <x:c r="H1183" s="14" t="str">
        <x:v>研究生宿舍楼</x:v>
      </x:c>
      <x:c r="I1183" s="14" t="str">
        <x:v>否</x:v>
      </x:c>
      <x:c r="J1183" s="14" t="n">
        <x:v>8</x:v>
      </x:c>
      <x:c r="K1183" s="14" t="str">
        <x:v>5号宿舍楼</x:v>
      </x:c>
      <x:c r="L1183" s="14" t="n">
        <x:v>9</x:v>
      </x:c>
      <x:c r="M1183" s="14" t="str">
        <x:v>18:54</x:v>
      </x:c>
      <x:c r="N1183" s="14" t="str">
        <x:v>否</x:v>
      </x:c>
      <x:c r="O1183" s="14" t="str">
        <x:v>否</x:v>
      </x:c>
      <x:c r="P1183" s="14" t="str">
        <x:v>未提供</x:v>
      </x:c>
      <x:c r="Q1183" s="14" t="str">
        <x:v>未提供</x:v>
      </x:c>
      <x:c r="R1183" s="14" t="str">
        <x:v>预测</x:v>
      </x:c>
      <x:c r="S1183" s="14" t="str">
        <x:v>到站时间为估算值</x:v>
      </x:c>
      <x:c r="T1183" t="str">
        <x:v>研究生宿舍楼发车</x:v>
      </x:c>
    </x:row>
    <x:row r="1184">
      <x:c r="A1184" s="14" t="str">
        <x:v>S0101-09</x:v>
      </x:c>
      <x:c r="B1184" s="14" t="str">
        <x:v>S0101</x:v>
      </x:c>
      <x:c r="C1184" s="14" t="str">
        <x:v>工作日</x:v>
      </x:c>
      <x:c r="D1184" s="14" t="str">
        <x:v>环线2路</x:v>
      </x:c>
      <x:c r="E1184" s="14" t="str">
        <x:v>第二班</x:v>
      </x:c>
      <x:c r="F1184" s="14" t="n">
        <x:v>12</x:v>
      </x:c>
      <x:c r="G1184" s="14" t="str">
        <x:v>18:45</x:v>
      </x:c>
      <x:c r="H1184" s="14" t="str">
        <x:v>研究生宿舍楼</x:v>
      </x:c>
      <x:c r="I1184" s="14" t="str">
        <x:v>否</x:v>
      </x:c>
      <x:c r="J1184" s="14" t="n">
        <x:v>9</x:v>
      </x:c>
      <x:c r="K1184" s="14" t="str">
        <x:v>305教学楼</x:v>
      </x:c>
      <x:c r="L1184" s="14" t="n">
        <x:v>10</x:v>
      </x:c>
      <x:c r="M1184" s="14" t="str">
        <x:v>18:55</x:v>
      </x:c>
      <x:c r="N1184" s="14" t="str">
        <x:v>否</x:v>
      </x:c>
      <x:c r="O1184" s="14" t="str">
        <x:v>否</x:v>
      </x:c>
      <x:c r="P1184" s="14" t="str">
        <x:v>未提供</x:v>
      </x:c>
      <x:c r="Q1184" s="14" t="str">
        <x:v>未提供</x:v>
      </x:c>
      <x:c r="R1184" s="14" t="str">
        <x:v>预测</x:v>
      </x:c>
      <x:c r="S1184" s="14" t="str">
        <x:v>到站时间为估算值</x:v>
      </x:c>
      <x:c r="T1184" t="str">
        <x:v>研究生宿舍楼发车</x:v>
      </x:c>
    </x:row>
    <x:row r="1185">
      <x:c r="A1185" s="14" t="str">
        <x:v>S0101-10</x:v>
      </x:c>
      <x:c r="B1185" s="14" t="str">
        <x:v>S0101</x:v>
      </x:c>
      <x:c r="C1185" s="14" t="str">
        <x:v>工作日</x:v>
      </x:c>
      <x:c r="D1185" s="14" t="str">
        <x:v>环线2路</x:v>
      </x:c>
      <x:c r="E1185" s="14" t="str">
        <x:v>第二班</x:v>
      </x:c>
      <x:c r="F1185" s="14" t="n">
        <x:v>12</x:v>
      </x:c>
      <x:c r="G1185" s="14" t="str">
        <x:v>18:45</x:v>
      </x:c>
      <x:c r="H1185" s="14" t="str">
        <x:v>研究生宿舍楼</x:v>
      </x:c>
      <x:c r="I1185" s="14" t="str">
        <x:v>否</x:v>
      </x:c>
      <x:c r="J1185" s="14" t="n">
        <x:v>10</x:v>
      </x:c>
      <x:c r="K1185" s="14" t="str">
        <x:v>研究生宿舍楼</x:v>
      </x:c>
      <x:c r="L1185" s="14" t="n">
        <x:v>12</x:v>
      </x:c>
      <x:c r="M1185" s="14" t="str">
        <x:v>18:57</x:v>
      </x:c>
      <x:c r="N1185" s="14" t="str">
        <x:v>否</x:v>
      </x:c>
      <x:c r="O1185" s="14" t="str">
        <x:v>是</x:v>
      </x:c>
      <x:c r="P1185" s="14" t="str">
        <x:v>未提供</x:v>
      </x:c>
      <x:c r="Q1185" s="14" t="str">
        <x:v>未提供</x:v>
      </x:c>
      <x:c r="R1185" s="14" t="str">
        <x:v>预测</x:v>
      </x:c>
      <x:c r="S1185" s="14" t="str">
        <x:v>到站时间为估算值</x:v>
      </x:c>
      <x:c r="T1185" t="str">
        <x:v>研究生宿舍楼发车</x:v>
      </x:c>
    </x:row>
    <x:row r="1186">
      <x:c r="A1186" s="14" t="str">
        <x:v>S0102-01</x:v>
      </x:c>
      <x:c r="B1186" s="14" t="str">
        <x:v>S0102</x:v>
      </x:c>
      <x:c r="C1186" s="14" t="str">
        <x:v>工作日</x:v>
      </x:c>
      <x:c r="D1186" s="14" t="str">
        <x:v>环线2路</x:v>
      </x:c>
      <x:c r="E1186" s="14" t="str">
        <x:v>第二班</x:v>
      </x:c>
      <x:c r="F1186" s="14" t="n">
        <x:v>13</x:v>
      </x:c>
      <x:c r="G1186" s="14" t="str">
        <x:v>19:15</x:v>
      </x:c>
      <x:c r="H1186" s="14" t="str">
        <x:v>研究生宿舍楼</x:v>
      </x:c>
      <x:c r="I1186" s="14" t="str">
        <x:v>否</x:v>
      </x:c>
      <x:c r="J1186" s="14" t="n">
        <x:v>1</x:v>
      </x:c>
      <x:c r="K1186" s="14" t="str">
        <x:v>研究生宿舍楼</x:v>
      </x:c>
      <x:c r="L1186" s="14" t="n">
        <x:v>0</x:v>
      </x:c>
      <x:c r="M1186" s="14" t="str">
        <x:v>19:15</x:v>
      </x:c>
      <x:c r="N1186" s="14" t="str">
        <x:v>是</x:v>
      </x:c>
      <x:c r="O1186" s="14" t="str">
        <x:v>否</x:v>
      </x:c>
      <x:c r="P1186" s="14" t="str">
        <x:v>未提供</x:v>
      </x:c>
      <x:c r="Q1186" s="14" t="str">
        <x:v>未提供</x:v>
      </x:c>
      <x:c r="R1186" s="14" t="str">
        <x:v>预测</x:v>
      </x:c>
      <x:c r="S1186" s="14" t="str">
        <x:v>到站时间为估算值</x:v>
      </x:c>
      <x:c r="T1186" t="str">
        <x:v>研究生宿舍楼发车</x:v>
      </x:c>
    </x:row>
    <x:row r="1187">
      <x:c r="A1187" s="14" t="str">
        <x:v>S0102-02</x:v>
      </x:c>
      <x:c r="B1187" s="14" t="str">
        <x:v>S0102</x:v>
      </x:c>
      <x:c r="C1187" s="14" t="str">
        <x:v>工作日</x:v>
      </x:c>
      <x:c r="D1187" s="14" t="str">
        <x:v>环线2路</x:v>
      </x:c>
      <x:c r="E1187" s="14" t="str">
        <x:v>第二班</x:v>
      </x:c>
      <x:c r="F1187" s="14" t="n">
        <x:v>13</x:v>
      </x:c>
      <x:c r="G1187" s="14" t="str">
        <x:v>19:15</x:v>
      </x:c>
      <x:c r="H1187" s="14" t="str">
        <x:v>研究生宿舍楼</x:v>
      </x:c>
      <x:c r="I1187" s="14" t="str">
        <x:v>否</x:v>
      </x:c>
      <x:c r="J1187" s="14" t="n">
        <x:v>2</x:v>
      </x:c>
      <x:c r="K1187" s="14" t="str">
        <x:v>一食堂</x:v>
      </x:c>
      <x:c r="L1187" s="14" t="n">
        <x:v>1</x:v>
      </x:c>
      <x:c r="M1187" s="14" t="str">
        <x:v>19:16</x:v>
      </x:c>
      <x:c r="N1187" s="14" t="str">
        <x:v>否</x:v>
      </x:c>
      <x:c r="O1187" s="14" t="str">
        <x:v>否</x:v>
      </x:c>
      <x:c r="P1187" s="14" t="str">
        <x:v>未提供</x:v>
      </x:c>
      <x:c r="Q1187" s="14" t="str">
        <x:v>未提供</x:v>
      </x:c>
      <x:c r="R1187" s="14" t="str">
        <x:v>预测</x:v>
      </x:c>
      <x:c r="S1187" s="14" t="str">
        <x:v>到站时间为估算值</x:v>
      </x:c>
      <x:c r="T1187" t="str">
        <x:v>研究生宿舍楼发车</x:v>
      </x:c>
    </x:row>
    <x:row r="1188">
      <x:c r="A1188" s="14" t="str">
        <x:v>S0102-03</x:v>
      </x:c>
      <x:c r="B1188" s="14" t="str">
        <x:v>S0102</x:v>
      </x:c>
      <x:c r="C1188" s="14" t="str">
        <x:v>工作日</x:v>
      </x:c>
      <x:c r="D1188" s="14" t="str">
        <x:v>环线2路</x:v>
      </x:c>
      <x:c r="E1188" s="14" t="str">
        <x:v>第二班</x:v>
      </x:c>
      <x:c r="F1188" s="14" t="n">
        <x:v>13</x:v>
      </x:c>
      <x:c r="G1188" s="14" t="str">
        <x:v>19:15</x:v>
      </x:c>
      <x:c r="H1188" s="14" t="str">
        <x:v>研究生宿舍楼</x:v>
      </x:c>
      <x:c r="I1188" s="14" t="str">
        <x:v>否</x:v>
      </x:c>
      <x:c r="J1188" s="14" t="n">
        <x:v>3</x:v>
      </x:c>
      <x:c r="K1188" s="14" t="str">
        <x:v>门诊部</x:v>
      </x:c>
      <x:c r="L1188" s="14" t="n">
        <x:v>2</x:v>
      </x:c>
      <x:c r="M1188" s="14" t="str">
        <x:v>19:17</x:v>
      </x:c>
      <x:c r="N1188" s="14" t="str">
        <x:v>否</x:v>
      </x:c>
      <x:c r="O1188" s="14" t="str">
        <x:v>否</x:v>
      </x:c>
      <x:c r="P1188" s="14" t="str">
        <x:v>未提供</x:v>
      </x:c>
      <x:c r="Q1188" s="14" t="str">
        <x:v>未提供</x:v>
      </x:c>
      <x:c r="R1188" s="14" t="str">
        <x:v>预测</x:v>
      </x:c>
      <x:c r="S1188" s="14" t="str">
        <x:v>到站时间为估算值</x:v>
      </x:c>
      <x:c r="T1188" t="str">
        <x:v>研究生宿舍楼发车</x:v>
      </x:c>
    </x:row>
    <x:row r="1189">
      <x:c r="A1189" s="14" t="str">
        <x:v>S0102-04</x:v>
      </x:c>
      <x:c r="B1189" s="14" t="str">
        <x:v>S0102</x:v>
      </x:c>
      <x:c r="C1189" s="14" t="str">
        <x:v>工作日</x:v>
      </x:c>
      <x:c r="D1189" s="14" t="str">
        <x:v>环线2路</x:v>
      </x:c>
      <x:c r="E1189" s="14" t="str">
        <x:v>第二班</x:v>
      </x:c>
      <x:c r="F1189" s="14" t="n">
        <x:v>13</x:v>
      </x:c>
      <x:c r="G1189" s="14" t="str">
        <x:v>19:15</x:v>
      </x:c>
      <x:c r="H1189" s="14" t="str">
        <x:v>研究生宿舍楼</x:v>
      </x:c>
      <x:c r="I1189" s="14" t="str">
        <x:v>否</x:v>
      </x:c>
      <x:c r="J1189" s="14" t="n">
        <x:v>4</x:v>
      </x:c>
      <x:c r="K1189" s="14" t="str">
        <x:v>1号宿舍楼</x:v>
      </x:c>
      <x:c r="L1189" s="14" t="n">
        <x:v>3</x:v>
      </x:c>
      <x:c r="M1189" s="14" t="str">
        <x:v>19:18</x:v>
      </x:c>
      <x:c r="N1189" s="14" t="str">
        <x:v>否</x:v>
      </x:c>
      <x:c r="O1189" s="14" t="str">
        <x:v>否</x:v>
      </x:c>
      <x:c r="P1189" s="14" t="str">
        <x:v>未提供</x:v>
      </x:c>
      <x:c r="Q1189" s="14" t="str">
        <x:v>未提供</x:v>
      </x:c>
      <x:c r="R1189" s="14" t="str">
        <x:v>预测</x:v>
      </x:c>
      <x:c r="S1189" s="14" t="str">
        <x:v>到站时间为估算值</x:v>
      </x:c>
      <x:c r="T1189" t="str">
        <x:v>研究生宿舍楼发车</x:v>
      </x:c>
    </x:row>
    <x:row r="1190">
      <x:c r="A1190" s="14" t="str">
        <x:v>S0102-05</x:v>
      </x:c>
      <x:c r="B1190" s="14" t="str">
        <x:v>S0102</x:v>
      </x:c>
      <x:c r="C1190" s="14" t="str">
        <x:v>工作日</x:v>
      </x:c>
      <x:c r="D1190" s="14" t="str">
        <x:v>环线2路</x:v>
      </x:c>
      <x:c r="E1190" s="14" t="str">
        <x:v>第二班</x:v>
      </x:c>
      <x:c r="F1190" s="14" t="n">
        <x:v>13</x:v>
      </x:c>
      <x:c r="G1190" s="14" t="str">
        <x:v>19:15</x:v>
      </x:c>
      <x:c r="H1190" s="14" t="str">
        <x:v>研究生宿舍楼</x:v>
      </x:c>
      <x:c r="I1190" s="14" t="str">
        <x:v>否</x:v>
      </x:c>
      <x:c r="J1190" s="14" t="n">
        <x:v>5</x:v>
      </x:c>
      <x:c r="K1190" s="14" t="str">
        <x:v>水上训练中心</x:v>
      </x:c>
      <x:c r="L1190" s="14" t="n">
        <x:v>5</x:v>
      </x:c>
      <x:c r="M1190" s="14" t="str">
        <x:v>19:20</x:v>
      </x:c>
      <x:c r="N1190" s="14" t="str">
        <x:v>否</x:v>
      </x:c>
      <x:c r="O1190" s="14" t="str">
        <x:v>否</x:v>
      </x:c>
      <x:c r="P1190" s="14" t="str">
        <x:v>未提供</x:v>
      </x:c>
      <x:c r="Q1190" s="14" t="str">
        <x:v>未提供</x:v>
      </x:c>
      <x:c r="R1190" s="14" t="str">
        <x:v>预测</x:v>
      </x:c>
      <x:c r="S1190" s="14" t="str">
        <x:v>到站时间为估算值</x:v>
      </x:c>
      <x:c r="T1190" t="str">
        <x:v>研究生宿舍楼发车</x:v>
      </x:c>
    </x:row>
    <x:row r="1191">
      <x:c r="A1191" s="14" t="str">
        <x:v>S0102-06</x:v>
      </x:c>
      <x:c r="B1191" s="14" t="str">
        <x:v>S0102</x:v>
      </x:c>
      <x:c r="C1191" s="14" t="str">
        <x:v>工作日</x:v>
      </x:c>
      <x:c r="D1191" s="14" t="str">
        <x:v>环线2路</x:v>
      </x:c>
      <x:c r="E1191" s="14" t="str">
        <x:v>第二班</x:v>
      </x:c>
      <x:c r="F1191" s="14" t="n">
        <x:v>13</x:v>
      </x:c>
      <x:c r="G1191" s="14" t="str">
        <x:v>19:15</x:v>
      </x:c>
      <x:c r="H1191" s="14" t="str">
        <x:v>研究生宿舍楼</x:v>
      </x:c>
      <x:c r="I1191" s="14" t="str">
        <x:v>否</x:v>
      </x:c>
      <x:c r="J1191" s="14" t="n">
        <x:v>6</x:v>
      </x:c>
      <x:c r="K1191" s="14" t="str">
        <x:v>军体活动中心</x:v>
      </x:c>
      <x:c r="L1191" s="14" t="n">
        <x:v>6</x:v>
      </x:c>
      <x:c r="M1191" s="14" t="str">
        <x:v>19:21</x:v>
      </x:c>
      <x:c r="N1191" s="14" t="str">
        <x:v>否</x:v>
      </x:c>
      <x:c r="O1191" s="14" t="str">
        <x:v>否</x:v>
      </x:c>
      <x:c r="P1191" s="14" t="str">
        <x:v>未提供</x:v>
      </x:c>
      <x:c r="Q1191" s="14" t="str">
        <x:v>未提供</x:v>
      </x:c>
      <x:c r="R1191" s="14" t="str">
        <x:v>预测</x:v>
      </x:c>
      <x:c r="S1191" s="14" t="str">
        <x:v>到站时间为估算值</x:v>
      </x:c>
      <x:c r="T1191" t="str">
        <x:v>研究生宿舍楼发车</x:v>
      </x:c>
    </x:row>
    <x:row r="1192">
      <x:c r="A1192" s="14" t="str">
        <x:v>S0102-07</x:v>
      </x:c>
      <x:c r="B1192" s="14" t="str">
        <x:v>S0102</x:v>
      </x:c>
      <x:c r="C1192" s="14" t="str">
        <x:v>工作日</x:v>
      </x:c>
      <x:c r="D1192" s="14" t="str">
        <x:v>环线2路</x:v>
      </x:c>
      <x:c r="E1192" s="14" t="str">
        <x:v>第二班</x:v>
      </x:c>
      <x:c r="F1192" s="14" t="n">
        <x:v>13</x:v>
      </x:c>
      <x:c r="G1192" s="14" t="str">
        <x:v>19:15</x:v>
      </x:c>
      <x:c r="H1192" s="14" t="str">
        <x:v>研究生宿舍楼</x:v>
      </x:c>
      <x:c r="I1192" s="14" t="str">
        <x:v>否</x:v>
      </x:c>
      <x:c r="J1192" s="14" t="n">
        <x:v>7</x:v>
      </x:c>
      <x:c r="K1192" s="14" t="str">
        <x:v>二食堂</x:v>
      </x:c>
      <x:c r="L1192" s="14" t="n">
        <x:v>8</x:v>
      </x:c>
      <x:c r="M1192" s="14" t="str">
        <x:v>19:23</x:v>
      </x:c>
      <x:c r="N1192" s="14" t="str">
        <x:v>否</x:v>
      </x:c>
      <x:c r="O1192" s="14" t="str">
        <x:v>否</x:v>
      </x:c>
      <x:c r="P1192" s="14" t="str">
        <x:v>未提供</x:v>
      </x:c>
      <x:c r="Q1192" s="14" t="str">
        <x:v>未提供</x:v>
      </x:c>
      <x:c r="R1192" s="14" t="str">
        <x:v>预测</x:v>
      </x:c>
      <x:c r="S1192" s="14" t="str">
        <x:v>到站时间为估算值</x:v>
      </x:c>
      <x:c r="T1192" t="str">
        <x:v>研究生宿舍楼发车</x:v>
      </x:c>
    </x:row>
    <x:row r="1193">
      <x:c r="A1193" s="14" t="str">
        <x:v>S0102-08</x:v>
      </x:c>
      <x:c r="B1193" s="14" t="str">
        <x:v>S0102</x:v>
      </x:c>
      <x:c r="C1193" s="14" t="str">
        <x:v>工作日</x:v>
      </x:c>
      <x:c r="D1193" s="14" t="str">
        <x:v>环线2路</x:v>
      </x:c>
      <x:c r="E1193" s="14" t="str">
        <x:v>第二班</x:v>
      </x:c>
      <x:c r="F1193" s="14" t="n">
        <x:v>13</x:v>
      </x:c>
      <x:c r="G1193" s="14" t="str">
        <x:v>19:15</x:v>
      </x:c>
      <x:c r="H1193" s="14" t="str">
        <x:v>研究生宿舍楼</x:v>
      </x:c>
      <x:c r="I1193" s="14" t="str">
        <x:v>否</x:v>
      </x:c>
      <x:c r="J1193" s="14" t="n">
        <x:v>8</x:v>
      </x:c>
      <x:c r="K1193" s="14" t="str">
        <x:v>5号宿舍楼</x:v>
      </x:c>
      <x:c r="L1193" s="14" t="n">
        <x:v>9</x:v>
      </x:c>
      <x:c r="M1193" s="14" t="str">
        <x:v>19:24</x:v>
      </x:c>
      <x:c r="N1193" s="14" t="str">
        <x:v>否</x:v>
      </x:c>
      <x:c r="O1193" s="14" t="str">
        <x:v>否</x:v>
      </x:c>
      <x:c r="P1193" s="14" t="str">
        <x:v>未提供</x:v>
      </x:c>
      <x:c r="Q1193" s="14" t="str">
        <x:v>未提供</x:v>
      </x:c>
      <x:c r="R1193" s="14" t="str">
        <x:v>预测</x:v>
      </x:c>
      <x:c r="S1193" s="14" t="str">
        <x:v>到站时间为估算值</x:v>
      </x:c>
      <x:c r="T1193" t="str">
        <x:v>研究生宿舍楼发车</x:v>
      </x:c>
    </x:row>
    <x:row r="1194">
      <x:c r="A1194" s="14" t="str">
        <x:v>S0102-09</x:v>
      </x:c>
      <x:c r="B1194" s="14" t="str">
        <x:v>S0102</x:v>
      </x:c>
      <x:c r="C1194" s="14" t="str">
        <x:v>工作日</x:v>
      </x:c>
      <x:c r="D1194" s="14" t="str">
        <x:v>环线2路</x:v>
      </x:c>
      <x:c r="E1194" s="14" t="str">
        <x:v>第二班</x:v>
      </x:c>
      <x:c r="F1194" s="14" t="n">
        <x:v>13</x:v>
      </x:c>
      <x:c r="G1194" s="14" t="str">
        <x:v>19:15</x:v>
      </x:c>
      <x:c r="H1194" s="14" t="str">
        <x:v>研究生宿舍楼</x:v>
      </x:c>
      <x:c r="I1194" s="14" t="str">
        <x:v>否</x:v>
      </x:c>
      <x:c r="J1194" s="14" t="n">
        <x:v>9</x:v>
      </x:c>
      <x:c r="K1194" s="14" t="str">
        <x:v>305教学楼</x:v>
      </x:c>
      <x:c r="L1194" s="14" t="n">
        <x:v>10</x:v>
      </x:c>
      <x:c r="M1194" s="14" t="str">
        <x:v>19:25</x:v>
      </x:c>
      <x:c r="N1194" s="14" t="str">
        <x:v>否</x:v>
      </x:c>
      <x:c r="O1194" s="14" t="str">
        <x:v>否</x:v>
      </x:c>
      <x:c r="P1194" s="14" t="str">
        <x:v>未提供</x:v>
      </x:c>
      <x:c r="Q1194" s="14" t="str">
        <x:v>未提供</x:v>
      </x:c>
      <x:c r="R1194" s="14" t="str">
        <x:v>预测</x:v>
      </x:c>
      <x:c r="S1194" s="14" t="str">
        <x:v>到站时间为估算值</x:v>
      </x:c>
      <x:c r="T1194" t="str">
        <x:v>研究生宿舍楼发车</x:v>
      </x:c>
    </x:row>
    <x:row r="1195">
      <x:c r="A1195" s="14" t="str">
        <x:v>S0102-10</x:v>
      </x:c>
      <x:c r="B1195" s="14" t="str">
        <x:v>S0102</x:v>
      </x:c>
      <x:c r="C1195" s="14" t="str">
        <x:v>工作日</x:v>
      </x:c>
      <x:c r="D1195" s="14" t="str">
        <x:v>环线2路</x:v>
      </x:c>
      <x:c r="E1195" s="14" t="str">
        <x:v>第二班</x:v>
      </x:c>
      <x:c r="F1195" s="14" t="n">
        <x:v>13</x:v>
      </x:c>
      <x:c r="G1195" s="14" t="str">
        <x:v>19:15</x:v>
      </x:c>
      <x:c r="H1195" s="14" t="str">
        <x:v>研究生宿舍楼</x:v>
      </x:c>
      <x:c r="I1195" s="14" t="str">
        <x:v>否</x:v>
      </x:c>
      <x:c r="J1195" s="14" t="n">
        <x:v>10</x:v>
      </x:c>
      <x:c r="K1195" s="14" t="str">
        <x:v>研究生宿舍楼</x:v>
      </x:c>
      <x:c r="L1195" s="14" t="n">
        <x:v>12</x:v>
      </x:c>
      <x:c r="M1195" s="14" t="str">
        <x:v>19:27</x:v>
      </x:c>
      <x:c r="N1195" s="14" t="str">
        <x:v>否</x:v>
      </x:c>
      <x:c r="O1195" s="14" t="str">
        <x:v>是</x:v>
      </x:c>
      <x:c r="P1195" s="14" t="str">
        <x:v>未提供</x:v>
      </x:c>
      <x:c r="Q1195" s="14" t="str">
        <x:v>未提供</x:v>
      </x:c>
      <x:c r="R1195" s="14" t="str">
        <x:v>预测</x:v>
      </x:c>
      <x:c r="S1195" s="14" t="str">
        <x:v>到站时间为估算值</x:v>
      </x:c>
      <x:c r="T1195" t="str">
        <x:v>研究生宿舍楼发车</x:v>
      </x:c>
    </x:row>
    <x:row r="1196">
      <x:c r="A1196" s="14" t="str">
        <x:v>S0103-01</x:v>
      </x:c>
      <x:c r="B1196" s="14" t="str">
        <x:v>S0103</x:v>
      </x:c>
      <x:c r="C1196" s="14" t="str">
        <x:v>工作日</x:v>
      </x:c>
      <x:c r="D1196" s="14" t="str">
        <x:v>环线2路</x:v>
      </x:c>
      <x:c r="E1196" s="14" t="str">
        <x:v>第二班</x:v>
      </x:c>
      <x:c r="F1196" s="14" t="n">
        <x:v>14</x:v>
      </x:c>
      <x:c r="G1196" s="14" t="str">
        <x:v>19:30</x:v>
      </x:c>
      <x:c r="H1196" s="14" t="str">
        <x:v>研究生宿舍楼</x:v>
      </x:c>
      <x:c r="I1196" s="14" t="str">
        <x:v>否</x:v>
      </x:c>
      <x:c r="J1196" s="14" t="n">
        <x:v>1</x:v>
      </x:c>
      <x:c r="K1196" s="14" t="str">
        <x:v>研究生宿舍楼</x:v>
      </x:c>
      <x:c r="L1196" s="14" t="n">
        <x:v>0</x:v>
      </x:c>
      <x:c r="M1196" s="14" t="str">
        <x:v>19:30</x:v>
      </x:c>
      <x:c r="N1196" s="14" t="str">
        <x:v>是</x:v>
      </x:c>
      <x:c r="O1196" s="14" t="str">
        <x:v>否</x:v>
      </x:c>
      <x:c r="P1196" s="14" t="str">
        <x:v>未提供</x:v>
      </x:c>
      <x:c r="Q1196" s="14" t="str">
        <x:v>未提供</x:v>
      </x:c>
      <x:c r="R1196" s="14" t="str">
        <x:v>预测</x:v>
      </x:c>
      <x:c r="S1196" s="14" t="str">
        <x:v>到站时间为估算值</x:v>
      </x:c>
      <x:c r="T1196" t="str">
        <x:v>研究生宿舍楼发车</x:v>
      </x:c>
    </x:row>
    <x:row r="1197">
      <x:c r="A1197" s="14" t="str">
        <x:v>S0103-02</x:v>
      </x:c>
      <x:c r="B1197" s="14" t="str">
        <x:v>S0103</x:v>
      </x:c>
      <x:c r="C1197" s="14" t="str">
        <x:v>工作日</x:v>
      </x:c>
      <x:c r="D1197" s="14" t="str">
        <x:v>环线2路</x:v>
      </x:c>
      <x:c r="E1197" s="14" t="str">
        <x:v>第二班</x:v>
      </x:c>
      <x:c r="F1197" s="14" t="n">
        <x:v>14</x:v>
      </x:c>
      <x:c r="G1197" s="14" t="str">
        <x:v>19:30</x:v>
      </x:c>
      <x:c r="H1197" s="14" t="str">
        <x:v>研究生宿舍楼</x:v>
      </x:c>
      <x:c r="I1197" s="14" t="str">
        <x:v>否</x:v>
      </x:c>
      <x:c r="J1197" s="14" t="n">
        <x:v>2</x:v>
      </x:c>
      <x:c r="K1197" s="14" t="str">
        <x:v>一食堂</x:v>
      </x:c>
      <x:c r="L1197" s="14" t="n">
        <x:v>1</x:v>
      </x:c>
      <x:c r="M1197" s="14" t="str">
        <x:v>19:31</x:v>
      </x:c>
      <x:c r="N1197" s="14" t="str">
        <x:v>否</x:v>
      </x:c>
      <x:c r="O1197" s="14" t="str">
        <x:v>否</x:v>
      </x:c>
      <x:c r="P1197" s="14" t="str">
        <x:v>未提供</x:v>
      </x:c>
      <x:c r="Q1197" s="14" t="str">
        <x:v>未提供</x:v>
      </x:c>
      <x:c r="R1197" s="14" t="str">
        <x:v>预测</x:v>
      </x:c>
      <x:c r="S1197" s="14" t="str">
        <x:v>到站时间为估算值</x:v>
      </x:c>
      <x:c r="T1197" t="str">
        <x:v>研究生宿舍楼发车</x:v>
      </x:c>
    </x:row>
    <x:row r="1198">
      <x:c r="A1198" s="14" t="str">
        <x:v>S0103-03</x:v>
      </x:c>
      <x:c r="B1198" s="14" t="str">
        <x:v>S0103</x:v>
      </x:c>
      <x:c r="C1198" s="14" t="str">
        <x:v>工作日</x:v>
      </x:c>
      <x:c r="D1198" s="14" t="str">
        <x:v>环线2路</x:v>
      </x:c>
      <x:c r="E1198" s="14" t="str">
        <x:v>第二班</x:v>
      </x:c>
      <x:c r="F1198" s="14" t="n">
        <x:v>14</x:v>
      </x:c>
      <x:c r="G1198" s="14" t="str">
        <x:v>19:30</x:v>
      </x:c>
      <x:c r="H1198" s="14" t="str">
        <x:v>研究生宿舍楼</x:v>
      </x:c>
      <x:c r="I1198" s="14" t="str">
        <x:v>否</x:v>
      </x:c>
      <x:c r="J1198" s="14" t="n">
        <x:v>3</x:v>
      </x:c>
      <x:c r="K1198" s="14" t="str">
        <x:v>门诊部</x:v>
      </x:c>
      <x:c r="L1198" s="14" t="n">
        <x:v>2</x:v>
      </x:c>
      <x:c r="M1198" s="14" t="str">
        <x:v>19:32</x:v>
      </x:c>
      <x:c r="N1198" s="14" t="str">
        <x:v>否</x:v>
      </x:c>
      <x:c r="O1198" s="14" t="str">
        <x:v>否</x:v>
      </x:c>
      <x:c r="P1198" s="14" t="str">
        <x:v>未提供</x:v>
      </x:c>
      <x:c r="Q1198" s="14" t="str">
        <x:v>未提供</x:v>
      </x:c>
      <x:c r="R1198" s="14" t="str">
        <x:v>预测</x:v>
      </x:c>
      <x:c r="S1198" s="14" t="str">
        <x:v>到站时间为估算值</x:v>
      </x:c>
      <x:c r="T1198" t="str">
        <x:v>研究生宿舍楼发车</x:v>
      </x:c>
    </x:row>
    <x:row r="1199">
      <x:c r="A1199" s="14" t="str">
        <x:v>S0103-04</x:v>
      </x:c>
      <x:c r="B1199" s="14" t="str">
        <x:v>S0103</x:v>
      </x:c>
      <x:c r="C1199" s="14" t="str">
        <x:v>工作日</x:v>
      </x:c>
      <x:c r="D1199" s="14" t="str">
        <x:v>环线2路</x:v>
      </x:c>
      <x:c r="E1199" s="14" t="str">
        <x:v>第二班</x:v>
      </x:c>
      <x:c r="F1199" s="14" t="n">
        <x:v>14</x:v>
      </x:c>
      <x:c r="G1199" s="14" t="str">
        <x:v>19:30</x:v>
      </x:c>
      <x:c r="H1199" s="14" t="str">
        <x:v>研究生宿舍楼</x:v>
      </x:c>
      <x:c r="I1199" s="14" t="str">
        <x:v>否</x:v>
      </x:c>
      <x:c r="J1199" s="14" t="n">
        <x:v>4</x:v>
      </x:c>
      <x:c r="K1199" s="14" t="str">
        <x:v>1号宿舍楼</x:v>
      </x:c>
      <x:c r="L1199" s="14" t="n">
        <x:v>3</x:v>
      </x:c>
      <x:c r="M1199" s="14" t="str">
        <x:v>19:33</x:v>
      </x:c>
      <x:c r="N1199" s="14" t="str">
        <x:v>否</x:v>
      </x:c>
      <x:c r="O1199" s="14" t="str">
        <x:v>否</x:v>
      </x:c>
      <x:c r="P1199" s="14" t="str">
        <x:v>未提供</x:v>
      </x:c>
      <x:c r="Q1199" s="14" t="str">
        <x:v>未提供</x:v>
      </x:c>
      <x:c r="R1199" s="14" t="str">
        <x:v>预测</x:v>
      </x:c>
      <x:c r="S1199" s="14" t="str">
        <x:v>到站时间为估算值</x:v>
      </x:c>
      <x:c r="T1199" t="str">
        <x:v>研究生宿舍楼发车</x:v>
      </x:c>
    </x:row>
    <x:row r="1200">
      <x:c r="A1200" s="14" t="str">
        <x:v>S0103-05</x:v>
      </x:c>
      <x:c r="B1200" s="14" t="str">
        <x:v>S0103</x:v>
      </x:c>
      <x:c r="C1200" s="14" t="str">
        <x:v>工作日</x:v>
      </x:c>
      <x:c r="D1200" s="14" t="str">
        <x:v>环线2路</x:v>
      </x:c>
      <x:c r="E1200" s="14" t="str">
        <x:v>第二班</x:v>
      </x:c>
      <x:c r="F1200" s="14" t="n">
        <x:v>14</x:v>
      </x:c>
      <x:c r="G1200" s="14" t="str">
        <x:v>19:30</x:v>
      </x:c>
      <x:c r="H1200" s="14" t="str">
        <x:v>研究生宿舍楼</x:v>
      </x:c>
      <x:c r="I1200" s="14" t="str">
        <x:v>否</x:v>
      </x:c>
      <x:c r="J1200" s="14" t="n">
        <x:v>5</x:v>
      </x:c>
      <x:c r="K1200" s="14" t="str">
        <x:v>水上训练中心</x:v>
      </x:c>
      <x:c r="L1200" s="14" t="n">
        <x:v>5</x:v>
      </x:c>
      <x:c r="M1200" s="14" t="str">
        <x:v>19:35</x:v>
      </x:c>
      <x:c r="N1200" s="14" t="str">
        <x:v>否</x:v>
      </x:c>
      <x:c r="O1200" s="14" t="str">
        <x:v>否</x:v>
      </x:c>
      <x:c r="P1200" s="14" t="str">
        <x:v>未提供</x:v>
      </x:c>
      <x:c r="Q1200" s="14" t="str">
        <x:v>未提供</x:v>
      </x:c>
      <x:c r="R1200" s="14" t="str">
        <x:v>预测</x:v>
      </x:c>
      <x:c r="S1200" s="14" t="str">
        <x:v>到站时间为估算值</x:v>
      </x:c>
      <x:c r="T1200" t="str">
        <x:v>研究生宿舍楼发车</x:v>
      </x:c>
    </x:row>
    <x:row r="1201">
      <x:c r="A1201" s="14" t="str">
        <x:v>S0103-06</x:v>
      </x:c>
      <x:c r="B1201" s="14" t="str">
        <x:v>S0103</x:v>
      </x:c>
      <x:c r="C1201" s="14" t="str">
        <x:v>工作日</x:v>
      </x:c>
      <x:c r="D1201" s="14" t="str">
        <x:v>环线2路</x:v>
      </x:c>
      <x:c r="E1201" s="14" t="str">
        <x:v>第二班</x:v>
      </x:c>
      <x:c r="F1201" s="14" t="n">
        <x:v>14</x:v>
      </x:c>
      <x:c r="G1201" s="14" t="str">
        <x:v>19:30</x:v>
      </x:c>
      <x:c r="H1201" s="14" t="str">
        <x:v>研究生宿舍楼</x:v>
      </x:c>
      <x:c r="I1201" s="14" t="str">
        <x:v>否</x:v>
      </x:c>
      <x:c r="J1201" s="14" t="n">
        <x:v>6</x:v>
      </x:c>
      <x:c r="K1201" s="14" t="str">
        <x:v>军体活动中心</x:v>
      </x:c>
      <x:c r="L1201" s="14" t="n">
        <x:v>6</x:v>
      </x:c>
      <x:c r="M1201" s="14" t="str">
        <x:v>19:36</x:v>
      </x:c>
      <x:c r="N1201" s="14" t="str">
        <x:v>否</x:v>
      </x:c>
      <x:c r="O1201" s="14" t="str">
        <x:v>否</x:v>
      </x:c>
      <x:c r="P1201" s="14" t="str">
        <x:v>未提供</x:v>
      </x:c>
      <x:c r="Q1201" s="14" t="str">
        <x:v>未提供</x:v>
      </x:c>
      <x:c r="R1201" s="14" t="str">
        <x:v>预测</x:v>
      </x:c>
      <x:c r="S1201" s="14" t="str">
        <x:v>到站时间为估算值</x:v>
      </x:c>
      <x:c r="T1201" t="str">
        <x:v>研究生宿舍楼发车</x:v>
      </x:c>
    </x:row>
    <x:row r="1202">
      <x:c r="A1202" s="14" t="str">
        <x:v>S0103-07</x:v>
      </x:c>
      <x:c r="B1202" s="14" t="str">
        <x:v>S0103</x:v>
      </x:c>
      <x:c r="C1202" s="14" t="str">
        <x:v>工作日</x:v>
      </x:c>
      <x:c r="D1202" s="14" t="str">
        <x:v>环线2路</x:v>
      </x:c>
      <x:c r="E1202" s="14" t="str">
        <x:v>第二班</x:v>
      </x:c>
      <x:c r="F1202" s="14" t="n">
        <x:v>14</x:v>
      </x:c>
      <x:c r="G1202" s="14" t="str">
        <x:v>19:30</x:v>
      </x:c>
      <x:c r="H1202" s="14" t="str">
        <x:v>研究生宿舍楼</x:v>
      </x:c>
      <x:c r="I1202" s="14" t="str">
        <x:v>否</x:v>
      </x:c>
      <x:c r="J1202" s="14" t="n">
        <x:v>7</x:v>
      </x:c>
      <x:c r="K1202" s="14" t="str">
        <x:v>二食堂</x:v>
      </x:c>
      <x:c r="L1202" s="14" t="n">
        <x:v>8</x:v>
      </x:c>
      <x:c r="M1202" s="14" t="str">
        <x:v>19:38</x:v>
      </x:c>
      <x:c r="N1202" s="14" t="str">
        <x:v>否</x:v>
      </x:c>
      <x:c r="O1202" s="14" t="str">
        <x:v>否</x:v>
      </x:c>
      <x:c r="P1202" s="14" t="str">
        <x:v>未提供</x:v>
      </x:c>
      <x:c r="Q1202" s="14" t="str">
        <x:v>未提供</x:v>
      </x:c>
      <x:c r="R1202" s="14" t="str">
        <x:v>预测</x:v>
      </x:c>
      <x:c r="S1202" s="14" t="str">
        <x:v>到站时间为估算值</x:v>
      </x:c>
      <x:c r="T1202" t="str">
        <x:v>研究生宿舍楼发车</x:v>
      </x:c>
    </x:row>
    <x:row r="1203">
      <x:c r="A1203" s="14" t="str">
        <x:v>S0103-08</x:v>
      </x:c>
      <x:c r="B1203" s="14" t="str">
        <x:v>S0103</x:v>
      </x:c>
      <x:c r="C1203" s="14" t="str">
        <x:v>工作日</x:v>
      </x:c>
      <x:c r="D1203" s="14" t="str">
        <x:v>环线2路</x:v>
      </x:c>
      <x:c r="E1203" s="14" t="str">
        <x:v>第二班</x:v>
      </x:c>
      <x:c r="F1203" s="14" t="n">
        <x:v>14</x:v>
      </x:c>
      <x:c r="G1203" s="14" t="str">
        <x:v>19:30</x:v>
      </x:c>
      <x:c r="H1203" s="14" t="str">
        <x:v>研究生宿舍楼</x:v>
      </x:c>
      <x:c r="I1203" s="14" t="str">
        <x:v>否</x:v>
      </x:c>
      <x:c r="J1203" s="14" t="n">
        <x:v>8</x:v>
      </x:c>
      <x:c r="K1203" s="14" t="str">
        <x:v>5号宿舍楼</x:v>
      </x:c>
      <x:c r="L1203" s="14" t="n">
        <x:v>9</x:v>
      </x:c>
      <x:c r="M1203" s="14" t="str">
        <x:v>19:39</x:v>
      </x:c>
      <x:c r="N1203" s="14" t="str">
        <x:v>否</x:v>
      </x:c>
      <x:c r="O1203" s="14" t="str">
        <x:v>否</x:v>
      </x:c>
      <x:c r="P1203" s="14" t="str">
        <x:v>未提供</x:v>
      </x:c>
      <x:c r="Q1203" s="14" t="str">
        <x:v>未提供</x:v>
      </x:c>
      <x:c r="R1203" s="14" t="str">
        <x:v>预测</x:v>
      </x:c>
      <x:c r="S1203" s="14" t="str">
        <x:v>到站时间为估算值</x:v>
      </x:c>
      <x:c r="T1203" t="str">
        <x:v>研究生宿舍楼发车</x:v>
      </x:c>
    </x:row>
    <x:row r="1204">
      <x:c r="A1204" s="14" t="str">
        <x:v>S0103-09</x:v>
      </x:c>
      <x:c r="B1204" s="14" t="str">
        <x:v>S0103</x:v>
      </x:c>
      <x:c r="C1204" s="14" t="str">
        <x:v>工作日</x:v>
      </x:c>
      <x:c r="D1204" s="14" t="str">
        <x:v>环线2路</x:v>
      </x:c>
      <x:c r="E1204" s="14" t="str">
        <x:v>第二班</x:v>
      </x:c>
      <x:c r="F1204" s="14" t="n">
        <x:v>14</x:v>
      </x:c>
      <x:c r="G1204" s="14" t="str">
        <x:v>19:30</x:v>
      </x:c>
      <x:c r="H1204" s="14" t="str">
        <x:v>研究生宿舍楼</x:v>
      </x:c>
      <x:c r="I1204" s="14" t="str">
        <x:v>否</x:v>
      </x:c>
      <x:c r="J1204" s="14" t="n">
        <x:v>9</x:v>
      </x:c>
      <x:c r="K1204" s="14" t="str">
        <x:v>305教学楼</x:v>
      </x:c>
      <x:c r="L1204" s="14" t="n">
        <x:v>10</x:v>
      </x:c>
      <x:c r="M1204" s="14" t="str">
        <x:v>19:40</x:v>
      </x:c>
      <x:c r="N1204" s="14" t="str">
        <x:v>否</x:v>
      </x:c>
      <x:c r="O1204" s="14" t="str">
        <x:v>否</x:v>
      </x:c>
      <x:c r="P1204" s="14" t="str">
        <x:v>未提供</x:v>
      </x:c>
      <x:c r="Q1204" s="14" t="str">
        <x:v>未提供</x:v>
      </x:c>
      <x:c r="R1204" s="14" t="str">
        <x:v>预测</x:v>
      </x:c>
      <x:c r="S1204" s="14" t="str">
        <x:v>到站时间为估算值</x:v>
      </x:c>
      <x:c r="T1204" t="str">
        <x:v>研究生宿舍楼发车</x:v>
      </x:c>
    </x:row>
    <x:row r="1205">
      <x:c r="A1205" s="14" t="str">
        <x:v>S0103-10</x:v>
      </x:c>
      <x:c r="B1205" s="14" t="str">
        <x:v>S0103</x:v>
      </x:c>
      <x:c r="C1205" s="14" t="str">
        <x:v>工作日</x:v>
      </x:c>
      <x:c r="D1205" s="14" t="str">
        <x:v>环线2路</x:v>
      </x:c>
      <x:c r="E1205" s="14" t="str">
        <x:v>第二班</x:v>
      </x:c>
      <x:c r="F1205" s="14" t="n">
        <x:v>14</x:v>
      </x:c>
      <x:c r="G1205" s="14" t="str">
        <x:v>19:30</x:v>
      </x:c>
      <x:c r="H1205" s="14" t="str">
        <x:v>研究生宿舍楼</x:v>
      </x:c>
      <x:c r="I1205" s="14" t="str">
        <x:v>否</x:v>
      </x:c>
      <x:c r="J1205" s="14" t="n">
        <x:v>10</x:v>
      </x:c>
      <x:c r="K1205" s="14" t="str">
        <x:v>研究生宿舍楼</x:v>
      </x:c>
      <x:c r="L1205" s="14" t="n">
        <x:v>12</x:v>
      </x:c>
      <x:c r="M1205" s="14" t="str">
        <x:v>19:42</x:v>
      </x:c>
      <x:c r="N1205" s="14" t="str">
        <x:v>否</x:v>
      </x:c>
      <x:c r="O1205" s="14" t="str">
        <x:v>是</x:v>
      </x:c>
      <x:c r="P1205" s="14" t="str">
        <x:v>未提供</x:v>
      </x:c>
      <x:c r="Q1205" s="14" t="str">
        <x:v>未提供</x:v>
      </x:c>
      <x:c r="R1205" s="14" t="str">
        <x:v>预测</x:v>
      </x:c>
      <x:c r="S1205" s="14" t="str">
        <x:v>到站时间为估算值</x:v>
      </x:c>
      <x:c r="T1205" t="str">
        <x:v>研究生宿舍楼发车</x:v>
      </x:c>
    </x:row>
    <x:row r="1206">
      <x:c r="A1206" s="14" t="str">
        <x:v>S0104-01</x:v>
      </x:c>
      <x:c r="B1206" s="14" t="str">
        <x:v>S0104</x:v>
      </x:c>
      <x:c r="C1206" s="14" t="str">
        <x:v>工作日</x:v>
      </x:c>
      <x:c r="D1206" s="14" t="str">
        <x:v>环线2路</x:v>
      </x:c>
      <x:c r="E1206" s="14" t="str">
        <x:v>第二班</x:v>
      </x:c>
      <x:c r="F1206" s="14" t="n">
        <x:v>15</x:v>
      </x:c>
      <x:c r="G1206" s="14" t="str">
        <x:v>19:50</x:v>
      </x:c>
      <x:c r="H1206" s="14" t="str">
        <x:v>研究生宿舍楼</x:v>
      </x:c>
      <x:c r="I1206" s="14" t="str">
        <x:v>否</x:v>
      </x:c>
      <x:c r="J1206" s="14" t="n">
        <x:v>1</x:v>
      </x:c>
      <x:c r="K1206" s="14" t="str">
        <x:v>研究生宿舍楼</x:v>
      </x:c>
      <x:c r="L1206" s="14" t="n">
        <x:v>0</x:v>
      </x:c>
      <x:c r="M1206" s="14" t="str">
        <x:v>19:50</x:v>
      </x:c>
      <x:c r="N1206" s="14" t="str">
        <x:v>是</x:v>
      </x:c>
      <x:c r="O1206" s="14" t="str">
        <x:v>否</x:v>
      </x:c>
      <x:c r="P1206" s="14" t="str">
        <x:v>未提供</x:v>
      </x:c>
      <x:c r="Q1206" s="14" t="str">
        <x:v>未提供</x:v>
      </x:c>
      <x:c r="R1206" s="14" t="str">
        <x:v>预测</x:v>
      </x:c>
      <x:c r="S1206" s="14" t="str">
        <x:v>到站时间为估算值</x:v>
      </x:c>
      <x:c r="T1206" t="str">
        <x:v>研究生宿舍楼发车</x:v>
      </x:c>
    </x:row>
    <x:row r="1207">
      <x:c r="A1207" s="14" t="str">
        <x:v>S0104-02</x:v>
      </x:c>
      <x:c r="B1207" s="14" t="str">
        <x:v>S0104</x:v>
      </x:c>
      <x:c r="C1207" s="14" t="str">
        <x:v>工作日</x:v>
      </x:c>
      <x:c r="D1207" s="14" t="str">
        <x:v>环线2路</x:v>
      </x:c>
      <x:c r="E1207" s="14" t="str">
        <x:v>第二班</x:v>
      </x:c>
      <x:c r="F1207" s="14" t="n">
        <x:v>15</x:v>
      </x:c>
      <x:c r="G1207" s="14" t="str">
        <x:v>19:50</x:v>
      </x:c>
      <x:c r="H1207" s="14" t="str">
        <x:v>研究生宿舍楼</x:v>
      </x:c>
      <x:c r="I1207" s="14" t="str">
        <x:v>否</x:v>
      </x:c>
      <x:c r="J1207" s="14" t="n">
        <x:v>2</x:v>
      </x:c>
      <x:c r="K1207" s="14" t="str">
        <x:v>一食堂</x:v>
      </x:c>
      <x:c r="L1207" s="14" t="n">
        <x:v>1</x:v>
      </x:c>
      <x:c r="M1207" s="14" t="str">
        <x:v>19:51</x:v>
      </x:c>
      <x:c r="N1207" s="14" t="str">
        <x:v>否</x:v>
      </x:c>
      <x:c r="O1207" s="14" t="str">
        <x:v>否</x:v>
      </x:c>
      <x:c r="P1207" s="14" t="str">
        <x:v>未提供</x:v>
      </x:c>
      <x:c r="Q1207" s="14" t="str">
        <x:v>未提供</x:v>
      </x:c>
      <x:c r="R1207" s="14" t="str">
        <x:v>预测</x:v>
      </x:c>
      <x:c r="S1207" s="14" t="str">
        <x:v>到站时间为估算值</x:v>
      </x:c>
      <x:c r="T1207" t="str">
        <x:v>研究生宿舍楼发车</x:v>
      </x:c>
    </x:row>
    <x:row r="1208">
      <x:c r="A1208" s="14" t="str">
        <x:v>S0104-03</x:v>
      </x:c>
      <x:c r="B1208" s="14" t="str">
        <x:v>S0104</x:v>
      </x:c>
      <x:c r="C1208" s="14" t="str">
        <x:v>工作日</x:v>
      </x:c>
      <x:c r="D1208" s="14" t="str">
        <x:v>环线2路</x:v>
      </x:c>
      <x:c r="E1208" s="14" t="str">
        <x:v>第二班</x:v>
      </x:c>
      <x:c r="F1208" s="14" t="n">
        <x:v>15</x:v>
      </x:c>
      <x:c r="G1208" s="14" t="str">
        <x:v>19:50</x:v>
      </x:c>
      <x:c r="H1208" s="14" t="str">
        <x:v>研究生宿舍楼</x:v>
      </x:c>
      <x:c r="I1208" s="14" t="str">
        <x:v>否</x:v>
      </x:c>
      <x:c r="J1208" s="14" t="n">
        <x:v>3</x:v>
      </x:c>
      <x:c r="K1208" s="14" t="str">
        <x:v>门诊部</x:v>
      </x:c>
      <x:c r="L1208" s="14" t="n">
        <x:v>2</x:v>
      </x:c>
      <x:c r="M1208" s="14" t="str">
        <x:v>19:52</x:v>
      </x:c>
      <x:c r="N1208" s="14" t="str">
        <x:v>否</x:v>
      </x:c>
      <x:c r="O1208" s="14" t="str">
        <x:v>否</x:v>
      </x:c>
      <x:c r="P1208" s="14" t="str">
        <x:v>未提供</x:v>
      </x:c>
      <x:c r="Q1208" s="14" t="str">
        <x:v>未提供</x:v>
      </x:c>
      <x:c r="R1208" s="14" t="str">
        <x:v>预测</x:v>
      </x:c>
      <x:c r="S1208" s="14" t="str">
        <x:v>到站时间为估算值</x:v>
      </x:c>
      <x:c r="T1208" t="str">
        <x:v>研究生宿舍楼发车</x:v>
      </x:c>
    </x:row>
    <x:row r="1209">
      <x:c r="A1209" s="14" t="str">
        <x:v>S0104-04</x:v>
      </x:c>
      <x:c r="B1209" s="14" t="str">
        <x:v>S0104</x:v>
      </x:c>
      <x:c r="C1209" s="14" t="str">
        <x:v>工作日</x:v>
      </x:c>
      <x:c r="D1209" s="14" t="str">
        <x:v>环线2路</x:v>
      </x:c>
      <x:c r="E1209" s="14" t="str">
        <x:v>第二班</x:v>
      </x:c>
      <x:c r="F1209" s="14" t="n">
        <x:v>15</x:v>
      </x:c>
      <x:c r="G1209" s="14" t="str">
        <x:v>19:50</x:v>
      </x:c>
      <x:c r="H1209" s="14" t="str">
        <x:v>研究生宿舍楼</x:v>
      </x:c>
      <x:c r="I1209" s="14" t="str">
        <x:v>否</x:v>
      </x:c>
      <x:c r="J1209" s="14" t="n">
        <x:v>4</x:v>
      </x:c>
      <x:c r="K1209" s="14" t="str">
        <x:v>1号宿舍楼</x:v>
      </x:c>
      <x:c r="L1209" s="14" t="n">
        <x:v>3</x:v>
      </x:c>
      <x:c r="M1209" s="14" t="str">
        <x:v>19:53</x:v>
      </x:c>
      <x:c r="N1209" s="14" t="str">
        <x:v>否</x:v>
      </x:c>
      <x:c r="O1209" s="14" t="str">
        <x:v>否</x:v>
      </x:c>
      <x:c r="P1209" s="14" t="str">
        <x:v>未提供</x:v>
      </x:c>
      <x:c r="Q1209" s="14" t="str">
        <x:v>未提供</x:v>
      </x:c>
      <x:c r="R1209" s="14" t="str">
        <x:v>预测</x:v>
      </x:c>
      <x:c r="S1209" s="14" t="str">
        <x:v>到站时间为估算值</x:v>
      </x:c>
      <x:c r="T1209" t="str">
        <x:v>研究生宿舍楼发车</x:v>
      </x:c>
    </x:row>
    <x:row r="1210">
      <x:c r="A1210" s="14" t="str">
        <x:v>S0104-05</x:v>
      </x:c>
      <x:c r="B1210" s="14" t="str">
        <x:v>S0104</x:v>
      </x:c>
      <x:c r="C1210" s="14" t="str">
        <x:v>工作日</x:v>
      </x:c>
      <x:c r="D1210" s="14" t="str">
        <x:v>环线2路</x:v>
      </x:c>
      <x:c r="E1210" s="14" t="str">
        <x:v>第二班</x:v>
      </x:c>
      <x:c r="F1210" s="14" t="n">
        <x:v>15</x:v>
      </x:c>
      <x:c r="G1210" s="14" t="str">
        <x:v>19:50</x:v>
      </x:c>
      <x:c r="H1210" s="14" t="str">
        <x:v>研究生宿舍楼</x:v>
      </x:c>
      <x:c r="I1210" s="14" t="str">
        <x:v>否</x:v>
      </x:c>
      <x:c r="J1210" s="14" t="n">
        <x:v>5</x:v>
      </x:c>
      <x:c r="K1210" s="14" t="str">
        <x:v>水上训练中心</x:v>
      </x:c>
      <x:c r="L1210" s="14" t="n">
        <x:v>5</x:v>
      </x:c>
      <x:c r="M1210" s="14" t="str">
        <x:v>19:55</x:v>
      </x:c>
      <x:c r="N1210" s="14" t="str">
        <x:v>否</x:v>
      </x:c>
      <x:c r="O1210" s="14" t="str">
        <x:v>否</x:v>
      </x:c>
      <x:c r="P1210" s="14" t="str">
        <x:v>未提供</x:v>
      </x:c>
      <x:c r="Q1210" s="14" t="str">
        <x:v>未提供</x:v>
      </x:c>
      <x:c r="R1210" s="14" t="str">
        <x:v>预测</x:v>
      </x:c>
      <x:c r="S1210" s="14" t="str">
        <x:v>到站时间为估算值</x:v>
      </x:c>
      <x:c r="T1210" t="str">
        <x:v>研究生宿舍楼发车</x:v>
      </x:c>
    </x:row>
    <x:row r="1211">
      <x:c r="A1211" s="14" t="str">
        <x:v>S0104-06</x:v>
      </x:c>
      <x:c r="B1211" s="14" t="str">
        <x:v>S0104</x:v>
      </x:c>
      <x:c r="C1211" s="14" t="str">
        <x:v>工作日</x:v>
      </x:c>
      <x:c r="D1211" s="14" t="str">
        <x:v>环线2路</x:v>
      </x:c>
      <x:c r="E1211" s="14" t="str">
        <x:v>第二班</x:v>
      </x:c>
      <x:c r="F1211" s="14" t="n">
        <x:v>15</x:v>
      </x:c>
      <x:c r="G1211" s="14" t="str">
        <x:v>19:50</x:v>
      </x:c>
      <x:c r="H1211" s="14" t="str">
        <x:v>研究生宿舍楼</x:v>
      </x:c>
      <x:c r="I1211" s="14" t="str">
        <x:v>否</x:v>
      </x:c>
      <x:c r="J1211" s="14" t="n">
        <x:v>6</x:v>
      </x:c>
      <x:c r="K1211" s="14" t="str">
        <x:v>军体活动中心</x:v>
      </x:c>
      <x:c r="L1211" s="14" t="n">
        <x:v>6</x:v>
      </x:c>
      <x:c r="M1211" s="14" t="str">
        <x:v>19:56</x:v>
      </x:c>
      <x:c r="N1211" s="14" t="str">
        <x:v>否</x:v>
      </x:c>
      <x:c r="O1211" s="14" t="str">
        <x:v>否</x:v>
      </x:c>
      <x:c r="P1211" s="14" t="str">
        <x:v>未提供</x:v>
      </x:c>
      <x:c r="Q1211" s="14" t="str">
        <x:v>未提供</x:v>
      </x:c>
      <x:c r="R1211" s="14" t="str">
        <x:v>预测</x:v>
      </x:c>
      <x:c r="S1211" s="14" t="str">
        <x:v>到站时间为估算值</x:v>
      </x:c>
      <x:c r="T1211" t="str">
        <x:v>研究生宿舍楼发车</x:v>
      </x:c>
    </x:row>
    <x:row r="1212">
      <x:c r="A1212" s="14" t="str">
        <x:v>S0104-07</x:v>
      </x:c>
      <x:c r="B1212" s="14" t="str">
        <x:v>S0104</x:v>
      </x:c>
      <x:c r="C1212" s="14" t="str">
        <x:v>工作日</x:v>
      </x:c>
      <x:c r="D1212" s="14" t="str">
        <x:v>环线2路</x:v>
      </x:c>
      <x:c r="E1212" s="14" t="str">
        <x:v>第二班</x:v>
      </x:c>
      <x:c r="F1212" s="14" t="n">
        <x:v>15</x:v>
      </x:c>
      <x:c r="G1212" s="14" t="str">
        <x:v>19:50</x:v>
      </x:c>
      <x:c r="H1212" s="14" t="str">
        <x:v>研究生宿舍楼</x:v>
      </x:c>
      <x:c r="I1212" s="14" t="str">
        <x:v>否</x:v>
      </x:c>
      <x:c r="J1212" s="14" t="n">
        <x:v>7</x:v>
      </x:c>
      <x:c r="K1212" s="14" t="str">
        <x:v>二食堂</x:v>
      </x:c>
      <x:c r="L1212" s="14" t="n">
        <x:v>8</x:v>
      </x:c>
      <x:c r="M1212" s="14" t="str">
        <x:v>19:58</x:v>
      </x:c>
      <x:c r="N1212" s="14" t="str">
        <x:v>否</x:v>
      </x:c>
      <x:c r="O1212" s="14" t="str">
        <x:v>否</x:v>
      </x:c>
      <x:c r="P1212" s="14" t="str">
        <x:v>未提供</x:v>
      </x:c>
      <x:c r="Q1212" s="14" t="str">
        <x:v>未提供</x:v>
      </x:c>
      <x:c r="R1212" s="14" t="str">
        <x:v>预测</x:v>
      </x:c>
      <x:c r="S1212" s="14" t="str">
        <x:v>到站时间为估算值</x:v>
      </x:c>
      <x:c r="T1212" t="str">
        <x:v>研究生宿舍楼发车</x:v>
      </x:c>
    </x:row>
    <x:row r="1213">
      <x:c r="A1213" s="14" t="str">
        <x:v>S0104-08</x:v>
      </x:c>
      <x:c r="B1213" s="14" t="str">
        <x:v>S0104</x:v>
      </x:c>
      <x:c r="C1213" s="14" t="str">
        <x:v>工作日</x:v>
      </x:c>
      <x:c r="D1213" s="14" t="str">
        <x:v>环线2路</x:v>
      </x:c>
      <x:c r="E1213" s="14" t="str">
        <x:v>第二班</x:v>
      </x:c>
      <x:c r="F1213" s="14" t="n">
        <x:v>15</x:v>
      </x:c>
      <x:c r="G1213" s="14" t="str">
        <x:v>19:50</x:v>
      </x:c>
      <x:c r="H1213" s="14" t="str">
        <x:v>研究生宿舍楼</x:v>
      </x:c>
      <x:c r="I1213" s="14" t="str">
        <x:v>否</x:v>
      </x:c>
      <x:c r="J1213" s="14" t="n">
        <x:v>8</x:v>
      </x:c>
      <x:c r="K1213" s="14" t="str">
        <x:v>5号宿舍楼</x:v>
      </x:c>
      <x:c r="L1213" s="14" t="n">
        <x:v>9</x:v>
      </x:c>
      <x:c r="M1213" s="14" t="str">
        <x:v>19:59</x:v>
      </x:c>
      <x:c r="N1213" s="14" t="str">
        <x:v>否</x:v>
      </x:c>
      <x:c r="O1213" s="14" t="str">
        <x:v>否</x:v>
      </x:c>
      <x:c r="P1213" s="14" t="str">
        <x:v>未提供</x:v>
      </x:c>
      <x:c r="Q1213" s="14" t="str">
        <x:v>未提供</x:v>
      </x:c>
      <x:c r="R1213" s="14" t="str">
        <x:v>预测</x:v>
      </x:c>
      <x:c r="S1213" s="14" t="str">
        <x:v>到站时间为估算值</x:v>
      </x:c>
      <x:c r="T1213" t="str">
        <x:v>研究生宿舍楼发车</x:v>
      </x:c>
    </x:row>
    <x:row r="1214">
      <x:c r="A1214" s="14" t="str">
        <x:v>S0104-09</x:v>
      </x:c>
      <x:c r="B1214" s="14" t="str">
        <x:v>S0104</x:v>
      </x:c>
      <x:c r="C1214" s="14" t="str">
        <x:v>工作日</x:v>
      </x:c>
      <x:c r="D1214" s="14" t="str">
        <x:v>环线2路</x:v>
      </x:c>
      <x:c r="E1214" s="14" t="str">
        <x:v>第二班</x:v>
      </x:c>
      <x:c r="F1214" s="14" t="n">
        <x:v>15</x:v>
      </x:c>
      <x:c r="G1214" s="14" t="str">
        <x:v>19:50</x:v>
      </x:c>
      <x:c r="H1214" s="14" t="str">
        <x:v>研究生宿舍楼</x:v>
      </x:c>
      <x:c r="I1214" s="14" t="str">
        <x:v>否</x:v>
      </x:c>
      <x:c r="J1214" s="14" t="n">
        <x:v>9</x:v>
      </x:c>
      <x:c r="K1214" s="14" t="str">
        <x:v>305教学楼</x:v>
      </x:c>
      <x:c r="L1214" s="14" t="n">
        <x:v>10</x:v>
      </x:c>
      <x:c r="M1214" s="14" t="str">
        <x:v>20:00</x:v>
      </x:c>
      <x:c r="N1214" s="14" t="str">
        <x:v>否</x:v>
      </x:c>
      <x:c r="O1214" s="14" t="str">
        <x:v>否</x:v>
      </x:c>
      <x:c r="P1214" s="14" t="str">
        <x:v>未提供</x:v>
      </x:c>
      <x:c r="Q1214" s="14" t="str">
        <x:v>未提供</x:v>
      </x:c>
      <x:c r="R1214" s="14" t="str">
        <x:v>预测</x:v>
      </x:c>
      <x:c r="S1214" s="14" t="str">
        <x:v>到站时间为估算值</x:v>
      </x:c>
      <x:c r="T1214" t="str">
        <x:v>研究生宿舍楼发车</x:v>
      </x:c>
    </x:row>
    <x:row r="1215">
      <x:c r="A1215" s="14" t="str">
        <x:v>S0104-10</x:v>
      </x:c>
      <x:c r="B1215" s="14" t="str">
        <x:v>S0104</x:v>
      </x:c>
      <x:c r="C1215" s="14" t="str">
        <x:v>工作日</x:v>
      </x:c>
      <x:c r="D1215" s="14" t="str">
        <x:v>环线2路</x:v>
      </x:c>
      <x:c r="E1215" s="14" t="str">
        <x:v>第二班</x:v>
      </x:c>
      <x:c r="F1215" s="14" t="n">
        <x:v>15</x:v>
      </x:c>
      <x:c r="G1215" s="14" t="str">
        <x:v>19:50</x:v>
      </x:c>
      <x:c r="H1215" s="14" t="str">
        <x:v>研究生宿舍楼</x:v>
      </x:c>
      <x:c r="I1215" s="14" t="str">
        <x:v>否</x:v>
      </x:c>
      <x:c r="J1215" s="14" t="n">
        <x:v>10</x:v>
      </x:c>
      <x:c r="K1215" s="14" t="str">
        <x:v>研究生宿舍楼</x:v>
      </x:c>
      <x:c r="L1215" s="14" t="n">
        <x:v>12</x:v>
      </x:c>
      <x:c r="M1215" s="14" t="str">
        <x:v>20:02</x:v>
      </x:c>
      <x:c r="N1215" s="14" t="str">
        <x:v>否</x:v>
      </x:c>
      <x:c r="O1215" s="14" t="str">
        <x:v>是</x:v>
      </x:c>
      <x:c r="P1215" s="14" t="str">
        <x:v>未提供</x:v>
      </x:c>
      <x:c r="Q1215" s="14" t="str">
        <x:v>未提供</x:v>
      </x:c>
      <x:c r="R1215" s="14" t="str">
        <x:v>预测</x:v>
      </x:c>
      <x:c r="S1215" s="14" t="str">
        <x:v>到站时间为估算值</x:v>
      </x:c>
      <x:c r="T1215" t="str">
        <x:v>研究生宿舍楼发车</x:v>
      </x:c>
    </x:row>
    <x:row r="1216">
      <x:c r="A1216" s="14" t="str">
        <x:v>S0105-01</x:v>
      </x:c>
      <x:c r="B1216" s="14" t="str">
        <x:v>S0105</x:v>
      </x:c>
      <x:c r="C1216" s="14" t="str">
        <x:v>工作日</x:v>
      </x:c>
      <x:c r="D1216" s="14" t="str">
        <x:v>环线2路</x:v>
      </x:c>
      <x:c r="E1216" s="14" t="str">
        <x:v>第二班</x:v>
      </x:c>
      <x:c r="F1216" s="14" t="n">
        <x:v>16</x:v>
      </x:c>
      <x:c r="G1216" s="14" t="str">
        <x:v>20:10</x:v>
      </x:c>
      <x:c r="H1216" s="14" t="str">
        <x:v>研究生宿舍楼</x:v>
      </x:c>
      <x:c r="I1216" s="14" t="str">
        <x:v>否</x:v>
      </x:c>
      <x:c r="J1216" s="14" t="n">
        <x:v>1</x:v>
      </x:c>
      <x:c r="K1216" s="14" t="str">
        <x:v>研究生宿舍楼</x:v>
      </x:c>
      <x:c r="L1216" s="14" t="n">
        <x:v>0</x:v>
      </x:c>
      <x:c r="M1216" s="14" t="str">
        <x:v>20:10</x:v>
      </x:c>
      <x:c r="N1216" s="14" t="str">
        <x:v>是</x:v>
      </x:c>
      <x:c r="O1216" s="14" t="str">
        <x:v>否</x:v>
      </x:c>
      <x:c r="P1216" s="14" t="str">
        <x:v>未提供</x:v>
      </x:c>
      <x:c r="Q1216" s="14" t="str">
        <x:v>未提供</x:v>
      </x:c>
      <x:c r="R1216" s="14" t="str">
        <x:v>预测</x:v>
      </x:c>
      <x:c r="S1216" s="14" t="str">
        <x:v>到站时间为估算值</x:v>
      </x:c>
      <x:c r="T1216" t="str">
        <x:v>研究生宿舍楼发车</x:v>
      </x:c>
    </x:row>
    <x:row r="1217">
      <x:c r="A1217" s="14" t="str">
        <x:v>S0105-02</x:v>
      </x:c>
      <x:c r="B1217" s="14" t="str">
        <x:v>S0105</x:v>
      </x:c>
      <x:c r="C1217" s="14" t="str">
        <x:v>工作日</x:v>
      </x:c>
      <x:c r="D1217" s="14" t="str">
        <x:v>环线2路</x:v>
      </x:c>
      <x:c r="E1217" s="14" t="str">
        <x:v>第二班</x:v>
      </x:c>
      <x:c r="F1217" s="14" t="n">
        <x:v>16</x:v>
      </x:c>
      <x:c r="G1217" s="14" t="str">
        <x:v>20:10</x:v>
      </x:c>
      <x:c r="H1217" s="14" t="str">
        <x:v>研究生宿舍楼</x:v>
      </x:c>
      <x:c r="I1217" s="14" t="str">
        <x:v>否</x:v>
      </x:c>
      <x:c r="J1217" s="14" t="n">
        <x:v>2</x:v>
      </x:c>
      <x:c r="K1217" s="14" t="str">
        <x:v>一食堂</x:v>
      </x:c>
      <x:c r="L1217" s="14" t="n">
        <x:v>1</x:v>
      </x:c>
      <x:c r="M1217" s="14" t="str">
        <x:v>20:11</x:v>
      </x:c>
      <x:c r="N1217" s="14" t="str">
        <x:v>否</x:v>
      </x:c>
      <x:c r="O1217" s="14" t="str">
        <x:v>否</x:v>
      </x:c>
      <x:c r="P1217" s="14" t="str">
        <x:v>未提供</x:v>
      </x:c>
      <x:c r="Q1217" s="14" t="str">
        <x:v>未提供</x:v>
      </x:c>
      <x:c r="R1217" s="14" t="str">
        <x:v>预测</x:v>
      </x:c>
      <x:c r="S1217" s="14" t="str">
        <x:v>到站时间为估算值</x:v>
      </x:c>
      <x:c r="T1217" t="str">
        <x:v>研究生宿舍楼发车</x:v>
      </x:c>
    </x:row>
    <x:row r="1218">
      <x:c r="A1218" s="14" t="str">
        <x:v>S0105-03</x:v>
      </x:c>
      <x:c r="B1218" s="14" t="str">
        <x:v>S0105</x:v>
      </x:c>
      <x:c r="C1218" s="14" t="str">
        <x:v>工作日</x:v>
      </x:c>
      <x:c r="D1218" s="14" t="str">
        <x:v>环线2路</x:v>
      </x:c>
      <x:c r="E1218" s="14" t="str">
        <x:v>第二班</x:v>
      </x:c>
      <x:c r="F1218" s="14" t="n">
        <x:v>16</x:v>
      </x:c>
      <x:c r="G1218" s="14" t="str">
        <x:v>20:10</x:v>
      </x:c>
      <x:c r="H1218" s="14" t="str">
        <x:v>研究生宿舍楼</x:v>
      </x:c>
      <x:c r="I1218" s="14" t="str">
        <x:v>否</x:v>
      </x:c>
      <x:c r="J1218" s="14" t="n">
        <x:v>3</x:v>
      </x:c>
      <x:c r="K1218" s="14" t="str">
        <x:v>门诊部</x:v>
      </x:c>
      <x:c r="L1218" s="14" t="n">
        <x:v>2</x:v>
      </x:c>
      <x:c r="M1218" s="14" t="str">
        <x:v>20:12</x:v>
      </x:c>
      <x:c r="N1218" s="14" t="str">
        <x:v>否</x:v>
      </x:c>
      <x:c r="O1218" s="14" t="str">
        <x:v>否</x:v>
      </x:c>
      <x:c r="P1218" s="14" t="str">
        <x:v>未提供</x:v>
      </x:c>
      <x:c r="Q1218" s="14" t="str">
        <x:v>未提供</x:v>
      </x:c>
      <x:c r="R1218" s="14" t="str">
        <x:v>预测</x:v>
      </x:c>
      <x:c r="S1218" s="14" t="str">
        <x:v>到站时间为估算值</x:v>
      </x:c>
      <x:c r="T1218" t="str">
        <x:v>研究生宿舍楼发车</x:v>
      </x:c>
    </x:row>
    <x:row r="1219">
      <x:c r="A1219" s="14" t="str">
        <x:v>S0105-04</x:v>
      </x:c>
      <x:c r="B1219" s="14" t="str">
        <x:v>S0105</x:v>
      </x:c>
      <x:c r="C1219" s="14" t="str">
        <x:v>工作日</x:v>
      </x:c>
      <x:c r="D1219" s="14" t="str">
        <x:v>环线2路</x:v>
      </x:c>
      <x:c r="E1219" s="14" t="str">
        <x:v>第二班</x:v>
      </x:c>
      <x:c r="F1219" s="14" t="n">
        <x:v>16</x:v>
      </x:c>
      <x:c r="G1219" s="14" t="str">
        <x:v>20:10</x:v>
      </x:c>
      <x:c r="H1219" s="14" t="str">
        <x:v>研究生宿舍楼</x:v>
      </x:c>
      <x:c r="I1219" s="14" t="str">
        <x:v>否</x:v>
      </x:c>
      <x:c r="J1219" s="14" t="n">
        <x:v>4</x:v>
      </x:c>
      <x:c r="K1219" s="14" t="str">
        <x:v>1号宿舍楼</x:v>
      </x:c>
      <x:c r="L1219" s="14" t="n">
        <x:v>3</x:v>
      </x:c>
      <x:c r="M1219" s="14" t="str">
        <x:v>20:13</x:v>
      </x:c>
      <x:c r="N1219" s="14" t="str">
        <x:v>否</x:v>
      </x:c>
      <x:c r="O1219" s="14" t="str">
        <x:v>否</x:v>
      </x:c>
      <x:c r="P1219" s="14" t="str">
        <x:v>未提供</x:v>
      </x:c>
      <x:c r="Q1219" s="14" t="str">
        <x:v>未提供</x:v>
      </x:c>
      <x:c r="R1219" s="14" t="str">
        <x:v>预测</x:v>
      </x:c>
      <x:c r="S1219" s="14" t="str">
        <x:v>到站时间为估算值</x:v>
      </x:c>
      <x:c r="T1219" t="str">
        <x:v>研究生宿舍楼发车</x:v>
      </x:c>
    </x:row>
    <x:row r="1220">
      <x:c r="A1220" s="14" t="str">
        <x:v>S0105-05</x:v>
      </x:c>
      <x:c r="B1220" s="14" t="str">
        <x:v>S0105</x:v>
      </x:c>
      <x:c r="C1220" s="14" t="str">
        <x:v>工作日</x:v>
      </x:c>
      <x:c r="D1220" s="14" t="str">
        <x:v>环线2路</x:v>
      </x:c>
      <x:c r="E1220" s="14" t="str">
        <x:v>第二班</x:v>
      </x:c>
      <x:c r="F1220" s="14" t="n">
        <x:v>16</x:v>
      </x:c>
      <x:c r="G1220" s="14" t="str">
        <x:v>20:10</x:v>
      </x:c>
      <x:c r="H1220" s="14" t="str">
        <x:v>研究生宿舍楼</x:v>
      </x:c>
      <x:c r="I1220" s="14" t="str">
        <x:v>否</x:v>
      </x:c>
      <x:c r="J1220" s="14" t="n">
        <x:v>5</x:v>
      </x:c>
      <x:c r="K1220" s="14" t="str">
        <x:v>水上训练中心</x:v>
      </x:c>
      <x:c r="L1220" s="14" t="n">
        <x:v>5</x:v>
      </x:c>
      <x:c r="M1220" s="14" t="str">
        <x:v>20:15</x:v>
      </x:c>
      <x:c r="N1220" s="14" t="str">
        <x:v>否</x:v>
      </x:c>
      <x:c r="O1220" s="14" t="str">
        <x:v>否</x:v>
      </x:c>
      <x:c r="P1220" s="14" t="str">
        <x:v>未提供</x:v>
      </x:c>
      <x:c r="Q1220" s="14" t="str">
        <x:v>未提供</x:v>
      </x:c>
      <x:c r="R1220" s="14" t="str">
        <x:v>预测</x:v>
      </x:c>
      <x:c r="S1220" s="14" t="str">
        <x:v>到站时间为估算值</x:v>
      </x:c>
      <x:c r="T1220" t="str">
        <x:v>研究生宿舍楼发车</x:v>
      </x:c>
    </x:row>
    <x:row r="1221">
      <x:c r="A1221" s="14" t="str">
        <x:v>S0105-06</x:v>
      </x:c>
      <x:c r="B1221" s="14" t="str">
        <x:v>S0105</x:v>
      </x:c>
      <x:c r="C1221" s="14" t="str">
        <x:v>工作日</x:v>
      </x:c>
      <x:c r="D1221" s="14" t="str">
        <x:v>环线2路</x:v>
      </x:c>
      <x:c r="E1221" s="14" t="str">
        <x:v>第二班</x:v>
      </x:c>
      <x:c r="F1221" s="14" t="n">
        <x:v>16</x:v>
      </x:c>
      <x:c r="G1221" s="14" t="str">
        <x:v>20:10</x:v>
      </x:c>
      <x:c r="H1221" s="14" t="str">
        <x:v>研究生宿舍楼</x:v>
      </x:c>
      <x:c r="I1221" s="14" t="str">
        <x:v>否</x:v>
      </x:c>
      <x:c r="J1221" s="14" t="n">
        <x:v>6</x:v>
      </x:c>
      <x:c r="K1221" s="14" t="str">
        <x:v>军体活动中心</x:v>
      </x:c>
      <x:c r="L1221" s="14" t="n">
        <x:v>6</x:v>
      </x:c>
      <x:c r="M1221" s="14" t="str">
        <x:v>20:16</x:v>
      </x:c>
      <x:c r="N1221" s="14" t="str">
        <x:v>否</x:v>
      </x:c>
      <x:c r="O1221" s="14" t="str">
        <x:v>否</x:v>
      </x:c>
      <x:c r="P1221" s="14" t="str">
        <x:v>未提供</x:v>
      </x:c>
      <x:c r="Q1221" s="14" t="str">
        <x:v>未提供</x:v>
      </x:c>
      <x:c r="R1221" s="14" t="str">
        <x:v>预测</x:v>
      </x:c>
      <x:c r="S1221" s="14" t="str">
        <x:v>到站时间为估算值</x:v>
      </x:c>
      <x:c r="T1221" t="str">
        <x:v>研究生宿舍楼发车</x:v>
      </x:c>
    </x:row>
    <x:row r="1222">
      <x:c r="A1222" s="14" t="str">
        <x:v>S0105-07</x:v>
      </x:c>
      <x:c r="B1222" s="14" t="str">
        <x:v>S0105</x:v>
      </x:c>
      <x:c r="C1222" s="14" t="str">
        <x:v>工作日</x:v>
      </x:c>
      <x:c r="D1222" s="14" t="str">
        <x:v>环线2路</x:v>
      </x:c>
      <x:c r="E1222" s="14" t="str">
        <x:v>第二班</x:v>
      </x:c>
      <x:c r="F1222" s="14" t="n">
        <x:v>16</x:v>
      </x:c>
      <x:c r="G1222" s="14" t="str">
        <x:v>20:10</x:v>
      </x:c>
      <x:c r="H1222" s="14" t="str">
        <x:v>研究生宿舍楼</x:v>
      </x:c>
      <x:c r="I1222" s="14" t="str">
        <x:v>否</x:v>
      </x:c>
      <x:c r="J1222" s="14" t="n">
        <x:v>7</x:v>
      </x:c>
      <x:c r="K1222" s="14" t="str">
        <x:v>二食堂</x:v>
      </x:c>
      <x:c r="L1222" s="14" t="n">
        <x:v>8</x:v>
      </x:c>
      <x:c r="M1222" s="14" t="str">
        <x:v>20:18</x:v>
      </x:c>
      <x:c r="N1222" s="14" t="str">
        <x:v>否</x:v>
      </x:c>
      <x:c r="O1222" s="14" t="str">
        <x:v>否</x:v>
      </x:c>
      <x:c r="P1222" s="14" t="str">
        <x:v>未提供</x:v>
      </x:c>
      <x:c r="Q1222" s="14" t="str">
        <x:v>未提供</x:v>
      </x:c>
      <x:c r="R1222" s="14" t="str">
        <x:v>预测</x:v>
      </x:c>
      <x:c r="S1222" s="14" t="str">
        <x:v>到站时间为估算值</x:v>
      </x:c>
      <x:c r="T1222" t="str">
        <x:v>研究生宿舍楼发车</x:v>
      </x:c>
    </x:row>
    <x:row r="1223">
      <x:c r="A1223" s="14" t="str">
        <x:v>S0105-08</x:v>
      </x:c>
      <x:c r="B1223" s="14" t="str">
        <x:v>S0105</x:v>
      </x:c>
      <x:c r="C1223" s="14" t="str">
        <x:v>工作日</x:v>
      </x:c>
      <x:c r="D1223" s="14" t="str">
        <x:v>环线2路</x:v>
      </x:c>
      <x:c r="E1223" s="14" t="str">
        <x:v>第二班</x:v>
      </x:c>
      <x:c r="F1223" s="14" t="n">
        <x:v>16</x:v>
      </x:c>
      <x:c r="G1223" s="14" t="str">
        <x:v>20:10</x:v>
      </x:c>
      <x:c r="H1223" s="14" t="str">
        <x:v>研究生宿舍楼</x:v>
      </x:c>
      <x:c r="I1223" s="14" t="str">
        <x:v>否</x:v>
      </x:c>
      <x:c r="J1223" s="14" t="n">
        <x:v>8</x:v>
      </x:c>
      <x:c r="K1223" s="14" t="str">
        <x:v>5号宿舍楼</x:v>
      </x:c>
      <x:c r="L1223" s="14" t="n">
        <x:v>9</x:v>
      </x:c>
      <x:c r="M1223" s="14" t="str">
        <x:v>20:19</x:v>
      </x:c>
      <x:c r="N1223" s="14" t="str">
        <x:v>否</x:v>
      </x:c>
      <x:c r="O1223" s="14" t="str">
        <x:v>否</x:v>
      </x:c>
      <x:c r="P1223" s="14" t="str">
        <x:v>未提供</x:v>
      </x:c>
      <x:c r="Q1223" s="14" t="str">
        <x:v>未提供</x:v>
      </x:c>
      <x:c r="R1223" s="14" t="str">
        <x:v>预测</x:v>
      </x:c>
      <x:c r="S1223" s="14" t="str">
        <x:v>到站时间为估算值</x:v>
      </x:c>
      <x:c r="T1223" t="str">
        <x:v>研究生宿舍楼发车</x:v>
      </x:c>
    </x:row>
    <x:row r="1224">
      <x:c r="A1224" s="14" t="str">
        <x:v>S0105-09</x:v>
      </x:c>
      <x:c r="B1224" s="14" t="str">
        <x:v>S0105</x:v>
      </x:c>
      <x:c r="C1224" s="14" t="str">
        <x:v>工作日</x:v>
      </x:c>
      <x:c r="D1224" s="14" t="str">
        <x:v>环线2路</x:v>
      </x:c>
      <x:c r="E1224" s="14" t="str">
        <x:v>第二班</x:v>
      </x:c>
      <x:c r="F1224" s="14" t="n">
        <x:v>16</x:v>
      </x:c>
      <x:c r="G1224" s="14" t="str">
        <x:v>20:10</x:v>
      </x:c>
      <x:c r="H1224" s="14" t="str">
        <x:v>研究生宿舍楼</x:v>
      </x:c>
      <x:c r="I1224" s="14" t="str">
        <x:v>否</x:v>
      </x:c>
      <x:c r="J1224" s="14" t="n">
        <x:v>9</x:v>
      </x:c>
      <x:c r="K1224" s="14" t="str">
        <x:v>305教学楼</x:v>
      </x:c>
      <x:c r="L1224" s="14" t="n">
        <x:v>10</x:v>
      </x:c>
      <x:c r="M1224" s="14" t="str">
        <x:v>20:20</x:v>
      </x:c>
      <x:c r="N1224" s="14" t="str">
        <x:v>否</x:v>
      </x:c>
      <x:c r="O1224" s="14" t="str">
        <x:v>否</x:v>
      </x:c>
      <x:c r="P1224" s="14" t="str">
        <x:v>未提供</x:v>
      </x:c>
      <x:c r="Q1224" s="14" t="str">
        <x:v>未提供</x:v>
      </x:c>
      <x:c r="R1224" s="14" t="str">
        <x:v>预测</x:v>
      </x:c>
      <x:c r="S1224" s="14" t="str">
        <x:v>到站时间为估算值</x:v>
      </x:c>
      <x:c r="T1224" t="str">
        <x:v>研究生宿舍楼发车</x:v>
      </x:c>
    </x:row>
    <x:row r="1225">
      <x:c r="A1225" s="14" t="str">
        <x:v>S0105-10</x:v>
      </x:c>
      <x:c r="B1225" s="14" t="str">
        <x:v>S0105</x:v>
      </x:c>
      <x:c r="C1225" s="14" t="str">
        <x:v>工作日</x:v>
      </x:c>
      <x:c r="D1225" s="14" t="str">
        <x:v>环线2路</x:v>
      </x:c>
      <x:c r="E1225" s="14" t="str">
        <x:v>第二班</x:v>
      </x:c>
      <x:c r="F1225" s="14" t="n">
        <x:v>16</x:v>
      </x:c>
      <x:c r="G1225" s="14" t="str">
        <x:v>20:10</x:v>
      </x:c>
      <x:c r="H1225" s="14" t="str">
        <x:v>研究生宿舍楼</x:v>
      </x:c>
      <x:c r="I1225" s="14" t="str">
        <x:v>否</x:v>
      </x:c>
      <x:c r="J1225" s="14" t="n">
        <x:v>10</x:v>
      </x:c>
      <x:c r="K1225" s="14" t="str">
        <x:v>研究生宿舍楼</x:v>
      </x:c>
      <x:c r="L1225" s="14" t="n">
        <x:v>12</x:v>
      </x:c>
      <x:c r="M1225" s="14" t="str">
        <x:v>20:22</x:v>
      </x:c>
      <x:c r="N1225" s="14" t="str">
        <x:v>否</x:v>
      </x:c>
      <x:c r="O1225" s="14" t="str">
        <x:v>是</x:v>
      </x:c>
      <x:c r="P1225" s="14" t="str">
        <x:v>未提供</x:v>
      </x:c>
      <x:c r="Q1225" s="14" t="str">
        <x:v>未提供</x:v>
      </x:c>
      <x:c r="R1225" s="14" t="str">
        <x:v>预测</x:v>
      </x:c>
      <x:c r="S1225" s="14" t="str">
        <x:v>到站时间为估算值</x:v>
      </x:c>
      <x:c r="T1225" t="str">
        <x:v>研究生宿舍楼发车</x:v>
      </x:c>
    </x:row>
    <x:row r="1226">
      <x:c r="A1226" s="14" t="str">
        <x:v>S0106-01</x:v>
      </x:c>
      <x:c r="B1226" s="14" t="str">
        <x:v>S0106</x:v>
      </x:c>
      <x:c r="C1226" s="14" t="str">
        <x:v>工作日</x:v>
      </x:c>
      <x:c r="D1226" s="14" t="str">
        <x:v>环线2路</x:v>
      </x:c>
      <x:c r="E1226" s="14" t="str">
        <x:v>第二班</x:v>
      </x:c>
      <x:c r="F1226" s="14" t="n">
        <x:v>17</x:v>
      </x:c>
      <x:c r="G1226" s="14" t="str">
        <x:v>20:40</x:v>
      </x:c>
      <x:c r="H1226" s="14" t="str">
        <x:v>研究生宿舍楼</x:v>
      </x:c>
      <x:c r="I1226" s="14" t="str">
        <x:v>否</x:v>
      </x:c>
      <x:c r="J1226" s="14" t="n">
        <x:v>1</x:v>
      </x:c>
      <x:c r="K1226" s="14" t="str">
        <x:v>研究生宿舍楼</x:v>
      </x:c>
      <x:c r="L1226" s="14" t="n">
        <x:v>0</x:v>
      </x:c>
      <x:c r="M1226" s="14" t="str">
        <x:v>20:40</x:v>
      </x:c>
      <x:c r="N1226" s="14" t="str">
        <x:v>是</x:v>
      </x:c>
      <x:c r="O1226" s="14" t="str">
        <x:v>否</x:v>
      </x:c>
      <x:c r="P1226" s="14" t="str">
        <x:v>未提供</x:v>
      </x:c>
      <x:c r="Q1226" s="14" t="str">
        <x:v>未提供</x:v>
      </x:c>
      <x:c r="R1226" s="14" t="str">
        <x:v>预测</x:v>
      </x:c>
      <x:c r="S1226" s="14" t="str">
        <x:v>到站时间为估算值</x:v>
      </x:c>
      <x:c r="T1226" t="str">
        <x:v>研究生宿舍楼发车</x:v>
      </x:c>
    </x:row>
    <x:row r="1227">
      <x:c r="A1227" s="14" t="str">
        <x:v>S0106-02</x:v>
      </x:c>
      <x:c r="B1227" s="14" t="str">
        <x:v>S0106</x:v>
      </x:c>
      <x:c r="C1227" s="14" t="str">
        <x:v>工作日</x:v>
      </x:c>
      <x:c r="D1227" s="14" t="str">
        <x:v>环线2路</x:v>
      </x:c>
      <x:c r="E1227" s="14" t="str">
        <x:v>第二班</x:v>
      </x:c>
      <x:c r="F1227" s="14" t="n">
        <x:v>17</x:v>
      </x:c>
      <x:c r="G1227" s="14" t="str">
        <x:v>20:40</x:v>
      </x:c>
      <x:c r="H1227" s="14" t="str">
        <x:v>研究生宿舍楼</x:v>
      </x:c>
      <x:c r="I1227" s="14" t="str">
        <x:v>否</x:v>
      </x:c>
      <x:c r="J1227" s="14" t="n">
        <x:v>2</x:v>
      </x:c>
      <x:c r="K1227" s="14" t="str">
        <x:v>一食堂</x:v>
      </x:c>
      <x:c r="L1227" s="14" t="n">
        <x:v>1</x:v>
      </x:c>
      <x:c r="M1227" s="14" t="str">
        <x:v>20:41</x:v>
      </x:c>
      <x:c r="N1227" s="14" t="str">
        <x:v>否</x:v>
      </x:c>
      <x:c r="O1227" s="14" t="str">
        <x:v>否</x:v>
      </x:c>
      <x:c r="P1227" s="14" t="str">
        <x:v>未提供</x:v>
      </x:c>
      <x:c r="Q1227" s="14" t="str">
        <x:v>未提供</x:v>
      </x:c>
      <x:c r="R1227" s="14" t="str">
        <x:v>预测</x:v>
      </x:c>
      <x:c r="S1227" s="14" t="str">
        <x:v>到站时间为估算值</x:v>
      </x:c>
      <x:c r="T1227" t="str">
        <x:v>研究生宿舍楼发车</x:v>
      </x:c>
    </x:row>
    <x:row r="1228">
      <x:c r="A1228" s="14" t="str">
        <x:v>S0106-03</x:v>
      </x:c>
      <x:c r="B1228" s="14" t="str">
        <x:v>S0106</x:v>
      </x:c>
      <x:c r="C1228" s="14" t="str">
        <x:v>工作日</x:v>
      </x:c>
      <x:c r="D1228" s="14" t="str">
        <x:v>环线2路</x:v>
      </x:c>
      <x:c r="E1228" s="14" t="str">
        <x:v>第二班</x:v>
      </x:c>
      <x:c r="F1228" s="14" t="n">
        <x:v>17</x:v>
      </x:c>
      <x:c r="G1228" s="14" t="str">
        <x:v>20:40</x:v>
      </x:c>
      <x:c r="H1228" s="14" t="str">
        <x:v>研究生宿舍楼</x:v>
      </x:c>
      <x:c r="I1228" s="14" t="str">
        <x:v>否</x:v>
      </x:c>
      <x:c r="J1228" s="14" t="n">
        <x:v>3</x:v>
      </x:c>
      <x:c r="K1228" s="14" t="str">
        <x:v>门诊部</x:v>
      </x:c>
      <x:c r="L1228" s="14" t="n">
        <x:v>2</x:v>
      </x:c>
      <x:c r="M1228" s="14" t="str">
        <x:v>20:42</x:v>
      </x:c>
      <x:c r="N1228" s="14" t="str">
        <x:v>否</x:v>
      </x:c>
      <x:c r="O1228" s="14" t="str">
        <x:v>否</x:v>
      </x:c>
      <x:c r="P1228" s="14" t="str">
        <x:v>未提供</x:v>
      </x:c>
      <x:c r="Q1228" s="14" t="str">
        <x:v>未提供</x:v>
      </x:c>
      <x:c r="R1228" s="14" t="str">
        <x:v>预测</x:v>
      </x:c>
      <x:c r="S1228" s="14" t="str">
        <x:v>到站时间为估算值</x:v>
      </x:c>
      <x:c r="T1228" t="str">
        <x:v>研究生宿舍楼发车</x:v>
      </x:c>
    </x:row>
    <x:row r="1229">
      <x:c r="A1229" s="14" t="str">
        <x:v>S0106-04</x:v>
      </x:c>
      <x:c r="B1229" s="14" t="str">
        <x:v>S0106</x:v>
      </x:c>
      <x:c r="C1229" s="14" t="str">
        <x:v>工作日</x:v>
      </x:c>
      <x:c r="D1229" s="14" t="str">
        <x:v>环线2路</x:v>
      </x:c>
      <x:c r="E1229" s="14" t="str">
        <x:v>第二班</x:v>
      </x:c>
      <x:c r="F1229" s="14" t="n">
        <x:v>17</x:v>
      </x:c>
      <x:c r="G1229" s="14" t="str">
        <x:v>20:40</x:v>
      </x:c>
      <x:c r="H1229" s="14" t="str">
        <x:v>研究生宿舍楼</x:v>
      </x:c>
      <x:c r="I1229" s="14" t="str">
        <x:v>否</x:v>
      </x:c>
      <x:c r="J1229" s="14" t="n">
        <x:v>4</x:v>
      </x:c>
      <x:c r="K1229" s="14" t="str">
        <x:v>1号宿舍楼</x:v>
      </x:c>
      <x:c r="L1229" s="14" t="n">
        <x:v>3</x:v>
      </x:c>
      <x:c r="M1229" s="14" t="str">
        <x:v>20:43</x:v>
      </x:c>
      <x:c r="N1229" s="14" t="str">
        <x:v>否</x:v>
      </x:c>
      <x:c r="O1229" s="14" t="str">
        <x:v>否</x:v>
      </x:c>
      <x:c r="P1229" s="14" t="str">
        <x:v>未提供</x:v>
      </x:c>
      <x:c r="Q1229" s="14" t="str">
        <x:v>未提供</x:v>
      </x:c>
      <x:c r="R1229" s="14" t="str">
        <x:v>预测</x:v>
      </x:c>
      <x:c r="S1229" s="14" t="str">
        <x:v>到站时间为估算值</x:v>
      </x:c>
      <x:c r="T1229" t="str">
        <x:v>研究生宿舍楼发车</x:v>
      </x:c>
    </x:row>
    <x:row r="1230">
      <x:c r="A1230" s="14" t="str">
        <x:v>S0106-05</x:v>
      </x:c>
      <x:c r="B1230" s="14" t="str">
        <x:v>S0106</x:v>
      </x:c>
      <x:c r="C1230" s="14" t="str">
        <x:v>工作日</x:v>
      </x:c>
      <x:c r="D1230" s="14" t="str">
        <x:v>环线2路</x:v>
      </x:c>
      <x:c r="E1230" s="14" t="str">
        <x:v>第二班</x:v>
      </x:c>
      <x:c r="F1230" s="14" t="n">
        <x:v>17</x:v>
      </x:c>
      <x:c r="G1230" s="14" t="str">
        <x:v>20:40</x:v>
      </x:c>
      <x:c r="H1230" s="14" t="str">
        <x:v>研究生宿舍楼</x:v>
      </x:c>
      <x:c r="I1230" s="14" t="str">
        <x:v>否</x:v>
      </x:c>
      <x:c r="J1230" s="14" t="n">
        <x:v>5</x:v>
      </x:c>
      <x:c r="K1230" s="14" t="str">
        <x:v>水上训练中心</x:v>
      </x:c>
      <x:c r="L1230" s="14" t="n">
        <x:v>5</x:v>
      </x:c>
      <x:c r="M1230" s="14" t="str">
        <x:v>20:45</x:v>
      </x:c>
      <x:c r="N1230" s="14" t="str">
        <x:v>否</x:v>
      </x:c>
      <x:c r="O1230" s="14" t="str">
        <x:v>否</x:v>
      </x:c>
      <x:c r="P1230" s="14" t="str">
        <x:v>未提供</x:v>
      </x:c>
      <x:c r="Q1230" s="14" t="str">
        <x:v>未提供</x:v>
      </x:c>
      <x:c r="R1230" s="14" t="str">
        <x:v>预测</x:v>
      </x:c>
      <x:c r="S1230" s="14" t="str">
        <x:v>到站时间为估算值</x:v>
      </x:c>
      <x:c r="T1230" t="str">
        <x:v>研究生宿舍楼发车</x:v>
      </x:c>
    </x:row>
    <x:row r="1231">
      <x:c r="A1231" s="14" t="str">
        <x:v>S0106-06</x:v>
      </x:c>
      <x:c r="B1231" s="14" t="str">
        <x:v>S0106</x:v>
      </x:c>
      <x:c r="C1231" s="14" t="str">
        <x:v>工作日</x:v>
      </x:c>
      <x:c r="D1231" s="14" t="str">
        <x:v>环线2路</x:v>
      </x:c>
      <x:c r="E1231" s="14" t="str">
        <x:v>第二班</x:v>
      </x:c>
      <x:c r="F1231" s="14" t="n">
        <x:v>17</x:v>
      </x:c>
      <x:c r="G1231" s="14" t="str">
        <x:v>20:40</x:v>
      </x:c>
      <x:c r="H1231" s="14" t="str">
        <x:v>研究生宿舍楼</x:v>
      </x:c>
      <x:c r="I1231" s="14" t="str">
        <x:v>否</x:v>
      </x:c>
      <x:c r="J1231" s="14" t="n">
        <x:v>6</x:v>
      </x:c>
      <x:c r="K1231" s="14" t="str">
        <x:v>军体活动中心</x:v>
      </x:c>
      <x:c r="L1231" s="14" t="n">
        <x:v>6</x:v>
      </x:c>
      <x:c r="M1231" s="14" t="str">
        <x:v>20:46</x:v>
      </x:c>
      <x:c r="N1231" s="14" t="str">
        <x:v>否</x:v>
      </x:c>
      <x:c r="O1231" s="14" t="str">
        <x:v>否</x:v>
      </x:c>
      <x:c r="P1231" s="14" t="str">
        <x:v>未提供</x:v>
      </x:c>
      <x:c r="Q1231" s="14" t="str">
        <x:v>未提供</x:v>
      </x:c>
      <x:c r="R1231" s="14" t="str">
        <x:v>预测</x:v>
      </x:c>
      <x:c r="S1231" s="14" t="str">
        <x:v>到站时间为估算值</x:v>
      </x:c>
      <x:c r="T1231" t="str">
        <x:v>研究生宿舍楼发车</x:v>
      </x:c>
    </x:row>
    <x:row r="1232">
      <x:c r="A1232" s="14" t="str">
        <x:v>S0106-07</x:v>
      </x:c>
      <x:c r="B1232" s="14" t="str">
        <x:v>S0106</x:v>
      </x:c>
      <x:c r="C1232" s="14" t="str">
        <x:v>工作日</x:v>
      </x:c>
      <x:c r="D1232" s="14" t="str">
        <x:v>环线2路</x:v>
      </x:c>
      <x:c r="E1232" s="14" t="str">
        <x:v>第二班</x:v>
      </x:c>
      <x:c r="F1232" s="14" t="n">
        <x:v>17</x:v>
      </x:c>
      <x:c r="G1232" s="14" t="str">
        <x:v>20:40</x:v>
      </x:c>
      <x:c r="H1232" s="14" t="str">
        <x:v>研究生宿舍楼</x:v>
      </x:c>
      <x:c r="I1232" s="14" t="str">
        <x:v>否</x:v>
      </x:c>
      <x:c r="J1232" s="14" t="n">
        <x:v>7</x:v>
      </x:c>
      <x:c r="K1232" s="14" t="str">
        <x:v>二食堂</x:v>
      </x:c>
      <x:c r="L1232" s="14" t="n">
        <x:v>8</x:v>
      </x:c>
      <x:c r="M1232" s="14" t="str">
        <x:v>20:48</x:v>
      </x:c>
      <x:c r="N1232" s="14" t="str">
        <x:v>否</x:v>
      </x:c>
      <x:c r="O1232" s="14" t="str">
        <x:v>否</x:v>
      </x:c>
      <x:c r="P1232" s="14" t="str">
        <x:v>未提供</x:v>
      </x:c>
      <x:c r="Q1232" s="14" t="str">
        <x:v>未提供</x:v>
      </x:c>
      <x:c r="R1232" s="14" t="str">
        <x:v>预测</x:v>
      </x:c>
      <x:c r="S1232" s="14" t="str">
        <x:v>到站时间为估算值</x:v>
      </x:c>
      <x:c r="T1232" t="str">
        <x:v>研究生宿舍楼发车</x:v>
      </x:c>
    </x:row>
    <x:row r="1233">
      <x:c r="A1233" s="14" t="str">
        <x:v>S0106-08</x:v>
      </x:c>
      <x:c r="B1233" s="14" t="str">
        <x:v>S0106</x:v>
      </x:c>
      <x:c r="C1233" s="14" t="str">
        <x:v>工作日</x:v>
      </x:c>
      <x:c r="D1233" s="14" t="str">
        <x:v>环线2路</x:v>
      </x:c>
      <x:c r="E1233" s="14" t="str">
        <x:v>第二班</x:v>
      </x:c>
      <x:c r="F1233" s="14" t="n">
        <x:v>17</x:v>
      </x:c>
      <x:c r="G1233" s="14" t="str">
        <x:v>20:40</x:v>
      </x:c>
      <x:c r="H1233" s="14" t="str">
        <x:v>研究生宿舍楼</x:v>
      </x:c>
      <x:c r="I1233" s="14" t="str">
        <x:v>否</x:v>
      </x:c>
      <x:c r="J1233" s="14" t="n">
        <x:v>8</x:v>
      </x:c>
      <x:c r="K1233" s="14" t="str">
        <x:v>5号宿舍楼</x:v>
      </x:c>
      <x:c r="L1233" s="14" t="n">
        <x:v>9</x:v>
      </x:c>
      <x:c r="M1233" s="14" t="str">
        <x:v>20:49</x:v>
      </x:c>
      <x:c r="N1233" s="14" t="str">
        <x:v>否</x:v>
      </x:c>
      <x:c r="O1233" s="14" t="str">
        <x:v>否</x:v>
      </x:c>
      <x:c r="P1233" s="14" t="str">
        <x:v>未提供</x:v>
      </x:c>
      <x:c r="Q1233" s="14" t="str">
        <x:v>未提供</x:v>
      </x:c>
      <x:c r="R1233" s="14" t="str">
        <x:v>预测</x:v>
      </x:c>
      <x:c r="S1233" s="14" t="str">
        <x:v>到站时间为估算值</x:v>
      </x:c>
      <x:c r="T1233" t="str">
        <x:v>研究生宿舍楼发车</x:v>
      </x:c>
    </x:row>
    <x:row r="1234">
      <x:c r="A1234" s="14" t="str">
        <x:v>S0106-09</x:v>
      </x:c>
      <x:c r="B1234" s="14" t="str">
        <x:v>S0106</x:v>
      </x:c>
      <x:c r="C1234" s="14" t="str">
        <x:v>工作日</x:v>
      </x:c>
      <x:c r="D1234" s="14" t="str">
        <x:v>环线2路</x:v>
      </x:c>
      <x:c r="E1234" s="14" t="str">
        <x:v>第二班</x:v>
      </x:c>
      <x:c r="F1234" s="14" t="n">
        <x:v>17</x:v>
      </x:c>
      <x:c r="G1234" s="14" t="str">
        <x:v>20:40</x:v>
      </x:c>
      <x:c r="H1234" s="14" t="str">
        <x:v>研究生宿舍楼</x:v>
      </x:c>
      <x:c r="I1234" s="14" t="str">
        <x:v>否</x:v>
      </x:c>
      <x:c r="J1234" s="14" t="n">
        <x:v>9</x:v>
      </x:c>
      <x:c r="K1234" s="14" t="str">
        <x:v>305教学楼</x:v>
      </x:c>
      <x:c r="L1234" s="14" t="n">
        <x:v>10</x:v>
      </x:c>
      <x:c r="M1234" s="14" t="str">
        <x:v>20:50</x:v>
      </x:c>
      <x:c r="N1234" s="14" t="str">
        <x:v>否</x:v>
      </x:c>
      <x:c r="O1234" s="14" t="str">
        <x:v>否</x:v>
      </x:c>
      <x:c r="P1234" s="14" t="str">
        <x:v>未提供</x:v>
      </x:c>
      <x:c r="Q1234" s="14" t="str">
        <x:v>未提供</x:v>
      </x:c>
      <x:c r="R1234" s="14" t="str">
        <x:v>预测</x:v>
      </x:c>
      <x:c r="S1234" s="14" t="str">
        <x:v>到站时间为估算值</x:v>
      </x:c>
      <x:c r="T1234" t="str">
        <x:v>研究生宿舍楼发车</x:v>
      </x:c>
    </x:row>
    <x:row r="1235">
      <x:c r="A1235" s="14" t="str">
        <x:v>S0106-10</x:v>
      </x:c>
      <x:c r="B1235" s="14" t="str">
        <x:v>S0106</x:v>
      </x:c>
      <x:c r="C1235" s="14" t="str">
        <x:v>工作日</x:v>
      </x:c>
      <x:c r="D1235" s="14" t="str">
        <x:v>环线2路</x:v>
      </x:c>
      <x:c r="E1235" s="14" t="str">
        <x:v>第二班</x:v>
      </x:c>
      <x:c r="F1235" s="14" t="n">
        <x:v>17</x:v>
      </x:c>
      <x:c r="G1235" s="14" t="str">
        <x:v>20:40</x:v>
      </x:c>
      <x:c r="H1235" s="14" t="str">
        <x:v>研究生宿舍楼</x:v>
      </x:c>
      <x:c r="I1235" s="14" t="str">
        <x:v>否</x:v>
      </x:c>
      <x:c r="J1235" s="14" t="n">
        <x:v>10</x:v>
      </x:c>
      <x:c r="K1235" s="14" t="str">
        <x:v>研究生宿舍楼</x:v>
      </x:c>
      <x:c r="L1235" s="14" t="n">
        <x:v>12</x:v>
      </x:c>
      <x:c r="M1235" s="14" t="str">
        <x:v>20:52</x:v>
      </x:c>
      <x:c r="N1235" s="14" t="str">
        <x:v>否</x:v>
      </x:c>
      <x:c r="O1235" s="14" t="str">
        <x:v>是</x:v>
      </x:c>
      <x:c r="P1235" s="14" t="str">
        <x:v>未提供</x:v>
      </x:c>
      <x:c r="Q1235" s="14" t="str">
        <x:v>未提供</x:v>
      </x:c>
      <x:c r="R1235" s="14" t="str">
        <x:v>预测</x:v>
      </x:c>
      <x:c r="S1235" s="14" t="str">
        <x:v>到站时间为估算值</x:v>
      </x:c>
      <x:c r="T1235" t="str">
        <x:v>研究生宿舍楼发车</x:v>
      </x:c>
    </x:row>
    <x:row r="1236">
      <x:c r="A1236" s="14" t="str">
        <x:v>S0107-01</x:v>
      </x:c>
      <x:c r="B1236" s="14" t="str">
        <x:v>S0107</x:v>
      </x:c>
      <x:c r="C1236" s="14" t="str">
        <x:v>工作日</x:v>
      </x:c>
      <x:c r="D1236" s="14" t="str">
        <x:v>环线2路</x:v>
      </x:c>
      <x:c r="E1236" s="14" t="str">
        <x:v>第二班</x:v>
      </x:c>
      <x:c r="F1236" s="14" t="n">
        <x:v>18</x:v>
      </x:c>
      <x:c r="G1236" s="14" t="str">
        <x:v>21:05</x:v>
      </x:c>
      <x:c r="H1236" s="14" t="str">
        <x:v>研究生宿舍楼</x:v>
      </x:c>
      <x:c r="I1236" s="14" t="str">
        <x:v>否</x:v>
      </x:c>
      <x:c r="J1236" s="14" t="n">
        <x:v>1</x:v>
      </x:c>
      <x:c r="K1236" s="14" t="str">
        <x:v>研究生宿舍楼</x:v>
      </x:c>
      <x:c r="L1236" s="14" t="n">
        <x:v>0</x:v>
      </x:c>
      <x:c r="M1236" s="14" t="str">
        <x:v>21:05</x:v>
      </x:c>
      <x:c r="N1236" s="14" t="str">
        <x:v>是</x:v>
      </x:c>
      <x:c r="O1236" s="14" t="str">
        <x:v>否</x:v>
      </x:c>
      <x:c r="P1236" s="14" t="str">
        <x:v>未提供</x:v>
      </x:c>
      <x:c r="Q1236" s="14" t="str">
        <x:v>未提供</x:v>
      </x:c>
      <x:c r="R1236" s="14" t="str">
        <x:v>预测</x:v>
      </x:c>
      <x:c r="S1236" s="14" t="str">
        <x:v>到站时间为估算值</x:v>
      </x:c>
      <x:c r="T1236" t="str">
        <x:v>研究生宿舍楼发车</x:v>
      </x:c>
    </x:row>
    <x:row r="1237">
      <x:c r="A1237" s="14" t="str">
        <x:v>S0107-02</x:v>
      </x:c>
      <x:c r="B1237" s="14" t="str">
        <x:v>S0107</x:v>
      </x:c>
      <x:c r="C1237" s="14" t="str">
        <x:v>工作日</x:v>
      </x:c>
      <x:c r="D1237" s="14" t="str">
        <x:v>环线2路</x:v>
      </x:c>
      <x:c r="E1237" s="14" t="str">
        <x:v>第二班</x:v>
      </x:c>
      <x:c r="F1237" s="14" t="n">
        <x:v>18</x:v>
      </x:c>
      <x:c r="G1237" s="14" t="str">
        <x:v>21:05</x:v>
      </x:c>
      <x:c r="H1237" s="14" t="str">
        <x:v>研究生宿舍楼</x:v>
      </x:c>
      <x:c r="I1237" s="14" t="str">
        <x:v>否</x:v>
      </x:c>
      <x:c r="J1237" s="14" t="n">
        <x:v>2</x:v>
      </x:c>
      <x:c r="K1237" s="14" t="str">
        <x:v>一食堂</x:v>
      </x:c>
      <x:c r="L1237" s="14" t="n">
        <x:v>1</x:v>
      </x:c>
      <x:c r="M1237" s="14" t="str">
        <x:v>21:06</x:v>
      </x:c>
      <x:c r="N1237" s="14" t="str">
        <x:v>否</x:v>
      </x:c>
      <x:c r="O1237" s="14" t="str">
        <x:v>否</x:v>
      </x:c>
      <x:c r="P1237" s="14" t="str">
        <x:v>未提供</x:v>
      </x:c>
      <x:c r="Q1237" s="14" t="str">
        <x:v>未提供</x:v>
      </x:c>
      <x:c r="R1237" s="14" t="str">
        <x:v>预测</x:v>
      </x:c>
      <x:c r="S1237" s="14" t="str">
        <x:v>到站时间为估算值</x:v>
      </x:c>
      <x:c r="T1237" t="str">
        <x:v>研究生宿舍楼发车</x:v>
      </x:c>
    </x:row>
    <x:row r="1238">
      <x:c r="A1238" s="14" t="str">
        <x:v>S0107-03</x:v>
      </x:c>
      <x:c r="B1238" s="14" t="str">
        <x:v>S0107</x:v>
      </x:c>
      <x:c r="C1238" s="14" t="str">
        <x:v>工作日</x:v>
      </x:c>
      <x:c r="D1238" s="14" t="str">
        <x:v>环线2路</x:v>
      </x:c>
      <x:c r="E1238" s="14" t="str">
        <x:v>第二班</x:v>
      </x:c>
      <x:c r="F1238" s="14" t="n">
        <x:v>18</x:v>
      </x:c>
      <x:c r="G1238" s="14" t="str">
        <x:v>21:05</x:v>
      </x:c>
      <x:c r="H1238" s="14" t="str">
        <x:v>研究生宿舍楼</x:v>
      </x:c>
      <x:c r="I1238" s="14" t="str">
        <x:v>否</x:v>
      </x:c>
      <x:c r="J1238" s="14" t="n">
        <x:v>3</x:v>
      </x:c>
      <x:c r="K1238" s="14" t="str">
        <x:v>门诊部</x:v>
      </x:c>
      <x:c r="L1238" s="14" t="n">
        <x:v>2</x:v>
      </x:c>
      <x:c r="M1238" s="14" t="str">
        <x:v>21:07</x:v>
      </x:c>
      <x:c r="N1238" s="14" t="str">
        <x:v>否</x:v>
      </x:c>
      <x:c r="O1238" s="14" t="str">
        <x:v>否</x:v>
      </x:c>
      <x:c r="P1238" s="14" t="str">
        <x:v>未提供</x:v>
      </x:c>
      <x:c r="Q1238" s="14" t="str">
        <x:v>未提供</x:v>
      </x:c>
      <x:c r="R1238" s="14" t="str">
        <x:v>预测</x:v>
      </x:c>
      <x:c r="S1238" s="14" t="str">
        <x:v>到站时间为估算值</x:v>
      </x:c>
      <x:c r="T1238" t="str">
        <x:v>研究生宿舍楼发车</x:v>
      </x:c>
    </x:row>
    <x:row r="1239">
      <x:c r="A1239" s="14" t="str">
        <x:v>S0107-04</x:v>
      </x:c>
      <x:c r="B1239" s="14" t="str">
        <x:v>S0107</x:v>
      </x:c>
      <x:c r="C1239" s="14" t="str">
        <x:v>工作日</x:v>
      </x:c>
      <x:c r="D1239" s="14" t="str">
        <x:v>环线2路</x:v>
      </x:c>
      <x:c r="E1239" s="14" t="str">
        <x:v>第二班</x:v>
      </x:c>
      <x:c r="F1239" s="14" t="n">
        <x:v>18</x:v>
      </x:c>
      <x:c r="G1239" s="14" t="str">
        <x:v>21:05</x:v>
      </x:c>
      <x:c r="H1239" s="14" t="str">
        <x:v>研究生宿舍楼</x:v>
      </x:c>
      <x:c r="I1239" s="14" t="str">
        <x:v>否</x:v>
      </x:c>
      <x:c r="J1239" s="14" t="n">
        <x:v>4</x:v>
      </x:c>
      <x:c r="K1239" s="14" t="str">
        <x:v>1号宿舍楼</x:v>
      </x:c>
      <x:c r="L1239" s="14" t="n">
        <x:v>3</x:v>
      </x:c>
      <x:c r="M1239" s="14" t="str">
        <x:v>21:08</x:v>
      </x:c>
      <x:c r="N1239" s="14" t="str">
        <x:v>否</x:v>
      </x:c>
      <x:c r="O1239" s="14" t="str">
        <x:v>否</x:v>
      </x:c>
      <x:c r="P1239" s="14" t="str">
        <x:v>未提供</x:v>
      </x:c>
      <x:c r="Q1239" s="14" t="str">
        <x:v>未提供</x:v>
      </x:c>
      <x:c r="R1239" s="14" t="str">
        <x:v>预测</x:v>
      </x:c>
      <x:c r="S1239" s="14" t="str">
        <x:v>到站时间为估算值</x:v>
      </x:c>
      <x:c r="T1239" t="str">
        <x:v>研究生宿舍楼发车</x:v>
      </x:c>
    </x:row>
    <x:row r="1240">
      <x:c r="A1240" s="14" t="str">
        <x:v>S0107-05</x:v>
      </x:c>
      <x:c r="B1240" s="14" t="str">
        <x:v>S0107</x:v>
      </x:c>
      <x:c r="C1240" s="14" t="str">
        <x:v>工作日</x:v>
      </x:c>
      <x:c r="D1240" s="14" t="str">
        <x:v>环线2路</x:v>
      </x:c>
      <x:c r="E1240" s="14" t="str">
        <x:v>第二班</x:v>
      </x:c>
      <x:c r="F1240" s="14" t="n">
        <x:v>18</x:v>
      </x:c>
      <x:c r="G1240" s="14" t="str">
        <x:v>21:05</x:v>
      </x:c>
      <x:c r="H1240" s="14" t="str">
        <x:v>研究生宿舍楼</x:v>
      </x:c>
      <x:c r="I1240" s="14" t="str">
        <x:v>否</x:v>
      </x:c>
      <x:c r="J1240" s="14" t="n">
        <x:v>5</x:v>
      </x:c>
      <x:c r="K1240" s="14" t="str">
        <x:v>水上训练中心</x:v>
      </x:c>
      <x:c r="L1240" s="14" t="n">
        <x:v>5</x:v>
      </x:c>
      <x:c r="M1240" s="14" t="str">
        <x:v>21:10</x:v>
      </x:c>
      <x:c r="N1240" s="14" t="str">
        <x:v>否</x:v>
      </x:c>
      <x:c r="O1240" s="14" t="str">
        <x:v>否</x:v>
      </x:c>
      <x:c r="P1240" s="14" t="str">
        <x:v>未提供</x:v>
      </x:c>
      <x:c r="Q1240" s="14" t="str">
        <x:v>未提供</x:v>
      </x:c>
      <x:c r="R1240" s="14" t="str">
        <x:v>预测</x:v>
      </x:c>
      <x:c r="S1240" s="14" t="str">
        <x:v>到站时间为估算值</x:v>
      </x:c>
      <x:c r="T1240" t="str">
        <x:v>研究生宿舍楼发车</x:v>
      </x:c>
    </x:row>
    <x:row r="1241">
      <x:c r="A1241" s="14" t="str">
        <x:v>S0107-06</x:v>
      </x:c>
      <x:c r="B1241" s="14" t="str">
        <x:v>S0107</x:v>
      </x:c>
      <x:c r="C1241" s="14" t="str">
        <x:v>工作日</x:v>
      </x:c>
      <x:c r="D1241" s="14" t="str">
        <x:v>环线2路</x:v>
      </x:c>
      <x:c r="E1241" s="14" t="str">
        <x:v>第二班</x:v>
      </x:c>
      <x:c r="F1241" s="14" t="n">
        <x:v>18</x:v>
      </x:c>
      <x:c r="G1241" s="14" t="str">
        <x:v>21:05</x:v>
      </x:c>
      <x:c r="H1241" s="14" t="str">
        <x:v>研究生宿舍楼</x:v>
      </x:c>
      <x:c r="I1241" s="14" t="str">
        <x:v>否</x:v>
      </x:c>
      <x:c r="J1241" s="14" t="n">
        <x:v>6</x:v>
      </x:c>
      <x:c r="K1241" s="14" t="str">
        <x:v>军体活动中心</x:v>
      </x:c>
      <x:c r="L1241" s="14" t="n">
        <x:v>6</x:v>
      </x:c>
      <x:c r="M1241" s="14" t="str">
        <x:v>21:11</x:v>
      </x:c>
      <x:c r="N1241" s="14" t="str">
        <x:v>否</x:v>
      </x:c>
      <x:c r="O1241" s="14" t="str">
        <x:v>否</x:v>
      </x:c>
      <x:c r="P1241" s="14" t="str">
        <x:v>未提供</x:v>
      </x:c>
      <x:c r="Q1241" s="14" t="str">
        <x:v>未提供</x:v>
      </x:c>
      <x:c r="R1241" s="14" t="str">
        <x:v>预测</x:v>
      </x:c>
      <x:c r="S1241" s="14" t="str">
        <x:v>到站时间为估算值</x:v>
      </x:c>
      <x:c r="T1241" t="str">
        <x:v>研究生宿舍楼发车</x:v>
      </x:c>
    </x:row>
    <x:row r="1242">
      <x:c r="A1242" s="14" t="str">
        <x:v>S0107-07</x:v>
      </x:c>
      <x:c r="B1242" s="14" t="str">
        <x:v>S0107</x:v>
      </x:c>
      <x:c r="C1242" s="14" t="str">
        <x:v>工作日</x:v>
      </x:c>
      <x:c r="D1242" s="14" t="str">
        <x:v>环线2路</x:v>
      </x:c>
      <x:c r="E1242" s="14" t="str">
        <x:v>第二班</x:v>
      </x:c>
      <x:c r="F1242" s="14" t="n">
        <x:v>18</x:v>
      </x:c>
      <x:c r="G1242" s="14" t="str">
        <x:v>21:05</x:v>
      </x:c>
      <x:c r="H1242" s="14" t="str">
        <x:v>研究生宿舍楼</x:v>
      </x:c>
      <x:c r="I1242" s="14" t="str">
        <x:v>否</x:v>
      </x:c>
      <x:c r="J1242" s="14" t="n">
        <x:v>7</x:v>
      </x:c>
      <x:c r="K1242" s="14" t="str">
        <x:v>二食堂</x:v>
      </x:c>
      <x:c r="L1242" s="14" t="n">
        <x:v>8</x:v>
      </x:c>
      <x:c r="M1242" s="14" t="str">
        <x:v>21:13</x:v>
      </x:c>
      <x:c r="N1242" s="14" t="str">
        <x:v>否</x:v>
      </x:c>
      <x:c r="O1242" s="14" t="str">
        <x:v>否</x:v>
      </x:c>
      <x:c r="P1242" s="14" t="str">
        <x:v>未提供</x:v>
      </x:c>
      <x:c r="Q1242" s="14" t="str">
        <x:v>未提供</x:v>
      </x:c>
      <x:c r="R1242" s="14" t="str">
        <x:v>预测</x:v>
      </x:c>
      <x:c r="S1242" s="14" t="str">
        <x:v>到站时间为估算值</x:v>
      </x:c>
      <x:c r="T1242" t="str">
        <x:v>研究生宿舍楼发车</x:v>
      </x:c>
    </x:row>
    <x:row r="1243">
      <x:c r="A1243" s="14" t="str">
        <x:v>S0107-08</x:v>
      </x:c>
      <x:c r="B1243" s="14" t="str">
        <x:v>S0107</x:v>
      </x:c>
      <x:c r="C1243" s="14" t="str">
        <x:v>工作日</x:v>
      </x:c>
      <x:c r="D1243" s="14" t="str">
        <x:v>环线2路</x:v>
      </x:c>
      <x:c r="E1243" s="14" t="str">
        <x:v>第二班</x:v>
      </x:c>
      <x:c r="F1243" s="14" t="n">
        <x:v>18</x:v>
      </x:c>
      <x:c r="G1243" s="14" t="str">
        <x:v>21:05</x:v>
      </x:c>
      <x:c r="H1243" s="14" t="str">
        <x:v>研究生宿舍楼</x:v>
      </x:c>
      <x:c r="I1243" s="14" t="str">
        <x:v>否</x:v>
      </x:c>
      <x:c r="J1243" s="14" t="n">
        <x:v>8</x:v>
      </x:c>
      <x:c r="K1243" s="14" t="str">
        <x:v>5号宿舍楼</x:v>
      </x:c>
      <x:c r="L1243" s="14" t="n">
        <x:v>9</x:v>
      </x:c>
      <x:c r="M1243" s="14" t="str">
        <x:v>21:14</x:v>
      </x:c>
      <x:c r="N1243" s="14" t="str">
        <x:v>否</x:v>
      </x:c>
      <x:c r="O1243" s="14" t="str">
        <x:v>否</x:v>
      </x:c>
      <x:c r="P1243" s="14" t="str">
        <x:v>未提供</x:v>
      </x:c>
      <x:c r="Q1243" s="14" t="str">
        <x:v>未提供</x:v>
      </x:c>
      <x:c r="R1243" s="14" t="str">
        <x:v>预测</x:v>
      </x:c>
      <x:c r="S1243" s="14" t="str">
        <x:v>到站时间为估算值</x:v>
      </x:c>
      <x:c r="T1243" t="str">
        <x:v>研究生宿舍楼发车</x:v>
      </x:c>
    </x:row>
    <x:row r="1244">
      <x:c r="A1244" s="14" t="str">
        <x:v>S0107-09</x:v>
      </x:c>
      <x:c r="B1244" s="14" t="str">
        <x:v>S0107</x:v>
      </x:c>
      <x:c r="C1244" s="14" t="str">
        <x:v>工作日</x:v>
      </x:c>
      <x:c r="D1244" s="14" t="str">
        <x:v>环线2路</x:v>
      </x:c>
      <x:c r="E1244" s="14" t="str">
        <x:v>第二班</x:v>
      </x:c>
      <x:c r="F1244" s="14" t="n">
        <x:v>18</x:v>
      </x:c>
      <x:c r="G1244" s="14" t="str">
        <x:v>21:05</x:v>
      </x:c>
      <x:c r="H1244" s="14" t="str">
        <x:v>研究生宿舍楼</x:v>
      </x:c>
      <x:c r="I1244" s="14" t="str">
        <x:v>否</x:v>
      </x:c>
      <x:c r="J1244" s="14" t="n">
        <x:v>9</x:v>
      </x:c>
      <x:c r="K1244" s="14" t="str">
        <x:v>305教学楼</x:v>
      </x:c>
      <x:c r="L1244" s="14" t="n">
        <x:v>10</x:v>
      </x:c>
      <x:c r="M1244" s="14" t="str">
        <x:v>21:15</x:v>
      </x:c>
      <x:c r="N1244" s="14" t="str">
        <x:v>否</x:v>
      </x:c>
      <x:c r="O1244" s="14" t="str">
        <x:v>否</x:v>
      </x:c>
      <x:c r="P1244" s="14" t="str">
        <x:v>未提供</x:v>
      </x:c>
      <x:c r="Q1244" s="14" t="str">
        <x:v>未提供</x:v>
      </x:c>
      <x:c r="R1244" s="14" t="str">
        <x:v>预测</x:v>
      </x:c>
      <x:c r="S1244" s="14" t="str">
        <x:v>到站时间为估算值</x:v>
      </x:c>
      <x:c r="T1244" t="str">
        <x:v>研究生宿舍楼发车</x:v>
      </x:c>
    </x:row>
    <x:row r="1245">
      <x:c r="A1245" s="14" t="str">
        <x:v>S0107-10</x:v>
      </x:c>
      <x:c r="B1245" s="14" t="str">
        <x:v>S0107</x:v>
      </x:c>
      <x:c r="C1245" s="14" t="str">
        <x:v>工作日</x:v>
      </x:c>
      <x:c r="D1245" s="14" t="str">
        <x:v>环线2路</x:v>
      </x:c>
      <x:c r="E1245" s="14" t="str">
        <x:v>第二班</x:v>
      </x:c>
      <x:c r="F1245" s="14" t="n">
        <x:v>18</x:v>
      </x:c>
      <x:c r="G1245" s="14" t="str">
        <x:v>21:05</x:v>
      </x:c>
      <x:c r="H1245" s="14" t="str">
        <x:v>研究生宿舍楼</x:v>
      </x:c>
      <x:c r="I1245" s="14" t="str">
        <x:v>否</x:v>
      </x:c>
      <x:c r="J1245" s="14" t="n">
        <x:v>10</x:v>
      </x:c>
      <x:c r="K1245" s="14" t="str">
        <x:v>研究生宿舍楼</x:v>
      </x:c>
      <x:c r="L1245" s="14" t="n">
        <x:v>12</x:v>
      </x:c>
      <x:c r="M1245" s="14" t="str">
        <x:v>21:17</x:v>
      </x:c>
      <x:c r="N1245" s="14" t="str">
        <x:v>否</x:v>
      </x:c>
      <x:c r="O1245" s="14" t="str">
        <x:v>是</x:v>
      </x:c>
      <x:c r="P1245" s="14" t="str">
        <x:v>未提供</x:v>
      </x:c>
      <x:c r="Q1245" s="14" t="str">
        <x:v>未提供</x:v>
      </x:c>
      <x:c r="R1245" s="14" t="str">
        <x:v>预测</x:v>
      </x:c>
      <x:c r="S1245" s="14" t="str">
        <x:v>到站时间为估算值</x:v>
      </x:c>
      <x:c r="T1245" t="str">
        <x:v>研究生宿舍楼发车</x:v>
      </x:c>
    </x:row>
    <x:row r="1246">
      <x:c r="A1246" s="14" t="str">
        <x:v>S0108-01</x:v>
      </x:c>
      <x:c r="B1246" s="14" t="str">
        <x:v>S0108</x:v>
      </x:c>
      <x:c r="C1246" s="14" t="str">
        <x:v>工作日</x:v>
      </x:c>
      <x:c r="D1246" s="14" t="str">
        <x:v>环线2路</x:v>
      </x:c>
      <x:c r="E1246" s="14" t="str">
        <x:v>第二班</x:v>
      </x:c>
      <x:c r="F1246" s="14" t="n">
        <x:v>19</x:v>
      </x:c>
      <x:c r="G1246" s="14" t="str">
        <x:v>21:30</x:v>
      </x:c>
      <x:c r="H1246" s="14" t="str">
        <x:v>研究生宿舍楼</x:v>
      </x:c>
      <x:c r="I1246" s="14" t="str">
        <x:v>否</x:v>
      </x:c>
      <x:c r="J1246" s="14" t="n">
        <x:v>1</x:v>
      </x:c>
      <x:c r="K1246" s="14" t="str">
        <x:v>研究生宿舍楼</x:v>
      </x:c>
      <x:c r="L1246" s="14" t="n">
        <x:v>0</x:v>
      </x:c>
      <x:c r="M1246" s="14" t="str">
        <x:v>21:30</x:v>
      </x:c>
      <x:c r="N1246" s="14" t="str">
        <x:v>是</x:v>
      </x:c>
      <x:c r="O1246" s="14" t="str">
        <x:v>否</x:v>
      </x:c>
      <x:c r="P1246" s="14" t="str">
        <x:v>未提供</x:v>
      </x:c>
      <x:c r="Q1246" s="14" t="str">
        <x:v>未提供</x:v>
      </x:c>
      <x:c r="R1246" s="14" t="str">
        <x:v>预测</x:v>
      </x:c>
      <x:c r="S1246" s="14" t="str">
        <x:v>到站时间为估算值</x:v>
      </x:c>
      <x:c r="T1246" t="str">
        <x:v>研究生宿舍楼发车</x:v>
      </x:c>
    </x:row>
    <x:row r="1247">
      <x:c r="A1247" s="14" t="str">
        <x:v>S0108-02</x:v>
      </x:c>
      <x:c r="B1247" s="14" t="str">
        <x:v>S0108</x:v>
      </x:c>
      <x:c r="C1247" s="14" t="str">
        <x:v>工作日</x:v>
      </x:c>
      <x:c r="D1247" s="14" t="str">
        <x:v>环线2路</x:v>
      </x:c>
      <x:c r="E1247" s="14" t="str">
        <x:v>第二班</x:v>
      </x:c>
      <x:c r="F1247" s="14" t="n">
        <x:v>19</x:v>
      </x:c>
      <x:c r="G1247" s="14" t="str">
        <x:v>21:30</x:v>
      </x:c>
      <x:c r="H1247" s="14" t="str">
        <x:v>研究生宿舍楼</x:v>
      </x:c>
      <x:c r="I1247" s="14" t="str">
        <x:v>否</x:v>
      </x:c>
      <x:c r="J1247" s="14" t="n">
        <x:v>2</x:v>
      </x:c>
      <x:c r="K1247" s="14" t="str">
        <x:v>一食堂</x:v>
      </x:c>
      <x:c r="L1247" s="14" t="n">
        <x:v>1</x:v>
      </x:c>
      <x:c r="M1247" s="14" t="str">
        <x:v>21:31</x:v>
      </x:c>
      <x:c r="N1247" s="14" t="str">
        <x:v>否</x:v>
      </x:c>
      <x:c r="O1247" s="14" t="str">
        <x:v>否</x:v>
      </x:c>
      <x:c r="P1247" s="14" t="str">
        <x:v>未提供</x:v>
      </x:c>
      <x:c r="Q1247" s="14" t="str">
        <x:v>未提供</x:v>
      </x:c>
      <x:c r="R1247" s="14" t="str">
        <x:v>预测</x:v>
      </x:c>
      <x:c r="S1247" s="14" t="str">
        <x:v>到站时间为估算值</x:v>
      </x:c>
      <x:c r="T1247" t="str">
        <x:v>研究生宿舍楼发车</x:v>
      </x:c>
    </x:row>
    <x:row r="1248">
      <x:c r="A1248" s="14" t="str">
        <x:v>S0108-03</x:v>
      </x:c>
      <x:c r="B1248" s="14" t="str">
        <x:v>S0108</x:v>
      </x:c>
      <x:c r="C1248" s="14" t="str">
        <x:v>工作日</x:v>
      </x:c>
      <x:c r="D1248" s="14" t="str">
        <x:v>环线2路</x:v>
      </x:c>
      <x:c r="E1248" s="14" t="str">
        <x:v>第二班</x:v>
      </x:c>
      <x:c r="F1248" s="14" t="n">
        <x:v>19</x:v>
      </x:c>
      <x:c r="G1248" s="14" t="str">
        <x:v>21:30</x:v>
      </x:c>
      <x:c r="H1248" s="14" t="str">
        <x:v>研究生宿舍楼</x:v>
      </x:c>
      <x:c r="I1248" s="14" t="str">
        <x:v>否</x:v>
      </x:c>
      <x:c r="J1248" s="14" t="n">
        <x:v>3</x:v>
      </x:c>
      <x:c r="K1248" s="14" t="str">
        <x:v>门诊部</x:v>
      </x:c>
      <x:c r="L1248" s="14" t="n">
        <x:v>2</x:v>
      </x:c>
      <x:c r="M1248" s="14" t="str">
        <x:v>21:32</x:v>
      </x:c>
      <x:c r="N1248" s="14" t="str">
        <x:v>否</x:v>
      </x:c>
      <x:c r="O1248" s="14" t="str">
        <x:v>否</x:v>
      </x:c>
      <x:c r="P1248" s="14" t="str">
        <x:v>未提供</x:v>
      </x:c>
      <x:c r="Q1248" s="14" t="str">
        <x:v>未提供</x:v>
      </x:c>
      <x:c r="R1248" s="14" t="str">
        <x:v>预测</x:v>
      </x:c>
      <x:c r="S1248" s="14" t="str">
        <x:v>到站时间为估算值</x:v>
      </x:c>
      <x:c r="T1248" t="str">
        <x:v>研究生宿舍楼发车</x:v>
      </x:c>
    </x:row>
    <x:row r="1249">
      <x:c r="A1249" s="14" t="str">
        <x:v>S0108-04</x:v>
      </x:c>
      <x:c r="B1249" s="14" t="str">
        <x:v>S0108</x:v>
      </x:c>
      <x:c r="C1249" s="14" t="str">
        <x:v>工作日</x:v>
      </x:c>
      <x:c r="D1249" s="14" t="str">
        <x:v>环线2路</x:v>
      </x:c>
      <x:c r="E1249" s="14" t="str">
        <x:v>第二班</x:v>
      </x:c>
      <x:c r="F1249" s="14" t="n">
        <x:v>19</x:v>
      </x:c>
      <x:c r="G1249" s="14" t="str">
        <x:v>21:30</x:v>
      </x:c>
      <x:c r="H1249" s="14" t="str">
        <x:v>研究生宿舍楼</x:v>
      </x:c>
      <x:c r="I1249" s="14" t="str">
        <x:v>否</x:v>
      </x:c>
      <x:c r="J1249" s="14" t="n">
        <x:v>4</x:v>
      </x:c>
      <x:c r="K1249" s="14" t="str">
        <x:v>1号宿舍楼</x:v>
      </x:c>
      <x:c r="L1249" s="14" t="n">
        <x:v>3</x:v>
      </x:c>
      <x:c r="M1249" s="14" t="str">
        <x:v>21:33</x:v>
      </x:c>
      <x:c r="N1249" s="14" t="str">
        <x:v>否</x:v>
      </x:c>
      <x:c r="O1249" s="14" t="str">
        <x:v>否</x:v>
      </x:c>
      <x:c r="P1249" s="14" t="str">
        <x:v>未提供</x:v>
      </x:c>
      <x:c r="Q1249" s="14" t="str">
        <x:v>未提供</x:v>
      </x:c>
      <x:c r="R1249" s="14" t="str">
        <x:v>预测</x:v>
      </x:c>
      <x:c r="S1249" s="14" t="str">
        <x:v>到站时间为估算值</x:v>
      </x:c>
      <x:c r="T1249" t="str">
        <x:v>研究生宿舍楼发车</x:v>
      </x:c>
    </x:row>
    <x:row r="1250">
      <x:c r="A1250" s="14" t="str">
        <x:v>S0108-05</x:v>
      </x:c>
      <x:c r="B1250" s="14" t="str">
        <x:v>S0108</x:v>
      </x:c>
      <x:c r="C1250" s="14" t="str">
        <x:v>工作日</x:v>
      </x:c>
      <x:c r="D1250" s="14" t="str">
        <x:v>环线2路</x:v>
      </x:c>
      <x:c r="E1250" s="14" t="str">
        <x:v>第二班</x:v>
      </x:c>
      <x:c r="F1250" s="14" t="n">
        <x:v>19</x:v>
      </x:c>
      <x:c r="G1250" s="14" t="str">
        <x:v>21:30</x:v>
      </x:c>
      <x:c r="H1250" s="14" t="str">
        <x:v>研究生宿舍楼</x:v>
      </x:c>
      <x:c r="I1250" s="14" t="str">
        <x:v>否</x:v>
      </x:c>
      <x:c r="J1250" s="14" t="n">
        <x:v>5</x:v>
      </x:c>
      <x:c r="K1250" s="14" t="str">
        <x:v>水上训练中心</x:v>
      </x:c>
      <x:c r="L1250" s="14" t="n">
        <x:v>5</x:v>
      </x:c>
      <x:c r="M1250" s="14" t="str">
        <x:v>21:35</x:v>
      </x:c>
      <x:c r="N1250" s="14" t="str">
        <x:v>否</x:v>
      </x:c>
      <x:c r="O1250" s="14" t="str">
        <x:v>否</x:v>
      </x:c>
      <x:c r="P1250" s="14" t="str">
        <x:v>未提供</x:v>
      </x:c>
      <x:c r="Q1250" s="14" t="str">
        <x:v>未提供</x:v>
      </x:c>
      <x:c r="R1250" s="14" t="str">
        <x:v>预测</x:v>
      </x:c>
      <x:c r="S1250" s="14" t="str">
        <x:v>到站时间为估算值</x:v>
      </x:c>
      <x:c r="T1250" t="str">
        <x:v>研究生宿舍楼发车</x:v>
      </x:c>
    </x:row>
    <x:row r="1251">
      <x:c r="A1251" s="14" t="str">
        <x:v>S0108-06</x:v>
      </x:c>
      <x:c r="B1251" s="14" t="str">
        <x:v>S0108</x:v>
      </x:c>
      <x:c r="C1251" s="14" t="str">
        <x:v>工作日</x:v>
      </x:c>
      <x:c r="D1251" s="14" t="str">
        <x:v>环线2路</x:v>
      </x:c>
      <x:c r="E1251" s="14" t="str">
        <x:v>第二班</x:v>
      </x:c>
      <x:c r="F1251" s="14" t="n">
        <x:v>19</x:v>
      </x:c>
      <x:c r="G1251" s="14" t="str">
        <x:v>21:30</x:v>
      </x:c>
      <x:c r="H1251" s="14" t="str">
        <x:v>研究生宿舍楼</x:v>
      </x:c>
      <x:c r="I1251" s="14" t="str">
        <x:v>否</x:v>
      </x:c>
      <x:c r="J1251" s="14" t="n">
        <x:v>6</x:v>
      </x:c>
      <x:c r="K1251" s="14" t="str">
        <x:v>军体活动中心</x:v>
      </x:c>
      <x:c r="L1251" s="14" t="n">
        <x:v>6</x:v>
      </x:c>
      <x:c r="M1251" s="14" t="str">
        <x:v>21:36</x:v>
      </x:c>
      <x:c r="N1251" s="14" t="str">
        <x:v>否</x:v>
      </x:c>
      <x:c r="O1251" s="14" t="str">
        <x:v>否</x:v>
      </x:c>
      <x:c r="P1251" s="14" t="str">
        <x:v>未提供</x:v>
      </x:c>
      <x:c r="Q1251" s="14" t="str">
        <x:v>未提供</x:v>
      </x:c>
      <x:c r="R1251" s="14" t="str">
        <x:v>预测</x:v>
      </x:c>
      <x:c r="S1251" s="14" t="str">
        <x:v>到站时间为估算值</x:v>
      </x:c>
      <x:c r="T1251" t="str">
        <x:v>研究生宿舍楼发车</x:v>
      </x:c>
    </x:row>
    <x:row r="1252">
      <x:c r="A1252" s="14" t="str">
        <x:v>S0108-07</x:v>
      </x:c>
      <x:c r="B1252" s="14" t="str">
        <x:v>S0108</x:v>
      </x:c>
      <x:c r="C1252" s="14" t="str">
        <x:v>工作日</x:v>
      </x:c>
      <x:c r="D1252" s="14" t="str">
        <x:v>环线2路</x:v>
      </x:c>
      <x:c r="E1252" s="14" t="str">
        <x:v>第二班</x:v>
      </x:c>
      <x:c r="F1252" s="14" t="n">
        <x:v>19</x:v>
      </x:c>
      <x:c r="G1252" s="14" t="str">
        <x:v>21:30</x:v>
      </x:c>
      <x:c r="H1252" s="14" t="str">
        <x:v>研究生宿舍楼</x:v>
      </x:c>
      <x:c r="I1252" s="14" t="str">
        <x:v>否</x:v>
      </x:c>
      <x:c r="J1252" s="14" t="n">
        <x:v>7</x:v>
      </x:c>
      <x:c r="K1252" s="14" t="str">
        <x:v>二食堂</x:v>
      </x:c>
      <x:c r="L1252" s="14" t="n">
        <x:v>8</x:v>
      </x:c>
      <x:c r="M1252" s="14" t="str">
        <x:v>21:38</x:v>
      </x:c>
      <x:c r="N1252" s="14" t="str">
        <x:v>否</x:v>
      </x:c>
      <x:c r="O1252" s="14" t="str">
        <x:v>否</x:v>
      </x:c>
      <x:c r="P1252" s="14" t="str">
        <x:v>未提供</x:v>
      </x:c>
      <x:c r="Q1252" s="14" t="str">
        <x:v>未提供</x:v>
      </x:c>
      <x:c r="R1252" s="14" t="str">
        <x:v>预测</x:v>
      </x:c>
      <x:c r="S1252" s="14" t="str">
        <x:v>到站时间为估算值</x:v>
      </x:c>
      <x:c r="T1252" t="str">
        <x:v>研究生宿舍楼发车</x:v>
      </x:c>
    </x:row>
    <x:row r="1253">
      <x:c r="A1253" s="14" t="str">
        <x:v>S0108-08</x:v>
      </x:c>
      <x:c r="B1253" s="14" t="str">
        <x:v>S0108</x:v>
      </x:c>
      <x:c r="C1253" s="14" t="str">
        <x:v>工作日</x:v>
      </x:c>
      <x:c r="D1253" s="14" t="str">
        <x:v>环线2路</x:v>
      </x:c>
      <x:c r="E1253" s="14" t="str">
        <x:v>第二班</x:v>
      </x:c>
      <x:c r="F1253" s="14" t="n">
        <x:v>19</x:v>
      </x:c>
      <x:c r="G1253" s="14" t="str">
        <x:v>21:30</x:v>
      </x:c>
      <x:c r="H1253" s="14" t="str">
        <x:v>研究生宿舍楼</x:v>
      </x:c>
      <x:c r="I1253" s="14" t="str">
        <x:v>否</x:v>
      </x:c>
      <x:c r="J1253" s="14" t="n">
        <x:v>8</x:v>
      </x:c>
      <x:c r="K1253" s="14" t="str">
        <x:v>5号宿舍楼</x:v>
      </x:c>
      <x:c r="L1253" s="14" t="n">
        <x:v>9</x:v>
      </x:c>
      <x:c r="M1253" s="14" t="str">
        <x:v>21:39</x:v>
      </x:c>
      <x:c r="N1253" s="14" t="str">
        <x:v>否</x:v>
      </x:c>
      <x:c r="O1253" s="14" t="str">
        <x:v>否</x:v>
      </x:c>
      <x:c r="P1253" s="14" t="str">
        <x:v>未提供</x:v>
      </x:c>
      <x:c r="Q1253" s="14" t="str">
        <x:v>未提供</x:v>
      </x:c>
      <x:c r="R1253" s="14" t="str">
        <x:v>预测</x:v>
      </x:c>
      <x:c r="S1253" s="14" t="str">
        <x:v>到站时间为估算值</x:v>
      </x:c>
      <x:c r="T1253" t="str">
        <x:v>研究生宿舍楼发车</x:v>
      </x:c>
    </x:row>
    <x:row r="1254">
      <x:c r="A1254" s="14" t="str">
        <x:v>S0108-09</x:v>
      </x:c>
      <x:c r="B1254" s="14" t="str">
        <x:v>S0108</x:v>
      </x:c>
      <x:c r="C1254" s="14" t="str">
        <x:v>工作日</x:v>
      </x:c>
      <x:c r="D1254" s="14" t="str">
        <x:v>环线2路</x:v>
      </x:c>
      <x:c r="E1254" s="14" t="str">
        <x:v>第二班</x:v>
      </x:c>
      <x:c r="F1254" s="14" t="n">
        <x:v>19</x:v>
      </x:c>
      <x:c r="G1254" s="14" t="str">
        <x:v>21:30</x:v>
      </x:c>
      <x:c r="H1254" s="14" t="str">
        <x:v>研究生宿舍楼</x:v>
      </x:c>
      <x:c r="I1254" s="14" t="str">
        <x:v>否</x:v>
      </x:c>
      <x:c r="J1254" s="14" t="n">
        <x:v>9</x:v>
      </x:c>
      <x:c r="K1254" s="14" t="str">
        <x:v>305教学楼</x:v>
      </x:c>
      <x:c r="L1254" s="14" t="n">
        <x:v>10</x:v>
      </x:c>
      <x:c r="M1254" s="14" t="str">
        <x:v>21:40</x:v>
      </x:c>
      <x:c r="N1254" s="14" t="str">
        <x:v>否</x:v>
      </x:c>
      <x:c r="O1254" s="14" t="str">
        <x:v>否</x:v>
      </x:c>
      <x:c r="P1254" s="14" t="str">
        <x:v>未提供</x:v>
      </x:c>
      <x:c r="Q1254" s="14" t="str">
        <x:v>未提供</x:v>
      </x:c>
      <x:c r="R1254" s="14" t="str">
        <x:v>预测</x:v>
      </x:c>
      <x:c r="S1254" s="14" t="str">
        <x:v>到站时间为估算值</x:v>
      </x:c>
      <x:c r="T1254" t="str">
        <x:v>研究生宿舍楼发车</x:v>
      </x:c>
    </x:row>
    <x:row r="1255">
      <x:c r="A1255" s="14" t="str">
        <x:v>S0108-10</x:v>
      </x:c>
      <x:c r="B1255" s="14" t="str">
        <x:v>S0108</x:v>
      </x:c>
      <x:c r="C1255" s="14" t="str">
        <x:v>工作日</x:v>
      </x:c>
      <x:c r="D1255" s="14" t="str">
        <x:v>环线2路</x:v>
      </x:c>
      <x:c r="E1255" s="14" t="str">
        <x:v>第二班</x:v>
      </x:c>
      <x:c r="F1255" s="14" t="n">
        <x:v>19</x:v>
      </x:c>
      <x:c r="G1255" s="14" t="str">
        <x:v>21:30</x:v>
      </x:c>
      <x:c r="H1255" s="14" t="str">
        <x:v>研究生宿舍楼</x:v>
      </x:c>
      <x:c r="I1255" s="14" t="str">
        <x:v>否</x:v>
      </x:c>
      <x:c r="J1255" s="14" t="n">
        <x:v>10</x:v>
      </x:c>
      <x:c r="K1255" s="14" t="str">
        <x:v>研究生宿舍楼</x:v>
      </x:c>
      <x:c r="L1255" s="14" t="n">
        <x:v>12</x:v>
      </x:c>
      <x:c r="M1255" s="14" t="str">
        <x:v>21:42</x:v>
      </x:c>
      <x:c r="N1255" s="14" t="str">
        <x:v>否</x:v>
      </x:c>
      <x:c r="O1255" s="14" t="str">
        <x:v>是</x:v>
      </x:c>
      <x:c r="P1255" s="14" t="str">
        <x:v>未提供</x:v>
      </x:c>
      <x:c r="Q1255" s="14" t="str">
        <x:v>未提供</x:v>
      </x:c>
      <x:c r="R1255" s="14" t="str">
        <x:v>预测</x:v>
      </x:c>
      <x:c r="S1255" s="14" t="str">
        <x:v>到站时间为估算值</x:v>
      </x:c>
      <x:c r="T1255" t="str">
        <x:v>研究生宿舍楼发车</x:v>
      </x:c>
    </x:row>
    <x:row r="1256">
      <x:c r="A1256" s="14" t="str">
        <x:v>S0109-01</x:v>
      </x:c>
      <x:c r="B1256" s="14" t="str">
        <x:v>S0109</x:v>
      </x:c>
      <x:c r="C1256" s="14" t="str">
        <x:v>工作日</x:v>
      </x:c>
      <x:c r="D1256" s="14" t="str">
        <x:v>环线3路</x:v>
      </x:c>
      <x:c r="E1256" s="14" t="str">
        <x:v>第一班</x:v>
      </x:c>
      <x:c r="F1256" s="14" t="n">
        <x:v>1</x:v>
      </x:c>
      <x:c r="G1256" s="14" t="str">
        <x:v>7:35</x:v>
      </x:c>
      <x:c r="H1256" s="14" t="str">
        <x:v>研究生宿舍楼</x:v>
      </x:c>
      <x:c r="I1256" s="14" t="str">
        <x:v>否</x:v>
      </x:c>
      <x:c r="J1256" s="14" t="n">
        <x:v>1</x:v>
      </x:c>
      <x:c r="K1256" s="14" t="str">
        <x:v>研究生宿舍楼</x:v>
      </x:c>
      <x:c r="L1256" s="14" t="n">
        <x:v>0</x:v>
      </x:c>
      <x:c r="M1256" s="14" t="str">
        <x:v>07:35</x:v>
      </x:c>
      <x:c r="N1256" s="14" t="str">
        <x:v>是</x:v>
      </x:c>
      <x:c r="O1256" s="14" t="str">
        <x:v>否</x:v>
      </x:c>
      <x:c r="P1256" s="14" t="str">
        <x:v>刘虎</x:v>
      </x:c>
      <x:c r="Q1256" s="14" t="str">
        <x:v>3号车</x:v>
      </x:c>
      <x:c r="R1256" s="14" t="str">
        <x:v>预测</x:v>
      </x:c>
      <x:c r="S1256" s="14" t="str">
        <x:v>到站时间为估算值</x:v>
      </x:c>
      <x:c r="T1256" t="str">
        <x:v>研究生宿舍楼发车</x:v>
      </x:c>
    </x:row>
    <x:row r="1257">
      <x:c r="A1257" s="14" t="str">
        <x:v>S0109-02</x:v>
      </x:c>
      <x:c r="B1257" s="14" t="str">
        <x:v>S0109</x:v>
      </x:c>
      <x:c r="C1257" s="14" t="str">
        <x:v>工作日</x:v>
      </x:c>
      <x:c r="D1257" s="14" t="str">
        <x:v>环线3路</x:v>
      </x:c>
      <x:c r="E1257" s="14" t="str">
        <x:v>第一班</x:v>
      </x:c>
      <x:c r="F1257" s="14" t="n">
        <x:v>1</x:v>
      </x:c>
      <x:c r="G1257" s="14" t="str">
        <x:v>7:35</x:v>
      </x:c>
      <x:c r="H1257" s="14" t="str">
        <x:v>研究生宿舍楼</x:v>
      </x:c>
      <x:c r="I1257" s="14" t="str">
        <x:v>否</x:v>
      </x:c>
      <x:c r="J1257" s="14" t="n">
        <x:v>2</x:v>
      </x:c>
      <x:c r="K1257" s="14" t="str">
        <x:v>一食堂</x:v>
      </x:c>
      <x:c r="L1257" s="14" t="n">
        <x:v>1</x:v>
      </x:c>
      <x:c r="M1257" s="14" t="str">
        <x:v>07:36</x:v>
      </x:c>
      <x:c r="N1257" s="14" t="str">
        <x:v>否</x:v>
      </x:c>
      <x:c r="O1257" s="14" t="str">
        <x:v>否</x:v>
      </x:c>
      <x:c r="P1257" s="14" t="str">
        <x:v>刘虎</x:v>
      </x:c>
      <x:c r="Q1257" s="14" t="str">
        <x:v>3号车</x:v>
      </x:c>
      <x:c r="R1257" s="14" t="str">
        <x:v>预测</x:v>
      </x:c>
      <x:c r="S1257" s="14" t="str">
        <x:v>到站时间为估算值</x:v>
      </x:c>
      <x:c r="T1257" t="str">
        <x:v>研究生宿舍楼发车</x:v>
      </x:c>
    </x:row>
    <x:row r="1258">
      <x:c r="A1258" s="14" t="str">
        <x:v>S0109-03</x:v>
      </x:c>
      <x:c r="B1258" s="14" t="str">
        <x:v>S0109</x:v>
      </x:c>
      <x:c r="C1258" s="14" t="str">
        <x:v>工作日</x:v>
      </x:c>
      <x:c r="D1258" s="14" t="str">
        <x:v>环线3路</x:v>
      </x:c>
      <x:c r="E1258" s="14" t="str">
        <x:v>第一班</x:v>
      </x:c>
      <x:c r="F1258" s="14" t="n">
        <x:v>1</x:v>
      </x:c>
      <x:c r="G1258" s="14" t="str">
        <x:v>7:35</x:v>
      </x:c>
      <x:c r="H1258" s="14" t="str">
        <x:v>研究生宿舍楼</x:v>
      </x:c>
      <x:c r="I1258" s="14" t="str">
        <x:v>否</x:v>
      </x:c>
      <x:c r="J1258" s="14" t="n">
        <x:v>3</x:v>
      </x:c>
      <x:c r="K1258" s="14" t="str">
        <x:v>2号宿舍楼</x:v>
      </x:c>
      <x:c r="L1258" s="14" t="n">
        <x:v>3</x:v>
      </x:c>
      <x:c r="M1258" s="14" t="str">
        <x:v>07:38</x:v>
      </x:c>
      <x:c r="N1258" s="14" t="str">
        <x:v>否</x:v>
      </x:c>
      <x:c r="O1258" s="14" t="str">
        <x:v>否</x:v>
      </x:c>
      <x:c r="P1258" s="14" t="str">
        <x:v>刘虎</x:v>
      </x:c>
      <x:c r="Q1258" s="14" t="str">
        <x:v>3号车</x:v>
      </x:c>
      <x:c r="R1258" s="14" t="str">
        <x:v>预测</x:v>
      </x:c>
      <x:c r="S1258" s="14" t="str">
        <x:v>到站时间为估算值</x:v>
      </x:c>
      <x:c r="T1258" t="str">
        <x:v>研究生宿舍楼发车</x:v>
      </x:c>
    </x:row>
    <x:row r="1259">
      <x:c r="A1259" s="14" t="str">
        <x:v>S0109-04</x:v>
      </x:c>
      <x:c r="B1259" s="14" t="str">
        <x:v>S0109</x:v>
      </x:c>
      <x:c r="C1259" s="14" t="str">
        <x:v>工作日</x:v>
      </x:c>
      <x:c r="D1259" s="14" t="str">
        <x:v>环线3路</x:v>
      </x:c>
      <x:c r="E1259" s="14" t="str">
        <x:v>第一班</x:v>
      </x:c>
      <x:c r="F1259" s="14" t="n">
        <x:v>1</x:v>
      </x:c>
      <x:c r="G1259" s="14" t="str">
        <x:v>7:35</x:v>
      </x:c>
      <x:c r="H1259" s="14" t="str">
        <x:v>研究生宿舍楼</x:v>
      </x:c>
      <x:c r="I1259" s="14" t="str">
        <x:v>否</x:v>
      </x:c>
      <x:c r="J1259" s="14" t="n">
        <x:v>4</x:v>
      </x:c>
      <x:c r="K1259" s="14" t="str">
        <x:v>军体活动中心</x:v>
      </x:c>
      <x:c r="L1259" s="14" t="n">
        <x:v>4</x:v>
      </x:c>
      <x:c r="M1259" s="14" t="str">
        <x:v>07:39</x:v>
      </x:c>
      <x:c r="N1259" s="14" t="str">
        <x:v>否</x:v>
      </x:c>
      <x:c r="O1259" s="14" t="str">
        <x:v>否</x:v>
      </x:c>
      <x:c r="P1259" s="14" t="str">
        <x:v>刘虎</x:v>
      </x:c>
      <x:c r="Q1259" s="14" t="str">
        <x:v>3号车</x:v>
      </x:c>
      <x:c r="R1259" s="14" t="str">
        <x:v>预测</x:v>
      </x:c>
      <x:c r="S1259" s="14" t="str">
        <x:v>到站时间为估算值</x:v>
      </x:c>
      <x:c r="T1259" t="str">
        <x:v>研究生宿舍楼发车</x:v>
      </x:c>
    </x:row>
    <x:row r="1260">
      <x:c r="A1260" s="14" t="str">
        <x:v>S0109-05</x:v>
      </x:c>
      <x:c r="B1260" s="14" t="str">
        <x:v>S0109</x:v>
      </x:c>
      <x:c r="C1260" s="14" t="str">
        <x:v>工作日</x:v>
      </x:c>
      <x:c r="D1260" s="14" t="str">
        <x:v>环线3路</x:v>
      </x:c>
      <x:c r="E1260" s="14" t="str">
        <x:v>第一班</x:v>
      </x:c>
      <x:c r="F1260" s="14" t="n">
        <x:v>1</x:v>
      </x:c>
      <x:c r="G1260" s="14" t="str">
        <x:v>7:35</x:v>
      </x:c>
      <x:c r="H1260" s="14" t="str">
        <x:v>研究生宿舍楼</x:v>
      </x:c>
      <x:c r="I1260" s="14" t="str">
        <x:v>否</x:v>
      </x:c>
      <x:c r="J1260" s="14" t="n">
        <x:v>5</x:v>
      </x:c>
      <x:c r="K1260" s="14" t="str">
        <x:v>教勤连</x:v>
      </x:c>
      <x:c r="L1260" s="14" t="n">
        <x:v>6</x:v>
      </x:c>
      <x:c r="M1260" s="14" t="str">
        <x:v>07:41</x:v>
      </x:c>
      <x:c r="N1260" s="14" t="str">
        <x:v>否</x:v>
      </x:c>
      <x:c r="O1260" s="14" t="str">
        <x:v>否</x:v>
      </x:c>
      <x:c r="P1260" s="14" t="str">
        <x:v>刘虎</x:v>
      </x:c>
      <x:c r="Q1260" s="14" t="str">
        <x:v>3号车</x:v>
      </x:c>
      <x:c r="R1260" s="14" t="str">
        <x:v>预测</x:v>
      </x:c>
      <x:c r="S1260" s="14" t="str">
        <x:v>到站时间为估算值</x:v>
      </x:c>
      <x:c r="T1260" t="str">
        <x:v>研究生宿舍楼发车</x:v>
      </x:c>
    </x:row>
    <x:row r="1261">
      <x:c r="A1261" s="14" t="str">
        <x:v>S0109-06</x:v>
      </x:c>
      <x:c r="B1261" s="14" t="str">
        <x:v>S0109</x:v>
      </x:c>
      <x:c r="C1261" s="14" t="str">
        <x:v>工作日</x:v>
      </x:c>
      <x:c r="D1261" s="14" t="str">
        <x:v>环线3路</x:v>
      </x:c>
      <x:c r="E1261" s="14" t="str">
        <x:v>第一班</x:v>
      </x:c>
      <x:c r="F1261" s="14" t="n">
        <x:v>1</x:v>
      </x:c>
      <x:c r="G1261" s="14" t="str">
        <x:v>7:35</x:v>
      </x:c>
      <x:c r="H1261" s="14" t="str">
        <x:v>研究生宿舍楼</x:v>
      </x:c>
      <x:c r="I1261" s="14" t="str">
        <x:v>否</x:v>
      </x:c>
      <x:c r="J1261" s="14" t="n">
        <x:v>6</x:v>
      </x:c>
      <x:c r="K1261" s="14" t="str">
        <x:v>激光所</x:v>
      </x:c>
      <x:c r="L1261" s="14" t="n">
        <x:v>7</x:v>
      </x:c>
      <x:c r="M1261" s="14" t="str">
        <x:v>07:42</x:v>
      </x:c>
      <x:c r="N1261" s="14" t="str">
        <x:v>否</x:v>
      </x:c>
      <x:c r="O1261" s="14" t="str">
        <x:v>否</x:v>
      </x:c>
      <x:c r="P1261" s="14" t="str">
        <x:v>刘虎</x:v>
      </x:c>
      <x:c r="Q1261" s="14" t="str">
        <x:v>3号车</x:v>
      </x:c>
      <x:c r="R1261" s="14" t="str">
        <x:v>预测</x:v>
      </x:c>
      <x:c r="S1261" s="14" t="str">
        <x:v>到站时间为估算值</x:v>
      </x:c>
      <x:c r="T1261" t="str">
        <x:v>研究生宿舍楼发车</x:v>
      </x:c>
    </x:row>
    <x:row r="1262">
      <x:c r="A1262" s="14" t="str">
        <x:v>S0109-07</x:v>
      </x:c>
      <x:c r="B1262" s="14" t="str">
        <x:v>S0109</x:v>
      </x:c>
      <x:c r="C1262" s="14" t="str">
        <x:v>工作日</x:v>
      </x:c>
      <x:c r="D1262" s="14" t="str">
        <x:v>环线3路</x:v>
      </x:c>
      <x:c r="E1262" s="14" t="str">
        <x:v>第一班</x:v>
      </x:c>
      <x:c r="F1262" s="14" t="n">
        <x:v>1</x:v>
      </x:c>
      <x:c r="G1262" s="14" t="str">
        <x:v>7:35</x:v>
      </x:c>
      <x:c r="H1262" s="14" t="str">
        <x:v>研究生宿舍楼</x:v>
      </x:c>
      <x:c r="I1262" s="14" t="str">
        <x:v>否</x:v>
      </x:c>
      <x:c r="J1262" s="14" t="n">
        <x:v>7</x:v>
      </x:c>
      <x:c r="K1262" s="14" t="str">
        <x:v>高超楼</x:v>
      </x:c>
      <x:c r="L1262" s="14" t="n">
        <x:v>9</x:v>
      </x:c>
      <x:c r="M1262" s="14" t="str">
        <x:v>07:44</x:v>
      </x:c>
      <x:c r="N1262" s="14" t="str">
        <x:v>否</x:v>
      </x:c>
      <x:c r="O1262" s="14" t="str">
        <x:v>否</x:v>
      </x:c>
      <x:c r="P1262" s="14" t="str">
        <x:v>刘虎</x:v>
      </x:c>
      <x:c r="Q1262" s="14" t="str">
        <x:v>3号车</x:v>
      </x:c>
      <x:c r="R1262" s="14" t="str">
        <x:v>预测</x:v>
      </x:c>
      <x:c r="S1262" s="14" t="str">
        <x:v>到站时间为估算值</x:v>
      </x:c>
      <x:c r="T1262" t="str">
        <x:v>研究生宿舍楼发车</x:v>
      </x:c>
    </x:row>
    <x:row r="1263">
      <x:c r="A1263" s="14" t="str">
        <x:v>S0109-08</x:v>
      </x:c>
      <x:c r="B1263" s="14" t="str">
        <x:v>S0109</x:v>
      </x:c>
      <x:c r="C1263" s="14" t="str">
        <x:v>工作日</x:v>
      </x:c>
      <x:c r="D1263" s="14" t="str">
        <x:v>环线3路</x:v>
      </x:c>
      <x:c r="E1263" s="14" t="str">
        <x:v>第一班</x:v>
      </x:c>
      <x:c r="F1263" s="14" t="n">
        <x:v>1</x:v>
      </x:c>
      <x:c r="G1263" s="14" t="str">
        <x:v>7:35</x:v>
      </x:c>
      <x:c r="H1263" s="14" t="str">
        <x:v>研究生宿舍楼</x:v>
      </x:c>
      <x:c r="I1263" s="14" t="str">
        <x:v>否</x:v>
      </x:c>
      <x:c r="J1263" s="14" t="n">
        <x:v>8</x:v>
      </x:c>
      <x:c r="K1263" s="14" t="str">
        <x:v>理学院</x:v>
      </x:c>
      <x:c r="L1263" s="14" t="n">
        <x:v>10</x:v>
      </x:c>
      <x:c r="M1263" s="14" t="str">
        <x:v>07:45</x:v>
      </x:c>
      <x:c r="N1263" s="14" t="str">
        <x:v>否</x:v>
      </x:c>
      <x:c r="O1263" s="14" t="str">
        <x:v>否</x:v>
      </x:c>
      <x:c r="P1263" s="14" t="str">
        <x:v>刘虎</x:v>
      </x:c>
      <x:c r="Q1263" s="14" t="str">
        <x:v>3号车</x:v>
      </x:c>
      <x:c r="R1263" s="14" t="str">
        <x:v>预测</x:v>
      </x:c>
      <x:c r="S1263" s="14" t="str">
        <x:v>到站时间为估算值</x:v>
      </x:c>
      <x:c r="T1263" t="str">
        <x:v>研究生宿舍楼发车</x:v>
      </x:c>
    </x:row>
    <x:row r="1264">
      <x:c r="A1264" s="14" t="str">
        <x:v>S0109-09</x:v>
      </x:c>
      <x:c r="B1264" s="14" t="str">
        <x:v>S0109</x:v>
      </x:c>
      <x:c r="C1264" s="14" t="str">
        <x:v>工作日</x:v>
      </x:c>
      <x:c r="D1264" s="14" t="str">
        <x:v>环线3路</x:v>
      </x:c>
      <x:c r="E1264" s="14" t="str">
        <x:v>第一班</x:v>
      </x:c>
      <x:c r="F1264" s="14" t="n">
        <x:v>1</x:v>
      </x:c>
      <x:c r="G1264" s="14" t="str">
        <x:v>7:35</x:v>
      </x:c>
      <x:c r="H1264" s="14" t="str">
        <x:v>研究生宿舍楼</x:v>
      </x:c>
      <x:c r="I1264" s="14" t="str">
        <x:v>否</x:v>
      </x:c>
      <x:c r="J1264" s="14" t="n">
        <x:v>9</x:v>
      </x:c>
      <x:c r="K1264" s="14" t="str">
        <x:v>二食堂</x:v>
      </x:c>
      <x:c r="L1264" s="14" t="n">
        <x:v>13</x:v>
      </x:c>
      <x:c r="M1264" s="14" t="str">
        <x:v>07:48</x:v>
      </x:c>
      <x:c r="N1264" s="14" t="str">
        <x:v>否</x:v>
      </x:c>
      <x:c r="O1264" s="14" t="str">
        <x:v>否</x:v>
      </x:c>
      <x:c r="P1264" s="14" t="str">
        <x:v>刘虎</x:v>
      </x:c>
      <x:c r="Q1264" s="14" t="str">
        <x:v>3号车</x:v>
      </x:c>
      <x:c r="R1264" s="14" t="str">
        <x:v>预测</x:v>
      </x:c>
      <x:c r="S1264" s="14" t="str">
        <x:v>到站时间为估算值</x:v>
      </x:c>
      <x:c r="T1264" t="str">
        <x:v>研究生宿舍楼发车</x:v>
      </x:c>
    </x:row>
    <x:row r="1265">
      <x:c r="A1265" s="14" t="str">
        <x:v>S0109-10</x:v>
      </x:c>
      <x:c r="B1265" s="14" t="str">
        <x:v>S0109</x:v>
      </x:c>
      <x:c r="C1265" s="14" t="str">
        <x:v>工作日</x:v>
      </x:c>
      <x:c r="D1265" s="14" t="str">
        <x:v>环线3路</x:v>
      </x:c>
      <x:c r="E1265" s="14" t="str">
        <x:v>第一班</x:v>
      </x:c>
      <x:c r="F1265" s="14" t="n">
        <x:v>1</x:v>
      </x:c>
      <x:c r="G1265" s="14" t="str">
        <x:v>7:35</x:v>
      </x:c>
      <x:c r="H1265" s="14" t="str">
        <x:v>研究生宿舍楼</x:v>
      </x:c>
      <x:c r="I1265" s="14" t="str">
        <x:v>否</x:v>
      </x:c>
      <x:c r="J1265" s="14" t="n">
        <x:v>10</x:v>
      </x:c>
      <x:c r="K1265" s="14" t="str">
        <x:v>图书馆</x:v>
      </x:c>
      <x:c r="L1265" s="14" t="n">
        <x:v>14</x:v>
      </x:c>
      <x:c r="M1265" s="14" t="str">
        <x:v>07:49</x:v>
      </x:c>
      <x:c r="N1265" s="14" t="str">
        <x:v>否</x:v>
      </x:c>
      <x:c r="O1265" s="14" t="str">
        <x:v>否</x:v>
      </x:c>
      <x:c r="P1265" s="14" t="str">
        <x:v>刘虎</x:v>
      </x:c>
      <x:c r="Q1265" s="14" t="str">
        <x:v>3号车</x:v>
      </x:c>
      <x:c r="R1265" s="14" t="str">
        <x:v>预测</x:v>
      </x:c>
      <x:c r="S1265" s="14" t="str">
        <x:v>到站时间为估算值</x:v>
      </x:c>
      <x:c r="T1265" t="str">
        <x:v>研究生宿舍楼发车</x:v>
      </x:c>
    </x:row>
    <x:row r="1266">
      <x:c r="A1266" s="14" t="str">
        <x:v>S0109-11</x:v>
      </x:c>
      <x:c r="B1266" s="14" t="str">
        <x:v>S0109</x:v>
      </x:c>
      <x:c r="C1266" s="14" t="str">
        <x:v>工作日</x:v>
      </x:c>
      <x:c r="D1266" s="14" t="str">
        <x:v>环线3路</x:v>
      </x:c>
      <x:c r="E1266" s="14" t="str">
        <x:v>第一班</x:v>
      </x:c>
      <x:c r="F1266" s="14" t="n">
        <x:v>1</x:v>
      </x:c>
      <x:c r="G1266" s="14" t="str">
        <x:v>7:35</x:v>
      </x:c>
      <x:c r="H1266" s="14" t="str">
        <x:v>研究生宿舍楼</x:v>
      </x:c>
      <x:c r="I1266" s="14" t="str">
        <x:v>否</x:v>
      </x:c>
      <x:c r="J1266" s="14" t="n">
        <x:v>11</x:v>
      </x:c>
      <x:c r="K1266" s="14" t="str">
        <x:v>305教学楼</x:v>
      </x:c>
      <x:c r="L1266" s="14" t="n">
        <x:v>16</x:v>
      </x:c>
      <x:c r="M1266" s="14" t="str">
        <x:v>07:51</x:v>
      </x:c>
      <x:c r="N1266" s="14" t="str">
        <x:v>否</x:v>
      </x:c>
      <x:c r="O1266" s="14" t="str">
        <x:v>否</x:v>
      </x:c>
      <x:c r="P1266" s="14" t="str">
        <x:v>刘虎</x:v>
      </x:c>
      <x:c r="Q1266" s="14" t="str">
        <x:v>3号车</x:v>
      </x:c>
      <x:c r="R1266" s="14" t="str">
        <x:v>预测</x:v>
      </x:c>
      <x:c r="S1266" s="14" t="str">
        <x:v>到站时间为估算值</x:v>
      </x:c>
      <x:c r="T1266" t="str">
        <x:v>研究生宿舍楼发车</x:v>
      </x:c>
    </x:row>
    <x:row r="1267">
      <x:c r="A1267" s="14" t="str">
        <x:v>S0109-12</x:v>
      </x:c>
      <x:c r="B1267" s="14" t="str">
        <x:v>S0109</x:v>
      </x:c>
      <x:c r="C1267" s="14" t="str">
        <x:v>工作日</x:v>
      </x:c>
      <x:c r="D1267" s="14" t="str">
        <x:v>环线3路</x:v>
      </x:c>
      <x:c r="E1267" s="14" t="str">
        <x:v>第一班</x:v>
      </x:c>
      <x:c r="F1267" s="14" t="n">
        <x:v>1</x:v>
      </x:c>
      <x:c r="G1267" s="14" t="str">
        <x:v>7:35</x:v>
      </x:c>
      <x:c r="H1267" s="14" t="str">
        <x:v>研究生宿舍楼</x:v>
      </x:c>
      <x:c r="I1267" s="14" t="str">
        <x:v>否</x:v>
      </x:c>
      <x:c r="J1267" s="14" t="n">
        <x:v>12</x:v>
      </x:c>
      <x:c r="K1267" s="14" t="str">
        <x:v>研究生宿舍楼</x:v>
      </x:c>
      <x:c r="L1267" s="14" t="n">
        <x:v>18</x:v>
      </x:c>
      <x:c r="M1267" s="14" t="str">
        <x:v>07:53</x:v>
      </x:c>
      <x:c r="N1267" s="14" t="str">
        <x:v>否</x:v>
      </x:c>
      <x:c r="O1267" s="14" t="str">
        <x:v>是</x:v>
      </x:c>
      <x:c r="P1267" s="14" t="str">
        <x:v>刘虎</x:v>
      </x:c>
      <x:c r="Q1267" s="14" t="str">
        <x:v>3号车</x:v>
      </x:c>
      <x:c r="R1267" s="14" t="str">
        <x:v>预测</x:v>
      </x:c>
      <x:c r="S1267" s="14" t="str">
        <x:v>到站时间为估算值</x:v>
      </x:c>
      <x:c r="T1267" t="str">
        <x:v>研究生宿舍楼发车</x:v>
      </x:c>
    </x:row>
    <x:row r="1268">
      <x:c r="A1268" s="14" t="str">
        <x:v>S0110-01</x:v>
      </x:c>
      <x:c r="B1268" s="14" t="str">
        <x:v>S0110</x:v>
      </x:c>
      <x:c r="C1268" s="14" t="str">
        <x:v>工作日</x:v>
      </x:c>
      <x:c r="D1268" s="14" t="str">
        <x:v>环线3路</x:v>
      </x:c>
      <x:c r="E1268" s="14" t="str">
        <x:v>第一班</x:v>
      </x:c>
      <x:c r="F1268" s="14" t="n">
        <x:v>2</x:v>
      </x:c>
      <x:c r="G1268" s="14" t="str">
        <x:v>8:05</x:v>
      </x:c>
      <x:c r="H1268" s="14" t="str">
        <x:v>研究生宿舍楼</x:v>
      </x:c>
      <x:c r="I1268" s="14" t="str">
        <x:v>否</x:v>
      </x:c>
      <x:c r="J1268" s="14" t="n">
        <x:v>1</x:v>
      </x:c>
      <x:c r="K1268" s="14" t="str">
        <x:v>研究生宿舍楼</x:v>
      </x:c>
      <x:c r="L1268" s="14" t="n">
        <x:v>0</x:v>
      </x:c>
      <x:c r="M1268" s="14" t="str">
        <x:v>08:05</x:v>
      </x:c>
      <x:c r="N1268" s="14" t="str">
        <x:v>是</x:v>
      </x:c>
      <x:c r="O1268" s="14" t="str">
        <x:v>否</x:v>
      </x:c>
      <x:c r="P1268" s="14" t="str">
        <x:v>刘虎</x:v>
      </x:c>
      <x:c r="Q1268" s="14" t="str">
        <x:v>3号车</x:v>
      </x:c>
      <x:c r="R1268" s="14" t="str">
        <x:v>预测</x:v>
      </x:c>
      <x:c r="S1268" s="14" t="str">
        <x:v>到站时间为估算值</x:v>
      </x:c>
      <x:c r="T1268" t="str">
        <x:v>研究生宿舍楼发车</x:v>
      </x:c>
    </x:row>
    <x:row r="1269">
      <x:c r="A1269" s="14" t="str">
        <x:v>S0110-02</x:v>
      </x:c>
      <x:c r="B1269" s="14" t="str">
        <x:v>S0110</x:v>
      </x:c>
      <x:c r="C1269" s="14" t="str">
        <x:v>工作日</x:v>
      </x:c>
      <x:c r="D1269" s="14" t="str">
        <x:v>环线3路</x:v>
      </x:c>
      <x:c r="E1269" s="14" t="str">
        <x:v>第一班</x:v>
      </x:c>
      <x:c r="F1269" s="14" t="n">
        <x:v>2</x:v>
      </x:c>
      <x:c r="G1269" s="14" t="str">
        <x:v>8:05</x:v>
      </x:c>
      <x:c r="H1269" s="14" t="str">
        <x:v>研究生宿舍楼</x:v>
      </x:c>
      <x:c r="I1269" s="14" t="str">
        <x:v>否</x:v>
      </x:c>
      <x:c r="J1269" s="14" t="n">
        <x:v>2</x:v>
      </x:c>
      <x:c r="K1269" s="14" t="str">
        <x:v>一食堂</x:v>
      </x:c>
      <x:c r="L1269" s="14" t="n">
        <x:v>1</x:v>
      </x:c>
      <x:c r="M1269" s="14" t="str">
        <x:v>08:06</x:v>
      </x:c>
      <x:c r="N1269" s="14" t="str">
        <x:v>否</x:v>
      </x:c>
      <x:c r="O1269" s="14" t="str">
        <x:v>否</x:v>
      </x:c>
      <x:c r="P1269" s="14" t="str">
        <x:v>刘虎</x:v>
      </x:c>
      <x:c r="Q1269" s="14" t="str">
        <x:v>3号车</x:v>
      </x:c>
      <x:c r="R1269" s="14" t="str">
        <x:v>预测</x:v>
      </x:c>
      <x:c r="S1269" s="14" t="str">
        <x:v>到站时间为估算值</x:v>
      </x:c>
      <x:c r="T1269" t="str">
        <x:v>研究生宿舍楼发车</x:v>
      </x:c>
    </x:row>
    <x:row r="1270">
      <x:c r="A1270" s="14" t="str">
        <x:v>S0110-03</x:v>
      </x:c>
      <x:c r="B1270" s="14" t="str">
        <x:v>S0110</x:v>
      </x:c>
      <x:c r="C1270" s="14" t="str">
        <x:v>工作日</x:v>
      </x:c>
      <x:c r="D1270" s="14" t="str">
        <x:v>环线3路</x:v>
      </x:c>
      <x:c r="E1270" s="14" t="str">
        <x:v>第一班</x:v>
      </x:c>
      <x:c r="F1270" s="14" t="n">
        <x:v>2</x:v>
      </x:c>
      <x:c r="G1270" s="14" t="str">
        <x:v>8:05</x:v>
      </x:c>
      <x:c r="H1270" s="14" t="str">
        <x:v>研究生宿舍楼</x:v>
      </x:c>
      <x:c r="I1270" s="14" t="str">
        <x:v>否</x:v>
      </x:c>
      <x:c r="J1270" s="14" t="n">
        <x:v>3</x:v>
      </x:c>
      <x:c r="K1270" s="14" t="str">
        <x:v>2号宿舍楼</x:v>
      </x:c>
      <x:c r="L1270" s="14" t="n">
        <x:v>3</x:v>
      </x:c>
      <x:c r="M1270" s="14" t="str">
        <x:v>08:08</x:v>
      </x:c>
      <x:c r="N1270" s="14" t="str">
        <x:v>否</x:v>
      </x:c>
      <x:c r="O1270" s="14" t="str">
        <x:v>否</x:v>
      </x:c>
      <x:c r="P1270" s="14" t="str">
        <x:v>刘虎</x:v>
      </x:c>
      <x:c r="Q1270" s="14" t="str">
        <x:v>3号车</x:v>
      </x:c>
      <x:c r="R1270" s="14" t="str">
        <x:v>预测</x:v>
      </x:c>
      <x:c r="S1270" s="14" t="str">
        <x:v>到站时间为估算值</x:v>
      </x:c>
      <x:c r="T1270" t="str">
        <x:v>研究生宿舍楼发车</x:v>
      </x:c>
    </x:row>
    <x:row r="1271">
      <x:c r="A1271" s="14" t="str">
        <x:v>S0110-04</x:v>
      </x:c>
      <x:c r="B1271" s="14" t="str">
        <x:v>S0110</x:v>
      </x:c>
      <x:c r="C1271" s="14" t="str">
        <x:v>工作日</x:v>
      </x:c>
      <x:c r="D1271" s="14" t="str">
        <x:v>环线3路</x:v>
      </x:c>
      <x:c r="E1271" s="14" t="str">
        <x:v>第一班</x:v>
      </x:c>
      <x:c r="F1271" s="14" t="n">
        <x:v>2</x:v>
      </x:c>
      <x:c r="G1271" s="14" t="str">
        <x:v>8:05</x:v>
      </x:c>
      <x:c r="H1271" s="14" t="str">
        <x:v>研究生宿舍楼</x:v>
      </x:c>
      <x:c r="I1271" s="14" t="str">
        <x:v>否</x:v>
      </x:c>
      <x:c r="J1271" s="14" t="n">
        <x:v>4</x:v>
      </x:c>
      <x:c r="K1271" s="14" t="str">
        <x:v>军体活动中心</x:v>
      </x:c>
      <x:c r="L1271" s="14" t="n">
        <x:v>4</x:v>
      </x:c>
      <x:c r="M1271" s="14" t="str">
        <x:v>08:09</x:v>
      </x:c>
      <x:c r="N1271" s="14" t="str">
        <x:v>否</x:v>
      </x:c>
      <x:c r="O1271" s="14" t="str">
        <x:v>否</x:v>
      </x:c>
      <x:c r="P1271" s="14" t="str">
        <x:v>刘虎</x:v>
      </x:c>
      <x:c r="Q1271" s="14" t="str">
        <x:v>3号车</x:v>
      </x:c>
      <x:c r="R1271" s="14" t="str">
        <x:v>预测</x:v>
      </x:c>
      <x:c r="S1271" s="14" t="str">
        <x:v>到站时间为估算值</x:v>
      </x:c>
      <x:c r="T1271" t="str">
        <x:v>研究生宿舍楼发车</x:v>
      </x:c>
    </x:row>
    <x:row r="1272">
      <x:c r="A1272" s="14" t="str">
        <x:v>S0110-05</x:v>
      </x:c>
      <x:c r="B1272" s="14" t="str">
        <x:v>S0110</x:v>
      </x:c>
      <x:c r="C1272" s="14" t="str">
        <x:v>工作日</x:v>
      </x:c>
      <x:c r="D1272" s="14" t="str">
        <x:v>环线3路</x:v>
      </x:c>
      <x:c r="E1272" s="14" t="str">
        <x:v>第一班</x:v>
      </x:c>
      <x:c r="F1272" s="14" t="n">
        <x:v>2</x:v>
      </x:c>
      <x:c r="G1272" s="14" t="str">
        <x:v>8:05</x:v>
      </x:c>
      <x:c r="H1272" s="14" t="str">
        <x:v>研究生宿舍楼</x:v>
      </x:c>
      <x:c r="I1272" s="14" t="str">
        <x:v>否</x:v>
      </x:c>
      <x:c r="J1272" s="14" t="n">
        <x:v>5</x:v>
      </x:c>
      <x:c r="K1272" s="14" t="str">
        <x:v>教勤连</x:v>
      </x:c>
      <x:c r="L1272" s="14" t="n">
        <x:v>6</x:v>
      </x:c>
      <x:c r="M1272" s="14" t="str">
        <x:v>08:11</x:v>
      </x:c>
      <x:c r="N1272" s="14" t="str">
        <x:v>否</x:v>
      </x:c>
      <x:c r="O1272" s="14" t="str">
        <x:v>否</x:v>
      </x:c>
      <x:c r="P1272" s="14" t="str">
        <x:v>刘虎</x:v>
      </x:c>
      <x:c r="Q1272" s="14" t="str">
        <x:v>3号车</x:v>
      </x:c>
      <x:c r="R1272" s="14" t="str">
        <x:v>预测</x:v>
      </x:c>
      <x:c r="S1272" s="14" t="str">
        <x:v>到站时间为估算值</x:v>
      </x:c>
      <x:c r="T1272" t="str">
        <x:v>研究生宿舍楼发车</x:v>
      </x:c>
    </x:row>
    <x:row r="1273">
      <x:c r="A1273" s="14" t="str">
        <x:v>S0110-06</x:v>
      </x:c>
      <x:c r="B1273" s="14" t="str">
        <x:v>S0110</x:v>
      </x:c>
      <x:c r="C1273" s="14" t="str">
        <x:v>工作日</x:v>
      </x:c>
      <x:c r="D1273" s="14" t="str">
        <x:v>环线3路</x:v>
      </x:c>
      <x:c r="E1273" s="14" t="str">
        <x:v>第一班</x:v>
      </x:c>
      <x:c r="F1273" s="14" t="n">
        <x:v>2</x:v>
      </x:c>
      <x:c r="G1273" s="14" t="str">
        <x:v>8:05</x:v>
      </x:c>
      <x:c r="H1273" s="14" t="str">
        <x:v>研究生宿舍楼</x:v>
      </x:c>
      <x:c r="I1273" s="14" t="str">
        <x:v>否</x:v>
      </x:c>
      <x:c r="J1273" s="14" t="n">
        <x:v>6</x:v>
      </x:c>
      <x:c r="K1273" s="14" t="str">
        <x:v>激光所</x:v>
      </x:c>
      <x:c r="L1273" s="14" t="n">
        <x:v>7</x:v>
      </x:c>
      <x:c r="M1273" s="14" t="str">
        <x:v>08:12</x:v>
      </x:c>
      <x:c r="N1273" s="14" t="str">
        <x:v>否</x:v>
      </x:c>
      <x:c r="O1273" s="14" t="str">
        <x:v>否</x:v>
      </x:c>
      <x:c r="P1273" s="14" t="str">
        <x:v>刘虎</x:v>
      </x:c>
      <x:c r="Q1273" s="14" t="str">
        <x:v>3号车</x:v>
      </x:c>
      <x:c r="R1273" s="14" t="str">
        <x:v>预测</x:v>
      </x:c>
      <x:c r="S1273" s="14" t="str">
        <x:v>到站时间为估算值</x:v>
      </x:c>
      <x:c r="T1273" t="str">
        <x:v>研究生宿舍楼发车</x:v>
      </x:c>
    </x:row>
    <x:row r="1274">
      <x:c r="A1274" s="14" t="str">
        <x:v>S0110-07</x:v>
      </x:c>
      <x:c r="B1274" s="14" t="str">
        <x:v>S0110</x:v>
      </x:c>
      <x:c r="C1274" s="14" t="str">
        <x:v>工作日</x:v>
      </x:c>
      <x:c r="D1274" s="14" t="str">
        <x:v>环线3路</x:v>
      </x:c>
      <x:c r="E1274" s="14" t="str">
        <x:v>第一班</x:v>
      </x:c>
      <x:c r="F1274" s="14" t="n">
        <x:v>2</x:v>
      </x:c>
      <x:c r="G1274" s="14" t="str">
        <x:v>8:05</x:v>
      </x:c>
      <x:c r="H1274" s="14" t="str">
        <x:v>研究生宿舍楼</x:v>
      </x:c>
      <x:c r="I1274" s="14" t="str">
        <x:v>否</x:v>
      </x:c>
      <x:c r="J1274" s="14" t="n">
        <x:v>7</x:v>
      </x:c>
      <x:c r="K1274" s="14" t="str">
        <x:v>高超楼</x:v>
      </x:c>
      <x:c r="L1274" s="14" t="n">
        <x:v>9</x:v>
      </x:c>
      <x:c r="M1274" s="14" t="str">
        <x:v>08:14</x:v>
      </x:c>
      <x:c r="N1274" s="14" t="str">
        <x:v>否</x:v>
      </x:c>
      <x:c r="O1274" s="14" t="str">
        <x:v>否</x:v>
      </x:c>
      <x:c r="P1274" s="14" t="str">
        <x:v>刘虎</x:v>
      </x:c>
      <x:c r="Q1274" s="14" t="str">
        <x:v>3号车</x:v>
      </x:c>
      <x:c r="R1274" s="14" t="str">
        <x:v>预测</x:v>
      </x:c>
      <x:c r="S1274" s="14" t="str">
        <x:v>到站时间为估算值</x:v>
      </x:c>
      <x:c r="T1274" t="str">
        <x:v>研究生宿舍楼发车</x:v>
      </x:c>
    </x:row>
    <x:row r="1275">
      <x:c r="A1275" s="14" t="str">
        <x:v>S0110-08</x:v>
      </x:c>
      <x:c r="B1275" s="14" t="str">
        <x:v>S0110</x:v>
      </x:c>
      <x:c r="C1275" s="14" t="str">
        <x:v>工作日</x:v>
      </x:c>
      <x:c r="D1275" s="14" t="str">
        <x:v>环线3路</x:v>
      </x:c>
      <x:c r="E1275" s="14" t="str">
        <x:v>第一班</x:v>
      </x:c>
      <x:c r="F1275" s="14" t="n">
        <x:v>2</x:v>
      </x:c>
      <x:c r="G1275" s="14" t="str">
        <x:v>8:05</x:v>
      </x:c>
      <x:c r="H1275" s="14" t="str">
        <x:v>研究生宿舍楼</x:v>
      </x:c>
      <x:c r="I1275" s="14" t="str">
        <x:v>否</x:v>
      </x:c>
      <x:c r="J1275" s="14" t="n">
        <x:v>8</x:v>
      </x:c>
      <x:c r="K1275" s="14" t="str">
        <x:v>理学院</x:v>
      </x:c>
      <x:c r="L1275" s="14" t="n">
        <x:v>10</x:v>
      </x:c>
      <x:c r="M1275" s="14" t="str">
        <x:v>08:15</x:v>
      </x:c>
      <x:c r="N1275" s="14" t="str">
        <x:v>否</x:v>
      </x:c>
      <x:c r="O1275" s="14" t="str">
        <x:v>否</x:v>
      </x:c>
      <x:c r="P1275" s="14" t="str">
        <x:v>刘虎</x:v>
      </x:c>
      <x:c r="Q1275" s="14" t="str">
        <x:v>3号车</x:v>
      </x:c>
      <x:c r="R1275" s="14" t="str">
        <x:v>预测</x:v>
      </x:c>
      <x:c r="S1275" s="14" t="str">
        <x:v>到站时间为估算值</x:v>
      </x:c>
      <x:c r="T1275" t="str">
        <x:v>研究生宿舍楼发车</x:v>
      </x:c>
    </x:row>
    <x:row r="1276">
      <x:c r="A1276" s="14" t="str">
        <x:v>S0110-09</x:v>
      </x:c>
      <x:c r="B1276" s="14" t="str">
        <x:v>S0110</x:v>
      </x:c>
      <x:c r="C1276" s="14" t="str">
        <x:v>工作日</x:v>
      </x:c>
      <x:c r="D1276" s="14" t="str">
        <x:v>环线3路</x:v>
      </x:c>
      <x:c r="E1276" s="14" t="str">
        <x:v>第一班</x:v>
      </x:c>
      <x:c r="F1276" s="14" t="n">
        <x:v>2</x:v>
      </x:c>
      <x:c r="G1276" s="14" t="str">
        <x:v>8:05</x:v>
      </x:c>
      <x:c r="H1276" s="14" t="str">
        <x:v>研究生宿舍楼</x:v>
      </x:c>
      <x:c r="I1276" s="14" t="str">
        <x:v>否</x:v>
      </x:c>
      <x:c r="J1276" s="14" t="n">
        <x:v>9</x:v>
      </x:c>
      <x:c r="K1276" s="14" t="str">
        <x:v>二食堂</x:v>
      </x:c>
      <x:c r="L1276" s="14" t="n">
        <x:v>13</x:v>
      </x:c>
      <x:c r="M1276" s="14" t="str">
        <x:v>08:18</x:v>
      </x:c>
      <x:c r="N1276" s="14" t="str">
        <x:v>否</x:v>
      </x:c>
      <x:c r="O1276" s="14" t="str">
        <x:v>否</x:v>
      </x:c>
      <x:c r="P1276" s="14" t="str">
        <x:v>刘虎</x:v>
      </x:c>
      <x:c r="Q1276" s="14" t="str">
        <x:v>3号车</x:v>
      </x:c>
      <x:c r="R1276" s="14" t="str">
        <x:v>预测</x:v>
      </x:c>
      <x:c r="S1276" s="14" t="str">
        <x:v>到站时间为估算值</x:v>
      </x:c>
      <x:c r="T1276" t="str">
        <x:v>研究生宿舍楼发车</x:v>
      </x:c>
    </x:row>
    <x:row r="1277">
      <x:c r="A1277" s="14" t="str">
        <x:v>S0110-10</x:v>
      </x:c>
      <x:c r="B1277" s="14" t="str">
        <x:v>S0110</x:v>
      </x:c>
      <x:c r="C1277" s="14" t="str">
        <x:v>工作日</x:v>
      </x:c>
      <x:c r="D1277" s="14" t="str">
        <x:v>环线3路</x:v>
      </x:c>
      <x:c r="E1277" s="14" t="str">
        <x:v>第一班</x:v>
      </x:c>
      <x:c r="F1277" s="14" t="n">
        <x:v>2</x:v>
      </x:c>
      <x:c r="G1277" s="14" t="str">
        <x:v>8:05</x:v>
      </x:c>
      <x:c r="H1277" s="14" t="str">
        <x:v>研究生宿舍楼</x:v>
      </x:c>
      <x:c r="I1277" s="14" t="str">
        <x:v>否</x:v>
      </x:c>
      <x:c r="J1277" s="14" t="n">
        <x:v>10</x:v>
      </x:c>
      <x:c r="K1277" s="14" t="str">
        <x:v>图书馆</x:v>
      </x:c>
      <x:c r="L1277" s="14" t="n">
        <x:v>14</x:v>
      </x:c>
      <x:c r="M1277" s="14" t="str">
        <x:v>08:19</x:v>
      </x:c>
      <x:c r="N1277" s="14" t="str">
        <x:v>否</x:v>
      </x:c>
      <x:c r="O1277" s="14" t="str">
        <x:v>否</x:v>
      </x:c>
      <x:c r="P1277" s="14" t="str">
        <x:v>刘虎</x:v>
      </x:c>
      <x:c r="Q1277" s="14" t="str">
        <x:v>3号车</x:v>
      </x:c>
      <x:c r="R1277" s="14" t="str">
        <x:v>预测</x:v>
      </x:c>
      <x:c r="S1277" s="14" t="str">
        <x:v>到站时间为估算值</x:v>
      </x:c>
      <x:c r="T1277" t="str">
        <x:v>研究生宿舍楼发车</x:v>
      </x:c>
    </x:row>
    <x:row r="1278">
      <x:c r="A1278" s="14" t="str">
        <x:v>S0110-11</x:v>
      </x:c>
      <x:c r="B1278" s="14" t="str">
        <x:v>S0110</x:v>
      </x:c>
      <x:c r="C1278" s="14" t="str">
        <x:v>工作日</x:v>
      </x:c>
      <x:c r="D1278" s="14" t="str">
        <x:v>环线3路</x:v>
      </x:c>
      <x:c r="E1278" s="14" t="str">
        <x:v>第一班</x:v>
      </x:c>
      <x:c r="F1278" s="14" t="n">
        <x:v>2</x:v>
      </x:c>
      <x:c r="G1278" s="14" t="str">
        <x:v>8:05</x:v>
      </x:c>
      <x:c r="H1278" s="14" t="str">
        <x:v>研究生宿舍楼</x:v>
      </x:c>
      <x:c r="I1278" s="14" t="str">
        <x:v>否</x:v>
      </x:c>
      <x:c r="J1278" s="14" t="n">
        <x:v>11</x:v>
      </x:c>
      <x:c r="K1278" s="14" t="str">
        <x:v>305教学楼</x:v>
      </x:c>
      <x:c r="L1278" s="14" t="n">
        <x:v>16</x:v>
      </x:c>
      <x:c r="M1278" s="14" t="str">
        <x:v>08:21</x:v>
      </x:c>
      <x:c r="N1278" s="14" t="str">
        <x:v>否</x:v>
      </x:c>
      <x:c r="O1278" s="14" t="str">
        <x:v>否</x:v>
      </x:c>
      <x:c r="P1278" s="14" t="str">
        <x:v>刘虎</x:v>
      </x:c>
      <x:c r="Q1278" s="14" t="str">
        <x:v>3号车</x:v>
      </x:c>
      <x:c r="R1278" s="14" t="str">
        <x:v>预测</x:v>
      </x:c>
      <x:c r="S1278" s="14" t="str">
        <x:v>到站时间为估算值</x:v>
      </x:c>
      <x:c r="T1278" t="str">
        <x:v>研究生宿舍楼发车</x:v>
      </x:c>
    </x:row>
    <x:row r="1279">
      <x:c r="A1279" s="14" t="str">
        <x:v>S0110-12</x:v>
      </x:c>
      <x:c r="B1279" s="14" t="str">
        <x:v>S0110</x:v>
      </x:c>
      <x:c r="C1279" s="14" t="str">
        <x:v>工作日</x:v>
      </x:c>
      <x:c r="D1279" s="14" t="str">
        <x:v>环线3路</x:v>
      </x:c>
      <x:c r="E1279" s="14" t="str">
        <x:v>第一班</x:v>
      </x:c>
      <x:c r="F1279" s="14" t="n">
        <x:v>2</x:v>
      </x:c>
      <x:c r="G1279" s="14" t="str">
        <x:v>8:05</x:v>
      </x:c>
      <x:c r="H1279" s="14" t="str">
        <x:v>研究生宿舍楼</x:v>
      </x:c>
      <x:c r="I1279" s="14" t="str">
        <x:v>否</x:v>
      </x:c>
      <x:c r="J1279" s="14" t="n">
        <x:v>12</x:v>
      </x:c>
      <x:c r="K1279" s="14" t="str">
        <x:v>研究生宿舍楼</x:v>
      </x:c>
      <x:c r="L1279" s="14" t="n">
        <x:v>18</x:v>
      </x:c>
      <x:c r="M1279" s="14" t="str">
        <x:v>08:23</x:v>
      </x:c>
      <x:c r="N1279" s="14" t="str">
        <x:v>否</x:v>
      </x:c>
      <x:c r="O1279" s="14" t="str">
        <x:v>是</x:v>
      </x:c>
      <x:c r="P1279" s="14" t="str">
        <x:v>刘虎</x:v>
      </x:c>
      <x:c r="Q1279" s="14" t="str">
        <x:v>3号车</x:v>
      </x:c>
      <x:c r="R1279" s="14" t="str">
        <x:v>预测</x:v>
      </x:c>
      <x:c r="S1279" s="14" t="str">
        <x:v>到站时间为估算值</x:v>
      </x:c>
      <x:c r="T1279" t="str">
        <x:v>研究生宿舍楼发车</x:v>
      </x:c>
    </x:row>
    <x:row r="1280">
      <x:c r="A1280" s="14" t="str">
        <x:v>S0111-01</x:v>
      </x:c>
      <x:c r="B1280" s="14" t="str">
        <x:v>S0111</x:v>
      </x:c>
      <x:c r="C1280" s="14" t="str">
        <x:v>工作日</x:v>
      </x:c>
      <x:c r="D1280" s="14" t="str">
        <x:v>环线3路</x:v>
      </x:c>
      <x:c r="E1280" s="14" t="str">
        <x:v>第一班</x:v>
      </x:c>
      <x:c r="F1280" s="14" t="n">
        <x:v>3</x:v>
      </x:c>
      <x:c r="G1280" s="14" t="str">
        <x:v>8:35</x:v>
      </x:c>
      <x:c r="H1280" s="14" t="str">
        <x:v>研究生宿舍楼</x:v>
      </x:c>
      <x:c r="I1280" s="14" t="str">
        <x:v>否</x:v>
      </x:c>
      <x:c r="J1280" s="14" t="n">
        <x:v>1</x:v>
      </x:c>
      <x:c r="K1280" s="14" t="str">
        <x:v>研究生宿舍楼</x:v>
      </x:c>
      <x:c r="L1280" s="14" t="n">
        <x:v>0</x:v>
      </x:c>
      <x:c r="M1280" s="14" t="str">
        <x:v>08:35</x:v>
      </x:c>
      <x:c r="N1280" s="14" t="str">
        <x:v>是</x:v>
      </x:c>
      <x:c r="O1280" s="14" t="str">
        <x:v>否</x:v>
      </x:c>
      <x:c r="P1280" s="14" t="str">
        <x:v>刘虎</x:v>
      </x:c>
      <x:c r="Q1280" s="14" t="str">
        <x:v>3号车</x:v>
      </x:c>
      <x:c r="R1280" s="14" t="str">
        <x:v>预测</x:v>
      </x:c>
      <x:c r="S1280" s="14" t="str">
        <x:v>到站时间为估算值</x:v>
      </x:c>
      <x:c r="T1280" t="str">
        <x:v>研究生宿舍楼发车</x:v>
      </x:c>
    </x:row>
    <x:row r="1281">
      <x:c r="A1281" s="14" t="str">
        <x:v>S0111-02</x:v>
      </x:c>
      <x:c r="B1281" s="14" t="str">
        <x:v>S0111</x:v>
      </x:c>
      <x:c r="C1281" s="14" t="str">
        <x:v>工作日</x:v>
      </x:c>
      <x:c r="D1281" s="14" t="str">
        <x:v>环线3路</x:v>
      </x:c>
      <x:c r="E1281" s="14" t="str">
        <x:v>第一班</x:v>
      </x:c>
      <x:c r="F1281" s="14" t="n">
        <x:v>3</x:v>
      </x:c>
      <x:c r="G1281" s="14" t="str">
        <x:v>8:35</x:v>
      </x:c>
      <x:c r="H1281" s="14" t="str">
        <x:v>研究生宿舍楼</x:v>
      </x:c>
      <x:c r="I1281" s="14" t="str">
        <x:v>否</x:v>
      </x:c>
      <x:c r="J1281" s="14" t="n">
        <x:v>2</x:v>
      </x:c>
      <x:c r="K1281" s="14" t="str">
        <x:v>一食堂</x:v>
      </x:c>
      <x:c r="L1281" s="14" t="n">
        <x:v>1</x:v>
      </x:c>
      <x:c r="M1281" s="14" t="str">
        <x:v>08:36</x:v>
      </x:c>
      <x:c r="N1281" s="14" t="str">
        <x:v>否</x:v>
      </x:c>
      <x:c r="O1281" s="14" t="str">
        <x:v>否</x:v>
      </x:c>
      <x:c r="P1281" s="14" t="str">
        <x:v>刘虎</x:v>
      </x:c>
      <x:c r="Q1281" s="14" t="str">
        <x:v>3号车</x:v>
      </x:c>
      <x:c r="R1281" s="14" t="str">
        <x:v>预测</x:v>
      </x:c>
      <x:c r="S1281" s="14" t="str">
        <x:v>到站时间为估算值</x:v>
      </x:c>
      <x:c r="T1281" t="str">
        <x:v>研究生宿舍楼发车</x:v>
      </x:c>
    </x:row>
    <x:row r="1282">
      <x:c r="A1282" s="14" t="str">
        <x:v>S0111-03</x:v>
      </x:c>
      <x:c r="B1282" s="14" t="str">
        <x:v>S0111</x:v>
      </x:c>
      <x:c r="C1282" s="14" t="str">
        <x:v>工作日</x:v>
      </x:c>
      <x:c r="D1282" s="14" t="str">
        <x:v>环线3路</x:v>
      </x:c>
      <x:c r="E1282" s="14" t="str">
        <x:v>第一班</x:v>
      </x:c>
      <x:c r="F1282" s="14" t="n">
        <x:v>3</x:v>
      </x:c>
      <x:c r="G1282" s="14" t="str">
        <x:v>8:35</x:v>
      </x:c>
      <x:c r="H1282" s="14" t="str">
        <x:v>研究生宿舍楼</x:v>
      </x:c>
      <x:c r="I1282" s="14" t="str">
        <x:v>否</x:v>
      </x:c>
      <x:c r="J1282" s="14" t="n">
        <x:v>3</x:v>
      </x:c>
      <x:c r="K1282" s="14" t="str">
        <x:v>2号宿舍楼</x:v>
      </x:c>
      <x:c r="L1282" s="14" t="n">
        <x:v>3</x:v>
      </x:c>
      <x:c r="M1282" s="14" t="str">
        <x:v>08:38</x:v>
      </x:c>
      <x:c r="N1282" s="14" t="str">
        <x:v>否</x:v>
      </x:c>
      <x:c r="O1282" s="14" t="str">
        <x:v>否</x:v>
      </x:c>
      <x:c r="P1282" s="14" t="str">
        <x:v>刘虎</x:v>
      </x:c>
      <x:c r="Q1282" s="14" t="str">
        <x:v>3号车</x:v>
      </x:c>
      <x:c r="R1282" s="14" t="str">
        <x:v>预测</x:v>
      </x:c>
      <x:c r="S1282" s="14" t="str">
        <x:v>到站时间为估算值</x:v>
      </x:c>
      <x:c r="T1282" t="str">
        <x:v>研究生宿舍楼发车</x:v>
      </x:c>
    </x:row>
    <x:row r="1283">
      <x:c r="A1283" s="14" t="str">
        <x:v>S0111-04</x:v>
      </x:c>
      <x:c r="B1283" s="14" t="str">
        <x:v>S0111</x:v>
      </x:c>
      <x:c r="C1283" s="14" t="str">
        <x:v>工作日</x:v>
      </x:c>
      <x:c r="D1283" s="14" t="str">
        <x:v>环线3路</x:v>
      </x:c>
      <x:c r="E1283" s="14" t="str">
        <x:v>第一班</x:v>
      </x:c>
      <x:c r="F1283" s="14" t="n">
        <x:v>3</x:v>
      </x:c>
      <x:c r="G1283" s="14" t="str">
        <x:v>8:35</x:v>
      </x:c>
      <x:c r="H1283" s="14" t="str">
        <x:v>研究生宿舍楼</x:v>
      </x:c>
      <x:c r="I1283" s="14" t="str">
        <x:v>否</x:v>
      </x:c>
      <x:c r="J1283" s="14" t="n">
        <x:v>4</x:v>
      </x:c>
      <x:c r="K1283" s="14" t="str">
        <x:v>军体活动中心</x:v>
      </x:c>
      <x:c r="L1283" s="14" t="n">
        <x:v>4</x:v>
      </x:c>
      <x:c r="M1283" s="14" t="str">
        <x:v>08:39</x:v>
      </x:c>
      <x:c r="N1283" s="14" t="str">
        <x:v>否</x:v>
      </x:c>
      <x:c r="O1283" s="14" t="str">
        <x:v>否</x:v>
      </x:c>
      <x:c r="P1283" s="14" t="str">
        <x:v>刘虎</x:v>
      </x:c>
      <x:c r="Q1283" s="14" t="str">
        <x:v>3号车</x:v>
      </x:c>
      <x:c r="R1283" s="14" t="str">
        <x:v>预测</x:v>
      </x:c>
      <x:c r="S1283" s="14" t="str">
        <x:v>到站时间为估算值</x:v>
      </x:c>
      <x:c r="T1283" t="str">
        <x:v>研究生宿舍楼发车</x:v>
      </x:c>
    </x:row>
    <x:row r="1284">
      <x:c r="A1284" s="14" t="str">
        <x:v>S0111-05</x:v>
      </x:c>
      <x:c r="B1284" s="14" t="str">
        <x:v>S0111</x:v>
      </x:c>
      <x:c r="C1284" s="14" t="str">
        <x:v>工作日</x:v>
      </x:c>
      <x:c r="D1284" s="14" t="str">
        <x:v>环线3路</x:v>
      </x:c>
      <x:c r="E1284" s="14" t="str">
        <x:v>第一班</x:v>
      </x:c>
      <x:c r="F1284" s="14" t="n">
        <x:v>3</x:v>
      </x:c>
      <x:c r="G1284" s="14" t="str">
        <x:v>8:35</x:v>
      </x:c>
      <x:c r="H1284" s="14" t="str">
        <x:v>研究生宿舍楼</x:v>
      </x:c>
      <x:c r="I1284" s="14" t="str">
        <x:v>否</x:v>
      </x:c>
      <x:c r="J1284" s="14" t="n">
        <x:v>5</x:v>
      </x:c>
      <x:c r="K1284" s="14" t="str">
        <x:v>教勤连</x:v>
      </x:c>
      <x:c r="L1284" s="14" t="n">
        <x:v>6</x:v>
      </x:c>
      <x:c r="M1284" s="14" t="str">
        <x:v>08:41</x:v>
      </x:c>
      <x:c r="N1284" s="14" t="str">
        <x:v>否</x:v>
      </x:c>
      <x:c r="O1284" s="14" t="str">
        <x:v>否</x:v>
      </x:c>
      <x:c r="P1284" s="14" t="str">
        <x:v>刘虎</x:v>
      </x:c>
      <x:c r="Q1284" s="14" t="str">
        <x:v>3号车</x:v>
      </x:c>
      <x:c r="R1284" s="14" t="str">
        <x:v>预测</x:v>
      </x:c>
      <x:c r="S1284" s="14" t="str">
        <x:v>到站时间为估算值</x:v>
      </x:c>
      <x:c r="T1284" t="str">
        <x:v>研究生宿舍楼发车</x:v>
      </x:c>
    </x:row>
    <x:row r="1285">
      <x:c r="A1285" s="14" t="str">
        <x:v>S0111-06</x:v>
      </x:c>
      <x:c r="B1285" s="14" t="str">
        <x:v>S0111</x:v>
      </x:c>
      <x:c r="C1285" s="14" t="str">
        <x:v>工作日</x:v>
      </x:c>
      <x:c r="D1285" s="14" t="str">
        <x:v>环线3路</x:v>
      </x:c>
      <x:c r="E1285" s="14" t="str">
        <x:v>第一班</x:v>
      </x:c>
      <x:c r="F1285" s="14" t="n">
        <x:v>3</x:v>
      </x:c>
      <x:c r="G1285" s="14" t="str">
        <x:v>8:35</x:v>
      </x:c>
      <x:c r="H1285" s="14" t="str">
        <x:v>研究生宿舍楼</x:v>
      </x:c>
      <x:c r="I1285" s="14" t="str">
        <x:v>否</x:v>
      </x:c>
      <x:c r="J1285" s="14" t="n">
        <x:v>6</x:v>
      </x:c>
      <x:c r="K1285" s="14" t="str">
        <x:v>激光所</x:v>
      </x:c>
      <x:c r="L1285" s="14" t="n">
        <x:v>7</x:v>
      </x:c>
      <x:c r="M1285" s="14" t="str">
        <x:v>08:42</x:v>
      </x:c>
      <x:c r="N1285" s="14" t="str">
        <x:v>否</x:v>
      </x:c>
      <x:c r="O1285" s="14" t="str">
        <x:v>否</x:v>
      </x:c>
      <x:c r="P1285" s="14" t="str">
        <x:v>刘虎</x:v>
      </x:c>
      <x:c r="Q1285" s="14" t="str">
        <x:v>3号车</x:v>
      </x:c>
      <x:c r="R1285" s="14" t="str">
        <x:v>预测</x:v>
      </x:c>
      <x:c r="S1285" s="14" t="str">
        <x:v>到站时间为估算值</x:v>
      </x:c>
      <x:c r="T1285" t="str">
        <x:v>研究生宿舍楼发车</x:v>
      </x:c>
    </x:row>
    <x:row r="1286">
      <x:c r="A1286" s="14" t="str">
        <x:v>S0111-07</x:v>
      </x:c>
      <x:c r="B1286" s="14" t="str">
        <x:v>S0111</x:v>
      </x:c>
      <x:c r="C1286" s="14" t="str">
        <x:v>工作日</x:v>
      </x:c>
      <x:c r="D1286" s="14" t="str">
        <x:v>环线3路</x:v>
      </x:c>
      <x:c r="E1286" s="14" t="str">
        <x:v>第一班</x:v>
      </x:c>
      <x:c r="F1286" s="14" t="n">
        <x:v>3</x:v>
      </x:c>
      <x:c r="G1286" s="14" t="str">
        <x:v>8:35</x:v>
      </x:c>
      <x:c r="H1286" s="14" t="str">
        <x:v>研究生宿舍楼</x:v>
      </x:c>
      <x:c r="I1286" s="14" t="str">
        <x:v>否</x:v>
      </x:c>
      <x:c r="J1286" s="14" t="n">
        <x:v>7</x:v>
      </x:c>
      <x:c r="K1286" s="14" t="str">
        <x:v>高超楼</x:v>
      </x:c>
      <x:c r="L1286" s="14" t="n">
        <x:v>9</x:v>
      </x:c>
      <x:c r="M1286" s="14" t="str">
        <x:v>08:44</x:v>
      </x:c>
      <x:c r="N1286" s="14" t="str">
        <x:v>否</x:v>
      </x:c>
      <x:c r="O1286" s="14" t="str">
        <x:v>否</x:v>
      </x:c>
      <x:c r="P1286" s="14" t="str">
        <x:v>刘虎</x:v>
      </x:c>
      <x:c r="Q1286" s="14" t="str">
        <x:v>3号车</x:v>
      </x:c>
      <x:c r="R1286" s="14" t="str">
        <x:v>预测</x:v>
      </x:c>
      <x:c r="S1286" s="14" t="str">
        <x:v>到站时间为估算值</x:v>
      </x:c>
      <x:c r="T1286" t="str">
        <x:v>研究生宿舍楼发车</x:v>
      </x:c>
    </x:row>
    <x:row r="1287">
      <x:c r="A1287" s="14" t="str">
        <x:v>S0111-08</x:v>
      </x:c>
      <x:c r="B1287" s="14" t="str">
        <x:v>S0111</x:v>
      </x:c>
      <x:c r="C1287" s="14" t="str">
        <x:v>工作日</x:v>
      </x:c>
      <x:c r="D1287" s="14" t="str">
        <x:v>环线3路</x:v>
      </x:c>
      <x:c r="E1287" s="14" t="str">
        <x:v>第一班</x:v>
      </x:c>
      <x:c r="F1287" s="14" t="n">
        <x:v>3</x:v>
      </x:c>
      <x:c r="G1287" s="14" t="str">
        <x:v>8:35</x:v>
      </x:c>
      <x:c r="H1287" s="14" t="str">
        <x:v>研究生宿舍楼</x:v>
      </x:c>
      <x:c r="I1287" s="14" t="str">
        <x:v>否</x:v>
      </x:c>
      <x:c r="J1287" s="14" t="n">
        <x:v>8</x:v>
      </x:c>
      <x:c r="K1287" s="14" t="str">
        <x:v>理学院</x:v>
      </x:c>
      <x:c r="L1287" s="14" t="n">
        <x:v>10</x:v>
      </x:c>
      <x:c r="M1287" s="14" t="str">
        <x:v>08:45</x:v>
      </x:c>
      <x:c r="N1287" s="14" t="str">
        <x:v>否</x:v>
      </x:c>
      <x:c r="O1287" s="14" t="str">
        <x:v>否</x:v>
      </x:c>
      <x:c r="P1287" s="14" t="str">
        <x:v>刘虎</x:v>
      </x:c>
      <x:c r="Q1287" s="14" t="str">
        <x:v>3号车</x:v>
      </x:c>
      <x:c r="R1287" s="14" t="str">
        <x:v>预测</x:v>
      </x:c>
      <x:c r="S1287" s="14" t="str">
        <x:v>到站时间为估算值</x:v>
      </x:c>
      <x:c r="T1287" t="str">
        <x:v>研究生宿舍楼发车</x:v>
      </x:c>
    </x:row>
    <x:row r="1288">
      <x:c r="A1288" s="14" t="str">
        <x:v>S0111-09</x:v>
      </x:c>
      <x:c r="B1288" s="14" t="str">
        <x:v>S0111</x:v>
      </x:c>
      <x:c r="C1288" s="14" t="str">
        <x:v>工作日</x:v>
      </x:c>
      <x:c r="D1288" s="14" t="str">
        <x:v>环线3路</x:v>
      </x:c>
      <x:c r="E1288" s="14" t="str">
        <x:v>第一班</x:v>
      </x:c>
      <x:c r="F1288" s="14" t="n">
        <x:v>3</x:v>
      </x:c>
      <x:c r="G1288" s="14" t="str">
        <x:v>8:35</x:v>
      </x:c>
      <x:c r="H1288" s="14" t="str">
        <x:v>研究生宿舍楼</x:v>
      </x:c>
      <x:c r="I1288" s="14" t="str">
        <x:v>否</x:v>
      </x:c>
      <x:c r="J1288" s="14" t="n">
        <x:v>9</x:v>
      </x:c>
      <x:c r="K1288" s="14" t="str">
        <x:v>二食堂</x:v>
      </x:c>
      <x:c r="L1288" s="14" t="n">
        <x:v>13</x:v>
      </x:c>
      <x:c r="M1288" s="14" t="str">
        <x:v>08:48</x:v>
      </x:c>
      <x:c r="N1288" s="14" t="str">
        <x:v>否</x:v>
      </x:c>
      <x:c r="O1288" s="14" t="str">
        <x:v>否</x:v>
      </x:c>
      <x:c r="P1288" s="14" t="str">
        <x:v>刘虎</x:v>
      </x:c>
      <x:c r="Q1288" s="14" t="str">
        <x:v>3号车</x:v>
      </x:c>
      <x:c r="R1288" s="14" t="str">
        <x:v>预测</x:v>
      </x:c>
      <x:c r="S1288" s="14" t="str">
        <x:v>到站时间为估算值</x:v>
      </x:c>
      <x:c r="T1288" t="str">
        <x:v>研究生宿舍楼发车</x:v>
      </x:c>
    </x:row>
    <x:row r="1289">
      <x:c r="A1289" s="14" t="str">
        <x:v>S0111-10</x:v>
      </x:c>
      <x:c r="B1289" s="14" t="str">
        <x:v>S0111</x:v>
      </x:c>
      <x:c r="C1289" s="14" t="str">
        <x:v>工作日</x:v>
      </x:c>
      <x:c r="D1289" s="14" t="str">
        <x:v>环线3路</x:v>
      </x:c>
      <x:c r="E1289" s="14" t="str">
        <x:v>第一班</x:v>
      </x:c>
      <x:c r="F1289" s="14" t="n">
        <x:v>3</x:v>
      </x:c>
      <x:c r="G1289" s="14" t="str">
        <x:v>8:35</x:v>
      </x:c>
      <x:c r="H1289" s="14" t="str">
        <x:v>研究生宿舍楼</x:v>
      </x:c>
      <x:c r="I1289" s="14" t="str">
        <x:v>否</x:v>
      </x:c>
      <x:c r="J1289" s="14" t="n">
        <x:v>10</x:v>
      </x:c>
      <x:c r="K1289" s="14" t="str">
        <x:v>图书馆</x:v>
      </x:c>
      <x:c r="L1289" s="14" t="n">
        <x:v>14</x:v>
      </x:c>
      <x:c r="M1289" s="14" t="str">
        <x:v>08:49</x:v>
      </x:c>
      <x:c r="N1289" s="14" t="str">
        <x:v>否</x:v>
      </x:c>
      <x:c r="O1289" s="14" t="str">
        <x:v>否</x:v>
      </x:c>
      <x:c r="P1289" s="14" t="str">
        <x:v>刘虎</x:v>
      </x:c>
      <x:c r="Q1289" s="14" t="str">
        <x:v>3号车</x:v>
      </x:c>
      <x:c r="R1289" s="14" t="str">
        <x:v>预测</x:v>
      </x:c>
      <x:c r="S1289" s="14" t="str">
        <x:v>到站时间为估算值</x:v>
      </x:c>
      <x:c r="T1289" t="str">
        <x:v>研究生宿舍楼发车</x:v>
      </x:c>
    </x:row>
    <x:row r="1290">
      <x:c r="A1290" s="14" t="str">
        <x:v>S0111-11</x:v>
      </x:c>
      <x:c r="B1290" s="14" t="str">
        <x:v>S0111</x:v>
      </x:c>
      <x:c r="C1290" s="14" t="str">
        <x:v>工作日</x:v>
      </x:c>
      <x:c r="D1290" s="14" t="str">
        <x:v>环线3路</x:v>
      </x:c>
      <x:c r="E1290" s="14" t="str">
        <x:v>第一班</x:v>
      </x:c>
      <x:c r="F1290" s="14" t="n">
        <x:v>3</x:v>
      </x:c>
      <x:c r="G1290" s="14" t="str">
        <x:v>8:35</x:v>
      </x:c>
      <x:c r="H1290" s="14" t="str">
        <x:v>研究生宿舍楼</x:v>
      </x:c>
      <x:c r="I1290" s="14" t="str">
        <x:v>否</x:v>
      </x:c>
      <x:c r="J1290" s="14" t="n">
        <x:v>11</x:v>
      </x:c>
      <x:c r="K1290" s="14" t="str">
        <x:v>305教学楼</x:v>
      </x:c>
      <x:c r="L1290" s="14" t="n">
        <x:v>16</x:v>
      </x:c>
      <x:c r="M1290" s="14" t="str">
        <x:v>08:51</x:v>
      </x:c>
      <x:c r="N1290" s="14" t="str">
        <x:v>否</x:v>
      </x:c>
      <x:c r="O1290" s="14" t="str">
        <x:v>否</x:v>
      </x:c>
      <x:c r="P1290" s="14" t="str">
        <x:v>刘虎</x:v>
      </x:c>
      <x:c r="Q1290" s="14" t="str">
        <x:v>3号车</x:v>
      </x:c>
      <x:c r="R1290" s="14" t="str">
        <x:v>预测</x:v>
      </x:c>
      <x:c r="S1290" s="14" t="str">
        <x:v>到站时间为估算值</x:v>
      </x:c>
      <x:c r="T1290" t="str">
        <x:v>研究生宿舍楼发车</x:v>
      </x:c>
    </x:row>
    <x:row r="1291">
      <x:c r="A1291" s="14" t="str">
        <x:v>S0111-12</x:v>
      </x:c>
      <x:c r="B1291" s="14" t="str">
        <x:v>S0111</x:v>
      </x:c>
      <x:c r="C1291" s="14" t="str">
        <x:v>工作日</x:v>
      </x:c>
      <x:c r="D1291" s="14" t="str">
        <x:v>环线3路</x:v>
      </x:c>
      <x:c r="E1291" s="14" t="str">
        <x:v>第一班</x:v>
      </x:c>
      <x:c r="F1291" s="14" t="n">
        <x:v>3</x:v>
      </x:c>
      <x:c r="G1291" s="14" t="str">
        <x:v>8:35</x:v>
      </x:c>
      <x:c r="H1291" s="14" t="str">
        <x:v>研究生宿舍楼</x:v>
      </x:c>
      <x:c r="I1291" s="14" t="str">
        <x:v>否</x:v>
      </x:c>
      <x:c r="J1291" s="14" t="n">
        <x:v>12</x:v>
      </x:c>
      <x:c r="K1291" s="14" t="str">
        <x:v>研究生宿舍楼</x:v>
      </x:c>
      <x:c r="L1291" s="14" t="n">
        <x:v>18</x:v>
      </x:c>
      <x:c r="M1291" s="14" t="str">
        <x:v>08:53</x:v>
      </x:c>
      <x:c r="N1291" s="14" t="str">
        <x:v>否</x:v>
      </x:c>
      <x:c r="O1291" s="14" t="str">
        <x:v>是</x:v>
      </x:c>
      <x:c r="P1291" s="14" t="str">
        <x:v>刘虎</x:v>
      </x:c>
      <x:c r="Q1291" s="14" t="str">
        <x:v>3号车</x:v>
      </x:c>
      <x:c r="R1291" s="14" t="str">
        <x:v>预测</x:v>
      </x:c>
      <x:c r="S1291" s="14" t="str">
        <x:v>到站时间为估算值</x:v>
      </x:c>
      <x:c r="T1291" t="str">
        <x:v>研究生宿舍楼发车</x:v>
      </x:c>
    </x:row>
    <x:row r="1292">
      <x:c r="A1292" s="14" t="str">
        <x:v>S0112-01</x:v>
      </x:c>
      <x:c r="B1292" s="14" t="str">
        <x:v>S0112</x:v>
      </x:c>
      <x:c r="C1292" s="14" t="str">
        <x:v>工作日</x:v>
      </x:c>
      <x:c r="D1292" s="14" t="str">
        <x:v>环线3路</x:v>
      </x:c>
      <x:c r="E1292" s="14" t="str">
        <x:v>第一班</x:v>
      </x:c>
      <x:c r="F1292" s="14" t="n">
        <x:v>4</x:v>
      </x:c>
      <x:c r="G1292" s="14" t="str">
        <x:v>9:05</x:v>
      </x:c>
      <x:c r="H1292" s="14" t="str">
        <x:v>研究生宿舍楼</x:v>
      </x:c>
      <x:c r="I1292" s="14" t="str">
        <x:v>否</x:v>
      </x:c>
      <x:c r="J1292" s="14" t="n">
        <x:v>1</x:v>
      </x:c>
      <x:c r="K1292" s="14" t="str">
        <x:v>研究生宿舍楼</x:v>
      </x:c>
      <x:c r="L1292" s="14" t="n">
        <x:v>0</x:v>
      </x:c>
      <x:c r="M1292" s="14" t="str">
        <x:v>09:05</x:v>
      </x:c>
      <x:c r="N1292" s="14" t="str">
        <x:v>是</x:v>
      </x:c>
      <x:c r="O1292" s="14" t="str">
        <x:v>否</x:v>
      </x:c>
      <x:c r="P1292" s="14" t="str">
        <x:v>刘虎</x:v>
      </x:c>
      <x:c r="Q1292" s="14" t="str">
        <x:v>3号车</x:v>
      </x:c>
      <x:c r="R1292" s="14" t="str">
        <x:v>预测</x:v>
      </x:c>
      <x:c r="S1292" s="14" t="str">
        <x:v>到站时间为估算值</x:v>
      </x:c>
      <x:c r="T1292" t="str">
        <x:v>研究生宿舍楼发车</x:v>
      </x:c>
    </x:row>
    <x:row r="1293">
      <x:c r="A1293" s="14" t="str">
        <x:v>S0112-02</x:v>
      </x:c>
      <x:c r="B1293" s="14" t="str">
        <x:v>S0112</x:v>
      </x:c>
      <x:c r="C1293" s="14" t="str">
        <x:v>工作日</x:v>
      </x:c>
      <x:c r="D1293" s="14" t="str">
        <x:v>环线3路</x:v>
      </x:c>
      <x:c r="E1293" s="14" t="str">
        <x:v>第一班</x:v>
      </x:c>
      <x:c r="F1293" s="14" t="n">
        <x:v>4</x:v>
      </x:c>
      <x:c r="G1293" s="14" t="str">
        <x:v>9:05</x:v>
      </x:c>
      <x:c r="H1293" s="14" t="str">
        <x:v>研究生宿舍楼</x:v>
      </x:c>
      <x:c r="I1293" s="14" t="str">
        <x:v>否</x:v>
      </x:c>
      <x:c r="J1293" s="14" t="n">
        <x:v>2</x:v>
      </x:c>
      <x:c r="K1293" s="14" t="str">
        <x:v>一食堂</x:v>
      </x:c>
      <x:c r="L1293" s="14" t="n">
        <x:v>1</x:v>
      </x:c>
      <x:c r="M1293" s="14" t="str">
        <x:v>09:06</x:v>
      </x:c>
      <x:c r="N1293" s="14" t="str">
        <x:v>否</x:v>
      </x:c>
      <x:c r="O1293" s="14" t="str">
        <x:v>否</x:v>
      </x:c>
      <x:c r="P1293" s="14" t="str">
        <x:v>刘虎</x:v>
      </x:c>
      <x:c r="Q1293" s="14" t="str">
        <x:v>3号车</x:v>
      </x:c>
      <x:c r="R1293" s="14" t="str">
        <x:v>预测</x:v>
      </x:c>
      <x:c r="S1293" s="14" t="str">
        <x:v>到站时间为估算值</x:v>
      </x:c>
      <x:c r="T1293" t="str">
        <x:v>研究生宿舍楼发车</x:v>
      </x:c>
    </x:row>
    <x:row r="1294">
      <x:c r="A1294" s="14" t="str">
        <x:v>S0112-03</x:v>
      </x:c>
      <x:c r="B1294" s="14" t="str">
        <x:v>S0112</x:v>
      </x:c>
      <x:c r="C1294" s="14" t="str">
        <x:v>工作日</x:v>
      </x:c>
      <x:c r="D1294" s="14" t="str">
        <x:v>环线3路</x:v>
      </x:c>
      <x:c r="E1294" s="14" t="str">
        <x:v>第一班</x:v>
      </x:c>
      <x:c r="F1294" s="14" t="n">
        <x:v>4</x:v>
      </x:c>
      <x:c r="G1294" s="14" t="str">
        <x:v>9:05</x:v>
      </x:c>
      <x:c r="H1294" s="14" t="str">
        <x:v>研究生宿舍楼</x:v>
      </x:c>
      <x:c r="I1294" s="14" t="str">
        <x:v>否</x:v>
      </x:c>
      <x:c r="J1294" s="14" t="n">
        <x:v>3</x:v>
      </x:c>
      <x:c r="K1294" s="14" t="str">
        <x:v>2号宿舍楼</x:v>
      </x:c>
      <x:c r="L1294" s="14" t="n">
        <x:v>3</x:v>
      </x:c>
      <x:c r="M1294" s="14" t="str">
        <x:v>09:08</x:v>
      </x:c>
      <x:c r="N1294" s="14" t="str">
        <x:v>否</x:v>
      </x:c>
      <x:c r="O1294" s="14" t="str">
        <x:v>否</x:v>
      </x:c>
      <x:c r="P1294" s="14" t="str">
        <x:v>刘虎</x:v>
      </x:c>
      <x:c r="Q1294" s="14" t="str">
        <x:v>3号车</x:v>
      </x:c>
      <x:c r="R1294" s="14" t="str">
        <x:v>预测</x:v>
      </x:c>
      <x:c r="S1294" s="14" t="str">
        <x:v>到站时间为估算值</x:v>
      </x:c>
      <x:c r="T1294" t="str">
        <x:v>研究生宿舍楼发车</x:v>
      </x:c>
    </x:row>
    <x:row r="1295">
      <x:c r="A1295" s="14" t="str">
        <x:v>S0112-04</x:v>
      </x:c>
      <x:c r="B1295" s="14" t="str">
        <x:v>S0112</x:v>
      </x:c>
      <x:c r="C1295" s="14" t="str">
        <x:v>工作日</x:v>
      </x:c>
      <x:c r="D1295" s="14" t="str">
        <x:v>环线3路</x:v>
      </x:c>
      <x:c r="E1295" s="14" t="str">
        <x:v>第一班</x:v>
      </x:c>
      <x:c r="F1295" s="14" t="n">
        <x:v>4</x:v>
      </x:c>
      <x:c r="G1295" s="14" t="str">
        <x:v>9:05</x:v>
      </x:c>
      <x:c r="H1295" s="14" t="str">
        <x:v>研究生宿舍楼</x:v>
      </x:c>
      <x:c r="I1295" s="14" t="str">
        <x:v>否</x:v>
      </x:c>
      <x:c r="J1295" s="14" t="n">
        <x:v>4</x:v>
      </x:c>
      <x:c r="K1295" s="14" t="str">
        <x:v>军体活动中心</x:v>
      </x:c>
      <x:c r="L1295" s="14" t="n">
        <x:v>4</x:v>
      </x:c>
      <x:c r="M1295" s="14" t="str">
        <x:v>09:09</x:v>
      </x:c>
      <x:c r="N1295" s="14" t="str">
        <x:v>否</x:v>
      </x:c>
      <x:c r="O1295" s="14" t="str">
        <x:v>否</x:v>
      </x:c>
      <x:c r="P1295" s="14" t="str">
        <x:v>刘虎</x:v>
      </x:c>
      <x:c r="Q1295" s="14" t="str">
        <x:v>3号车</x:v>
      </x:c>
      <x:c r="R1295" s="14" t="str">
        <x:v>预测</x:v>
      </x:c>
      <x:c r="S1295" s="14" t="str">
        <x:v>到站时间为估算值</x:v>
      </x:c>
      <x:c r="T1295" t="str">
        <x:v>研究生宿舍楼发车</x:v>
      </x:c>
    </x:row>
    <x:row r="1296">
      <x:c r="A1296" s="14" t="str">
        <x:v>S0112-05</x:v>
      </x:c>
      <x:c r="B1296" s="14" t="str">
        <x:v>S0112</x:v>
      </x:c>
      <x:c r="C1296" s="14" t="str">
        <x:v>工作日</x:v>
      </x:c>
      <x:c r="D1296" s="14" t="str">
        <x:v>环线3路</x:v>
      </x:c>
      <x:c r="E1296" s="14" t="str">
        <x:v>第一班</x:v>
      </x:c>
      <x:c r="F1296" s="14" t="n">
        <x:v>4</x:v>
      </x:c>
      <x:c r="G1296" s="14" t="str">
        <x:v>9:05</x:v>
      </x:c>
      <x:c r="H1296" s="14" t="str">
        <x:v>研究生宿舍楼</x:v>
      </x:c>
      <x:c r="I1296" s="14" t="str">
        <x:v>否</x:v>
      </x:c>
      <x:c r="J1296" s="14" t="n">
        <x:v>5</x:v>
      </x:c>
      <x:c r="K1296" s="14" t="str">
        <x:v>教勤连</x:v>
      </x:c>
      <x:c r="L1296" s="14" t="n">
        <x:v>6</x:v>
      </x:c>
      <x:c r="M1296" s="14" t="str">
        <x:v>09:11</x:v>
      </x:c>
      <x:c r="N1296" s="14" t="str">
        <x:v>否</x:v>
      </x:c>
      <x:c r="O1296" s="14" t="str">
        <x:v>否</x:v>
      </x:c>
      <x:c r="P1296" s="14" t="str">
        <x:v>刘虎</x:v>
      </x:c>
      <x:c r="Q1296" s="14" t="str">
        <x:v>3号车</x:v>
      </x:c>
      <x:c r="R1296" s="14" t="str">
        <x:v>预测</x:v>
      </x:c>
      <x:c r="S1296" s="14" t="str">
        <x:v>到站时间为估算值</x:v>
      </x:c>
      <x:c r="T1296" t="str">
        <x:v>研究生宿舍楼发车</x:v>
      </x:c>
    </x:row>
    <x:row r="1297">
      <x:c r="A1297" s="14" t="str">
        <x:v>S0112-06</x:v>
      </x:c>
      <x:c r="B1297" s="14" t="str">
        <x:v>S0112</x:v>
      </x:c>
      <x:c r="C1297" s="14" t="str">
        <x:v>工作日</x:v>
      </x:c>
      <x:c r="D1297" s="14" t="str">
        <x:v>环线3路</x:v>
      </x:c>
      <x:c r="E1297" s="14" t="str">
        <x:v>第一班</x:v>
      </x:c>
      <x:c r="F1297" s="14" t="n">
        <x:v>4</x:v>
      </x:c>
      <x:c r="G1297" s="14" t="str">
        <x:v>9:05</x:v>
      </x:c>
      <x:c r="H1297" s="14" t="str">
        <x:v>研究生宿舍楼</x:v>
      </x:c>
      <x:c r="I1297" s="14" t="str">
        <x:v>否</x:v>
      </x:c>
      <x:c r="J1297" s="14" t="n">
        <x:v>6</x:v>
      </x:c>
      <x:c r="K1297" s="14" t="str">
        <x:v>激光所</x:v>
      </x:c>
      <x:c r="L1297" s="14" t="n">
        <x:v>7</x:v>
      </x:c>
      <x:c r="M1297" s="14" t="str">
        <x:v>09:12</x:v>
      </x:c>
      <x:c r="N1297" s="14" t="str">
        <x:v>否</x:v>
      </x:c>
      <x:c r="O1297" s="14" t="str">
        <x:v>否</x:v>
      </x:c>
      <x:c r="P1297" s="14" t="str">
        <x:v>刘虎</x:v>
      </x:c>
      <x:c r="Q1297" s="14" t="str">
        <x:v>3号车</x:v>
      </x:c>
      <x:c r="R1297" s="14" t="str">
        <x:v>预测</x:v>
      </x:c>
      <x:c r="S1297" s="14" t="str">
        <x:v>到站时间为估算值</x:v>
      </x:c>
      <x:c r="T1297" t="str">
        <x:v>研究生宿舍楼发车</x:v>
      </x:c>
    </x:row>
    <x:row r="1298">
      <x:c r="A1298" s="14" t="str">
        <x:v>S0112-07</x:v>
      </x:c>
      <x:c r="B1298" s="14" t="str">
        <x:v>S0112</x:v>
      </x:c>
      <x:c r="C1298" s="14" t="str">
        <x:v>工作日</x:v>
      </x:c>
      <x:c r="D1298" s="14" t="str">
        <x:v>环线3路</x:v>
      </x:c>
      <x:c r="E1298" s="14" t="str">
        <x:v>第一班</x:v>
      </x:c>
      <x:c r="F1298" s="14" t="n">
        <x:v>4</x:v>
      </x:c>
      <x:c r="G1298" s="14" t="str">
        <x:v>9:05</x:v>
      </x:c>
      <x:c r="H1298" s="14" t="str">
        <x:v>研究生宿舍楼</x:v>
      </x:c>
      <x:c r="I1298" s="14" t="str">
        <x:v>否</x:v>
      </x:c>
      <x:c r="J1298" s="14" t="n">
        <x:v>7</x:v>
      </x:c>
      <x:c r="K1298" s="14" t="str">
        <x:v>高超楼</x:v>
      </x:c>
      <x:c r="L1298" s="14" t="n">
        <x:v>9</x:v>
      </x:c>
      <x:c r="M1298" s="14" t="str">
        <x:v>09:14</x:v>
      </x:c>
      <x:c r="N1298" s="14" t="str">
        <x:v>否</x:v>
      </x:c>
      <x:c r="O1298" s="14" t="str">
        <x:v>否</x:v>
      </x:c>
      <x:c r="P1298" s="14" t="str">
        <x:v>刘虎</x:v>
      </x:c>
      <x:c r="Q1298" s="14" t="str">
        <x:v>3号车</x:v>
      </x:c>
      <x:c r="R1298" s="14" t="str">
        <x:v>预测</x:v>
      </x:c>
      <x:c r="S1298" s="14" t="str">
        <x:v>到站时间为估算值</x:v>
      </x:c>
      <x:c r="T1298" t="str">
        <x:v>研究生宿舍楼发车</x:v>
      </x:c>
    </x:row>
    <x:row r="1299">
      <x:c r="A1299" s="14" t="str">
        <x:v>S0112-08</x:v>
      </x:c>
      <x:c r="B1299" s="14" t="str">
        <x:v>S0112</x:v>
      </x:c>
      <x:c r="C1299" s="14" t="str">
        <x:v>工作日</x:v>
      </x:c>
      <x:c r="D1299" s="14" t="str">
        <x:v>环线3路</x:v>
      </x:c>
      <x:c r="E1299" s="14" t="str">
        <x:v>第一班</x:v>
      </x:c>
      <x:c r="F1299" s="14" t="n">
        <x:v>4</x:v>
      </x:c>
      <x:c r="G1299" s="14" t="str">
        <x:v>9:05</x:v>
      </x:c>
      <x:c r="H1299" s="14" t="str">
        <x:v>研究生宿舍楼</x:v>
      </x:c>
      <x:c r="I1299" s="14" t="str">
        <x:v>否</x:v>
      </x:c>
      <x:c r="J1299" s="14" t="n">
        <x:v>8</x:v>
      </x:c>
      <x:c r="K1299" s="14" t="str">
        <x:v>理学院</x:v>
      </x:c>
      <x:c r="L1299" s="14" t="n">
        <x:v>10</x:v>
      </x:c>
      <x:c r="M1299" s="14" t="str">
        <x:v>09:15</x:v>
      </x:c>
      <x:c r="N1299" s="14" t="str">
        <x:v>否</x:v>
      </x:c>
      <x:c r="O1299" s="14" t="str">
        <x:v>否</x:v>
      </x:c>
      <x:c r="P1299" s="14" t="str">
        <x:v>刘虎</x:v>
      </x:c>
      <x:c r="Q1299" s="14" t="str">
        <x:v>3号车</x:v>
      </x:c>
      <x:c r="R1299" s="14" t="str">
        <x:v>预测</x:v>
      </x:c>
      <x:c r="S1299" s="14" t="str">
        <x:v>到站时间为估算值</x:v>
      </x:c>
      <x:c r="T1299" t="str">
        <x:v>研究生宿舍楼发车</x:v>
      </x:c>
    </x:row>
    <x:row r="1300">
      <x:c r="A1300" s="14" t="str">
        <x:v>S0112-09</x:v>
      </x:c>
      <x:c r="B1300" s="14" t="str">
        <x:v>S0112</x:v>
      </x:c>
      <x:c r="C1300" s="14" t="str">
        <x:v>工作日</x:v>
      </x:c>
      <x:c r="D1300" s="14" t="str">
        <x:v>环线3路</x:v>
      </x:c>
      <x:c r="E1300" s="14" t="str">
        <x:v>第一班</x:v>
      </x:c>
      <x:c r="F1300" s="14" t="n">
        <x:v>4</x:v>
      </x:c>
      <x:c r="G1300" s="14" t="str">
        <x:v>9:05</x:v>
      </x:c>
      <x:c r="H1300" s="14" t="str">
        <x:v>研究生宿舍楼</x:v>
      </x:c>
      <x:c r="I1300" s="14" t="str">
        <x:v>否</x:v>
      </x:c>
      <x:c r="J1300" s="14" t="n">
        <x:v>9</x:v>
      </x:c>
      <x:c r="K1300" s="14" t="str">
        <x:v>二食堂</x:v>
      </x:c>
      <x:c r="L1300" s="14" t="n">
        <x:v>13</x:v>
      </x:c>
      <x:c r="M1300" s="14" t="str">
        <x:v>09:18</x:v>
      </x:c>
      <x:c r="N1300" s="14" t="str">
        <x:v>否</x:v>
      </x:c>
      <x:c r="O1300" s="14" t="str">
        <x:v>否</x:v>
      </x:c>
      <x:c r="P1300" s="14" t="str">
        <x:v>刘虎</x:v>
      </x:c>
      <x:c r="Q1300" s="14" t="str">
        <x:v>3号车</x:v>
      </x:c>
      <x:c r="R1300" s="14" t="str">
        <x:v>预测</x:v>
      </x:c>
      <x:c r="S1300" s="14" t="str">
        <x:v>到站时间为估算值</x:v>
      </x:c>
      <x:c r="T1300" t="str">
        <x:v>研究生宿舍楼发车</x:v>
      </x:c>
    </x:row>
    <x:row r="1301">
      <x:c r="A1301" s="14" t="str">
        <x:v>S0112-10</x:v>
      </x:c>
      <x:c r="B1301" s="14" t="str">
        <x:v>S0112</x:v>
      </x:c>
      <x:c r="C1301" s="14" t="str">
        <x:v>工作日</x:v>
      </x:c>
      <x:c r="D1301" s="14" t="str">
        <x:v>环线3路</x:v>
      </x:c>
      <x:c r="E1301" s="14" t="str">
        <x:v>第一班</x:v>
      </x:c>
      <x:c r="F1301" s="14" t="n">
        <x:v>4</x:v>
      </x:c>
      <x:c r="G1301" s="14" t="str">
        <x:v>9:05</x:v>
      </x:c>
      <x:c r="H1301" s="14" t="str">
        <x:v>研究生宿舍楼</x:v>
      </x:c>
      <x:c r="I1301" s="14" t="str">
        <x:v>否</x:v>
      </x:c>
      <x:c r="J1301" s="14" t="n">
        <x:v>10</x:v>
      </x:c>
      <x:c r="K1301" s="14" t="str">
        <x:v>图书馆</x:v>
      </x:c>
      <x:c r="L1301" s="14" t="n">
        <x:v>14</x:v>
      </x:c>
      <x:c r="M1301" s="14" t="str">
        <x:v>09:19</x:v>
      </x:c>
      <x:c r="N1301" s="14" t="str">
        <x:v>否</x:v>
      </x:c>
      <x:c r="O1301" s="14" t="str">
        <x:v>否</x:v>
      </x:c>
      <x:c r="P1301" s="14" t="str">
        <x:v>刘虎</x:v>
      </x:c>
      <x:c r="Q1301" s="14" t="str">
        <x:v>3号车</x:v>
      </x:c>
      <x:c r="R1301" s="14" t="str">
        <x:v>预测</x:v>
      </x:c>
      <x:c r="S1301" s="14" t="str">
        <x:v>到站时间为估算值</x:v>
      </x:c>
      <x:c r="T1301" t="str">
        <x:v>研究生宿舍楼发车</x:v>
      </x:c>
    </x:row>
    <x:row r="1302">
      <x:c r="A1302" s="14" t="str">
        <x:v>S0112-11</x:v>
      </x:c>
      <x:c r="B1302" s="14" t="str">
        <x:v>S0112</x:v>
      </x:c>
      <x:c r="C1302" s="14" t="str">
        <x:v>工作日</x:v>
      </x:c>
      <x:c r="D1302" s="14" t="str">
        <x:v>环线3路</x:v>
      </x:c>
      <x:c r="E1302" s="14" t="str">
        <x:v>第一班</x:v>
      </x:c>
      <x:c r="F1302" s="14" t="n">
        <x:v>4</x:v>
      </x:c>
      <x:c r="G1302" s="14" t="str">
        <x:v>9:05</x:v>
      </x:c>
      <x:c r="H1302" s="14" t="str">
        <x:v>研究生宿舍楼</x:v>
      </x:c>
      <x:c r="I1302" s="14" t="str">
        <x:v>否</x:v>
      </x:c>
      <x:c r="J1302" s="14" t="n">
        <x:v>11</x:v>
      </x:c>
      <x:c r="K1302" s="14" t="str">
        <x:v>305教学楼</x:v>
      </x:c>
      <x:c r="L1302" s="14" t="n">
        <x:v>16</x:v>
      </x:c>
      <x:c r="M1302" s="14" t="str">
        <x:v>09:21</x:v>
      </x:c>
      <x:c r="N1302" s="14" t="str">
        <x:v>否</x:v>
      </x:c>
      <x:c r="O1302" s="14" t="str">
        <x:v>否</x:v>
      </x:c>
      <x:c r="P1302" s="14" t="str">
        <x:v>刘虎</x:v>
      </x:c>
      <x:c r="Q1302" s="14" t="str">
        <x:v>3号车</x:v>
      </x:c>
      <x:c r="R1302" s="14" t="str">
        <x:v>预测</x:v>
      </x:c>
      <x:c r="S1302" s="14" t="str">
        <x:v>到站时间为估算值</x:v>
      </x:c>
      <x:c r="T1302" t="str">
        <x:v>研究生宿舍楼发车</x:v>
      </x:c>
    </x:row>
    <x:row r="1303">
      <x:c r="A1303" s="14" t="str">
        <x:v>S0112-12</x:v>
      </x:c>
      <x:c r="B1303" s="14" t="str">
        <x:v>S0112</x:v>
      </x:c>
      <x:c r="C1303" s="14" t="str">
        <x:v>工作日</x:v>
      </x:c>
      <x:c r="D1303" s="14" t="str">
        <x:v>环线3路</x:v>
      </x:c>
      <x:c r="E1303" s="14" t="str">
        <x:v>第一班</x:v>
      </x:c>
      <x:c r="F1303" s="14" t="n">
        <x:v>4</x:v>
      </x:c>
      <x:c r="G1303" s="14" t="str">
        <x:v>9:05</x:v>
      </x:c>
      <x:c r="H1303" s="14" t="str">
        <x:v>研究生宿舍楼</x:v>
      </x:c>
      <x:c r="I1303" s="14" t="str">
        <x:v>否</x:v>
      </x:c>
      <x:c r="J1303" s="14" t="n">
        <x:v>12</x:v>
      </x:c>
      <x:c r="K1303" s="14" t="str">
        <x:v>研究生宿舍楼</x:v>
      </x:c>
      <x:c r="L1303" s="14" t="n">
        <x:v>18</x:v>
      </x:c>
      <x:c r="M1303" s="14" t="str">
        <x:v>09:23</x:v>
      </x:c>
      <x:c r="N1303" s="14" t="str">
        <x:v>否</x:v>
      </x:c>
      <x:c r="O1303" s="14" t="str">
        <x:v>是</x:v>
      </x:c>
      <x:c r="P1303" s="14" t="str">
        <x:v>刘虎</x:v>
      </x:c>
      <x:c r="Q1303" s="14" t="str">
        <x:v>3号车</x:v>
      </x:c>
      <x:c r="R1303" s="14" t="str">
        <x:v>预测</x:v>
      </x:c>
      <x:c r="S1303" s="14" t="str">
        <x:v>到站时间为估算值</x:v>
      </x:c>
      <x:c r="T1303" t="str">
        <x:v>研究生宿舍楼发车</x:v>
      </x:c>
    </x:row>
    <x:row r="1304">
      <x:c r="A1304" s="14" t="str">
        <x:v>S0113-01</x:v>
      </x:c>
      <x:c r="B1304" s="14" t="str">
        <x:v>S0113</x:v>
      </x:c>
      <x:c r="C1304" s="14" t="str">
        <x:v>工作日</x:v>
      </x:c>
      <x:c r="D1304" s="14" t="str">
        <x:v>环线3路</x:v>
      </x:c>
      <x:c r="E1304" s="14" t="str">
        <x:v>第一班</x:v>
      </x:c>
      <x:c r="F1304" s="14" t="n">
        <x:v>5</x:v>
      </x:c>
      <x:c r="G1304" s="14" t="str">
        <x:v>10:50</x:v>
      </x:c>
      <x:c r="H1304" s="14" t="str">
        <x:v>高超楼（系统工程学院旁）</x:v>
      </x:c>
      <x:c r="I1304" s="14" t="str">
        <x:v>是</x:v>
      </x:c>
      <x:c r="J1304" s="14" t="n">
        <x:v>1</x:v>
      </x:c>
      <x:c r="K1304" s="14" t="str">
        <x:v>高超楼</x:v>
      </x:c>
      <x:c r="L1304" s="14" t="n">
        <x:v>0</x:v>
      </x:c>
      <x:c r="M1304" s="14" t="str">
        <x:v>10:50</x:v>
      </x:c>
      <x:c r="N1304" s="14" t="str">
        <x:v>是</x:v>
      </x:c>
      <x:c r="O1304" s="14" t="str">
        <x:v>否</x:v>
      </x:c>
      <x:c r="P1304" s="14" t="str">
        <x:v>刘虎</x:v>
      </x:c>
      <x:c r="Q1304" s="14" t="str">
        <x:v>3号车</x:v>
      </x:c>
      <x:c r="R1304" s="14" t="str">
        <x:v>预测</x:v>
      </x:c>
      <x:c r="S1304" s="14" t="str">
        <x:v>到站时间为估算值</x:v>
      </x:c>
      <x:c r="T1304" t="str">
        <x:v>高超楼发车</x:v>
      </x:c>
    </x:row>
    <x:row r="1305">
      <x:c r="A1305" s="14" t="str">
        <x:v>S0113-02</x:v>
      </x:c>
      <x:c r="B1305" s="14" t="str">
        <x:v>S0113</x:v>
      </x:c>
      <x:c r="C1305" s="14" t="str">
        <x:v>工作日</x:v>
      </x:c>
      <x:c r="D1305" s="14" t="str">
        <x:v>环线3路</x:v>
      </x:c>
      <x:c r="E1305" s="14" t="str">
        <x:v>第一班</x:v>
      </x:c>
      <x:c r="F1305" s="14" t="n">
        <x:v>5</x:v>
      </x:c>
      <x:c r="G1305" s="14" t="str">
        <x:v>10:50</x:v>
      </x:c>
      <x:c r="H1305" s="14" t="str">
        <x:v>高超楼（系统工程学院旁）</x:v>
      </x:c>
      <x:c r="I1305" s="14" t="str">
        <x:v>是</x:v>
      </x:c>
      <x:c r="J1305" s="14" t="n">
        <x:v>2</x:v>
      </x:c>
      <x:c r="K1305" s="14" t="str">
        <x:v>理学院</x:v>
      </x:c>
      <x:c r="L1305" s="14" t="n">
        <x:v>1</x:v>
      </x:c>
      <x:c r="M1305" s="14" t="str">
        <x:v>10:51</x:v>
      </x:c>
      <x:c r="N1305" s="14" t="str">
        <x:v>否</x:v>
      </x:c>
      <x:c r="O1305" s="14" t="str">
        <x:v>否</x:v>
      </x:c>
      <x:c r="P1305" s="14" t="str">
        <x:v>刘虎</x:v>
      </x:c>
      <x:c r="Q1305" s="14" t="str">
        <x:v>3号车</x:v>
      </x:c>
      <x:c r="R1305" s="14" t="str">
        <x:v>预测</x:v>
      </x:c>
      <x:c r="S1305" s="14" t="str">
        <x:v>到站时间为估算值</x:v>
      </x:c>
      <x:c r="T1305" t="str">
        <x:v>高超楼发车</x:v>
      </x:c>
    </x:row>
    <x:row r="1306">
      <x:c r="A1306" s="14" t="str">
        <x:v>S0113-03</x:v>
      </x:c>
      <x:c r="B1306" s="14" t="str">
        <x:v>S0113</x:v>
      </x:c>
      <x:c r="C1306" s="14" t="str">
        <x:v>工作日</x:v>
      </x:c>
      <x:c r="D1306" s="14" t="str">
        <x:v>环线3路</x:v>
      </x:c>
      <x:c r="E1306" s="14" t="str">
        <x:v>第一班</x:v>
      </x:c>
      <x:c r="F1306" s="14" t="n">
        <x:v>5</x:v>
      </x:c>
      <x:c r="G1306" s="14" t="str">
        <x:v>10:50</x:v>
      </x:c>
      <x:c r="H1306" s="14" t="str">
        <x:v>高超楼（系统工程学院旁）</x:v>
      </x:c>
      <x:c r="I1306" s="14" t="str">
        <x:v>是</x:v>
      </x:c>
      <x:c r="J1306" s="14" t="n">
        <x:v>3</x:v>
      </x:c>
      <x:c r="K1306" s="14" t="str">
        <x:v>二食堂</x:v>
      </x:c>
      <x:c r="L1306" s="14" t="n">
        <x:v>4</x:v>
      </x:c>
      <x:c r="M1306" s="14" t="str">
        <x:v>10:54</x:v>
      </x:c>
      <x:c r="N1306" s="14" t="str">
        <x:v>否</x:v>
      </x:c>
      <x:c r="O1306" s="14" t="str">
        <x:v>否</x:v>
      </x:c>
      <x:c r="P1306" s="14" t="str">
        <x:v>刘虎</x:v>
      </x:c>
      <x:c r="Q1306" s="14" t="str">
        <x:v>3号车</x:v>
      </x:c>
      <x:c r="R1306" s="14" t="str">
        <x:v>预测</x:v>
      </x:c>
      <x:c r="S1306" s="14" t="str">
        <x:v>到站时间为估算值</x:v>
      </x:c>
      <x:c r="T1306" t="str">
        <x:v>高超楼发车</x:v>
      </x:c>
    </x:row>
    <x:row r="1307">
      <x:c r="A1307" s="14" t="str">
        <x:v>S0113-04</x:v>
      </x:c>
      <x:c r="B1307" s="14" t="str">
        <x:v>S0113</x:v>
      </x:c>
      <x:c r="C1307" s="14" t="str">
        <x:v>工作日</x:v>
      </x:c>
      <x:c r="D1307" s="14" t="str">
        <x:v>环线3路</x:v>
      </x:c>
      <x:c r="E1307" s="14" t="str">
        <x:v>第一班</x:v>
      </x:c>
      <x:c r="F1307" s="14" t="n">
        <x:v>5</x:v>
      </x:c>
      <x:c r="G1307" s="14" t="str">
        <x:v>10:50</x:v>
      </x:c>
      <x:c r="H1307" s="14" t="str">
        <x:v>高超楼（系统工程学院旁）</x:v>
      </x:c>
      <x:c r="I1307" s="14" t="str">
        <x:v>是</x:v>
      </x:c>
      <x:c r="J1307" s="14" t="n">
        <x:v>4</x:v>
      </x:c>
      <x:c r="K1307" s="14" t="str">
        <x:v>图书馆</x:v>
      </x:c>
      <x:c r="L1307" s="14" t="n">
        <x:v>5</x:v>
      </x:c>
      <x:c r="M1307" s="14" t="str">
        <x:v>10:55</x:v>
      </x:c>
      <x:c r="N1307" s="14" t="str">
        <x:v>否</x:v>
      </x:c>
      <x:c r="O1307" s="14" t="str">
        <x:v>否</x:v>
      </x:c>
      <x:c r="P1307" s="14" t="str">
        <x:v>刘虎</x:v>
      </x:c>
      <x:c r="Q1307" s="14" t="str">
        <x:v>3号车</x:v>
      </x:c>
      <x:c r="R1307" s="14" t="str">
        <x:v>预测</x:v>
      </x:c>
      <x:c r="S1307" s="14" t="str">
        <x:v>到站时间为估算值</x:v>
      </x:c>
      <x:c r="T1307" t="str">
        <x:v>高超楼发车</x:v>
      </x:c>
    </x:row>
    <x:row r="1308">
      <x:c r="A1308" s="14" t="str">
        <x:v>S0113-05</x:v>
      </x:c>
      <x:c r="B1308" s="14" t="str">
        <x:v>S0113</x:v>
      </x:c>
      <x:c r="C1308" s="14" t="str">
        <x:v>工作日</x:v>
      </x:c>
      <x:c r="D1308" s="14" t="str">
        <x:v>环线3路</x:v>
      </x:c>
      <x:c r="E1308" s="14" t="str">
        <x:v>第一班</x:v>
      </x:c>
      <x:c r="F1308" s="14" t="n">
        <x:v>5</x:v>
      </x:c>
      <x:c r="G1308" s="14" t="str">
        <x:v>10:50</x:v>
      </x:c>
      <x:c r="H1308" s="14" t="str">
        <x:v>高超楼（系统工程学院旁）</x:v>
      </x:c>
      <x:c r="I1308" s="14" t="str">
        <x:v>是</x:v>
      </x:c>
      <x:c r="J1308" s="14" t="n">
        <x:v>5</x:v>
      </x:c>
      <x:c r="K1308" s="14" t="str">
        <x:v>305教学楼</x:v>
      </x:c>
      <x:c r="L1308" s="14" t="n">
        <x:v>7</x:v>
      </x:c>
      <x:c r="M1308" s="14" t="str">
        <x:v>10:57</x:v>
      </x:c>
      <x:c r="N1308" s="14" t="str">
        <x:v>否</x:v>
      </x:c>
      <x:c r="O1308" s="14" t="str">
        <x:v>否</x:v>
      </x:c>
      <x:c r="P1308" s="14" t="str">
        <x:v>刘虎</x:v>
      </x:c>
      <x:c r="Q1308" s="14" t="str">
        <x:v>3号车</x:v>
      </x:c>
      <x:c r="R1308" s="14" t="str">
        <x:v>预测</x:v>
      </x:c>
      <x:c r="S1308" s="14" t="str">
        <x:v>到站时间为估算值</x:v>
      </x:c>
      <x:c r="T1308" t="str">
        <x:v>高超楼发车</x:v>
      </x:c>
    </x:row>
    <x:row r="1309">
      <x:c r="A1309" s="14" t="str">
        <x:v>S0113-06</x:v>
      </x:c>
      <x:c r="B1309" s="14" t="str">
        <x:v>S0113</x:v>
      </x:c>
      <x:c r="C1309" s="14" t="str">
        <x:v>工作日</x:v>
      </x:c>
      <x:c r="D1309" s="14" t="str">
        <x:v>环线3路</x:v>
      </x:c>
      <x:c r="E1309" s="14" t="str">
        <x:v>第一班</x:v>
      </x:c>
      <x:c r="F1309" s="14" t="n">
        <x:v>5</x:v>
      </x:c>
      <x:c r="G1309" s="14" t="str">
        <x:v>10:50</x:v>
      </x:c>
      <x:c r="H1309" s="14" t="str">
        <x:v>高超楼（系统工程学院旁）</x:v>
      </x:c>
      <x:c r="I1309" s="14" t="str">
        <x:v>是</x:v>
      </x:c>
      <x:c r="J1309" s="14" t="n">
        <x:v>6</x:v>
      </x:c>
      <x:c r="K1309" s="14" t="str">
        <x:v>研究生宿舍楼</x:v>
      </x:c>
      <x:c r="L1309" s="14" t="n">
        <x:v>9</x:v>
      </x:c>
      <x:c r="M1309" s="14" t="str">
        <x:v>10:59</x:v>
      </x:c>
      <x:c r="N1309" s="14" t="str">
        <x:v>否</x:v>
      </x:c>
      <x:c r="O1309" s="14" t="str">
        <x:v>否</x:v>
      </x:c>
      <x:c r="P1309" s="14" t="str">
        <x:v>刘虎</x:v>
      </x:c>
      <x:c r="Q1309" s="14" t="str">
        <x:v>3号车</x:v>
      </x:c>
      <x:c r="R1309" s="14" t="str">
        <x:v>预测</x:v>
      </x:c>
      <x:c r="S1309" s="14" t="str">
        <x:v>到站时间为估算值</x:v>
      </x:c>
      <x:c r="T1309" t="str">
        <x:v>高超楼发车</x:v>
      </x:c>
    </x:row>
    <x:row r="1310">
      <x:c r="A1310" s="14" t="str">
        <x:v>S0113-07</x:v>
      </x:c>
      <x:c r="B1310" s="14" t="str">
        <x:v>S0113</x:v>
      </x:c>
      <x:c r="C1310" s="14" t="str">
        <x:v>工作日</x:v>
      </x:c>
      <x:c r="D1310" s="14" t="str">
        <x:v>环线3路</x:v>
      </x:c>
      <x:c r="E1310" s="14" t="str">
        <x:v>第一班</x:v>
      </x:c>
      <x:c r="F1310" s="14" t="n">
        <x:v>5</x:v>
      </x:c>
      <x:c r="G1310" s="14" t="str">
        <x:v>10:50</x:v>
      </x:c>
      <x:c r="H1310" s="14" t="str">
        <x:v>高超楼（系统工程学院旁）</x:v>
      </x:c>
      <x:c r="I1310" s="14" t="str">
        <x:v>是</x:v>
      </x:c>
      <x:c r="J1310" s="14" t="n">
        <x:v>7</x:v>
      </x:c>
      <x:c r="K1310" s="14" t="str">
        <x:v>一食堂</x:v>
      </x:c>
      <x:c r="L1310" s="14" t="n">
        <x:v>10</x:v>
      </x:c>
      <x:c r="M1310" s="14" t="str">
        <x:v>11:00</x:v>
      </x:c>
      <x:c r="N1310" s="14" t="str">
        <x:v>否</x:v>
      </x:c>
      <x:c r="O1310" s="14" t="str">
        <x:v>否</x:v>
      </x:c>
      <x:c r="P1310" s="14" t="str">
        <x:v>刘虎</x:v>
      </x:c>
      <x:c r="Q1310" s="14" t="str">
        <x:v>3号车</x:v>
      </x:c>
      <x:c r="R1310" s="14" t="str">
        <x:v>预测</x:v>
      </x:c>
      <x:c r="S1310" s="14" t="str">
        <x:v>到站时间为估算值</x:v>
      </x:c>
      <x:c r="T1310" t="str">
        <x:v>高超楼发车</x:v>
      </x:c>
    </x:row>
    <x:row r="1311">
      <x:c r="A1311" s="14" t="str">
        <x:v>S0113-08</x:v>
      </x:c>
      <x:c r="B1311" s="14" t="str">
        <x:v>S0113</x:v>
      </x:c>
      <x:c r="C1311" s="14" t="str">
        <x:v>工作日</x:v>
      </x:c>
      <x:c r="D1311" s="14" t="str">
        <x:v>环线3路</x:v>
      </x:c>
      <x:c r="E1311" s="14" t="str">
        <x:v>第一班</x:v>
      </x:c>
      <x:c r="F1311" s="14" t="n">
        <x:v>5</x:v>
      </x:c>
      <x:c r="G1311" s="14" t="str">
        <x:v>10:50</x:v>
      </x:c>
      <x:c r="H1311" s="14" t="str">
        <x:v>高超楼（系统工程学院旁）</x:v>
      </x:c>
      <x:c r="I1311" s="14" t="str">
        <x:v>是</x:v>
      </x:c>
      <x:c r="J1311" s="14" t="n">
        <x:v>8</x:v>
      </x:c>
      <x:c r="K1311" s="14" t="str">
        <x:v>2号宿舍楼</x:v>
      </x:c>
      <x:c r="L1311" s="14" t="n">
        <x:v>12</x:v>
      </x:c>
      <x:c r="M1311" s="14" t="str">
        <x:v>11:02</x:v>
      </x:c>
      <x:c r="N1311" s="14" t="str">
        <x:v>否</x:v>
      </x:c>
      <x:c r="O1311" s="14" t="str">
        <x:v>否</x:v>
      </x:c>
      <x:c r="P1311" s="14" t="str">
        <x:v>刘虎</x:v>
      </x:c>
      <x:c r="Q1311" s="14" t="str">
        <x:v>3号车</x:v>
      </x:c>
      <x:c r="R1311" s="14" t="str">
        <x:v>预测</x:v>
      </x:c>
      <x:c r="S1311" s="14" t="str">
        <x:v>到站时间为估算值</x:v>
      </x:c>
      <x:c r="T1311" t="str">
        <x:v>高超楼发车</x:v>
      </x:c>
    </x:row>
    <x:row r="1312">
      <x:c r="A1312" s="14" t="str">
        <x:v>S0113-09</x:v>
      </x:c>
      <x:c r="B1312" s="14" t="str">
        <x:v>S0113</x:v>
      </x:c>
      <x:c r="C1312" s="14" t="str">
        <x:v>工作日</x:v>
      </x:c>
      <x:c r="D1312" s="14" t="str">
        <x:v>环线3路</x:v>
      </x:c>
      <x:c r="E1312" s="14" t="str">
        <x:v>第一班</x:v>
      </x:c>
      <x:c r="F1312" s="14" t="n">
        <x:v>5</x:v>
      </x:c>
      <x:c r="G1312" s="14" t="str">
        <x:v>10:50</x:v>
      </x:c>
      <x:c r="H1312" s="14" t="str">
        <x:v>高超楼（系统工程学院旁）</x:v>
      </x:c>
      <x:c r="I1312" s="14" t="str">
        <x:v>是</x:v>
      </x:c>
      <x:c r="J1312" s="14" t="n">
        <x:v>9</x:v>
      </x:c>
      <x:c r="K1312" s="14" t="str">
        <x:v>军体活动中心</x:v>
      </x:c>
      <x:c r="L1312" s="14" t="n">
        <x:v>13</x:v>
      </x:c>
      <x:c r="M1312" s="14" t="str">
        <x:v>11:03</x:v>
      </x:c>
      <x:c r="N1312" s="14" t="str">
        <x:v>否</x:v>
      </x:c>
      <x:c r="O1312" s="14" t="str">
        <x:v>否</x:v>
      </x:c>
      <x:c r="P1312" s="14" t="str">
        <x:v>刘虎</x:v>
      </x:c>
      <x:c r="Q1312" s="14" t="str">
        <x:v>3号车</x:v>
      </x:c>
      <x:c r="R1312" s="14" t="str">
        <x:v>预测</x:v>
      </x:c>
      <x:c r="S1312" s="14" t="str">
        <x:v>到站时间为估算值</x:v>
      </x:c>
      <x:c r="T1312" t="str">
        <x:v>高超楼发车</x:v>
      </x:c>
    </x:row>
    <x:row r="1313">
      <x:c r="A1313" s="14" t="str">
        <x:v>S0113-10</x:v>
      </x:c>
      <x:c r="B1313" s="14" t="str">
        <x:v>S0113</x:v>
      </x:c>
      <x:c r="C1313" s="14" t="str">
        <x:v>工作日</x:v>
      </x:c>
      <x:c r="D1313" s="14" t="str">
        <x:v>环线3路</x:v>
      </x:c>
      <x:c r="E1313" s="14" t="str">
        <x:v>第一班</x:v>
      </x:c>
      <x:c r="F1313" s="14" t="n">
        <x:v>5</x:v>
      </x:c>
      <x:c r="G1313" s="14" t="str">
        <x:v>10:50</x:v>
      </x:c>
      <x:c r="H1313" s="14" t="str">
        <x:v>高超楼（系统工程学院旁）</x:v>
      </x:c>
      <x:c r="I1313" s="14" t="str">
        <x:v>是</x:v>
      </x:c>
      <x:c r="J1313" s="14" t="n">
        <x:v>10</x:v>
      </x:c>
      <x:c r="K1313" s="14" t="str">
        <x:v>教勤连</x:v>
      </x:c>
      <x:c r="L1313" s="14" t="n">
        <x:v>15</x:v>
      </x:c>
      <x:c r="M1313" s="14" t="str">
        <x:v>11:05</x:v>
      </x:c>
      <x:c r="N1313" s="14" t="str">
        <x:v>否</x:v>
      </x:c>
      <x:c r="O1313" s="14" t="str">
        <x:v>否</x:v>
      </x:c>
      <x:c r="P1313" s="14" t="str">
        <x:v>刘虎</x:v>
      </x:c>
      <x:c r="Q1313" s="14" t="str">
        <x:v>3号车</x:v>
      </x:c>
      <x:c r="R1313" s="14" t="str">
        <x:v>预测</x:v>
      </x:c>
      <x:c r="S1313" s="14" t="str">
        <x:v>到站时间为估算值</x:v>
      </x:c>
      <x:c r="T1313" t="str">
        <x:v>高超楼发车</x:v>
      </x:c>
    </x:row>
    <x:row r="1314">
      <x:c r="A1314" s="14" t="str">
        <x:v>S0113-11</x:v>
      </x:c>
      <x:c r="B1314" s="14" t="str">
        <x:v>S0113</x:v>
      </x:c>
      <x:c r="C1314" s="14" t="str">
        <x:v>工作日</x:v>
      </x:c>
      <x:c r="D1314" s="14" t="str">
        <x:v>环线3路</x:v>
      </x:c>
      <x:c r="E1314" s="14" t="str">
        <x:v>第一班</x:v>
      </x:c>
      <x:c r="F1314" s="14" t="n">
        <x:v>5</x:v>
      </x:c>
      <x:c r="G1314" s="14" t="str">
        <x:v>10:50</x:v>
      </x:c>
      <x:c r="H1314" s="14" t="str">
        <x:v>高超楼（系统工程学院旁）</x:v>
      </x:c>
      <x:c r="I1314" s="14" t="str">
        <x:v>是</x:v>
      </x:c>
      <x:c r="J1314" s="14" t="n">
        <x:v>11</x:v>
      </x:c>
      <x:c r="K1314" s="14" t="str">
        <x:v>激光所</x:v>
      </x:c>
      <x:c r="L1314" s="14" t="n">
        <x:v>16</x:v>
      </x:c>
      <x:c r="M1314" s="14" t="str">
        <x:v>11:06</x:v>
      </x:c>
      <x:c r="N1314" s="14" t="str">
        <x:v>否</x:v>
      </x:c>
      <x:c r="O1314" s="14" t="str">
        <x:v>否</x:v>
      </x:c>
      <x:c r="P1314" s="14" t="str">
        <x:v>刘虎</x:v>
      </x:c>
      <x:c r="Q1314" s="14" t="str">
        <x:v>3号车</x:v>
      </x:c>
      <x:c r="R1314" s="14" t="str">
        <x:v>预测</x:v>
      </x:c>
      <x:c r="S1314" s="14" t="str">
        <x:v>到站时间为估算值</x:v>
      </x:c>
      <x:c r="T1314" t="str">
        <x:v>高超楼发车</x:v>
      </x:c>
    </x:row>
    <x:row r="1315">
      <x:c r="A1315" s="14" t="str">
        <x:v>S0113-12</x:v>
      </x:c>
      <x:c r="B1315" s="14" t="str">
        <x:v>S0113</x:v>
      </x:c>
      <x:c r="C1315" s="14" t="str">
        <x:v>工作日</x:v>
      </x:c>
      <x:c r="D1315" s="14" t="str">
        <x:v>环线3路</x:v>
      </x:c>
      <x:c r="E1315" s="14" t="str">
        <x:v>第一班</x:v>
      </x:c>
      <x:c r="F1315" s="14" t="n">
        <x:v>5</x:v>
      </x:c>
      <x:c r="G1315" s="14" t="str">
        <x:v>10:50</x:v>
      </x:c>
      <x:c r="H1315" s="14" t="str">
        <x:v>高超楼（系统工程学院旁）</x:v>
      </x:c>
      <x:c r="I1315" s="14" t="str">
        <x:v>是</x:v>
      </x:c>
      <x:c r="J1315" s="14" t="n">
        <x:v>12</x:v>
      </x:c>
      <x:c r="K1315" s="14" t="str">
        <x:v>高超楼</x:v>
      </x:c>
      <x:c r="L1315" s="14" t="n">
        <x:v>18</x:v>
      </x:c>
      <x:c r="M1315" s="14" t="str">
        <x:v>11:08</x:v>
      </x:c>
      <x:c r="N1315" s="14" t="str">
        <x:v>否</x:v>
      </x:c>
      <x:c r="O1315" s="14" t="str">
        <x:v>是</x:v>
      </x:c>
      <x:c r="P1315" s="14" t="str">
        <x:v>刘虎</x:v>
      </x:c>
      <x:c r="Q1315" s="14" t="str">
        <x:v>3号车</x:v>
      </x:c>
      <x:c r="R1315" s="14" t="str">
        <x:v>预测</x:v>
      </x:c>
      <x:c r="S1315" s="14" t="str">
        <x:v>到站时间为估算值</x:v>
      </x:c>
      <x:c r="T1315" t="str">
        <x:v>高超楼发车</x:v>
      </x:c>
    </x:row>
    <x:row r="1316">
      <x:c r="A1316" s="14" t="str">
        <x:v>S0114-01</x:v>
      </x:c>
      <x:c r="B1316" s="14" t="str">
        <x:v>S0114</x:v>
      </x:c>
      <x:c r="C1316" s="14" t="str">
        <x:v>工作日</x:v>
      </x:c>
      <x:c r="D1316" s="14" t="str">
        <x:v>环线3路</x:v>
      </x:c>
      <x:c r="E1316" s="14" t="str">
        <x:v>第一班</x:v>
      </x:c>
      <x:c r="F1316" s="14" t="n">
        <x:v>6</x:v>
      </x:c>
      <x:c r="G1316" s="14" t="str">
        <x:v>11:20</x:v>
      </x:c>
      <x:c r="H1316" s="14" t="str">
        <x:v>研究生宿舍楼</x:v>
      </x:c>
      <x:c r="I1316" s="14" t="str">
        <x:v>否</x:v>
      </x:c>
      <x:c r="J1316" s="14" t="n">
        <x:v>1</x:v>
      </x:c>
      <x:c r="K1316" s="14" t="str">
        <x:v>研究生宿舍楼</x:v>
      </x:c>
      <x:c r="L1316" s="14" t="n">
        <x:v>0</x:v>
      </x:c>
      <x:c r="M1316" s="14" t="str">
        <x:v>11:20</x:v>
      </x:c>
      <x:c r="N1316" s="14" t="str">
        <x:v>是</x:v>
      </x:c>
      <x:c r="O1316" s="14" t="str">
        <x:v>否</x:v>
      </x:c>
      <x:c r="P1316" s="14" t="str">
        <x:v>刘虎</x:v>
      </x:c>
      <x:c r="Q1316" s="14" t="str">
        <x:v>3号车</x:v>
      </x:c>
      <x:c r="R1316" s="14" t="str">
        <x:v>预测</x:v>
      </x:c>
      <x:c r="S1316" s="14" t="str">
        <x:v>到站时间为估算值</x:v>
      </x:c>
      <x:c r="T1316" t="str">
        <x:v>研究生宿舍楼发车</x:v>
      </x:c>
    </x:row>
    <x:row r="1317">
      <x:c r="A1317" s="14" t="str">
        <x:v>S0114-02</x:v>
      </x:c>
      <x:c r="B1317" s="14" t="str">
        <x:v>S0114</x:v>
      </x:c>
      <x:c r="C1317" s="14" t="str">
        <x:v>工作日</x:v>
      </x:c>
      <x:c r="D1317" s="14" t="str">
        <x:v>环线3路</x:v>
      </x:c>
      <x:c r="E1317" s="14" t="str">
        <x:v>第一班</x:v>
      </x:c>
      <x:c r="F1317" s="14" t="n">
        <x:v>6</x:v>
      </x:c>
      <x:c r="G1317" s="14" t="str">
        <x:v>11:20</x:v>
      </x:c>
      <x:c r="H1317" s="14" t="str">
        <x:v>研究生宿舍楼</x:v>
      </x:c>
      <x:c r="I1317" s="14" t="str">
        <x:v>否</x:v>
      </x:c>
      <x:c r="J1317" s="14" t="n">
        <x:v>2</x:v>
      </x:c>
      <x:c r="K1317" s="14" t="str">
        <x:v>一食堂</x:v>
      </x:c>
      <x:c r="L1317" s="14" t="n">
        <x:v>1</x:v>
      </x:c>
      <x:c r="M1317" s="14" t="str">
        <x:v>11:21</x:v>
      </x:c>
      <x:c r="N1317" s="14" t="str">
        <x:v>否</x:v>
      </x:c>
      <x:c r="O1317" s="14" t="str">
        <x:v>否</x:v>
      </x:c>
      <x:c r="P1317" s="14" t="str">
        <x:v>刘虎</x:v>
      </x:c>
      <x:c r="Q1317" s="14" t="str">
        <x:v>3号车</x:v>
      </x:c>
      <x:c r="R1317" s="14" t="str">
        <x:v>预测</x:v>
      </x:c>
      <x:c r="S1317" s="14" t="str">
        <x:v>到站时间为估算值</x:v>
      </x:c>
      <x:c r="T1317" t="str">
        <x:v>研究生宿舍楼发车</x:v>
      </x:c>
    </x:row>
    <x:row r="1318">
      <x:c r="A1318" s="14" t="str">
        <x:v>S0114-03</x:v>
      </x:c>
      <x:c r="B1318" s="14" t="str">
        <x:v>S0114</x:v>
      </x:c>
      <x:c r="C1318" s="14" t="str">
        <x:v>工作日</x:v>
      </x:c>
      <x:c r="D1318" s="14" t="str">
        <x:v>环线3路</x:v>
      </x:c>
      <x:c r="E1318" s="14" t="str">
        <x:v>第一班</x:v>
      </x:c>
      <x:c r="F1318" s="14" t="n">
        <x:v>6</x:v>
      </x:c>
      <x:c r="G1318" s="14" t="str">
        <x:v>11:20</x:v>
      </x:c>
      <x:c r="H1318" s="14" t="str">
        <x:v>研究生宿舍楼</x:v>
      </x:c>
      <x:c r="I1318" s="14" t="str">
        <x:v>否</x:v>
      </x:c>
      <x:c r="J1318" s="14" t="n">
        <x:v>3</x:v>
      </x:c>
      <x:c r="K1318" s="14" t="str">
        <x:v>2号宿舍楼</x:v>
      </x:c>
      <x:c r="L1318" s="14" t="n">
        <x:v>3</x:v>
      </x:c>
      <x:c r="M1318" s="14" t="str">
        <x:v>11:23</x:v>
      </x:c>
      <x:c r="N1318" s="14" t="str">
        <x:v>否</x:v>
      </x:c>
      <x:c r="O1318" s="14" t="str">
        <x:v>否</x:v>
      </x:c>
      <x:c r="P1318" s="14" t="str">
        <x:v>刘虎</x:v>
      </x:c>
      <x:c r="Q1318" s="14" t="str">
        <x:v>3号车</x:v>
      </x:c>
      <x:c r="R1318" s="14" t="str">
        <x:v>预测</x:v>
      </x:c>
      <x:c r="S1318" s="14" t="str">
        <x:v>到站时间为估算值</x:v>
      </x:c>
      <x:c r="T1318" t="str">
        <x:v>研究生宿舍楼发车</x:v>
      </x:c>
    </x:row>
    <x:row r="1319">
      <x:c r="A1319" s="14" t="str">
        <x:v>S0114-04</x:v>
      </x:c>
      <x:c r="B1319" s="14" t="str">
        <x:v>S0114</x:v>
      </x:c>
      <x:c r="C1319" s="14" t="str">
        <x:v>工作日</x:v>
      </x:c>
      <x:c r="D1319" s="14" t="str">
        <x:v>环线3路</x:v>
      </x:c>
      <x:c r="E1319" s="14" t="str">
        <x:v>第一班</x:v>
      </x:c>
      <x:c r="F1319" s="14" t="n">
        <x:v>6</x:v>
      </x:c>
      <x:c r="G1319" s="14" t="str">
        <x:v>11:20</x:v>
      </x:c>
      <x:c r="H1319" s="14" t="str">
        <x:v>研究生宿舍楼</x:v>
      </x:c>
      <x:c r="I1319" s="14" t="str">
        <x:v>否</x:v>
      </x:c>
      <x:c r="J1319" s="14" t="n">
        <x:v>4</x:v>
      </x:c>
      <x:c r="K1319" s="14" t="str">
        <x:v>军体活动中心</x:v>
      </x:c>
      <x:c r="L1319" s="14" t="n">
        <x:v>4</x:v>
      </x:c>
      <x:c r="M1319" s="14" t="str">
        <x:v>11:24</x:v>
      </x:c>
      <x:c r="N1319" s="14" t="str">
        <x:v>否</x:v>
      </x:c>
      <x:c r="O1319" s="14" t="str">
        <x:v>否</x:v>
      </x:c>
      <x:c r="P1319" s="14" t="str">
        <x:v>刘虎</x:v>
      </x:c>
      <x:c r="Q1319" s="14" t="str">
        <x:v>3号车</x:v>
      </x:c>
      <x:c r="R1319" s="14" t="str">
        <x:v>预测</x:v>
      </x:c>
      <x:c r="S1319" s="14" t="str">
        <x:v>到站时间为估算值</x:v>
      </x:c>
      <x:c r="T1319" t="str">
        <x:v>研究生宿舍楼发车</x:v>
      </x:c>
    </x:row>
    <x:row r="1320">
      <x:c r="A1320" s="14" t="str">
        <x:v>S0114-05</x:v>
      </x:c>
      <x:c r="B1320" s="14" t="str">
        <x:v>S0114</x:v>
      </x:c>
      <x:c r="C1320" s="14" t="str">
        <x:v>工作日</x:v>
      </x:c>
      <x:c r="D1320" s="14" t="str">
        <x:v>环线3路</x:v>
      </x:c>
      <x:c r="E1320" s="14" t="str">
        <x:v>第一班</x:v>
      </x:c>
      <x:c r="F1320" s="14" t="n">
        <x:v>6</x:v>
      </x:c>
      <x:c r="G1320" s="14" t="str">
        <x:v>11:20</x:v>
      </x:c>
      <x:c r="H1320" s="14" t="str">
        <x:v>研究生宿舍楼</x:v>
      </x:c>
      <x:c r="I1320" s="14" t="str">
        <x:v>否</x:v>
      </x:c>
      <x:c r="J1320" s="14" t="n">
        <x:v>5</x:v>
      </x:c>
      <x:c r="K1320" s="14" t="str">
        <x:v>教勤连</x:v>
      </x:c>
      <x:c r="L1320" s="14" t="n">
        <x:v>6</x:v>
      </x:c>
      <x:c r="M1320" s="14" t="str">
        <x:v>11:26</x:v>
      </x:c>
      <x:c r="N1320" s="14" t="str">
        <x:v>否</x:v>
      </x:c>
      <x:c r="O1320" s="14" t="str">
        <x:v>否</x:v>
      </x:c>
      <x:c r="P1320" s="14" t="str">
        <x:v>刘虎</x:v>
      </x:c>
      <x:c r="Q1320" s="14" t="str">
        <x:v>3号车</x:v>
      </x:c>
      <x:c r="R1320" s="14" t="str">
        <x:v>预测</x:v>
      </x:c>
      <x:c r="S1320" s="14" t="str">
        <x:v>到站时间为估算值</x:v>
      </x:c>
      <x:c r="T1320" t="str">
        <x:v>研究生宿舍楼发车</x:v>
      </x:c>
    </x:row>
    <x:row r="1321">
      <x:c r="A1321" s="14" t="str">
        <x:v>S0114-06</x:v>
      </x:c>
      <x:c r="B1321" s="14" t="str">
        <x:v>S0114</x:v>
      </x:c>
      <x:c r="C1321" s="14" t="str">
        <x:v>工作日</x:v>
      </x:c>
      <x:c r="D1321" s="14" t="str">
        <x:v>环线3路</x:v>
      </x:c>
      <x:c r="E1321" s="14" t="str">
        <x:v>第一班</x:v>
      </x:c>
      <x:c r="F1321" s="14" t="n">
        <x:v>6</x:v>
      </x:c>
      <x:c r="G1321" s="14" t="str">
        <x:v>11:20</x:v>
      </x:c>
      <x:c r="H1321" s="14" t="str">
        <x:v>研究生宿舍楼</x:v>
      </x:c>
      <x:c r="I1321" s="14" t="str">
        <x:v>否</x:v>
      </x:c>
      <x:c r="J1321" s="14" t="n">
        <x:v>6</x:v>
      </x:c>
      <x:c r="K1321" s="14" t="str">
        <x:v>激光所</x:v>
      </x:c>
      <x:c r="L1321" s="14" t="n">
        <x:v>7</x:v>
      </x:c>
      <x:c r="M1321" s="14" t="str">
        <x:v>11:27</x:v>
      </x:c>
      <x:c r="N1321" s="14" t="str">
        <x:v>否</x:v>
      </x:c>
      <x:c r="O1321" s="14" t="str">
        <x:v>否</x:v>
      </x:c>
      <x:c r="P1321" s="14" t="str">
        <x:v>刘虎</x:v>
      </x:c>
      <x:c r="Q1321" s="14" t="str">
        <x:v>3号车</x:v>
      </x:c>
      <x:c r="R1321" s="14" t="str">
        <x:v>预测</x:v>
      </x:c>
      <x:c r="S1321" s="14" t="str">
        <x:v>到站时间为估算值</x:v>
      </x:c>
      <x:c r="T1321" t="str">
        <x:v>研究生宿舍楼发车</x:v>
      </x:c>
    </x:row>
    <x:row r="1322">
      <x:c r="A1322" s="14" t="str">
        <x:v>S0114-07</x:v>
      </x:c>
      <x:c r="B1322" s="14" t="str">
        <x:v>S0114</x:v>
      </x:c>
      <x:c r="C1322" s="14" t="str">
        <x:v>工作日</x:v>
      </x:c>
      <x:c r="D1322" s="14" t="str">
        <x:v>环线3路</x:v>
      </x:c>
      <x:c r="E1322" s="14" t="str">
        <x:v>第一班</x:v>
      </x:c>
      <x:c r="F1322" s="14" t="n">
        <x:v>6</x:v>
      </x:c>
      <x:c r="G1322" s="14" t="str">
        <x:v>11:20</x:v>
      </x:c>
      <x:c r="H1322" s="14" t="str">
        <x:v>研究生宿舍楼</x:v>
      </x:c>
      <x:c r="I1322" s="14" t="str">
        <x:v>否</x:v>
      </x:c>
      <x:c r="J1322" s="14" t="n">
        <x:v>7</x:v>
      </x:c>
      <x:c r="K1322" s="14" t="str">
        <x:v>高超楼</x:v>
      </x:c>
      <x:c r="L1322" s="14" t="n">
        <x:v>9</x:v>
      </x:c>
      <x:c r="M1322" s="14" t="str">
        <x:v>11:29</x:v>
      </x:c>
      <x:c r="N1322" s="14" t="str">
        <x:v>否</x:v>
      </x:c>
      <x:c r="O1322" s="14" t="str">
        <x:v>否</x:v>
      </x:c>
      <x:c r="P1322" s="14" t="str">
        <x:v>刘虎</x:v>
      </x:c>
      <x:c r="Q1322" s="14" t="str">
        <x:v>3号车</x:v>
      </x:c>
      <x:c r="R1322" s="14" t="str">
        <x:v>预测</x:v>
      </x:c>
      <x:c r="S1322" s="14" t="str">
        <x:v>到站时间为估算值</x:v>
      </x:c>
      <x:c r="T1322" t="str">
        <x:v>研究生宿舍楼发车</x:v>
      </x:c>
    </x:row>
    <x:row r="1323">
      <x:c r="A1323" s="14" t="str">
        <x:v>S0114-08</x:v>
      </x:c>
      <x:c r="B1323" s="14" t="str">
        <x:v>S0114</x:v>
      </x:c>
      <x:c r="C1323" s="14" t="str">
        <x:v>工作日</x:v>
      </x:c>
      <x:c r="D1323" s="14" t="str">
        <x:v>环线3路</x:v>
      </x:c>
      <x:c r="E1323" s="14" t="str">
        <x:v>第一班</x:v>
      </x:c>
      <x:c r="F1323" s="14" t="n">
        <x:v>6</x:v>
      </x:c>
      <x:c r="G1323" s="14" t="str">
        <x:v>11:20</x:v>
      </x:c>
      <x:c r="H1323" s="14" t="str">
        <x:v>研究生宿舍楼</x:v>
      </x:c>
      <x:c r="I1323" s="14" t="str">
        <x:v>否</x:v>
      </x:c>
      <x:c r="J1323" s="14" t="n">
        <x:v>8</x:v>
      </x:c>
      <x:c r="K1323" s="14" t="str">
        <x:v>理学院</x:v>
      </x:c>
      <x:c r="L1323" s="14" t="n">
        <x:v>10</x:v>
      </x:c>
      <x:c r="M1323" s="14" t="str">
        <x:v>11:30</x:v>
      </x:c>
      <x:c r="N1323" s="14" t="str">
        <x:v>否</x:v>
      </x:c>
      <x:c r="O1323" s="14" t="str">
        <x:v>否</x:v>
      </x:c>
      <x:c r="P1323" s="14" t="str">
        <x:v>刘虎</x:v>
      </x:c>
      <x:c r="Q1323" s="14" t="str">
        <x:v>3号车</x:v>
      </x:c>
      <x:c r="R1323" s="14" t="str">
        <x:v>预测</x:v>
      </x:c>
      <x:c r="S1323" s="14" t="str">
        <x:v>到站时间为估算值</x:v>
      </x:c>
      <x:c r="T1323" t="str">
        <x:v>研究生宿舍楼发车</x:v>
      </x:c>
    </x:row>
    <x:row r="1324">
      <x:c r="A1324" s="14" t="str">
        <x:v>S0114-09</x:v>
      </x:c>
      <x:c r="B1324" s="14" t="str">
        <x:v>S0114</x:v>
      </x:c>
      <x:c r="C1324" s="14" t="str">
        <x:v>工作日</x:v>
      </x:c>
      <x:c r="D1324" s="14" t="str">
        <x:v>环线3路</x:v>
      </x:c>
      <x:c r="E1324" s="14" t="str">
        <x:v>第一班</x:v>
      </x:c>
      <x:c r="F1324" s="14" t="n">
        <x:v>6</x:v>
      </x:c>
      <x:c r="G1324" s="14" t="str">
        <x:v>11:20</x:v>
      </x:c>
      <x:c r="H1324" s="14" t="str">
        <x:v>研究生宿舍楼</x:v>
      </x:c>
      <x:c r="I1324" s="14" t="str">
        <x:v>否</x:v>
      </x:c>
      <x:c r="J1324" s="14" t="n">
        <x:v>9</x:v>
      </x:c>
      <x:c r="K1324" s="14" t="str">
        <x:v>二食堂</x:v>
      </x:c>
      <x:c r="L1324" s="14" t="n">
        <x:v>13</x:v>
      </x:c>
      <x:c r="M1324" s="14" t="str">
        <x:v>11:33</x:v>
      </x:c>
      <x:c r="N1324" s="14" t="str">
        <x:v>否</x:v>
      </x:c>
      <x:c r="O1324" s="14" t="str">
        <x:v>否</x:v>
      </x:c>
      <x:c r="P1324" s="14" t="str">
        <x:v>刘虎</x:v>
      </x:c>
      <x:c r="Q1324" s="14" t="str">
        <x:v>3号车</x:v>
      </x:c>
      <x:c r="R1324" s="14" t="str">
        <x:v>预测</x:v>
      </x:c>
      <x:c r="S1324" s="14" t="str">
        <x:v>到站时间为估算值</x:v>
      </x:c>
      <x:c r="T1324" t="str">
        <x:v>研究生宿舍楼发车</x:v>
      </x:c>
    </x:row>
    <x:row r="1325">
      <x:c r="A1325" s="14" t="str">
        <x:v>S0114-10</x:v>
      </x:c>
      <x:c r="B1325" s="14" t="str">
        <x:v>S0114</x:v>
      </x:c>
      <x:c r="C1325" s="14" t="str">
        <x:v>工作日</x:v>
      </x:c>
      <x:c r="D1325" s="14" t="str">
        <x:v>环线3路</x:v>
      </x:c>
      <x:c r="E1325" s="14" t="str">
        <x:v>第一班</x:v>
      </x:c>
      <x:c r="F1325" s="14" t="n">
        <x:v>6</x:v>
      </x:c>
      <x:c r="G1325" s="14" t="str">
        <x:v>11:20</x:v>
      </x:c>
      <x:c r="H1325" s="14" t="str">
        <x:v>研究生宿舍楼</x:v>
      </x:c>
      <x:c r="I1325" s="14" t="str">
        <x:v>否</x:v>
      </x:c>
      <x:c r="J1325" s="14" t="n">
        <x:v>10</x:v>
      </x:c>
      <x:c r="K1325" s="14" t="str">
        <x:v>图书馆</x:v>
      </x:c>
      <x:c r="L1325" s="14" t="n">
        <x:v>14</x:v>
      </x:c>
      <x:c r="M1325" s="14" t="str">
        <x:v>11:34</x:v>
      </x:c>
      <x:c r="N1325" s="14" t="str">
        <x:v>否</x:v>
      </x:c>
      <x:c r="O1325" s="14" t="str">
        <x:v>否</x:v>
      </x:c>
      <x:c r="P1325" s="14" t="str">
        <x:v>刘虎</x:v>
      </x:c>
      <x:c r="Q1325" s="14" t="str">
        <x:v>3号车</x:v>
      </x:c>
      <x:c r="R1325" s="14" t="str">
        <x:v>预测</x:v>
      </x:c>
      <x:c r="S1325" s="14" t="str">
        <x:v>到站时间为估算值</x:v>
      </x:c>
      <x:c r="T1325" t="str">
        <x:v>研究生宿舍楼发车</x:v>
      </x:c>
    </x:row>
    <x:row r="1326">
      <x:c r="A1326" s="14" t="str">
        <x:v>S0114-11</x:v>
      </x:c>
      <x:c r="B1326" s="14" t="str">
        <x:v>S0114</x:v>
      </x:c>
      <x:c r="C1326" s="14" t="str">
        <x:v>工作日</x:v>
      </x:c>
      <x:c r="D1326" s="14" t="str">
        <x:v>环线3路</x:v>
      </x:c>
      <x:c r="E1326" s="14" t="str">
        <x:v>第一班</x:v>
      </x:c>
      <x:c r="F1326" s="14" t="n">
        <x:v>6</x:v>
      </x:c>
      <x:c r="G1326" s="14" t="str">
        <x:v>11:20</x:v>
      </x:c>
      <x:c r="H1326" s="14" t="str">
        <x:v>研究生宿舍楼</x:v>
      </x:c>
      <x:c r="I1326" s="14" t="str">
        <x:v>否</x:v>
      </x:c>
      <x:c r="J1326" s="14" t="n">
        <x:v>11</x:v>
      </x:c>
      <x:c r="K1326" s="14" t="str">
        <x:v>305教学楼</x:v>
      </x:c>
      <x:c r="L1326" s="14" t="n">
        <x:v>16</x:v>
      </x:c>
      <x:c r="M1326" s="14" t="str">
        <x:v>11:36</x:v>
      </x:c>
      <x:c r="N1326" s="14" t="str">
        <x:v>否</x:v>
      </x:c>
      <x:c r="O1326" s="14" t="str">
        <x:v>否</x:v>
      </x:c>
      <x:c r="P1326" s="14" t="str">
        <x:v>刘虎</x:v>
      </x:c>
      <x:c r="Q1326" s="14" t="str">
        <x:v>3号车</x:v>
      </x:c>
      <x:c r="R1326" s="14" t="str">
        <x:v>预测</x:v>
      </x:c>
      <x:c r="S1326" s="14" t="str">
        <x:v>到站时间为估算值</x:v>
      </x:c>
      <x:c r="T1326" t="str">
        <x:v>研究生宿舍楼发车</x:v>
      </x:c>
    </x:row>
    <x:row r="1327">
      <x:c r="A1327" s="14" t="str">
        <x:v>S0114-12</x:v>
      </x:c>
      <x:c r="B1327" s="14" t="str">
        <x:v>S0114</x:v>
      </x:c>
      <x:c r="C1327" s="14" t="str">
        <x:v>工作日</x:v>
      </x:c>
      <x:c r="D1327" s="14" t="str">
        <x:v>环线3路</x:v>
      </x:c>
      <x:c r="E1327" s="14" t="str">
        <x:v>第一班</x:v>
      </x:c>
      <x:c r="F1327" s="14" t="n">
        <x:v>6</x:v>
      </x:c>
      <x:c r="G1327" s="14" t="str">
        <x:v>11:20</x:v>
      </x:c>
      <x:c r="H1327" s="14" t="str">
        <x:v>研究生宿舍楼</x:v>
      </x:c>
      <x:c r="I1327" s="14" t="str">
        <x:v>否</x:v>
      </x:c>
      <x:c r="J1327" s="14" t="n">
        <x:v>12</x:v>
      </x:c>
      <x:c r="K1327" s="14" t="str">
        <x:v>研究生宿舍楼</x:v>
      </x:c>
      <x:c r="L1327" s="14" t="n">
        <x:v>18</x:v>
      </x:c>
      <x:c r="M1327" s="14" t="str">
        <x:v>11:38</x:v>
      </x:c>
      <x:c r="N1327" s="14" t="str">
        <x:v>否</x:v>
      </x:c>
      <x:c r="O1327" s="14" t="str">
        <x:v>是</x:v>
      </x:c>
      <x:c r="P1327" s="14" t="str">
        <x:v>刘虎</x:v>
      </x:c>
      <x:c r="Q1327" s="14" t="str">
        <x:v>3号车</x:v>
      </x:c>
      <x:c r="R1327" s="14" t="str">
        <x:v>预测</x:v>
      </x:c>
      <x:c r="S1327" s="14" t="str">
        <x:v>到站时间为估算值</x:v>
      </x:c>
      <x:c r="T1327" t="str">
        <x:v>研究生宿舍楼发车</x:v>
      </x:c>
    </x:row>
    <x:row r="1328">
      <x:c r="A1328" s="14" t="str">
        <x:v>S0115-01</x:v>
      </x:c>
      <x:c r="B1328" s="14" t="str">
        <x:v>S0115</x:v>
      </x:c>
      <x:c r="C1328" s="14" t="str">
        <x:v>工作日</x:v>
      </x:c>
      <x:c r="D1328" s="14" t="str">
        <x:v>环线3路</x:v>
      </x:c>
      <x:c r="E1328" s="14" t="str">
        <x:v>第一班</x:v>
      </x:c>
      <x:c r="F1328" s="14" t="n">
        <x:v>7</x:v>
      </x:c>
      <x:c r="G1328" s="14" t="str">
        <x:v>12:05</x:v>
      </x:c>
      <x:c r="H1328" s="14" t="str">
        <x:v>研究生宿舍楼</x:v>
      </x:c>
      <x:c r="I1328" s="14" t="str">
        <x:v>否</x:v>
      </x:c>
      <x:c r="J1328" s="14" t="n">
        <x:v>1</x:v>
      </x:c>
      <x:c r="K1328" s="14" t="str">
        <x:v>研究生宿舍楼</x:v>
      </x:c>
      <x:c r="L1328" s="14" t="n">
        <x:v>0</x:v>
      </x:c>
      <x:c r="M1328" s="14" t="str">
        <x:v>12:05</x:v>
      </x:c>
      <x:c r="N1328" s="14" t="str">
        <x:v>是</x:v>
      </x:c>
      <x:c r="O1328" s="14" t="str">
        <x:v>否</x:v>
      </x:c>
      <x:c r="P1328" s="14" t="str">
        <x:v>刘虎</x:v>
      </x:c>
      <x:c r="Q1328" s="14" t="str">
        <x:v>3号车</x:v>
      </x:c>
      <x:c r="R1328" s="14" t="str">
        <x:v>预测</x:v>
      </x:c>
      <x:c r="S1328" s="14" t="str">
        <x:v>到站时间为估算值</x:v>
      </x:c>
      <x:c r="T1328" t="str">
        <x:v>研究生宿舍楼发车</x:v>
      </x:c>
    </x:row>
    <x:row r="1329">
      <x:c r="A1329" s="14" t="str">
        <x:v>S0115-02</x:v>
      </x:c>
      <x:c r="B1329" s="14" t="str">
        <x:v>S0115</x:v>
      </x:c>
      <x:c r="C1329" s="14" t="str">
        <x:v>工作日</x:v>
      </x:c>
      <x:c r="D1329" s="14" t="str">
        <x:v>环线3路</x:v>
      </x:c>
      <x:c r="E1329" s="14" t="str">
        <x:v>第一班</x:v>
      </x:c>
      <x:c r="F1329" s="14" t="n">
        <x:v>7</x:v>
      </x:c>
      <x:c r="G1329" s="14" t="str">
        <x:v>12:05</x:v>
      </x:c>
      <x:c r="H1329" s="14" t="str">
        <x:v>研究生宿舍楼</x:v>
      </x:c>
      <x:c r="I1329" s="14" t="str">
        <x:v>否</x:v>
      </x:c>
      <x:c r="J1329" s="14" t="n">
        <x:v>2</x:v>
      </x:c>
      <x:c r="K1329" s="14" t="str">
        <x:v>一食堂</x:v>
      </x:c>
      <x:c r="L1329" s="14" t="n">
        <x:v>1</x:v>
      </x:c>
      <x:c r="M1329" s="14" t="str">
        <x:v>12:06</x:v>
      </x:c>
      <x:c r="N1329" s="14" t="str">
        <x:v>否</x:v>
      </x:c>
      <x:c r="O1329" s="14" t="str">
        <x:v>否</x:v>
      </x:c>
      <x:c r="P1329" s="14" t="str">
        <x:v>刘虎</x:v>
      </x:c>
      <x:c r="Q1329" s="14" t="str">
        <x:v>3号车</x:v>
      </x:c>
      <x:c r="R1329" s="14" t="str">
        <x:v>预测</x:v>
      </x:c>
      <x:c r="S1329" s="14" t="str">
        <x:v>到站时间为估算值</x:v>
      </x:c>
      <x:c r="T1329" t="str">
        <x:v>研究生宿舍楼发车</x:v>
      </x:c>
    </x:row>
    <x:row r="1330">
      <x:c r="A1330" s="14" t="str">
        <x:v>S0115-03</x:v>
      </x:c>
      <x:c r="B1330" s="14" t="str">
        <x:v>S0115</x:v>
      </x:c>
      <x:c r="C1330" s="14" t="str">
        <x:v>工作日</x:v>
      </x:c>
      <x:c r="D1330" s="14" t="str">
        <x:v>环线3路</x:v>
      </x:c>
      <x:c r="E1330" s="14" t="str">
        <x:v>第一班</x:v>
      </x:c>
      <x:c r="F1330" s="14" t="n">
        <x:v>7</x:v>
      </x:c>
      <x:c r="G1330" s="14" t="str">
        <x:v>12:05</x:v>
      </x:c>
      <x:c r="H1330" s="14" t="str">
        <x:v>研究生宿舍楼</x:v>
      </x:c>
      <x:c r="I1330" s="14" t="str">
        <x:v>否</x:v>
      </x:c>
      <x:c r="J1330" s="14" t="n">
        <x:v>3</x:v>
      </x:c>
      <x:c r="K1330" s="14" t="str">
        <x:v>2号宿舍楼</x:v>
      </x:c>
      <x:c r="L1330" s="14" t="n">
        <x:v>3</x:v>
      </x:c>
      <x:c r="M1330" s="14" t="str">
        <x:v>12:08</x:v>
      </x:c>
      <x:c r="N1330" s="14" t="str">
        <x:v>否</x:v>
      </x:c>
      <x:c r="O1330" s="14" t="str">
        <x:v>否</x:v>
      </x:c>
      <x:c r="P1330" s="14" t="str">
        <x:v>刘虎</x:v>
      </x:c>
      <x:c r="Q1330" s="14" t="str">
        <x:v>3号车</x:v>
      </x:c>
      <x:c r="R1330" s="14" t="str">
        <x:v>预测</x:v>
      </x:c>
      <x:c r="S1330" s="14" t="str">
        <x:v>到站时间为估算值</x:v>
      </x:c>
      <x:c r="T1330" t="str">
        <x:v>研究生宿舍楼发车</x:v>
      </x:c>
    </x:row>
    <x:row r="1331">
      <x:c r="A1331" s="14" t="str">
        <x:v>S0115-04</x:v>
      </x:c>
      <x:c r="B1331" s="14" t="str">
        <x:v>S0115</x:v>
      </x:c>
      <x:c r="C1331" s="14" t="str">
        <x:v>工作日</x:v>
      </x:c>
      <x:c r="D1331" s="14" t="str">
        <x:v>环线3路</x:v>
      </x:c>
      <x:c r="E1331" s="14" t="str">
        <x:v>第一班</x:v>
      </x:c>
      <x:c r="F1331" s="14" t="n">
        <x:v>7</x:v>
      </x:c>
      <x:c r="G1331" s="14" t="str">
        <x:v>12:05</x:v>
      </x:c>
      <x:c r="H1331" s="14" t="str">
        <x:v>研究生宿舍楼</x:v>
      </x:c>
      <x:c r="I1331" s="14" t="str">
        <x:v>否</x:v>
      </x:c>
      <x:c r="J1331" s="14" t="n">
        <x:v>4</x:v>
      </x:c>
      <x:c r="K1331" s="14" t="str">
        <x:v>军体活动中心</x:v>
      </x:c>
      <x:c r="L1331" s="14" t="n">
        <x:v>4</x:v>
      </x:c>
      <x:c r="M1331" s="14" t="str">
        <x:v>12:09</x:v>
      </x:c>
      <x:c r="N1331" s="14" t="str">
        <x:v>否</x:v>
      </x:c>
      <x:c r="O1331" s="14" t="str">
        <x:v>否</x:v>
      </x:c>
      <x:c r="P1331" s="14" t="str">
        <x:v>刘虎</x:v>
      </x:c>
      <x:c r="Q1331" s="14" t="str">
        <x:v>3号车</x:v>
      </x:c>
      <x:c r="R1331" s="14" t="str">
        <x:v>预测</x:v>
      </x:c>
      <x:c r="S1331" s="14" t="str">
        <x:v>到站时间为估算值</x:v>
      </x:c>
      <x:c r="T1331" t="str">
        <x:v>研究生宿舍楼发车</x:v>
      </x:c>
    </x:row>
    <x:row r="1332">
      <x:c r="A1332" s="14" t="str">
        <x:v>S0115-05</x:v>
      </x:c>
      <x:c r="B1332" s="14" t="str">
        <x:v>S0115</x:v>
      </x:c>
      <x:c r="C1332" s="14" t="str">
        <x:v>工作日</x:v>
      </x:c>
      <x:c r="D1332" s="14" t="str">
        <x:v>环线3路</x:v>
      </x:c>
      <x:c r="E1332" s="14" t="str">
        <x:v>第一班</x:v>
      </x:c>
      <x:c r="F1332" s="14" t="n">
        <x:v>7</x:v>
      </x:c>
      <x:c r="G1332" s="14" t="str">
        <x:v>12:05</x:v>
      </x:c>
      <x:c r="H1332" s="14" t="str">
        <x:v>研究生宿舍楼</x:v>
      </x:c>
      <x:c r="I1332" s="14" t="str">
        <x:v>否</x:v>
      </x:c>
      <x:c r="J1332" s="14" t="n">
        <x:v>5</x:v>
      </x:c>
      <x:c r="K1332" s="14" t="str">
        <x:v>教勤连</x:v>
      </x:c>
      <x:c r="L1332" s="14" t="n">
        <x:v>6</x:v>
      </x:c>
      <x:c r="M1332" s="14" t="str">
        <x:v>12:11</x:v>
      </x:c>
      <x:c r="N1332" s="14" t="str">
        <x:v>否</x:v>
      </x:c>
      <x:c r="O1332" s="14" t="str">
        <x:v>否</x:v>
      </x:c>
      <x:c r="P1332" s="14" t="str">
        <x:v>刘虎</x:v>
      </x:c>
      <x:c r="Q1332" s="14" t="str">
        <x:v>3号车</x:v>
      </x:c>
      <x:c r="R1332" s="14" t="str">
        <x:v>预测</x:v>
      </x:c>
      <x:c r="S1332" s="14" t="str">
        <x:v>到站时间为估算值</x:v>
      </x:c>
      <x:c r="T1332" t="str">
        <x:v>研究生宿舍楼发车</x:v>
      </x:c>
    </x:row>
    <x:row r="1333">
      <x:c r="A1333" s="14" t="str">
        <x:v>S0115-06</x:v>
      </x:c>
      <x:c r="B1333" s="14" t="str">
        <x:v>S0115</x:v>
      </x:c>
      <x:c r="C1333" s="14" t="str">
        <x:v>工作日</x:v>
      </x:c>
      <x:c r="D1333" s="14" t="str">
        <x:v>环线3路</x:v>
      </x:c>
      <x:c r="E1333" s="14" t="str">
        <x:v>第一班</x:v>
      </x:c>
      <x:c r="F1333" s="14" t="n">
        <x:v>7</x:v>
      </x:c>
      <x:c r="G1333" s="14" t="str">
        <x:v>12:05</x:v>
      </x:c>
      <x:c r="H1333" s="14" t="str">
        <x:v>研究生宿舍楼</x:v>
      </x:c>
      <x:c r="I1333" s="14" t="str">
        <x:v>否</x:v>
      </x:c>
      <x:c r="J1333" s="14" t="n">
        <x:v>6</x:v>
      </x:c>
      <x:c r="K1333" s="14" t="str">
        <x:v>激光所</x:v>
      </x:c>
      <x:c r="L1333" s="14" t="n">
        <x:v>7</x:v>
      </x:c>
      <x:c r="M1333" s="14" t="str">
        <x:v>12:12</x:v>
      </x:c>
      <x:c r="N1333" s="14" t="str">
        <x:v>否</x:v>
      </x:c>
      <x:c r="O1333" s="14" t="str">
        <x:v>否</x:v>
      </x:c>
      <x:c r="P1333" s="14" t="str">
        <x:v>刘虎</x:v>
      </x:c>
      <x:c r="Q1333" s="14" t="str">
        <x:v>3号车</x:v>
      </x:c>
      <x:c r="R1333" s="14" t="str">
        <x:v>预测</x:v>
      </x:c>
      <x:c r="S1333" s="14" t="str">
        <x:v>到站时间为估算值</x:v>
      </x:c>
      <x:c r="T1333" t="str">
        <x:v>研究生宿舍楼发车</x:v>
      </x:c>
    </x:row>
    <x:row r="1334">
      <x:c r="A1334" s="14" t="str">
        <x:v>S0115-07</x:v>
      </x:c>
      <x:c r="B1334" s="14" t="str">
        <x:v>S0115</x:v>
      </x:c>
      <x:c r="C1334" s="14" t="str">
        <x:v>工作日</x:v>
      </x:c>
      <x:c r="D1334" s="14" t="str">
        <x:v>环线3路</x:v>
      </x:c>
      <x:c r="E1334" s="14" t="str">
        <x:v>第一班</x:v>
      </x:c>
      <x:c r="F1334" s="14" t="n">
        <x:v>7</x:v>
      </x:c>
      <x:c r="G1334" s="14" t="str">
        <x:v>12:05</x:v>
      </x:c>
      <x:c r="H1334" s="14" t="str">
        <x:v>研究生宿舍楼</x:v>
      </x:c>
      <x:c r="I1334" s="14" t="str">
        <x:v>否</x:v>
      </x:c>
      <x:c r="J1334" s="14" t="n">
        <x:v>7</x:v>
      </x:c>
      <x:c r="K1334" s="14" t="str">
        <x:v>高超楼</x:v>
      </x:c>
      <x:c r="L1334" s="14" t="n">
        <x:v>9</x:v>
      </x:c>
      <x:c r="M1334" s="14" t="str">
        <x:v>12:14</x:v>
      </x:c>
      <x:c r="N1334" s="14" t="str">
        <x:v>否</x:v>
      </x:c>
      <x:c r="O1334" s="14" t="str">
        <x:v>否</x:v>
      </x:c>
      <x:c r="P1334" s="14" t="str">
        <x:v>刘虎</x:v>
      </x:c>
      <x:c r="Q1334" s="14" t="str">
        <x:v>3号车</x:v>
      </x:c>
      <x:c r="R1334" s="14" t="str">
        <x:v>预测</x:v>
      </x:c>
      <x:c r="S1334" s="14" t="str">
        <x:v>到站时间为估算值</x:v>
      </x:c>
      <x:c r="T1334" t="str">
        <x:v>研究生宿舍楼发车</x:v>
      </x:c>
    </x:row>
    <x:row r="1335">
      <x:c r="A1335" s="14" t="str">
        <x:v>S0115-08</x:v>
      </x:c>
      <x:c r="B1335" s="14" t="str">
        <x:v>S0115</x:v>
      </x:c>
      <x:c r="C1335" s="14" t="str">
        <x:v>工作日</x:v>
      </x:c>
      <x:c r="D1335" s="14" t="str">
        <x:v>环线3路</x:v>
      </x:c>
      <x:c r="E1335" s="14" t="str">
        <x:v>第一班</x:v>
      </x:c>
      <x:c r="F1335" s="14" t="n">
        <x:v>7</x:v>
      </x:c>
      <x:c r="G1335" s="14" t="str">
        <x:v>12:05</x:v>
      </x:c>
      <x:c r="H1335" s="14" t="str">
        <x:v>研究生宿舍楼</x:v>
      </x:c>
      <x:c r="I1335" s="14" t="str">
        <x:v>否</x:v>
      </x:c>
      <x:c r="J1335" s="14" t="n">
        <x:v>8</x:v>
      </x:c>
      <x:c r="K1335" s="14" t="str">
        <x:v>理学院</x:v>
      </x:c>
      <x:c r="L1335" s="14" t="n">
        <x:v>10</x:v>
      </x:c>
      <x:c r="M1335" s="14" t="str">
        <x:v>12:15</x:v>
      </x:c>
      <x:c r="N1335" s="14" t="str">
        <x:v>否</x:v>
      </x:c>
      <x:c r="O1335" s="14" t="str">
        <x:v>否</x:v>
      </x:c>
      <x:c r="P1335" s="14" t="str">
        <x:v>刘虎</x:v>
      </x:c>
      <x:c r="Q1335" s="14" t="str">
        <x:v>3号车</x:v>
      </x:c>
      <x:c r="R1335" s="14" t="str">
        <x:v>预测</x:v>
      </x:c>
      <x:c r="S1335" s="14" t="str">
        <x:v>到站时间为估算值</x:v>
      </x:c>
      <x:c r="T1335" t="str">
        <x:v>研究生宿舍楼发车</x:v>
      </x:c>
    </x:row>
    <x:row r="1336">
      <x:c r="A1336" s="14" t="str">
        <x:v>S0115-09</x:v>
      </x:c>
      <x:c r="B1336" s="14" t="str">
        <x:v>S0115</x:v>
      </x:c>
      <x:c r="C1336" s="14" t="str">
        <x:v>工作日</x:v>
      </x:c>
      <x:c r="D1336" s="14" t="str">
        <x:v>环线3路</x:v>
      </x:c>
      <x:c r="E1336" s="14" t="str">
        <x:v>第一班</x:v>
      </x:c>
      <x:c r="F1336" s="14" t="n">
        <x:v>7</x:v>
      </x:c>
      <x:c r="G1336" s="14" t="str">
        <x:v>12:05</x:v>
      </x:c>
      <x:c r="H1336" s="14" t="str">
        <x:v>研究生宿舍楼</x:v>
      </x:c>
      <x:c r="I1336" s="14" t="str">
        <x:v>否</x:v>
      </x:c>
      <x:c r="J1336" s="14" t="n">
        <x:v>9</x:v>
      </x:c>
      <x:c r="K1336" s="14" t="str">
        <x:v>二食堂</x:v>
      </x:c>
      <x:c r="L1336" s="14" t="n">
        <x:v>13</x:v>
      </x:c>
      <x:c r="M1336" s="14" t="str">
        <x:v>12:18</x:v>
      </x:c>
      <x:c r="N1336" s="14" t="str">
        <x:v>否</x:v>
      </x:c>
      <x:c r="O1336" s="14" t="str">
        <x:v>否</x:v>
      </x:c>
      <x:c r="P1336" s="14" t="str">
        <x:v>刘虎</x:v>
      </x:c>
      <x:c r="Q1336" s="14" t="str">
        <x:v>3号车</x:v>
      </x:c>
      <x:c r="R1336" s="14" t="str">
        <x:v>预测</x:v>
      </x:c>
      <x:c r="S1336" s="14" t="str">
        <x:v>到站时间为估算值</x:v>
      </x:c>
      <x:c r="T1336" t="str">
        <x:v>研究生宿舍楼发车</x:v>
      </x:c>
    </x:row>
    <x:row r="1337">
      <x:c r="A1337" s="14" t="str">
        <x:v>S0115-10</x:v>
      </x:c>
      <x:c r="B1337" s="14" t="str">
        <x:v>S0115</x:v>
      </x:c>
      <x:c r="C1337" s="14" t="str">
        <x:v>工作日</x:v>
      </x:c>
      <x:c r="D1337" s="14" t="str">
        <x:v>环线3路</x:v>
      </x:c>
      <x:c r="E1337" s="14" t="str">
        <x:v>第一班</x:v>
      </x:c>
      <x:c r="F1337" s="14" t="n">
        <x:v>7</x:v>
      </x:c>
      <x:c r="G1337" s="14" t="str">
        <x:v>12:05</x:v>
      </x:c>
      <x:c r="H1337" s="14" t="str">
        <x:v>研究生宿舍楼</x:v>
      </x:c>
      <x:c r="I1337" s="14" t="str">
        <x:v>否</x:v>
      </x:c>
      <x:c r="J1337" s="14" t="n">
        <x:v>10</x:v>
      </x:c>
      <x:c r="K1337" s="14" t="str">
        <x:v>图书馆</x:v>
      </x:c>
      <x:c r="L1337" s="14" t="n">
        <x:v>14</x:v>
      </x:c>
      <x:c r="M1337" s="14" t="str">
        <x:v>12:19</x:v>
      </x:c>
      <x:c r="N1337" s="14" t="str">
        <x:v>否</x:v>
      </x:c>
      <x:c r="O1337" s="14" t="str">
        <x:v>否</x:v>
      </x:c>
      <x:c r="P1337" s="14" t="str">
        <x:v>刘虎</x:v>
      </x:c>
      <x:c r="Q1337" s="14" t="str">
        <x:v>3号车</x:v>
      </x:c>
      <x:c r="R1337" s="14" t="str">
        <x:v>预测</x:v>
      </x:c>
      <x:c r="S1337" s="14" t="str">
        <x:v>到站时间为估算值</x:v>
      </x:c>
      <x:c r="T1337" t="str">
        <x:v>研究生宿舍楼发车</x:v>
      </x:c>
    </x:row>
    <x:row r="1338">
      <x:c r="A1338" s="14" t="str">
        <x:v>S0115-11</x:v>
      </x:c>
      <x:c r="B1338" s="14" t="str">
        <x:v>S0115</x:v>
      </x:c>
      <x:c r="C1338" s="14" t="str">
        <x:v>工作日</x:v>
      </x:c>
      <x:c r="D1338" s="14" t="str">
        <x:v>环线3路</x:v>
      </x:c>
      <x:c r="E1338" s="14" t="str">
        <x:v>第一班</x:v>
      </x:c>
      <x:c r="F1338" s="14" t="n">
        <x:v>7</x:v>
      </x:c>
      <x:c r="G1338" s="14" t="str">
        <x:v>12:05</x:v>
      </x:c>
      <x:c r="H1338" s="14" t="str">
        <x:v>研究生宿舍楼</x:v>
      </x:c>
      <x:c r="I1338" s="14" t="str">
        <x:v>否</x:v>
      </x:c>
      <x:c r="J1338" s="14" t="n">
        <x:v>11</x:v>
      </x:c>
      <x:c r="K1338" s="14" t="str">
        <x:v>305教学楼</x:v>
      </x:c>
      <x:c r="L1338" s="14" t="n">
        <x:v>16</x:v>
      </x:c>
      <x:c r="M1338" s="14" t="str">
        <x:v>12:21</x:v>
      </x:c>
      <x:c r="N1338" s="14" t="str">
        <x:v>否</x:v>
      </x:c>
      <x:c r="O1338" s="14" t="str">
        <x:v>否</x:v>
      </x:c>
      <x:c r="P1338" s="14" t="str">
        <x:v>刘虎</x:v>
      </x:c>
      <x:c r="Q1338" s="14" t="str">
        <x:v>3号车</x:v>
      </x:c>
      <x:c r="R1338" s="14" t="str">
        <x:v>预测</x:v>
      </x:c>
      <x:c r="S1338" s="14" t="str">
        <x:v>到站时间为估算值</x:v>
      </x:c>
      <x:c r="T1338" t="str">
        <x:v>研究生宿舍楼发车</x:v>
      </x:c>
    </x:row>
    <x:row r="1339">
      <x:c r="A1339" s="14" t="str">
        <x:v>S0115-12</x:v>
      </x:c>
      <x:c r="B1339" s="14" t="str">
        <x:v>S0115</x:v>
      </x:c>
      <x:c r="C1339" s="14" t="str">
        <x:v>工作日</x:v>
      </x:c>
      <x:c r="D1339" s="14" t="str">
        <x:v>环线3路</x:v>
      </x:c>
      <x:c r="E1339" s="14" t="str">
        <x:v>第一班</x:v>
      </x:c>
      <x:c r="F1339" s="14" t="n">
        <x:v>7</x:v>
      </x:c>
      <x:c r="G1339" s="14" t="str">
        <x:v>12:05</x:v>
      </x:c>
      <x:c r="H1339" s="14" t="str">
        <x:v>研究生宿舍楼</x:v>
      </x:c>
      <x:c r="I1339" s="14" t="str">
        <x:v>否</x:v>
      </x:c>
      <x:c r="J1339" s="14" t="n">
        <x:v>12</x:v>
      </x:c>
      <x:c r="K1339" s="14" t="str">
        <x:v>研究生宿舍楼</x:v>
      </x:c>
      <x:c r="L1339" s="14" t="n">
        <x:v>18</x:v>
      </x:c>
      <x:c r="M1339" s="14" t="str">
        <x:v>12:23</x:v>
      </x:c>
      <x:c r="N1339" s="14" t="str">
        <x:v>否</x:v>
      </x:c>
      <x:c r="O1339" s="14" t="str">
        <x:v>是</x:v>
      </x:c>
      <x:c r="P1339" s="14" t="str">
        <x:v>刘虎</x:v>
      </x:c>
      <x:c r="Q1339" s="14" t="str">
        <x:v>3号车</x:v>
      </x:c>
      <x:c r="R1339" s="14" t="str">
        <x:v>预测</x:v>
      </x:c>
      <x:c r="S1339" s="14" t="str">
        <x:v>到站时间为估算值</x:v>
      </x:c>
      <x:c r="T1339" t="str">
        <x:v>研究生宿舍楼发车</x:v>
      </x:c>
    </x:row>
    <x:row r="1340">
      <x:c r="A1340" s="14" t="str">
        <x:v>S0116-01</x:v>
      </x:c>
      <x:c r="B1340" s="14" t="str">
        <x:v>S0116</x:v>
      </x:c>
      <x:c r="C1340" s="14" t="str">
        <x:v>工作日</x:v>
      </x:c>
      <x:c r="D1340" s="14" t="str">
        <x:v>环线3路</x:v>
      </x:c>
      <x:c r="E1340" s="14" t="str">
        <x:v>第一班</x:v>
      </x:c>
      <x:c r="F1340" s="14" t="n">
        <x:v>8</x:v>
      </x:c>
      <x:c r="G1340" s="14" t="str">
        <x:v>14:10</x:v>
      </x:c>
      <x:c r="H1340" s="14" t="str">
        <x:v>研究生宿舍楼</x:v>
      </x:c>
      <x:c r="I1340" s="14" t="str">
        <x:v>否</x:v>
      </x:c>
      <x:c r="J1340" s="14" t="n">
        <x:v>1</x:v>
      </x:c>
      <x:c r="K1340" s="14" t="str">
        <x:v>研究生宿舍楼</x:v>
      </x:c>
      <x:c r="L1340" s="14" t="n">
        <x:v>0</x:v>
      </x:c>
      <x:c r="M1340" s="14" t="str">
        <x:v>14:10</x:v>
      </x:c>
      <x:c r="N1340" s="14" t="str">
        <x:v>是</x:v>
      </x:c>
      <x:c r="O1340" s="14" t="str">
        <x:v>否</x:v>
      </x:c>
      <x:c r="P1340" s="14" t="str">
        <x:v>刘虎</x:v>
      </x:c>
      <x:c r="Q1340" s="14" t="str">
        <x:v>3号车</x:v>
      </x:c>
      <x:c r="R1340" s="14" t="str">
        <x:v>预测</x:v>
      </x:c>
      <x:c r="S1340" s="14" t="str">
        <x:v>到站时间为估算值</x:v>
      </x:c>
      <x:c r="T1340" t="str">
        <x:v>研究生宿舍楼发车</x:v>
      </x:c>
    </x:row>
    <x:row r="1341">
      <x:c r="A1341" s="14" t="str">
        <x:v>S0116-02</x:v>
      </x:c>
      <x:c r="B1341" s="14" t="str">
        <x:v>S0116</x:v>
      </x:c>
      <x:c r="C1341" s="14" t="str">
        <x:v>工作日</x:v>
      </x:c>
      <x:c r="D1341" s="14" t="str">
        <x:v>环线3路</x:v>
      </x:c>
      <x:c r="E1341" s="14" t="str">
        <x:v>第一班</x:v>
      </x:c>
      <x:c r="F1341" s="14" t="n">
        <x:v>8</x:v>
      </x:c>
      <x:c r="G1341" s="14" t="str">
        <x:v>14:10</x:v>
      </x:c>
      <x:c r="H1341" s="14" t="str">
        <x:v>研究生宿舍楼</x:v>
      </x:c>
      <x:c r="I1341" s="14" t="str">
        <x:v>否</x:v>
      </x:c>
      <x:c r="J1341" s="14" t="n">
        <x:v>2</x:v>
      </x:c>
      <x:c r="K1341" s="14" t="str">
        <x:v>一食堂</x:v>
      </x:c>
      <x:c r="L1341" s="14" t="n">
        <x:v>1</x:v>
      </x:c>
      <x:c r="M1341" s="14" t="str">
        <x:v>14:11</x:v>
      </x:c>
      <x:c r="N1341" s="14" t="str">
        <x:v>否</x:v>
      </x:c>
      <x:c r="O1341" s="14" t="str">
        <x:v>否</x:v>
      </x:c>
      <x:c r="P1341" s="14" t="str">
        <x:v>刘虎</x:v>
      </x:c>
      <x:c r="Q1341" s="14" t="str">
        <x:v>3号车</x:v>
      </x:c>
      <x:c r="R1341" s="14" t="str">
        <x:v>预测</x:v>
      </x:c>
      <x:c r="S1341" s="14" t="str">
        <x:v>到站时间为估算值</x:v>
      </x:c>
      <x:c r="T1341" t="str">
        <x:v>研究生宿舍楼发车</x:v>
      </x:c>
    </x:row>
    <x:row r="1342">
      <x:c r="A1342" s="14" t="str">
        <x:v>S0116-03</x:v>
      </x:c>
      <x:c r="B1342" s="14" t="str">
        <x:v>S0116</x:v>
      </x:c>
      <x:c r="C1342" s="14" t="str">
        <x:v>工作日</x:v>
      </x:c>
      <x:c r="D1342" s="14" t="str">
        <x:v>环线3路</x:v>
      </x:c>
      <x:c r="E1342" s="14" t="str">
        <x:v>第一班</x:v>
      </x:c>
      <x:c r="F1342" s="14" t="n">
        <x:v>8</x:v>
      </x:c>
      <x:c r="G1342" s="14" t="str">
        <x:v>14:10</x:v>
      </x:c>
      <x:c r="H1342" s="14" t="str">
        <x:v>研究生宿舍楼</x:v>
      </x:c>
      <x:c r="I1342" s="14" t="str">
        <x:v>否</x:v>
      </x:c>
      <x:c r="J1342" s="14" t="n">
        <x:v>3</x:v>
      </x:c>
      <x:c r="K1342" s="14" t="str">
        <x:v>2号宿舍楼</x:v>
      </x:c>
      <x:c r="L1342" s="14" t="n">
        <x:v>3</x:v>
      </x:c>
      <x:c r="M1342" s="14" t="str">
        <x:v>14:13</x:v>
      </x:c>
      <x:c r="N1342" s="14" t="str">
        <x:v>否</x:v>
      </x:c>
      <x:c r="O1342" s="14" t="str">
        <x:v>否</x:v>
      </x:c>
      <x:c r="P1342" s="14" t="str">
        <x:v>刘虎</x:v>
      </x:c>
      <x:c r="Q1342" s="14" t="str">
        <x:v>3号车</x:v>
      </x:c>
      <x:c r="R1342" s="14" t="str">
        <x:v>预测</x:v>
      </x:c>
      <x:c r="S1342" s="14" t="str">
        <x:v>到站时间为估算值</x:v>
      </x:c>
      <x:c r="T1342" t="str">
        <x:v>研究生宿舍楼发车</x:v>
      </x:c>
    </x:row>
    <x:row r="1343">
      <x:c r="A1343" s="14" t="str">
        <x:v>S0116-04</x:v>
      </x:c>
      <x:c r="B1343" s="14" t="str">
        <x:v>S0116</x:v>
      </x:c>
      <x:c r="C1343" s="14" t="str">
        <x:v>工作日</x:v>
      </x:c>
      <x:c r="D1343" s="14" t="str">
        <x:v>环线3路</x:v>
      </x:c>
      <x:c r="E1343" s="14" t="str">
        <x:v>第一班</x:v>
      </x:c>
      <x:c r="F1343" s="14" t="n">
        <x:v>8</x:v>
      </x:c>
      <x:c r="G1343" s="14" t="str">
        <x:v>14:10</x:v>
      </x:c>
      <x:c r="H1343" s="14" t="str">
        <x:v>研究生宿舍楼</x:v>
      </x:c>
      <x:c r="I1343" s="14" t="str">
        <x:v>否</x:v>
      </x:c>
      <x:c r="J1343" s="14" t="n">
        <x:v>4</x:v>
      </x:c>
      <x:c r="K1343" s="14" t="str">
        <x:v>军体活动中心</x:v>
      </x:c>
      <x:c r="L1343" s="14" t="n">
        <x:v>4</x:v>
      </x:c>
      <x:c r="M1343" s="14" t="str">
        <x:v>14:14</x:v>
      </x:c>
      <x:c r="N1343" s="14" t="str">
        <x:v>否</x:v>
      </x:c>
      <x:c r="O1343" s="14" t="str">
        <x:v>否</x:v>
      </x:c>
      <x:c r="P1343" s="14" t="str">
        <x:v>刘虎</x:v>
      </x:c>
      <x:c r="Q1343" s="14" t="str">
        <x:v>3号车</x:v>
      </x:c>
      <x:c r="R1343" s="14" t="str">
        <x:v>预测</x:v>
      </x:c>
      <x:c r="S1343" s="14" t="str">
        <x:v>到站时间为估算值</x:v>
      </x:c>
      <x:c r="T1343" t="str">
        <x:v>研究生宿舍楼发车</x:v>
      </x:c>
    </x:row>
    <x:row r="1344">
      <x:c r="A1344" s="14" t="str">
        <x:v>S0116-05</x:v>
      </x:c>
      <x:c r="B1344" s="14" t="str">
        <x:v>S0116</x:v>
      </x:c>
      <x:c r="C1344" s="14" t="str">
        <x:v>工作日</x:v>
      </x:c>
      <x:c r="D1344" s="14" t="str">
        <x:v>环线3路</x:v>
      </x:c>
      <x:c r="E1344" s="14" t="str">
        <x:v>第一班</x:v>
      </x:c>
      <x:c r="F1344" s="14" t="n">
        <x:v>8</x:v>
      </x:c>
      <x:c r="G1344" s="14" t="str">
        <x:v>14:10</x:v>
      </x:c>
      <x:c r="H1344" s="14" t="str">
        <x:v>研究生宿舍楼</x:v>
      </x:c>
      <x:c r="I1344" s="14" t="str">
        <x:v>否</x:v>
      </x:c>
      <x:c r="J1344" s="14" t="n">
        <x:v>5</x:v>
      </x:c>
      <x:c r="K1344" s="14" t="str">
        <x:v>教勤连</x:v>
      </x:c>
      <x:c r="L1344" s="14" t="n">
        <x:v>6</x:v>
      </x:c>
      <x:c r="M1344" s="14" t="str">
        <x:v>14:16</x:v>
      </x:c>
      <x:c r="N1344" s="14" t="str">
        <x:v>否</x:v>
      </x:c>
      <x:c r="O1344" s="14" t="str">
        <x:v>否</x:v>
      </x:c>
      <x:c r="P1344" s="14" t="str">
        <x:v>刘虎</x:v>
      </x:c>
      <x:c r="Q1344" s="14" t="str">
        <x:v>3号车</x:v>
      </x:c>
      <x:c r="R1344" s="14" t="str">
        <x:v>预测</x:v>
      </x:c>
      <x:c r="S1344" s="14" t="str">
        <x:v>到站时间为估算值</x:v>
      </x:c>
      <x:c r="T1344" t="str">
        <x:v>研究生宿舍楼发车</x:v>
      </x:c>
    </x:row>
    <x:row r="1345">
      <x:c r="A1345" s="14" t="str">
        <x:v>S0116-06</x:v>
      </x:c>
      <x:c r="B1345" s="14" t="str">
        <x:v>S0116</x:v>
      </x:c>
      <x:c r="C1345" s="14" t="str">
        <x:v>工作日</x:v>
      </x:c>
      <x:c r="D1345" s="14" t="str">
        <x:v>环线3路</x:v>
      </x:c>
      <x:c r="E1345" s="14" t="str">
        <x:v>第一班</x:v>
      </x:c>
      <x:c r="F1345" s="14" t="n">
        <x:v>8</x:v>
      </x:c>
      <x:c r="G1345" s="14" t="str">
        <x:v>14:10</x:v>
      </x:c>
      <x:c r="H1345" s="14" t="str">
        <x:v>研究生宿舍楼</x:v>
      </x:c>
      <x:c r="I1345" s="14" t="str">
        <x:v>否</x:v>
      </x:c>
      <x:c r="J1345" s="14" t="n">
        <x:v>6</x:v>
      </x:c>
      <x:c r="K1345" s="14" t="str">
        <x:v>激光所</x:v>
      </x:c>
      <x:c r="L1345" s="14" t="n">
        <x:v>7</x:v>
      </x:c>
      <x:c r="M1345" s="14" t="str">
        <x:v>14:17</x:v>
      </x:c>
      <x:c r="N1345" s="14" t="str">
        <x:v>否</x:v>
      </x:c>
      <x:c r="O1345" s="14" t="str">
        <x:v>否</x:v>
      </x:c>
      <x:c r="P1345" s="14" t="str">
        <x:v>刘虎</x:v>
      </x:c>
      <x:c r="Q1345" s="14" t="str">
        <x:v>3号车</x:v>
      </x:c>
      <x:c r="R1345" s="14" t="str">
        <x:v>预测</x:v>
      </x:c>
      <x:c r="S1345" s="14" t="str">
        <x:v>到站时间为估算值</x:v>
      </x:c>
      <x:c r="T1345" t="str">
        <x:v>研究生宿舍楼发车</x:v>
      </x:c>
    </x:row>
    <x:row r="1346">
      <x:c r="A1346" s="14" t="str">
        <x:v>S0116-07</x:v>
      </x:c>
      <x:c r="B1346" s="14" t="str">
        <x:v>S0116</x:v>
      </x:c>
      <x:c r="C1346" s="14" t="str">
        <x:v>工作日</x:v>
      </x:c>
      <x:c r="D1346" s="14" t="str">
        <x:v>环线3路</x:v>
      </x:c>
      <x:c r="E1346" s="14" t="str">
        <x:v>第一班</x:v>
      </x:c>
      <x:c r="F1346" s="14" t="n">
        <x:v>8</x:v>
      </x:c>
      <x:c r="G1346" s="14" t="str">
        <x:v>14:10</x:v>
      </x:c>
      <x:c r="H1346" s="14" t="str">
        <x:v>研究生宿舍楼</x:v>
      </x:c>
      <x:c r="I1346" s="14" t="str">
        <x:v>否</x:v>
      </x:c>
      <x:c r="J1346" s="14" t="n">
        <x:v>7</x:v>
      </x:c>
      <x:c r="K1346" s="14" t="str">
        <x:v>高超楼</x:v>
      </x:c>
      <x:c r="L1346" s="14" t="n">
        <x:v>9</x:v>
      </x:c>
      <x:c r="M1346" s="14" t="str">
        <x:v>14:19</x:v>
      </x:c>
      <x:c r="N1346" s="14" t="str">
        <x:v>否</x:v>
      </x:c>
      <x:c r="O1346" s="14" t="str">
        <x:v>否</x:v>
      </x:c>
      <x:c r="P1346" s="14" t="str">
        <x:v>刘虎</x:v>
      </x:c>
      <x:c r="Q1346" s="14" t="str">
        <x:v>3号车</x:v>
      </x:c>
      <x:c r="R1346" s="14" t="str">
        <x:v>预测</x:v>
      </x:c>
      <x:c r="S1346" s="14" t="str">
        <x:v>到站时间为估算值</x:v>
      </x:c>
      <x:c r="T1346" t="str">
        <x:v>研究生宿舍楼发车</x:v>
      </x:c>
    </x:row>
    <x:row r="1347">
      <x:c r="A1347" s="14" t="str">
        <x:v>S0116-08</x:v>
      </x:c>
      <x:c r="B1347" s="14" t="str">
        <x:v>S0116</x:v>
      </x:c>
      <x:c r="C1347" s="14" t="str">
        <x:v>工作日</x:v>
      </x:c>
      <x:c r="D1347" s="14" t="str">
        <x:v>环线3路</x:v>
      </x:c>
      <x:c r="E1347" s="14" t="str">
        <x:v>第一班</x:v>
      </x:c>
      <x:c r="F1347" s="14" t="n">
        <x:v>8</x:v>
      </x:c>
      <x:c r="G1347" s="14" t="str">
        <x:v>14:10</x:v>
      </x:c>
      <x:c r="H1347" s="14" t="str">
        <x:v>研究生宿舍楼</x:v>
      </x:c>
      <x:c r="I1347" s="14" t="str">
        <x:v>否</x:v>
      </x:c>
      <x:c r="J1347" s="14" t="n">
        <x:v>8</x:v>
      </x:c>
      <x:c r="K1347" s="14" t="str">
        <x:v>理学院</x:v>
      </x:c>
      <x:c r="L1347" s="14" t="n">
        <x:v>10</x:v>
      </x:c>
      <x:c r="M1347" s="14" t="str">
        <x:v>14:20</x:v>
      </x:c>
      <x:c r="N1347" s="14" t="str">
        <x:v>否</x:v>
      </x:c>
      <x:c r="O1347" s="14" t="str">
        <x:v>否</x:v>
      </x:c>
      <x:c r="P1347" s="14" t="str">
        <x:v>刘虎</x:v>
      </x:c>
      <x:c r="Q1347" s="14" t="str">
        <x:v>3号车</x:v>
      </x:c>
      <x:c r="R1347" s="14" t="str">
        <x:v>预测</x:v>
      </x:c>
      <x:c r="S1347" s="14" t="str">
        <x:v>到站时间为估算值</x:v>
      </x:c>
      <x:c r="T1347" t="str">
        <x:v>研究生宿舍楼发车</x:v>
      </x:c>
    </x:row>
    <x:row r="1348">
      <x:c r="A1348" s="14" t="str">
        <x:v>S0116-09</x:v>
      </x:c>
      <x:c r="B1348" s="14" t="str">
        <x:v>S0116</x:v>
      </x:c>
      <x:c r="C1348" s="14" t="str">
        <x:v>工作日</x:v>
      </x:c>
      <x:c r="D1348" s="14" t="str">
        <x:v>环线3路</x:v>
      </x:c>
      <x:c r="E1348" s="14" t="str">
        <x:v>第一班</x:v>
      </x:c>
      <x:c r="F1348" s="14" t="n">
        <x:v>8</x:v>
      </x:c>
      <x:c r="G1348" s="14" t="str">
        <x:v>14:10</x:v>
      </x:c>
      <x:c r="H1348" s="14" t="str">
        <x:v>研究生宿舍楼</x:v>
      </x:c>
      <x:c r="I1348" s="14" t="str">
        <x:v>否</x:v>
      </x:c>
      <x:c r="J1348" s="14" t="n">
        <x:v>9</x:v>
      </x:c>
      <x:c r="K1348" s="14" t="str">
        <x:v>二食堂</x:v>
      </x:c>
      <x:c r="L1348" s="14" t="n">
        <x:v>13</x:v>
      </x:c>
      <x:c r="M1348" s="14" t="str">
        <x:v>14:23</x:v>
      </x:c>
      <x:c r="N1348" s="14" t="str">
        <x:v>否</x:v>
      </x:c>
      <x:c r="O1348" s="14" t="str">
        <x:v>否</x:v>
      </x:c>
      <x:c r="P1348" s="14" t="str">
        <x:v>刘虎</x:v>
      </x:c>
      <x:c r="Q1348" s="14" t="str">
        <x:v>3号车</x:v>
      </x:c>
      <x:c r="R1348" s="14" t="str">
        <x:v>预测</x:v>
      </x:c>
      <x:c r="S1348" s="14" t="str">
        <x:v>到站时间为估算值</x:v>
      </x:c>
      <x:c r="T1348" t="str">
        <x:v>研究生宿舍楼发车</x:v>
      </x:c>
    </x:row>
    <x:row r="1349">
      <x:c r="A1349" s="14" t="str">
        <x:v>S0116-10</x:v>
      </x:c>
      <x:c r="B1349" s="14" t="str">
        <x:v>S0116</x:v>
      </x:c>
      <x:c r="C1349" s="14" t="str">
        <x:v>工作日</x:v>
      </x:c>
      <x:c r="D1349" s="14" t="str">
        <x:v>环线3路</x:v>
      </x:c>
      <x:c r="E1349" s="14" t="str">
        <x:v>第一班</x:v>
      </x:c>
      <x:c r="F1349" s="14" t="n">
        <x:v>8</x:v>
      </x:c>
      <x:c r="G1349" s="14" t="str">
        <x:v>14:10</x:v>
      </x:c>
      <x:c r="H1349" s="14" t="str">
        <x:v>研究生宿舍楼</x:v>
      </x:c>
      <x:c r="I1349" s="14" t="str">
        <x:v>否</x:v>
      </x:c>
      <x:c r="J1349" s="14" t="n">
        <x:v>10</x:v>
      </x:c>
      <x:c r="K1349" s="14" t="str">
        <x:v>图书馆</x:v>
      </x:c>
      <x:c r="L1349" s="14" t="n">
        <x:v>14</x:v>
      </x:c>
      <x:c r="M1349" s="14" t="str">
        <x:v>14:24</x:v>
      </x:c>
      <x:c r="N1349" s="14" t="str">
        <x:v>否</x:v>
      </x:c>
      <x:c r="O1349" s="14" t="str">
        <x:v>否</x:v>
      </x:c>
      <x:c r="P1349" s="14" t="str">
        <x:v>刘虎</x:v>
      </x:c>
      <x:c r="Q1349" s="14" t="str">
        <x:v>3号车</x:v>
      </x:c>
      <x:c r="R1349" s="14" t="str">
        <x:v>预测</x:v>
      </x:c>
      <x:c r="S1349" s="14" t="str">
        <x:v>到站时间为估算值</x:v>
      </x:c>
      <x:c r="T1349" t="str">
        <x:v>研究生宿舍楼发车</x:v>
      </x:c>
    </x:row>
    <x:row r="1350">
      <x:c r="A1350" s="14" t="str">
        <x:v>S0116-11</x:v>
      </x:c>
      <x:c r="B1350" s="14" t="str">
        <x:v>S0116</x:v>
      </x:c>
      <x:c r="C1350" s="14" t="str">
        <x:v>工作日</x:v>
      </x:c>
      <x:c r="D1350" s="14" t="str">
        <x:v>环线3路</x:v>
      </x:c>
      <x:c r="E1350" s="14" t="str">
        <x:v>第一班</x:v>
      </x:c>
      <x:c r="F1350" s="14" t="n">
        <x:v>8</x:v>
      </x:c>
      <x:c r="G1350" s="14" t="str">
        <x:v>14:10</x:v>
      </x:c>
      <x:c r="H1350" s="14" t="str">
        <x:v>研究生宿舍楼</x:v>
      </x:c>
      <x:c r="I1350" s="14" t="str">
        <x:v>否</x:v>
      </x:c>
      <x:c r="J1350" s="14" t="n">
        <x:v>11</x:v>
      </x:c>
      <x:c r="K1350" s="14" t="str">
        <x:v>305教学楼</x:v>
      </x:c>
      <x:c r="L1350" s="14" t="n">
        <x:v>16</x:v>
      </x:c>
      <x:c r="M1350" s="14" t="str">
        <x:v>14:26</x:v>
      </x:c>
      <x:c r="N1350" s="14" t="str">
        <x:v>否</x:v>
      </x:c>
      <x:c r="O1350" s="14" t="str">
        <x:v>否</x:v>
      </x:c>
      <x:c r="P1350" s="14" t="str">
        <x:v>刘虎</x:v>
      </x:c>
      <x:c r="Q1350" s="14" t="str">
        <x:v>3号车</x:v>
      </x:c>
      <x:c r="R1350" s="14" t="str">
        <x:v>预测</x:v>
      </x:c>
      <x:c r="S1350" s="14" t="str">
        <x:v>到站时间为估算值</x:v>
      </x:c>
      <x:c r="T1350" t="str">
        <x:v>研究生宿舍楼发车</x:v>
      </x:c>
    </x:row>
    <x:row r="1351">
      <x:c r="A1351" s="14" t="str">
        <x:v>S0116-12</x:v>
      </x:c>
      <x:c r="B1351" s="14" t="str">
        <x:v>S0116</x:v>
      </x:c>
      <x:c r="C1351" s="14" t="str">
        <x:v>工作日</x:v>
      </x:c>
      <x:c r="D1351" s="14" t="str">
        <x:v>环线3路</x:v>
      </x:c>
      <x:c r="E1351" s="14" t="str">
        <x:v>第一班</x:v>
      </x:c>
      <x:c r="F1351" s="14" t="n">
        <x:v>8</x:v>
      </x:c>
      <x:c r="G1351" s="14" t="str">
        <x:v>14:10</x:v>
      </x:c>
      <x:c r="H1351" s="14" t="str">
        <x:v>研究生宿舍楼</x:v>
      </x:c>
      <x:c r="I1351" s="14" t="str">
        <x:v>否</x:v>
      </x:c>
      <x:c r="J1351" s="14" t="n">
        <x:v>12</x:v>
      </x:c>
      <x:c r="K1351" s="14" t="str">
        <x:v>研究生宿舍楼</x:v>
      </x:c>
      <x:c r="L1351" s="14" t="n">
        <x:v>18</x:v>
      </x:c>
      <x:c r="M1351" s="14" t="str">
        <x:v>14:28</x:v>
      </x:c>
      <x:c r="N1351" s="14" t="str">
        <x:v>否</x:v>
      </x:c>
      <x:c r="O1351" s="14" t="str">
        <x:v>是</x:v>
      </x:c>
      <x:c r="P1351" s="14" t="str">
        <x:v>刘虎</x:v>
      </x:c>
      <x:c r="Q1351" s="14" t="str">
        <x:v>3号车</x:v>
      </x:c>
      <x:c r="R1351" s="14" t="str">
        <x:v>预测</x:v>
      </x:c>
      <x:c r="S1351" s="14" t="str">
        <x:v>到站时间为估算值</x:v>
      </x:c>
      <x:c r="T1351" t="str">
        <x:v>研究生宿舍楼发车</x:v>
      </x:c>
    </x:row>
    <x:row r="1352">
      <x:c r="A1352" s="14" t="str">
        <x:v>S0117-01</x:v>
      </x:c>
      <x:c r="B1352" s="14" t="str">
        <x:v>S0117</x:v>
      </x:c>
      <x:c r="C1352" s="14" t="str">
        <x:v>工作日</x:v>
      </x:c>
      <x:c r="D1352" s="14" t="str">
        <x:v>环线3路</x:v>
      </x:c>
      <x:c r="E1352" s="14" t="str">
        <x:v>第一班</x:v>
      </x:c>
      <x:c r="F1352" s="14" t="n">
        <x:v>9</x:v>
      </x:c>
      <x:c r="G1352" s="14" t="str">
        <x:v>14:40</x:v>
      </x:c>
      <x:c r="H1352" s="14" t="str">
        <x:v>研究生宿舍楼</x:v>
      </x:c>
      <x:c r="I1352" s="14" t="str">
        <x:v>否</x:v>
      </x:c>
      <x:c r="J1352" s="14" t="n">
        <x:v>1</x:v>
      </x:c>
      <x:c r="K1352" s="14" t="str">
        <x:v>研究生宿舍楼</x:v>
      </x:c>
      <x:c r="L1352" s="14" t="n">
        <x:v>0</x:v>
      </x:c>
      <x:c r="M1352" s="14" t="str">
        <x:v>14:40</x:v>
      </x:c>
      <x:c r="N1352" s="14" t="str">
        <x:v>是</x:v>
      </x:c>
      <x:c r="O1352" s="14" t="str">
        <x:v>否</x:v>
      </x:c>
      <x:c r="P1352" s="14" t="str">
        <x:v>刘虎</x:v>
      </x:c>
      <x:c r="Q1352" s="14" t="str">
        <x:v>3号车</x:v>
      </x:c>
      <x:c r="R1352" s="14" t="str">
        <x:v>预测</x:v>
      </x:c>
      <x:c r="S1352" s="14" t="str">
        <x:v>到站时间为估算值</x:v>
      </x:c>
      <x:c r="T1352" t="str">
        <x:v>研究生宿舍楼发车</x:v>
      </x:c>
    </x:row>
    <x:row r="1353">
      <x:c r="A1353" s="14" t="str">
        <x:v>S0117-02</x:v>
      </x:c>
      <x:c r="B1353" s="14" t="str">
        <x:v>S0117</x:v>
      </x:c>
      <x:c r="C1353" s="14" t="str">
        <x:v>工作日</x:v>
      </x:c>
      <x:c r="D1353" s="14" t="str">
        <x:v>环线3路</x:v>
      </x:c>
      <x:c r="E1353" s="14" t="str">
        <x:v>第一班</x:v>
      </x:c>
      <x:c r="F1353" s="14" t="n">
        <x:v>9</x:v>
      </x:c>
      <x:c r="G1353" s="14" t="str">
        <x:v>14:40</x:v>
      </x:c>
      <x:c r="H1353" s="14" t="str">
        <x:v>研究生宿舍楼</x:v>
      </x:c>
      <x:c r="I1353" s="14" t="str">
        <x:v>否</x:v>
      </x:c>
      <x:c r="J1353" s="14" t="n">
        <x:v>2</x:v>
      </x:c>
      <x:c r="K1353" s="14" t="str">
        <x:v>一食堂</x:v>
      </x:c>
      <x:c r="L1353" s="14" t="n">
        <x:v>1</x:v>
      </x:c>
      <x:c r="M1353" s="14" t="str">
        <x:v>14:41</x:v>
      </x:c>
      <x:c r="N1353" s="14" t="str">
        <x:v>否</x:v>
      </x:c>
      <x:c r="O1353" s="14" t="str">
        <x:v>否</x:v>
      </x:c>
      <x:c r="P1353" s="14" t="str">
        <x:v>刘虎</x:v>
      </x:c>
      <x:c r="Q1353" s="14" t="str">
        <x:v>3号车</x:v>
      </x:c>
      <x:c r="R1353" s="14" t="str">
        <x:v>预测</x:v>
      </x:c>
      <x:c r="S1353" s="14" t="str">
        <x:v>到站时间为估算值</x:v>
      </x:c>
      <x:c r="T1353" t="str">
        <x:v>研究生宿舍楼发车</x:v>
      </x:c>
    </x:row>
    <x:row r="1354">
      <x:c r="A1354" s="14" t="str">
        <x:v>S0117-03</x:v>
      </x:c>
      <x:c r="B1354" s="14" t="str">
        <x:v>S0117</x:v>
      </x:c>
      <x:c r="C1354" s="14" t="str">
        <x:v>工作日</x:v>
      </x:c>
      <x:c r="D1354" s="14" t="str">
        <x:v>环线3路</x:v>
      </x:c>
      <x:c r="E1354" s="14" t="str">
        <x:v>第一班</x:v>
      </x:c>
      <x:c r="F1354" s="14" t="n">
        <x:v>9</x:v>
      </x:c>
      <x:c r="G1354" s="14" t="str">
        <x:v>14:40</x:v>
      </x:c>
      <x:c r="H1354" s="14" t="str">
        <x:v>研究生宿舍楼</x:v>
      </x:c>
      <x:c r="I1354" s="14" t="str">
        <x:v>否</x:v>
      </x:c>
      <x:c r="J1354" s="14" t="n">
        <x:v>3</x:v>
      </x:c>
      <x:c r="K1354" s="14" t="str">
        <x:v>2号宿舍楼</x:v>
      </x:c>
      <x:c r="L1354" s="14" t="n">
        <x:v>3</x:v>
      </x:c>
      <x:c r="M1354" s="14" t="str">
        <x:v>14:43</x:v>
      </x:c>
      <x:c r="N1354" s="14" t="str">
        <x:v>否</x:v>
      </x:c>
      <x:c r="O1354" s="14" t="str">
        <x:v>否</x:v>
      </x:c>
      <x:c r="P1354" s="14" t="str">
        <x:v>刘虎</x:v>
      </x:c>
      <x:c r="Q1354" s="14" t="str">
        <x:v>3号车</x:v>
      </x:c>
      <x:c r="R1354" s="14" t="str">
        <x:v>预测</x:v>
      </x:c>
      <x:c r="S1354" s="14" t="str">
        <x:v>到站时间为估算值</x:v>
      </x:c>
      <x:c r="T1354" t="str">
        <x:v>研究生宿舍楼发车</x:v>
      </x:c>
    </x:row>
    <x:row r="1355">
      <x:c r="A1355" s="14" t="str">
        <x:v>S0117-04</x:v>
      </x:c>
      <x:c r="B1355" s="14" t="str">
        <x:v>S0117</x:v>
      </x:c>
      <x:c r="C1355" s="14" t="str">
        <x:v>工作日</x:v>
      </x:c>
      <x:c r="D1355" s="14" t="str">
        <x:v>环线3路</x:v>
      </x:c>
      <x:c r="E1355" s="14" t="str">
        <x:v>第一班</x:v>
      </x:c>
      <x:c r="F1355" s="14" t="n">
        <x:v>9</x:v>
      </x:c>
      <x:c r="G1355" s="14" t="str">
        <x:v>14:40</x:v>
      </x:c>
      <x:c r="H1355" s="14" t="str">
        <x:v>研究生宿舍楼</x:v>
      </x:c>
      <x:c r="I1355" s="14" t="str">
        <x:v>否</x:v>
      </x:c>
      <x:c r="J1355" s="14" t="n">
        <x:v>4</x:v>
      </x:c>
      <x:c r="K1355" s="14" t="str">
        <x:v>军体活动中心</x:v>
      </x:c>
      <x:c r="L1355" s="14" t="n">
        <x:v>4</x:v>
      </x:c>
      <x:c r="M1355" s="14" t="str">
        <x:v>14:44</x:v>
      </x:c>
      <x:c r="N1355" s="14" t="str">
        <x:v>否</x:v>
      </x:c>
      <x:c r="O1355" s="14" t="str">
        <x:v>否</x:v>
      </x:c>
      <x:c r="P1355" s="14" t="str">
        <x:v>刘虎</x:v>
      </x:c>
      <x:c r="Q1355" s="14" t="str">
        <x:v>3号车</x:v>
      </x:c>
      <x:c r="R1355" s="14" t="str">
        <x:v>预测</x:v>
      </x:c>
      <x:c r="S1355" s="14" t="str">
        <x:v>到站时间为估算值</x:v>
      </x:c>
      <x:c r="T1355" t="str">
        <x:v>研究生宿舍楼发车</x:v>
      </x:c>
    </x:row>
    <x:row r="1356">
      <x:c r="A1356" s="14" t="str">
        <x:v>S0117-05</x:v>
      </x:c>
      <x:c r="B1356" s="14" t="str">
        <x:v>S0117</x:v>
      </x:c>
      <x:c r="C1356" s="14" t="str">
        <x:v>工作日</x:v>
      </x:c>
      <x:c r="D1356" s="14" t="str">
        <x:v>环线3路</x:v>
      </x:c>
      <x:c r="E1356" s="14" t="str">
        <x:v>第一班</x:v>
      </x:c>
      <x:c r="F1356" s="14" t="n">
        <x:v>9</x:v>
      </x:c>
      <x:c r="G1356" s="14" t="str">
        <x:v>14:40</x:v>
      </x:c>
      <x:c r="H1356" s="14" t="str">
        <x:v>研究生宿舍楼</x:v>
      </x:c>
      <x:c r="I1356" s="14" t="str">
        <x:v>否</x:v>
      </x:c>
      <x:c r="J1356" s="14" t="n">
        <x:v>5</x:v>
      </x:c>
      <x:c r="K1356" s="14" t="str">
        <x:v>教勤连</x:v>
      </x:c>
      <x:c r="L1356" s="14" t="n">
        <x:v>6</x:v>
      </x:c>
      <x:c r="M1356" s="14" t="str">
        <x:v>14:46</x:v>
      </x:c>
      <x:c r="N1356" s="14" t="str">
        <x:v>否</x:v>
      </x:c>
      <x:c r="O1356" s="14" t="str">
        <x:v>否</x:v>
      </x:c>
      <x:c r="P1356" s="14" t="str">
        <x:v>刘虎</x:v>
      </x:c>
      <x:c r="Q1356" s="14" t="str">
        <x:v>3号车</x:v>
      </x:c>
      <x:c r="R1356" s="14" t="str">
        <x:v>预测</x:v>
      </x:c>
      <x:c r="S1356" s="14" t="str">
        <x:v>到站时间为估算值</x:v>
      </x:c>
      <x:c r="T1356" t="str">
        <x:v>研究生宿舍楼发车</x:v>
      </x:c>
    </x:row>
    <x:row r="1357">
      <x:c r="A1357" s="14" t="str">
        <x:v>S0117-06</x:v>
      </x:c>
      <x:c r="B1357" s="14" t="str">
        <x:v>S0117</x:v>
      </x:c>
      <x:c r="C1357" s="14" t="str">
        <x:v>工作日</x:v>
      </x:c>
      <x:c r="D1357" s="14" t="str">
        <x:v>环线3路</x:v>
      </x:c>
      <x:c r="E1357" s="14" t="str">
        <x:v>第一班</x:v>
      </x:c>
      <x:c r="F1357" s="14" t="n">
        <x:v>9</x:v>
      </x:c>
      <x:c r="G1357" s="14" t="str">
        <x:v>14:40</x:v>
      </x:c>
      <x:c r="H1357" s="14" t="str">
        <x:v>研究生宿舍楼</x:v>
      </x:c>
      <x:c r="I1357" s="14" t="str">
        <x:v>否</x:v>
      </x:c>
      <x:c r="J1357" s="14" t="n">
        <x:v>6</x:v>
      </x:c>
      <x:c r="K1357" s="14" t="str">
        <x:v>激光所</x:v>
      </x:c>
      <x:c r="L1357" s="14" t="n">
        <x:v>7</x:v>
      </x:c>
      <x:c r="M1357" s="14" t="str">
        <x:v>14:47</x:v>
      </x:c>
      <x:c r="N1357" s="14" t="str">
        <x:v>否</x:v>
      </x:c>
      <x:c r="O1357" s="14" t="str">
        <x:v>否</x:v>
      </x:c>
      <x:c r="P1357" s="14" t="str">
        <x:v>刘虎</x:v>
      </x:c>
      <x:c r="Q1357" s="14" t="str">
        <x:v>3号车</x:v>
      </x:c>
      <x:c r="R1357" s="14" t="str">
        <x:v>预测</x:v>
      </x:c>
      <x:c r="S1357" s="14" t="str">
        <x:v>到站时间为估算值</x:v>
      </x:c>
      <x:c r="T1357" t="str">
        <x:v>研究生宿舍楼发车</x:v>
      </x:c>
    </x:row>
    <x:row r="1358">
      <x:c r="A1358" s="14" t="str">
        <x:v>S0117-07</x:v>
      </x:c>
      <x:c r="B1358" s="14" t="str">
        <x:v>S0117</x:v>
      </x:c>
      <x:c r="C1358" s="14" t="str">
        <x:v>工作日</x:v>
      </x:c>
      <x:c r="D1358" s="14" t="str">
        <x:v>环线3路</x:v>
      </x:c>
      <x:c r="E1358" s="14" t="str">
        <x:v>第一班</x:v>
      </x:c>
      <x:c r="F1358" s="14" t="n">
        <x:v>9</x:v>
      </x:c>
      <x:c r="G1358" s="14" t="str">
        <x:v>14:40</x:v>
      </x:c>
      <x:c r="H1358" s="14" t="str">
        <x:v>研究生宿舍楼</x:v>
      </x:c>
      <x:c r="I1358" s="14" t="str">
        <x:v>否</x:v>
      </x:c>
      <x:c r="J1358" s="14" t="n">
        <x:v>7</x:v>
      </x:c>
      <x:c r="K1358" s="14" t="str">
        <x:v>高超楼</x:v>
      </x:c>
      <x:c r="L1358" s="14" t="n">
        <x:v>9</x:v>
      </x:c>
      <x:c r="M1358" s="14" t="str">
        <x:v>14:49</x:v>
      </x:c>
      <x:c r="N1358" s="14" t="str">
        <x:v>否</x:v>
      </x:c>
      <x:c r="O1358" s="14" t="str">
        <x:v>否</x:v>
      </x:c>
      <x:c r="P1358" s="14" t="str">
        <x:v>刘虎</x:v>
      </x:c>
      <x:c r="Q1358" s="14" t="str">
        <x:v>3号车</x:v>
      </x:c>
      <x:c r="R1358" s="14" t="str">
        <x:v>预测</x:v>
      </x:c>
      <x:c r="S1358" s="14" t="str">
        <x:v>到站时间为估算值</x:v>
      </x:c>
      <x:c r="T1358" t="str">
        <x:v>研究生宿舍楼发车</x:v>
      </x:c>
    </x:row>
    <x:row r="1359">
      <x:c r="A1359" s="14" t="str">
        <x:v>S0117-08</x:v>
      </x:c>
      <x:c r="B1359" s="14" t="str">
        <x:v>S0117</x:v>
      </x:c>
      <x:c r="C1359" s="14" t="str">
        <x:v>工作日</x:v>
      </x:c>
      <x:c r="D1359" s="14" t="str">
        <x:v>环线3路</x:v>
      </x:c>
      <x:c r="E1359" s="14" t="str">
        <x:v>第一班</x:v>
      </x:c>
      <x:c r="F1359" s="14" t="n">
        <x:v>9</x:v>
      </x:c>
      <x:c r="G1359" s="14" t="str">
        <x:v>14:40</x:v>
      </x:c>
      <x:c r="H1359" s="14" t="str">
        <x:v>研究生宿舍楼</x:v>
      </x:c>
      <x:c r="I1359" s="14" t="str">
        <x:v>否</x:v>
      </x:c>
      <x:c r="J1359" s="14" t="n">
        <x:v>8</x:v>
      </x:c>
      <x:c r="K1359" s="14" t="str">
        <x:v>理学院</x:v>
      </x:c>
      <x:c r="L1359" s="14" t="n">
        <x:v>10</x:v>
      </x:c>
      <x:c r="M1359" s="14" t="str">
        <x:v>14:50</x:v>
      </x:c>
      <x:c r="N1359" s="14" t="str">
        <x:v>否</x:v>
      </x:c>
      <x:c r="O1359" s="14" t="str">
        <x:v>否</x:v>
      </x:c>
      <x:c r="P1359" s="14" t="str">
        <x:v>刘虎</x:v>
      </x:c>
      <x:c r="Q1359" s="14" t="str">
        <x:v>3号车</x:v>
      </x:c>
      <x:c r="R1359" s="14" t="str">
        <x:v>预测</x:v>
      </x:c>
      <x:c r="S1359" s="14" t="str">
        <x:v>到站时间为估算值</x:v>
      </x:c>
      <x:c r="T1359" t="str">
        <x:v>研究生宿舍楼发车</x:v>
      </x:c>
    </x:row>
    <x:row r="1360">
      <x:c r="A1360" s="14" t="str">
        <x:v>S0117-09</x:v>
      </x:c>
      <x:c r="B1360" s="14" t="str">
        <x:v>S0117</x:v>
      </x:c>
      <x:c r="C1360" s="14" t="str">
        <x:v>工作日</x:v>
      </x:c>
      <x:c r="D1360" s="14" t="str">
        <x:v>环线3路</x:v>
      </x:c>
      <x:c r="E1360" s="14" t="str">
        <x:v>第一班</x:v>
      </x:c>
      <x:c r="F1360" s="14" t="n">
        <x:v>9</x:v>
      </x:c>
      <x:c r="G1360" s="14" t="str">
        <x:v>14:40</x:v>
      </x:c>
      <x:c r="H1360" s="14" t="str">
        <x:v>研究生宿舍楼</x:v>
      </x:c>
      <x:c r="I1360" s="14" t="str">
        <x:v>否</x:v>
      </x:c>
      <x:c r="J1360" s="14" t="n">
        <x:v>9</x:v>
      </x:c>
      <x:c r="K1360" s="14" t="str">
        <x:v>二食堂</x:v>
      </x:c>
      <x:c r="L1360" s="14" t="n">
        <x:v>13</x:v>
      </x:c>
      <x:c r="M1360" s="14" t="str">
        <x:v>14:53</x:v>
      </x:c>
      <x:c r="N1360" s="14" t="str">
        <x:v>否</x:v>
      </x:c>
      <x:c r="O1360" s="14" t="str">
        <x:v>否</x:v>
      </x:c>
      <x:c r="P1360" s="14" t="str">
        <x:v>刘虎</x:v>
      </x:c>
      <x:c r="Q1360" s="14" t="str">
        <x:v>3号车</x:v>
      </x:c>
      <x:c r="R1360" s="14" t="str">
        <x:v>预测</x:v>
      </x:c>
      <x:c r="S1360" s="14" t="str">
        <x:v>到站时间为估算值</x:v>
      </x:c>
      <x:c r="T1360" t="str">
        <x:v>研究生宿舍楼发车</x:v>
      </x:c>
    </x:row>
    <x:row r="1361">
      <x:c r="A1361" s="14" t="str">
        <x:v>S0117-10</x:v>
      </x:c>
      <x:c r="B1361" s="14" t="str">
        <x:v>S0117</x:v>
      </x:c>
      <x:c r="C1361" s="14" t="str">
        <x:v>工作日</x:v>
      </x:c>
      <x:c r="D1361" s="14" t="str">
        <x:v>环线3路</x:v>
      </x:c>
      <x:c r="E1361" s="14" t="str">
        <x:v>第一班</x:v>
      </x:c>
      <x:c r="F1361" s="14" t="n">
        <x:v>9</x:v>
      </x:c>
      <x:c r="G1361" s="14" t="str">
        <x:v>14:40</x:v>
      </x:c>
      <x:c r="H1361" s="14" t="str">
        <x:v>研究生宿舍楼</x:v>
      </x:c>
      <x:c r="I1361" s="14" t="str">
        <x:v>否</x:v>
      </x:c>
      <x:c r="J1361" s="14" t="n">
        <x:v>10</x:v>
      </x:c>
      <x:c r="K1361" s="14" t="str">
        <x:v>图书馆</x:v>
      </x:c>
      <x:c r="L1361" s="14" t="n">
        <x:v>14</x:v>
      </x:c>
      <x:c r="M1361" s="14" t="str">
        <x:v>14:54</x:v>
      </x:c>
      <x:c r="N1361" s="14" t="str">
        <x:v>否</x:v>
      </x:c>
      <x:c r="O1361" s="14" t="str">
        <x:v>否</x:v>
      </x:c>
      <x:c r="P1361" s="14" t="str">
        <x:v>刘虎</x:v>
      </x:c>
      <x:c r="Q1361" s="14" t="str">
        <x:v>3号车</x:v>
      </x:c>
      <x:c r="R1361" s="14" t="str">
        <x:v>预测</x:v>
      </x:c>
      <x:c r="S1361" s="14" t="str">
        <x:v>到站时间为估算值</x:v>
      </x:c>
      <x:c r="T1361" t="str">
        <x:v>研究生宿舍楼发车</x:v>
      </x:c>
    </x:row>
    <x:row r="1362">
      <x:c r="A1362" s="14" t="str">
        <x:v>S0117-11</x:v>
      </x:c>
      <x:c r="B1362" s="14" t="str">
        <x:v>S0117</x:v>
      </x:c>
      <x:c r="C1362" s="14" t="str">
        <x:v>工作日</x:v>
      </x:c>
      <x:c r="D1362" s="14" t="str">
        <x:v>环线3路</x:v>
      </x:c>
      <x:c r="E1362" s="14" t="str">
        <x:v>第一班</x:v>
      </x:c>
      <x:c r="F1362" s="14" t="n">
        <x:v>9</x:v>
      </x:c>
      <x:c r="G1362" s="14" t="str">
        <x:v>14:40</x:v>
      </x:c>
      <x:c r="H1362" s="14" t="str">
        <x:v>研究生宿舍楼</x:v>
      </x:c>
      <x:c r="I1362" s="14" t="str">
        <x:v>否</x:v>
      </x:c>
      <x:c r="J1362" s="14" t="n">
        <x:v>11</x:v>
      </x:c>
      <x:c r="K1362" s="14" t="str">
        <x:v>305教学楼</x:v>
      </x:c>
      <x:c r="L1362" s="14" t="n">
        <x:v>16</x:v>
      </x:c>
      <x:c r="M1362" s="14" t="str">
        <x:v>14:56</x:v>
      </x:c>
      <x:c r="N1362" s="14" t="str">
        <x:v>否</x:v>
      </x:c>
      <x:c r="O1362" s="14" t="str">
        <x:v>否</x:v>
      </x:c>
      <x:c r="P1362" s="14" t="str">
        <x:v>刘虎</x:v>
      </x:c>
      <x:c r="Q1362" s="14" t="str">
        <x:v>3号车</x:v>
      </x:c>
      <x:c r="R1362" s="14" t="str">
        <x:v>预测</x:v>
      </x:c>
      <x:c r="S1362" s="14" t="str">
        <x:v>到站时间为估算值</x:v>
      </x:c>
      <x:c r="T1362" t="str">
        <x:v>研究生宿舍楼发车</x:v>
      </x:c>
    </x:row>
    <x:row r="1363">
      <x:c r="A1363" s="14" t="str">
        <x:v>S0117-12</x:v>
      </x:c>
      <x:c r="B1363" s="14" t="str">
        <x:v>S0117</x:v>
      </x:c>
      <x:c r="C1363" s="14" t="str">
        <x:v>工作日</x:v>
      </x:c>
      <x:c r="D1363" s="14" t="str">
        <x:v>环线3路</x:v>
      </x:c>
      <x:c r="E1363" s="14" t="str">
        <x:v>第一班</x:v>
      </x:c>
      <x:c r="F1363" s="14" t="n">
        <x:v>9</x:v>
      </x:c>
      <x:c r="G1363" s="14" t="str">
        <x:v>14:40</x:v>
      </x:c>
      <x:c r="H1363" s="14" t="str">
        <x:v>研究生宿舍楼</x:v>
      </x:c>
      <x:c r="I1363" s="14" t="str">
        <x:v>否</x:v>
      </x:c>
      <x:c r="J1363" s="14" t="n">
        <x:v>12</x:v>
      </x:c>
      <x:c r="K1363" s="14" t="str">
        <x:v>研究生宿舍楼</x:v>
      </x:c>
      <x:c r="L1363" s="14" t="n">
        <x:v>18</x:v>
      </x:c>
      <x:c r="M1363" s="14" t="str">
        <x:v>14:58</x:v>
      </x:c>
      <x:c r="N1363" s="14" t="str">
        <x:v>否</x:v>
      </x:c>
      <x:c r="O1363" s="14" t="str">
        <x:v>是</x:v>
      </x:c>
      <x:c r="P1363" s="14" t="str">
        <x:v>刘虎</x:v>
      </x:c>
      <x:c r="Q1363" s="14" t="str">
        <x:v>3号车</x:v>
      </x:c>
      <x:c r="R1363" s="14" t="str">
        <x:v>预测</x:v>
      </x:c>
      <x:c r="S1363" s="14" t="str">
        <x:v>到站时间为估算值</x:v>
      </x:c>
      <x:c r="T1363" t="str">
        <x:v>研究生宿舍楼发车</x:v>
      </x:c>
    </x:row>
    <x:row r="1364">
      <x:c r="A1364" s="14" t="str">
        <x:v>S0118-01</x:v>
      </x:c>
      <x:c r="B1364" s="14" t="str">
        <x:v>S0118</x:v>
      </x:c>
      <x:c r="C1364" s="14" t="str">
        <x:v>工作日</x:v>
      </x:c>
      <x:c r="D1364" s="14" t="str">
        <x:v>环线3路</x:v>
      </x:c>
      <x:c r="E1364" s="14" t="str">
        <x:v>第一班</x:v>
      </x:c>
      <x:c r="F1364" s="14" t="n">
        <x:v>10</x:v>
      </x:c>
      <x:c r="G1364" s="14" t="str">
        <x:v>15:10</x:v>
      </x:c>
      <x:c r="H1364" s="14" t="str">
        <x:v>研究生宿舍楼</x:v>
      </x:c>
      <x:c r="I1364" s="14" t="str">
        <x:v>否</x:v>
      </x:c>
      <x:c r="J1364" s="14" t="n">
        <x:v>1</x:v>
      </x:c>
      <x:c r="K1364" s="14" t="str">
        <x:v>研究生宿舍楼</x:v>
      </x:c>
      <x:c r="L1364" s="14" t="n">
        <x:v>0</x:v>
      </x:c>
      <x:c r="M1364" s="14" t="str">
        <x:v>15:10</x:v>
      </x:c>
      <x:c r="N1364" s="14" t="str">
        <x:v>是</x:v>
      </x:c>
      <x:c r="O1364" s="14" t="str">
        <x:v>否</x:v>
      </x:c>
      <x:c r="P1364" s="14" t="str">
        <x:v>刘虎</x:v>
      </x:c>
      <x:c r="Q1364" s="14" t="str">
        <x:v>3号车</x:v>
      </x:c>
      <x:c r="R1364" s="14" t="str">
        <x:v>预测</x:v>
      </x:c>
      <x:c r="S1364" s="14" t="str">
        <x:v>到站时间为估算值</x:v>
      </x:c>
      <x:c r="T1364" t="str">
        <x:v>研究生宿舍楼发车</x:v>
      </x:c>
    </x:row>
    <x:row r="1365">
      <x:c r="A1365" s="14" t="str">
        <x:v>S0118-02</x:v>
      </x:c>
      <x:c r="B1365" s="14" t="str">
        <x:v>S0118</x:v>
      </x:c>
      <x:c r="C1365" s="14" t="str">
        <x:v>工作日</x:v>
      </x:c>
      <x:c r="D1365" s="14" t="str">
        <x:v>环线3路</x:v>
      </x:c>
      <x:c r="E1365" s="14" t="str">
        <x:v>第一班</x:v>
      </x:c>
      <x:c r="F1365" s="14" t="n">
        <x:v>10</x:v>
      </x:c>
      <x:c r="G1365" s="14" t="str">
        <x:v>15:10</x:v>
      </x:c>
      <x:c r="H1365" s="14" t="str">
        <x:v>研究生宿舍楼</x:v>
      </x:c>
      <x:c r="I1365" s="14" t="str">
        <x:v>否</x:v>
      </x:c>
      <x:c r="J1365" s="14" t="n">
        <x:v>2</x:v>
      </x:c>
      <x:c r="K1365" s="14" t="str">
        <x:v>一食堂</x:v>
      </x:c>
      <x:c r="L1365" s="14" t="n">
        <x:v>1</x:v>
      </x:c>
      <x:c r="M1365" s="14" t="str">
        <x:v>15:11</x:v>
      </x:c>
      <x:c r="N1365" s="14" t="str">
        <x:v>否</x:v>
      </x:c>
      <x:c r="O1365" s="14" t="str">
        <x:v>否</x:v>
      </x:c>
      <x:c r="P1365" s="14" t="str">
        <x:v>刘虎</x:v>
      </x:c>
      <x:c r="Q1365" s="14" t="str">
        <x:v>3号车</x:v>
      </x:c>
      <x:c r="R1365" s="14" t="str">
        <x:v>预测</x:v>
      </x:c>
      <x:c r="S1365" s="14" t="str">
        <x:v>到站时间为估算值</x:v>
      </x:c>
      <x:c r="T1365" t="str">
        <x:v>研究生宿舍楼发车</x:v>
      </x:c>
    </x:row>
    <x:row r="1366">
      <x:c r="A1366" s="14" t="str">
        <x:v>S0118-03</x:v>
      </x:c>
      <x:c r="B1366" s="14" t="str">
        <x:v>S0118</x:v>
      </x:c>
      <x:c r="C1366" s="14" t="str">
        <x:v>工作日</x:v>
      </x:c>
      <x:c r="D1366" s="14" t="str">
        <x:v>环线3路</x:v>
      </x:c>
      <x:c r="E1366" s="14" t="str">
        <x:v>第一班</x:v>
      </x:c>
      <x:c r="F1366" s="14" t="n">
        <x:v>10</x:v>
      </x:c>
      <x:c r="G1366" s="14" t="str">
        <x:v>15:10</x:v>
      </x:c>
      <x:c r="H1366" s="14" t="str">
        <x:v>研究生宿舍楼</x:v>
      </x:c>
      <x:c r="I1366" s="14" t="str">
        <x:v>否</x:v>
      </x:c>
      <x:c r="J1366" s="14" t="n">
        <x:v>3</x:v>
      </x:c>
      <x:c r="K1366" s="14" t="str">
        <x:v>2号宿舍楼</x:v>
      </x:c>
      <x:c r="L1366" s="14" t="n">
        <x:v>3</x:v>
      </x:c>
      <x:c r="M1366" s="14" t="str">
        <x:v>15:13</x:v>
      </x:c>
      <x:c r="N1366" s="14" t="str">
        <x:v>否</x:v>
      </x:c>
      <x:c r="O1366" s="14" t="str">
        <x:v>否</x:v>
      </x:c>
      <x:c r="P1366" s="14" t="str">
        <x:v>刘虎</x:v>
      </x:c>
      <x:c r="Q1366" s="14" t="str">
        <x:v>3号车</x:v>
      </x:c>
      <x:c r="R1366" s="14" t="str">
        <x:v>预测</x:v>
      </x:c>
      <x:c r="S1366" s="14" t="str">
        <x:v>到站时间为估算值</x:v>
      </x:c>
      <x:c r="T1366" t="str">
        <x:v>研究生宿舍楼发车</x:v>
      </x:c>
    </x:row>
    <x:row r="1367">
      <x:c r="A1367" s="14" t="str">
        <x:v>S0118-04</x:v>
      </x:c>
      <x:c r="B1367" s="14" t="str">
        <x:v>S0118</x:v>
      </x:c>
      <x:c r="C1367" s="14" t="str">
        <x:v>工作日</x:v>
      </x:c>
      <x:c r="D1367" s="14" t="str">
        <x:v>环线3路</x:v>
      </x:c>
      <x:c r="E1367" s="14" t="str">
        <x:v>第一班</x:v>
      </x:c>
      <x:c r="F1367" s="14" t="n">
        <x:v>10</x:v>
      </x:c>
      <x:c r="G1367" s="14" t="str">
        <x:v>15:10</x:v>
      </x:c>
      <x:c r="H1367" s="14" t="str">
        <x:v>研究生宿舍楼</x:v>
      </x:c>
      <x:c r="I1367" s="14" t="str">
        <x:v>否</x:v>
      </x:c>
      <x:c r="J1367" s="14" t="n">
        <x:v>4</x:v>
      </x:c>
      <x:c r="K1367" s="14" t="str">
        <x:v>军体活动中心</x:v>
      </x:c>
      <x:c r="L1367" s="14" t="n">
        <x:v>4</x:v>
      </x:c>
      <x:c r="M1367" s="14" t="str">
        <x:v>15:14</x:v>
      </x:c>
      <x:c r="N1367" s="14" t="str">
        <x:v>否</x:v>
      </x:c>
      <x:c r="O1367" s="14" t="str">
        <x:v>否</x:v>
      </x:c>
      <x:c r="P1367" s="14" t="str">
        <x:v>刘虎</x:v>
      </x:c>
      <x:c r="Q1367" s="14" t="str">
        <x:v>3号车</x:v>
      </x:c>
      <x:c r="R1367" s="14" t="str">
        <x:v>预测</x:v>
      </x:c>
      <x:c r="S1367" s="14" t="str">
        <x:v>到站时间为估算值</x:v>
      </x:c>
      <x:c r="T1367" t="str">
        <x:v>研究生宿舍楼发车</x:v>
      </x:c>
    </x:row>
    <x:row r="1368">
      <x:c r="A1368" s="14" t="str">
        <x:v>S0118-05</x:v>
      </x:c>
      <x:c r="B1368" s="14" t="str">
        <x:v>S0118</x:v>
      </x:c>
      <x:c r="C1368" s="14" t="str">
        <x:v>工作日</x:v>
      </x:c>
      <x:c r="D1368" s="14" t="str">
        <x:v>环线3路</x:v>
      </x:c>
      <x:c r="E1368" s="14" t="str">
        <x:v>第一班</x:v>
      </x:c>
      <x:c r="F1368" s="14" t="n">
        <x:v>10</x:v>
      </x:c>
      <x:c r="G1368" s="14" t="str">
        <x:v>15:10</x:v>
      </x:c>
      <x:c r="H1368" s="14" t="str">
        <x:v>研究生宿舍楼</x:v>
      </x:c>
      <x:c r="I1368" s="14" t="str">
        <x:v>否</x:v>
      </x:c>
      <x:c r="J1368" s="14" t="n">
        <x:v>5</x:v>
      </x:c>
      <x:c r="K1368" s="14" t="str">
        <x:v>教勤连</x:v>
      </x:c>
      <x:c r="L1368" s="14" t="n">
        <x:v>6</x:v>
      </x:c>
      <x:c r="M1368" s="14" t="str">
        <x:v>15:16</x:v>
      </x:c>
      <x:c r="N1368" s="14" t="str">
        <x:v>否</x:v>
      </x:c>
      <x:c r="O1368" s="14" t="str">
        <x:v>否</x:v>
      </x:c>
      <x:c r="P1368" s="14" t="str">
        <x:v>刘虎</x:v>
      </x:c>
      <x:c r="Q1368" s="14" t="str">
        <x:v>3号车</x:v>
      </x:c>
      <x:c r="R1368" s="14" t="str">
        <x:v>预测</x:v>
      </x:c>
      <x:c r="S1368" s="14" t="str">
        <x:v>到站时间为估算值</x:v>
      </x:c>
      <x:c r="T1368" t="str">
        <x:v>研究生宿舍楼发车</x:v>
      </x:c>
    </x:row>
    <x:row r="1369">
      <x:c r="A1369" s="14" t="str">
        <x:v>S0118-06</x:v>
      </x:c>
      <x:c r="B1369" s="14" t="str">
        <x:v>S0118</x:v>
      </x:c>
      <x:c r="C1369" s="14" t="str">
        <x:v>工作日</x:v>
      </x:c>
      <x:c r="D1369" s="14" t="str">
        <x:v>环线3路</x:v>
      </x:c>
      <x:c r="E1369" s="14" t="str">
        <x:v>第一班</x:v>
      </x:c>
      <x:c r="F1369" s="14" t="n">
        <x:v>10</x:v>
      </x:c>
      <x:c r="G1369" s="14" t="str">
        <x:v>15:10</x:v>
      </x:c>
      <x:c r="H1369" s="14" t="str">
        <x:v>研究生宿舍楼</x:v>
      </x:c>
      <x:c r="I1369" s="14" t="str">
        <x:v>否</x:v>
      </x:c>
      <x:c r="J1369" s="14" t="n">
        <x:v>6</x:v>
      </x:c>
      <x:c r="K1369" s="14" t="str">
        <x:v>激光所</x:v>
      </x:c>
      <x:c r="L1369" s="14" t="n">
        <x:v>7</x:v>
      </x:c>
      <x:c r="M1369" s="14" t="str">
        <x:v>15:17</x:v>
      </x:c>
      <x:c r="N1369" s="14" t="str">
        <x:v>否</x:v>
      </x:c>
      <x:c r="O1369" s="14" t="str">
        <x:v>否</x:v>
      </x:c>
      <x:c r="P1369" s="14" t="str">
        <x:v>刘虎</x:v>
      </x:c>
      <x:c r="Q1369" s="14" t="str">
        <x:v>3号车</x:v>
      </x:c>
      <x:c r="R1369" s="14" t="str">
        <x:v>预测</x:v>
      </x:c>
      <x:c r="S1369" s="14" t="str">
        <x:v>到站时间为估算值</x:v>
      </x:c>
      <x:c r="T1369" t="str">
        <x:v>研究生宿舍楼发车</x:v>
      </x:c>
    </x:row>
    <x:row r="1370">
      <x:c r="A1370" s="14" t="str">
        <x:v>S0118-07</x:v>
      </x:c>
      <x:c r="B1370" s="14" t="str">
        <x:v>S0118</x:v>
      </x:c>
      <x:c r="C1370" s="14" t="str">
        <x:v>工作日</x:v>
      </x:c>
      <x:c r="D1370" s="14" t="str">
        <x:v>环线3路</x:v>
      </x:c>
      <x:c r="E1370" s="14" t="str">
        <x:v>第一班</x:v>
      </x:c>
      <x:c r="F1370" s="14" t="n">
        <x:v>10</x:v>
      </x:c>
      <x:c r="G1370" s="14" t="str">
        <x:v>15:10</x:v>
      </x:c>
      <x:c r="H1370" s="14" t="str">
        <x:v>研究生宿舍楼</x:v>
      </x:c>
      <x:c r="I1370" s="14" t="str">
        <x:v>否</x:v>
      </x:c>
      <x:c r="J1370" s="14" t="n">
        <x:v>7</x:v>
      </x:c>
      <x:c r="K1370" s="14" t="str">
        <x:v>高超楼</x:v>
      </x:c>
      <x:c r="L1370" s="14" t="n">
        <x:v>9</x:v>
      </x:c>
      <x:c r="M1370" s="14" t="str">
        <x:v>15:19</x:v>
      </x:c>
      <x:c r="N1370" s="14" t="str">
        <x:v>否</x:v>
      </x:c>
      <x:c r="O1370" s="14" t="str">
        <x:v>否</x:v>
      </x:c>
      <x:c r="P1370" s="14" t="str">
        <x:v>刘虎</x:v>
      </x:c>
      <x:c r="Q1370" s="14" t="str">
        <x:v>3号车</x:v>
      </x:c>
      <x:c r="R1370" s="14" t="str">
        <x:v>预测</x:v>
      </x:c>
      <x:c r="S1370" s="14" t="str">
        <x:v>到站时间为估算值</x:v>
      </x:c>
      <x:c r="T1370" t="str">
        <x:v>研究生宿舍楼发车</x:v>
      </x:c>
    </x:row>
    <x:row r="1371">
      <x:c r="A1371" s="14" t="str">
        <x:v>S0118-08</x:v>
      </x:c>
      <x:c r="B1371" s="14" t="str">
        <x:v>S0118</x:v>
      </x:c>
      <x:c r="C1371" s="14" t="str">
        <x:v>工作日</x:v>
      </x:c>
      <x:c r="D1371" s="14" t="str">
        <x:v>环线3路</x:v>
      </x:c>
      <x:c r="E1371" s="14" t="str">
        <x:v>第一班</x:v>
      </x:c>
      <x:c r="F1371" s="14" t="n">
        <x:v>10</x:v>
      </x:c>
      <x:c r="G1371" s="14" t="str">
        <x:v>15:10</x:v>
      </x:c>
      <x:c r="H1371" s="14" t="str">
        <x:v>研究生宿舍楼</x:v>
      </x:c>
      <x:c r="I1371" s="14" t="str">
        <x:v>否</x:v>
      </x:c>
      <x:c r="J1371" s="14" t="n">
        <x:v>8</x:v>
      </x:c>
      <x:c r="K1371" s="14" t="str">
        <x:v>理学院</x:v>
      </x:c>
      <x:c r="L1371" s="14" t="n">
        <x:v>10</x:v>
      </x:c>
      <x:c r="M1371" s="14" t="str">
        <x:v>15:20</x:v>
      </x:c>
      <x:c r="N1371" s="14" t="str">
        <x:v>否</x:v>
      </x:c>
      <x:c r="O1371" s="14" t="str">
        <x:v>否</x:v>
      </x:c>
      <x:c r="P1371" s="14" t="str">
        <x:v>刘虎</x:v>
      </x:c>
      <x:c r="Q1371" s="14" t="str">
        <x:v>3号车</x:v>
      </x:c>
      <x:c r="R1371" s="14" t="str">
        <x:v>预测</x:v>
      </x:c>
      <x:c r="S1371" s="14" t="str">
        <x:v>到站时间为估算值</x:v>
      </x:c>
      <x:c r="T1371" t="str">
        <x:v>研究生宿舍楼发车</x:v>
      </x:c>
    </x:row>
    <x:row r="1372">
      <x:c r="A1372" s="14" t="str">
        <x:v>S0118-09</x:v>
      </x:c>
      <x:c r="B1372" s="14" t="str">
        <x:v>S0118</x:v>
      </x:c>
      <x:c r="C1372" s="14" t="str">
        <x:v>工作日</x:v>
      </x:c>
      <x:c r="D1372" s="14" t="str">
        <x:v>环线3路</x:v>
      </x:c>
      <x:c r="E1372" s="14" t="str">
        <x:v>第一班</x:v>
      </x:c>
      <x:c r="F1372" s="14" t="n">
        <x:v>10</x:v>
      </x:c>
      <x:c r="G1372" s="14" t="str">
        <x:v>15:10</x:v>
      </x:c>
      <x:c r="H1372" s="14" t="str">
        <x:v>研究生宿舍楼</x:v>
      </x:c>
      <x:c r="I1372" s="14" t="str">
        <x:v>否</x:v>
      </x:c>
      <x:c r="J1372" s="14" t="n">
        <x:v>9</x:v>
      </x:c>
      <x:c r="K1372" s="14" t="str">
        <x:v>二食堂</x:v>
      </x:c>
      <x:c r="L1372" s="14" t="n">
        <x:v>13</x:v>
      </x:c>
      <x:c r="M1372" s="14" t="str">
        <x:v>15:23</x:v>
      </x:c>
      <x:c r="N1372" s="14" t="str">
        <x:v>否</x:v>
      </x:c>
      <x:c r="O1372" s="14" t="str">
        <x:v>否</x:v>
      </x:c>
      <x:c r="P1372" s="14" t="str">
        <x:v>刘虎</x:v>
      </x:c>
      <x:c r="Q1372" s="14" t="str">
        <x:v>3号车</x:v>
      </x:c>
      <x:c r="R1372" s="14" t="str">
        <x:v>预测</x:v>
      </x:c>
      <x:c r="S1372" s="14" t="str">
        <x:v>到站时间为估算值</x:v>
      </x:c>
      <x:c r="T1372" t="str">
        <x:v>研究生宿舍楼发车</x:v>
      </x:c>
    </x:row>
    <x:row r="1373">
      <x:c r="A1373" s="14" t="str">
        <x:v>S0118-10</x:v>
      </x:c>
      <x:c r="B1373" s="14" t="str">
        <x:v>S0118</x:v>
      </x:c>
      <x:c r="C1373" s="14" t="str">
        <x:v>工作日</x:v>
      </x:c>
      <x:c r="D1373" s="14" t="str">
        <x:v>环线3路</x:v>
      </x:c>
      <x:c r="E1373" s="14" t="str">
        <x:v>第一班</x:v>
      </x:c>
      <x:c r="F1373" s="14" t="n">
        <x:v>10</x:v>
      </x:c>
      <x:c r="G1373" s="14" t="str">
        <x:v>15:10</x:v>
      </x:c>
      <x:c r="H1373" s="14" t="str">
        <x:v>研究生宿舍楼</x:v>
      </x:c>
      <x:c r="I1373" s="14" t="str">
        <x:v>否</x:v>
      </x:c>
      <x:c r="J1373" s="14" t="n">
        <x:v>10</x:v>
      </x:c>
      <x:c r="K1373" s="14" t="str">
        <x:v>图书馆</x:v>
      </x:c>
      <x:c r="L1373" s="14" t="n">
        <x:v>14</x:v>
      </x:c>
      <x:c r="M1373" s="14" t="str">
        <x:v>15:24</x:v>
      </x:c>
      <x:c r="N1373" s="14" t="str">
        <x:v>否</x:v>
      </x:c>
      <x:c r="O1373" s="14" t="str">
        <x:v>否</x:v>
      </x:c>
      <x:c r="P1373" s="14" t="str">
        <x:v>刘虎</x:v>
      </x:c>
      <x:c r="Q1373" s="14" t="str">
        <x:v>3号车</x:v>
      </x:c>
      <x:c r="R1373" s="14" t="str">
        <x:v>预测</x:v>
      </x:c>
      <x:c r="S1373" s="14" t="str">
        <x:v>到站时间为估算值</x:v>
      </x:c>
      <x:c r="T1373" t="str">
        <x:v>研究生宿舍楼发车</x:v>
      </x:c>
    </x:row>
    <x:row r="1374">
      <x:c r="A1374" s="14" t="str">
        <x:v>S0118-11</x:v>
      </x:c>
      <x:c r="B1374" s="14" t="str">
        <x:v>S0118</x:v>
      </x:c>
      <x:c r="C1374" s="14" t="str">
        <x:v>工作日</x:v>
      </x:c>
      <x:c r="D1374" s="14" t="str">
        <x:v>环线3路</x:v>
      </x:c>
      <x:c r="E1374" s="14" t="str">
        <x:v>第一班</x:v>
      </x:c>
      <x:c r="F1374" s="14" t="n">
        <x:v>10</x:v>
      </x:c>
      <x:c r="G1374" s="14" t="str">
        <x:v>15:10</x:v>
      </x:c>
      <x:c r="H1374" s="14" t="str">
        <x:v>研究生宿舍楼</x:v>
      </x:c>
      <x:c r="I1374" s="14" t="str">
        <x:v>否</x:v>
      </x:c>
      <x:c r="J1374" s="14" t="n">
        <x:v>11</x:v>
      </x:c>
      <x:c r="K1374" s="14" t="str">
        <x:v>305教学楼</x:v>
      </x:c>
      <x:c r="L1374" s="14" t="n">
        <x:v>16</x:v>
      </x:c>
      <x:c r="M1374" s="14" t="str">
        <x:v>15:26</x:v>
      </x:c>
      <x:c r="N1374" s="14" t="str">
        <x:v>否</x:v>
      </x:c>
      <x:c r="O1374" s="14" t="str">
        <x:v>否</x:v>
      </x:c>
      <x:c r="P1374" s="14" t="str">
        <x:v>刘虎</x:v>
      </x:c>
      <x:c r="Q1374" s="14" t="str">
        <x:v>3号车</x:v>
      </x:c>
      <x:c r="R1374" s="14" t="str">
        <x:v>预测</x:v>
      </x:c>
      <x:c r="S1374" s="14" t="str">
        <x:v>到站时间为估算值</x:v>
      </x:c>
      <x:c r="T1374" t="str">
        <x:v>研究生宿舍楼发车</x:v>
      </x:c>
    </x:row>
    <x:row r="1375">
      <x:c r="A1375" s="14" t="str">
        <x:v>S0118-12</x:v>
      </x:c>
      <x:c r="B1375" s="14" t="str">
        <x:v>S0118</x:v>
      </x:c>
      <x:c r="C1375" s="14" t="str">
        <x:v>工作日</x:v>
      </x:c>
      <x:c r="D1375" s="14" t="str">
        <x:v>环线3路</x:v>
      </x:c>
      <x:c r="E1375" s="14" t="str">
        <x:v>第一班</x:v>
      </x:c>
      <x:c r="F1375" s="14" t="n">
        <x:v>10</x:v>
      </x:c>
      <x:c r="G1375" s="14" t="str">
        <x:v>15:10</x:v>
      </x:c>
      <x:c r="H1375" s="14" t="str">
        <x:v>研究生宿舍楼</x:v>
      </x:c>
      <x:c r="I1375" s="14" t="str">
        <x:v>否</x:v>
      </x:c>
      <x:c r="J1375" s="14" t="n">
        <x:v>12</x:v>
      </x:c>
      <x:c r="K1375" s="14" t="str">
        <x:v>研究生宿舍楼</x:v>
      </x:c>
      <x:c r="L1375" s="14" t="n">
        <x:v>18</x:v>
      </x:c>
      <x:c r="M1375" s="14" t="str">
        <x:v>15:28</x:v>
      </x:c>
      <x:c r="N1375" s="14" t="str">
        <x:v>否</x:v>
      </x:c>
      <x:c r="O1375" s="14" t="str">
        <x:v>是</x:v>
      </x:c>
      <x:c r="P1375" s="14" t="str">
        <x:v>刘虎</x:v>
      </x:c>
      <x:c r="Q1375" s="14" t="str">
        <x:v>3号车</x:v>
      </x:c>
      <x:c r="R1375" s="14" t="str">
        <x:v>预测</x:v>
      </x:c>
      <x:c r="S1375" s="14" t="str">
        <x:v>到站时间为估算值</x:v>
      </x:c>
      <x:c r="T1375" t="str">
        <x:v>研究生宿舍楼发车</x:v>
      </x:c>
    </x:row>
    <x:row r="1376">
      <x:c r="A1376" s="14" t="str">
        <x:v>S0119-01</x:v>
      </x:c>
      <x:c r="B1376" s="14" t="str">
        <x:v>S0119</x:v>
      </x:c>
      <x:c r="C1376" s="14" t="str">
        <x:v>工作日</x:v>
      </x:c>
      <x:c r="D1376" s="14" t="str">
        <x:v>环线3路</x:v>
      </x:c>
      <x:c r="E1376" s="14" t="str">
        <x:v>第一班</x:v>
      </x:c>
      <x:c r="F1376" s="14" t="n">
        <x:v>11</x:v>
      </x:c>
      <x:c r="G1376" s="14" t="str">
        <x:v>16:00</x:v>
      </x:c>
      <x:c r="H1376" s="14" t="str">
        <x:v>研究生宿舍楼</x:v>
      </x:c>
      <x:c r="I1376" s="14" t="str">
        <x:v>否</x:v>
      </x:c>
      <x:c r="J1376" s="14" t="n">
        <x:v>1</x:v>
      </x:c>
      <x:c r="K1376" s="14" t="str">
        <x:v>研究生宿舍楼</x:v>
      </x:c>
      <x:c r="L1376" s="14" t="n">
        <x:v>0</x:v>
      </x:c>
      <x:c r="M1376" s="14" t="str">
        <x:v>16:00</x:v>
      </x:c>
      <x:c r="N1376" s="14" t="str">
        <x:v>是</x:v>
      </x:c>
      <x:c r="O1376" s="14" t="str">
        <x:v>否</x:v>
      </x:c>
      <x:c r="P1376" s="14" t="str">
        <x:v>刘虎</x:v>
      </x:c>
      <x:c r="Q1376" s="14" t="str">
        <x:v>3号车</x:v>
      </x:c>
      <x:c r="R1376" s="14" t="str">
        <x:v>预测</x:v>
      </x:c>
      <x:c r="S1376" s="14" t="str">
        <x:v>到站时间为估算值</x:v>
      </x:c>
      <x:c r="T1376" t="str">
        <x:v>研究生宿舍楼发车</x:v>
      </x:c>
    </x:row>
    <x:row r="1377">
      <x:c r="A1377" s="14" t="str">
        <x:v>S0119-02</x:v>
      </x:c>
      <x:c r="B1377" s="14" t="str">
        <x:v>S0119</x:v>
      </x:c>
      <x:c r="C1377" s="14" t="str">
        <x:v>工作日</x:v>
      </x:c>
      <x:c r="D1377" s="14" t="str">
        <x:v>环线3路</x:v>
      </x:c>
      <x:c r="E1377" s="14" t="str">
        <x:v>第一班</x:v>
      </x:c>
      <x:c r="F1377" s="14" t="n">
        <x:v>11</x:v>
      </x:c>
      <x:c r="G1377" s="14" t="str">
        <x:v>16:00</x:v>
      </x:c>
      <x:c r="H1377" s="14" t="str">
        <x:v>研究生宿舍楼</x:v>
      </x:c>
      <x:c r="I1377" s="14" t="str">
        <x:v>否</x:v>
      </x:c>
      <x:c r="J1377" s="14" t="n">
        <x:v>2</x:v>
      </x:c>
      <x:c r="K1377" s="14" t="str">
        <x:v>一食堂</x:v>
      </x:c>
      <x:c r="L1377" s="14" t="n">
        <x:v>1</x:v>
      </x:c>
      <x:c r="M1377" s="14" t="str">
        <x:v>16:01</x:v>
      </x:c>
      <x:c r="N1377" s="14" t="str">
        <x:v>否</x:v>
      </x:c>
      <x:c r="O1377" s="14" t="str">
        <x:v>否</x:v>
      </x:c>
      <x:c r="P1377" s="14" t="str">
        <x:v>刘虎</x:v>
      </x:c>
      <x:c r="Q1377" s="14" t="str">
        <x:v>3号车</x:v>
      </x:c>
      <x:c r="R1377" s="14" t="str">
        <x:v>预测</x:v>
      </x:c>
      <x:c r="S1377" s="14" t="str">
        <x:v>到站时间为估算值</x:v>
      </x:c>
      <x:c r="T1377" t="str">
        <x:v>研究生宿舍楼发车</x:v>
      </x:c>
    </x:row>
    <x:row r="1378">
      <x:c r="A1378" s="14" t="str">
        <x:v>S0119-03</x:v>
      </x:c>
      <x:c r="B1378" s="14" t="str">
        <x:v>S0119</x:v>
      </x:c>
      <x:c r="C1378" s="14" t="str">
        <x:v>工作日</x:v>
      </x:c>
      <x:c r="D1378" s="14" t="str">
        <x:v>环线3路</x:v>
      </x:c>
      <x:c r="E1378" s="14" t="str">
        <x:v>第一班</x:v>
      </x:c>
      <x:c r="F1378" s="14" t="n">
        <x:v>11</x:v>
      </x:c>
      <x:c r="G1378" s="14" t="str">
        <x:v>16:00</x:v>
      </x:c>
      <x:c r="H1378" s="14" t="str">
        <x:v>研究生宿舍楼</x:v>
      </x:c>
      <x:c r="I1378" s="14" t="str">
        <x:v>否</x:v>
      </x:c>
      <x:c r="J1378" s="14" t="n">
        <x:v>3</x:v>
      </x:c>
      <x:c r="K1378" s="14" t="str">
        <x:v>2号宿舍楼</x:v>
      </x:c>
      <x:c r="L1378" s="14" t="n">
        <x:v>3</x:v>
      </x:c>
      <x:c r="M1378" s="14" t="str">
        <x:v>16:03</x:v>
      </x:c>
      <x:c r="N1378" s="14" t="str">
        <x:v>否</x:v>
      </x:c>
      <x:c r="O1378" s="14" t="str">
        <x:v>否</x:v>
      </x:c>
      <x:c r="P1378" s="14" t="str">
        <x:v>刘虎</x:v>
      </x:c>
      <x:c r="Q1378" s="14" t="str">
        <x:v>3号车</x:v>
      </x:c>
      <x:c r="R1378" s="14" t="str">
        <x:v>预测</x:v>
      </x:c>
      <x:c r="S1378" s="14" t="str">
        <x:v>到站时间为估算值</x:v>
      </x:c>
      <x:c r="T1378" t="str">
        <x:v>研究生宿舍楼发车</x:v>
      </x:c>
    </x:row>
    <x:row r="1379">
      <x:c r="A1379" s="14" t="str">
        <x:v>S0119-04</x:v>
      </x:c>
      <x:c r="B1379" s="14" t="str">
        <x:v>S0119</x:v>
      </x:c>
      <x:c r="C1379" s="14" t="str">
        <x:v>工作日</x:v>
      </x:c>
      <x:c r="D1379" s="14" t="str">
        <x:v>环线3路</x:v>
      </x:c>
      <x:c r="E1379" s="14" t="str">
        <x:v>第一班</x:v>
      </x:c>
      <x:c r="F1379" s="14" t="n">
        <x:v>11</x:v>
      </x:c>
      <x:c r="G1379" s="14" t="str">
        <x:v>16:00</x:v>
      </x:c>
      <x:c r="H1379" s="14" t="str">
        <x:v>研究生宿舍楼</x:v>
      </x:c>
      <x:c r="I1379" s="14" t="str">
        <x:v>否</x:v>
      </x:c>
      <x:c r="J1379" s="14" t="n">
        <x:v>4</x:v>
      </x:c>
      <x:c r="K1379" s="14" t="str">
        <x:v>军体活动中心</x:v>
      </x:c>
      <x:c r="L1379" s="14" t="n">
        <x:v>4</x:v>
      </x:c>
      <x:c r="M1379" s="14" t="str">
        <x:v>16:04</x:v>
      </x:c>
      <x:c r="N1379" s="14" t="str">
        <x:v>否</x:v>
      </x:c>
      <x:c r="O1379" s="14" t="str">
        <x:v>否</x:v>
      </x:c>
      <x:c r="P1379" s="14" t="str">
        <x:v>刘虎</x:v>
      </x:c>
      <x:c r="Q1379" s="14" t="str">
        <x:v>3号车</x:v>
      </x:c>
      <x:c r="R1379" s="14" t="str">
        <x:v>预测</x:v>
      </x:c>
      <x:c r="S1379" s="14" t="str">
        <x:v>到站时间为估算值</x:v>
      </x:c>
      <x:c r="T1379" t="str">
        <x:v>研究生宿舍楼发车</x:v>
      </x:c>
    </x:row>
    <x:row r="1380">
      <x:c r="A1380" s="14" t="str">
        <x:v>S0119-05</x:v>
      </x:c>
      <x:c r="B1380" s="14" t="str">
        <x:v>S0119</x:v>
      </x:c>
      <x:c r="C1380" s="14" t="str">
        <x:v>工作日</x:v>
      </x:c>
      <x:c r="D1380" s="14" t="str">
        <x:v>环线3路</x:v>
      </x:c>
      <x:c r="E1380" s="14" t="str">
        <x:v>第一班</x:v>
      </x:c>
      <x:c r="F1380" s="14" t="n">
        <x:v>11</x:v>
      </x:c>
      <x:c r="G1380" s="14" t="str">
        <x:v>16:00</x:v>
      </x:c>
      <x:c r="H1380" s="14" t="str">
        <x:v>研究生宿舍楼</x:v>
      </x:c>
      <x:c r="I1380" s="14" t="str">
        <x:v>否</x:v>
      </x:c>
      <x:c r="J1380" s="14" t="n">
        <x:v>5</x:v>
      </x:c>
      <x:c r="K1380" s="14" t="str">
        <x:v>教勤连</x:v>
      </x:c>
      <x:c r="L1380" s="14" t="n">
        <x:v>6</x:v>
      </x:c>
      <x:c r="M1380" s="14" t="str">
        <x:v>16:06</x:v>
      </x:c>
      <x:c r="N1380" s="14" t="str">
        <x:v>否</x:v>
      </x:c>
      <x:c r="O1380" s="14" t="str">
        <x:v>否</x:v>
      </x:c>
      <x:c r="P1380" s="14" t="str">
        <x:v>刘虎</x:v>
      </x:c>
      <x:c r="Q1380" s="14" t="str">
        <x:v>3号车</x:v>
      </x:c>
      <x:c r="R1380" s="14" t="str">
        <x:v>预测</x:v>
      </x:c>
      <x:c r="S1380" s="14" t="str">
        <x:v>到站时间为估算值</x:v>
      </x:c>
      <x:c r="T1380" t="str">
        <x:v>研究生宿舍楼发车</x:v>
      </x:c>
    </x:row>
    <x:row r="1381">
      <x:c r="A1381" s="14" t="str">
        <x:v>S0119-06</x:v>
      </x:c>
      <x:c r="B1381" s="14" t="str">
        <x:v>S0119</x:v>
      </x:c>
      <x:c r="C1381" s="14" t="str">
        <x:v>工作日</x:v>
      </x:c>
      <x:c r="D1381" s="14" t="str">
        <x:v>环线3路</x:v>
      </x:c>
      <x:c r="E1381" s="14" t="str">
        <x:v>第一班</x:v>
      </x:c>
      <x:c r="F1381" s="14" t="n">
        <x:v>11</x:v>
      </x:c>
      <x:c r="G1381" s="14" t="str">
        <x:v>16:00</x:v>
      </x:c>
      <x:c r="H1381" s="14" t="str">
        <x:v>研究生宿舍楼</x:v>
      </x:c>
      <x:c r="I1381" s="14" t="str">
        <x:v>否</x:v>
      </x:c>
      <x:c r="J1381" s="14" t="n">
        <x:v>6</x:v>
      </x:c>
      <x:c r="K1381" s="14" t="str">
        <x:v>激光所</x:v>
      </x:c>
      <x:c r="L1381" s="14" t="n">
        <x:v>7</x:v>
      </x:c>
      <x:c r="M1381" s="14" t="str">
        <x:v>16:07</x:v>
      </x:c>
      <x:c r="N1381" s="14" t="str">
        <x:v>否</x:v>
      </x:c>
      <x:c r="O1381" s="14" t="str">
        <x:v>否</x:v>
      </x:c>
      <x:c r="P1381" s="14" t="str">
        <x:v>刘虎</x:v>
      </x:c>
      <x:c r="Q1381" s="14" t="str">
        <x:v>3号车</x:v>
      </x:c>
      <x:c r="R1381" s="14" t="str">
        <x:v>预测</x:v>
      </x:c>
      <x:c r="S1381" s="14" t="str">
        <x:v>到站时间为估算值</x:v>
      </x:c>
      <x:c r="T1381" t="str">
        <x:v>研究生宿舍楼发车</x:v>
      </x:c>
    </x:row>
    <x:row r="1382">
      <x:c r="A1382" s="14" t="str">
        <x:v>S0119-07</x:v>
      </x:c>
      <x:c r="B1382" s="14" t="str">
        <x:v>S0119</x:v>
      </x:c>
      <x:c r="C1382" s="14" t="str">
        <x:v>工作日</x:v>
      </x:c>
      <x:c r="D1382" s="14" t="str">
        <x:v>环线3路</x:v>
      </x:c>
      <x:c r="E1382" s="14" t="str">
        <x:v>第一班</x:v>
      </x:c>
      <x:c r="F1382" s="14" t="n">
        <x:v>11</x:v>
      </x:c>
      <x:c r="G1382" s="14" t="str">
        <x:v>16:00</x:v>
      </x:c>
      <x:c r="H1382" s="14" t="str">
        <x:v>研究生宿舍楼</x:v>
      </x:c>
      <x:c r="I1382" s="14" t="str">
        <x:v>否</x:v>
      </x:c>
      <x:c r="J1382" s="14" t="n">
        <x:v>7</x:v>
      </x:c>
      <x:c r="K1382" s="14" t="str">
        <x:v>高超楼</x:v>
      </x:c>
      <x:c r="L1382" s="14" t="n">
        <x:v>9</x:v>
      </x:c>
      <x:c r="M1382" s="14" t="str">
        <x:v>16:09</x:v>
      </x:c>
      <x:c r="N1382" s="14" t="str">
        <x:v>否</x:v>
      </x:c>
      <x:c r="O1382" s="14" t="str">
        <x:v>否</x:v>
      </x:c>
      <x:c r="P1382" s="14" t="str">
        <x:v>刘虎</x:v>
      </x:c>
      <x:c r="Q1382" s="14" t="str">
        <x:v>3号车</x:v>
      </x:c>
      <x:c r="R1382" s="14" t="str">
        <x:v>预测</x:v>
      </x:c>
      <x:c r="S1382" s="14" t="str">
        <x:v>到站时间为估算值</x:v>
      </x:c>
      <x:c r="T1382" t="str">
        <x:v>研究生宿舍楼发车</x:v>
      </x:c>
    </x:row>
    <x:row r="1383">
      <x:c r="A1383" s="14" t="str">
        <x:v>S0119-08</x:v>
      </x:c>
      <x:c r="B1383" s="14" t="str">
        <x:v>S0119</x:v>
      </x:c>
      <x:c r="C1383" s="14" t="str">
        <x:v>工作日</x:v>
      </x:c>
      <x:c r="D1383" s="14" t="str">
        <x:v>环线3路</x:v>
      </x:c>
      <x:c r="E1383" s="14" t="str">
        <x:v>第一班</x:v>
      </x:c>
      <x:c r="F1383" s="14" t="n">
        <x:v>11</x:v>
      </x:c>
      <x:c r="G1383" s="14" t="str">
        <x:v>16:00</x:v>
      </x:c>
      <x:c r="H1383" s="14" t="str">
        <x:v>研究生宿舍楼</x:v>
      </x:c>
      <x:c r="I1383" s="14" t="str">
        <x:v>否</x:v>
      </x:c>
      <x:c r="J1383" s="14" t="n">
        <x:v>8</x:v>
      </x:c>
      <x:c r="K1383" s="14" t="str">
        <x:v>理学院</x:v>
      </x:c>
      <x:c r="L1383" s="14" t="n">
        <x:v>10</x:v>
      </x:c>
      <x:c r="M1383" s="14" t="str">
        <x:v>16:10</x:v>
      </x:c>
      <x:c r="N1383" s="14" t="str">
        <x:v>否</x:v>
      </x:c>
      <x:c r="O1383" s="14" t="str">
        <x:v>否</x:v>
      </x:c>
      <x:c r="P1383" s="14" t="str">
        <x:v>刘虎</x:v>
      </x:c>
      <x:c r="Q1383" s="14" t="str">
        <x:v>3号车</x:v>
      </x:c>
      <x:c r="R1383" s="14" t="str">
        <x:v>预测</x:v>
      </x:c>
      <x:c r="S1383" s="14" t="str">
        <x:v>到站时间为估算值</x:v>
      </x:c>
      <x:c r="T1383" t="str">
        <x:v>研究生宿舍楼发车</x:v>
      </x:c>
    </x:row>
    <x:row r="1384">
      <x:c r="A1384" s="14" t="str">
        <x:v>S0119-09</x:v>
      </x:c>
      <x:c r="B1384" s="14" t="str">
        <x:v>S0119</x:v>
      </x:c>
      <x:c r="C1384" s="14" t="str">
        <x:v>工作日</x:v>
      </x:c>
      <x:c r="D1384" s="14" t="str">
        <x:v>环线3路</x:v>
      </x:c>
      <x:c r="E1384" s="14" t="str">
        <x:v>第一班</x:v>
      </x:c>
      <x:c r="F1384" s="14" t="n">
        <x:v>11</x:v>
      </x:c>
      <x:c r="G1384" s="14" t="str">
        <x:v>16:00</x:v>
      </x:c>
      <x:c r="H1384" s="14" t="str">
        <x:v>研究生宿舍楼</x:v>
      </x:c>
      <x:c r="I1384" s="14" t="str">
        <x:v>否</x:v>
      </x:c>
      <x:c r="J1384" s="14" t="n">
        <x:v>9</x:v>
      </x:c>
      <x:c r="K1384" s="14" t="str">
        <x:v>二食堂</x:v>
      </x:c>
      <x:c r="L1384" s="14" t="n">
        <x:v>13</x:v>
      </x:c>
      <x:c r="M1384" s="14" t="str">
        <x:v>16:13</x:v>
      </x:c>
      <x:c r="N1384" s="14" t="str">
        <x:v>否</x:v>
      </x:c>
      <x:c r="O1384" s="14" t="str">
        <x:v>否</x:v>
      </x:c>
      <x:c r="P1384" s="14" t="str">
        <x:v>刘虎</x:v>
      </x:c>
      <x:c r="Q1384" s="14" t="str">
        <x:v>3号车</x:v>
      </x:c>
      <x:c r="R1384" s="14" t="str">
        <x:v>预测</x:v>
      </x:c>
      <x:c r="S1384" s="14" t="str">
        <x:v>到站时间为估算值</x:v>
      </x:c>
      <x:c r="T1384" t="str">
        <x:v>研究生宿舍楼发车</x:v>
      </x:c>
    </x:row>
    <x:row r="1385">
      <x:c r="A1385" s="14" t="str">
        <x:v>S0119-10</x:v>
      </x:c>
      <x:c r="B1385" s="14" t="str">
        <x:v>S0119</x:v>
      </x:c>
      <x:c r="C1385" s="14" t="str">
        <x:v>工作日</x:v>
      </x:c>
      <x:c r="D1385" s="14" t="str">
        <x:v>环线3路</x:v>
      </x:c>
      <x:c r="E1385" s="14" t="str">
        <x:v>第一班</x:v>
      </x:c>
      <x:c r="F1385" s="14" t="n">
        <x:v>11</x:v>
      </x:c>
      <x:c r="G1385" s="14" t="str">
        <x:v>16:00</x:v>
      </x:c>
      <x:c r="H1385" s="14" t="str">
        <x:v>研究生宿舍楼</x:v>
      </x:c>
      <x:c r="I1385" s="14" t="str">
        <x:v>否</x:v>
      </x:c>
      <x:c r="J1385" s="14" t="n">
        <x:v>10</x:v>
      </x:c>
      <x:c r="K1385" s="14" t="str">
        <x:v>图书馆</x:v>
      </x:c>
      <x:c r="L1385" s="14" t="n">
        <x:v>14</x:v>
      </x:c>
      <x:c r="M1385" s="14" t="str">
        <x:v>16:14</x:v>
      </x:c>
      <x:c r="N1385" s="14" t="str">
        <x:v>否</x:v>
      </x:c>
      <x:c r="O1385" s="14" t="str">
        <x:v>否</x:v>
      </x:c>
      <x:c r="P1385" s="14" t="str">
        <x:v>刘虎</x:v>
      </x:c>
      <x:c r="Q1385" s="14" t="str">
        <x:v>3号车</x:v>
      </x:c>
      <x:c r="R1385" s="14" t="str">
        <x:v>预测</x:v>
      </x:c>
      <x:c r="S1385" s="14" t="str">
        <x:v>到站时间为估算值</x:v>
      </x:c>
      <x:c r="T1385" t="str">
        <x:v>研究生宿舍楼发车</x:v>
      </x:c>
    </x:row>
    <x:row r="1386">
      <x:c r="A1386" s="14" t="str">
        <x:v>S0119-11</x:v>
      </x:c>
      <x:c r="B1386" s="14" t="str">
        <x:v>S0119</x:v>
      </x:c>
      <x:c r="C1386" s="14" t="str">
        <x:v>工作日</x:v>
      </x:c>
      <x:c r="D1386" s="14" t="str">
        <x:v>环线3路</x:v>
      </x:c>
      <x:c r="E1386" s="14" t="str">
        <x:v>第一班</x:v>
      </x:c>
      <x:c r="F1386" s="14" t="n">
        <x:v>11</x:v>
      </x:c>
      <x:c r="G1386" s="14" t="str">
        <x:v>16:00</x:v>
      </x:c>
      <x:c r="H1386" s="14" t="str">
        <x:v>研究生宿舍楼</x:v>
      </x:c>
      <x:c r="I1386" s="14" t="str">
        <x:v>否</x:v>
      </x:c>
      <x:c r="J1386" s="14" t="n">
        <x:v>11</x:v>
      </x:c>
      <x:c r="K1386" s="14" t="str">
        <x:v>305教学楼</x:v>
      </x:c>
      <x:c r="L1386" s="14" t="n">
        <x:v>16</x:v>
      </x:c>
      <x:c r="M1386" s="14" t="str">
        <x:v>16:16</x:v>
      </x:c>
      <x:c r="N1386" s="14" t="str">
        <x:v>否</x:v>
      </x:c>
      <x:c r="O1386" s="14" t="str">
        <x:v>否</x:v>
      </x:c>
      <x:c r="P1386" s="14" t="str">
        <x:v>刘虎</x:v>
      </x:c>
      <x:c r="Q1386" s="14" t="str">
        <x:v>3号车</x:v>
      </x:c>
      <x:c r="R1386" s="14" t="str">
        <x:v>预测</x:v>
      </x:c>
      <x:c r="S1386" s="14" t="str">
        <x:v>到站时间为估算值</x:v>
      </x:c>
      <x:c r="T1386" t="str">
        <x:v>研究生宿舍楼发车</x:v>
      </x:c>
    </x:row>
    <x:row r="1387">
      <x:c r="A1387" s="14" t="str">
        <x:v>S0119-12</x:v>
      </x:c>
      <x:c r="B1387" s="14" t="str">
        <x:v>S0119</x:v>
      </x:c>
      <x:c r="C1387" s="14" t="str">
        <x:v>工作日</x:v>
      </x:c>
      <x:c r="D1387" s="14" t="str">
        <x:v>环线3路</x:v>
      </x:c>
      <x:c r="E1387" s="14" t="str">
        <x:v>第一班</x:v>
      </x:c>
      <x:c r="F1387" s="14" t="n">
        <x:v>11</x:v>
      </x:c>
      <x:c r="G1387" s="14" t="str">
        <x:v>16:00</x:v>
      </x:c>
      <x:c r="H1387" s="14" t="str">
        <x:v>研究生宿舍楼</x:v>
      </x:c>
      <x:c r="I1387" s="14" t="str">
        <x:v>否</x:v>
      </x:c>
      <x:c r="J1387" s="14" t="n">
        <x:v>12</x:v>
      </x:c>
      <x:c r="K1387" s="14" t="str">
        <x:v>研究生宿舍楼</x:v>
      </x:c>
      <x:c r="L1387" s="14" t="n">
        <x:v>18</x:v>
      </x:c>
      <x:c r="M1387" s="14" t="str">
        <x:v>16:18</x:v>
      </x:c>
      <x:c r="N1387" s="14" t="str">
        <x:v>否</x:v>
      </x:c>
      <x:c r="O1387" s="14" t="str">
        <x:v>是</x:v>
      </x:c>
      <x:c r="P1387" s="14" t="str">
        <x:v>刘虎</x:v>
      </x:c>
      <x:c r="Q1387" s="14" t="str">
        <x:v>3号车</x:v>
      </x:c>
      <x:c r="R1387" s="14" t="str">
        <x:v>预测</x:v>
      </x:c>
      <x:c r="S1387" s="14" t="str">
        <x:v>到站时间为估算值</x:v>
      </x:c>
      <x:c r="T1387" t="str">
        <x:v>研究生宿舍楼发车</x:v>
      </x:c>
    </x:row>
    <x:row r="1388">
      <x:c r="A1388" s="14" t="str">
        <x:v>S0120-01</x:v>
      </x:c>
      <x:c r="B1388" s="14" t="str">
        <x:v>S0120</x:v>
      </x:c>
      <x:c r="C1388" s="14" t="str">
        <x:v>工作日</x:v>
      </x:c>
      <x:c r="D1388" s="14" t="str">
        <x:v>环线3路</x:v>
      </x:c>
      <x:c r="E1388" s="14" t="str">
        <x:v>第一班</x:v>
      </x:c>
      <x:c r="F1388" s="14" t="n">
        <x:v>12</x:v>
      </x:c>
      <x:c r="G1388" s="14" t="str">
        <x:v>16:35</x:v>
      </x:c>
      <x:c r="H1388" s="14" t="str">
        <x:v>研究生宿舍楼</x:v>
      </x:c>
      <x:c r="I1388" s="14" t="str">
        <x:v>否</x:v>
      </x:c>
      <x:c r="J1388" s="14" t="n">
        <x:v>1</x:v>
      </x:c>
      <x:c r="K1388" s="14" t="str">
        <x:v>研究生宿舍楼</x:v>
      </x:c>
      <x:c r="L1388" s="14" t="n">
        <x:v>0</x:v>
      </x:c>
      <x:c r="M1388" s="14" t="str">
        <x:v>16:35</x:v>
      </x:c>
      <x:c r="N1388" s="14" t="str">
        <x:v>是</x:v>
      </x:c>
      <x:c r="O1388" s="14" t="str">
        <x:v>否</x:v>
      </x:c>
      <x:c r="P1388" s="14" t="str">
        <x:v>刘虎</x:v>
      </x:c>
      <x:c r="Q1388" s="14" t="str">
        <x:v>3号车</x:v>
      </x:c>
      <x:c r="R1388" s="14" t="str">
        <x:v>预测</x:v>
      </x:c>
      <x:c r="S1388" s="14" t="str">
        <x:v>到站时间为估算值</x:v>
      </x:c>
      <x:c r="T1388" t="str">
        <x:v>研究生宿舍楼发车</x:v>
      </x:c>
    </x:row>
    <x:row r="1389">
      <x:c r="A1389" s="14" t="str">
        <x:v>S0120-02</x:v>
      </x:c>
      <x:c r="B1389" s="14" t="str">
        <x:v>S0120</x:v>
      </x:c>
      <x:c r="C1389" s="14" t="str">
        <x:v>工作日</x:v>
      </x:c>
      <x:c r="D1389" s="14" t="str">
        <x:v>环线3路</x:v>
      </x:c>
      <x:c r="E1389" s="14" t="str">
        <x:v>第一班</x:v>
      </x:c>
      <x:c r="F1389" s="14" t="n">
        <x:v>12</x:v>
      </x:c>
      <x:c r="G1389" s="14" t="str">
        <x:v>16:35</x:v>
      </x:c>
      <x:c r="H1389" s="14" t="str">
        <x:v>研究生宿舍楼</x:v>
      </x:c>
      <x:c r="I1389" s="14" t="str">
        <x:v>否</x:v>
      </x:c>
      <x:c r="J1389" s="14" t="n">
        <x:v>2</x:v>
      </x:c>
      <x:c r="K1389" s="14" t="str">
        <x:v>一食堂</x:v>
      </x:c>
      <x:c r="L1389" s="14" t="n">
        <x:v>1</x:v>
      </x:c>
      <x:c r="M1389" s="14" t="str">
        <x:v>16:36</x:v>
      </x:c>
      <x:c r="N1389" s="14" t="str">
        <x:v>否</x:v>
      </x:c>
      <x:c r="O1389" s="14" t="str">
        <x:v>否</x:v>
      </x:c>
      <x:c r="P1389" s="14" t="str">
        <x:v>刘虎</x:v>
      </x:c>
      <x:c r="Q1389" s="14" t="str">
        <x:v>3号车</x:v>
      </x:c>
      <x:c r="R1389" s="14" t="str">
        <x:v>预测</x:v>
      </x:c>
      <x:c r="S1389" s="14" t="str">
        <x:v>到站时间为估算值</x:v>
      </x:c>
      <x:c r="T1389" t="str">
        <x:v>研究生宿舍楼发车</x:v>
      </x:c>
    </x:row>
    <x:row r="1390">
      <x:c r="A1390" s="14" t="str">
        <x:v>S0120-03</x:v>
      </x:c>
      <x:c r="B1390" s="14" t="str">
        <x:v>S0120</x:v>
      </x:c>
      <x:c r="C1390" s="14" t="str">
        <x:v>工作日</x:v>
      </x:c>
      <x:c r="D1390" s="14" t="str">
        <x:v>环线3路</x:v>
      </x:c>
      <x:c r="E1390" s="14" t="str">
        <x:v>第一班</x:v>
      </x:c>
      <x:c r="F1390" s="14" t="n">
        <x:v>12</x:v>
      </x:c>
      <x:c r="G1390" s="14" t="str">
        <x:v>16:35</x:v>
      </x:c>
      <x:c r="H1390" s="14" t="str">
        <x:v>研究生宿舍楼</x:v>
      </x:c>
      <x:c r="I1390" s="14" t="str">
        <x:v>否</x:v>
      </x:c>
      <x:c r="J1390" s="14" t="n">
        <x:v>3</x:v>
      </x:c>
      <x:c r="K1390" s="14" t="str">
        <x:v>2号宿舍楼</x:v>
      </x:c>
      <x:c r="L1390" s="14" t="n">
        <x:v>3</x:v>
      </x:c>
      <x:c r="M1390" s="14" t="str">
        <x:v>16:38</x:v>
      </x:c>
      <x:c r="N1390" s="14" t="str">
        <x:v>否</x:v>
      </x:c>
      <x:c r="O1390" s="14" t="str">
        <x:v>否</x:v>
      </x:c>
      <x:c r="P1390" s="14" t="str">
        <x:v>刘虎</x:v>
      </x:c>
      <x:c r="Q1390" s="14" t="str">
        <x:v>3号车</x:v>
      </x:c>
      <x:c r="R1390" s="14" t="str">
        <x:v>预测</x:v>
      </x:c>
      <x:c r="S1390" s="14" t="str">
        <x:v>到站时间为估算值</x:v>
      </x:c>
      <x:c r="T1390" t="str">
        <x:v>研究生宿舍楼发车</x:v>
      </x:c>
    </x:row>
    <x:row r="1391">
      <x:c r="A1391" s="14" t="str">
        <x:v>S0120-04</x:v>
      </x:c>
      <x:c r="B1391" s="14" t="str">
        <x:v>S0120</x:v>
      </x:c>
      <x:c r="C1391" s="14" t="str">
        <x:v>工作日</x:v>
      </x:c>
      <x:c r="D1391" s="14" t="str">
        <x:v>环线3路</x:v>
      </x:c>
      <x:c r="E1391" s="14" t="str">
        <x:v>第一班</x:v>
      </x:c>
      <x:c r="F1391" s="14" t="n">
        <x:v>12</x:v>
      </x:c>
      <x:c r="G1391" s="14" t="str">
        <x:v>16:35</x:v>
      </x:c>
      <x:c r="H1391" s="14" t="str">
        <x:v>研究生宿舍楼</x:v>
      </x:c>
      <x:c r="I1391" s="14" t="str">
        <x:v>否</x:v>
      </x:c>
      <x:c r="J1391" s="14" t="n">
        <x:v>4</x:v>
      </x:c>
      <x:c r="K1391" s="14" t="str">
        <x:v>军体活动中心</x:v>
      </x:c>
      <x:c r="L1391" s="14" t="n">
        <x:v>4</x:v>
      </x:c>
      <x:c r="M1391" s="14" t="str">
        <x:v>16:39</x:v>
      </x:c>
      <x:c r="N1391" s="14" t="str">
        <x:v>否</x:v>
      </x:c>
      <x:c r="O1391" s="14" t="str">
        <x:v>否</x:v>
      </x:c>
      <x:c r="P1391" s="14" t="str">
        <x:v>刘虎</x:v>
      </x:c>
      <x:c r="Q1391" s="14" t="str">
        <x:v>3号车</x:v>
      </x:c>
      <x:c r="R1391" s="14" t="str">
        <x:v>预测</x:v>
      </x:c>
      <x:c r="S1391" s="14" t="str">
        <x:v>到站时间为估算值</x:v>
      </x:c>
      <x:c r="T1391" t="str">
        <x:v>研究生宿舍楼发车</x:v>
      </x:c>
    </x:row>
    <x:row r="1392">
      <x:c r="A1392" s="14" t="str">
        <x:v>S0120-05</x:v>
      </x:c>
      <x:c r="B1392" s="14" t="str">
        <x:v>S0120</x:v>
      </x:c>
      <x:c r="C1392" s="14" t="str">
        <x:v>工作日</x:v>
      </x:c>
      <x:c r="D1392" s="14" t="str">
        <x:v>环线3路</x:v>
      </x:c>
      <x:c r="E1392" s="14" t="str">
        <x:v>第一班</x:v>
      </x:c>
      <x:c r="F1392" s="14" t="n">
        <x:v>12</x:v>
      </x:c>
      <x:c r="G1392" s="14" t="str">
        <x:v>16:35</x:v>
      </x:c>
      <x:c r="H1392" s="14" t="str">
        <x:v>研究生宿舍楼</x:v>
      </x:c>
      <x:c r="I1392" s="14" t="str">
        <x:v>否</x:v>
      </x:c>
      <x:c r="J1392" s="14" t="n">
        <x:v>5</x:v>
      </x:c>
      <x:c r="K1392" s="14" t="str">
        <x:v>教勤连</x:v>
      </x:c>
      <x:c r="L1392" s="14" t="n">
        <x:v>6</x:v>
      </x:c>
      <x:c r="M1392" s="14" t="str">
        <x:v>16:41</x:v>
      </x:c>
      <x:c r="N1392" s="14" t="str">
        <x:v>否</x:v>
      </x:c>
      <x:c r="O1392" s="14" t="str">
        <x:v>否</x:v>
      </x:c>
      <x:c r="P1392" s="14" t="str">
        <x:v>刘虎</x:v>
      </x:c>
      <x:c r="Q1392" s="14" t="str">
        <x:v>3号车</x:v>
      </x:c>
      <x:c r="R1392" s="14" t="str">
        <x:v>预测</x:v>
      </x:c>
      <x:c r="S1392" s="14" t="str">
        <x:v>到站时间为估算值</x:v>
      </x:c>
      <x:c r="T1392" t="str">
        <x:v>研究生宿舍楼发车</x:v>
      </x:c>
    </x:row>
    <x:row r="1393">
      <x:c r="A1393" s="14" t="str">
        <x:v>S0120-06</x:v>
      </x:c>
      <x:c r="B1393" s="14" t="str">
        <x:v>S0120</x:v>
      </x:c>
      <x:c r="C1393" s="14" t="str">
        <x:v>工作日</x:v>
      </x:c>
      <x:c r="D1393" s="14" t="str">
        <x:v>环线3路</x:v>
      </x:c>
      <x:c r="E1393" s="14" t="str">
        <x:v>第一班</x:v>
      </x:c>
      <x:c r="F1393" s="14" t="n">
        <x:v>12</x:v>
      </x:c>
      <x:c r="G1393" s="14" t="str">
        <x:v>16:35</x:v>
      </x:c>
      <x:c r="H1393" s="14" t="str">
        <x:v>研究生宿舍楼</x:v>
      </x:c>
      <x:c r="I1393" s="14" t="str">
        <x:v>否</x:v>
      </x:c>
      <x:c r="J1393" s="14" t="n">
        <x:v>6</x:v>
      </x:c>
      <x:c r="K1393" s="14" t="str">
        <x:v>激光所</x:v>
      </x:c>
      <x:c r="L1393" s="14" t="n">
        <x:v>7</x:v>
      </x:c>
      <x:c r="M1393" s="14" t="str">
        <x:v>16:42</x:v>
      </x:c>
      <x:c r="N1393" s="14" t="str">
        <x:v>否</x:v>
      </x:c>
      <x:c r="O1393" s="14" t="str">
        <x:v>否</x:v>
      </x:c>
      <x:c r="P1393" s="14" t="str">
        <x:v>刘虎</x:v>
      </x:c>
      <x:c r="Q1393" s="14" t="str">
        <x:v>3号车</x:v>
      </x:c>
      <x:c r="R1393" s="14" t="str">
        <x:v>预测</x:v>
      </x:c>
      <x:c r="S1393" s="14" t="str">
        <x:v>到站时间为估算值</x:v>
      </x:c>
      <x:c r="T1393" t="str">
        <x:v>研究生宿舍楼发车</x:v>
      </x:c>
    </x:row>
    <x:row r="1394">
      <x:c r="A1394" s="14" t="str">
        <x:v>S0120-07</x:v>
      </x:c>
      <x:c r="B1394" s="14" t="str">
        <x:v>S0120</x:v>
      </x:c>
      <x:c r="C1394" s="14" t="str">
        <x:v>工作日</x:v>
      </x:c>
      <x:c r="D1394" s="14" t="str">
        <x:v>环线3路</x:v>
      </x:c>
      <x:c r="E1394" s="14" t="str">
        <x:v>第一班</x:v>
      </x:c>
      <x:c r="F1394" s="14" t="n">
        <x:v>12</x:v>
      </x:c>
      <x:c r="G1394" s="14" t="str">
        <x:v>16:35</x:v>
      </x:c>
      <x:c r="H1394" s="14" t="str">
        <x:v>研究生宿舍楼</x:v>
      </x:c>
      <x:c r="I1394" s="14" t="str">
        <x:v>否</x:v>
      </x:c>
      <x:c r="J1394" s="14" t="n">
        <x:v>7</x:v>
      </x:c>
      <x:c r="K1394" s="14" t="str">
        <x:v>高超楼</x:v>
      </x:c>
      <x:c r="L1394" s="14" t="n">
        <x:v>9</x:v>
      </x:c>
      <x:c r="M1394" s="14" t="str">
        <x:v>16:44</x:v>
      </x:c>
      <x:c r="N1394" s="14" t="str">
        <x:v>否</x:v>
      </x:c>
      <x:c r="O1394" s="14" t="str">
        <x:v>否</x:v>
      </x:c>
      <x:c r="P1394" s="14" t="str">
        <x:v>刘虎</x:v>
      </x:c>
      <x:c r="Q1394" s="14" t="str">
        <x:v>3号车</x:v>
      </x:c>
      <x:c r="R1394" s="14" t="str">
        <x:v>预测</x:v>
      </x:c>
      <x:c r="S1394" s="14" t="str">
        <x:v>到站时间为估算值</x:v>
      </x:c>
      <x:c r="T1394" t="str">
        <x:v>研究生宿舍楼发车</x:v>
      </x:c>
    </x:row>
    <x:row r="1395">
      <x:c r="A1395" s="14" t="str">
        <x:v>S0120-08</x:v>
      </x:c>
      <x:c r="B1395" s="14" t="str">
        <x:v>S0120</x:v>
      </x:c>
      <x:c r="C1395" s="14" t="str">
        <x:v>工作日</x:v>
      </x:c>
      <x:c r="D1395" s="14" t="str">
        <x:v>环线3路</x:v>
      </x:c>
      <x:c r="E1395" s="14" t="str">
        <x:v>第一班</x:v>
      </x:c>
      <x:c r="F1395" s="14" t="n">
        <x:v>12</x:v>
      </x:c>
      <x:c r="G1395" s="14" t="str">
        <x:v>16:35</x:v>
      </x:c>
      <x:c r="H1395" s="14" t="str">
        <x:v>研究生宿舍楼</x:v>
      </x:c>
      <x:c r="I1395" s="14" t="str">
        <x:v>否</x:v>
      </x:c>
      <x:c r="J1395" s="14" t="n">
        <x:v>8</x:v>
      </x:c>
      <x:c r="K1395" s="14" t="str">
        <x:v>理学院</x:v>
      </x:c>
      <x:c r="L1395" s="14" t="n">
        <x:v>10</x:v>
      </x:c>
      <x:c r="M1395" s="14" t="str">
        <x:v>16:45</x:v>
      </x:c>
      <x:c r="N1395" s="14" t="str">
        <x:v>否</x:v>
      </x:c>
      <x:c r="O1395" s="14" t="str">
        <x:v>否</x:v>
      </x:c>
      <x:c r="P1395" s="14" t="str">
        <x:v>刘虎</x:v>
      </x:c>
      <x:c r="Q1395" s="14" t="str">
        <x:v>3号车</x:v>
      </x:c>
      <x:c r="R1395" s="14" t="str">
        <x:v>预测</x:v>
      </x:c>
      <x:c r="S1395" s="14" t="str">
        <x:v>到站时间为估算值</x:v>
      </x:c>
      <x:c r="T1395" t="str">
        <x:v>研究生宿舍楼发车</x:v>
      </x:c>
    </x:row>
    <x:row r="1396">
      <x:c r="A1396" s="14" t="str">
        <x:v>S0120-09</x:v>
      </x:c>
      <x:c r="B1396" s="14" t="str">
        <x:v>S0120</x:v>
      </x:c>
      <x:c r="C1396" s="14" t="str">
        <x:v>工作日</x:v>
      </x:c>
      <x:c r="D1396" s="14" t="str">
        <x:v>环线3路</x:v>
      </x:c>
      <x:c r="E1396" s="14" t="str">
        <x:v>第一班</x:v>
      </x:c>
      <x:c r="F1396" s="14" t="n">
        <x:v>12</x:v>
      </x:c>
      <x:c r="G1396" s="14" t="str">
        <x:v>16:35</x:v>
      </x:c>
      <x:c r="H1396" s="14" t="str">
        <x:v>研究生宿舍楼</x:v>
      </x:c>
      <x:c r="I1396" s="14" t="str">
        <x:v>否</x:v>
      </x:c>
      <x:c r="J1396" s="14" t="n">
        <x:v>9</x:v>
      </x:c>
      <x:c r="K1396" s="14" t="str">
        <x:v>二食堂</x:v>
      </x:c>
      <x:c r="L1396" s="14" t="n">
        <x:v>13</x:v>
      </x:c>
      <x:c r="M1396" s="14" t="str">
        <x:v>16:48</x:v>
      </x:c>
      <x:c r="N1396" s="14" t="str">
        <x:v>否</x:v>
      </x:c>
      <x:c r="O1396" s="14" t="str">
        <x:v>否</x:v>
      </x:c>
      <x:c r="P1396" s="14" t="str">
        <x:v>刘虎</x:v>
      </x:c>
      <x:c r="Q1396" s="14" t="str">
        <x:v>3号车</x:v>
      </x:c>
      <x:c r="R1396" s="14" t="str">
        <x:v>预测</x:v>
      </x:c>
      <x:c r="S1396" s="14" t="str">
        <x:v>到站时间为估算值</x:v>
      </x:c>
      <x:c r="T1396" t="str">
        <x:v>研究生宿舍楼发车</x:v>
      </x:c>
    </x:row>
    <x:row r="1397">
      <x:c r="A1397" s="14" t="str">
        <x:v>S0120-10</x:v>
      </x:c>
      <x:c r="B1397" s="14" t="str">
        <x:v>S0120</x:v>
      </x:c>
      <x:c r="C1397" s="14" t="str">
        <x:v>工作日</x:v>
      </x:c>
      <x:c r="D1397" s="14" t="str">
        <x:v>环线3路</x:v>
      </x:c>
      <x:c r="E1397" s="14" t="str">
        <x:v>第一班</x:v>
      </x:c>
      <x:c r="F1397" s="14" t="n">
        <x:v>12</x:v>
      </x:c>
      <x:c r="G1397" s="14" t="str">
        <x:v>16:35</x:v>
      </x:c>
      <x:c r="H1397" s="14" t="str">
        <x:v>研究生宿舍楼</x:v>
      </x:c>
      <x:c r="I1397" s="14" t="str">
        <x:v>否</x:v>
      </x:c>
      <x:c r="J1397" s="14" t="n">
        <x:v>10</x:v>
      </x:c>
      <x:c r="K1397" s="14" t="str">
        <x:v>图书馆</x:v>
      </x:c>
      <x:c r="L1397" s="14" t="n">
        <x:v>14</x:v>
      </x:c>
      <x:c r="M1397" s="14" t="str">
        <x:v>16:49</x:v>
      </x:c>
      <x:c r="N1397" s="14" t="str">
        <x:v>否</x:v>
      </x:c>
      <x:c r="O1397" s="14" t="str">
        <x:v>否</x:v>
      </x:c>
      <x:c r="P1397" s="14" t="str">
        <x:v>刘虎</x:v>
      </x:c>
      <x:c r="Q1397" s="14" t="str">
        <x:v>3号车</x:v>
      </x:c>
      <x:c r="R1397" s="14" t="str">
        <x:v>预测</x:v>
      </x:c>
      <x:c r="S1397" s="14" t="str">
        <x:v>到站时间为估算值</x:v>
      </x:c>
      <x:c r="T1397" t="str">
        <x:v>研究生宿舍楼发车</x:v>
      </x:c>
    </x:row>
    <x:row r="1398">
      <x:c r="A1398" s="14" t="str">
        <x:v>S0120-11</x:v>
      </x:c>
      <x:c r="B1398" s="14" t="str">
        <x:v>S0120</x:v>
      </x:c>
      <x:c r="C1398" s="14" t="str">
        <x:v>工作日</x:v>
      </x:c>
      <x:c r="D1398" s="14" t="str">
        <x:v>环线3路</x:v>
      </x:c>
      <x:c r="E1398" s="14" t="str">
        <x:v>第一班</x:v>
      </x:c>
      <x:c r="F1398" s="14" t="n">
        <x:v>12</x:v>
      </x:c>
      <x:c r="G1398" s="14" t="str">
        <x:v>16:35</x:v>
      </x:c>
      <x:c r="H1398" s="14" t="str">
        <x:v>研究生宿舍楼</x:v>
      </x:c>
      <x:c r="I1398" s="14" t="str">
        <x:v>否</x:v>
      </x:c>
      <x:c r="J1398" s="14" t="n">
        <x:v>11</x:v>
      </x:c>
      <x:c r="K1398" s="14" t="str">
        <x:v>305教学楼</x:v>
      </x:c>
      <x:c r="L1398" s="14" t="n">
        <x:v>16</x:v>
      </x:c>
      <x:c r="M1398" s="14" t="str">
        <x:v>16:51</x:v>
      </x:c>
      <x:c r="N1398" s="14" t="str">
        <x:v>否</x:v>
      </x:c>
      <x:c r="O1398" s="14" t="str">
        <x:v>否</x:v>
      </x:c>
      <x:c r="P1398" s="14" t="str">
        <x:v>刘虎</x:v>
      </x:c>
      <x:c r="Q1398" s="14" t="str">
        <x:v>3号车</x:v>
      </x:c>
      <x:c r="R1398" s="14" t="str">
        <x:v>预测</x:v>
      </x:c>
      <x:c r="S1398" s="14" t="str">
        <x:v>到站时间为估算值</x:v>
      </x:c>
      <x:c r="T1398" t="str">
        <x:v>研究生宿舍楼发车</x:v>
      </x:c>
    </x:row>
    <x:row r="1399">
      <x:c r="A1399" s="14" t="str">
        <x:v>S0120-12</x:v>
      </x:c>
      <x:c r="B1399" s="14" t="str">
        <x:v>S0120</x:v>
      </x:c>
      <x:c r="C1399" s="14" t="str">
        <x:v>工作日</x:v>
      </x:c>
      <x:c r="D1399" s="14" t="str">
        <x:v>环线3路</x:v>
      </x:c>
      <x:c r="E1399" s="14" t="str">
        <x:v>第一班</x:v>
      </x:c>
      <x:c r="F1399" s="14" t="n">
        <x:v>12</x:v>
      </x:c>
      <x:c r="G1399" s="14" t="str">
        <x:v>16:35</x:v>
      </x:c>
      <x:c r="H1399" s="14" t="str">
        <x:v>研究生宿舍楼</x:v>
      </x:c>
      <x:c r="I1399" s="14" t="str">
        <x:v>否</x:v>
      </x:c>
      <x:c r="J1399" s="14" t="n">
        <x:v>12</x:v>
      </x:c>
      <x:c r="K1399" s="14" t="str">
        <x:v>研究生宿舍楼</x:v>
      </x:c>
      <x:c r="L1399" s="14" t="n">
        <x:v>18</x:v>
      </x:c>
      <x:c r="M1399" s="14" t="str">
        <x:v>16:53</x:v>
      </x:c>
      <x:c r="N1399" s="14" t="str">
        <x:v>否</x:v>
      </x:c>
      <x:c r="O1399" s="14" t="str">
        <x:v>是</x:v>
      </x:c>
      <x:c r="P1399" s="14" t="str">
        <x:v>刘虎</x:v>
      </x:c>
      <x:c r="Q1399" s="14" t="str">
        <x:v>3号车</x:v>
      </x:c>
      <x:c r="R1399" s="14" t="str">
        <x:v>预测</x:v>
      </x:c>
      <x:c r="S1399" s="14" t="str">
        <x:v>到站时间为估算值</x:v>
      </x:c>
      <x:c r="T1399" t="str">
        <x:v>研究生宿舍楼发车</x:v>
      </x:c>
    </x:row>
    <x:row r="1400">
      <x:c r="A1400" s="14" t="str">
        <x:v>S0121-01</x:v>
      </x:c>
      <x:c r="B1400" s="14" t="str">
        <x:v>S0121</x:v>
      </x:c>
      <x:c r="C1400" s="14" t="str">
        <x:v>工作日</x:v>
      </x:c>
      <x:c r="D1400" s="14" t="str">
        <x:v>环线3路</x:v>
      </x:c>
      <x:c r="E1400" s="14" t="str">
        <x:v>第一班</x:v>
      </x:c>
      <x:c r="F1400" s="14" t="n">
        <x:v>13</x:v>
      </x:c>
      <x:c r="G1400" s="14" t="str">
        <x:v>17:00</x:v>
      </x:c>
      <x:c r="H1400" s="14" t="str">
        <x:v>研究生宿舍楼</x:v>
      </x:c>
      <x:c r="I1400" s="14" t="str">
        <x:v>否</x:v>
      </x:c>
      <x:c r="J1400" s="14" t="n">
        <x:v>1</x:v>
      </x:c>
      <x:c r="K1400" s="14" t="str">
        <x:v>研究生宿舍楼</x:v>
      </x:c>
      <x:c r="L1400" s="14" t="n">
        <x:v>0</x:v>
      </x:c>
      <x:c r="M1400" s="14" t="str">
        <x:v>17:00</x:v>
      </x:c>
      <x:c r="N1400" s="14" t="str">
        <x:v>是</x:v>
      </x:c>
      <x:c r="O1400" s="14" t="str">
        <x:v>否</x:v>
      </x:c>
      <x:c r="P1400" s="14" t="str">
        <x:v>刘虎</x:v>
      </x:c>
      <x:c r="Q1400" s="14" t="str">
        <x:v>3号车</x:v>
      </x:c>
      <x:c r="R1400" s="14" t="str">
        <x:v>预测</x:v>
      </x:c>
      <x:c r="S1400" s="14" t="str">
        <x:v>到站时间为估算值</x:v>
      </x:c>
      <x:c r="T1400" t="str">
        <x:v>研究生宿舍楼发车</x:v>
      </x:c>
    </x:row>
    <x:row r="1401">
      <x:c r="A1401" s="14" t="str">
        <x:v>S0121-02</x:v>
      </x:c>
      <x:c r="B1401" s="14" t="str">
        <x:v>S0121</x:v>
      </x:c>
      <x:c r="C1401" s="14" t="str">
        <x:v>工作日</x:v>
      </x:c>
      <x:c r="D1401" s="14" t="str">
        <x:v>环线3路</x:v>
      </x:c>
      <x:c r="E1401" s="14" t="str">
        <x:v>第一班</x:v>
      </x:c>
      <x:c r="F1401" s="14" t="n">
        <x:v>13</x:v>
      </x:c>
      <x:c r="G1401" s="14" t="str">
        <x:v>17:00</x:v>
      </x:c>
      <x:c r="H1401" s="14" t="str">
        <x:v>研究生宿舍楼</x:v>
      </x:c>
      <x:c r="I1401" s="14" t="str">
        <x:v>否</x:v>
      </x:c>
      <x:c r="J1401" s="14" t="n">
        <x:v>2</x:v>
      </x:c>
      <x:c r="K1401" s="14" t="str">
        <x:v>一食堂</x:v>
      </x:c>
      <x:c r="L1401" s="14" t="n">
        <x:v>1</x:v>
      </x:c>
      <x:c r="M1401" s="14" t="str">
        <x:v>17:01</x:v>
      </x:c>
      <x:c r="N1401" s="14" t="str">
        <x:v>否</x:v>
      </x:c>
      <x:c r="O1401" s="14" t="str">
        <x:v>否</x:v>
      </x:c>
      <x:c r="P1401" s="14" t="str">
        <x:v>刘虎</x:v>
      </x:c>
      <x:c r="Q1401" s="14" t="str">
        <x:v>3号车</x:v>
      </x:c>
      <x:c r="R1401" s="14" t="str">
        <x:v>预测</x:v>
      </x:c>
      <x:c r="S1401" s="14" t="str">
        <x:v>到站时间为估算值</x:v>
      </x:c>
      <x:c r="T1401" t="str">
        <x:v>研究生宿舍楼发车</x:v>
      </x:c>
    </x:row>
    <x:row r="1402">
      <x:c r="A1402" s="14" t="str">
        <x:v>S0121-03</x:v>
      </x:c>
      <x:c r="B1402" s="14" t="str">
        <x:v>S0121</x:v>
      </x:c>
      <x:c r="C1402" s="14" t="str">
        <x:v>工作日</x:v>
      </x:c>
      <x:c r="D1402" s="14" t="str">
        <x:v>环线3路</x:v>
      </x:c>
      <x:c r="E1402" s="14" t="str">
        <x:v>第一班</x:v>
      </x:c>
      <x:c r="F1402" s="14" t="n">
        <x:v>13</x:v>
      </x:c>
      <x:c r="G1402" s="14" t="str">
        <x:v>17:00</x:v>
      </x:c>
      <x:c r="H1402" s="14" t="str">
        <x:v>研究生宿舍楼</x:v>
      </x:c>
      <x:c r="I1402" s="14" t="str">
        <x:v>否</x:v>
      </x:c>
      <x:c r="J1402" s="14" t="n">
        <x:v>3</x:v>
      </x:c>
      <x:c r="K1402" s="14" t="str">
        <x:v>2号宿舍楼</x:v>
      </x:c>
      <x:c r="L1402" s="14" t="n">
        <x:v>3</x:v>
      </x:c>
      <x:c r="M1402" s="14" t="str">
        <x:v>17:03</x:v>
      </x:c>
      <x:c r="N1402" s="14" t="str">
        <x:v>否</x:v>
      </x:c>
      <x:c r="O1402" s="14" t="str">
        <x:v>否</x:v>
      </x:c>
      <x:c r="P1402" s="14" t="str">
        <x:v>刘虎</x:v>
      </x:c>
      <x:c r="Q1402" s="14" t="str">
        <x:v>3号车</x:v>
      </x:c>
      <x:c r="R1402" s="14" t="str">
        <x:v>预测</x:v>
      </x:c>
      <x:c r="S1402" s="14" t="str">
        <x:v>到站时间为估算值</x:v>
      </x:c>
      <x:c r="T1402" t="str">
        <x:v>研究生宿舍楼发车</x:v>
      </x:c>
    </x:row>
    <x:row r="1403">
      <x:c r="A1403" s="14" t="str">
        <x:v>S0121-04</x:v>
      </x:c>
      <x:c r="B1403" s="14" t="str">
        <x:v>S0121</x:v>
      </x:c>
      <x:c r="C1403" s="14" t="str">
        <x:v>工作日</x:v>
      </x:c>
      <x:c r="D1403" s="14" t="str">
        <x:v>环线3路</x:v>
      </x:c>
      <x:c r="E1403" s="14" t="str">
        <x:v>第一班</x:v>
      </x:c>
      <x:c r="F1403" s="14" t="n">
        <x:v>13</x:v>
      </x:c>
      <x:c r="G1403" s="14" t="str">
        <x:v>17:00</x:v>
      </x:c>
      <x:c r="H1403" s="14" t="str">
        <x:v>研究生宿舍楼</x:v>
      </x:c>
      <x:c r="I1403" s="14" t="str">
        <x:v>否</x:v>
      </x:c>
      <x:c r="J1403" s="14" t="n">
        <x:v>4</x:v>
      </x:c>
      <x:c r="K1403" s="14" t="str">
        <x:v>军体活动中心</x:v>
      </x:c>
      <x:c r="L1403" s="14" t="n">
        <x:v>4</x:v>
      </x:c>
      <x:c r="M1403" s="14" t="str">
        <x:v>17:04</x:v>
      </x:c>
      <x:c r="N1403" s="14" t="str">
        <x:v>否</x:v>
      </x:c>
      <x:c r="O1403" s="14" t="str">
        <x:v>否</x:v>
      </x:c>
      <x:c r="P1403" s="14" t="str">
        <x:v>刘虎</x:v>
      </x:c>
      <x:c r="Q1403" s="14" t="str">
        <x:v>3号车</x:v>
      </x:c>
      <x:c r="R1403" s="14" t="str">
        <x:v>预测</x:v>
      </x:c>
      <x:c r="S1403" s="14" t="str">
        <x:v>到站时间为估算值</x:v>
      </x:c>
      <x:c r="T1403" t="str">
        <x:v>研究生宿舍楼发车</x:v>
      </x:c>
    </x:row>
    <x:row r="1404">
      <x:c r="A1404" s="14" t="str">
        <x:v>S0121-05</x:v>
      </x:c>
      <x:c r="B1404" s="14" t="str">
        <x:v>S0121</x:v>
      </x:c>
      <x:c r="C1404" s="14" t="str">
        <x:v>工作日</x:v>
      </x:c>
      <x:c r="D1404" s="14" t="str">
        <x:v>环线3路</x:v>
      </x:c>
      <x:c r="E1404" s="14" t="str">
        <x:v>第一班</x:v>
      </x:c>
      <x:c r="F1404" s="14" t="n">
        <x:v>13</x:v>
      </x:c>
      <x:c r="G1404" s="14" t="str">
        <x:v>17:00</x:v>
      </x:c>
      <x:c r="H1404" s="14" t="str">
        <x:v>研究生宿舍楼</x:v>
      </x:c>
      <x:c r="I1404" s="14" t="str">
        <x:v>否</x:v>
      </x:c>
      <x:c r="J1404" s="14" t="n">
        <x:v>5</x:v>
      </x:c>
      <x:c r="K1404" s="14" t="str">
        <x:v>教勤连</x:v>
      </x:c>
      <x:c r="L1404" s="14" t="n">
        <x:v>6</x:v>
      </x:c>
      <x:c r="M1404" s="14" t="str">
        <x:v>17:06</x:v>
      </x:c>
      <x:c r="N1404" s="14" t="str">
        <x:v>否</x:v>
      </x:c>
      <x:c r="O1404" s="14" t="str">
        <x:v>否</x:v>
      </x:c>
      <x:c r="P1404" s="14" t="str">
        <x:v>刘虎</x:v>
      </x:c>
      <x:c r="Q1404" s="14" t="str">
        <x:v>3号车</x:v>
      </x:c>
      <x:c r="R1404" s="14" t="str">
        <x:v>预测</x:v>
      </x:c>
      <x:c r="S1404" s="14" t="str">
        <x:v>到站时间为估算值</x:v>
      </x:c>
      <x:c r="T1404" t="str">
        <x:v>研究生宿舍楼发车</x:v>
      </x:c>
    </x:row>
    <x:row r="1405">
      <x:c r="A1405" s="14" t="str">
        <x:v>S0121-06</x:v>
      </x:c>
      <x:c r="B1405" s="14" t="str">
        <x:v>S0121</x:v>
      </x:c>
      <x:c r="C1405" s="14" t="str">
        <x:v>工作日</x:v>
      </x:c>
      <x:c r="D1405" s="14" t="str">
        <x:v>环线3路</x:v>
      </x:c>
      <x:c r="E1405" s="14" t="str">
        <x:v>第一班</x:v>
      </x:c>
      <x:c r="F1405" s="14" t="n">
        <x:v>13</x:v>
      </x:c>
      <x:c r="G1405" s="14" t="str">
        <x:v>17:00</x:v>
      </x:c>
      <x:c r="H1405" s="14" t="str">
        <x:v>研究生宿舍楼</x:v>
      </x:c>
      <x:c r="I1405" s="14" t="str">
        <x:v>否</x:v>
      </x:c>
      <x:c r="J1405" s="14" t="n">
        <x:v>6</x:v>
      </x:c>
      <x:c r="K1405" s="14" t="str">
        <x:v>激光所</x:v>
      </x:c>
      <x:c r="L1405" s="14" t="n">
        <x:v>7</x:v>
      </x:c>
      <x:c r="M1405" s="14" t="str">
        <x:v>17:07</x:v>
      </x:c>
      <x:c r="N1405" s="14" t="str">
        <x:v>否</x:v>
      </x:c>
      <x:c r="O1405" s="14" t="str">
        <x:v>否</x:v>
      </x:c>
      <x:c r="P1405" s="14" t="str">
        <x:v>刘虎</x:v>
      </x:c>
      <x:c r="Q1405" s="14" t="str">
        <x:v>3号车</x:v>
      </x:c>
      <x:c r="R1405" s="14" t="str">
        <x:v>预测</x:v>
      </x:c>
      <x:c r="S1405" s="14" t="str">
        <x:v>到站时间为估算值</x:v>
      </x:c>
      <x:c r="T1405" t="str">
        <x:v>研究生宿舍楼发车</x:v>
      </x:c>
    </x:row>
    <x:row r="1406">
      <x:c r="A1406" s="14" t="str">
        <x:v>S0121-07</x:v>
      </x:c>
      <x:c r="B1406" s="14" t="str">
        <x:v>S0121</x:v>
      </x:c>
      <x:c r="C1406" s="14" t="str">
        <x:v>工作日</x:v>
      </x:c>
      <x:c r="D1406" s="14" t="str">
        <x:v>环线3路</x:v>
      </x:c>
      <x:c r="E1406" s="14" t="str">
        <x:v>第一班</x:v>
      </x:c>
      <x:c r="F1406" s="14" t="n">
        <x:v>13</x:v>
      </x:c>
      <x:c r="G1406" s="14" t="str">
        <x:v>17:00</x:v>
      </x:c>
      <x:c r="H1406" s="14" t="str">
        <x:v>研究生宿舍楼</x:v>
      </x:c>
      <x:c r="I1406" s="14" t="str">
        <x:v>否</x:v>
      </x:c>
      <x:c r="J1406" s="14" t="n">
        <x:v>7</x:v>
      </x:c>
      <x:c r="K1406" s="14" t="str">
        <x:v>高超楼</x:v>
      </x:c>
      <x:c r="L1406" s="14" t="n">
        <x:v>9</x:v>
      </x:c>
      <x:c r="M1406" s="14" t="str">
        <x:v>17:09</x:v>
      </x:c>
      <x:c r="N1406" s="14" t="str">
        <x:v>否</x:v>
      </x:c>
      <x:c r="O1406" s="14" t="str">
        <x:v>否</x:v>
      </x:c>
      <x:c r="P1406" s="14" t="str">
        <x:v>刘虎</x:v>
      </x:c>
      <x:c r="Q1406" s="14" t="str">
        <x:v>3号车</x:v>
      </x:c>
      <x:c r="R1406" s="14" t="str">
        <x:v>预测</x:v>
      </x:c>
      <x:c r="S1406" s="14" t="str">
        <x:v>到站时间为估算值</x:v>
      </x:c>
      <x:c r="T1406" t="str">
        <x:v>研究生宿舍楼发车</x:v>
      </x:c>
    </x:row>
    <x:row r="1407">
      <x:c r="A1407" s="14" t="str">
        <x:v>S0121-08</x:v>
      </x:c>
      <x:c r="B1407" s="14" t="str">
        <x:v>S0121</x:v>
      </x:c>
      <x:c r="C1407" s="14" t="str">
        <x:v>工作日</x:v>
      </x:c>
      <x:c r="D1407" s="14" t="str">
        <x:v>环线3路</x:v>
      </x:c>
      <x:c r="E1407" s="14" t="str">
        <x:v>第一班</x:v>
      </x:c>
      <x:c r="F1407" s="14" t="n">
        <x:v>13</x:v>
      </x:c>
      <x:c r="G1407" s="14" t="str">
        <x:v>17:00</x:v>
      </x:c>
      <x:c r="H1407" s="14" t="str">
        <x:v>研究生宿舍楼</x:v>
      </x:c>
      <x:c r="I1407" s="14" t="str">
        <x:v>否</x:v>
      </x:c>
      <x:c r="J1407" s="14" t="n">
        <x:v>8</x:v>
      </x:c>
      <x:c r="K1407" s="14" t="str">
        <x:v>理学院</x:v>
      </x:c>
      <x:c r="L1407" s="14" t="n">
        <x:v>10</x:v>
      </x:c>
      <x:c r="M1407" s="14" t="str">
        <x:v>17:10</x:v>
      </x:c>
      <x:c r="N1407" s="14" t="str">
        <x:v>否</x:v>
      </x:c>
      <x:c r="O1407" s="14" t="str">
        <x:v>否</x:v>
      </x:c>
      <x:c r="P1407" s="14" t="str">
        <x:v>刘虎</x:v>
      </x:c>
      <x:c r="Q1407" s="14" t="str">
        <x:v>3号车</x:v>
      </x:c>
      <x:c r="R1407" s="14" t="str">
        <x:v>预测</x:v>
      </x:c>
      <x:c r="S1407" s="14" t="str">
        <x:v>到站时间为估算值</x:v>
      </x:c>
      <x:c r="T1407" t="str">
        <x:v>研究生宿舍楼发车</x:v>
      </x:c>
    </x:row>
    <x:row r="1408">
      <x:c r="A1408" s="14" t="str">
        <x:v>S0121-09</x:v>
      </x:c>
      <x:c r="B1408" s="14" t="str">
        <x:v>S0121</x:v>
      </x:c>
      <x:c r="C1408" s="14" t="str">
        <x:v>工作日</x:v>
      </x:c>
      <x:c r="D1408" s="14" t="str">
        <x:v>环线3路</x:v>
      </x:c>
      <x:c r="E1408" s="14" t="str">
        <x:v>第一班</x:v>
      </x:c>
      <x:c r="F1408" s="14" t="n">
        <x:v>13</x:v>
      </x:c>
      <x:c r="G1408" s="14" t="str">
        <x:v>17:00</x:v>
      </x:c>
      <x:c r="H1408" s="14" t="str">
        <x:v>研究生宿舍楼</x:v>
      </x:c>
      <x:c r="I1408" s="14" t="str">
        <x:v>否</x:v>
      </x:c>
      <x:c r="J1408" s="14" t="n">
        <x:v>9</x:v>
      </x:c>
      <x:c r="K1408" s="14" t="str">
        <x:v>二食堂</x:v>
      </x:c>
      <x:c r="L1408" s="14" t="n">
        <x:v>13</x:v>
      </x:c>
      <x:c r="M1408" s="14" t="str">
        <x:v>17:13</x:v>
      </x:c>
      <x:c r="N1408" s="14" t="str">
        <x:v>否</x:v>
      </x:c>
      <x:c r="O1408" s="14" t="str">
        <x:v>否</x:v>
      </x:c>
      <x:c r="P1408" s="14" t="str">
        <x:v>刘虎</x:v>
      </x:c>
      <x:c r="Q1408" s="14" t="str">
        <x:v>3号车</x:v>
      </x:c>
      <x:c r="R1408" s="14" t="str">
        <x:v>预测</x:v>
      </x:c>
      <x:c r="S1408" s="14" t="str">
        <x:v>到站时间为估算值</x:v>
      </x:c>
      <x:c r="T1408" t="str">
        <x:v>研究生宿舍楼发车</x:v>
      </x:c>
    </x:row>
    <x:row r="1409">
      <x:c r="A1409" s="14" t="str">
        <x:v>S0121-10</x:v>
      </x:c>
      <x:c r="B1409" s="14" t="str">
        <x:v>S0121</x:v>
      </x:c>
      <x:c r="C1409" s="14" t="str">
        <x:v>工作日</x:v>
      </x:c>
      <x:c r="D1409" s="14" t="str">
        <x:v>环线3路</x:v>
      </x:c>
      <x:c r="E1409" s="14" t="str">
        <x:v>第一班</x:v>
      </x:c>
      <x:c r="F1409" s="14" t="n">
        <x:v>13</x:v>
      </x:c>
      <x:c r="G1409" s="14" t="str">
        <x:v>17:00</x:v>
      </x:c>
      <x:c r="H1409" s="14" t="str">
        <x:v>研究生宿舍楼</x:v>
      </x:c>
      <x:c r="I1409" s="14" t="str">
        <x:v>否</x:v>
      </x:c>
      <x:c r="J1409" s="14" t="n">
        <x:v>10</x:v>
      </x:c>
      <x:c r="K1409" s="14" t="str">
        <x:v>图书馆</x:v>
      </x:c>
      <x:c r="L1409" s="14" t="n">
        <x:v>14</x:v>
      </x:c>
      <x:c r="M1409" s="14" t="str">
        <x:v>17:14</x:v>
      </x:c>
      <x:c r="N1409" s="14" t="str">
        <x:v>否</x:v>
      </x:c>
      <x:c r="O1409" s="14" t="str">
        <x:v>否</x:v>
      </x:c>
      <x:c r="P1409" s="14" t="str">
        <x:v>刘虎</x:v>
      </x:c>
      <x:c r="Q1409" s="14" t="str">
        <x:v>3号车</x:v>
      </x:c>
      <x:c r="R1409" s="14" t="str">
        <x:v>预测</x:v>
      </x:c>
      <x:c r="S1409" s="14" t="str">
        <x:v>到站时间为估算值</x:v>
      </x:c>
      <x:c r="T1409" t="str">
        <x:v>研究生宿舍楼发车</x:v>
      </x:c>
    </x:row>
    <x:row r="1410">
      <x:c r="A1410" s="14" t="str">
        <x:v>S0121-11</x:v>
      </x:c>
      <x:c r="B1410" s="14" t="str">
        <x:v>S0121</x:v>
      </x:c>
      <x:c r="C1410" s="14" t="str">
        <x:v>工作日</x:v>
      </x:c>
      <x:c r="D1410" s="14" t="str">
        <x:v>环线3路</x:v>
      </x:c>
      <x:c r="E1410" s="14" t="str">
        <x:v>第一班</x:v>
      </x:c>
      <x:c r="F1410" s="14" t="n">
        <x:v>13</x:v>
      </x:c>
      <x:c r="G1410" s="14" t="str">
        <x:v>17:00</x:v>
      </x:c>
      <x:c r="H1410" s="14" t="str">
        <x:v>研究生宿舍楼</x:v>
      </x:c>
      <x:c r="I1410" s="14" t="str">
        <x:v>否</x:v>
      </x:c>
      <x:c r="J1410" s="14" t="n">
        <x:v>11</x:v>
      </x:c>
      <x:c r="K1410" s="14" t="str">
        <x:v>305教学楼</x:v>
      </x:c>
      <x:c r="L1410" s="14" t="n">
        <x:v>16</x:v>
      </x:c>
      <x:c r="M1410" s="14" t="str">
        <x:v>17:16</x:v>
      </x:c>
      <x:c r="N1410" s="14" t="str">
        <x:v>否</x:v>
      </x:c>
      <x:c r="O1410" s="14" t="str">
        <x:v>否</x:v>
      </x:c>
      <x:c r="P1410" s="14" t="str">
        <x:v>刘虎</x:v>
      </x:c>
      <x:c r="Q1410" s="14" t="str">
        <x:v>3号车</x:v>
      </x:c>
      <x:c r="R1410" s="14" t="str">
        <x:v>预测</x:v>
      </x:c>
      <x:c r="S1410" s="14" t="str">
        <x:v>到站时间为估算值</x:v>
      </x:c>
      <x:c r="T1410" t="str">
        <x:v>研究生宿舍楼发车</x:v>
      </x:c>
    </x:row>
    <x:row r="1411">
      <x:c r="A1411" s="14" t="str">
        <x:v>S0121-12</x:v>
      </x:c>
      <x:c r="B1411" s="14" t="str">
        <x:v>S0121</x:v>
      </x:c>
      <x:c r="C1411" s="14" t="str">
        <x:v>工作日</x:v>
      </x:c>
      <x:c r="D1411" s="14" t="str">
        <x:v>环线3路</x:v>
      </x:c>
      <x:c r="E1411" s="14" t="str">
        <x:v>第一班</x:v>
      </x:c>
      <x:c r="F1411" s="14" t="n">
        <x:v>13</x:v>
      </x:c>
      <x:c r="G1411" s="14" t="str">
        <x:v>17:00</x:v>
      </x:c>
      <x:c r="H1411" s="14" t="str">
        <x:v>研究生宿舍楼</x:v>
      </x:c>
      <x:c r="I1411" s="14" t="str">
        <x:v>否</x:v>
      </x:c>
      <x:c r="J1411" s="14" t="n">
        <x:v>12</x:v>
      </x:c>
      <x:c r="K1411" s="14" t="str">
        <x:v>研究生宿舍楼</x:v>
      </x:c>
      <x:c r="L1411" s="14" t="n">
        <x:v>18</x:v>
      </x:c>
      <x:c r="M1411" s="14" t="str">
        <x:v>17:18</x:v>
      </x:c>
      <x:c r="N1411" s="14" t="str">
        <x:v>否</x:v>
      </x:c>
      <x:c r="O1411" s="14" t="str">
        <x:v>是</x:v>
      </x:c>
      <x:c r="P1411" s="14" t="str">
        <x:v>刘虎</x:v>
      </x:c>
      <x:c r="Q1411" s="14" t="str">
        <x:v>3号车</x:v>
      </x:c>
      <x:c r="R1411" s="14" t="str">
        <x:v>预测</x:v>
      </x:c>
      <x:c r="S1411" s="14" t="str">
        <x:v>到站时间为估算值</x:v>
      </x:c>
      <x:c r="T1411" t="str">
        <x:v>研究生宿舍楼发车</x:v>
      </x:c>
    </x:row>
    <x:row r="1412">
      <x:c r="A1412" s="14" t="str">
        <x:v>S0122-01</x:v>
      </x:c>
      <x:c r="B1412" s="14" t="str">
        <x:v>S0122</x:v>
      </x:c>
      <x:c r="C1412" s="14" t="str">
        <x:v>工作日</x:v>
      </x:c>
      <x:c r="D1412" s="14" t="str">
        <x:v>环线3路</x:v>
      </x:c>
      <x:c r="E1412" s="14" t="str">
        <x:v>第三班</x:v>
      </x:c>
      <x:c r="F1412" s="14" t="n">
        <x:v>1</x:v>
      </x:c>
      <x:c r="G1412" s="14" t="str">
        <x:v>7:55</x:v>
      </x:c>
      <x:c r="H1412" s="14" t="str">
        <x:v>研究生宿舍楼</x:v>
      </x:c>
      <x:c r="I1412" s="14" t="str">
        <x:v>否</x:v>
      </x:c>
      <x:c r="J1412" s="14" t="n">
        <x:v>1</x:v>
      </x:c>
      <x:c r="K1412" s="14" t="str">
        <x:v>研究生宿舍楼</x:v>
      </x:c>
      <x:c r="L1412" s="14" t="n">
        <x:v>0</x:v>
      </x:c>
      <x:c r="M1412" s="14" t="str">
        <x:v>07:55</x:v>
      </x:c>
      <x:c r="N1412" s="14" t="str">
        <x:v>是</x:v>
      </x:c>
      <x:c r="O1412" s="14" t="str">
        <x:v>否</x:v>
      </x:c>
      <x:c r="P1412" s="14" t="str">
        <x:v>刘晓燕</x:v>
      </x:c>
      <x:c r="Q1412" s="14" t="str">
        <x:v>4号车</x:v>
      </x:c>
      <x:c r="R1412" s="14" t="str">
        <x:v>预测</x:v>
      </x:c>
      <x:c r="S1412" s="14" t="str">
        <x:v>到站时间为估算值</x:v>
      </x:c>
      <x:c r="T1412" t="str">
        <x:v>研究生宿舍楼发车</x:v>
      </x:c>
    </x:row>
    <x:row r="1413">
      <x:c r="A1413" s="14" t="str">
        <x:v>S0122-02</x:v>
      </x:c>
      <x:c r="B1413" s="14" t="str">
        <x:v>S0122</x:v>
      </x:c>
      <x:c r="C1413" s="14" t="str">
        <x:v>工作日</x:v>
      </x:c>
      <x:c r="D1413" s="14" t="str">
        <x:v>环线3路</x:v>
      </x:c>
      <x:c r="E1413" s="14" t="str">
        <x:v>第三班</x:v>
      </x:c>
      <x:c r="F1413" s="14" t="n">
        <x:v>1</x:v>
      </x:c>
      <x:c r="G1413" s="14" t="str">
        <x:v>7:55</x:v>
      </x:c>
      <x:c r="H1413" s="14" t="str">
        <x:v>研究生宿舍楼</x:v>
      </x:c>
      <x:c r="I1413" s="14" t="str">
        <x:v>否</x:v>
      </x:c>
      <x:c r="J1413" s="14" t="n">
        <x:v>2</x:v>
      </x:c>
      <x:c r="K1413" s="14" t="str">
        <x:v>一食堂</x:v>
      </x:c>
      <x:c r="L1413" s="14" t="n">
        <x:v>1</x:v>
      </x:c>
      <x:c r="M1413" s="14" t="str">
        <x:v>07:56</x:v>
      </x:c>
      <x:c r="N1413" s="14" t="str">
        <x:v>否</x:v>
      </x:c>
      <x:c r="O1413" s="14" t="str">
        <x:v>否</x:v>
      </x:c>
      <x:c r="P1413" s="14" t="str">
        <x:v>刘晓燕</x:v>
      </x:c>
      <x:c r="Q1413" s="14" t="str">
        <x:v>4号车</x:v>
      </x:c>
      <x:c r="R1413" s="14" t="str">
        <x:v>预测</x:v>
      </x:c>
      <x:c r="S1413" s="14" t="str">
        <x:v>到站时间为估算值</x:v>
      </x:c>
      <x:c r="T1413" t="str">
        <x:v>研究生宿舍楼发车</x:v>
      </x:c>
    </x:row>
    <x:row r="1414">
      <x:c r="A1414" s="14" t="str">
        <x:v>S0122-03</x:v>
      </x:c>
      <x:c r="B1414" s="14" t="str">
        <x:v>S0122</x:v>
      </x:c>
      <x:c r="C1414" s="14" t="str">
        <x:v>工作日</x:v>
      </x:c>
      <x:c r="D1414" s="14" t="str">
        <x:v>环线3路</x:v>
      </x:c>
      <x:c r="E1414" s="14" t="str">
        <x:v>第三班</x:v>
      </x:c>
      <x:c r="F1414" s="14" t="n">
        <x:v>1</x:v>
      </x:c>
      <x:c r="G1414" s="14" t="str">
        <x:v>7:55</x:v>
      </x:c>
      <x:c r="H1414" s="14" t="str">
        <x:v>研究生宿舍楼</x:v>
      </x:c>
      <x:c r="I1414" s="14" t="str">
        <x:v>否</x:v>
      </x:c>
      <x:c r="J1414" s="14" t="n">
        <x:v>3</x:v>
      </x:c>
      <x:c r="K1414" s="14" t="str">
        <x:v>2号宿舍楼</x:v>
      </x:c>
      <x:c r="L1414" s="14" t="n">
        <x:v>3</x:v>
      </x:c>
      <x:c r="M1414" s="14" t="str">
        <x:v>07:58</x:v>
      </x:c>
      <x:c r="N1414" s="14" t="str">
        <x:v>否</x:v>
      </x:c>
      <x:c r="O1414" s="14" t="str">
        <x:v>否</x:v>
      </x:c>
      <x:c r="P1414" s="14" t="str">
        <x:v>刘晓燕</x:v>
      </x:c>
      <x:c r="Q1414" s="14" t="str">
        <x:v>4号车</x:v>
      </x:c>
      <x:c r="R1414" s="14" t="str">
        <x:v>预测</x:v>
      </x:c>
      <x:c r="S1414" s="14" t="str">
        <x:v>到站时间为估算值</x:v>
      </x:c>
      <x:c r="T1414" t="str">
        <x:v>研究生宿舍楼发车</x:v>
      </x:c>
    </x:row>
    <x:row r="1415">
      <x:c r="A1415" s="14" t="str">
        <x:v>S0122-04</x:v>
      </x:c>
      <x:c r="B1415" s="14" t="str">
        <x:v>S0122</x:v>
      </x:c>
      <x:c r="C1415" s="14" t="str">
        <x:v>工作日</x:v>
      </x:c>
      <x:c r="D1415" s="14" t="str">
        <x:v>环线3路</x:v>
      </x:c>
      <x:c r="E1415" s="14" t="str">
        <x:v>第三班</x:v>
      </x:c>
      <x:c r="F1415" s="14" t="n">
        <x:v>1</x:v>
      </x:c>
      <x:c r="G1415" s="14" t="str">
        <x:v>7:55</x:v>
      </x:c>
      <x:c r="H1415" s="14" t="str">
        <x:v>研究生宿舍楼</x:v>
      </x:c>
      <x:c r="I1415" s="14" t="str">
        <x:v>否</x:v>
      </x:c>
      <x:c r="J1415" s="14" t="n">
        <x:v>4</x:v>
      </x:c>
      <x:c r="K1415" s="14" t="str">
        <x:v>军体活动中心</x:v>
      </x:c>
      <x:c r="L1415" s="14" t="n">
        <x:v>4</x:v>
      </x:c>
      <x:c r="M1415" s="14" t="str">
        <x:v>07:59</x:v>
      </x:c>
      <x:c r="N1415" s="14" t="str">
        <x:v>否</x:v>
      </x:c>
      <x:c r="O1415" s="14" t="str">
        <x:v>否</x:v>
      </x:c>
      <x:c r="P1415" s="14" t="str">
        <x:v>刘晓燕</x:v>
      </x:c>
      <x:c r="Q1415" s="14" t="str">
        <x:v>4号车</x:v>
      </x:c>
      <x:c r="R1415" s="14" t="str">
        <x:v>预测</x:v>
      </x:c>
      <x:c r="S1415" s="14" t="str">
        <x:v>到站时间为估算值</x:v>
      </x:c>
      <x:c r="T1415" t="str">
        <x:v>研究生宿舍楼发车</x:v>
      </x:c>
    </x:row>
    <x:row r="1416">
      <x:c r="A1416" s="14" t="str">
        <x:v>S0122-05</x:v>
      </x:c>
      <x:c r="B1416" s="14" t="str">
        <x:v>S0122</x:v>
      </x:c>
      <x:c r="C1416" s="14" t="str">
        <x:v>工作日</x:v>
      </x:c>
      <x:c r="D1416" s="14" t="str">
        <x:v>环线3路</x:v>
      </x:c>
      <x:c r="E1416" s="14" t="str">
        <x:v>第三班</x:v>
      </x:c>
      <x:c r="F1416" s="14" t="n">
        <x:v>1</x:v>
      </x:c>
      <x:c r="G1416" s="14" t="str">
        <x:v>7:55</x:v>
      </x:c>
      <x:c r="H1416" s="14" t="str">
        <x:v>研究生宿舍楼</x:v>
      </x:c>
      <x:c r="I1416" s="14" t="str">
        <x:v>否</x:v>
      </x:c>
      <x:c r="J1416" s="14" t="n">
        <x:v>5</x:v>
      </x:c>
      <x:c r="K1416" s="14" t="str">
        <x:v>教勤连</x:v>
      </x:c>
      <x:c r="L1416" s="14" t="n">
        <x:v>6</x:v>
      </x:c>
      <x:c r="M1416" s="14" t="str">
        <x:v>08:01</x:v>
      </x:c>
      <x:c r="N1416" s="14" t="str">
        <x:v>否</x:v>
      </x:c>
      <x:c r="O1416" s="14" t="str">
        <x:v>否</x:v>
      </x:c>
      <x:c r="P1416" s="14" t="str">
        <x:v>刘晓燕</x:v>
      </x:c>
      <x:c r="Q1416" s="14" t="str">
        <x:v>4号车</x:v>
      </x:c>
      <x:c r="R1416" s="14" t="str">
        <x:v>预测</x:v>
      </x:c>
      <x:c r="S1416" s="14" t="str">
        <x:v>到站时间为估算值</x:v>
      </x:c>
      <x:c r="T1416" t="str">
        <x:v>研究生宿舍楼发车</x:v>
      </x:c>
    </x:row>
    <x:row r="1417">
      <x:c r="A1417" s="14" t="str">
        <x:v>S0122-06</x:v>
      </x:c>
      <x:c r="B1417" s="14" t="str">
        <x:v>S0122</x:v>
      </x:c>
      <x:c r="C1417" s="14" t="str">
        <x:v>工作日</x:v>
      </x:c>
      <x:c r="D1417" s="14" t="str">
        <x:v>环线3路</x:v>
      </x:c>
      <x:c r="E1417" s="14" t="str">
        <x:v>第三班</x:v>
      </x:c>
      <x:c r="F1417" s="14" t="n">
        <x:v>1</x:v>
      </x:c>
      <x:c r="G1417" s="14" t="str">
        <x:v>7:55</x:v>
      </x:c>
      <x:c r="H1417" s="14" t="str">
        <x:v>研究生宿舍楼</x:v>
      </x:c>
      <x:c r="I1417" s="14" t="str">
        <x:v>否</x:v>
      </x:c>
      <x:c r="J1417" s="14" t="n">
        <x:v>6</x:v>
      </x:c>
      <x:c r="K1417" s="14" t="str">
        <x:v>激光所</x:v>
      </x:c>
      <x:c r="L1417" s="14" t="n">
        <x:v>7</x:v>
      </x:c>
      <x:c r="M1417" s="14" t="str">
        <x:v>08:02</x:v>
      </x:c>
      <x:c r="N1417" s="14" t="str">
        <x:v>否</x:v>
      </x:c>
      <x:c r="O1417" s="14" t="str">
        <x:v>否</x:v>
      </x:c>
      <x:c r="P1417" s="14" t="str">
        <x:v>刘晓燕</x:v>
      </x:c>
      <x:c r="Q1417" s="14" t="str">
        <x:v>4号车</x:v>
      </x:c>
      <x:c r="R1417" s="14" t="str">
        <x:v>预测</x:v>
      </x:c>
      <x:c r="S1417" s="14" t="str">
        <x:v>到站时间为估算值</x:v>
      </x:c>
      <x:c r="T1417" t="str">
        <x:v>研究生宿舍楼发车</x:v>
      </x:c>
    </x:row>
    <x:row r="1418">
      <x:c r="A1418" s="14" t="str">
        <x:v>S0122-07</x:v>
      </x:c>
      <x:c r="B1418" s="14" t="str">
        <x:v>S0122</x:v>
      </x:c>
      <x:c r="C1418" s="14" t="str">
        <x:v>工作日</x:v>
      </x:c>
      <x:c r="D1418" s="14" t="str">
        <x:v>环线3路</x:v>
      </x:c>
      <x:c r="E1418" s="14" t="str">
        <x:v>第三班</x:v>
      </x:c>
      <x:c r="F1418" s="14" t="n">
        <x:v>1</x:v>
      </x:c>
      <x:c r="G1418" s="14" t="str">
        <x:v>7:55</x:v>
      </x:c>
      <x:c r="H1418" s="14" t="str">
        <x:v>研究生宿舍楼</x:v>
      </x:c>
      <x:c r="I1418" s="14" t="str">
        <x:v>否</x:v>
      </x:c>
      <x:c r="J1418" s="14" t="n">
        <x:v>7</x:v>
      </x:c>
      <x:c r="K1418" s="14" t="str">
        <x:v>高超楼</x:v>
      </x:c>
      <x:c r="L1418" s="14" t="n">
        <x:v>9</x:v>
      </x:c>
      <x:c r="M1418" s="14" t="str">
        <x:v>08:04</x:v>
      </x:c>
      <x:c r="N1418" s="14" t="str">
        <x:v>否</x:v>
      </x:c>
      <x:c r="O1418" s="14" t="str">
        <x:v>否</x:v>
      </x:c>
      <x:c r="P1418" s="14" t="str">
        <x:v>刘晓燕</x:v>
      </x:c>
      <x:c r="Q1418" s="14" t="str">
        <x:v>4号车</x:v>
      </x:c>
      <x:c r="R1418" s="14" t="str">
        <x:v>预测</x:v>
      </x:c>
      <x:c r="S1418" s="14" t="str">
        <x:v>到站时间为估算值</x:v>
      </x:c>
      <x:c r="T1418" t="str">
        <x:v>研究生宿舍楼发车</x:v>
      </x:c>
    </x:row>
    <x:row r="1419">
      <x:c r="A1419" s="14" t="str">
        <x:v>S0122-08</x:v>
      </x:c>
      <x:c r="B1419" s="14" t="str">
        <x:v>S0122</x:v>
      </x:c>
      <x:c r="C1419" s="14" t="str">
        <x:v>工作日</x:v>
      </x:c>
      <x:c r="D1419" s="14" t="str">
        <x:v>环线3路</x:v>
      </x:c>
      <x:c r="E1419" s="14" t="str">
        <x:v>第三班</x:v>
      </x:c>
      <x:c r="F1419" s="14" t="n">
        <x:v>1</x:v>
      </x:c>
      <x:c r="G1419" s="14" t="str">
        <x:v>7:55</x:v>
      </x:c>
      <x:c r="H1419" s="14" t="str">
        <x:v>研究生宿舍楼</x:v>
      </x:c>
      <x:c r="I1419" s="14" t="str">
        <x:v>否</x:v>
      </x:c>
      <x:c r="J1419" s="14" t="n">
        <x:v>8</x:v>
      </x:c>
      <x:c r="K1419" s="14" t="str">
        <x:v>理学院</x:v>
      </x:c>
      <x:c r="L1419" s="14" t="n">
        <x:v>10</x:v>
      </x:c>
      <x:c r="M1419" s="14" t="str">
        <x:v>08:05</x:v>
      </x:c>
      <x:c r="N1419" s="14" t="str">
        <x:v>否</x:v>
      </x:c>
      <x:c r="O1419" s="14" t="str">
        <x:v>否</x:v>
      </x:c>
      <x:c r="P1419" s="14" t="str">
        <x:v>刘晓燕</x:v>
      </x:c>
      <x:c r="Q1419" s="14" t="str">
        <x:v>4号车</x:v>
      </x:c>
      <x:c r="R1419" s="14" t="str">
        <x:v>预测</x:v>
      </x:c>
      <x:c r="S1419" s="14" t="str">
        <x:v>到站时间为估算值</x:v>
      </x:c>
      <x:c r="T1419" t="str">
        <x:v>研究生宿舍楼发车</x:v>
      </x:c>
    </x:row>
    <x:row r="1420">
      <x:c r="A1420" s="14" t="str">
        <x:v>S0122-09</x:v>
      </x:c>
      <x:c r="B1420" s="14" t="str">
        <x:v>S0122</x:v>
      </x:c>
      <x:c r="C1420" s="14" t="str">
        <x:v>工作日</x:v>
      </x:c>
      <x:c r="D1420" s="14" t="str">
        <x:v>环线3路</x:v>
      </x:c>
      <x:c r="E1420" s="14" t="str">
        <x:v>第三班</x:v>
      </x:c>
      <x:c r="F1420" s="14" t="n">
        <x:v>1</x:v>
      </x:c>
      <x:c r="G1420" s="14" t="str">
        <x:v>7:55</x:v>
      </x:c>
      <x:c r="H1420" s="14" t="str">
        <x:v>研究生宿舍楼</x:v>
      </x:c>
      <x:c r="I1420" s="14" t="str">
        <x:v>否</x:v>
      </x:c>
      <x:c r="J1420" s="14" t="n">
        <x:v>9</x:v>
      </x:c>
      <x:c r="K1420" s="14" t="str">
        <x:v>二食堂</x:v>
      </x:c>
      <x:c r="L1420" s="14" t="n">
        <x:v>13</x:v>
      </x:c>
      <x:c r="M1420" s="14" t="str">
        <x:v>08:08</x:v>
      </x:c>
      <x:c r="N1420" s="14" t="str">
        <x:v>否</x:v>
      </x:c>
      <x:c r="O1420" s="14" t="str">
        <x:v>否</x:v>
      </x:c>
      <x:c r="P1420" s="14" t="str">
        <x:v>刘晓燕</x:v>
      </x:c>
      <x:c r="Q1420" s="14" t="str">
        <x:v>4号车</x:v>
      </x:c>
      <x:c r="R1420" s="14" t="str">
        <x:v>预测</x:v>
      </x:c>
      <x:c r="S1420" s="14" t="str">
        <x:v>到站时间为估算值</x:v>
      </x:c>
      <x:c r="T1420" t="str">
        <x:v>研究生宿舍楼发车</x:v>
      </x:c>
    </x:row>
    <x:row r="1421">
      <x:c r="A1421" s="14" t="str">
        <x:v>S0122-10</x:v>
      </x:c>
      <x:c r="B1421" s="14" t="str">
        <x:v>S0122</x:v>
      </x:c>
      <x:c r="C1421" s="14" t="str">
        <x:v>工作日</x:v>
      </x:c>
      <x:c r="D1421" s="14" t="str">
        <x:v>环线3路</x:v>
      </x:c>
      <x:c r="E1421" s="14" t="str">
        <x:v>第三班</x:v>
      </x:c>
      <x:c r="F1421" s="14" t="n">
        <x:v>1</x:v>
      </x:c>
      <x:c r="G1421" s="14" t="str">
        <x:v>7:55</x:v>
      </x:c>
      <x:c r="H1421" s="14" t="str">
        <x:v>研究生宿舍楼</x:v>
      </x:c>
      <x:c r="I1421" s="14" t="str">
        <x:v>否</x:v>
      </x:c>
      <x:c r="J1421" s="14" t="n">
        <x:v>10</x:v>
      </x:c>
      <x:c r="K1421" s="14" t="str">
        <x:v>图书馆</x:v>
      </x:c>
      <x:c r="L1421" s="14" t="n">
        <x:v>14</x:v>
      </x:c>
      <x:c r="M1421" s="14" t="str">
        <x:v>08:09</x:v>
      </x:c>
      <x:c r="N1421" s="14" t="str">
        <x:v>否</x:v>
      </x:c>
      <x:c r="O1421" s="14" t="str">
        <x:v>否</x:v>
      </x:c>
      <x:c r="P1421" s="14" t="str">
        <x:v>刘晓燕</x:v>
      </x:c>
      <x:c r="Q1421" s="14" t="str">
        <x:v>4号车</x:v>
      </x:c>
      <x:c r="R1421" s="14" t="str">
        <x:v>预测</x:v>
      </x:c>
      <x:c r="S1421" s="14" t="str">
        <x:v>到站时间为估算值</x:v>
      </x:c>
      <x:c r="T1421" t="str">
        <x:v>研究生宿舍楼发车</x:v>
      </x:c>
    </x:row>
    <x:row r="1422">
      <x:c r="A1422" s="14" t="str">
        <x:v>S0122-11</x:v>
      </x:c>
      <x:c r="B1422" s="14" t="str">
        <x:v>S0122</x:v>
      </x:c>
      <x:c r="C1422" s="14" t="str">
        <x:v>工作日</x:v>
      </x:c>
      <x:c r="D1422" s="14" t="str">
        <x:v>环线3路</x:v>
      </x:c>
      <x:c r="E1422" s="14" t="str">
        <x:v>第三班</x:v>
      </x:c>
      <x:c r="F1422" s="14" t="n">
        <x:v>1</x:v>
      </x:c>
      <x:c r="G1422" s="14" t="str">
        <x:v>7:55</x:v>
      </x:c>
      <x:c r="H1422" s="14" t="str">
        <x:v>研究生宿舍楼</x:v>
      </x:c>
      <x:c r="I1422" s="14" t="str">
        <x:v>否</x:v>
      </x:c>
      <x:c r="J1422" s="14" t="n">
        <x:v>11</x:v>
      </x:c>
      <x:c r="K1422" s="14" t="str">
        <x:v>305教学楼</x:v>
      </x:c>
      <x:c r="L1422" s="14" t="n">
        <x:v>16</x:v>
      </x:c>
      <x:c r="M1422" s="14" t="str">
        <x:v>08:11</x:v>
      </x:c>
      <x:c r="N1422" s="14" t="str">
        <x:v>否</x:v>
      </x:c>
      <x:c r="O1422" s="14" t="str">
        <x:v>否</x:v>
      </x:c>
      <x:c r="P1422" s="14" t="str">
        <x:v>刘晓燕</x:v>
      </x:c>
      <x:c r="Q1422" s="14" t="str">
        <x:v>4号车</x:v>
      </x:c>
      <x:c r="R1422" s="14" t="str">
        <x:v>预测</x:v>
      </x:c>
      <x:c r="S1422" s="14" t="str">
        <x:v>到站时间为估算值</x:v>
      </x:c>
      <x:c r="T1422" t="str">
        <x:v>研究生宿舍楼发车</x:v>
      </x:c>
    </x:row>
    <x:row r="1423">
      <x:c r="A1423" s="14" t="str">
        <x:v>S0122-12</x:v>
      </x:c>
      <x:c r="B1423" s="14" t="str">
        <x:v>S0122</x:v>
      </x:c>
      <x:c r="C1423" s="14" t="str">
        <x:v>工作日</x:v>
      </x:c>
      <x:c r="D1423" s="14" t="str">
        <x:v>环线3路</x:v>
      </x:c>
      <x:c r="E1423" s="14" t="str">
        <x:v>第三班</x:v>
      </x:c>
      <x:c r="F1423" s="14" t="n">
        <x:v>1</x:v>
      </x:c>
      <x:c r="G1423" s="14" t="str">
        <x:v>7:55</x:v>
      </x:c>
      <x:c r="H1423" s="14" t="str">
        <x:v>研究生宿舍楼</x:v>
      </x:c>
      <x:c r="I1423" s="14" t="str">
        <x:v>否</x:v>
      </x:c>
      <x:c r="J1423" s="14" t="n">
        <x:v>12</x:v>
      </x:c>
      <x:c r="K1423" s="14" t="str">
        <x:v>研究生宿舍楼</x:v>
      </x:c>
      <x:c r="L1423" s="14" t="n">
        <x:v>18</x:v>
      </x:c>
      <x:c r="M1423" s="14" t="str">
        <x:v>08:13</x:v>
      </x:c>
      <x:c r="N1423" s="14" t="str">
        <x:v>否</x:v>
      </x:c>
      <x:c r="O1423" s="14" t="str">
        <x:v>是</x:v>
      </x:c>
      <x:c r="P1423" s="14" t="str">
        <x:v>刘晓燕</x:v>
      </x:c>
      <x:c r="Q1423" s="14" t="str">
        <x:v>4号车</x:v>
      </x:c>
      <x:c r="R1423" s="14" t="str">
        <x:v>预测</x:v>
      </x:c>
      <x:c r="S1423" s="14" t="str">
        <x:v>到站时间为估算值</x:v>
      </x:c>
      <x:c r="T1423" t="str">
        <x:v>研究生宿舍楼发车</x:v>
      </x:c>
    </x:row>
    <x:row r="1424">
      <x:c r="A1424" s="14" t="str">
        <x:v>S0123-01</x:v>
      </x:c>
      <x:c r="B1424" s="14" t="str">
        <x:v>S0123</x:v>
      </x:c>
      <x:c r="C1424" s="14" t="str">
        <x:v>工作日</x:v>
      </x:c>
      <x:c r="D1424" s="14" t="str">
        <x:v>环线3路</x:v>
      </x:c>
      <x:c r="E1424" s="14" t="str">
        <x:v>第三班</x:v>
      </x:c>
      <x:c r="F1424" s="14" t="n">
        <x:v>2</x:v>
      </x:c>
      <x:c r="G1424" s="14" t="str">
        <x:v>8:25</x:v>
      </x:c>
      <x:c r="H1424" s="14" t="str">
        <x:v>研究生宿舍楼</x:v>
      </x:c>
      <x:c r="I1424" s="14" t="str">
        <x:v>否</x:v>
      </x:c>
      <x:c r="J1424" s="14" t="n">
        <x:v>1</x:v>
      </x:c>
      <x:c r="K1424" s="14" t="str">
        <x:v>研究生宿舍楼</x:v>
      </x:c>
      <x:c r="L1424" s="14" t="n">
        <x:v>0</x:v>
      </x:c>
      <x:c r="M1424" s="14" t="str">
        <x:v>08:25</x:v>
      </x:c>
      <x:c r="N1424" s="14" t="str">
        <x:v>是</x:v>
      </x:c>
      <x:c r="O1424" s="14" t="str">
        <x:v>否</x:v>
      </x:c>
      <x:c r="P1424" s="14" t="str">
        <x:v>刘晓燕</x:v>
      </x:c>
      <x:c r="Q1424" s="14" t="str">
        <x:v>4号车</x:v>
      </x:c>
      <x:c r="R1424" s="14" t="str">
        <x:v>预测</x:v>
      </x:c>
      <x:c r="S1424" s="14" t="str">
        <x:v>到站时间为估算值</x:v>
      </x:c>
      <x:c r="T1424" t="str">
        <x:v>研究生宿舍楼发车</x:v>
      </x:c>
    </x:row>
    <x:row r="1425">
      <x:c r="A1425" s="14" t="str">
        <x:v>S0123-02</x:v>
      </x:c>
      <x:c r="B1425" s="14" t="str">
        <x:v>S0123</x:v>
      </x:c>
      <x:c r="C1425" s="14" t="str">
        <x:v>工作日</x:v>
      </x:c>
      <x:c r="D1425" s="14" t="str">
        <x:v>环线3路</x:v>
      </x:c>
      <x:c r="E1425" s="14" t="str">
        <x:v>第三班</x:v>
      </x:c>
      <x:c r="F1425" s="14" t="n">
        <x:v>2</x:v>
      </x:c>
      <x:c r="G1425" s="14" t="str">
        <x:v>8:25</x:v>
      </x:c>
      <x:c r="H1425" s="14" t="str">
        <x:v>研究生宿舍楼</x:v>
      </x:c>
      <x:c r="I1425" s="14" t="str">
        <x:v>否</x:v>
      </x:c>
      <x:c r="J1425" s="14" t="n">
        <x:v>2</x:v>
      </x:c>
      <x:c r="K1425" s="14" t="str">
        <x:v>一食堂</x:v>
      </x:c>
      <x:c r="L1425" s="14" t="n">
        <x:v>1</x:v>
      </x:c>
      <x:c r="M1425" s="14" t="str">
        <x:v>08:26</x:v>
      </x:c>
      <x:c r="N1425" s="14" t="str">
        <x:v>否</x:v>
      </x:c>
      <x:c r="O1425" s="14" t="str">
        <x:v>否</x:v>
      </x:c>
      <x:c r="P1425" s="14" t="str">
        <x:v>刘晓燕</x:v>
      </x:c>
      <x:c r="Q1425" s="14" t="str">
        <x:v>4号车</x:v>
      </x:c>
      <x:c r="R1425" s="14" t="str">
        <x:v>预测</x:v>
      </x:c>
      <x:c r="S1425" s="14" t="str">
        <x:v>到站时间为估算值</x:v>
      </x:c>
      <x:c r="T1425" t="str">
        <x:v>研究生宿舍楼发车</x:v>
      </x:c>
    </x:row>
    <x:row r="1426">
      <x:c r="A1426" s="14" t="str">
        <x:v>S0123-03</x:v>
      </x:c>
      <x:c r="B1426" s="14" t="str">
        <x:v>S0123</x:v>
      </x:c>
      <x:c r="C1426" s="14" t="str">
        <x:v>工作日</x:v>
      </x:c>
      <x:c r="D1426" s="14" t="str">
        <x:v>环线3路</x:v>
      </x:c>
      <x:c r="E1426" s="14" t="str">
        <x:v>第三班</x:v>
      </x:c>
      <x:c r="F1426" s="14" t="n">
        <x:v>2</x:v>
      </x:c>
      <x:c r="G1426" s="14" t="str">
        <x:v>8:25</x:v>
      </x:c>
      <x:c r="H1426" s="14" t="str">
        <x:v>研究生宿舍楼</x:v>
      </x:c>
      <x:c r="I1426" s="14" t="str">
        <x:v>否</x:v>
      </x:c>
      <x:c r="J1426" s="14" t="n">
        <x:v>3</x:v>
      </x:c>
      <x:c r="K1426" s="14" t="str">
        <x:v>2号宿舍楼</x:v>
      </x:c>
      <x:c r="L1426" s="14" t="n">
        <x:v>3</x:v>
      </x:c>
      <x:c r="M1426" s="14" t="str">
        <x:v>08:28</x:v>
      </x:c>
      <x:c r="N1426" s="14" t="str">
        <x:v>否</x:v>
      </x:c>
      <x:c r="O1426" s="14" t="str">
        <x:v>否</x:v>
      </x:c>
      <x:c r="P1426" s="14" t="str">
        <x:v>刘晓燕</x:v>
      </x:c>
      <x:c r="Q1426" s="14" t="str">
        <x:v>4号车</x:v>
      </x:c>
      <x:c r="R1426" s="14" t="str">
        <x:v>预测</x:v>
      </x:c>
      <x:c r="S1426" s="14" t="str">
        <x:v>到站时间为估算值</x:v>
      </x:c>
      <x:c r="T1426" t="str">
        <x:v>研究生宿舍楼发车</x:v>
      </x:c>
    </x:row>
    <x:row r="1427">
      <x:c r="A1427" s="14" t="str">
        <x:v>S0123-04</x:v>
      </x:c>
      <x:c r="B1427" s="14" t="str">
        <x:v>S0123</x:v>
      </x:c>
      <x:c r="C1427" s="14" t="str">
        <x:v>工作日</x:v>
      </x:c>
      <x:c r="D1427" s="14" t="str">
        <x:v>环线3路</x:v>
      </x:c>
      <x:c r="E1427" s="14" t="str">
        <x:v>第三班</x:v>
      </x:c>
      <x:c r="F1427" s="14" t="n">
        <x:v>2</x:v>
      </x:c>
      <x:c r="G1427" s="14" t="str">
        <x:v>8:25</x:v>
      </x:c>
      <x:c r="H1427" s="14" t="str">
        <x:v>研究生宿舍楼</x:v>
      </x:c>
      <x:c r="I1427" s="14" t="str">
        <x:v>否</x:v>
      </x:c>
      <x:c r="J1427" s="14" t="n">
        <x:v>4</x:v>
      </x:c>
      <x:c r="K1427" s="14" t="str">
        <x:v>军体活动中心</x:v>
      </x:c>
      <x:c r="L1427" s="14" t="n">
        <x:v>4</x:v>
      </x:c>
      <x:c r="M1427" s="14" t="str">
        <x:v>08:29</x:v>
      </x:c>
      <x:c r="N1427" s="14" t="str">
        <x:v>否</x:v>
      </x:c>
      <x:c r="O1427" s="14" t="str">
        <x:v>否</x:v>
      </x:c>
      <x:c r="P1427" s="14" t="str">
        <x:v>刘晓燕</x:v>
      </x:c>
      <x:c r="Q1427" s="14" t="str">
        <x:v>4号车</x:v>
      </x:c>
      <x:c r="R1427" s="14" t="str">
        <x:v>预测</x:v>
      </x:c>
      <x:c r="S1427" s="14" t="str">
        <x:v>到站时间为估算值</x:v>
      </x:c>
      <x:c r="T1427" t="str">
        <x:v>研究生宿舍楼发车</x:v>
      </x:c>
    </x:row>
    <x:row r="1428">
      <x:c r="A1428" s="14" t="str">
        <x:v>S0123-05</x:v>
      </x:c>
      <x:c r="B1428" s="14" t="str">
        <x:v>S0123</x:v>
      </x:c>
      <x:c r="C1428" s="14" t="str">
        <x:v>工作日</x:v>
      </x:c>
      <x:c r="D1428" s="14" t="str">
        <x:v>环线3路</x:v>
      </x:c>
      <x:c r="E1428" s="14" t="str">
        <x:v>第三班</x:v>
      </x:c>
      <x:c r="F1428" s="14" t="n">
        <x:v>2</x:v>
      </x:c>
      <x:c r="G1428" s="14" t="str">
        <x:v>8:25</x:v>
      </x:c>
      <x:c r="H1428" s="14" t="str">
        <x:v>研究生宿舍楼</x:v>
      </x:c>
      <x:c r="I1428" s="14" t="str">
        <x:v>否</x:v>
      </x:c>
      <x:c r="J1428" s="14" t="n">
        <x:v>5</x:v>
      </x:c>
      <x:c r="K1428" s="14" t="str">
        <x:v>教勤连</x:v>
      </x:c>
      <x:c r="L1428" s="14" t="n">
        <x:v>6</x:v>
      </x:c>
      <x:c r="M1428" s="14" t="str">
        <x:v>08:31</x:v>
      </x:c>
      <x:c r="N1428" s="14" t="str">
        <x:v>否</x:v>
      </x:c>
      <x:c r="O1428" s="14" t="str">
        <x:v>否</x:v>
      </x:c>
      <x:c r="P1428" s="14" t="str">
        <x:v>刘晓燕</x:v>
      </x:c>
      <x:c r="Q1428" s="14" t="str">
        <x:v>4号车</x:v>
      </x:c>
      <x:c r="R1428" s="14" t="str">
        <x:v>预测</x:v>
      </x:c>
      <x:c r="S1428" s="14" t="str">
        <x:v>到站时间为估算值</x:v>
      </x:c>
      <x:c r="T1428" t="str">
        <x:v>研究生宿舍楼发车</x:v>
      </x:c>
    </x:row>
    <x:row r="1429">
      <x:c r="A1429" s="14" t="str">
        <x:v>S0123-06</x:v>
      </x:c>
      <x:c r="B1429" s="14" t="str">
        <x:v>S0123</x:v>
      </x:c>
      <x:c r="C1429" s="14" t="str">
        <x:v>工作日</x:v>
      </x:c>
      <x:c r="D1429" s="14" t="str">
        <x:v>环线3路</x:v>
      </x:c>
      <x:c r="E1429" s="14" t="str">
        <x:v>第三班</x:v>
      </x:c>
      <x:c r="F1429" s="14" t="n">
        <x:v>2</x:v>
      </x:c>
      <x:c r="G1429" s="14" t="str">
        <x:v>8:25</x:v>
      </x:c>
      <x:c r="H1429" s="14" t="str">
        <x:v>研究生宿舍楼</x:v>
      </x:c>
      <x:c r="I1429" s="14" t="str">
        <x:v>否</x:v>
      </x:c>
      <x:c r="J1429" s="14" t="n">
        <x:v>6</x:v>
      </x:c>
      <x:c r="K1429" s="14" t="str">
        <x:v>激光所</x:v>
      </x:c>
      <x:c r="L1429" s="14" t="n">
        <x:v>7</x:v>
      </x:c>
      <x:c r="M1429" s="14" t="str">
        <x:v>08:32</x:v>
      </x:c>
      <x:c r="N1429" s="14" t="str">
        <x:v>否</x:v>
      </x:c>
      <x:c r="O1429" s="14" t="str">
        <x:v>否</x:v>
      </x:c>
      <x:c r="P1429" s="14" t="str">
        <x:v>刘晓燕</x:v>
      </x:c>
      <x:c r="Q1429" s="14" t="str">
        <x:v>4号车</x:v>
      </x:c>
      <x:c r="R1429" s="14" t="str">
        <x:v>预测</x:v>
      </x:c>
      <x:c r="S1429" s="14" t="str">
        <x:v>到站时间为估算值</x:v>
      </x:c>
      <x:c r="T1429" t="str">
        <x:v>研究生宿舍楼发车</x:v>
      </x:c>
    </x:row>
    <x:row r="1430">
      <x:c r="A1430" s="14" t="str">
        <x:v>S0123-07</x:v>
      </x:c>
      <x:c r="B1430" s="14" t="str">
        <x:v>S0123</x:v>
      </x:c>
      <x:c r="C1430" s="14" t="str">
        <x:v>工作日</x:v>
      </x:c>
      <x:c r="D1430" s="14" t="str">
        <x:v>环线3路</x:v>
      </x:c>
      <x:c r="E1430" s="14" t="str">
        <x:v>第三班</x:v>
      </x:c>
      <x:c r="F1430" s="14" t="n">
        <x:v>2</x:v>
      </x:c>
      <x:c r="G1430" s="14" t="str">
        <x:v>8:25</x:v>
      </x:c>
      <x:c r="H1430" s="14" t="str">
        <x:v>研究生宿舍楼</x:v>
      </x:c>
      <x:c r="I1430" s="14" t="str">
        <x:v>否</x:v>
      </x:c>
      <x:c r="J1430" s="14" t="n">
        <x:v>7</x:v>
      </x:c>
      <x:c r="K1430" s="14" t="str">
        <x:v>高超楼</x:v>
      </x:c>
      <x:c r="L1430" s="14" t="n">
        <x:v>9</x:v>
      </x:c>
      <x:c r="M1430" s="14" t="str">
        <x:v>08:34</x:v>
      </x:c>
      <x:c r="N1430" s="14" t="str">
        <x:v>否</x:v>
      </x:c>
      <x:c r="O1430" s="14" t="str">
        <x:v>否</x:v>
      </x:c>
      <x:c r="P1430" s="14" t="str">
        <x:v>刘晓燕</x:v>
      </x:c>
      <x:c r="Q1430" s="14" t="str">
        <x:v>4号车</x:v>
      </x:c>
      <x:c r="R1430" s="14" t="str">
        <x:v>预测</x:v>
      </x:c>
      <x:c r="S1430" s="14" t="str">
        <x:v>到站时间为估算值</x:v>
      </x:c>
      <x:c r="T1430" t="str">
        <x:v>研究生宿舍楼发车</x:v>
      </x:c>
    </x:row>
    <x:row r="1431">
      <x:c r="A1431" s="14" t="str">
        <x:v>S0123-08</x:v>
      </x:c>
      <x:c r="B1431" s="14" t="str">
        <x:v>S0123</x:v>
      </x:c>
      <x:c r="C1431" s="14" t="str">
        <x:v>工作日</x:v>
      </x:c>
      <x:c r="D1431" s="14" t="str">
        <x:v>环线3路</x:v>
      </x:c>
      <x:c r="E1431" s="14" t="str">
        <x:v>第三班</x:v>
      </x:c>
      <x:c r="F1431" s="14" t="n">
        <x:v>2</x:v>
      </x:c>
      <x:c r="G1431" s="14" t="str">
        <x:v>8:25</x:v>
      </x:c>
      <x:c r="H1431" s="14" t="str">
        <x:v>研究生宿舍楼</x:v>
      </x:c>
      <x:c r="I1431" s="14" t="str">
        <x:v>否</x:v>
      </x:c>
      <x:c r="J1431" s="14" t="n">
        <x:v>8</x:v>
      </x:c>
      <x:c r="K1431" s="14" t="str">
        <x:v>理学院</x:v>
      </x:c>
      <x:c r="L1431" s="14" t="n">
        <x:v>10</x:v>
      </x:c>
      <x:c r="M1431" s="14" t="str">
        <x:v>08:35</x:v>
      </x:c>
      <x:c r="N1431" s="14" t="str">
        <x:v>否</x:v>
      </x:c>
      <x:c r="O1431" s="14" t="str">
        <x:v>否</x:v>
      </x:c>
      <x:c r="P1431" s="14" t="str">
        <x:v>刘晓燕</x:v>
      </x:c>
      <x:c r="Q1431" s="14" t="str">
        <x:v>4号车</x:v>
      </x:c>
      <x:c r="R1431" s="14" t="str">
        <x:v>预测</x:v>
      </x:c>
      <x:c r="S1431" s="14" t="str">
        <x:v>到站时间为估算值</x:v>
      </x:c>
      <x:c r="T1431" t="str">
        <x:v>研究生宿舍楼发车</x:v>
      </x:c>
    </x:row>
    <x:row r="1432">
      <x:c r="A1432" s="14" t="str">
        <x:v>S0123-09</x:v>
      </x:c>
      <x:c r="B1432" s="14" t="str">
        <x:v>S0123</x:v>
      </x:c>
      <x:c r="C1432" s="14" t="str">
        <x:v>工作日</x:v>
      </x:c>
      <x:c r="D1432" s="14" t="str">
        <x:v>环线3路</x:v>
      </x:c>
      <x:c r="E1432" s="14" t="str">
        <x:v>第三班</x:v>
      </x:c>
      <x:c r="F1432" s="14" t="n">
        <x:v>2</x:v>
      </x:c>
      <x:c r="G1432" s="14" t="str">
        <x:v>8:25</x:v>
      </x:c>
      <x:c r="H1432" s="14" t="str">
        <x:v>研究生宿舍楼</x:v>
      </x:c>
      <x:c r="I1432" s="14" t="str">
        <x:v>否</x:v>
      </x:c>
      <x:c r="J1432" s="14" t="n">
        <x:v>9</x:v>
      </x:c>
      <x:c r="K1432" s="14" t="str">
        <x:v>二食堂</x:v>
      </x:c>
      <x:c r="L1432" s="14" t="n">
        <x:v>13</x:v>
      </x:c>
      <x:c r="M1432" s="14" t="str">
        <x:v>08:38</x:v>
      </x:c>
      <x:c r="N1432" s="14" t="str">
        <x:v>否</x:v>
      </x:c>
      <x:c r="O1432" s="14" t="str">
        <x:v>否</x:v>
      </x:c>
      <x:c r="P1432" s="14" t="str">
        <x:v>刘晓燕</x:v>
      </x:c>
      <x:c r="Q1432" s="14" t="str">
        <x:v>4号车</x:v>
      </x:c>
      <x:c r="R1432" s="14" t="str">
        <x:v>预测</x:v>
      </x:c>
      <x:c r="S1432" s="14" t="str">
        <x:v>到站时间为估算值</x:v>
      </x:c>
      <x:c r="T1432" t="str">
        <x:v>研究生宿舍楼发车</x:v>
      </x:c>
    </x:row>
    <x:row r="1433">
      <x:c r="A1433" s="14" t="str">
        <x:v>S0123-10</x:v>
      </x:c>
      <x:c r="B1433" s="14" t="str">
        <x:v>S0123</x:v>
      </x:c>
      <x:c r="C1433" s="14" t="str">
        <x:v>工作日</x:v>
      </x:c>
      <x:c r="D1433" s="14" t="str">
        <x:v>环线3路</x:v>
      </x:c>
      <x:c r="E1433" s="14" t="str">
        <x:v>第三班</x:v>
      </x:c>
      <x:c r="F1433" s="14" t="n">
        <x:v>2</x:v>
      </x:c>
      <x:c r="G1433" s="14" t="str">
        <x:v>8:25</x:v>
      </x:c>
      <x:c r="H1433" s="14" t="str">
        <x:v>研究生宿舍楼</x:v>
      </x:c>
      <x:c r="I1433" s="14" t="str">
        <x:v>否</x:v>
      </x:c>
      <x:c r="J1433" s="14" t="n">
        <x:v>10</x:v>
      </x:c>
      <x:c r="K1433" s="14" t="str">
        <x:v>图书馆</x:v>
      </x:c>
      <x:c r="L1433" s="14" t="n">
        <x:v>14</x:v>
      </x:c>
      <x:c r="M1433" s="14" t="str">
        <x:v>08:39</x:v>
      </x:c>
      <x:c r="N1433" s="14" t="str">
        <x:v>否</x:v>
      </x:c>
      <x:c r="O1433" s="14" t="str">
        <x:v>否</x:v>
      </x:c>
      <x:c r="P1433" s="14" t="str">
        <x:v>刘晓燕</x:v>
      </x:c>
      <x:c r="Q1433" s="14" t="str">
        <x:v>4号车</x:v>
      </x:c>
      <x:c r="R1433" s="14" t="str">
        <x:v>预测</x:v>
      </x:c>
      <x:c r="S1433" s="14" t="str">
        <x:v>到站时间为估算值</x:v>
      </x:c>
      <x:c r="T1433" t="str">
        <x:v>研究生宿舍楼发车</x:v>
      </x:c>
    </x:row>
    <x:row r="1434">
      <x:c r="A1434" s="14" t="str">
        <x:v>S0123-11</x:v>
      </x:c>
      <x:c r="B1434" s="14" t="str">
        <x:v>S0123</x:v>
      </x:c>
      <x:c r="C1434" s="14" t="str">
        <x:v>工作日</x:v>
      </x:c>
      <x:c r="D1434" s="14" t="str">
        <x:v>环线3路</x:v>
      </x:c>
      <x:c r="E1434" s="14" t="str">
        <x:v>第三班</x:v>
      </x:c>
      <x:c r="F1434" s="14" t="n">
        <x:v>2</x:v>
      </x:c>
      <x:c r="G1434" s="14" t="str">
        <x:v>8:25</x:v>
      </x:c>
      <x:c r="H1434" s="14" t="str">
        <x:v>研究生宿舍楼</x:v>
      </x:c>
      <x:c r="I1434" s="14" t="str">
        <x:v>否</x:v>
      </x:c>
      <x:c r="J1434" s="14" t="n">
        <x:v>11</x:v>
      </x:c>
      <x:c r="K1434" s="14" t="str">
        <x:v>305教学楼</x:v>
      </x:c>
      <x:c r="L1434" s="14" t="n">
        <x:v>16</x:v>
      </x:c>
      <x:c r="M1434" s="14" t="str">
        <x:v>08:41</x:v>
      </x:c>
      <x:c r="N1434" s="14" t="str">
        <x:v>否</x:v>
      </x:c>
      <x:c r="O1434" s="14" t="str">
        <x:v>否</x:v>
      </x:c>
      <x:c r="P1434" s="14" t="str">
        <x:v>刘晓燕</x:v>
      </x:c>
      <x:c r="Q1434" s="14" t="str">
        <x:v>4号车</x:v>
      </x:c>
      <x:c r="R1434" s="14" t="str">
        <x:v>预测</x:v>
      </x:c>
      <x:c r="S1434" s="14" t="str">
        <x:v>到站时间为估算值</x:v>
      </x:c>
      <x:c r="T1434" t="str">
        <x:v>研究生宿舍楼发车</x:v>
      </x:c>
    </x:row>
    <x:row r="1435">
      <x:c r="A1435" s="14" t="str">
        <x:v>S0123-12</x:v>
      </x:c>
      <x:c r="B1435" s="14" t="str">
        <x:v>S0123</x:v>
      </x:c>
      <x:c r="C1435" s="14" t="str">
        <x:v>工作日</x:v>
      </x:c>
      <x:c r="D1435" s="14" t="str">
        <x:v>环线3路</x:v>
      </x:c>
      <x:c r="E1435" s="14" t="str">
        <x:v>第三班</x:v>
      </x:c>
      <x:c r="F1435" s="14" t="n">
        <x:v>2</x:v>
      </x:c>
      <x:c r="G1435" s="14" t="str">
        <x:v>8:25</x:v>
      </x:c>
      <x:c r="H1435" s="14" t="str">
        <x:v>研究生宿舍楼</x:v>
      </x:c>
      <x:c r="I1435" s="14" t="str">
        <x:v>否</x:v>
      </x:c>
      <x:c r="J1435" s="14" t="n">
        <x:v>12</x:v>
      </x:c>
      <x:c r="K1435" s="14" t="str">
        <x:v>研究生宿舍楼</x:v>
      </x:c>
      <x:c r="L1435" s="14" t="n">
        <x:v>18</x:v>
      </x:c>
      <x:c r="M1435" s="14" t="str">
        <x:v>08:43</x:v>
      </x:c>
      <x:c r="N1435" s="14" t="str">
        <x:v>否</x:v>
      </x:c>
      <x:c r="O1435" s="14" t="str">
        <x:v>是</x:v>
      </x:c>
      <x:c r="P1435" s="14" t="str">
        <x:v>刘晓燕</x:v>
      </x:c>
      <x:c r="Q1435" s="14" t="str">
        <x:v>4号车</x:v>
      </x:c>
      <x:c r="R1435" s="14" t="str">
        <x:v>预测</x:v>
      </x:c>
      <x:c r="S1435" s="14" t="str">
        <x:v>到站时间为估算值</x:v>
      </x:c>
      <x:c r="T1435" t="str">
        <x:v>研究生宿舍楼发车</x:v>
      </x:c>
    </x:row>
    <x:row r="1436">
      <x:c r="A1436" s="14" t="str">
        <x:v>S0124-01</x:v>
      </x:c>
      <x:c r="B1436" s="14" t="str">
        <x:v>S0124</x:v>
      </x:c>
      <x:c r="C1436" s="14" t="str">
        <x:v>工作日</x:v>
      </x:c>
      <x:c r="D1436" s="14" t="str">
        <x:v>环线3路</x:v>
      </x:c>
      <x:c r="E1436" s="14" t="str">
        <x:v>第三班</x:v>
      </x:c>
      <x:c r="F1436" s="14" t="n">
        <x:v>3</x:v>
      </x:c>
      <x:c r="G1436" s="14" t="str">
        <x:v>8:55</x:v>
      </x:c>
      <x:c r="H1436" s="14" t="str">
        <x:v>研究生宿舍楼</x:v>
      </x:c>
      <x:c r="I1436" s="14" t="str">
        <x:v>否</x:v>
      </x:c>
      <x:c r="J1436" s="14" t="n">
        <x:v>1</x:v>
      </x:c>
      <x:c r="K1436" s="14" t="str">
        <x:v>研究生宿舍楼</x:v>
      </x:c>
      <x:c r="L1436" s="14" t="n">
        <x:v>0</x:v>
      </x:c>
      <x:c r="M1436" s="14" t="str">
        <x:v>08:55</x:v>
      </x:c>
      <x:c r="N1436" s="14" t="str">
        <x:v>是</x:v>
      </x:c>
      <x:c r="O1436" s="14" t="str">
        <x:v>否</x:v>
      </x:c>
      <x:c r="P1436" s="14" t="str">
        <x:v>刘晓燕</x:v>
      </x:c>
      <x:c r="Q1436" s="14" t="str">
        <x:v>4号车</x:v>
      </x:c>
      <x:c r="R1436" s="14" t="str">
        <x:v>预测</x:v>
      </x:c>
      <x:c r="S1436" s="14" t="str">
        <x:v>到站时间为估算值</x:v>
      </x:c>
      <x:c r="T1436" t="str">
        <x:v>研究生宿舍楼发车</x:v>
      </x:c>
    </x:row>
    <x:row r="1437">
      <x:c r="A1437" s="14" t="str">
        <x:v>S0124-02</x:v>
      </x:c>
      <x:c r="B1437" s="14" t="str">
        <x:v>S0124</x:v>
      </x:c>
      <x:c r="C1437" s="14" t="str">
        <x:v>工作日</x:v>
      </x:c>
      <x:c r="D1437" s="14" t="str">
        <x:v>环线3路</x:v>
      </x:c>
      <x:c r="E1437" s="14" t="str">
        <x:v>第三班</x:v>
      </x:c>
      <x:c r="F1437" s="14" t="n">
        <x:v>3</x:v>
      </x:c>
      <x:c r="G1437" s="14" t="str">
        <x:v>8:55</x:v>
      </x:c>
      <x:c r="H1437" s="14" t="str">
        <x:v>研究生宿舍楼</x:v>
      </x:c>
      <x:c r="I1437" s="14" t="str">
        <x:v>否</x:v>
      </x:c>
      <x:c r="J1437" s="14" t="n">
        <x:v>2</x:v>
      </x:c>
      <x:c r="K1437" s="14" t="str">
        <x:v>一食堂</x:v>
      </x:c>
      <x:c r="L1437" s="14" t="n">
        <x:v>1</x:v>
      </x:c>
      <x:c r="M1437" s="14" t="str">
        <x:v>08:56</x:v>
      </x:c>
      <x:c r="N1437" s="14" t="str">
        <x:v>否</x:v>
      </x:c>
      <x:c r="O1437" s="14" t="str">
        <x:v>否</x:v>
      </x:c>
      <x:c r="P1437" s="14" t="str">
        <x:v>刘晓燕</x:v>
      </x:c>
      <x:c r="Q1437" s="14" t="str">
        <x:v>4号车</x:v>
      </x:c>
      <x:c r="R1437" s="14" t="str">
        <x:v>预测</x:v>
      </x:c>
      <x:c r="S1437" s="14" t="str">
        <x:v>到站时间为估算值</x:v>
      </x:c>
      <x:c r="T1437" t="str">
        <x:v>研究生宿舍楼发车</x:v>
      </x:c>
    </x:row>
    <x:row r="1438">
      <x:c r="A1438" s="14" t="str">
        <x:v>S0124-03</x:v>
      </x:c>
      <x:c r="B1438" s="14" t="str">
        <x:v>S0124</x:v>
      </x:c>
      <x:c r="C1438" s="14" t="str">
        <x:v>工作日</x:v>
      </x:c>
      <x:c r="D1438" s="14" t="str">
        <x:v>环线3路</x:v>
      </x:c>
      <x:c r="E1438" s="14" t="str">
        <x:v>第三班</x:v>
      </x:c>
      <x:c r="F1438" s="14" t="n">
        <x:v>3</x:v>
      </x:c>
      <x:c r="G1438" s="14" t="str">
        <x:v>8:55</x:v>
      </x:c>
      <x:c r="H1438" s="14" t="str">
        <x:v>研究生宿舍楼</x:v>
      </x:c>
      <x:c r="I1438" s="14" t="str">
        <x:v>否</x:v>
      </x:c>
      <x:c r="J1438" s="14" t="n">
        <x:v>3</x:v>
      </x:c>
      <x:c r="K1438" s="14" t="str">
        <x:v>2号宿舍楼</x:v>
      </x:c>
      <x:c r="L1438" s="14" t="n">
        <x:v>3</x:v>
      </x:c>
      <x:c r="M1438" s="14" t="str">
        <x:v>08:58</x:v>
      </x:c>
      <x:c r="N1438" s="14" t="str">
        <x:v>否</x:v>
      </x:c>
      <x:c r="O1438" s="14" t="str">
        <x:v>否</x:v>
      </x:c>
      <x:c r="P1438" s="14" t="str">
        <x:v>刘晓燕</x:v>
      </x:c>
      <x:c r="Q1438" s="14" t="str">
        <x:v>4号车</x:v>
      </x:c>
      <x:c r="R1438" s="14" t="str">
        <x:v>预测</x:v>
      </x:c>
      <x:c r="S1438" s="14" t="str">
        <x:v>到站时间为估算值</x:v>
      </x:c>
      <x:c r="T1438" t="str">
        <x:v>研究生宿舍楼发车</x:v>
      </x:c>
    </x:row>
    <x:row r="1439">
      <x:c r="A1439" s="14" t="str">
        <x:v>S0124-04</x:v>
      </x:c>
      <x:c r="B1439" s="14" t="str">
        <x:v>S0124</x:v>
      </x:c>
      <x:c r="C1439" s="14" t="str">
        <x:v>工作日</x:v>
      </x:c>
      <x:c r="D1439" s="14" t="str">
        <x:v>环线3路</x:v>
      </x:c>
      <x:c r="E1439" s="14" t="str">
        <x:v>第三班</x:v>
      </x:c>
      <x:c r="F1439" s="14" t="n">
        <x:v>3</x:v>
      </x:c>
      <x:c r="G1439" s="14" t="str">
        <x:v>8:55</x:v>
      </x:c>
      <x:c r="H1439" s="14" t="str">
        <x:v>研究生宿舍楼</x:v>
      </x:c>
      <x:c r="I1439" s="14" t="str">
        <x:v>否</x:v>
      </x:c>
      <x:c r="J1439" s="14" t="n">
        <x:v>4</x:v>
      </x:c>
      <x:c r="K1439" s="14" t="str">
        <x:v>军体活动中心</x:v>
      </x:c>
      <x:c r="L1439" s="14" t="n">
        <x:v>4</x:v>
      </x:c>
      <x:c r="M1439" s="14" t="str">
        <x:v>08:59</x:v>
      </x:c>
      <x:c r="N1439" s="14" t="str">
        <x:v>否</x:v>
      </x:c>
      <x:c r="O1439" s="14" t="str">
        <x:v>否</x:v>
      </x:c>
      <x:c r="P1439" s="14" t="str">
        <x:v>刘晓燕</x:v>
      </x:c>
      <x:c r="Q1439" s="14" t="str">
        <x:v>4号车</x:v>
      </x:c>
      <x:c r="R1439" s="14" t="str">
        <x:v>预测</x:v>
      </x:c>
      <x:c r="S1439" s="14" t="str">
        <x:v>到站时间为估算值</x:v>
      </x:c>
      <x:c r="T1439" t="str">
        <x:v>研究生宿舍楼发车</x:v>
      </x:c>
    </x:row>
    <x:row r="1440">
      <x:c r="A1440" s="14" t="str">
        <x:v>S0124-05</x:v>
      </x:c>
      <x:c r="B1440" s="14" t="str">
        <x:v>S0124</x:v>
      </x:c>
      <x:c r="C1440" s="14" t="str">
        <x:v>工作日</x:v>
      </x:c>
      <x:c r="D1440" s="14" t="str">
        <x:v>环线3路</x:v>
      </x:c>
      <x:c r="E1440" s="14" t="str">
        <x:v>第三班</x:v>
      </x:c>
      <x:c r="F1440" s="14" t="n">
        <x:v>3</x:v>
      </x:c>
      <x:c r="G1440" s="14" t="str">
        <x:v>8:55</x:v>
      </x:c>
      <x:c r="H1440" s="14" t="str">
        <x:v>研究生宿舍楼</x:v>
      </x:c>
      <x:c r="I1440" s="14" t="str">
        <x:v>否</x:v>
      </x:c>
      <x:c r="J1440" s="14" t="n">
        <x:v>5</x:v>
      </x:c>
      <x:c r="K1440" s="14" t="str">
        <x:v>教勤连</x:v>
      </x:c>
      <x:c r="L1440" s="14" t="n">
        <x:v>6</x:v>
      </x:c>
      <x:c r="M1440" s="14" t="str">
        <x:v>09:01</x:v>
      </x:c>
      <x:c r="N1440" s="14" t="str">
        <x:v>否</x:v>
      </x:c>
      <x:c r="O1440" s="14" t="str">
        <x:v>否</x:v>
      </x:c>
      <x:c r="P1440" s="14" t="str">
        <x:v>刘晓燕</x:v>
      </x:c>
      <x:c r="Q1440" s="14" t="str">
        <x:v>4号车</x:v>
      </x:c>
      <x:c r="R1440" s="14" t="str">
        <x:v>预测</x:v>
      </x:c>
      <x:c r="S1440" s="14" t="str">
        <x:v>到站时间为估算值</x:v>
      </x:c>
      <x:c r="T1440" t="str">
        <x:v>研究生宿舍楼发车</x:v>
      </x:c>
    </x:row>
    <x:row r="1441">
      <x:c r="A1441" s="14" t="str">
        <x:v>S0124-06</x:v>
      </x:c>
      <x:c r="B1441" s="14" t="str">
        <x:v>S0124</x:v>
      </x:c>
      <x:c r="C1441" s="14" t="str">
        <x:v>工作日</x:v>
      </x:c>
      <x:c r="D1441" s="14" t="str">
        <x:v>环线3路</x:v>
      </x:c>
      <x:c r="E1441" s="14" t="str">
        <x:v>第三班</x:v>
      </x:c>
      <x:c r="F1441" s="14" t="n">
        <x:v>3</x:v>
      </x:c>
      <x:c r="G1441" s="14" t="str">
        <x:v>8:55</x:v>
      </x:c>
      <x:c r="H1441" s="14" t="str">
        <x:v>研究生宿舍楼</x:v>
      </x:c>
      <x:c r="I1441" s="14" t="str">
        <x:v>否</x:v>
      </x:c>
      <x:c r="J1441" s="14" t="n">
        <x:v>6</x:v>
      </x:c>
      <x:c r="K1441" s="14" t="str">
        <x:v>激光所</x:v>
      </x:c>
      <x:c r="L1441" s="14" t="n">
        <x:v>7</x:v>
      </x:c>
      <x:c r="M1441" s="14" t="str">
        <x:v>09:02</x:v>
      </x:c>
      <x:c r="N1441" s="14" t="str">
        <x:v>否</x:v>
      </x:c>
      <x:c r="O1441" s="14" t="str">
        <x:v>否</x:v>
      </x:c>
      <x:c r="P1441" s="14" t="str">
        <x:v>刘晓燕</x:v>
      </x:c>
      <x:c r="Q1441" s="14" t="str">
        <x:v>4号车</x:v>
      </x:c>
      <x:c r="R1441" s="14" t="str">
        <x:v>预测</x:v>
      </x:c>
      <x:c r="S1441" s="14" t="str">
        <x:v>到站时间为估算值</x:v>
      </x:c>
      <x:c r="T1441" t="str">
        <x:v>研究生宿舍楼发车</x:v>
      </x:c>
    </x:row>
    <x:row r="1442">
      <x:c r="A1442" s="14" t="str">
        <x:v>S0124-07</x:v>
      </x:c>
      <x:c r="B1442" s="14" t="str">
        <x:v>S0124</x:v>
      </x:c>
      <x:c r="C1442" s="14" t="str">
        <x:v>工作日</x:v>
      </x:c>
      <x:c r="D1442" s="14" t="str">
        <x:v>环线3路</x:v>
      </x:c>
      <x:c r="E1442" s="14" t="str">
        <x:v>第三班</x:v>
      </x:c>
      <x:c r="F1442" s="14" t="n">
        <x:v>3</x:v>
      </x:c>
      <x:c r="G1442" s="14" t="str">
        <x:v>8:55</x:v>
      </x:c>
      <x:c r="H1442" s="14" t="str">
        <x:v>研究生宿舍楼</x:v>
      </x:c>
      <x:c r="I1442" s="14" t="str">
        <x:v>否</x:v>
      </x:c>
      <x:c r="J1442" s="14" t="n">
        <x:v>7</x:v>
      </x:c>
      <x:c r="K1442" s="14" t="str">
        <x:v>高超楼</x:v>
      </x:c>
      <x:c r="L1442" s="14" t="n">
        <x:v>9</x:v>
      </x:c>
      <x:c r="M1442" s="14" t="str">
        <x:v>09:04</x:v>
      </x:c>
      <x:c r="N1442" s="14" t="str">
        <x:v>否</x:v>
      </x:c>
      <x:c r="O1442" s="14" t="str">
        <x:v>否</x:v>
      </x:c>
      <x:c r="P1442" s="14" t="str">
        <x:v>刘晓燕</x:v>
      </x:c>
      <x:c r="Q1442" s="14" t="str">
        <x:v>4号车</x:v>
      </x:c>
      <x:c r="R1442" s="14" t="str">
        <x:v>预测</x:v>
      </x:c>
      <x:c r="S1442" s="14" t="str">
        <x:v>到站时间为估算值</x:v>
      </x:c>
      <x:c r="T1442" t="str">
        <x:v>研究生宿舍楼发车</x:v>
      </x:c>
    </x:row>
    <x:row r="1443">
      <x:c r="A1443" s="14" t="str">
        <x:v>S0124-08</x:v>
      </x:c>
      <x:c r="B1443" s="14" t="str">
        <x:v>S0124</x:v>
      </x:c>
      <x:c r="C1443" s="14" t="str">
        <x:v>工作日</x:v>
      </x:c>
      <x:c r="D1443" s="14" t="str">
        <x:v>环线3路</x:v>
      </x:c>
      <x:c r="E1443" s="14" t="str">
        <x:v>第三班</x:v>
      </x:c>
      <x:c r="F1443" s="14" t="n">
        <x:v>3</x:v>
      </x:c>
      <x:c r="G1443" s="14" t="str">
        <x:v>8:55</x:v>
      </x:c>
      <x:c r="H1443" s="14" t="str">
        <x:v>研究生宿舍楼</x:v>
      </x:c>
      <x:c r="I1443" s="14" t="str">
        <x:v>否</x:v>
      </x:c>
      <x:c r="J1443" s="14" t="n">
        <x:v>8</x:v>
      </x:c>
      <x:c r="K1443" s="14" t="str">
        <x:v>理学院</x:v>
      </x:c>
      <x:c r="L1443" s="14" t="n">
        <x:v>10</x:v>
      </x:c>
      <x:c r="M1443" s="14" t="str">
        <x:v>09:05</x:v>
      </x:c>
      <x:c r="N1443" s="14" t="str">
        <x:v>否</x:v>
      </x:c>
      <x:c r="O1443" s="14" t="str">
        <x:v>否</x:v>
      </x:c>
      <x:c r="P1443" s="14" t="str">
        <x:v>刘晓燕</x:v>
      </x:c>
      <x:c r="Q1443" s="14" t="str">
        <x:v>4号车</x:v>
      </x:c>
      <x:c r="R1443" s="14" t="str">
        <x:v>预测</x:v>
      </x:c>
      <x:c r="S1443" s="14" t="str">
        <x:v>到站时间为估算值</x:v>
      </x:c>
      <x:c r="T1443" t="str">
        <x:v>研究生宿舍楼发车</x:v>
      </x:c>
    </x:row>
    <x:row r="1444">
      <x:c r="A1444" s="14" t="str">
        <x:v>S0124-09</x:v>
      </x:c>
      <x:c r="B1444" s="14" t="str">
        <x:v>S0124</x:v>
      </x:c>
      <x:c r="C1444" s="14" t="str">
        <x:v>工作日</x:v>
      </x:c>
      <x:c r="D1444" s="14" t="str">
        <x:v>环线3路</x:v>
      </x:c>
      <x:c r="E1444" s="14" t="str">
        <x:v>第三班</x:v>
      </x:c>
      <x:c r="F1444" s="14" t="n">
        <x:v>3</x:v>
      </x:c>
      <x:c r="G1444" s="14" t="str">
        <x:v>8:55</x:v>
      </x:c>
      <x:c r="H1444" s="14" t="str">
        <x:v>研究生宿舍楼</x:v>
      </x:c>
      <x:c r="I1444" s="14" t="str">
        <x:v>否</x:v>
      </x:c>
      <x:c r="J1444" s="14" t="n">
        <x:v>9</x:v>
      </x:c>
      <x:c r="K1444" s="14" t="str">
        <x:v>二食堂</x:v>
      </x:c>
      <x:c r="L1444" s="14" t="n">
        <x:v>13</x:v>
      </x:c>
      <x:c r="M1444" s="14" t="str">
        <x:v>09:08</x:v>
      </x:c>
      <x:c r="N1444" s="14" t="str">
        <x:v>否</x:v>
      </x:c>
      <x:c r="O1444" s="14" t="str">
        <x:v>否</x:v>
      </x:c>
      <x:c r="P1444" s="14" t="str">
        <x:v>刘晓燕</x:v>
      </x:c>
      <x:c r="Q1444" s="14" t="str">
        <x:v>4号车</x:v>
      </x:c>
      <x:c r="R1444" s="14" t="str">
        <x:v>预测</x:v>
      </x:c>
      <x:c r="S1444" s="14" t="str">
        <x:v>到站时间为估算值</x:v>
      </x:c>
      <x:c r="T1444" t="str">
        <x:v>研究生宿舍楼发车</x:v>
      </x:c>
    </x:row>
    <x:row r="1445">
      <x:c r="A1445" s="14" t="str">
        <x:v>S0124-10</x:v>
      </x:c>
      <x:c r="B1445" s="14" t="str">
        <x:v>S0124</x:v>
      </x:c>
      <x:c r="C1445" s="14" t="str">
        <x:v>工作日</x:v>
      </x:c>
      <x:c r="D1445" s="14" t="str">
        <x:v>环线3路</x:v>
      </x:c>
      <x:c r="E1445" s="14" t="str">
        <x:v>第三班</x:v>
      </x:c>
      <x:c r="F1445" s="14" t="n">
        <x:v>3</x:v>
      </x:c>
      <x:c r="G1445" s="14" t="str">
        <x:v>8:55</x:v>
      </x:c>
      <x:c r="H1445" s="14" t="str">
        <x:v>研究生宿舍楼</x:v>
      </x:c>
      <x:c r="I1445" s="14" t="str">
        <x:v>否</x:v>
      </x:c>
      <x:c r="J1445" s="14" t="n">
        <x:v>10</x:v>
      </x:c>
      <x:c r="K1445" s="14" t="str">
        <x:v>图书馆</x:v>
      </x:c>
      <x:c r="L1445" s="14" t="n">
        <x:v>14</x:v>
      </x:c>
      <x:c r="M1445" s="14" t="str">
        <x:v>09:09</x:v>
      </x:c>
      <x:c r="N1445" s="14" t="str">
        <x:v>否</x:v>
      </x:c>
      <x:c r="O1445" s="14" t="str">
        <x:v>否</x:v>
      </x:c>
      <x:c r="P1445" s="14" t="str">
        <x:v>刘晓燕</x:v>
      </x:c>
      <x:c r="Q1445" s="14" t="str">
        <x:v>4号车</x:v>
      </x:c>
      <x:c r="R1445" s="14" t="str">
        <x:v>预测</x:v>
      </x:c>
      <x:c r="S1445" s="14" t="str">
        <x:v>到站时间为估算值</x:v>
      </x:c>
      <x:c r="T1445" t="str">
        <x:v>研究生宿舍楼发车</x:v>
      </x:c>
    </x:row>
    <x:row r="1446">
      <x:c r="A1446" s="14" t="str">
        <x:v>S0124-11</x:v>
      </x:c>
      <x:c r="B1446" s="14" t="str">
        <x:v>S0124</x:v>
      </x:c>
      <x:c r="C1446" s="14" t="str">
        <x:v>工作日</x:v>
      </x:c>
      <x:c r="D1446" s="14" t="str">
        <x:v>环线3路</x:v>
      </x:c>
      <x:c r="E1446" s="14" t="str">
        <x:v>第三班</x:v>
      </x:c>
      <x:c r="F1446" s="14" t="n">
        <x:v>3</x:v>
      </x:c>
      <x:c r="G1446" s="14" t="str">
        <x:v>8:55</x:v>
      </x:c>
      <x:c r="H1446" s="14" t="str">
        <x:v>研究生宿舍楼</x:v>
      </x:c>
      <x:c r="I1446" s="14" t="str">
        <x:v>否</x:v>
      </x:c>
      <x:c r="J1446" s="14" t="n">
        <x:v>11</x:v>
      </x:c>
      <x:c r="K1446" s="14" t="str">
        <x:v>305教学楼</x:v>
      </x:c>
      <x:c r="L1446" s="14" t="n">
        <x:v>16</x:v>
      </x:c>
      <x:c r="M1446" s="14" t="str">
        <x:v>09:11</x:v>
      </x:c>
      <x:c r="N1446" s="14" t="str">
        <x:v>否</x:v>
      </x:c>
      <x:c r="O1446" s="14" t="str">
        <x:v>否</x:v>
      </x:c>
      <x:c r="P1446" s="14" t="str">
        <x:v>刘晓燕</x:v>
      </x:c>
      <x:c r="Q1446" s="14" t="str">
        <x:v>4号车</x:v>
      </x:c>
      <x:c r="R1446" s="14" t="str">
        <x:v>预测</x:v>
      </x:c>
      <x:c r="S1446" s="14" t="str">
        <x:v>到站时间为估算值</x:v>
      </x:c>
      <x:c r="T1446" t="str">
        <x:v>研究生宿舍楼发车</x:v>
      </x:c>
    </x:row>
    <x:row r="1447">
      <x:c r="A1447" s="14" t="str">
        <x:v>S0124-12</x:v>
      </x:c>
      <x:c r="B1447" s="14" t="str">
        <x:v>S0124</x:v>
      </x:c>
      <x:c r="C1447" s="14" t="str">
        <x:v>工作日</x:v>
      </x:c>
      <x:c r="D1447" s="14" t="str">
        <x:v>环线3路</x:v>
      </x:c>
      <x:c r="E1447" s="14" t="str">
        <x:v>第三班</x:v>
      </x:c>
      <x:c r="F1447" s="14" t="n">
        <x:v>3</x:v>
      </x:c>
      <x:c r="G1447" s="14" t="str">
        <x:v>8:55</x:v>
      </x:c>
      <x:c r="H1447" s="14" t="str">
        <x:v>研究生宿舍楼</x:v>
      </x:c>
      <x:c r="I1447" s="14" t="str">
        <x:v>否</x:v>
      </x:c>
      <x:c r="J1447" s="14" t="n">
        <x:v>12</x:v>
      </x:c>
      <x:c r="K1447" s="14" t="str">
        <x:v>研究生宿舍楼</x:v>
      </x:c>
      <x:c r="L1447" s="14" t="n">
        <x:v>18</x:v>
      </x:c>
      <x:c r="M1447" s="14" t="str">
        <x:v>09:13</x:v>
      </x:c>
      <x:c r="N1447" s="14" t="str">
        <x:v>否</x:v>
      </x:c>
      <x:c r="O1447" s="14" t="str">
        <x:v>是</x:v>
      </x:c>
      <x:c r="P1447" s="14" t="str">
        <x:v>刘晓燕</x:v>
      </x:c>
      <x:c r="Q1447" s="14" t="str">
        <x:v>4号车</x:v>
      </x:c>
      <x:c r="R1447" s="14" t="str">
        <x:v>预测</x:v>
      </x:c>
      <x:c r="S1447" s="14" t="str">
        <x:v>到站时间为估算值</x:v>
      </x:c>
      <x:c r="T1447" t="str">
        <x:v>研究生宿舍楼发车</x:v>
      </x:c>
    </x:row>
    <x:row r="1448">
      <x:c r="A1448" s="14" t="str">
        <x:v>S0125-01</x:v>
      </x:c>
      <x:c r="B1448" s="14" t="str">
        <x:v>S0125</x:v>
      </x:c>
      <x:c r="C1448" s="14" t="str">
        <x:v>工作日</x:v>
      </x:c>
      <x:c r="D1448" s="14" t="str">
        <x:v>环线3路</x:v>
      </x:c>
      <x:c r="E1448" s="14" t="str">
        <x:v>第三班</x:v>
      </x:c>
      <x:c r="F1448" s="14" t="n">
        <x:v>4</x:v>
      </x:c>
      <x:c r="G1448" s="14" t="str">
        <x:v>9:35</x:v>
      </x:c>
      <x:c r="H1448" s="14" t="str">
        <x:v>研究生宿舍楼</x:v>
      </x:c>
      <x:c r="I1448" s="14" t="str">
        <x:v>否</x:v>
      </x:c>
      <x:c r="J1448" s="14" t="n">
        <x:v>1</x:v>
      </x:c>
      <x:c r="K1448" s="14" t="str">
        <x:v>研究生宿舍楼</x:v>
      </x:c>
      <x:c r="L1448" s="14" t="n">
        <x:v>0</x:v>
      </x:c>
      <x:c r="M1448" s="14" t="str">
        <x:v>09:35</x:v>
      </x:c>
      <x:c r="N1448" s="14" t="str">
        <x:v>是</x:v>
      </x:c>
      <x:c r="O1448" s="14" t="str">
        <x:v>否</x:v>
      </x:c>
      <x:c r="P1448" s="14" t="str">
        <x:v>刘晓燕</x:v>
      </x:c>
      <x:c r="Q1448" s="14" t="str">
        <x:v>4号车</x:v>
      </x:c>
      <x:c r="R1448" s="14" t="str">
        <x:v>预测</x:v>
      </x:c>
      <x:c r="S1448" s="14" t="str">
        <x:v>到站时间为估算值</x:v>
      </x:c>
      <x:c r="T1448" t="str">
        <x:v>研究生宿舍楼发车</x:v>
      </x:c>
    </x:row>
    <x:row r="1449">
      <x:c r="A1449" s="14" t="str">
        <x:v>S0125-02</x:v>
      </x:c>
      <x:c r="B1449" s="14" t="str">
        <x:v>S0125</x:v>
      </x:c>
      <x:c r="C1449" s="14" t="str">
        <x:v>工作日</x:v>
      </x:c>
      <x:c r="D1449" s="14" t="str">
        <x:v>环线3路</x:v>
      </x:c>
      <x:c r="E1449" s="14" t="str">
        <x:v>第三班</x:v>
      </x:c>
      <x:c r="F1449" s="14" t="n">
        <x:v>4</x:v>
      </x:c>
      <x:c r="G1449" s="14" t="str">
        <x:v>9:35</x:v>
      </x:c>
      <x:c r="H1449" s="14" t="str">
        <x:v>研究生宿舍楼</x:v>
      </x:c>
      <x:c r="I1449" s="14" t="str">
        <x:v>否</x:v>
      </x:c>
      <x:c r="J1449" s="14" t="n">
        <x:v>2</x:v>
      </x:c>
      <x:c r="K1449" s="14" t="str">
        <x:v>一食堂</x:v>
      </x:c>
      <x:c r="L1449" s="14" t="n">
        <x:v>1</x:v>
      </x:c>
      <x:c r="M1449" s="14" t="str">
        <x:v>09:36</x:v>
      </x:c>
      <x:c r="N1449" s="14" t="str">
        <x:v>否</x:v>
      </x:c>
      <x:c r="O1449" s="14" t="str">
        <x:v>否</x:v>
      </x:c>
      <x:c r="P1449" s="14" t="str">
        <x:v>刘晓燕</x:v>
      </x:c>
      <x:c r="Q1449" s="14" t="str">
        <x:v>4号车</x:v>
      </x:c>
      <x:c r="R1449" s="14" t="str">
        <x:v>预测</x:v>
      </x:c>
      <x:c r="S1449" s="14" t="str">
        <x:v>到站时间为估算值</x:v>
      </x:c>
      <x:c r="T1449" t="str">
        <x:v>研究生宿舍楼发车</x:v>
      </x:c>
    </x:row>
    <x:row r="1450">
      <x:c r="A1450" s="14" t="str">
        <x:v>S0125-03</x:v>
      </x:c>
      <x:c r="B1450" s="14" t="str">
        <x:v>S0125</x:v>
      </x:c>
      <x:c r="C1450" s="14" t="str">
        <x:v>工作日</x:v>
      </x:c>
      <x:c r="D1450" s="14" t="str">
        <x:v>环线3路</x:v>
      </x:c>
      <x:c r="E1450" s="14" t="str">
        <x:v>第三班</x:v>
      </x:c>
      <x:c r="F1450" s="14" t="n">
        <x:v>4</x:v>
      </x:c>
      <x:c r="G1450" s="14" t="str">
        <x:v>9:35</x:v>
      </x:c>
      <x:c r="H1450" s="14" t="str">
        <x:v>研究生宿舍楼</x:v>
      </x:c>
      <x:c r="I1450" s="14" t="str">
        <x:v>否</x:v>
      </x:c>
      <x:c r="J1450" s="14" t="n">
        <x:v>3</x:v>
      </x:c>
      <x:c r="K1450" s="14" t="str">
        <x:v>2号宿舍楼</x:v>
      </x:c>
      <x:c r="L1450" s="14" t="n">
        <x:v>3</x:v>
      </x:c>
      <x:c r="M1450" s="14" t="str">
        <x:v>09:38</x:v>
      </x:c>
      <x:c r="N1450" s="14" t="str">
        <x:v>否</x:v>
      </x:c>
      <x:c r="O1450" s="14" t="str">
        <x:v>否</x:v>
      </x:c>
      <x:c r="P1450" s="14" t="str">
        <x:v>刘晓燕</x:v>
      </x:c>
      <x:c r="Q1450" s="14" t="str">
        <x:v>4号车</x:v>
      </x:c>
      <x:c r="R1450" s="14" t="str">
        <x:v>预测</x:v>
      </x:c>
      <x:c r="S1450" s="14" t="str">
        <x:v>到站时间为估算值</x:v>
      </x:c>
      <x:c r="T1450" t="str">
        <x:v>研究生宿舍楼发车</x:v>
      </x:c>
    </x:row>
    <x:row r="1451">
      <x:c r="A1451" s="14" t="str">
        <x:v>S0125-04</x:v>
      </x:c>
      <x:c r="B1451" s="14" t="str">
        <x:v>S0125</x:v>
      </x:c>
      <x:c r="C1451" s="14" t="str">
        <x:v>工作日</x:v>
      </x:c>
      <x:c r="D1451" s="14" t="str">
        <x:v>环线3路</x:v>
      </x:c>
      <x:c r="E1451" s="14" t="str">
        <x:v>第三班</x:v>
      </x:c>
      <x:c r="F1451" s="14" t="n">
        <x:v>4</x:v>
      </x:c>
      <x:c r="G1451" s="14" t="str">
        <x:v>9:35</x:v>
      </x:c>
      <x:c r="H1451" s="14" t="str">
        <x:v>研究生宿舍楼</x:v>
      </x:c>
      <x:c r="I1451" s="14" t="str">
        <x:v>否</x:v>
      </x:c>
      <x:c r="J1451" s="14" t="n">
        <x:v>4</x:v>
      </x:c>
      <x:c r="K1451" s="14" t="str">
        <x:v>军体活动中心</x:v>
      </x:c>
      <x:c r="L1451" s="14" t="n">
        <x:v>4</x:v>
      </x:c>
      <x:c r="M1451" s="14" t="str">
        <x:v>09:39</x:v>
      </x:c>
      <x:c r="N1451" s="14" t="str">
        <x:v>否</x:v>
      </x:c>
      <x:c r="O1451" s="14" t="str">
        <x:v>否</x:v>
      </x:c>
      <x:c r="P1451" s="14" t="str">
        <x:v>刘晓燕</x:v>
      </x:c>
      <x:c r="Q1451" s="14" t="str">
        <x:v>4号车</x:v>
      </x:c>
      <x:c r="R1451" s="14" t="str">
        <x:v>预测</x:v>
      </x:c>
      <x:c r="S1451" s="14" t="str">
        <x:v>到站时间为估算值</x:v>
      </x:c>
      <x:c r="T1451" t="str">
        <x:v>研究生宿舍楼发车</x:v>
      </x:c>
    </x:row>
    <x:row r="1452">
      <x:c r="A1452" s="14" t="str">
        <x:v>S0125-05</x:v>
      </x:c>
      <x:c r="B1452" s="14" t="str">
        <x:v>S0125</x:v>
      </x:c>
      <x:c r="C1452" s="14" t="str">
        <x:v>工作日</x:v>
      </x:c>
      <x:c r="D1452" s="14" t="str">
        <x:v>环线3路</x:v>
      </x:c>
      <x:c r="E1452" s="14" t="str">
        <x:v>第三班</x:v>
      </x:c>
      <x:c r="F1452" s="14" t="n">
        <x:v>4</x:v>
      </x:c>
      <x:c r="G1452" s="14" t="str">
        <x:v>9:35</x:v>
      </x:c>
      <x:c r="H1452" s="14" t="str">
        <x:v>研究生宿舍楼</x:v>
      </x:c>
      <x:c r="I1452" s="14" t="str">
        <x:v>否</x:v>
      </x:c>
      <x:c r="J1452" s="14" t="n">
        <x:v>5</x:v>
      </x:c>
      <x:c r="K1452" s="14" t="str">
        <x:v>教勤连</x:v>
      </x:c>
      <x:c r="L1452" s="14" t="n">
        <x:v>6</x:v>
      </x:c>
      <x:c r="M1452" s="14" t="str">
        <x:v>09:41</x:v>
      </x:c>
      <x:c r="N1452" s="14" t="str">
        <x:v>否</x:v>
      </x:c>
      <x:c r="O1452" s="14" t="str">
        <x:v>否</x:v>
      </x:c>
      <x:c r="P1452" s="14" t="str">
        <x:v>刘晓燕</x:v>
      </x:c>
      <x:c r="Q1452" s="14" t="str">
        <x:v>4号车</x:v>
      </x:c>
      <x:c r="R1452" s="14" t="str">
        <x:v>预测</x:v>
      </x:c>
      <x:c r="S1452" s="14" t="str">
        <x:v>到站时间为估算值</x:v>
      </x:c>
      <x:c r="T1452" t="str">
        <x:v>研究生宿舍楼发车</x:v>
      </x:c>
    </x:row>
    <x:row r="1453">
      <x:c r="A1453" s="14" t="str">
        <x:v>S0125-06</x:v>
      </x:c>
      <x:c r="B1453" s="14" t="str">
        <x:v>S0125</x:v>
      </x:c>
      <x:c r="C1453" s="14" t="str">
        <x:v>工作日</x:v>
      </x:c>
      <x:c r="D1453" s="14" t="str">
        <x:v>环线3路</x:v>
      </x:c>
      <x:c r="E1453" s="14" t="str">
        <x:v>第三班</x:v>
      </x:c>
      <x:c r="F1453" s="14" t="n">
        <x:v>4</x:v>
      </x:c>
      <x:c r="G1453" s="14" t="str">
        <x:v>9:35</x:v>
      </x:c>
      <x:c r="H1453" s="14" t="str">
        <x:v>研究生宿舍楼</x:v>
      </x:c>
      <x:c r="I1453" s="14" t="str">
        <x:v>否</x:v>
      </x:c>
      <x:c r="J1453" s="14" t="n">
        <x:v>6</x:v>
      </x:c>
      <x:c r="K1453" s="14" t="str">
        <x:v>激光所</x:v>
      </x:c>
      <x:c r="L1453" s="14" t="n">
        <x:v>7</x:v>
      </x:c>
      <x:c r="M1453" s="14" t="str">
        <x:v>09:42</x:v>
      </x:c>
      <x:c r="N1453" s="14" t="str">
        <x:v>否</x:v>
      </x:c>
      <x:c r="O1453" s="14" t="str">
        <x:v>否</x:v>
      </x:c>
      <x:c r="P1453" s="14" t="str">
        <x:v>刘晓燕</x:v>
      </x:c>
      <x:c r="Q1453" s="14" t="str">
        <x:v>4号车</x:v>
      </x:c>
      <x:c r="R1453" s="14" t="str">
        <x:v>预测</x:v>
      </x:c>
      <x:c r="S1453" s="14" t="str">
        <x:v>到站时间为估算值</x:v>
      </x:c>
      <x:c r="T1453" t="str">
        <x:v>研究生宿舍楼发车</x:v>
      </x:c>
    </x:row>
    <x:row r="1454">
      <x:c r="A1454" s="14" t="str">
        <x:v>S0125-07</x:v>
      </x:c>
      <x:c r="B1454" s="14" t="str">
        <x:v>S0125</x:v>
      </x:c>
      <x:c r="C1454" s="14" t="str">
        <x:v>工作日</x:v>
      </x:c>
      <x:c r="D1454" s="14" t="str">
        <x:v>环线3路</x:v>
      </x:c>
      <x:c r="E1454" s="14" t="str">
        <x:v>第三班</x:v>
      </x:c>
      <x:c r="F1454" s="14" t="n">
        <x:v>4</x:v>
      </x:c>
      <x:c r="G1454" s="14" t="str">
        <x:v>9:35</x:v>
      </x:c>
      <x:c r="H1454" s="14" t="str">
        <x:v>研究生宿舍楼</x:v>
      </x:c>
      <x:c r="I1454" s="14" t="str">
        <x:v>否</x:v>
      </x:c>
      <x:c r="J1454" s="14" t="n">
        <x:v>7</x:v>
      </x:c>
      <x:c r="K1454" s="14" t="str">
        <x:v>高超楼</x:v>
      </x:c>
      <x:c r="L1454" s="14" t="n">
        <x:v>9</x:v>
      </x:c>
      <x:c r="M1454" s="14" t="str">
        <x:v>09:44</x:v>
      </x:c>
      <x:c r="N1454" s="14" t="str">
        <x:v>否</x:v>
      </x:c>
      <x:c r="O1454" s="14" t="str">
        <x:v>否</x:v>
      </x:c>
      <x:c r="P1454" s="14" t="str">
        <x:v>刘晓燕</x:v>
      </x:c>
      <x:c r="Q1454" s="14" t="str">
        <x:v>4号车</x:v>
      </x:c>
      <x:c r="R1454" s="14" t="str">
        <x:v>预测</x:v>
      </x:c>
      <x:c r="S1454" s="14" t="str">
        <x:v>到站时间为估算值</x:v>
      </x:c>
      <x:c r="T1454" t="str">
        <x:v>研究生宿舍楼发车</x:v>
      </x:c>
    </x:row>
    <x:row r="1455">
      <x:c r="A1455" s="14" t="str">
        <x:v>S0125-08</x:v>
      </x:c>
      <x:c r="B1455" s="14" t="str">
        <x:v>S0125</x:v>
      </x:c>
      <x:c r="C1455" s="14" t="str">
        <x:v>工作日</x:v>
      </x:c>
      <x:c r="D1455" s="14" t="str">
        <x:v>环线3路</x:v>
      </x:c>
      <x:c r="E1455" s="14" t="str">
        <x:v>第三班</x:v>
      </x:c>
      <x:c r="F1455" s="14" t="n">
        <x:v>4</x:v>
      </x:c>
      <x:c r="G1455" s="14" t="str">
        <x:v>9:35</x:v>
      </x:c>
      <x:c r="H1455" s="14" t="str">
        <x:v>研究生宿舍楼</x:v>
      </x:c>
      <x:c r="I1455" s="14" t="str">
        <x:v>否</x:v>
      </x:c>
      <x:c r="J1455" s="14" t="n">
        <x:v>8</x:v>
      </x:c>
      <x:c r="K1455" s="14" t="str">
        <x:v>理学院</x:v>
      </x:c>
      <x:c r="L1455" s="14" t="n">
        <x:v>10</x:v>
      </x:c>
      <x:c r="M1455" s="14" t="str">
        <x:v>09:45</x:v>
      </x:c>
      <x:c r="N1455" s="14" t="str">
        <x:v>否</x:v>
      </x:c>
      <x:c r="O1455" s="14" t="str">
        <x:v>否</x:v>
      </x:c>
      <x:c r="P1455" s="14" t="str">
        <x:v>刘晓燕</x:v>
      </x:c>
      <x:c r="Q1455" s="14" t="str">
        <x:v>4号车</x:v>
      </x:c>
      <x:c r="R1455" s="14" t="str">
        <x:v>预测</x:v>
      </x:c>
      <x:c r="S1455" s="14" t="str">
        <x:v>到站时间为估算值</x:v>
      </x:c>
      <x:c r="T1455" t="str">
        <x:v>研究生宿舍楼发车</x:v>
      </x:c>
    </x:row>
    <x:row r="1456">
      <x:c r="A1456" s="14" t="str">
        <x:v>S0125-09</x:v>
      </x:c>
      <x:c r="B1456" s="14" t="str">
        <x:v>S0125</x:v>
      </x:c>
      <x:c r="C1456" s="14" t="str">
        <x:v>工作日</x:v>
      </x:c>
      <x:c r="D1456" s="14" t="str">
        <x:v>环线3路</x:v>
      </x:c>
      <x:c r="E1456" s="14" t="str">
        <x:v>第三班</x:v>
      </x:c>
      <x:c r="F1456" s="14" t="n">
        <x:v>4</x:v>
      </x:c>
      <x:c r="G1456" s="14" t="str">
        <x:v>9:35</x:v>
      </x:c>
      <x:c r="H1456" s="14" t="str">
        <x:v>研究生宿舍楼</x:v>
      </x:c>
      <x:c r="I1456" s="14" t="str">
        <x:v>否</x:v>
      </x:c>
      <x:c r="J1456" s="14" t="n">
        <x:v>9</x:v>
      </x:c>
      <x:c r="K1456" s="14" t="str">
        <x:v>二食堂</x:v>
      </x:c>
      <x:c r="L1456" s="14" t="n">
        <x:v>13</x:v>
      </x:c>
      <x:c r="M1456" s="14" t="str">
        <x:v>09:48</x:v>
      </x:c>
      <x:c r="N1456" s="14" t="str">
        <x:v>否</x:v>
      </x:c>
      <x:c r="O1456" s="14" t="str">
        <x:v>否</x:v>
      </x:c>
      <x:c r="P1456" s="14" t="str">
        <x:v>刘晓燕</x:v>
      </x:c>
      <x:c r="Q1456" s="14" t="str">
        <x:v>4号车</x:v>
      </x:c>
      <x:c r="R1456" s="14" t="str">
        <x:v>预测</x:v>
      </x:c>
      <x:c r="S1456" s="14" t="str">
        <x:v>到站时间为估算值</x:v>
      </x:c>
      <x:c r="T1456" t="str">
        <x:v>研究生宿舍楼发车</x:v>
      </x:c>
    </x:row>
    <x:row r="1457">
      <x:c r="A1457" s="14" t="str">
        <x:v>S0125-10</x:v>
      </x:c>
      <x:c r="B1457" s="14" t="str">
        <x:v>S0125</x:v>
      </x:c>
      <x:c r="C1457" s="14" t="str">
        <x:v>工作日</x:v>
      </x:c>
      <x:c r="D1457" s="14" t="str">
        <x:v>环线3路</x:v>
      </x:c>
      <x:c r="E1457" s="14" t="str">
        <x:v>第三班</x:v>
      </x:c>
      <x:c r="F1457" s="14" t="n">
        <x:v>4</x:v>
      </x:c>
      <x:c r="G1457" s="14" t="str">
        <x:v>9:35</x:v>
      </x:c>
      <x:c r="H1457" s="14" t="str">
        <x:v>研究生宿舍楼</x:v>
      </x:c>
      <x:c r="I1457" s="14" t="str">
        <x:v>否</x:v>
      </x:c>
      <x:c r="J1457" s="14" t="n">
        <x:v>10</x:v>
      </x:c>
      <x:c r="K1457" s="14" t="str">
        <x:v>图书馆</x:v>
      </x:c>
      <x:c r="L1457" s="14" t="n">
        <x:v>14</x:v>
      </x:c>
      <x:c r="M1457" s="14" t="str">
        <x:v>09:49</x:v>
      </x:c>
      <x:c r="N1457" s="14" t="str">
        <x:v>否</x:v>
      </x:c>
      <x:c r="O1457" s="14" t="str">
        <x:v>否</x:v>
      </x:c>
      <x:c r="P1457" s="14" t="str">
        <x:v>刘晓燕</x:v>
      </x:c>
      <x:c r="Q1457" s="14" t="str">
        <x:v>4号车</x:v>
      </x:c>
      <x:c r="R1457" s="14" t="str">
        <x:v>预测</x:v>
      </x:c>
      <x:c r="S1457" s="14" t="str">
        <x:v>到站时间为估算值</x:v>
      </x:c>
      <x:c r="T1457" t="str">
        <x:v>研究生宿舍楼发车</x:v>
      </x:c>
    </x:row>
    <x:row r="1458">
      <x:c r="A1458" s="14" t="str">
        <x:v>S0125-11</x:v>
      </x:c>
      <x:c r="B1458" s="14" t="str">
        <x:v>S0125</x:v>
      </x:c>
      <x:c r="C1458" s="14" t="str">
        <x:v>工作日</x:v>
      </x:c>
      <x:c r="D1458" s="14" t="str">
        <x:v>环线3路</x:v>
      </x:c>
      <x:c r="E1458" s="14" t="str">
        <x:v>第三班</x:v>
      </x:c>
      <x:c r="F1458" s="14" t="n">
        <x:v>4</x:v>
      </x:c>
      <x:c r="G1458" s="14" t="str">
        <x:v>9:35</x:v>
      </x:c>
      <x:c r="H1458" s="14" t="str">
        <x:v>研究生宿舍楼</x:v>
      </x:c>
      <x:c r="I1458" s="14" t="str">
        <x:v>否</x:v>
      </x:c>
      <x:c r="J1458" s="14" t="n">
        <x:v>11</x:v>
      </x:c>
      <x:c r="K1458" s="14" t="str">
        <x:v>305教学楼</x:v>
      </x:c>
      <x:c r="L1458" s="14" t="n">
        <x:v>16</x:v>
      </x:c>
      <x:c r="M1458" s="14" t="str">
        <x:v>09:51</x:v>
      </x:c>
      <x:c r="N1458" s="14" t="str">
        <x:v>否</x:v>
      </x:c>
      <x:c r="O1458" s="14" t="str">
        <x:v>否</x:v>
      </x:c>
      <x:c r="P1458" s="14" t="str">
        <x:v>刘晓燕</x:v>
      </x:c>
      <x:c r="Q1458" s="14" t="str">
        <x:v>4号车</x:v>
      </x:c>
      <x:c r="R1458" s="14" t="str">
        <x:v>预测</x:v>
      </x:c>
      <x:c r="S1458" s="14" t="str">
        <x:v>到站时间为估算值</x:v>
      </x:c>
      <x:c r="T1458" t="str">
        <x:v>研究生宿舍楼发车</x:v>
      </x:c>
    </x:row>
    <x:row r="1459">
      <x:c r="A1459" s="14" t="str">
        <x:v>S0125-12</x:v>
      </x:c>
      <x:c r="B1459" s="14" t="str">
        <x:v>S0125</x:v>
      </x:c>
      <x:c r="C1459" s="14" t="str">
        <x:v>工作日</x:v>
      </x:c>
      <x:c r="D1459" s="14" t="str">
        <x:v>环线3路</x:v>
      </x:c>
      <x:c r="E1459" s="14" t="str">
        <x:v>第三班</x:v>
      </x:c>
      <x:c r="F1459" s="14" t="n">
        <x:v>4</x:v>
      </x:c>
      <x:c r="G1459" s="14" t="str">
        <x:v>9:35</x:v>
      </x:c>
      <x:c r="H1459" s="14" t="str">
        <x:v>研究生宿舍楼</x:v>
      </x:c>
      <x:c r="I1459" s="14" t="str">
        <x:v>否</x:v>
      </x:c>
      <x:c r="J1459" s="14" t="n">
        <x:v>12</x:v>
      </x:c>
      <x:c r="K1459" s="14" t="str">
        <x:v>研究生宿舍楼</x:v>
      </x:c>
      <x:c r="L1459" s="14" t="n">
        <x:v>18</x:v>
      </x:c>
      <x:c r="M1459" s="14" t="str">
        <x:v>09:53</x:v>
      </x:c>
      <x:c r="N1459" s="14" t="str">
        <x:v>否</x:v>
      </x:c>
      <x:c r="O1459" s="14" t="str">
        <x:v>是</x:v>
      </x:c>
      <x:c r="P1459" s="14" t="str">
        <x:v>刘晓燕</x:v>
      </x:c>
      <x:c r="Q1459" s="14" t="str">
        <x:v>4号车</x:v>
      </x:c>
      <x:c r="R1459" s="14" t="str">
        <x:v>预测</x:v>
      </x:c>
      <x:c r="S1459" s="14" t="str">
        <x:v>到站时间为估算值</x:v>
      </x:c>
      <x:c r="T1459" t="str">
        <x:v>研究生宿舍楼发车</x:v>
      </x:c>
    </x:row>
    <x:row r="1460">
      <x:c r="A1460" s="14" t="str">
        <x:v>S0126-01</x:v>
      </x:c>
      <x:c r="B1460" s="14" t="str">
        <x:v>S0126</x:v>
      </x:c>
      <x:c r="C1460" s="14" t="str">
        <x:v>工作日</x:v>
      </x:c>
      <x:c r="D1460" s="14" t="str">
        <x:v>环线3路</x:v>
      </x:c>
      <x:c r="E1460" s="14" t="str">
        <x:v>第三班</x:v>
      </x:c>
      <x:c r="F1460" s="14" t="n">
        <x:v>5</x:v>
      </x:c>
      <x:c r="G1460" s="14" t="str">
        <x:v>10:10</x:v>
      </x:c>
      <x:c r="H1460" s="14" t="str">
        <x:v>研究生宿舍楼</x:v>
      </x:c>
      <x:c r="I1460" s="14" t="str">
        <x:v>否</x:v>
      </x:c>
      <x:c r="J1460" s="14" t="n">
        <x:v>1</x:v>
      </x:c>
      <x:c r="K1460" s="14" t="str">
        <x:v>研究生宿舍楼</x:v>
      </x:c>
      <x:c r="L1460" s="14" t="n">
        <x:v>0</x:v>
      </x:c>
      <x:c r="M1460" s="14" t="str">
        <x:v>10:10</x:v>
      </x:c>
      <x:c r="N1460" s="14" t="str">
        <x:v>是</x:v>
      </x:c>
      <x:c r="O1460" s="14" t="str">
        <x:v>否</x:v>
      </x:c>
      <x:c r="P1460" s="14" t="str">
        <x:v>刘晓燕</x:v>
      </x:c>
      <x:c r="Q1460" s="14" t="str">
        <x:v>4号车</x:v>
      </x:c>
      <x:c r="R1460" s="14" t="str">
        <x:v>预测</x:v>
      </x:c>
      <x:c r="S1460" s="14" t="str">
        <x:v>到站时间为估算值</x:v>
      </x:c>
      <x:c r="T1460" t="str">
        <x:v>研究生宿舍楼发车</x:v>
      </x:c>
    </x:row>
    <x:row r="1461">
      <x:c r="A1461" s="14" t="str">
        <x:v>S0126-02</x:v>
      </x:c>
      <x:c r="B1461" s="14" t="str">
        <x:v>S0126</x:v>
      </x:c>
      <x:c r="C1461" s="14" t="str">
        <x:v>工作日</x:v>
      </x:c>
      <x:c r="D1461" s="14" t="str">
        <x:v>环线3路</x:v>
      </x:c>
      <x:c r="E1461" s="14" t="str">
        <x:v>第三班</x:v>
      </x:c>
      <x:c r="F1461" s="14" t="n">
        <x:v>5</x:v>
      </x:c>
      <x:c r="G1461" s="14" t="str">
        <x:v>10:10</x:v>
      </x:c>
      <x:c r="H1461" s="14" t="str">
        <x:v>研究生宿舍楼</x:v>
      </x:c>
      <x:c r="I1461" s="14" t="str">
        <x:v>否</x:v>
      </x:c>
      <x:c r="J1461" s="14" t="n">
        <x:v>2</x:v>
      </x:c>
      <x:c r="K1461" s="14" t="str">
        <x:v>一食堂</x:v>
      </x:c>
      <x:c r="L1461" s="14" t="n">
        <x:v>1</x:v>
      </x:c>
      <x:c r="M1461" s="14" t="str">
        <x:v>10:11</x:v>
      </x:c>
      <x:c r="N1461" s="14" t="str">
        <x:v>否</x:v>
      </x:c>
      <x:c r="O1461" s="14" t="str">
        <x:v>否</x:v>
      </x:c>
      <x:c r="P1461" s="14" t="str">
        <x:v>刘晓燕</x:v>
      </x:c>
      <x:c r="Q1461" s="14" t="str">
        <x:v>4号车</x:v>
      </x:c>
      <x:c r="R1461" s="14" t="str">
        <x:v>预测</x:v>
      </x:c>
      <x:c r="S1461" s="14" t="str">
        <x:v>到站时间为估算值</x:v>
      </x:c>
      <x:c r="T1461" t="str">
        <x:v>研究生宿舍楼发车</x:v>
      </x:c>
    </x:row>
    <x:row r="1462">
      <x:c r="A1462" s="14" t="str">
        <x:v>S0126-03</x:v>
      </x:c>
      <x:c r="B1462" s="14" t="str">
        <x:v>S0126</x:v>
      </x:c>
      <x:c r="C1462" s="14" t="str">
        <x:v>工作日</x:v>
      </x:c>
      <x:c r="D1462" s="14" t="str">
        <x:v>环线3路</x:v>
      </x:c>
      <x:c r="E1462" s="14" t="str">
        <x:v>第三班</x:v>
      </x:c>
      <x:c r="F1462" s="14" t="n">
        <x:v>5</x:v>
      </x:c>
      <x:c r="G1462" s="14" t="str">
        <x:v>10:10</x:v>
      </x:c>
      <x:c r="H1462" s="14" t="str">
        <x:v>研究生宿舍楼</x:v>
      </x:c>
      <x:c r="I1462" s="14" t="str">
        <x:v>否</x:v>
      </x:c>
      <x:c r="J1462" s="14" t="n">
        <x:v>3</x:v>
      </x:c>
      <x:c r="K1462" s="14" t="str">
        <x:v>2号宿舍楼</x:v>
      </x:c>
      <x:c r="L1462" s="14" t="n">
        <x:v>3</x:v>
      </x:c>
      <x:c r="M1462" s="14" t="str">
        <x:v>10:13</x:v>
      </x:c>
      <x:c r="N1462" s="14" t="str">
        <x:v>否</x:v>
      </x:c>
      <x:c r="O1462" s="14" t="str">
        <x:v>否</x:v>
      </x:c>
      <x:c r="P1462" s="14" t="str">
        <x:v>刘晓燕</x:v>
      </x:c>
      <x:c r="Q1462" s="14" t="str">
        <x:v>4号车</x:v>
      </x:c>
      <x:c r="R1462" s="14" t="str">
        <x:v>预测</x:v>
      </x:c>
      <x:c r="S1462" s="14" t="str">
        <x:v>到站时间为估算值</x:v>
      </x:c>
      <x:c r="T1462" t="str">
        <x:v>研究生宿舍楼发车</x:v>
      </x:c>
    </x:row>
    <x:row r="1463">
      <x:c r="A1463" s="14" t="str">
        <x:v>S0126-04</x:v>
      </x:c>
      <x:c r="B1463" s="14" t="str">
        <x:v>S0126</x:v>
      </x:c>
      <x:c r="C1463" s="14" t="str">
        <x:v>工作日</x:v>
      </x:c>
      <x:c r="D1463" s="14" t="str">
        <x:v>环线3路</x:v>
      </x:c>
      <x:c r="E1463" s="14" t="str">
        <x:v>第三班</x:v>
      </x:c>
      <x:c r="F1463" s="14" t="n">
        <x:v>5</x:v>
      </x:c>
      <x:c r="G1463" s="14" t="str">
        <x:v>10:10</x:v>
      </x:c>
      <x:c r="H1463" s="14" t="str">
        <x:v>研究生宿舍楼</x:v>
      </x:c>
      <x:c r="I1463" s="14" t="str">
        <x:v>否</x:v>
      </x:c>
      <x:c r="J1463" s="14" t="n">
        <x:v>4</x:v>
      </x:c>
      <x:c r="K1463" s="14" t="str">
        <x:v>军体活动中心</x:v>
      </x:c>
      <x:c r="L1463" s="14" t="n">
        <x:v>4</x:v>
      </x:c>
      <x:c r="M1463" s="14" t="str">
        <x:v>10:14</x:v>
      </x:c>
      <x:c r="N1463" s="14" t="str">
        <x:v>否</x:v>
      </x:c>
      <x:c r="O1463" s="14" t="str">
        <x:v>否</x:v>
      </x:c>
      <x:c r="P1463" s="14" t="str">
        <x:v>刘晓燕</x:v>
      </x:c>
      <x:c r="Q1463" s="14" t="str">
        <x:v>4号车</x:v>
      </x:c>
      <x:c r="R1463" s="14" t="str">
        <x:v>预测</x:v>
      </x:c>
      <x:c r="S1463" s="14" t="str">
        <x:v>到站时间为估算值</x:v>
      </x:c>
      <x:c r="T1463" t="str">
        <x:v>研究生宿舍楼发车</x:v>
      </x:c>
    </x:row>
    <x:row r="1464">
      <x:c r="A1464" s="14" t="str">
        <x:v>S0126-05</x:v>
      </x:c>
      <x:c r="B1464" s="14" t="str">
        <x:v>S0126</x:v>
      </x:c>
      <x:c r="C1464" s="14" t="str">
        <x:v>工作日</x:v>
      </x:c>
      <x:c r="D1464" s="14" t="str">
        <x:v>环线3路</x:v>
      </x:c>
      <x:c r="E1464" s="14" t="str">
        <x:v>第三班</x:v>
      </x:c>
      <x:c r="F1464" s="14" t="n">
        <x:v>5</x:v>
      </x:c>
      <x:c r="G1464" s="14" t="str">
        <x:v>10:10</x:v>
      </x:c>
      <x:c r="H1464" s="14" t="str">
        <x:v>研究生宿舍楼</x:v>
      </x:c>
      <x:c r="I1464" s="14" t="str">
        <x:v>否</x:v>
      </x:c>
      <x:c r="J1464" s="14" t="n">
        <x:v>5</x:v>
      </x:c>
      <x:c r="K1464" s="14" t="str">
        <x:v>教勤连</x:v>
      </x:c>
      <x:c r="L1464" s="14" t="n">
        <x:v>6</x:v>
      </x:c>
      <x:c r="M1464" s="14" t="str">
        <x:v>10:16</x:v>
      </x:c>
      <x:c r="N1464" s="14" t="str">
        <x:v>否</x:v>
      </x:c>
      <x:c r="O1464" s="14" t="str">
        <x:v>否</x:v>
      </x:c>
      <x:c r="P1464" s="14" t="str">
        <x:v>刘晓燕</x:v>
      </x:c>
      <x:c r="Q1464" s="14" t="str">
        <x:v>4号车</x:v>
      </x:c>
      <x:c r="R1464" s="14" t="str">
        <x:v>预测</x:v>
      </x:c>
      <x:c r="S1464" s="14" t="str">
        <x:v>到站时间为估算值</x:v>
      </x:c>
      <x:c r="T1464" t="str">
        <x:v>研究生宿舍楼发车</x:v>
      </x:c>
    </x:row>
    <x:row r="1465">
      <x:c r="A1465" s="14" t="str">
        <x:v>S0126-06</x:v>
      </x:c>
      <x:c r="B1465" s="14" t="str">
        <x:v>S0126</x:v>
      </x:c>
      <x:c r="C1465" s="14" t="str">
        <x:v>工作日</x:v>
      </x:c>
      <x:c r="D1465" s="14" t="str">
        <x:v>环线3路</x:v>
      </x:c>
      <x:c r="E1465" s="14" t="str">
        <x:v>第三班</x:v>
      </x:c>
      <x:c r="F1465" s="14" t="n">
        <x:v>5</x:v>
      </x:c>
      <x:c r="G1465" s="14" t="str">
        <x:v>10:10</x:v>
      </x:c>
      <x:c r="H1465" s="14" t="str">
        <x:v>研究生宿舍楼</x:v>
      </x:c>
      <x:c r="I1465" s="14" t="str">
        <x:v>否</x:v>
      </x:c>
      <x:c r="J1465" s="14" t="n">
        <x:v>6</x:v>
      </x:c>
      <x:c r="K1465" s="14" t="str">
        <x:v>激光所</x:v>
      </x:c>
      <x:c r="L1465" s="14" t="n">
        <x:v>7</x:v>
      </x:c>
      <x:c r="M1465" s="14" t="str">
        <x:v>10:17</x:v>
      </x:c>
      <x:c r="N1465" s="14" t="str">
        <x:v>否</x:v>
      </x:c>
      <x:c r="O1465" s="14" t="str">
        <x:v>否</x:v>
      </x:c>
      <x:c r="P1465" s="14" t="str">
        <x:v>刘晓燕</x:v>
      </x:c>
      <x:c r="Q1465" s="14" t="str">
        <x:v>4号车</x:v>
      </x:c>
      <x:c r="R1465" s="14" t="str">
        <x:v>预测</x:v>
      </x:c>
      <x:c r="S1465" s="14" t="str">
        <x:v>到站时间为估算值</x:v>
      </x:c>
      <x:c r="T1465" t="str">
        <x:v>研究生宿舍楼发车</x:v>
      </x:c>
    </x:row>
    <x:row r="1466">
      <x:c r="A1466" s="14" t="str">
        <x:v>S0126-07</x:v>
      </x:c>
      <x:c r="B1466" s="14" t="str">
        <x:v>S0126</x:v>
      </x:c>
      <x:c r="C1466" s="14" t="str">
        <x:v>工作日</x:v>
      </x:c>
      <x:c r="D1466" s="14" t="str">
        <x:v>环线3路</x:v>
      </x:c>
      <x:c r="E1466" s="14" t="str">
        <x:v>第三班</x:v>
      </x:c>
      <x:c r="F1466" s="14" t="n">
        <x:v>5</x:v>
      </x:c>
      <x:c r="G1466" s="14" t="str">
        <x:v>10:10</x:v>
      </x:c>
      <x:c r="H1466" s="14" t="str">
        <x:v>研究生宿舍楼</x:v>
      </x:c>
      <x:c r="I1466" s="14" t="str">
        <x:v>否</x:v>
      </x:c>
      <x:c r="J1466" s="14" t="n">
        <x:v>7</x:v>
      </x:c>
      <x:c r="K1466" s="14" t="str">
        <x:v>高超楼</x:v>
      </x:c>
      <x:c r="L1466" s="14" t="n">
        <x:v>9</x:v>
      </x:c>
      <x:c r="M1466" s="14" t="str">
        <x:v>10:19</x:v>
      </x:c>
      <x:c r="N1466" s="14" t="str">
        <x:v>否</x:v>
      </x:c>
      <x:c r="O1466" s="14" t="str">
        <x:v>否</x:v>
      </x:c>
      <x:c r="P1466" s="14" t="str">
        <x:v>刘晓燕</x:v>
      </x:c>
      <x:c r="Q1466" s="14" t="str">
        <x:v>4号车</x:v>
      </x:c>
      <x:c r="R1466" s="14" t="str">
        <x:v>预测</x:v>
      </x:c>
      <x:c r="S1466" s="14" t="str">
        <x:v>到站时间为估算值</x:v>
      </x:c>
      <x:c r="T1466" t="str">
        <x:v>研究生宿舍楼发车</x:v>
      </x:c>
    </x:row>
    <x:row r="1467">
      <x:c r="A1467" s="14" t="str">
        <x:v>S0126-08</x:v>
      </x:c>
      <x:c r="B1467" s="14" t="str">
        <x:v>S0126</x:v>
      </x:c>
      <x:c r="C1467" s="14" t="str">
        <x:v>工作日</x:v>
      </x:c>
      <x:c r="D1467" s="14" t="str">
        <x:v>环线3路</x:v>
      </x:c>
      <x:c r="E1467" s="14" t="str">
        <x:v>第三班</x:v>
      </x:c>
      <x:c r="F1467" s="14" t="n">
        <x:v>5</x:v>
      </x:c>
      <x:c r="G1467" s="14" t="str">
        <x:v>10:10</x:v>
      </x:c>
      <x:c r="H1467" s="14" t="str">
        <x:v>研究生宿舍楼</x:v>
      </x:c>
      <x:c r="I1467" s="14" t="str">
        <x:v>否</x:v>
      </x:c>
      <x:c r="J1467" s="14" t="n">
        <x:v>8</x:v>
      </x:c>
      <x:c r="K1467" s="14" t="str">
        <x:v>理学院</x:v>
      </x:c>
      <x:c r="L1467" s="14" t="n">
        <x:v>10</x:v>
      </x:c>
      <x:c r="M1467" s="14" t="str">
        <x:v>10:20</x:v>
      </x:c>
      <x:c r="N1467" s="14" t="str">
        <x:v>否</x:v>
      </x:c>
      <x:c r="O1467" s="14" t="str">
        <x:v>否</x:v>
      </x:c>
      <x:c r="P1467" s="14" t="str">
        <x:v>刘晓燕</x:v>
      </x:c>
      <x:c r="Q1467" s="14" t="str">
        <x:v>4号车</x:v>
      </x:c>
      <x:c r="R1467" s="14" t="str">
        <x:v>预测</x:v>
      </x:c>
      <x:c r="S1467" s="14" t="str">
        <x:v>到站时间为估算值</x:v>
      </x:c>
      <x:c r="T1467" t="str">
        <x:v>研究生宿舍楼发车</x:v>
      </x:c>
    </x:row>
    <x:row r="1468">
      <x:c r="A1468" s="14" t="str">
        <x:v>S0126-09</x:v>
      </x:c>
      <x:c r="B1468" s="14" t="str">
        <x:v>S0126</x:v>
      </x:c>
      <x:c r="C1468" s="14" t="str">
        <x:v>工作日</x:v>
      </x:c>
      <x:c r="D1468" s="14" t="str">
        <x:v>环线3路</x:v>
      </x:c>
      <x:c r="E1468" s="14" t="str">
        <x:v>第三班</x:v>
      </x:c>
      <x:c r="F1468" s="14" t="n">
        <x:v>5</x:v>
      </x:c>
      <x:c r="G1468" s="14" t="str">
        <x:v>10:10</x:v>
      </x:c>
      <x:c r="H1468" s="14" t="str">
        <x:v>研究生宿舍楼</x:v>
      </x:c>
      <x:c r="I1468" s="14" t="str">
        <x:v>否</x:v>
      </x:c>
      <x:c r="J1468" s="14" t="n">
        <x:v>9</x:v>
      </x:c>
      <x:c r="K1468" s="14" t="str">
        <x:v>二食堂</x:v>
      </x:c>
      <x:c r="L1468" s="14" t="n">
        <x:v>13</x:v>
      </x:c>
      <x:c r="M1468" s="14" t="str">
        <x:v>10:23</x:v>
      </x:c>
      <x:c r="N1468" s="14" t="str">
        <x:v>否</x:v>
      </x:c>
      <x:c r="O1468" s="14" t="str">
        <x:v>否</x:v>
      </x:c>
      <x:c r="P1468" s="14" t="str">
        <x:v>刘晓燕</x:v>
      </x:c>
      <x:c r="Q1468" s="14" t="str">
        <x:v>4号车</x:v>
      </x:c>
      <x:c r="R1468" s="14" t="str">
        <x:v>预测</x:v>
      </x:c>
      <x:c r="S1468" s="14" t="str">
        <x:v>到站时间为估算值</x:v>
      </x:c>
      <x:c r="T1468" t="str">
        <x:v>研究生宿舍楼发车</x:v>
      </x:c>
    </x:row>
    <x:row r="1469">
      <x:c r="A1469" s="14" t="str">
        <x:v>S0126-10</x:v>
      </x:c>
      <x:c r="B1469" s="14" t="str">
        <x:v>S0126</x:v>
      </x:c>
      <x:c r="C1469" s="14" t="str">
        <x:v>工作日</x:v>
      </x:c>
      <x:c r="D1469" s="14" t="str">
        <x:v>环线3路</x:v>
      </x:c>
      <x:c r="E1469" s="14" t="str">
        <x:v>第三班</x:v>
      </x:c>
      <x:c r="F1469" s="14" t="n">
        <x:v>5</x:v>
      </x:c>
      <x:c r="G1469" s="14" t="str">
        <x:v>10:10</x:v>
      </x:c>
      <x:c r="H1469" s="14" t="str">
        <x:v>研究生宿舍楼</x:v>
      </x:c>
      <x:c r="I1469" s="14" t="str">
        <x:v>否</x:v>
      </x:c>
      <x:c r="J1469" s="14" t="n">
        <x:v>10</x:v>
      </x:c>
      <x:c r="K1469" s="14" t="str">
        <x:v>图书馆</x:v>
      </x:c>
      <x:c r="L1469" s="14" t="n">
        <x:v>14</x:v>
      </x:c>
      <x:c r="M1469" s="14" t="str">
        <x:v>10:24</x:v>
      </x:c>
      <x:c r="N1469" s="14" t="str">
        <x:v>否</x:v>
      </x:c>
      <x:c r="O1469" s="14" t="str">
        <x:v>否</x:v>
      </x:c>
      <x:c r="P1469" s="14" t="str">
        <x:v>刘晓燕</x:v>
      </x:c>
      <x:c r="Q1469" s="14" t="str">
        <x:v>4号车</x:v>
      </x:c>
      <x:c r="R1469" s="14" t="str">
        <x:v>预测</x:v>
      </x:c>
      <x:c r="S1469" s="14" t="str">
        <x:v>到站时间为估算值</x:v>
      </x:c>
      <x:c r="T1469" t="str">
        <x:v>研究生宿舍楼发车</x:v>
      </x:c>
    </x:row>
    <x:row r="1470">
      <x:c r="A1470" s="14" t="str">
        <x:v>S0126-11</x:v>
      </x:c>
      <x:c r="B1470" s="14" t="str">
        <x:v>S0126</x:v>
      </x:c>
      <x:c r="C1470" s="14" t="str">
        <x:v>工作日</x:v>
      </x:c>
      <x:c r="D1470" s="14" t="str">
        <x:v>环线3路</x:v>
      </x:c>
      <x:c r="E1470" s="14" t="str">
        <x:v>第三班</x:v>
      </x:c>
      <x:c r="F1470" s="14" t="n">
        <x:v>5</x:v>
      </x:c>
      <x:c r="G1470" s="14" t="str">
        <x:v>10:10</x:v>
      </x:c>
      <x:c r="H1470" s="14" t="str">
        <x:v>研究生宿舍楼</x:v>
      </x:c>
      <x:c r="I1470" s="14" t="str">
        <x:v>否</x:v>
      </x:c>
      <x:c r="J1470" s="14" t="n">
        <x:v>11</x:v>
      </x:c>
      <x:c r="K1470" s="14" t="str">
        <x:v>305教学楼</x:v>
      </x:c>
      <x:c r="L1470" s="14" t="n">
        <x:v>16</x:v>
      </x:c>
      <x:c r="M1470" s="14" t="str">
        <x:v>10:26</x:v>
      </x:c>
      <x:c r="N1470" s="14" t="str">
        <x:v>否</x:v>
      </x:c>
      <x:c r="O1470" s="14" t="str">
        <x:v>否</x:v>
      </x:c>
      <x:c r="P1470" s="14" t="str">
        <x:v>刘晓燕</x:v>
      </x:c>
      <x:c r="Q1470" s="14" t="str">
        <x:v>4号车</x:v>
      </x:c>
      <x:c r="R1470" s="14" t="str">
        <x:v>预测</x:v>
      </x:c>
      <x:c r="S1470" s="14" t="str">
        <x:v>到站时间为估算值</x:v>
      </x:c>
      <x:c r="T1470" t="str">
        <x:v>研究生宿舍楼发车</x:v>
      </x:c>
    </x:row>
    <x:row r="1471">
      <x:c r="A1471" s="14" t="str">
        <x:v>S0126-12</x:v>
      </x:c>
      <x:c r="B1471" s="14" t="str">
        <x:v>S0126</x:v>
      </x:c>
      <x:c r="C1471" s="14" t="str">
        <x:v>工作日</x:v>
      </x:c>
      <x:c r="D1471" s="14" t="str">
        <x:v>环线3路</x:v>
      </x:c>
      <x:c r="E1471" s="14" t="str">
        <x:v>第三班</x:v>
      </x:c>
      <x:c r="F1471" s="14" t="n">
        <x:v>5</x:v>
      </x:c>
      <x:c r="G1471" s="14" t="str">
        <x:v>10:10</x:v>
      </x:c>
      <x:c r="H1471" s="14" t="str">
        <x:v>研究生宿舍楼</x:v>
      </x:c>
      <x:c r="I1471" s="14" t="str">
        <x:v>否</x:v>
      </x:c>
      <x:c r="J1471" s="14" t="n">
        <x:v>12</x:v>
      </x:c>
      <x:c r="K1471" s="14" t="str">
        <x:v>研究生宿舍楼</x:v>
      </x:c>
      <x:c r="L1471" s="14" t="n">
        <x:v>18</x:v>
      </x:c>
      <x:c r="M1471" s="14" t="str">
        <x:v>10:28</x:v>
      </x:c>
      <x:c r="N1471" s="14" t="str">
        <x:v>否</x:v>
      </x:c>
      <x:c r="O1471" s="14" t="str">
        <x:v>是</x:v>
      </x:c>
      <x:c r="P1471" s="14" t="str">
        <x:v>刘晓燕</x:v>
      </x:c>
      <x:c r="Q1471" s="14" t="str">
        <x:v>4号车</x:v>
      </x:c>
      <x:c r="R1471" s="14" t="str">
        <x:v>预测</x:v>
      </x:c>
      <x:c r="S1471" s="14" t="str">
        <x:v>到站时间为估算值</x:v>
      </x:c>
      <x:c r="T1471" t="str">
        <x:v>研究生宿舍楼发车</x:v>
      </x:c>
    </x:row>
    <x:row r="1472">
      <x:c r="A1472" s="14" t="str">
        <x:v>S0127-01</x:v>
      </x:c>
      <x:c r="B1472" s="14" t="str">
        <x:v>S0127</x:v>
      </x:c>
      <x:c r="C1472" s="14" t="str">
        <x:v>工作日</x:v>
      </x:c>
      <x:c r="D1472" s="14" t="str">
        <x:v>环线3路</x:v>
      </x:c>
      <x:c r="E1472" s="14" t="str">
        <x:v>第三班</x:v>
      </x:c>
      <x:c r="F1472" s="14" t="n">
        <x:v>6</x:v>
      </x:c>
      <x:c r="G1472" s="14" t="str">
        <x:v>10:45</x:v>
      </x:c>
      <x:c r="H1472" s="14" t="str">
        <x:v>高超楼（系统工程学院旁）</x:v>
      </x:c>
      <x:c r="I1472" s="14" t="str">
        <x:v>是</x:v>
      </x:c>
      <x:c r="J1472" s="14" t="n">
        <x:v>1</x:v>
      </x:c>
      <x:c r="K1472" s="14" t="str">
        <x:v>高超楼</x:v>
      </x:c>
      <x:c r="L1472" s="14" t="n">
        <x:v>0</x:v>
      </x:c>
      <x:c r="M1472" s="14" t="str">
        <x:v>10:45</x:v>
      </x:c>
      <x:c r="N1472" s="14" t="str">
        <x:v>是</x:v>
      </x:c>
      <x:c r="O1472" s="14" t="str">
        <x:v>否</x:v>
      </x:c>
      <x:c r="P1472" s="14" t="str">
        <x:v>刘晓燕</x:v>
      </x:c>
      <x:c r="Q1472" s="14" t="str">
        <x:v>4号车</x:v>
      </x:c>
      <x:c r="R1472" s="14" t="str">
        <x:v>预测</x:v>
      </x:c>
      <x:c r="S1472" s="14" t="str">
        <x:v>到站时间为估算值</x:v>
      </x:c>
      <x:c r="T1472" t="str">
        <x:v>高超楼发车</x:v>
      </x:c>
    </x:row>
    <x:row r="1473">
      <x:c r="A1473" s="14" t="str">
        <x:v>S0127-02</x:v>
      </x:c>
      <x:c r="B1473" s="14" t="str">
        <x:v>S0127</x:v>
      </x:c>
      <x:c r="C1473" s="14" t="str">
        <x:v>工作日</x:v>
      </x:c>
      <x:c r="D1473" s="14" t="str">
        <x:v>环线3路</x:v>
      </x:c>
      <x:c r="E1473" s="14" t="str">
        <x:v>第三班</x:v>
      </x:c>
      <x:c r="F1473" s="14" t="n">
        <x:v>6</x:v>
      </x:c>
      <x:c r="G1473" s="14" t="str">
        <x:v>10:45</x:v>
      </x:c>
      <x:c r="H1473" s="14" t="str">
        <x:v>高超楼（系统工程学院旁）</x:v>
      </x:c>
      <x:c r="I1473" s="14" t="str">
        <x:v>是</x:v>
      </x:c>
      <x:c r="J1473" s="14" t="n">
        <x:v>2</x:v>
      </x:c>
      <x:c r="K1473" s="14" t="str">
        <x:v>理学院</x:v>
      </x:c>
      <x:c r="L1473" s="14" t="n">
        <x:v>1</x:v>
      </x:c>
      <x:c r="M1473" s="14" t="str">
        <x:v>10:46</x:v>
      </x:c>
      <x:c r="N1473" s="14" t="str">
        <x:v>否</x:v>
      </x:c>
      <x:c r="O1473" s="14" t="str">
        <x:v>否</x:v>
      </x:c>
      <x:c r="P1473" s="14" t="str">
        <x:v>刘晓燕</x:v>
      </x:c>
      <x:c r="Q1473" s="14" t="str">
        <x:v>4号车</x:v>
      </x:c>
      <x:c r="R1473" s="14" t="str">
        <x:v>预测</x:v>
      </x:c>
      <x:c r="S1473" s="14" t="str">
        <x:v>到站时间为估算值</x:v>
      </x:c>
      <x:c r="T1473" t="str">
        <x:v>高超楼发车</x:v>
      </x:c>
    </x:row>
    <x:row r="1474">
      <x:c r="A1474" s="14" t="str">
        <x:v>S0127-03</x:v>
      </x:c>
      <x:c r="B1474" s="14" t="str">
        <x:v>S0127</x:v>
      </x:c>
      <x:c r="C1474" s="14" t="str">
        <x:v>工作日</x:v>
      </x:c>
      <x:c r="D1474" s="14" t="str">
        <x:v>环线3路</x:v>
      </x:c>
      <x:c r="E1474" s="14" t="str">
        <x:v>第三班</x:v>
      </x:c>
      <x:c r="F1474" s="14" t="n">
        <x:v>6</x:v>
      </x:c>
      <x:c r="G1474" s="14" t="str">
        <x:v>10:45</x:v>
      </x:c>
      <x:c r="H1474" s="14" t="str">
        <x:v>高超楼（系统工程学院旁）</x:v>
      </x:c>
      <x:c r="I1474" s="14" t="str">
        <x:v>是</x:v>
      </x:c>
      <x:c r="J1474" s="14" t="n">
        <x:v>3</x:v>
      </x:c>
      <x:c r="K1474" s="14" t="str">
        <x:v>二食堂</x:v>
      </x:c>
      <x:c r="L1474" s="14" t="n">
        <x:v>4</x:v>
      </x:c>
      <x:c r="M1474" s="14" t="str">
        <x:v>10:49</x:v>
      </x:c>
      <x:c r="N1474" s="14" t="str">
        <x:v>否</x:v>
      </x:c>
      <x:c r="O1474" s="14" t="str">
        <x:v>否</x:v>
      </x:c>
      <x:c r="P1474" s="14" t="str">
        <x:v>刘晓燕</x:v>
      </x:c>
      <x:c r="Q1474" s="14" t="str">
        <x:v>4号车</x:v>
      </x:c>
      <x:c r="R1474" s="14" t="str">
        <x:v>预测</x:v>
      </x:c>
      <x:c r="S1474" s="14" t="str">
        <x:v>到站时间为估算值</x:v>
      </x:c>
      <x:c r="T1474" t="str">
        <x:v>高超楼发车</x:v>
      </x:c>
    </x:row>
    <x:row r="1475">
      <x:c r="A1475" s="14" t="str">
        <x:v>S0127-04</x:v>
      </x:c>
      <x:c r="B1475" s="14" t="str">
        <x:v>S0127</x:v>
      </x:c>
      <x:c r="C1475" s="14" t="str">
        <x:v>工作日</x:v>
      </x:c>
      <x:c r="D1475" s="14" t="str">
        <x:v>环线3路</x:v>
      </x:c>
      <x:c r="E1475" s="14" t="str">
        <x:v>第三班</x:v>
      </x:c>
      <x:c r="F1475" s="14" t="n">
        <x:v>6</x:v>
      </x:c>
      <x:c r="G1475" s="14" t="str">
        <x:v>10:45</x:v>
      </x:c>
      <x:c r="H1475" s="14" t="str">
        <x:v>高超楼（系统工程学院旁）</x:v>
      </x:c>
      <x:c r="I1475" s="14" t="str">
        <x:v>是</x:v>
      </x:c>
      <x:c r="J1475" s="14" t="n">
        <x:v>4</x:v>
      </x:c>
      <x:c r="K1475" s="14" t="str">
        <x:v>图书馆</x:v>
      </x:c>
      <x:c r="L1475" s="14" t="n">
        <x:v>5</x:v>
      </x:c>
      <x:c r="M1475" s="14" t="str">
        <x:v>10:50</x:v>
      </x:c>
      <x:c r="N1475" s="14" t="str">
        <x:v>否</x:v>
      </x:c>
      <x:c r="O1475" s="14" t="str">
        <x:v>否</x:v>
      </x:c>
      <x:c r="P1475" s="14" t="str">
        <x:v>刘晓燕</x:v>
      </x:c>
      <x:c r="Q1475" s="14" t="str">
        <x:v>4号车</x:v>
      </x:c>
      <x:c r="R1475" s="14" t="str">
        <x:v>预测</x:v>
      </x:c>
      <x:c r="S1475" s="14" t="str">
        <x:v>到站时间为估算值</x:v>
      </x:c>
      <x:c r="T1475" t="str">
        <x:v>高超楼发车</x:v>
      </x:c>
    </x:row>
    <x:row r="1476">
      <x:c r="A1476" s="14" t="str">
        <x:v>S0127-05</x:v>
      </x:c>
      <x:c r="B1476" s="14" t="str">
        <x:v>S0127</x:v>
      </x:c>
      <x:c r="C1476" s="14" t="str">
        <x:v>工作日</x:v>
      </x:c>
      <x:c r="D1476" s="14" t="str">
        <x:v>环线3路</x:v>
      </x:c>
      <x:c r="E1476" s="14" t="str">
        <x:v>第三班</x:v>
      </x:c>
      <x:c r="F1476" s="14" t="n">
        <x:v>6</x:v>
      </x:c>
      <x:c r="G1476" s="14" t="str">
        <x:v>10:45</x:v>
      </x:c>
      <x:c r="H1476" s="14" t="str">
        <x:v>高超楼（系统工程学院旁）</x:v>
      </x:c>
      <x:c r="I1476" s="14" t="str">
        <x:v>是</x:v>
      </x:c>
      <x:c r="J1476" s="14" t="n">
        <x:v>5</x:v>
      </x:c>
      <x:c r="K1476" s="14" t="str">
        <x:v>305教学楼</x:v>
      </x:c>
      <x:c r="L1476" s="14" t="n">
        <x:v>7</x:v>
      </x:c>
      <x:c r="M1476" s="14" t="str">
        <x:v>10:52</x:v>
      </x:c>
      <x:c r="N1476" s="14" t="str">
        <x:v>否</x:v>
      </x:c>
      <x:c r="O1476" s="14" t="str">
        <x:v>否</x:v>
      </x:c>
      <x:c r="P1476" s="14" t="str">
        <x:v>刘晓燕</x:v>
      </x:c>
      <x:c r="Q1476" s="14" t="str">
        <x:v>4号车</x:v>
      </x:c>
      <x:c r="R1476" s="14" t="str">
        <x:v>预测</x:v>
      </x:c>
      <x:c r="S1476" s="14" t="str">
        <x:v>到站时间为估算值</x:v>
      </x:c>
      <x:c r="T1476" t="str">
        <x:v>高超楼发车</x:v>
      </x:c>
    </x:row>
    <x:row r="1477">
      <x:c r="A1477" s="14" t="str">
        <x:v>S0127-06</x:v>
      </x:c>
      <x:c r="B1477" s="14" t="str">
        <x:v>S0127</x:v>
      </x:c>
      <x:c r="C1477" s="14" t="str">
        <x:v>工作日</x:v>
      </x:c>
      <x:c r="D1477" s="14" t="str">
        <x:v>环线3路</x:v>
      </x:c>
      <x:c r="E1477" s="14" t="str">
        <x:v>第三班</x:v>
      </x:c>
      <x:c r="F1477" s="14" t="n">
        <x:v>6</x:v>
      </x:c>
      <x:c r="G1477" s="14" t="str">
        <x:v>10:45</x:v>
      </x:c>
      <x:c r="H1477" s="14" t="str">
        <x:v>高超楼（系统工程学院旁）</x:v>
      </x:c>
      <x:c r="I1477" s="14" t="str">
        <x:v>是</x:v>
      </x:c>
      <x:c r="J1477" s="14" t="n">
        <x:v>6</x:v>
      </x:c>
      <x:c r="K1477" s="14" t="str">
        <x:v>研究生宿舍楼</x:v>
      </x:c>
      <x:c r="L1477" s="14" t="n">
        <x:v>9</x:v>
      </x:c>
      <x:c r="M1477" s="14" t="str">
        <x:v>10:54</x:v>
      </x:c>
      <x:c r="N1477" s="14" t="str">
        <x:v>否</x:v>
      </x:c>
      <x:c r="O1477" s="14" t="str">
        <x:v>否</x:v>
      </x:c>
      <x:c r="P1477" s="14" t="str">
        <x:v>刘晓燕</x:v>
      </x:c>
      <x:c r="Q1477" s="14" t="str">
        <x:v>4号车</x:v>
      </x:c>
      <x:c r="R1477" s="14" t="str">
        <x:v>预测</x:v>
      </x:c>
      <x:c r="S1477" s="14" t="str">
        <x:v>到站时间为估算值</x:v>
      </x:c>
      <x:c r="T1477" t="str">
        <x:v>高超楼发车</x:v>
      </x:c>
    </x:row>
    <x:row r="1478">
      <x:c r="A1478" s="14" t="str">
        <x:v>S0127-07</x:v>
      </x:c>
      <x:c r="B1478" s="14" t="str">
        <x:v>S0127</x:v>
      </x:c>
      <x:c r="C1478" s="14" t="str">
        <x:v>工作日</x:v>
      </x:c>
      <x:c r="D1478" s="14" t="str">
        <x:v>环线3路</x:v>
      </x:c>
      <x:c r="E1478" s="14" t="str">
        <x:v>第三班</x:v>
      </x:c>
      <x:c r="F1478" s="14" t="n">
        <x:v>6</x:v>
      </x:c>
      <x:c r="G1478" s="14" t="str">
        <x:v>10:45</x:v>
      </x:c>
      <x:c r="H1478" s="14" t="str">
        <x:v>高超楼（系统工程学院旁）</x:v>
      </x:c>
      <x:c r="I1478" s="14" t="str">
        <x:v>是</x:v>
      </x:c>
      <x:c r="J1478" s="14" t="n">
        <x:v>7</x:v>
      </x:c>
      <x:c r="K1478" s="14" t="str">
        <x:v>一食堂</x:v>
      </x:c>
      <x:c r="L1478" s="14" t="n">
        <x:v>10</x:v>
      </x:c>
      <x:c r="M1478" s="14" t="str">
        <x:v>10:55</x:v>
      </x:c>
      <x:c r="N1478" s="14" t="str">
        <x:v>否</x:v>
      </x:c>
      <x:c r="O1478" s="14" t="str">
        <x:v>否</x:v>
      </x:c>
      <x:c r="P1478" s="14" t="str">
        <x:v>刘晓燕</x:v>
      </x:c>
      <x:c r="Q1478" s="14" t="str">
        <x:v>4号车</x:v>
      </x:c>
      <x:c r="R1478" s="14" t="str">
        <x:v>预测</x:v>
      </x:c>
      <x:c r="S1478" s="14" t="str">
        <x:v>到站时间为估算值</x:v>
      </x:c>
      <x:c r="T1478" t="str">
        <x:v>高超楼发车</x:v>
      </x:c>
    </x:row>
    <x:row r="1479">
      <x:c r="A1479" s="14" t="str">
        <x:v>S0127-08</x:v>
      </x:c>
      <x:c r="B1479" s="14" t="str">
        <x:v>S0127</x:v>
      </x:c>
      <x:c r="C1479" s="14" t="str">
        <x:v>工作日</x:v>
      </x:c>
      <x:c r="D1479" s="14" t="str">
        <x:v>环线3路</x:v>
      </x:c>
      <x:c r="E1479" s="14" t="str">
        <x:v>第三班</x:v>
      </x:c>
      <x:c r="F1479" s="14" t="n">
        <x:v>6</x:v>
      </x:c>
      <x:c r="G1479" s="14" t="str">
        <x:v>10:45</x:v>
      </x:c>
      <x:c r="H1479" s="14" t="str">
        <x:v>高超楼（系统工程学院旁）</x:v>
      </x:c>
      <x:c r="I1479" s="14" t="str">
        <x:v>是</x:v>
      </x:c>
      <x:c r="J1479" s="14" t="n">
        <x:v>8</x:v>
      </x:c>
      <x:c r="K1479" s="14" t="str">
        <x:v>2号宿舍楼</x:v>
      </x:c>
      <x:c r="L1479" s="14" t="n">
        <x:v>12</x:v>
      </x:c>
      <x:c r="M1479" s="14" t="str">
        <x:v>10:57</x:v>
      </x:c>
      <x:c r="N1479" s="14" t="str">
        <x:v>否</x:v>
      </x:c>
      <x:c r="O1479" s="14" t="str">
        <x:v>否</x:v>
      </x:c>
      <x:c r="P1479" s="14" t="str">
        <x:v>刘晓燕</x:v>
      </x:c>
      <x:c r="Q1479" s="14" t="str">
        <x:v>4号车</x:v>
      </x:c>
      <x:c r="R1479" s="14" t="str">
        <x:v>预测</x:v>
      </x:c>
      <x:c r="S1479" s="14" t="str">
        <x:v>到站时间为估算值</x:v>
      </x:c>
      <x:c r="T1479" t="str">
        <x:v>高超楼发车</x:v>
      </x:c>
    </x:row>
    <x:row r="1480">
      <x:c r="A1480" s="14" t="str">
        <x:v>S0127-09</x:v>
      </x:c>
      <x:c r="B1480" s="14" t="str">
        <x:v>S0127</x:v>
      </x:c>
      <x:c r="C1480" s="14" t="str">
        <x:v>工作日</x:v>
      </x:c>
      <x:c r="D1480" s="14" t="str">
        <x:v>环线3路</x:v>
      </x:c>
      <x:c r="E1480" s="14" t="str">
        <x:v>第三班</x:v>
      </x:c>
      <x:c r="F1480" s="14" t="n">
        <x:v>6</x:v>
      </x:c>
      <x:c r="G1480" s="14" t="str">
        <x:v>10:45</x:v>
      </x:c>
      <x:c r="H1480" s="14" t="str">
        <x:v>高超楼（系统工程学院旁）</x:v>
      </x:c>
      <x:c r="I1480" s="14" t="str">
        <x:v>是</x:v>
      </x:c>
      <x:c r="J1480" s="14" t="n">
        <x:v>9</x:v>
      </x:c>
      <x:c r="K1480" s="14" t="str">
        <x:v>军体活动中心</x:v>
      </x:c>
      <x:c r="L1480" s="14" t="n">
        <x:v>13</x:v>
      </x:c>
      <x:c r="M1480" s="14" t="str">
        <x:v>10:58</x:v>
      </x:c>
      <x:c r="N1480" s="14" t="str">
        <x:v>否</x:v>
      </x:c>
      <x:c r="O1480" s="14" t="str">
        <x:v>否</x:v>
      </x:c>
      <x:c r="P1480" s="14" t="str">
        <x:v>刘晓燕</x:v>
      </x:c>
      <x:c r="Q1480" s="14" t="str">
        <x:v>4号车</x:v>
      </x:c>
      <x:c r="R1480" s="14" t="str">
        <x:v>预测</x:v>
      </x:c>
      <x:c r="S1480" s="14" t="str">
        <x:v>到站时间为估算值</x:v>
      </x:c>
      <x:c r="T1480" t="str">
        <x:v>高超楼发车</x:v>
      </x:c>
    </x:row>
    <x:row r="1481">
      <x:c r="A1481" s="14" t="str">
        <x:v>S0127-10</x:v>
      </x:c>
      <x:c r="B1481" s="14" t="str">
        <x:v>S0127</x:v>
      </x:c>
      <x:c r="C1481" s="14" t="str">
        <x:v>工作日</x:v>
      </x:c>
      <x:c r="D1481" s="14" t="str">
        <x:v>环线3路</x:v>
      </x:c>
      <x:c r="E1481" s="14" t="str">
        <x:v>第三班</x:v>
      </x:c>
      <x:c r="F1481" s="14" t="n">
        <x:v>6</x:v>
      </x:c>
      <x:c r="G1481" s="14" t="str">
        <x:v>10:45</x:v>
      </x:c>
      <x:c r="H1481" s="14" t="str">
        <x:v>高超楼（系统工程学院旁）</x:v>
      </x:c>
      <x:c r="I1481" s="14" t="str">
        <x:v>是</x:v>
      </x:c>
      <x:c r="J1481" s="14" t="n">
        <x:v>10</x:v>
      </x:c>
      <x:c r="K1481" s="14" t="str">
        <x:v>教勤连</x:v>
      </x:c>
      <x:c r="L1481" s="14" t="n">
        <x:v>15</x:v>
      </x:c>
      <x:c r="M1481" s="14" t="str">
        <x:v>11:00</x:v>
      </x:c>
      <x:c r="N1481" s="14" t="str">
        <x:v>否</x:v>
      </x:c>
      <x:c r="O1481" s="14" t="str">
        <x:v>否</x:v>
      </x:c>
      <x:c r="P1481" s="14" t="str">
        <x:v>刘晓燕</x:v>
      </x:c>
      <x:c r="Q1481" s="14" t="str">
        <x:v>4号车</x:v>
      </x:c>
      <x:c r="R1481" s="14" t="str">
        <x:v>预测</x:v>
      </x:c>
      <x:c r="S1481" s="14" t="str">
        <x:v>到站时间为估算值</x:v>
      </x:c>
      <x:c r="T1481" t="str">
        <x:v>高超楼发车</x:v>
      </x:c>
    </x:row>
    <x:row r="1482">
      <x:c r="A1482" s="14" t="str">
        <x:v>S0127-11</x:v>
      </x:c>
      <x:c r="B1482" s="14" t="str">
        <x:v>S0127</x:v>
      </x:c>
      <x:c r="C1482" s="14" t="str">
        <x:v>工作日</x:v>
      </x:c>
      <x:c r="D1482" s="14" t="str">
        <x:v>环线3路</x:v>
      </x:c>
      <x:c r="E1482" s="14" t="str">
        <x:v>第三班</x:v>
      </x:c>
      <x:c r="F1482" s="14" t="n">
        <x:v>6</x:v>
      </x:c>
      <x:c r="G1482" s="14" t="str">
        <x:v>10:45</x:v>
      </x:c>
      <x:c r="H1482" s="14" t="str">
        <x:v>高超楼（系统工程学院旁）</x:v>
      </x:c>
      <x:c r="I1482" s="14" t="str">
        <x:v>是</x:v>
      </x:c>
      <x:c r="J1482" s="14" t="n">
        <x:v>11</x:v>
      </x:c>
      <x:c r="K1482" s="14" t="str">
        <x:v>激光所</x:v>
      </x:c>
      <x:c r="L1482" s="14" t="n">
        <x:v>16</x:v>
      </x:c>
      <x:c r="M1482" s="14" t="str">
        <x:v>11:01</x:v>
      </x:c>
      <x:c r="N1482" s="14" t="str">
        <x:v>否</x:v>
      </x:c>
      <x:c r="O1482" s="14" t="str">
        <x:v>否</x:v>
      </x:c>
      <x:c r="P1482" s="14" t="str">
        <x:v>刘晓燕</x:v>
      </x:c>
      <x:c r="Q1482" s="14" t="str">
        <x:v>4号车</x:v>
      </x:c>
      <x:c r="R1482" s="14" t="str">
        <x:v>预测</x:v>
      </x:c>
      <x:c r="S1482" s="14" t="str">
        <x:v>到站时间为估算值</x:v>
      </x:c>
      <x:c r="T1482" t="str">
        <x:v>高超楼发车</x:v>
      </x:c>
    </x:row>
    <x:row r="1483">
      <x:c r="A1483" s="14" t="str">
        <x:v>S0127-12</x:v>
      </x:c>
      <x:c r="B1483" s="14" t="str">
        <x:v>S0127</x:v>
      </x:c>
      <x:c r="C1483" s="14" t="str">
        <x:v>工作日</x:v>
      </x:c>
      <x:c r="D1483" s="14" t="str">
        <x:v>环线3路</x:v>
      </x:c>
      <x:c r="E1483" s="14" t="str">
        <x:v>第三班</x:v>
      </x:c>
      <x:c r="F1483" s="14" t="n">
        <x:v>6</x:v>
      </x:c>
      <x:c r="G1483" s="14" t="str">
        <x:v>10:45</x:v>
      </x:c>
      <x:c r="H1483" s="14" t="str">
        <x:v>高超楼（系统工程学院旁）</x:v>
      </x:c>
      <x:c r="I1483" s="14" t="str">
        <x:v>是</x:v>
      </x:c>
      <x:c r="J1483" s="14" t="n">
        <x:v>12</x:v>
      </x:c>
      <x:c r="K1483" s="14" t="str">
        <x:v>高超楼</x:v>
      </x:c>
      <x:c r="L1483" s="14" t="n">
        <x:v>18</x:v>
      </x:c>
      <x:c r="M1483" s="14" t="str">
        <x:v>11:03</x:v>
      </x:c>
      <x:c r="N1483" s="14" t="str">
        <x:v>否</x:v>
      </x:c>
      <x:c r="O1483" s="14" t="str">
        <x:v>是</x:v>
      </x:c>
      <x:c r="P1483" s="14" t="str">
        <x:v>刘晓燕</x:v>
      </x:c>
      <x:c r="Q1483" s="14" t="str">
        <x:v>4号车</x:v>
      </x:c>
      <x:c r="R1483" s="14" t="str">
        <x:v>预测</x:v>
      </x:c>
      <x:c r="S1483" s="14" t="str">
        <x:v>到站时间为估算值</x:v>
      </x:c>
      <x:c r="T1483" t="str">
        <x:v>高超楼发车</x:v>
      </x:c>
    </x:row>
    <x:row r="1484">
      <x:c r="A1484" s="14" t="str">
        <x:v>S0128-01</x:v>
      </x:c>
      <x:c r="B1484" s="14" t="str">
        <x:v>S0128</x:v>
      </x:c>
      <x:c r="C1484" s="14" t="str">
        <x:v>工作日</x:v>
      </x:c>
      <x:c r="D1484" s="14" t="str">
        <x:v>环线3路</x:v>
      </x:c>
      <x:c r="E1484" s="14" t="str">
        <x:v>第三班</x:v>
      </x:c>
      <x:c r="F1484" s="14" t="n">
        <x:v>7</x:v>
      </x:c>
      <x:c r="G1484" s="14" t="str">
        <x:v>11:35</x:v>
      </x:c>
      <x:c r="H1484" s="14" t="str">
        <x:v>研究生宿舍楼</x:v>
      </x:c>
      <x:c r="I1484" s="14" t="str">
        <x:v>否</x:v>
      </x:c>
      <x:c r="J1484" s="14" t="n">
        <x:v>1</x:v>
      </x:c>
      <x:c r="K1484" s="14" t="str">
        <x:v>研究生宿舍楼</x:v>
      </x:c>
      <x:c r="L1484" s="14" t="n">
        <x:v>0</x:v>
      </x:c>
      <x:c r="M1484" s="14" t="str">
        <x:v>11:35</x:v>
      </x:c>
      <x:c r="N1484" s="14" t="str">
        <x:v>是</x:v>
      </x:c>
      <x:c r="O1484" s="14" t="str">
        <x:v>否</x:v>
      </x:c>
      <x:c r="P1484" s="14" t="str">
        <x:v>刘晓燕</x:v>
      </x:c>
      <x:c r="Q1484" s="14" t="str">
        <x:v>4号车</x:v>
      </x:c>
      <x:c r="R1484" s="14" t="str">
        <x:v>预测</x:v>
      </x:c>
      <x:c r="S1484" s="14" t="str">
        <x:v>到站时间为估算值</x:v>
      </x:c>
      <x:c r="T1484" t="str">
        <x:v>研究生宿舍楼发车</x:v>
      </x:c>
    </x:row>
    <x:row r="1485">
      <x:c r="A1485" s="14" t="str">
        <x:v>S0128-02</x:v>
      </x:c>
      <x:c r="B1485" s="14" t="str">
        <x:v>S0128</x:v>
      </x:c>
      <x:c r="C1485" s="14" t="str">
        <x:v>工作日</x:v>
      </x:c>
      <x:c r="D1485" s="14" t="str">
        <x:v>环线3路</x:v>
      </x:c>
      <x:c r="E1485" s="14" t="str">
        <x:v>第三班</x:v>
      </x:c>
      <x:c r="F1485" s="14" t="n">
        <x:v>7</x:v>
      </x:c>
      <x:c r="G1485" s="14" t="str">
        <x:v>11:35</x:v>
      </x:c>
      <x:c r="H1485" s="14" t="str">
        <x:v>研究生宿舍楼</x:v>
      </x:c>
      <x:c r="I1485" s="14" t="str">
        <x:v>否</x:v>
      </x:c>
      <x:c r="J1485" s="14" t="n">
        <x:v>2</x:v>
      </x:c>
      <x:c r="K1485" s="14" t="str">
        <x:v>一食堂</x:v>
      </x:c>
      <x:c r="L1485" s="14" t="n">
        <x:v>1</x:v>
      </x:c>
      <x:c r="M1485" s="14" t="str">
        <x:v>11:36</x:v>
      </x:c>
      <x:c r="N1485" s="14" t="str">
        <x:v>否</x:v>
      </x:c>
      <x:c r="O1485" s="14" t="str">
        <x:v>否</x:v>
      </x:c>
      <x:c r="P1485" s="14" t="str">
        <x:v>刘晓燕</x:v>
      </x:c>
      <x:c r="Q1485" s="14" t="str">
        <x:v>4号车</x:v>
      </x:c>
      <x:c r="R1485" s="14" t="str">
        <x:v>预测</x:v>
      </x:c>
      <x:c r="S1485" s="14" t="str">
        <x:v>到站时间为估算值</x:v>
      </x:c>
      <x:c r="T1485" t="str">
        <x:v>研究生宿舍楼发车</x:v>
      </x:c>
    </x:row>
    <x:row r="1486">
      <x:c r="A1486" s="14" t="str">
        <x:v>S0128-03</x:v>
      </x:c>
      <x:c r="B1486" s="14" t="str">
        <x:v>S0128</x:v>
      </x:c>
      <x:c r="C1486" s="14" t="str">
        <x:v>工作日</x:v>
      </x:c>
      <x:c r="D1486" s="14" t="str">
        <x:v>环线3路</x:v>
      </x:c>
      <x:c r="E1486" s="14" t="str">
        <x:v>第三班</x:v>
      </x:c>
      <x:c r="F1486" s="14" t="n">
        <x:v>7</x:v>
      </x:c>
      <x:c r="G1486" s="14" t="str">
        <x:v>11:35</x:v>
      </x:c>
      <x:c r="H1486" s="14" t="str">
        <x:v>研究生宿舍楼</x:v>
      </x:c>
      <x:c r="I1486" s="14" t="str">
        <x:v>否</x:v>
      </x:c>
      <x:c r="J1486" s="14" t="n">
        <x:v>3</x:v>
      </x:c>
      <x:c r="K1486" s="14" t="str">
        <x:v>2号宿舍楼</x:v>
      </x:c>
      <x:c r="L1486" s="14" t="n">
        <x:v>3</x:v>
      </x:c>
      <x:c r="M1486" s="14" t="str">
        <x:v>11:38</x:v>
      </x:c>
      <x:c r="N1486" s="14" t="str">
        <x:v>否</x:v>
      </x:c>
      <x:c r="O1486" s="14" t="str">
        <x:v>否</x:v>
      </x:c>
      <x:c r="P1486" s="14" t="str">
        <x:v>刘晓燕</x:v>
      </x:c>
      <x:c r="Q1486" s="14" t="str">
        <x:v>4号车</x:v>
      </x:c>
      <x:c r="R1486" s="14" t="str">
        <x:v>预测</x:v>
      </x:c>
      <x:c r="S1486" s="14" t="str">
        <x:v>到站时间为估算值</x:v>
      </x:c>
      <x:c r="T1486" t="str">
        <x:v>研究生宿舍楼发车</x:v>
      </x:c>
    </x:row>
    <x:row r="1487">
      <x:c r="A1487" s="14" t="str">
        <x:v>S0128-04</x:v>
      </x:c>
      <x:c r="B1487" s="14" t="str">
        <x:v>S0128</x:v>
      </x:c>
      <x:c r="C1487" s="14" t="str">
        <x:v>工作日</x:v>
      </x:c>
      <x:c r="D1487" s="14" t="str">
        <x:v>环线3路</x:v>
      </x:c>
      <x:c r="E1487" s="14" t="str">
        <x:v>第三班</x:v>
      </x:c>
      <x:c r="F1487" s="14" t="n">
        <x:v>7</x:v>
      </x:c>
      <x:c r="G1487" s="14" t="str">
        <x:v>11:35</x:v>
      </x:c>
      <x:c r="H1487" s="14" t="str">
        <x:v>研究生宿舍楼</x:v>
      </x:c>
      <x:c r="I1487" s="14" t="str">
        <x:v>否</x:v>
      </x:c>
      <x:c r="J1487" s="14" t="n">
        <x:v>4</x:v>
      </x:c>
      <x:c r="K1487" s="14" t="str">
        <x:v>军体活动中心</x:v>
      </x:c>
      <x:c r="L1487" s="14" t="n">
        <x:v>4</x:v>
      </x:c>
      <x:c r="M1487" s="14" t="str">
        <x:v>11:39</x:v>
      </x:c>
      <x:c r="N1487" s="14" t="str">
        <x:v>否</x:v>
      </x:c>
      <x:c r="O1487" s="14" t="str">
        <x:v>否</x:v>
      </x:c>
      <x:c r="P1487" s="14" t="str">
        <x:v>刘晓燕</x:v>
      </x:c>
      <x:c r="Q1487" s="14" t="str">
        <x:v>4号车</x:v>
      </x:c>
      <x:c r="R1487" s="14" t="str">
        <x:v>预测</x:v>
      </x:c>
      <x:c r="S1487" s="14" t="str">
        <x:v>到站时间为估算值</x:v>
      </x:c>
      <x:c r="T1487" t="str">
        <x:v>研究生宿舍楼发车</x:v>
      </x:c>
    </x:row>
    <x:row r="1488">
      <x:c r="A1488" s="14" t="str">
        <x:v>S0128-05</x:v>
      </x:c>
      <x:c r="B1488" s="14" t="str">
        <x:v>S0128</x:v>
      </x:c>
      <x:c r="C1488" s="14" t="str">
        <x:v>工作日</x:v>
      </x:c>
      <x:c r="D1488" s="14" t="str">
        <x:v>环线3路</x:v>
      </x:c>
      <x:c r="E1488" s="14" t="str">
        <x:v>第三班</x:v>
      </x:c>
      <x:c r="F1488" s="14" t="n">
        <x:v>7</x:v>
      </x:c>
      <x:c r="G1488" s="14" t="str">
        <x:v>11:35</x:v>
      </x:c>
      <x:c r="H1488" s="14" t="str">
        <x:v>研究生宿舍楼</x:v>
      </x:c>
      <x:c r="I1488" s="14" t="str">
        <x:v>否</x:v>
      </x:c>
      <x:c r="J1488" s="14" t="n">
        <x:v>5</x:v>
      </x:c>
      <x:c r="K1488" s="14" t="str">
        <x:v>教勤连</x:v>
      </x:c>
      <x:c r="L1488" s="14" t="n">
        <x:v>6</x:v>
      </x:c>
      <x:c r="M1488" s="14" t="str">
        <x:v>11:41</x:v>
      </x:c>
      <x:c r="N1488" s="14" t="str">
        <x:v>否</x:v>
      </x:c>
      <x:c r="O1488" s="14" t="str">
        <x:v>否</x:v>
      </x:c>
      <x:c r="P1488" s="14" t="str">
        <x:v>刘晓燕</x:v>
      </x:c>
      <x:c r="Q1488" s="14" t="str">
        <x:v>4号车</x:v>
      </x:c>
      <x:c r="R1488" s="14" t="str">
        <x:v>预测</x:v>
      </x:c>
      <x:c r="S1488" s="14" t="str">
        <x:v>到站时间为估算值</x:v>
      </x:c>
      <x:c r="T1488" t="str">
        <x:v>研究生宿舍楼发车</x:v>
      </x:c>
    </x:row>
    <x:row r="1489">
      <x:c r="A1489" s="14" t="str">
        <x:v>S0128-06</x:v>
      </x:c>
      <x:c r="B1489" s="14" t="str">
        <x:v>S0128</x:v>
      </x:c>
      <x:c r="C1489" s="14" t="str">
        <x:v>工作日</x:v>
      </x:c>
      <x:c r="D1489" s="14" t="str">
        <x:v>环线3路</x:v>
      </x:c>
      <x:c r="E1489" s="14" t="str">
        <x:v>第三班</x:v>
      </x:c>
      <x:c r="F1489" s="14" t="n">
        <x:v>7</x:v>
      </x:c>
      <x:c r="G1489" s="14" t="str">
        <x:v>11:35</x:v>
      </x:c>
      <x:c r="H1489" s="14" t="str">
        <x:v>研究生宿舍楼</x:v>
      </x:c>
      <x:c r="I1489" s="14" t="str">
        <x:v>否</x:v>
      </x:c>
      <x:c r="J1489" s="14" t="n">
        <x:v>6</x:v>
      </x:c>
      <x:c r="K1489" s="14" t="str">
        <x:v>激光所</x:v>
      </x:c>
      <x:c r="L1489" s="14" t="n">
        <x:v>7</x:v>
      </x:c>
      <x:c r="M1489" s="14" t="str">
        <x:v>11:42</x:v>
      </x:c>
      <x:c r="N1489" s="14" t="str">
        <x:v>否</x:v>
      </x:c>
      <x:c r="O1489" s="14" t="str">
        <x:v>否</x:v>
      </x:c>
      <x:c r="P1489" s="14" t="str">
        <x:v>刘晓燕</x:v>
      </x:c>
      <x:c r="Q1489" s="14" t="str">
        <x:v>4号车</x:v>
      </x:c>
      <x:c r="R1489" s="14" t="str">
        <x:v>预测</x:v>
      </x:c>
      <x:c r="S1489" s="14" t="str">
        <x:v>到站时间为估算值</x:v>
      </x:c>
      <x:c r="T1489" t="str">
        <x:v>研究生宿舍楼发车</x:v>
      </x:c>
    </x:row>
    <x:row r="1490">
      <x:c r="A1490" s="14" t="str">
        <x:v>S0128-07</x:v>
      </x:c>
      <x:c r="B1490" s="14" t="str">
        <x:v>S0128</x:v>
      </x:c>
      <x:c r="C1490" s="14" t="str">
        <x:v>工作日</x:v>
      </x:c>
      <x:c r="D1490" s="14" t="str">
        <x:v>环线3路</x:v>
      </x:c>
      <x:c r="E1490" s="14" t="str">
        <x:v>第三班</x:v>
      </x:c>
      <x:c r="F1490" s="14" t="n">
        <x:v>7</x:v>
      </x:c>
      <x:c r="G1490" s="14" t="str">
        <x:v>11:35</x:v>
      </x:c>
      <x:c r="H1490" s="14" t="str">
        <x:v>研究生宿舍楼</x:v>
      </x:c>
      <x:c r="I1490" s="14" t="str">
        <x:v>否</x:v>
      </x:c>
      <x:c r="J1490" s="14" t="n">
        <x:v>7</x:v>
      </x:c>
      <x:c r="K1490" s="14" t="str">
        <x:v>高超楼</x:v>
      </x:c>
      <x:c r="L1490" s="14" t="n">
        <x:v>9</x:v>
      </x:c>
      <x:c r="M1490" s="14" t="str">
        <x:v>11:44</x:v>
      </x:c>
      <x:c r="N1490" s="14" t="str">
        <x:v>否</x:v>
      </x:c>
      <x:c r="O1490" s="14" t="str">
        <x:v>否</x:v>
      </x:c>
      <x:c r="P1490" s="14" t="str">
        <x:v>刘晓燕</x:v>
      </x:c>
      <x:c r="Q1490" s="14" t="str">
        <x:v>4号车</x:v>
      </x:c>
      <x:c r="R1490" s="14" t="str">
        <x:v>预测</x:v>
      </x:c>
      <x:c r="S1490" s="14" t="str">
        <x:v>到站时间为估算值</x:v>
      </x:c>
      <x:c r="T1490" t="str">
        <x:v>研究生宿舍楼发车</x:v>
      </x:c>
    </x:row>
    <x:row r="1491">
      <x:c r="A1491" s="14" t="str">
        <x:v>S0128-08</x:v>
      </x:c>
      <x:c r="B1491" s="14" t="str">
        <x:v>S0128</x:v>
      </x:c>
      <x:c r="C1491" s="14" t="str">
        <x:v>工作日</x:v>
      </x:c>
      <x:c r="D1491" s="14" t="str">
        <x:v>环线3路</x:v>
      </x:c>
      <x:c r="E1491" s="14" t="str">
        <x:v>第三班</x:v>
      </x:c>
      <x:c r="F1491" s="14" t="n">
        <x:v>7</x:v>
      </x:c>
      <x:c r="G1491" s="14" t="str">
        <x:v>11:35</x:v>
      </x:c>
      <x:c r="H1491" s="14" t="str">
        <x:v>研究生宿舍楼</x:v>
      </x:c>
      <x:c r="I1491" s="14" t="str">
        <x:v>否</x:v>
      </x:c>
      <x:c r="J1491" s="14" t="n">
        <x:v>8</x:v>
      </x:c>
      <x:c r="K1491" s="14" t="str">
        <x:v>理学院</x:v>
      </x:c>
      <x:c r="L1491" s="14" t="n">
        <x:v>10</x:v>
      </x:c>
      <x:c r="M1491" s="14" t="str">
        <x:v>11:45</x:v>
      </x:c>
      <x:c r="N1491" s="14" t="str">
        <x:v>否</x:v>
      </x:c>
      <x:c r="O1491" s="14" t="str">
        <x:v>否</x:v>
      </x:c>
      <x:c r="P1491" s="14" t="str">
        <x:v>刘晓燕</x:v>
      </x:c>
      <x:c r="Q1491" s="14" t="str">
        <x:v>4号车</x:v>
      </x:c>
      <x:c r="R1491" s="14" t="str">
        <x:v>预测</x:v>
      </x:c>
      <x:c r="S1491" s="14" t="str">
        <x:v>到站时间为估算值</x:v>
      </x:c>
      <x:c r="T1491" t="str">
        <x:v>研究生宿舍楼发车</x:v>
      </x:c>
    </x:row>
    <x:row r="1492">
      <x:c r="A1492" s="14" t="str">
        <x:v>S0128-09</x:v>
      </x:c>
      <x:c r="B1492" s="14" t="str">
        <x:v>S0128</x:v>
      </x:c>
      <x:c r="C1492" s="14" t="str">
        <x:v>工作日</x:v>
      </x:c>
      <x:c r="D1492" s="14" t="str">
        <x:v>环线3路</x:v>
      </x:c>
      <x:c r="E1492" s="14" t="str">
        <x:v>第三班</x:v>
      </x:c>
      <x:c r="F1492" s="14" t="n">
        <x:v>7</x:v>
      </x:c>
      <x:c r="G1492" s="14" t="str">
        <x:v>11:35</x:v>
      </x:c>
      <x:c r="H1492" s="14" t="str">
        <x:v>研究生宿舍楼</x:v>
      </x:c>
      <x:c r="I1492" s="14" t="str">
        <x:v>否</x:v>
      </x:c>
      <x:c r="J1492" s="14" t="n">
        <x:v>9</x:v>
      </x:c>
      <x:c r="K1492" s="14" t="str">
        <x:v>二食堂</x:v>
      </x:c>
      <x:c r="L1492" s="14" t="n">
        <x:v>13</x:v>
      </x:c>
      <x:c r="M1492" s="14" t="str">
        <x:v>11:48</x:v>
      </x:c>
      <x:c r="N1492" s="14" t="str">
        <x:v>否</x:v>
      </x:c>
      <x:c r="O1492" s="14" t="str">
        <x:v>否</x:v>
      </x:c>
      <x:c r="P1492" s="14" t="str">
        <x:v>刘晓燕</x:v>
      </x:c>
      <x:c r="Q1492" s="14" t="str">
        <x:v>4号车</x:v>
      </x:c>
      <x:c r="R1492" s="14" t="str">
        <x:v>预测</x:v>
      </x:c>
      <x:c r="S1492" s="14" t="str">
        <x:v>到站时间为估算值</x:v>
      </x:c>
      <x:c r="T1492" t="str">
        <x:v>研究生宿舍楼发车</x:v>
      </x:c>
    </x:row>
    <x:row r="1493">
      <x:c r="A1493" s="14" t="str">
        <x:v>S0128-10</x:v>
      </x:c>
      <x:c r="B1493" s="14" t="str">
        <x:v>S0128</x:v>
      </x:c>
      <x:c r="C1493" s="14" t="str">
        <x:v>工作日</x:v>
      </x:c>
      <x:c r="D1493" s="14" t="str">
        <x:v>环线3路</x:v>
      </x:c>
      <x:c r="E1493" s="14" t="str">
        <x:v>第三班</x:v>
      </x:c>
      <x:c r="F1493" s="14" t="n">
        <x:v>7</x:v>
      </x:c>
      <x:c r="G1493" s="14" t="str">
        <x:v>11:35</x:v>
      </x:c>
      <x:c r="H1493" s="14" t="str">
        <x:v>研究生宿舍楼</x:v>
      </x:c>
      <x:c r="I1493" s="14" t="str">
        <x:v>否</x:v>
      </x:c>
      <x:c r="J1493" s="14" t="n">
        <x:v>10</x:v>
      </x:c>
      <x:c r="K1493" s="14" t="str">
        <x:v>图书馆</x:v>
      </x:c>
      <x:c r="L1493" s="14" t="n">
        <x:v>14</x:v>
      </x:c>
      <x:c r="M1493" s="14" t="str">
        <x:v>11:49</x:v>
      </x:c>
      <x:c r="N1493" s="14" t="str">
        <x:v>否</x:v>
      </x:c>
      <x:c r="O1493" s="14" t="str">
        <x:v>否</x:v>
      </x:c>
      <x:c r="P1493" s="14" t="str">
        <x:v>刘晓燕</x:v>
      </x:c>
      <x:c r="Q1493" s="14" t="str">
        <x:v>4号车</x:v>
      </x:c>
      <x:c r="R1493" s="14" t="str">
        <x:v>预测</x:v>
      </x:c>
      <x:c r="S1493" s="14" t="str">
        <x:v>到站时间为估算值</x:v>
      </x:c>
      <x:c r="T1493" t="str">
        <x:v>研究生宿舍楼发车</x:v>
      </x:c>
    </x:row>
    <x:row r="1494">
      <x:c r="A1494" s="14" t="str">
        <x:v>S0128-11</x:v>
      </x:c>
      <x:c r="B1494" s="14" t="str">
        <x:v>S0128</x:v>
      </x:c>
      <x:c r="C1494" s="14" t="str">
        <x:v>工作日</x:v>
      </x:c>
      <x:c r="D1494" s="14" t="str">
        <x:v>环线3路</x:v>
      </x:c>
      <x:c r="E1494" s="14" t="str">
        <x:v>第三班</x:v>
      </x:c>
      <x:c r="F1494" s="14" t="n">
        <x:v>7</x:v>
      </x:c>
      <x:c r="G1494" s="14" t="str">
        <x:v>11:35</x:v>
      </x:c>
      <x:c r="H1494" s="14" t="str">
        <x:v>研究生宿舍楼</x:v>
      </x:c>
      <x:c r="I1494" s="14" t="str">
        <x:v>否</x:v>
      </x:c>
      <x:c r="J1494" s="14" t="n">
        <x:v>11</x:v>
      </x:c>
      <x:c r="K1494" s="14" t="str">
        <x:v>305教学楼</x:v>
      </x:c>
      <x:c r="L1494" s="14" t="n">
        <x:v>16</x:v>
      </x:c>
      <x:c r="M1494" s="14" t="str">
        <x:v>11:51</x:v>
      </x:c>
      <x:c r="N1494" s="14" t="str">
        <x:v>否</x:v>
      </x:c>
      <x:c r="O1494" s="14" t="str">
        <x:v>否</x:v>
      </x:c>
      <x:c r="P1494" s="14" t="str">
        <x:v>刘晓燕</x:v>
      </x:c>
      <x:c r="Q1494" s="14" t="str">
        <x:v>4号车</x:v>
      </x:c>
      <x:c r="R1494" s="14" t="str">
        <x:v>预测</x:v>
      </x:c>
      <x:c r="S1494" s="14" t="str">
        <x:v>到站时间为估算值</x:v>
      </x:c>
      <x:c r="T1494" t="str">
        <x:v>研究生宿舍楼发车</x:v>
      </x:c>
    </x:row>
    <x:row r="1495">
      <x:c r="A1495" s="14" t="str">
        <x:v>S0128-12</x:v>
      </x:c>
      <x:c r="B1495" s="14" t="str">
        <x:v>S0128</x:v>
      </x:c>
      <x:c r="C1495" s="14" t="str">
        <x:v>工作日</x:v>
      </x:c>
      <x:c r="D1495" s="14" t="str">
        <x:v>环线3路</x:v>
      </x:c>
      <x:c r="E1495" s="14" t="str">
        <x:v>第三班</x:v>
      </x:c>
      <x:c r="F1495" s="14" t="n">
        <x:v>7</x:v>
      </x:c>
      <x:c r="G1495" s="14" t="str">
        <x:v>11:35</x:v>
      </x:c>
      <x:c r="H1495" s="14" t="str">
        <x:v>研究生宿舍楼</x:v>
      </x:c>
      <x:c r="I1495" s="14" t="str">
        <x:v>否</x:v>
      </x:c>
      <x:c r="J1495" s="14" t="n">
        <x:v>12</x:v>
      </x:c>
      <x:c r="K1495" s="14" t="str">
        <x:v>研究生宿舍楼</x:v>
      </x:c>
      <x:c r="L1495" s="14" t="n">
        <x:v>18</x:v>
      </x:c>
      <x:c r="M1495" s="14" t="str">
        <x:v>11:53</x:v>
      </x:c>
      <x:c r="N1495" s="14" t="str">
        <x:v>否</x:v>
      </x:c>
      <x:c r="O1495" s="14" t="str">
        <x:v>是</x:v>
      </x:c>
      <x:c r="P1495" s="14" t="str">
        <x:v>刘晓燕</x:v>
      </x:c>
      <x:c r="Q1495" s="14" t="str">
        <x:v>4号车</x:v>
      </x:c>
      <x:c r="R1495" s="14" t="str">
        <x:v>预测</x:v>
      </x:c>
      <x:c r="S1495" s="14" t="str">
        <x:v>到站时间为估算值</x:v>
      </x:c>
      <x:c r="T1495" t="str">
        <x:v>研究生宿舍楼发车</x:v>
      </x:c>
    </x:row>
    <x:row r="1496">
      <x:c r="A1496" s="14" t="str">
        <x:v>S0129-01</x:v>
      </x:c>
      <x:c r="B1496" s="14" t="str">
        <x:v>S0129</x:v>
      </x:c>
      <x:c r="C1496" s="14" t="str">
        <x:v>工作日</x:v>
      </x:c>
      <x:c r="D1496" s="14" t="str">
        <x:v>环线3路</x:v>
      </x:c>
      <x:c r="E1496" s="14" t="str">
        <x:v>第三班</x:v>
      </x:c>
      <x:c r="F1496" s="14" t="n">
        <x:v>8</x:v>
      </x:c>
      <x:c r="G1496" s="14" t="str">
        <x:v>12:20</x:v>
      </x:c>
      <x:c r="H1496" s="14" t="str">
        <x:v>研究生宿舍楼</x:v>
      </x:c>
      <x:c r="I1496" s="14" t="str">
        <x:v>否</x:v>
      </x:c>
      <x:c r="J1496" s="14" t="n">
        <x:v>1</x:v>
      </x:c>
      <x:c r="K1496" s="14" t="str">
        <x:v>研究生宿舍楼</x:v>
      </x:c>
      <x:c r="L1496" s="14" t="n">
        <x:v>0</x:v>
      </x:c>
      <x:c r="M1496" s="14" t="str">
        <x:v>12:20</x:v>
      </x:c>
      <x:c r="N1496" s="14" t="str">
        <x:v>是</x:v>
      </x:c>
      <x:c r="O1496" s="14" t="str">
        <x:v>否</x:v>
      </x:c>
      <x:c r="P1496" s="14" t="str">
        <x:v>刘晓燕</x:v>
      </x:c>
      <x:c r="Q1496" s="14" t="str">
        <x:v>4号车</x:v>
      </x:c>
      <x:c r="R1496" s="14" t="str">
        <x:v>预测</x:v>
      </x:c>
      <x:c r="S1496" s="14" t="str">
        <x:v>到站时间为估算值</x:v>
      </x:c>
      <x:c r="T1496" t="str">
        <x:v>研究生宿舍楼发车</x:v>
      </x:c>
    </x:row>
    <x:row r="1497">
      <x:c r="A1497" s="14" t="str">
        <x:v>S0129-02</x:v>
      </x:c>
      <x:c r="B1497" s="14" t="str">
        <x:v>S0129</x:v>
      </x:c>
      <x:c r="C1497" s="14" t="str">
        <x:v>工作日</x:v>
      </x:c>
      <x:c r="D1497" s="14" t="str">
        <x:v>环线3路</x:v>
      </x:c>
      <x:c r="E1497" s="14" t="str">
        <x:v>第三班</x:v>
      </x:c>
      <x:c r="F1497" s="14" t="n">
        <x:v>8</x:v>
      </x:c>
      <x:c r="G1497" s="14" t="str">
        <x:v>12:20</x:v>
      </x:c>
      <x:c r="H1497" s="14" t="str">
        <x:v>研究生宿舍楼</x:v>
      </x:c>
      <x:c r="I1497" s="14" t="str">
        <x:v>否</x:v>
      </x:c>
      <x:c r="J1497" s="14" t="n">
        <x:v>2</x:v>
      </x:c>
      <x:c r="K1497" s="14" t="str">
        <x:v>一食堂</x:v>
      </x:c>
      <x:c r="L1497" s="14" t="n">
        <x:v>1</x:v>
      </x:c>
      <x:c r="M1497" s="14" t="str">
        <x:v>12:21</x:v>
      </x:c>
      <x:c r="N1497" s="14" t="str">
        <x:v>否</x:v>
      </x:c>
      <x:c r="O1497" s="14" t="str">
        <x:v>否</x:v>
      </x:c>
      <x:c r="P1497" s="14" t="str">
        <x:v>刘晓燕</x:v>
      </x:c>
      <x:c r="Q1497" s="14" t="str">
        <x:v>4号车</x:v>
      </x:c>
      <x:c r="R1497" s="14" t="str">
        <x:v>预测</x:v>
      </x:c>
      <x:c r="S1497" s="14" t="str">
        <x:v>到站时间为估算值</x:v>
      </x:c>
      <x:c r="T1497" t="str">
        <x:v>研究生宿舍楼发车</x:v>
      </x:c>
    </x:row>
    <x:row r="1498">
      <x:c r="A1498" s="14" t="str">
        <x:v>S0129-03</x:v>
      </x:c>
      <x:c r="B1498" s="14" t="str">
        <x:v>S0129</x:v>
      </x:c>
      <x:c r="C1498" s="14" t="str">
        <x:v>工作日</x:v>
      </x:c>
      <x:c r="D1498" s="14" t="str">
        <x:v>环线3路</x:v>
      </x:c>
      <x:c r="E1498" s="14" t="str">
        <x:v>第三班</x:v>
      </x:c>
      <x:c r="F1498" s="14" t="n">
        <x:v>8</x:v>
      </x:c>
      <x:c r="G1498" s="14" t="str">
        <x:v>12:20</x:v>
      </x:c>
      <x:c r="H1498" s="14" t="str">
        <x:v>研究生宿舍楼</x:v>
      </x:c>
      <x:c r="I1498" s="14" t="str">
        <x:v>否</x:v>
      </x:c>
      <x:c r="J1498" s="14" t="n">
        <x:v>3</x:v>
      </x:c>
      <x:c r="K1498" s="14" t="str">
        <x:v>2号宿舍楼</x:v>
      </x:c>
      <x:c r="L1498" s="14" t="n">
        <x:v>3</x:v>
      </x:c>
      <x:c r="M1498" s="14" t="str">
        <x:v>12:23</x:v>
      </x:c>
      <x:c r="N1498" s="14" t="str">
        <x:v>否</x:v>
      </x:c>
      <x:c r="O1498" s="14" t="str">
        <x:v>否</x:v>
      </x:c>
      <x:c r="P1498" s="14" t="str">
        <x:v>刘晓燕</x:v>
      </x:c>
      <x:c r="Q1498" s="14" t="str">
        <x:v>4号车</x:v>
      </x:c>
      <x:c r="R1498" s="14" t="str">
        <x:v>预测</x:v>
      </x:c>
      <x:c r="S1498" s="14" t="str">
        <x:v>到站时间为估算值</x:v>
      </x:c>
      <x:c r="T1498" t="str">
        <x:v>研究生宿舍楼发车</x:v>
      </x:c>
    </x:row>
    <x:row r="1499">
      <x:c r="A1499" s="14" t="str">
        <x:v>S0129-04</x:v>
      </x:c>
      <x:c r="B1499" s="14" t="str">
        <x:v>S0129</x:v>
      </x:c>
      <x:c r="C1499" s="14" t="str">
        <x:v>工作日</x:v>
      </x:c>
      <x:c r="D1499" s="14" t="str">
        <x:v>环线3路</x:v>
      </x:c>
      <x:c r="E1499" s="14" t="str">
        <x:v>第三班</x:v>
      </x:c>
      <x:c r="F1499" s="14" t="n">
        <x:v>8</x:v>
      </x:c>
      <x:c r="G1499" s="14" t="str">
        <x:v>12:20</x:v>
      </x:c>
      <x:c r="H1499" s="14" t="str">
        <x:v>研究生宿舍楼</x:v>
      </x:c>
      <x:c r="I1499" s="14" t="str">
        <x:v>否</x:v>
      </x:c>
      <x:c r="J1499" s="14" t="n">
        <x:v>4</x:v>
      </x:c>
      <x:c r="K1499" s="14" t="str">
        <x:v>军体活动中心</x:v>
      </x:c>
      <x:c r="L1499" s="14" t="n">
        <x:v>4</x:v>
      </x:c>
      <x:c r="M1499" s="14" t="str">
        <x:v>12:24</x:v>
      </x:c>
      <x:c r="N1499" s="14" t="str">
        <x:v>否</x:v>
      </x:c>
      <x:c r="O1499" s="14" t="str">
        <x:v>否</x:v>
      </x:c>
      <x:c r="P1499" s="14" t="str">
        <x:v>刘晓燕</x:v>
      </x:c>
      <x:c r="Q1499" s="14" t="str">
        <x:v>4号车</x:v>
      </x:c>
      <x:c r="R1499" s="14" t="str">
        <x:v>预测</x:v>
      </x:c>
      <x:c r="S1499" s="14" t="str">
        <x:v>到站时间为估算值</x:v>
      </x:c>
      <x:c r="T1499" t="str">
        <x:v>研究生宿舍楼发车</x:v>
      </x:c>
    </x:row>
    <x:row r="1500">
      <x:c r="A1500" s="14" t="str">
        <x:v>S0129-05</x:v>
      </x:c>
      <x:c r="B1500" s="14" t="str">
        <x:v>S0129</x:v>
      </x:c>
      <x:c r="C1500" s="14" t="str">
        <x:v>工作日</x:v>
      </x:c>
      <x:c r="D1500" s="14" t="str">
        <x:v>环线3路</x:v>
      </x:c>
      <x:c r="E1500" s="14" t="str">
        <x:v>第三班</x:v>
      </x:c>
      <x:c r="F1500" s="14" t="n">
        <x:v>8</x:v>
      </x:c>
      <x:c r="G1500" s="14" t="str">
        <x:v>12:20</x:v>
      </x:c>
      <x:c r="H1500" s="14" t="str">
        <x:v>研究生宿舍楼</x:v>
      </x:c>
      <x:c r="I1500" s="14" t="str">
        <x:v>否</x:v>
      </x:c>
      <x:c r="J1500" s="14" t="n">
        <x:v>5</x:v>
      </x:c>
      <x:c r="K1500" s="14" t="str">
        <x:v>教勤连</x:v>
      </x:c>
      <x:c r="L1500" s="14" t="n">
        <x:v>6</x:v>
      </x:c>
      <x:c r="M1500" s="14" t="str">
        <x:v>12:26</x:v>
      </x:c>
      <x:c r="N1500" s="14" t="str">
        <x:v>否</x:v>
      </x:c>
      <x:c r="O1500" s="14" t="str">
        <x:v>否</x:v>
      </x:c>
      <x:c r="P1500" s="14" t="str">
        <x:v>刘晓燕</x:v>
      </x:c>
      <x:c r="Q1500" s="14" t="str">
        <x:v>4号车</x:v>
      </x:c>
      <x:c r="R1500" s="14" t="str">
        <x:v>预测</x:v>
      </x:c>
      <x:c r="S1500" s="14" t="str">
        <x:v>到站时间为估算值</x:v>
      </x:c>
      <x:c r="T1500" t="str">
        <x:v>研究生宿舍楼发车</x:v>
      </x:c>
    </x:row>
    <x:row r="1501">
      <x:c r="A1501" s="14" t="str">
        <x:v>S0129-06</x:v>
      </x:c>
      <x:c r="B1501" s="14" t="str">
        <x:v>S0129</x:v>
      </x:c>
      <x:c r="C1501" s="14" t="str">
        <x:v>工作日</x:v>
      </x:c>
      <x:c r="D1501" s="14" t="str">
        <x:v>环线3路</x:v>
      </x:c>
      <x:c r="E1501" s="14" t="str">
        <x:v>第三班</x:v>
      </x:c>
      <x:c r="F1501" s="14" t="n">
        <x:v>8</x:v>
      </x:c>
      <x:c r="G1501" s="14" t="str">
        <x:v>12:20</x:v>
      </x:c>
      <x:c r="H1501" s="14" t="str">
        <x:v>研究生宿舍楼</x:v>
      </x:c>
      <x:c r="I1501" s="14" t="str">
        <x:v>否</x:v>
      </x:c>
      <x:c r="J1501" s="14" t="n">
        <x:v>6</x:v>
      </x:c>
      <x:c r="K1501" s="14" t="str">
        <x:v>激光所</x:v>
      </x:c>
      <x:c r="L1501" s="14" t="n">
        <x:v>7</x:v>
      </x:c>
      <x:c r="M1501" s="14" t="str">
        <x:v>12:27</x:v>
      </x:c>
      <x:c r="N1501" s="14" t="str">
        <x:v>否</x:v>
      </x:c>
      <x:c r="O1501" s="14" t="str">
        <x:v>否</x:v>
      </x:c>
      <x:c r="P1501" s="14" t="str">
        <x:v>刘晓燕</x:v>
      </x:c>
      <x:c r="Q1501" s="14" t="str">
        <x:v>4号车</x:v>
      </x:c>
      <x:c r="R1501" s="14" t="str">
        <x:v>预测</x:v>
      </x:c>
      <x:c r="S1501" s="14" t="str">
        <x:v>到站时间为估算值</x:v>
      </x:c>
      <x:c r="T1501" t="str">
        <x:v>研究生宿舍楼发车</x:v>
      </x:c>
    </x:row>
    <x:row r="1502">
      <x:c r="A1502" s="14" t="str">
        <x:v>S0129-07</x:v>
      </x:c>
      <x:c r="B1502" s="14" t="str">
        <x:v>S0129</x:v>
      </x:c>
      <x:c r="C1502" s="14" t="str">
        <x:v>工作日</x:v>
      </x:c>
      <x:c r="D1502" s="14" t="str">
        <x:v>环线3路</x:v>
      </x:c>
      <x:c r="E1502" s="14" t="str">
        <x:v>第三班</x:v>
      </x:c>
      <x:c r="F1502" s="14" t="n">
        <x:v>8</x:v>
      </x:c>
      <x:c r="G1502" s="14" t="str">
        <x:v>12:20</x:v>
      </x:c>
      <x:c r="H1502" s="14" t="str">
        <x:v>研究生宿舍楼</x:v>
      </x:c>
      <x:c r="I1502" s="14" t="str">
        <x:v>否</x:v>
      </x:c>
      <x:c r="J1502" s="14" t="n">
        <x:v>7</x:v>
      </x:c>
      <x:c r="K1502" s="14" t="str">
        <x:v>高超楼</x:v>
      </x:c>
      <x:c r="L1502" s="14" t="n">
        <x:v>9</x:v>
      </x:c>
      <x:c r="M1502" s="14" t="str">
        <x:v>12:29</x:v>
      </x:c>
      <x:c r="N1502" s="14" t="str">
        <x:v>否</x:v>
      </x:c>
      <x:c r="O1502" s="14" t="str">
        <x:v>否</x:v>
      </x:c>
      <x:c r="P1502" s="14" t="str">
        <x:v>刘晓燕</x:v>
      </x:c>
      <x:c r="Q1502" s="14" t="str">
        <x:v>4号车</x:v>
      </x:c>
      <x:c r="R1502" s="14" t="str">
        <x:v>预测</x:v>
      </x:c>
      <x:c r="S1502" s="14" t="str">
        <x:v>到站时间为估算值</x:v>
      </x:c>
      <x:c r="T1502" t="str">
        <x:v>研究生宿舍楼发车</x:v>
      </x:c>
    </x:row>
    <x:row r="1503">
      <x:c r="A1503" s="14" t="str">
        <x:v>S0129-08</x:v>
      </x:c>
      <x:c r="B1503" s="14" t="str">
        <x:v>S0129</x:v>
      </x:c>
      <x:c r="C1503" s="14" t="str">
        <x:v>工作日</x:v>
      </x:c>
      <x:c r="D1503" s="14" t="str">
        <x:v>环线3路</x:v>
      </x:c>
      <x:c r="E1503" s="14" t="str">
        <x:v>第三班</x:v>
      </x:c>
      <x:c r="F1503" s="14" t="n">
        <x:v>8</x:v>
      </x:c>
      <x:c r="G1503" s="14" t="str">
        <x:v>12:20</x:v>
      </x:c>
      <x:c r="H1503" s="14" t="str">
        <x:v>研究生宿舍楼</x:v>
      </x:c>
      <x:c r="I1503" s="14" t="str">
        <x:v>否</x:v>
      </x:c>
      <x:c r="J1503" s="14" t="n">
        <x:v>8</x:v>
      </x:c>
      <x:c r="K1503" s="14" t="str">
        <x:v>理学院</x:v>
      </x:c>
      <x:c r="L1503" s="14" t="n">
        <x:v>10</x:v>
      </x:c>
      <x:c r="M1503" s="14" t="str">
        <x:v>12:30</x:v>
      </x:c>
      <x:c r="N1503" s="14" t="str">
        <x:v>否</x:v>
      </x:c>
      <x:c r="O1503" s="14" t="str">
        <x:v>否</x:v>
      </x:c>
      <x:c r="P1503" s="14" t="str">
        <x:v>刘晓燕</x:v>
      </x:c>
      <x:c r="Q1503" s="14" t="str">
        <x:v>4号车</x:v>
      </x:c>
      <x:c r="R1503" s="14" t="str">
        <x:v>预测</x:v>
      </x:c>
      <x:c r="S1503" s="14" t="str">
        <x:v>到站时间为估算值</x:v>
      </x:c>
      <x:c r="T1503" t="str">
        <x:v>研究生宿舍楼发车</x:v>
      </x:c>
    </x:row>
    <x:row r="1504">
      <x:c r="A1504" s="14" t="str">
        <x:v>S0129-09</x:v>
      </x:c>
      <x:c r="B1504" s="14" t="str">
        <x:v>S0129</x:v>
      </x:c>
      <x:c r="C1504" s="14" t="str">
        <x:v>工作日</x:v>
      </x:c>
      <x:c r="D1504" s="14" t="str">
        <x:v>环线3路</x:v>
      </x:c>
      <x:c r="E1504" s="14" t="str">
        <x:v>第三班</x:v>
      </x:c>
      <x:c r="F1504" s="14" t="n">
        <x:v>8</x:v>
      </x:c>
      <x:c r="G1504" s="14" t="str">
        <x:v>12:20</x:v>
      </x:c>
      <x:c r="H1504" s="14" t="str">
        <x:v>研究生宿舍楼</x:v>
      </x:c>
      <x:c r="I1504" s="14" t="str">
        <x:v>否</x:v>
      </x:c>
      <x:c r="J1504" s="14" t="n">
        <x:v>9</x:v>
      </x:c>
      <x:c r="K1504" s="14" t="str">
        <x:v>二食堂</x:v>
      </x:c>
      <x:c r="L1504" s="14" t="n">
        <x:v>13</x:v>
      </x:c>
      <x:c r="M1504" s="14" t="str">
        <x:v>12:33</x:v>
      </x:c>
      <x:c r="N1504" s="14" t="str">
        <x:v>否</x:v>
      </x:c>
      <x:c r="O1504" s="14" t="str">
        <x:v>否</x:v>
      </x:c>
      <x:c r="P1504" s="14" t="str">
        <x:v>刘晓燕</x:v>
      </x:c>
      <x:c r="Q1504" s="14" t="str">
        <x:v>4号车</x:v>
      </x:c>
      <x:c r="R1504" s="14" t="str">
        <x:v>预测</x:v>
      </x:c>
      <x:c r="S1504" s="14" t="str">
        <x:v>到站时间为估算值</x:v>
      </x:c>
      <x:c r="T1504" t="str">
        <x:v>研究生宿舍楼发车</x:v>
      </x:c>
    </x:row>
    <x:row r="1505">
      <x:c r="A1505" s="14" t="str">
        <x:v>S0129-10</x:v>
      </x:c>
      <x:c r="B1505" s="14" t="str">
        <x:v>S0129</x:v>
      </x:c>
      <x:c r="C1505" s="14" t="str">
        <x:v>工作日</x:v>
      </x:c>
      <x:c r="D1505" s="14" t="str">
        <x:v>环线3路</x:v>
      </x:c>
      <x:c r="E1505" s="14" t="str">
        <x:v>第三班</x:v>
      </x:c>
      <x:c r="F1505" s="14" t="n">
        <x:v>8</x:v>
      </x:c>
      <x:c r="G1505" s="14" t="str">
        <x:v>12:20</x:v>
      </x:c>
      <x:c r="H1505" s="14" t="str">
        <x:v>研究生宿舍楼</x:v>
      </x:c>
      <x:c r="I1505" s="14" t="str">
        <x:v>否</x:v>
      </x:c>
      <x:c r="J1505" s="14" t="n">
        <x:v>10</x:v>
      </x:c>
      <x:c r="K1505" s="14" t="str">
        <x:v>图书馆</x:v>
      </x:c>
      <x:c r="L1505" s="14" t="n">
        <x:v>14</x:v>
      </x:c>
      <x:c r="M1505" s="14" t="str">
        <x:v>12:34</x:v>
      </x:c>
      <x:c r="N1505" s="14" t="str">
        <x:v>否</x:v>
      </x:c>
      <x:c r="O1505" s="14" t="str">
        <x:v>否</x:v>
      </x:c>
      <x:c r="P1505" s="14" t="str">
        <x:v>刘晓燕</x:v>
      </x:c>
      <x:c r="Q1505" s="14" t="str">
        <x:v>4号车</x:v>
      </x:c>
      <x:c r="R1505" s="14" t="str">
        <x:v>预测</x:v>
      </x:c>
      <x:c r="S1505" s="14" t="str">
        <x:v>到站时间为估算值</x:v>
      </x:c>
      <x:c r="T1505" t="str">
        <x:v>研究生宿舍楼发车</x:v>
      </x:c>
    </x:row>
    <x:row r="1506">
      <x:c r="A1506" s="14" t="str">
        <x:v>S0129-11</x:v>
      </x:c>
      <x:c r="B1506" s="14" t="str">
        <x:v>S0129</x:v>
      </x:c>
      <x:c r="C1506" s="14" t="str">
        <x:v>工作日</x:v>
      </x:c>
      <x:c r="D1506" s="14" t="str">
        <x:v>环线3路</x:v>
      </x:c>
      <x:c r="E1506" s="14" t="str">
        <x:v>第三班</x:v>
      </x:c>
      <x:c r="F1506" s="14" t="n">
        <x:v>8</x:v>
      </x:c>
      <x:c r="G1506" s="14" t="str">
        <x:v>12:20</x:v>
      </x:c>
      <x:c r="H1506" s="14" t="str">
        <x:v>研究生宿舍楼</x:v>
      </x:c>
      <x:c r="I1506" s="14" t="str">
        <x:v>否</x:v>
      </x:c>
      <x:c r="J1506" s="14" t="n">
        <x:v>11</x:v>
      </x:c>
      <x:c r="K1506" s="14" t="str">
        <x:v>305教学楼</x:v>
      </x:c>
      <x:c r="L1506" s="14" t="n">
        <x:v>16</x:v>
      </x:c>
      <x:c r="M1506" s="14" t="str">
        <x:v>12:36</x:v>
      </x:c>
      <x:c r="N1506" s="14" t="str">
        <x:v>否</x:v>
      </x:c>
      <x:c r="O1506" s="14" t="str">
        <x:v>否</x:v>
      </x:c>
      <x:c r="P1506" s="14" t="str">
        <x:v>刘晓燕</x:v>
      </x:c>
      <x:c r="Q1506" s="14" t="str">
        <x:v>4号车</x:v>
      </x:c>
      <x:c r="R1506" s="14" t="str">
        <x:v>预测</x:v>
      </x:c>
      <x:c r="S1506" s="14" t="str">
        <x:v>到站时间为估算值</x:v>
      </x:c>
      <x:c r="T1506" t="str">
        <x:v>研究生宿舍楼发车</x:v>
      </x:c>
    </x:row>
    <x:row r="1507">
      <x:c r="A1507" s="14" t="str">
        <x:v>S0129-12</x:v>
      </x:c>
      <x:c r="B1507" s="14" t="str">
        <x:v>S0129</x:v>
      </x:c>
      <x:c r="C1507" s="14" t="str">
        <x:v>工作日</x:v>
      </x:c>
      <x:c r="D1507" s="14" t="str">
        <x:v>环线3路</x:v>
      </x:c>
      <x:c r="E1507" s="14" t="str">
        <x:v>第三班</x:v>
      </x:c>
      <x:c r="F1507" s="14" t="n">
        <x:v>8</x:v>
      </x:c>
      <x:c r="G1507" s="14" t="str">
        <x:v>12:20</x:v>
      </x:c>
      <x:c r="H1507" s="14" t="str">
        <x:v>研究生宿舍楼</x:v>
      </x:c>
      <x:c r="I1507" s="14" t="str">
        <x:v>否</x:v>
      </x:c>
      <x:c r="J1507" s="14" t="n">
        <x:v>12</x:v>
      </x:c>
      <x:c r="K1507" s="14" t="str">
        <x:v>研究生宿舍楼</x:v>
      </x:c>
      <x:c r="L1507" s="14" t="n">
        <x:v>18</x:v>
      </x:c>
      <x:c r="M1507" s="14" t="str">
        <x:v>12:38</x:v>
      </x:c>
      <x:c r="N1507" s="14" t="str">
        <x:v>否</x:v>
      </x:c>
      <x:c r="O1507" s="14" t="str">
        <x:v>是</x:v>
      </x:c>
      <x:c r="P1507" s="14" t="str">
        <x:v>刘晓燕</x:v>
      </x:c>
      <x:c r="Q1507" s="14" t="str">
        <x:v>4号车</x:v>
      </x:c>
      <x:c r="R1507" s="14" t="str">
        <x:v>预测</x:v>
      </x:c>
      <x:c r="S1507" s="14" t="str">
        <x:v>到站时间为估算值</x:v>
      </x:c>
      <x:c r="T1507" t="str">
        <x:v>研究生宿舍楼发车</x:v>
      </x:c>
    </x:row>
    <x:row r="1508">
      <x:c r="A1508" s="14" t="str">
        <x:v>S0130-01</x:v>
      </x:c>
      <x:c r="B1508" s="14" t="str">
        <x:v>S0130</x:v>
      </x:c>
      <x:c r="C1508" s="14" t="str">
        <x:v>工作日</x:v>
      </x:c>
      <x:c r="D1508" s="14" t="str">
        <x:v>环线3路</x:v>
      </x:c>
      <x:c r="E1508" s="14" t="str">
        <x:v>第三班</x:v>
      </x:c>
      <x:c r="F1508" s="14" t="n">
        <x:v>9</x:v>
      </x:c>
      <x:c r="G1508" s="14" t="str">
        <x:v>14:25</x:v>
      </x:c>
      <x:c r="H1508" s="14" t="str">
        <x:v>研究生宿舍楼</x:v>
      </x:c>
      <x:c r="I1508" s="14" t="str">
        <x:v>否</x:v>
      </x:c>
      <x:c r="J1508" s="14" t="n">
        <x:v>1</x:v>
      </x:c>
      <x:c r="K1508" s="14" t="str">
        <x:v>研究生宿舍楼</x:v>
      </x:c>
      <x:c r="L1508" s="14" t="n">
        <x:v>0</x:v>
      </x:c>
      <x:c r="M1508" s="14" t="str">
        <x:v>14:25</x:v>
      </x:c>
      <x:c r="N1508" s="14" t="str">
        <x:v>是</x:v>
      </x:c>
      <x:c r="O1508" s="14" t="str">
        <x:v>否</x:v>
      </x:c>
      <x:c r="P1508" s="14" t="str">
        <x:v>刘晓燕</x:v>
      </x:c>
      <x:c r="Q1508" s="14" t="str">
        <x:v>4号车</x:v>
      </x:c>
      <x:c r="R1508" s="14" t="str">
        <x:v>预测</x:v>
      </x:c>
      <x:c r="S1508" s="14" t="str">
        <x:v>到站时间为估算值</x:v>
      </x:c>
      <x:c r="T1508" t="str">
        <x:v>研究生宿舍楼发车</x:v>
      </x:c>
    </x:row>
    <x:row r="1509">
      <x:c r="A1509" s="14" t="str">
        <x:v>S0130-02</x:v>
      </x:c>
      <x:c r="B1509" s="14" t="str">
        <x:v>S0130</x:v>
      </x:c>
      <x:c r="C1509" s="14" t="str">
        <x:v>工作日</x:v>
      </x:c>
      <x:c r="D1509" s="14" t="str">
        <x:v>环线3路</x:v>
      </x:c>
      <x:c r="E1509" s="14" t="str">
        <x:v>第三班</x:v>
      </x:c>
      <x:c r="F1509" s="14" t="n">
        <x:v>9</x:v>
      </x:c>
      <x:c r="G1509" s="14" t="str">
        <x:v>14:25</x:v>
      </x:c>
      <x:c r="H1509" s="14" t="str">
        <x:v>研究生宿舍楼</x:v>
      </x:c>
      <x:c r="I1509" s="14" t="str">
        <x:v>否</x:v>
      </x:c>
      <x:c r="J1509" s="14" t="n">
        <x:v>2</x:v>
      </x:c>
      <x:c r="K1509" s="14" t="str">
        <x:v>一食堂</x:v>
      </x:c>
      <x:c r="L1509" s="14" t="n">
        <x:v>1</x:v>
      </x:c>
      <x:c r="M1509" s="14" t="str">
        <x:v>14:26</x:v>
      </x:c>
      <x:c r="N1509" s="14" t="str">
        <x:v>否</x:v>
      </x:c>
      <x:c r="O1509" s="14" t="str">
        <x:v>否</x:v>
      </x:c>
      <x:c r="P1509" s="14" t="str">
        <x:v>刘晓燕</x:v>
      </x:c>
      <x:c r="Q1509" s="14" t="str">
        <x:v>4号车</x:v>
      </x:c>
      <x:c r="R1509" s="14" t="str">
        <x:v>预测</x:v>
      </x:c>
      <x:c r="S1509" s="14" t="str">
        <x:v>到站时间为估算值</x:v>
      </x:c>
      <x:c r="T1509" t="str">
        <x:v>研究生宿舍楼发车</x:v>
      </x:c>
    </x:row>
    <x:row r="1510">
      <x:c r="A1510" s="14" t="str">
        <x:v>S0130-03</x:v>
      </x:c>
      <x:c r="B1510" s="14" t="str">
        <x:v>S0130</x:v>
      </x:c>
      <x:c r="C1510" s="14" t="str">
        <x:v>工作日</x:v>
      </x:c>
      <x:c r="D1510" s="14" t="str">
        <x:v>环线3路</x:v>
      </x:c>
      <x:c r="E1510" s="14" t="str">
        <x:v>第三班</x:v>
      </x:c>
      <x:c r="F1510" s="14" t="n">
        <x:v>9</x:v>
      </x:c>
      <x:c r="G1510" s="14" t="str">
        <x:v>14:25</x:v>
      </x:c>
      <x:c r="H1510" s="14" t="str">
        <x:v>研究生宿舍楼</x:v>
      </x:c>
      <x:c r="I1510" s="14" t="str">
        <x:v>否</x:v>
      </x:c>
      <x:c r="J1510" s="14" t="n">
        <x:v>3</x:v>
      </x:c>
      <x:c r="K1510" s="14" t="str">
        <x:v>2号宿舍楼</x:v>
      </x:c>
      <x:c r="L1510" s="14" t="n">
        <x:v>3</x:v>
      </x:c>
      <x:c r="M1510" s="14" t="str">
        <x:v>14:28</x:v>
      </x:c>
      <x:c r="N1510" s="14" t="str">
        <x:v>否</x:v>
      </x:c>
      <x:c r="O1510" s="14" t="str">
        <x:v>否</x:v>
      </x:c>
      <x:c r="P1510" s="14" t="str">
        <x:v>刘晓燕</x:v>
      </x:c>
      <x:c r="Q1510" s="14" t="str">
        <x:v>4号车</x:v>
      </x:c>
      <x:c r="R1510" s="14" t="str">
        <x:v>预测</x:v>
      </x:c>
      <x:c r="S1510" s="14" t="str">
        <x:v>到站时间为估算值</x:v>
      </x:c>
      <x:c r="T1510" t="str">
        <x:v>研究生宿舍楼发车</x:v>
      </x:c>
    </x:row>
    <x:row r="1511">
      <x:c r="A1511" s="14" t="str">
        <x:v>S0130-04</x:v>
      </x:c>
      <x:c r="B1511" s="14" t="str">
        <x:v>S0130</x:v>
      </x:c>
      <x:c r="C1511" s="14" t="str">
        <x:v>工作日</x:v>
      </x:c>
      <x:c r="D1511" s="14" t="str">
        <x:v>环线3路</x:v>
      </x:c>
      <x:c r="E1511" s="14" t="str">
        <x:v>第三班</x:v>
      </x:c>
      <x:c r="F1511" s="14" t="n">
        <x:v>9</x:v>
      </x:c>
      <x:c r="G1511" s="14" t="str">
        <x:v>14:25</x:v>
      </x:c>
      <x:c r="H1511" s="14" t="str">
        <x:v>研究生宿舍楼</x:v>
      </x:c>
      <x:c r="I1511" s="14" t="str">
        <x:v>否</x:v>
      </x:c>
      <x:c r="J1511" s="14" t="n">
        <x:v>4</x:v>
      </x:c>
      <x:c r="K1511" s="14" t="str">
        <x:v>军体活动中心</x:v>
      </x:c>
      <x:c r="L1511" s="14" t="n">
        <x:v>4</x:v>
      </x:c>
      <x:c r="M1511" s="14" t="str">
        <x:v>14:29</x:v>
      </x:c>
      <x:c r="N1511" s="14" t="str">
        <x:v>否</x:v>
      </x:c>
      <x:c r="O1511" s="14" t="str">
        <x:v>否</x:v>
      </x:c>
      <x:c r="P1511" s="14" t="str">
        <x:v>刘晓燕</x:v>
      </x:c>
      <x:c r="Q1511" s="14" t="str">
        <x:v>4号车</x:v>
      </x:c>
      <x:c r="R1511" s="14" t="str">
        <x:v>预测</x:v>
      </x:c>
      <x:c r="S1511" s="14" t="str">
        <x:v>到站时间为估算值</x:v>
      </x:c>
      <x:c r="T1511" t="str">
        <x:v>研究生宿舍楼发车</x:v>
      </x:c>
    </x:row>
    <x:row r="1512">
      <x:c r="A1512" s="14" t="str">
        <x:v>S0130-05</x:v>
      </x:c>
      <x:c r="B1512" s="14" t="str">
        <x:v>S0130</x:v>
      </x:c>
      <x:c r="C1512" s="14" t="str">
        <x:v>工作日</x:v>
      </x:c>
      <x:c r="D1512" s="14" t="str">
        <x:v>环线3路</x:v>
      </x:c>
      <x:c r="E1512" s="14" t="str">
        <x:v>第三班</x:v>
      </x:c>
      <x:c r="F1512" s="14" t="n">
        <x:v>9</x:v>
      </x:c>
      <x:c r="G1512" s="14" t="str">
        <x:v>14:25</x:v>
      </x:c>
      <x:c r="H1512" s="14" t="str">
        <x:v>研究生宿舍楼</x:v>
      </x:c>
      <x:c r="I1512" s="14" t="str">
        <x:v>否</x:v>
      </x:c>
      <x:c r="J1512" s="14" t="n">
        <x:v>5</x:v>
      </x:c>
      <x:c r="K1512" s="14" t="str">
        <x:v>教勤连</x:v>
      </x:c>
      <x:c r="L1512" s="14" t="n">
        <x:v>6</x:v>
      </x:c>
      <x:c r="M1512" s="14" t="str">
        <x:v>14:31</x:v>
      </x:c>
      <x:c r="N1512" s="14" t="str">
        <x:v>否</x:v>
      </x:c>
      <x:c r="O1512" s="14" t="str">
        <x:v>否</x:v>
      </x:c>
      <x:c r="P1512" s="14" t="str">
        <x:v>刘晓燕</x:v>
      </x:c>
      <x:c r="Q1512" s="14" t="str">
        <x:v>4号车</x:v>
      </x:c>
      <x:c r="R1512" s="14" t="str">
        <x:v>预测</x:v>
      </x:c>
      <x:c r="S1512" s="14" t="str">
        <x:v>到站时间为估算值</x:v>
      </x:c>
      <x:c r="T1512" t="str">
        <x:v>研究生宿舍楼发车</x:v>
      </x:c>
    </x:row>
    <x:row r="1513">
      <x:c r="A1513" s="14" t="str">
        <x:v>S0130-06</x:v>
      </x:c>
      <x:c r="B1513" s="14" t="str">
        <x:v>S0130</x:v>
      </x:c>
      <x:c r="C1513" s="14" t="str">
        <x:v>工作日</x:v>
      </x:c>
      <x:c r="D1513" s="14" t="str">
        <x:v>环线3路</x:v>
      </x:c>
      <x:c r="E1513" s="14" t="str">
        <x:v>第三班</x:v>
      </x:c>
      <x:c r="F1513" s="14" t="n">
        <x:v>9</x:v>
      </x:c>
      <x:c r="G1513" s="14" t="str">
        <x:v>14:25</x:v>
      </x:c>
      <x:c r="H1513" s="14" t="str">
        <x:v>研究生宿舍楼</x:v>
      </x:c>
      <x:c r="I1513" s="14" t="str">
        <x:v>否</x:v>
      </x:c>
      <x:c r="J1513" s="14" t="n">
        <x:v>6</x:v>
      </x:c>
      <x:c r="K1513" s="14" t="str">
        <x:v>激光所</x:v>
      </x:c>
      <x:c r="L1513" s="14" t="n">
        <x:v>7</x:v>
      </x:c>
      <x:c r="M1513" s="14" t="str">
        <x:v>14:32</x:v>
      </x:c>
      <x:c r="N1513" s="14" t="str">
        <x:v>否</x:v>
      </x:c>
      <x:c r="O1513" s="14" t="str">
        <x:v>否</x:v>
      </x:c>
      <x:c r="P1513" s="14" t="str">
        <x:v>刘晓燕</x:v>
      </x:c>
      <x:c r="Q1513" s="14" t="str">
        <x:v>4号车</x:v>
      </x:c>
      <x:c r="R1513" s="14" t="str">
        <x:v>预测</x:v>
      </x:c>
      <x:c r="S1513" s="14" t="str">
        <x:v>到站时间为估算值</x:v>
      </x:c>
      <x:c r="T1513" t="str">
        <x:v>研究生宿舍楼发车</x:v>
      </x:c>
    </x:row>
    <x:row r="1514">
      <x:c r="A1514" s="14" t="str">
        <x:v>S0130-07</x:v>
      </x:c>
      <x:c r="B1514" s="14" t="str">
        <x:v>S0130</x:v>
      </x:c>
      <x:c r="C1514" s="14" t="str">
        <x:v>工作日</x:v>
      </x:c>
      <x:c r="D1514" s="14" t="str">
        <x:v>环线3路</x:v>
      </x:c>
      <x:c r="E1514" s="14" t="str">
        <x:v>第三班</x:v>
      </x:c>
      <x:c r="F1514" s="14" t="n">
        <x:v>9</x:v>
      </x:c>
      <x:c r="G1514" s="14" t="str">
        <x:v>14:25</x:v>
      </x:c>
      <x:c r="H1514" s="14" t="str">
        <x:v>研究生宿舍楼</x:v>
      </x:c>
      <x:c r="I1514" s="14" t="str">
        <x:v>否</x:v>
      </x:c>
      <x:c r="J1514" s="14" t="n">
        <x:v>7</x:v>
      </x:c>
      <x:c r="K1514" s="14" t="str">
        <x:v>高超楼</x:v>
      </x:c>
      <x:c r="L1514" s="14" t="n">
        <x:v>9</x:v>
      </x:c>
      <x:c r="M1514" s="14" t="str">
        <x:v>14:34</x:v>
      </x:c>
      <x:c r="N1514" s="14" t="str">
        <x:v>否</x:v>
      </x:c>
      <x:c r="O1514" s="14" t="str">
        <x:v>否</x:v>
      </x:c>
      <x:c r="P1514" s="14" t="str">
        <x:v>刘晓燕</x:v>
      </x:c>
      <x:c r="Q1514" s="14" t="str">
        <x:v>4号车</x:v>
      </x:c>
      <x:c r="R1514" s="14" t="str">
        <x:v>预测</x:v>
      </x:c>
      <x:c r="S1514" s="14" t="str">
        <x:v>到站时间为估算值</x:v>
      </x:c>
      <x:c r="T1514" t="str">
        <x:v>研究生宿舍楼发车</x:v>
      </x:c>
    </x:row>
    <x:row r="1515">
      <x:c r="A1515" s="14" t="str">
        <x:v>S0130-08</x:v>
      </x:c>
      <x:c r="B1515" s="14" t="str">
        <x:v>S0130</x:v>
      </x:c>
      <x:c r="C1515" s="14" t="str">
        <x:v>工作日</x:v>
      </x:c>
      <x:c r="D1515" s="14" t="str">
        <x:v>环线3路</x:v>
      </x:c>
      <x:c r="E1515" s="14" t="str">
        <x:v>第三班</x:v>
      </x:c>
      <x:c r="F1515" s="14" t="n">
        <x:v>9</x:v>
      </x:c>
      <x:c r="G1515" s="14" t="str">
        <x:v>14:25</x:v>
      </x:c>
      <x:c r="H1515" s="14" t="str">
        <x:v>研究生宿舍楼</x:v>
      </x:c>
      <x:c r="I1515" s="14" t="str">
        <x:v>否</x:v>
      </x:c>
      <x:c r="J1515" s="14" t="n">
        <x:v>8</x:v>
      </x:c>
      <x:c r="K1515" s="14" t="str">
        <x:v>理学院</x:v>
      </x:c>
      <x:c r="L1515" s="14" t="n">
        <x:v>10</x:v>
      </x:c>
      <x:c r="M1515" s="14" t="str">
        <x:v>14:35</x:v>
      </x:c>
      <x:c r="N1515" s="14" t="str">
        <x:v>否</x:v>
      </x:c>
      <x:c r="O1515" s="14" t="str">
        <x:v>否</x:v>
      </x:c>
      <x:c r="P1515" s="14" t="str">
        <x:v>刘晓燕</x:v>
      </x:c>
      <x:c r="Q1515" s="14" t="str">
        <x:v>4号车</x:v>
      </x:c>
      <x:c r="R1515" s="14" t="str">
        <x:v>预测</x:v>
      </x:c>
      <x:c r="S1515" s="14" t="str">
        <x:v>到站时间为估算值</x:v>
      </x:c>
      <x:c r="T1515" t="str">
        <x:v>研究生宿舍楼发车</x:v>
      </x:c>
    </x:row>
    <x:row r="1516">
      <x:c r="A1516" s="14" t="str">
        <x:v>S0130-09</x:v>
      </x:c>
      <x:c r="B1516" s="14" t="str">
        <x:v>S0130</x:v>
      </x:c>
      <x:c r="C1516" s="14" t="str">
        <x:v>工作日</x:v>
      </x:c>
      <x:c r="D1516" s="14" t="str">
        <x:v>环线3路</x:v>
      </x:c>
      <x:c r="E1516" s="14" t="str">
        <x:v>第三班</x:v>
      </x:c>
      <x:c r="F1516" s="14" t="n">
        <x:v>9</x:v>
      </x:c>
      <x:c r="G1516" s="14" t="str">
        <x:v>14:25</x:v>
      </x:c>
      <x:c r="H1516" s="14" t="str">
        <x:v>研究生宿舍楼</x:v>
      </x:c>
      <x:c r="I1516" s="14" t="str">
        <x:v>否</x:v>
      </x:c>
      <x:c r="J1516" s="14" t="n">
        <x:v>9</x:v>
      </x:c>
      <x:c r="K1516" s="14" t="str">
        <x:v>二食堂</x:v>
      </x:c>
      <x:c r="L1516" s="14" t="n">
        <x:v>13</x:v>
      </x:c>
      <x:c r="M1516" s="14" t="str">
        <x:v>14:38</x:v>
      </x:c>
      <x:c r="N1516" s="14" t="str">
        <x:v>否</x:v>
      </x:c>
      <x:c r="O1516" s="14" t="str">
        <x:v>否</x:v>
      </x:c>
      <x:c r="P1516" s="14" t="str">
        <x:v>刘晓燕</x:v>
      </x:c>
      <x:c r="Q1516" s="14" t="str">
        <x:v>4号车</x:v>
      </x:c>
      <x:c r="R1516" s="14" t="str">
        <x:v>预测</x:v>
      </x:c>
      <x:c r="S1516" s="14" t="str">
        <x:v>到站时间为估算值</x:v>
      </x:c>
      <x:c r="T1516" t="str">
        <x:v>研究生宿舍楼发车</x:v>
      </x:c>
    </x:row>
    <x:row r="1517">
      <x:c r="A1517" s="14" t="str">
        <x:v>S0130-10</x:v>
      </x:c>
      <x:c r="B1517" s="14" t="str">
        <x:v>S0130</x:v>
      </x:c>
      <x:c r="C1517" s="14" t="str">
        <x:v>工作日</x:v>
      </x:c>
      <x:c r="D1517" s="14" t="str">
        <x:v>环线3路</x:v>
      </x:c>
      <x:c r="E1517" s="14" t="str">
        <x:v>第三班</x:v>
      </x:c>
      <x:c r="F1517" s="14" t="n">
        <x:v>9</x:v>
      </x:c>
      <x:c r="G1517" s="14" t="str">
        <x:v>14:25</x:v>
      </x:c>
      <x:c r="H1517" s="14" t="str">
        <x:v>研究生宿舍楼</x:v>
      </x:c>
      <x:c r="I1517" s="14" t="str">
        <x:v>否</x:v>
      </x:c>
      <x:c r="J1517" s="14" t="n">
        <x:v>10</x:v>
      </x:c>
      <x:c r="K1517" s="14" t="str">
        <x:v>图书馆</x:v>
      </x:c>
      <x:c r="L1517" s="14" t="n">
        <x:v>14</x:v>
      </x:c>
      <x:c r="M1517" s="14" t="str">
        <x:v>14:39</x:v>
      </x:c>
      <x:c r="N1517" s="14" t="str">
        <x:v>否</x:v>
      </x:c>
      <x:c r="O1517" s="14" t="str">
        <x:v>否</x:v>
      </x:c>
      <x:c r="P1517" s="14" t="str">
        <x:v>刘晓燕</x:v>
      </x:c>
      <x:c r="Q1517" s="14" t="str">
        <x:v>4号车</x:v>
      </x:c>
      <x:c r="R1517" s="14" t="str">
        <x:v>预测</x:v>
      </x:c>
      <x:c r="S1517" s="14" t="str">
        <x:v>到站时间为估算值</x:v>
      </x:c>
      <x:c r="T1517" t="str">
        <x:v>研究生宿舍楼发车</x:v>
      </x:c>
    </x:row>
    <x:row r="1518">
      <x:c r="A1518" s="14" t="str">
        <x:v>S0130-11</x:v>
      </x:c>
      <x:c r="B1518" s="14" t="str">
        <x:v>S0130</x:v>
      </x:c>
      <x:c r="C1518" s="14" t="str">
        <x:v>工作日</x:v>
      </x:c>
      <x:c r="D1518" s="14" t="str">
        <x:v>环线3路</x:v>
      </x:c>
      <x:c r="E1518" s="14" t="str">
        <x:v>第三班</x:v>
      </x:c>
      <x:c r="F1518" s="14" t="n">
        <x:v>9</x:v>
      </x:c>
      <x:c r="G1518" s="14" t="str">
        <x:v>14:25</x:v>
      </x:c>
      <x:c r="H1518" s="14" t="str">
        <x:v>研究生宿舍楼</x:v>
      </x:c>
      <x:c r="I1518" s="14" t="str">
        <x:v>否</x:v>
      </x:c>
      <x:c r="J1518" s="14" t="n">
        <x:v>11</x:v>
      </x:c>
      <x:c r="K1518" s="14" t="str">
        <x:v>305教学楼</x:v>
      </x:c>
      <x:c r="L1518" s="14" t="n">
        <x:v>16</x:v>
      </x:c>
      <x:c r="M1518" s="14" t="str">
        <x:v>14:41</x:v>
      </x:c>
      <x:c r="N1518" s="14" t="str">
        <x:v>否</x:v>
      </x:c>
      <x:c r="O1518" s="14" t="str">
        <x:v>否</x:v>
      </x:c>
      <x:c r="P1518" s="14" t="str">
        <x:v>刘晓燕</x:v>
      </x:c>
      <x:c r="Q1518" s="14" t="str">
        <x:v>4号车</x:v>
      </x:c>
      <x:c r="R1518" s="14" t="str">
        <x:v>预测</x:v>
      </x:c>
      <x:c r="S1518" s="14" t="str">
        <x:v>到站时间为估算值</x:v>
      </x:c>
      <x:c r="T1518" t="str">
        <x:v>研究生宿舍楼发车</x:v>
      </x:c>
    </x:row>
    <x:row r="1519">
      <x:c r="A1519" s="14" t="str">
        <x:v>S0130-12</x:v>
      </x:c>
      <x:c r="B1519" s="14" t="str">
        <x:v>S0130</x:v>
      </x:c>
      <x:c r="C1519" s="14" t="str">
        <x:v>工作日</x:v>
      </x:c>
      <x:c r="D1519" s="14" t="str">
        <x:v>环线3路</x:v>
      </x:c>
      <x:c r="E1519" s="14" t="str">
        <x:v>第三班</x:v>
      </x:c>
      <x:c r="F1519" s="14" t="n">
        <x:v>9</x:v>
      </x:c>
      <x:c r="G1519" s="14" t="str">
        <x:v>14:25</x:v>
      </x:c>
      <x:c r="H1519" s="14" t="str">
        <x:v>研究生宿舍楼</x:v>
      </x:c>
      <x:c r="I1519" s="14" t="str">
        <x:v>否</x:v>
      </x:c>
      <x:c r="J1519" s="14" t="n">
        <x:v>12</x:v>
      </x:c>
      <x:c r="K1519" s="14" t="str">
        <x:v>研究生宿舍楼</x:v>
      </x:c>
      <x:c r="L1519" s="14" t="n">
        <x:v>18</x:v>
      </x:c>
      <x:c r="M1519" s="14" t="str">
        <x:v>14:43</x:v>
      </x:c>
      <x:c r="N1519" s="14" t="str">
        <x:v>否</x:v>
      </x:c>
      <x:c r="O1519" s="14" t="str">
        <x:v>是</x:v>
      </x:c>
      <x:c r="P1519" s="14" t="str">
        <x:v>刘晓燕</x:v>
      </x:c>
      <x:c r="Q1519" s="14" t="str">
        <x:v>4号车</x:v>
      </x:c>
      <x:c r="R1519" s="14" t="str">
        <x:v>预测</x:v>
      </x:c>
      <x:c r="S1519" s="14" t="str">
        <x:v>到站时间为估算值</x:v>
      </x:c>
      <x:c r="T1519" t="str">
        <x:v>研究生宿舍楼发车</x:v>
      </x:c>
    </x:row>
    <x:row r="1520">
      <x:c r="A1520" s="14" t="str">
        <x:v>S0131-01</x:v>
      </x:c>
      <x:c r="B1520" s="14" t="str">
        <x:v>S0131</x:v>
      </x:c>
      <x:c r="C1520" s="14" t="str">
        <x:v>工作日</x:v>
      </x:c>
      <x:c r="D1520" s="14" t="str">
        <x:v>环线3路</x:v>
      </x:c>
      <x:c r="E1520" s="14" t="str">
        <x:v>第三班</x:v>
      </x:c>
      <x:c r="F1520" s="14" t="n">
        <x:v>10</x:v>
      </x:c>
      <x:c r="G1520" s="14" t="str">
        <x:v>15:00</x:v>
      </x:c>
      <x:c r="H1520" s="14" t="str">
        <x:v>研究生宿舍楼</x:v>
      </x:c>
      <x:c r="I1520" s="14" t="str">
        <x:v>否</x:v>
      </x:c>
      <x:c r="J1520" s="14" t="n">
        <x:v>1</x:v>
      </x:c>
      <x:c r="K1520" s="14" t="str">
        <x:v>研究生宿舍楼</x:v>
      </x:c>
      <x:c r="L1520" s="14" t="n">
        <x:v>0</x:v>
      </x:c>
      <x:c r="M1520" s="14" t="str">
        <x:v>15:00</x:v>
      </x:c>
      <x:c r="N1520" s="14" t="str">
        <x:v>是</x:v>
      </x:c>
      <x:c r="O1520" s="14" t="str">
        <x:v>否</x:v>
      </x:c>
      <x:c r="P1520" s="14" t="str">
        <x:v>刘晓燕</x:v>
      </x:c>
      <x:c r="Q1520" s="14" t="str">
        <x:v>4号车</x:v>
      </x:c>
      <x:c r="R1520" s="14" t="str">
        <x:v>预测</x:v>
      </x:c>
      <x:c r="S1520" s="14" t="str">
        <x:v>到站时间为估算值</x:v>
      </x:c>
      <x:c r="T1520" t="str">
        <x:v>研究生宿舍楼发车</x:v>
      </x:c>
    </x:row>
    <x:row r="1521">
      <x:c r="A1521" s="14" t="str">
        <x:v>S0131-02</x:v>
      </x:c>
      <x:c r="B1521" s="14" t="str">
        <x:v>S0131</x:v>
      </x:c>
      <x:c r="C1521" s="14" t="str">
        <x:v>工作日</x:v>
      </x:c>
      <x:c r="D1521" s="14" t="str">
        <x:v>环线3路</x:v>
      </x:c>
      <x:c r="E1521" s="14" t="str">
        <x:v>第三班</x:v>
      </x:c>
      <x:c r="F1521" s="14" t="n">
        <x:v>10</x:v>
      </x:c>
      <x:c r="G1521" s="14" t="str">
        <x:v>15:00</x:v>
      </x:c>
      <x:c r="H1521" s="14" t="str">
        <x:v>研究生宿舍楼</x:v>
      </x:c>
      <x:c r="I1521" s="14" t="str">
        <x:v>否</x:v>
      </x:c>
      <x:c r="J1521" s="14" t="n">
        <x:v>2</x:v>
      </x:c>
      <x:c r="K1521" s="14" t="str">
        <x:v>一食堂</x:v>
      </x:c>
      <x:c r="L1521" s="14" t="n">
        <x:v>1</x:v>
      </x:c>
      <x:c r="M1521" s="14" t="str">
        <x:v>15:01</x:v>
      </x:c>
      <x:c r="N1521" s="14" t="str">
        <x:v>否</x:v>
      </x:c>
      <x:c r="O1521" s="14" t="str">
        <x:v>否</x:v>
      </x:c>
      <x:c r="P1521" s="14" t="str">
        <x:v>刘晓燕</x:v>
      </x:c>
      <x:c r="Q1521" s="14" t="str">
        <x:v>4号车</x:v>
      </x:c>
      <x:c r="R1521" s="14" t="str">
        <x:v>预测</x:v>
      </x:c>
      <x:c r="S1521" s="14" t="str">
        <x:v>到站时间为估算值</x:v>
      </x:c>
      <x:c r="T1521" t="str">
        <x:v>研究生宿舍楼发车</x:v>
      </x:c>
    </x:row>
    <x:row r="1522">
      <x:c r="A1522" s="14" t="str">
        <x:v>S0131-03</x:v>
      </x:c>
      <x:c r="B1522" s="14" t="str">
        <x:v>S0131</x:v>
      </x:c>
      <x:c r="C1522" s="14" t="str">
        <x:v>工作日</x:v>
      </x:c>
      <x:c r="D1522" s="14" t="str">
        <x:v>环线3路</x:v>
      </x:c>
      <x:c r="E1522" s="14" t="str">
        <x:v>第三班</x:v>
      </x:c>
      <x:c r="F1522" s="14" t="n">
        <x:v>10</x:v>
      </x:c>
      <x:c r="G1522" s="14" t="str">
        <x:v>15:00</x:v>
      </x:c>
      <x:c r="H1522" s="14" t="str">
        <x:v>研究生宿舍楼</x:v>
      </x:c>
      <x:c r="I1522" s="14" t="str">
        <x:v>否</x:v>
      </x:c>
      <x:c r="J1522" s="14" t="n">
        <x:v>3</x:v>
      </x:c>
      <x:c r="K1522" s="14" t="str">
        <x:v>2号宿舍楼</x:v>
      </x:c>
      <x:c r="L1522" s="14" t="n">
        <x:v>3</x:v>
      </x:c>
      <x:c r="M1522" s="14" t="str">
        <x:v>15:03</x:v>
      </x:c>
      <x:c r="N1522" s="14" t="str">
        <x:v>否</x:v>
      </x:c>
      <x:c r="O1522" s="14" t="str">
        <x:v>否</x:v>
      </x:c>
      <x:c r="P1522" s="14" t="str">
        <x:v>刘晓燕</x:v>
      </x:c>
      <x:c r="Q1522" s="14" t="str">
        <x:v>4号车</x:v>
      </x:c>
      <x:c r="R1522" s="14" t="str">
        <x:v>预测</x:v>
      </x:c>
      <x:c r="S1522" s="14" t="str">
        <x:v>到站时间为估算值</x:v>
      </x:c>
      <x:c r="T1522" t="str">
        <x:v>研究生宿舍楼发车</x:v>
      </x:c>
    </x:row>
    <x:row r="1523">
      <x:c r="A1523" s="14" t="str">
        <x:v>S0131-04</x:v>
      </x:c>
      <x:c r="B1523" s="14" t="str">
        <x:v>S0131</x:v>
      </x:c>
      <x:c r="C1523" s="14" t="str">
        <x:v>工作日</x:v>
      </x:c>
      <x:c r="D1523" s="14" t="str">
        <x:v>环线3路</x:v>
      </x:c>
      <x:c r="E1523" s="14" t="str">
        <x:v>第三班</x:v>
      </x:c>
      <x:c r="F1523" s="14" t="n">
        <x:v>10</x:v>
      </x:c>
      <x:c r="G1523" s="14" t="str">
        <x:v>15:00</x:v>
      </x:c>
      <x:c r="H1523" s="14" t="str">
        <x:v>研究生宿舍楼</x:v>
      </x:c>
      <x:c r="I1523" s="14" t="str">
        <x:v>否</x:v>
      </x:c>
      <x:c r="J1523" s="14" t="n">
        <x:v>4</x:v>
      </x:c>
      <x:c r="K1523" s="14" t="str">
        <x:v>军体活动中心</x:v>
      </x:c>
      <x:c r="L1523" s="14" t="n">
        <x:v>4</x:v>
      </x:c>
      <x:c r="M1523" s="14" t="str">
        <x:v>15:04</x:v>
      </x:c>
      <x:c r="N1523" s="14" t="str">
        <x:v>否</x:v>
      </x:c>
      <x:c r="O1523" s="14" t="str">
        <x:v>否</x:v>
      </x:c>
      <x:c r="P1523" s="14" t="str">
        <x:v>刘晓燕</x:v>
      </x:c>
      <x:c r="Q1523" s="14" t="str">
        <x:v>4号车</x:v>
      </x:c>
      <x:c r="R1523" s="14" t="str">
        <x:v>预测</x:v>
      </x:c>
      <x:c r="S1523" s="14" t="str">
        <x:v>到站时间为估算值</x:v>
      </x:c>
      <x:c r="T1523" t="str">
        <x:v>研究生宿舍楼发车</x:v>
      </x:c>
    </x:row>
    <x:row r="1524">
      <x:c r="A1524" s="14" t="str">
        <x:v>S0131-05</x:v>
      </x:c>
      <x:c r="B1524" s="14" t="str">
        <x:v>S0131</x:v>
      </x:c>
      <x:c r="C1524" s="14" t="str">
        <x:v>工作日</x:v>
      </x:c>
      <x:c r="D1524" s="14" t="str">
        <x:v>环线3路</x:v>
      </x:c>
      <x:c r="E1524" s="14" t="str">
        <x:v>第三班</x:v>
      </x:c>
      <x:c r="F1524" s="14" t="n">
        <x:v>10</x:v>
      </x:c>
      <x:c r="G1524" s="14" t="str">
        <x:v>15:00</x:v>
      </x:c>
      <x:c r="H1524" s="14" t="str">
        <x:v>研究生宿舍楼</x:v>
      </x:c>
      <x:c r="I1524" s="14" t="str">
        <x:v>否</x:v>
      </x:c>
      <x:c r="J1524" s="14" t="n">
        <x:v>5</x:v>
      </x:c>
      <x:c r="K1524" s="14" t="str">
        <x:v>教勤连</x:v>
      </x:c>
      <x:c r="L1524" s="14" t="n">
        <x:v>6</x:v>
      </x:c>
      <x:c r="M1524" s="14" t="str">
        <x:v>15:06</x:v>
      </x:c>
      <x:c r="N1524" s="14" t="str">
        <x:v>否</x:v>
      </x:c>
      <x:c r="O1524" s="14" t="str">
        <x:v>否</x:v>
      </x:c>
      <x:c r="P1524" s="14" t="str">
        <x:v>刘晓燕</x:v>
      </x:c>
      <x:c r="Q1524" s="14" t="str">
        <x:v>4号车</x:v>
      </x:c>
      <x:c r="R1524" s="14" t="str">
        <x:v>预测</x:v>
      </x:c>
      <x:c r="S1524" s="14" t="str">
        <x:v>到站时间为估算值</x:v>
      </x:c>
      <x:c r="T1524" t="str">
        <x:v>研究生宿舍楼发车</x:v>
      </x:c>
    </x:row>
    <x:row r="1525">
      <x:c r="A1525" s="14" t="str">
        <x:v>S0131-06</x:v>
      </x:c>
      <x:c r="B1525" s="14" t="str">
        <x:v>S0131</x:v>
      </x:c>
      <x:c r="C1525" s="14" t="str">
        <x:v>工作日</x:v>
      </x:c>
      <x:c r="D1525" s="14" t="str">
        <x:v>环线3路</x:v>
      </x:c>
      <x:c r="E1525" s="14" t="str">
        <x:v>第三班</x:v>
      </x:c>
      <x:c r="F1525" s="14" t="n">
        <x:v>10</x:v>
      </x:c>
      <x:c r="G1525" s="14" t="str">
        <x:v>15:00</x:v>
      </x:c>
      <x:c r="H1525" s="14" t="str">
        <x:v>研究生宿舍楼</x:v>
      </x:c>
      <x:c r="I1525" s="14" t="str">
        <x:v>否</x:v>
      </x:c>
      <x:c r="J1525" s="14" t="n">
        <x:v>6</x:v>
      </x:c>
      <x:c r="K1525" s="14" t="str">
        <x:v>激光所</x:v>
      </x:c>
      <x:c r="L1525" s="14" t="n">
        <x:v>7</x:v>
      </x:c>
      <x:c r="M1525" s="14" t="str">
        <x:v>15:07</x:v>
      </x:c>
      <x:c r="N1525" s="14" t="str">
        <x:v>否</x:v>
      </x:c>
      <x:c r="O1525" s="14" t="str">
        <x:v>否</x:v>
      </x:c>
      <x:c r="P1525" s="14" t="str">
        <x:v>刘晓燕</x:v>
      </x:c>
      <x:c r="Q1525" s="14" t="str">
        <x:v>4号车</x:v>
      </x:c>
      <x:c r="R1525" s="14" t="str">
        <x:v>预测</x:v>
      </x:c>
      <x:c r="S1525" s="14" t="str">
        <x:v>到站时间为估算值</x:v>
      </x:c>
      <x:c r="T1525" t="str">
        <x:v>研究生宿舍楼发车</x:v>
      </x:c>
    </x:row>
    <x:row r="1526">
      <x:c r="A1526" s="14" t="str">
        <x:v>S0131-07</x:v>
      </x:c>
      <x:c r="B1526" s="14" t="str">
        <x:v>S0131</x:v>
      </x:c>
      <x:c r="C1526" s="14" t="str">
        <x:v>工作日</x:v>
      </x:c>
      <x:c r="D1526" s="14" t="str">
        <x:v>环线3路</x:v>
      </x:c>
      <x:c r="E1526" s="14" t="str">
        <x:v>第三班</x:v>
      </x:c>
      <x:c r="F1526" s="14" t="n">
        <x:v>10</x:v>
      </x:c>
      <x:c r="G1526" s="14" t="str">
        <x:v>15:00</x:v>
      </x:c>
      <x:c r="H1526" s="14" t="str">
        <x:v>研究生宿舍楼</x:v>
      </x:c>
      <x:c r="I1526" s="14" t="str">
        <x:v>否</x:v>
      </x:c>
      <x:c r="J1526" s="14" t="n">
        <x:v>7</x:v>
      </x:c>
      <x:c r="K1526" s="14" t="str">
        <x:v>高超楼</x:v>
      </x:c>
      <x:c r="L1526" s="14" t="n">
        <x:v>9</x:v>
      </x:c>
      <x:c r="M1526" s="14" t="str">
        <x:v>15:09</x:v>
      </x:c>
      <x:c r="N1526" s="14" t="str">
        <x:v>否</x:v>
      </x:c>
      <x:c r="O1526" s="14" t="str">
        <x:v>否</x:v>
      </x:c>
      <x:c r="P1526" s="14" t="str">
        <x:v>刘晓燕</x:v>
      </x:c>
      <x:c r="Q1526" s="14" t="str">
        <x:v>4号车</x:v>
      </x:c>
      <x:c r="R1526" s="14" t="str">
        <x:v>预测</x:v>
      </x:c>
      <x:c r="S1526" s="14" t="str">
        <x:v>到站时间为估算值</x:v>
      </x:c>
      <x:c r="T1526" t="str">
        <x:v>研究生宿舍楼发车</x:v>
      </x:c>
    </x:row>
    <x:row r="1527">
      <x:c r="A1527" s="14" t="str">
        <x:v>S0131-08</x:v>
      </x:c>
      <x:c r="B1527" s="14" t="str">
        <x:v>S0131</x:v>
      </x:c>
      <x:c r="C1527" s="14" t="str">
        <x:v>工作日</x:v>
      </x:c>
      <x:c r="D1527" s="14" t="str">
        <x:v>环线3路</x:v>
      </x:c>
      <x:c r="E1527" s="14" t="str">
        <x:v>第三班</x:v>
      </x:c>
      <x:c r="F1527" s="14" t="n">
        <x:v>10</x:v>
      </x:c>
      <x:c r="G1527" s="14" t="str">
        <x:v>15:00</x:v>
      </x:c>
      <x:c r="H1527" s="14" t="str">
        <x:v>研究生宿舍楼</x:v>
      </x:c>
      <x:c r="I1527" s="14" t="str">
        <x:v>否</x:v>
      </x:c>
      <x:c r="J1527" s="14" t="n">
        <x:v>8</x:v>
      </x:c>
      <x:c r="K1527" s="14" t="str">
        <x:v>理学院</x:v>
      </x:c>
      <x:c r="L1527" s="14" t="n">
        <x:v>10</x:v>
      </x:c>
      <x:c r="M1527" s="14" t="str">
        <x:v>15:10</x:v>
      </x:c>
      <x:c r="N1527" s="14" t="str">
        <x:v>否</x:v>
      </x:c>
      <x:c r="O1527" s="14" t="str">
        <x:v>否</x:v>
      </x:c>
      <x:c r="P1527" s="14" t="str">
        <x:v>刘晓燕</x:v>
      </x:c>
      <x:c r="Q1527" s="14" t="str">
        <x:v>4号车</x:v>
      </x:c>
      <x:c r="R1527" s="14" t="str">
        <x:v>预测</x:v>
      </x:c>
      <x:c r="S1527" s="14" t="str">
        <x:v>到站时间为估算值</x:v>
      </x:c>
      <x:c r="T1527" t="str">
        <x:v>研究生宿舍楼发车</x:v>
      </x:c>
    </x:row>
    <x:row r="1528">
      <x:c r="A1528" s="14" t="str">
        <x:v>S0131-09</x:v>
      </x:c>
      <x:c r="B1528" s="14" t="str">
        <x:v>S0131</x:v>
      </x:c>
      <x:c r="C1528" s="14" t="str">
        <x:v>工作日</x:v>
      </x:c>
      <x:c r="D1528" s="14" t="str">
        <x:v>环线3路</x:v>
      </x:c>
      <x:c r="E1528" s="14" t="str">
        <x:v>第三班</x:v>
      </x:c>
      <x:c r="F1528" s="14" t="n">
        <x:v>10</x:v>
      </x:c>
      <x:c r="G1528" s="14" t="str">
        <x:v>15:00</x:v>
      </x:c>
      <x:c r="H1528" s="14" t="str">
        <x:v>研究生宿舍楼</x:v>
      </x:c>
      <x:c r="I1528" s="14" t="str">
        <x:v>否</x:v>
      </x:c>
      <x:c r="J1528" s="14" t="n">
        <x:v>9</x:v>
      </x:c>
      <x:c r="K1528" s="14" t="str">
        <x:v>二食堂</x:v>
      </x:c>
      <x:c r="L1528" s="14" t="n">
        <x:v>13</x:v>
      </x:c>
      <x:c r="M1528" s="14" t="str">
        <x:v>15:13</x:v>
      </x:c>
      <x:c r="N1528" s="14" t="str">
        <x:v>否</x:v>
      </x:c>
      <x:c r="O1528" s="14" t="str">
        <x:v>否</x:v>
      </x:c>
      <x:c r="P1528" s="14" t="str">
        <x:v>刘晓燕</x:v>
      </x:c>
      <x:c r="Q1528" s="14" t="str">
        <x:v>4号车</x:v>
      </x:c>
      <x:c r="R1528" s="14" t="str">
        <x:v>预测</x:v>
      </x:c>
      <x:c r="S1528" s="14" t="str">
        <x:v>到站时间为估算值</x:v>
      </x:c>
      <x:c r="T1528" t="str">
        <x:v>研究生宿舍楼发车</x:v>
      </x:c>
    </x:row>
    <x:row r="1529">
      <x:c r="A1529" s="14" t="str">
        <x:v>S0131-10</x:v>
      </x:c>
      <x:c r="B1529" s="14" t="str">
        <x:v>S0131</x:v>
      </x:c>
      <x:c r="C1529" s="14" t="str">
        <x:v>工作日</x:v>
      </x:c>
      <x:c r="D1529" s="14" t="str">
        <x:v>环线3路</x:v>
      </x:c>
      <x:c r="E1529" s="14" t="str">
        <x:v>第三班</x:v>
      </x:c>
      <x:c r="F1529" s="14" t="n">
        <x:v>10</x:v>
      </x:c>
      <x:c r="G1529" s="14" t="str">
        <x:v>15:00</x:v>
      </x:c>
      <x:c r="H1529" s="14" t="str">
        <x:v>研究生宿舍楼</x:v>
      </x:c>
      <x:c r="I1529" s="14" t="str">
        <x:v>否</x:v>
      </x:c>
      <x:c r="J1529" s="14" t="n">
        <x:v>10</x:v>
      </x:c>
      <x:c r="K1529" s="14" t="str">
        <x:v>图书馆</x:v>
      </x:c>
      <x:c r="L1529" s="14" t="n">
        <x:v>14</x:v>
      </x:c>
      <x:c r="M1529" s="14" t="str">
        <x:v>15:14</x:v>
      </x:c>
      <x:c r="N1529" s="14" t="str">
        <x:v>否</x:v>
      </x:c>
      <x:c r="O1529" s="14" t="str">
        <x:v>否</x:v>
      </x:c>
      <x:c r="P1529" s="14" t="str">
        <x:v>刘晓燕</x:v>
      </x:c>
      <x:c r="Q1529" s="14" t="str">
        <x:v>4号车</x:v>
      </x:c>
      <x:c r="R1529" s="14" t="str">
        <x:v>预测</x:v>
      </x:c>
      <x:c r="S1529" s="14" t="str">
        <x:v>到站时间为估算值</x:v>
      </x:c>
      <x:c r="T1529" t="str">
        <x:v>研究生宿舍楼发车</x:v>
      </x:c>
    </x:row>
    <x:row r="1530">
      <x:c r="A1530" s="14" t="str">
        <x:v>S0131-11</x:v>
      </x:c>
      <x:c r="B1530" s="14" t="str">
        <x:v>S0131</x:v>
      </x:c>
      <x:c r="C1530" s="14" t="str">
        <x:v>工作日</x:v>
      </x:c>
      <x:c r="D1530" s="14" t="str">
        <x:v>环线3路</x:v>
      </x:c>
      <x:c r="E1530" s="14" t="str">
        <x:v>第三班</x:v>
      </x:c>
      <x:c r="F1530" s="14" t="n">
        <x:v>10</x:v>
      </x:c>
      <x:c r="G1530" s="14" t="str">
        <x:v>15:00</x:v>
      </x:c>
      <x:c r="H1530" s="14" t="str">
        <x:v>研究生宿舍楼</x:v>
      </x:c>
      <x:c r="I1530" s="14" t="str">
        <x:v>否</x:v>
      </x:c>
      <x:c r="J1530" s="14" t="n">
        <x:v>11</x:v>
      </x:c>
      <x:c r="K1530" s="14" t="str">
        <x:v>305教学楼</x:v>
      </x:c>
      <x:c r="L1530" s="14" t="n">
        <x:v>16</x:v>
      </x:c>
      <x:c r="M1530" s="14" t="str">
        <x:v>15:16</x:v>
      </x:c>
      <x:c r="N1530" s="14" t="str">
        <x:v>否</x:v>
      </x:c>
      <x:c r="O1530" s="14" t="str">
        <x:v>否</x:v>
      </x:c>
      <x:c r="P1530" s="14" t="str">
        <x:v>刘晓燕</x:v>
      </x:c>
      <x:c r="Q1530" s="14" t="str">
        <x:v>4号车</x:v>
      </x:c>
      <x:c r="R1530" s="14" t="str">
        <x:v>预测</x:v>
      </x:c>
      <x:c r="S1530" s="14" t="str">
        <x:v>到站时间为估算值</x:v>
      </x:c>
      <x:c r="T1530" t="str">
        <x:v>研究生宿舍楼发车</x:v>
      </x:c>
    </x:row>
    <x:row r="1531">
      <x:c r="A1531" s="14" t="str">
        <x:v>S0131-12</x:v>
      </x:c>
      <x:c r="B1531" s="14" t="str">
        <x:v>S0131</x:v>
      </x:c>
      <x:c r="C1531" s="14" t="str">
        <x:v>工作日</x:v>
      </x:c>
      <x:c r="D1531" s="14" t="str">
        <x:v>环线3路</x:v>
      </x:c>
      <x:c r="E1531" s="14" t="str">
        <x:v>第三班</x:v>
      </x:c>
      <x:c r="F1531" s="14" t="n">
        <x:v>10</x:v>
      </x:c>
      <x:c r="G1531" s="14" t="str">
        <x:v>15:00</x:v>
      </x:c>
      <x:c r="H1531" s="14" t="str">
        <x:v>研究生宿舍楼</x:v>
      </x:c>
      <x:c r="I1531" s="14" t="str">
        <x:v>否</x:v>
      </x:c>
      <x:c r="J1531" s="14" t="n">
        <x:v>12</x:v>
      </x:c>
      <x:c r="K1531" s="14" t="str">
        <x:v>研究生宿舍楼</x:v>
      </x:c>
      <x:c r="L1531" s="14" t="n">
        <x:v>18</x:v>
      </x:c>
      <x:c r="M1531" s="14" t="str">
        <x:v>15:18</x:v>
      </x:c>
      <x:c r="N1531" s="14" t="str">
        <x:v>否</x:v>
      </x:c>
      <x:c r="O1531" s="14" t="str">
        <x:v>是</x:v>
      </x:c>
      <x:c r="P1531" s="14" t="str">
        <x:v>刘晓燕</x:v>
      </x:c>
      <x:c r="Q1531" s="14" t="str">
        <x:v>4号车</x:v>
      </x:c>
      <x:c r="R1531" s="14" t="str">
        <x:v>预测</x:v>
      </x:c>
      <x:c r="S1531" s="14" t="str">
        <x:v>到站时间为估算值</x:v>
      </x:c>
      <x:c r="T1531" t="str">
        <x:v>研究生宿舍楼发车</x:v>
      </x:c>
    </x:row>
    <x:row r="1532">
      <x:c r="A1532" s="14" t="str">
        <x:v>S0132-01</x:v>
      </x:c>
      <x:c r="B1532" s="14" t="str">
        <x:v>S0132</x:v>
      </x:c>
      <x:c r="C1532" s="14" t="str">
        <x:v>工作日</x:v>
      </x:c>
      <x:c r="D1532" s="14" t="str">
        <x:v>环线3路</x:v>
      </x:c>
      <x:c r="E1532" s="14" t="str">
        <x:v>第三班</x:v>
      </x:c>
      <x:c r="F1532" s="14" t="n">
        <x:v>11</x:v>
      </x:c>
      <x:c r="G1532" s="14" t="str">
        <x:v>15:45</x:v>
      </x:c>
      <x:c r="H1532" s="14" t="str">
        <x:v>研究生宿舍楼</x:v>
      </x:c>
      <x:c r="I1532" s="14" t="str">
        <x:v>否</x:v>
      </x:c>
      <x:c r="J1532" s="14" t="n">
        <x:v>1</x:v>
      </x:c>
      <x:c r="K1532" s="14" t="str">
        <x:v>研究生宿舍楼</x:v>
      </x:c>
      <x:c r="L1532" s="14" t="n">
        <x:v>0</x:v>
      </x:c>
      <x:c r="M1532" s="14" t="str">
        <x:v>15:45</x:v>
      </x:c>
      <x:c r="N1532" s="14" t="str">
        <x:v>是</x:v>
      </x:c>
      <x:c r="O1532" s="14" t="str">
        <x:v>否</x:v>
      </x:c>
      <x:c r="P1532" s="14" t="str">
        <x:v>刘晓燕</x:v>
      </x:c>
      <x:c r="Q1532" s="14" t="str">
        <x:v>4号车</x:v>
      </x:c>
      <x:c r="R1532" s="14" t="str">
        <x:v>预测</x:v>
      </x:c>
      <x:c r="S1532" s="14" t="str">
        <x:v>到站时间为估算值</x:v>
      </x:c>
      <x:c r="T1532" t="str">
        <x:v>研究生宿舍楼发车</x:v>
      </x:c>
    </x:row>
    <x:row r="1533">
      <x:c r="A1533" s="14" t="str">
        <x:v>S0132-02</x:v>
      </x:c>
      <x:c r="B1533" s="14" t="str">
        <x:v>S0132</x:v>
      </x:c>
      <x:c r="C1533" s="14" t="str">
        <x:v>工作日</x:v>
      </x:c>
      <x:c r="D1533" s="14" t="str">
        <x:v>环线3路</x:v>
      </x:c>
      <x:c r="E1533" s="14" t="str">
        <x:v>第三班</x:v>
      </x:c>
      <x:c r="F1533" s="14" t="n">
        <x:v>11</x:v>
      </x:c>
      <x:c r="G1533" s="14" t="str">
        <x:v>15:45</x:v>
      </x:c>
      <x:c r="H1533" s="14" t="str">
        <x:v>研究生宿舍楼</x:v>
      </x:c>
      <x:c r="I1533" s="14" t="str">
        <x:v>否</x:v>
      </x:c>
      <x:c r="J1533" s="14" t="n">
        <x:v>2</x:v>
      </x:c>
      <x:c r="K1533" s="14" t="str">
        <x:v>一食堂</x:v>
      </x:c>
      <x:c r="L1533" s="14" t="n">
        <x:v>1</x:v>
      </x:c>
      <x:c r="M1533" s="14" t="str">
        <x:v>15:46</x:v>
      </x:c>
      <x:c r="N1533" s="14" t="str">
        <x:v>否</x:v>
      </x:c>
      <x:c r="O1533" s="14" t="str">
        <x:v>否</x:v>
      </x:c>
      <x:c r="P1533" s="14" t="str">
        <x:v>刘晓燕</x:v>
      </x:c>
      <x:c r="Q1533" s="14" t="str">
        <x:v>4号车</x:v>
      </x:c>
      <x:c r="R1533" s="14" t="str">
        <x:v>预测</x:v>
      </x:c>
      <x:c r="S1533" s="14" t="str">
        <x:v>到站时间为估算值</x:v>
      </x:c>
      <x:c r="T1533" t="str">
        <x:v>研究生宿舍楼发车</x:v>
      </x:c>
    </x:row>
    <x:row r="1534">
      <x:c r="A1534" s="14" t="str">
        <x:v>S0132-03</x:v>
      </x:c>
      <x:c r="B1534" s="14" t="str">
        <x:v>S0132</x:v>
      </x:c>
      <x:c r="C1534" s="14" t="str">
        <x:v>工作日</x:v>
      </x:c>
      <x:c r="D1534" s="14" t="str">
        <x:v>环线3路</x:v>
      </x:c>
      <x:c r="E1534" s="14" t="str">
        <x:v>第三班</x:v>
      </x:c>
      <x:c r="F1534" s="14" t="n">
        <x:v>11</x:v>
      </x:c>
      <x:c r="G1534" s="14" t="str">
        <x:v>15:45</x:v>
      </x:c>
      <x:c r="H1534" s="14" t="str">
        <x:v>研究生宿舍楼</x:v>
      </x:c>
      <x:c r="I1534" s="14" t="str">
        <x:v>否</x:v>
      </x:c>
      <x:c r="J1534" s="14" t="n">
        <x:v>3</x:v>
      </x:c>
      <x:c r="K1534" s="14" t="str">
        <x:v>2号宿舍楼</x:v>
      </x:c>
      <x:c r="L1534" s="14" t="n">
        <x:v>3</x:v>
      </x:c>
      <x:c r="M1534" s="14" t="str">
        <x:v>15:48</x:v>
      </x:c>
      <x:c r="N1534" s="14" t="str">
        <x:v>否</x:v>
      </x:c>
      <x:c r="O1534" s="14" t="str">
        <x:v>否</x:v>
      </x:c>
      <x:c r="P1534" s="14" t="str">
        <x:v>刘晓燕</x:v>
      </x:c>
      <x:c r="Q1534" s="14" t="str">
        <x:v>4号车</x:v>
      </x:c>
      <x:c r="R1534" s="14" t="str">
        <x:v>预测</x:v>
      </x:c>
      <x:c r="S1534" s="14" t="str">
        <x:v>到站时间为估算值</x:v>
      </x:c>
      <x:c r="T1534" t="str">
        <x:v>研究生宿舍楼发车</x:v>
      </x:c>
    </x:row>
    <x:row r="1535">
      <x:c r="A1535" s="14" t="str">
        <x:v>S0132-04</x:v>
      </x:c>
      <x:c r="B1535" s="14" t="str">
        <x:v>S0132</x:v>
      </x:c>
      <x:c r="C1535" s="14" t="str">
        <x:v>工作日</x:v>
      </x:c>
      <x:c r="D1535" s="14" t="str">
        <x:v>环线3路</x:v>
      </x:c>
      <x:c r="E1535" s="14" t="str">
        <x:v>第三班</x:v>
      </x:c>
      <x:c r="F1535" s="14" t="n">
        <x:v>11</x:v>
      </x:c>
      <x:c r="G1535" s="14" t="str">
        <x:v>15:45</x:v>
      </x:c>
      <x:c r="H1535" s="14" t="str">
        <x:v>研究生宿舍楼</x:v>
      </x:c>
      <x:c r="I1535" s="14" t="str">
        <x:v>否</x:v>
      </x:c>
      <x:c r="J1535" s="14" t="n">
        <x:v>4</x:v>
      </x:c>
      <x:c r="K1535" s="14" t="str">
        <x:v>军体活动中心</x:v>
      </x:c>
      <x:c r="L1535" s="14" t="n">
        <x:v>4</x:v>
      </x:c>
      <x:c r="M1535" s="14" t="str">
        <x:v>15:49</x:v>
      </x:c>
      <x:c r="N1535" s="14" t="str">
        <x:v>否</x:v>
      </x:c>
      <x:c r="O1535" s="14" t="str">
        <x:v>否</x:v>
      </x:c>
      <x:c r="P1535" s="14" t="str">
        <x:v>刘晓燕</x:v>
      </x:c>
      <x:c r="Q1535" s="14" t="str">
        <x:v>4号车</x:v>
      </x:c>
      <x:c r="R1535" s="14" t="str">
        <x:v>预测</x:v>
      </x:c>
      <x:c r="S1535" s="14" t="str">
        <x:v>到站时间为估算值</x:v>
      </x:c>
      <x:c r="T1535" t="str">
        <x:v>研究生宿舍楼发车</x:v>
      </x:c>
    </x:row>
    <x:row r="1536">
      <x:c r="A1536" s="14" t="str">
        <x:v>S0132-05</x:v>
      </x:c>
      <x:c r="B1536" s="14" t="str">
        <x:v>S0132</x:v>
      </x:c>
      <x:c r="C1536" s="14" t="str">
        <x:v>工作日</x:v>
      </x:c>
      <x:c r="D1536" s="14" t="str">
        <x:v>环线3路</x:v>
      </x:c>
      <x:c r="E1536" s="14" t="str">
        <x:v>第三班</x:v>
      </x:c>
      <x:c r="F1536" s="14" t="n">
        <x:v>11</x:v>
      </x:c>
      <x:c r="G1536" s="14" t="str">
        <x:v>15:45</x:v>
      </x:c>
      <x:c r="H1536" s="14" t="str">
        <x:v>研究生宿舍楼</x:v>
      </x:c>
      <x:c r="I1536" s="14" t="str">
        <x:v>否</x:v>
      </x:c>
      <x:c r="J1536" s="14" t="n">
        <x:v>5</x:v>
      </x:c>
      <x:c r="K1536" s="14" t="str">
        <x:v>教勤连</x:v>
      </x:c>
      <x:c r="L1536" s="14" t="n">
        <x:v>6</x:v>
      </x:c>
      <x:c r="M1536" s="14" t="str">
        <x:v>15:51</x:v>
      </x:c>
      <x:c r="N1536" s="14" t="str">
        <x:v>否</x:v>
      </x:c>
      <x:c r="O1536" s="14" t="str">
        <x:v>否</x:v>
      </x:c>
      <x:c r="P1536" s="14" t="str">
        <x:v>刘晓燕</x:v>
      </x:c>
      <x:c r="Q1536" s="14" t="str">
        <x:v>4号车</x:v>
      </x:c>
      <x:c r="R1536" s="14" t="str">
        <x:v>预测</x:v>
      </x:c>
      <x:c r="S1536" s="14" t="str">
        <x:v>到站时间为估算值</x:v>
      </x:c>
      <x:c r="T1536" t="str">
        <x:v>研究生宿舍楼发车</x:v>
      </x:c>
    </x:row>
    <x:row r="1537">
      <x:c r="A1537" s="14" t="str">
        <x:v>S0132-06</x:v>
      </x:c>
      <x:c r="B1537" s="14" t="str">
        <x:v>S0132</x:v>
      </x:c>
      <x:c r="C1537" s="14" t="str">
        <x:v>工作日</x:v>
      </x:c>
      <x:c r="D1537" s="14" t="str">
        <x:v>环线3路</x:v>
      </x:c>
      <x:c r="E1537" s="14" t="str">
        <x:v>第三班</x:v>
      </x:c>
      <x:c r="F1537" s="14" t="n">
        <x:v>11</x:v>
      </x:c>
      <x:c r="G1537" s="14" t="str">
        <x:v>15:45</x:v>
      </x:c>
      <x:c r="H1537" s="14" t="str">
        <x:v>研究生宿舍楼</x:v>
      </x:c>
      <x:c r="I1537" s="14" t="str">
        <x:v>否</x:v>
      </x:c>
      <x:c r="J1537" s="14" t="n">
        <x:v>6</x:v>
      </x:c>
      <x:c r="K1537" s="14" t="str">
        <x:v>激光所</x:v>
      </x:c>
      <x:c r="L1537" s="14" t="n">
        <x:v>7</x:v>
      </x:c>
      <x:c r="M1537" s="14" t="str">
        <x:v>15:52</x:v>
      </x:c>
      <x:c r="N1537" s="14" t="str">
        <x:v>否</x:v>
      </x:c>
      <x:c r="O1537" s="14" t="str">
        <x:v>否</x:v>
      </x:c>
      <x:c r="P1537" s="14" t="str">
        <x:v>刘晓燕</x:v>
      </x:c>
      <x:c r="Q1537" s="14" t="str">
        <x:v>4号车</x:v>
      </x:c>
      <x:c r="R1537" s="14" t="str">
        <x:v>预测</x:v>
      </x:c>
      <x:c r="S1537" s="14" t="str">
        <x:v>到站时间为估算值</x:v>
      </x:c>
      <x:c r="T1537" t="str">
        <x:v>研究生宿舍楼发车</x:v>
      </x:c>
    </x:row>
    <x:row r="1538">
      <x:c r="A1538" s="14" t="str">
        <x:v>S0132-07</x:v>
      </x:c>
      <x:c r="B1538" s="14" t="str">
        <x:v>S0132</x:v>
      </x:c>
      <x:c r="C1538" s="14" t="str">
        <x:v>工作日</x:v>
      </x:c>
      <x:c r="D1538" s="14" t="str">
        <x:v>环线3路</x:v>
      </x:c>
      <x:c r="E1538" s="14" t="str">
        <x:v>第三班</x:v>
      </x:c>
      <x:c r="F1538" s="14" t="n">
        <x:v>11</x:v>
      </x:c>
      <x:c r="G1538" s="14" t="str">
        <x:v>15:45</x:v>
      </x:c>
      <x:c r="H1538" s="14" t="str">
        <x:v>研究生宿舍楼</x:v>
      </x:c>
      <x:c r="I1538" s="14" t="str">
        <x:v>否</x:v>
      </x:c>
      <x:c r="J1538" s="14" t="n">
        <x:v>7</x:v>
      </x:c>
      <x:c r="K1538" s="14" t="str">
        <x:v>高超楼</x:v>
      </x:c>
      <x:c r="L1538" s="14" t="n">
        <x:v>9</x:v>
      </x:c>
      <x:c r="M1538" s="14" t="str">
        <x:v>15:54</x:v>
      </x:c>
      <x:c r="N1538" s="14" t="str">
        <x:v>否</x:v>
      </x:c>
      <x:c r="O1538" s="14" t="str">
        <x:v>否</x:v>
      </x:c>
      <x:c r="P1538" s="14" t="str">
        <x:v>刘晓燕</x:v>
      </x:c>
      <x:c r="Q1538" s="14" t="str">
        <x:v>4号车</x:v>
      </x:c>
      <x:c r="R1538" s="14" t="str">
        <x:v>预测</x:v>
      </x:c>
      <x:c r="S1538" s="14" t="str">
        <x:v>到站时间为估算值</x:v>
      </x:c>
      <x:c r="T1538" t="str">
        <x:v>研究生宿舍楼发车</x:v>
      </x:c>
    </x:row>
    <x:row r="1539">
      <x:c r="A1539" s="14" t="str">
        <x:v>S0132-08</x:v>
      </x:c>
      <x:c r="B1539" s="14" t="str">
        <x:v>S0132</x:v>
      </x:c>
      <x:c r="C1539" s="14" t="str">
        <x:v>工作日</x:v>
      </x:c>
      <x:c r="D1539" s="14" t="str">
        <x:v>环线3路</x:v>
      </x:c>
      <x:c r="E1539" s="14" t="str">
        <x:v>第三班</x:v>
      </x:c>
      <x:c r="F1539" s="14" t="n">
        <x:v>11</x:v>
      </x:c>
      <x:c r="G1539" s="14" t="str">
        <x:v>15:45</x:v>
      </x:c>
      <x:c r="H1539" s="14" t="str">
        <x:v>研究生宿舍楼</x:v>
      </x:c>
      <x:c r="I1539" s="14" t="str">
        <x:v>否</x:v>
      </x:c>
      <x:c r="J1539" s="14" t="n">
        <x:v>8</x:v>
      </x:c>
      <x:c r="K1539" s="14" t="str">
        <x:v>理学院</x:v>
      </x:c>
      <x:c r="L1539" s="14" t="n">
        <x:v>10</x:v>
      </x:c>
      <x:c r="M1539" s="14" t="str">
        <x:v>15:55</x:v>
      </x:c>
      <x:c r="N1539" s="14" t="str">
        <x:v>否</x:v>
      </x:c>
      <x:c r="O1539" s="14" t="str">
        <x:v>否</x:v>
      </x:c>
      <x:c r="P1539" s="14" t="str">
        <x:v>刘晓燕</x:v>
      </x:c>
      <x:c r="Q1539" s="14" t="str">
        <x:v>4号车</x:v>
      </x:c>
      <x:c r="R1539" s="14" t="str">
        <x:v>预测</x:v>
      </x:c>
      <x:c r="S1539" s="14" t="str">
        <x:v>到站时间为估算值</x:v>
      </x:c>
      <x:c r="T1539" t="str">
        <x:v>研究生宿舍楼发车</x:v>
      </x:c>
    </x:row>
    <x:row r="1540">
      <x:c r="A1540" s="14" t="str">
        <x:v>S0132-09</x:v>
      </x:c>
      <x:c r="B1540" s="14" t="str">
        <x:v>S0132</x:v>
      </x:c>
      <x:c r="C1540" s="14" t="str">
        <x:v>工作日</x:v>
      </x:c>
      <x:c r="D1540" s="14" t="str">
        <x:v>环线3路</x:v>
      </x:c>
      <x:c r="E1540" s="14" t="str">
        <x:v>第三班</x:v>
      </x:c>
      <x:c r="F1540" s="14" t="n">
        <x:v>11</x:v>
      </x:c>
      <x:c r="G1540" s="14" t="str">
        <x:v>15:45</x:v>
      </x:c>
      <x:c r="H1540" s="14" t="str">
        <x:v>研究生宿舍楼</x:v>
      </x:c>
      <x:c r="I1540" s="14" t="str">
        <x:v>否</x:v>
      </x:c>
      <x:c r="J1540" s="14" t="n">
        <x:v>9</x:v>
      </x:c>
      <x:c r="K1540" s="14" t="str">
        <x:v>二食堂</x:v>
      </x:c>
      <x:c r="L1540" s="14" t="n">
        <x:v>13</x:v>
      </x:c>
      <x:c r="M1540" s="14" t="str">
        <x:v>15:58</x:v>
      </x:c>
      <x:c r="N1540" s="14" t="str">
        <x:v>否</x:v>
      </x:c>
      <x:c r="O1540" s="14" t="str">
        <x:v>否</x:v>
      </x:c>
      <x:c r="P1540" s="14" t="str">
        <x:v>刘晓燕</x:v>
      </x:c>
      <x:c r="Q1540" s="14" t="str">
        <x:v>4号车</x:v>
      </x:c>
      <x:c r="R1540" s="14" t="str">
        <x:v>预测</x:v>
      </x:c>
      <x:c r="S1540" s="14" t="str">
        <x:v>到站时间为估算值</x:v>
      </x:c>
      <x:c r="T1540" t="str">
        <x:v>研究生宿舍楼发车</x:v>
      </x:c>
    </x:row>
    <x:row r="1541">
      <x:c r="A1541" s="14" t="str">
        <x:v>S0132-10</x:v>
      </x:c>
      <x:c r="B1541" s="14" t="str">
        <x:v>S0132</x:v>
      </x:c>
      <x:c r="C1541" s="14" t="str">
        <x:v>工作日</x:v>
      </x:c>
      <x:c r="D1541" s="14" t="str">
        <x:v>环线3路</x:v>
      </x:c>
      <x:c r="E1541" s="14" t="str">
        <x:v>第三班</x:v>
      </x:c>
      <x:c r="F1541" s="14" t="n">
        <x:v>11</x:v>
      </x:c>
      <x:c r="G1541" s="14" t="str">
        <x:v>15:45</x:v>
      </x:c>
      <x:c r="H1541" s="14" t="str">
        <x:v>研究生宿舍楼</x:v>
      </x:c>
      <x:c r="I1541" s="14" t="str">
        <x:v>否</x:v>
      </x:c>
      <x:c r="J1541" s="14" t="n">
        <x:v>10</x:v>
      </x:c>
      <x:c r="K1541" s="14" t="str">
        <x:v>图书馆</x:v>
      </x:c>
      <x:c r="L1541" s="14" t="n">
        <x:v>14</x:v>
      </x:c>
      <x:c r="M1541" s="14" t="str">
        <x:v>15:59</x:v>
      </x:c>
      <x:c r="N1541" s="14" t="str">
        <x:v>否</x:v>
      </x:c>
      <x:c r="O1541" s="14" t="str">
        <x:v>否</x:v>
      </x:c>
      <x:c r="P1541" s="14" t="str">
        <x:v>刘晓燕</x:v>
      </x:c>
      <x:c r="Q1541" s="14" t="str">
        <x:v>4号车</x:v>
      </x:c>
      <x:c r="R1541" s="14" t="str">
        <x:v>预测</x:v>
      </x:c>
      <x:c r="S1541" s="14" t="str">
        <x:v>到站时间为估算值</x:v>
      </x:c>
      <x:c r="T1541" t="str">
        <x:v>研究生宿舍楼发车</x:v>
      </x:c>
    </x:row>
    <x:row r="1542">
      <x:c r="A1542" s="14" t="str">
        <x:v>S0132-11</x:v>
      </x:c>
      <x:c r="B1542" s="14" t="str">
        <x:v>S0132</x:v>
      </x:c>
      <x:c r="C1542" s="14" t="str">
        <x:v>工作日</x:v>
      </x:c>
      <x:c r="D1542" s="14" t="str">
        <x:v>环线3路</x:v>
      </x:c>
      <x:c r="E1542" s="14" t="str">
        <x:v>第三班</x:v>
      </x:c>
      <x:c r="F1542" s="14" t="n">
        <x:v>11</x:v>
      </x:c>
      <x:c r="G1542" s="14" t="str">
        <x:v>15:45</x:v>
      </x:c>
      <x:c r="H1542" s="14" t="str">
        <x:v>研究生宿舍楼</x:v>
      </x:c>
      <x:c r="I1542" s="14" t="str">
        <x:v>否</x:v>
      </x:c>
      <x:c r="J1542" s="14" t="n">
        <x:v>11</x:v>
      </x:c>
      <x:c r="K1542" s="14" t="str">
        <x:v>305教学楼</x:v>
      </x:c>
      <x:c r="L1542" s="14" t="n">
        <x:v>16</x:v>
      </x:c>
      <x:c r="M1542" s="14" t="str">
        <x:v>16:01</x:v>
      </x:c>
      <x:c r="N1542" s="14" t="str">
        <x:v>否</x:v>
      </x:c>
      <x:c r="O1542" s="14" t="str">
        <x:v>否</x:v>
      </x:c>
      <x:c r="P1542" s="14" t="str">
        <x:v>刘晓燕</x:v>
      </x:c>
      <x:c r="Q1542" s="14" t="str">
        <x:v>4号车</x:v>
      </x:c>
      <x:c r="R1542" s="14" t="str">
        <x:v>预测</x:v>
      </x:c>
      <x:c r="S1542" s="14" t="str">
        <x:v>到站时间为估算值</x:v>
      </x:c>
      <x:c r="T1542" t="str">
        <x:v>研究生宿舍楼发车</x:v>
      </x:c>
    </x:row>
    <x:row r="1543">
      <x:c r="A1543" s="14" t="str">
        <x:v>S0132-12</x:v>
      </x:c>
      <x:c r="B1543" s="14" t="str">
        <x:v>S0132</x:v>
      </x:c>
      <x:c r="C1543" s="14" t="str">
        <x:v>工作日</x:v>
      </x:c>
      <x:c r="D1543" s="14" t="str">
        <x:v>环线3路</x:v>
      </x:c>
      <x:c r="E1543" s="14" t="str">
        <x:v>第三班</x:v>
      </x:c>
      <x:c r="F1543" s="14" t="n">
        <x:v>11</x:v>
      </x:c>
      <x:c r="G1543" s="14" t="str">
        <x:v>15:45</x:v>
      </x:c>
      <x:c r="H1543" s="14" t="str">
        <x:v>研究生宿舍楼</x:v>
      </x:c>
      <x:c r="I1543" s="14" t="str">
        <x:v>否</x:v>
      </x:c>
      <x:c r="J1543" s="14" t="n">
        <x:v>12</x:v>
      </x:c>
      <x:c r="K1543" s="14" t="str">
        <x:v>研究生宿舍楼</x:v>
      </x:c>
      <x:c r="L1543" s="14" t="n">
        <x:v>18</x:v>
      </x:c>
      <x:c r="M1543" s="14" t="str">
        <x:v>16:03</x:v>
      </x:c>
      <x:c r="N1543" s="14" t="str">
        <x:v>否</x:v>
      </x:c>
      <x:c r="O1543" s="14" t="str">
        <x:v>是</x:v>
      </x:c>
      <x:c r="P1543" s="14" t="str">
        <x:v>刘晓燕</x:v>
      </x:c>
      <x:c r="Q1543" s="14" t="str">
        <x:v>4号车</x:v>
      </x:c>
      <x:c r="R1543" s="14" t="str">
        <x:v>预测</x:v>
      </x:c>
      <x:c r="S1543" s="14" t="str">
        <x:v>到站时间为估算值</x:v>
      </x:c>
      <x:c r="T1543" t="str">
        <x:v>研究生宿舍楼发车</x:v>
      </x:c>
    </x:row>
    <x:row r="1544">
      <x:c r="A1544" s="14" t="str">
        <x:v>S0133-01</x:v>
      </x:c>
      <x:c r="B1544" s="14" t="str">
        <x:v>S0133</x:v>
      </x:c>
      <x:c r="C1544" s="14" t="str">
        <x:v>工作日</x:v>
      </x:c>
      <x:c r="D1544" s="14" t="str">
        <x:v>环线3路</x:v>
      </x:c>
      <x:c r="E1544" s="14" t="str">
        <x:v>第三班</x:v>
      </x:c>
      <x:c r="F1544" s="14" t="n">
        <x:v>12</x:v>
      </x:c>
      <x:c r="G1544" s="14" t="str">
        <x:v>17:10</x:v>
      </x:c>
      <x:c r="H1544" s="14" t="str">
        <x:v>研究生宿舍楼</x:v>
      </x:c>
      <x:c r="I1544" s="14" t="str">
        <x:v>否</x:v>
      </x:c>
      <x:c r="J1544" s="14" t="n">
        <x:v>1</x:v>
      </x:c>
      <x:c r="K1544" s="14" t="str">
        <x:v>研究生宿舍楼</x:v>
      </x:c>
      <x:c r="L1544" s="14" t="n">
        <x:v>0</x:v>
      </x:c>
      <x:c r="M1544" s="14" t="str">
        <x:v>17:10</x:v>
      </x:c>
      <x:c r="N1544" s="14" t="str">
        <x:v>是</x:v>
      </x:c>
      <x:c r="O1544" s="14" t="str">
        <x:v>否</x:v>
      </x:c>
      <x:c r="P1544" s="14" t="str">
        <x:v>刘晓燕</x:v>
      </x:c>
      <x:c r="Q1544" s="14" t="str">
        <x:v>4号车</x:v>
      </x:c>
      <x:c r="R1544" s="14" t="str">
        <x:v>预测</x:v>
      </x:c>
      <x:c r="S1544" s="14" t="str">
        <x:v>到站时间为估算值</x:v>
      </x:c>
      <x:c r="T1544" t="str">
        <x:v>研究生宿舍楼发车</x:v>
      </x:c>
    </x:row>
    <x:row r="1545">
      <x:c r="A1545" s="14" t="str">
        <x:v>S0133-02</x:v>
      </x:c>
      <x:c r="B1545" s="14" t="str">
        <x:v>S0133</x:v>
      </x:c>
      <x:c r="C1545" s="14" t="str">
        <x:v>工作日</x:v>
      </x:c>
      <x:c r="D1545" s="14" t="str">
        <x:v>环线3路</x:v>
      </x:c>
      <x:c r="E1545" s="14" t="str">
        <x:v>第三班</x:v>
      </x:c>
      <x:c r="F1545" s="14" t="n">
        <x:v>12</x:v>
      </x:c>
      <x:c r="G1545" s="14" t="str">
        <x:v>17:10</x:v>
      </x:c>
      <x:c r="H1545" s="14" t="str">
        <x:v>研究生宿舍楼</x:v>
      </x:c>
      <x:c r="I1545" s="14" t="str">
        <x:v>否</x:v>
      </x:c>
      <x:c r="J1545" s="14" t="n">
        <x:v>2</x:v>
      </x:c>
      <x:c r="K1545" s="14" t="str">
        <x:v>一食堂</x:v>
      </x:c>
      <x:c r="L1545" s="14" t="n">
        <x:v>1</x:v>
      </x:c>
      <x:c r="M1545" s="14" t="str">
        <x:v>17:11</x:v>
      </x:c>
      <x:c r="N1545" s="14" t="str">
        <x:v>否</x:v>
      </x:c>
      <x:c r="O1545" s="14" t="str">
        <x:v>否</x:v>
      </x:c>
      <x:c r="P1545" s="14" t="str">
        <x:v>刘晓燕</x:v>
      </x:c>
      <x:c r="Q1545" s="14" t="str">
        <x:v>4号车</x:v>
      </x:c>
      <x:c r="R1545" s="14" t="str">
        <x:v>预测</x:v>
      </x:c>
      <x:c r="S1545" s="14" t="str">
        <x:v>到站时间为估算值</x:v>
      </x:c>
      <x:c r="T1545" t="str">
        <x:v>研究生宿舍楼发车</x:v>
      </x:c>
    </x:row>
    <x:row r="1546">
      <x:c r="A1546" s="14" t="str">
        <x:v>S0133-03</x:v>
      </x:c>
      <x:c r="B1546" s="14" t="str">
        <x:v>S0133</x:v>
      </x:c>
      <x:c r="C1546" s="14" t="str">
        <x:v>工作日</x:v>
      </x:c>
      <x:c r="D1546" s="14" t="str">
        <x:v>环线3路</x:v>
      </x:c>
      <x:c r="E1546" s="14" t="str">
        <x:v>第三班</x:v>
      </x:c>
      <x:c r="F1546" s="14" t="n">
        <x:v>12</x:v>
      </x:c>
      <x:c r="G1546" s="14" t="str">
        <x:v>17:10</x:v>
      </x:c>
      <x:c r="H1546" s="14" t="str">
        <x:v>研究生宿舍楼</x:v>
      </x:c>
      <x:c r="I1546" s="14" t="str">
        <x:v>否</x:v>
      </x:c>
      <x:c r="J1546" s="14" t="n">
        <x:v>3</x:v>
      </x:c>
      <x:c r="K1546" s="14" t="str">
        <x:v>2号宿舍楼</x:v>
      </x:c>
      <x:c r="L1546" s="14" t="n">
        <x:v>3</x:v>
      </x:c>
      <x:c r="M1546" s="14" t="str">
        <x:v>17:13</x:v>
      </x:c>
      <x:c r="N1546" s="14" t="str">
        <x:v>否</x:v>
      </x:c>
      <x:c r="O1546" s="14" t="str">
        <x:v>否</x:v>
      </x:c>
      <x:c r="P1546" s="14" t="str">
        <x:v>刘晓燕</x:v>
      </x:c>
      <x:c r="Q1546" s="14" t="str">
        <x:v>4号车</x:v>
      </x:c>
      <x:c r="R1546" s="14" t="str">
        <x:v>预测</x:v>
      </x:c>
      <x:c r="S1546" s="14" t="str">
        <x:v>到站时间为估算值</x:v>
      </x:c>
      <x:c r="T1546" t="str">
        <x:v>研究生宿舍楼发车</x:v>
      </x:c>
    </x:row>
    <x:row r="1547">
      <x:c r="A1547" s="14" t="str">
        <x:v>S0133-04</x:v>
      </x:c>
      <x:c r="B1547" s="14" t="str">
        <x:v>S0133</x:v>
      </x:c>
      <x:c r="C1547" s="14" t="str">
        <x:v>工作日</x:v>
      </x:c>
      <x:c r="D1547" s="14" t="str">
        <x:v>环线3路</x:v>
      </x:c>
      <x:c r="E1547" s="14" t="str">
        <x:v>第三班</x:v>
      </x:c>
      <x:c r="F1547" s="14" t="n">
        <x:v>12</x:v>
      </x:c>
      <x:c r="G1547" s="14" t="str">
        <x:v>17:10</x:v>
      </x:c>
      <x:c r="H1547" s="14" t="str">
        <x:v>研究生宿舍楼</x:v>
      </x:c>
      <x:c r="I1547" s="14" t="str">
        <x:v>否</x:v>
      </x:c>
      <x:c r="J1547" s="14" t="n">
        <x:v>4</x:v>
      </x:c>
      <x:c r="K1547" s="14" t="str">
        <x:v>军体活动中心</x:v>
      </x:c>
      <x:c r="L1547" s="14" t="n">
        <x:v>4</x:v>
      </x:c>
      <x:c r="M1547" s="14" t="str">
        <x:v>17:14</x:v>
      </x:c>
      <x:c r="N1547" s="14" t="str">
        <x:v>否</x:v>
      </x:c>
      <x:c r="O1547" s="14" t="str">
        <x:v>否</x:v>
      </x:c>
      <x:c r="P1547" s="14" t="str">
        <x:v>刘晓燕</x:v>
      </x:c>
      <x:c r="Q1547" s="14" t="str">
        <x:v>4号车</x:v>
      </x:c>
      <x:c r="R1547" s="14" t="str">
        <x:v>预测</x:v>
      </x:c>
      <x:c r="S1547" s="14" t="str">
        <x:v>到站时间为估算值</x:v>
      </x:c>
      <x:c r="T1547" t="str">
        <x:v>研究生宿舍楼发车</x:v>
      </x:c>
    </x:row>
    <x:row r="1548">
      <x:c r="A1548" s="14" t="str">
        <x:v>S0133-05</x:v>
      </x:c>
      <x:c r="B1548" s="14" t="str">
        <x:v>S0133</x:v>
      </x:c>
      <x:c r="C1548" s="14" t="str">
        <x:v>工作日</x:v>
      </x:c>
      <x:c r="D1548" s="14" t="str">
        <x:v>环线3路</x:v>
      </x:c>
      <x:c r="E1548" s="14" t="str">
        <x:v>第三班</x:v>
      </x:c>
      <x:c r="F1548" s="14" t="n">
        <x:v>12</x:v>
      </x:c>
      <x:c r="G1548" s="14" t="str">
        <x:v>17:10</x:v>
      </x:c>
      <x:c r="H1548" s="14" t="str">
        <x:v>研究生宿舍楼</x:v>
      </x:c>
      <x:c r="I1548" s="14" t="str">
        <x:v>否</x:v>
      </x:c>
      <x:c r="J1548" s="14" t="n">
        <x:v>5</x:v>
      </x:c>
      <x:c r="K1548" s="14" t="str">
        <x:v>教勤连</x:v>
      </x:c>
      <x:c r="L1548" s="14" t="n">
        <x:v>6</x:v>
      </x:c>
      <x:c r="M1548" s="14" t="str">
        <x:v>17:16</x:v>
      </x:c>
      <x:c r="N1548" s="14" t="str">
        <x:v>否</x:v>
      </x:c>
      <x:c r="O1548" s="14" t="str">
        <x:v>否</x:v>
      </x:c>
      <x:c r="P1548" s="14" t="str">
        <x:v>刘晓燕</x:v>
      </x:c>
      <x:c r="Q1548" s="14" t="str">
        <x:v>4号车</x:v>
      </x:c>
      <x:c r="R1548" s="14" t="str">
        <x:v>预测</x:v>
      </x:c>
      <x:c r="S1548" s="14" t="str">
        <x:v>到站时间为估算值</x:v>
      </x:c>
      <x:c r="T1548" t="str">
        <x:v>研究生宿舍楼发车</x:v>
      </x:c>
    </x:row>
    <x:row r="1549">
      <x:c r="A1549" s="14" t="str">
        <x:v>S0133-06</x:v>
      </x:c>
      <x:c r="B1549" s="14" t="str">
        <x:v>S0133</x:v>
      </x:c>
      <x:c r="C1549" s="14" t="str">
        <x:v>工作日</x:v>
      </x:c>
      <x:c r="D1549" s="14" t="str">
        <x:v>环线3路</x:v>
      </x:c>
      <x:c r="E1549" s="14" t="str">
        <x:v>第三班</x:v>
      </x:c>
      <x:c r="F1549" s="14" t="n">
        <x:v>12</x:v>
      </x:c>
      <x:c r="G1549" s="14" t="str">
        <x:v>17:10</x:v>
      </x:c>
      <x:c r="H1549" s="14" t="str">
        <x:v>研究生宿舍楼</x:v>
      </x:c>
      <x:c r="I1549" s="14" t="str">
        <x:v>否</x:v>
      </x:c>
      <x:c r="J1549" s="14" t="n">
        <x:v>6</x:v>
      </x:c>
      <x:c r="K1549" s="14" t="str">
        <x:v>激光所</x:v>
      </x:c>
      <x:c r="L1549" s="14" t="n">
        <x:v>7</x:v>
      </x:c>
      <x:c r="M1549" s="14" t="str">
        <x:v>17:17</x:v>
      </x:c>
      <x:c r="N1549" s="14" t="str">
        <x:v>否</x:v>
      </x:c>
      <x:c r="O1549" s="14" t="str">
        <x:v>否</x:v>
      </x:c>
      <x:c r="P1549" s="14" t="str">
        <x:v>刘晓燕</x:v>
      </x:c>
      <x:c r="Q1549" s="14" t="str">
        <x:v>4号车</x:v>
      </x:c>
      <x:c r="R1549" s="14" t="str">
        <x:v>预测</x:v>
      </x:c>
      <x:c r="S1549" s="14" t="str">
        <x:v>到站时间为估算值</x:v>
      </x:c>
      <x:c r="T1549" t="str">
        <x:v>研究生宿舍楼发车</x:v>
      </x:c>
    </x:row>
    <x:row r="1550">
      <x:c r="A1550" s="14" t="str">
        <x:v>S0133-07</x:v>
      </x:c>
      <x:c r="B1550" s="14" t="str">
        <x:v>S0133</x:v>
      </x:c>
      <x:c r="C1550" s="14" t="str">
        <x:v>工作日</x:v>
      </x:c>
      <x:c r="D1550" s="14" t="str">
        <x:v>环线3路</x:v>
      </x:c>
      <x:c r="E1550" s="14" t="str">
        <x:v>第三班</x:v>
      </x:c>
      <x:c r="F1550" s="14" t="n">
        <x:v>12</x:v>
      </x:c>
      <x:c r="G1550" s="14" t="str">
        <x:v>17:10</x:v>
      </x:c>
      <x:c r="H1550" s="14" t="str">
        <x:v>研究生宿舍楼</x:v>
      </x:c>
      <x:c r="I1550" s="14" t="str">
        <x:v>否</x:v>
      </x:c>
      <x:c r="J1550" s="14" t="n">
        <x:v>7</x:v>
      </x:c>
      <x:c r="K1550" s="14" t="str">
        <x:v>高超楼</x:v>
      </x:c>
      <x:c r="L1550" s="14" t="n">
        <x:v>9</x:v>
      </x:c>
      <x:c r="M1550" s="14" t="str">
        <x:v>17:19</x:v>
      </x:c>
      <x:c r="N1550" s="14" t="str">
        <x:v>否</x:v>
      </x:c>
      <x:c r="O1550" s="14" t="str">
        <x:v>否</x:v>
      </x:c>
      <x:c r="P1550" s="14" t="str">
        <x:v>刘晓燕</x:v>
      </x:c>
      <x:c r="Q1550" s="14" t="str">
        <x:v>4号车</x:v>
      </x:c>
      <x:c r="R1550" s="14" t="str">
        <x:v>预测</x:v>
      </x:c>
      <x:c r="S1550" s="14" t="str">
        <x:v>到站时间为估算值</x:v>
      </x:c>
      <x:c r="T1550" t="str">
        <x:v>研究生宿舍楼发车</x:v>
      </x:c>
    </x:row>
    <x:row r="1551">
      <x:c r="A1551" s="14" t="str">
        <x:v>S0133-08</x:v>
      </x:c>
      <x:c r="B1551" s="14" t="str">
        <x:v>S0133</x:v>
      </x:c>
      <x:c r="C1551" s="14" t="str">
        <x:v>工作日</x:v>
      </x:c>
      <x:c r="D1551" s="14" t="str">
        <x:v>环线3路</x:v>
      </x:c>
      <x:c r="E1551" s="14" t="str">
        <x:v>第三班</x:v>
      </x:c>
      <x:c r="F1551" s="14" t="n">
        <x:v>12</x:v>
      </x:c>
      <x:c r="G1551" s="14" t="str">
        <x:v>17:10</x:v>
      </x:c>
      <x:c r="H1551" s="14" t="str">
        <x:v>研究生宿舍楼</x:v>
      </x:c>
      <x:c r="I1551" s="14" t="str">
        <x:v>否</x:v>
      </x:c>
      <x:c r="J1551" s="14" t="n">
        <x:v>8</x:v>
      </x:c>
      <x:c r="K1551" s="14" t="str">
        <x:v>理学院</x:v>
      </x:c>
      <x:c r="L1551" s="14" t="n">
        <x:v>10</x:v>
      </x:c>
      <x:c r="M1551" s="14" t="str">
        <x:v>17:20</x:v>
      </x:c>
      <x:c r="N1551" s="14" t="str">
        <x:v>否</x:v>
      </x:c>
      <x:c r="O1551" s="14" t="str">
        <x:v>否</x:v>
      </x:c>
      <x:c r="P1551" s="14" t="str">
        <x:v>刘晓燕</x:v>
      </x:c>
      <x:c r="Q1551" s="14" t="str">
        <x:v>4号车</x:v>
      </x:c>
      <x:c r="R1551" s="14" t="str">
        <x:v>预测</x:v>
      </x:c>
      <x:c r="S1551" s="14" t="str">
        <x:v>到站时间为估算值</x:v>
      </x:c>
      <x:c r="T1551" t="str">
        <x:v>研究生宿舍楼发车</x:v>
      </x:c>
    </x:row>
    <x:row r="1552">
      <x:c r="A1552" s="14" t="str">
        <x:v>S0133-09</x:v>
      </x:c>
      <x:c r="B1552" s="14" t="str">
        <x:v>S0133</x:v>
      </x:c>
      <x:c r="C1552" s="14" t="str">
        <x:v>工作日</x:v>
      </x:c>
      <x:c r="D1552" s="14" t="str">
        <x:v>环线3路</x:v>
      </x:c>
      <x:c r="E1552" s="14" t="str">
        <x:v>第三班</x:v>
      </x:c>
      <x:c r="F1552" s="14" t="n">
        <x:v>12</x:v>
      </x:c>
      <x:c r="G1552" s="14" t="str">
        <x:v>17:10</x:v>
      </x:c>
      <x:c r="H1552" s="14" t="str">
        <x:v>研究生宿舍楼</x:v>
      </x:c>
      <x:c r="I1552" s="14" t="str">
        <x:v>否</x:v>
      </x:c>
      <x:c r="J1552" s="14" t="n">
        <x:v>9</x:v>
      </x:c>
      <x:c r="K1552" s="14" t="str">
        <x:v>二食堂</x:v>
      </x:c>
      <x:c r="L1552" s="14" t="n">
        <x:v>13</x:v>
      </x:c>
      <x:c r="M1552" s="14" t="str">
        <x:v>17:23</x:v>
      </x:c>
      <x:c r="N1552" s="14" t="str">
        <x:v>否</x:v>
      </x:c>
      <x:c r="O1552" s="14" t="str">
        <x:v>否</x:v>
      </x:c>
      <x:c r="P1552" s="14" t="str">
        <x:v>刘晓燕</x:v>
      </x:c>
      <x:c r="Q1552" s="14" t="str">
        <x:v>4号车</x:v>
      </x:c>
      <x:c r="R1552" s="14" t="str">
        <x:v>预测</x:v>
      </x:c>
      <x:c r="S1552" s="14" t="str">
        <x:v>到站时间为估算值</x:v>
      </x:c>
      <x:c r="T1552" t="str">
        <x:v>研究生宿舍楼发车</x:v>
      </x:c>
    </x:row>
    <x:row r="1553">
      <x:c r="A1553" s="14" t="str">
        <x:v>S0133-10</x:v>
      </x:c>
      <x:c r="B1553" s="14" t="str">
        <x:v>S0133</x:v>
      </x:c>
      <x:c r="C1553" s="14" t="str">
        <x:v>工作日</x:v>
      </x:c>
      <x:c r="D1553" s="14" t="str">
        <x:v>环线3路</x:v>
      </x:c>
      <x:c r="E1553" s="14" t="str">
        <x:v>第三班</x:v>
      </x:c>
      <x:c r="F1553" s="14" t="n">
        <x:v>12</x:v>
      </x:c>
      <x:c r="G1553" s="14" t="str">
        <x:v>17:10</x:v>
      </x:c>
      <x:c r="H1553" s="14" t="str">
        <x:v>研究生宿舍楼</x:v>
      </x:c>
      <x:c r="I1553" s="14" t="str">
        <x:v>否</x:v>
      </x:c>
      <x:c r="J1553" s="14" t="n">
        <x:v>10</x:v>
      </x:c>
      <x:c r="K1553" s="14" t="str">
        <x:v>图书馆</x:v>
      </x:c>
      <x:c r="L1553" s="14" t="n">
        <x:v>14</x:v>
      </x:c>
      <x:c r="M1553" s="14" t="str">
        <x:v>17:24</x:v>
      </x:c>
      <x:c r="N1553" s="14" t="str">
        <x:v>否</x:v>
      </x:c>
      <x:c r="O1553" s="14" t="str">
        <x:v>否</x:v>
      </x:c>
      <x:c r="P1553" s="14" t="str">
        <x:v>刘晓燕</x:v>
      </x:c>
      <x:c r="Q1553" s="14" t="str">
        <x:v>4号车</x:v>
      </x:c>
      <x:c r="R1553" s="14" t="str">
        <x:v>预测</x:v>
      </x:c>
      <x:c r="S1553" s="14" t="str">
        <x:v>到站时间为估算值</x:v>
      </x:c>
      <x:c r="T1553" t="str">
        <x:v>研究生宿舍楼发车</x:v>
      </x:c>
    </x:row>
    <x:row r="1554">
      <x:c r="A1554" s="14" t="str">
        <x:v>S0133-11</x:v>
      </x:c>
      <x:c r="B1554" s="14" t="str">
        <x:v>S0133</x:v>
      </x:c>
      <x:c r="C1554" s="14" t="str">
        <x:v>工作日</x:v>
      </x:c>
      <x:c r="D1554" s="14" t="str">
        <x:v>环线3路</x:v>
      </x:c>
      <x:c r="E1554" s="14" t="str">
        <x:v>第三班</x:v>
      </x:c>
      <x:c r="F1554" s="14" t="n">
        <x:v>12</x:v>
      </x:c>
      <x:c r="G1554" s="14" t="str">
        <x:v>17:10</x:v>
      </x:c>
      <x:c r="H1554" s="14" t="str">
        <x:v>研究生宿舍楼</x:v>
      </x:c>
      <x:c r="I1554" s="14" t="str">
        <x:v>否</x:v>
      </x:c>
      <x:c r="J1554" s="14" t="n">
        <x:v>11</x:v>
      </x:c>
      <x:c r="K1554" s="14" t="str">
        <x:v>305教学楼</x:v>
      </x:c>
      <x:c r="L1554" s="14" t="n">
        <x:v>16</x:v>
      </x:c>
      <x:c r="M1554" s="14" t="str">
        <x:v>17:26</x:v>
      </x:c>
      <x:c r="N1554" s="14" t="str">
        <x:v>否</x:v>
      </x:c>
      <x:c r="O1554" s="14" t="str">
        <x:v>否</x:v>
      </x:c>
      <x:c r="P1554" s="14" t="str">
        <x:v>刘晓燕</x:v>
      </x:c>
      <x:c r="Q1554" s="14" t="str">
        <x:v>4号车</x:v>
      </x:c>
      <x:c r="R1554" s="14" t="str">
        <x:v>预测</x:v>
      </x:c>
      <x:c r="S1554" s="14" t="str">
        <x:v>到站时间为估算值</x:v>
      </x:c>
      <x:c r="T1554" t="str">
        <x:v>研究生宿舍楼发车</x:v>
      </x:c>
    </x:row>
    <x:row r="1555">
      <x:c r="A1555" s="14" t="str">
        <x:v>S0133-12</x:v>
      </x:c>
      <x:c r="B1555" s="14" t="str">
        <x:v>S0133</x:v>
      </x:c>
      <x:c r="C1555" s="14" t="str">
        <x:v>工作日</x:v>
      </x:c>
      <x:c r="D1555" s="14" t="str">
        <x:v>环线3路</x:v>
      </x:c>
      <x:c r="E1555" s="14" t="str">
        <x:v>第三班</x:v>
      </x:c>
      <x:c r="F1555" s="14" t="n">
        <x:v>12</x:v>
      </x:c>
      <x:c r="G1555" s="14" t="str">
        <x:v>17:10</x:v>
      </x:c>
      <x:c r="H1555" s="14" t="str">
        <x:v>研究生宿舍楼</x:v>
      </x:c>
      <x:c r="I1555" s="14" t="str">
        <x:v>否</x:v>
      </x:c>
      <x:c r="J1555" s="14" t="n">
        <x:v>12</x:v>
      </x:c>
      <x:c r="K1555" s="14" t="str">
        <x:v>研究生宿舍楼</x:v>
      </x:c>
      <x:c r="L1555" s="14" t="n">
        <x:v>18</x:v>
      </x:c>
      <x:c r="M1555" s="14" t="str">
        <x:v>17:28</x:v>
      </x:c>
      <x:c r="N1555" s="14" t="str">
        <x:v>否</x:v>
      </x:c>
      <x:c r="O1555" s="14" t="str">
        <x:v>是</x:v>
      </x:c>
      <x:c r="P1555" s="14" t="str">
        <x:v>刘晓燕</x:v>
      </x:c>
      <x:c r="Q1555" s="14" t="str">
        <x:v>4号车</x:v>
      </x:c>
      <x:c r="R1555" s="14" t="str">
        <x:v>预测</x:v>
      </x:c>
      <x:c r="S1555" s="14" t="str">
        <x:v>到站时间为估算值</x:v>
      </x:c>
      <x:c r="T1555" t="str">
        <x:v>研究生宿舍楼发车</x:v>
      </x:c>
    </x:row>
    <x:row r="1556">
      <x:c r="A1556" s="14" t="str">
        <x:v>S0134-01</x:v>
      </x:c>
      <x:c r="B1556" s="14" t="str">
        <x:v>S0134</x:v>
      </x:c>
      <x:c r="C1556" s="14" t="str">
        <x:v>工作日</x:v>
      </x:c>
      <x:c r="D1556" s="14" t="str">
        <x:v>环线3路</x:v>
      </x:c>
      <x:c r="E1556" s="14" t="str">
        <x:v>第三班</x:v>
      </x:c>
      <x:c r="F1556" s="14" t="n">
        <x:v>13</x:v>
      </x:c>
      <x:c r="G1556" s="14" t="str">
        <x:v>17:40</x:v>
      </x:c>
      <x:c r="H1556" s="14" t="str">
        <x:v>研究生宿舍楼</x:v>
      </x:c>
      <x:c r="I1556" s="14" t="str">
        <x:v>否</x:v>
      </x:c>
      <x:c r="J1556" s="14" t="n">
        <x:v>1</x:v>
      </x:c>
      <x:c r="K1556" s="14" t="str">
        <x:v>研究生宿舍楼</x:v>
      </x:c>
      <x:c r="L1556" s="14" t="n">
        <x:v>0</x:v>
      </x:c>
      <x:c r="M1556" s="14" t="str">
        <x:v>17:40</x:v>
      </x:c>
      <x:c r="N1556" s="14" t="str">
        <x:v>是</x:v>
      </x:c>
      <x:c r="O1556" s="14" t="str">
        <x:v>否</x:v>
      </x:c>
      <x:c r="P1556" s="14" t="str">
        <x:v>刘晓燕</x:v>
      </x:c>
      <x:c r="Q1556" s="14" t="str">
        <x:v>4号车</x:v>
      </x:c>
      <x:c r="R1556" s="14" t="str">
        <x:v>预测</x:v>
      </x:c>
      <x:c r="S1556" s="14" t="str">
        <x:v>到站时间为估算值</x:v>
      </x:c>
      <x:c r="T1556" t="str">
        <x:v>研究生宿舍楼发车</x:v>
      </x:c>
    </x:row>
    <x:row r="1557">
      <x:c r="A1557" s="14" t="str">
        <x:v>S0134-02</x:v>
      </x:c>
      <x:c r="B1557" s="14" t="str">
        <x:v>S0134</x:v>
      </x:c>
      <x:c r="C1557" s="14" t="str">
        <x:v>工作日</x:v>
      </x:c>
      <x:c r="D1557" s="14" t="str">
        <x:v>环线3路</x:v>
      </x:c>
      <x:c r="E1557" s="14" t="str">
        <x:v>第三班</x:v>
      </x:c>
      <x:c r="F1557" s="14" t="n">
        <x:v>13</x:v>
      </x:c>
      <x:c r="G1557" s="14" t="str">
        <x:v>17:40</x:v>
      </x:c>
      <x:c r="H1557" s="14" t="str">
        <x:v>研究生宿舍楼</x:v>
      </x:c>
      <x:c r="I1557" s="14" t="str">
        <x:v>否</x:v>
      </x:c>
      <x:c r="J1557" s="14" t="n">
        <x:v>2</x:v>
      </x:c>
      <x:c r="K1557" s="14" t="str">
        <x:v>一食堂</x:v>
      </x:c>
      <x:c r="L1557" s="14" t="n">
        <x:v>1</x:v>
      </x:c>
      <x:c r="M1557" s="14" t="str">
        <x:v>17:41</x:v>
      </x:c>
      <x:c r="N1557" s="14" t="str">
        <x:v>否</x:v>
      </x:c>
      <x:c r="O1557" s="14" t="str">
        <x:v>否</x:v>
      </x:c>
      <x:c r="P1557" s="14" t="str">
        <x:v>刘晓燕</x:v>
      </x:c>
      <x:c r="Q1557" s="14" t="str">
        <x:v>4号车</x:v>
      </x:c>
      <x:c r="R1557" s="14" t="str">
        <x:v>预测</x:v>
      </x:c>
      <x:c r="S1557" s="14" t="str">
        <x:v>到站时间为估算值</x:v>
      </x:c>
      <x:c r="T1557" t="str">
        <x:v>研究生宿舍楼发车</x:v>
      </x:c>
    </x:row>
    <x:row r="1558">
      <x:c r="A1558" s="14" t="str">
        <x:v>S0134-03</x:v>
      </x:c>
      <x:c r="B1558" s="14" t="str">
        <x:v>S0134</x:v>
      </x:c>
      <x:c r="C1558" s="14" t="str">
        <x:v>工作日</x:v>
      </x:c>
      <x:c r="D1558" s="14" t="str">
        <x:v>环线3路</x:v>
      </x:c>
      <x:c r="E1558" s="14" t="str">
        <x:v>第三班</x:v>
      </x:c>
      <x:c r="F1558" s="14" t="n">
        <x:v>13</x:v>
      </x:c>
      <x:c r="G1558" s="14" t="str">
        <x:v>17:40</x:v>
      </x:c>
      <x:c r="H1558" s="14" t="str">
        <x:v>研究生宿舍楼</x:v>
      </x:c>
      <x:c r="I1558" s="14" t="str">
        <x:v>否</x:v>
      </x:c>
      <x:c r="J1558" s="14" t="n">
        <x:v>3</x:v>
      </x:c>
      <x:c r="K1558" s="14" t="str">
        <x:v>2号宿舍楼</x:v>
      </x:c>
      <x:c r="L1558" s="14" t="n">
        <x:v>3</x:v>
      </x:c>
      <x:c r="M1558" s="14" t="str">
        <x:v>17:43</x:v>
      </x:c>
      <x:c r="N1558" s="14" t="str">
        <x:v>否</x:v>
      </x:c>
      <x:c r="O1558" s="14" t="str">
        <x:v>否</x:v>
      </x:c>
      <x:c r="P1558" s="14" t="str">
        <x:v>刘晓燕</x:v>
      </x:c>
      <x:c r="Q1558" s="14" t="str">
        <x:v>4号车</x:v>
      </x:c>
      <x:c r="R1558" s="14" t="str">
        <x:v>预测</x:v>
      </x:c>
      <x:c r="S1558" s="14" t="str">
        <x:v>到站时间为估算值</x:v>
      </x:c>
      <x:c r="T1558" t="str">
        <x:v>研究生宿舍楼发车</x:v>
      </x:c>
    </x:row>
    <x:row r="1559">
      <x:c r="A1559" s="14" t="str">
        <x:v>S0134-04</x:v>
      </x:c>
      <x:c r="B1559" s="14" t="str">
        <x:v>S0134</x:v>
      </x:c>
      <x:c r="C1559" s="14" t="str">
        <x:v>工作日</x:v>
      </x:c>
      <x:c r="D1559" s="14" t="str">
        <x:v>环线3路</x:v>
      </x:c>
      <x:c r="E1559" s="14" t="str">
        <x:v>第三班</x:v>
      </x:c>
      <x:c r="F1559" s="14" t="n">
        <x:v>13</x:v>
      </x:c>
      <x:c r="G1559" s="14" t="str">
        <x:v>17:40</x:v>
      </x:c>
      <x:c r="H1559" s="14" t="str">
        <x:v>研究生宿舍楼</x:v>
      </x:c>
      <x:c r="I1559" s="14" t="str">
        <x:v>否</x:v>
      </x:c>
      <x:c r="J1559" s="14" t="n">
        <x:v>4</x:v>
      </x:c>
      <x:c r="K1559" s="14" t="str">
        <x:v>军体活动中心</x:v>
      </x:c>
      <x:c r="L1559" s="14" t="n">
        <x:v>4</x:v>
      </x:c>
      <x:c r="M1559" s="14" t="str">
        <x:v>17:44</x:v>
      </x:c>
      <x:c r="N1559" s="14" t="str">
        <x:v>否</x:v>
      </x:c>
      <x:c r="O1559" s="14" t="str">
        <x:v>否</x:v>
      </x:c>
      <x:c r="P1559" s="14" t="str">
        <x:v>刘晓燕</x:v>
      </x:c>
      <x:c r="Q1559" s="14" t="str">
        <x:v>4号车</x:v>
      </x:c>
      <x:c r="R1559" s="14" t="str">
        <x:v>预测</x:v>
      </x:c>
      <x:c r="S1559" s="14" t="str">
        <x:v>到站时间为估算值</x:v>
      </x:c>
      <x:c r="T1559" t="str">
        <x:v>研究生宿舍楼发车</x:v>
      </x:c>
    </x:row>
    <x:row r="1560">
      <x:c r="A1560" s="14" t="str">
        <x:v>S0134-05</x:v>
      </x:c>
      <x:c r="B1560" s="14" t="str">
        <x:v>S0134</x:v>
      </x:c>
      <x:c r="C1560" s="14" t="str">
        <x:v>工作日</x:v>
      </x:c>
      <x:c r="D1560" s="14" t="str">
        <x:v>环线3路</x:v>
      </x:c>
      <x:c r="E1560" s="14" t="str">
        <x:v>第三班</x:v>
      </x:c>
      <x:c r="F1560" s="14" t="n">
        <x:v>13</x:v>
      </x:c>
      <x:c r="G1560" s="14" t="str">
        <x:v>17:40</x:v>
      </x:c>
      <x:c r="H1560" s="14" t="str">
        <x:v>研究生宿舍楼</x:v>
      </x:c>
      <x:c r="I1560" s="14" t="str">
        <x:v>否</x:v>
      </x:c>
      <x:c r="J1560" s="14" t="n">
        <x:v>5</x:v>
      </x:c>
      <x:c r="K1560" s="14" t="str">
        <x:v>教勤连</x:v>
      </x:c>
      <x:c r="L1560" s="14" t="n">
        <x:v>6</x:v>
      </x:c>
      <x:c r="M1560" s="14" t="str">
        <x:v>17:46</x:v>
      </x:c>
      <x:c r="N1560" s="14" t="str">
        <x:v>否</x:v>
      </x:c>
      <x:c r="O1560" s="14" t="str">
        <x:v>否</x:v>
      </x:c>
      <x:c r="P1560" s="14" t="str">
        <x:v>刘晓燕</x:v>
      </x:c>
      <x:c r="Q1560" s="14" t="str">
        <x:v>4号车</x:v>
      </x:c>
      <x:c r="R1560" s="14" t="str">
        <x:v>预测</x:v>
      </x:c>
      <x:c r="S1560" s="14" t="str">
        <x:v>到站时间为估算值</x:v>
      </x:c>
      <x:c r="T1560" t="str">
        <x:v>研究生宿舍楼发车</x:v>
      </x:c>
    </x:row>
    <x:row r="1561">
      <x:c r="A1561" s="14" t="str">
        <x:v>S0134-06</x:v>
      </x:c>
      <x:c r="B1561" s="14" t="str">
        <x:v>S0134</x:v>
      </x:c>
      <x:c r="C1561" s="14" t="str">
        <x:v>工作日</x:v>
      </x:c>
      <x:c r="D1561" s="14" t="str">
        <x:v>环线3路</x:v>
      </x:c>
      <x:c r="E1561" s="14" t="str">
        <x:v>第三班</x:v>
      </x:c>
      <x:c r="F1561" s="14" t="n">
        <x:v>13</x:v>
      </x:c>
      <x:c r="G1561" s="14" t="str">
        <x:v>17:40</x:v>
      </x:c>
      <x:c r="H1561" s="14" t="str">
        <x:v>研究生宿舍楼</x:v>
      </x:c>
      <x:c r="I1561" s="14" t="str">
        <x:v>否</x:v>
      </x:c>
      <x:c r="J1561" s="14" t="n">
        <x:v>6</x:v>
      </x:c>
      <x:c r="K1561" s="14" t="str">
        <x:v>激光所</x:v>
      </x:c>
      <x:c r="L1561" s="14" t="n">
        <x:v>7</x:v>
      </x:c>
      <x:c r="M1561" s="14" t="str">
        <x:v>17:47</x:v>
      </x:c>
      <x:c r="N1561" s="14" t="str">
        <x:v>否</x:v>
      </x:c>
      <x:c r="O1561" s="14" t="str">
        <x:v>否</x:v>
      </x:c>
      <x:c r="P1561" s="14" t="str">
        <x:v>刘晓燕</x:v>
      </x:c>
      <x:c r="Q1561" s="14" t="str">
        <x:v>4号车</x:v>
      </x:c>
      <x:c r="R1561" s="14" t="str">
        <x:v>预测</x:v>
      </x:c>
      <x:c r="S1561" s="14" t="str">
        <x:v>到站时间为估算值</x:v>
      </x:c>
      <x:c r="T1561" t="str">
        <x:v>研究生宿舍楼发车</x:v>
      </x:c>
    </x:row>
    <x:row r="1562">
      <x:c r="A1562" s="14" t="str">
        <x:v>S0134-07</x:v>
      </x:c>
      <x:c r="B1562" s="14" t="str">
        <x:v>S0134</x:v>
      </x:c>
      <x:c r="C1562" s="14" t="str">
        <x:v>工作日</x:v>
      </x:c>
      <x:c r="D1562" s="14" t="str">
        <x:v>环线3路</x:v>
      </x:c>
      <x:c r="E1562" s="14" t="str">
        <x:v>第三班</x:v>
      </x:c>
      <x:c r="F1562" s="14" t="n">
        <x:v>13</x:v>
      </x:c>
      <x:c r="G1562" s="14" t="str">
        <x:v>17:40</x:v>
      </x:c>
      <x:c r="H1562" s="14" t="str">
        <x:v>研究生宿舍楼</x:v>
      </x:c>
      <x:c r="I1562" s="14" t="str">
        <x:v>否</x:v>
      </x:c>
      <x:c r="J1562" s="14" t="n">
        <x:v>7</x:v>
      </x:c>
      <x:c r="K1562" s="14" t="str">
        <x:v>高超楼</x:v>
      </x:c>
      <x:c r="L1562" s="14" t="n">
        <x:v>9</x:v>
      </x:c>
      <x:c r="M1562" s="14" t="str">
        <x:v>17:49</x:v>
      </x:c>
      <x:c r="N1562" s="14" t="str">
        <x:v>否</x:v>
      </x:c>
      <x:c r="O1562" s="14" t="str">
        <x:v>否</x:v>
      </x:c>
      <x:c r="P1562" s="14" t="str">
        <x:v>刘晓燕</x:v>
      </x:c>
      <x:c r="Q1562" s="14" t="str">
        <x:v>4号车</x:v>
      </x:c>
      <x:c r="R1562" s="14" t="str">
        <x:v>预测</x:v>
      </x:c>
      <x:c r="S1562" s="14" t="str">
        <x:v>到站时间为估算值</x:v>
      </x:c>
      <x:c r="T1562" t="str">
        <x:v>研究生宿舍楼发车</x:v>
      </x:c>
    </x:row>
    <x:row r="1563">
      <x:c r="A1563" s="14" t="str">
        <x:v>S0134-08</x:v>
      </x:c>
      <x:c r="B1563" s="14" t="str">
        <x:v>S0134</x:v>
      </x:c>
      <x:c r="C1563" s="14" t="str">
        <x:v>工作日</x:v>
      </x:c>
      <x:c r="D1563" s="14" t="str">
        <x:v>环线3路</x:v>
      </x:c>
      <x:c r="E1563" s="14" t="str">
        <x:v>第三班</x:v>
      </x:c>
      <x:c r="F1563" s="14" t="n">
        <x:v>13</x:v>
      </x:c>
      <x:c r="G1563" s="14" t="str">
        <x:v>17:40</x:v>
      </x:c>
      <x:c r="H1563" s="14" t="str">
        <x:v>研究生宿舍楼</x:v>
      </x:c>
      <x:c r="I1563" s="14" t="str">
        <x:v>否</x:v>
      </x:c>
      <x:c r="J1563" s="14" t="n">
        <x:v>8</x:v>
      </x:c>
      <x:c r="K1563" s="14" t="str">
        <x:v>理学院</x:v>
      </x:c>
      <x:c r="L1563" s="14" t="n">
        <x:v>10</x:v>
      </x:c>
      <x:c r="M1563" s="14" t="str">
        <x:v>17:50</x:v>
      </x:c>
      <x:c r="N1563" s="14" t="str">
        <x:v>否</x:v>
      </x:c>
      <x:c r="O1563" s="14" t="str">
        <x:v>否</x:v>
      </x:c>
      <x:c r="P1563" s="14" t="str">
        <x:v>刘晓燕</x:v>
      </x:c>
      <x:c r="Q1563" s="14" t="str">
        <x:v>4号车</x:v>
      </x:c>
      <x:c r="R1563" s="14" t="str">
        <x:v>预测</x:v>
      </x:c>
      <x:c r="S1563" s="14" t="str">
        <x:v>到站时间为估算值</x:v>
      </x:c>
      <x:c r="T1563" t="str">
        <x:v>研究生宿舍楼发车</x:v>
      </x:c>
    </x:row>
    <x:row r="1564">
      <x:c r="A1564" s="14" t="str">
        <x:v>S0134-09</x:v>
      </x:c>
      <x:c r="B1564" s="14" t="str">
        <x:v>S0134</x:v>
      </x:c>
      <x:c r="C1564" s="14" t="str">
        <x:v>工作日</x:v>
      </x:c>
      <x:c r="D1564" s="14" t="str">
        <x:v>环线3路</x:v>
      </x:c>
      <x:c r="E1564" s="14" t="str">
        <x:v>第三班</x:v>
      </x:c>
      <x:c r="F1564" s="14" t="n">
        <x:v>13</x:v>
      </x:c>
      <x:c r="G1564" s="14" t="str">
        <x:v>17:40</x:v>
      </x:c>
      <x:c r="H1564" s="14" t="str">
        <x:v>研究生宿舍楼</x:v>
      </x:c>
      <x:c r="I1564" s="14" t="str">
        <x:v>否</x:v>
      </x:c>
      <x:c r="J1564" s="14" t="n">
        <x:v>9</x:v>
      </x:c>
      <x:c r="K1564" s="14" t="str">
        <x:v>二食堂</x:v>
      </x:c>
      <x:c r="L1564" s="14" t="n">
        <x:v>13</x:v>
      </x:c>
      <x:c r="M1564" s="14" t="str">
        <x:v>17:53</x:v>
      </x:c>
      <x:c r="N1564" s="14" t="str">
        <x:v>否</x:v>
      </x:c>
      <x:c r="O1564" s="14" t="str">
        <x:v>否</x:v>
      </x:c>
      <x:c r="P1564" s="14" t="str">
        <x:v>刘晓燕</x:v>
      </x:c>
      <x:c r="Q1564" s="14" t="str">
        <x:v>4号车</x:v>
      </x:c>
      <x:c r="R1564" s="14" t="str">
        <x:v>预测</x:v>
      </x:c>
      <x:c r="S1564" s="14" t="str">
        <x:v>到站时间为估算值</x:v>
      </x:c>
      <x:c r="T1564" t="str">
        <x:v>研究生宿舍楼发车</x:v>
      </x:c>
    </x:row>
    <x:row r="1565">
      <x:c r="A1565" s="14" t="str">
        <x:v>S0134-10</x:v>
      </x:c>
      <x:c r="B1565" s="14" t="str">
        <x:v>S0134</x:v>
      </x:c>
      <x:c r="C1565" s="14" t="str">
        <x:v>工作日</x:v>
      </x:c>
      <x:c r="D1565" s="14" t="str">
        <x:v>环线3路</x:v>
      </x:c>
      <x:c r="E1565" s="14" t="str">
        <x:v>第三班</x:v>
      </x:c>
      <x:c r="F1565" s="14" t="n">
        <x:v>13</x:v>
      </x:c>
      <x:c r="G1565" s="14" t="str">
        <x:v>17:40</x:v>
      </x:c>
      <x:c r="H1565" s="14" t="str">
        <x:v>研究生宿舍楼</x:v>
      </x:c>
      <x:c r="I1565" s="14" t="str">
        <x:v>否</x:v>
      </x:c>
      <x:c r="J1565" s="14" t="n">
        <x:v>10</x:v>
      </x:c>
      <x:c r="K1565" s="14" t="str">
        <x:v>图书馆</x:v>
      </x:c>
      <x:c r="L1565" s="14" t="n">
        <x:v>14</x:v>
      </x:c>
      <x:c r="M1565" s="14" t="str">
        <x:v>17:54</x:v>
      </x:c>
      <x:c r="N1565" s="14" t="str">
        <x:v>否</x:v>
      </x:c>
      <x:c r="O1565" s="14" t="str">
        <x:v>否</x:v>
      </x:c>
      <x:c r="P1565" s="14" t="str">
        <x:v>刘晓燕</x:v>
      </x:c>
      <x:c r="Q1565" s="14" t="str">
        <x:v>4号车</x:v>
      </x:c>
      <x:c r="R1565" s="14" t="str">
        <x:v>预测</x:v>
      </x:c>
      <x:c r="S1565" s="14" t="str">
        <x:v>到站时间为估算值</x:v>
      </x:c>
      <x:c r="T1565" t="str">
        <x:v>研究生宿舍楼发车</x:v>
      </x:c>
    </x:row>
    <x:row r="1566">
      <x:c r="A1566" s="14" t="str">
        <x:v>S0134-11</x:v>
      </x:c>
      <x:c r="B1566" s="14" t="str">
        <x:v>S0134</x:v>
      </x:c>
      <x:c r="C1566" s="14" t="str">
        <x:v>工作日</x:v>
      </x:c>
      <x:c r="D1566" s="14" t="str">
        <x:v>环线3路</x:v>
      </x:c>
      <x:c r="E1566" s="14" t="str">
        <x:v>第三班</x:v>
      </x:c>
      <x:c r="F1566" s="14" t="n">
        <x:v>13</x:v>
      </x:c>
      <x:c r="G1566" s="14" t="str">
        <x:v>17:40</x:v>
      </x:c>
      <x:c r="H1566" s="14" t="str">
        <x:v>研究生宿舍楼</x:v>
      </x:c>
      <x:c r="I1566" s="14" t="str">
        <x:v>否</x:v>
      </x:c>
      <x:c r="J1566" s="14" t="n">
        <x:v>11</x:v>
      </x:c>
      <x:c r="K1566" s="14" t="str">
        <x:v>305教学楼</x:v>
      </x:c>
      <x:c r="L1566" s="14" t="n">
        <x:v>16</x:v>
      </x:c>
      <x:c r="M1566" s="14" t="str">
        <x:v>17:56</x:v>
      </x:c>
      <x:c r="N1566" s="14" t="str">
        <x:v>否</x:v>
      </x:c>
      <x:c r="O1566" s="14" t="str">
        <x:v>否</x:v>
      </x:c>
      <x:c r="P1566" s="14" t="str">
        <x:v>刘晓燕</x:v>
      </x:c>
      <x:c r="Q1566" s="14" t="str">
        <x:v>4号车</x:v>
      </x:c>
      <x:c r="R1566" s="14" t="str">
        <x:v>预测</x:v>
      </x:c>
      <x:c r="S1566" s="14" t="str">
        <x:v>到站时间为估算值</x:v>
      </x:c>
      <x:c r="T1566" t="str">
        <x:v>研究生宿舍楼发车</x:v>
      </x:c>
    </x:row>
    <x:row r="1567">
      <x:c r="A1567" s="14" t="str">
        <x:v>S0134-12</x:v>
      </x:c>
      <x:c r="B1567" s="14" t="str">
        <x:v>S0134</x:v>
      </x:c>
      <x:c r="C1567" s="14" t="str">
        <x:v>工作日</x:v>
      </x:c>
      <x:c r="D1567" s="14" t="str">
        <x:v>环线3路</x:v>
      </x:c>
      <x:c r="E1567" s="14" t="str">
        <x:v>第三班</x:v>
      </x:c>
      <x:c r="F1567" s="14" t="n">
        <x:v>13</x:v>
      </x:c>
      <x:c r="G1567" s="14" t="str">
        <x:v>17:40</x:v>
      </x:c>
      <x:c r="H1567" s="14" t="str">
        <x:v>研究生宿舍楼</x:v>
      </x:c>
      <x:c r="I1567" s="14" t="str">
        <x:v>否</x:v>
      </x:c>
      <x:c r="J1567" s="14" t="n">
        <x:v>12</x:v>
      </x:c>
      <x:c r="K1567" s="14" t="str">
        <x:v>研究生宿舍楼</x:v>
      </x:c>
      <x:c r="L1567" s="14" t="n">
        <x:v>18</x:v>
      </x:c>
      <x:c r="M1567" s="14" t="str">
        <x:v>17:58</x:v>
      </x:c>
      <x:c r="N1567" s="14" t="str">
        <x:v>否</x:v>
      </x:c>
      <x:c r="O1567" s="14" t="str">
        <x:v>是</x:v>
      </x:c>
      <x:c r="P1567" s="14" t="str">
        <x:v>刘晓燕</x:v>
      </x:c>
      <x:c r="Q1567" s="14" t="str">
        <x:v>4号车</x:v>
      </x:c>
      <x:c r="R1567" s="14" t="str">
        <x:v>预测</x:v>
      </x:c>
      <x:c r="S1567" s="14" t="str">
        <x:v>到站时间为估算值</x:v>
      </x:c>
      <x:c r="T1567" t="str">
        <x:v>研究生宿舍楼发车</x:v>
      </x:c>
    </x:row>
    <x:row r="1568">
      <x:c r="A1568" s="14" t="str">
        <x:v>S0135-01</x:v>
      </x:c>
      <x:c r="B1568" s="14" t="str">
        <x:v>S0135</x:v>
      </x:c>
      <x:c r="C1568" s="14" t="str">
        <x:v>工作日</x:v>
      </x:c>
      <x:c r="D1568" s="14" t="str">
        <x:v>环线3路</x:v>
      </x:c>
      <x:c r="E1568" s="14" t="str">
        <x:v>第二班</x:v>
      </x:c>
      <x:c r="F1568" s="14" t="n">
        <x:v>1</x:v>
      </x:c>
      <x:c r="G1568" s="14" t="str">
        <x:v>7:45</x:v>
      </x:c>
      <x:c r="H1568" s="14" t="str">
        <x:v>研究生宿舍楼</x:v>
      </x:c>
      <x:c r="I1568" s="14" t="str">
        <x:v>否</x:v>
      </x:c>
      <x:c r="J1568" s="14" t="n">
        <x:v>1</x:v>
      </x:c>
      <x:c r="K1568" s="14" t="str">
        <x:v>研究生宿舍楼</x:v>
      </x:c>
      <x:c r="L1568" s="14" t="n">
        <x:v>0</x:v>
      </x:c>
      <x:c r="M1568" s="14" t="str">
        <x:v>07:45</x:v>
      </x:c>
      <x:c r="N1568" s="14" t="str">
        <x:v>是</x:v>
      </x:c>
      <x:c r="O1568" s="14" t="str">
        <x:v>否</x:v>
      </x:c>
      <x:c r="P1568" s="14" t="str">
        <x:v>郭海燕</x:v>
      </x:c>
      <x:c r="Q1568" s="14" t="str">
        <x:v>5号车</x:v>
      </x:c>
      <x:c r="R1568" s="14" t="str">
        <x:v>预测</x:v>
      </x:c>
      <x:c r="S1568" s="14" t="str">
        <x:v>到站时间为估算值</x:v>
      </x:c>
      <x:c r="T1568" t="str">
        <x:v>研究生宿舍楼发车</x:v>
      </x:c>
    </x:row>
    <x:row r="1569">
      <x:c r="A1569" s="14" t="str">
        <x:v>S0135-02</x:v>
      </x:c>
      <x:c r="B1569" s="14" t="str">
        <x:v>S0135</x:v>
      </x:c>
      <x:c r="C1569" s="14" t="str">
        <x:v>工作日</x:v>
      </x:c>
      <x:c r="D1569" s="14" t="str">
        <x:v>环线3路</x:v>
      </x:c>
      <x:c r="E1569" s="14" t="str">
        <x:v>第二班</x:v>
      </x:c>
      <x:c r="F1569" s="14" t="n">
        <x:v>1</x:v>
      </x:c>
      <x:c r="G1569" s="14" t="str">
        <x:v>7:45</x:v>
      </x:c>
      <x:c r="H1569" s="14" t="str">
        <x:v>研究生宿舍楼</x:v>
      </x:c>
      <x:c r="I1569" s="14" t="str">
        <x:v>否</x:v>
      </x:c>
      <x:c r="J1569" s="14" t="n">
        <x:v>2</x:v>
      </x:c>
      <x:c r="K1569" s="14" t="str">
        <x:v>一食堂</x:v>
      </x:c>
      <x:c r="L1569" s="14" t="n">
        <x:v>1</x:v>
      </x:c>
      <x:c r="M1569" s="14" t="str">
        <x:v>07:46</x:v>
      </x:c>
      <x:c r="N1569" s="14" t="str">
        <x:v>否</x:v>
      </x:c>
      <x:c r="O1569" s="14" t="str">
        <x:v>否</x:v>
      </x:c>
      <x:c r="P1569" s="14" t="str">
        <x:v>郭海燕</x:v>
      </x:c>
      <x:c r="Q1569" s="14" t="str">
        <x:v>5号车</x:v>
      </x:c>
      <x:c r="R1569" s="14" t="str">
        <x:v>预测</x:v>
      </x:c>
      <x:c r="S1569" s="14" t="str">
        <x:v>到站时间为估算值</x:v>
      </x:c>
      <x:c r="T1569" t="str">
        <x:v>研究生宿舍楼发车</x:v>
      </x:c>
    </x:row>
    <x:row r="1570">
      <x:c r="A1570" s="14" t="str">
        <x:v>S0135-03</x:v>
      </x:c>
      <x:c r="B1570" s="14" t="str">
        <x:v>S0135</x:v>
      </x:c>
      <x:c r="C1570" s="14" t="str">
        <x:v>工作日</x:v>
      </x:c>
      <x:c r="D1570" s="14" t="str">
        <x:v>环线3路</x:v>
      </x:c>
      <x:c r="E1570" s="14" t="str">
        <x:v>第二班</x:v>
      </x:c>
      <x:c r="F1570" s="14" t="n">
        <x:v>1</x:v>
      </x:c>
      <x:c r="G1570" s="14" t="str">
        <x:v>7:45</x:v>
      </x:c>
      <x:c r="H1570" s="14" t="str">
        <x:v>研究生宿舍楼</x:v>
      </x:c>
      <x:c r="I1570" s="14" t="str">
        <x:v>否</x:v>
      </x:c>
      <x:c r="J1570" s="14" t="n">
        <x:v>3</x:v>
      </x:c>
      <x:c r="K1570" s="14" t="str">
        <x:v>2号宿舍楼</x:v>
      </x:c>
      <x:c r="L1570" s="14" t="n">
        <x:v>3</x:v>
      </x:c>
      <x:c r="M1570" s="14" t="str">
        <x:v>07:48</x:v>
      </x:c>
      <x:c r="N1570" s="14" t="str">
        <x:v>否</x:v>
      </x:c>
      <x:c r="O1570" s="14" t="str">
        <x:v>否</x:v>
      </x:c>
      <x:c r="P1570" s="14" t="str">
        <x:v>郭海燕</x:v>
      </x:c>
      <x:c r="Q1570" s="14" t="str">
        <x:v>5号车</x:v>
      </x:c>
      <x:c r="R1570" s="14" t="str">
        <x:v>预测</x:v>
      </x:c>
      <x:c r="S1570" s="14" t="str">
        <x:v>到站时间为估算值</x:v>
      </x:c>
      <x:c r="T1570" t="str">
        <x:v>研究生宿舍楼发车</x:v>
      </x:c>
    </x:row>
    <x:row r="1571">
      <x:c r="A1571" s="14" t="str">
        <x:v>S0135-04</x:v>
      </x:c>
      <x:c r="B1571" s="14" t="str">
        <x:v>S0135</x:v>
      </x:c>
      <x:c r="C1571" s="14" t="str">
        <x:v>工作日</x:v>
      </x:c>
      <x:c r="D1571" s="14" t="str">
        <x:v>环线3路</x:v>
      </x:c>
      <x:c r="E1571" s="14" t="str">
        <x:v>第二班</x:v>
      </x:c>
      <x:c r="F1571" s="14" t="n">
        <x:v>1</x:v>
      </x:c>
      <x:c r="G1571" s="14" t="str">
        <x:v>7:45</x:v>
      </x:c>
      <x:c r="H1571" s="14" t="str">
        <x:v>研究生宿舍楼</x:v>
      </x:c>
      <x:c r="I1571" s="14" t="str">
        <x:v>否</x:v>
      </x:c>
      <x:c r="J1571" s="14" t="n">
        <x:v>4</x:v>
      </x:c>
      <x:c r="K1571" s="14" t="str">
        <x:v>军体活动中心</x:v>
      </x:c>
      <x:c r="L1571" s="14" t="n">
        <x:v>4</x:v>
      </x:c>
      <x:c r="M1571" s="14" t="str">
        <x:v>07:49</x:v>
      </x:c>
      <x:c r="N1571" s="14" t="str">
        <x:v>否</x:v>
      </x:c>
      <x:c r="O1571" s="14" t="str">
        <x:v>否</x:v>
      </x:c>
      <x:c r="P1571" s="14" t="str">
        <x:v>郭海燕</x:v>
      </x:c>
      <x:c r="Q1571" s="14" t="str">
        <x:v>5号车</x:v>
      </x:c>
      <x:c r="R1571" s="14" t="str">
        <x:v>预测</x:v>
      </x:c>
      <x:c r="S1571" s="14" t="str">
        <x:v>到站时间为估算值</x:v>
      </x:c>
      <x:c r="T1571" t="str">
        <x:v>研究生宿舍楼发车</x:v>
      </x:c>
    </x:row>
    <x:row r="1572">
      <x:c r="A1572" s="14" t="str">
        <x:v>S0135-05</x:v>
      </x:c>
      <x:c r="B1572" s="14" t="str">
        <x:v>S0135</x:v>
      </x:c>
      <x:c r="C1572" s="14" t="str">
        <x:v>工作日</x:v>
      </x:c>
      <x:c r="D1572" s="14" t="str">
        <x:v>环线3路</x:v>
      </x:c>
      <x:c r="E1572" s="14" t="str">
        <x:v>第二班</x:v>
      </x:c>
      <x:c r="F1572" s="14" t="n">
        <x:v>1</x:v>
      </x:c>
      <x:c r="G1572" s="14" t="str">
        <x:v>7:45</x:v>
      </x:c>
      <x:c r="H1572" s="14" t="str">
        <x:v>研究生宿舍楼</x:v>
      </x:c>
      <x:c r="I1572" s="14" t="str">
        <x:v>否</x:v>
      </x:c>
      <x:c r="J1572" s="14" t="n">
        <x:v>5</x:v>
      </x:c>
      <x:c r="K1572" s="14" t="str">
        <x:v>教勤连</x:v>
      </x:c>
      <x:c r="L1572" s="14" t="n">
        <x:v>6</x:v>
      </x:c>
      <x:c r="M1572" s="14" t="str">
        <x:v>07:51</x:v>
      </x:c>
      <x:c r="N1572" s="14" t="str">
        <x:v>否</x:v>
      </x:c>
      <x:c r="O1572" s="14" t="str">
        <x:v>否</x:v>
      </x:c>
      <x:c r="P1572" s="14" t="str">
        <x:v>郭海燕</x:v>
      </x:c>
      <x:c r="Q1572" s="14" t="str">
        <x:v>5号车</x:v>
      </x:c>
      <x:c r="R1572" s="14" t="str">
        <x:v>预测</x:v>
      </x:c>
      <x:c r="S1572" s="14" t="str">
        <x:v>到站时间为估算值</x:v>
      </x:c>
      <x:c r="T1572" t="str">
        <x:v>研究生宿舍楼发车</x:v>
      </x:c>
    </x:row>
    <x:row r="1573">
      <x:c r="A1573" s="14" t="str">
        <x:v>S0135-06</x:v>
      </x:c>
      <x:c r="B1573" s="14" t="str">
        <x:v>S0135</x:v>
      </x:c>
      <x:c r="C1573" s="14" t="str">
        <x:v>工作日</x:v>
      </x:c>
      <x:c r="D1573" s="14" t="str">
        <x:v>环线3路</x:v>
      </x:c>
      <x:c r="E1573" s="14" t="str">
        <x:v>第二班</x:v>
      </x:c>
      <x:c r="F1573" s="14" t="n">
        <x:v>1</x:v>
      </x:c>
      <x:c r="G1573" s="14" t="str">
        <x:v>7:45</x:v>
      </x:c>
      <x:c r="H1573" s="14" t="str">
        <x:v>研究生宿舍楼</x:v>
      </x:c>
      <x:c r="I1573" s="14" t="str">
        <x:v>否</x:v>
      </x:c>
      <x:c r="J1573" s="14" t="n">
        <x:v>6</x:v>
      </x:c>
      <x:c r="K1573" s="14" t="str">
        <x:v>激光所</x:v>
      </x:c>
      <x:c r="L1573" s="14" t="n">
        <x:v>7</x:v>
      </x:c>
      <x:c r="M1573" s="14" t="str">
        <x:v>07:52</x:v>
      </x:c>
      <x:c r="N1573" s="14" t="str">
        <x:v>否</x:v>
      </x:c>
      <x:c r="O1573" s="14" t="str">
        <x:v>否</x:v>
      </x:c>
      <x:c r="P1573" s="14" t="str">
        <x:v>郭海燕</x:v>
      </x:c>
      <x:c r="Q1573" s="14" t="str">
        <x:v>5号车</x:v>
      </x:c>
      <x:c r="R1573" s="14" t="str">
        <x:v>预测</x:v>
      </x:c>
      <x:c r="S1573" s="14" t="str">
        <x:v>到站时间为估算值</x:v>
      </x:c>
      <x:c r="T1573" t="str">
        <x:v>研究生宿舍楼发车</x:v>
      </x:c>
    </x:row>
    <x:row r="1574">
      <x:c r="A1574" s="14" t="str">
        <x:v>S0135-07</x:v>
      </x:c>
      <x:c r="B1574" s="14" t="str">
        <x:v>S0135</x:v>
      </x:c>
      <x:c r="C1574" s="14" t="str">
        <x:v>工作日</x:v>
      </x:c>
      <x:c r="D1574" s="14" t="str">
        <x:v>环线3路</x:v>
      </x:c>
      <x:c r="E1574" s="14" t="str">
        <x:v>第二班</x:v>
      </x:c>
      <x:c r="F1574" s="14" t="n">
        <x:v>1</x:v>
      </x:c>
      <x:c r="G1574" s="14" t="str">
        <x:v>7:45</x:v>
      </x:c>
      <x:c r="H1574" s="14" t="str">
        <x:v>研究生宿舍楼</x:v>
      </x:c>
      <x:c r="I1574" s="14" t="str">
        <x:v>否</x:v>
      </x:c>
      <x:c r="J1574" s="14" t="n">
        <x:v>7</x:v>
      </x:c>
      <x:c r="K1574" s="14" t="str">
        <x:v>高超楼</x:v>
      </x:c>
      <x:c r="L1574" s="14" t="n">
        <x:v>9</x:v>
      </x:c>
      <x:c r="M1574" s="14" t="str">
        <x:v>07:54</x:v>
      </x:c>
      <x:c r="N1574" s="14" t="str">
        <x:v>否</x:v>
      </x:c>
      <x:c r="O1574" s="14" t="str">
        <x:v>否</x:v>
      </x:c>
      <x:c r="P1574" s="14" t="str">
        <x:v>郭海燕</x:v>
      </x:c>
      <x:c r="Q1574" s="14" t="str">
        <x:v>5号车</x:v>
      </x:c>
      <x:c r="R1574" s="14" t="str">
        <x:v>预测</x:v>
      </x:c>
      <x:c r="S1574" s="14" t="str">
        <x:v>到站时间为估算值</x:v>
      </x:c>
      <x:c r="T1574" t="str">
        <x:v>研究生宿舍楼发车</x:v>
      </x:c>
    </x:row>
    <x:row r="1575">
      <x:c r="A1575" s="14" t="str">
        <x:v>S0135-08</x:v>
      </x:c>
      <x:c r="B1575" s="14" t="str">
        <x:v>S0135</x:v>
      </x:c>
      <x:c r="C1575" s="14" t="str">
        <x:v>工作日</x:v>
      </x:c>
      <x:c r="D1575" s="14" t="str">
        <x:v>环线3路</x:v>
      </x:c>
      <x:c r="E1575" s="14" t="str">
        <x:v>第二班</x:v>
      </x:c>
      <x:c r="F1575" s="14" t="n">
        <x:v>1</x:v>
      </x:c>
      <x:c r="G1575" s="14" t="str">
        <x:v>7:45</x:v>
      </x:c>
      <x:c r="H1575" s="14" t="str">
        <x:v>研究生宿舍楼</x:v>
      </x:c>
      <x:c r="I1575" s="14" t="str">
        <x:v>否</x:v>
      </x:c>
      <x:c r="J1575" s="14" t="n">
        <x:v>8</x:v>
      </x:c>
      <x:c r="K1575" s="14" t="str">
        <x:v>理学院</x:v>
      </x:c>
      <x:c r="L1575" s="14" t="n">
        <x:v>10</x:v>
      </x:c>
      <x:c r="M1575" s="14" t="str">
        <x:v>07:55</x:v>
      </x:c>
      <x:c r="N1575" s="14" t="str">
        <x:v>否</x:v>
      </x:c>
      <x:c r="O1575" s="14" t="str">
        <x:v>否</x:v>
      </x:c>
      <x:c r="P1575" s="14" t="str">
        <x:v>郭海燕</x:v>
      </x:c>
      <x:c r="Q1575" s="14" t="str">
        <x:v>5号车</x:v>
      </x:c>
      <x:c r="R1575" s="14" t="str">
        <x:v>预测</x:v>
      </x:c>
      <x:c r="S1575" s="14" t="str">
        <x:v>到站时间为估算值</x:v>
      </x:c>
      <x:c r="T1575" t="str">
        <x:v>研究生宿舍楼发车</x:v>
      </x:c>
    </x:row>
    <x:row r="1576">
      <x:c r="A1576" s="14" t="str">
        <x:v>S0135-09</x:v>
      </x:c>
      <x:c r="B1576" s="14" t="str">
        <x:v>S0135</x:v>
      </x:c>
      <x:c r="C1576" s="14" t="str">
        <x:v>工作日</x:v>
      </x:c>
      <x:c r="D1576" s="14" t="str">
        <x:v>环线3路</x:v>
      </x:c>
      <x:c r="E1576" s="14" t="str">
        <x:v>第二班</x:v>
      </x:c>
      <x:c r="F1576" s="14" t="n">
        <x:v>1</x:v>
      </x:c>
      <x:c r="G1576" s="14" t="str">
        <x:v>7:45</x:v>
      </x:c>
      <x:c r="H1576" s="14" t="str">
        <x:v>研究生宿舍楼</x:v>
      </x:c>
      <x:c r="I1576" s="14" t="str">
        <x:v>否</x:v>
      </x:c>
      <x:c r="J1576" s="14" t="n">
        <x:v>9</x:v>
      </x:c>
      <x:c r="K1576" s="14" t="str">
        <x:v>二食堂</x:v>
      </x:c>
      <x:c r="L1576" s="14" t="n">
        <x:v>13</x:v>
      </x:c>
      <x:c r="M1576" s="14" t="str">
        <x:v>07:58</x:v>
      </x:c>
      <x:c r="N1576" s="14" t="str">
        <x:v>否</x:v>
      </x:c>
      <x:c r="O1576" s="14" t="str">
        <x:v>否</x:v>
      </x:c>
      <x:c r="P1576" s="14" t="str">
        <x:v>郭海燕</x:v>
      </x:c>
      <x:c r="Q1576" s="14" t="str">
        <x:v>5号车</x:v>
      </x:c>
      <x:c r="R1576" s="14" t="str">
        <x:v>预测</x:v>
      </x:c>
      <x:c r="S1576" s="14" t="str">
        <x:v>到站时间为估算值</x:v>
      </x:c>
      <x:c r="T1576" t="str">
        <x:v>研究生宿舍楼发车</x:v>
      </x:c>
    </x:row>
    <x:row r="1577">
      <x:c r="A1577" s="14" t="str">
        <x:v>S0135-10</x:v>
      </x:c>
      <x:c r="B1577" s="14" t="str">
        <x:v>S0135</x:v>
      </x:c>
      <x:c r="C1577" s="14" t="str">
        <x:v>工作日</x:v>
      </x:c>
      <x:c r="D1577" s="14" t="str">
        <x:v>环线3路</x:v>
      </x:c>
      <x:c r="E1577" s="14" t="str">
        <x:v>第二班</x:v>
      </x:c>
      <x:c r="F1577" s="14" t="n">
        <x:v>1</x:v>
      </x:c>
      <x:c r="G1577" s="14" t="str">
        <x:v>7:45</x:v>
      </x:c>
      <x:c r="H1577" s="14" t="str">
        <x:v>研究生宿舍楼</x:v>
      </x:c>
      <x:c r="I1577" s="14" t="str">
        <x:v>否</x:v>
      </x:c>
      <x:c r="J1577" s="14" t="n">
        <x:v>10</x:v>
      </x:c>
      <x:c r="K1577" s="14" t="str">
        <x:v>图书馆</x:v>
      </x:c>
      <x:c r="L1577" s="14" t="n">
        <x:v>14</x:v>
      </x:c>
      <x:c r="M1577" s="14" t="str">
        <x:v>07:59</x:v>
      </x:c>
      <x:c r="N1577" s="14" t="str">
        <x:v>否</x:v>
      </x:c>
      <x:c r="O1577" s="14" t="str">
        <x:v>否</x:v>
      </x:c>
      <x:c r="P1577" s="14" t="str">
        <x:v>郭海燕</x:v>
      </x:c>
      <x:c r="Q1577" s="14" t="str">
        <x:v>5号车</x:v>
      </x:c>
      <x:c r="R1577" s="14" t="str">
        <x:v>预测</x:v>
      </x:c>
      <x:c r="S1577" s="14" t="str">
        <x:v>到站时间为估算值</x:v>
      </x:c>
      <x:c r="T1577" t="str">
        <x:v>研究生宿舍楼发车</x:v>
      </x:c>
    </x:row>
    <x:row r="1578">
      <x:c r="A1578" s="14" t="str">
        <x:v>S0135-11</x:v>
      </x:c>
      <x:c r="B1578" s="14" t="str">
        <x:v>S0135</x:v>
      </x:c>
      <x:c r="C1578" s="14" t="str">
        <x:v>工作日</x:v>
      </x:c>
      <x:c r="D1578" s="14" t="str">
        <x:v>环线3路</x:v>
      </x:c>
      <x:c r="E1578" s="14" t="str">
        <x:v>第二班</x:v>
      </x:c>
      <x:c r="F1578" s="14" t="n">
        <x:v>1</x:v>
      </x:c>
      <x:c r="G1578" s="14" t="str">
        <x:v>7:45</x:v>
      </x:c>
      <x:c r="H1578" s="14" t="str">
        <x:v>研究生宿舍楼</x:v>
      </x:c>
      <x:c r="I1578" s="14" t="str">
        <x:v>否</x:v>
      </x:c>
      <x:c r="J1578" s="14" t="n">
        <x:v>11</x:v>
      </x:c>
      <x:c r="K1578" s="14" t="str">
        <x:v>305教学楼</x:v>
      </x:c>
      <x:c r="L1578" s="14" t="n">
        <x:v>16</x:v>
      </x:c>
      <x:c r="M1578" s="14" t="str">
        <x:v>08:01</x:v>
      </x:c>
      <x:c r="N1578" s="14" t="str">
        <x:v>否</x:v>
      </x:c>
      <x:c r="O1578" s="14" t="str">
        <x:v>否</x:v>
      </x:c>
      <x:c r="P1578" s="14" t="str">
        <x:v>郭海燕</x:v>
      </x:c>
      <x:c r="Q1578" s="14" t="str">
        <x:v>5号车</x:v>
      </x:c>
      <x:c r="R1578" s="14" t="str">
        <x:v>预测</x:v>
      </x:c>
      <x:c r="S1578" s="14" t="str">
        <x:v>到站时间为估算值</x:v>
      </x:c>
      <x:c r="T1578" t="str">
        <x:v>研究生宿舍楼发车</x:v>
      </x:c>
    </x:row>
    <x:row r="1579">
      <x:c r="A1579" s="14" t="str">
        <x:v>S0135-12</x:v>
      </x:c>
      <x:c r="B1579" s="14" t="str">
        <x:v>S0135</x:v>
      </x:c>
      <x:c r="C1579" s="14" t="str">
        <x:v>工作日</x:v>
      </x:c>
      <x:c r="D1579" s="14" t="str">
        <x:v>环线3路</x:v>
      </x:c>
      <x:c r="E1579" s="14" t="str">
        <x:v>第二班</x:v>
      </x:c>
      <x:c r="F1579" s="14" t="n">
        <x:v>1</x:v>
      </x:c>
      <x:c r="G1579" s="14" t="str">
        <x:v>7:45</x:v>
      </x:c>
      <x:c r="H1579" s="14" t="str">
        <x:v>研究生宿舍楼</x:v>
      </x:c>
      <x:c r="I1579" s="14" t="str">
        <x:v>否</x:v>
      </x:c>
      <x:c r="J1579" s="14" t="n">
        <x:v>12</x:v>
      </x:c>
      <x:c r="K1579" s="14" t="str">
        <x:v>研究生宿舍楼</x:v>
      </x:c>
      <x:c r="L1579" s="14" t="n">
        <x:v>18</x:v>
      </x:c>
      <x:c r="M1579" s="14" t="str">
        <x:v>08:03</x:v>
      </x:c>
      <x:c r="N1579" s="14" t="str">
        <x:v>否</x:v>
      </x:c>
      <x:c r="O1579" s="14" t="str">
        <x:v>是</x:v>
      </x:c>
      <x:c r="P1579" s="14" t="str">
        <x:v>郭海燕</x:v>
      </x:c>
      <x:c r="Q1579" s="14" t="str">
        <x:v>5号车</x:v>
      </x:c>
      <x:c r="R1579" s="14" t="str">
        <x:v>预测</x:v>
      </x:c>
      <x:c r="S1579" s="14" t="str">
        <x:v>到站时间为估算值</x:v>
      </x:c>
      <x:c r="T1579" t="str">
        <x:v>研究生宿舍楼发车</x:v>
      </x:c>
    </x:row>
    <x:row r="1580">
      <x:c r="A1580" s="14" t="str">
        <x:v>S0136-01</x:v>
      </x:c>
      <x:c r="B1580" s="14" t="str">
        <x:v>S0136</x:v>
      </x:c>
      <x:c r="C1580" s="14" t="str">
        <x:v>工作日</x:v>
      </x:c>
      <x:c r="D1580" s="14" t="str">
        <x:v>环线3路</x:v>
      </x:c>
      <x:c r="E1580" s="14" t="str">
        <x:v>第二班</x:v>
      </x:c>
      <x:c r="F1580" s="14" t="n">
        <x:v>2</x:v>
      </x:c>
      <x:c r="G1580" s="14" t="str">
        <x:v>8:15</x:v>
      </x:c>
      <x:c r="H1580" s="14" t="str">
        <x:v>研究生宿舍楼</x:v>
      </x:c>
      <x:c r="I1580" s="14" t="str">
        <x:v>否</x:v>
      </x:c>
      <x:c r="J1580" s="14" t="n">
        <x:v>1</x:v>
      </x:c>
      <x:c r="K1580" s="14" t="str">
        <x:v>研究生宿舍楼</x:v>
      </x:c>
      <x:c r="L1580" s="14" t="n">
        <x:v>0</x:v>
      </x:c>
      <x:c r="M1580" s="14" t="str">
        <x:v>08:15</x:v>
      </x:c>
      <x:c r="N1580" s="14" t="str">
        <x:v>是</x:v>
      </x:c>
      <x:c r="O1580" s="14" t="str">
        <x:v>否</x:v>
      </x:c>
      <x:c r="P1580" s="14" t="str">
        <x:v>郭海燕</x:v>
      </x:c>
      <x:c r="Q1580" s="14" t="str">
        <x:v>5号车</x:v>
      </x:c>
      <x:c r="R1580" s="14" t="str">
        <x:v>预测</x:v>
      </x:c>
      <x:c r="S1580" s="14" t="str">
        <x:v>到站时间为估算值</x:v>
      </x:c>
      <x:c r="T1580" t="str">
        <x:v>研究生宿舍楼发车</x:v>
      </x:c>
    </x:row>
    <x:row r="1581">
      <x:c r="A1581" s="14" t="str">
        <x:v>S0136-02</x:v>
      </x:c>
      <x:c r="B1581" s="14" t="str">
        <x:v>S0136</x:v>
      </x:c>
      <x:c r="C1581" s="14" t="str">
        <x:v>工作日</x:v>
      </x:c>
      <x:c r="D1581" s="14" t="str">
        <x:v>环线3路</x:v>
      </x:c>
      <x:c r="E1581" s="14" t="str">
        <x:v>第二班</x:v>
      </x:c>
      <x:c r="F1581" s="14" t="n">
        <x:v>2</x:v>
      </x:c>
      <x:c r="G1581" s="14" t="str">
        <x:v>8:15</x:v>
      </x:c>
      <x:c r="H1581" s="14" t="str">
        <x:v>研究生宿舍楼</x:v>
      </x:c>
      <x:c r="I1581" s="14" t="str">
        <x:v>否</x:v>
      </x:c>
      <x:c r="J1581" s="14" t="n">
        <x:v>2</x:v>
      </x:c>
      <x:c r="K1581" s="14" t="str">
        <x:v>一食堂</x:v>
      </x:c>
      <x:c r="L1581" s="14" t="n">
        <x:v>1</x:v>
      </x:c>
      <x:c r="M1581" s="14" t="str">
        <x:v>08:16</x:v>
      </x:c>
      <x:c r="N1581" s="14" t="str">
        <x:v>否</x:v>
      </x:c>
      <x:c r="O1581" s="14" t="str">
        <x:v>否</x:v>
      </x:c>
      <x:c r="P1581" s="14" t="str">
        <x:v>郭海燕</x:v>
      </x:c>
      <x:c r="Q1581" s="14" t="str">
        <x:v>5号车</x:v>
      </x:c>
      <x:c r="R1581" s="14" t="str">
        <x:v>预测</x:v>
      </x:c>
      <x:c r="S1581" s="14" t="str">
        <x:v>到站时间为估算值</x:v>
      </x:c>
      <x:c r="T1581" t="str">
        <x:v>研究生宿舍楼发车</x:v>
      </x:c>
    </x:row>
    <x:row r="1582">
      <x:c r="A1582" s="14" t="str">
        <x:v>S0136-03</x:v>
      </x:c>
      <x:c r="B1582" s="14" t="str">
        <x:v>S0136</x:v>
      </x:c>
      <x:c r="C1582" s="14" t="str">
        <x:v>工作日</x:v>
      </x:c>
      <x:c r="D1582" s="14" t="str">
        <x:v>环线3路</x:v>
      </x:c>
      <x:c r="E1582" s="14" t="str">
        <x:v>第二班</x:v>
      </x:c>
      <x:c r="F1582" s="14" t="n">
        <x:v>2</x:v>
      </x:c>
      <x:c r="G1582" s="14" t="str">
        <x:v>8:15</x:v>
      </x:c>
      <x:c r="H1582" s="14" t="str">
        <x:v>研究生宿舍楼</x:v>
      </x:c>
      <x:c r="I1582" s="14" t="str">
        <x:v>否</x:v>
      </x:c>
      <x:c r="J1582" s="14" t="n">
        <x:v>3</x:v>
      </x:c>
      <x:c r="K1582" s="14" t="str">
        <x:v>2号宿舍楼</x:v>
      </x:c>
      <x:c r="L1582" s="14" t="n">
        <x:v>3</x:v>
      </x:c>
      <x:c r="M1582" s="14" t="str">
        <x:v>08:18</x:v>
      </x:c>
      <x:c r="N1582" s="14" t="str">
        <x:v>否</x:v>
      </x:c>
      <x:c r="O1582" s="14" t="str">
        <x:v>否</x:v>
      </x:c>
      <x:c r="P1582" s="14" t="str">
        <x:v>郭海燕</x:v>
      </x:c>
      <x:c r="Q1582" s="14" t="str">
        <x:v>5号车</x:v>
      </x:c>
      <x:c r="R1582" s="14" t="str">
        <x:v>预测</x:v>
      </x:c>
      <x:c r="S1582" s="14" t="str">
        <x:v>到站时间为估算值</x:v>
      </x:c>
      <x:c r="T1582" t="str">
        <x:v>研究生宿舍楼发车</x:v>
      </x:c>
    </x:row>
    <x:row r="1583">
      <x:c r="A1583" s="14" t="str">
        <x:v>S0136-04</x:v>
      </x:c>
      <x:c r="B1583" s="14" t="str">
        <x:v>S0136</x:v>
      </x:c>
      <x:c r="C1583" s="14" t="str">
        <x:v>工作日</x:v>
      </x:c>
      <x:c r="D1583" s="14" t="str">
        <x:v>环线3路</x:v>
      </x:c>
      <x:c r="E1583" s="14" t="str">
        <x:v>第二班</x:v>
      </x:c>
      <x:c r="F1583" s="14" t="n">
        <x:v>2</x:v>
      </x:c>
      <x:c r="G1583" s="14" t="str">
        <x:v>8:15</x:v>
      </x:c>
      <x:c r="H1583" s="14" t="str">
        <x:v>研究生宿舍楼</x:v>
      </x:c>
      <x:c r="I1583" s="14" t="str">
        <x:v>否</x:v>
      </x:c>
      <x:c r="J1583" s="14" t="n">
        <x:v>4</x:v>
      </x:c>
      <x:c r="K1583" s="14" t="str">
        <x:v>军体活动中心</x:v>
      </x:c>
      <x:c r="L1583" s="14" t="n">
        <x:v>4</x:v>
      </x:c>
      <x:c r="M1583" s="14" t="str">
        <x:v>08:19</x:v>
      </x:c>
      <x:c r="N1583" s="14" t="str">
        <x:v>否</x:v>
      </x:c>
      <x:c r="O1583" s="14" t="str">
        <x:v>否</x:v>
      </x:c>
      <x:c r="P1583" s="14" t="str">
        <x:v>郭海燕</x:v>
      </x:c>
      <x:c r="Q1583" s="14" t="str">
        <x:v>5号车</x:v>
      </x:c>
      <x:c r="R1583" s="14" t="str">
        <x:v>预测</x:v>
      </x:c>
      <x:c r="S1583" s="14" t="str">
        <x:v>到站时间为估算值</x:v>
      </x:c>
      <x:c r="T1583" t="str">
        <x:v>研究生宿舍楼发车</x:v>
      </x:c>
    </x:row>
    <x:row r="1584">
      <x:c r="A1584" s="14" t="str">
        <x:v>S0136-05</x:v>
      </x:c>
      <x:c r="B1584" s="14" t="str">
        <x:v>S0136</x:v>
      </x:c>
      <x:c r="C1584" s="14" t="str">
        <x:v>工作日</x:v>
      </x:c>
      <x:c r="D1584" s="14" t="str">
        <x:v>环线3路</x:v>
      </x:c>
      <x:c r="E1584" s="14" t="str">
        <x:v>第二班</x:v>
      </x:c>
      <x:c r="F1584" s="14" t="n">
        <x:v>2</x:v>
      </x:c>
      <x:c r="G1584" s="14" t="str">
        <x:v>8:15</x:v>
      </x:c>
      <x:c r="H1584" s="14" t="str">
        <x:v>研究生宿舍楼</x:v>
      </x:c>
      <x:c r="I1584" s="14" t="str">
        <x:v>否</x:v>
      </x:c>
      <x:c r="J1584" s="14" t="n">
        <x:v>5</x:v>
      </x:c>
      <x:c r="K1584" s="14" t="str">
        <x:v>教勤连</x:v>
      </x:c>
      <x:c r="L1584" s="14" t="n">
        <x:v>6</x:v>
      </x:c>
      <x:c r="M1584" s="14" t="str">
        <x:v>08:21</x:v>
      </x:c>
      <x:c r="N1584" s="14" t="str">
        <x:v>否</x:v>
      </x:c>
      <x:c r="O1584" s="14" t="str">
        <x:v>否</x:v>
      </x:c>
      <x:c r="P1584" s="14" t="str">
        <x:v>郭海燕</x:v>
      </x:c>
      <x:c r="Q1584" s="14" t="str">
        <x:v>5号车</x:v>
      </x:c>
      <x:c r="R1584" s="14" t="str">
        <x:v>预测</x:v>
      </x:c>
      <x:c r="S1584" s="14" t="str">
        <x:v>到站时间为估算值</x:v>
      </x:c>
      <x:c r="T1584" t="str">
        <x:v>研究生宿舍楼发车</x:v>
      </x:c>
    </x:row>
    <x:row r="1585">
      <x:c r="A1585" s="14" t="str">
        <x:v>S0136-06</x:v>
      </x:c>
      <x:c r="B1585" s="14" t="str">
        <x:v>S0136</x:v>
      </x:c>
      <x:c r="C1585" s="14" t="str">
        <x:v>工作日</x:v>
      </x:c>
      <x:c r="D1585" s="14" t="str">
        <x:v>环线3路</x:v>
      </x:c>
      <x:c r="E1585" s="14" t="str">
        <x:v>第二班</x:v>
      </x:c>
      <x:c r="F1585" s="14" t="n">
        <x:v>2</x:v>
      </x:c>
      <x:c r="G1585" s="14" t="str">
        <x:v>8:15</x:v>
      </x:c>
      <x:c r="H1585" s="14" t="str">
        <x:v>研究生宿舍楼</x:v>
      </x:c>
      <x:c r="I1585" s="14" t="str">
        <x:v>否</x:v>
      </x:c>
      <x:c r="J1585" s="14" t="n">
        <x:v>6</x:v>
      </x:c>
      <x:c r="K1585" s="14" t="str">
        <x:v>激光所</x:v>
      </x:c>
      <x:c r="L1585" s="14" t="n">
        <x:v>7</x:v>
      </x:c>
      <x:c r="M1585" s="14" t="str">
        <x:v>08:22</x:v>
      </x:c>
      <x:c r="N1585" s="14" t="str">
        <x:v>否</x:v>
      </x:c>
      <x:c r="O1585" s="14" t="str">
        <x:v>否</x:v>
      </x:c>
      <x:c r="P1585" s="14" t="str">
        <x:v>郭海燕</x:v>
      </x:c>
      <x:c r="Q1585" s="14" t="str">
        <x:v>5号车</x:v>
      </x:c>
      <x:c r="R1585" s="14" t="str">
        <x:v>预测</x:v>
      </x:c>
      <x:c r="S1585" s="14" t="str">
        <x:v>到站时间为估算值</x:v>
      </x:c>
      <x:c r="T1585" t="str">
        <x:v>研究生宿舍楼发车</x:v>
      </x:c>
    </x:row>
    <x:row r="1586">
      <x:c r="A1586" s="14" t="str">
        <x:v>S0136-07</x:v>
      </x:c>
      <x:c r="B1586" s="14" t="str">
        <x:v>S0136</x:v>
      </x:c>
      <x:c r="C1586" s="14" t="str">
        <x:v>工作日</x:v>
      </x:c>
      <x:c r="D1586" s="14" t="str">
        <x:v>环线3路</x:v>
      </x:c>
      <x:c r="E1586" s="14" t="str">
        <x:v>第二班</x:v>
      </x:c>
      <x:c r="F1586" s="14" t="n">
        <x:v>2</x:v>
      </x:c>
      <x:c r="G1586" s="14" t="str">
        <x:v>8:15</x:v>
      </x:c>
      <x:c r="H1586" s="14" t="str">
        <x:v>研究生宿舍楼</x:v>
      </x:c>
      <x:c r="I1586" s="14" t="str">
        <x:v>否</x:v>
      </x:c>
      <x:c r="J1586" s="14" t="n">
        <x:v>7</x:v>
      </x:c>
      <x:c r="K1586" s="14" t="str">
        <x:v>高超楼</x:v>
      </x:c>
      <x:c r="L1586" s="14" t="n">
        <x:v>9</x:v>
      </x:c>
      <x:c r="M1586" s="14" t="str">
        <x:v>08:24</x:v>
      </x:c>
      <x:c r="N1586" s="14" t="str">
        <x:v>否</x:v>
      </x:c>
      <x:c r="O1586" s="14" t="str">
        <x:v>否</x:v>
      </x:c>
      <x:c r="P1586" s="14" t="str">
        <x:v>郭海燕</x:v>
      </x:c>
      <x:c r="Q1586" s="14" t="str">
        <x:v>5号车</x:v>
      </x:c>
      <x:c r="R1586" s="14" t="str">
        <x:v>预测</x:v>
      </x:c>
      <x:c r="S1586" s="14" t="str">
        <x:v>到站时间为估算值</x:v>
      </x:c>
      <x:c r="T1586" t="str">
        <x:v>研究生宿舍楼发车</x:v>
      </x:c>
    </x:row>
    <x:row r="1587">
      <x:c r="A1587" s="14" t="str">
        <x:v>S0136-08</x:v>
      </x:c>
      <x:c r="B1587" s="14" t="str">
        <x:v>S0136</x:v>
      </x:c>
      <x:c r="C1587" s="14" t="str">
        <x:v>工作日</x:v>
      </x:c>
      <x:c r="D1587" s="14" t="str">
        <x:v>环线3路</x:v>
      </x:c>
      <x:c r="E1587" s="14" t="str">
        <x:v>第二班</x:v>
      </x:c>
      <x:c r="F1587" s="14" t="n">
        <x:v>2</x:v>
      </x:c>
      <x:c r="G1587" s="14" t="str">
        <x:v>8:15</x:v>
      </x:c>
      <x:c r="H1587" s="14" t="str">
        <x:v>研究生宿舍楼</x:v>
      </x:c>
      <x:c r="I1587" s="14" t="str">
        <x:v>否</x:v>
      </x:c>
      <x:c r="J1587" s="14" t="n">
        <x:v>8</x:v>
      </x:c>
      <x:c r="K1587" s="14" t="str">
        <x:v>理学院</x:v>
      </x:c>
      <x:c r="L1587" s="14" t="n">
        <x:v>10</x:v>
      </x:c>
      <x:c r="M1587" s="14" t="str">
        <x:v>08:25</x:v>
      </x:c>
      <x:c r="N1587" s="14" t="str">
        <x:v>否</x:v>
      </x:c>
      <x:c r="O1587" s="14" t="str">
        <x:v>否</x:v>
      </x:c>
      <x:c r="P1587" s="14" t="str">
        <x:v>郭海燕</x:v>
      </x:c>
      <x:c r="Q1587" s="14" t="str">
        <x:v>5号车</x:v>
      </x:c>
      <x:c r="R1587" s="14" t="str">
        <x:v>预测</x:v>
      </x:c>
      <x:c r="S1587" s="14" t="str">
        <x:v>到站时间为估算值</x:v>
      </x:c>
      <x:c r="T1587" t="str">
        <x:v>研究生宿舍楼发车</x:v>
      </x:c>
    </x:row>
    <x:row r="1588">
      <x:c r="A1588" s="14" t="str">
        <x:v>S0136-09</x:v>
      </x:c>
      <x:c r="B1588" s="14" t="str">
        <x:v>S0136</x:v>
      </x:c>
      <x:c r="C1588" s="14" t="str">
        <x:v>工作日</x:v>
      </x:c>
      <x:c r="D1588" s="14" t="str">
        <x:v>环线3路</x:v>
      </x:c>
      <x:c r="E1588" s="14" t="str">
        <x:v>第二班</x:v>
      </x:c>
      <x:c r="F1588" s="14" t="n">
        <x:v>2</x:v>
      </x:c>
      <x:c r="G1588" s="14" t="str">
        <x:v>8:15</x:v>
      </x:c>
      <x:c r="H1588" s="14" t="str">
        <x:v>研究生宿舍楼</x:v>
      </x:c>
      <x:c r="I1588" s="14" t="str">
        <x:v>否</x:v>
      </x:c>
      <x:c r="J1588" s="14" t="n">
        <x:v>9</x:v>
      </x:c>
      <x:c r="K1588" s="14" t="str">
        <x:v>二食堂</x:v>
      </x:c>
      <x:c r="L1588" s="14" t="n">
        <x:v>13</x:v>
      </x:c>
      <x:c r="M1588" s="14" t="str">
        <x:v>08:28</x:v>
      </x:c>
      <x:c r="N1588" s="14" t="str">
        <x:v>否</x:v>
      </x:c>
      <x:c r="O1588" s="14" t="str">
        <x:v>否</x:v>
      </x:c>
      <x:c r="P1588" s="14" t="str">
        <x:v>郭海燕</x:v>
      </x:c>
      <x:c r="Q1588" s="14" t="str">
        <x:v>5号车</x:v>
      </x:c>
      <x:c r="R1588" s="14" t="str">
        <x:v>预测</x:v>
      </x:c>
      <x:c r="S1588" s="14" t="str">
        <x:v>到站时间为估算值</x:v>
      </x:c>
      <x:c r="T1588" t="str">
        <x:v>研究生宿舍楼发车</x:v>
      </x:c>
    </x:row>
    <x:row r="1589">
      <x:c r="A1589" s="14" t="str">
        <x:v>S0136-10</x:v>
      </x:c>
      <x:c r="B1589" s="14" t="str">
        <x:v>S0136</x:v>
      </x:c>
      <x:c r="C1589" s="14" t="str">
        <x:v>工作日</x:v>
      </x:c>
      <x:c r="D1589" s="14" t="str">
        <x:v>环线3路</x:v>
      </x:c>
      <x:c r="E1589" s="14" t="str">
        <x:v>第二班</x:v>
      </x:c>
      <x:c r="F1589" s="14" t="n">
        <x:v>2</x:v>
      </x:c>
      <x:c r="G1589" s="14" t="str">
        <x:v>8:15</x:v>
      </x:c>
      <x:c r="H1589" s="14" t="str">
        <x:v>研究生宿舍楼</x:v>
      </x:c>
      <x:c r="I1589" s="14" t="str">
        <x:v>否</x:v>
      </x:c>
      <x:c r="J1589" s="14" t="n">
        <x:v>10</x:v>
      </x:c>
      <x:c r="K1589" s="14" t="str">
        <x:v>图书馆</x:v>
      </x:c>
      <x:c r="L1589" s="14" t="n">
        <x:v>14</x:v>
      </x:c>
      <x:c r="M1589" s="14" t="str">
        <x:v>08:29</x:v>
      </x:c>
      <x:c r="N1589" s="14" t="str">
        <x:v>否</x:v>
      </x:c>
      <x:c r="O1589" s="14" t="str">
        <x:v>否</x:v>
      </x:c>
      <x:c r="P1589" s="14" t="str">
        <x:v>郭海燕</x:v>
      </x:c>
      <x:c r="Q1589" s="14" t="str">
        <x:v>5号车</x:v>
      </x:c>
      <x:c r="R1589" s="14" t="str">
        <x:v>预测</x:v>
      </x:c>
      <x:c r="S1589" s="14" t="str">
        <x:v>到站时间为估算值</x:v>
      </x:c>
      <x:c r="T1589" t="str">
        <x:v>研究生宿舍楼发车</x:v>
      </x:c>
    </x:row>
    <x:row r="1590">
      <x:c r="A1590" s="14" t="str">
        <x:v>S0136-11</x:v>
      </x:c>
      <x:c r="B1590" s="14" t="str">
        <x:v>S0136</x:v>
      </x:c>
      <x:c r="C1590" s="14" t="str">
        <x:v>工作日</x:v>
      </x:c>
      <x:c r="D1590" s="14" t="str">
        <x:v>环线3路</x:v>
      </x:c>
      <x:c r="E1590" s="14" t="str">
        <x:v>第二班</x:v>
      </x:c>
      <x:c r="F1590" s="14" t="n">
        <x:v>2</x:v>
      </x:c>
      <x:c r="G1590" s="14" t="str">
        <x:v>8:15</x:v>
      </x:c>
      <x:c r="H1590" s="14" t="str">
        <x:v>研究生宿舍楼</x:v>
      </x:c>
      <x:c r="I1590" s="14" t="str">
        <x:v>否</x:v>
      </x:c>
      <x:c r="J1590" s="14" t="n">
        <x:v>11</x:v>
      </x:c>
      <x:c r="K1590" s="14" t="str">
        <x:v>305教学楼</x:v>
      </x:c>
      <x:c r="L1590" s="14" t="n">
        <x:v>16</x:v>
      </x:c>
      <x:c r="M1590" s="14" t="str">
        <x:v>08:31</x:v>
      </x:c>
      <x:c r="N1590" s="14" t="str">
        <x:v>否</x:v>
      </x:c>
      <x:c r="O1590" s="14" t="str">
        <x:v>否</x:v>
      </x:c>
      <x:c r="P1590" s="14" t="str">
        <x:v>郭海燕</x:v>
      </x:c>
      <x:c r="Q1590" s="14" t="str">
        <x:v>5号车</x:v>
      </x:c>
      <x:c r="R1590" s="14" t="str">
        <x:v>预测</x:v>
      </x:c>
      <x:c r="S1590" s="14" t="str">
        <x:v>到站时间为估算值</x:v>
      </x:c>
      <x:c r="T1590" t="str">
        <x:v>研究生宿舍楼发车</x:v>
      </x:c>
    </x:row>
    <x:row r="1591">
      <x:c r="A1591" s="14" t="str">
        <x:v>S0136-12</x:v>
      </x:c>
      <x:c r="B1591" s="14" t="str">
        <x:v>S0136</x:v>
      </x:c>
      <x:c r="C1591" s="14" t="str">
        <x:v>工作日</x:v>
      </x:c>
      <x:c r="D1591" s="14" t="str">
        <x:v>环线3路</x:v>
      </x:c>
      <x:c r="E1591" s="14" t="str">
        <x:v>第二班</x:v>
      </x:c>
      <x:c r="F1591" s="14" t="n">
        <x:v>2</x:v>
      </x:c>
      <x:c r="G1591" s="14" t="str">
        <x:v>8:15</x:v>
      </x:c>
      <x:c r="H1591" s="14" t="str">
        <x:v>研究生宿舍楼</x:v>
      </x:c>
      <x:c r="I1591" s="14" t="str">
        <x:v>否</x:v>
      </x:c>
      <x:c r="J1591" s="14" t="n">
        <x:v>12</x:v>
      </x:c>
      <x:c r="K1591" s="14" t="str">
        <x:v>研究生宿舍楼</x:v>
      </x:c>
      <x:c r="L1591" s="14" t="n">
        <x:v>18</x:v>
      </x:c>
      <x:c r="M1591" s="14" t="str">
        <x:v>08:33</x:v>
      </x:c>
      <x:c r="N1591" s="14" t="str">
        <x:v>否</x:v>
      </x:c>
      <x:c r="O1591" s="14" t="str">
        <x:v>是</x:v>
      </x:c>
      <x:c r="P1591" s="14" t="str">
        <x:v>郭海燕</x:v>
      </x:c>
      <x:c r="Q1591" s="14" t="str">
        <x:v>5号车</x:v>
      </x:c>
      <x:c r="R1591" s="14" t="str">
        <x:v>预测</x:v>
      </x:c>
      <x:c r="S1591" s="14" t="str">
        <x:v>到站时间为估算值</x:v>
      </x:c>
      <x:c r="T1591" t="str">
        <x:v>研究生宿舍楼发车</x:v>
      </x:c>
    </x:row>
    <x:row r="1592">
      <x:c r="A1592" s="14" t="str">
        <x:v>S0137-01</x:v>
      </x:c>
      <x:c r="B1592" s="14" t="str">
        <x:v>S0137</x:v>
      </x:c>
      <x:c r="C1592" s="14" t="str">
        <x:v>工作日</x:v>
      </x:c>
      <x:c r="D1592" s="14" t="str">
        <x:v>环线3路</x:v>
      </x:c>
      <x:c r="E1592" s="14" t="str">
        <x:v>第二班</x:v>
      </x:c>
      <x:c r="F1592" s="14" t="n">
        <x:v>3</x:v>
      </x:c>
      <x:c r="G1592" s="14" t="str">
        <x:v>8:45</x:v>
      </x:c>
      <x:c r="H1592" s="14" t="str">
        <x:v>研究生宿舍楼</x:v>
      </x:c>
      <x:c r="I1592" s="14" t="str">
        <x:v>否</x:v>
      </x:c>
      <x:c r="J1592" s="14" t="n">
        <x:v>1</x:v>
      </x:c>
      <x:c r="K1592" s="14" t="str">
        <x:v>研究生宿舍楼</x:v>
      </x:c>
      <x:c r="L1592" s="14" t="n">
        <x:v>0</x:v>
      </x:c>
      <x:c r="M1592" s="14" t="str">
        <x:v>08:45</x:v>
      </x:c>
      <x:c r="N1592" s="14" t="str">
        <x:v>是</x:v>
      </x:c>
      <x:c r="O1592" s="14" t="str">
        <x:v>否</x:v>
      </x:c>
      <x:c r="P1592" s="14" t="str">
        <x:v>郭海燕</x:v>
      </x:c>
      <x:c r="Q1592" s="14" t="str">
        <x:v>5号车</x:v>
      </x:c>
      <x:c r="R1592" s="14" t="str">
        <x:v>预测</x:v>
      </x:c>
      <x:c r="S1592" s="14" t="str">
        <x:v>到站时间为估算值</x:v>
      </x:c>
      <x:c r="T1592" t="str">
        <x:v>研究生宿舍楼发车</x:v>
      </x:c>
    </x:row>
    <x:row r="1593">
      <x:c r="A1593" s="14" t="str">
        <x:v>S0137-02</x:v>
      </x:c>
      <x:c r="B1593" s="14" t="str">
        <x:v>S0137</x:v>
      </x:c>
      <x:c r="C1593" s="14" t="str">
        <x:v>工作日</x:v>
      </x:c>
      <x:c r="D1593" s="14" t="str">
        <x:v>环线3路</x:v>
      </x:c>
      <x:c r="E1593" s="14" t="str">
        <x:v>第二班</x:v>
      </x:c>
      <x:c r="F1593" s="14" t="n">
        <x:v>3</x:v>
      </x:c>
      <x:c r="G1593" s="14" t="str">
        <x:v>8:45</x:v>
      </x:c>
      <x:c r="H1593" s="14" t="str">
        <x:v>研究生宿舍楼</x:v>
      </x:c>
      <x:c r="I1593" s="14" t="str">
        <x:v>否</x:v>
      </x:c>
      <x:c r="J1593" s="14" t="n">
        <x:v>2</x:v>
      </x:c>
      <x:c r="K1593" s="14" t="str">
        <x:v>一食堂</x:v>
      </x:c>
      <x:c r="L1593" s="14" t="n">
        <x:v>1</x:v>
      </x:c>
      <x:c r="M1593" s="14" t="str">
        <x:v>08:46</x:v>
      </x:c>
      <x:c r="N1593" s="14" t="str">
        <x:v>否</x:v>
      </x:c>
      <x:c r="O1593" s="14" t="str">
        <x:v>否</x:v>
      </x:c>
      <x:c r="P1593" s="14" t="str">
        <x:v>郭海燕</x:v>
      </x:c>
      <x:c r="Q1593" s="14" t="str">
        <x:v>5号车</x:v>
      </x:c>
      <x:c r="R1593" s="14" t="str">
        <x:v>预测</x:v>
      </x:c>
      <x:c r="S1593" s="14" t="str">
        <x:v>到站时间为估算值</x:v>
      </x:c>
      <x:c r="T1593" t="str">
        <x:v>研究生宿舍楼发车</x:v>
      </x:c>
    </x:row>
    <x:row r="1594">
      <x:c r="A1594" s="14" t="str">
        <x:v>S0137-03</x:v>
      </x:c>
      <x:c r="B1594" s="14" t="str">
        <x:v>S0137</x:v>
      </x:c>
      <x:c r="C1594" s="14" t="str">
        <x:v>工作日</x:v>
      </x:c>
      <x:c r="D1594" s="14" t="str">
        <x:v>环线3路</x:v>
      </x:c>
      <x:c r="E1594" s="14" t="str">
        <x:v>第二班</x:v>
      </x:c>
      <x:c r="F1594" s="14" t="n">
        <x:v>3</x:v>
      </x:c>
      <x:c r="G1594" s="14" t="str">
        <x:v>8:45</x:v>
      </x:c>
      <x:c r="H1594" s="14" t="str">
        <x:v>研究生宿舍楼</x:v>
      </x:c>
      <x:c r="I1594" s="14" t="str">
        <x:v>否</x:v>
      </x:c>
      <x:c r="J1594" s="14" t="n">
        <x:v>3</x:v>
      </x:c>
      <x:c r="K1594" s="14" t="str">
        <x:v>2号宿舍楼</x:v>
      </x:c>
      <x:c r="L1594" s="14" t="n">
        <x:v>3</x:v>
      </x:c>
      <x:c r="M1594" s="14" t="str">
        <x:v>08:48</x:v>
      </x:c>
      <x:c r="N1594" s="14" t="str">
        <x:v>否</x:v>
      </x:c>
      <x:c r="O1594" s="14" t="str">
        <x:v>否</x:v>
      </x:c>
      <x:c r="P1594" s="14" t="str">
        <x:v>郭海燕</x:v>
      </x:c>
      <x:c r="Q1594" s="14" t="str">
        <x:v>5号车</x:v>
      </x:c>
      <x:c r="R1594" s="14" t="str">
        <x:v>预测</x:v>
      </x:c>
      <x:c r="S1594" s="14" t="str">
        <x:v>到站时间为估算值</x:v>
      </x:c>
      <x:c r="T1594" t="str">
        <x:v>研究生宿舍楼发车</x:v>
      </x:c>
    </x:row>
    <x:row r="1595">
      <x:c r="A1595" s="14" t="str">
        <x:v>S0137-04</x:v>
      </x:c>
      <x:c r="B1595" s="14" t="str">
        <x:v>S0137</x:v>
      </x:c>
      <x:c r="C1595" s="14" t="str">
        <x:v>工作日</x:v>
      </x:c>
      <x:c r="D1595" s="14" t="str">
        <x:v>环线3路</x:v>
      </x:c>
      <x:c r="E1595" s="14" t="str">
        <x:v>第二班</x:v>
      </x:c>
      <x:c r="F1595" s="14" t="n">
        <x:v>3</x:v>
      </x:c>
      <x:c r="G1595" s="14" t="str">
        <x:v>8:45</x:v>
      </x:c>
      <x:c r="H1595" s="14" t="str">
        <x:v>研究生宿舍楼</x:v>
      </x:c>
      <x:c r="I1595" s="14" t="str">
        <x:v>否</x:v>
      </x:c>
      <x:c r="J1595" s="14" t="n">
        <x:v>4</x:v>
      </x:c>
      <x:c r="K1595" s="14" t="str">
        <x:v>军体活动中心</x:v>
      </x:c>
      <x:c r="L1595" s="14" t="n">
        <x:v>4</x:v>
      </x:c>
      <x:c r="M1595" s="14" t="str">
        <x:v>08:49</x:v>
      </x:c>
      <x:c r="N1595" s="14" t="str">
        <x:v>否</x:v>
      </x:c>
      <x:c r="O1595" s="14" t="str">
        <x:v>否</x:v>
      </x:c>
      <x:c r="P1595" s="14" t="str">
        <x:v>郭海燕</x:v>
      </x:c>
      <x:c r="Q1595" s="14" t="str">
        <x:v>5号车</x:v>
      </x:c>
      <x:c r="R1595" s="14" t="str">
        <x:v>预测</x:v>
      </x:c>
      <x:c r="S1595" s="14" t="str">
        <x:v>到站时间为估算值</x:v>
      </x:c>
      <x:c r="T1595" t="str">
        <x:v>研究生宿舍楼发车</x:v>
      </x:c>
    </x:row>
    <x:row r="1596">
      <x:c r="A1596" s="14" t="str">
        <x:v>S0137-05</x:v>
      </x:c>
      <x:c r="B1596" s="14" t="str">
        <x:v>S0137</x:v>
      </x:c>
      <x:c r="C1596" s="14" t="str">
        <x:v>工作日</x:v>
      </x:c>
      <x:c r="D1596" s="14" t="str">
        <x:v>环线3路</x:v>
      </x:c>
      <x:c r="E1596" s="14" t="str">
        <x:v>第二班</x:v>
      </x:c>
      <x:c r="F1596" s="14" t="n">
        <x:v>3</x:v>
      </x:c>
      <x:c r="G1596" s="14" t="str">
        <x:v>8:45</x:v>
      </x:c>
      <x:c r="H1596" s="14" t="str">
        <x:v>研究生宿舍楼</x:v>
      </x:c>
      <x:c r="I1596" s="14" t="str">
        <x:v>否</x:v>
      </x:c>
      <x:c r="J1596" s="14" t="n">
        <x:v>5</x:v>
      </x:c>
      <x:c r="K1596" s="14" t="str">
        <x:v>教勤连</x:v>
      </x:c>
      <x:c r="L1596" s="14" t="n">
        <x:v>6</x:v>
      </x:c>
      <x:c r="M1596" s="14" t="str">
        <x:v>08:51</x:v>
      </x:c>
      <x:c r="N1596" s="14" t="str">
        <x:v>否</x:v>
      </x:c>
      <x:c r="O1596" s="14" t="str">
        <x:v>否</x:v>
      </x:c>
      <x:c r="P1596" s="14" t="str">
        <x:v>郭海燕</x:v>
      </x:c>
      <x:c r="Q1596" s="14" t="str">
        <x:v>5号车</x:v>
      </x:c>
      <x:c r="R1596" s="14" t="str">
        <x:v>预测</x:v>
      </x:c>
      <x:c r="S1596" s="14" t="str">
        <x:v>到站时间为估算值</x:v>
      </x:c>
      <x:c r="T1596" t="str">
        <x:v>研究生宿舍楼发车</x:v>
      </x:c>
    </x:row>
    <x:row r="1597">
      <x:c r="A1597" s="14" t="str">
        <x:v>S0137-06</x:v>
      </x:c>
      <x:c r="B1597" s="14" t="str">
        <x:v>S0137</x:v>
      </x:c>
      <x:c r="C1597" s="14" t="str">
        <x:v>工作日</x:v>
      </x:c>
      <x:c r="D1597" s="14" t="str">
        <x:v>环线3路</x:v>
      </x:c>
      <x:c r="E1597" s="14" t="str">
        <x:v>第二班</x:v>
      </x:c>
      <x:c r="F1597" s="14" t="n">
        <x:v>3</x:v>
      </x:c>
      <x:c r="G1597" s="14" t="str">
        <x:v>8:45</x:v>
      </x:c>
      <x:c r="H1597" s="14" t="str">
        <x:v>研究生宿舍楼</x:v>
      </x:c>
      <x:c r="I1597" s="14" t="str">
        <x:v>否</x:v>
      </x:c>
      <x:c r="J1597" s="14" t="n">
        <x:v>6</x:v>
      </x:c>
      <x:c r="K1597" s="14" t="str">
        <x:v>激光所</x:v>
      </x:c>
      <x:c r="L1597" s="14" t="n">
        <x:v>7</x:v>
      </x:c>
      <x:c r="M1597" s="14" t="str">
        <x:v>08:52</x:v>
      </x:c>
      <x:c r="N1597" s="14" t="str">
        <x:v>否</x:v>
      </x:c>
      <x:c r="O1597" s="14" t="str">
        <x:v>否</x:v>
      </x:c>
      <x:c r="P1597" s="14" t="str">
        <x:v>郭海燕</x:v>
      </x:c>
      <x:c r="Q1597" s="14" t="str">
        <x:v>5号车</x:v>
      </x:c>
      <x:c r="R1597" s="14" t="str">
        <x:v>预测</x:v>
      </x:c>
      <x:c r="S1597" s="14" t="str">
        <x:v>到站时间为估算值</x:v>
      </x:c>
      <x:c r="T1597" t="str">
        <x:v>研究生宿舍楼发车</x:v>
      </x:c>
    </x:row>
    <x:row r="1598">
      <x:c r="A1598" s="14" t="str">
        <x:v>S0137-07</x:v>
      </x:c>
      <x:c r="B1598" s="14" t="str">
        <x:v>S0137</x:v>
      </x:c>
      <x:c r="C1598" s="14" t="str">
        <x:v>工作日</x:v>
      </x:c>
      <x:c r="D1598" s="14" t="str">
        <x:v>环线3路</x:v>
      </x:c>
      <x:c r="E1598" s="14" t="str">
        <x:v>第二班</x:v>
      </x:c>
      <x:c r="F1598" s="14" t="n">
        <x:v>3</x:v>
      </x:c>
      <x:c r="G1598" s="14" t="str">
        <x:v>8:45</x:v>
      </x:c>
      <x:c r="H1598" s="14" t="str">
        <x:v>研究生宿舍楼</x:v>
      </x:c>
      <x:c r="I1598" s="14" t="str">
        <x:v>否</x:v>
      </x:c>
      <x:c r="J1598" s="14" t="n">
        <x:v>7</x:v>
      </x:c>
      <x:c r="K1598" s="14" t="str">
        <x:v>高超楼</x:v>
      </x:c>
      <x:c r="L1598" s="14" t="n">
        <x:v>9</x:v>
      </x:c>
      <x:c r="M1598" s="14" t="str">
        <x:v>08:54</x:v>
      </x:c>
      <x:c r="N1598" s="14" t="str">
        <x:v>否</x:v>
      </x:c>
      <x:c r="O1598" s="14" t="str">
        <x:v>否</x:v>
      </x:c>
      <x:c r="P1598" s="14" t="str">
        <x:v>郭海燕</x:v>
      </x:c>
      <x:c r="Q1598" s="14" t="str">
        <x:v>5号车</x:v>
      </x:c>
      <x:c r="R1598" s="14" t="str">
        <x:v>预测</x:v>
      </x:c>
      <x:c r="S1598" s="14" t="str">
        <x:v>到站时间为估算值</x:v>
      </x:c>
      <x:c r="T1598" t="str">
        <x:v>研究生宿舍楼发车</x:v>
      </x:c>
    </x:row>
    <x:row r="1599">
      <x:c r="A1599" s="14" t="str">
        <x:v>S0137-08</x:v>
      </x:c>
      <x:c r="B1599" s="14" t="str">
        <x:v>S0137</x:v>
      </x:c>
      <x:c r="C1599" s="14" t="str">
        <x:v>工作日</x:v>
      </x:c>
      <x:c r="D1599" s="14" t="str">
        <x:v>环线3路</x:v>
      </x:c>
      <x:c r="E1599" s="14" t="str">
        <x:v>第二班</x:v>
      </x:c>
      <x:c r="F1599" s="14" t="n">
        <x:v>3</x:v>
      </x:c>
      <x:c r="G1599" s="14" t="str">
        <x:v>8:45</x:v>
      </x:c>
      <x:c r="H1599" s="14" t="str">
        <x:v>研究生宿舍楼</x:v>
      </x:c>
      <x:c r="I1599" s="14" t="str">
        <x:v>否</x:v>
      </x:c>
      <x:c r="J1599" s="14" t="n">
        <x:v>8</x:v>
      </x:c>
      <x:c r="K1599" s="14" t="str">
        <x:v>理学院</x:v>
      </x:c>
      <x:c r="L1599" s="14" t="n">
        <x:v>10</x:v>
      </x:c>
      <x:c r="M1599" s="14" t="str">
        <x:v>08:55</x:v>
      </x:c>
      <x:c r="N1599" s="14" t="str">
        <x:v>否</x:v>
      </x:c>
      <x:c r="O1599" s="14" t="str">
        <x:v>否</x:v>
      </x:c>
      <x:c r="P1599" s="14" t="str">
        <x:v>郭海燕</x:v>
      </x:c>
      <x:c r="Q1599" s="14" t="str">
        <x:v>5号车</x:v>
      </x:c>
      <x:c r="R1599" s="14" t="str">
        <x:v>预测</x:v>
      </x:c>
      <x:c r="S1599" s="14" t="str">
        <x:v>到站时间为估算值</x:v>
      </x:c>
      <x:c r="T1599" t="str">
        <x:v>研究生宿舍楼发车</x:v>
      </x:c>
    </x:row>
    <x:row r="1600">
      <x:c r="A1600" s="14" t="str">
        <x:v>S0137-09</x:v>
      </x:c>
      <x:c r="B1600" s="14" t="str">
        <x:v>S0137</x:v>
      </x:c>
      <x:c r="C1600" s="14" t="str">
        <x:v>工作日</x:v>
      </x:c>
      <x:c r="D1600" s="14" t="str">
        <x:v>环线3路</x:v>
      </x:c>
      <x:c r="E1600" s="14" t="str">
        <x:v>第二班</x:v>
      </x:c>
      <x:c r="F1600" s="14" t="n">
        <x:v>3</x:v>
      </x:c>
      <x:c r="G1600" s="14" t="str">
        <x:v>8:45</x:v>
      </x:c>
      <x:c r="H1600" s="14" t="str">
        <x:v>研究生宿舍楼</x:v>
      </x:c>
      <x:c r="I1600" s="14" t="str">
        <x:v>否</x:v>
      </x:c>
      <x:c r="J1600" s="14" t="n">
        <x:v>9</x:v>
      </x:c>
      <x:c r="K1600" s="14" t="str">
        <x:v>二食堂</x:v>
      </x:c>
      <x:c r="L1600" s="14" t="n">
        <x:v>13</x:v>
      </x:c>
      <x:c r="M1600" s="14" t="str">
        <x:v>08:58</x:v>
      </x:c>
      <x:c r="N1600" s="14" t="str">
        <x:v>否</x:v>
      </x:c>
      <x:c r="O1600" s="14" t="str">
        <x:v>否</x:v>
      </x:c>
      <x:c r="P1600" s="14" t="str">
        <x:v>郭海燕</x:v>
      </x:c>
      <x:c r="Q1600" s="14" t="str">
        <x:v>5号车</x:v>
      </x:c>
      <x:c r="R1600" s="14" t="str">
        <x:v>预测</x:v>
      </x:c>
      <x:c r="S1600" s="14" t="str">
        <x:v>到站时间为估算值</x:v>
      </x:c>
      <x:c r="T1600" t="str">
        <x:v>研究生宿舍楼发车</x:v>
      </x:c>
    </x:row>
    <x:row r="1601">
      <x:c r="A1601" s="14" t="str">
        <x:v>S0137-10</x:v>
      </x:c>
      <x:c r="B1601" s="14" t="str">
        <x:v>S0137</x:v>
      </x:c>
      <x:c r="C1601" s="14" t="str">
        <x:v>工作日</x:v>
      </x:c>
      <x:c r="D1601" s="14" t="str">
        <x:v>环线3路</x:v>
      </x:c>
      <x:c r="E1601" s="14" t="str">
        <x:v>第二班</x:v>
      </x:c>
      <x:c r="F1601" s="14" t="n">
        <x:v>3</x:v>
      </x:c>
      <x:c r="G1601" s="14" t="str">
        <x:v>8:45</x:v>
      </x:c>
      <x:c r="H1601" s="14" t="str">
        <x:v>研究生宿舍楼</x:v>
      </x:c>
      <x:c r="I1601" s="14" t="str">
        <x:v>否</x:v>
      </x:c>
      <x:c r="J1601" s="14" t="n">
        <x:v>10</x:v>
      </x:c>
      <x:c r="K1601" s="14" t="str">
        <x:v>图书馆</x:v>
      </x:c>
      <x:c r="L1601" s="14" t="n">
        <x:v>14</x:v>
      </x:c>
      <x:c r="M1601" s="14" t="str">
        <x:v>08:59</x:v>
      </x:c>
      <x:c r="N1601" s="14" t="str">
        <x:v>否</x:v>
      </x:c>
      <x:c r="O1601" s="14" t="str">
        <x:v>否</x:v>
      </x:c>
      <x:c r="P1601" s="14" t="str">
        <x:v>郭海燕</x:v>
      </x:c>
      <x:c r="Q1601" s="14" t="str">
        <x:v>5号车</x:v>
      </x:c>
      <x:c r="R1601" s="14" t="str">
        <x:v>预测</x:v>
      </x:c>
      <x:c r="S1601" s="14" t="str">
        <x:v>到站时间为估算值</x:v>
      </x:c>
      <x:c r="T1601" t="str">
        <x:v>研究生宿舍楼发车</x:v>
      </x:c>
    </x:row>
    <x:row r="1602">
      <x:c r="A1602" s="14" t="str">
        <x:v>S0137-11</x:v>
      </x:c>
      <x:c r="B1602" s="14" t="str">
        <x:v>S0137</x:v>
      </x:c>
      <x:c r="C1602" s="14" t="str">
        <x:v>工作日</x:v>
      </x:c>
      <x:c r="D1602" s="14" t="str">
        <x:v>环线3路</x:v>
      </x:c>
      <x:c r="E1602" s="14" t="str">
        <x:v>第二班</x:v>
      </x:c>
      <x:c r="F1602" s="14" t="n">
        <x:v>3</x:v>
      </x:c>
      <x:c r="G1602" s="14" t="str">
        <x:v>8:45</x:v>
      </x:c>
      <x:c r="H1602" s="14" t="str">
        <x:v>研究生宿舍楼</x:v>
      </x:c>
      <x:c r="I1602" s="14" t="str">
        <x:v>否</x:v>
      </x:c>
      <x:c r="J1602" s="14" t="n">
        <x:v>11</x:v>
      </x:c>
      <x:c r="K1602" s="14" t="str">
        <x:v>305教学楼</x:v>
      </x:c>
      <x:c r="L1602" s="14" t="n">
        <x:v>16</x:v>
      </x:c>
      <x:c r="M1602" s="14" t="str">
        <x:v>09:01</x:v>
      </x:c>
      <x:c r="N1602" s="14" t="str">
        <x:v>否</x:v>
      </x:c>
      <x:c r="O1602" s="14" t="str">
        <x:v>否</x:v>
      </x:c>
      <x:c r="P1602" s="14" t="str">
        <x:v>郭海燕</x:v>
      </x:c>
      <x:c r="Q1602" s="14" t="str">
        <x:v>5号车</x:v>
      </x:c>
      <x:c r="R1602" s="14" t="str">
        <x:v>预测</x:v>
      </x:c>
      <x:c r="S1602" s="14" t="str">
        <x:v>到站时间为估算值</x:v>
      </x:c>
      <x:c r="T1602" t="str">
        <x:v>研究生宿舍楼发车</x:v>
      </x:c>
    </x:row>
    <x:row r="1603">
      <x:c r="A1603" s="14" t="str">
        <x:v>S0137-12</x:v>
      </x:c>
      <x:c r="B1603" s="14" t="str">
        <x:v>S0137</x:v>
      </x:c>
      <x:c r="C1603" s="14" t="str">
        <x:v>工作日</x:v>
      </x:c>
      <x:c r="D1603" s="14" t="str">
        <x:v>环线3路</x:v>
      </x:c>
      <x:c r="E1603" s="14" t="str">
        <x:v>第二班</x:v>
      </x:c>
      <x:c r="F1603" s="14" t="n">
        <x:v>3</x:v>
      </x:c>
      <x:c r="G1603" s="14" t="str">
        <x:v>8:45</x:v>
      </x:c>
      <x:c r="H1603" s="14" t="str">
        <x:v>研究生宿舍楼</x:v>
      </x:c>
      <x:c r="I1603" s="14" t="str">
        <x:v>否</x:v>
      </x:c>
      <x:c r="J1603" s="14" t="n">
        <x:v>12</x:v>
      </x:c>
      <x:c r="K1603" s="14" t="str">
        <x:v>研究生宿舍楼</x:v>
      </x:c>
      <x:c r="L1603" s="14" t="n">
        <x:v>18</x:v>
      </x:c>
      <x:c r="M1603" s="14" t="str">
        <x:v>09:03</x:v>
      </x:c>
      <x:c r="N1603" s="14" t="str">
        <x:v>否</x:v>
      </x:c>
      <x:c r="O1603" s="14" t="str">
        <x:v>是</x:v>
      </x:c>
      <x:c r="P1603" s="14" t="str">
        <x:v>郭海燕</x:v>
      </x:c>
      <x:c r="Q1603" s="14" t="str">
        <x:v>5号车</x:v>
      </x:c>
      <x:c r="R1603" s="14" t="str">
        <x:v>预测</x:v>
      </x:c>
      <x:c r="S1603" s="14" t="str">
        <x:v>到站时间为估算值</x:v>
      </x:c>
      <x:c r="T1603" t="str">
        <x:v>研究生宿舍楼发车</x:v>
      </x:c>
    </x:row>
    <x:row r="1604">
      <x:c r="A1604" s="14" t="str">
        <x:v>S0138-01</x:v>
      </x:c>
      <x:c r="B1604" s="14" t="str">
        <x:v>S0138</x:v>
      </x:c>
      <x:c r="C1604" s="14" t="str">
        <x:v>工作日</x:v>
      </x:c>
      <x:c r="D1604" s="14" t="str">
        <x:v>环线3路</x:v>
      </x:c>
      <x:c r="E1604" s="14" t="str">
        <x:v>第二班</x:v>
      </x:c>
      <x:c r="F1604" s="14" t="n">
        <x:v>4</x:v>
      </x:c>
      <x:c r="G1604" s="14" t="str">
        <x:v>9:20</x:v>
      </x:c>
      <x:c r="H1604" s="14" t="str">
        <x:v>研究生宿舍楼</x:v>
      </x:c>
      <x:c r="I1604" s="14" t="str">
        <x:v>否</x:v>
      </x:c>
      <x:c r="J1604" s="14" t="n">
        <x:v>1</x:v>
      </x:c>
      <x:c r="K1604" s="14" t="str">
        <x:v>研究生宿舍楼</x:v>
      </x:c>
      <x:c r="L1604" s="14" t="n">
        <x:v>0</x:v>
      </x:c>
      <x:c r="M1604" s="14" t="str">
        <x:v>09:20</x:v>
      </x:c>
      <x:c r="N1604" s="14" t="str">
        <x:v>是</x:v>
      </x:c>
      <x:c r="O1604" s="14" t="str">
        <x:v>否</x:v>
      </x:c>
      <x:c r="P1604" s="14" t="str">
        <x:v>郭海燕</x:v>
      </x:c>
      <x:c r="Q1604" s="14" t="str">
        <x:v>5号车</x:v>
      </x:c>
      <x:c r="R1604" s="14" t="str">
        <x:v>预测</x:v>
      </x:c>
      <x:c r="S1604" s="14" t="str">
        <x:v>到站时间为估算值</x:v>
      </x:c>
      <x:c r="T1604" t="str">
        <x:v>研究生宿舍楼发车</x:v>
      </x:c>
    </x:row>
    <x:row r="1605">
      <x:c r="A1605" s="14" t="str">
        <x:v>S0138-02</x:v>
      </x:c>
      <x:c r="B1605" s="14" t="str">
        <x:v>S0138</x:v>
      </x:c>
      <x:c r="C1605" s="14" t="str">
        <x:v>工作日</x:v>
      </x:c>
      <x:c r="D1605" s="14" t="str">
        <x:v>环线3路</x:v>
      </x:c>
      <x:c r="E1605" s="14" t="str">
        <x:v>第二班</x:v>
      </x:c>
      <x:c r="F1605" s="14" t="n">
        <x:v>4</x:v>
      </x:c>
      <x:c r="G1605" s="14" t="str">
        <x:v>9:20</x:v>
      </x:c>
      <x:c r="H1605" s="14" t="str">
        <x:v>研究生宿舍楼</x:v>
      </x:c>
      <x:c r="I1605" s="14" t="str">
        <x:v>否</x:v>
      </x:c>
      <x:c r="J1605" s="14" t="n">
        <x:v>2</x:v>
      </x:c>
      <x:c r="K1605" s="14" t="str">
        <x:v>一食堂</x:v>
      </x:c>
      <x:c r="L1605" s="14" t="n">
        <x:v>1</x:v>
      </x:c>
      <x:c r="M1605" s="14" t="str">
        <x:v>09:21</x:v>
      </x:c>
      <x:c r="N1605" s="14" t="str">
        <x:v>否</x:v>
      </x:c>
      <x:c r="O1605" s="14" t="str">
        <x:v>否</x:v>
      </x:c>
      <x:c r="P1605" s="14" t="str">
        <x:v>郭海燕</x:v>
      </x:c>
      <x:c r="Q1605" s="14" t="str">
        <x:v>5号车</x:v>
      </x:c>
      <x:c r="R1605" s="14" t="str">
        <x:v>预测</x:v>
      </x:c>
      <x:c r="S1605" s="14" t="str">
        <x:v>到站时间为估算值</x:v>
      </x:c>
      <x:c r="T1605" t="str">
        <x:v>研究生宿舍楼发车</x:v>
      </x:c>
    </x:row>
    <x:row r="1606">
      <x:c r="A1606" s="14" t="str">
        <x:v>S0138-03</x:v>
      </x:c>
      <x:c r="B1606" s="14" t="str">
        <x:v>S0138</x:v>
      </x:c>
      <x:c r="C1606" s="14" t="str">
        <x:v>工作日</x:v>
      </x:c>
      <x:c r="D1606" s="14" t="str">
        <x:v>环线3路</x:v>
      </x:c>
      <x:c r="E1606" s="14" t="str">
        <x:v>第二班</x:v>
      </x:c>
      <x:c r="F1606" s="14" t="n">
        <x:v>4</x:v>
      </x:c>
      <x:c r="G1606" s="14" t="str">
        <x:v>9:20</x:v>
      </x:c>
      <x:c r="H1606" s="14" t="str">
        <x:v>研究生宿舍楼</x:v>
      </x:c>
      <x:c r="I1606" s="14" t="str">
        <x:v>否</x:v>
      </x:c>
      <x:c r="J1606" s="14" t="n">
        <x:v>3</x:v>
      </x:c>
      <x:c r="K1606" s="14" t="str">
        <x:v>2号宿舍楼</x:v>
      </x:c>
      <x:c r="L1606" s="14" t="n">
        <x:v>3</x:v>
      </x:c>
      <x:c r="M1606" s="14" t="str">
        <x:v>09:23</x:v>
      </x:c>
      <x:c r="N1606" s="14" t="str">
        <x:v>否</x:v>
      </x:c>
      <x:c r="O1606" s="14" t="str">
        <x:v>否</x:v>
      </x:c>
      <x:c r="P1606" s="14" t="str">
        <x:v>郭海燕</x:v>
      </x:c>
      <x:c r="Q1606" s="14" t="str">
        <x:v>5号车</x:v>
      </x:c>
      <x:c r="R1606" s="14" t="str">
        <x:v>预测</x:v>
      </x:c>
      <x:c r="S1606" s="14" t="str">
        <x:v>到站时间为估算值</x:v>
      </x:c>
      <x:c r="T1606" t="str">
        <x:v>研究生宿舍楼发车</x:v>
      </x:c>
    </x:row>
    <x:row r="1607">
      <x:c r="A1607" s="14" t="str">
        <x:v>S0138-04</x:v>
      </x:c>
      <x:c r="B1607" s="14" t="str">
        <x:v>S0138</x:v>
      </x:c>
      <x:c r="C1607" s="14" t="str">
        <x:v>工作日</x:v>
      </x:c>
      <x:c r="D1607" s="14" t="str">
        <x:v>环线3路</x:v>
      </x:c>
      <x:c r="E1607" s="14" t="str">
        <x:v>第二班</x:v>
      </x:c>
      <x:c r="F1607" s="14" t="n">
        <x:v>4</x:v>
      </x:c>
      <x:c r="G1607" s="14" t="str">
        <x:v>9:20</x:v>
      </x:c>
      <x:c r="H1607" s="14" t="str">
        <x:v>研究生宿舍楼</x:v>
      </x:c>
      <x:c r="I1607" s="14" t="str">
        <x:v>否</x:v>
      </x:c>
      <x:c r="J1607" s="14" t="n">
        <x:v>4</x:v>
      </x:c>
      <x:c r="K1607" s="14" t="str">
        <x:v>军体活动中心</x:v>
      </x:c>
      <x:c r="L1607" s="14" t="n">
        <x:v>4</x:v>
      </x:c>
      <x:c r="M1607" s="14" t="str">
        <x:v>09:24</x:v>
      </x:c>
      <x:c r="N1607" s="14" t="str">
        <x:v>否</x:v>
      </x:c>
      <x:c r="O1607" s="14" t="str">
        <x:v>否</x:v>
      </x:c>
      <x:c r="P1607" s="14" t="str">
        <x:v>郭海燕</x:v>
      </x:c>
      <x:c r="Q1607" s="14" t="str">
        <x:v>5号车</x:v>
      </x:c>
      <x:c r="R1607" s="14" t="str">
        <x:v>预测</x:v>
      </x:c>
      <x:c r="S1607" s="14" t="str">
        <x:v>到站时间为估算值</x:v>
      </x:c>
      <x:c r="T1607" t="str">
        <x:v>研究生宿舍楼发车</x:v>
      </x:c>
    </x:row>
    <x:row r="1608">
      <x:c r="A1608" s="14" t="str">
        <x:v>S0138-05</x:v>
      </x:c>
      <x:c r="B1608" s="14" t="str">
        <x:v>S0138</x:v>
      </x:c>
      <x:c r="C1608" s="14" t="str">
        <x:v>工作日</x:v>
      </x:c>
      <x:c r="D1608" s="14" t="str">
        <x:v>环线3路</x:v>
      </x:c>
      <x:c r="E1608" s="14" t="str">
        <x:v>第二班</x:v>
      </x:c>
      <x:c r="F1608" s="14" t="n">
        <x:v>4</x:v>
      </x:c>
      <x:c r="G1608" s="14" t="str">
        <x:v>9:20</x:v>
      </x:c>
      <x:c r="H1608" s="14" t="str">
        <x:v>研究生宿舍楼</x:v>
      </x:c>
      <x:c r="I1608" s="14" t="str">
        <x:v>否</x:v>
      </x:c>
      <x:c r="J1608" s="14" t="n">
        <x:v>5</x:v>
      </x:c>
      <x:c r="K1608" s="14" t="str">
        <x:v>教勤连</x:v>
      </x:c>
      <x:c r="L1608" s="14" t="n">
        <x:v>6</x:v>
      </x:c>
      <x:c r="M1608" s="14" t="str">
        <x:v>09:26</x:v>
      </x:c>
      <x:c r="N1608" s="14" t="str">
        <x:v>否</x:v>
      </x:c>
      <x:c r="O1608" s="14" t="str">
        <x:v>否</x:v>
      </x:c>
      <x:c r="P1608" s="14" t="str">
        <x:v>郭海燕</x:v>
      </x:c>
      <x:c r="Q1608" s="14" t="str">
        <x:v>5号车</x:v>
      </x:c>
      <x:c r="R1608" s="14" t="str">
        <x:v>预测</x:v>
      </x:c>
      <x:c r="S1608" s="14" t="str">
        <x:v>到站时间为估算值</x:v>
      </x:c>
      <x:c r="T1608" t="str">
        <x:v>研究生宿舍楼发车</x:v>
      </x:c>
    </x:row>
    <x:row r="1609">
      <x:c r="A1609" s="14" t="str">
        <x:v>S0138-06</x:v>
      </x:c>
      <x:c r="B1609" s="14" t="str">
        <x:v>S0138</x:v>
      </x:c>
      <x:c r="C1609" s="14" t="str">
        <x:v>工作日</x:v>
      </x:c>
      <x:c r="D1609" s="14" t="str">
        <x:v>环线3路</x:v>
      </x:c>
      <x:c r="E1609" s="14" t="str">
        <x:v>第二班</x:v>
      </x:c>
      <x:c r="F1609" s="14" t="n">
        <x:v>4</x:v>
      </x:c>
      <x:c r="G1609" s="14" t="str">
        <x:v>9:20</x:v>
      </x:c>
      <x:c r="H1609" s="14" t="str">
        <x:v>研究生宿舍楼</x:v>
      </x:c>
      <x:c r="I1609" s="14" t="str">
        <x:v>否</x:v>
      </x:c>
      <x:c r="J1609" s="14" t="n">
        <x:v>6</x:v>
      </x:c>
      <x:c r="K1609" s="14" t="str">
        <x:v>激光所</x:v>
      </x:c>
      <x:c r="L1609" s="14" t="n">
        <x:v>7</x:v>
      </x:c>
      <x:c r="M1609" s="14" t="str">
        <x:v>09:27</x:v>
      </x:c>
      <x:c r="N1609" s="14" t="str">
        <x:v>否</x:v>
      </x:c>
      <x:c r="O1609" s="14" t="str">
        <x:v>否</x:v>
      </x:c>
      <x:c r="P1609" s="14" t="str">
        <x:v>郭海燕</x:v>
      </x:c>
      <x:c r="Q1609" s="14" t="str">
        <x:v>5号车</x:v>
      </x:c>
      <x:c r="R1609" s="14" t="str">
        <x:v>预测</x:v>
      </x:c>
      <x:c r="S1609" s="14" t="str">
        <x:v>到站时间为估算值</x:v>
      </x:c>
      <x:c r="T1609" t="str">
        <x:v>研究生宿舍楼发车</x:v>
      </x:c>
    </x:row>
    <x:row r="1610">
      <x:c r="A1610" s="14" t="str">
        <x:v>S0138-07</x:v>
      </x:c>
      <x:c r="B1610" s="14" t="str">
        <x:v>S0138</x:v>
      </x:c>
      <x:c r="C1610" s="14" t="str">
        <x:v>工作日</x:v>
      </x:c>
      <x:c r="D1610" s="14" t="str">
        <x:v>环线3路</x:v>
      </x:c>
      <x:c r="E1610" s="14" t="str">
        <x:v>第二班</x:v>
      </x:c>
      <x:c r="F1610" s="14" t="n">
        <x:v>4</x:v>
      </x:c>
      <x:c r="G1610" s="14" t="str">
        <x:v>9:20</x:v>
      </x:c>
      <x:c r="H1610" s="14" t="str">
        <x:v>研究生宿舍楼</x:v>
      </x:c>
      <x:c r="I1610" s="14" t="str">
        <x:v>否</x:v>
      </x:c>
      <x:c r="J1610" s="14" t="n">
        <x:v>7</x:v>
      </x:c>
      <x:c r="K1610" s="14" t="str">
        <x:v>高超楼</x:v>
      </x:c>
      <x:c r="L1610" s="14" t="n">
        <x:v>9</x:v>
      </x:c>
      <x:c r="M1610" s="14" t="str">
        <x:v>09:29</x:v>
      </x:c>
      <x:c r="N1610" s="14" t="str">
        <x:v>否</x:v>
      </x:c>
      <x:c r="O1610" s="14" t="str">
        <x:v>否</x:v>
      </x:c>
      <x:c r="P1610" s="14" t="str">
        <x:v>郭海燕</x:v>
      </x:c>
      <x:c r="Q1610" s="14" t="str">
        <x:v>5号车</x:v>
      </x:c>
      <x:c r="R1610" s="14" t="str">
        <x:v>预测</x:v>
      </x:c>
      <x:c r="S1610" s="14" t="str">
        <x:v>到站时间为估算值</x:v>
      </x:c>
      <x:c r="T1610" t="str">
        <x:v>研究生宿舍楼发车</x:v>
      </x:c>
    </x:row>
    <x:row r="1611">
      <x:c r="A1611" s="14" t="str">
        <x:v>S0138-08</x:v>
      </x:c>
      <x:c r="B1611" s="14" t="str">
        <x:v>S0138</x:v>
      </x:c>
      <x:c r="C1611" s="14" t="str">
        <x:v>工作日</x:v>
      </x:c>
      <x:c r="D1611" s="14" t="str">
        <x:v>环线3路</x:v>
      </x:c>
      <x:c r="E1611" s="14" t="str">
        <x:v>第二班</x:v>
      </x:c>
      <x:c r="F1611" s="14" t="n">
        <x:v>4</x:v>
      </x:c>
      <x:c r="G1611" s="14" t="str">
        <x:v>9:20</x:v>
      </x:c>
      <x:c r="H1611" s="14" t="str">
        <x:v>研究生宿舍楼</x:v>
      </x:c>
      <x:c r="I1611" s="14" t="str">
        <x:v>否</x:v>
      </x:c>
      <x:c r="J1611" s="14" t="n">
        <x:v>8</x:v>
      </x:c>
      <x:c r="K1611" s="14" t="str">
        <x:v>理学院</x:v>
      </x:c>
      <x:c r="L1611" s="14" t="n">
        <x:v>10</x:v>
      </x:c>
      <x:c r="M1611" s="14" t="str">
        <x:v>09:30</x:v>
      </x:c>
      <x:c r="N1611" s="14" t="str">
        <x:v>否</x:v>
      </x:c>
      <x:c r="O1611" s="14" t="str">
        <x:v>否</x:v>
      </x:c>
      <x:c r="P1611" s="14" t="str">
        <x:v>郭海燕</x:v>
      </x:c>
      <x:c r="Q1611" s="14" t="str">
        <x:v>5号车</x:v>
      </x:c>
      <x:c r="R1611" s="14" t="str">
        <x:v>预测</x:v>
      </x:c>
      <x:c r="S1611" s="14" t="str">
        <x:v>到站时间为估算值</x:v>
      </x:c>
      <x:c r="T1611" t="str">
        <x:v>研究生宿舍楼发车</x:v>
      </x:c>
    </x:row>
    <x:row r="1612">
      <x:c r="A1612" s="14" t="str">
        <x:v>S0138-09</x:v>
      </x:c>
      <x:c r="B1612" s="14" t="str">
        <x:v>S0138</x:v>
      </x:c>
      <x:c r="C1612" s="14" t="str">
        <x:v>工作日</x:v>
      </x:c>
      <x:c r="D1612" s="14" t="str">
        <x:v>环线3路</x:v>
      </x:c>
      <x:c r="E1612" s="14" t="str">
        <x:v>第二班</x:v>
      </x:c>
      <x:c r="F1612" s="14" t="n">
        <x:v>4</x:v>
      </x:c>
      <x:c r="G1612" s="14" t="str">
        <x:v>9:20</x:v>
      </x:c>
      <x:c r="H1612" s="14" t="str">
        <x:v>研究生宿舍楼</x:v>
      </x:c>
      <x:c r="I1612" s="14" t="str">
        <x:v>否</x:v>
      </x:c>
      <x:c r="J1612" s="14" t="n">
        <x:v>9</x:v>
      </x:c>
      <x:c r="K1612" s="14" t="str">
        <x:v>二食堂</x:v>
      </x:c>
      <x:c r="L1612" s="14" t="n">
        <x:v>13</x:v>
      </x:c>
      <x:c r="M1612" s="14" t="str">
        <x:v>09:33</x:v>
      </x:c>
      <x:c r="N1612" s="14" t="str">
        <x:v>否</x:v>
      </x:c>
      <x:c r="O1612" s="14" t="str">
        <x:v>否</x:v>
      </x:c>
      <x:c r="P1612" s="14" t="str">
        <x:v>郭海燕</x:v>
      </x:c>
      <x:c r="Q1612" s="14" t="str">
        <x:v>5号车</x:v>
      </x:c>
      <x:c r="R1612" s="14" t="str">
        <x:v>预测</x:v>
      </x:c>
      <x:c r="S1612" s="14" t="str">
        <x:v>到站时间为估算值</x:v>
      </x:c>
      <x:c r="T1612" t="str">
        <x:v>研究生宿舍楼发车</x:v>
      </x:c>
    </x:row>
    <x:row r="1613">
      <x:c r="A1613" s="14" t="str">
        <x:v>S0138-10</x:v>
      </x:c>
      <x:c r="B1613" s="14" t="str">
        <x:v>S0138</x:v>
      </x:c>
      <x:c r="C1613" s="14" t="str">
        <x:v>工作日</x:v>
      </x:c>
      <x:c r="D1613" s="14" t="str">
        <x:v>环线3路</x:v>
      </x:c>
      <x:c r="E1613" s="14" t="str">
        <x:v>第二班</x:v>
      </x:c>
      <x:c r="F1613" s="14" t="n">
        <x:v>4</x:v>
      </x:c>
      <x:c r="G1613" s="14" t="str">
        <x:v>9:20</x:v>
      </x:c>
      <x:c r="H1613" s="14" t="str">
        <x:v>研究生宿舍楼</x:v>
      </x:c>
      <x:c r="I1613" s="14" t="str">
        <x:v>否</x:v>
      </x:c>
      <x:c r="J1613" s="14" t="n">
        <x:v>10</x:v>
      </x:c>
      <x:c r="K1613" s="14" t="str">
        <x:v>图书馆</x:v>
      </x:c>
      <x:c r="L1613" s="14" t="n">
        <x:v>14</x:v>
      </x:c>
      <x:c r="M1613" s="14" t="str">
        <x:v>09:34</x:v>
      </x:c>
      <x:c r="N1613" s="14" t="str">
        <x:v>否</x:v>
      </x:c>
      <x:c r="O1613" s="14" t="str">
        <x:v>否</x:v>
      </x:c>
      <x:c r="P1613" s="14" t="str">
        <x:v>郭海燕</x:v>
      </x:c>
      <x:c r="Q1613" s="14" t="str">
        <x:v>5号车</x:v>
      </x:c>
      <x:c r="R1613" s="14" t="str">
        <x:v>预测</x:v>
      </x:c>
      <x:c r="S1613" s="14" t="str">
        <x:v>到站时间为估算值</x:v>
      </x:c>
      <x:c r="T1613" t="str">
        <x:v>研究生宿舍楼发车</x:v>
      </x:c>
    </x:row>
    <x:row r="1614">
      <x:c r="A1614" s="14" t="str">
        <x:v>S0138-11</x:v>
      </x:c>
      <x:c r="B1614" s="14" t="str">
        <x:v>S0138</x:v>
      </x:c>
      <x:c r="C1614" s="14" t="str">
        <x:v>工作日</x:v>
      </x:c>
      <x:c r="D1614" s="14" t="str">
        <x:v>环线3路</x:v>
      </x:c>
      <x:c r="E1614" s="14" t="str">
        <x:v>第二班</x:v>
      </x:c>
      <x:c r="F1614" s="14" t="n">
        <x:v>4</x:v>
      </x:c>
      <x:c r="G1614" s="14" t="str">
        <x:v>9:20</x:v>
      </x:c>
      <x:c r="H1614" s="14" t="str">
        <x:v>研究生宿舍楼</x:v>
      </x:c>
      <x:c r="I1614" s="14" t="str">
        <x:v>否</x:v>
      </x:c>
      <x:c r="J1614" s="14" t="n">
        <x:v>11</x:v>
      </x:c>
      <x:c r="K1614" s="14" t="str">
        <x:v>305教学楼</x:v>
      </x:c>
      <x:c r="L1614" s="14" t="n">
        <x:v>16</x:v>
      </x:c>
      <x:c r="M1614" s="14" t="str">
        <x:v>09:36</x:v>
      </x:c>
      <x:c r="N1614" s="14" t="str">
        <x:v>否</x:v>
      </x:c>
      <x:c r="O1614" s="14" t="str">
        <x:v>否</x:v>
      </x:c>
      <x:c r="P1614" s="14" t="str">
        <x:v>郭海燕</x:v>
      </x:c>
      <x:c r="Q1614" s="14" t="str">
        <x:v>5号车</x:v>
      </x:c>
      <x:c r="R1614" s="14" t="str">
        <x:v>预测</x:v>
      </x:c>
      <x:c r="S1614" s="14" t="str">
        <x:v>到站时间为估算值</x:v>
      </x:c>
      <x:c r="T1614" t="str">
        <x:v>研究生宿舍楼发车</x:v>
      </x:c>
    </x:row>
    <x:row r="1615">
      <x:c r="A1615" s="14" t="str">
        <x:v>S0138-12</x:v>
      </x:c>
      <x:c r="B1615" s="14" t="str">
        <x:v>S0138</x:v>
      </x:c>
      <x:c r="C1615" s="14" t="str">
        <x:v>工作日</x:v>
      </x:c>
      <x:c r="D1615" s="14" t="str">
        <x:v>环线3路</x:v>
      </x:c>
      <x:c r="E1615" s="14" t="str">
        <x:v>第二班</x:v>
      </x:c>
      <x:c r="F1615" s="14" t="n">
        <x:v>4</x:v>
      </x:c>
      <x:c r="G1615" s="14" t="str">
        <x:v>9:20</x:v>
      </x:c>
      <x:c r="H1615" s="14" t="str">
        <x:v>研究生宿舍楼</x:v>
      </x:c>
      <x:c r="I1615" s="14" t="str">
        <x:v>否</x:v>
      </x:c>
      <x:c r="J1615" s="14" t="n">
        <x:v>12</x:v>
      </x:c>
      <x:c r="K1615" s="14" t="str">
        <x:v>研究生宿舍楼</x:v>
      </x:c>
      <x:c r="L1615" s="14" t="n">
        <x:v>18</x:v>
      </x:c>
      <x:c r="M1615" s="14" t="str">
        <x:v>09:38</x:v>
      </x:c>
      <x:c r="N1615" s="14" t="str">
        <x:v>否</x:v>
      </x:c>
      <x:c r="O1615" s="14" t="str">
        <x:v>是</x:v>
      </x:c>
      <x:c r="P1615" s="14" t="str">
        <x:v>郭海燕</x:v>
      </x:c>
      <x:c r="Q1615" s="14" t="str">
        <x:v>5号车</x:v>
      </x:c>
      <x:c r="R1615" s="14" t="str">
        <x:v>预测</x:v>
      </x:c>
      <x:c r="S1615" s="14" t="str">
        <x:v>到站时间为估算值</x:v>
      </x:c>
      <x:c r="T1615" t="str">
        <x:v>研究生宿舍楼发车</x:v>
      </x:c>
    </x:row>
    <x:row r="1616">
      <x:c r="A1616" s="14" t="str">
        <x:v>S0139-01</x:v>
      </x:c>
      <x:c r="B1616" s="14" t="str">
        <x:v>S0139</x:v>
      </x:c>
      <x:c r="C1616" s="14" t="str">
        <x:v>工作日</x:v>
      </x:c>
      <x:c r="D1616" s="14" t="str">
        <x:v>环线3路</x:v>
      </x:c>
      <x:c r="E1616" s="14" t="str">
        <x:v>第二班</x:v>
      </x:c>
      <x:c r="F1616" s="14" t="n">
        <x:v>5</x:v>
      </x:c>
      <x:c r="G1616" s="14" t="str">
        <x:v>9:50</x:v>
      </x:c>
      <x:c r="H1616" s="14" t="str">
        <x:v>研究生宿舍楼</x:v>
      </x:c>
      <x:c r="I1616" s="14" t="str">
        <x:v>否</x:v>
      </x:c>
      <x:c r="J1616" s="14" t="n">
        <x:v>1</x:v>
      </x:c>
      <x:c r="K1616" s="14" t="str">
        <x:v>研究生宿舍楼</x:v>
      </x:c>
      <x:c r="L1616" s="14" t="n">
        <x:v>0</x:v>
      </x:c>
      <x:c r="M1616" s="14" t="str">
        <x:v>09:50</x:v>
      </x:c>
      <x:c r="N1616" s="14" t="str">
        <x:v>是</x:v>
      </x:c>
      <x:c r="O1616" s="14" t="str">
        <x:v>否</x:v>
      </x:c>
      <x:c r="P1616" s="14" t="str">
        <x:v>郭海燕</x:v>
      </x:c>
      <x:c r="Q1616" s="14" t="str">
        <x:v>5号车</x:v>
      </x:c>
      <x:c r="R1616" s="14" t="str">
        <x:v>预测</x:v>
      </x:c>
      <x:c r="S1616" s="14" t="str">
        <x:v>到站时间为估算值</x:v>
      </x:c>
      <x:c r="T1616" t="str">
        <x:v>研究生宿舍楼发车</x:v>
      </x:c>
    </x:row>
    <x:row r="1617">
      <x:c r="A1617" s="14" t="str">
        <x:v>S0139-02</x:v>
      </x:c>
      <x:c r="B1617" s="14" t="str">
        <x:v>S0139</x:v>
      </x:c>
      <x:c r="C1617" s="14" t="str">
        <x:v>工作日</x:v>
      </x:c>
      <x:c r="D1617" s="14" t="str">
        <x:v>环线3路</x:v>
      </x:c>
      <x:c r="E1617" s="14" t="str">
        <x:v>第二班</x:v>
      </x:c>
      <x:c r="F1617" s="14" t="n">
        <x:v>5</x:v>
      </x:c>
      <x:c r="G1617" s="14" t="str">
        <x:v>9:50</x:v>
      </x:c>
      <x:c r="H1617" s="14" t="str">
        <x:v>研究生宿舍楼</x:v>
      </x:c>
      <x:c r="I1617" s="14" t="str">
        <x:v>否</x:v>
      </x:c>
      <x:c r="J1617" s="14" t="n">
        <x:v>2</x:v>
      </x:c>
      <x:c r="K1617" s="14" t="str">
        <x:v>一食堂</x:v>
      </x:c>
      <x:c r="L1617" s="14" t="n">
        <x:v>1</x:v>
      </x:c>
      <x:c r="M1617" s="14" t="str">
        <x:v>09:51</x:v>
      </x:c>
      <x:c r="N1617" s="14" t="str">
        <x:v>否</x:v>
      </x:c>
      <x:c r="O1617" s="14" t="str">
        <x:v>否</x:v>
      </x:c>
      <x:c r="P1617" s="14" t="str">
        <x:v>郭海燕</x:v>
      </x:c>
      <x:c r="Q1617" s="14" t="str">
        <x:v>5号车</x:v>
      </x:c>
      <x:c r="R1617" s="14" t="str">
        <x:v>预测</x:v>
      </x:c>
      <x:c r="S1617" s="14" t="str">
        <x:v>到站时间为估算值</x:v>
      </x:c>
      <x:c r="T1617" t="str">
        <x:v>研究生宿舍楼发车</x:v>
      </x:c>
    </x:row>
    <x:row r="1618">
      <x:c r="A1618" s="14" t="str">
        <x:v>S0139-03</x:v>
      </x:c>
      <x:c r="B1618" s="14" t="str">
        <x:v>S0139</x:v>
      </x:c>
      <x:c r="C1618" s="14" t="str">
        <x:v>工作日</x:v>
      </x:c>
      <x:c r="D1618" s="14" t="str">
        <x:v>环线3路</x:v>
      </x:c>
      <x:c r="E1618" s="14" t="str">
        <x:v>第二班</x:v>
      </x:c>
      <x:c r="F1618" s="14" t="n">
        <x:v>5</x:v>
      </x:c>
      <x:c r="G1618" s="14" t="str">
        <x:v>9:50</x:v>
      </x:c>
      <x:c r="H1618" s="14" t="str">
        <x:v>研究生宿舍楼</x:v>
      </x:c>
      <x:c r="I1618" s="14" t="str">
        <x:v>否</x:v>
      </x:c>
      <x:c r="J1618" s="14" t="n">
        <x:v>3</x:v>
      </x:c>
      <x:c r="K1618" s="14" t="str">
        <x:v>2号宿舍楼</x:v>
      </x:c>
      <x:c r="L1618" s="14" t="n">
        <x:v>3</x:v>
      </x:c>
      <x:c r="M1618" s="14" t="str">
        <x:v>09:53</x:v>
      </x:c>
      <x:c r="N1618" s="14" t="str">
        <x:v>否</x:v>
      </x:c>
      <x:c r="O1618" s="14" t="str">
        <x:v>否</x:v>
      </x:c>
      <x:c r="P1618" s="14" t="str">
        <x:v>郭海燕</x:v>
      </x:c>
      <x:c r="Q1618" s="14" t="str">
        <x:v>5号车</x:v>
      </x:c>
      <x:c r="R1618" s="14" t="str">
        <x:v>预测</x:v>
      </x:c>
      <x:c r="S1618" s="14" t="str">
        <x:v>到站时间为估算值</x:v>
      </x:c>
      <x:c r="T1618" t="str">
        <x:v>研究生宿舍楼发车</x:v>
      </x:c>
    </x:row>
    <x:row r="1619">
      <x:c r="A1619" s="14" t="str">
        <x:v>S0139-04</x:v>
      </x:c>
      <x:c r="B1619" s="14" t="str">
        <x:v>S0139</x:v>
      </x:c>
      <x:c r="C1619" s="14" t="str">
        <x:v>工作日</x:v>
      </x:c>
      <x:c r="D1619" s="14" t="str">
        <x:v>环线3路</x:v>
      </x:c>
      <x:c r="E1619" s="14" t="str">
        <x:v>第二班</x:v>
      </x:c>
      <x:c r="F1619" s="14" t="n">
        <x:v>5</x:v>
      </x:c>
      <x:c r="G1619" s="14" t="str">
        <x:v>9:50</x:v>
      </x:c>
      <x:c r="H1619" s="14" t="str">
        <x:v>研究生宿舍楼</x:v>
      </x:c>
      <x:c r="I1619" s="14" t="str">
        <x:v>否</x:v>
      </x:c>
      <x:c r="J1619" s="14" t="n">
        <x:v>4</x:v>
      </x:c>
      <x:c r="K1619" s="14" t="str">
        <x:v>军体活动中心</x:v>
      </x:c>
      <x:c r="L1619" s="14" t="n">
        <x:v>4</x:v>
      </x:c>
      <x:c r="M1619" s="14" t="str">
        <x:v>09:54</x:v>
      </x:c>
      <x:c r="N1619" s="14" t="str">
        <x:v>否</x:v>
      </x:c>
      <x:c r="O1619" s="14" t="str">
        <x:v>否</x:v>
      </x:c>
      <x:c r="P1619" s="14" t="str">
        <x:v>郭海燕</x:v>
      </x:c>
      <x:c r="Q1619" s="14" t="str">
        <x:v>5号车</x:v>
      </x:c>
      <x:c r="R1619" s="14" t="str">
        <x:v>预测</x:v>
      </x:c>
      <x:c r="S1619" s="14" t="str">
        <x:v>到站时间为估算值</x:v>
      </x:c>
      <x:c r="T1619" t="str">
        <x:v>研究生宿舍楼发车</x:v>
      </x:c>
    </x:row>
    <x:row r="1620">
      <x:c r="A1620" s="14" t="str">
        <x:v>S0139-05</x:v>
      </x:c>
      <x:c r="B1620" s="14" t="str">
        <x:v>S0139</x:v>
      </x:c>
      <x:c r="C1620" s="14" t="str">
        <x:v>工作日</x:v>
      </x:c>
      <x:c r="D1620" s="14" t="str">
        <x:v>环线3路</x:v>
      </x:c>
      <x:c r="E1620" s="14" t="str">
        <x:v>第二班</x:v>
      </x:c>
      <x:c r="F1620" s="14" t="n">
        <x:v>5</x:v>
      </x:c>
      <x:c r="G1620" s="14" t="str">
        <x:v>9:50</x:v>
      </x:c>
      <x:c r="H1620" s="14" t="str">
        <x:v>研究生宿舍楼</x:v>
      </x:c>
      <x:c r="I1620" s="14" t="str">
        <x:v>否</x:v>
      </x:c>
      <x:c r="J1620" s="14" t="n">
        <x:v>5</x:v>
      </x:c>
      <x:c r="K1620" s="14" t="str">
        <x:v>教勤连</x:v>
      </x:c>
      <x:c r="L1620" s="14" t="n">
        <x:v>6</x:v>
      </x:c>
      <x:c r="M1620" s="14" t="str">
        <x:v>09:56</x:v>
      </x:c>
      <x:c r="N1620" s="14" t="str">
        <x:v>否</x:v>
      </x:c>
      <x:c r="O1620" s="14" t="str">
        <x:v>否</x:v>
      </x:c>
      <x:c r="P1620" s="14" t="str">
        <x:v>郭海燕</x:v>
      </x:c>
      <x:c r="Q1620" s="14" t="str">
        <x:v>5号车</x:v>
      </x:c>
      <x:c r="R1620" s="14" t="str">
        <x:v>预测</x:v>
      </x:c>
      <x:c r="S1620" s="14" t="str">
        <x:v>到站时间为估算值</x:v>
      </x:c>
      <x:c r="T1620" t="str">
        <x:v>研究生宿舍楼发车</x:v>
      </x:c>
    </x:row>
    <x:row r="1621">
      <x:c r="A1621" s="14" t="str">
        <x:v>S0139-06</x:v>
      </x:c>
      <x:c r="B1621" s="14" t="str">
        <x:v>S0139</x:v>
      </x:c>
      <x:c r="C1621" s="14" t="str">
        <x:v>工作日</x:v>
      </x:c>
      <x:c r="D1621" s="14" t="str">
        <x:v>环线3路</x:v>
      </x:c>
      <x:c r="E1621" s="14" t="str">
        <x:v>第二班</x:v>
      </x:c>
      <x:c r="F1621" s="14" t="n">
        <x:v>5</x:v>
      </x:c>
      <x:c r="G1621" s="14" t="str">
        <x:v>9:50</x:v>
      </x:c>
      <x:c r="H1621" s="14" t="str">
        <x:v>研究生宿舍楼</x:v>
      </x:c>
      <x:c r="I1621" s="14" t="str">
        <x:v>否</x:v>
      </x:c>
      <x:c r="J1621" s="14" t="n">
        <x:v>6</x:v>
      </x:c>
      <x:c r="K1621" s="14" t="str">
        <x:v>激光所</x:v>
      </x:c>
      <x:c r="L1621" s="14" t="n">
        <x:v>7</x:v>
      </x:c>
      <x:c r="M1621" s="14" t="str">
        <x:v>09:57</x:v>
      </x:c>
      <x:c r="N1621" s="14" t="str">
        <x:v>否</x:v>
      </x:c>
      <x:c r="O1621" s="14" t="str">
        <x:v>否</x:v>
      </x:c>
      <x:c r="P1621" s="14" t="str">
        <x:v>郭海燕</x:v>
      </x:c>
      <x:c r="Q1621" s="14" t="str">
        <x:v>5号车</x:v>
      </x:c>
      <x:c r="R1621" s="14" t="str">
        <x:v>预测</x:v>
      </x:c>
      <x:c r="S1621" s="14" t="str">
        <x:v>到站时间为估算值</x:v>
      </x:c>
      <x:c r="T1621" t="str">
        <x:v>研究生宿舍楼发车</x:v>
      </x:c>
    </x:row>
    <x:row r="1622">
      <x:c r="A1622" s="14" t="str">
        <x:v>S0139-07</x:v>
      </x:c>
      <x:c r="B1622" s="14" t="str">
        <x:v>S0139</x:v>
      </x:c>
      <x:c r="C1622" s="14" t="str">
        <x:v>工作日</x:v>
      </x:c>
      <x:c r="D1622" s="14" t="str">
        <x:v>环线3路</x:v>
      </x:c>
      <x:c r="E1622" s="14" t="str">
        <x:v>第二班</x:v>
      </x:c>
      <x:c r="F1622" s="14" t="n">
        <x:v>5</x:v>
      </x:c>
      <x:c r="G1622" s="14" t="str">
        <x:v>9:50</x:v>
      </x:c>
      <x:c r="H1622" s="14" t="str">
        <x:v>研究生宿舍楼</x:v>
      </x:c>
      <x:c r="I1622" s="14" t="str">
        <x:v>否</x:v>
      </x:c>
      <x:c r="J1622" s="14" t="n">
        <x:v>7</x:v>
      </x:c>
      <x:c r="K1622" s="14" t="str">
        <x:v>高超楼</x:v>
      </x:c>
      <x:c r="L1622" s="14" t="n">
        <x:v>9</x:v>
      </x:c>
      <x:c r="M1622" s="14" t="str">
        <x:v>09:59</x:v>
      </x:c>
      <x:c r="N1622" s="14" t="str">
        <x:v>否</x:v>
      </x:c>
      <x:c r="O1622" s="14" t="str">
        <x:v>否</x:v>
      </x:c>
      <x:c r="P1622" s="14" t="str">
        <x:v>郭海燕</x:v>
      </x:c>
      <x:c r="Q1622" s="14" t="str">
        <x:v>5号车</x:v>
      </x:c>
      <x:c r="R1622" s="14" t="str">
        <x:v>预测</x:v>
      </x:c>
      <x:c r="S1622" s="14" t="str">
        <x:v>到站时间为估算值</x:v>
      </x:c>
      <x:c r="T1622" t="str">
        <x:v>研究生宿舍楼发车</x:v>
      </x:c>
    </x:row>
    <x:row r="1623">
      <x:c r="A1623" s="14" t="str">
        <x:v>S0139-08</x:v>
      </x:c>
      <x:c r="B1623" s="14" t="str">
        <x:v>S0139</x:v>
      </x:c>
      <x:c r="C1623" s="14" t="str">
        <x:v>工作日</x:v>
      </x:c>
      <x:c r="D1623" s="14" t="str">
        <x:v>环线3路</x:v>
      </x:c>
      <x:c r="E1623" s="14" t="str">
        <x:v>第二班</x:v>
      </x:c>
      <x:c r="F1623" s="14" t="n">
        <x:v>5</x:v>
      </x:c>
      <x:c r="G1623" s="14" t="str">
        <x:v>9:50</x:v>
      </x:c>
      <x:c r="H1623" s="14" t="str">
        <x:v>研究生宿舍楼</x:v>
      </x:c>
      <x:c r="I1623" s="14" t="str">
        <x:v>否</x:v>
      </x:c>
      <x:c r="J1623" s="14" t="n">
        <x:v>8</x:v>
      </x:c>
      <x:c r="K1623" s="14" t="str">
        <x:v>理学院</x:v>
      </x:c>
      <x:c r="L1623" s="14" t="n">
        <x:v>10</x:v>
      </x:c>
      <x:c r="M1623" s="14" t="str">
        <x:v>10:00</x:v>
      </x:c>
      <x:c r="N1623" s="14" t="str">
        <x:v>否</x:v>
      </x:c>
      <x:c r="O1623" s="14" t="str">
        <x:v>否</x:v>
      </x:c>
      <x:c r="P1623" s="14" t="str">
        <x:v>郭海燕</x:v>
      </x:c>
      <x:c r="Q1623" s="14" t="str">
        <x:v>5号车</x:v>
      </x:c>
      <x:c r="R1623" s="14" t="str">
        <x:v>预测</x:v>
      </x:c>
      <x:c r="S1623" s="14" t="str">
        <x:v>到站时间为估算值</x:v>
      </x:c>
      <x:c r="T1623" t="str">
        <x:v>研究生宿舍楼发车</x:v>
      </x:c>
    </x:row>
    <x:row r="1624">
      <x:c r="A1624" s="14" t="str">
        <x:v>S0139-09</x:v>
      </x:c>
      <x:c r="B1624" s="14" t="str">
        <x:v>S0139</x:v>
      </x:c>
      <x:c r="C1624" s="14" t="str">
        <x:v>工作日</x:v>
      </x:c>
      <x:c r="D1624" s="14" t="str">
        <x:v>环线3路</x:v>
      </x:c>
      <x:c r="E1624" s="14" t="str">
        <x:v>第二班</x:v>
      </x:c>
      <x:c r="F1624" s="14" t="n">
        <x:v>5</x:v>
      </x:c>
      <x:c r="G1624" s="14" t="str">
        <x:v>9:50</x:v>
      </x:c>
      <x:c r="H1624" s="14" t="str">
        <x:v>研究生宿舍楼</x:v>
      </x:c>
      <x:c r="I1624" s="14" t="str">
        <x:v>否</x:v>
      </x:c>
      <x:c r="J1624" s="14" t="n">
        <x:v>9</x:v>
      </x:c>
      <x:c r="K1624" s="14" t="str">
        <x:v>二食堂</x:v>
      </x:c>
      <x:c r="L1624" s="14" t="n">
        <x:v>13</x:v>
      </x:c>
      <x:c r="M1624" s="14" t="str">
        <x:v>10:03</x:v>
      </x:c>
      <x:c r="N1624" s="14" t="str">
        <x:v>否</x:v>
      </x:c>
      <x:c r="O1624" s="14" t="str">
        <x:v>否</x:v>
      </x:c>
      <x:c r="P1624" s="14" t="str">
        <x:v>郭海燕</x:v>
      </x:c>
      <x:c r="Q1624" s="14" t="str">
        <x:v>5号车</x:v>
      </x:c>
      <x:c r="R1624" s="14" t="str">
        <x:v>预测</x:v>
      </x:c>
      <x:c r="S1624" s="14" t="str">
        <x:v>到站时间为估算值</x:v>
      </x:c>
      <x:c r="T1624" t="str">
        <x:v>研究生宿舍楼发车</x:v>
      </x:c>
    </x:row>
    <x:row r="1625">
      <x:c r="A1625" s="14" t="str">
        <x:v>S0139-10</x:v>
      </x:c>
      <x:c r="B1625" s="14" t="str">
        <x:v>S0139</x:v>
      </x:c>
      <x:c r="C1625" s="14" t="str">
        <x:v>工作日</x:v>
      </x:c>
      <x:c r="D1625" s="14" t="str">
        <x:v>环线3路</x:v>
      </x:c>
      <x:c r="E1625" s="14" t="str">
        <x:v>第二班</x:v>
      </x:c>
      <x:c r="F1625" s="14" t="n">
        <x:v>5</x:v>
      </x:c>
      <x:c r="G1625" s="14" t="str">
        <x:v>9:50</x:v>
      </x:c>
      <x:c r="H1625" s="14" t="str">
        <x:v>研究生宿舍楼</x:v>
      </x:c>
      <x:c r="I1625" s="14" t="str">
        <x:v>否</x:v>
      </x:c>
      <x:c r="J1625" s="14" t="n">
        <x:v>10</x:v>
      </x:c>
      <x:c r="K1625" s="14" t="str">
        <x:v>图书馆</x:v>
      </x:c>
      <x:c r="L1625" s="14" t="n">
        <x:v>14</x:v>
      </x:c>
      <x:c r="M1625" s="14" t="str">
        <x:v>10:04</x:v>
      </x:c>
      <x:c r="N1625" s="14" t="str">
        <x:v>否</x:v>
      </x:c>
      <x:c r="O1625" s="14" t="str">
        <x:v>否</x:v>
      </x:c>
      <x:c r="P1625" s="14" t="str">
        <x:v>郭海燕</x:v>
      </x:c>
      <x:c r="Q1625" s="14" t="str">
        <x:v>5号车</x:v>
      </x:c>
      <x:c r="R1625" s="14" t="str">
        <x:v>预测</x:v>
      </x:c>
      <x:c r="S1625" s="14" t="str">
        <x:v>到站时间为估算值</x:v>
      </x:c>
      <x:c r="T1625" t="str">
        <x:v>研究生宿舍楼发车</x:v>
      </x:c>
    </x:row>
    <x:row r="1626">
      <x:c r="A1626" s="14" t="str">
        <x:v>S0139-11</x:v>
      </x:c>
      <x:c r="B1626" s="14" t="str">
        <x:v>S0139</x:v>
      </x:c>
      <x:c r="C1626" s="14" t="str">
        <x:v>工作日</x:v>
      </x:c>
      <x:c r="D1626" s="14" t="str">
        <x:v>环线3路</x:v>
      </x:c>
      <x:c r="E1626" s="14" t="str">
        <x:v>第二班</x:v>
      </x:c>
      <x:c r="F1626" s="14" t="n">
        <x:v>5</x:v>
      </x:c>
      <x:c r="G1626" s="14" t="str">
        <x:v>9:50</x:v>
      </x:c>
      <x:c r="H1626" s="14" t="str">
        <x:v>研究生宿舍楼</x:v>
      </x:c>
      <x:c r="I1626" s="14" t="str">
        <x:v>否</x:v>
      </x:c>
      <x:c r="J1626" s="14" t="n">
        <x:v>11</x:v>
      </x:c>
      <x:c r="K1626" s="14" t="str">
        <x:v>305教学楼</x:v>
      </x:c>
      <x:c r="L1626" s="14" t="n">
        <x:v>16</x:v>
      </x:c>
      <x:c r="M1626" s="14" t="str">
        <x:v>10:06</x:v>
      </x:c>
      <x:c r="N1626" s="14" t="str">
        <x:v>否</x:v>
      </x:c>
      <x:c r="O1626" s="14" t="str">
        <x:v>否</x:v>
      </x:c>
      <x:c r="P1626" s="14" t="str">
        <x:v>郭海燕</x:v>
      </x:c>
      <x:c r="Q1626" s="14" t="str">
        <x:v>5号车</x:v>
      </x:c>
      <x:c r="R1626" s="14" t="str">
        <x:v>预测</x:v>
      </x:c>
      <x:c r="S1626" s="14" t="str">
        <x:v>到站时间为估算值</x:v>
      </x:c>
      <x:c r="T1626" t="str">
        <x:v>研究生宿舍楼发车</x:v>
      </x:c>
    </x:row>
    <x:row r="1627">
      <x:c r="A1627" s="14" t="str">
        <x:v>S0139-12</x:v>
      </x:c>
      <x:c r="B1627" s="14" t="str">
        <x:v>S0139</x:v>
      </x:c>
      <x:c r="C1627" s="14" t="str">
        <x:v>工作日</x:v>
      </x:c>
      <x:c r="D1627" s="14" t="str">
        <x:v>环线3路</x:v>
      </x:c>
      <x:c r="E1627" s="14" t="str">
        <x:v>第二班</x:v>
      </x:c>
      <x:c r="F1627" s="14" t="n">
        <x:v>5</x:v>
      </x:c>
      <x:c r="G1627" s="14" t="str">
        <x:v>9:50</x:v>
      </x:c>
      <x:c r="H1627" s="14" t="str">
        <x:v>研究生宿舍楼</x:v>
      </x:c>
      <x:c r="I1627" s="14" t="str">
        <x:v>否</x:v>
      </x:c>
      <x:c r="J1627" s="14" t="n">
        <x:v>12</x:v>
      </x:c>
      <x:c r="K1627" s="14" t="str">
        <x:v>研究生宿舍楼</x:v>
      </x:c>
      <x:c r="L1627" s="14" t="n">
        <x:v>18</x:v>
      </x:c>
      <x:c r="M1627" s="14" t="str">
        <x:v>10:08</x:v>
      </x:c>
      <x:c r="N1627" s="14" t="str">
        <x:v>否</x:v>
      </x:c>
      <x:c r="O1627" s="14" t="str">
        <x:v>是</x:v>
      </x:c>
      <x:c r="P1627" s="14" t="str">
        <x:v>郭海燕</x:v>
      </x:c>
      <x:c r="Q1627" s="14" t="str">
        <x:v>5号车</x:v>
      </x:c>
      <x:c r="R1627" s="14" t="str">
        <x:v>预测</x:v>
      </x:c>
      <x:c r="S1627" s="14" t="str">
        <x:v>到站时间为估算值</x:v>
      </x:c>
      <x:c r="T1627" t="str">
        <x:v>研究生宿舍楼发车</x:v>
      </x:c>
    </x:row>
    <x:row r="1628">
      <x:c r="A1628" s="14" t="str">
        <x:v>S0140-01</x:v>
      </x:c>
      <x:c r="B1628" s="14" t="str">
        <x:v>S0140</x:v>
      </x:c>
      <x:c r="C1628" s="14" t="str">
        <x:v>工作日</x:v>
      </x:c>
      <x:c r="D1628" s="14" t="str">
        <x:v>环线3路</x:v>
      </x:c>
      <x:c r="E1628" s="14" t="str">
        <x:v>第二班</x:v>
      </x:c>
      <x:c r="F1628" s="14" t="n">
        <x:v>6</x:v>
      </x:c>
      <x:c r="G1628" s="14" t="str">
        <x:v>10:30</x:v>
      </x:c>
      <x:c r="H1628" s="14" t="str">
        <x:v>研究生宿舍楼</x:v>
      </x:c>
      <x:c r="I1628" s="14" t="str">
        <x:v>否</x:v>
      </x:c>
      <x:c r="J1628" s="14" t="n">
        <x:v>1</x:v>
      </x:c>
      <x:c r="K1628" s="14" t="str">
        <x:v>研究生宿舍楼</x:v>
      </x:c>
      <x:c r="L1628" s="14" t="n">
        <x:v>0</x:v>
      </x:c>
      <x:c r="M1628" s="14" t="str">
        <x:v>10:30</x:v>
      </x:c>
      <x:c r="N1628" s="14" t="str">
        <x:v>是</x:v>
      </x:c>
      <x:c r="O1628" s="14" t="str">
        <x:v>否</x:v>
      </x:c>
      <x:c r="P1628" s="14" t="str">
        <x:v>郭海燕</x:v>
      </x:c>
      <x:c r="Q1628" s="14" t="str">
        <x:v>5号车</x:v>
      </x:c>
      <x:c r="R1628" s="14" t="str">
        <x:v>预测</x:v>
      </x:c>
      <x:c r="S1628" s="14" t="str">
        <x:v>到站时间为估算值</x:v>
      </x:c>
      <x:c r="T1628" t="str">
        <x:v>研究生宿舍楼发车</x:v>
      </x:c>
    </x:row>
    <x:row r="1629">
      <x:c r="A1629" s="14" t="str">
        <x:v>S0140-02</x:v>
      </x:c>
      <x:c r="B1629" s="14" t="str">
        <x:v>S0140</x:v>
      </x:c>
      <x:c r="C1629" s="14" t="str">
        <x:v>工作日</x:v>
      </x:c>
      <x:c r="D1629" s="14" t="str">
        <x:v>环线3路</x:v>
      </x:c>
      <x:c r="E1629" s="14" t="str">
        <x:v>第二班</x:v>
      </x:c>
      <x:c r="F1629" s="14" t="n">
        <x:v>6</x:v>
      </x:c>
      <x:c r="G1629" s="14" t="str">
        <x:v>10:30</x:v>
      </x:c>
      <x:c r="H1629" s="14" t="str">
        <x:v>研究生宿舍楼</x:v>
      </x:c>
      <x:c r="I1629" s="14" t="str">
        <x:v>否</x:v>
      </x:c>
      <x:c r="J1629" s="14" t="n">
        <x:v>2</x:v>
      </x:c>
      <x:c r="K1629" s="14" t="str">
        <x:v>一食堂</x:v>
      </x:c>
      <x:c r="L1629" s="14" t="n">
        <x:v>1</x:v>
      </x:c>
      <x:c r="M1629" s="14" t="str">
        <x:v>10:31</x:v>
      </x:c>
      <x:c r="N1629" s="14" t="str">
        <x:v>否</x:v>
      </x:c>
      <x:c r="O1629" s="14" t="str">
        <x:v>否</x:v>
      </x:c>
      <x:c r="P1629" s="14" t="str">
        <x:v>郭海燕</x:v>
      </x:c>
      <x:c r="Q1629" s="14" t="str">
        <x:v>5号车</x:v>
      </x:c>
      <x:c r="R1629" s="14" t="str">
        <x:v>预测</x:v>
      </x:c>
      <x:c r="S1629" s="14" t="str">
        <x:v>到站时间为估算值</x:v>
      </x:c>
      <x:c r="T1629" t="str">
        <x:v>研究生宿舍楼发车</x:v>
      </x:c>
    </x:row>
    <x:row r="1630">
      <x:c r="A1630" s="14" t="str">
        <x:v>S0140-03</x:v>
      </x:c>
      <x:c r="B1630" s="14" t="str">
        <x:v>S0140</x:v>
      </x:c>
      <x:c r="C1630" s="14" t="str">
        <x:v>工作日</x:v>
      </x:c>
      <x:c r="D1630" s="14" t="str">
        <x:v>环线3路</x:v>
      </x:c>
      <x:c r="E1630" s="14" t="str">
        <x:v>第二班</x:v>
      </x:c>
      <x:c r="F1630" s="14" t="n">
        <x:v>6</x:v>
      </x:c>
      <x:c r="G1630" s="14" t="str">
        <x:v>10:30</x:v>
      </x:c>
      <x:c r="H1630" s="14" t="str">
        <x:v>研究生宿舍楼</x:v>
      </x:c>
      <x:c r="I1630" s="14" t="str">
        <x:v>否</x:v>
      </x:c>
      <x:c r="J1630" s="14" t="n">
        <x:v>3</x:v>
      </x:c>
      <x:c r="K1630" s="14" t="str">
        <x:v>2号宿舍楼</x:v>
      </x:c>
      <x:c r="L1630" s="14" t="n">
        <x:v>3</x:v>
      </x:c>
      <x:c r="M1630" s="14" t="str">
        <x:v>10:33</x:v>
      </x:c>
      <x:c r="N1630" s="14" t="str">
        <x:v>否</x:v>
      </x:c>
      <x:c r="O1630" s="14" t="str">
        <x:v>否</x:v>
      </x:c>
      <x:c r="P1630" s="14" t="str">
        <x:v>郭海燕</x:v>
      </x:c>
      <x:c r="Q1630" s="14" t="str">
        <x:v>5号车</x:v>
      </x:c>
      <x:c r="R1630" s="14" t="str">
        <x:v>预测</x:v>
      </x:c>
      <x:c r="S1630" s="14" t="str">
        <x:v>到站时间为估算值</x:v>
      </x:c>
      <x:c r="T1630" t="str">
        <x:v>研究生宿舍楼发车</x:v>
      </x:c>
    </x:row>
    <x:row r="1631">
      <x:c r="A1631" s="14" t="str">
        <x:v>S0140-04</x:v>
      </x:c>
      <x:c r="B1631" s="14" t="str">
        <x:v>S0140</x:v>
      </x:c>
      <x:c r="C1631" s="14" t="str">
        <x:v>工作日</x:v>
      </x:c>
      <x:c r="D1631" s="14" t="str">
        <x:v>环线3路</x:v>
      </x:c>
      <x:c r="E1631" s="14" t="str">
        <x:v>第二班</x:v>
      </x:c>
      <x:c r="F1631" s="14" t="n">
        <x:v>6</x:v>
      </x:c>
      <x:c r="G1631" s="14" t="str">
        <x:v>10:30</x:v>
      </x:c>
      <x:c r="H1631" s="14" t="str">
        <x:v>研究生宿舍楼</x:v>
      </x:c>
      <x:c r="I1631" s="14" t="str">
        <x:v>否</x:v>
      </x:c>
      <x:c r="J1631" s="14" t="n">
        <x:v>4</x:v>
      </x:c>
      <x:c r="K1631" s="14" t="str">
        <x:v>军体活动中心</x:v>
      </x:c>
      <x:c r="L1631" s="14" t="n">
        <x:v>4</x:v>
      </x:c>
      <x:c r="M1631" s="14" t="str">
        <x:v>10:34</x:v>
      </x:c>
      <x:c r="N1631" s="14" t="str">
        <x:v>否</x:v>
      </x:c>
      <x:c r="O1631" s="14" t="str">
        <x:v>否</x:v>
      </x:c>
      <x:c r="P1631" s="14" t="str">
        <x:v>郭海燕</x:v>
      </x:c>
      <x:c r="Q1631" s="14" t="str">
        <x:v>5号车</x:v>
      </x:c>
      <x:c r="R1631" s="14" t="str">
        <x:v>预测</x:v>
      </x:c>
      <x:c r="S1631" s="14" t="str">
        <x:v>到站时间为估算值</x:v>
      </x:c>
      <x:c r="T1631" t="str">
        <x:v>研究生宿舍楼发车</x:v>
      </x:c>
    </x:row>
    <x:row r="1632">
      <x:c r="A1632" s="14" t="str">
        <x:v>S0140-05</x:v>
      </x:c>
      <x:c r="B1632" s="14" t="str">
        <x:v>S0140</x:v>
      </x:c>
      <x:c r="C1632" s="14" t="str">
        <x:v>工作日</x:v>
      </x:c>
      <x:c r="D1632" s="14" t="str">
        <x:v>环线3路</x:v>
      </x:c>
      <x:c r="E1632" s="14" t="str">
        <x:v>第二班</x:v>
      </x:c>
      <x:c r="F1632" s="14" t="n">
        <x:v>6</x:v>
      </x:c>
      <x:c r="G1632" s="14" t="str">
        <x:v>10:30</x:v>
      </x:c>
      <x:c r="H1632" s="14" t="str">
        <x:v>研究生宿舍楼</x:v>
      </x:c>
      <x:c r="I1632" s="14" t="str">
        <x:v>否</x:v>
      </x:c>
      <x:c r="J1632" s="14" t="n">
        <x:v>5</x:v>
      </x:c>
      <x:c r="K1632" s="14" t="str">
        <x:v>教勤连</x:v>
      </x:c>
      <x:c r="L1632" s="14" t="n">
        <x:v>6</x:v>
      </x:c>
      <x:c r="M1632" s="14" t="str">
        <x:v>10:36</x:v>
      </x:c>
      <x:c r="N1632" s="14" t="str">
        <x:v>否</x:v>
      </x:c>
      <x:c r="O1632" s="14" t="str">
        <x:v>否</x:v>
      </x:c>
      <x:c r="P1632" s="14" t="str">
        <x:v>郭海燕</x:v>
      </x:c>
      <x:c r="Q1632" s="14" t="str">
        <x:v>5号车</x:v>
      </x:c>
      <x:c r="R1632" s="14" t="str">
        <x:v>预测</x:v>
      </x:c>
      <x:c r="S1632" s="14" t="str">
        <x:v>到站时间为估算值</x:v>
      </x:c>
      <x:c r="T1632" t="str">
        <x:v>研究生宿舍楼发车</x:v>
      </x:c>
    </x:row>
    <x:row r="1633">
      <x:c r="A1633" s="14" t="str">
        <x:v>S0140-06</x:v>
      </x:c>
      <x:c r="B1633" s="14" t="str">
        <x:v>S0140</x:v>
      </x:c>
      <x:c r="C1633" s="14" t="str">
        <x:v>工作日</x:v>
      </x:c>
      <x:c r="D1633" s="14" t="str">
        <x:v>环线3路</x:v>
      </x:c>
      <x:c r="E1633" s="14" t="str">
        <x:v>第二班</x:v>
      </x:c>
      <x:c r="F1633" s="14" t="n">
        <x:v>6</x:v>
      </x:c>
      <x:c r="G1633" s="14" t="str">
        <x:v>10:30</x:v>
      </x:c>
      <x:c r="H1633" s="14" t="str">
        <x:v>研究生宿舍楼</x:v>
      </x:c>
      <x:c r="I1633" s="14" t="str">
        <x:v>否</x:v>
      </x:c>
      <x:c r="J1633" s="14" t="n">
        <x:v>6</x:v>
      </x:c>
      <x:c r="K1633" s="14" t="str">
        <x:v>激光所</x:v>
      </x:c>
      <x:c r="L1633" s="14" t="n">
        <x:v>7</x:v>
      </x:c>
      <x:c r="M1633" s="14" t="str">
        <x:v>10:37</x:v>
      </x:c>
      <x:c r="N1633" s="14" t="str">
        <x:v>否</x:v>
      </x:c>
      <x:c r="O1633" s="14" t="str">
        <x:v>否</x:v>
      </x:c>
      <x:c r="P1633" s="14" t="str">
        <x:v>郭海燕</x:v>
      </x:c>
      <x:c r="Q1633" s="14" t="str">
        <x:v>5号车</x:v>
      </x:c>
      <x:c r="R1633" s="14" t="str">
        <x:v>预测</x:v>
      </x:c>
      <x:c r="S1633" s="14" t="str">
        <x:v>到站时间为估算值</x:v>
      </x:c>
      <x:c r="T1633" t="str">
        <x:v>研究生宿舍楼发车</x:v>
      </x:c>
    </x:row>
    <x:row r="1634">
      <x:c r="A1634" s="14" t="str">
        <x:v>S0140-07</x:v>
      </x:c>
      <x:c r="B1634" s="14" t="str">
        <x:v>S0140</x:v>
      </x:c>
      <x:c r="C1634" s="14" t="str">
        <x:v>工作日</x:v>
      </x:c>
      <x:c r="D1634" s="14" t="str">
        <x:v>环线3路</x:v>
      </x:c>
      <x:c r="E1634" s="14" t="str">
        <x:v>第二班</x:v>
      </x:c>
      <x:c r="F1634" s="14" t="n">
        <x:v>6</x:v>
      </x:c>
      <x:c r="G1634" s="14" t="str">
        <x:v>10:30</x:v>
      </x:c>
      <x:c r="H1634" s="14" t="str">
        <x:v>研究生宿舍楼</x:v>
      </x:c>
      <x:c r="I1634" s="14" t="str">
        <x:v>否</x:v>
      </x:c>
      <x:c r="J1634" s="14" t="n">
        <x:v>7</x:v>
      </x:c>
      <x:c r="K1634" s="14" t="str">
        <x:v>高超楼</x:v>
      </x:c>
      <x:c r="L1634" s="14" t="n">
        <x:v>9</x:v>
      </x:c>
      <x:c r="M1634" s="14" t="str">
        <x:v>10:39</x:v>
      </x:c>
      <x:c r="N1634" s="14" t="str">
        <x:v>否</x:v>
      </x:c>
      <x:c r="O1634" s="14" t="str">
        <x:v>否</x:v>
      </x:c>
      <x:c r="P1634" s="14" t="str">
        <x:v>郭海燕</x:v>
      </x:c>
      <x:c r="Q1634" s="14" t="str">
        <x:v>5号车</x:v>
      </x:c>
      <x:c r="R1634" s="14" t="str">
        <x:v>预测</x:v>
      </x:c>
      <x:c r="S1634" s="14" t="str">
        <x:v>到站时间为估算值</x:v>
      </x:c>
      <x:c r="T1634" t="str">
        <x:v>研究生宿舍楼发车</x:v>
      </x:c>
    </x:row>
    <x:row r="1635">
      <x:c r="A1635" s="14" t="str">
        <x:v>S0140-08</x:v>
      </x:c>
      <x:c r="B1635" s="14" t="str">
        <x:v>S0140</x:v>
      </x:c>
      <x:c r="C1635" s="14" t="str">
        <x:v>工作日</x:v>
      </x:c>
      <x:c r="D1635" s="14" t="str">
        <x:v>环线3路</x:v>
      </x:c>
      <x:c r="E1635" s="14" t="str">
        <x:v>第二班</x:v>
      </x:c>
      <x:c r="F1635" s="14" t="n">
        <x:v>6</x:v>
      </x:c>
      <x:c r="G1635" s="14" t="str">
        <x:v>10:30</x:v>
      </x:c>
      <x:c r="H1635" s="14" t="str">
        <x:v>研究生宿舍楼</x:v>
      </x:c>
      <x:c r="I1635" s="14" t="str">
        <x:v>否</x:v>
      </x:c>
      <x:c r="J1635" s="14" t="n">
        <x:v>8</x:v>
      </x:c>
      <x:c r="K1635" s="14" t="str">
        <x:v>理学院</x:v>
      </x:c>
      <x:c r="L1635" s="14" t="n">
        <x:v>10</x:v>
      </x:c>
      <x:c r="M1635" s="14" t="str">
        <x:v>10:40</x:v>
      </x:c>
      <x:c r="N1635" s="14" t="str">
        <x:v>否</x:v>
      </x:c>
      <x:c r="O1635" s="14" t="str">
        <x:v>否</x:v>
      </x:c>
      <x:c r="P1635" s="14" t="str">
        <x:v>郭海燕</x:v>
      </x:c>
      <x:c r="Q1635" s="14" t="str">
        <x:v>5号车</x:v>
      </x:c>
      <x:c r="R1635" s="14" t="str">
        <x:v>预测</x:v>
      </x:c>
      <x:c r="S1635" s="14" t="str">
        <x:v>到站时间为估算值</x:v>
      </x:c>
      <x:c r="T1635" t="str">
        <x:v>研究生宿舍楼发车</x:v>
      </x:c>
    </x:row>
    <x:row r="1636">
      <x:c r="A1636" s="14" t="str">
        <x:v>S0140-09</x:v>
      </x:c>
      <x:c r="B1636" s="14" t="str">
        <x:v>S0140</x:v>
      </x:c>
      <x:c r="C1636" s="14" t="str">
        <x:v>工作日</x:v>
      </x:c>
      <x:c r="D1636" s="14" t="str">
        <x:v>环线3路</x:v>
      </x:c>
      <x:c r="E1636" s="14" t="str">
        <x:v>第二班</x:v>
      </x:c>
      <x:c r="F1636" s="14" t="n">
        <x:v>6</x:v>
      </x:c>
      <x:c r="G1636" s="14" t="str">
        <x:v>10:30</x:v>
      </x:c>
      <x:c r="H1636" s="14" t="str">
        <x:v>研究生宿舍楼</x:v>
      </x:c>
      <x:c r="I1636" s="14" t="str">
        <x:v>否</x:v>
      </x:c>
      <x:c r="J1636" s="14" t="n">
        <x:v>9</x:v>
      </x:c>
      <x:c r="K1636" s="14" t="str">
        <x:v>二食堂</x:v>
      </x:c>
      <x:c r="L1636" s="14" t="n">
        <x:v>13</x:v>
      </x:c>
      <x:c r="M1636" s="14" t="str">
        <x:v>10:43</x:v>
      </x:c>
      <x:c r="N1636" s="14" t="str">
        <x:v>否</x:v>
      </x:c>
      <x:c r="O1636" s="14" t="str">
        <x:v>否</x:v>
      </x:c>
      <x:c r="P1636" s="14" t="str">
        <x:v>郭海燕</x:v>
      </x:c>
      <x:c r="Q1636" s="14" t="str">
        <x:v>5号车</x:v>
      </x:c>
      <x:c r="R1636" s="14" t="str">
        <x:v>预测</x:v>
      </x:c>
      <x:c r="S1636" s="14" t="str">
        <x:v>到站时间为估算值</x:v>
      </x:c>
      <x:c r="T1636" t="str">
        <x:v>研究生宿舍楼发车</x:v>
      </x:c>
    </x:row>
    <x:row r="1637">
      <x:c r="A1637" s="14" t="str">
        <x:v>S0140-10</x:v>
      </x:c>
      <x:c r="B1637" s="14" t="str">
        <x:v>S0140</x:v>
      </x:c>
      <x:c r="C1637" s="14" t="str">
        <x:v>工作日</x:v>
      </x:c>
      <x:c r="D1637" s="14" t="str">
        <x:v>环线3路</x:v>
      </x:c>
      <x:c r="E1637" s="14" t="str">
        <x:v>第二班</x:v>
      </x:c>
      <x:c r="F1637" s="14" t="n">
        <x:v>6</x:v>
      </x:c>
      <x:c r="G1637" s="14" t="str">
        <x:v>10:30</x:v>
      </x:c>
      <x:c r="H1637" s="14" t="str">
        <x:v>研究生宿舍楼</x:v>
      </x:c>
      <x:c r="I1637" s="14" t="str">
        <x:v>否</x:v>
      </x:c>
      <x:c r="J1637" s="14" t="n">
        <x:v>10</x:v>
      </x:c>
      <x:c r="K1637" s="14" t="str">
        <x:v>图书馆</x:v>
      </x:c>
      <x:c r="L1637" s="14" t="n">
        <x:v>14</x:v>
      </x:c>
      <x:c r="M1637" s="14" t="str">
        <x:v>10:44</x:v>
      </x:c>
      <x:c r="N1637" s="14" t="str">
        <x:v>否</x:v>
      </x:c>
      <x:c r="O1637" s="14" t="str">
        <x:v>否</x:v>
      </x:c>
      <x:c r="P1637" s="14" t="str">
        <x:v>郭海燕</x:v>
      </x:c>
      <x:c r="Q1637" s="14" t="str">
        <x:v>5号车</x:v>
      </x:c>
      <x:c r="R1637" s="14" t="str">
        <x:v>预测</x:v>
      </x:c>
      <x:c r="S1637" s="14" t="str">
        <x:v>到站时间为估算值</x:v>
      </x:c>
      <x:c r="T1637" t="str">
        <x:v>研究生宿舍楼发车</x:v>
      </x:c>
    </x:row>
    <x:row r="1638">
      <x:c r="A1638" s="14" t="str">
        <x:v>S0140-11</x:v>
      </x:c>
      <x:c r="B1638" s="14" t="str">
        <x:v>S0140</x:v>
      </x:c>
      <x:c r="C1638" s="14" t="str">
        <x:v>工作日</x:v>
      </x:c>
      <x:c r="D1638" s="14" t="str">
        <x:v>环线3路</x:v>
      </x:c>
      <x:c r="E1638" s="14" t="str">
        <x:v>第二班</x:v>
      </x:c>
      <x:c r="F1638" s="14" t="n">
        <x:v>6</x:v>
      </x:c>
      <x:c r="G1638" s="14" t="str">
        <x:v>10:30</x:v>
      </x:c>
      <x:c r="H1638" s="14" t="str">
        <x:v>研究生宿舍楼</x:v>
      </x:c>
      <x:c r="I1638" s="14" t="str">
        <x:v>否</x:v>
      </x:c>
      <x:c r="J1638" s="14" t="n">
        <x:v>11</x:v>
      </x:c>
      <x:c r="K1638" s="14" t="str">
        <x:v>305教学楼</x:v>
      </x:c>
      <x:c r="L1638" s="14" t="n">
        <x:v>16</x:v>
      </x:c>
      <x:c r="M1638" s="14" t="str">
        <x:v>10:46</x:v>
      </x:c>
      <x:c r="N1638" s="14" t="str">
        <x:v>否</x:v>
      </x:c>
      <x:c r="O1638" s="14" t="str">
        <x:v>否</x:v>
      </x:c>
      <x:c r="P1638" s="14" t="str">
        <x:v>郭海燕</x:v>
      </x:c>
      <x:c r="Q1638" s="14" t="str">
        <x:v>5号车</x:v>
      </x:c>
      <x:c r="R1638" s="14" t="str">
        <x:v>预测</x:v>
      </x:c>
      <x:c r="S1638" s="14" t="str">
        <x:v>到站时间为估算值</x:v>
      </x:c>
      <x:c r="T1638" t="str">
        <x:v>研究生宿舍楼发车</x:v>
      </x:c>
    </x:row>
    <x:row r="1639">
      <x:c r="A1639" s="14" t="str">
        <x:v>S0140-12</x:v>
      </x:c>
      <x:c r="B1639" s="14" t="str">
        <x:v>S0140</x:v>
      </x:c>
      <x:c r="C1639" s="14" t="str">
        <x:v>工作日</x:v>
      </x:c>
      <x:c r="D1639" s="14" t="str">
        <x:v>环线3路</x:v>
      </x:c>
      <x:c r="E1639" s="14" t="str">
        <x:v>第二班</x:v>
      </x:c>
      <x:c r="F1639" s="14" t="n">
        <x:v>6</x:v>
      </x:c>
      <x:c r="G1639" s="14" t="str">
        <x:v>10:30</x:v>
      </x:c>
      <x:c r="H1639" s="14" t="str">
        <x:v>研究生宿舍楼</x:v>
      </x:c>
      <x:c r="I1639" s="14" t="str">
        <x:v>否</x:v>
      </x:c>
      <x:c r="J1639" s="14" t="n">
        <x:v>12</x:v>
      </x:c>
      <x:c r="K1639" s="14" t="str">
        <x:v>研究生宿舍楼</x:v>
      </x:c>
      <x:c r="L1639" s="14" t="n">
        <x:v>18</x:v>
      </x:c>
      <x:c r="M1639" s="14" t="str">
        <x:v>10:48</x:v>
      </x:c>
      <x:c r="N1639" s="14" t="str">
        <x:v>否</x:v>
      </x:c>
      <x:c r="O1639" s="14" t="str">
        <x:v>是</x:v>
      </x:c>
      <x:c r="P1639" s="14" t="str">
        <x:v>郭海燕</x:v>
      </x:c>
      <x:c r="Q1639" s="14" t="str">
        <x:v>5号车</x:v>
      </x:c>
      <x:c r="R1639" s="14" t="str">
        <x:v>预测</x:v>
      </x:c>
      <x:c r="S1639" s="14" t="str">
        <x:v>到站时间为估算值</x:v>
      </x:c>
      <x:c r="T1639" t="str">
        <x:v>研究生宿舍楼发车</x:v>
      </x:c>
    </x:row>
    <x:row r="1640">
      <x:c r="A1640" s="14" t="str">
        <x:v>S0141-01</x:v>
      </x:c>
      <x:c r="B1640" s="14" t="str">
        <x:v>S0141</x:v>
      </x:c>
      <x:c r="C1640" s="14" t="str">
        <x:v>工作日</x:v>
      </x:c>
      <x:c r="D1640" s="14" t="str">
        <x:v>环线3路</x:v>
      </x:c>
      <x:c r="E1640" s="14" t="str">
        <x:v>第二班</x:v>
      </x:c>
      <x:c r="F1640" s="14" t="n">
        <x:v>7</x:v>
      </x:c>
      <x:c r="G1640" s="14" t="str">
        <x:v>11:00</x:v>
      </x:c>
      <x:c r="H1640" s="14" t="str">
        <x:v>研究生宿舍楼</x:v>
      </x:c>
      <x:c r="I1640" s="14" t="str">
        <x:v>否</x:v>
      </x:c>
      <x:c r="J1640" s="14" t="n">
        <x:v>1</x:v>
      </x:c>
      <x:c r="K1640" s="14" t="str">
        <x:v>研究生宿舍楼</x:v>
      </x:c>
      <x:c r="L1640" s="14" t="n">
        <x:v>0</x:v>
      </x:c>
      <x:c r="M1640" s="14" t="str">
        <x:v>11:00</x:v>
      </x:c>
      <x:c r="N1640" s="14" t="str">
        <x:v>是</x:v>
      </x:c>
      <x:c r="O1640" s="14" t="str">
        <x:v>否</x:v>
      </x:c>
      <x:c r="P1640" s="14" t="str">
        <x:v>郭海燕</x:v>
      </x:c>
      <x:c r="Q1640" s="14" t="str">
        <x:v>5号车</x:v>
      </x:c>
      <x:c r="R1640" s="14" t="str">
        <x:v>预测</x:v>
      </x:c>
      <x:c r="S1640" s="14" t="str">
        <x:v>到站时间为估算值</x:v>
      </x:c>
      <x:c r="T1640" t="str">
        <x:v>研究生宿舍楼发车</x:v>
      </x:c>
    </x:row>
    <x:row r="1641">
      <x:c r="A1641" s="14" t="str">
        <x:v>S0141-02</x:v>
      </x:c>
      <x:c r="B1641" s="14" t="str">
        <x:v>S0141</x:v>
      </x:c>
      <x:c r="C1641" s="14" t="str">
        <x:v>工作日</x:v>
      </x:c>
      <x:c r="D1641" s="14" t="str">
        <x:v>环线3路</x:v>
      </x:c>
      <x:c r="E1641" s="14" t="str">
        <x:v>第二班</x:v>
      </x:c>
      <x:c r="F1641" s="14" t="n">
        <x:v>7</x:v>
      </x:c>
      <x:c r="G1641" s="14" t="str">
        <x:v>11:00</x:v>
      </x:c>
      <x:c r="H1641" s="14" t="str">
        <x:v>研究生宿舍楼</x:v>
      </x:c>
      <x:c r="I1641" s="14" t="str">
        <x:v>否</x:v>
      </x:c>
      <x:c r="J1641" s="14" t="n">
        <x:v>2</x:v>
      </x:c>
      <x:c r="K1641" s="14" t="str">
        <x:v>一食堂</x:v>
      </x:c>
      <x:c r="L1641" s="14" t="n">
        <x:v>1</x:v>
      </x:c>
      <x:c r="M1641" s="14" t="str">
        <x:v>11:01</x:v>
      </x:c>
      <x:c r="N1641" s="14" t="str">
        <x:v>否</x:v>
      </x:c>
      <x:c r="O1641" s="14" t="str">
        <x:v>否</x:v>
      </x:c>
      <x:c r="P1641" s="14" t="str">
        <x:v>郭海燕</x:v>
      </x:c>
      <x:c r="Q1641" s="14" t="str">
        <x:v>5号车</x:v>
      </x:c>
      <x:c r="R1641" s="14" t="str">
        <x:v>预测</x:v>
      </x:c>
      <x:c r="S1641" s="14" t="str">
        <x:v>到站时间为估算值</x:v>
      </x:c>
      <x:c r="T1641" t="str">
        <x:v>研究生宿舍楼发车</x:v>
      </x:c>
    </x:row>
    <x:row r="1642">
      <x:c r="A1642" s="14" t="str">
        <x:v>S0141-03</x:v>
      </x:c>
      <x:c r="B1642" s="14" t="str">
        <x:v>S0141</x:v>
      </x:c>
      <x:c r="C1642" s="14" t="str">
        <x:v>工作日</x:v>
      </x:c>
      <x:c r="D1642" s="14" t="str">
        <x:v>环线3路</x:v>
      </x:c>
      <x:c r="E1642" s="14" t="str">
        <x:v>第二班</x:v>
      </x:c>
      <x:c r="F1642" s="14" t="n">
        <x:v>7</x:v>
      </x:c>
      <x:c r="G1642" s="14" t="str">
        <x:v>11:00</x:v>
      </x:c>
      <x:c r="H1642" s="14" t="str">
        <x:v>研究生宿舍楼</x:v>
      </x:c>
      <x:c r="I1642" s="14" t="str">
        <x:v>否</x:v>
      </x:c>
      <x:c r="J1642" s="14" t="n">
        <x:v>3</x:v>
      </x:c>
      <x:c r="K1642" s="14" t="str">
        <x:v>2号宿舍楼</x:v>
      </x:c>
      <x:c r="L1642" s="14" t="n">
        <x:v>3</x:v>
      </x:c>
      <x:c r="M1642" s="14" t="str">
        <x:v>11:03</x:v>
      </x:c>
      <x:c r="N1642" s="14" t="str">
        <x:v>否</x:v>
      </x:c>
      <x:c r="O1642" s="14" t="str">
        <x:v>否</x:v>
      </x:c>
      <x:c r="P1642" s="14" t="str">
        <x:v>郭海燕</x:v>
      </x:c>
      <x:c r="Q1642" s="14" t="str">
        <x:v>5号车</x:v>
      </x:c>
      <x:c r="R1642" s="14" t="str">
        <x:v>预测</x:v>
      </x:c>
      <x:c r="S1642" s="14" t="str">
        <x:v>到站时间为估算值</x:v>
      </x:c>
      <x:c r="T1642" t="str">
        <x:v>研究生宿舍楼发车</x:v>
      </x:c>
    </x:row>
    <x:row r="1643">
      <x:c r="A1643" s="14" t="str">
        <x:v>S0141-04</x:v>
      </x:c>
      <x:c r="B1643" s="14" t="str">
        <x:v>S0141</x:v>
      </x:c>
      <x:c r="C1643" s="14" t="str">
        <x:v>工作日</x:v>
      </x:c>
      <x:c r="D1643" s="14" t="str">
        <x:v>环线3路</x:v>
      </x:c>
      <x:c r="E1643" s="14" t="str">
        <x:v>第二班</x:v>
      </x:c>
      <x:c r="F1643" s="14" t="n">
        <x:v>7</x:v>
      </x:c>
      <x:c r="G1643" s="14" t="str">
        <x:v>11:00</x:v>
      </x:c>
      <x:c r="H1643" s="14" t="str">
        <x:v>研究生宿舍楼</x:v>
      </x:c>
      <x:c r="I1643" s="14" t="str">
        <x:v>否</x:v>
      </x:c>
      <x:c r="J1643" s="14" t="n">
        <x:v>4</x:v>
      </x:c>
      <x:c r="K1643" s="14" t="str">
        <x:v>军体活动中心</x:v>
      </x:c>
      <x:c r="L1643" s="14" t="n">
        <x:v>4</x:v>
      </x:c>
      <x:c r="M1643" s="14" t="str">
        <x:v>11:04</x:v>
      </x:c>
      <x:c r="N1643" s="14" t="str">
        <x:v>否</x:v>
      </x:c>
      <x:c r="O1643" s="14" t="str">
        <x:v>否</x:v>
      </x:c>
      <x:c r="P1643" s="14" t="str">
        <x:v>郭海燕</x:v>
      </x:c>
      <x:c r="Q1643" s="14" t="str">
        <x:v>5号车</x:v>
      </x:c>
      <x:c r="R1643" s="14" t="str">
        <x:v>预测</x:v>
      </x:c>
      <x:c r="S1643" s="14" t="str">
        <x:v>到站时间为估算值</x:v>
      </x:c>
      <x:c r="T1643" t="str">
        <x:v>研究生宿舍楼发车</x:v>
      </x:c>
    </x:row>
    <x:row r="1644">
      <x:c r="A1644" s="14" t="str">
        <x:v>S0141-05</x:v>
      </x:c>
      <x:c r="B1644" s="14" t="str">
        <x:v>S0141</x:v>
      </x:c>
      <x:c r="C1644" s="14" t="str">
        <x:v>工作日</x:v>
      </x:c>
      <x:c r="D1644" s="14" t="str">
        <x:v>环线3路</x:v>
      </x:c>
      <x:c r="E1644" s="14" t="str">
        <x:v>第二班</x:v>
      </x:c>
      <x:c r="F1644" s="14" t="n">
        <x:v>7</x:v>
      </x:c>
      <x:c r="G1644" s="14" t="str">
        <x:v>11:00</x:v>
      </x:c>
      <x:c r="H1644" s="14" t="str">
        <x:v>研究生宿舍楼</x:v>
      </x:c>
      <x:c r="I1644" s="14" t="str">
        <x:v>否</x:v>
      </x:c>
      <x:c r="J1644" s="14" t="n">
        <x:v>5</x:v>
      </x:c>
      <x:c r="K1644" s="14" t="str">
        <x:v>教勤连</x:v>
      </x:c>
      <x:c r="L1644" s="14" t="n">
        <x:v>6</x:v>
      </x:c>
      <x:c r="M1644" s="14" t="str">
        <x:v>11:06</x:v>
      </x:c>
      <x:c r="N1644" s="14" t="str">
        <x:v>否</x:v>
      </x:c>
      <x:c r="O1644" s="14" t="str">
        <x:v>否</x:v>
      </x:c>
      <x:c r="P1644" s="14" t="str">
        <x:v>郭海燕</x:v>
      </x:c>
      <x:c r="Q1644" s="14" t="str">
        <x:v>5号车</x:v>
      </x:c>
      <x:c r="R1644" s="14" t="str">
        <x:v>预测</x:v>
      </x:c>
      <x:c r="S1644" s="14" t="str">
        <x:v>到站时间为估算值</x:v>
      </x:c>
      <x:c r="T1644" t="str">
        <x:v>研究生宿舍楼发车</x:v>
      </x:c>
    </x:row>
    <x:row r="1645">
      <x:c r="A1645" s="14" t="str">
        <x:v>S0141-06</x:v>
      </x:c>
      <x:c r="B1645" s="14" t="str">
        <x:v>S0141</x:v>
      </x:c>
      <x:c r="C1645" s="14" t="str">
        <x:v>工作日</x:v>
      </x:c>
      <x:c r="D1645" s="14" t="str">
        <x:v>环线3路</x:v>
      </x:c>
      <x:c r="E1645" s="14" t="str">
        <x:v>第二班</x:v>
      </x:c>
      <x:c r="F1645" s="14" t="n">
        <x:v>7</x:v>
      </x:c>
      <x:c r="G1645" s="14" t="str">
        <x:v>11:00</x:v>
      </x:c>
      <x:c r="H1645" s="14" t="str">
        <x:v>研究生宿舍楼</x:v>
      </x:c>
      <x:c r="I1645" s="14" t="str">
        <x:v>否</x:v>
      </x:c>
      <x:c r="J1645" s="14" t="n">
        <x:v>6</x:v>
      </x:c>
      <x:c r="K1645" s="14" t="str">
        <x:v>激光所</x:v>
      </x:c>
      <x:c r="L1645" s="14" t="n">
        <x:v>7</x:v>
      </x:c>
      <x:c r="M1645" s="14" t="str">
        <x:v>11:07</x:v>
      </x:c>
      <x:c r="N1645" s="14" t="str">
        <x:v>否</x:v>
      </x:c>
      <x:c r="O1645" s="14" t="str">
        <x:v>否</x:v>
      </x:c>
      <x:c r="P1645" s="14" t="str">
        <x:v>郭海燕</x:v>
      </x:c>
      <x:c r="Q1645" s="14" t="str">
        <x:v>5号车</x:v>
      </x:c>
      <x:c r="R1645" s="14" t="str">
        <x:v>预测</x:v>
      </x:c>
      <x:c r="S1645" s="14" t="str">
        <x:v>到站时间为估算值</x:v>
      </x:c>
      <x:c r="T1645" t="str">
        <x:v>研究生宿舍楼发车</x:v>
      </x:c>
    </x:row>
    <x:row r="1646">
      <x:c r="A1646" s="14" t="str">
        <x:v>S0141-07</x:v>
      </x:c>
      <x:c r="B1646" s="14" t="str">
        <x:v>S0141</x:v>
      </x:c>
      <x:c r="C1646" s="14" t="str">
        <x:v>工作日</x:v>
      </x:c>
      <x:c r="D1646" s="14" t="str">
        <x:v>环线3路</x:v>
      </x:c>
      <x:c r="E1646" s="14" t="str">
        <x:v>第二班</x:v>
      </x:c>
      <x:c r="F1646" s="14" t="n">
        <x:v>7</x:v>
      </x:c>
      <x:c r="G1646" s="14" t="str">
        <x:v>11:00</x:v>
      </x:c>
      <x:c r="H1646" s="14" t="str">
        <x:v>研究生宿舍楼</x:v>
      </x:c>
      <x:c r="I1646" s="14" t="str">
        <x:v>否</x:v>
      </x:c>
      <x:c r="J1646" s="14" t="n">
        <x:v>7</x:v>
      </x:c>
      <x:c r="K1646" s="14" t="str">
        <x:v>高超楼</x:v>
      </x:c>
      <x:c r="L1646" s="14" t="n">
        <x:v>9</x:v>
      </x:c>
      <x:c r="M1646" s="14" t="str">
        <x:v>11:09</x:v>
      </x:c>
      <x:c r="N1646" s="14" t="str">
        <x:v>否</x:v>
      </x:c>
      <x:c r="O1646" s="14" t="str">
        <x:v>否</x:v>
      </x:c>
      <x:c r="P1646" s="14" t="str">
        <x:v>郭海燕</x:v>
      </x:c>
      <x:c r="Q1646" s="14" t="str">
        <x:v>5号车</x:v>
      </x:c>
      <x:c r="R1646" s="14" t="str">
        <x:v>预测</x:v>
      </x:c>
      <x:c r="S1646" s="14" t="str">
        <x:v>到站时间为估算值</x:v>
      </x:c>
      <x:c r="T1646" t="str">
        <x:v>研究生宿舍楼发车</x:v>
      </x:c>
    </x:row>
    <x:row r="1647">
      <x:c r="A1647" s="14" t="str">
        <x:v>S0141-08</x:v>
      </x:c>
      <x:c r="B1647" s="14" t="str">
        <x:v>S0141</x:v>
      </x:c>
      <x:c r="C1647" s="14" t="str">
        <x:v>工作日</x:v>
      </x:c>
      <x:c r="D1647" s="14" t="str">
        <x:v>环线3路</x:v>
      </x:c>
      <x:c r="E1647" s="14" t="str">
        <x:v>第二班</x:v>
      </x:c>
      <x:c r="F1647" s="14" t="n">
        <x:v>7</x:v>
      </x:c>
      <x:c r="G1647" s="14" t="str">
        <x:v>11:00</x:v>
      </x:c>
      <x:c r="H1647" s="14" t="str">
        <x:v>研究生宿舍楼</x:v>
      </x:c>
      <x:c r="I1647" s="14" t="str">
        <x:v>否</x:v>
      </x:c>
      <x:c r="J1647" s="14" t="n">
        <x:v>8</x:v>
      </x:c>
      <x:c r="K1647" s="14" t="str">
        <x:v>理学院</x:v>
      </x:c>
      <x:c r="L1647" s="14" t="n">
        <x:v>10</x:v>
      </x:c>
      <x:c r="M1647" s="14" t="str">
        <x:v>11:10</x:v>
      </x:c>
      <x:c r="N1647" s="14" t="str">
        <x:v>否</x:v>
      </x:c>
      <x:c r="O1647" s="14" t="str">
        <x:v>否</x:v>
      </x:c>
      <x:c r="P1647" s="14" t="str">
        <x:v>郭海燕</x:v>
      </x:c>
      <x:c r="Q1647" s="14" t="str">
        <x:v>5号车</x:v>
      </x:c>
      <x:c r="R1647" s="14" t="str">
        <x:v>预测</x:v>
      </x:c>
      <x:c r="S1647" s="14" t="str">
        <x:v>到站时间为估算值</x:v>
      </x:c>
      <x:c r="T1647" t="str">
        <x:v>研究生宿舍楼发车</x:v>
      </x:c>
    </x:row>
    <x:row r="1648">
      <x:c r="A1648" s="14" t="str">
        <x:v>S0141-09</x:v>
      </x:c>
      <x:c r="B1648" s="14" t="str">
        <x:v>S0141</x:v>
      </x:c>
      <x:c r="C1648" s="14" t="str">
        <x:v>工作日</x:v>
      </x:c>
      <x:c r="D1648" s="14" t="str">
        <x:v>环线3路</x:v>
      </x:c>
      <x:c r="E1648" s="14" t="str">
        <x:v>第二班</x:v>
      </x:c>
      <x:c r="F1648" s="14" t="n">
        <x:v>7</x:v>
      </x:c>
      <x:c r="G1648" s="14" t="str">
        <x:v>11:00</x:v>
      </x:c>
      <x:c r="H1648" s="14" t="str">
        <x:v>研究生宿舍楼</x:v>
      </x:c>
      <x:c r="I1648" s="14" t="str">
        <x:v>否</x:v>
      </x:c>
      <x:c r="J1648" s="14" t="n">
        <x:v>9</x:v>
      </x:c>
      <x:c r="K1648" s="14" t="str">
        <x:v>二食堂</x:v>
      </x:c>
      <x:c r="L1648" s="14" t="n">
        <x:v>13</x:v>
      </x:c>
      <x:c r="M1648" s="14" t="str">
        <x:v>11:13</x:v>
      </x:c>
      <x:c r="N1648" s="14" t="str">
        <x:v>否</x:v>
      </x:c>
      <x:c r="O1648" s="14" t="str">
        <x:v>否</x:v>
      </x:c>
      <x:c r="P1648" s="14" t="str">
        <x:v>郭海燕</x:v>
      </x:c>
      <x:c r="Q1648" s="14" t="str">
        <x:v>5号车</x:v>
      </x:c>
      <x:c r="R1648" s="14" t="str">
        <x:v>预测</x:v>
      </x:c>
      <x:c r="S1648" s="14" t="str">
        <x:v>到站时间为估算值</x:v>
      </x:c>
      <x:c r="T1648" t="str">
        <x:v>研究生宿舍楼发车</x:v>
      </x:c>
    </x:row>
    <x:row r="1649">
      <x:c r="A1649" s="14" t="str">
        <x:v>S0141-10</x:v>
      </x:c>
      <x:c r="B1649" s="14" t="str">
        <x:v>S0141</x:v>
      </x:c>
      <x:c r="C1649" s="14" t="str">
        <x:v>工作日</x:v>
      </x:c>
      <x:c r="D1649" s="14" t="str">
        <x:v>环线3路</x:v>
      </x:c>
      <x:c r="E1649" s="14" t="str">
        <x:v>第二班</x:v>
      </x:c>
      <x:c r="F1649" s="14" t="n">
        <x:v>7</x:v>
      </x:c>
      <x:c r="G1649" s="14" t="str">
        <x:v>11:00</x:v>
      </x:c>
      <x:c r="H1649" s="14" t="str">
        <x:v>研究生宿舍楼</x:v>
      </x:c>
      <x:c r="I1649" s="14" t="str">
        <x:v>否</x:v>
      </x:c>
      <x:c r="J1649" s="14" t="n">
        <x:v>10</x:v>
      </x:c>
      <x:c r="K1649" s="14" t="str">
        <x:v>图书馆</x:v>
      </x:c>
      <x:c r="L1649" s="14" t="n">
        <x:v>14</x:v>
      </x:c>
      <x:c r="M1649" s="14" t="str">
        <x:v>11:14</x:v>
      </x:c>
      <x:c r="N1649" s="14" t="str">
        <x:v>否</x:v>
      </x:c>
      <x:c r="O1649" s="14" t="str">
        <x:v>否</x:v>
      </x:c>
      <x:c r="P1649" s="14" t="str">
        <x:v>郭海燕</x:v>
      </x:c>
      <x:c r="Q1649" s="14" t="str">
        <x:v>5号车</x:v>
      </x:c>
      <x:c r="R1649" s="14" t="str">
        <x:v>预测</x:v>
      </x:c>
      <x:c r="S1649" s="14" t="str">
        <x:v>到站时间为估算值</x:v>
      </x:c>
      <x:c r="T1649" t="str">
        <x:v>研究生宿舍楼发车</x:v>
      </x:c>
    </x:row>
    <x:row r="1650">
      <x:c r="A1650" s="14" t="str">
        <x:v>S0141-11</x:v>
      </x:c>
      <x:c r="B1650" s="14" t="str">
        <x:v>S0141</x:v>
      </x:c>
      <x:c r="C1650" s="14" t="str">
        <x:v>工作日</x:v>
      </x:c>
      <x:c r="D1650" s="14" t="str">
        <x:v>环线3路</x:v>
      </x:c>
      <x:c r="E1650" s="14" t="str">
        <x:v>第二班</x:v>
      </x:c>
      <x:c r="F1650" s="14" t="n">
        <x:v>7</x:v>
      </x:c>
      <x:c r="G1650" s="14" t="str">
        <x:v>11:00</x:v>
      </x:c>
      <x:c r="H1650" s="14" t="str">
        <x:v>研究生宿舍楼</x:v>
      </x:c>
      <x:c r="I1650" s="14" t="str">
        <x:v>否</x:v>
      </x:c>
      <x:c r="J1650" s="14" t="n">
        <x:v>11</x:v>
      </x:c>
      <x:c r="K1650" s="14" t="str">
        <x:v>305教学楼</x:v>
      </x:c>
      <x:c r="L1650" s="14" t="n">
        <x:v>16</x:v>
      </x:c>
      <x:c r="M1650" s="14" t="str">
        <x:v>11:16</x:v>
      </x:c>
      <x:c r="N1650" s="14" t="str">
        <x:v>否</x:v>
      </x:c>
      <x:c r="O1650" s="14" t="str">
        <x:v>否</x:v>
      </x:c>
      <x:c r="P1650" s="14" t="str">
        <x:v>郭海燕</x:v>
      </x:c>
      <x:c r="Q1650" s="14" t="str">
        <x:v>5号车</x:v>
      </x:c>
      <x:c r="R1650" s="14" t="str">
        <x:v>预测</x:v>
      </x:c>
      <x:c r="S1650" s="14" t="str">
        <x:v>到站时间为估算值</x:v>
      </x:c>
      <x:c r="T1650" t="str">
        <x:v>研究生宿舍楼发车</x:v>
      </x:c>
    </x:row>
    <x:row r="1651">
      <x:c r="A1651" s="14" t="str">
        <x:v>S0141-12</x:v>
      </x:c>
      <x:c r="B1651" s="14" t="str">
        <x:v>S0141</x:v>
      </x:c>
      <x:c r="C1651" s="14" t="str">
        <x:v>工作日</x:v>
      </x:c>
      <x:c r="D1651" s="14" t="str">
        <x:v>环线3路</x:v>
      </x:c>
      <x:c r="E1651" s="14" t="str">
        <x:v>第二班</x:v>
      </x:c>
      <x:c r="F1651" s="14" t="n">
        <x:v>7</x:v>
      </x:c>
      <x:c r="G1651" s="14" t="str">
        <x:v>11:00</x:v>
      </x:c>
      <x:c r="H1651" s="14" t="str">
        <x:v>研究生宿舍楼</x:v>
      </x:c>
      <x:c r="I1651" s="14" t="str">
        <x:v>否</x:v>
      </x:c>
      <x:c r="J1651" s="14" t="n">
        <x:v>12</x:v>
      </x:c>
      <x:c r="K1651" s="14" t="str">
        <x:v>研究生宿舍楼</x:v>
      </x:c>
      <x:c r="L1651" s="14" t="n">
        <x:v>18</x:v>
      </x:c>
      <x:c r="M1651" s="14" t="str">
        <x:v>11:18</x:v>
      </x:c>
      <x:c r="N1651" s="14" t="str">
        <x:v>否</x:v>
      </x:c>
      <x:c r="O1651" s="14" t="str">
        <x:v>是</x:v>
      </x:c>
      <x:c r="P1651" s="14" t="str">
        <x:v>郭海燕</x:v>
      </x:c>
      <x:c r="Q1651" s="14" t="str">
        <x:v>5号车</x:v>
      </x:c>
      <x:c r="R1651" s="14" t="str">
        <x:v>预测</x:v>
      </x:c>
      <x:c r="S1651" s="14" t="str">
        <x:v>到站时间为估算值</x:v>
      </x:c>
      <x:c r="T1651" t="str">
        <x:v>研究生宿舍楼发车</x:v>
      </x:c>
    </x:row>
    <x:row r="1652">
      <x:c r="A1652" s="14" t="str">
        <x:v>S0142-01</x:v>
      </x:c>
      <x:c r="B1652" s="14" t="str">
        <x:v>S0142</x:v>
      </x:c>
      <x:c r="C1652" s="14" t="str">
        <x:v>工作日</x:v>
      </x:c>
      <x:c r="D1652" s="14" t="str">
        <x:v>环线3路</x:v>
      </x:c>
      <x:c r="E1652" s="14" t="str">
        <x:v>第二班</x:v>
      </x:c>
      <x:c r="F1652" s="14" t="n">
        <x:v>8</x:v>
      </x:c>
      <x:c r="G1652" s="14" t="str">
        <x:v>11:45</x:v>
      </x:c>
      <x:c r="H1652" s="14" t="str">
        <x:v>研究生宿舍楼</x:v>
      </x:c>
      <x:c r="I1652" s="14" t="str">
        <x:v>否</x:v>
      </x:c>
      <x:c r="J1652" s="14" t="n">
        <x:v>1</x:v>
      </x:c>
      <x:c r="K1652" s="14" t="str">
        <x:v>研究生宿舍楼</x:v>
      </x:c>
      <x:c r="L1652" s="14" t="n">
        <x:v>0</x:v>
      </x:c>
      <x:c r="M1652" s="14" t="str">
        <x:v>11:45</x:v>
      </x:c>
      <x:c r="N1652" s="14" t="str">
        <x:v>是</x:v>
      </x:c>
      <x:c r="O1652" s="14" t="str">
        <x:v>否</x:v>
      </x:c>
      <x:c r="P1652" s="14" t="str">
        <x:v>郭海燕</x:v>
      </x:c>
      <x:c r="Q1652" s="14" t="str">
        <x:v>5号车</x:v>
      </x:c>
      <x:c r="R1652" s="14" t="str">
        <x:v>预测</x:v>
      </x:c>
      <x:c r="S1652" s="14" t="str">
        <x:v>到站时间为估算值</x:v>
      </x:c>
      <x:c r="T1652" t="str">
        <x:v>研究生宿舍楼发车</x:v>
      </x:c>
    </x:row>
    <x:row r="1653">
      <x:c r="A1653" s="14" t="str">
        <x:v>S0142-02</x:v>
      </x:c>
      <x:c r="B1653" s="14" t="str">
        <x:v>S0142</x:v>
      </x:c>
      <x:c r="C1653" s="14" t="str">
        <x:v>工作日</x:v>
      </x:c>
      <x:c r="D1653" s="14" t="str">
        <x:v>环线3路</x:v>
      </x:c>
      <x:c r="E1653" s="14" t="str">
        <x:v>第二班</x:v>
      </x:c>
      <x:c r="F1653" s="14" t="n">
        <x:v>8</x:v>
      </x:c>
      <x:c r="G1653" s="14" t="str">
        <x:v>11:45</x:v>
      </x:c>
      <x:c r="H1653" s="14" t="str">
        <x:v>研究生宿舍楼</x:v>
      </x:c>
      <x:c r="I1653" s="14" t="str">
        <x:v>否</x:v>
      </x:c>
      <x:c r="J1653" s="14" t="n">
        <x:v>2</x:v>
      </x:c>
      <x:c r="K1653" s="14" t="str">
        <x:v>一食堂</x:v>
      </x:c>
      <x:c r="L1653" s="14" t="n">
        <x:v>1</x:v>
      </x:c>
      <x:c r="M1653" s="14" t="str">
        <x:v>11:46</x:v>
      </x:c>
      <x:c r="N1653" s="14" t="str">
        <x:v>否</x:v>
      </x:c>
      <x:c r="O1653" s="14" t="str">
        <x:v>否</x:v>
      </x:c>
      <x:c r="P1653" s="14" t="str">
        <x:v>郭海燕</x:v>
      </x:c>
      <x:c r="Q1653" s="14" t="str">
        <x:v>5号车</x:v>
      </x:c>
      <x:c r="R1653" s="14" t="str">
        <x:v>预测</x:v>
      </x:c>
      <x:c r="S1653" s="14" t="str">
        <x:v>到站时间为估算值</x:v>
      </x:c>
      <x:c r="T1653" t="str">
        <x:v>研究生宿舍楼发车</x:v>
      </x:c>
    </x:row>
    <x:row r="1654">
      <x:c r="A1654" s="14" t="str">
        <x:v>S0142-03</x:v>
      </x:c>
      <x:c r="B1654" s="14" t="str">
        <x:v>S0142</x:v>
      </x:c>
      <x:c r="C1654" s="14" t="str">
        <x:v>工作日</x:v>
      </x:c>
      <x:c r="D1654" s="14" t="str">
        <x:v>环线3路</x:v>
      </x:c>
      <x:c r="E1654" s="14" t="str">
        <x:v>第二班</x:v>
      </x:c>
      <x:c r="F1654" s="14" t="n">
        <x:v>8</x:v>
      </x:c>
      <x:c r="G1654" s="14" t="str">
        <x:v>11:45</x:v>
      </x:c>
      <x:c r="H1654" s="14" t="str">
        <x:v>研究生宿舍楼</x:v>
      </x:c>
      <x:c r="I1654" s="14" t="str">
        <x:v>否</x:v>
      </x:c>
      <x:c r="J1654" s="14" t="n">
        <x:v>3</x:v>
      </x:c>
      <x:c r="K1654" s="14" t="str">
        <x:v>2号宿舍楼</x:v>
      </x:c>
      <x:c r="L1654" s="14" t="n">
        <x:v>3</x:v>
      </x:c>
      <x:c r="M1654" s="14" t="str">
        <x:v>11:48</x:v>
      </x:c>
      <x:c r="N1654" s="14" t="str">
        <x:v>否</x:v>
      </x:c>
      <x:c r="O1654" s="14" t="str">
        <x:v>否</x:v>
      </x:c>
      <x:c r="P1654" s="14" t="str">
        <x:v>郭海燕</x:v>
      </x:c>
      <x:c r="Q1654" s="14" t="str">
        <x:v>5号车</x:v>
      </x:c>
      <x:c r="R1654" s="14" t="str">
        <x:v>预测</x:v>
      </x:c>
      <x:c r="S1654" s="14" t="str">
        <x:v>到站时间为估算值</x:v>
      </x:c>
      <x:c r="T1654" t="str">
        <x:v>研究生宿舍楼发车</x:v>
      </x:c>
    </x:row>
    <x:row r="1655">
      <x:c r="A1655" s="14" t="str">
        <x:v>S0142-04</x:v>
      </x:c>
      <x:c r="B1655" s="14" t="str">
        <x:v>S0142</x:v>
      </x:c>
      <x:c r="C1655" s="14" t="str">
        <x:v>工作日</x:v>
      </x:c>
      <x:c r="D1655" s="14" t="str">
        <x:v>环线3路</x:v>
      </x:c>
      <x:c r="E1655" s="14" t="str">
        <x:v>第二班</x:v>
      </x:c>
      <x:c r="F1655" s="14" t="n">
        <x:v>8</x:v>
      </x:c>
      <x:c r="G1655" s="14" t="str">
        <x:v>11:45</x:v>
      </x:c>
      <x:c r="H1655" s="14" t="str">
        <x:v>研究生宿舍楼</x:v>
      </x:c>
      <x:c r="I1655" s="14" t="str">
        <x:v>否</x:v>
      </x:c>
      <x:c r="J1655" s="14" t="n">
        <x:v>4</x:v>
      </x:c>
      <x:c r="K1655" s="14" t="str">
        <x:v>军体活动中心</x:v>
      </x:c>
      <x:c r="L1655" s="14" t="n">
        <x:v>4</x:v>
      </x:c>
      <x:c r="M1655" s="14" t="str">
        <x:v>11:49</x:v>
      </x:c>
      <x:c r="N1655" s="14" t="str">
        <x:v>否</x:v>
      </x:c>
      <x:c r="O1655" s="14" t="str">
        <x:v>否</x:v>
      </x:c>
      <x:c r="P1655" s="14" t="str">
        <x:v>郭海燕</x:v>
      </x:c>
      <x:c r="Q1655" s="14" t="str">
        <x:v>5号车</x:v>
      </x:c>
      <x:c r="R1655" s="14" t="str">
        <x:v>预测</x:v>
      </x:c>
      <x:c r="S1655" s="14" t="str">
        <x:v>到站时间为估算值</x:v>
      </x:c>
      <x:c r="T1655" t="str">
        <x:v>研究生宿舍楼发车</x:v>
      </x:c>
    </x:row>
    <x:row r="1656">
      <x:c r="A1656" s="14" t="str">
        <x:v>S0142-05</x:v>
      </x:c>
      <x:c r="B1656" s="14" t="str">
        <x:v>S0142</x:v>
      </x:c>
      <x:c r="C1656" s="14" t="str">
        <x:v>工作日</x:v>
      </x:c>
      <x:c r="D1656" s="14" t="str">
        <x:v>环线3路</x:v>
      </x:c>
      <x:c r="E1656" s="14" t="str">
        <x:v>第二班</x:v>
      </x:c>
      <x:c r="F1656" s="14" t="n">
        <x:v>8</x:v>
      </x:c>
      <x:c r="G1656" s="14" t="str">
        <x:v>11:45</x:v>
      </x:c>
      <x:c r="H1656" s="14" t="str">
        <x:v>研究生宿舍楼</x:v>
      </x:c>
      <x:c r="I1656" s="14" t="str">
        <x:v>否</x:v>
      </x:c>
      <x:c r="J1656" s="14" t="n">
        <x:v>5</x:v>
      </x:c>
      <x:c r="K1656" s="14" t="str">
        <x:v>教勤连</x:v>
      </x:c>
      <x:c r="L1656" s="14" t="n">
        <x:v>6</x:v>
      </x:c>
      <x:c r="M1656" s="14" t="str">
        <x:v>11:51</x:v>
      </x:c>
      <x:c r="N1656" s="14" t="str">
        <x:v>否</x:v>
      </x:c>
      <x:c r="O1656" s="14" t="str">
        <x:v>否</x:v>
      </x:c>
      <x:c r="P1656" s="14" t="str">
        <x:v>郭海燕</x:v>
      </x:c>
      <x:c r="Q1656" s="14" t="str">
        <x:v>5号车</x:v>
      </x:c>
      <x:c r="R1656" s="14" t="str">
        <x:v>预测</x:v>
      </x:c>
      <x:c r="S1656" s="14" t="str">
        <x:v>到站时间为估算值</x:v>
      </x:c>
      <x:c r="T1656" t="str">
        <x:v>研究生宿舍楼发车</x:v>
      </x:c>
    </x:row>
    <x:row r="1657">
      <x:c r="A1657" s="14" t="str">
        <x:v>S0142-06</x:v>
      </x:c>
      <x:c r="B1657" s="14" t="str">
        <x:v>S0142</x:v>
      </x:c>
      <x:c r="C1657" s="14" t="str">
        <x:v>工作日</x:v>
      </x:c>
      <x:c r="D1657" s="14" t="str">
        <x:v>环线3路</x:v>
      </x:c>
      <x:c r="E1657" s="14" t="str">
        <x:v>第二班</x:v>
      </x:c>
      <x:c r="F1657" s="14" t="n">
        <x:v>8</x:v>
      </x:c>
      <x:c r="G1657" s="14" t="str">
        <x:v>11:45</x:v>
      </x:c>
      <x:c r="H1657" s="14" t="str">
        <x:v>研究生宿舍楼</x:v>
      </x:c>
      <x:c r="I1657" s="14" t="str">
        <x:v>否</x:v>
      </x:c>
      <x:c r="J1657" s="14" t="n">
        <x:v>6</x:v>
      </x:c>
      <x:c r="K1657" s="14" t="str">
        <x:v>激光所</x:v>
      </x:c>
      <x:c r="L1657" s="14" t="n">
        <x:v>7</x:v>
      </x:c>
      <x:c r="M1657" s="14" t="str">
        <x:v>11:52</x:v>
      </x:c>
      <x:c r="N1657" s="14" t="str">
        <x:v>否</x:v>
      </x:c>
      <x:c r="O1657" s="14" t="str">
        <x:v>否</x:v>
      </x:c>
      <x:c r="P1657" s="14" t="str">
        <x:v>郭海燕</x:v>
      </x:c>
      <x:c r="Q1657" s="14" t="str">
        <x:v>5号车</x:v>
      </x:c>
      <x:c r="R1657" s="14" t="str">
        <x:v>预测</x:v>
      </x:c>
      <x:c r="S1657" s="14" t="str">
        <x:v>到站时间为估算值</x:v>
      </x:c>
      <x:c r="T1657" t="str">
        <x:v>研究生宿舍楼发车</x:v>
      </x:c>
    </x:row>
    <x:row r="1658">
      <x:c r="A1658" s="14" t="str">
        <x:v>S0142-07</x:v>
      </x:c>
      <x:c r="B1658" s="14" t="str">
        <x:v>S0142</x:v>
      </x:c>
      <x:c r="C1658" s="14" t="str">
        <x:v>工作日</x:v>
      </x:c>
      <x:c r="D1658" s="14" t="str">
        <x:v>环线3路</x:v>
      </x:c>
      <x:c r="E1658" s="14" t="str">
        <x:v>第二班</x:v>
      </x:c>
      <x:c r="F1658" s="14" t="n">
        <x:v>8</x:v>
      </x:c>
      <x:c r="G1658" s="14" t="str">
        <x:v>11:45</x:v>
      </x:c>
      <x:c r="H1658" s="14" t="str">
        <x:v>研究生宿舍楼</x:v>
      </x:c>
      <x:c r="I1658" s="14" t="str">
        <x:v>否</x:v>
      </x:c>
      <x:c r="J1658" s="14" t="n">
        <x:v>7</x:v>
      </x:c>
      <x:c r="K1658" s="14" t="str">
        <x:v>高超楼</x:v>
      </x:c>
      <x:c r="L1658" s="14" t="n">
        <x:v>9</x:v>
      </x:c>
      <x:c r="M1658" s="14" t="str">
        <x:v>11:54</x:v>
      </x:c>
      <x:c r="N1658" s="14" t="str">
        <x:v>否</x:v>
      </x:c>
      <x:c r="O1658" s="14" t="str">
        <x:v>否</x:v>
      </x:c>
      <x:c r="P1658" s="14" t="str">
        <x:v>郭海燕</x:v>
      </x:c>
      <x:c r="Q1658" s="14" t="str">
        <x:v>5号车</x:v>
      </x:c>
      <x:c r="R1658" s="14" t="str">
        <x:v>预测</x:v>
      </x:c>
      <x:c r="S1658" s="14" t="str">
        <x:v>到站时间为估算值</x:v>
      </x:c>
      <x:c r="T1658" t="str">
        <x:v>研究生宿舍楼发车</x:v>
      </x:c>
    </x:row>
    <x:row r="1659">
      <x:c r="A1659" s="14" t="str">
        <x:v>S0142-08</x:v>
      </x:c>
      <x:c r="B1659" s="14" t="str">
        <x:v>S0142</x:v>
      </x:c>
      <x:c r="C1659" s="14" t="str">
        <x:v>工作日</x:v>
      </x:c>
      <x:c r="D1659" s="14" t="str">
        <x:v>环线3路</x:v>
      </x:c>
      <x:c r="E1659" s="14" t="str">
        <x:v>第二班</x:v>
      </x:c>
      <x:c r="F1659" s="14" t="n">
        <x:v>8</x:v>
      </x:c>
      <x:c r="G1659" s="14" t="str">
        <x:v>11:45</x:v>
      </x:c>
      <x:c r="H1659" s="14" t="str">
        <x:v>研究生宿舍楼</x:v>
      </x:c>
      <x:c r="I1659" s="14" t="str">
        <x:v>否</x:v>
      </x:c>
      <x:c r="J1659" s="14" t="n">
        <x:v>8</x:v>
      </x:c>
      <x:c r="K1659" s="14" t="str">
        <x:v>理学院</x:v>
      </x:c>
      <x:c r="L1659" s="14" t="n">
        <x:v>10</x:v>
      </x:c>
      <x:c r="M1659" s="14" t="str">
        <x:v>11:55</x:v>
      </x:c>
      <x:c r="N1659" s="14" t="str">
        <x:v>否</x:v>
      </x:c>
      <x:c r="O1659" s="14" t="str">
        <x:v>否</x:v>
      </x:c>
      <x:c r="P1659" s="14" t="str">
        <x:v>郭海燕</x:v>
      </x:c>
      <x:c r="Q1659" s="14" t="str">
        <x:v>5号车</x:v>
      </x:c>
      <x:c r="R1659" s="14" t="str">
        <x:v>预测</x:v>
      </x:c>
      <x:c r="S1659" s="14" t="str">
        <x:v>到站时间为估算值</x:v>
      </x:c>
      <x:c r="T1659" t="str">
        <x:v>研究生宿舍楼发车</x:v>
      </x:c>
    </x:row>
    <x:row r="1660">
      <x:c r="A1660" s="14" t="str">
        <x:v>S0142-09</x:v>
      </x:c>
      <x:c r="B1660" s="14" t="str">
        <x:v>S0142</x:v>
      </x:c>
      <x:c r="C1660" s="14" t="str">
        <x:v>工作日</x:v>
      </x:c>
      <x:c r="D1660" s="14" t="str">
        <x:v>环线3路</x:v>
      </x:c>
      <x:c r="E1660" s="14" t="str">
        <x:v>第二班</x:v>
      </x:c>
      <x:c r="F1660" s="14" t="n">
        <x:v>8</x:v>
      </x:c>
      <x:c r="G1660" s="14" t="str">
        <x:v>11:45</x:v>
      </x:c>
      <x:c r="H1660" s="14" t="str">
        <x:v>研究生宿舍楼</x:v>
      </x:c>
      <x:c r="I1660" s="14" t="str">
        <x:v>否</x:v>
      </x:c>
      <x:c r="J1660" s="14" t="n">
        <x:v>9</x:v>
      </x:c>
      <x:c r="K1660" s="14" t="str">
        <x:v>二食堂</x:v>
      </x:c>
      <x:c r="L1660" s="14" t="n">
        <x:v>13</x:v>
      </x:c>
      <x:c r="M1660" s="14" t="str">
        <x:v>11:58</x:v>
      </x:c>
      <x:c r="N1660" s="14" t="str">
        <x:v>否</x:v>
      </x:c>
      <x:c r="O1660" s="14" t="str">
        <x:v>否</x:v>
      </x:c>
      <x:c r="P1660" s="14" t="str">
        <x:v>郭海燕</x:v>
      </x:c>
      <x:c r="Q1660" s="14" t="str">
        <x:v>5号车</x:v>
      </x:c>
      <x:c r="R1660" s="14" t="str">
        <x:v>预测</x:v>
      </x:c>
      <x:c r="S1660" s="14" t="str">
        <x:v>到站时间为估算值</x:v>
      </x:c>
      <x:c r="T1660" t="str">
        <x:v>研究生宿舍楼发车</x:v>
      </x:c>
    </x:row>
    <x:row r="1661">
      <x:c r="A1661" s="14" t="str">
        <x:v>S0142-10</x:v>
      </x:c>
      <x:c r="B1661" s="14" t="str">
        <x:v>S0142</x:v>
      </x:c>
      <x:c r="C1661" s="14" t="str">
        <x:v>工作日</x:v>
      </x:c>
      <x:c r="D1661" s="14" t="str">
        <x:v>环线3路</x:v>
      </x:c>
      <x:c r="E1661" s="14" t="str">
        <x:v>第二班</x:v>
      </x:c>
      <x:c r="F1661" s="14" t="n">
        <x:v>8</x:v>
      </x:c>
      <x:c r="G1661" s="14" t="str">
        <x:v>11:45</x:v>
      </x:c>
      <x:c r="H1661" s="14" t="str">
        <x:v>研究生宿舍楼</x:v>
      </x:c>
      <x:c r="I1661" s="14" t="str">
        <x:v>否</x:v>
      </x:c>
      <x:c r="J1661" s="14" t="n">
        <x:v>10</x:v>
      </x:c>
      <x:c r="K1661" s="14" t="str">
        <x:v>图书馆</x:v>
      </x:c>
      <x:c r="L1661" s="14" t="n">
        <x:v>14</x:v>
      </x:c>
      <x:c r="M1661" s="14" t="str">
        <x:v>11:59</x:v>
      </x:c>
      <x:c r="N1661" s="14" t="str">
        <x:v>否</x:v>
      </x:c>
      <x:c r="O1661" s="14" t="str">
        <x:v>否</x:v>
      </x:c>
      <x:c r="P1661" s="14" t="str">
        <x:v>郭海燕</x:v>
      </x:c>
      <x:c r="Q1661" s="14" t="str">
        <x:v>5号车</x:v>
      </x:c>
      <x:c r="R1661" s="14" t="str">
        <x:v>预测</x:v>
      </x:c>
      <x:c r="S1661" s="14" t="str">
        <x:v>到站时间为估算值</x:v>
      </x:c>
      <x:c r="T1661" t="str">
        <x:v>研究生宿舍楼发车</x:v>
      </x:c>
    </x:row>
    <x:row r="1662">
      <x:c r="A1662" s="14" t="str">
        <x:v>S0142-11</x:v>
      </x:c>
      <x:c r="B1662" s="14" t="str">
        <x:v>S0142</x:v>
      </x:c>
      <x:c r="C1662" s="14" t="str">
        <x:v>工作日</x:v>
      </x:c>
      <x:c r="D1662" s="14" t="str">
        <x:v>环线3路</x:v>
      </x:c>
      <x:c r="E1662" s="14" t="str">
        <x:v>第二班</x:v>
      </x:c>
      <x:c r="F1662" s="14" t="n">
        <x:v>8</x:v>
      </x:c>
      <x:c r="G1662" s="14" t="str">
        <x:v>11:45</x:v>
      </x:c>
      <x:c r="H1662" s="14" t="str">
        <x:v>研究生宿舍楼</x:v>
      </x:c>
      <x:c r="I1662" s="14" t="str">
        <x:v>否</x:v>
      </x:c>
      <x:c r="J1662" s="14" t="n">
        <x:v>11</x:v>
      </x:c>
      <x:c r="K1662" s="14" t="str">
        <x:v>305教学楼</x:v>
      </x:c>
      <x:c r="L1662" s="14" t="n">
        <x:v>16</x:v>
      </x:c>
      <x:c r="M1662" s="14" t="str">
        <x:v>12:01</x:v>
      </x:c>
      <x:c r="N1662" s="14" t="str">
        <x:v>否</x:v>
      </x:c>
      <x:c r="O1662" s="14" t="str">
        <x:v>否</x:v>
      </x:c>
      <x:c r="P1662" s="14" t="str">
        <x:v>郭海燕</x:v>
      </x:c>
      <x:c r="Q1662" s="14" t="str">
        <x:v>5号车</x:v>
      </x:c>
      <x:c r="R1662" s="14" t="str">
        <x:v>预测</x:v>
      </x:c>
      <x:c r="S1662" s="14" t="str">
        <x:v>到站时间为估算值</x:v>
      </x:c>
      <x:c r="T1662" t="str">
        <x:v>研究生宿舍楼发车</x:v>
      </x:c>
    </x:row>
    <x:row r="1663">
      <x:c r="A1663" s="14" t="str">
        <x:v>S0142-12</x:v>
      </x:c>
      <x:c r="B1663" s="14" t="str">
        <x:v>S0142</x:v>
      </x:c>
      <x:c r="C1663" s="14" t="str">
        <x:v>工作日</x:v>
      </x:c>
      <x:c r="D1663" s="14" t="str">
        <x:v>环线3路</x:v>
      </x:c>
      <x:c r="E1663" s="14" t="str">
        <x:v>第二班</x:v>
      </x:c>
      <x:c r="F1663" s="14" t="n">
        <x:v>8</x:v>
      </x:c>
      <x:c r="G1663" s="14" t="str">
        <x:v>11:45</x:v>
      </x:c>
      <x:c r="H1663" s="14" t="str">
        <x:v>研究生宿舍楼</x:v>
      </x:c>
      <x:c r="I1663" s="14" t="str">
        <x:v>否</x:v>
      </x:c>
      <x:c r="J1663" s="14" t="n">
        <x:v>12</x:v>
      </x:c>
      <x:c r="K1663" s="14" t="str">
        <x:v>研究生宿舍楼</x:v>
      </x:c>
      <x:c r="L1663" s="14" t="n">
        <x:v>18</x:v>
      </x:c>
      <x:c r="M1663" s="14" t="str">
        <x:v>12:03</x:v>
      </x:c>
      <x:c r="N1663" s="14" t="str">
        <x:v>否</x:v>
      </x:c>
      <x:c r="O1663" s="14" t="str">
        <x:v>是</x:v>
      </x:c>
      <x:c r="P1663" s="14" t="str">
        <x:v>郭海燕</x:v>
      </x:c>
      <x:c r="Q1663" s="14" t="str">
        <x:v>5号车</x:v>
      </x:c>
      <x:c r="R1663" s="14" t="str">
        <x:v>预测</x:v>
      </x:c>
      <x:c r="S1663" s="14" t="str">
        <x:v>到站时间为估算值</x:v>
      </x:c>
      <x:c r="T1663" t="str">
        <x:v>研究生宿舍楼发车</x:v>
      </x:c>
    </x:row>
    <x:row r="1664">
      <x:c r="A1664" s="14" t="str">
        <x:v>S0143-01</x:v>
      </x:c>
      <x:c r="B1664" s="14" t="str">
        <x:v>S0143</x:v>
      </x:c>
      <x:c r="C1664" s="14" t="str">
        <x:v>工作日</x:v>
      </x:c>
      <x:c r="D1664" s="14" t="str">
        <x:v>环线3路</x:v>
      </x:c>
      <x:c r="E1664" s="14" t="str">
        <x:v>第二班</x:v>
      </x:c>
      <x:c r="F1664" s="14" t="n">
        <x:v>9</x:v>
      </x:c>
      <x:c r="G1664" s="14" t="str">
        <x:v>12:30</x:v>
      </x:c>
      <x:c r="H1664" s="14" t="str">
        <x:v>研究生宿舍楼</x:v>
      </x:c>
      <x:c r="I1664" s="14" t="str">
        <x:v>否</x:v>
      </x:c>
      <x:c r="J1664" s="14" t="n">
        <x:v>1</x:v>
      </x:c>
      <x:c r="K1664" s="14" t="str">
        <x:v>研究生宿舍楼</x:v>
      </x:c>
      <x:c r="L1664" s="14" t="n">
        <x:v>0</x:v>
      </x:c>
      <x:c r="M1664" s="14" t="str">
        <x:v>12:30</x:v>
      </x:c>
      <x:c r="N1664" s="14" t="str">
        <x:v>是</x:v>
      </x:c>
      <x:c r="O1664" s="14" t="str">
        <x:v>否</x:v>
      </x:c>
      <x:c r="P1664" s="14" t="str">
        <x:v>郭海燕</x:v>
      </x:c>
      <x:c r="Q1664" s="14" t="str">
        <x:v>5号车</x:v>
      </x:c>
      <x:c r="R1664" s="14" t="str">
        <x:v>预测</x:v>
      </x:c>
      <x:c r="S1664" s="14" t="str">
        <x:v>到站时间为估算值</x:v>
      </x:c>
      <x:c r="T1664" t="str">
        <x:v>研究生宿舍楼发车</x:v>
      </x:c>
    </x:row>
    <x:row r="1665">
      <x:c r="A1665" s="14" t="str">
        <x:v>S0143-02</x:v>
      </x:c>
      <x:c r="B1665" s="14" t="str">
        <x:v>S0143</x:v>
      </x:c>
      <x:c r="C1665" s="14" t="str">
        <x:v>工作日</x:v>
      </x:c>
      <x:c r="D1665" s="14" t="str">
        <x:v>环线3路</x:v>
      </x:c>
      <x:c r="E1665" s="14" t="str">
        <x:v>第二班</x:v>
      </x:c>
      <x:c r="F1665" s="14" t="n">
        <x:v>9</x:v>
      </x:c>
      <x:c r="G1665" s="14" t="str">
        <x:v>12:30</x:v>
      </x:c>
      <x:c r="H1665" s="14" t="str">
        <x:v>研究生宿舍楼</x:v>
      </x:c>
      <x:c r="I1665" s="14" t="str">
        <x:v>否</x:v>
      </x:c>
      <x:c r="J1665" s="14" t="n">
        <x:v>2</x:v>
      </x:c>
      <x:c r="K1665" s="14" t="str">
        <x:v>一食堂</x:v>
      </x:c>
      <x:c r="L1665" s="14" t="n">
        <x:v>1</x:v>
      </x:c>
      <x:c r="M1665" s="14" t="str">
        <x:v>12:31</x:v>
      </x:c>
      <x:c r="N1665" s="14" t="str">
        <x:v>否</x:v>
      </x:c>
      <x:c r="O1665" s="14" t="str">
        <x:v>否</x:v>
      </x:c>
      <x:c r="P1665" s="14" t="str">
        <x:v>郭海燕</x:v>
      </x:c>
      <x:c r="Q1665" s="14" t="str">
        <x:v>5号车</x:v>
      </x:c>
      <x:c r="R1665" s="14" t="str">
        <x:v>预测</x:v>
      </x:c>
      <x:c r="S1665" s="14" t="str">
        <x:v>到站时间为估算值</x:v>
      </x:c>
      <x:c r="T1665" t="str">
        <x:v>研究生宿舍楼发车</x:v>
      </x:c>
    </x:row>
    <x:row r="1666">
      <x:c r="A1666" s="14" t="str">
        <x:v>S0143-03</x:v>
      </x:c>
      <x:c r="B1666" s="14" t="str">
        <x:v>S0143</x:v>
      </x:c>
      <x:c r="C1666" s="14" t="str">
        <x:v>工作日</x:v>
      </x:c>
      <x:c r="D1666" s="14" t="str">
        <x:v>环线3路</x:v>
      </x:c>
      <x:c r="E1666" s="14" t="str">
        <x:v>第二班</x:v>
      </x:c>
      <x:c r="F1666" s="14" t="n">
        <x:v>9</x:v>
      </x:c>
      <x:c r="G1666" s="14" t="str">
        <x:v>12:30</x:v>
      </x:c>
      <x:c r="H1666" s="14" t="str">
        <x:v>研究生宿舍楼</x:v>
      </x:c>
      <x:c r="I1666" s="14" t="str">
        <x:v>否</x:v>
      </x:c>
      <x:c r="J1666" s="14" t="n">
        <x:v>3</x:v>
      </x:c>
      <x:c r="K1666" s="14" t="str">
        <x:v>2号宿舍楼</x:v>
      </x:c>
      <x:c r="L1666" s="14" t="n">
        <x:v>3</x:v>
      </x:c>
      <x:c r="M1666" s="14" t="str">
        <x:v>12:33</x:v>
      </x:c>
      <x:c r="N1666" s="14" t="str">
        <x:v>否</x:v>
      </x:c>
      <x:c r="O1666" s="14" t="str">
        <x:v>否</x:v>
      </x:c>
      <x:c r="P1666" s="14" t="str">
        <x:v>郭海燕</x:v>
      </x:c>
      <x:c r="Q1666" s="14" t="str">
        <x:v>5号车</x:v>
      </x:c>
      <x:c r="R1666" s="14" t="str">
        <x:v>预测</x:v>
      </x:c>
      <x:c r="S1666" s="14" t="str">
        <x:v>到站时间为估算值</x:v>
      </x:c>
      <x:c r="T1666" t="str">
        <x:v>研究生宿舍楼发车</x:v>
      </x:c>
    </x:row>
    <x:row r="1667">
      <x:c r="A1667" s="14" t="str">
        <x:v>S0143-04</x:v>
      </x:c>
      <x:c r="B1667" s="14" t="str">
        <x:v>S0143</x:v>
      </x:c>
      <x:c r="C1667" s="14" t="str">
        <x:v>工作日</x:v>
      </x:c>
      <x:c r="D1667" s="14" t="str">
        <x:v>环线3路</x:v>
      </x:c>
      <x:c r="E1667" s="14" t="str">
        <x:v>第二班</x:v>
      </x:c>
      <x:c r="F1667" s="14" t="n">
        <x:v>9</x:v>
      </x:c>
      <x:c r="G1667" s="14" t="str">
        <x:v>12:30</x:v>
      </x:c>
      <x:c r="H1667" s="14" t="str">
        <x:v>研究生宿舍楼</x:v>
      </x:c>
      <x:c r="I1667" s="14" t="str">
        <x:v>否</x:v>
      </x:c>
      <x:c r="J1667" s="14" t="n">
        <x:v>4</x:v>
      </x:c>
      <x:c r="K1667" s="14" t="str">
        <x:v>军体活动中心</x:v>
      </x:c>
      <x:c r="L1667" s="14" t="n">
        <x:v>4</x:v>
      </x:c>
      <x:c r="M1667" s="14" t="str">
        <x:v>12:34</x:v>
      </x:c>
      <x:c r="N1667" s="14" t="str">
        <x:v>否</x:v>
      </x:c>
      <x:c r="O1667" s="14" t="str">
        <x:v>否</x:v>
      </x:c>
      <x:c r="P1667" s="14" t="str">
        <x:v>郭海燕</x:v>
      </x:c>
      <x:c r="Q1667" s="14" t="str">
        <x:v>5号车</x:v>
      </x:c>
      <x:c r="R1667" s="14" t="str">
        <x:v>预测</x:v>
      </x:c>
      <x:c r="S1667" s="14" t="str">
        <x:v>到站时间为估算值</x:v>
      </x:c>
      <x:c r="T1667" t="str">
        <x:v>研究生宿舍楼发车</x:v>
      </x:c>
    </x:row>
    <x:row r="1668">
      <x:c r="A1668" s="14" t="str">
        <x:v>S0143-05</x:v>
      </x:c>
      <x:c r="B1668" s="14" t="str">
        <x:v>S0143</x:v>
      </x:c>
      <x:c r="C1668" s="14" t="str">
        <x:v>工作日</x:v>
      </x:c>
      <x:c r="D1668" s="14" t="str">
        <x:v>环线3路</x:v>
      </x:c>
      <x:c r="E1668" s="14" t="str">
        <x:v>第二班</x:v>
      </x:c>
      <x:c r="F1668" s="14" t="n">
        <x:v>9</x:v>
      </x:c>
      <x:c r="G1668" s="14" t="str">
        <x:v>12:30</x:v>
      </x:c>
      <x:c r="H1668" s="14" t="str">
        <x:v>研究生宿舍楼</x:v>
      </x:c>
      <x:c r="I1668" s="14" t="str">
        <x:v>否</x:v>
      </x:c>
      <x:c r="J1668" s="14" t="n">
        <x:v>5</x:v>
      </x:c>
      <x:c r="K1668" s="14" t="str">
        <x:v>教勤连</x:v>
      </x:c>
      <x:c r="L1668" s="14" t="n">
        <x:v>6</x:v>
      </x:c>
      <x:c r="M1668" s="14" t="str">
        <x:v>12:36</x:v>
      </x:c>
      <x:c r="N1668" s="14" t="str">
        <x:v>否</x:v>
      </x:c>
      <x:c r="O1668" s="14" t="str">
        <x:v>否</x:v>
      </x:c>
      <x:c r="P1668" s="14" t="str">
        <x:v>郭海燕</x:v>
      </x:c>
      <x:c r="Q1668" s="14" t="str">
        <x:v>5号车</x:v>
      </x:c>
      <x:c r="R1668" s="14" t="str">
        <x:v>预测</x:v>
      </x:c>
      <x:c r="S1668" s="14" t="str">
        <x:v>到站时间为估算值</x:v>
      </x:c>
      <x:c r="T1668" t="str">
        <x:v>研究生宿舍楼发车</x:v>
      </x:c>
    </x:row>
    <x:row r="1669">
      <x:c r="A1669" s="14" t="str">
        <x:v>S0143-06</x:v>
      </x:c>
      <x:c r="B1669" s="14" t="str">
        <x:v>S0143</x:v>
      </x:c>
      <x:c r="C1669" s="14" t="str">
        <x:v>工作日</x:v>
      </x:c>
      <x:c r="D1669" s="14" t="str">
        <x:v>环线3路</x:v>
      </x:c>
      <x:c r="E1669" s="14" t="str">
        <x:v>第二班</x:v>
      </x:c>
      <x:c r="F1669" s="14" t="n">
        <x:v>9</x:v>
      </x:c>
      <x:c r="G1669" s="14" t="str">
        <x:v>12:30</x:v>
      </x:c>
      <x:c r="H1669" s="14" t="str">
        <x:v>研究生宿舍楼</x:v>
      </x:c>
      <x:c r="I1669" s="14" t="str">
        <x:v>否</x:v>
      </x:c>
      <x:c r="J1669" s="14" t="n">
        <x:v>6</x:v>
      </x:c>
      <x:c r="K1669" s="14" t="str">
        <x:v>激光所</x:v>
      </x:c>
      <x:c r="L1669" s="14" t="n">
        <x:v>7</x:v>
      </x:c>
      <x:c r="M1669" s="14" t="str">
        <x:v>12:37</x:v>
      </x:c>
      <x:c r="N1669" s="14" t="str">
        <x:v>否</x:v>
      </x:c>
      <x:c r="O1669" s="14" t="str">
        <x:v>否</x:v>
      </x:c>
      <x:c r="P1669" s="14" t="str">
        <x:v>郭海燕</x:v>
      </x:c>
      <x:c r="Q1669" s="14" t="str">
        <x:v>5号车</x:v>
      </x:c>
      <x:c r="R1669" s="14" t="str">
        <x:v>预测</x:v>
      </x:c>
      <x:c r="S1669" s="14" t="str">
        <x:v>到站时间为估算值</x:v>
      </x:c>
      <x:c r="T1669" t="str">
        <x:v>研究生宿舍楼发车</x:v>
      </x:c>
    </x:row>
    <x:row r="1670">
      <x:c r="A1670" s="14" t="str">
        <x:v>S0143-07</x:v>
      </x:c>
      <x:c r="B1670" s="14" t="str">
        <x:v>S0143</x:v>
      </x:c>
      <x:c r="C1670" s="14" t="str">
        <x:v>工作日</x:v>
      </x:c>
      <x:c r="D1670" s="14" t="str">
        <x:v>环线3路</x:v>
      </x:c>
      <x:c r="E1670" s="14" t="str">
        <x:v>第二班</x:v>
      </x:c>
      <x:c r="F1670" s="14" t="n">
        <x:v>9</x:v>
      </x:c>
      <x:c r="G1670" s="14" t="str">
        <x:v>12:30</x:v>
      </x:c>
      <x:c r="H1670" s="14" t="str">
        <x:v>研究生宿舍楼</x:v>
      </x:c>
      <x:c r="I1670" s="14" t="str">
        <x:v>否</x:v>
      </x:c>
      <x:c r="J1670" s="14" t="n">
        <x:v>7</x:v>
      </x:c>
      <x:c r="K1670" s="14" t="str">
        <x:v>高超楼</x:v>
      </x:c>
      <x:c r="L1670" s="14" t="n">
        <x:v>9</x:v>
      </x:c>
      <x:c r="M1670" s="14" t="str">
        <x:v>12:39</x:v>
      </x:c>
      <x:c r="N1670" s="14" t="str">
        <x:v>否</x:v>
      </x:c>
      <x:c r="O1670" s="14" t="str">
        <x:v>否</x:v>
      </x:c>
      <x:c r="P1670" s="14" t="str">
        <x:v>郭海燕</x:v>
      </x:c>
      <x:c r="Q1670" s="14" t="str">
        <x:v>5号车</x:v>
      </x:c>
      <x:c r="R1670" s="14" t="str">
        <x:v>预测</x:v>
      </x:c>
      <x:c r="S1670" s="14" t="str">
        <x:v>到站时间为估算值</x:v>
      </x:c>
      <x:c r="T1670" t="str">
        <x:v>研究生宿舍楼发车</x:v>
      </x:c>
    </x:row>
    <x:row r="1671">
      <x:c r="A1671" s="14" t="str">
        <x:v>S0143-08</x:v>
      </x:c>
      <x:c r="B1671" s="14" t="str">
        <x:v>S0143</x:v>
      </x:c>
      <x:c r="C1671" s="14" t="str">
        <x:v>工作日</x:v>
      </x:c>
      <x:c r="D1671" s="14" t="str">
        <x:v>环线3路</x:v>
      </x:c>
      <x:c r="E1671" s="14" t="str">
        <x:v>第二班</x:v>
      </x:c>
      <x:c r="F1671" s="14" t="n">
        <x:v>9</x:v>
      </x:c>
      <x:c r="G1671" s="14" t="str">
        <x:v>12:30</x:v>
      </x:c>
      <x:c r="H1671" s="14" t="str">
        <x:v>研究生宿舍楼</x:v>
      </x:c>
      <x:c r="I1671" s="14" t="str">
        <x:v>否</x:v>
      </x:c>
      <x:c r="J1671" s="14" t="n">
        <x:v>8</x:v>
      </x:c>
      <x:c r="K1671" s="14" t="str">
        <x:v>理学院</x:v>
      </x:c>
      <x:c r="L1671" s="14" t="n">
        <x:v>10</x:v>
      </x:c>
      <x:c r="M1671" s="14" t="str">
        <x:v>12:40</x:v>
      </x:c>
      <x:c r="N1671" s="14" t="str">
        <x:v>否</x:v>
      </x:c>
      <x:c r="O1671" s="14" t="str">
        <x:v>否</x:v>
      </x:c>
      <x:c r="P1671" s="14" t="str">
        <x:v>郭海燕</x:v>
      </x:c>
      <x:c r="Q1671" s="14" t="str">
        <x:v>5号车</x:v>
      </x:c>
      <x:c r="R1671" s="14" t="str">
        <x:v>预测</x:v>
      </x:c>
      <x:c r="S1671" s="14" t="str">
        <x:v>到站时间为估算值</x:v>
      </x:c>
      <x:c r="T1671" t="str">
        <x:v>研究生宿舍楼发车</x:v>
      </x:c>
    </x:row>
    <x:row r="1672">
      <x:c r="A1672" s="14" t="str">
        <x:v>S0143-09</x:v>
      </x:c>
      <x:c r="B1672" s="14" t="str">
        <x:v>S0143</x:v>
      </x:c>
      <x:c r="C1672" s="14" t="str">
        <x:v>工作日</x:v>
      </x:c>
      <x:c r="D1672" s="14" t="str">
        <x:v>环线3路</x:v>
      </x:c>
      <x:c r="E1672" s="14" t="str">
        <x:v>第二班</x:v>
      </x:c>
      <x:c r="F1672" s="14" t="n">
        <x:v>9</x:v>
      </x:c>
      <x:c r="G1672" s="14" t="str">
        <x:v>12:30</x:v>
      </x:c>
      <x:c r="H1672" s="14" t="str">
        <x:v>研究生宿舍楼</x:v>
      </x:c>
      <x:c r="I1672" s="14" t="str">
        <x:v>否</x:v>
      </x:c>
      <x:c r="J1672" s="14" t="n">
        <x:v>9</x:v>
      </x:c>
      <x:c r="K1672" s="14" t="str">
        <x:v>二食堂</x:v>
      </x:c>
      <x:c r="L1672" s="14" t="n">
        <x:v>13</x:v>
      </x:c>
      <x:c r="M1672" s="14" t="str">
        <x:v>12:43</x:v>
      </x:c>
      <x:c r="N1672" s="14" t="str">
        <x:v>否</x:v>
      </x:c>
      <x:c r="O1672" s="14" t="str">
        <x:v>否</x:v>
      </x:c>
      <x:c r="P1672" s="14" t="str">
        <x:v>郭海燕</x:v>
      </x:c>
      <x:c r="Q1672" s="14" t="str">
        <x:v>5号车</x:v>
      </x:c>
      <x:c r="R1672" s="14" t="str">
        <x:v>预测</x:v>
      </x:c>
      <x:c r="S1672" s="14" t="str">
        <x:v>到站时间为估算值</x:v>
      </x:c>
      <x:c r="T1672" t="str">
        <x:v>研究生宿舍楼发车</x:v>
      </x:c>
    </x:row>
    <x:row r="1673">
      <x:c r="A1673" s="14" t="str">
        <x:v>S0143-10</x:v>
      </x:c>
      <x:c r="B1673" s="14" t="str">
        <x:v>S0143</x:v>
      </x:c>
      <x:c r="C1673" s="14" t="str">
        <x:v>工作日</x:v>
      </x:c>
      <x:c r="D1673" s="14" t="str">
        <x:v>环线3路</x:v>
      </x:c>
      <x:c r="E1673" s="14" t="str">
        <x:v>第二班</x:v>
      </x:c>
      <x:c r="F1673" s="14" t="n">
        <x:v>9</x:v>
      </x:c>
      <x:c r="G1673" s="14" t="str">
        <x:v>12:30</x:v>
      </x:c>
      <x:c r="H1673" s="14" t="str">
        <x:v>研究生宿舍楼</x:v>
      </x:c>
      <x:c r="I1673" s="14" t="str">
        <x:v>否</x:v>
      </x:c>
      <x:c r="J1673" s="14" t="n">
        <x:v>10</x:v>
      </x:c>
      <x:c r="K1673" s="14" t="str">
        <x:v>图书馆</x:v>
      </x:c>
      <x:c r="L1673" s="14" t="n">
        <x:v>14</x:v>
      </x:c>
      <x:c r="M1673" s="14" t="str">
        <x:v>12:44</x:v>
      </x:c>
      <x:c r="N1673" s="14" t="str">
        <x:v>否</x:v>
      </x:c>
      <x:c r="O1673" s="14" t="str">
        <x:v>否</x:v>
      </x:c>
      <x:c r="P1673" s="14" t="str">
        <x:v>郭海燕</x:v>
      </x:c>
      <x:c r="Q1673" s="14" t="str">
        <x:v>5号车</x:v>
      </x:c>
      <x:c r="R1673" s="14" t="str">
        <x:v>预测</x:v>
      </x:c>
      <x:c r="S1673" s="14" t="str">
        <x:v>到站时间为估算值</x:v>
      </x:c>
      <x:c r="T1673" t="str">
        <x:v>研究生宿舍楼发车</x:v>
      </x:c>
    </x:row>
    <x:row r="1674">
      <x:c r="A1674" s="14" t="str">
        <x:v>S0143-11</x:v>
      </x:c>
      <x:c r="B1674" s="14" t="str">
        <x:v>S0143</x:v>
      </x:c>
      <x:c r="C1674" s="14" t="str">
        <x:v>工作日</x:v>
      </x:c>
      <x:c r="D1674" s="14" t="str">
        <x:v>环线3路</x:v>
      </x:c>
      <x:c r="E1674" s="14" t="str">
        <x:v>第二班</x:v>
      </x:c>
      <x:c r="F1674" s="14" t="n">
        <x:v>9</x:v>
      </x:c>
      <x:c r="G1674" s="14" t="str">
        <x:v>12:30</x:v>
      </x:c>
      <x:c r="H1674" s="14" t="str">
        <x:v>研究生宿舍楼</x:v>
      </x:c>
      <x:c r="I1674" s="14" t="str">
        <x:v>否</x:v>
      </x:c>
      <x:c r="J1674" s="14" t="n">
        <x:v>11</x:v>
      </x:c>
      <x:c r="K1674" s="14" t="str">
        <x:v>305教学楼</x:v>
      </x:c>
      <x:c r="L1674" s="14" t="n">
        <x:v>16</x:v>
      </x:c>
      <x:c r="M1674" s="14" t="str">
        <x:v>12:46</x:v>
      </x:c>
      <x:c r="N1674" s="14" t="str">
        <x:v>否</x:v>
      </x:c>
      <x:c r="O1674" s="14" t="str">
        <x:v>否</x:v>
      </x:c>
      <x:c r="P1674" s="14" t="str">
        <x:v>郭海燕</x:v>
      </x:c>
      <x:c r="Q1674" s="14" t="str">
        <x:v>5号车</x:v>
      </x:c>
      <x:c r="R1674" s="14" t="str">
        <x:v>预测</x:v>
      </x:c>
      <x:c r="S1674" s="14" t="str">
        <x:v>到站时间为估算值</x:v>
      </x:c>
      <x:c r="T1674" t="str">
        <x:v>研究生宿舍楼发车</x:v>
      </x:c>
    </x:row>
    <x:row r="1675">
      <x:c r="A1675" s="14" t="str">
        <x:v>S0143-12</x:v>
      </x:c>
      <x:c r="B1675" s="14" t="str">
        <x:v>S0143</x:v>
      </x:c>
      <x:c r="C1675" s="14" t="str">
        <x:v>工作日</x:v>
      </x:c>
      <x:c r="D1675" s="14" t="str">
        <x:v>环线3路</x:v>
      </x:c>
      <x:c r="E1675" s="14" t="str">
        <x:v>第二班</x:v>
      </x:c>
      <x:c r="F1675" s="14" t="n">
        <x:v>9</x:v>
      </x:c>
      <x:c r="G1675" s="14" t="str">
        <x:v>12:30</x:v>
      </x:c>
      <x:c r="H1675" s="14" t="str">
        <x:v>研究生宿舍楼</x:v>
      </x:c>
      <x:c r="I1675" s="14" t="str">
        <x:v>否</x:v>
      </x:c>
      <x:c r="J1675" s="14" t="n">
        <x:v>12</x:v>
      </x:c>
      <x:c r="K1675" s="14" t="str">
        <x:v>研究生宿舍楼</x:v>
      </x:c>
      <x:c r="L1675" s="14" t="n">
        <x:v>18</x:v>
      </x:c>
      <x:c r="M1675" s="14" t="str">
        <x:v>12:48</x:v>
      </x:c>
      <x:c r="N1675" s="14" t="str">
        <x:v>否</x:v>
      </x:c>
      <x:c r="O1675" s="14" t="str">
        <x:v>是</x:v>
      </x:c>
      <x:c r="P1675" s="14" t="str">
        <x:v>郭海燕</x:v>
      </x:c>
      <x:c r="Q1675" s="14" t="str">
        <x:v>5号车</x:v>
      </x:c>
      <x:c r="R1675" s="14" t="str">
        <x:v>预测</x:v>
      </x:c>
      <x:c r="S1675" s="14" t="str">
        <x:v>到站时间为估算值</x:v>
      </x:c>
      <x:c r="T1675" t="str">
        <x:v>研究生宿舍楼发车</x:v>
      </x:c>
    </x:row>
    <x:row r="1676">
      <x:c r="A1676" s="14" t="str">
        <x:v>S0144-01</x:v>
      </x:c>
      <x:c r="B1676" s="14" t="str">
        <x:v>S0144</x:v>
      </x:c>
      <x:c r="C1676" s="14" t="str">
        <x:v>工作日</x:v>
      </x:c>
      <x:c r="D1676" s="14" t="str">
        <x:v>环线3路</x:v>
      </x:c>
      <x:c r="E1676" s="14" t="str">
        <x:v>第二班</x:v>
      </x:c>
      <x:c r="F1676" s="14" t="n">
        <x:v>10</x:v>
      </x:c>
      <x:c r="G1676" s="14" t="str">
        <x:v>15:25</x:v>
      </x:c>
      <x:c r="H1676" s="14" t="str">
        <x:v>研究生宿舍楼</x:v>
      </x:c>
      <x:c r="I1676" s="14" t="str">
        <x:v>否</x:v>
      </x:c>
      <x:c r="J1676" s="14" t="n">
        <x:v>1</x:v>
      </x:c>
      <x:c r="K1676" s="14" t="str">
        <x:v>研究生宿舍楼</x:v>
      </x:c>
      <x:c r="L1676" s="14" t="n">
        <x:v>0</x:v>
      </x:c>
      <x:c r="M1676" s="14" t="str">
        <x:v>15:25</x:v>
      </x:c>
      <x:c r="N1676" s="14" t="str">
        <x:v>是</x:v>
      </x:c>
      <x:c r="O1676" s="14" t="str">
        <x:v>否</x:v>
      </x:c>
      <x:c r="P1676" s="14" t="str">
        <x:v>郭海燕</x:v>
      </x:c>
      <x:c r="Q1676" s="14" t="str">
        <x:v>5号车</x:v>
      </x:c>
      <x:c r="R1676" s="14" t="str">
        <x:v>预测</x:v>
      </x:c>
      <x:c r="S1676" s="14" t="str">
        <x:v>到站时间为估算值</x:v>
      </x:c>
      <x:c r="T1676" t="str">
        <x:v>研究生宿舍楼发车</x:v>
      </x:c>
    </x:row>
    <x:row r="1677">
      <x:c r="A1677" s="14" t="str">
        <x:v>S0144-02</x:v>
      </x:c>
      <x:c r="B1677" s="14" t="str">
        <x:v>S0144</x:v>
      </x:c>
      <x:c r="C1677" s="14" t="str">
        <x:v>工作日</x:v>
      </x:c>
      <x:c r="D1677" s="14" t="str">
        <x:v>环线3路</x:v>
      </x:c>
      <x:c r="E1677" s="14" t="str">
        <x:v>第二班</x:v>
      </x:c>
      <x:c r="F1677" s="14" t="n">
        <x:v>10</x:v>
      </x:c>
      <x:c r="G1677" s="14" t="str">
        <x:v>15:25</x:v>
      </x:c>
      <x:c r="H1677" s="14" t="str">
        <x:v>研究生宿舍楼</x:v>
      </x:c>
      <x:c r="I1677" s="14" t="str">
        <x:v>否</x:v>
      </x:c>
      <x:c r="J1677" s="14" t="n">
        <x:v>2</x:v>
      </x:c>
      <x:c r="K1677" s="14" t="str">
        <x:v>一食堂</x:v>
      </x:c>
      <x:c r="L1677" s="14" t="n">
        <x:v>1</x:v>
      </x:c>
      <x:c r="M1677" s="14" t="str">
        <x:v>15:26</x:v>
      </x:c>
      <x:c r="N1677" s="14" t="str">
        <x:v>否</x:v>
      </x:c>
      <x:c r="O1677" s="14" t="str">
        <x:v>否</x:v>
      </x:c>
      <x:c r="P1677" s="14" t="str">
        <x:v>郭海燕</x:v>
      </x:c>
      <x:c r="Q1677" s="14" t="str">
        <x:v>5号车</x:v>
      </x:c>
      <x:c r="R1677" s="14" t="str">
        <x:v>预测</x:v>
      </x:c>
      <x:c r="S1677" s="14" t="str">
        <x:v>到站时间为估算值</x:v>
      </x:c>
      <x:c r="T1677" t="str">
        <x:v>研究生宿舍楼发车</x:v>
      </x:c>
    </x:row>
    <x:row r="1678">
      <x:c r="A1678" s="14" t="str">
        <x:v>S0144-03</x:v>
      </x:c>
      <x:c r="B1678" s="14" t="str">
        <x:v>S0144</x:v>
      </x:c>
      <x:c r="C1678" s="14" t="str">
        <x:v>工作日</x:v>
      </x:c>
      <x:c r="D1678" s="14" t="str">
        <x:v>环线3路</x:v>
      </x:c>
      <x:c r="E1678" s="14" t="str">
        <x:v>第二班</x:v>
      </x:c>
      <x:c r="F1678" s="14" t="n">
        <x:v>10</x:v>
      </x:c>
      <x:c r="G1678" s="14" t="str">
        <x:v>15:25</x:v>
      </x:c>
      <x:c r="H1678" s="14" t="str">
        <x:v>研究生宿舍楼</x:v>
      </x:c>
      <x:c r="I1678" s="14" t="str">
        <x:v>否</x:v>
      </x:c>
      <x:c r="J1678" s="14" t="n">
        <x:v>3</x:v>
      </x:c>
      <x:c r="K1678" s="14" t="str">
        <x:v>2号宿舍楼</x:v>
      </x:c>
      <x:c r="L1678" s="14" t="n">
        <x:v>3</x:v>
      </x:c>
      <x:c r="M1678" s="14" t="str">
        <x:v>15:28</x:v>
      </x:c>
      <x:c r="N1678" s="14" t="str">
        <x:v>否</x:v>
      </x:c>
      <x:c r="O1678" s="14" t="str">
        <x:v>否</x:v>
      </x:c>
      <x:c r="P1678" s="14" t="str">
        <x:v>郭海燕</x:v>
      </x:c>
      <x:c r="Q1678" s="14" t="str">
        <x:v>5号车</x:v>
      </x:c>
      <x:c r="R1678" s="14" t="str">
        <x:v>预测</x:v>
      </x:c>
      <x:c r="S1678" s="14" t="str">
        <x:v>到站时间为估算值</x:v>
      </x:c>
      <x:c r="T1678" t="str">
        <x:v>研究生宿舍楼发车</x:v>
      </x:c>
    </x:row>
    <x:row r="1679">
      <x:c r="A1679" s="14" t="str">
        <x:v>S0144-04</x:v>
      </x:c>
      <x:c r="B1679" s="14" t="str">
        <x:v>S0144</x:v>
      </x:c>
      <x:c r="C1679" s="14" t="str">
        <x:v>工作日</x:v>
      </x:c>
      <x:c r="D1679" s="14" t="str">
        <x:v>环线3路</x:v>
      </x:c>
      <x:c r="E1679" s="14" t="str">
        <x:v>第二班</x:v>
      </x:c>
      <x:c r="F1679" s="14" t="n">
        <x:v>10</x:v>
      </x:c>
      <x:c r="G1679" s="14" t="str">
        <x:v>15:25</x:v>
      </x:c>
      <x:c r="H1679" s="14" t="str">
        <x:v>研究生宿舍楼</x:v>
      </x:c>
      <x:c r="I1679" s="14" t="str">
        <x:v>否</x:v>
      </x:c>
      <x:c r="J1679" s="14" t="n">
        <x:v>4</x:v>
      </x:c>
      <x:c r="K1679" s="14" t="str">
        <x:v>军体活动中心</x:v>
      </x:c>
      <x:c r="L1679" s="14" t="n">
        <x:v>4</x:v>
      </x:c>
      <x:c r="M1679" s="14" t="str">
        <x:v>15:29</x:v>
      </x:c>
      <x:c r="N1679" s="14" t="str">
        <x:v>否</x:v>
      </x:c>
      <x:c r="O1679" s="14" t="str">
        <x:v>否</x:v>
      </x:c>
      <x:c r="P1679" s="14" t="str">
        <x:v>郭海燕</x:v>
      </x:c>
      <x:c r="Q1679" s="14" t="str">
        <x:v>5号车</x:v>
      </x:c>
      <x:c r="R1679" s="14" t="str">
        <x:v>预测</x:v>
      </x:c>
      <x:c r="S1679" s="14" t="str">
        <x:v>到站时间为估算值</x:v>
      </x:c>
      <x:c r="T1679" t="str">
        <x:v>研究生宿舍楼发车</x:v>
      </x:c>
    </x:row>
    <x:row r="1680">
      <x:c r="A1680" s="14" t="str">
        <x:v>S0144-05</x:v>
      </x:c>
      <x:c r="B1680" s="14" t="str">
        <x:v>S0144</x:v>
      </x:c>
      <x:c r="C1680" s="14" t="str">
        <x:v>工作日</x:v>
      </x:c>
      <x:c r="D1680" s="14" t="str">
        <x:v>环线3路</x:v>
      </x:c>
      <x:c r="E1680" s="14" t="str">
        <x:v>第二班</x:v>
      </x:c>
      <x:c r="F1680" s="14" t="n">
        <x:v>10</x:v>
      </x:c>
      <x:c r="G1680" s="14" t="str">
        <x:v>15:25</x:v>
      </x:c>
      <x:c r="H1680" s="14" t="str">
        <x:v>研究生宿舍楼</x:v>
      </x:c>
      <x:c r="I1680" s="14" t="str">
        <x:v>否</x:v>
      </x:c>
      <x:c r="J1680" s="14" t="n">
        <x:v>5</x:v>
      </x:c>
      <x:c r="K1680" s="14" t="str">
        <x:v>教勤连</x:v>
      </x:c>
      <x:c r="L1680" s="14" t="n">
        <x:v>6</x:v>
      </x:c>
      <x:c r="M1680" s="14" t="str">
        <x:v>15:31</x:v>
      </x:c>
      <x:c r="N1680" s="14" t="str">
        <x:v>否</x:v>
      </x:c>
      <x:c r="O1680" s="14" t="str">
        <x:v>否</x:v>
      </x:c>
      <x:c r="P1680" s="14" t="str">
        <x:v>郭海燕</x:v>
      </x:c>
      <x:c r="Q1680" s="14" t="str">
        <x:v>5号车</x:v>
      </x:c>
      <x:c r="R1680" s="14" t="str">
        <x:v>预测</x:v>
      </x:c>
      <x:c r="S1680" s="14" t="str">
        <x:v>到站时间为估算值</x:v>
      </x:c>
      <x:c r="T1680" t="str">
        <x:v>研究生宿舍楼发车</x:v>
      </x:c>
    </x:row>
    <x:row r="1681">
      <x:c r="A1681" s="14" t="str">
        <x:v>S0144-06</x:v>
      </x:c>
      <x:c r="B1681" s="14" t="str">
        <x:v>S0144</x:v>
      </x:c>
      <x:c r="C1681" s="14" t="str">
        <x:v>工作日</x:v>
      </x:c>
      <x:c r="D1681" s="14" t="str">
        <x:v>环线3路</x:v>
      </x:c>
      <x:c r="E1681" s="14" t="str">
        <x:v>第二班</x:v>
      </x:c>
      <x:c r="F1681" s="14" t="n">
        <x:v>10</x:v>
      </x:c>
      <x:c r="G1681" s="14" t="str">
        <x:v>15:25</x:v>
      </x:c>
      <x:c r="H1681" s="14" t="str">
        <x:v>研究生宿舍楼</x:v>
      </x:c>
      <x:c r="I1681" s="14" t="str">
        <x:v>否</x:v>
      </x:c>
      <x:c r="J1681" s="14" t="n">
        <x:v>6</x:v>
      </x:c>
      <x:c r="K1681" s="14" t="str">
        <x:v>激光所</x:v>
      </x:c>
      <x:c r="L1681" s="14" t="n">
        <x:v>7</x:v>
      </x:c>
      <x:c r="M1681" s="14" t="str">
        <x:v>15:32</x:v>
      </x:c>
      <x:c r="N1681" s="14" t="str">
        <x:v>否</x:v>
      </x:c>
      <x:c r="O1681" s="14" t="str">
        <x:v>否</x:v>
      </x:c>
      <x:c r="P1681" s="14" t="str">
        <x:v>郭海燕</x:v>
      </x:c>
      <x:c r="Q1681" s="14" t="str">
        <x:v>5号车</x:v>
      </x:c>
      <x:c r="R1681" s="14" t="str">
        <x:v>预测</x:v>
      </x:c>
      <x:c r="S1681" s="14" t="str">
        <x:v>到站时间为估算值</x:v>
      </x:c>
      <x:c r="T1681" t="str">
        <x:v>研究生宿舍楼发车</x:v>
      </x:c>
    </x:row>
    <x:row r="1682">
      <x:c r="A1682" s="14" t="str">
        <x:v>S0144-07</x:v>
      </x:c>
      <x:c r="B1682" s="14" t="str">
        <x:v>S0144</x:v>
      </x:c>
      <x:c r="C1682" s="14" t="str">
        <x:v>工作日</x:v>
      </x:c>
      <x:c r="D1682" s="14" t="str">
        <x:v>环线3路</x:v>
      </x:c>
      <x:c r="E1682" s="14" t="str">
        <x:v>第二班</x:v>
      </x:c>
      <x:c r="F1682" s="14" t="n">
        <x:v>10</x:v>
      </x:c>
      <x:c r="G1682" s="14" t="str">
        <x:v>15:25</x:v>
      </x:c>
      <x:c r="H1682" s="14" t="str">
        <x:v>研究生宿舍楼</x:v>
      </x:c>
      <x:c r="I1682" s="14" t="str">
        <x:v>否</x:v>
      </x:c>
      <x:c r="J1682" s="14" t="n">
        <x:v>7</x:v>
      </x:c>
      <x:c r="K1682" s="14" t="str">
        <x:v>高超楼</x:v>
      </x:c>
      <x:c r="L1682" s="14" t="n">
        <x:v>9</x:v>
      </x:c>
      <x:c r="M1682" s="14" t="str">
        <x:v>15:34</x:v>
      </x:c>
      <x:c r="N1682" s="14" t="str">
        <x:v>否</x:v>
      </x:c>
      <x:c r="O1682" s="14" t="str">
        <x:v>否</x:v>
      </x:c>
      <x:c r="P1682" s="14" t="str">
        <x:v>郭海燕</x:v>
      </x:c>
      <x:c r="Q1682" s="14" t="str">
        <x:v>5号车</x:v>
      </x:c>
      <x:c r="R1682" s="14" t="str">
        <x:v>预测</x:v>
      </x:c>
      <x:c r="S1682" s="14" t="str">
        <x:v>到站时间为估算值</x:v>
      </x:c>
      <x:c r="T1682" t="str">
        <x:v>研究生宿舍楼发车</x:v>
      </x:c>
    </x:row>
    <x:row r="1683">
      <x:c r="A1683" s="14" t="str">
        <x:v>S0144-08</x:v>
      </x:c>
      <x:c r="B1683" s="14" t="str">
        <x:v>S0144</x:v>
      </x:c>
      <x:c r="C1683" s="14" t="str">
        <x:v>工作日</x:v>
      </x:c>
      <x:c r="D1683" s="14" t="str">
        <x:v>环线3路</x:v>
      </x:c>
      <x:c r="E1683" s="14" t="str">
        <x:v>第二班</x:v>
      </x:c>
      <x:c r="F1683" s="14" t="n">
        <x:v>10</x:v>
      </x:c>
      <x:c r="G1683" s="14" t="str">
        <x:v>15:25</x:v>
      </x:c>
      <x:c r="H1683" s="14" t="str">
        <x:v>研究生宿舍楼</x:v>
      </x:c>
      <x:c r="I1683" s="14" t="str">
        <x:v>否</x:v>
      </x:c>
      <x:c r="J1683" s="14" t="n">
        <x:v>8</x:v>
      </x:c>
      <x:c r="K1683" s="14" t="str">
        <x:v>理学院</x:v>
      </x:c>
      <x:c r="L1683" s="14" t="n">
        <x:v>10</x:v>
      </x:c>
      <x:c r="M1683" s="14" t="str">
        <x:v>15:35</x:v>
      </x:c>
      <x:c r="N1683" s="14" t="str">
        <x:v>否</x:v>
      </x:c>
      <x:c r="O1683" s="14" t="str">
        <x:v>否</x:v>
      </x:c>
      <x:c r="P1683" s="14" t="str">
        <x:v>郭海燕</x:v>
      </x:c>
      <x:c r="Q1683" s="14" t="str">
        <x:v>5号车</x:v>
      </x:c>
      <x:c r="R1683" s="14" t="str">
        <x:v>预测</x:v>
      </x:c>
      <x:c r="S1683" s="14" t="str">
        <x:v>到站时间为估算值</x:v>
      </x:c>
      <x:c r="T1683" t="str">
        <x:v>研究生宿舍楼发车</x:v>
      </x:c>
    </x:row>
    <x:row r="1684">
      <x:c r="A1684" s="14" t="str">
        <x:v>S0144-09</x:v>
      </x:c>
      <x:c r="B1684" s="14" t="str">
        <x:v>S0144</x:v>
      </x:c>
      <x:c r="C1684" s="14" t="str">
        <x:v>工作日</x:v>
      </x:c>
      <x:c r="D1684" s="14" t="str">
        <x:v>环线3路</x:v>
      </x:c>
      <x:c r="E1684" s="14" t="str">
        <x:v>第二班</x:v>
      </x:c>
      <x:c r="F1684" s="14" t="n">
        <x:v>10</x:v>
      </x:c>
      <x:c r="G1684" s="14" t="str">
        <x:v>15:25</x:v>
      </x:c>
      <x:c r="H1684" s="14" t="str">
        <x:v>研究生宿舍楼</x:v>
      </x:c>
      <x:c r="I1684" s="14" t="str">
        <x:v>否</x:v>
      </x:c>
      <x:c r="J1684" s="14" t="n">
        <x:v>9</x:v>
      </x:c>
      <x:c r="K1684" s="14" t="str">
        <x:v>二食堂</x:v>
      </x:c>
      <x:c r="L1684" s="14" t="n">
        <x:v>13</x:v>
      </x:c>
      <x:c r="M1684" s="14" t="str">
        <x:v>15:38</x:v>
      </x:c>
      <x:c r="N1684" s="14" t="str">
        <x:v>否</x:v>
      </x:c>
      <x:c r="O1684" s="14" t="str">
        <x:v>否</x:v>
      </x:c>
      <x:c r="P1684" s="14" t="str">
        <x:v>郭海燕</x:v>
      </x:c>
      <x:c r="Q1684" s="14" t="str">
        <x:v>5号车</x:v>
      </x:c>
      <x:c r="R1684" s="14" t="str">
        <x:v>预测</x:v>
      </x:c>
      <x:c r="S1684" s="14" t="str">
        <x:v>到站时间为估算值</x:v>
      </x:c>
      <x:c r="T1684" t="str">
        <x:v>研究生宿舍楼发车</x:v>
      </x:c>
    </x:row>
    <x:row r="1685">
      <x:c r="A1685" s="14" t="str">
        <x:v>S0144-10</x:v>
      </x:c>
      <x:c r="B1685" s="14" t="str">
        <x:v>S0144</x:v>
      </x:c>
      <x:c r="C1685" s="14" t="str">
        <x:v>工作日</x:v>
      </x:c>
      <x:c r="D1685" s="14" t="str">
        <x:v>环线3路</x:v>
      </x:c>
      <x:c r="E1685" s="14" t="str">
        <x:v>第二班</x:v>
      </x:c>
      <x:c r="F1685" s="14" t="n">
        <x:v>10</x:v>
      </x:c>
      <x:c r="G1685" s="14" t="str">
        <x:v>15:25</x:v>
      </x:c>
      <x:c r="H1685" s="14" t="str">
        <x:v>研究生宿舍楼</x:v>
      </x:c>
      <x:c r="I1685" s="14" t="str">
        <x:v>否</x:v>
      </x:c>
      <x:c r="J1685" s="14" t="n">
        <x:v>10</x:v>
      </x:c>
      <x:c r="K1685" s="14" t="str">
        <x:v>图书馆</x:v>
      </x:c>
      <x:c r="L1685" s="14" t="n">
        <x:v>14</x:v>
      </x:c>
      <x:c r="M1685" s="14" t="str">
        <x:v>15:39</x:v>
      </x:c>
      <x:c r="N1685" s="14" t="str">
        <x:v>否</x:v>
      </x:c>
      <x:c r="O1685" s="14" t="str">
        <x:v>否</x:v>
      </x:c>
      <x:c r="P1685" s="14" t="str">
        <x:v>郭海燕</x:v>
      </x:c>
      <x:c r="Q1685" s="14" t="str">
        <x:v>5号车</x:v>
      </x:c>
      <x:c r="R1685" s="14" t="str">
        <x:v>预测</x:v>
      </x:c>
      <x:c r="S1685" s="14" t="str">
        <x:v>到站时间为估算值</x:v>
      </x:c>
      <x:c r="T1685" t="str">
        <x:v>研究生宿舍楼发车</x:v>
      </x:c>
    </x:row>
    <x:row r="1686">
      <x:c r="A1686" s="14" t="str">
        <x:v>S0144-11</x:v>
      </x:c>
      <x:c r="B1686" s="14" t="str">
        <x:v>S0144</x:v>
      </x:c>
      <x:c r="C1686" s="14" t="str">
        <x:v>工作日</x:v>
      </x:c>
      <x:c r="D1686" s="14" t="str">
        <x:v>环线3路</x:v>
      </x:c>
      <x:c r="E1686" s="14" t="str">
        <x:v>第二班</x:v>
      </x:c>
      <x:c r="F1686" s="14" t="n">
        <x:v>10</x:v>
      </x:c>
      <x:c r="G1686" s="14" t="str">
        <x:v>15:25</x:v>
      </x:c>
      <x:c r="H1686" s="14" t="str">
        <x:v>研究生宿舍楼</x:v>
      </x:c>
      <x:c r="I1686" s="14" t="str">
        <x:v>否</x:v>
      </x:c>
      <x:c r="J1686" s="14" t="n">
        <x:v>11</x:v>
      </x:c>
      <x:c r="K1686" s="14" t="str">
        <x:v>305教学楼</x:v>
      </x:c>
      <x:c r="L1686" s="14" t="n">
        <x:v>16</x:v>
      </x:c>
      <x:c r="M1686" s="14" t="str">
        <x:v>15:41</x:v>
      </x:c>
      <x:c r="N1686" s="14" t="str">
        <x:v>否</x:v>
      </x:c>
      <x:c r="O1686" s="14" t="str">
        <x:v>否</x:v>
      </x:c>
      <x:c r="P1686" s="14" t="str">
        <x:v>郭海燕</x:v>
      </x:c>
      <x:c r="Q1686" s="14" t="str">
        <x:v>5号车</x:v>
      </x:c>
      <x:c r="R1686" s="14" t="str">
        <x:v>预测</x:v>
      </x:c>
      <x:c r="S1686" s="14" t="str">
        <x:v>到站时间为估算值</x:v>
      </x:c>
      <x:c r="T1686" t="str">
        <x:v>研究生宿舍楼发车</x:v>
      </x:c>
    </x:row>
    <x:row r="1687">
      <x:c r="A1687" s="14" t="str">
        <x:v>S0144-12</x:v>
      </x:c>
      <x:c r="B1687" s="14" t="str">
        <x:v>S0144</x:v>
      </x:c>
      <x:c r="C1687" s="14" t="str">
        <x:v>工作日</x:v>
      </x:c>
      <x:c r="D1687" s="14" t="str">
        <x:v>环线3路</x:v>
      </x:c>
      <x:c r="E1687" s="14" t="str">
        <x:v>第二班</x:v>
      </x:c>
      <x:c r="F1687" s="14" t="n">
        <x:v>10</x:v>
      </x:c>
      <x:c r="G1687" s="14" t="str">
        <x:v>15:25</x:v>
      </x:c>
      <x:c r="H1687" s="14" t="str">
        <x:v>研究生宿舍楼</x:v>
      </x:c>
      <x:c r="I1687" s="14" t="str">
        <x:v>否</x:v>
      </x:c>
      <x:c r="J1687" s="14" t="n">
        <x:v>12</x:v>
      </x:c>
      <x:c r="K1687" s="14" t="str">
        <x:v>研究生宿舍楼</x:v>
      </x:c>
      <x:c r="L1687" s="14" t="n">
        <x:v>18</x:v>
      </x:c>
      <x:c r="M1687" s="14" t="str">
        <x:v>15:43</x:v>
      </x:c>
      <x:c r="N1687" s="14" t="str">
        <x:v>否</x:v>
      </x:c>
      <x:c r="O1687" s="14" t="str">
        <x:v>是</x:v>
      </x:c>
      <x:c r="P1687" s="14" t="str">
        <x:v>郭海燕</x:v>
      </x:c>
      <x:c r="Q1687" s="14" t="str">
        <x:v>5号车</x:v>
      </x:c>
      <x:c r="R1687" s="14" t="str">
        <x:v>预测</x:v>
      </x:c>
      <x:c r="S1687" s="14" t="str">
        <x:v>到站时间为估算值</x:v>
      </x:c>
      <x:c r="T1687" t="str">
        <x:v>研究生宿舍楼发车</x:v>
      </x:c>
    </x:row>
    <x:row r="1688">
      <x:c r="A1688" s="14" t="str">
        <x:v>S0145-01</x:v>
      </x:c>
      <x:c r="B1688" s="14" t="str">
        <x:v>S0145</x:v>
      </x:c>
      <x:c r="C1688" s="14" t="str">
        <x:v>工作日</x:v>
      </x:c>
      <x:c r="D1688" s="14" t="str">
        <x:v>环线3路</x:v>
      </x:c>
      <x:c r="E1688" s="14" t="str">
        <x:v>第二班</x:v>
      </x:c>
      <x:c r="F1688" s="14" t="n">
        <x:v>11</x:v>
      </x:c>
      <x:c r="G1688" s="14" t="str">
        <x:v>16:20</x:v>
      </x:c>
      <x:c r="H1688" s="14" t="str">
        <x:v>研究生宿舍楼</x:v>
      </x:c>
      <x:c r="I1688" s="14" t="str">
        <x:v>否</x:v>
      </x:c>
      <x:c r="J1688" s="14" t="n">
        <x:v>1</x:v>
      </x:c>
      <x:c r="K1688" s="14" t="str">
        <x:v>研究生宿舍楼</x:v>
      </x:c>
      <x:c r="L1688" s="14" t="n">
        <x:v>0</x:v>
      </x:c>
      <x:c r="M1688" s="14" t="str">
        <x:v>16:20</x:v>
      </x:c>
      <x:c r="N1688" s="14" t="str">
        <x:v>是</x:v>
      </x:c>
      <x:c r="O1688" s="14" t="str">
        <x:v>否</x:v>
      </x:c>
      <x:c r="P1688" s="14" t="str">
        <x:v>郭海燕</x:v>
      </x:c>
      <x:c r="Q1688" s="14" t="str">
        <x:v>5号车</x:v>
      </x:c>
      <x:c r="R1688" s="14" t="str">
        <x:v>预测</x:v>
      </x:c>
      <x:c r="S1688" s="14" t="str">
        <x:v>到站时间为估算值</x:v>
      </x:c>
      <x:c r="T1688" t="str">
        <x:v>研究生宿舍楼发车</x:v>
      </x:c>
    </x:row>
    <x:row r="1689">
      <x:c r="A1689" s="14" t="str">
        <x:v>S0145-02</x:v>
      </x:c>
      <x:c r="B1689" s="14" t="str">
        <x:v>S0145</x:v>
      </x:c>
      <x:c r="C1689" s="14" t="str">
        <x:v>工作日</x:v>
      </x:c>
      <x:c r="D1689" s="14" t="str">
        <x:v>环线3路</x:v>
      </x:c>
      <x:c r="E1689" s="14" t="str">
        <x:v>第二班</x:v>
      </x:c>
      <x:c r="F1689" s="14" t="n">
        <x:v>11</x:v>
      </x:c>
      <x:c r="G1689" s="14" t="str">
        <x:v>16:20</x:v>
      </x:c>
      <x:c r="H1689" s="14" t="str">
        <x:v>研究生宿舍楼</x:v>
      </x:c>
      <x:c r="I1689" s="14" t="str">
        <x:v>否</x:v>
      </x:c>
      <x:c r="J1689" s="14" t="n">
        <x:v>2</x:v>
      </x:c>
      <x:c r="K1689" s="14" t="str">
        <x:v>一食堂</x:v>
      </x:c>
      <x:c r="L1689" s="14" t="n">
        <x:v>1</x:v>
      </x:c>
      <x:c r="M1689" s="14" t="str">
        <x:v>16:21</x:v>
      </x:c>
      <x:c r="N1689" s="14" t="str">
        <x:v>否</x:v>
      </x:c>
      <x:c r="O1689" s="14" t="str">
        <x:v>否</x:v>
      </x:c>
      <x:c r="P1689" s="14" t="str">
        <x:v>郭海燕</x:v>
      </x:c>
      <x:c r="Q1689" s="14" t="str">
        <x:v>5号车</x:v>
      </x:c>
      <x:c r="R1689" s="14" t="str">
        <x:v>预测</x:v>
      </x:c>
      <x:c r="S1689" s="14" t="str">
        <x:v>到站时间为估算值</x:v>
      </x:c>
      <x:c r="T1689" t="str">
        <x:v>研究生宿舍楼发车</x:v>
      </x:c>
    </x:row>
    <x:row r="1690">
      <x:c r="A1690" s="14" t="str">
        <x:v>S0145-03</x:v>
      </x:c>
      <x:c r="B1690" s="14" t="str">
        <x:v>S0145</x:v>
      </x:c>
      <x:c r="C1690" s="14" t="str">
        <x:v>工作日</x:v>
      </x:c>
      <x:c r="D1690" s="14" t="str">
        <x:v>环线3路</x:v>
      </x:c>
      <x:c r="E1690" s="14" t="str">
        <x:v>第二班</x:v>
      </x:c>
      <x:c r="F1690" s="14" t="n">
        <x:v>11</x:v>
      </x:c>
      <x:c r="G1690" s="14" t="str">
        <x:v>16:20</x:v>
      </x:c>
      <x:c r="H1690" s="14" t="str">
        <x:v>研究生宿舍楼</x:v>
      </x:c>
      <x:c r="I1690" s="14" t="str">
        <x:v>否</x:v>
      </x:c>
      <x:c r="J1690" s="14" t="n">
        <x:v>3</x:v>
      </x:c>
      <x:c r="K1690" s="14" t="str">
        <x:v>2号宿舍楼</x:v>
      </x:c>
      <x:c r="L1690" s="14" t="n">
        <x:v>3</x:v>
      </x:c>
      <x:c r="M1690" s="14" t="str">
        <x:v>16:23</x:v>
      </x:c>
      <x:c r="N1690" s="14" t="str">
        <x:v>否</x:v>
      </x:c>
      <x:c r="O1690" s="14" t="str">
        <x:v>否</x:v>
      </x:c>
      <x:c r="P1690" s="14" t="str">
        <x:v>郭海燕</x:v>
      </x:c>
      <x:c r="Q1690" s="14" t="str">
        <x:v>5号车</x:v>
      </x:c>
      <x:c r="R1690" s="14" t="str">
        <x:v>预测</x:v>
      </x:c>
      <x:c r="S1690" s="14" t="str">
        <x:v>到站时间为估算值</x:v>
      </x:c>
      <x:c r="T1690" t="str">
        <x:v>研究生宿舍楼发车</x:v>
      </x:c>
    </x:row>
    <x:row r="1691">
      <x:c r="A1691" s="14" t="str">
        <x:v>S0145-04</x:v>
      </x:c>
      <x:c r="B1691" s="14" t="str">
        <x:v>S0145</x:v>
      </x:c>
      <x:c r="C1691" s="14" t="str">
        <x:v>工作日</x:v>
      </x:c>
      <x:c r="D1691" s="14" t="str">
        <x:v>环线3路</x:v>
      </x:c>
      <x:c r="E1691" s="14" t="str">
        <x:v>第二班</x:v>
      </x:c>
      <x:c r="F1691" s="14" t="n">
        <x:v>11</x:v>
      </x:c>
      <x:c r="G1691" s="14" t="str">
        <x:v>16:20</x:v>
      </x:c>
      <x:c r="H1691" s="14" t="str">
        <x:v>研究生宿舍楼</x:v>
      </x:c>
      <x:c r="I1691" s="14" t="str">
        <x:v>否</x:v>
      </x:c>
      <x:c r="J1691" s="14" t="n">
        <x:v>4</x:v>
      </x:c>
      <x:c r="K1691" s="14" t="str">
        <x:v>军体活动中心</x:v>
      </x:c>
      <x:c r="L1691" s="14" t="n">
        <x:v>4</x:v>
      </x:c>
      <x:c r="M1691" s="14" t="str">
        <x:v>16:24</x:v>
      </x:c>
      <x:c r="N1691" s="14" t="str">
        <x:v>否</x:v>
      </x:c>
      <x:c r="O1691" s="14" t="str">
        <x:v>否</x:v>
      </x:c>
      <x:c r="P1691" s="14" t="str">
        <x:v>郭海燕</x:v>
      </x:c>
      <x:c r="Q1691" s="14" t="str">
        <x:v>5号车</x:v>
      </x:c>
      <x:c r="R1691" s="14" t="str">
        <x:v>预测</x:v>
      </x:c>
      <x:c r="S1691" s="14" t="str">
        <x:v>到站时间为估算值</x:v>
      </x:c>
      <x:c r="T1691" t="str">
        <x:v>研究生宿舍楼发车</x:v>
      </x:c>
    </x:row>
    <x:row r="1692">
      <x:c r="A1692" s="14" t="str">
        <x:v>S0145-05</x:v>
      </x:c>
      <x:c r="B1692" s="14" t="str">
        <x:v>S0145</x:v>
      </x:c>
      <x:c r="C1692" s="14" t="str">
        <x:v>工作日</x:v>
      </x:c>
      <x:c r="D1692" s="14" t="str">
        <x:v>环线3路</x:v>
      </x:c>
      <x:c r="E1692" s="14" t="str">
        <x:v>第二班</x:v>
      </x:c>
      <x:c r="F1692" s="14" t="n">
        <x:v>11</x:v>
      </x:c>
      <x:c r="G1692" s="14" t="str">
        <x:v>16:20</x:v>
      </x:c>
      <x:c r="H1692" s="14" t="str">
        <x:v>研究生宿舍楼</x:v>
      </x:c>
      <x:c r="I1692" s="14" t="str">
        <x:v>否</x:v>
      </x:c>
      <x:c r="J1692" s="14" t="n">
        <x:v>5</x:v>
      </x:c>
      <x:c r="K1692" s="14" t="str">
        <x:v>教勤连</x:v>
      </x:c>
      <x:c r="L1692" s="14" t="n">
        <x:v>6</x:v>
      </x:c>
      <x:c r="M1692" s="14" t="str">
        <x:v>16:26</x:v>
      </x:c>
      <x:c r="N1692" s="14" t="str">
        <x:v>否</x:v>
      </x:c>
      <x:c r="O1692" s="14" t="str">
        <x:v>否</x:v>
      </x:c>
      <x:c r="P1692" s="14" t="str">
        <x:v>郭海燕</x:v>
      </x:c>
      <x:c r="Q1692" s="14" t="str">
        <x:v>5号车</x:v>
      </x:c>
      <x:c r="R1692" s="14" t="str">
        <x:v>预测</x:v>
      </x:c>
      <x:c r="S1692" s="14" t="str">
        <x:v>到站时间为估算值</x:v>
      </x:c>
      <x:c r="T1692" t="str">
        <x:v>研究生宿舍楼发车</x:v>
      </x:c>
    </x:row>
    <x:row r="1693">
      <x:c r="A1693" s="14" t="str">
        <x:v>S0145-06</x:v>
      </x:c>
      <x:c r="B1693" s="14" t="str">
        <x:v>S0145</x:v>
      </x:c>
      <x:c r="C1693" s="14" t="str">
        <x:v>工作日</x:v>
      </x:c>
      <x:c r="D1693" s="14" t="str">
        <x:v>环线3路</x:v>
      </x:c>
      <x:c r="E1693" s="14" t="str">
        <x:v>第二班</x:v>
      </x:c>
      <x:c r="F1693" s="14" t="n">
        <x:v>11</x:v>
      </x:c>
      <x:c r="G1693" s="14" t="str">
        <x:v>16:20</x:v>
      </x:c>
      <x:c r="H1693" s="14" t="str">
        <x:v>研究生宿舍楼</x:v>
      </x:c>
      <x:c r="I1693" s="14" t="str">
        <x:v>否</x:v>
      </x:c>
      <x:c r="J1693" s="14" t="n">
        <x:v>6</x:v>
      </x:c>
      <x:c r="K1693" s="14" t="str">
        <x:v>激光所</x:v>
      </x:c>
      <x:c r="L1693" s="14" t="n">
        <x:v>7</x:v>
      </x:c>
      <x:c r="M1693" s="14" t="str">
        <x:v>16:27</x:v>
      </x:c>
      <x:c r="N1693" s="14" t="str">
        <x:v>否</x:v>
      </x:c>
      <x:c r="O1693" s="14" t="str">
        <x:v>否</x:v>
      </x:c>
      <x:c r="P1693" s="14" t="str">
        <x:v>郭海燕</x:v>
      </x:c>
      <x:c r="Q1693" s="14" t="str">
        <x:v>5号车</x:v>
      </x:c>
      <x:c r="R1693" s="14" t="str">
        <x:v>预测</x:v>
      </x:c>
      <x:c r="S1693" s="14" t="str">
        <x:v>到站时间为估算值</x:v>
      </x:c>
      <x:c r="T1693" t="str">
        <x:v>研究生宿舍楼发车</x:v>
      </x:c>
    </x:row>
    <x:row r="1694">
      <x:c r="A1694" s="14" t="str">
        <x:v>S0145-07</x:v>
      </x:c>
      <x:c r="B1694" s="14" t="str">
        <x:v>S0145</x:v>
      </x:c>
      <x:c r="C1694" s="14" t="str">
        <x:v>工作日</x:v>
      </x:c>
      <x:c r="D1694" s="14" t="str">
        <x:v>环线3路</x:v>
      </x:c>
      <x:c r="E1694" s="14" t="str">
        <x:v>第二班</x:v>
      </x:c>
      <x:c r="F1694" s="14" t="n">
        <x:v>11</x:v>
      </x:c>
      <x:c r="G1694" s="14" t="str">
        <x:v>16:20</x:v>
      </x:c>
      <x:c r="H1694" s="14" t="str">
        <x:v>研究生宿舍楼</x:v>
      </x:c>
      <x:c r="I1694" s="14" t="str">
        <x:v>否</x:v>
      </x:c>
      <x:c r="J1694" s="14" t="n">
        <x:v>7</x:v>
      </x:c>
      <x:c r="K1694" s="14" t="str">
        <x:v>高超楼</x:v>
      </x:c>
      <x:c r="L1694" s="14" t="n">
        <x:v>9</x:v>
      </x:c>
      <x:c r="M1694" s="14" t="str">
        <x:v>16:29</x:v>
      </x:c>
      <x:c r="N1694" s="14" t="str">
        <x:v>否</x:v>
      </x:c>
      <x:c r="O1694" s="14" t="str">
        <x:v>否</x:v>
      </x:c>
      <x:c r="P1694" s="14" t="str">
        <x:v>郭海燕</x:v>
      </x:c>
      <x:c r="Q1694" s="14" t="str">
        <x:v>5号车</x:v>
      </x:c>
      <x:c r="R1694" s="14" t="str">
        <x:v>预测</x:v>
      </x:c>
      <x:c r="S1694" s="14" t="str">
        <x:v>到站时间为估算值</x:v>
      </x:c>
      <x:c r="T1694" t="str">
        <x:v>研究生宿舍楼发车</x:v>
      </x:c>
    </x:row>
    <x:row r="1695">
      <x:c r="A1695" s="14" t="str">
        <x:v>S0145-08</x:v>
      </x:c>
      <x:c r="B1695" s="14" t="str">
        <x:v>S0145</x:v>
      </x:c>
      <x:c r="C1695" s="14" t="str">
        <x:v>工作日</x:v>
      </x:c>
      <x:c r="D1695" s="14" t="str">
        <x:v>环线3路</x:v>
      </x:c>
      <x:c r="E1695" s="14" t="str">
        <x:v>第二班</x:v>
      </x:c>
      <x:c r="F1695" s="14" t="n">
        <x:v>11</x:v>
      </x:c>
      <x:c r="G1695" s="14" t="str">
        <x:v>16:20</x:v>
      </x:c>
      <x:c r="H1695" s="14" t="str">
        <x:v>研究生宿舍楼</x:v>
      </x:c>
      <x:c r="I1695" s="14" t="str">
        <x:v>否</x:v>
      </x:c>
      <x:c r="J1695" s="14" t="n">
        <x:v>8</x:v>
      </x:c>
      <x:c r="K1695" s="14" t="str">
        <x:v>理学院</x:v>
      </x:c>
      <x:c r="L1695" s="14" t="n">
        <x:v>10</x:v>
      </x:c>
      <x:c r="M1695" s="14" t="str">
        <x:v>16:30</x:v>
      </x:c>
      <x:c r="N1695" s="14" t="str">
        <x:v>否</x:v>
      </x:c>
      <x:c r="O1695" s="14" t="str">
        <x:v>否</x:v>
      </x:c>
      <x:c r="P1695" s="14" t="str">
        <x:v>郭海燕</x:v>
      </x:c>
      <x:c r="Q1695" s="14" t="str">
        <x:v>5号车</x:v>
      </x:c>
      <x:c r="R1695" s="14" t="str">
        <x:v>预测</x:v>
      </x:c>
      <x:c r="S1695" s="14" t="str">
        <x:v>到站时间为估算值</x:v>
      </x:c>
      <x:c r="T1695" t="str">
        <x:v>研究生宿舍楼发车</x:v>
      </x:c>
    </x:row>
    <x:row r="1696">
      <x:c r="A1696" s="14" t="str">
        <x:v>S0145-09</x:v>
      </x:c>
      <x:c r="B1696" s="14" t="str">
        <x:v>S0145</x:v>
      </x:c>
      <x:c r="C1696" s="14" t="str">
        <x:v>工作日</x:v>
      </x:c>
      <x:c r="D1696" s="14" t="str">
        <x:v>环线3路</x:v>
      </x:c>
      <x:c r="E1696" s="14" t="str">
        <x:v>第二班</x:v>
      </x:c>
      <x:c r="F1696" s="14" t="n">
        <x:v>11</x:v>
      </x:c>
      <x:c r="G1696" s="14" t="str">
        <x:v>16:20</x:v>
      </x:c>
      <x:c r="H1696" s="14" t="str">
        <x:v>研究生宿舍楼</x:v>
      </x:c>
      <x:c r="I1696" s="14" t="str">
        <x:v>否</x:v>
      </x:c>
      <x:c r="J1696" s="14" t="n">
        <x:v>9</x:v>
      </x:c>
      <x:c r="K1696" s="14" t="str">
        <x:v>二食堂</x:v>
      </x:c>
      <x:c r="L1696" s="14" t="n">
        <x:v>13</x:v>
      </x:c>
      <x:c r="M1696" s="14" t="str">
        <x:v>16:33</x:v>
      </x:c>
      <x:c r="N1696" s="14" t="str">
        <x:v>否</x:v>
      </x:c>
      <x:c r="O1696" s="14" t="str">
        <x:v>否</x:v>
      </x:c>
      <x:c r="P1696" s="14" t="str">
        <x:v>郭海燕</x:v>
      </x:c>
      <x:c r="Q1696" s="14" t="str">
        <x:v>5号车</x:v>
      </x:c>
      <x:c r="R1696" s="14" t="str">
        <x:v>预测</x:v>
      </x:c>
      <x:c r="S1696" s="14" t="str">
        <x:v>到站时间为估算值</x:v>
      </x:c>
      <x:c r="T1696" t="str">
        <x:v>研究生宿舍楼发车</x:v>
      </x:c>
    </x:row>
    <x:row r="1697">
      <x:c r="A1697" s="14" t="str">
        <x:v>S0145-10</x:v>
      </x:c>
      <x:c r="B1697" s="14" t="str">
        <x:v>S0145</x:v>
      </x:c>
      <x:c r="C1697" s="14" t="str">
        <x:v>工作日</x:v>
      </x:c>
      <x:c r="D1697" s="14" t="str">
        <x:v>环线3路</x:v>
      </x:c>
      <x:c r="E1697" s="14" t="str">
        <x:v>第二班</x:v>
      </x:c>
      <x:c r="F1697" s="14" t="n">
        <x:v>11</x:v>
      </x:c>
      <x:c r="G1697" s="14" t="str">
        <x:v>16:20</x:v>
      </x:c>
      <x:c r="H1697" s="14" t="str">
        <x:v>研究生宿舍楼</x:v>
      </x:c>
      <x:c r="I1697" s="14" t="str">
        <x:v>否</x:v>
      </x:c>
      <x:c r="J1697" s="14" t="n">
        <x:v>10</x:v>
      </x:c>
      <x:c r="K1697" s="14" t="str">
        <x:v>图书馆</x:v>
      </x:c>
      <x:c r="L1697" s="14" t="n">
        <x:v>14</x:v>
      </x:c>
      <x:c r="M1697" s="14" t="str">
        <x:v>16:34</x:v>
      </x:c>
      <x:c r="N1697" s="14" t="str">
        <x:v>否</x:v>
      </x:c>
      <x:c r="O1697" s="14" t="str">
        <x:v>否</x:v>
      </x:c>
      <x:c r="P1697" s="14" t="str">
        <x:v>郭海燕</x:v>
      </x:c>
      <x:c r="Q1697" s="14" t="str">
        <x:v>5号车</x:v>
      </x:c>
      <x:c r="R1697" s="14" t="str">
        <x:v>预测</x:v>
      </x:c>
      <x:c r="S1697" s="14" t="str">
        <x:v>到站时间为估算值</x:v>
      </x:c>
      <x:c r="T1697" t="str">
        <x:v>研究生宿舍楼发车</x:v>
      </x:c>
    </x:row>
    <x:row r="1698">
      <x:c r="A1698" s="14" t="str">
        <x:v>S0145-11</x:v>
      </x:c>
      <x:c r="B1698" s="14" t="str">
        <x:v>S0145</x:v>
      </x:c>
      <x:c r="C1698" s="14" t="str">
        <x:v>工作日</x:v>
      </x:c>
      <x:c r="D1698" s="14" t="str">
        <x:v>环线3路</x:v>
      </x:c>
      <x:c r="E1698" s="14" t="str">
        <x:v>第二班</x:v>
      </x:c>
      <x:c r="F1698" s="14" t="n">
        <x:v>11</x:v>
      </x:c>
      <x:c r="G1698" s="14" t="str">
        <x:v>16:20</x:v>
      </x:c>
      <x:c r="H1698" s="14" t="str">
        <x:v>研究生宿舍楼</x:v>
      </x:c>
      <x:c r="I1698" s="14" t="str">
        <x:v>否</x:v>
      </x:c>
      <x:c r="J1698" s="14" t="n">
        <x:v>11</x:v>
      </x:c>
      <x:c r="K1698" s="14" t="str">
        <x:v>305教学楼</x:v>
      </x:c>
      <x:c r="L1698" s="14" t="n">
        <x:v>16</x:v>
      </x:c>
      <x:c r="M1698" s="14" t="str">
        <x:v>16:36</x:v>
      </x:c>
      <x:c r="N1698" s="14" t="str">
        <x:v>否</x:v>
      </x:c>
      <x:c r="O1698" s="14" t="str">
        <x:v>否</x:v>
      </x:c>
      <x:c r="P1698" s="14" t="str">
        <x:v>郭海燕</x:v>
      </x:c>
      <x:c r="Q1698" s="14" t="str">
        <x:v>5号车</x:v>
      </x:c>
      <x:c r="R1698" s="14" t="str">
        <x:v>预测</x:v>
      </x:c>
      <x:c r="S1698" s="14" t="str">
        <x:v>到站时间为估算值</x:v>
      </x:c>
      <x:c r="T1698" t="str">
        <x:v>研究生宿舍楼发车</x:v>
      </x:c>
    </x:row>
    <x:row r="1699">
      <x:c r="A1699" s="14" t="str">
        <x:v>S0145-12</x:v>
      </x:c>
      <x:c r="B1699" s="14" t="str">
        <x:v>S0145</x:v>
      </x:c>
      <x:c r="C1699" s="14" t="str">
        <x:v>工作日</x:v>
      </x:c>
      <x:c r="D1699" s="14" t="str">
        <x:v>环线3路</x:v>
      </x:c>
      <x:c r="E1699" s="14" t="str">
        <x:v>第二班</x:v>
      </x:c>
      <x:c r="F1699" s="14" t="n">
        <x:v>11</x:v>
      </x:c>
      <x:c r="G1699" s="14" t="str">
        <x:v>16:20</x:v>
      </x:c>
      <x:c r="H1699" s="14" t="str">
        <x:v>研究生宿舍楼</x:v>
      </x:c>
      <x:c r="I1699" s="14" t="str">
        <x:v>否</x:v>
      </x:c>
      <x:c r="J1699" s="14" t="n">
        <x:v>12</x:v>
      </x:c>
      <x:c r="K1699" s="14" t="str">
        <x:v>研究生宿舍楼</x:v>
      </x:c>
      <x:c r="L1699" s="14" t="n">
        <x:v>18</x:v>
      </x:c>
      <x:c r="M1699" s="14" t="str">
        <x:v>16:38</x:v>
      </x:c>
      <x:c r="N1699" s="14" t="str">
        <x:v>否</x:v>
      </x:c>
      <x:c r="O1699" s="14" t="str">
        <x:v>是</x:v>
      </x:c>
      <x:c r="P1699" s="14" t="str">
        <x:v>郭海燕</x:v>
      </x:c>
      <x:c r="Q1699" s="14" t="str">
        <x:v>5号车</x:v>
      </x:c>
      <x:c r="R1699" s="14" t="str">
        <x:v>预测</x:v>
      </x:c>
      <x:c r="S1699" s="14" t="str">
        <x:v>到站时间为估算值</x:v>
      </x:c>
      <x:c r="T1699" t="str">
        <x:v>研究生宿舍楼发车</x:v>
      </x:c>
    </x:row>
    <x:row r="1700">
      <x:c r="A1700" s="14" t="str">
        <x:v>S0146-01</x:v>
      </x:c>
      <x:c r="B1700" s="14" t="str">
        <x:v>S0146</x:v>
      </x:c>
      <x:c r="C1700" s="14" t="str">
        <x:v>工作日</x:v>
      </x:c>
      <x:c r="D1700" s="14" t="str">
        <x:v>环线3路</x:v>
      </x:c>
      <x:c r="E1700" s="14" t="str">
        <x:v>第二班</x:v>
      </x:c>
      <x:c r="F1700" s="14" t="n">
        <x:v>12</x:v>
      </x:c>
      <x:c r="G1700" s="14" t="str">
        <x:v>16:50</x:v>
      </x:c>
      <x:c r="H1700" s="14" t="str">
        <x:v>高超楼（系统工程学院旁）</x:v>
      </x:c>
      <x:c r="I1700" s="14" t="str">
        <x:v>是</x:v>
      </x:c>
      <x:c r="J1700" s="14" t="n">
        <x:v>1</x:v>
      </x:c>
      <x:c r="K1700" s="14" t="str">
        <x:v>高超楼</x:v>
      </x:c>
      <x:c r="L1700" s="14" t="n">
        <x:v>0</x:v>
      </x:c>
      <x:c r="M1700" s="14" t="str">
        <x:v>16:50</x:v>
      </x:c>
      <x:c r="N1700" s="14" t="str">
        <x:v>是</x:v>
      </x:c>
      <x:c r="O1700" s="14" t="str">
        <x:v>否</x:v>
      </x:c>
      <x:c r="P1700" s="14" t="str">
        <x:v>郭海燕</x:v>
      </x:c>
      <x:c r="Q1700" s="14" t="str">
        <x:v>5号车</x:v>
      </x:c>
      <x:c r="R1700" s="14" t="str">
        <x:v>预测</x:v>
      </x:c>
      <x:c r="S1700" s="14" t="str">
        <x:v>到站时间为估算值</x:v>
      </x:c>
      <x:c r="T1700" t="str">
        <x:v>高超楼发车</x:v>
      </x:c>
    </x:row>
    <x:row r="1701">
      <x:c r="A1701" s="14" t="str">
        <x:v>S0146-02</x:v>
      </x:c>
      <x:c r="B1701" s="14" t="str">
        <x:v>S0146</x:v>
      </x:c>
      <x:c r="C1701" s="14" t="str">
        <x:v>工作日</x:v>
      </x:c>
      <x:c r="D1701" s="14" t="str">
        <x:v>环线3路</x:v>
      </x:c>
      <x:c r="E1701" s="14" t="str">
        <x:v>第二班</x:v>
      </x:c>
      <x:c r="F1701" s="14" t="n">
        <x:v>12</x:v>
      </x:c>
      <x:c r="G1701" s="14" t="str">
        <x:v>16:50</x:v>
      </x:c>
      <x:c r="H1701" s="14" t="str">
        <x:v>高超楼（系统工程学院旁）</x:v>
      </x:c>
      <x:c r="I1701" s="14" t="str">
        <x:v>是</x:v>
      </x:c>
      <x:c r="J1701" s="14" t="n">
        <x:v>2</x:v>
      </x:c>
      <x:c r="K1701" s="14" t="str">
        <x:v>理学院</x:v>
      </x:c>
      <x:c r="L1701" s="14" t="n">
        <x:v>1</x:v>
      </x:c>
      <x:c r="M1701" s="14" t="str">
        <x:v>16:51</x:v>
      </x:c>
      <x:c r="N1701" s="14" t="str">
        <x:v>否</x:v>
      </x:c>
      <x:c r="O1701" s="14" t="str">
        <x:v>否</x:v>
      </x:c>
      <x:c r="P1701" s="14" t="str">
        <x:v>郭海燕</x:v>
      </x:c>
      <x:c r="Q1701" s="14" t="str">
        <x:v>5号车</x:v>
      </x:c>
      <x:c r="R1701" s="14" t="str">
        <x:v>预测</x:v>
      </x:c>
      <x:c r="S1701" s="14" t="str">
        <x:v>到站时间为估算值</x:v>
      </x:c>
      <x:c r="T1701" t="str">
        <x:v>高超楼发车</x:v>
      </x:c>
    </x:row>
    <x:row r="1702">
      <x:c r="A1702" s="14" t="str">
        <x:v>S0146-03</x:v>
      </x:c>
      <x:c r="B1702" s="14" t="str">
        <x:v>S0146</x:v>
      </x:c>
      <x:c r="C1702" s="14" t="str">
        <x:v>工作日</x:v>
      </x:c>
      <x:c r="D1702" s="14" t="str">
        <x:v>环线3路</x:v>
      </x:c>
      <x:c r="E1702" s="14" t="str">
        <x:v>第二班</x:v>
      </x:c>
      <x:c r="F1702" s="14" t="n">
        <x:v>12</x:v>
      </x:c>
      <x:c r="G1702" s="14" t="str">
        <x:v>16:50</x:v>
      </x:c>
      <x:c r="H1702" s="14" t="str">
        <x:v>高超楼（系统工程学院旁）</x:v>
      </x:c>
      <x:c r="I1702" s="14" t="str">
        <x:v>是</x:v>
      </x:c>
      <x:c r="J1702" s="14" t="n">
        <x:v>3</x:v>
      </x:c>
      <x:c r="K1702" s="14" t="str">
        <x:v>二食堂</x:v>
      </x:c>
      <x:c r="L1702" s="14" t="n">
        <x:v>4</x:v>
      </x:c>
      <x:c r="M1702" s="14" t="str">
        <x:v>16:54</x:v>
      </x:c>
      <x:c r="N1702" s="14" t="str">
        <x:v>否</x:v>
      </x:c>
      <x:c r="O1702" s="14" t="str">
        <x:v>否</x:v>
      </x:c>
      <x:c r="P1702" s="14" t="str">
        <x:v>郭海燕</x:v>
      </x:c>
      <x:c r="Q1702" s="14" t="str">
        <x:v>5号车</x:v>
      </x:c>
      <x:c r="R1702" s="14" t="str">
        <x:v>预测</x:v>
      </x:c>
      <x:c r="S1702" s="14" t="str">
        <x:v>到站时间为估算值</x:v>
      </x:c>
      <x:c r="T1702" t="str">
        <x:v>高超楼发车</x:v>
      </x:c>
    </x:row>
    <x:row r="1703">
      <x:c r="A1703" s="14" t="str">
        <x:v>S0146-04</x:v>
      </x:c>
      <x:c r="B1703" s="14" t="str">
        <x:v>S0146</x:v>
      </x:c>
      <x:c r="C1703" s="14" t="str">
        <x:v>工作日</x:v>
      </x:c>
      <x:c r="D1703" s="14" t="str">
        <x:v>环线3路</x:v>
      </x:c>
      <x:c r="E1703" s="14" t="str">
        <x:v>第二班</x:v>
      </x:c>
      <x:c r="F1703" s="14" t="n">
        <x:v>12</x:v>
      </x:c>
      <x:c r="G1703" s="14" t="str">
        <x:v>16:50</x:v>
      </x:c>
      <x:c r="H1703" s="14" t="str">
        <x:v>高超楼（系统工程学院旁）</x:v>
      </x:c>
      <x:c r="I1703" s="14" t="str">
        <x:v>是</x:v>
      </x:c>
      <x:c r="J1703" s="14" t="n">
        <x:v>4</x:v>
      </x:c>
      <x:c r="K1703" s="14" t="str">
        <x:v>图书馆</x:v>
      </x:c>
      <x:c r="L1703" s="14" t="n">
        <x:v>5</x:v>
      </x:c>
      <x:c r="M1703" s="14" t="str">
        <x:v>16:55</x:v>
      </x:c>
      <x:c r="N1703" s="14" t="str">
        <x:v>否</x:v>
      </x:c>
      <x:c r="O1703" s="14" t="str">
        <x:v>否</x:v>
      </x:c>
      <x:c r="P1703" s="14" t="str">
        <x:v>郭海燕</x:v>
      </x:c>
      <x:c r="Q1703" s="14" t="str">
        <x:v>5号车</x:v>
      </x:c>
      <x:c r="R1703" s="14" t="str">
        <x:v>预测</x:v>
      </x:c>
      <x:c r="S1703" s="14" t="str">
        <x:v>到站时间为估算值</x:v>
      </x:c>
      <x:c r="T1703" t="str">
        <x:v>高超楼发车</x:v>
      </x:c>
    </x:row>
    <x:row r="1704">
      <x:c r="A1704" s="14" t="str">
        <x:v>S0146-05</x:v>
      </x:c>
      <x:c r="B1704" s="14" t="str">
        <x:v>S0146</x:v>
      </x:c>
      <x:c r="C1704" s="14" t="str">
        <x:v>工作日</x:v>
      </x:c>
      <x:c r="D1704" s="14" t="str">
        <x:v>环线3路</x:v>
      </x:c>
      <x:c r="E1704" s="14" t="str">
        <x:v>第二班</x:v>
      </x:c>
      <x:c r="F1704" s="14" t="n">
        <x:v>12</x:v>
      </x:c>
      <x:c r="G1704" s="14" t="str">
        <x:v>16:50</x:v>
      </x:c>
      <x:c r="H1704" s="14" t="str">
        <x:v>高超楼（系统工程学院旁）</x:v>
      </x:c>
      <x:c r="I1704" s="14" t="str">
        <x:v>是</x:v>
      </x:c>
      <x:c r="J1704" s="14" t="n">
        <x:v>5</x:v>
      </x:c>
      <x:c r="K1704" s="14" t="str">
        <x:v>305教学楼</x:v>
      </x:c>
      <x:c r="L1704" s="14" t="n">
        <x:v>7</x:v>
      </x:c>
      <x:c r="M1704" s="14" t="str">
        <x:v>16:57</x:v>
      </x:c>
      <x:c r="N1704" s="14" t="str">
        <x:v>否</x:v>
      </x:c>
      <x:c r="O1704" s="14" t="str">
        <x:v>否</x:v>
      </x:c>
      <x:c r="P1704" s="14" t="str">
        <x:v>郭海燕</x:v>
      </x:c>
      <x:c r="Q1704" s="14" t="str">
        <x:v>5号车</x:v>
      </x:c>
      <x:c r="R1704" s="14" t="str">
        <x:v>预测</x:v>
      </x:c>
      <x:c r="S1704" s="14" t="str">
        <x:v>到站时间为估算值</x:v>
      </x:c>
      <x:c r="T1704" t="str">
        <x:v>高超楼发车</x:v>
      </x:c>
    </x:row>
    <x:row r="1705">
      <x:c r="A1705" s="14" t="str">
        <x:v>S0146-06</x:v>
      </x:c>
      <x:c r="B1705" s="14" t="str">
        <x:v>S0146</x:v>
      </x:c>
      <x:c r="C1705" s="14" t="str">
        <x:v>工作日</x:v>
      </x:c>
      <x:c r="D1705" s="14" t="str">
        <x:v>环线3路</x:v>
      </x:c>
      <x:c r="E1705" s="14" t="str">
        <x:v>第二班</x:v>
      </x:c>
      <x:c r="F1705" s="14" t="n">
        <x:v>12</x:v>
      </x:c>
      <x:c r="G1705" s="14" t="str">
        <x:v>16:50</x:v>
      </x:c>
      <x:c r="H1705" s="14" t="str">
        <x:v>高超楼（系统工程学院旁）</x:v>
      </x:c>
      <x:c r="I1705" s="14" t="str">
        <x:v>是</x:v>
      </x:c>
      <x:c r="J1705" s="14" t="n">
        <x:v>6</x:v>
      </x:c>
      <x:c r="K1705" s="14" t="str">
        <x:v>研究生宿舍楼</x:v>
      </x:c>
      <x:c r="L1705" s="14" t="n">
        <x:v>9</x:v>
      </x:c>
      <x:c r="M1705" s="14" t="str">
        <x:v>16:59</x:v>
      </x:c>
      <x:c r="N1705" s="14" t="str">
        <x:v>否</x:v>
      </x:c>
      <x:c r="O1705" s="14" t="str">
        <x:v>否</x:v>
      </x:c>
      <x:c r="P1705" s="14" t="str">
        <x:v>郭海燕</x:v>
      </x:c>
      <x:c r="Q1705" s="14" t="str">
        <x:v>5号车</x:v>
      </x:c>
      <x:c r="R1705" s="14" t="str">
        <x:v>预测</x:v>
      </x:c>
      <x:c r="S1705" s="14" t="str">
        <x:v>到站时间为估算值</x:v>
      </x:c>
      <x:c r="T1705" t="str">
        <x:v>高超楼发车</x:v>
      </x:c>
    </x:row>
    <x:row r="1706">
      <x:c r="A1706" s="14" t="str">
        <x:v>S0146-07</x:v>
      </x:c>
      <x:c r="B1706" s="14" t="str">
        <x:v>S0146</x:v>
      </x:c>
      <x:c r="C1706" s="14" t="str">
        <x:v>工作日</x:v>
      </x:c>
      <x:c r="D1706" s="14" t="str">
        <x:v>环线3路</x:v>
      </x:c>
      <x:c r="E1706" s="14" t="str">
        <x:v>第二班</x:v>
      </x:c>
      <x:c r="F1706" s="14" t="n">
        <x:v>12</x:v>
      </x:c>
      <x:c r="G1706" s="14" t="str">
        <x:v>16:50</x:v>
      </x:c>
      <x:c r="H1706" s="14" t="str">
        <x:v>高超楼（系统工程学院旁）</x:v>
      </x:c>
      <x:c r="I1706" s="14" t="str">
        <x:v>是</x:v>
      </x:c>
      <x:c r="J1706" s="14" t="n">
        <x:v>7</x:v>
      </x:c>
      <x:c r="K1706" s="14" t="str">
        <x:v>一食堂</x:v>
      </x:c>
      <x:c r="L1706" s="14" t="n">
        <x:v>10</x:v>
      </x:c>
      <x:c r="M1706" s="14" t="str">
        <x:v>17:00</x:v>
      </x:c>
      <x:c r="N1706" s="14" t="str">
        <x:v>否</x:v>
      </x:c>
      <x:c r="O1706" s="14" t="str">
        <x:v>否</x:v>
      </x:c>
      <x:c r="P1706" s="14" t="str">
        <x:v>郭海燕</x:v>
      </x:c>
      <x:c r="Q1706" s="14" t="str">
        <x:v>5号车</x:v>
      </x:c>
      <x:c r="R1706" s="14" t="str">
        <x:v>预测</x:v>
      </x:c>
      <x:c r="S1706" s="14" t="str">
        <x:v>到站时间为估算值</x:v>
      </x:c>
      <x:c r="T1706" t="str">
        <x:v>高超楼发车</x:v>
      </x:c>
    </x:row>
    <x:row r="1707">
      <x:c r="A1707" s="14" t="str">
        <x:v>S0146-08</x:v>
      </x:c>
      <x:c r="B1707" s="14" t="str">
        <x:v>S0146</x:v>
      </x:c>
      <x:c r="C1707" s="14" t="str">
        <x:v>工作日</x:v>
      </x:c>
      <x:c r="D1707" s="14" t="str">
        <x:v>环线3路</x:v>
      </x:c>
      <x:c r="E1707" s="14" t="str">
        <x:v>第二班</x:v>
      </x:c>
      <x:c r="F1707" s="14" t="n">
        <x:v>12</x:v>
      </x:c>
      <x:c r="G1707" s="14" t="str">
        <x:v>16:50</x:v>
      </x:c>
      <x:c r="H1707" s="14" t="str">
        <x:v>高超楼（系统工程学院旁）</x:v>
      </x:c>
      <x:c r="I1707" s="14" t="str">
        <x:v>是</x:v>
      </x:c>
      <x:c r="J1707" s="14" t="n">
        <x:v>8</x:v>
      </x:c>
      <x:c r="K1707" s="14" t="str">
        <x:v>2号宿舍楼</x:v>
      </x:c>
      <x:c r="L1707" s="14" t="n">
        <x:v>12</x:v>
      </x:c>
      <x:c r="M1707" s="14" t="str">
        <x:v>17:02</x:v>
      </x:c>
      <x:c r="N1707" s="14" t="str">
        <x:v>否</x:v>
      </x:c>
      <x:c r="O1707" s="14" t="str">
        <x:v>否</x:v>
      </x:c>
      <x:c r="P1707" s="14" t="str">
        <x:v>郭海燕</x:v>
      </x:c>
      <x:c r="Q1707" s="14" t="str">
        <x:v>5号车</x:v>
      </x:c>
      <x:c r="R1707" s="14" t="str">
        <x:v>预测</x:v>
      </x:c>
      <x:c r="S1707" s="14" t="str">
        <x:v>到站时间为估算值</x:v>
      </x:c>
      <x:c r="T1707" t="str">
        <x:v>高超楼发车</x:v>
      </x:c>
    </x:row>
    <x:row r="1708">
      <x:c r="A1708" s="14" t="str">
        <x:v>S0146-09</x:v>
      </x:c>
      <x:c r="B1708" s="14" t="str">
        <x:v>S0146</x:v>
      </x:c>
      <x:c r="C1708" s="14" t="str">
        <x:v>工作日</x:v>
      </x:c>
      <x:c r="D1708" s="14" t="str">
        <x:v>环线3路</x:v>
      </x:c>
      <x:c r="E1708" s="14" t="str">
        <x:v>第二班</x:v>
      </x:c>
      <x:c r="F1708" s="14" t="n">
        <x:v>12</x:v>
      </x:c>
      <x:c r="G1708" s="14" t="str">
        <x:v>16:50</x:v>
      </x:c>
      <x:c r="H1708" s="14" t="str">
        <x:v>高超楼（系统工程学院旁）</x:v>
      </x:c>
      <x:c r="I1708" s="14" t="str">
        <x:v>是</x:v>
      </x:c>
      <x:c r="J1708" s="14" t="n">
        <x:v>9</x:v>
      </x:c>
      <x:c r="K1708" s="14" t="str">
        <x:v>军体活动中心</x:v>
      </x:c>
      <x:c r="L1708" s="14" t="n">
        <x:v>13</x:v>
      </x:c>
      <x:c r="M1708" s="14" t="str">
        <x:v>17:03</x:v>
      </x:c>
      <x:c r="N1708" s="14" t="str">
        <x:v>否</x:v>
      </x:c>
      <x:c r="O1708" s="14" t="str">
        <x:v>否</x:v>
      </x:c>
      <x:c r="P1708" s="14" t="str">
        <x:v>郭海燕</x:v>
      </x:c>
      <x:c r="Q1708" s="14" t="str">
        <x:v>5号车</x:v>
      </x:c>
      <x:c r="R1708" s="14" t="str">
        <x:v>预测</x:v>
      </x:c>
      <x:c r="S1708" s="14" t="str">
        <x:v>到站时间为估算值</x:v>
      </x:c>
      <x:c r="T1708" t="str">
        <x:v>高超楼发车</x:v>
      </x:c>
    </x:row>
    <x:row r="1709">
      <x:c r="A1709" s="14" t="str">
        <x:v>S0146-10</x:v>
      </x:c>
      <x:c r="B1709" s="14" t="str">
        <x:v>S0146</x:v>
      </x:c>
      <x:c r="C1709" s="14" t="str">
        <x:v>工作日</x:v>
      </x:c>
      <x:c r="D1709" s="14" t="str">
        <x:v>环线3路</x:v>
      </x:c>
      <x:c r="E1709" s="14" t="str">
        <x:v>第二班</x:v>
      </x:c>
      <x:c r="F1709" s="14" t="n">
        <x:v>12</x:v>
      </x:c>
      <x:c r="G1709" s="14" t="str">
        <x:v>16:50</x:v>
      </x:c>
      <x:c r="H1709" s="14" t="str">
        <x:v>高超楼（系统工程学院旁）</x:v>
      </x:c>
      <x:c r="I1709" s="14" t="str">
        <x:v>是</x:v>
      </x:c>
      <x:c r="J1709" s="14" t="n">
        <x:v>10</x:v>
      </x:c>
      <x:c r="K1709" s="14" t="str">
        <x:v>教勤连</x:v>
      </x:c>
      <x:c r="L1709" s="14" t="n">
        <x:v>15</x:v>
      </x:c>
      <x:c r="M1709" s="14" t="str">
        <x:v>17:05</x:v>
      </x:c>
      <x:c r="N1709" s="14" t="str">
        <x:v>否</x:v>
      </x:c>
      <x:c r="O1709" s="14" t="str">
        <x:v>否</x:v>
      </x:c>
      <x:c r="P1709" s="14" t="str">
        <x:v>郭海燕</x:v>
      </x:c>
      <x:c r="Q1709" s="14" t="str">
        <x:v>5号车</x:v>
      </x:c>
      <x:c r="R1709" s="14" t="str">
        <x:v>预测</x:v>
      </x:c>
      <x:c r="S1709" s="14" t="str">
        <x:v>到站时间为估算值</x:v>
      </x:c>
      <x:c r="T1709" t="str">
        <x:v>高超楼发车</x:v>
      </x:c>
    </x:row>
    <x:row r="1710">
      <x:c r="A1710" s="14" t="str">
        <x:v>S0146-11</x:v>
      </x:c>
      <x:c r="B1710" s="14" t="str">
        <x:v>S0146</x:v>
      </x:c>
      <x:c r="C1710" s="14" t="str">
        <x:v>工作日</x:v>
      </x:c>
      <x:c r="D1710" s="14" t="str">
        <x:v>环线3路</x:v>
      </x:c>
      <x:c r="E1710" s="14" t="str">
        <x:v>第二班</x:v>
      </x:c>
      <x:c r="F1710" s="14" t="n">
        <x:v>12</x:v>
      </x:c>
      <x:c r="G1710" s="14" t="str">
        <x:v>16:50</x:v>
      </x:c>
      <x:c r="H1710" s="14" t="str">
        <x:v>高超楼（系统工程学院旁）</x:v>
      </x:c>
      <x:c r="I1710" s="14" t="str">
        <x:v>是</x:v>
      </x:c>
      <x:c r="J1710" s="14" t="n">
        <x:v>11</x:v>
      </x:c>
      <x:c r="K1710" s="14" t="str">
        <x:v>激光所</x:v>
      </x:c>
      <x:c r="L1710" s="14" t="n">
        <x:v>16</x:v>
      </x:c>
      <x:c r="M1710" s="14" t="str">
        <x:v>17:06</x:v>
      </x:c>
      <x:c r="N1710" s="14" t="str">
        <x:v>否</x:v>
      </x:c>
      <x:c r="O1710" s="14" t="str">
        <x:v>否</x:v>
      </x:c>
      <x:c r="P1710" s="14" t="str">
        <x:v>郭海燕</x:v>
      </x:c>
      <x:c r="Q1710" s="14" t="str">
        <x:v>5号车</x:v>
      </x:c>
      <x:c r="R1710" s="14" t="str">
        <x:v>预测</x:v>
      </x:c>
      <x:c r="S1710" s="14" t="str">
        <x:v>到站时间为估算值</x:v>
      </x:c>
      <x:c r="T1710" t="str">
        <x:v>高超楼发车</x:v>
      </x:c>
    </x:row>
    <x:row r="1711">
      <x:c r="A1711" s="14" t="str">
        <x:v>S0146-12</x:v>
      </x:c>
      <x:c r="B1711" s="14" t="str">
        <x:v>S0146</x:v>
      </x:c>
      <x:c r="C1711" s="14" t="str">
        <x:v>工作日</x:v>
      </x:c>
      <x:c r="D1711" s="14" t="str">
        <x:v>环线3路</x:v>
      </x:c>
      <x:c r="E1711" s="14" t="str">
        <x:v>第二班</x:v>
      </x:c>
      <x:c r="F1711" s="14" t="n">
        <x:v>12</x:v>
      </x:c>
      <x:c r="G1711" s="14" t="str">
        <x:v>16:50</x:v>
      </x:c>
      <x:c r="H1711" s="14" t="str">
        <x:v>高超楼（系统工程学院旁）</x:v>
      </x:c>
      <x:c r="I1711" s="14" t="str">
        <x:v>是</x:v>
      </x:c>
      <x:c r="J1711" s="14" t="n">
        <x:v>12</x:v>
      </x:c>
      <x:c r="K1711" s="14" t="str">
        <x:v>高超楼</x:v>
      </x:c>
      <x:c r="L1711" s="14" t="n">
        <x:v>18</x:v>
      </x:c>
      <x:c r="M1711" s="14" t="str">
        <x:v>17:08</x:v>
      </x:c>
      <x:c r="N1711" s="14" t="str">
        <x:v>否</x:v>
      </x:c>
      <x:c r="O1711" s="14" t="str">
        <x:v>是</x:v>
      </x:c>
      <x:c r="P1711" s="14" t="str">
        <x:v>郭海燕</x:v>
      </x:c>
      <x:c r="Q1711" s="14" t="str">
        <x:v>5号车</x:v>
      </x:c>
      <x:c r="R1711" s="14" t="str">
        <x:v>预测</x:v>
      </x:c>
      <x:c r="S1711" s="14" t="str">
        <x:v>到站时间为估算值</x:v>
      </x:c>
      <x:c r="T1711" t="str">
        <x:v>高超楼发车</x:v>
      </x:c>
    </x:row>
    <x:row r="1712">
      <x:c r="A1712" s="14" t="str">
        <x:v>S0147-01</x:v>
      </x:c>
      <x:c r="B1712" s="14" t="str">
        <x:v>S0147</x:v>
      </x:c>
      <x:c r="C1712" s="14" t="str">
        <x:v>工作日</x:v>
      </x:c>
      <x:c r="D1712" s="14" t="str">
        <x:v>环线3路</x:v>
      </x:c>
      <x:c r="E1712" s="14" t="str">
        <x:v>第二班</x:v>
      </x:c>
      <x:c r="F1712" s="14" t="n">
        <x:v>13</x:v>
      </x:c>
      <x:c r="G1712" s="14" t="str">
        <x:v>17:25</x:v>
      </x:c>
      <x:c r="H1712" s="14" t="str">
        <x:v>研究生宿舍楼</x:v>
      </x:c>
      <x:c r="I1712" s="14" t="str">
        <x:v>否</x:v>
      </x:c>
      <x:c r="J1712" s="14" t="n">
        <x:v>1</x:v>
      </x:c>
      <x:c r="K1712" s="14" t="str">
        <x:v>研究生宿舍楼</x:v>
      </x:c>
      <x:c r="L1712" s="14" t="n">
        <x:v>0</x:v>
      </x:c>
      <x:c r="M1712" s="14" t="str">
        <x:v>17:25</x:v>
      </x:c>
      <x:c r="N1712" s="14" t="str">
        <x:v>是</x:v>
      </x:c>
      <x:c r="O1712" s="14" t="str">
        <x:v>否</x:v>
      </x:c>
      <x:c r="P1712" s="14" t="str">
        <x:v>郭海燕</x:v>
      </x:c>
      <x:c r="Q1712" s="14" t="str">
        <x:v>5号车</x:v>
      </x:c>
      <x:c r="R1712" s="14" t="str">
        <x:v>预测</x:v>
      </x:c>
      <x:c r="S1712" s="14" t="str">
        <x:v>到站时间为估算值</x:v>
      </x:c>
      <x:c r="T1712" t="str">
        <x:v>研究生宿舍楼发车</x:v>
      </x:c>
    </x:row>
    <x:row r="1713">
      <x:c r="A1713" s="14" t="str">
        <x:v>S0147-02</x:v>
      </x:c>
      <x:c r="B1713" s="14" t="str">
        <x:v>S0147</x:v>
      </x:c>
      <x:c r="C1713" s="14" t="str">
        <x:v>工作日</x:v>
      </x:c>
      <x:c r="D1713" s="14" t="str">
        <x:v>环线3路</x:v>
      </x:c>
      <x:c r="E1713" s="14" t="str">
        <x:v>第二班</x:v>
      </x:c>
      <x:c r="F1713" s="14" t="n">
        <x:v>13</x:v>
      </x:c>
      <x:c r="G1713" s="14" t="str">
        <x:v>17:25</x:v>
      </x:c>
      <x:c r="H1713" s="14" t="str">
        <x:v>研究生宿舍楼</x:v>
      </x:c>
      <x:c r="I1713" s="14" t="str">
        <x:v>否</x:v>
      </x:c>
      <x:c r="J1713" s="14" t="n">
        <x:v>2</x:v>
      </x:c>
      <x:c r="K1713" s="14" t="str">
        <x:v>一食堂</x:v>
      </x:c>
      <x:c r="L1713" s="14" t="n">
        <x:v>1</x:v>
      </x:c>
      <x:c r="M1713" s="14" t="str">
        <x:v>17:26</x:v>
      </x:c>
      <x:c r="N1713" s="14" t="str">
        <x:v>否</x:v>
      </x:c>
      <x:c r="O1713" s="14" t="str">
        <x:v>否</x:v>
      </x:c>
      <x:c r="P1713" s="14" t="str">
        <x:v>郭海燕</x:v>
      </x:c>
      <x:c r="Q1713" s="14" t="str">
        <x:v>5号车</x:v>
      </x:c>
      <x:c r="R1713" s="14" t="str">
        <x:v>预测</x:v>
      </x:c>
      <x:c r="S1713" s="14" t="str">
        <x:v>到站时间为估算值</x:v>
      </x:c>
      <x:c r="T1713" t="str">
        <x:v>研究生宿舍楼发车</x:v>
      </x:c>
    </x:row>
    <x:row r="1714">
      <x:c r="A1714" s="14" t="str">
        <x:v>S0147-03</x:v>
      </x:c>
      <x:c r="B1714" s="14" t="str">
        <x:v>S0147</x:v>
      </x:c>
      <x:c r="C1714" s="14" t="str">
        <x:v>工作日</x:v>
      </x:c>
      <x:c r="D1714" s="14" t="str">
        <x:v>环线3路</x:v>
      </x:c>
      <x:c r="E1714" s="14" t="str">
        <x:v>第二班</x:v>
      </x:c>
      <x:c r="F1714" s="14" t="n">
        <x:v>13</x:v>
      </x:c>
      <x:c r="G1714" s="14" t="str">
        <x:v>17:25</x:v>
      </x:c>
      <x:c r="H1714" s="14" t="str">
        <x:v>研究生宿舍楼</x:v>
      </x:c>
      <x:c r="I1714" s="14" t="str">
        <x:v>否</x:v>
      </x:c>
      <x:c r="J1714" s="14" t="n">
        <x:v>3</x:v>
      </x:c>
      <x:c r="K1714" s="14" t="str">
        <x:v>2号宿舍楼</x:v>
      </x:c>
      <x:c r="L1714" s="14" t="n">
        <x:v>3</x:v>
      </x:c>
      <x:c r="M1714" s="14" t="str">
        <x:v>17:28</x:v>
      </x:c>
      <x:c r="N1714" s="14" t="str">
        <x:v>否</x:v>
      </x:c>
      <x:c r="O1714" s="14" t="str">
        <x:v>否</x:v>
      </x:c>
      <x:c r="P1714" s="14" t="str">
        <x:v>郭海燕</x:v>
      </x:c>
      <x:c r="Q1714" s="14" t="str">
        <x:v>5号车</x:v>
      </x:c>
      <x:c r="R1714" s="14" t="str">
        <x:v>预测</x:v>
      </x:c>
      <x:c r="S1714" s="14" t="str">
        <x:v>到站时间为估算值</x:v>
      </x:c>
      <x:c r="T1714" t="str">
        <x:v>研究生宿舍楼发车</x:v>
      </x:c>
    </x:row>
    <x:row r="1715">
      <x:c r="A1715" s="14" t="str">
        <x:v>S0147-04</x:v>
      </x:c>
      <x:c r="B1715" s="14" t="str">
        <x:v>S0147</x:v>
      </x:c>
      <x:c r="C1715" s="14" t="str">
        <x:v>工作日</x:v>
      </x:c>
      <x:c r="D1715" s="14" t="str">
        <x:v>环线3路</x:v>
      </x:c>
      <x:c r="E1715" s="14" t="str">
        <x:v>第二班</x:v>
      </x:c>
      <x:c r="F1715" s="14" t="n">
        <x:v>13</x:v>
      </x:c>
      <x:c r="G1715" s="14" t="str">
        <x:v>17:25</x:v>
      </x:c>
      <x:c r="H1715" s="14" t="str">
        <x:v>研究生宿舍楼</x:v>
      </x:c>
      <x:c r="I1715" s="14" t="str">
        <x:v>否</x:v>
      </x:c>
      <x:c r="J1715" s="14" t="n">
        <x:v>4</x:v>
      </x:c>
      <x:c r="K1715" s="14" t="str">
        <x:v>军体活动中心</x:v>
      </x:c>
      <x:c r="L1715" s="14" t="n">
        <x:v>4</x:v>
      </x:c>
      <x:c r="M1715" s="14" t="str">
        <x:v>17:29</x:v>
      </x:c>
      <x:c r="N1715" s="14" t="str">
        <x:v>否</x:v>
      </x:c>
      <x:c r="O1715" s="14" t="str">
        <x:v>否</x:v>
      </x:c>
      <x:c r="P1715" s="14" t="str">
        <x:v>郭海燕</x:v>
      </x:c>
      <x:c r="Q1715" s="14" t="str">
        <x:v>5号车</x:v>
      </x:c>
      <x:c r="R1715" s="14" t="str">
        <x:v>预测</x:v>
      </x:c>
      <x:c r="S1715" s="14" t="str">
        <x:v>到站时间为估算值</x:v>
      </x:c>
      <x:c r="T1715" t="str">
        <x:v>研究生宿舍楼发车</x:v>
      </x:c>
    </x:row>
    <x:row r="1716">
      <x:c r="A1716" s="14" t="str">
        <x:v>S0147-05</x:v>
      </x:c>
      <x:c r="B1716" s="14" t="str">
        <x:v>S0147</x:v>
      </x:c>
      <x:c r="C1716" s="14" t="str">
        <x:v>工作日</x:v>
      </x:c>
      <x:c r="D1716" s="14" t="str">
        <x:v>环线3路</x:v>
      </x:c>
      <x:c r="E1716" s="14" t="str">
        <x:v>第二班</x:v>
      </x:c>
      <x:c r="F1716" s="14" t="n">
        <x:v>13</x:v>
      </x:c>
      <x:c r="G1716" s="14" t="str">
        <x:v>17:25</x:v>
      </x:c>
      <x:c r="H1716" s="14" t="str">
        <x:v>研究生宿舍楼</x:v>
      </x:c>
      <x:c r="I1716" s="14" t="str">
        <x:v>否</x:v>
      </x:c>
      <x:c r="J1716" s="14" t="n">
        <x:v>5</x:v>
      </x:c>
      <x:c r="K1716" s="14" t="str">
        <x:v>教勤连</x:v>
      </x:c>
      <x:c r="L1716" s="14" t="n">
        <x:v>6</x:v>
      </x:c>
      <x:c r="M1716" s="14" t="str">
        <x:v>17:31</x:v>
      </x:c>
      <x:c r="N1716" s="14" t="str">
        <x:v>否</x:v>
      </x:c>
      <x:c r="O1716" s="14" t="str">
        <x:v>否</x:v>
      </x:c>
      <x:c r="P1716" s="14" t="str">
        <x:v>郭海燕</x:v>
      </x:c>
      <x:c r="Q1716" s="14" t="str">
        <x:v>5号车</x:v>
      </x:c>
      <x:c r="R1716" s="14" t="str">
        <x:v>预测</x:v>
      </x:c>
      <x:c r="S1716" s="14" t="str">
        <x:v>到站时间为估算值</x:v>
      </x:c>
      <x:c r="T1716" t="str">
        <x:v>研究生宿舍楼发车</x:v>
      </x:c>
    </x:row>
    <x:row r="1717">
      <x:c r="A1717" s="14" t="str">
        <x:v>S0147-06</x:v>
      </x:c>
      <x:c r="B1717" s="14" t="str">
        <x:v>S0147</x:v>
      </x:c>
      <x:c r="C1717" s="14" t="str">
        <x:v>工作日</x:v>
      </x:c>
      <x:c r="D1717" s="14" t="str">
        <x:v>环线3路</x:v>
      </x:c>
      <x:c r="E1717" s="14" t="str">
        <x:v>第二班</x:v>
      </x:c>
      <x:c r="F1717" s="14" t="n">
        <x:v>13</x:v>
      </x:c>
      <x:c r="G1717" s="14" t="str">
        <x:v>17:25</x:v>
      </x:c>
      <x:c r="H1717" s="14" t="str">
        <x:v>研究生宿舍楼</x:v>
      </x:c>
      <x:c r="I1717" s="14" t="str">
        <x:v>否</x:v>
      </x:c>
      <x:c r="J1717" s="14" t="n">
        <x:v>6</x:v>
      </x:c>
      <x:c r="K1717" s="14" t="str">
        <x:v>激光所</x:v>
      </x:c>
      <x:c r="L1717" s="14" t="n">
        <x:v>7</x:v>
      </x:c>
      <x:c r="M1717" s="14" t="str">
        <x:v>17:32</x:v>
      </x:c>
      <x:c r="N1717" s="14" t="str">
        <x:v>否</x:v>
      </x:c>
      <x:c r="O1717" s="14" t="str">
        <x:v>否</x:v>
      </x:c>
      <x:c r="P1717" s="14" t="str">
        <x:v>郭海燕</x:v>
      </x:c>
      <x:c r="Q1717" s="14" t="str">
        <x:v>5号车</x:v>
      </x:c>
      <x:c r="R1717" s="14" t="str">
        <x:v>预测</x:v>
      </x:c>
      <x:c r="S1717" s="14" t="str">
        <x:v>到站时间为估算值</x:v>
      </x:c>
      <x:c r="T1717" t="str">
        <x:v>研究生宿舍楼发车</x:v>
      </x:c>
    </x:row>
    <x:row r="1718">
      <x:c r="A1718" s="14" t="str">
        <x:v>S0147-07</x:v>
      </x:c>
      <x:c r="B1718" s="14" t="str">
        <x:v>S0147</x:v>
      </x:c>
      <x:c r="C1718" s="14" t="str">
        <x:v>工作日</x:v>
      </x:c>
      <x:c r="D1718" s="14" t="str">
        <x:v>环线3路</x:v>
      </x:c>
      <x:c r="E1718" s="14" t="str">
        <x:v>第二班</x:v>
      </x:c>
      <x:c r="F1718" s="14" t="n">
        <x:v>13</x:v>
      </x:c>
      <x:c r="G1718" s="14" t="str">
        <x:v>17:25</x:v>
      </x:c>
      <x:c r="H1718" s="14" t="str">
        <x:v>研究生宿舍楼</x:v>
      </x:c>
      <x:c r="I1718" s="14" t="str">
        <x:v>否</x:v>
      </x:c>
      <x:c r="J1718" s="14" t="n">
        <x:v>7</x:v>
      </x:c>
      <x:c r="K1718" s="14" t="str">
        <x:v>高超楼</x:v>
      </x:c>
      <x:c r="L1718" s="14" t="n">
        <x:v>9</x:v>
      </x:c>
      <x:c r="M1718" s="14" t="str">
        <x:v>17:34</x:v>
      </x:c>
      <x:c r="N1718" s="14" t="str">
        <x:v>否</x:v>
      </x:c>
      <x:c r="O1718" s="14" t="str">
        <x:v>否</x:v>
      </x:c>
      <x:c r="P1718" s="14" t="str">
        <x:v>郭海燕</x:v>
      </x:c>
      <x:c r="Q1718" s="14" t="str">
        <x:v>5号车</x:v>
      </x:c>
      <x:c r="R1718" s="14" t="str">
        <x:v>预测</x:v>
      </x:c>
      <x:c r="S1718" s="14" t="str">
        <x:v>到站时间为估算值</x:v>
      </x:c>
      <x:c r="T1718" t="str">
        <x:v>研究生宿舍楼发车</x:v>
      </x:c>
    </x:row>
    <x:row r="1719">
      <x:c r="A1719" s="14" t="str">
        <x:v>S0147-08</x:v>
      </x:c>
      <x:c r="B1719" s="14" t="str">
        <x:v>S0147</x:v>
      </x:c>
      <x:c r="C1719" s="14" t="str">
        <x:v>工作日</x:v>
      </x:c>
      <x:c r="D1719" s="14" t="str">
        <x:v>环线3路</x:v>
      </x:c>
      <x:c r="E1719" s="14" t="str">
        <x:v>第二班</x:v>
      </x:c>
      <x:c r="F1719" s="14" t="n">
        <x:v>13</x:v>
      </x:c>
      <x:c r="G1719" s="14" t="str">
        <x:v>17:25</x:v>
      </x:c>
      <x:c r="H1719" s="14" t="str">
        <x:v>研究生宿舍楼</x:v>
      </x:c>
      <x:c r="I1719" s="14" t="str">
        <x:v>否</x:v>
      </x:c>
      <x:c r="J1719" s="14" t="n">
        <x:v>8</x:v>
      </x:c>
      <x:c r="K1719" s="14" t="str">
        <x:v>理学院</x:v>
      </x:c>
      <x:c r="L1719" s="14" t="n">
        <x:v>10</x:v>
      </x:c>
      <x:c r="M1719" s="14" t="str">
        <x:v>17:35</x:v>
      </x:c>
      <x:c r="N1719" s="14" t="str">
        <x:v>否</x:v>
      </x:c>
      <x:c r="O1719" s="14" t="str">
        <x:v>否</x:v>
      </x:c>
      <x:c r="P1719" s="14" t="str">
        <x:v>郭海燕</x:v>
      </x:c>
      <x:c r="Q1719" s="14" t="str">
        <x:v>5号车</x:v>
      </x:c>
      <x:c r="R1719" s="14" t="str">
        <x:v>预测</x:v>
      </x:c>
      <x:c r="S1719" s="14" t="str">
        <x:v>到站时间为估算值</x:v>
      </x:c>
      <x:c r="T1719" t="str">
        <x:v>研究生宿舍楼发车</x:v>
      </x:c>
    </x:row>
    <x:row r="1720">
      <x:c r="A1720" s="14" t="str">
        <x:v>S0147-09</x:v>
      </x:c>
      <x:c r="B1720" s="14" t="str">
        <x:v>S0147</x:v>
      </x:c>
      <x:c r="C1720" s="14" t="str">
        <x:v>工作日</x:v>
      </x:c>
      <x:c r="D1720" s="14" t="str">
        <x:v>环线3路</x:v>
      </x:c>
      <x:c r="E1720" s="14" t="str">
        <x:v>第二班</x:v>
      </x:c>
      <x:c r="F1720" s="14" t="n">
        <x:v>13</x:v>
      </x:c>
      <x:c r="G1720" s="14" t="str">
        <x:v>17:25</x:v>
      </x:c>
      <x:c r="H1720" s="14" t="str">
        <x:v>研究生宿舍楼</x:v>
      </x:c>
      <x:c r="I1720" s="14" t="str">
        <x:v>否</x:v>
      </x:c>
      <x:c r="J1720" s="14" t="n">
        <x:v>9</x:v>
      </x:c>
      <x:c r="K1720" s="14" t="str">
        <x:v>二食堂</x:v>
      </x:c>
      <x:c r="L1720" s="14" t="n">
        <x:v>13</x:v>
      </x:c>
      <x:c r="M1720" s="14" t="str">
        <x:v>17:38</x:v>
      </x:c>
      <x:c r="N1720" s="14" t="str">
        <x:v>否</x:v>
      </x:c>
      <x:c r="O1720" s="14" t="str">
        <x:v>否</x:v>
      </x:c>
      <x:c r="P1720" s="14" t="str">
        <x:v>郭海燕</x:v>
      </x:c>
      <x:c r="Q1720" s="14" t="str">
        <x:v>5号车</x:v>
      </x:c>
      <x:c r="R1720" s="14" t="str">
        <x:v>预测</x:v>
      </x:c>
      <x:c r="S1720" s="14" t="str">
        <x:v>到站时间为估算值</x:v>
      </x:c>
      <x:c r="T1720" t="str">
        <x:v>研究生宿舍楼发车</x:v>
      </x:c>
    </x:row>
    <x:row r="1721">
      <x:c r="A1721" s="14" t="str">
        <x:v>S0147-10</x:v>
      </x:c>
      <x:c r="B1721" s="14" t="str">
        <x:v>S0147</x:v>
      </x:c>
      <x:c r="C1721" s="14" t="str">
        <x:v>工作日</x:v>
      </x:c>
      <x:c r="D1721" s="14" t="str">
        <x:v>环线3路</x:v>
      </x:c>
      <x:c r="E1721" s="14" t="str">
        <x:v>第二班</x:v>
      </x:c>
      <x:c r="F1721" s="14" t="n">
        <x:v>13</x:v>
      </x:c>
      <x:c r="G1721" s="14" t="str">
        <x:v>17:25</x:v>
      </x:c>
      <x:c r="H1721" s="14" t="str">
        <x:v>研究生宿舍楼</x:v>
      </x:c>
      <x:c r="I1721" s="14" t="str">
        <x:v>否</x:v>
      </x:c>
      <x:c r="J1721" s="14" t="n">
        <x:v>10</x:v>
      </x:c>
      <x:c r="K1721" s="14" t="str">
        <x:v>图书馆</x:v>
      </x:c>
      <x:c r="L1721" s="14" t="n">
        <x:v>14</x:v>
      </x:c>
      <x:c r="M1721" s="14" t="str">
        <x:v>17:39</x:v>
      </x:c>
      <x:c r="N1721" s="14" t="str">
        <x:v>否</x:v>
      </x:c>
      <x:c r="O1721" s="14" t="str">
        <x:v>否</x:v>
      </x:c>
      <x:c r="P1721" s="14" t="str">
        <x:v>郭海燕</x:v>
      </x:c>
      <x:c r="Q1721" s="14" t="str">
        <x:v>5号车</x:v>
      </x:c>
      <x:c r="R1721" s="14" t="str">
        <x:v>预测</x:v>
      </x:c>
      <x:c r="S1721" s="14" t="str">
        <x:v>到站时间为估算值</x:v>
      </x:c>
      <x:c r="T1721" t="str">
        <x:v>研究生宿舍楼发车</x:v>
      </x:c>
    </x:row>
    <x:row r="1722">
      <x:c r="A1722" s="14" t="str">
        <x:v>S0147-11</x:v>
      </x:c>
      <x:c r="B1722" s="14" t="str">
        <x:v>S0147</x:v>
      </x:c>
      <x:c r="C1722" s="14" t="str">
        <x:v>工作日</x:v>
      </x:c>
      <x:c r="D1722" s="14" t="str">
        <x:v>环线3路</x:v>
      </x:c>
      <x:c r="E1722" s="14" t="str">
        <x:v>第二班</x:v>
      </x:c>
      <x:c r="F1722" s="14" t="n">
        <x:v>13</x:v>
      </x:c>
      <x:c r="G1722" s="14" t="str">
        <x:v>17:25</x:v>
      </x:c>
      <x:c r="H1722" s="14" t="str">
        <x:v>研究生宿舍楼</x:v>
      </x:c>
      <x:c r="I1722" s="14" t="str">
        <x:v>否</x:v>
      </x:c>
      <x:c r="J1722" s="14" t="n">
        <x:v>11</x:v>
      </x:c>
      <x:c r="K1722" s="14" t="str">
        <x:v>305教学楼</x:v>
      </x:c>
      <x:c r="L1722" s="14" t="n">
        <x:v>16</x:v>
      </x:c>
      <x:c r="M1722" s="14" t="str">
        <x:v>17:41</x:v>
      </x:c>
      <x:c r="N1722" s="14" t="str">
        <x:v>否</x:v>
      </x:c>
      <x:c r="O1722" s="14" t="str">
        <x:v>否</x:v>
      </x:c>
      <x:c r="P1722" s="14" t="str">
        <x:v>郭海燕</x:v>
      </x:c>
      <x:c r="Q1722" s="14" t="str">
        <x:v>5号车</x:v>
      </x:c>
      <x:c r="R1722" s="14" t="str">
        <x:v>预测</x:v>
      </x:c>
      <x:c r="S1722" s="14" t="str">
        <x:v>到站时间为估算值</x:v>
      </x:c>
      <x:c r="T1722" t="str">
        <x:v>研究生宿舍楼发车</x:v>
      </x:c>
    </x:row>
    <x:row r="1723">
      <x:c r="A1723" s="14" t="str">
        <x:v>S0147-12</x:v>
      </x:c>
      <x:c r="B1723" s="14" t="str">
        <x:v>S0147</x:v>
      </x:c>
      <x:c r="C1723" s="14" t="str">
        <x:v>工作日</x:v>
      </x:c>
      <x:c r="D1723" s="14" t="str">
        <x:v>环线3路</x:v>
      </x:c>
      <x:c r="E1723" s="14" t="str">
        <x:v>第二班</x:v>
      </x:c>
      <x:c r="F1723" s="14" t="n">
        <x:v>13</x:v>
      </x:c>
      <x:c r="G1723" s="14" t="str">
        <x:v>17:25</x:v>
      </x:c>
      <x:c r="H1723" s="14" t="str">
        <x:v>研究生宿舍楼</x:v>
      </x:c>
      <x:c r="I1723" s="14" t="str">
        <x:v>否</x:v>
      </x:c>
      <x:c r="J1723" s="14" t="n">
        <x:v>12</x:v>
      </x:c>
      <x:c r="K1723" s="14" t="str">
        <x:v>研究生宿舍楼</x:v>
      </x:c>
      <x:c r="L1723" s="14" t="n">
        <x:v>18</x:v>
      </x:c>
      <x:c r="M1723" s="14" t="str">
        <x:v>17:43</x:v>
      </x:c>
      <x:c r="N1723" s="14" t="str">
        <x:v>否</x:v>
      </x:c>
      <x:c r="O1723" s="14" t="str">
        <x:v>是</x:v>
      </x:c>
      <x:c r="P1723" s="14" t="str">
        <x:v>郭海燕</x:v>
      </x:c>
      <x:c r="Q1723" s="14" t="str">
        <x:v>5号车</x:v>
      </x:c>
      <x:c r="R1723" s="14" t="str">
        <x:v>预测</x:v>
      </x:c>
      <x:c r="S1723" s="14" t="str">
        <x:v>到站时间为估算值</x:v>
      </x:c>
      <x:c r="T1723" t="str">
        <x:v>研究生宿舍楼发车</x:v>
      </x:c>
    </x:row>
    <x:row r="1724">
      <x:c r="A1724" s="14" t="str">
        <x:v>S0148-01</x:v>
      </x:c>
      <x:c r="B1724" s="14" t="str">
        <x:v>S0148</x:v>
      </x:c>
      <x:c r="C1724" s="14" t="str">
        <x:v>工作日</x:v>
      </x:c>
      <x:c r="D1724" s="14" t="str">
        <x:v>环线3路</x:v>
      </x:c>
      <x:c r="E1724" s="14" t="str">
        <x:v>第四班</x:v>
      </x:c>
      <x:c r="F1724" s="14" t="n">
        <x:v>1</x:v>
      </x:c>
      <x:c r="G1724" s="14" t="str">
        <x:v>17:55</x:v>
      </x:c>
      <x:c r="H1724" s="14" t="str">
        <x:v>研究生宿舍楼</x:v>
      </x:c>
      <x:c r="I1724" s="14" t="str">
        <x:v>否</x:v>
      </x:c>
      <x:c r="J1724" s="14" t="n">
        <x:v>1</x:v>
      </x:c>
      <x:c r="K1724" s="14" t="str">
        <x:v>研究生宿舍楼</x:v>
      </x:c>
      <x:c r="L1724" s="14" t="n">
        <x:v>0</x:v>
      </x:c>
      <x:c r="M1724" s="14" t="str">
        <x:v>17:55</x:v>
      </x:c>
      <x:c r="N1724" s="14" t="str">
        <x:v>是</x:v>
      </x:c>
      <x:c r="O1724" s="14" t="str">
        <x:v>否</x:v>
      </x:c>
      <x:c r="P1724" s="14" t="str">
        <x:v>孙五星</x:v>
      </x:c>
      <x:c r="Q1724" s="14" t="str">
        <x:v>3号车</x:v>
      </x:c>
      <x:c r="R1724" s="14" t="str">
        <x:v>预测</x:v>
      </x:c>
      <x:c r="S1724" s="14" t="str">
        <x:v>到站时间为估算值</x:v>
      </x:c>
      <x:c r="T1724" t="str">
        <x:v>研究生宿舍楼发车</x:v>
      </x:c>
    </x:row>
    <x:row r="1725">
      <x:c r="A1725" s="14" t="str">
        <x:v>S0148-02</x:v>
      </x:c>
      <x:c r="B1725" s="14" t="str">
        <x:v>S0148</x:v>
      </x:c>
      <x:c r="C1725" s="14" t="str">
        <x:v>工作日</x:v>
      </x:c>
      <x:c r="D1725" s="14" t="str">
        <x:v>环线3路</x:v>
      </x:c>
      <x:c r="E1725" s="14" t="str">
        <x:v>第四班</x:v>
      </x:c>
      <x:c r="F1725" s="14" t="n">
        <x:v>1</x:v>
      </x:c>
      <x:c r="G1725" s="14" t="str">
        <x:v>17:55</x:v>
      </x:c>
      <x:c r="H1725" s="14" t="str">
        <x:v>研究生宿舍楼</x:v>
      </x:c>
      <x:c r="I1725" s="14" t="str">
        <x:v>否</x:v>
      </x:c>
      <x:c r="J1725" s="14" t="n">
        <x:v>2</x:v>
      </x:c>
      <x:c r="K1725" s="14" t="str">
        <x:v>一食堂</x:v>
      </x:c>
      <x:c r="L1725" s="14" t="n">
        <x:v>1</x:v>
      </x:c>
      <x:c r="M1725" s="14" t="str">
        <x:v>17:56</x:v>
      </x:c>
      <x:c r="N1725" s="14" t="str">
        <x:v>否</x:v>
      </x:c>
      <x:c r="O1725" s="14" t="str">
        <x:v>否</x:v>
      </x:c>
      <x:c r="P1725" s="14" t="str">
        <x:v>孙五星</x:v>
      </x:c>
      <x:c r="Q1725" s="14" t="str">
        <x:v>3号车</x:v>
      </x:c>
      <x:c r="R1725" s="14" t="str">
        <x:v>预测</x:v>
      </x:c>
      <x:c r="S1725" s="14" t="str">
        <x:v>到站时间为估算值</x:v>
      </x:c>
      <x:c r="T1725" t="str">
        <x:v>研究生宿舍楼发车</x:v>
      </x:c>
    </x:row>
    <x:row r="1726">
      <x:c r="A1726" s="14" t="str">
        <x:v>S0148-03</x:v>
      </x:c>
      <x:c r="B1726" s="14" t="str">
        <x:v>S0148</x:v>
      </x:c>
      <x:c r="C1726" s="14" t="str">
        <x:v>工作日</x:v>
      </x:c>
      <x:c r="D1726" s="14" t="str">
        <x:v>环线3路</x:v>
      </x:c>
      <x:c r="E1726" s="14" t="str">
        <x:v>第四班</x:v>
      </x:c>
      <x:c r="F1726" s="14" t="n">
        <x:v>1</x:v>
      </x:c>
      <x:c r="G1726" s="14" t="str">
        <x:v>17:55</x:v>
      </x:c>
      <x:c r="H1726" s="14" t="str">
        <x:v>研究生宿舍楼</x:v>
      </x:c>
      <x:c r="I1726" s="14" t="str">
        <x:v>否</x:v>
      </x:c>
      <x:c r="J1726" s="14" t="n">
        <x:v>3</x:v>
      </x:c>
      <x:c r="K1726" s="14" t="str">
        <x:v>2号宿舍楼</x:v>
      </x:c>
      <x:c r="L1726" s="14" t="n">
        <x:v>3</x:v>
      </x:c>
      <x:c r="M1726" s="14" t="str">
        <x:v>17:58</x:v>
      </x:c>
      <x:c r="N1726" s="14" t="str">
        <x:v>否</x:v>
      </x:c>
      <x:c r="O1726" s="14" t="str">
        <x:v>否</x:v>
      </x:c>
      <x:c r="P1726" s="14" t="str">
        <x:v>孙五星</x:v>
      </x:c>
      <x:c r="Q1726" s="14" t="str">
        <x:v>3号车</x:v>
      </x:c>
      <x:c r="R1726" s="14" t="str">
        <x:v>预测</x:v>
      </x:c>
      <x:c r="S1726" s="14" t="str">
        <x:v>到站时间为估算值</x:v>
      </x:c>
      <x:c r="T1726" t="str">
        <x:v>研究生宿舍楼发车</x:v>
      </x:c>
    </x:row>
    <x:row r="1727">
      <x:c r="A1727" s="14" t="str">
        <x:v>S0148-04</x:v>
      </x:c>
      <x:c r="B1727" s="14" t="str">
        <x:v>S0148</x:v>
      </x:c>
      <x:c r="C1727" s="14" t="str">
        <x:v>工作日</x:v>
      </x:c>
      <x:c r="D1727" s="14" t="str">
        <x:v>环线3路</x:v>
      </x:c>
      <x:c r="E1727" s="14" t="str">
        <x:v>第四班</x:v>
      </x:c>
      <x:c r="F1727" s="14" t="n">
        <x:v>1</x:v>
      </x:c>
      <x:c r="G1727" s="14" t="str">
        <x:v>17:55</x:v>
      </x:c>
      <x:c r="H1727" s="14" t="str">
        <x:v>研究生宿舍楼</x:v>
      </x:c>
      <x:c r="I1727" s="14" t="str">
        <x:v>否</x:v>
      </x:c>
      <x:c r="J1727" s="14" t="n">
        <x:v>4</x:v>
      </x:c>
      <x:c r="K1727" s="14" t="str">
        <x:v>军体活动中心</x:v>
      </x:c>
      <x:c r="L1727" s="14" t="n">
        <x:v>4</x:v>
      </x:c>
      <x:c r="M1727" s="14" t="str">
        <x:v>17:59</x:v>
      </x:c>
      <x:c r="N1727" s="14" t="str">
        <x:v>否</x:v>
      </x:c>
      <x:c r="O1727" s="14" t="str">
        <x:v>否</x:v>
      </x:c>
      <x:c r="P1727" s="14" t="str">
        <x:v>孙五星</x:v>
      </x:c>
      <x:c r="Q1727" s="14" t="str">
        <x:v>3号车</x:v>
      </x:c>
      <x:c r="R1727" s="14" t="str">
        <x:v>预测</x:v>
      </x:c>
      <x:c r="S1727" s="14" t="str">
        <x:v>到站时间为估算值</x:v>
      </x:c>
      <x:c r="T1727" t="str">
        <x:v>研究生宿舍楼发车</x:v>
      </x:c>
    </x:row>
    <x:row r="1728">
      <x:c r="A1728" s="14" t="str">
        <x:v>S0148-05</x:v>
      </x:c>
      <x:c r="B1728" s="14" t="str">
        <x:v>S0148</x:v>
      </x:c>
      <x:c r="C1728" s="14" t="str">
        <x:v>工作日</x:v>
      </x:c>
      <x:c r="D1728" s="14" t="str">
        <x:v>环线3路</x:v>
      </x:c>
      <x:c r="E1728" s="14" t="str">
        <x:v>第四班</x:v>
      </x:c>
      <x:c r="F1728" s="14" t="n">
        <x:v>1</x:v>
      </x:c>
      <x:c r="G1728" s="14" t="str">
        <x:v>17:55</x:v>
      </x:c>
      <x:c r="H1728" s="14" t="str">
        <x:v>研究生宿舍楼</x:v>
      </x:c>
      <x:c r="I1728" s="14" t="str">
        <x:v>否</x:v>
      </x:c>
      <x:c r="J1728" s="14" t="n">
        <x:v>5</x:v>
      </x:c>
      <x:c r="K1728" s="14" t="str">
        <x:v>教勤连</x:v>
      </x:c>
      <x:c r="L1728" s="14" t="n">
        <x:v>6</x:v>
      </x:c>
      <x:c r="M1728" s="14" t="str">
        <x:v>18:01</x:v>
      </x:c>
      <x:c r="N1728" s="14" t="str">
        <x:v>否</x:v>
      </x:c>
      <x:c r="O1728" s="14" t="str">
        <x:v>否</x:v>
      </x:c>
      <x:c r="P1728" s="14" t="str">
        <x:v>孙五星</x:v>
      </x:c>
      <x:c r="Q1728" s="14" t="str">
        <x:v>3号车</x:v>
      </x:c>
      <x:c r="R1728" s="14" t="str">
        <x:v>预测</x:v>
      </x:c>
      <x:c r="S1728" s="14" t="str">
        <x:v>到站时间为估算值</x:v>
      </x:c>
      <x:c r="T1728" t="str">
        <x:v>研究生宿舍楼发车</x:v>
      </x:c>
    </x:row>
    <x:row r="1729">
      <x:c r="A1729" s="14" t="str">
        <x:v>S0148-06</x:v>
      </x:c>
      <x:c r="B1729" s="14" t="str">
        <x:v>S0148</x:v>
      </x:c>
      <x:c r="C1729" s="14" t="str">
        <x:v>工作日</x:v>
      </x:c>
      <x:c r="D1729" s="14" t="str">
        <x:v>环线3路</x:v>
      </x:c>
      <x:c r="E1729" s="14" t="str">
        <x:v>第四班</x:v>
      </x:c>
      <x:c r="F1729" s="14" t="n">
        <x:v>1</x:v>
      </x:c>
      <x:c r="G1729" s="14" t="str">
        <x:v>17:55</x:v>
      </x:c>
      <x:c r="H1729" s="14" t="str">
        <x:v>研究生宿舍楼</x:v>
      </x:c>
      <x:c r="I1729" s="14" t="str">
        <x:v>否</x:v>
      </x:c>
      <x:c r="J1729" s="14" t="n">
        <x:v>6</x:v>
      </x:c>
      <x:c r="K1729" s="14" t="str">
        <x:v>激光所</x:v>
      </x:c>
      <x:c r="L1729" s="14" t="n">
        <x:v>7</x:v>
      </x:c>
      <x:c r="M1729" s="14" t="str">
        <x:v>18:02</x:v>
      </x:c>
      <x:c r="N1729" s="14" t="str">
        <x:v>否</x:v>
      </x:c>
      <x:c r="O1729" s="14" t="str">
        <x:v>否</x:v>
      </x:c>
      <x:c r="P1729" s="14" t="str">
        <x:v>孙五星</x:v>
      </x:c>
      <x:c r="Q1729" s="14" t="str">
        <x:v>3号车</x:v>
      </x:c>
      <x:c r="R1729" s="14" t="str">
        <x:v>预测</x:v>
      </x:c>
      <x:c r="S1729" s="14" t="str">
        <x:v>到站时间为估算值</x:v>
      </x:c>
      <x:c r="T1729" t="str">
        <x:v>研究生宿舍楼发车</x:v>
      </x:c>
    </x:row>
    <x:row r="1730">
      <x:c r="A1730" s="14" t="str">
        <x:v>S0148-07</x:v>
      </x:c>
      <x:c r="B1730" s="14" t="str">
        <x:v>S0148</x:v>
      </x:c>
      <x:c r="C1730" s="14" t="str">
        <x:v>工作日</x:v>
      </x:c>
      <x:c r="D1730" s="14" t="str">
        <x:v>环线3路</x:v>
      </x:c>
      <x:c r="E1730" s="14" t="str">
        <x:v>第四班</x:v>
      </x:c>
      <x:c r="F1730" s="14" t="n">
        <x:v>1</x:v>
      </x:c>
      <x:c r="G1730" s="14" t="str">
        <x:v>17:55</x:v>
      </x:c>
      <x:c r="H1730" s="14" t="str">
        <x:v>研究生宿舍楼</x:v>
      </x:c>
      <x:c r="I1730" s="14" t="str">
        <x:v>否</x:v>
      </x:c>
      <x:c r="J1730" s="14" t="n">
        <x:v>7</x:v>
      </x:c>
      <x:c r="K1730" s="14" t="str">
        <x:v>高超楼</x:v>
      </x:c>
      <x:c r="L1730" s="14" t="n">
        <x:v>9</x:v>
      </x:c>
      <x:c r="M1730" s="14" t="str">
        <x:v>18:04</x:v>
      </x:c>
      <x:c r="N1730" s="14" t="str">
        <x:v>否</x:v>
      </x:c>
      <x:c r="O1730" s="14" t="str">
        <x:v>否</x:v>
      </x:c>
      <x:c r="P1730" s="14" t="str">
        <x:v>孙五星</x:v>
      </x:c>
      <x:c r="Q1730" s="14" t="str">
        <x:v>3号车</x:v>
      </x:c>
      <x:c r="R1730" s="14" t="str">
        <x:v>预测</x:v>
      </x:c>
      <x:c r="S1730" s="14" t="str">
        <x:v>到站时间为估算值</x:v>
      </x:c>
      <x:c r="T1730" t="str">
        <x:v>研究生宿舍楼发车</x:v>
      </x:c>
    </x:row>
    <x:row r="1731">
      <x:c r="A1731" s="14" t="str">
        <x:v>S0148-08</x:v>
      </x:c>
      <x:c r="B1731" s="14" t="str">
        <x:v>S0148</x:v>
      </x:c>
      <x:c r="C1731" s="14" t="str">
        <x:v>工作日</x:v>
      </x:c>
      <x:c r="D1731" s="14" t="str">
        <x:v>环线3路</x:v>
      </x:c>
      <x:c r="E1731" s="14" t="str">
        <x:v>第四班</x:v>
      </x:c>
      <x:c r="F1731" s="14" t="n">
        <x:v>1</x:v>
      </x:c>
      <x:c r="G1731" s="14" t="str">
        <x:v>17:55</x:v>
      </x:c>
      <x:c r="H1731" s="14" t="str">
        <x:v>研究生宿舍楼</x:v>
      </x:c>
      <x:c r="I1731" s="14" t="str">
        <x:v>否</x:v>
      </x:c>
      <x:c r="J1731" s="14" t="n">
        <x:v>8</x:v>
      </x:c>
      <x:c r="K1731" s="14" t="str">
        <x:v>理学院</x:v>
      </x:c>
      <x:c r="L1731" s="14" t="n">
        <x:v>10</x:v>
      </x:c>
      <x:c r="M1731" s="14" t="str">
        <x:v>18:05</x:v>
      </x:c>
      <x:c r="N1731" s="14" t="str">
        <x:v>否</x:v>
      </x:c>
      <x:c r="O1731" s="14" t="str">
        <x:v>否</x:v>
      </x:c>
      <x:c r="P1731" s="14" t="str">
        <x:v>孙五星</x:v>
      </x:c>
      <x:c r="Q1731" s="14" t="str">
        <x:v>3号车</x:v>
      </x:c>
      <x:c r="R1731" s="14" t="str">
        <x:v>预测</x:v>
      </x:c>
      <x:c r="S1731" s="14" t="str">
        <x:v>到站时间为估算值</x:v>
      </x:c>
      <x:c r="T1731" t="str">
        <x:v>研究生宿舍楼发车</x:v>
      </x:c>
    </x:row>
    <x:row r="1732">
      <x:c r="A1732" s="14" t="str">
        <x:v>S0148-09</x:v>
      </x:c>
      <x:c r="B1732" s="14" t="str">
        <x:v>S0148</x:v>
      </x:c>
      <x:c r="C1732" s="14" t="str">
        <x:v>工作日</x:v>
      </x:c>
      <x:c r="D1732" s="14" t="str">
        <x:v>环线3路</x:v>
      </x:c>
      <x:c r="E1732" s="14" t="str">
        <x:v>第四班</x:v>
      </x:c>
      <x:c r="F1732" s="14" t="n">
        <x:v>1</x:v>
      </x:c>
      <x:c r="G1732" s="14" t="str">
        <x:v>17:55</x:v>
      </x:c>
      <x:c r="H1732" s="14" t="str">
        <x:v>研究生宿舍楼</x:v>
      </x:c>
      <x:c r="I1732" s="14" t="str">
        <x:v>否</x:v>
      </x:c>
      <x:c r="J1732" s="14" t="n">
        <x:v>9</x:v>
      </x:c>
      <x:c r="K1732" s="14" t="str">
        <x:v>二食堂</x:v>
      </x:c>
      <x:c r="L1732" s="14" t="n">
        <x:v>13</x:v>
      </x:c>
      <x:c r="M1732" s="14" t="str">
        <x:v>18:08</x:v>
      </x:c>
      <x:c r="N1732" s="14" t="str">
        <x:v>否</x:v>
      </x:c>
      <x:c r="O1732" s="14" t="str">
        <x:v>否</x:v>
      </x:c>
      <x:c r="P1732" s="14" t="str">
        <x:v>孙五星</x:v>
      </x:c>
      <x:c r="Q1732" s="14" t="str">
        <x:v>3号车</x:v>
      </x:c>
      <x:c r="R1732" s="14" t="str">
        <x:v>预测</x:v>
      </x:c>
      <x:c r="S1732" s="14" t="str">
        <x:v>到站时间为估算值</x:v>
      </x:c>
      <x:c r="T1732" t="str">
        <x:v>研究生宿舍楼发车</x:v>
      </x:c>
    </x:row>
    <x:row r="1733">
      <x:c r="A1733" s="14" t="str">
        <x:v>S0148-10</x:v>
      </x:c>
      <x:c r="B1733" s="14" t="str">
        <x:v>S0148</x:v>
      </x:c>
      <x:c r="C1733" s="14" t="str">
        <x:v>工作日</x:v>
      </x:c>
      <x:c r="D1733" s="14" t="str">
        <x:v>环线3路</x:v>
      </x:c>
      <x:c r="E1733" s="14" t="str">
        <x:v>第四班</x:v>
      </x:c>
      <x:c r="F1733" s="14" t="n">
        <x:v>1</x:v>
      </x:c>
      <x:c r="G1733" s="14" t="str">
        <x:v>17:55</x:v>
      </x:c>
      <x:c r="H1733" s="14" t="str">
        <x:v>研究生宿舍楼</x:v>
      </x:c>
      <x:c r="I1733" s="14" t="str">
        <x:v>否</x:v>
      </x:c>
      <x:c r="J1733" s="14" t="n">
        <x:v>10</x:v>
      </x:c>
      <x:c r="K1733" s="14" t="str">
        <x:v>图书馆</x:v>
      </x:c>
      <x:c r="L1733" s="14" t="n">
        <x:v>14</x:v>
      </x:c>
      <x:c r="M1733" s="14" t="str">
        <x:v>18:09</x:v>
      </x:c>
      <x:c r="N1733" s="14" t="str">
        <x:v>否</x:v>
      </x:c>
      <x:c r="O1733" s="14" t="str">
        <x:v>否</x:v>
      </x:c>
      <x:c r="P1733" s="14" t="str">
        <x:v>孙五星</x:v>
      </x:c>
      <x:c r="Q1733" s="14" t="str">
        <x:v>3号车</x:v>
      </x:c>
      <x:c r="R1733" s="14" t="str">
        <x:v>预测</x:v>
      </x:c>
      <x:c r="S1733" s="14" t="str">
        <x:v>到站时间为估算值</x:v>
      </x:c>
      <x:c r="T1733" t="str">
        <x:v>研究生宿舍楼发车</x:v>
      </x:c>
    </x:row>
    <x:row r="1734">
      <x:c r="A1734" s="14" t="str">
        <x:v>S0148-11</x:v>
      </x:c>
      <x:c r="B1734" s="14" t="str">
        <x:v>S0148</x:v>
      </x:c>
      <x:c r="C1734" s="14" t="str">
        <x:v>工作日</x:v>
      </x:c>
      <x:c r="D1734" s="14" t="str">
        <x:v>环线3路</x:v>
      </x:c>
      <x:c r="E1734" s="14" t="str">
        <x:v>第四班</x:v>
      </x:c>
      <x:c r="F1734" s="14" t="n">
        <x:v>1</x:v>
      </x:c>
      <x:c r="G1734" s="14" t="str">
        <x:v>17:55</x:v>
      </x:c>
      <x:c r="H1734" s="14" t="str">
        <x:v>研究生宿舍楼</x:v>
      </x:c>
      <x:c r="I1734" s="14" t="str">
        <x:v>否</x:v>
      </x:c>
      <x:c r="J1734" s="14" t="n">
        <x:v>11</x:v>
      </x:c>
      <x:c r="K1734" s="14" t="str">
        <x:v>305教学楼</x:v>
      </x:c>
      <x:c r="L1734" s="14" t="n">
        <x:v>16</x:v>
      </x:c>
      <x:c r="M1734" s="14" t="str">
        <x:v>18:11</x:v>
      </x:c>
      <x:c r="N1734" s="14" t="str">
        <x:v>否</x:v>
      </x:c>
      <x:c r="O1734" s="14" t="str">
        <x:v>否</x:v>
      </x:c>
      <x:c r="P1734" s="14" t="str">
        <x:v>孙五星</x:v>
      </x:c>
      <x:c r="Q1734" s="14" t="str">
        <x:v>3号车</x:v>
      </x:c>
      <x:c r="R1734" s="14" t="str">
        <x:v>预测</x:v>
      </x:c>
      <x:c r="S1734" s="14" t="str">
        <x:v>到站时间为估算值</x:v>
      </x:c>
      <x:c r="T1734" t="str">
        <x:v>研究生宿舍楼发车</x:v>
      </x:c>
    </x:row>
    <x:row r="1735">
      <x:c r="A1735" s="14" t="str">
        <x:v>S0148-12</x:v>
      </x:c>
      <x:c r="B1735" s="14" t="str">
        <x:v>S0148</x:v>
      </x:c>
      <x:c r="C1735" s="14" t="str">
        <x:v>工作日</x:v>
      </x:c>
      <x:c r="D1735" s="14" t="str">
        <x:v>环线3路</x:v>
      </x:c>
      <x:c r="E1735" s="14" t="str">
        <x:v>第四班</x:v>
      </x:c>
      <x:c r="F1735" s="14" t="n">
        <x:v>1</x:v>
      </x:c>
      <x:c r="G1735" s="14" t="str">
        <x:v>17:55</x:v>
      </x:c>
      <x:c r="H1735" s="14" t="str">
        <x:v>研究生宿舍楼</x:v>
      </x:c>
      <x:c r="I1735" s="14" t="str">
        <x:v>否</x:v>
      </x:c>
      <x:c r="J1735" s="14" t="n">
        <x:v>12</x:v>
      </x:c>
      <x:c r="K1735" s="14" t="str">
        <x:v>研究生宿舍楼</x:v>
      </x:c>
      <x:c r="L1735" s="14" t="n">
        <x:v>18</x:v>
      </x:c>
      <x:c r="M1735" s="14" t="str">
        <x:v>18:13</x:v>
      </x:c>
      <x:c r="N1735" s="14" t="str">
        <x:v>否</x:v>
      </x:c>
      <x:c r="O1735" s="14" t="str">
        <x:v>是</x:v>
      </x:c>
      <x:c r="P1735" s="14" t="str">
        <x:v>孙五星</x:v>
      </x:c>
      <x:c r="Q1735" s="14" t="str">
        <x:v>3号车</x:v>
      </x:c>
      <x:c r="R1735" s="14" t="str">
        <x:v>预测</x:v>
      </x:c>
      <x:c r="S1735" s="14" t="str">
        <x:v>到站时间为估算值</x:v>
      </x:c>
      <x:c r="T1735" t="str">
        <x:v>研究生宿舍楼发车</x:v>
      </x:c>
    </x:row>
    <x:row r="1736">
      <x:c r="A1736" s="14" t="str">
        <x:v>S0149-01</x:v>
      </x:c>
      <x:c r="B1736" s="14" t="str">
        <x:v>S0149</x:v>
      </x:c>
      <x:c r="C1736" s="14" t="str">
        <x:v>工作日</x:v>
      </x:c>
      <x:c r="D1736" s="14" t="str">
        <x:v>环线3路</x:v>
      </x:c>
      <x:c r="E1736" s="14" t="str">
        <x:v>第四班</x:v>
      </x:c>
      <x:c r="F1736" s="14" t="n">
        <x:v>2</x:v>
      </x:c>
      <x:c r="G1736" s="14" t="str">
        <x:v>18:20</x:v>
      </x:c>
      <x:c r="H1736" s="14" t="str">
        <x:v>研究生宿舍楼</x:v>
      </x:c>
      <x:c r="I1736" s="14" t="str">
        <x:v>否</x:v>
      </x:c>
      <x:c r="J1736" s="14" t="n">
        <x:v>1</x:v>
      </x:c>
      <x:c r="K1736" s="14" t="str">
        <x:v>研究生宿舍楼</x:v>
      </x:c>
      <x:c r="L1736" s="14" t="n">
        <x:v>0</x:v>
      </x:c>
      <x:c r="M1736" s="14" t="str">
        <x:v>18:20</x:v>
      </x:c>
      <x:c r="N1736" s="14" t="str">
        <x:v>是</x:v>
      </x:c>
      <x:c r="O1736" s="14" t="str">
        <x:v>否</x:v>
      </x:c>
      <x:c r="P1736" s="14" t="str">
        <x:v>孙五星</x:v>
      </x:c>
      <x:c r="Q1736" s="14" t="str">
        <x:v>3号车</x:v>
      </x:c>
      <x:c r="R1736" s="14" t="str">
        <x:v>预测</x:v>
      </x:c>
      <x:c r="S1736" s="14" t="str">
        <x:v>到站时间为估算值</x:v>
      </x:c>
      <x:c r="T1736" t="str">
        <x:v>研究生宿舍楼发车</x:v>
      </x:c>
    </x:row>
    <x:row r="1737">
      <x:c r="A1737" s="14" t="str">
        <x:v>S0149-02</x:v>
      </x:c>
      <x:c r="B1737" s="14" t="str">
        <x:v>S0149</x:v>
      </x:c>
      <x:c r="C1737" s="14" t="str">
        <x:v>工作日</x:v>
      </x:c>
      <x:c r="D1737" s="14" t="str">
        <x:v>环线3路</x:v>
      </x:c>
      <x:c r="E1737" s="14" t="str">
        <x:v>第四班</x:v>
      </x:c>
      <x:c r="F1737" s="14" t="n">
        <x:v>2</x:v>
      </x:c>
      <x:c r="G1737" s="14" t="str">
        <x:v>18:20</x:v>
      </x:c>
      <x:c r="H1737" s="14" t="str">
        <x:v>研究生宿舍楼</x:v>
      </x:c>
      <x:c r="I1737" s="14" t="str">
        <x:v>否</x:v>
      </x:c>
      <x:c r="J1737" s="14" t="n">
        <x:v>2</x:v>
      </x:c>
      <x:c r="K1737" s="14" t="str">
        <x:v>一食堂</x:v>
      </x:c>
      <x:c r="L1737" s="14" t="n">
        <x:v>1</x:v>
      </x:c>
      <x:c r="M1737" s="14" t="str">
        <x:v>18:21</x:v>
      </x:c>
      <x:c r="N1737" s="14" t="str">
        <x:v>否</x:v>
      </x:c>
      <x:c r="O1737" s="14" t="str">
        <x:v>否</x:v>
      </x:c>
      <x:c r="P1737" s="14" t="str">
        <x:v>孙五星</x:v>
      </x:c>
      <x:c r="Q1737" s="14" t="str">
        <x:v>3号车</x:v>
      </x:c>
      <x:c r="R1737" s="14" t="str">
        <x:v>预测</x:v>
      </x:c>
      <x:c r="S1737" s="14" t="str">
        <x:v>到站时间为估算值</x:v>
      </x:c>
      <x:c r="T1737" t="str">
        <x:v>研究生宿舍楼发车</x:v>
      </x:c>
    </x:row>
    <x:row r="1738">
      <x:c r="A1738" s="14" t="str">
        <x:v>S0149-03</x:v>
      </x:c>
      <x:c r="B1738" s="14" t="str">
        <x:v>S0149</x:v>
      </x:c>
      <x:c r="C1738" s="14" t="str">
        <x:v>工作日</x:v>
      </x:c>
      <x:c r="D1738" s="14" t="str">
        <x:v>环线3路</x:v>
      </x:c>
      <x:c r="E1738" s="14" t="str">
        <x:v>第四班</x:v>
      </x:c>
      <x:c r="F1738" s="14" t="n">
        <x:v>2</x:v>
      </x:c>
      <x:c r="G1738" s="14" t="str">
        <x:v>18:20</x:v>
      </x:c>
      <x:c r="H1738" s="14" t="str">
        <x:v>研究生宿舍楼</x:v>
      </x:c>
      <x:c r="I1738" s="14" t="str">
        <x:v>否</x:v>
      </x:c>
      <x:c r="J1738" s="14" t="n">
        <x:v>3</x:v>
      </x:c>
      <x:c r="K1738" s="14" t="str">
        <x:v>2号宿舍楼</x:v>
      </x:c>
      <x:c r="L1738" s="14" t="n">
        <x:v>3</x:v>
      </x:c>
      <x:c r="M1738" s="14" t="str">
        <x:v>18:23</x:v>
      </x:c>
      <x:c r="N1738" s="14" t="str">
        <x:v>否</x:v>
      </x:c>
      <x:c r="O1738" s="14" t="str">
        <x:v>否</x:v>
      </x:c>
      <x:c r="P1738" s="14" t="str">
        <x:v>孙五星</x:v>
      </x:c>
      <x:c r="Q1738" s="14" t="str">
        <x:v>3号车</x:v>
      </x:c>
      <x:c r="R1738" s="14" t="str">
        <x:v>预测</x:v>
      </x:c>
      <x:c r="S1738" s="14" t="str">
        <x:v>到站时间为估算值</x:v>
      </x:c>
      <x:c r="T1738" t="str">
        <x:v>研究生宿舍楼发车</x:v>
      </x:c>
    </x:row>
    <x:row r="1739">
      <x:c r="A1739" s="14" t="str">
        <x:v>S0149-04</x:v>
      </x:c>
      <x:c r="B1739" s="14" t="str">
        <x:v>S0149</x:v>
      </x:c>
      <x:c r="C1739" s="14" t="str">
        <x:v>工作日</x:v>
      </x:c>
      <x:c r="D1739" s="14" t="str">
        <x:v>环线3路</x:v>
      </x:c>
      <x:c r="E1739" s="14" t="str">
        <x:v>第四班</x:v>
      </x:c>
      <x:c r="F1739" s="14" t="n">
        <x:v>2</x:v>
      </x:c>
      <x:c r="G1739" s="14" t="str">
        <x:v>18:20</x:v>
      </x:c>
      <x:c r="H1739" s="14" t="str">
        <x:v>研究生宿舍楼</x:v>
      </x:c>
      <x:c r="I1739" s="14" t="str">
        <x:v>否</x:v>
      </x:c>
      <x:c r="J1739" s="14" t="n">
        <x:v>4</x:v>
      </x:c>
      <x:c r="K1739" s="14" t="str">
        <x:v>军体活动中心</x:v>
      </x:c>
      <x:c r="L1739" s="14" t="n">
        <x:v>4</x:v>
      </x:c>
      <x:c r="M1739" s="14" t="str">
        <x:v>18:24</x:v>
      </x:c>
      <x:c r="N1739" s="14" t="str">
        <x:v>否</x:v>
      </x:c>
      <x:c r="O1739" s="14" t="str">
        <x:v>否</x:v>
      </x:c>
      <x:c r="P1739" s="14" t="str">
        <x:v>孙五星</x:v>
      </x:c>
      <x:c r="Q1739" s="14" t="str">
        <x:v>3号车</x:v>
      </x:c>
      <x:c r="R1739" s="14" t="str">
        <x:v>预测</x:v>
      </x:c>
      <x:c r="S1739" s="14" t="str">
        <x:v>到站时间为估算值</x:v>
      </x:c>
      <x:c r="T1739" t="str">
        <x:v>研究生宿舍楼发车</x:v>
      </x:c>
    </x:row>
    <x:row r="1740">
      <x:c r="A1740" s="14" t="str">
        <x:v>S0149-05</x:v>
      </x:c>
      <x:c r="B1740" s="14" t="str">
        <x:v>S0149</x:v>
      </x:c>
      <x:c r="C1740" s="14" t="str">
        <x:v>工作日</x:v>
      </x:c>
      <x:c r="D1740" s="14" t="str">
        <x:v>环线3路</x:v>
      </x:c>
      <x:c r="E1740" s="14" t="str">
        <x:v>第四班</x:v>
      </x:c>
      <x:c r="F1740" s="14" t="n">
        <x:v>2</x:v>
      </x:c>
      <x:c r="G1740" s="14" t="str">
        <x:v>18:20</x:v>
      </x:c>
      <x:c r="H1740" s="14" t="str">
        <x:v>研究生宿舍楼</x:v>
      </x:c>
      <x:c r="I1740" s="14" t="str">
        <x:v>否</x:v>
      </x:c>
      <x:c r="J1740" s="14" t="n">
        <x:v>5</x:v>
      </x:c>
      <x:c r="K1740" s="14" t="str">
        <x:v>教勤连</x:v>
      </x:c>
      <x:c r="L1740" s="14" t="n">
        <x:v>6</x:v>
      </x:c>
      <x:c r="M1740" s="14" t="str">
        <x:v>18:26</x:v>
      </x:c>
      <x:c r="N1740" s="14" t="str">
        <x:v>否</x:v>
      </x:c>
      <x:c r="O1740" s="14" t="str">
        <x:v>否</x:v>
      </x:c>
      <x:c r="P1740" s="14" t="str">
        <x:v>孙五星</x:v>
      </x:c>
      <x:c r="Q1740" s="14" t="str">
        <x:v>3号车</x:v>
      </x:c>
      <x:c r="R1740" s="14" t="str">
        <x:v>预测</x:v>
      </x:c>
      <x:c r="S1740" s="14" t="str">
        <x:v>到站时间为估算值</x:v>
      </x:c>
      <x:c r="T1740" t="str">
        <x:v>研究生宿舍楼发车</x:v>
      </x:c>
    </x:row>
    <x:row r="1741">
      <x:c r="A1741" s="14" t="str">
        <x:v>S0149-06</x:v>
      </x:c>
      <x:c r="B1741" s="14" t="str">
        <x:v>S0149</x:v>
      </x:c>
      <x:c r="C1741" s="14" t="str">
        <x:v>工作日</x:v>
      </x:c>
      <x:c r="D1741" s="14" t="str">
        <x:v>环线3路</x:v>
      </x:c>
      <x:c r="E1741" s="14" t="str">
        <x:v>第四班</x:v>
      </x:c>
      <x:c r="F1741" s="14" t="n">
        <x:v>2</x:v>
      </x:c>
      <x:c r="G1741" s="14" t="str">
        <x:v>18:20</x:v>
      </x:c>
      <x:c r="H1741" s="14" t="str">
        <x:v>研究生宿舍楼</x:v>
      </x:c>
      <x:c r="I1741" s="14" t="str">
        <x:v>否</x:v>
      </x:c>
      <x:c r="J1741" s="14" t="n">
        <x:v>6</x:v>
      </x:c>
      <x:c r="K1741" s="14" t="str">
        <x:v>激光所</x:v>
      </x:c>
      <x:c r="L1741" s="14" t="n">
        <x:v>7</x:v>
      </x:c>
      <x:c r="M1741" s="14" t="str">
        <x:v>18:27</x:v>
      </x:c>
      <x:c r="N1741" s="14" t="str">
        <x:v>否</x:v>
      </x:c>
      <x:c r="O1741" s="14" t="str">
        <x:v>否</x:v>
      </x:c>
      <x:c r="P1741" s="14" t="str">
        <x:v>孙五星</x:v>
      </x:c>
      <x:c r="Q1741" s="14" t="str">
        <x:v>3号车</x:v>
      </x:c>
      <x:c r="R1741" s="14" t="str">
        <x:v>预测</x:v>
      </x:c>
      <x:c r="S1741" s="14" t="str">
        <x:v>到站时间为估算值</x:v>
      </x:c>
      <x:c r="T1741" t="str">
        <x:v>研究生宿舍楼发车</x:v>
      </x:c>
    </x:row>
    <x:row r="1742">
      <x:c r="A1742" s="14" t="str">
        <x:v>S0149-07</x:v>
      </x:c>
      <x:c r="B1742" s="14" t="str">
        <x:v>S0149</x:v>
      </x:c>
      <x:c r="C1742" s="14" t="str">
        <x:v>工作日</x:v>
      </x:c>
      <x:c r="D1742" s="14" t="str">
        <x:v>环线3路</x:v>
      </x:c>
      <x:c r="E1742" s="14" t="str">
        <x:v>第四班</x:v>
      </x:c>
      <x:c r="F1742" s="14" t="n">
        <x:v>2</x:v>
      </x:c>
      <x:c r="G1742" s="14" t="str">
        <x:v>18:20</x:v>
      </x:c>
      <x:c r="H1742" s="14" t="str">
        <x:v>研究生宿舍楼</x:v>
      </x:c>
      <x:c r="I1742" s="14" t="str">
        <x:v>否</x:v>
      </x:c>
      <x:c r="J1742" s="14" t="n">
        <x:v>7</x:v>
      </x:c>
      <x:c r="K1742" s="14" t="str">
        <x:v>高超楼</x:v>
      </x:c>
      <x:c r="L1742" s="14" t="n">
        <x:v>9</x:v>
      </x:c>
      <x:c r="M1742" s="14" t="str">
        <x:v>18:29</x:v>
      </x:c>
      <x:c r="N1742" s="14" t="str">
        <x:v>否</x:v>
      </x:c>
      <x:c r="O1742" s="14" t="str">
        <x:v>否</x:v>
      </x:c>
      <x:c r="P1742" s="14" t="str">
        <x:v>孙五星</x:v>
      </x:c>
      <x:c r="Q1742" s="14" t="str">
        <x:v>3号车</x:v>
      </x:c>
      <x:c r="R1742" s="14" t="str">
        <x:v>预测</x:v>
      </x:c>
      <x:c r="S1742" s="14" t="str">
        <x:v>到站时间为估算值</x:v>
      </x:c>
      <x:c r="T1742" t="str">
        <x:v>研究生宿舍楼发车</x:v>
      </x:c>
    </x:row>
    <x:row r="1743">
      <x:c r="A1743" s="14" t="str">
        <x:v>S0149-08</x:v>
      </x:c>
      <x:c r="B1743" s="14" t="str">
        <x:v>S0149</x:v>
      </x:c>
      <x:c r="C1743" s="14" t="str">
        <x:v>工作日</x:v>
      </x:c>
      <x:c r="D1743" s="14" t="str">
        <x:v>环线3路</x:v>
      </x:c>
      <x:c r="E1743" s="14" t="str">
        <x:v>第四班</x:v>
      </x:c>
      <x:c r="F1743" s="14" t="n">
        <x:v>2</x:v>
      </x:c>
      <x:c r="G1743" s="14" t="str">
        <x:v>18:20</x:v>
      </x:c>
      <x:c r="H1743" s="14" t="str">
        <x:v>研究生宿舍楼</x:v>
      </x:c>
      <x:c r="I1743" s="14" t="str">
        <x:v>否</x:v>
      </x:c>
      <x:c r="J1743" s="14" t="n">
        <x:v>8</x:v>
      </x:c>
      <x:c r="K1743" s="14" t="str">
        <x:v>理学院</x:v>
      </x:c>
      <x:c r="L1743" s="14" t="n">
        <x:v>10</x:v>
      </x:c>
      <x:c r="M1743" s="14" t="str">
        <x:v>18:30</x:v>
      </x:c>
      <x:c r="N1743" s="14" t="str">
        <x:v>否</x:v>
      </x:c>
      <x:c r="O1743" s="14" t="str">
        <x:v>否</x:v>
      </x:c>
      <x:c r="P1743" s="14" t="str">
        <x:v>孙五星</x:v>
      </x:c>
      <x:c r="Q1743" s="14" t="str">
        <x:v>3号车</x:v>
      </x:c>
      <x:c r="R1743" s="14" t="str">
        <x:v>预测</x:v>
      </x:c>
      <x:c r="S1743" s="14" t="str">
        <x:v>到站时间为估算值</x:v>
      </x:c>
      <x:c r="T1743" t="str">
        <x:v>研究生宿舍楼发车</x:v>
      </x:c>
    </x:row>
    <x:row r="1744">
      <x:c r="A1744" s="14" t="str">
        <x:v>S0149-09</x:v>
      </x:c>
      <x:c r="B1744" s="14" t="str">
        <x:v>S0149</x:v>
      </x:c>
      <x:c r="C1744" s="14" t="str">
        <x:v>工作日</x:v>
      </x:c>
      <x:c r="D1744" s="14" t="str">
        <x:v>环线3路</x:v>
      </x:c>
      <x:c r="E1744" s="14" t="str">
        <x:v>第四班</x:v>
      </x:c>
      <x:c r="F1744" s="14" t="n">
        <x:v>2</x:v>
      </x:c>
      <x:c r="G1744" s="14" t="str">
        <x:v>18:20</x:v>
      </x:c>
      <x:c r="H1744" s="14" t="str">
        <x:v>研究生宿舍楼</x:v>
      </x:c>
      <x:c r="I1744" s="14" t="str">
        <x:v>否</x:v>
      </x:c>
      <x:c r="J1744" s="14" t="n">
        <x:v>9</x:v>
      </x:c>
      <x:c r="K1744" s="14" t="str">
        <x:v>二食堂</x:v>
      </x:c>
      <x:c r="L1744" s="14" t="n">
        <x:v>13</x:v>
      </x:c>
      <x:c r="M1744" s="14" t="str">
        <x:v>18:33</x:v>
      </x:c>
      <x:c r="N1744" s="14" t="str">
        <x:v>否</x:v>
      </x:c>
      <x:c r="O1744" s="14" t="str">
        <x:v>否</x:v>
      </x:c>
      <x:c r="P1744" s="14" t="str">
        <x:v>孙五星</x:v>
      </x:c>
      <x:c r="Q1744" s="14" t="str">
        <x:v>3号车</x:v>
      </x:c>
      <x:c r="R1744" s="14" t="str">
        <x:v>预测</x:v>
      </x:c>
      <x:c r="S1744" s="14" t="str">
        <x:v>到站时间为估算值</x:v>
      </x:c>
      <x:c r="T1744" t="str">
        <x:v>研究生宿舍楼发车</x:v>
      </x:c>
    </x:row>
    <x:row r="1745">
      <x:c r="A1745" s="14" t="str">
        <x:v>S0149-10</x:v>
      </x:c>
      <x:c r="B1745" s="14" t="str">
        <x:v>S0149</x:v>
      </x:c>
      <x:c r="C1745" s="14" t="str">
        <x:v>工作日</x:v>
      </x:c>
      <x:c r="D1745" s="14" t="str">
        <x:v>环线3路</x:v>
      </x:c>
      <x:c r="E1745" s="14" t="str">
        <x:v>第四班</x:v>
      </x:c>
      <x:c r="F1745" s="14" t="n">
        <x:v>2</x:v>
      </x:c>
      <x:c r="G1745" s="14" t="str">
        <x:v>18:20</x:v>
      </x:c>
      <x:c r="H1745" s="14" t="str">
        <x:v>研究生宿舍楼</x:v>
      </x:c>
      <x:c r="I1745" s="14" t="str">
        <x:v>否</x:v>
      </x:c>
      <x:c r="J1745" s="14" t="n">
        <x:v>10</x:v>
      </x:c>
      <x:c r="K1745" s="14" t="str">
        <x:v>图书馆</x:v>
      </x:c>
      <x:c r="L1745" s="14" t="n">
        <x:v>14</x:v>
      </x:c>
      <x:c r="M1745" s="14" t="str">
        <x:v>18:34</x:v>
      </x:c>
      <x:c r="N1745" s="14" t="str">
        <x:v>否</x:v>
      </x:c>
      <x:c r="O1745" s="14" t="str">
        <x:v>否</x:v>
      </x:c>
      <x:c r="P1745" s="14" t="str">
        <x:v>孙五星</x:v>
      </x:c>
      <x:c r="Q1745" s="14" t="str">
        <x:v>3号车</x:v>
      </x:c>
      <x:c r="R1745" s="14" t="str">
        <x:v>预测</x:v>
      </x:c>
      <x:c r="S1745" s="14" t="str">
        <x:v>到站时间为估算值</x:v>
      </x:c>
      <x:c r="T1745" t="str">
        <x:v>研究生宿舍楼发车</x:v>
      </x:c>
    </x:row>
    <x:row r="1746">
      <x:c r="A1746" s="14" t="str">
        <x:v>S0149-11</x:v>
      </x:c>
      <x:c r="B1746" s="14" t="str">
        <x:v>S0149</x:v>
      </x:c>
      <x:c r="C1746" s="14" t="str">
        <x:v>工作日</x:v>
      </x:c>
      <x:c r="D1746" s="14" t="str">
        <x:v>环线3路</x:v>
      </x:c>
      <x:c r="E1746" s="14" t="str">
        <x:v>第四班</x:v>
      </x:c>
      <x:c r="F1746" s="14" t="n">
        <x:v>2</x:v>
      </x:c>
      <x:c r="G1746" s="14" t="str">
        <x:v>18:20</x:v>
      </x:c>
      <x:c r="H1746" s="14" t="str">
        <x:v>研究生宿舍楼</x:v>
      </x:c>
      <x:c r="I1746" s="14" t="str">
        <x:v>否</x:v>
      </x:c>
      <x:c r="J1746" s="14" t="n">
        <x:v>11</x:v>
      </x:c>
      <x:c r="K1746" s="14" t="str">
        <x:v>305教学楼</x:v>
      </x:c>
      <x:c r="L1746" s="14" t="n">
        <x:v>16</x:v>
      </x:c>
      <x:c r="M1746" s="14" t="str">
        <x:v>18:36</x:v>
      </x:c>
      <x:c r="N1746" s="14" t="str">
        <x:v>否</x:v>
      </x:c>
      <x:c r="O1746" s="14" t="str">
        <x:v>否</x:v>
      </x:c>
      <x:c r="P1746" s="14" t="str">
        <x:v>孙五星</x:v>
      </x:c>
      <x:c r="Q1746" s="14" t="str">
        <x:v>3号车</x:v>
      </x:c>
      <x:c r="R1746" s="14" t="str">
        <x:v>预测</x:v>
      </x:c>
      <x:c r="S1746" s="14" t="str">
        <x:v>到站时间为估算值</x:v>
      </x:c>
      <x:c r="T1746" t="str">
        <x:v>研究生宿舍楼发车</x:v>
      </x:c>
    </x:row>
    <x:row r="1747">
      <x:c r="A1747" s="14" t="str">
        <x:v>S0149-12</x:v>
      </x:c>
      <x:c r="B1747" s="14" t="str">
        <x:v>S0149</x:v>
      </x:c>
      <x:c r="C1747" s="14" t="str">
        <x:v>工作日</x:v>
      </x:c>
      <x:c r="D1747" s="14" t="str">
        <x:v>环线3路</x:v>
      </x:c>
      <x:c r="E1747" s="14" t="str">
        <x:v>第四班</x:v>
      </x:c>
      <x:c r="F1747" s="14" t="n">
        <x:v>2</x:v>
      </x:c>
      <x:c r="G1747" s="14" t="str">
        <x:v>18:20</x:v>
      </x:c>
      <x:c r="H1747" s="14" t="str">
        <x:v>研究生宿舍楼</x:v>
      </x:c>
      <x:c r="I1747" s="14" t="str">
        <x:v>否</x:v>
      </x:c>
      <x:c r="J1747" s="14" t="n">
        <x:v>12</x:v>
      </x:c>
      <x:c r="K1747" s="14" t="str">
        <x:v>研究生宿舍楼</x:v>
      </x:c>
      <x:c r="L1747" s="14" t="n">
        <x:v>18</x:v>
      </x:c>
      <x:c r="M1747" s="14" t="str">
        <x:v>18:38</x:v>
      </x:c>
      <x:c r="N1747" s="14" t="str">
        <x:v>否</x:v>
      </x:c>
      <x:c r="O1747" s="14" t="str">
        <x:v>是</x:v>
      </x:c>
      <x:c r="P1747" s="14" t="str">
        <x:v>孙五星</x:v>
      </x:c>
      <x:c r="Q1747" s="14" t="str">
        <x:v>3号车</x:v>
      </x:c>
      <x:c r="R1747" s="14" t="str">
        <x:v>预测</x:v>
      </x:c>
      <x:c r="S1747" s="14" t="str">
        <x:v>到站时间为估算值</x:v>
      </x:c>
      <x:c r="T1747" t="str">
        <x:v>研究生宿舍楼发车</x:v>
      </x:c>
    </x:row>
    <x:row r="1748">
      <x:c r="A1748" s="14" t="str">
        <x:v>S0150-01</x:v>
      </x:c>
      <x:c r="B1748" s="14" t="str">
        <x:v>S0150</x:v>
      </x:c>
      <x:c r="C1748" s="14" t="str">
        <x:v>工作日</x:v>
      </x:c>
      <x:c r="D1748" s="14" t="str">
        <x:v>环线3路</x:v>
      </x:c>
      <x:c r="E1748" s="14" t="str">
        <x:v>第四班</x:v>
      </x:c>
      <x:c r="F1748" s="14" t="n">
        <x:v>3</x:v>
      </x:c>
      <x:c r="G1748" s="14" t="str">
        <x:v>18:50</x:v>
      </x:c>
      <x:c r="H1748" s="14" t="str">
        <x:v>研究生宿舍楼</x:v>
      </x:c>
      <x:c r="I1748" s="14" t="str">
        <x:v>否</x:v>
      </x:c>
      <x:c r="J1748" s="14" t="n">
        <x:v>1</x:v>
      </x:c>
      <x:c r="K1748" s="14" t="str">
        <x:v>研究生宿舍楼</x:v>
      </x:c>
      <x:c r="L1748" s="14" t="n">
        <x:v>0</x:v>
      </x:c>
      <x:c r="M1748" s="14" t="str">
        <x:v>18:50</x:v>
      </x:c>
      <x:c r="N1748" s="14" t="str">
        <x:v>是</x:v>
      </x:c>
      <x:c r="O1748" s="14" t="str">
        <x:v>否</x:v>
      </x:c>
      <x:c r="P1748" s="14" t="str">
        <x:v>孙五星</x:v>
      </x:c>
      <x:c r="Q1748" s="14" t="str">
        <x:v>3号车</x:v>
      </x:c>
      <x:c r="R1748" s="14" t="str">
        <x:v>预测</x:v>
      </x:c>
      <x:c r="S1748" s="14" t="str">
        <x:v>到站时间为估算值</x:v>
      </x:c>
      <x:c r="T1748" t="str">
        <x:v>研究生宿舍楼发车</x:v>
      </x:c>
    </x:row>
    <x:row r="1749">
      <x:c r="A1749" s="14" t="str">
        <x:v>S0150-02</x:v>
      </x:c>
      <x:c r="B1749" s="14" t="str">
        <x:v>S0150</x:v>
      </x:c>
      <x:c r="C1749" s="14" t="str">
        <x:v>工作日</x:v>
      </x:c>
      <x:c r="D1749" s="14" t="str">
        <x:v>环线3路</x:v>
      </x:c>
      <x:c r="E1749" s="14" t="str">
        <x:v>第四班</x:v>
      </x:c>
      <x:c r="F1749" s="14" t="n">
        <x:v>3</x:v>
      </x:c>
      <x:c r="G1749" s="14" t="str">
        <x:v>18:50</x:v>
      </x:c>
      <x:c r="H1749" s="14" t="str">
        <x:v>研究生宿舍楼</x:v>
      </x:c>
      <x:c r="I1749" s="14" t="str">
        <x:v>否</x:v>
      </x:c>
      <x:c r="J1749" s="14" t="n">
        <x:v>2</x:v>
      </x:c>
      <x:c r="K1749" s="14" t="str">
        <x:v>一食堂</x:v>
      </x:c>
      <x:c r="L1749" s="14" t="n">
        <x:v>1</x:v>
      </x:c>
      <x:c r="M1749" s="14" t="str">
        <x:v>18:51</x:v>
      </x:c>
      <x:c r="N1749" s="14" t="str">
        <x:v>否</x:v>
      </x:c>
      <x:c r="O1749" s="14" t="str">
        <x:v>否</x:v>
      </x:c>
      <x:c r="P1749" s="14" t="str">
        <x:v>孙五星</x:v>
      </x:c>
      <x:c r="Q1749" s="14" t="str">
        <x:v>3号车</x:v>
      </x:c>
      <x:c r="R1749" s="14" t="str">
        <x:v>预测</x:v>
      </x:c>
      <x:c r="S1749" s="14" t="str">
        <x:v>到站时间为估算值</x:v>
      </x:c>
      <x:c r="T1749" t="str">
        <x:v>研究生宿舍楼发车</x:v>
      </x:c>
    </x:row>
    <x:row r="1750">
      <x:c r="A1750" s="14" t="str">
        <x:v>S0150-03</x:v>
      </x:c>
      <x:c r="B1750" s="14" t="str">
        <x:v>S0150</x:v>
      </x:c>
      <x:c r="C1750" s="14" t="str">
        <x:v>工作日</x:v>
      </x:c>
      <x:c r="D1750" s="14" t="str">
        <x:v>环线3路</x:v>
      </x:c>
      <x:c r="E1750" s="14" t="str">
        <x:v>第四班</x:v>
      </x:c>
      <x:c r="F1750" s="14" t="n">
        <x:v>3</x:v>
      </x:c>
      <x:c r="G1750" s="14" t="str">
        <x:v>18:50</x:v>
      </x:c>
      <x:c r="H1750" s="14" t="str">
        <x:v>研究生宿舍楼</x:v>
      </x:c>
      <x:c r="I1750" s="14" t="str">
        <x:v>否</x:v>
      </x:c>
      <x:c r="J1750" s="14" t="n">
        <x:v>3</x:v>
      </x:c>
      <x:c r="K1750" s="14" t="str">
        <x:v>2号宿舍楼</x:v>
      </x:c>
      <x:c r="L1750" s="14" t="n">
        <x:v>3</x:v>
      </x:c>
      <x:c r="M1750" s="14" t="str">
        <x:v>18:53</x:v>
      </x:c>
      <x:c r="N1750" s="14" t="str">
        <x:v>否</x:v>
      </x:c>
      <x:c r="O1750" s="14" t="str">
        <x:v>否</x:v>
      </x:c>
      <x:c r="P1750" s="14" t="str">
        <x:v>孙五星</x:v>
      </x:c>
      <x:c r="Q1750" s="14" t="str">
        <x:v>3号车</x:v>
      </x:c>
      <x:c r="R1750" s="14" t="str">
        <x:v>预测</x:v>
      </x:c>
      <x:c r="S1750" s="14" t="str">
        <x:v>到站时间为估算值</x:v>
      </x:c>
      <x:c r="T1750" t="str">
        <x:v>研究生宿舍楼发车</x:v>
      </x:c>
    </x:row>
    <x:row r="1751">
      <x:c r="A1751" s="14" t="str">
        <x:v>S0150-04</x:v>
      </x:c>
      <x:c r="B1751" s="14" t="str">
        <x:v>S0150</x:v>
      </x:c>
      <x:c r="C1751" s="14" t="str">
        <x:v>工作日</x:v>
      </x:c>
      <x:c r="D1751" s="14" t="str">
        <x:v>环线3路</x:v>
      </x:c>
      <x:c r="E1751" s="14" t="str">
        <x:v>第四班</x:v>
      </x:c>
      <x:c r="F1751" s="14" t="n">
        <x:v>3</x:v>
      </x:c>
      <x:c r="G1751" s="14" t="str">
        <x:v>18:50</x:v>
      </x:c>
      <x:c r="H1751" s="14" t="str">
        <x:v>研究生宿舍楼</x:v>
      </x:c>
      <x:c r="I1751" s="14" t="str">
        <x:v>否</x:v>
      </x:c>
      <x:c r="J1751" s="14" t="n">
        <x:v>4</x:v>
      </x:c>
      <x:c r="K1751" s="14" t="str">
        <x:v>军体活动中心</x:v>
      </x:c>
      <x:c r="L1751" s="14" t="n">
        <x:v>4</x:v>
      </x:c>
      <x:c r="M1751" s="14" t="str">
        <x:v>18:54</x:v>
      </x:c>
      <x:c r="N1751" s="14" t="str">
        <x:v>否</x:v>
      </x:c>
      <x:c r="O1751" s="14" t="str">
        <x:v>否</x:v>
      </x:c>
      <x:c r="P1751" s="14" t="str">
        <x:v>孙五星</x:v>
      </x:c>
      <x:c r="Q1751" s="14" t="str">
        <x:v>3号车</x:v>
      </x:c>
      <x:c r="R1751" s="14" t="str">
        <x:v>预测</x:v>
      </x:c>
      <x:c r="S1751" s="14" t="str">
        <x:v>到站时间为估算值</x:v>
      </x:c>
      <x:c r="T1751" t="str">
        <x:v>研究生宿舍楼发车</x:v>
      </x:c>
    </x:row>
    <x:row r="1752">
      <x:c r="A1752" s="14" t="str">
        <x:v>S0150-05</x:v>
      </x:c>
      <x:c r="B1752" s="14" t="str">
        <x:v>S0150</x:v>
      </x:c>
      <x:c r="C1752" s="14" t="str">
        <x:v>工作日</x:v>
      </x:c>
      <x:c r="D1752" s="14" t="str">
        <x:v>环线3路</x:v>
      </x:c>
      <x:c r="E1752" s="14" t="str">
        <x:v>第四班</x:v>
      </x:c>
      <x:c r="F1752" s="14" t="n">
        <x:v>3</x:v>
      </x:c>
      <x:c r="G1752" s="14" t="str">
        <x:v>18:50</x:v>
      </x:c>
      <x:c r="H1752" s="14" t="str">
        <x:v>研究生宿舍楼</x:v>
      </x:c>
      <x:c r="I1752" s="14" t="str">
        <x:v>否</x:v>
      </x:c>
      <x:c r="J1752" s="14" t="n">
        <x:v>5</x:v>
      </x:c>
      <x:c r="K1752" s="14" t="str">
        <x:v>教勤连</x:v>
      </x:c>
      <x:c r="L1752" s="14" t="n">
        <x:v>6</x:v>
      </x:c>
      <x:c r="M1752" s="14" t="str">
        <x:v>18:56</x:v>
      </x:c>
      <x:c r="N1752" s="14" t="str">
        <x:v>否</x:v>
      </x:c>
      <x:c r="O1752" s="14" t="str">
        <x:v>否</x:v>
      </x:c>
      <x:c r="P1752" s="14" t="str">
        <x:v>孙五星</x:v>
      </x:c>
      <x:c r="Q1752" s="14" t="str">
        <x:v>3号车</x:v>
      </x:c>
      <x:c r="R1752" s="14" t="str">
        <x:v>预测</x:v>
      </x:c>
      <x:c r="S1752" s="14" t="str">
        <x:v>到站时间为估算值</x:v>
      </x:c>
      <x:c r="T1752" t="str">
        <x:v>研究生宿舍楼发车</x:v>
      </x:c>
    </x:row>
    <x:row r="1753">
      <x:c r="A1753" s="14" t="str">
        <x:v>S0150-06</x:v>
      </x:c>
      <x:c r="B1753" s="14" t="str">
        <x:v>S0150</x:v>
      </x:c>
      <x:c r="C1753" s="14" t="str">
        <x:v>工作日</x:v>
      </x:c>
      <x:c r="D1753" s="14" t="str">
        <x:v>环线3路</x:v>
      </x:c>
      <x:c r="E1753" s="14" t="str">
        <x:v>第四班</x:v>
      </x:c>
      <x:c r="F1753" s="14" t="n">
        <x:v>3</x:v>
      </x:c>
      <x:c r="G1753" s="14" t="str">
        <x:v>18:50</x:v>
      </x:c>
      <x:c r="H1753" s="14" t="str">
        <x:v>研究生宿舍楼</x:v>
      </x:c>
      <x:c r="I1753" s="14" t="str">
        <x:v>否</x:v>
      </x:c>
      <x:c r="J1753" s="14" t="n">
        <x:v>6</x:v>
      </x:c>
      <x:c r="K1753" s="14" t="str">
        <x:v>激光所</x:v>
      </x:c>
      <x:c r="L1753" s="14" t="n">
        <x:v>7</x:v>
      </x:c>
      <x:c r="M1753" s="14" t="str">
        <x:v>18:57</x:v>
      </x:c>
      <x:c r="N1753" s="14" t="str">
        <x:v>否</x:v>
      </x:c>
      <x:c r="O1753" s="14" t="str">
        <x:v>否</x:v>
      </x:c>
      <x:c r="P1753" s="14" t="str">
        <x:v>孙五星</x:v>
      </x:c>
      <x:c r="Q1753" s="14" t="str">
        <x:v>3号车</x:v>
      </x:c>
      <x:c r="R1753" s="14" t="str">
        <x:v>预测</x:v>
      </x:c>
      <x:c r="S1753" s="14" t="str">
        <x:v>到站时间为估算值</x:v>
      </x:c>
      <x:c r="T1753" t="str">
        <x:v>研究生宿舍楼发车</x:v>
      </x:c>
    </x:row>
    <x:row r="1754">
      <x:c r="A1754" s="14" t="str">
        <x:v>S0150-07</x:v>
      </x:c>
      <x:c r="B1754" s="14" t="str">
        <x:v>S0150</x:v>
      </x:c>
      <x:c r="C1754" s="14" t="str">
        <x:v>工作日</x:v>
      </x:c>
      <x:c r="D1754" s="14" t="str">
        <x:v>环线3路</x:v>
      </x:c>
      <x:c r="E1754" s="14" t="str">
        <x:v>第四班</x:v>
      </x:c>
      <x:c r="F1754" s="14" t="n">
        <x:v>3</x:v>
      </x:c>
      <x:c r="G1754" s="14" t="str">
        <x:v>18:50</x:v>
      </x:c>
      <x:c r="H1754" s="14" t="str">
        <x:v>研究生宿舍楼</x:v>
      </x:c>
      <x:c r="I1754" s="14" t="str">
        <x:v>否</x:v>
      </x:c>
      <x:c r="J1754" s="14" t="n">
        <x:v>7</x:v>
      </x:c>
      <x:c r="K1754" s="14" t="str">
        <x:v>高超楼</x:v>
      </x:c>
      <x:c r="L1754" s="14" t="n">
        <x:v>9</x:v>
      </x:c>
      <x:c r="M1754" s="14" t="str">
        <x:v>18:59</x:v>
      </x:c>
      <x:c r="N1754" s="14" t="str">
        <x:v>否</x:v>
      </x:c>
      <x:c r="O1754" s="14" t="str">
        <x:v>否</x:v>
      </x:c>
      <x:c r="P1754" s="14" t="str">
        <x:v>孙五星</x:v>
      </x:c>
      <x:c r="Q1754" s="14" t="str">
        <x:v>3号车</x:v>
      </x:c>
      <x:c r="R1754" s="14" t="str">
        <x:v>预测</x:v>
      </x:c>
      <x:c r="S1754" s="14" t="str">
        <x:v>到站时间为估算值</x:v>
      </x:c>
      <x:c r="T1754" t="str">
        <x:v>研究生宿舍楼发车</x:v>
      </x:c>
    </x:row>
    <x:row r="1755">
      <x:c r="A1755" s="14" t="str">
        <x:v>S0150-08</x:v>
      </x:c>
      <x:c r="B1755" s="14" t="str">
        <x:v>S0150</x:v>
      </x:c>
      <x:c r="C1755" s="14" t="str">
        <x:v>工作日</x:v>
      </x:c>
      <x:c r="D1755" s="14" t="str">
        <x:v>环线3路</x:v>
      </x:c>
      <x:c r="E1755" s="14" t="str">
        <x:v>第四班</x:v>
      </x:c>
      <x:c r="F1755" s="14" t="n">
        <x:v>3</x:v>
      </x:c>
      <x:c r="G1755" s="14" t="str">
        <x:v>18:50</x:v>
      </x:c>
      <x:c r="H1755" s="14" t="str">
        <x:v>研究生宿舍楼</x:v>
      </x:c>
      <x:c r="I1755" s="14" t="str">
        <x:v>否</x:v>
      </x:c>
      <x:c r="J1755" s="14" t="n">
        <x:v>8</x:v>
      </x:c>
      <x:c r="K1755" s="14" t="str">
        <x:v>理学院</x:v>
      </x:c>
      <x:c r="L1755" s="14" t="n">
        <x:v>10</x:v>
      </x:c>
      <x:c r="M1755" s="14" t="str">
        <x:v>19:00</x:v>
      </x:c>
      <x:c r="N1755" s="14" t="str">
        <x:v>否</x:v>
      </x:c>
      <x:c r="O1755" s="14" t="str">
        <x:v>否</x:v>
      </x:c>
      <x:c r="P1755" s="14" t="str">
        <x:v>孙五星</x:v>
      </x:c>
      <x:c r="Q1755" s="14" t="str">
        <x:v>3号车</x:v>
      </x:c>
      <x:c r="R1755" s="14" t="str">
        <x:v>预测</x:v>
      </x:c>
      <x:c r="S1755" s="14" t="str">
        <x:v>到站时间为估算值</x:v>
      </x:c>
      <x:c r="T1755" t="str">
        <x:v>研究生宿舍楼发车</x:v>
      </x:c>
    </x:row>
    <x:row r="1756">
      <x:c r="A1756" s="14" t="str">
        <x:v>S0150-09</x:v>
      </x:c>
      <x:c r="B1756" s="14" t="str">
        <x:v>S0150</x:v>
      </x:c>
      <x:c r="C1756" s="14" t="str">
        <x:v>工作日</x:v>
      </x:c>
      <x:c r="D1756" s="14" t="str">
        <x:v>环线3路</x:v>
      </x:c>
      <x:c r="E1756" s="14" t="str">
        <x:v>第四班</x:v>
      </x:c>
      <x:c r="F1756" s="14" t="n">
        <x:v>3</x:v>
      </x:c>
      <x:c r="G1756" s="14" t="str">
        <x:v>18:50</x:v>
      </x:c>
      <x:c r="H1756" s="14" t="str">
        <x:v>研究生宿舍楼</x:v>
      </x:c>
      <x:c r="I1756" s="14" t="str">
        <x:v>否</x:v>
      </x:c>
      <x:c r="J1756" s="14" t="n">
        <x:v>9</x:v>
      </x:c>
      <x:c r="K1756" s="14" t="str">
        <x:v>二食堂</x:v>
      </x:c>
      <x:c r="L1756" s="14" t="n">
        <x:v>13</x:v>
      </x:c>
      <x:c r="M1756" s="14" t="str">
        <x:v>19:03</x:v>
      </x:c>
      <x:c r="N1756" s="14" t="str">
        <x:v>否</x:v>
      </x:c>
      <x:c r="O1756" s="14" t="str">
        <x:v>否</x:v>
      </x:c>
      <x:c r="P1756" s="14" t="str">
        <x:v>孙五星</x:v>
      </x:c>
      <x:c r="Q1756" s="14" t="str">
        <x:v>3号车</x:v>
      </x:c>
      <x:c r="R1756" s="14" t="str">
        <x:v>预测</x:v>
      </x:c>
      <x:c r="S1756" s="14" t="str">
        <x:v>到站时间为估算值</x:v>
      </x:c>
      <x:c r="T1756" t="str">
        <x:v>研究生宿舍楼发车</x:v>
      </x:c>
    </x:row>
    <x:row r="1757">
      <x:c r="A1757" s="14" t="str">
        <x:v>S0150-10</x:v>
      </x:c>
      <x:c r="B1757" s="14" t="str">
        <x:v>S0150</x:v>
      </x:c>
      <x:c r="C1757" s="14" t="str">
        <x:v>工作日</x:v>
      </x:c>
      <x:c r="D1757" s="14" t="str">
        <x:v>环线3路</x:v>
      </x:c>
      <x:c r="E1757" s="14" t="str">
        <x:v>第四班</x:v>
      </x:c>
      <x:c r="F1757" s="14" t="n">
        <x:v>3</x:v>
      </x:c>
      <x:c r="G1757" s="14" t="str">
        <x:v>18:50</x:v>
      </x:c>
      <x:c r="H1757" s="14" t="str">
        <x:v>研究生宿舍楼</x:v>
      </x:c>
      <x:c r="I1757" s="14" t="str">
        <x:v>否</x:v>
      </x:c>
      <x:c r="J1757" s="14" t="n">
        <x:v>10</x:v>
      </x:c>
      <x:c r="K1757" s="14" t="str">
        <x:v>图书馆</x:v>
      </x:c>
      <x:c r="L1757" s="14" t="n">
        <x:v>14</x:v>
      </x:c>
      <x:c r="M1757" s="14" t="str">
        <x:v>19:04</x:v>
      </x:c>
      <x:c r="N1757" s="14" t="str">
        <x:v>否</x:v>
      </x:c>
      <x:c r="O1757" s="14" t="str">
        <x:v>否</x:v>
      </x:c>
      <x:c r="P1757" s="14" t="str">
        <x:v>孙五星</x:v>
      </x:c>
      <x:c r="Q1757" s="14" t="str">
        <x:v>3号车</x:v>
      </x:c>
      <x:c r="R1757" s="14" t="str">
        <x:v>预测</x:v>
      </x:c>
      <x:c r="S1757" s="14" t="str">
        <x:v>到站时间为估算值</x:v>
      </x:c>
      <x:c r="T1757" t="str">
        <x:v>研究生宿舍楼发车</x:v>
      </x:c>
    </x:row>
    <x:row r="1758">
      <x:c r="A1758" s="14" t="str">
        <x:v>S0150-11</x:v>
      </x:c>
      <x:c r="B1758" s="14" t="str">
        <x:v>S0150</x:v>
      </x:c>
      <x:c r="C1758" s="14" t="str">
        <x:v>工作日</x:v>
      </x:c>
      <x:c r="D1758" s="14" t="str">
        <x:v>环线3路</x:v>
      </x:c>
      <x:c r="E1758" s="14" t="str">
        <x:v>第四班</x:v>
      </x:c>
      <x:c r="F1758" s="14" t="n">
        <x:v>3</x:v>
      </x:c>
      <x:c r="G1758" s="14" t="str">
        <x:v>18:50</x:v>
      </x:c>
      <x:c r="H1758" s="14" t="str">
        <x:v>研究生宿舍楼</x:v>
      </x:c>
      <x:c r="I1758" s="14" t="str">
        <x:v>否</x:v>
      </x:c>
      <x:c r="J1758" s="14" t="n">
        <x:v>11</x:v>
      </x:c>
      <x:c r="K1758" s="14" t="str">
        <x:v>305教学楼</x:v>
      </x:c>
      <x:c r="L1758" s="14" t="n">
        <x:v>16</x:v>
      </x:c>
      <x:c r="M1758" s="14" t="str">
        <x:v>19:06</x:v>
      </x:c>
      <x:c r="N1758" s="14" t="str">
        <x:v>否</x:v>
      </x:c>
      <x:c r="O1758" s="14" t="str">
        <x:v>否</x:v>
      </x:c>
      <x:c r="P1758" s="14" t="str">
        <x:v>孙五星</x:v>
      </x:c>
      <x:c r="Q1758" s="14" t="str">
        <x:v>3号车</x:v>
      </x:c>
      <x:c r="R1758" s="14" t="str">
        <x:v>预测</x:v>
      </x:c>
      <x:c r="S1758" s="14" t="str">
        <x:v>到站时间为估算值</x:v>
      </x:c>
      <x:c r="T1758" t="str">
        <x:v>研究生宿舍楼发车</x:v>
      </x:c>
    </x:row>
    <x:row r="1759">
      <x:c r="A1759" s="14" t="str">
        <x:v>S0150-12</x:v>
      </x:c>
      <x:c r="B1759" s="14" t="str">
        <x:v>S0150</x:v>
      </x:c>
      <x:c r="C1759" s="14" t="str">
        <x:v>工作日</x:v>
      </x:c>
      <x:c r="D1759" s="14" t="str">
        <x:v>环线3路</x:v>
      </x:c>
      <x:c r="E1759" s="14" t="str">
        <x:v>第四班</x:v>
      </x:c>
      <x:c r="F1759" s="14" t="n">
        <x:v>3</x:v>
      </x:c>
      <x:c r="G1759" s="14" t="str">
        <x:v>18:50</x:v>
      </x:c>
      <x:c r="H1759" s="14" t="str">
        <x:v>研究生宿舍楼</x:v>
      </x:c>
      <x:c r="I1759" s="14" t="str">
        <x:v>否</x:v>
      </x:c>
      <x:c r="J1759" s="14" t="n">
        <x:v>12</x:v>
      </x:c>
      <x:c r="K1759" s="14" t="str">
        <x:v>研究生宿舍楼</x:v>
      </x:c>
      <x:c r="L1759" s="14" t="n">
        <x:v>18</x:v>
      </x:c>
      <x:c r="M1759" s="14" t="str">
        <x:v>19:08</x:v>
      </x:c>
      <x:c r="N1759" s="14" t="str">
        <x:v>否</x:v>
      </x:c>
      <x:c r="O1759" s="14" t="str">
        <x:v>是</x:v>
      </x:c>
      <x:c r="P1759" s="14" t="str">
        <x:v>孙五星</x:v>
      </x:c>
      <x:c r="Q1759" s="14" t="str">
        <x:v>3号车</x:v>
      </x:c>
      <x:c r="R1759" s="14" t="str">
        <x:v>预测</x:v>
      </x:c>
      <x:c r="S1759" s="14" t="str">
        <x:v>到站时间为估算值</x:v>
      </x:c>
      <x:c r="T1759" t="str">
        <x:v>研究生宿舍楼发车</x:v>
      </x:c>
    </x:row>
    <x:row r="1760">
      <x:c r="A1760" s="14" t="str">
        <x:v>S0151-01</x:v>
      </x:c>
      <x:c r="B1760" s="14" t="str">
        <x:v>S0151</x:v>
      </x:c>
      <x:c r="C1760" s="14" t="str">
        <x:v>工作日</x:v>
      </x:c>
      <x:c r="D1760" s="14" t="str">
        <x:v>环线3路</x:v>
      </x:c>
      <x:c r="E1760" s="14" t="str">
        <x:v>第四班</x:v>
      </x:c>
      <x:c r="F1760" s="14" t="n">
        <x:v>4</x:v>
      </x:c>
      <x:c r="G1760" s="14" t="str">
        <x:v>19:20</x:v>
      </x:c>
      <x:c r="H1760" s="14" t="str">
        <x:v>研究生宿舍楼</x:v>
      </x:c>
      <x:c r="I1760" s="14" t="str">
        <x:v>否</x:v>
      </x:c>
      <x:c r="J1760" s="14" t="n">
        <x:v>1</x:v>
      </x:c>
      <x:c r="K1760" s="14" t="str">
        <x:v>研究生宿舍楼</x:v>
      </x:c>
      <x:c r="L1760" s="14" t="n">
        <x:v>0</x:v>
      </x:c>
      <x:c r="M1760" s="14" t="str">
        <x:v>19:20</x:v>
      </x:c>
      <x:c r="N1760" s="14" t="str">
        <x:v>是</x:v>
      </x:c>
      <x:c r="O1760" s="14" t="str">
        <x:v>否</x:v>
      </x:c>
      <x:c r="P1760" s="14" t="str">
        <x:v>孙五星</x:v>
      </x:c>
      <x:c r="Q1760" s="14" t="str">
        <x:v>3号车</x:v>
      </x:c>
      <x:c r="R1760" s="14" t="str">
        <x:v>预测</x:v>
      </x:c>
      <x:c r="S1760" s="14" t="str">
        <x:v>到站时间为估算值</x:v>
      </x:c>
      <x:c r="T1760" t="str">
        <x:v>研究生宿舍楼发车</x:v>
      </x:c>
    </x:row>
    <x:row r="1761">
      <x:c r="A1761" s="14" t="str">
        <x:v>S0151-02</x:v>
      </x:c>
      <x:c r="B1761" s="14" t="str">
        <x:v>S0151</x:v>
      </x:c>
      <x:c r="C1761" s="14" t="str">
        <x:v>工作日</x:v>
      </x:c>
      <x:c r="D1761" s="14" t="str">
        <x:v>环线3路</x:v>
      </x:c>
      <x:c r="E1761" s="14" t="str">
        <x:v>第四班</x:v>
      </x:c>
      <x:c r="F1761" s="14" t="n">
        <x:v>4</x:v>
      </x:c>
      <x:c r="G1761" s="14" t="str">
        <x:v>19:20</x:v>
      </x:c>
      <x:c r="H1761" s="14" t="str">
        <x:v>研究生宿舍楼</x:v>
      </x:c>
      <x:c r="I1761" s="14" t="str">
        <x:v>否</x:v>
      </x:c>
      <x:c r="J1761" s="14" t="n">
        <x:v>2</x:v>
      </x:c>
      <x:c r="K1761" s="14" t="str">
        <x:v>一食堂</x:v>
      </x:c>
      <x:c r="L1761" s="14" t="n">
        <x:v>1</x:v>
      </x:c>
      <x:c r="M1761" s="14" t="str">
        <x:v>19:21</x:v>
      </x:c>
      <x:c r="N1761" s="14" t="str">
        <x:v>否</x:v>
      </x:c>
      <x:c r="O1761" s="14" t="str">
        <x:v>否</x:v>
      </x:c>
      <x:c r="P1761" s="14" t="str">
        <x:v>孙五星</x:v>
      </x:c>
      <x:c r="Q1761" s="14" t="str">
        <x:v>3号车</x:v>
      </x:c>
      <x:c r="R1761" s="14" t="str">
        <x:v>预测</x:v>
      </x:c>
      <x:c r="S1761" s="14" t="str">
        <x:v>到站时间为估算值</x:v>
      </x:c>
      <x:c r="T1761" t="str">
        <x:v>研究生宿舍楼发车</x:v>
      </x:c>
    </x:row>
    <x:row r="1762">
      <x:c r="A1762" s="14" t="str">
        <x:v>S0151-03</x:v>
      </x:c>
      <x:c r="B1762" s="14" t="str">
        <x:v>S0151</x:v>
      </x:c>
      <x:c r="C1762" s="14" t="str">
        <x:v>工作日</x:v>
      </x:c>
      <x:c r="D1762" s="14" t="str">
        <x:v>环线3路</x:v>
      </x:c>
      <x:c r="E1762" s="14" t="str">
        <x:v>第四班</x:v>
      </x:c>
      <x:c r="F1762" s="14" t="n">
        <x:v>4</x:v>
      </x:c>
      <x:c r="G1762" s="14" t="str">
        <x:v>19:20</x:v>
      </x:c>
      <x:c r="H1762" s="14" t="str">
        <x:v>研究生宿舍楼</x:v>
      </x:c>
      <x:c r="I1762" s="14" t="str">
        <x:v>否</x:v>
      </x:c>
      <x:c r="J1762" s="14" t="n">
        <x:v>3</x:v>
      </x:c>
      <x:c r="K1762" s="14" t="str">
        <x:v>2号宿舍楼</x:v>
      </x:c>
      <x:c r="L1762" s="14" t="n">
        <x:v>3</x:v>
      </x:c>
      <x:c r="M1762" s="14" t="str">
        <x:v>19:23</x:v>
      </x:c>
      <x:c r="N1762" s="14" t="str">
        <x:v>否</x:v>
      </x:c>
      <x:c r="O1762" s="14" t="str">
        <x:v>否</x:v>
      </x:c>
      <x:c r="P1762" s="14" t="str">
        <x:v>孙五星</x:v>
      </x:c>
      <x:c r="Q1762" s="14" t="str">
        <x:v>3号车</x:v>
      </x:c>
      <x:c r="R1762" s="14" t="str">
        <x:v>预测</x:v>
      </x:c>
      <x:c r="S1762" s="14" t="str">
        <x:v>到站时间为估算值</x:v>
      </x:c>
      <x:c r="T1762" t="str">
        <x:v>研究生宿舍楼发车</x:v>
      </x:c>
    </x:row>
    <x:row r="1763">
      <x:c r="A1763" s="14" t="str">
        <x:v>S0151-04</x:v>
      </x:c>
      <x:c r="B1763" s="14" t="str">
        <x:v>S0151</x:v>
      </x:c>
      <x:c r="C1763" s="14" t="str">
        <x:v>工作日</x:v>
      </x:c>
      <x:c r="D1763" s="14" t="str">
        <x:v>环线3路</x:v>
      </x:c>
      <x:c r="E1763" s="14" t="str">
        <x:v>第四班</x:v>
      </x:c>
      <x:c r="F1763" s="14" t="n">
        <x:v>4</x:v>
      </x:c>
      <x:c r="G1763" s="14" t="str">
        <x:v>19:20</x:v>
      </x:c>
      <x:c r="H1763" s="14" t="str">
        <x:v>研究生宿舍楼</x:v>
      </x:c>
      <x:c r="I1763" s="14" t="str">
        <x:v>否</x:v>
      </x:c>
      <x:c r="J1763" s="14" t="n">
        <x:v>4</x:v>
      </x:c>
      <x:c r="K1763" s="14" t="str">
        <x:v>军体活动中心</x:v>
      </x:c>
      <x:c r="L1763" s="14" t="n">
        <x:v>4</x:v>
      </x:c>
      <x:c r="M1763" s="14" t="str">
        <x:v>19:24</x:v>
      </x:c>
      <x:c r="N1763" s="14" t="str">
        <x:v>否</x:v>
      </x:c>
      <x:c r="O1763" s="14" t="str">
        <x:v>否</x:v>
      </x:c>
      <x:c r="P1763" s="14" t="str">
        <x:v>孙五星</x:v>
      </x:c>
      <x:c r="Q1763" s="14" t="str">
        <x:v>3号车</x:v>
      </x:c>
      <x:c r="R1763" s="14" t="str">
        <x:v>预测</x:v>
      </x:c>
      <x:c r="S1763" s="14" t="str">
        <x:v>到站时间为估算值</x:v>
      </x:c>
      <x:c r="T1763" t="str">
        <x:v>研究生宿舍楼发车</x:v>
      </x:c>
    </x:row>
    <x:row r="1764">
      <x:c r="A1764" s="14" t="str">
        <x:v>S0151-05</x:v>
      </x:c>
      <x:c r="B1764" s="14" t="str">
        <x:v>S0151</x:v>
      </x:c>
      <x:c r="C1764" s="14" t="str">
        <x:v>工作日</x:v>
      </x:c>
      <x:c r="D1764" s="14" t="str">
        <x:v>环线3路</x:v>
      </x:c>
      <x:c r="E1764" s="14" t="str">
        <x:v>第四班</x:v>
      </x:c>
      <x:c r="F1764" s="14" t="n">
        <x:v>4</x:v>
      </x:c>
      <x:c r="G1764" s="14" t="str">
        <x:v>19:20</x:v>
      </x:c>
      <x:c r="H1764" s="14" t="str">
        <x:v>研究生宿舍楼</x:v>
      </x:c>
      <x:c r="I1764" s="14" t="str">
        <x:v>否</x:v>
      </x:c>
      <x:c r="J1764" s="14" t="n">
        <x:v>5</x:v>
      </x:c>
      <x:c r="K1764" s="14" t="str">
        <x:v>教勤连</x:v>
      </x:c>
      <x:c r="L1764" s="14" t="n">
        <x:v>6</x:v>
      </x:c>
      <x:c r="M1764" s="14" t="str">
        <x:v>19:26</x:v>
      </x:c>
      <x:c r="N1764" s="14" t="str">
        <x:v>否</x:v>
      </x:c>
      <x:c r="O1764" s="14" t="str">
        <x:v>否</x:v>
      </x:c>
      <x:c r="P1764" s="14" t="str">
        <x:v>孙五星</x:v>
      </x:c>
      <x:c r="Q1764" s="14" t="str">
        <x:v>3号车</x:v>
      </x:c>
      <x:c r="R1764" s="14" t="str">
        <x:v>预测</x:v>
      </x:c>
      <x:c r="S1764" s="14" t="str">
        <x:v>到站时间为估算值</x:v>
      </x:c>
      <x:c r="T1764" t="str">
        <x:v>研究生宿舍楼发车</x:v>
      </x:c>
    </x:row>
    <x:row r="1765">
      <x:c r="A1765" s="14" t="str">
        <x:v>S0151-06</x:v>
      </x:c>
      <x:c r="B1765" s="14" t="str">
        <x:v>S0151</x:v>
      </x:c>
      <x:c r="C1765" s="14" t="str">
        <x:v>工作日</x:v>
      </x:c>
      <x:c r="D1765" s="14" t="str">
        <x:v>环线3路</x:v>
      </x:c>
      <x:c r="E1765" s="14" t="str">
        <x:v>第四班</x:v>
      </x:c>
      <x:c r="F1765" s="14" t="n">
        <x:v>4</x:v>
      </x:c>
      <x:c r="G1765" s="14" t="str">
        <x:v>19:20</x:v>
      </x:c>
      <x:c r="H1765" s="14" t="str">
        <x:v>研究生宿舍楼</x:v>
      </x:c>
      <x:c r="I1765" s="14" t="str">
        <x:v>否</x:v>
      </x:c>
      <x:c r="J1765" s="14" t="n">
        <x:v>6</x:v>
      </x:c>
      <x:c r="K1765" s="14" t="str">
        <x:v>激光所</x:v>
      </x:c>
      <x:c r="L1765" s="14" t="n">
        <x:v>7</x:v>
      </x:c>
      <x:c r="M1765" s="14" t="str">
        <x:v>19:27</x:v>
      </x:c>
      <x:c r="N1765" s="14" t="str">
        <x:v>否</x:v>
      </x:c>
      <x:c r="O1765" s="14" t="str">
        <x:v>否</x:v>
      </x:c>
      <x:c r="P1765" s="14" t="str">
        <x:v>孙五星</x:v>
      </x:c>
      <x:c r="Q1765" s="14" t="str">
        <x:v>3号车</x:v>
      </x:c>
      <x:c r="R1765" s="14" t="str">
        <x:v>预测</x:v>
      </x:c>
      <x:c r="S1765" s="14" t="str">
        <x:v>到站时间为估算值</x:v>
      </x:c>
      <x:c r="T1765" t="str">
        <x:v>研究生宿舍楼发车</x:v>
      </x:c>
    </x:row>
    <x:row r="1766">
      <x:c r="A1766" s="14" t="str">
        <x:v>S0151-07</x:v>
      </x:c>
      <x:c r="B1766" s="14" t="str">
        <x:v>S0151</x:v>
      </x:c>
      <x:c r="C1766" s="14" t="str">
        <x:v>工作日</x:v>
      </x:c>
      <x:c r="D1766" s="14" t="str">
        <x:v>环线3路</x:v>
      </x:c>
      <x:c r="E1766" s="14" t="str">
        <x:v>第四班</x:v>
      </x:c>
      <x:c r="F1766" s="14" t="n">
        <x:v>4</x:v>
      </x:c>
      <x:c r="G1766" s="14" t="str">
        <x:v>19:20</x:v>
      </x:c>
      <x:c r="H1766" s="14" t="str">
        <x:v>研究生宿舍楼</x:v>
      </x:c>
      <x:c r="I1766" s="14" t="str">
        <x:v>否</x:v>
      </x:c>
      <x:c r="J1766" s="14" t="n">
        <x:v>7</x:v>
      </x:c>
      <x:c r="K1766" s="14" t="str">
        <x:v>高超楼</x:v>
      </x:c>
      <x:c r="L1766" s="14" t="n">
        <x:v>9</x:v>
      </x:c>
      <x:c r="M1766" s="14" t="str">
        <x:v>19:29</x:v>
      </x:c>
      <x:c r="N1766" s="14" t="str">
        <x:v>否</x:v>
      </x:c>
      <x:c r="O1766" s="14" t="str">
        <x:v>否</x:v>
      </x:c>
      <x:c r="P1766" s="14" t="str">
        <x:v>孙五星</x:v>
      </x:c>
      <x:c r="Q1766" s="14" t="str">
        <x:v>3号车</x:v>
      </x:c>
      <x:c r="R1766" s="14" t="str">
        <x:v>预测</x:v>
      </x:c>
      <x:c r="S1766" s="14" t="str">
        <x:v>到站时间为估算值</x:v>
      </x:c>
      <x:c r="T1766" t="str">
        <x:v>研究生宿舍楼发车</x:v>
      </x:c>
    </x:row>
    <x:row r="1767">
      <x:c r="A1767" s="14" t="str">
        <x:v>S0151-08</x:v>
      </x:c>
      <x:c r="B1767" s="14" t="str">
        <x:v>S0151</x:v>
      </x:c>
      <x:c r="C1767" s="14" t="str">
        <x:v>工作日</x:v>
      </x:c>
      <x:c r="D1767" s="14" t="str">
        <x:v>环线3路</x:v>
      </x:c>
      <x:c r="E1767" s="14" t="str">
        <x:v>第四班</x:v>
      </x:c>
      <x:c r="F1767" s="14" t="n">
        <x:v>4</x:v>
      </x:c>
      <x:c r="G1767" s="14" t="str">
        <x:v>19:20</x:v>
      </x:c>
      <x:c r="H1767" s="14" t="str">
        <x:v>研究生宿舍楼</x:v>
      </x:c>
      <x:c r="I1767" s="14" t="str">
        <x:v>否</x:v>
      </x:c>
      <x:c r="J1767" s="14" t="n">
        <x:v>8</x:v>
      </x:c>
      <x:c r="K1767" s="14" t="str">
        <x:v>理学院</x:v>
      </x:c>
      <x:c r="L1767" s="14" t="n">
        <x:v>10</x:v>
      </x:c>
      <x:c r="M1767" s="14" t="str">
        <x:v>19:30</x:v>
      </x:c>
      <x:c r="N1767" s="14" t="str">
        <x:v>否</x:v>
      </x:c>
      <x:c r="O1767" s="14" t="str">
        <x:v>否</x:v>
      </x:c>
      <x:c r="P1767" s="14" t="str">
        <x:v>孙五星</x:v>
      </x:c>
      <x:c r="Q1767" s="14" t="str">
        <x:v>3号车</x:v>
      </x:c>
      <x:c r="R1767" s="14" t="str">
        <x:v>预测</x:v>
      </x:c>
      <x:c r="S1767" s="14" t="str">
        <x:v>到站时间为估算值</x:v>
      </x:c>
      <x:c r="T1767" t="str">
        <x:v>研究生宿舍楼发车</x:v>
      </x:c>
    </x:row>
    <x:row r="1768">
      <x:c r="A1768" s="14" t="str">
        <x:v>S0151-09</x:v>
      </x:c>
      <x:c r="B1768" s="14" t="str">
        <x:v>S0151</x:v>
      </x:c>
      <x:c r="C1768" s="14" t="str">
        <x:v>工作日</x:v>
      </x:c>
      <x:c r="D1768" s="14" t="str">
        <x:v>环线3路</x:v>
      </x:c>
      <x:c r="E1768" s="14" t="str">
        <x:v>第四班</x:v>
      </x:c>
      <x:c r="F1768" s="14" t="n">
        <x:v>4</x:v>
      </x:c>
      <x:c r="G1768" s="14" t="str">
        <x:v>19:20</x:v>
      </x:c>
      <x:c r="H1768" s="14" t="str">
        <x:v>研究生宿舍楼</x:v>
      </x:c>
      <x:c r="I1768" s="14" t="str">
        <x:v>否</x:v>
      </x:c>
      <x:c r="J1768" s="14" t="n">
        <x:v>9</x:v>
      </x:c>
      <x:c r="K1768" s="14" t="str">
        <x:v>二食堂</x:v>
      </x:c>
      <x:c r="L1768" s="14" t="n">
        <x:v>13</x:v>
      </x:c>
      <x:c r="M1768" s="14" t="str">
        <x:v>19:33</x:v>
      </x:c>
      <x:c r="N1768" s="14" t="str">
        <x:v>否</x:v>
      </x:c>
      <x:c r="O1768" s="14" t="str">
        <x:v>否</x:v>
      </x:c>
      <x:c r="P1768" s="14" t="str">
        <x:v>孙五星</x:v>
      </x:c>
      <x:c r="Q1768" s="14" t="str">
        <x:v>3号车</x:v>
      </x:c>
      <x:c r="R1768" s="14" t="str">
        <x:v>预测</x:v>
      </x:c>
      <x:c r="S1768" s="14" t="str">
        <x:v>到站时间为估算值</x:v>
      </x:c>
      <x:c r="T1768" t="str">
        <x:v>研究生宿舍楼发车</x:v>
      </x:c>
    </x:row>
    <x:row r="1769">
      <x:c r="A1769" s="14" t="str">
        <x:v>S0151-10</x:v>
      </x:c>
      <x:c r="B1769" s="14" t="str">
        <x:v>S0151</x:v>
      </x:c>
      <x:c r="C1769" s="14" t="str">
        <x:v>工作日</x:v>
      </x:c>
      <x:c r="D1769" s="14" t="str">
        <x:v>环线3路</x:v>
      </x:c>
      <x:c r="E1769" s="14" t="str">
        <x:v>第四班</x:v>
      </x:c>
      <x:c r="F1769" s="14" t="n">
        <x:v>4</x:v>
      </x:c>
      <x:c r="G1769" s="14" t="str">
        <x:v>19:20</x:v>
      </x:c>
      <x:c r="H1769" s="14" t="str">
        <x:v>研究生宿舍楼</x:v>
      </x:c>
      <x:c r="I1769" s="14" t="str">
        <x:v>否</x:v>
      </x:c>
      <x:c r="J1769" s="14" t="n">
        <x:v>10</x:v>
      </x:c>
      <x:c r="K1769" s="14" t="str">
        <x:v>图书馆</x:v>
      </x:c>
      <x:c r="L1769" s="14" t="n">
        <x:v>14</x:v>
      </x:c>
      <x:c r="M1769" s="14" t="str">
        <x:v>19:34</x:v>
      </x:c>
      <x:c r="N1769" s="14" t="str">
        <x:v>否</x:v>
      </x:c>
      <x:c r="O1769" s="14" t="str">
        <x:v>否</x:v>
      </x:c>
      <x:c r="P1769" s="14" t="str">
        <x:v>孙五星</x:v>
      </x:c>
      <x:c r="Q1769" s="14" t="str">
        <x:v>3号车</x:v>
      </x:c>
      <x:c r="R1769" s="14" t="str">
        <x:v>预测</x:v>
      </x:c>
      <x:c r="S1769" s="14" t="str">
        <x:v>到站时间为估算值</x:v>
      </x:c>
      <x:c r="T1769" t="str">
        <x:v>研究生宿舍楼发车</x:v>
      </x:c>
    </x:row>
    <x:row r="1770">
      <x:c r="A1770" s="14" t="str">
        <x:v>S0151-11</x:v>
      </x:c>
      <x:c r="B1770" s="14" t="str">
        <x:v>S0151</x:v>
      </x:c>
      <x:c r="C1770" s="14" t="str">
        <x:v>工作日</x:v>
      </x:c>
      <x:c r="D1770" s="14" t="str">
        <x:v>环线3路</x:v>
      </x:c>
      <x:c r="E1770" s="14" t="str">
        <x:v>第四班</x:v>
      </x:c>
      <x:c r="F1770" s="14" t="n">
        <x:v>4</x:v>
      </x:c>
      <x:c r="G1770" s="14" t="str">
        <x:v>19:20</x:v>
      </x:c>
      <x:c r="H1770" s="14" t="str">
        <x:v>研究生宿舍楼</x:v>
      </x:c>
      <x:c r="I1770" s="14" t="str">
        <x:v>否</x:v>
      </x:c>
      <x:c r="J1770" s="14" t="n">
        <x:v>11</x:v>
      </x:c>
      <x:c r="K1770" s="14" t="str">
        <x:v>305教学楼</x:v>
      </x:c>
      <x:c r="L1770" s="14" t="n">
        <x:v>16</x:v>
      </x:c>
      <x:c r="M1770" s="14" t="str">
        <x:v>19:36</x:v>
      </x:c>
      <x:c r="N1770" s="14" t="str">
        <x:v>否</x:v>
      </x:c>
      <x:c r="O1770" s="14" t="str">
        <x:v>否</x:v>
      </x:c>
      <x:c r="P1770" s="14" t="str">
        <x:v>孙五星</x:v>
      </x:c>
      <x:c r="Q1770" s="14" t="str">
        <x:v>3号车</x:v>
      </x:c>
      <x:c r="R1770" s="14" t="str">
        <x:v>预测</x:v>
      </x:c>
      <x:c r="S1770" s="14" t="str">
        <x:v>到站时间为估算值</x:v>
      </x:c>
      <x:c r="T1770" t="str">
        <x:v>研究生宿舍楼发车</x:v>
      </x:c>
    </x:row>
    <x:row r="1771">
      <x:c r="A1771" s="14" t="str">
        <x:v>S0151-12</x:v>
      </x:c>
      <x:c r="B1771" s="14" t="str">
        <x:v>S0151</x:v>
      </x:c>
      <x:c r="C1771" s="14" t="str">
        <x:v>工作日</x:v>
      </x:c>
      <x:c r="D1771" s="14" t="str">
        <x:v>环线3路</x:v>
      </x:c>
      <x:c r="E1771" s="14" t="str">
        <x:v>第四班</x:v>
      </x:c>
      <x:c r="F1771" s="14" t="n">
        <x:v>4</x:v>
      </x:c>
      <x:c r="G1771" s="14" t="str">
        <x:v>19:20</x:v>
      </x:c>
      <x:c r="H1771" s="14" t="str">
        <x:v>研究生宿舍楼</x:v>
      </x:c>
      <x:c r="I1771" s="14" t="str">
        <x:v>否</x:v>
      </x:c>
      <x:c r="J1771" s="14" t="n">
        <x:v>12</x:v>
      </x:c>
      <x:c r="K1771" s="14" t="str">
        <x:v>研究生宿舍楼</x:v>
      </x:c>
      <x:c r="L1771" s="14" t="n">
        <x:v>18</x:v>
      </x:c>
      <x:c r="M1771" s="14" t="str">
        <x:v>19:38</x:v>
      </x:c>
      <x:c r="N1771" s="14" t="str">
        <x:v>否</x:v>
      </x:c>
      <x:c r="O1771" s="14" t="str">
        <x:v>是</x:v>
      </x:c>
      <x:c r="P1771" s="14" t="str">
        <x:v>孙五星</x:v>
      </x:c>
      <x:c r="Q1771" s="14" t="str">
        <x:v>3号车</x:v>
      </x:c>
      <x:c r="R1771" s="14" t="str">
        <x:v>预测</x:v>
      </x:c>
      <x:c r="S1771" s="14" t="str">
        <x:v>到站时间为估算值</x:v>
      </x:c>
      <x:c r="T1771" t="str">
        <x:v>研究生宿舍楼发车</x:v>
      </x:c>
    </x:row>
    <x:row r="1772">
      <x:c r="A1772" s="14" t="str">
        <x:v>S0152-01</x:v>
      </x:c>
      <x:c r="B1772" s="14" t="str">
        <x:v>S0152</x:v>
      </x:c>
      <x:c r="C1772" s="14" t="str">
        <x:v>工作日</x:v>
      </x:c>
      <x:c r="D1772" s="14" t="str">
        <x:v>环线3路</x:v>
      </x:c>
      <x:c r="E1772" s="14" t="str">
        <x:v>第四班</x:v>
      </x:c>
      <x:c r="F1772" s="14" t="n">
        <x:v>5</x:v>
      </x:c>
      <x:c r="G1772" s="14" t="str">
        <x:v>19:50</x:v>
      </x:c>
      <x:c r="H1772" s="14" t="str">
        <x:v>研究生宿舍楼</x:v>
      </x:c>
      <x:c r="I1772" s="14" t="str">
        <x:v>否</x:v>
      </x:c>
      <x:c r="J1772" s="14" t="n">
        <x:v>1</x:v>
      </x:c>
      <x:c r="K1772" s="14" t="str">
        <x:v>研究生宿舍楼</x:v>
      </x:c>
      <x:c r="L1772" s="14" t="n">
        <x:v>0</x:v>
      </x:c>
      <x:c r="M1772" s="14" t="str">
        <x:v>19:50</x:v>
      </x:c>
      <x:c r="N1772" s="14" t="str">
        <x:v>是</x:v>
      </x:c>
      <x:c r="O1772" s="14" t="str">
        <x:v>否</x:v>
      </x:c>
      <x:c r="P1772" s="14" t="str">
        <x:v>孙五星</x:v>
      </x:c>
      <x:c r="Q1772" s="14" t="str">
        <x:v>3号车</x:v>
      </x:c>
      <x:c r="R1772" s="14" t="str">
        <x:v>预测</x:v>
      </x:c>
      <x:c r="S1772" s="14" t="str">
        <x:v>到站时间为估算值</x:v>
      </x:c>
      <x:c r="T1772" t="str">
        <x:v>研究生宿舍楼发车</x:v>
      </x:c>
    </x:row>
    <x:row r="1773">
      <x:c r="A1773" s="14" t="str">
        <x:v>S0152-02</x:v>
      </x:c>
      <x:c r="B1773" s="14" t="str">
        <x:v>S0152</x:v>
      </x:c>
      <x:c r="C1773" s="14" t="str">
        <x:v>工作日</x:v>
      </x:c>
      <x:c r="D1773" s="14" t="str">
        <x:v>环线3路</x:v>
      </x:c>
      <x:c r="E1773" s="14" t="str">
        <x:v>第四班</x:v>
      </x:c>
      <x:c r="F1773" s="14" t="n">
        <x:v>5</x:v>
      </x:c>
      <x:c r="G1773" s="14" t="str">
        <x:v>19:50</x:v>
      </x:c>
      <x:c r="H1773" s="14" t="str">
        <x:v>研究生宿舍楼</x:v>
      </x:c>
      <x:c r="I1773" s="14" t="str">
        <x:v>否</x:v>
      </x:c>
      <x:c r="J1773" s="14" t="n">
        <x:v>2</x:v>
      </x:c>
      <x:c r="K1773" s="14" t="str">
        <x:v>一食堂</x:v>
      </x:c>
      <x:c r="L1773" s="14" t="n">
        <x:v>1</x:v>
      </x:c>
      <x:c r="M1773" s="14" t="str">
        <x:v>19:51</x:v>
      </x:c>
      <x:c r="N1773" s="14" t="str">
        <x:v>否</x:v>
      </x:c>
      <x:c r="O1773" s="14" t="str">
        <x:v>否</x:v>
      </x:c>
      <x:c r="P1773" s="14" t="str">
        <x:v>孙五星</x:v>
      </x:c>
      <x:c r="Q1773" s="14" t="str">
        <x:v>3号车</x:v>
      </x:c>
      <x:c r="R1773" s="14" t="str">
        <x:v>预测</x:v>
      </x:c>
      <x:c r="S1773" s="14" t="str">
        <x:v>到站时间为估算值</x:v>
      </x:c>
      <x:c r="T1773" t="str">
        <x:v>研究生宿舍楼发车</x:v>
      </x:c>
    </x:row>
    <x:row r="1774">
      <x:c r="A1774" s="14" t="str">
        <x:v>S0152-03</x:v>
      </x:c>
      <x:c r="B1774" s="14" t="str">
        <x:v>S0152</x:v>
      </x:c>
      <x:c r="C1774" s="14" t="str">
        <x:v>工作日</x:v>
      </x:c>
      <x:c r="D1774" s="14" t="str">
        <x:v>环线3路</x:v>
      </x:c>
      <x:c r="E1774" s="14" t="str">
        <x:v>第四班</x:v>
      </x:c>
      <x:c r="F1774" s="14" t="n">
        <x:v>5</x:v>
      </x:c>
      <x:c r="G1774" s="14" t="str">
        <x:v>19:50</x:v>
      </x:c>
      <x:c r="H1774" s="14" t="str">
        <x:v>研究生宿舍楼</x:v>
      </x:c>
      <x:c r="I1774" s="14" t="str">
        <x:v>否</x:v>
      </x:c>
      <x:c r="J1774" s="14" t="n">
        <x:v>3</x:v>
      </x:c>
      <x:c r="K1774" s="14" t="str">
        <x:v>2号宿舍楼</x:v>
      </x:c>
      <x:c r="L1774" s="14" t="n">
        <x:v>3</x:v>
      </x:c>
      <x:c r="M1774" s="14" t="str">
        <x:v>19:53</x:v>
      </x:c>
      <x:c r="N1774" s="14" t="str">
        <x:v>否</x:v>
      </x:c>
      <x:c r="O1774" s="14" t="str">
        <x:v>否</x:v>
      </x:c>
      <x:c r="P1774" s="14" t="str">
        <x:v>孙五星</x:v>
      </x:c>
      <x:c r="Q1774" s="14" t="str">
        <x:v>3号车</x:v>
      </x:c>
      <x:c r="R1774" s="14" t="str">
        <x:v>预测</x:v>
      </x:c>
      <x:c r="S1774" s="14" t="str">
        <x:v>到站时间为估算值</x:v>
      </x:c>
      <x:c r="T1774" t="str">
        <x:v>研究生宿舍楼发车</x:v>
      </x:c>
    </x:row>
    <x:row r="1775">
      <x:c r="A1775" s="14" t="str">
        <x:v>S0152-04</x:v>
      </x:c>
      <x:c r="B1775" s="14" t="str">
        <x:v>S0152</x:v>
      </x:c>
      <x:c r="C1775" s="14" t="str">
        <x:v>工作日</x:v>
      </x:c>
      <x:c r="D1775" s="14" t="str">
        <x:v>环线3路</x:v>
      </x:c>
      <x:c r="E1775" s="14" t="str">
        <x:v>第四班</x:v>
      </x:c>
      <x:c r="F1775" s="14" t="n">
        <x:v>5</x:v>
      </x:c>
      <x:c r="G1775" s="14" t="str">
        <x:v>19:50</x:v>
      </x:c>
      <x:c r="H1775" s="14" t="str">
        <x:v>研究生宿舍楼</x:v>
      </x:c>
      <x:c r="I1775" s="14" t="str">
        <x:v>否</x:v>
      </x:c>
      <x:c r="J1775" s="14" t="n">
        <x:v>4</x:v>
      </x:c>
      <x:c r="K1775" s="14" t="str">
        <x:v>军体活动中心</x:v>
      </x:c>
      <x:c r="L1775" s="14" t="n">
        <x:v>4</x:v>
      </x:c>
      <x:c r="M1775" s="14" t="str">
        <x:v>19:54</x:v>
      </x:c>
      <x:c r="N1775" s="14" t="str">
        <x:v>否</x:v>
      </x:c>
      <x:c r="O1775" s="14" t="str">
        <x:v>否</x:v>
      </x:c>
      <x:c r="P1775" s="14" t="str">
        <x:v>孙五星</x:v>
      </x:c>
      <x:c r="Q1775" s="14" t="str">
        <x:v>3号车</x:v>
      </x:c>
      <x:c r="R1775" s="14" t="str">
        <x:v>预测</x:v>
      </x:c>
      <x:c r="S1775" s="14" t="str">
        <x:v>到站时间为估算值</x:v>
      </x:c>
      <x:c r="T1775" t="str">
        <x:v>研究生宿舍楼发车</x:v>
      </x:c>
    </x:row>
    <x:row r="1776">
      <x:c r="A1776" s="14" t="str">
        <x:v>S0152-05</x:v>
      </x:c>
      <x:c r="B1776" s="14" t="str">
        <x:v>S0152</x:v>
      </x:c>
      <x:c r="C1776" s="14" t="str">
        <x:v>工作日</x:v>
      </x:c>
      <x:c r="D1776" s="14" t="str">
        <x:v>环线3路</x:v>
      </x:c>
      <x:c r="E1776" s="14" t="str">
        <x:v>第四班</x:v>
      </x:c>
      <x:c r="F1776" s="14" t="n">
        <x:v>5</x:v>
      </x:c>
      <x:c r="G1776" s="14" t="str">
        <x:v>19:50</x:v>
      </x:c>
      <x:c r="H1776" s="14" t="str">
        <x:v>研究生宿舍楼</x:v>
      </x:c>
      <x:c r="I1776" s="14" t="str">
        <x:v>否</x:v>
      </x:c>
      <x:c r="J1776" s="14" t="n">
        <x:v>5</x:v>
      </x:c>
      <x:c r="K1776" s="14" t="str">
        <x:v>教勤连</x:v>
      </x:c>
      <x:c r="L1776" s="14" t="n">
        <x:v>6</x:v>
      </x:c>
      <x:c r="M1776" s="14" t="str">
        <x:v>19:56</x:v>
      </x:c>
      <x:c r="N1776" s="14" t="str">
        <x:v>否</x:v>
      </x:c>
      <x:c r="O1776" s="14" t="str">
        <x:v>否</x:v>
      </x:c>
      <x:c r="P1776" s="14" t="str">
        <x:v>孙五星</x:v>
      </x:c>
      <x:c r="Q1776" s="14" t="str">
        <x:v>3号车</x:v>
      </x:c>
      <x:c r="R1776" s="14" t="str">
        <x:v>预测</x:v>
      </x:c>
      <x:c r="S1776" s="14" t="str">
        <x:v>到站时间为估算值</x:v>
      </x:c>
      <x:c r="T1776" t="str">
        <x:v>研究生宿舍楼发车</x:v>
      </x:c>
    </x:row>
    <x:row r="1777">
      <x:c r="A1777" s="14" t="str">
        <x:v>S0152-06</x:v>
      </x:c>
      <x:c r="B1777" s="14" t="str">
        <x:v>S0152</x:v>
      </x:c>
      <x:c r="C1777" s="14" t="str">
        <x:v>工作日</x:v>
      </x:c>
      <x:c r="D1777" s="14" t="str">
        <x:v>环线3路</x:v>
      </x:c>
      <x:c r="E1777" s="14" t="str">
        <x:v>第四班</x:v>
      </x:c>
      <x:c r="F1777" s="14" t="n">
        <x:v>5</x:v>
      </x:c>
      <x:c r="G1777" s="14" t="str">
        <x:v>19:50</x:v>
      </x:c>
      <x:c r="H1777" s="14" t="str">
        <x:v>研究生宿舍楼</x:v>
      </x:c>
      <x:c r="I1777" s="14" t="str">
        <x:v>否</x:v>
      </x:c>
      <x:c r="J1777" s="14" t="n">
        <x:v>6</x:v>
      </x:c>
      <x:c r="K1777" s="14" t="str">
        <x:v>激光所</x:v>
      </x:c>
      <x:c r="L1777" s="14" t="n">
        <x:v>7</x:v>
      </x:c>
      <x:c r="M1777" s="14" t="str">
        <x:v>19:57</x:v>
      </x:c>
      <x:c r="N1777" s="14" t="str">
        <x:v>否</x:v>
      </x:c>
      <x:c r="O1777" s="14" t="str">
        <x:v>否</x:v>
      </x:c>
      <x:c r="P1777" s="14" t="str">
        <x:v>孙五星</x:v>
      </x:c>
      <x:c r="Q1777" s="14" t="str">
        <x:v>3号车</x:v>
      </x:c>
      <x:c r="R1777" s="14" t="str">
        <x:v>预测</x:v>
      </x:c>
      <x:c r="S1777" s="14" t="str">
        <x:v>到站时间为估算值</x:v>
      </x:c>
      <x:c r="T1777" t="str">
        <x:v>研究生宿舍楼发车</x:v>
      </x:c>
    </x:row>
    <x:row r="1778">
      <x:c r="A1778" s="14" t="str">
        <x:v>S0152-07</x:v>
      </x:c>
      <x:c r="B1778" s="14" t="str">
        <x:v>S0152</x:v>
      </x:c>
      <x:c r="C1778" s="14" t="str">
        <x:v>工作日</x:v>
      </x:c>
      <x:c r="D1778" s="14" t="str">
        <x:v>环线3路</x:v>
      </x:c>
      <x:c r="E1778" s="14" t="str">
        <x:v>第四班</x:v>
      </x:c>
      <x:c r="F1778" s="14" t="n">
        <x:v>5</x:v>
      </x:c>
      <x:c r="G1778" s="14" t="str">
        <x:v>19:50</x:v>
      </x:c>
      <x:c r="H1778" s="14" t="str">
        <x:v>研究生宿舍楼</x:v>
      </x:c>
      <x:c r="I1778" s="14" t="str">
        <x:v>否</x:v>
      </x:c>
      <x:c r="J1778" s="14" t="n">
        <x:v>7</x:v>
      </x:c>
      <x:c r="K1778" s="14" t="str">
        <x:v>高超楼</x:v>
      </x:c>
      <x:c r="L1778" s="14" t="n">
        <x:v>9</x:v>
      </x:c>
      <x:c r="M1778" s="14" t="str">
        <x:v>19:59</x:v>
      </x:c>
      <x:c r="N1778" s="14" t="str">
        <x:v>否</x:v>
      </x:c>
      <x:c r="O1778" s="14" t="str">
        <x:v>否</x:v>
      </x:c>
      <x:c r="P1778" s="14" t="str">
        <x:v>孙五星</x:v>
      </x:c>
      <x:c r="Q1778" s="14" t="str">
        <x:v>3号车</x:v>
      </x:c>
      <x:c r="R1778" s="14" t="str">
        <x:v>预测</x:v>
      </x:c>
      <x:c r="S1778" s="14" t="str">
        <x:v>到站时间为估算值</x:v>
      </x:c>
      <x:c r="T1778" t="str">
        <x:v>研究生宿舍楼发车</x:v>
      </x:c>
    </x:row>
    <x:row r="1779">
      <x:c r="A1779" s="14" t="str">
        <x:v>S0152-08</x:v>
      </x:c>
      <x:c r="B1779" s="14" t="str">
        <x:v>S0152</x:v>
      </x:c>
      <x:c r="C1779" s="14" t="str">
        <x:v>工作日</x:v>
      </x:c>
      <x:c r="D1779" s="14" t="str">
        <x:v>环线3路</x:v>
      </x:c>
      <x:c r="E1779" s="14" t="str">
        <x:v>第四班</x:v>
      </x:c>
      <x:c r="F1779" s="14" t="n">
        <x:v>5</x:v>
      </x:c>
      <x:c r="G1779" s="14" t="str">
        <x:v>19:50</x:v>
      </x:c>
      <x:c r="H1779" s="14" t="str">
        <x:v>研究生宿舍楼</x:v>
      </x:c>
      <x:c r="I1779" s="14" t="str">
        <x:v>否</x:v>
      </x:c>
      <x:c r="J1779" s="14" t="n">
        <x:v>8</x:v>
      </x:c>
      <x:c r="K1779" s="14" t="str">
        <x:v>理学院</x:v>
      </x:c>
      <x:c r="L1779" s="14" t="n">
        <x:v>10</x:v>
      </x:c>
      <x:c r="M1779" s="14" t="str">
        <x:v>20:00</x:v>
      </x:c>
      <x:c r="N1779" s="14" t="str">
        <x:v>否</x:v>
      </x:c>
      <x:c r="O1779" s="14" t="str">
        <x:v>否</x:v>
      </x:c>
      <x:c r="P1779" s="14" t="str">
        <x:v>孙五星</x:v>
      </x:c>
      <x:c r="Q1779" s="14" t="str">
        <x:v>3号车</x:v>
      </x:c>
      <x:c r="R1779" s="14" t="str">
        <x:v>预测</x:v>
      </x:c>
      <x:c r="S1779" s="14" t="str">
        <x:v>到站时间为估算值</x:v>
      </x:c>
      <x:c r="T1779" t="str">
        <x:v>研究生宿舍楼发车</x:v>
      </x:c>
    </x:row>
    <x:row r="1780">
      <x:c r="A1780" s="14" t="str">
        <x:v>S0152-09</x:v>
      </x:c>
      <x:c r="B1780" s="14" t="str">
        <x:v>S0152</x:v>
      </x:c>
      <x:c r="C1780" s="14" t="str">
        <x:v>工作日</x:v>
      </x:c>
      <x:c r="D1780" s="14" t="str">
        <x:v>环线3路</x:v>
      </x:c>
      <x:c r="E1780" s="14" t="str">
        <x:v>第四班</x:v>
      </x:c>
      <x:c r="F1780" s="14" t="n">
        <x:v>5</x:v>
      </x:c>
      <x:c r="G1780" s="14" t="str">
        <x:v>19:50</x:v>
      </x:c>
      <x:c r="H1780" s="14" t="str">
        <x:v>研究生宿舍楼</x:v>
      </x:c>
      <x:c r="I1780" s="14" t="str">
        <x:v>否</x:v>
      </x:c>
      <x:c r="J1780" s="14" t="n">
        <x:v>9</x:v>
      </x:c>
      <x:c r="K1780" s="14" t="str">
        <x:v>二食堂</x:v>
      </x:c>
      <x:c r="L1780" s="14" t="n">
        <x:v>13</x:v>
      </x:c>
      <x:c r="M1780" s="14" t="str">
        <x:v>20:03</x:v>
      </x:c>
      <x:c r="N1780" s="14" t="str">
        <x:v>否</x:v>
      </x:c>
      <x:c r="O1780" s="14" t="str">
        <x:v>否</x:v>
      </x:c>
      <x:c r="P1780" s="14" t="str">
        <x:v>孙五星</x:v>
      </x:c>
      <x:c r="Q1780" s="14" t="str">
        <x:v>3号车</x:v>
      </x:c>
      <x:c r="R1780" s="14" t="str">
        <x:v>预测</x:v>
      </x:c>
      <x:c r="S1780" s="14" t="str">
        <x:v>到站时间为估算值</x:v>
      </x:c>
      <x:c r="T1780" t="str">
        <x:v>研究生宿舍楼发车</x:v>
      </x:c>
    </x:row>
    <x:row r="1781">
      <x:c r="A1781" s="14" t="str">
        <x:v>S0152-10</x:v>
      </x:c>
      <x:c r="B1781" s="14" t="str">
        <x:v>S0152</x:v>
      </x:c>
      <x:c r="C1781" s="14" t="str">
        <x:v>工作日</x:v>
      </x:c>
      <x:c r="D1781" s="14" t="str">
        <x:v>环线3路</x:v>
      </x:c>
      <x:c r="E1781" s="14" t="str">
        <x:v>第四班</x:v>
      </x:c>
      <x:c r="F1781" s="14" t="n">
        <x:v>5</x:v>
      </x:c>
      <x:c r="G1781" s="14" t="str">
        <x:v>19:50</x:v>
      </x:c>
      <x:c r="H1781" s="14" t="str">
        <x:v>研究生宿舍楼</x:v>
      </x:c>
      <x:c r="I1781" s="14" t="str">
        <x:v>否</x:v>
      </x:c>
      <x:c r="J1781" s="14" t="n">
        <x:v>10</x:v>
      </x:c>
      <x:c r="K1781" s="14" t="str">
        <x:v>图书馆</x:v>
      </x:c>
      <x:c r="L1781" s="14" t="n">
        <x:v>14</x:v>
      </x:c>
      <x:c r="M1781" s="14" t="str">
        <x:v>20:04</x:v>
      </x:c>
      <x:c r="N1781" s="14" t="str">
        <x:v>否</x:v>
      </x:c>
      <x:c r="O1781" s="14" t="str">
        <x:v>否</x:v>
      </x:c>
      <x:c r="P1781" s="14" t="str">
        <x:v>孙五星</x:v>
      </x:c>
      <x:c r="Q1781" s="14" t="str">
        <x:v>3号车</x:v>
      </x:c>
      <x:c r="R1781" s="14" t="str">
        <x:v>预测</x:v>
      </x:c>
      <x:c r="S1781" s="14" t="str">
        <x:v>到站时间为估算值</x:v>
      </x:c>
      <x:c r="T1781" t="str">
        <x:v>研究生宿舍楼发车</x:v>
      </x:c>
    </x:row>
    <x:row r="1782">
      <x:c r="A1782" s="14" t="str">
        <x:v>S0152-11</x:v>
      </x:c>
      <x:c r="B1782" s="14" t="str">
        <x:v>S0152</x:v>
      </x:c>
      <x:c r="C1782" s="14" t="str">
        <x:v>工作日</x:v>
      </x:c>
      <x:c r="D1782" s="14" t="str">
        <x:v>环线3路</x:v>
      </x:c>
      <x:c r="E1782" s="14" t="str">
        <x:v>第四班</x:v>
      </x:c>
      <x:c r="F1782" s="14" t="n">
        <x:v>5</x:v>
      </x:c>
      <x:c r="G1782" s="14" t="str">
        <x:v>19:50</x:v>
      </x:c>
      <x:c r="H1782" s="14" t="str">
        <x:v>研究生宿舍楼</x:v>
      </x:c>
      <x:c r="I1782" s="14" t="str">
        <x:v>否</x:v>
      </x:c>
      <x:c r="J1782" s="14" t="n">
        <x:v>11</x:v>
      </x:c>
      <x:c r="K1782" s="14" t="str">
        <x:v>305教学楼</x:v>
      </x:c>
      <x:c r="L1782" s="14" t="n">
        <x:v>16</x:v>
      </x:c>
      <x:c r="M1782" s="14" t="str">
        <x:v>20:06</x:v>
      </x:c>
      <x:c r="N1782" s="14" t="str">
        <x:v>否</x:v>
      </x:c>
      <x:c r="O1782" s="14" t="str">
        <x:v>否</x:v>
      </x:c>
      <x:c r="P1782" s="14" t="str">
        <x:v>孙五星</x:v>
      </x:c>
      <x:c r="Q1782" s="14" t="str">
        <x:v>3号车</x:v>
      </x:c>
      <x:c r="R1782" s="14" t="str">
        <x:v>预测</x:v>
      </x:c>
      <x:c r="S1782" s="14" t="str">
        <x:v>到站时间为估算值</x:v>
      </x:c>
      <x:c r="T1782" t="str">
        <x:v>研究生宿舍楼发车</x:v>
      </x:c>
    </x:row>
    <x:row r="1783">
      <x:c r="A1783" s="14" t="str">
        <x:v>S0152-12</x:v>
      </x:c>
      <x:c r="B1783" s="14" t="str">
        <x:v>S0152</x:v>
      </x:c>
      <x:c r="C1783" s="14" t="str">
        <x:v>工作日</x:v>
      </x:c>
      <x:c r="D1783" s="14" t="str">
        <x:v>环线3路</x:v>
      </x:c>
      <x:c r="E1783" s="14" t="str">
        <x:v>第四班</x:v>
      </x:c>
      <x:c r="F1783" s="14" t="n">
        <x:v>5</x:v>
      </x:c>
      <x:c r="G1783" s="14" t="str">
        <x:v>19:50</x:v>
      </x:c>
      <x:c r="H1783" s="14" t="str">
        <x:v>研究生宿舍楼</x:v>
      </x:c>
      <x:c r="I1783" s="14" t="str">
        <x:v>否</x:v>
      </x:c>
      <x:c r="J1783" s="14" t="n">
        <x:v>12</x:v>
      </x:c>
      <x:c r="K1783" s="14" t="str">
        <x:v>研究生宿舍楼</x:v>
      </x:c>
      <x:c r="L1783" s="14" t="n">
        <x:v>18</x:v>
      </x:c>
      <x:c r="M1783" s="14" t="str">
        <x:v>20:08</x:v>
      </x:c>
      <x:c r="N1783" s="14" t="str">
        <x:v>否</x:v>
      </x:c>
      <x:c r="O1783" s="14" t="str">
        <x:v>是</x:v>
      </x:c>
      <x:c r="P1783" s="14" t="str">
        <x:v>孙五星</x:v>
      </x:c>
      <x:c r="Q1783" s="14" t="str">
        <x:v>3号车</x:v>
      </x:c>
      <x:c r="R1783" s="14" t="str">
        <x:v>预测</x:v>
      </x:c>
      <x:c r="S1783" s="14" t="str">
        <x:v>到站时间为估算值</x:v>
      </x:c>
      <x:c r="T1783" t="str">
        <x:v>研究生宿舍楼发车</x:v>
      </x:c>
    </x:row>
    <x:row r="1784">
      <x:c r="A1784" s="14" t="str">
        <x:v>S0153-01</x:v>
      </x:c>
      <x:c r="B1784" s="14" t="str">
        <x:v>S0153</x:v>
      </x:c>
      <x:c r="C1784" s="14" t="str">
        <x:v>工作日</x:v>
      </x:c>
      <x:c r="D1784" s="14" t="str">
        <x:v>环线3路</x:v>
      </x:c>
      <x:c r="E1784" s="14" t="str">
        <x:v>第四班</x:v>
      </x:c>
      <x:c r="F1784" s="14" t="n">
        <x:v>6</x:v>
      </x:c>
      <x:c r="G1784" s="14" t="str">
        <x:v>20:20</x:v>
      </x:c>
      <x:c r="H1784" s="14" t="str">
        <x:v>研究生宿舍楼</x:v>
      </x:c>
      <x:c r="I1784" s="14" t="str">
        <x:v>否</x:v>
      </x:c>
      <x:c r="J1784" s="14" t="n">
        <x:v>1</x:v>
      </x:c>
      <x:c r="K1784" s="14" t="str">
        <x:v>研究生宿舍楼</x:v>
      </x:c>
      <x:c r="L1784" s="14" t="n">
        <x:v>0</x:v>
      </x:c>
      <x:c r="M1784" s="14" t="str">
        <x:v>20:20</x:v>
      </x:c>
      <x:c r="N1784" s="14" t="str">
        <x:v>是</x:v>
      </x:c>
      <x:c r="O1784" s="14" t="str">
        <x:v>否</x:v>
      </x:c>
      <x:c r="P1784" s="14" t="str">
        <x:v>孙五星</x:v>
      </x:c>
      <x:c r="Q1784" s="14" t="str">
        <x:v>3号车</x:v>
      </x:c>
      <x:c r="R1784" s="14" t="str">
        <x:v>预测</x:v>
      </x:c>
      <x:c r="S1784" s="14" t="str">
        <x:v>到站时间为估算值</x:v>
      </x:c>
      <x:c r="T1784" t="str">
        <x:v>研究生宿舍楼发车</x:v>
      </x:c>
    </x:row>
    <x:row r="1785">
      <x:c r="A1785" s="14" t="str">
        <x:v>S0153-02</x:v>
      </x:c>
      <x:c r="B1785" s="14" t="str">
        <x:v>S0153</x:v>
      </x:c>
      <x:c r="C1785" s="14" t="str">
        <x:v>工作日</x:v>
      </x:c>
      <x:c r="D1785" s="14" t="str">
        <x:v>环线3路</x:v>
      </x:c>
      <x:c r="E1785" s="14" t="str">
        <x:v>第四班</x:v>
      </x:c>
      <x:c r="F1785" s="14" t="n">
        <x:v>6</x:v>
      </x:c>
      <x:c r="G1785" s="14" t="str">
        <x:v>20:20</x:v>
      </x:c>
      <x:c r="H1785" s="14" t="str">
        <x:v>研究生宿舍楼</x:v>
      </x:c>
      <x:c r="I1785" s="14" t="str">
        <x:v>否</x:v>
      </x:c>
      <x:c r="J1785" s="14" t="n">
        <x:v>2</x:v>
      </x:c>
      <x:c r="K1785" s="14" t="str">
        <x:v>一食堂</x:v>
      </x:c>
      <x:c r="L1785" s="14" t="n">
        <x:v>1</x:v>
      </x:c>
      <x:c r="M1785" s="14" t="str">
        <x:v>20:21</x:v>
      </x:c>
      <x:c r="N1785" s="14" t="str">
        <x:v>否</x:v>
      </x:c>
      <x:c r="O1785" s="14" t="str">
        <x:v>否</x:v>
      </x:c>
      <x:c r="P1785" s="14" t="str">
        <x:v>孙五星</x:v>
      </x:c>
      <x:c r="Q1785" s="14" t="str">
        <x:v>3号车</x:v>
      </x:c>
      <x:c r="R1785" s="14" t="str">
        <x:v>预测</x:v>
      </x:c>
      <x:c r="S1785" s="14" t="str">
        <x:v>到站时间为估算值</x:v>
      </x:c>
      <x:c r="T1785" t="str">
        <x:v>研究生宿舍楼发车</x:v>
      </x:c>
    </x:row>
    <x:row r="1786">
      <x:c r="A1786" s="14" t="str">
        <x:v>S0153-03</x:v>
      </x:c>
      <x:c r="B1786" s="14" t="str">
        <x:v>S0153</x:v>
      </x:c>
      <x:c r="C1786" s="14" t="str">
        <x:v>工作日</x:v>
      </x:c>
      <x:c r="D1786" s="14" t="str">
        <x:v>环线3路</x:v>
      </x:c>
      <x:c r="E1786" s="14" t="str">
        <x:v>第四班</x:v>
      </x:c>
      <x:c r="F1786" s="14" t="n">
        <x:v>6</x:v>
      </x:c>
      <x:c r="G1786" s="14" t="str">
        <x:v>20:20</x:v>
      </x:c>
      <x:c r="H1786" s="14" t="str">
        <x:v>研究生宿舍楼</x:v>
      </x:c>
      <x:c r="I1786" s="14" t="str">
        <x:v>否</x:v>
      </x:c>
      <x:c r="J1786" s="14" t="n">
        <x:v>3</x:v>
      </x:c>
      <x:c r="K1786" s="14" t="str">
        <x:v>2号宿舍楼</x:v>
      </x:c>
      <x:c r="L1786" s="14" t="n">
        <x:v>3</x:v>
      </x:c>
      <x:c r="M1786" s="14" t="str">
        <x:v>20:23</x:v>
      </x:c>
      <x:c r="N1786" s="14" t="str">
        <x:v>否</x:v>
      </x:c>
      <x:c r="O1786" s="14" t="str">
        <x:v>否</x:v>
      </x:c>
      <x:c r="P1786" s="14" t="str">
        <x:v>孙五星</x:v>
      </x:c>
      <x:c r="Q1786" s="14" t="str">
        <x:v>3号车</x:v>
      </x:c>
      <x:c r="R1786" s="14" t="str">
        <x:v>预测</x:v>
      </x:c>
      <x:c r="S1786" s="14" t="str">
        <x:v>到站时间为估算值</x:v>
      </x:c>
      <x:c r="T1786" t="str">
        <x:v>研究生宿舍楼发车</x:v>
      </x:c>
    </x:row>
    <x:row r="1787">
      <x:c r="A1787" s="14" t="str">
        <x:v>S0153-04</x:v>
      </x:c>
      <x:c r="B1787" s="14" t="str">
        <x:v>S0153</x:v>
      </x:c>
      <x:c r="C1787" s="14" t="str">
        <x:v>工作日</x:v>
      </x:c>
      <x:c r="D1787" s="14" t="str">
        <x:v>环线3路</x:v>
      </x:c>
      <x:c r="E1787" s="14" t="str">
        <x:v>第四班</x:v>
      </x:c>
      <x:c r="F1787" s="14" t="n">
        <x:v>6</x:v>
      </x:c>
      <x:c r="G1787" s="14" t="str">
        <x:v>20:20</x:v>
      </x:c>
      <x:c r="H1787" s="14" t="str">
        <x:v>研究生宿舍楼</x:v>
      </x:c>
      <x:c r="I1787" s="14" t="str">
        <x:v>否</x:v>
      </x:c>
      <x:c r="J1787" s="14" t="n">
        <x:v>4</x:v>
      </x:c>
      <x:c r="K1787" s="14" t="str">
        <x:v>军体活动中心</x:v>
      </x:c>
      <x:c r="L1787" s="14" t="n">
        <x:v>4</x:v>
      </x:c>
      <x:c r="M1787" s="14" t="str">
        <x:v>20:24</x:v>
      </x:c>
      <x:c r="N1787" s="14" t="str">
        <x:v>否</x:v>
      </x:c>
      <x:c r="O1787" s="14" t="str">
        <x:v>否</x:v>
      </x:c>
      <x:c r="P1787" s="14" t="str">
        <x:v>孙五星</x:v>
      </x:c>
      <x:c r="Q1787" s="14" t="str">
        <x:v>3号车</x:v>
      </x:c>
      <x:c r="R1787" s="14" t="str">
        <x:v>预测</x:v>
      </x:c>
      <x:c r="S1787" s="14" t="str">
        <x:v>到站时间为估算值</x:v>
      </x:c>
      <x:c r="T1787" t="str">
        <x:v>研究生宿舍楼发车</x:v>
      </x:c>
    </x:row>
    <x:row r="1788">
      <x:c r="A1788" s="14" t="str">
        <x:v>S0153-05</x:v>
      </x:c>
      <x:c r="B1788" s="14" t="str">
        <x:v>S0153</x:v>
      </x:c>
      <x:c r="C1788" s="14" t="str">
        <x:v>工作日</x:v>
      </x:c>
      <x:c r="D1788" s="14" t="str">
        <x:v>环线3路</x:v>
      </x:c>
      <x:c r="E1788" s="14" t="str">
        <x:v>第四班</x:v>
      </x:c>
      <x:c r="F1788" s="14" t="n">
        <x:v>6</x:v>
      </x:c>
      <x:c r="G1788" s="14" t="str">
        <x:v>20:20</x:v>
      </x:c>
      <x:c r="H1788" s="14" t="str">
        <x:v>研究生宿舍楼</x:v>
      </x:c>
      <x:c r="I1788" s="14" t="str">
        <x:v>否</x:v>
      </x:c>
      <x:c r="J1788" s="14" t="n">
        <x:v>5</x:v>
      </x:c>
      <x:c r="K1788" s="14" t="str">
        <x:v>教勤连</x:v>
      </x:c>
      <x:c r="L1788" s="14" t="n">
        <x:v>6</x:v>
      </x:c>
      <x:c r="M1788" s="14" t="str">
        <x:v>20:26</x:v>
      </x:c>
      <x:c r="N1788" s="14" t="str">
        <x:v>否</x:v>
      </x:c>
      <x:c r="O1788" s="14" t="str">
        <x:v>否</x:v>
      </x:c>
      <x:c r="P1788" s="14" t="str">
        <x:v>孙五星</x:v>
      </x:c>
      <x:c r="Q1788" s="14" t="str">
        <x:v>3号车</x:v>
      </x:c>
      <x:c r="R1788" s="14" t="str">
        <x:v>预测</x:v>
      </x:c>
      <x:c r="S1788" s="14" t="str">
        <x:v>到站时间为估算值</x:v>
      </x:c>
      <x:c r="T1788" t="str">
        <x:v>研究生宿舍楼发车</x:v>
      </x:c>
    </x:row>
    <x:row r="1789">
      <x:c r="A1789" s="14" t="str">
        <x:v>S0153-06</x:v>
      </x:c>
      <x:c r="B1789" s="14" t="str">
        <x:v>S0153</x:v>
      </x:c>
      <x:c r="C1789" s="14" t="str">
        <x:v>工作日</x:v>
      </x:c>
      <x:c r="D1789" s="14" t="str">
        <x:v>环线3路</x:v>
      </x:c>
      <x:c r="E1789" s="14" t="str">
        <x:v>第四班</x:v>
      </x:c>
      <x:c r="F1789" s="14" t="n">
        <x:v>6</x:v>
      </x:c>
      <x:c r="G1789" s="14" t="str">
        <x:v>20:20</x:v>
      </x:c>
      <x:c r="H1789" s="14" t="str">
        <x:v>研究生宿舍楼</x:v>
      </x:c>
      <x:c r="I1789" s="14" t="str">
        <x:v>否</x:v>
      </x:c>
      <x:c r="J1789" s="14" t="n">
        <x:v>6</x:v>
      </x:c>
      <x:c r="K1789" s="14" t="str">
        <x:v>激光所</x:v>
      </x:c>
      <x:c r="L1789" s="14" t="n">
        <x:v>7</x:v>
      </x:c>
      <x:c r="M1789" s="14" t="str">
        <x:v>20:27</x:v>
      </x:c>
      <x:c r="N1789" s="14" t="str">
        <x:v>否</x:v>
      </x:c>
      <x:c r="O1789" s="14" t="str">
        <x:v>否</x:v>
      </x:c>
      <x:c r="P1789" s="14" t="str">
        <x:v>孙五星</x:v>
      </x:c>
      <x:c r="Q1789" s="14" t="str">
        <x:v>3号车</x:v>
      </x:c>
      <x:c r="R1789" s="14" t="str">
        <x:v>预测</x:v>
      </x:c>
      <x:c r="S1789" s="14" t="str">
        <x:v>到站时间为估算值</x:v>
      </x:c>
      <x:c r="T1789" t="str">
        <x:v>研究生宿舍楼发车</x:v>
      </x:c>
    </x:row>
    <x:row r="1790">
      <x:c r="A1790" s="14" t="str">
        <x:v>S0153-07</x:v>
      </x:c>
      <x:c r="B1790" s="14" t="str">
        <x:v>S0153</x:v>
      </x:c>
      <x:c r="C1790" s="14" t="str">
        <x:v>工作日</x:v>
      </x:c>
      <x:c r="D1790" s="14" t="str">
        <x:v>环线3路</x:v>
      </x:c>
      <x:c r="E1790" s="14" t="str">
        <x:v>第四班</x:v>
      </x:c>
      <x:c r="F1790" s="14" t="n">
        <x:v>6</x:v>
      </x:c>
      <x:c r="G1790" s="14" t="str">
        <x:v>20:20</x:v>
      </x:c>
      <x:c r="H1790" s="14" t="str">
        <x:v>研究生宿舍楼</x:v>
      </x:c>
      <x:c r="I1790" s="14" t="str">
        <x:v>否</x:v>
      </x:c>
      <x:c r="J1790" s="14" t="n">
        <x:v>7</x:v>
      </x:c>
      <x:c r="K1790" s="14" t="str">
        <x:v>高超楼</x:v>
      </x:c>
      <x:c r="L1790" s="14" t="n">
        <x:v>9</x:v>
      </x:c>
      <x:c r="M1790" s="14" t="str">
        <x:v>20:29</x:v>
      </x:c>
      <x:c r="N1790" s="14" t="str">
        <x:v>否</x:v>
      </x:c>
      <x:c r="O1790" s="14" t="str">
        <x:v>否</x:v>
      </x:c>
      <x:c r="P1790" s="14" t="str">
        <x:v>孙五星</x:v>
      </x:c>
      <x:c r="Q1790" s="14" t="str">
        <x:v>3号车</x:v>
      </x:c>
      <x:c r="R1790" s="14" t="str">
        <x:v>预测</x:v>
      </x:c>
      <x:c r="S1790" s="14" t="str">
        <x:v>到站时间为估算值</x:v>
      </x:c>
      <x:c r="T1790" t="str">
        <x:v>研究生宿舍楼发车</x:v>
      </x:c>
    </x:row>
    <x:row r="1791">
      <x:c r="A1791" s="14" t="str">
        <x:v>S0153-08</x:v>
      </x:c>
      <x:c r="B1791" s="14" t="str">
        <x:v>S0153</x:v>
      </x:c>
      <x:c r="C1791" s="14" t="str">
        <x:v>工作日</x:v>
      </x:c>
      <x:c r="D1791" s="14" t="str">
        <x:v>环线3路</x:v>
      </x:c>
      <x:c r="E1791" s="14" t="str">
        <x:v>第四班</x:v>
      </x:c>
      <x:c r="F1791" s="14" t="n">
        <x:v>6</x:v>
      </x:c>
      <x:c r="G1791" s="14" t="str">
        <x:v>20:20</x:v>
      </x:c>
      <x:c r="H1791" s="14" t="str">
        <x:v>研究生宿舍楼</x:v>
      </x:c>
      <x:c r="I1791" s="14" t="str">
        <x:v>否</x:v>
      </x:c>
      <x:c r="J1791" s="14" t="n">
        <x:v>8</x:v>
      </x:c>
      <x:c r="K1791" s="14" t="str">
        <x:v>理学院</x:v>
      </x:c>
      <x:c r="L1791" s="14" t="n">
        <x:v>10</x:v>
      </x:c>
      <x:c r="M1791" s="14" t="str">
        <x:v>20:30</x:v>
      </x:c>
      <x:c r="N1791" s="14" t="str">
        <x:v>否</x:v>
      </x:c>
      <x:c r="O1791" s="14" t="str">
        <x:v>否</x:v>
      </x:c>
      <x:c r="P1791" s="14" t="str">
        <x:v>孙五星</x:v>
      </x:c>
      <x:c r="Q1791" s="14" t="str">
        <x:v>3号车</x:v>
      </x:c>
      <x:c r="R1791" s="14" t="str">
        <x:v>预测</x:v>
      </x:c>
      <x:c r="S1791" s="14" t="str">
        <x:v>到站时间为估算值</x:v>
      </x:c>
      <x:c r="T1791" t="str">
        <x:v>研究生宿舍楼发车</x:v>
      </x:c>
    </x:row>
    <x:row r="1792">
      <x:c r="A1792" s="14" t="str">
        <x:v>S0153-09</x:v>
      </x:c>
      <x:c r="B1792" s="14" t="str">
        <x:v>S0153</x:v>
      </x:c>
      <x:c r="C1792" s="14" t="str">
        <x:v>工作日</x:v>
      </x:c>
      <x:c r="D1792" s="14" t="str">
        <x:v>环线3路</x:v>
      </x:c>
      <x:c r="E1792" s="14" t="str">
        <x:v>第四班</x:v>
      </x:c>
      <x:c r="F1792" s="14" t="n">
        <x:v>6</x:v>
      </x:c>
      <x:c r="G1792" s="14" t="str">
        <x:v>20:20</x:v>
      </x:c>
      <x:c r="H1792" s="14" t="str">
        <x:v>研究生宿舍楼</x:v>
      </x:c>
      <x:c r="I1792" s="14" t="str">
        <x:v>否</x:v>
      </x:c>
      <x:c r="J1792" s="14" t="n">
        <x:v>9</x:v>
      </x:c>
      <x:c r="K1792" s="14" t="str">
        <x:v>二食堂</x:v>
      </x:c>
      <x:c r="L1792" s="14" t="n">
        <x:v>13</x:v>
      </x:c>
      <x:c r="M1792" s="14" t="str">
        <x:v>20:33</x:v>
      </x:c>
      <x:c r="N1792" s="14" t="str">
        <x:v>否</x:v>
      </x:c>
      <x:c r="O1792" s="14" t="str">
        <x:v>否</x:v>
      </x:c>
      <x:c r="P1792" s="14" t="str">
        <x:v>孙五星</x:v>
      </x:c>
      <x:c r="Q1792" s="14" t="str">
        <x:v>3号车</x:v>
      </x:c>
      <x:c r="R1792" s="14" t="str">
        <x:v>预测</x:v>
      </x:c>
      <x:c r="S1792" s="14" t="str">
        <x:v>到站时间为估算值</x:v>
      </x:c>
      <x:c r="T1792" t="str">
        <x:v>研究生宿舍楼发车</x:v>
      </x:c>
    </x:row>
    <x:row r="1793">
      <x:c r="A1793" s="14" t="str">
        <x:v>S0153-10</x:v>
      </x:c>
      <x:c r="B1793" s="14" t="str">
        <x:v>S0153</x:v>
      </x:c>
      <x:c r="C1793" s="14" t="str">
        <x:v>工作日</x:v>
      </x:c>
      <x:c r="D1793" s="14" t="str">
        <x:v>环线3路</x:v>
      </x:c>
      <x:c r="E1793" s="14" t="str">
        <x:v>第四班</x:v>
      </x:c>
      <x:c r="F1793" s="14" t="n">
        <x:v>6</x:v>
      </x:c>
      <x:c r="G1793" s="14" t="str">
        <x:v>20:20</x:v>
      </x:c>
      <x:c r="H1793" s="14" t="str">
        <x:v>研究生宿舍楼</x:v>
      </x:c>
      <x:c r="I1793" s="14" t="str">
        <x:v>否</x:v>
      </x:c>
      <x:c r="J1793" s="14" t="n">
        <x:v>10</x:v>
      </x:c>
      <x:c r="K1793" s="14" t="str">
        <x:v>图书馆</x:v>
      </x:c>
      <x:c r="L1793" s="14" t="n">
        <x:v>14</x:v>
      </x:c>
      <x:c r="M1793" s="14" t="str">
        <x:v>20:34</x:v>
      </x:c>
      <x:c r="N1793" s="14" t="str">
        <x:v>否</x:v>
      </x:c>
      <x:c r="O1793" s="14" t="str">
        <x:v>否</x:v>
      </x:c>
      <x:c r="P1793" s="14" t="str">
        <x:v>孙五星</x:v>
      </x:c>
      <x:c r="Q1793" s="14" t="str">
        <x:v>3号车</x:v>
      </x:c>
      <x:c r="R1793" s="14" t="str">
        <x:v>预测</x:v>
      </x:c>
      <x:c r="S1793" s="14" t="str">
        <x:v>到站时间为估算值</x:v>
      </x:c>
      <x:c r="T1793" t="str">
        <x:v>研究生宿舍楼发车</x:v>
      </x:c>
    </x:row>
    <x:row r="1794">
      <x:c r="A1794" s="14" t="str">
        <x:v>S0153-11</x:v>
      </x:c>
      <x:c r="B1794" s="14" t="str">
        <x:v>S0153</x:v>
      </x:c>
      <x:c r="C1794" s="14" t="str">
        <x:v>工作日</x:v>
      </x:c>
      <x:c r="D1794" s="14" t="str">
        <x:v>环线3路</x:v>
      </x:c>
      <x:c r="E1794" s="14" t="str">
        <x:v>第四班</x:v>
      </x:c>
      <x:c r="F1794" s="14" t="n">
        <x:v>6</x:v>
      </x:c>
      <x:c r="G1794" s="14" t="str">
        <x:v>20:20</x:v>
      </x:c>
      <x:c r="H1794" s="14" t="str">
        <x:v>研究生宿舍楼</x:v>
      </x:c>
      <x:c r="I1794" s="14" t="str">
        <x:v>否</x:v>
      </x:c>
      <x:c r="J1794" s="14" t="n">
        <x:v>11</x:v>
      </x:c>
      <x:c r="K1794" s="14" t="str">
        <x:v>305教学楼</x:v>
      </x:c>
      <x:c r="L1794" s="14" t="n">
        <x:v>16</x:v>
      </x:c>
      <x:c r="M1794" s="14" t="str">
        <x:v>20:36</x:v>
      </x:c>
      <x:c r="N1794" s="14" t="str">
        <x:v>否</x:v>
      </x:c>
      <x:c r="O1794" s="14" t="str">
        <x:v>否</x:v>
      </x:c>
      <x:c r="P1794" s="14" t="str">
        <x:v>孙五星</x:v>
      </x:c>
      <x:c r="Q1794" s="14" t="str">
        <x:v>3号车</x:v>
      </x:c>
      <x:c r="R1794" s="14" t="str">
        <x:v>预测</x:v>
      </x:c>
      <x:c r="S1794" s="14" t="str">
        <x:v>到站时间为估算值</x:v>
      </x:c>
      <x:c r="T1794" t="str">
        <x:v>研究生宿舍楼发车</x:v>
      </x:c>
    </x:row>
    <x:row r="1795">
      <x:c r="A1795" s="14" t="str">
        <x:v>S0153-12</x:v>
      </x:c>
      <x:c r="B1795" s="14" t="str">
        <x:v>S0153</x:v>
      </x:c>
      <x:c r="C1795" s="14" t="str">
        <x:v>工作日</x:v>
      </x:c>
      <x:c r="D1795" s="14" t="str">
        <x:v>环线3路</x:v>
      </x:c>
      <x:c r="E1795" s="14" t="str">
        <x:v>第四班</x:v>
      </x:c>
      <x:c r="F1795" s="14" t="n">
        <x:v>6</x:v>
      </x:c>
      <x:c r="G1795" s="14" t="str">
        <x:v>20:20</x:v>
      </x:c>
      <x:c r="H1795" s="14" t="str">
        <x:v>研究生宿舍楼</x:v>
      </x:c>
      <x:c r="I1795" s="14" t="str">
        <x:v>否</x:v>
      </x:c>
      <x:c r="J1795" s="14" t="n">
        <x:v>12</x:v>
      </x:c>
      <x:c r="K1795" s="14" t="str">
        <x:v>研究生宿舍楼</x:v>
      </x:c>
      <x:c r="L1795" s="14" t="n">
        <x:v>18</x:v>
      </x:c>
      <x:c r="M1795" s="14" t="str">
        <x:v>20:38</x:v>
      </x:c>
      <x:c r="N1795" s="14" t="str">
        <x:v>否</x:v>
      </x:c>
      <x:c r="O1795" s="14" t="str">
        <x:v>是</x:v>
      </x:c>
      <x:c r="P1795" s="14" t="str">
        <x:v>孙五星</x:v>
      </x:c>
      <x:c r="Q1795" s="14" t="str">
        <x:v>3号车</x:v>
      </x:c>
      <x:c r="R1795" s="14" t="str">
        <x:v>预测</x:v>
      </x:c>
      <x:c r="S1795" s="14" t="str">
        <x:v>到站时间为估算值</x:v>
      </x:c>
      <x:c r="T1795" t="str">
        <x:v>研究生宿舍楼发车</x:v>
      </x:c>
    </x:row>
    <x:row r="1796">
      <x:c r="A1796" s="14" t="str">
        <x:v>S0154-01</x:v>
      </x:c>
      <x:c r="B1796" s="14" t="str">
        <x:v>S0154</x:v>
      </x:c>
      <x:c r="C1796" s="14" t="str">
        <x:v>工作日</x:v>
      </x:c>
      <x:c r="D1796" s="14" t="str">
        <x:v>环线3路</x:v>
      </x:c>
      <x:c r="E1796" s="14" t="str">
        <x:v>第四班</x:v>
      </x:c>
      <x:c r="F1796" s="14" t="n">
        <x:v>7</x:v>
      </x:c>
      <x:c r="G1796" s="14" t="str">
        <x:v>20:50</x:v>
      </x:c>
      <x:c r="H1796" s="14" t="str">
        <x:v>研究生宿舍楼</x:v>
      </x:c>
      <x:c r="I1796" s="14" t="str">
        <x:v>否</x:v>
      </x:c>
      <x:c r="J1796" s="14" t="n">
        <x:v>1</x:v>
      </x:c>
      <x:c r="K1796" s="14" t="str">
        <x:v>研究生宿舍楼</x:v>
      </x:c>
      <x:c r="L1796" s="14" t="n">
        <x:v>0</x:v>
      </x:c>
      <x:c r="M1796" s="14" t="str">
        <x:v>20:50</x:v>
      </x:c>
      <x:c r="N1796" s="14" t="str">
        <x:v>是</x:v>
      </x:c>
      <x:c r="O1796" s="14" t="str">
        <x:v>否</x:v>
      </x:c>
      <x:c r="P1796" s="14" t="str">
        <x:v>孙五星</x:v>
      </x:c>
      <x:c r="Q1796" s="14" t="str">
        <x:v>3号车</x:v>
      </x:c>
      <x:c r="R1796" s="14" t="str">
        <x:v>预测</x:v>
      </x:c>
      <x:c r="S1796" s="14" t="str">
        <x:v>到站时间为估算值</x:v>
      </x:c>
      <x:c r="T1796" t="str">
        <x:v>研究生宿舍楼发车</x:v>
      </x:c>
    </x:row>
    <x:row r="1797">
      <x:c r="A1797" s="14" t="str">
        <x:v>S0154-02</x:v>
      </x:c>
      <x:c r="B1797" s="14" t="str">
        <x:v>S0154</x:v>
      </x:c>
      <x:c r="C1797" s="14" t="str">
        <x:v>工作日</x:v>
      </x:c>
      <x:c r="D1797" s="14" t="str">
        <x:v>环线3路</x:v>
      </x:c>
      <x:c r="E1797" s="14" t="str">
        <x:v>第四班</x:v>
      </x:c>
      <x:c r="F1797" s="14" t="n">
        <x:v>7</x:v>
      </x:c>
      <x:c r="G1797" s="14" t="str">
        <x:v>20:50</x:v>
      </x:c>
      <x:c r="H1797" s="14" t="str">
        <x:v>研究生宿舍楼</x:v>
      </x:c>
      <x:c r="I1797" s="14" t="str">
        <x:v>否</x:v>
      </x:c>
      <x:c r="J1797" s="14" t="n">
        <x:v>2</x:v>
      </x:c>
      <x:c r="K1797" s="14" t="str">
        <x:v>一食堂</x:v>
      </x:c>
      <x:c r="L1797" s="14" t="n">
        <x:v>1</x:v>
      </x:c>
      <x:c r="M1797" s="14" t="str">
        <x:v>20:51</x:v>
      </x:c>
      <x:c r="N1797" s="14" t="str">
        <x:v>否</x:v>
      </x:c>
      <x:c r="O1797" s="14" t="str">
        <x:v>否</x:v>
      </x:c>
      <x:c r="P1797" s="14" t="str">
        <x:v>孙五星</x:v>
      </x:c>
      <x:c r="Q1797" s="14" t="str">
        <x:v>3号车</x:v>
      </x:c>
      <x:c r="R1797" s="14" t="str">
        <x:v>预测</x:v>
      </x:c>
      <x:c r="S1797" s="14" t="str">
        <x:v>到站时间为估算值</x:v>
      </x:c>
      <x:c r="T1797" t="str">
        <x:v>研究生宿舍楼发车</x:v>
      </x:c>
    </x:row>
    <x:row r="1798">
      <x:c r="A1798" s="14" t="str">
        <x:v>S0154-03</x:v>
      </x:c>
      <x:c r="B1798" s="14" t="str">
        <x:v>S0154</x:v>
      </x:c>
      <x:c r="C1798" s="14" t="str">
        <x:v>工作日</x:v>
      </x:c>
      <x:c r="D1798" s="14" t="str">
        <x:v>环线3路</x:v>
      </x:c>
      <x:c r="E1798" s="14" t="str">
        <x:v>第四班</x:v>
      </x:c>
      <x:c r="F1798" s="14" t="n">
        <x:v>7</x:v>
      </x:c>
      <x:c r="G1798" s="14" t="str">
        <x:v>20:50</x:v>
      </x:c>
      <x:c r="H1798" s="14" t="str">
        <x:v>研究生宿舍楼</x:v>
      </x:c>
      <x:c r="I1798" s="14" t="str">
        <x:v>否</x:v>
      </x:c>
      <x:c r="J1798" s="14" t="n">
        <x:v>3</x:v>
      </x:c>
      <x:c r="K1798" s="14" t="str">
        <x:v>2号宿舍楼</x:v>
      </x:c>
      <x:c r="L1798" s="14" t="n">
        <x:v>3</x:v>
      </x:c>
      <x:c r="M1798" s="14" t="str">
        <x:v>20:53</x:v>
      </x:c>
      <x:c r="N1798" s="14" t="str">
        <x:v>否</x:v>
      </x:c>
      <x:c r="O1798" s="14" t="str">
        <x:v>否</x:v>
      </x:c>
      <x:c r="P1798" s="14" t="str">
        <x:v>孙五星</x:v>
      </x:c>
      <x:c r="Q1798" s="14" t="str">
        <x:v>3号车</x:v>
      </x:c>
      <x:c r="R1798" s="14" t="str">
        <x:v>预测</x:v>
      </x:c>
      <x:c r="S1798" s="14" t="str">
        <x:v>到站时间为估算值</x:v>
      </x:c>
      <x:c r="T1798" t="str">
        <x:v>研究生宿舍楼发车</x:v>
      </x:c>
    </x:row>
    <x:row r="1799">
      <x:c r="A1799" s="14" t="str">
        <x:v>S0154-04</x:v>
      </x:c>
      <x:c r="B1799" s="14" t="str">
        <x:v>S0154</x:v>
      </x:c>
      <x:c r="C1799" s="14" t="str">
        <x:v>工作日</x:v>
      </x:c>
      <x:c r="D1799" s="14" t="str">
        <x:v>环线3路</x:v>
      </x:c>
      <x:c r="E1799" s="14" t="str">
        <x:v>第四班</x:v>
      </x:c>
      <x:c r="F1799" s="14" t="n">
        <x:v>7</x:v>
      </x:c>
      <x:c r="G1799" s="14" t="str">
        <x:v>20:50</x:v>
      </x:c>
      <x:c r="H1799" s="14" t="str">
        <x:v>研究生宿舍楼</x:v>
      </x:c>
      <x:c r="I1799" s="14" t="str">
        <x:v>否</x:v>
      </x:c>
      <x:c r="J1799" s="14" t="n">
        <x:v>4</x:v>
      </x:c>
      <x:c r="K1799" s="14" t="str">
        <x:v>军体活动中心</x:v>
      </x:c>
      <x:c r="L1799" s="14" t="n">
        <x:v>4</x:v>
      </x:c>
      <x:c r="M1799" s="14" t="str">
        <x:v>20:54</x:v>
      </x:c>
      <x:c r="N1799" s="14" t="str">
        <x:v>否</x:v>
      </x:c>
      <x:c r="O1799" s="14" t="str">
        <x:v>否</x:v>
      </x:c>
      <x:c r="P1799" s="14" t="str">
        <x:v>孙五星</x:v>
      </x:c>
      <x:c r="Q1799" s="14" t="str">
        <x:v>3号车</x:v>
      </x:c>
      <x:c r="R1799" s="14" t="str">
        <x:v>预测</x:v>
      </x:c>
      <x:c r="S1799" s="14" t="str">
        <x:v>到站时间为估算值</x:v>
      </x:c>
      <x:c r="T1799" t="str">
        <x:v>研究生宿舍楼发车</x:v>
      </x:c>
    </x:row>
    <x:row r="1800">
      <x:c r="A1800" s="14" t="str">
        <x:v>S0154-05</x:v>
      </x:c>
      <x:c r="B1800" s="14" t="str">
        <x:v>S0154</x:v>
      </x:c>
      <x:c r="C1800" s="14" t="str">
        <x:v>工作日</x:v>
      </x:c>
      <x:c r="D1800" s="14" t="str">
        <x:v>环线3路</x:v>
      </x:c>
      <x:c r="E1800" s="14" t="str">
        <x:v>第四班</x:v>
      </x:c>
      <x:c r="F1800" s="14" t="n">
        <x:v>7</x:v>
      </x:c>
      <x:c r="G1800" s="14" t="str">
        <x:v>20:50</x:v>
      </x:c>
      <x:c r="H1800" s="14" t="str">
        <x:v>研究生宿舍楼</x:v>
      </x:c>
      <x:c r="I1800" s="14" t="str">
        <x:v>否</x:v>
      </x:c>
      <x:c r="J1800" s="14" t="n">
        <x:v>5</x:v>
      </x:c>
      <x:c r="K1800" s="14" t="str">
        <x:v>教勤连</x:v>
      </x:c>
      <x:c r="L1800" s="14" t="n">
        <x:v>6</x:v>
      </x:c>
      <x:c r="M1800" s="14" t="str">
        <x:v>20:56</x:v>
      </x:c>
      <x:c r="N1800" s="14" t="str">
        <x:v>否</x:v>
      </x:c>
      <x:c r="O1800" s="14" t="str">
        <x:v>否</x:v>
      </x:c>
      <x:c r="P1800" s="14" t="str">
        <x:v>孙五星</x:v>
      </x:c>
      <x:c r="Q1800" s="14" t="str">
        <x:v>3号车</x:v>
      </x:c>
      <x:c r="R1800" s="14" t="str">
        <x:v>预测</x:v>
      </x:c>
      <x:c r="S1800" s="14" t="str">
        <x:v>到站时间为估算值</x:v>
      </x:c>
      <x:c r="T1800" t="str">
        <x:v>研究生宿舍楼发车</x:v>
      </x:c>
    </x:row>
    <x:row r="1801">
      <x:c r="A1801" s="14" t="str">
        <x:v>S0154-06</x:v>
      </x:c>
      <x:c r="B1801" s="14" t="str">
        <x:v>S0154</x:v>
      </x:c>
      <x:c r="C1801" s="14" t="str">
        <x:v>工作日</x:v>
      </x:c>
      <x:c r="D1801" s="14" t="str">
        <x:v>环线3路</x:v>
      </x:c>
      <x:c r="E1801" s="14" t="str">
        <x:v>第四班</x:v>
      </x:c>
      <x:c r="F1801" s="14" t="n">
        <x:v>7</x:v>
      </x:c>
      <x:c r="G1801" s="14" t="str">
        <x:v>20:50</x:v>
      </x:c>
      <x:c r="H1801" s="14" t="str">
        <x:v>研究生宿舍楼</x:v>
      </x:c>
      <x:c r="I1801" s="14" t="str">
        <x:v>否</x:v>
      </x:c>
      <x:c r="J1801" s="14" t="n">
        <x:v>6</x:v>
      </x:c>
      <x:c r="K1801" s="14" t="str">
        <x:v>激光所</x:v>
      </x:c>
      <x:c r="L1801" s="14" t="n">
        <x:v>7</x:v>
      </x:c>
      <x:c r="M1801" s="14" t="str">
        <x:v>20:57</x:v>
      </x:c>
      <x:c r="N1801" s="14" t="str">
        <x:v>否</x:v>
      </x:c>
      <x:c r="O1801" s="14" t="str">
        <x:v>否</x:v>
      </x:c>
      <x:c r="P1801" s="14" t="str">
        <x:v>孙五星</x:v>
      </x:c>
      <x:c r="Q1801" s="14" t="str">
        <x:v>3号车</x:v>
      </x:c>
      <x:c r="R1801" s="14" t="str">
        <x:v>预测</x:v>
      </x:c>
      <x:c r="S1801" s="14" t="str">
        <x:v>到站时间为估算值</x:v>
      </x:c>
      <x:c r="T1801" t="str">
        <x:v>研究生宿舍楼发车</x:v>
      </x:c>
    </x:row>
    <x:row r="1802">
      <x:c r="A1802" s="14" t="str">
        <x:v>S0154-07</x:v>
      </x:c>
      <x:c r="B1802" s="14" t="str">
        <x:v>S0154</x:v>
      </x:c>
      <x:c r="C1802" s="14" t="str">
        <x:v>工作日</x:v>
      </x:c>
      <x:c r="D1802" s="14" t="str">
        <x:v>环线3路</x:v>
      </x:c>
      <x:c r="E1802" s="14" t="str">
        <x:v>第四班</x:v>
      </x:c>
      <x:c r="F1802" s="14" t="n">
        <x:v>7</x:v>
      </x:c>
      <x:c r="G1802" s="14" t="str">
        <x:v>20:50</x:v>
      </x:c>
      <x:c r="H1802" s="14" t="str">
        <x:v>研究生宿舍楼</x:v>
      </x:c>
      <x:c r="I1802" s="14" t="str">
        <x:v>否</x:v>
      </x:c>
      <x:c r="J1802" s="14" t="n">
        <x:v>7</x:v>
      </x:c>
      <x:c r="K1802" s="14" t="str">
        <x:v>高超楼</x:v>
      </x:c>
      <x:c r="L1802" s="14" t="n">
        <x:v>9</x:v>
      </x:c>
      <x:c r="M1802" s="14" t="str">
        <x:v>20:59</x:v>
      </x:c>
      <x:c r="N1802" s="14" t="str">
        <x:v>否</x:v>
      </x:c>
      <x:c r="O1802" s="14" t="str">
        <x:v>否</x:v>
      </x:c>
      <x:c r="P1802" s="14" t="str">
        <x:v>孙五星</x:v>
      </x:c>
      <x:c r="Q1802" s="14" t="str">
        <x:v>3号车</x:v>
      </x:c>
      <x:c r="R1802" s="14" t="str">
        <x:v>预测</x:v>
      </x:c>
      <x:c r="S1802" s="14" t="str">
        <x:v>到站时间为估算值</x:v>
      </x:c>
      <x:c r="T1802" t="str">
        <x:v>研究生宿舍楼发车</x:v>
      </x:c>
    </x:row>
    <x:row r="1803">
      <x:c r="A1803" s="14" t="str">
        <x:v>S0154-08</x:v>
      </x:c>
      <x:c r="B1803" s="14" t="str">
        <x:v>S0154</x:v>
      </x:c>
      <x:c r="C1803" s="14" t="str">
        <x:v>工作日</x:v>
      </x:c>
      <x:c r="D1803" s="14" t="str">
        <x:v>环线3路</x:v>
      </x:c>
      <x:c r="E1803" s="14" t="str">
        <x:v>第四班</x:v>
      </x:c>
      <x:c r="F1803" s="14" t="n">
        <x:v>7</x:v>
      </x:c>
      <x:c r="G1803" s="14" t="str">
        <x:v>20:50</x:v>
      </x:c>
      <x:c r="H1803" s="14" t="str">
        <x:v>研究生宿舍楼</x:v>
      </x:c>
      <x:c r="I1803" s="14" t="str">
        <x:v>否</x:v>
      </x:c>
      <x:c r="J1803" s="14" t="n">
        <x:v>8</x:v>
      </x:c>
      <x:c r="K1803" s="14" t="str">
        <x:v>理学院</x:v>
      </x:c>
      <x:c r="L1803" s="14" t="n">
        <x:v>10</x:v>
      </x:c>
      <x:c r="M1803" s="14" t="str">
        <x:v>21:00</x:v>
      </x:c>
      <x:c r="N1803" s="14" t="str">
        <x:v>否</x:v>
      </x:c>
      <x:c r="O1803" s="14" t="str">
        <x:v>否</x:v>
      </x:c>
      <x:c r="P1803" s="14" t="str">
        <x:v>孙五星</x:v>
      </x:c>
      <x:c r="Q1803" s="14" t="str">
        <x:v>3号车</x:v>
      </x:c>
      <x:c r="R1803" s="14" t="str">
        <x:v>预测</x:v>
      </x:c>
      <x:c r="S1803" s="14" t="str">
        <x:v>到站时间为估算值</x:v>
      </x:c>
      <x:c r="T1803" t="str">
        <x:v>研究生宿舍楼发车</x:v>
      </x:c>
    </x:row>
    <x:row r="1804">
      <x:c r="A1804" s="14" t="str">
        <x:v>S0154-09</x:v>
      </x:c>
      <x:c r="B1804" s="14" t="str">
        <x:v>S0154</x:v>
      </x:c>
      <x:c r="C1804" s="14" t="str">
        <x:v>工作日</x:v>
      </x:c>
      <x:c r="D1804" s="14" t="str">
        <x:v>环线3路</x:v>
      </x:c>
      <x:c r="E1804" s="14" t="str">
        <x:v>第四班</x:v>
      </x:c>
      <x:c r="F1804" s="14" t="n">
        <x:v>7</x:v>
      </x:c>
      <x:c r="G1804" s="14" t="str">
        <x:v>20:50</x:v>
      </x:c>
      <x:c r="H1804" s="14" t="str">
        <x:v>研究生宿舍楼</x:v>
      </x:c>
      <x:c r="I1804" s="14" t="str">
        <x:v>否</x:v>
      </x:c>
      <x:c r="J1804" s="14" t="n">
        <x:v>9</x:v>
      </x:c>
      <x:c r="K1804" s="14" t="str">
        <x:v>二食堂</x:v>
      </x:c>
      <x:c r="L1804" s="14" t="n">
        <x:v>13</x:v>
      </x:c>
      <x:c r="M1804" s="14" t="str">
        <x:v>21:03</x:v>
      </x:c>
      <x:c r="N1804" s="14" t="str">
        <x:v>否</x:v>
      </x:c>
      <x:c r="O1804" s="14" t="str">
        <x:v>否</x:v>
      </x:c>
      <x:c r="P1804" s="14" t="str">
        <x:v>孙五星</x:v>
      </x:c>
      <x:c r="Q1804" s="14" t="str">
        <x:v>3号车</x:v>
      </x:c>
      <x:c r="R1804" s="14" t="str">
        <x:v>预测</x:v>
      </x:c>
      <x:c r="S1804" s="14" t="str">
        <x:v>到站时间为估算值</x:v>
      </x:c>
      <x:c r="T1804" t="str">
        <x:v>研究生宿舍楼发车</x:v>
      </x:c>
    </x:row>
    <x:row r="1805">
      <x:c r="A1805" s="14" t="str">
        <x:v>S0154-10</x:v>
      </x:c>
      <x:c r="B1805" s="14" t="str">
        <x:v>S0154</x:v>
      </x:c>
      <x:c r="C1805" s="14" t="str">
        <x:v>工作日</x:v>
      </x:c>
      <x:c r="D1805" s="14" t="str">
        <x:v>环线3路</x:v>
      </x:c>
      <x:c r="E1805" s="14" t="str">
        <x:v>第四班</x:v>
      </x:c>
      <x:c r="F1805" s="14" t="n">
        <x:v>7</x:v>
      </x:c>
      <x:c r="G1805" s="14" t="str">
        <x:v>20:50</x:v>
      </x:c>
      <x:c r="H1805" s="14" t="str">
        <x:v>研究生宿舍楼</x:v>
      </x:c>
      <x:c r="I1805" s="14" t="str">
        <x:v>否</x:v>
      </x:c>
      <x:c r="J1805" s="14" t="n">
        <x:v>10</x:v>
      </x:c>
      <x:c r="K1805" s="14" t="str">
        <x:v>图书馆</x:v>
      </x:c>
      <x:c r="L1805" s="14" t="n">
        <x:v>14</x:v>
      </x:c>
      <x:c r="M1805" s="14" t="str">
        <x:v>21:04</x:v>
      </x:c>
      <x:c r="N1805" s="14" t="str">
        <x:v>否</x:v>
      </x:c>
      <x:c r="O1805" s="14" t="str">
        <x:v>否</x:v>
      </x:c>
      <x:c r="P1805" s="14" t="str">
        <x:v>孙五星</x:v>
      </x:c>
      <x:c r="Q1805" s="14" t="str">
        <x:v>3号车</x:v>
      </x:c>
      <x:c r="R1805" s="14" t="str">
        <x:v>预测</x:v>
      </x:c>
      <x:c r="S1805" s="14" t="str">
        <x:v>到站时间为估算值</x:v>
      </x:c>
      <x:c r="T1805" t="str">
        <x:v>研究生宿舍楼发车</x:v>
      </x:c>
    </x:row>
    <x:row r="1806">
      <x:c r="A1806" s="14" t="str">
        <x:v>S0154-11</x:v>
      </x:c>
      <x:c r="B1806" s="14" t="str">
        <x:v>S0154</x:v>
      </x:c>
      <x:c r="C1806" s="14" t="str">
        <x:v>工作日</x:v>
      </x:c>
      <x:c r="D1806" s="14" t="str">
        <x:v>环线3路</x:v>
      </x:c>
      <x:c r="E1806" s="14" t="str">
        <x:v>第四班</x:v>
      </x:c>
      <x:c r="F1806" s="14" t="n">
        <x:v>7</x:v>
      </x:c>
      <x:c r="G1806" s="14" t="str">
        <x:v>20:50</x:v>
      </x:c>
      <x:c r="H1806" s="14" t="str">
        <x:v>研究生宿舍楼</x:v>
      </x:c>
      <x:c r="I1806" s="14" t="str">
        <x:v>否</x:v>
      </x:c>
      <x:c r="J1806" s="14" t="n">
        <x:v>11</x:v>
      </x:c>
      <x:c r="K1806" s="14" t="str">
        <x:v>305教学楼</x:v>
      </x:c>
      <x:c r="L1806" s="14" t="n">
        <x:v>16</x:v>
      </x:c>
      <x:c r="M1806" s="14" t="str">
        <x:v>21:06</x:v>
      </x:c>
      <x:c r="N1806" s="14" t="str">
        <x:v>否</x:v>
      </x:c>
      <x:c r="O1806" s="14" t="str">
        <x:v>否</x:v>
      </x:c>
      <x:c r="P1806" s="14" t="str">
        <x:v>孙五星</x:v>
      </x:c>
      <x:c r="Q1806" s="14" t="str">
        <x:v>3号车</x:v>
      </x:c>
      <x:c r="R1806" s="14" t="str">
        <x:v>预测</x:v>
      </x:c>
      <x:c r="S1806" s="14" t="str">
        <x:v>到站时间为估算值</x:v>
      </x:c>
      <x:c r="T1806" t="str">
        <x:v>研究生宿舍楼发车</x:v>
      </x:c>
    </x:row>
    <x:row r="1807">
      <x:c r="A1807" s="14" t="str">
        <x:v>S0154-12</x:v>
      </x:c>
      <x:c r="B1807" s="14" t="str">
        <x:v>S0154</x:v>
      </x:c>
      <x:c r="C1807" s="14" t="str">
        <x:v>工作日</x:v>
      </x:c>
      <x:c r="D1807" s="14" t="str">
        <x:v>环线3路</x:v>
      </x:c>
      <x:c r="E1807" s="14" t="str">
        <x:v>第四班</x:v>
      </x:c>
      <x:c r="F1807" s="14" t="n">
        <x:v>7</x:v>
      </x:c>
      <x:c r="G1807" s="14" t="str">
        <x:v>20:50</x:v>
      </x:c>
      <x:c r="H1807" s="14" t="str">
        <x:v>研究生宿舍楼</x:v>
      </x:c>
      <x:c r="I1807" s="14" t="str">
        <x:v>否</x:v>
      </x:c>
      <x:c r="J1807" s="14" t="n">
        <x:v>12</x:v>
      </x:c>
      <x:c r="K1807" s="14" t="str">
        <x:v>研究生宿舍楼</x:v>
      </x:c>
      <x:c r="L1807" s="14" t="n">
        <x:v>18</x:v>
      </x:c>
      <x:c r="M1807" s="14" t="str">
        <x:v>21:08</x:v>
      </x:c>
      <x:c r="N1807" s="14" t="str">
        <x:v>否</x:v>
      </x:c>
      <x:c r="O1807" s="14" t="str">
        <x:v>是</x:v>
      </x:c>
      <x:c r="P1807" s="14" t="str">
        <x:v>孙五星</x:v>
      </x:c>
      <x:c r="Q1807" s="14" t="str">
        <x:v>3号车</x:v>
      </x:c>
      <x:c r="R1807" s="14" t="str">
        <x:v>预测</x:v>
      </x:c>
      <x:c r="S1807" s="14" t="str">
        <x:v>到站时间为估算值</x:v>
      </x:c>
      <x:c r="T1807" t="str">
        <x:v>研究生宿舍楼发车</x:v>
      </x:c>
    </x:row>
    <x:row r="1808">
      <x:c r="A1808" s="14" t="str">
        <x:v>S0155-01</x:v>
      </x:c>
      <x:c r="B1808" s="14" t="str">
        <x:v>S0155</x:v>
      </x:c>
      <x:c r="C1808" s="14" t="str">
        <x:v>工作日</x:v>
      </x:c>
      <x:c r="D1808" s="14" t="str">
        <x:v>环线3路</x:v>
      </x:c>
      <x:c r="E1808" s="14" t="str">
        <x:v>第四班</x:v>
      </x:c>
      <x:c r="F1808" s="14" t="n">
        <x:v>8</x:v>
      </x:c>
      <x:c r="G1808" s="14" t="str">
        <x:v>21:20</x:v>
      </x:c>
      <x:c r="H1808" s="14" t="str">
        <x:v>研究生宿舍楼</x:v>
      </x:c>
      <x:c r="I1808" s="14" t="str">
        <x:v>否</x:v>
      </x:c>
      <x:c r="J1808" s="14" t="n">
        <x:v>1</x:v>
      </x:c>
      <x:c r="K1808" s="14" t="str">
        <x:v>研究生宿舍楼</x:v>
      </x:c>
      <x:c r="L1808" s="14" t="n">
        <x:v>0</x:v>
      </x:c>
      <x:c r="M1808" s="14" t="str">
        <x:v>21:20</x:v>
      </x:c>
      <x:c r="N1808" s="14" t="str">
        <x:v>是</x:v>
      </x:c>
      <x:c r="O1808" s="14" t="str">
        <x:v>否</x:v>
      </x:c>
      <x:c r="P1808" s="14" t="str">
        <x:v>孙五星</x:v>
      </x:c>
      <x:c r="Q1808" s="14" t="str">
        <x:v>3号车</x:v>
      </x:c>
      <x:c r="R1808" s="14" t="str">
        <x:v>预测</x:v>
      </x:c>
      <x:c r="S1808" s="14" t="str">
        <x:v>到站时间为估算值</x:v>
      </x:c>
      <x:c r="T1808" t="str">
        <x:v>研究生宿舍楼发车</x:v>
      </x:c>
    </x:row>
    <x:row r="1809">
      <x:c r="A1809" s="14" t="str">
        <x:v>S0155-02</x:v>
      </x:c>
      <x:c r="B1809" s="14" t="str">
        <x:v>S0155</x:v>
      </x:c>
      <x:c r="C1809" s="14" t="str">
        <x:v>工作日</x:v>
      </x:c>
      <x:c r="D1809" s="14" t="str">
        <x:v>环线3路</x:v>
      </x:c>
      <x:c r="E1809" s="14" t="str">
        <x:v>第四班</x:v>
      </x:c>
      <x:c r="F1809" s="14" t="n">
        <x:v>8</x:v>
      </x:c>
      <x:c r="G1809" s="14" t="str">
        <x:v>21:20</x:v>
      </x:c>
      <x:c r="H1809" s="14" t="str">
        <x:v>研究生宿舍楼</x:v>
      </x:c>
      <x:c r="I1809" s="14" t="str">
        <x:v>否</x:v>
      </x:c>
      <x:c r="J1809" s="14" t="n">
        <x:v>2</x:v>
      </x:c>
      <x:c r="K1809" s="14" t="str">
        <x:v>一食堂</x:v>
      </x:c>
      <x:c r="L1809" s="14" t="n">
        <x:v>1</x:v>
      </x:c>
      <x:c r="M1809" s="14" t="str">
        <x:v>21:21</x:v>
      </x:c>
      <x:c r="N1809" s="14" t="str">
        <x:v>否</x:v>
      </x:c>
      <x:c r="O1809" s="14" t="str">
        <x:v>否</x:v>
      </x:c>
      <x:c r="P1809" s="14" t="str">
        <x:v>孙五星</x:v>
      </x:c>
      <x:c r="Q1809" s="14" t="str">
        <x:v>3号车</x:v>
      </x:c>
      <x:c r="R1809" s="14" t="str">
        <x:v>预测</x:v>
      </x:c>
      <x:c r="S1809" s="14" t="str">
        <x:v>到站时间为估算值</x:v>
      </x:c>
      <x:c r="T1809" t="str">
        <x:v>研究生宿舍楼发车</x:v>
      </x:c>
    </x:row>
    <x:row r="1810">
      <x:c r="A1810" s="14" t="str">
        <x:v>S0155-03</x:v>
      </x:c>
      <x:c r="B1810" s="14" t="str">
        <x:v>S0155</x:v>
      </x:c>
      <x:c r="C1810" s="14" t="str">
        <x:v>工作日</x:v>
      </x:c>
      <x:c r="D1810" s="14" t="str">
        <x:v>环线3路</x:v>
      </x:c>
      <x:c r="E1810" s="14" t="str">
        <x:v>第四班</x:v>
      </x:c>
      <x:c r="F1810" s="14" t="n">
        <x:v>8</x:v>
      </x:c>
      <x:c r="G1810" s="14" t="str">
        <x:v>21:20</x:v>
      </x:c>
      <x:c r="H1810" s="14" t="str">
        <x:v>研究生宿舍楼</x:v>
      </x:c>
      <x:c r="I1810" s="14" t="str">
        <x:v>否</x:v>
      </x:c>
      <x:c r="J1810" s="14" t="n">
        <x:v>3</x:v>
      </x:c>
      <x:c r="K1810" s="14" t="str">
        <x:v>2号宿舍楼</x:v>
      </x:c>
      <x:c r="L1810" s="14" t="n">
        <x:v>3</x:v>
      </x:c>
      <x:c r="M1810" s="14" t="str">
        <x:v>21:23</x:v>
      </x:c>
      <x:c r="N1810" s="14" t="str">
        <x:v>否</x:v>
      </x:c>
      <x:c r="O1810" s="14" t="str">
        <x:v>否</x:v>
      </x:c>
      <x:c r="P1810" s="14" t="str">
        <x:v>孙五星</x:v>
      </x:c>
      <x:c r="Q1810" s="14" t="str">
        <x:v>3号车</x:v>
      </x:c>
      <x:c r="R1810" s="14" t="str">
        <x:v>预测</x:v>
      </x:c>
      <x:c r="S1810" s="14" t="str">
        <x:v>到站时间为估算值</x:v>
      </x:c>
      <x:c r="T1810" t="str">
        <x:v>研究生宿舍楼发车</x:v>
      </x:c>
    </x:row>
    <x:row r="1811">
      <x:c r="A1811" s="14" t="str">
        <x:v>S0155-04</x:v>
      </x:c>
      <x:c r="B1811" s="14" t="str">
        <x:v>S0155</x:v>
      </x:c>
      <x:c r="C1811" s="14" t="str">
        <x:v>工作日</x:v>
      </x:c>
      <x:c r="D1811" s="14" t="str">
        <x:v>环线3路</x:v>
      </x:c>
      <x:c r="E1811" s="14" t="str">
        <x:v>第四班</x:v>
      </x:c>
      <x:c r="F1811" s="14" t="n">
        <x:v>8</x:v>
      </x:c>
      <x:c r="G1811" s="14" t="str">
        <x:v>21:20</x:v>
      </x:c>
      <x:c r="H1811" s="14" t="str">
        <x:v>研究生宿舍楼</x:v>
      </x:c>
      <x:c r="I1811" s="14" t="str">
        <x:v>否</x:v>
      </x:c>
      <x:c r="J1811" s="14" t="n">
        <x:v>4</x:v>
      </x:c>
      <x:c r="K1811" s="14" t="str">
        <x:v>军体活动中心</x:v>
      </x:c>
      <x:c r="L1811" s="14" t="n">
        <x:v>4</x:v>
      </x:c>
      <x:c r="M1811" s="14" t="str">
        <x:v>21:24</x:v>
      </x:c>
      <x:c r="N1811" s="14" t="str">
        <x:v>否</x:v>
      </x:c>
      <x:c r="O1811" s="14" t="str">
        <x:v>否</x:v>
      </x:c>
      <x:c r="P1811" s="14" t="str">
        <x:v>孙五星</x:v>
      </x:c>
      <x:c r="Q1811" s="14" t="str">
        <x:v>3号车</x:v>
      </x:c>
      <x:c r="R1811" s="14" t="str">
        <x:v>预测</x:v>
      </x:c>
      <x:c r="S1811" s="14" t="str">
        <x:v>到站时间为估算值</x:v>
      </x:c>
      <x:c r="T1811" t="str">
        <x:v>研究生宿舍楼发车</x:v>
      </x:c>
    </x:row>
    <x:row r="1812">
      <x:c r="A1812" s="14" t="str">
        <x:v>S0155-05</x:v>
      </x:c>
      <x:c r="B1812" s="14" t="str">
        <x:v>S0155</x:v>
      </x:c>
      <x:c r="C1812" s="14" t="str">
        <x:v>工作日</x:v>
      </x:c>
      <x:c r="D1812" s="14" t="str">
        <x:v>环线3路</x:v>
      </x:c>
      <x:c r="E1812" s="14" t="str">
        <x:v>第四班</x:v>
      </x:c>
      <x:c r="F1812" s="14" t="n">
        <x:v>8</x:v>
      </x:c>
      <x:c r="G1812" s="14" t="str">
        <x:v>21:20</x:v>
      </x:c>
      <x:c r="H1812" s="14" t="str">
        <x:v>研究生宿舍楼</x:v>
      </x:c>
      <x:c r="I1812" s="14" t="str">
        <x:v>否</x:v>
      </x:c>
      <x:c r="J1812" s="14" t="n">
        <x:v>5</x:v>
      </x:c>
      <x:c r="K1812" s="14" t="str">
        <x:v>教勤连</x:v>
      </x:c>
      <x:c r="L1812" s="14" t="n">
        <x:v>6</x:v>
      </x:c>
      <x:c r="M1812" s="14" t="str">
        <x:v>21:26</x:v>
      </x:c>
      <x:c r="N1812" s="14" t="str">
        <x:v>否</x:v>
      </x:c>
      <x:c r="O1812" s="14" t="str">
        <x:v>否</x:v>
      </x:c>
      <x:c r="P1812" s="14" t="str">
        <x:v>孙五星</x:v>
      </x:c>
      <x:c r="Q1812" s="14" t="str">
        <x:v>3号车</x:v>
      </x:c>
      <x:c r="R1812" s="14" t="str">
        <x:v>预测</x:v>
      </x:c>
      <x:c r="S1812" s="14" t="str">
        <x:v>到站时间为估算值</x:v>
      </x:c>
      <x:c r="T1812" t="str">
        <x:v>研究生宿舍楼发车</x:v>
      </x:c>
    </x:row>
    <x:row r="1813">
      <x:c r="A1813" s="14" t="str">
        <x:v>S0155-06</x:v>
      </x:c>
      <x:c r="B1813" s="14" t="str">
        <x:v>S0155</x:v>
      </x:c>
      <x:c r="C1813" s="14" t="str">
        <x:v>工作日</x:v>
      </x:c>
      <x:c r="D1813" s="14" t="str">
        <x:v>环线3路</x:v>
      </x:c>
      <x:c r="E1813" s="14" t="str">
        <x:v>第四班</x:v>
      </x:c>
      <x:c r="F1813" s="14" t="n">
        <x:v>8</x:v>
      </x:c>
      <x:c r="G1813" s="14" t="str">
        <x:v>21:20</x:v>
      </x:c>
      <x:c r="H1813" s="14" t="str">
        <x:v>研究生宿舍楼</x:v>
      </x:c>
      <x:c r="I1813" s="14" t="str">
        <x:v>否</x:v>
      </x:c>
      <x:c r="J1813" s="14" t="n">
        <x:v>6</x:v>
      </x:c>
      <x:c r="K1813" s="14" t="str">
        <x:v>激光所</x:v>
      </x:c>
      <x:c r="L1813" s="14" t="n">
        <x:v>7</x:v>
      </x:c>
      <x:c r="M1813" s="14" t="str">
        <x:v>21:27</x:v>
      </x:c>
      <x:c r="N1813" s="14" t="str">
        <x:v>否</x:v>
      </x:c>
      <x:c r="O1813" s="14" t="str">
        <x:v>否</x:v>
      </x:c>
      <x:c r="P1813" s="14" t="str">
        <x:v>孙五星</x:v>
      </x:c>
      <x:c r="Q1813" s="14" t="str">
        <x:v>3号车</x:v>
      </x:c>
      <x:c r="R1813" s="14" t="str">
        <x:v>预测</x:v>
      </x:c>
      <x:c r="S1813" s="14" t="str">
        <x:v>到站时间为估算值</x:v>
      </x:c>
      <x:c r="T1813" t="str">
        <x:v>研究生宿舍楼发车</x:v>
      </x:c>
    </x:row>
    <x:row r="1814">
      <x:c r="A1814" s="14" t="str">
        <x:v>S0155-07</x:v>
      </x:c>
      <x:c r="B1814" s="14" t="str">
        <x:v>S0155</x:v>
      </x:c>
      <x:c r="C1814" s="14" t="str">
        <x:v>工作日</x:v>
      </x:c>
      <x:c r="D1814" s="14" t="str">
        <x:v>环线3路</x:v>
      </x:c>
      <x:c r="E1814" s="14" t="str">
        <x:v>第四班</x:v>
      </x:c>
      <x:c r="F1814" s="14" t="n">
        <x:v>8</x:v>
      </x:c>
      <x:c r="G1814" s="14" t="str">
        <x:v>21:20</x:v>
      </x:c>
      <x:c r="H1814" s="14" t="str">
        <x:v>研究生宿舍楼</x:v>
      </x:c>
      <x:c r="I1814" s="14" t="str">
        <x:v>否</x:v>
      </x:c>
      <x:c r="J1814" s="14" t="n">
        <x:v>7</x:v>
      </x:c>
      <x:c r="K1814" s="14" t="str">
        <x:v>高超楼</x:v>
      </x:c>
      <x:c r="L1814" s="14" t="n">
        <x:v>9</x:v>
      </x:c>
      <x:c r="M1814" s="14" t="str">
        <x:v>21:29</x:v>
      </x:c>
      <x:c r="N1814" s="14" t="str">
        <x:v>否</x:v>
      </x:c>
      <x:c r="O1814" s="14" t="str">
        <x:v>否</x:v>
      </x:c>
      <x:c r="P1814" s="14" t="str">
        <x:v>孙五星</x:v>
      </x:c>
      <x:c r="Q1814" s="14" t="str">
        <x:v>3号车</x:v>
      </x:c>
      <x:c r="R1814" s="14" t="str">
        <x:v>预测</x:v>
      </x:c>
      <x:c r="S1814" s="14" t="str">
        <x:v>到站时间为估算值</x:v>
      </x:c>
      <x:c r="T1814" t="str">
        <x:v>研究生宿舍楼发车</x:v>
      </x:c>
    </x:row>
    <x:row r="1815">
      <x:c r="A1815" s="14" t="str">
        <x:v>S0155-08</x:v>
      </x:c>
      <x:c r="B1815" s="14" t="str">
        <x:v>S0155</x:v>
      </x:c>
      <x:c r="C1815" s="14" t="str">
        <x:v>工作日</x:v>
      </x:c>
      <x:c r="D1815" s="14" t="str">
        <x:v>环线3路</x:v>
      </x:c>
      <x:c r="E1815" s="14" t="str">
        <x:v>第四班</x:v>
      </x:c>
      <x:c r="F1815" s="14" t="n">
        <x:v>8</x:v>
      </x:c>
      <x:c r="G1815" s="14" t="str">
        <x:v>21:20</x:v>
      </x:c>
      <x:c r="H1815" s="14" t="str">
        <x:v>研究生宿舍楼</x:v>
      </x:c>
      <x:c r="I1815" s="14" t="str">
        <x:v>否</x:v>
      </x:c>
      <x:c r="J1815" s="14" t="n">
        <x:v>8</x:v>
      </x:c>
      <x:c r="K1815" s="14" t="str">
        <x:v>理学院</x:v>
      </x:c>
      <x:c r="L1815" s="14" t="n">
        <x:v>10</x:v>
      </x:c>
      <x:c r="M1815" s="14" t="str">
        <x:v>21:30</x:v>
      </x:c>
      <x:c r="N1815" s="14" t="str">
        <x:v>否</x:v>
      </x:c>
      <x:c r="O1815" s="14" t="str">
        <x:v>否</x:v>
      </x:c>
      <x:c r="P1815" s="14" t="str">
        <x:v>孙五星</x:v>
      </x:c>
      <x:c r="Q1815" s="14" t="str">
        <x:v>3号车</x:v>
      </x:c>
      <x:c r="R1815" s="14" t="str">
        <x:v>预测</x:v>
      </x:c>
      <x:c r="S1815" s="14" t="str">
        <x:v>到站时间为估算值</x:v>
      </x:c>
      <x:c r="T1815" t="str">
        <x:v>研究生宿舍楼发车</x:v>
      </x:c>
    </x:row>
    <x:row r="1816">
      <x:c r="A1816" s="14" t="str">
        <x:v>S0155-09</x:v>
      </x:c>
      <x:c r="B1816" s="14" t="str">
        <x:v>S0155</x:v>
      </x:c>
      <x:c r="C1816" s="14" t="str">
        <x:v>工作日</x:v>
      </x:c>
      <x:c r="D1816" s="14" t="str">
        <x:v>环线3路</x:v>
      </x:c>
      <x:c r="E1816" s="14" t="str">
        <x:v>第四班</x:v>
      </x:c>
      <x:c r="F1816" s="14" t="n">
        <x:v>8</x:v>
      </x:c>
      <x:c r="G1816" s="14" t="str">
        <x:v>21:20</x:v>
      </x:c>
      <x:c r="H1816" s="14" t="str">
        <x:v>研究生宿舍楼</x:v>
      </x:c>
      <x:c r="I1816" s="14" t="str">
        <x:v>否</x:v>
      </x:c>
      <x:c r="J1816" s="14" t="n">
        <x:v>9</x:v>
      </x:c>
      <x:c r="K1816" s="14" t="str">
        <x:v>二食堂</x:v>
      </x:c>
      <x:c r="L1816" s="14" t="n">
        <x:v>13</x:v>
      </x:c>
      <x:c r="M1816" s="14" t="str">
        <x:v>21:33</x:v>
      </x:c>
      <x:c r="N1816" s="14" t="str">
        <x:v>否</x:v>
      </x:c>
      <x:c r="O1816" s="14" t="str">
        <x:v>否</x:v>
      </x:c>
      <x:c r="P1816" s="14" t="str">
        <x:v>孙五星</x:v>
      </x:c>
      <x:c r="Q1816" s="14" t="str">
        <x:v>3号车</x:v>
      </x:c>
      <x:c r="R1816" s="14" t="str">
        <x:v>预测</x:v>
      </x:c>
      <x:c r="S1816" s="14" t="str">
        <x:v>到站时间为估算值</x:v>
      </x:c>
      <x:c r="T1816" t="str">
        <x:v>研究生宿舍楼发车</x:v>
      </x:c>
    </x:row>
    <x:row r="1817">
      <x:c r="A1817" s="14" t="str">
        <x:v>S0155-10</x:v>
      </x:c>
      <x:c r="B1817" s="14" t="str">
        <x:v>S0155</x:v>
      </x:c>
      <x:c r="C1817" s="14" t="str">
        <x:v>工作日</x:v>
      </x:c>
      <x:c r="D1817" s="14" t="str">
        <x:v>环线3路</x:v>
      </x:c>
      <x:c r="E1817" s="14" t="str">
        <x:v>第四班</x:v>
      </x:c>
      <x:c r="F1817" s="14" t="n">
        <x:v>8</x:v>
      </x:c>
      <x:c r="G1817" s="14" t="str">
        <x:v>21:20</x:v>
      </x:c>
      <x:c r="H1817" s="14" t="str">
        <x:v>研究生宿舍楼</x:v>
      </x:c>
      <x:c r="I1817" s="14" t="str">
        <x:v>否</x:v>
      </x:c>
      <x:c r="J1817" s="14" t="n">
        <x:v>10</x:v>
      </x:c>
      <x:c r="K1817" s="14" t="str">
        <x:v>图书馆</x:v>
      </x:c>
      <x:c r="L1817" s="14" t="n">
        <x:v>14</x:v>
      </x:c>
      <x:c r="M1817" s="14" t="str">
        <x:v>21:34</x:v>
      </x:c>
      <x:c r="N1817" s="14" t="str">
        <x:v>否</x:v>
      </x:c>
      <x:c r="O1817" s="14" t="str">
        <x:v>否</x:v>
      </x:c>
      <x:c r="P1817" s="14" t="str">
        <x:v>孙五星</x:v>
      </x:c>
      <x:c r="Q1817" s="14" t="str">
        <x:v>3号车</x:v>
      </x:c>
      <x:c r="R1817" s="14" t="str">
        <x:v>预测</x:v>
      </x:c>
      <x:c r="S1817" s="14" t="str">
        <x:v>到站时间为估算值</x:v>
      </x:c>
      <x:c r="T1817" t="str">
        <x:v>研究生宿舍楼发车</x:v>
      </x:c>
    </x:row>
    <x:row r="1818">
      <x:c r="A1818" s="14" t="str">
        <x:v>S0155-11</x:v>
      </x:c>
      <x:c r="B1818" s="14" t="str">
        <x:v>S0155</x:v>
      </x:c>
      <x:c r="C1818" s="14" t="str">
        <x:v>工作日</x:v>
      </x:c>
      <x:c r="D1818" s="14" t="str">
        <x:v>环线3路</x:v>
      </x:c>
      <x:c r="E1818" s="14" t="str">
        <x:v>第四班</x:v>
      </x:c>
      <x:c r="F1818" s="14" t="n">
        <x:v>8</x:v>
      </x:c>
      <x:c r="G1818" s="14" t="str">
        <x:v>21:20</x:v>
      </x:c>
      <x:c r="H1818" s="14" t="str">
        <x:v>研究生宿舍楼</x:v>
      </x:c>
      <x:c r="I1818" s="14" t="str">
        <x:v>否</x:v>
      </x:c>
      <x:c r="J1818" s="14" t="n">
        <x:v>11</x:v>
      </x:c>
      <x:c r="K1818" s="14" t="str">
        <x:v>305教学楼</x:v>
      </x:c>
      <x:c r="L1818" s="14" t="n">
        <x:v>16</x:v>
      </x:c>
      <x:c r="M1818" s="14" t="str">
        <x:v>21:36</x:v>
      </x:c>
      <x:c r="N1818" s="14" t="str">
        <x:v>否</x:v>
      </x:c>
      <x:c r="O1818" s="14" t="str">
        <x:v>否</x:v>
      </x:c>
      <x:c r="P1818" s="14" t="str">
        <x:v>孙五星</x:v>
      </x:c>
      <x:c r="Q1818" s="14" t="str">
        <x:v>3号车</x:v>
      </x:c>
      <x:c r="R1818" s="14" t="str">
        <x:v>预测</x:v>
      </x:c>
      <x:c r="S1818" s="14" t="str">
        <x:v>到站时间为估算值</x:v>
      </x:c>
      <x:c r="T1818" t="str">
        <x:v>研究生宿舍楼发车</x:v>
      </x:c>
    </x:row>
    <x:row r="1819">
      <x:c r="A1819" s="14" t="str">
        <x:v>S0155-12</x:v>
      </x:c>
      <x:c r="B1819" s="14" t="str">
        <x:v>S0155</x:v>
      </x:c>
      <x:c r="C1819" s="14" t="str">
        <x:v>工作日</x:v>
      </x:c>
      <x:c r="D1819" s="14" t="str">
        <x:v>环线3路</x:v>
      </x:c>
      <x:c r="E1819" s="14" t="str">
        <x:v>第四班</x:v>
      </x:c>
      <x:c r="F1819" s="14" t="n">
        <x:v>8</x:v>
      </x:c>
      <x:c r="G1819" s="14" t="str">
        <x:v>21:20</x:v>
      </x:c>
      <x:c r="H1819" s="14" t="str">
        <x:v>研究生宿舍楼</x:v>
      </x:c>
      <x:c r="I1819" s="14" t="str">
        <x:v>否</x:v>
      </x:c>
      <x:c r="J1819" s="14" t="n">
        <x:v>12</x:v>
      </x:c>
      <x:c r="K1819" s="14" t="str">
        <x:v>研究生宿舍楼</x:v>
      </x:c>
      <x:c r="L1819" s="14" t="n">
        <x:v>18</x:v>
      </x:c>
      <x:c r="M1819" s="14" t="str">
        <x:v>21:38</x:v>
      </x:c>
      <x:c r="N1819" s="14" t="str">
        <x:v>否</x:v>
      </x:c>
      <x:c r="O1819" s="14" t="str">
        <x:v>是</x:v>
      </x:c>
      <x:c r="P1819" s="14" t="str">
        <x:v>孙五星</x:v>
      </x:c>
      <x:c r="Q1819" s="14" t="str">
        <x:v>3号车</x:v>
      </x:c>
      <x:c r="R1819" s="14" t="str">
        <x:v>预测</x:v>
      </x:c>
      <x:c r="S1819" s="14" t="str">
        <x:v>到站时间为估算值</x:v>
      </x:c>
      <x:c r="T1819" t="str">
        <x:v>研究生宿舍楼发车</x:v>
      </x:c>
    </x:row>
    <x:row r="1820">
      <x:c r="A1820" s="14" t="str">
        <x:v>S0156-01</x:v>
      </x:c>
      <x:c r="B1820" s="14" t="str">
        <x:v>S0156</x:v>
      </x:c>
      <x:c r="C1820" s="14" t="str">
        <x:v>工作日</x:v>
      </x:c>
      <x:c r="D1820" s="14" t="str">
        <x:v>环线3路</x:v>
      </x:c>
      <x:c r="E1820" s="14" t="str">
        <x:v>第四班</x:v>
      </x:c>
      <x:c r="F1820" s="14" t="n">
        <x:v>9</x:v>
      </x:c>
      <x:c r="G1820" s="14" t="str">
        <x:v>21:50</x:v>
      </x:c>
      <x:c r="H1820" s="14" t="str">
        <x:v>研究生宿舍楼</x:v>
      </x:c>
      <x:c r="I1820" s="14" t="str">
        <x:v>否</x:v>
      </x:c>
      <x:c r="J1820" s="14" t="n">
        <x:v>1</x:v>
      </x:c>
      <x:c r="K1820" s="14" t="str">
        <x:v>研究生宿舍楼</x:v>
      </x:c>
      <x:c r="L1820" s="14" t="n">
        <x:v>0</x:v>
      </x:c>
      <x:c r="M1820" s="14" t="str">
        <x:v>21:50</x:v>
      </x:c>
      <x:c r="N1820" s="14" t="str">
        <x:v>是</x:v>
      </x:c>
      <x:c r="O1820" s="14" t="str">
        <x:v>否</x:v>
      </x:c>
      <x:c r="P1820" s="14" t="str">
        <x:v>孙五星</x:v>
      </x:c>
      <x:c r="Q1820" s="14" t="str">
        <x:v>3号车</x:v>
      </x:c>
      <x:c r="R1820" s="14" t="str">
        <x:v>预测</x:v>
      </x:c>
      <x:c r="S1820" s="14" t="str">
        <x:v>到站时间为估算值</x:v>
      </x:c>
      <x:c r="T1820" t="str">
        <x:v>研究生宿舍楼发车</x:v>
      </x:c>
    </x:row>
    <x:row r="1821">
      <x:c r="A1821" s="14" t="str">
        <x:v>S0156-02</x:v>
      </x:c>
      <x:c r="B1821" s="14" t="str">
        <x:v>S0156</x:v>
      </x:c>
      <x:c r="C1821" s="14" t="str">
        <x:v>工作日</x:v>
      </x:c>
      <x:c r="D1821" s="14" t="str">
        <x:v>环线3路</x:v>
      </x:c>
      <x:c r="E1821" s="14" t="str">
        <x:v>第四班</x:v>
      </x:c>
      <x:c r="F1821" s="14" t="n">
        <x:v>9</x:v>
      </x:c>
      <x:c r="G1821" s="14" t="str">
        <x:v>21:50</x:v>
      </x:c>
      <x:c r="H1821" s="14" t="str">
        <x:v>研究生宿舍楼</x:v>
      </x:c>
      <x:c r="I1821" s="14" t="str">
        <x:v>否</x:v>
      </x:c>
      <x:c r="J1821" s="14" t="n">
        <x:v>2</x:v>
      </x:c>
      <x:c r="K1821" s="14" t="str">
        <x:v>一食堂</x:v>
      </x:c>
      <x:c r="L1821" s="14" t="n">
        <x:v>1</x:v>
      </x:c>
      <x:c r="M1821" s="14" t="str">
        <x:v>21:51</x:v>
      </x:c>
      <x:c r="N1821" s="14" t="str">
        <x:v>否</x:v>
      </x:c>
      <x:c r="O1821" s="14" t="str">
        <x:v>否</x:v>
      </x:c>
      <x:c r="P1821" s="14" t="str">
        <x:v>孙五星</x:v>
      </x:c>
      <x:c r="Q1821" s="14" t="str">
        <x:v>3号车</x:v>
      </x:c>
      <x:c r="R1821" s="14" t="str">
        <x:v>预测</x:v>
      </x:c>
      <x:c r="S1821" s="14" t="str">
        <x:v>到站时间为估算值</x:v>
      </x:c>
      <x:c r="T1821" t="str">
        <x:v>研究生宿舍楼发车</x:v>
      </x:c>
    </x:row>
    <x:row r="1822">
      <x:c r="A1822" s="14" t="str">
        <x:v>S0156-03</x:v>
      </x:c>
      <x:c r="B1822" s="14" t="str">
        <x:v>S0156</x:v>
      </x:c>
      <x:c r="C1822" s="14" t="str">
        <x:v>工作日</x:v>
      </x:c>
      <x:c r="D1822" s="14" t="str">
        <x:v>环线3路</x:v>
      </x:c>
      <x:c r="E1822" s="14" t="str">
        <x:v>第四班</x:v>
      </x:c>
      <x:c r="F1822" s="14" t="n">
        <x:v>9</x:v>
      </x:c>
      <x:c r="G1822" s="14" t="str">
        <x:v>21:50</x:v>
      </x:c>
      <x:c r="H1822" s="14" t="str">
        <x:v>研究生宿舍楼</x:v>
      </x:c>
      <x:c r="I1822" s="14" t="str">
        <x:v>否</x:v>
      </x:c>
      <x:c r="J1822" s="14" t="n">
        <x:v>3</x:v>
      </x:c>
      <x:c r="K1822" s="14" t="str">
        <x:v>2号宿舍楼</x:v>
      </x:c>
      <x:c r="L1822" s="14" t="n">
        <x:v>3</x:v>
      </x:c>
      <x:c r="M1822" s="14" t="str">
        <x:v>21:53</x:v>
      </x:c>
      <x:c r="N1822" s="14" t="str">
        <x:v>否</x:v>
      </x:c>
      <x:c r="O1822" s="14" t="str">
        <x:v>否</x:v>
      </x:c>
      <x:c r="P1822" s="14" t="str">
        <x:v>孙五星</x:v>
      </x:c>
      <x:c r="Q1822" s="14" t="str">
        <x:v>3号车</x:v>
      </x:c>
      <x:c r="R1822" s="14" t="str">
        <x:v>预测</x:v>
      </x:c>
      <x:c r="S1822" s="14" t="str">
        <x:v>到站时间为估算值</x:v>
      </x:c>
      <x:c r="T1822" t="str">
        <x:v>研究生宿舍楼发车</x:v>
      </x:c>
    </x:row>
    <x:row r="1823">
      <x:c r="A1823" s="14" t="str">
        <x:v>S0156-04</x:v>
      </x:c>
      <x:c r="B1823" s="14" t="str">
        <x:v>S0156</x:v>
      </x:c>
      <x:c r="C1823" s="14" t="str">
        <x:v>工作日</x:v>
      </x:c>
      <x:c r="D1823" s="14" t="str">
        <x:v>环线3路</x:v>
      </x:c>
      <x:c r="E1823" s="14" t="str">
        <x:v>第四班</x:v>
      </x:c>
      <x:c r="F1823" s="14" t="n">
        <x:v>9</x:v>
      </x:c>
      <x:c r="G1823" s="14" t="str">
        <x:v>21:50</x:v>
      </x:c>
      <x:c r="H1823" s="14" t="str">
        <x:v>研究生宿舍楼</x:v>
      </x:c>
      <x:c r="I1823" s="14" t="str">
        <x:v>否</x:v>
      </x:c>
      <x:c r="J1823" s="14" t="n">
        <x:v>4</x:v>
      </x:c>
      <x:c r="K1823" s="14" t="str">
        <x:v>军体活动中心</x:v>
      </x:c>
      <x:c r="L1823" s="14" t="n">
        <x:v>4</x:v>
      </x:c>
      <x:c r="M1823" s="14" t="str">
        <x:v>21:54</x:v>
      </x:c>
      <x:c r="N1823" s="14" t="str">
        <x:v>否</x:v>
      </x:c>
      <x:c r="O1823" s="14" t="str">
        <x:v>否</x:v>
      </x:c>
      <x:c r="P1823" s="14" t="str">
        <x:v>孙五星</x:v>
      </x:c>
      <x:c r="Q1823" s="14" t="str">
        <x:v>3号车</x:v>
      </x:c>
      <x:c r="R1823" s="14" t="str">
        <x:v>预测</x:v>
      </x:c>
      <x:c r="S1823" s="14" t="str">
        <x:v>到站时间为估算值</x:v>
      </x:c>
      <x:c r="T1823" t="str">
        <x:v>研究生宿舍楼发车</x:v>
      </x:c>
    </x:row>
    <x:row r="1824">
      <x:c r="A1824" s="14" t="str">
        <x:v>S0156-05</x:v>
      </x:c>
      <x:c r="B1824" s="14" t="str">
        <x:v>S0156</x:v>
      </x:c>
      <x:c r="C1824" s="14" t="str">
        <x:v>工作日</x:v>
      </x:c>
      <x:c r="D1824" s="14" t="str">
        <x:v>环线3路</x:v>
      </x:c>
      <x:c r="E1824" s="14" t="str">
        <x:v>第四班</x:v>
      </x:c>
      <x:c r="F1824" s="14" t="n">
        <x:v>9</x:v>
      </x:c>
      <x:c r="G1824" s="14" t="str">
        <x:v>21:50</x:v>
      </x:c>
      <x:c r="H1824" s="14" t="str">
        <x:v>研究生宿舍楼</x:v>
      </x:c>
      <x:c r="I1824" s="14" t="str">
        <x:v>否</x:v>
      </x:c>
      <x:c r="J1824" s="14" t="n">
        <x:v>5</x:v>
      </x:c>
      <x:c r="K1824" s="14" t="str">
        <x:v>教勤连</x:v>
      </x:c>
      <x:c r="L1824" s="14" t="n">
        <x:v>6</x:v>
      </x:c>
      <x:c r="M1824" s="14" t="str">
        <x:v>21:56</x:v>
      </x:c>
      <x:c r="N1824" s="14" t="str">
        <x:v>否</x:v>
      </x:c>
      <x:c r="O1824" s="14" t="str">
        <x:v>否</x:v>
      </x:c>
      <x:c r="P1824" s="14" t="str">
        <x:v>孙五星</x:v>
      </x:c>
      <x:c r="Q1824" s="14" t="str">
        <x:v>3号车</x:v>
      </x:c>
      <x:c r="R1824" s="14" t="str">
        <x:v>预测</x:v>
      </x:c>
      <x:c r="S1824" s="14" t="str">
        <x:v>到站时间为估算值</x:v>
      </x:c>
      <x:c r="T1824" t="str">
        <x:v>研究生宿舍楼发车</x:v>
      </x:c>
    </x:row>
    <x:row r="1825">
      <x:c r="A1825" s="14" t="str">
        <x:v>S0156-06</x:v>
      </x:c>
      <x:c r="B1825" s="14" t="str">
        <x:v>S0156</x:v>
      </x:c>
      <x:c r="C1825" s="14" t="str">
        <x:v>工作日</x:v>
      </x:c>
      <x:c r="D1825" s="14" t="str">
        <x:v>环线3路</x:v>
      </x:c>
      <x:c r="E1825" s="14" t="str">
        <x:v>第四班</x:v>
      </x:c>
      <x:c r="F1825" s="14" t="n">
        <x:v>9</x:v>
      </x:c>
      <x:c r="G1825" s="14" t="str">
        <x:v>21:50</x:v>
      </x:c>
      <x:c r="H1825" s="14" t="str">
        <x:v>研究生宿舍楼</x:v>
      </x:c>
      <x:c r="I1825" s="14" t="str">
        <x:v>否</x:v>
      </x:c>
      <x:c r="J1825" s="14" t="n">
        <x:v>6</x:v>
      </x:c>
      <x:c r="K1825" s="14" t="str">
        <x:v>激光所</x:v>
      </x:c>
      <x:c r="L1825" s="14" t="n">
        <x:v>7</x:v>
      </x:c>
      <x:c r="M1825" s="14" t="str">
        <x:v>21:57</x:v>
      </x:c>
      <x:c r="N1825" s="14" t="str">
        <x:v>否</x:v>
      </x:c>
      <x:c r="O1825" s="14" t="str">
        <x:v>否</x:v>
      </x:c>
      <x:c r="P1825" s="14" t="str">
        <x:v>孙五星</x:v>
      </x:c>
      <x:c r="Q1825" s="14" t="str">
        <x:v>3号车</x:v>
      </x:c>
      <x:c r="R1825" s="14" t="str">
        <x:v>预测</x:v>
      </x:c>
      <x:c r="S1825" s="14" t="str">
        <x:v>到站时间为估算值</x:v>
      </x:c>
      <x:c r="T1825" t="str">
        <x:v>研究生宿舍楼发车</x:v>
      </x:c>
    </x:row>
    <x:row r="1826">
      <x:c r="A1826" s="14" t="str">
        <x:v>S0156-07</x:v>
      </x:c>
      <x:c r="B1826" s="14" t="str">
        <x:v>S0156</x:v>
      </x:c>
      <x:c r="C1826" s="14" t="str">
        <x:v>工作日</x:v>
      </x:c>
      <x:c r="D1826" s="14" t="str">
        <x:v>环线3路</x:v>
      </x:c>
      <x:c r="E1826" s="14" t="str">
        <x:v>第四班</x:v>
      </x:c>
      <x:c r="F1826" s="14" t="n">
        <x:v>9</x:v>
      </x:c>
      <x:c r="G1826" s="14" t="str">
        <x:v>21:50</x:v>
      </x:c>
      <x:c r="H1826" s="14" t="str">
        <x:v>研究生宿舍楼</x:v>
      </x:c>
      <x:c r="I1826" s="14" t="str">
        <x:v>否</x:v>
      </x:c>
      <x:c r="J1826" s="14" t="n">
        <x:v>7</x:v>
      </x:c>
      <x:c r="K1826" s="14" t="str">
        <x:v>高超楼</x:v>
      </x:c>
      <x:c r="L1826" s="14" t="n">
        <x:v>9</x:v>
      </x:c>
      <x:c r="M1826" s="14" t="str">
        <x:v>21:59</x:v>
      </x:c>
      <x:c r="N1826" s="14" t="str">
        <x:v>否</x:v>
      </x:c>
      <x:c r="O1826" s="14" t="str">
        <x:v>否</x:v>
      </x:c>
      <x:c r="P1826" s="14" t="str">
        <x:v>孙五星</x:v>
      </x:c>
      <x:c r="Q1826" s="14" t="str">
        <x:v>3号车</x:v>
      </x:c>
      <x:c r="R1826" s="14" t="str">
        <x:v>预测</x:v>
      </x:c>
      <x:c r="S1826" s="14" t="str">
        <x:v>到站时间为估算值</x:v>
      </x:c>
      <x:c r="T1826" t="str">
        <x:v>研究生宿舍楼发车</x:v>
      </x:c>
    </x:row>
    <x:row r="1827">
      <x:c r="A1827" s="14" t="str">
        <x:v>S0156-08</x:v>
      </x:c>
      <x:c r="B1827" s="14" t="str">
        <x:v>S0156</x:v>
      </x:c>
      <x:c r="C1827" s="14" t="str">
        <x:v>工作日</x:v>
      </x:c>
      <x:c r="D1827" s="14" t="str">
        <x:v>环线3路</x:v>
      </x:c>
      <x:c r="E1827" s="14" t="str">
        <x:v>第四班</x:v>
      </x:c>
      <x:c r="F1827" s="14" t="n">
        <x:v>9</x:v>
      </x:c>
      <x:c r="G1827" s="14" t="str">
        <x:v>21:50</x:v>
      </x:c>
      <x:c r="H1827" s="14" t="str">
        <x:v>研究生宿舍楼</x:v>
      </x:c>
      <x:c r="I1827" s="14" t="str">
        <x:v>否</x:v>
      </x:c>
      <x:c r="J1827" s="14" t="n">
        <x:v>8</x:v>
      </x:c>
      <x:c r="K1827" s="14" t="str">
        <x:v>理学院</x:v>
      </x:c>
      <x:c r="L1827" s="14" t="n">
        <x:v>10</x:v>
      </x:c>
      <x:c r="M1827" s="14" t="str">
        <x:v>22:00</x:v>
      </x:c>
      <x:c r="N1827" s="14" t="str">
        <x:v>否</x:v>
      </x:c>
      <x:c r="O1827" s="14" t="str">
        <x:v>否</x:v>
      </x:c>
      <x:c r="P1827" s="14" t="str">
        <x:v>孙五星</x:v>
      </x:c>
      <x:c r="Q1827" s="14" t="str">
        <x:v>3号车</x:v>
      </x:c>
      <x:c r="R1827" s="14" t="str">
        <x:v>预测</x:v>
      </x:c>
      <x:c r="S1827" s="14" t="str">
        <x:v>到站时间为估算值</x:v>
      </x:c>
      <x:c r="T1827" t="str">
        <x:v>研究生宿舍楼发车</x:v>
      </x:c>
    </x:row>
    <x:row r="1828">
      <x:c r="A1828" s="14" t="str">
        <x:v>S0156-09</x:v>
      </x:c>
      <x:c r="B1828" s="14" t="str">
        <x:v>S0156</x:v>
      </x:c>
      <x:c r="C1828" s="14" t="str">
        <x:v>工作日</x:v>
      </x:c>
      <x:c r="D1828" s="14" t="str">
        <x:v>环线3路</x:v>
      </x:c>
      <x:c r="E1828" s="14" t="str">
        <x:v>第四班</x:v>
      </x:c>
      <x:c r="F1828" s="14" t="n">
        <x:v>9</x:v>
      </x:c>
      <x:c r="G1828" s="14" t="str">
        <x:v>21:50</x:v>
      </x:c>
      <x:c r="H1828" s="14" t="str">
        <x:v>研究生宿舍楼</x:v>
      </x:c>
      <x:c r="I1828" s="14" t="str">
        <x:v>否</x:v>
      </x:c>
      <x:c r="J1828" s="14" t="n">
        <x:v>9</x:v>
      </x:c>
      <x:c r="K1828" s="14" t="str">
        <x:v>二食堂</x:v>
      </x:c>
      <x:c r="L1828" s="14" t="n">
        <x:v>13</x:v>
      </x:c>
      <x:c r="M1828" s="14" t="str">
        <x:v>22:03</x:v>
      </x:c>
      <x:c r="N1828" s="14" t="str">
        <x:v>否</x:v>
      </x:c>
      <x:c r="O1828" s="14" t="str">
        <x:v>否</x:v>
      </x:c>
      <x:c r="P1828" s="14" t="str">
        <x:v>孙五星</x:v>
      </x:c>
      <x:c r="Q1828" s="14" t="str">
        <x:v>3号车</x:v>
      </x:c>
      <x:c r="R1828" s="14" t="str">
        <x:v>预测</x:v>
      </x:c>
      <x:c r="S1828" s="14" t="str">
        <x:v>到站时间为估算值</x:v>
      </x:c>
      <x:c r="T1828" t="str">
        <x:v>研究生宿舍楼发车</x:v>
      </x:c>
    </x:row>
    <x:row r="1829">
      <x:c r="A1829" s="14" t="str">
        <x:v>S0156-10</x:v>
      </x:c>
      <x:c r="B1829" s="14" t="str">
        <x:v>S0156</x:v>
      </x:c>
      <x:c r="C1829" s="14" t="str">
        <x:v>工作日</x:v>
      </x:c>
      <x:c r="D1829" s="14" t="str">
        <x:v>环线3路</x:v>
      </x:c>
      <x:c r="E1829" s="14" t="str">
        <x:v>第四班</x:v>
      </x:c>
      <x:c r="F1829" s="14" t="n">
        <x:v>9</x:v>
      </x:c>
      <x:c r="G1829" s="14" t="str">
        <x:v>21:50</x:v>
      </x:c>
      <x:c r="H1829" s="14" t="str">
        <x:v>研究生宿舍楼</x:v>
      </x:c>
      <x:c r="I1829" s="14" t="str">
        <x:v>否</x:v>
      </x:c>
      <x:c r="J1829" s="14" t="n">
        <x:v>10</x:v>
      </x:c>
      <x:c r="K1829" s="14" t="str">
        <x:v>图书馆</x:v>
      </x:c>
      <x:c r="L1829" s="14" t="n">
        <x:v>14</x:v>
      </x:c>
      <x:c r="M1829" s="14" t="str">
        <x:v>22:04</x:v>
      </x:c>
      <x:c r="N1829" s="14" t="str">
        <x:v>否</x:v>
      </x:c>
      <x:c r="O1829" s="14" t="str">
        <x:v>否</x:v>
      </x:c>
      <x:c r="P1829" s="14" t="str">
        <x:v>孙五星</x:v>
      </x:c>
      <x:c r="Q1829" s="14" t="str">
        <x:v>3号车</x:v>
      </x:c>
      <x:c r="R1829" s="14" t="str">
        <x:v>预测</x:v>
      </x:c>
      <x:c r="S1829" s="14" t="str">
        <x:v>到站时间为估算值</x:v>
      </x:c>
      <x:c r="T1829" t="str">
        <x:v>研究生宿舍楼发车</x:v>
      </x:c>
    </x:row>
    <x:row r="1830">
      <x:c r="A1830" s="14" t="str">
        <x:v>S0156-11</x:v>
      </x:c>
      <x:c r="B1830" s="14" t="str">
        <x:v>S0156</x:v>
      </x:c>
      <x:c r="C1830" s="14" t="str">
        <x:v>工作日</x:v>
      </x:c>
      <x:c r="D1830" s="14" t="str">
        <x:v>环线3路</x:v>
      </x:c>
      <x:c r="E1830" s="14" t="str">
        <x:v>第四班</x:v>
      </x:c>
      <x:c r="F1830" s="14" t="n">
        <x:v>9</x:v>
      </x:c>
      <x:c r="G1830" s="14" t="str">
        <x:v>21:50</x:v>
      </x:c>
      <x:c r="H1830" s="14" t="str">
        <x:v>研究生宿舍楼</x:v>
      </x:c>
      <x:c r="I1830" s="14" t="str">
        <x:v>否</x:v>
      </x:c>
      <x:c r="J1830" s="14" t="n">
        <x:v>11</x:v>
      </x:c>
      <x:c r="K1830" s="14" t="str">
        <x:v>305教学楼</x:v>
      </x:c>
      <x:c r="L1830" s="14" t="n">
        <x:v>16</x:v>
      </x:c>
      <x:c r="M1830" s="14" t="str">
        <x:v>22:06</x:v>
      </x:c>
      <x:c r="N1830" s="14" t="str">
        <x:v>否</x:v>
      </x:c>
      <x:c r="O1830" s="14" t="str">
        <x:v>否</x:v>
      </x:c>
      <x:c r="P1830" s="14" t="str">
        <x:v>孙五星</x:v>
      </x:c>
      <x:c r="Q1830" s="14" t="str">
        <x:v>3号车</x:v>
      </x:c>
      <x:c r="R1830" s="14" t="str">
        <x:v>预测</x:v>
      </x:c>
      <x:c r="S1830" s="14" t="str">
        <x:v>到站时间为估算值</x:v>
      </x:c>
      <x:c r="T1830" t="str">
        <x:v>研究生宿舍楼发车</x:v>
      </x:c>
    </x:row>
    <x:row r="1831">
      <x:c r="A1831" s="14" t="str">
        <x:v>S0156-12</x:v>
      </x:c>
      <x:c r="B1831" s="14" t="str">
        <x:v>S0156</x:v>
      </x:c>
      <x:c r="C1831" s="14" t="str">
        <x:v>工作日</x:v>
      </x:c>
      <x:c r="D1831" s="14" t="str">
        <x:v>环线3路</x:v>
      </x:c>
      <x:c r="E1831" s="14" t="str">
        <x:v>第四班</x:v>
      </x:c>
      <x:c r="F1831" s="14" t="n">
        <x:v>9</x:v>
      </x:c>
      <x:c r="G1831" s="14" t="str">
        <x:v>21:50</x:v>
      </x:c>
      <x:c r="H1831" s="14" t="str">
        <x:v>研究生宿舍楼</x:v>
      </x:c>
      <x:c r="I1831" s="14" t="str">
        <x:v>否</x:v>
      </x:c>
      <x:c r="J1831" s="14" t="n">
        <x:v>12</x:v>
      </x:c>
      <x:c r="K1831" s="14" t="str">
        <x:v>研究生宿舍楼</x:v>
      </x:c>
      <x:c r="L1831" s="14" t="n">
        <x:v>18</x:v>
      </x:c>
      <x:c r="M1831" s="14" t="str">
        <x:v>22:08</x:v>
      </x:c>
      <x:c r="N1831" s="14" t="str">
        <x:v>否</x:v>
      </x:c>
      <x:c r="O1831" s="14" t="str">
        <x:v>是</x:v>
      </x:c>
      <x:c r="P1831" s="14" t="str">
        <x:v>孙五星</x:v>
      </x:c>
      <x:c r="Q1831" s="14" t="str">
        <x:v>3号车</x:v>
      </x:c>
      <x:c r="R1831" s="14" t="str">
        <x:v>预测</x:v>
      </x:c>
      <x:c r="S1831" s="14" t="str">
        <x:v>到站时间为估算值</x:v>
      </x:c>
      <x:c r="T1831" t="str">
        <x:v>研究生宿舍楼发车</x:v>
      </x:c>
    </x:row>
    <x:row r="1832">
      <x:c r="A1832" s="14" t="str">
        <x:v>S0157-01</x:v>
      </x:c>
      <x:c r="B1832" s="14" t="str">
        <x:v>S0157</x:v>
      </x:c>
      <x:c r="C1832" s="14" t="str">
        <x:v>周末/节假日</x:v>
      </x:c>
      <x:c r="D1832" s="14" t="str">
        <x:v>环线2路</x:v>
      </x:c>
      <x:c r="E1832" s="14" t="str">
        <x:v>第一班</x:v>
      </x:c>
      <x:c r="F1832" s="14" t="n">
        <x:v>1</x:v>
      </x:c>
      <x:c r="G1832" s="14" t="str">
        <x:v>8:20</x:v>
      </x:c>
      <x:c r="H1832" s="14" t="str">
        <x:v>研究生宿舍楼</x:v>
      </x:c>
      <x:c r="I1832" s="14" t="str">
        <x:v>否</x:v>
      </x:c>
      <x:c r="J1832" s="14" t="n">
        <x:v>1</x:v>
      </x:c>
      <x:c r="K1832" s="14" t="str">
        <x:v>研究生宿舍楼</x:v>
      </x:c>
      <x:c r="L1832" s="14" t="n">
        <x:v>0</x:v>
      </x:c>
      <x:c r="M1832" s="14" t="str">
        <x:v>08:20</x:v>
      </x:c>
      <x:c r="N1832" s="14" t="str">
        <x:v>是</x:v>
      </x:c>
      <x:c r="O1832" s="14" t="str">
        <x:v>否</x:v>
      </x:c>
      <x:c r="P1832" s="14" t="str">
        <x:v>刘晓燕</x:v>
      </x:c>
      <x:c r="Q1832" s="14" t="str">
        <x:v>1号车</x:v>
      </x:c>
      <x:c r="R1832" s="14" t="str">
        <x:v>预测</x:v>
      </x:c>
      <x:c r="S1832" s="14" t="str">
        <x:v>到站时间为估算值</x:v>
      </x:c>
      <x:c r="T1832" t="str">
        <x:v>研究生宿舍楼发车</x:v>
      </x:c>
    </x:row>
    <x:row r="1833">
      <x:c r="A1833" s="14" t="str">
        <x:v>S0157-02</x:v>
      </x:c>
      <x:c r="B1833" s="14" t="str">
        <x:v>S0157</x:v>
      </x:c>
      <x:c r="C1833" s="14" t="str">
        <x:v>周末/节假日</x:v>
      </x:c>
      <x:c r="D1833" s="14" t="str">
        <x:v>环线2路</x:v>
      </x:c>
      <x:c r="E1833" s="14" t="str">
        <x:v>第一班</x:v>
      </x:c>
      <x:c r="F1833" s="14" t="n">
        <x:v>1</x:v>
      </x:c>
      <x:c r="G1833" s="14" t="str">
        <x:v>8:20</x:v>
      </x:c>
      <x:c r="H1833" s="14" t="str">
        <x:v>研究生宿舍楼</x:v>
      </x:c>
      <x:c r="I1833" s="14" t="str">
        <x:v>否</x:v>
      </x:c>
      <x:c r="J1833" s="14" t="n">
        <x:v>2</x:v>
      </x:c>
      <x:c r="K1833" s="14" t="str">
        <x:v>一食堂</x:v>
      </x:c>
      <x:c r="L1833" s="14" t="n">
        <x:v>1</x:v>
      </x:c>
      <x:c r="M1833" s="14" t="str">
        <x:v>08:21</x:v>
      </x:c>
      <x:c r="N1833" s="14" t="str">
        <x:v>否</x:v>
      </x:c>
      <x:c r="O1833" s="14" t="str">
        <x:v>否</x:v>
      </x:c>
      <x:c r="P1833" s="14" t="str">
        <x:v>刘晓燕</x:v>
      </x:c>
      <x:c r="Q1833" s="14" t="str">
        <x:v>1号车</x:v>
      </x:c>
      <x:c r="R1833" s="14" t="str">
        <x:v>预测</x:v>
      </x:c>
      <x:c r="S1833" s="14" t="str">
        <x:v>到站时间为估算值</x:v>
      </x:c>
      <x:c r="T1833" t="str">
        <x:v>研究生宿舍楼发车</x:v>
      </x:c>
    </x:row>
    <x:row r="1834">
      <x:c r="A1834" s="14" t="str">
        <x:v>S0157-03</x:v>
      </x:c>
      <x:c r="B1834" s="14" t="str">
        <x:v>S0157</x:v>
      </x:c>
      <x:c r="C1834" s="14" t="str">
        <x:v>周末/节假日</x:v>
      </x:c>
      <x:c r="D1834" s="14" t="str">
        <x:v>环线2路</x:v>
      </x:c>
      <x:c r="E1834" s="14" t="str">
        <x:v>第一班</x:v>
      </x:c>
      <x:c r="F1834" s="14" t="n">
        <x:v>1</x:v>
      </x:c>
      <x:c r="G1834" s="14" t="str">
        <x:v>8:20</x:v>
      </x:c>
      <x:c r="H1834" s="14" t="str">
        <x:v>研究生宿舍楼</x:v>
      </x:c>
      <x:c r="I1834" s="14" t="str">
        <x:v>否</x:v>
      </x:c>
      <x:c r="J1834" s="14" t="n">
        <x:v>3</x:v>
      </x:c>
      <x:c r="K1834" s="14" t="str">
        <x:v>门诊部</x:v>
      </x:c>
      <x:c r="L1834" s="14" t="n">
        <x:v>2</x:v>
      </x:c>
      <x:c r="M1834" s="14" t="str">
        <x:v>08:22</x:v>
      </x:c>
      <x:c r="N1834" s="14" t="str">
        <x:v>否</x:v>
      </x:c>
      <x:c r="O1834" s="14" t="str">
        <x:v>否</x:v>
      </x:c>
      <x:c r="P1834" s="14" t="str">
        <x:v>刘晓燕</x:v>
      </x:c>
      <x:c r="Q1834" s="14" t="str">
        <x:v>1号车</x:v>
      </x:c>
      <x:c r="R1834" s="14" t="str">
        <x:v>预测</x:v>
      </x:c>
      <x:c r="S1834" s="14" t="str">
        <x:v>到站时间为估算值</x:v>
      </x:c>
      <x:c r="T1834" t="str">
        <x:v>研究生宿舍楼发车</x:v>
      </x:c>
    </x:row>
    <x:row r="1835">
      <x:c r="A1835" s="14" t="str">
        <x:v>S0157-04</x:v>
      </x:c>
      <x:c r="B1835" s="14" t="str">
        <x:v>S0157</x:v>
      </x:c>
      <x:c r="C1835" s="14" t="str">
        <x:v>周末/节假日</x:v>
      </x:c>
      <x:c r="D1835" s="14" t="str">
        <x:v>环线2路</x:v>
      </x:c>
      <x:c r="E1835" s="14" t="str">
        <x:v>第一班</x:v>
      </x:c>
      <x:c r="F1835" s="14" t="n">
        <x:v>1</x:v>
      </x:c>
      <x:c r="G1835" s="14" t="str">
        <x:v>8:20</x:v>
      </x:c>
      <x:c r="H1835" s="14" t="str">
        <x:v>研究生宿舍楼</x:v>
      </x:c>
      <x:c r="I1835" s="14" t="str">
        <x:v>否</x:v>
      </x:c>
      <x:c r="J1835" s="14" t="n">
        <x:v>4</x:v>
      </x:c>
      <x:c r="K1835" s="14" t="str">
        <x:v>1号宿舍楼</x:v>
      </x:c>
      <x:c r="L1835" s="14" t="n">
        <x:v>3</x:v>
      </x:c>
      <x:c r="M1835" s="14" t="str">
        <x:v>08:23</x:v>
      </x:c>
      <x:c r="N1835" s="14" t="str">
        <x:v>否</x:v>
      </x:c>
      <x:c r="O1835" s="14" t="str">
        <x:v>否</x:v>
      </x:c>
      <x:c r="P1835" s="14" t="str">
        <x:v>刘晓燕</x:v>
      </x:c>
      <x:c r="Q1835" s="14" t="str">
        <x:v>1号车</x:v>
      </x:c>
      <x:c r="R1835" s="14" t="str">
        <x:v>预测</x:v>
      </x:c>
      <x:c r="S1835" s="14" t="str">
        <x:v>到站时间为估算值</x:v>
      </x:c>
      <x:c r="T1835" t="str">
        <x:v>研究生宿舍楼发车</x:v>
      </x:c>
    </x:row>
    <x:row r="1836">
      <x:c r="A1836" s="14" t="str">
        <x:v>S0157-05</x:v>
      </x:c>
      <x:c r="B1836" s="14" t="str">
        <x:v>S0157</x:v>
      </x:c>
      <x:c r="C1836" s="14" t="str">
        <x:v>周末/节假日</x:v>
      </x:c>
      <x:c r="D1836" s="14" t="str">
        <x:v>环线2路</x:v>
      </x:c>
      <x:c r="E1836" s="14" t="str">
        <x:v>第一班</x:v>
      </x:c>
      <x:c r="F1836" s="14" t="n">
        <x:v>1</x:v>
      </x:c>
      <x:c r="G1836" s="14" t="str">
        <x:v>8:20</x:v>
      </x:c>
      <x:c r="H1836" s="14" t="str">
        <x:v>研究生宿舍楼</x:v>
      </x:c>
      <x:c r="I1836" s="14" t="str">
        <x:v>否</x:v>
      </x:c>
      <x:c r="J1836" s="14" t="n">
        <x:v>5</x:v>
      </x:c>
      <x:c r="K1836" s="14" t="str">
        <x:v>水上训练中心</x:v>
      </x:c>
      <x:c r="L1836" s="14" t="n">
        <x:v>5</x:v>
      </x:c>
      <x:c r="M1836" s="14" t="str">
        <x:v>08:25</x:v>
      </x:c>
      <x:c r="N1836" s="14" t="str">
        <x:v>否</x:v>
      </x:c>
      <x:c r="O1836" s="14" t="str">
        <x:v>否</x:v>
      </x:c>
      <x:c r="P1836" s="14" t="str">
        <x:v>刘晓燕</x:v>
      </x:c>
      <x:c r="Q1836" s="14" t="str">
        <x:v>1号车</x:v>
      </x:c>
      <x:c r="R1836" s="14" t="str">
        <x:v>预测</x:v>
      </x:c>
      <x:c r="S1836" s="14" t="str">
        <x:v>到站时间为估算值</x:v>
      </x:c>
      <x:c r="T1836" t="str">
        <x:v>研究生宿舍楼发车</x:v>
      </x:c>
    </x:row>
    <x:row r="1837">
      <x:c r="A1837" s="14" t="str">
        <x:v>S0157-06</x:v>
      </x:c>
      <x:c r="B1837" s="14" t="str">
        <x:v>S0157</x:v>
      </x:c>
      <x:c r="C1837" s="14" t="str">
        <x:v>周末/节假日</x:v>
      </x:c>
      <x:c r="D1837" s="14" t="str">
        <x:v>环线2路</x:v>
      </x:c>
      <x:c r="E1837" s="14" t="str">
        <x:v>第一班</x:v>
      </x:c>
      <x:c r="F1837" s="14" t="n">
        <x:v>1</x:v>
      </x:c>
      <x:c r="G1837" s="14" t="str">
        <x:v>8:20</x:v>
      </x:c>
      <x:c r="H1837" s="14" t="str">
        <x:v>研究生宿舍楼</x:v>
      </x:c>
      <x:c r="I1837" s="14" t="str">
        <x:v>否</x:v>
      </x:c>
      <x:c r="J1837" s="14" t="n">
        <x:v>6</x:v>
      </x:c>
      <x:c r="K1837" s="14" t="str">
        <x:v>军体活动中心</x:v>
      </x:c>
      <x:c r="L1837" s="14" t="n">
        <x:v>6</x:v>
      </x:c>
      <x:c r="M1837" s="14" t="str">
        <x:v>08:26</x:v>
      </x:c>
      <x:c r="N1837" s="14" t="str">
        <x:v>否</x:v>
      </x:c>
      <x:c r="O1837" s="14" t="str">
        <x:v>否</x:v>
      </x:c>
      <x:c r="P1837" s="14" t="str">
        <x:v>刘晓燕</x:v>
      </x:c>
      <x:c r="Q1837" s="14" t="str">
        <x:v>1号车</x:v>
      </x:c>
      <x:c r="R1837" s="14" t="str">
        <x:v>预测</x:v>
      </x:c>
      <x:c r="S1837" s="14" t="str">
        <x:v>到站时间为估算值</x:v>
      </x:c>
      <x:c r="T1837" t="str">
        <x:v>研究生宿舍楼发车</x:v>
      </x:c>
    </x:row>
    <x:row r="1838">
      <x:c r="A1838" s="14" t="str">
        <x:v>S0157-07</x:v>
      </x:c>
      <x:c r="B1838" s="14" t="str">
        <x:v>S0157</x:v>
      </x:c>
      <x:c r="C1838" s="14" t="str">
        <x:v>周末/节假日</x:v>
      </x:c>
      <x:c r="D1838" s="14" t="str">
        <x:v>环线2路</x:v>
      </x:c>
      <x:c r="E1838" s="14" t="str">
        <x:v>第一班</x:v>
      </x:c>
      <x:c r="F1838" s="14" t="n">
        <x:v>1</x:v>
      </x:c>
      <x:c r="G1838" s="14" t="str">
        <x:v>8:20</x:v>
      </x:c>
      <x:c r="H1838" s="14" t="str">
        <x:v>研究生宿舍楼</x:v>
      </x:c>
      <x:c r="I1838" s="14" t="str">
        <x:v>否</x:v>
      </x:c>
      <x:c r="J1838" s="14" t="n">
        <x:v>7</x:v>
      </x:c>
      <x:c r="K1838" s="14" t="str">
        <x:v>二食堂</x:v>
      </x:c>
      <x:c r="L1838" s="14" t="n">
        <x:v>8</x:v>
      </x:c>
      <x:c r="M1838" s="14" t="str">
        <x:v>08:28</x:v>
      </x:c>
      <x:c r="N1838" s="14" t="str">
        <x:v>否</x:v>
      </x:c>
      <x:c r="O1838" s="14" t="str">
        <x:v>否</x:v>
      </x:c>
      <x:c r="P1838" s="14" t="str">
        <x:v>刘晓燕</x:v>
      </x:c>
      <x:c r="Q1838" s="14" t="str">
        <x:v>1号车</x:v>
      </x:c>
      <x:c r="R1838" s="14" t="str">
        <x:v>预测</x:v>
      </x:c>
      <x:c r="S1838" s="14" t="str">
        <x:v>到站时间为估算值</x:v>
      </x:c>
      <x:c r="T1838" t="str">
        <x:v>研究生宿舍楼发车</x:v>
      </x:c>
    </x:row>
    <x:row r="1839">
      <x:c r="A1839" s="14" t="str">
        <x:v>S0157-08</x:v>
      </x:c>
      <x:c r="B1839" s="14" t="str">
        <x:v>S0157</x:v>
      </x:c>
      <x:c r="C1839" s="14" t="str">
        <x:v>周末/节假日</x:v>
      </x:c>
      <x:c r="D1839" s="14" t="str">
        <x:v>环线2路</x:v>
      </x:c>
      <x:c r="E1839" s="14" t="str">
        <x:v>第一班</x:v>
      </x:c>
      <x:c r="F1839" s="14" t="n">
        <x:v>1</x:v>
      </x:c>
      <x:c r="G1839" s="14" t="str">
        <x:v>8:20</x:v>
      </x:c>
      <x:c r="H1839" s="14" t="str">
        <x:v>研究生宿舍楼</x:v>
      </x:c>
      <x:c r="I1839" s="14" t="str">
        <x:v>否</x:v>
      </x:c>
      <x:c r="J1839" s="14" t="n">
        <x:v>8</x:v>
      </x:c>
      <x:c r="K1839" s="14" t="str">
        <x:v>5号宿舍楼</x:v>
      </x:c>
      <x:c r="L1839" s="14" t="n">
        <x:v>9</x:v>
      </x:c>
      <x:c r="M1839" s="14" t="str">
        <x:v>08:29</x:v>
      </x:c>
      <x:c r="N1839" s="14" t="str">
        <x:v>否</x:v>
      </x:c>
      <x:c r="O1839" s="14" t="str">
        <x:v>否</x:v>
      </x:c>
      <x:c r="P1839" s="14" t="str">
        <x:v>刘晓燕</x:v>
      </x:c>
      <x:c r="Q1839" s="14" t="str">
        <x:v>1号车</x:v>
      </x:c>
      <x:c r="R1839" s="14" t="str">
        <x:v>预测</x:v>
      </x:c>
      <x:c r="S1839" s="14" t="str">
        <x:v>到站时间为估算值</x:v>
      </x:c>
      <x:c r="T1839" t="str">
        <x:v>研究生宿舍楼发车</x:v>
      </x:c>
    </x:row>
    <x:row r="1840">
      <x:c r="A1840" s="14" t="str">
        <x:v>S0157-09</x:v>
      </x:c>
      <x:c r="B1840" s="14" t="str">
        <x:v>S0157</x:v>
      </x:c>
      <x:c r="C1840" s="14" t="str">
        <x:v>周末/节假日</x:v>
      </x:c>
      <x:c r="D1840" s="14" t="str">
        <x:v>环线2路</x:v>
      </x:c>
      <x:c r="E1840" s="14" t="str">
        <x:v>第一班</x:v>
      </x:c>
      <x:c r="F1840" s="14" t="n">
        <x:v>1</x:v>
      </x:c>
      <x:c r="G1840" s="14" t="str">
        <x:v>8:20</x:v>
      </x:c>
      <x:c r="H1840" s="14" t="str">
        <x:v>研究生宿舍楼</x:v>
      </x:c>
      <x:c r="I1840" s="14" t="str">
        <x:v>否</x:v>
      </x:c>
      <x:c r="J1840" s="14" t="n">
        <x:v>9</x:v>
      </x:c>
      <x:c r="K1840" s="14" t="str">
        <x:v>305教学楼</x:v>
      </x:c>
      <x:c r="L1840" s="14" t="n">
        <x:v>10</x:v>
      </x:c>
      <x:c r="M1840" s="14" t="str">
        <x:v>08:30</x:v>
      </x:c>
      <x:c r="N1840" s="14" t="str">
        <x:v>否</x:v>
      </x:c>
      <x:c r="O1840" s="14" t="str">
        <x:v>否</x:v>
      </x:c>
      <x:c r="P1840" s="14" t="str">
        <x:v>刘晓燕</x:v>
      </x:c>
      <x:c r="Q1840" s="14" t="str">
        <x:v>1号车</x:v>
      </x:c>
      <x:c r="R1840" s="14" t="str">
        <x:v>预测</x:v>
      </x:c>
      <x:c r="S1840" s="14" t="str">
        <x:v>到站时间为估算值</x:v>
      </x:c>
      <x:c r="T1840" t="str">
        <x:v>研究生宿舍楼发车</x:v>
      </x:c>
    </x:row>
    <x:row r="1841">
      <x:c r="A1841" s="14" t="str">
        <x:v>S0157-10</x:v>
      </x:c>
      <x:c r="B1841" s="14" t="str">
        <x:v>S0157</x:v>
      </x:c>
      <x:c r="C1841" s="14" t="str">
        <x:v>周末/节假日</x:v>
      </x:c>
      <x:c r="D1841" s="14" t="str">
        <x:v>环线2路</x:v>
      </x:c>
      <x:c r="E1841" s="14" t="str">
        <x:v>第一班</x:v>
      </x:c>
      <x:c r="F1841" s="14" t="n">
        <x:v>1</x:v>
      </x:c>
      <x:c r="G1841" s="14" t="str">
        <x:v>8:20</x:v>
      </x:c>
      <x:c r="H1841" s="14" t="str">
        <x:v>研究生宿舍楼</x:v>
      </x:c>
      <x:c r="I1841" s="14" t="str">
        <x:v>否</x:v>
      </x:c>
      <x:c r="J1841" s="14" t="n">
        <x:v>10</x:v>
      </x:c>
      <x:c r="K1841" s="14" t="str">
        <x:v>研究生宿舍楼</x:v>
      </x:c>
      <x:c r="L1841" s="14" t="n">
        <x:v>12</x:v>
      </x:c>
      <x:c r="M1841" s="14" t="str">
        <x:v>08:32</x:v>
      </x:c>
      <x:c r="N1841" s="14" t="str">
        <x:v>否</x:v>
      </x:c>
      <x:c r="O1841" s="14" t="str">
        <x:v>是</x:v>
      </x:c>
      <x:c r="P1841" s="14" t="str">
        <x:v>刘晓燕</x:v>
      </x:c>
      <x:c r="Q1841" s="14" t="str">
        <x:v>1号车</x:v>
      </x:c>
      <x:c r="R1841" s="14" t="str">
        <x:v>预测</x:v>
      </x:c>
      <x:c r="S1841" s="14" t="str">
        <x:v>到站时间为估算值</x:v>
      </x:c>
      <x:c r="T1841" t="str">
        <x:v>研究生宿舍楼发车</x:v>
      </x:c>
    </x:row>
    <x:row r="1842">
      <x:c r="A1842" s="14" t="str">
        <x:v>S0158-01</x:v>
      </x:c>
      <x:c r="B1842" s="14" t="str">
        <x:v>S0158</x:v>
      </x:c>
      <x:c r="C1842" s="14" t="str">
        <x:v>周末/节假日</x:v>
      </x:c>
      <x:c r="D1842" s="14" t="str">
        <x:v>环线2路</x:v>
      </x:c>
      <x:c r="E1842" s="14" t="str">
        <x:v>第一班</x:v>
      </x:c>
      <x:c r="F1842" s="14" t="n">
        <x:v>2</x:v>
      </x:c>
      <x:c r="G1842" s="14" t="str">
        <x:v>8:40</x:v>
      </x:c>
      <x:c r="H1842" s="14" t="str">
        <x:v>研究生宿舍楼</x:v>
      </x:c>
      <x:c r="I1842" s="14" t="str">
        <x:v>否</x:v>
      </x:c>
      <x:c r="J1842" s="14" t="n">
        <x:v>1</x:v>
      </x:c>
      <x:c r="K1842" s="14" t="str">
        <x:v>研究生宿舍楼</x:v>
      </x:c>
      <x:c r="L1842" s="14" t="n">
        <x:v>0</x:v>
      </x:c>
      <x:c r="M1842" s="14" t="str">
        <x:v>08:40</x:v>
      </x:c>
      <x:c r="N1842" s="14" t="str">
        <x:v>是</x:v>
      </x:c>
      <x:c r="O1842" s="14" t="str">
        <x:v>否</x:v>
      </x:c>
      <x:c r="P1842" s="14" t="str">
        <x:v>刘晓燕</x:v>
      </x:c>
      <x:c r="Q1842" s="14" t="str">
        <x:v>1号车</x:v>
      </x:c>
      <x:c r="R1842" s="14" t="str">
        <x:v>预测</x:v>
      </x:c>
      <x:c r="S1842" s="14" t="str">
        <x:v>到站时间为估算值</x:v>
      </x:c>
      <x:c r="T1842" t="str">
        <x:v>研究生宿舍楼发车</x:v>
      </x:c>
    </x:row>
    <x:row r="1843">
      <x:c r="A1843" s="14" t="str">
        <x:v>S0158-02</x:v>
      </x:c>
      <x:c r="B1843" s="14" t="str">
        <x:v>S0158</x:v>
      </x:c>
      <x:c r="C1843" s="14" t="str">
        <x:v>周末/节假日</x:v>
      </x:c>
      <x:c r="D1843" s="14" t="str">
        <x:v>环线2路</x:v>
      </x:c>
      <x:c r="E1843" s="14" t="str">
        <x:v>第一班</x:v>
      </x:c>
      <x:c r="F1843" s="14" t="n">
        <x:v>2</x:v>
      </x:c>
      <x:c r="G1843" s="14" t="str">
        <x:v>8:40</x:v>
      </x:c>
      <x:c r="H1843" s="14" t="str">
        <x:v>研究生宿舍楼</x:v>
      </x:c>
      <x:c r="I1843" s="14" t="str">
        <x:v>否</x:v>
      </x:c>
      <x:c r="J1843" s="14" t="n">
        <x:v>2</x:v>
      </x:c>
      <x:c r="K1843" s="14" t="str">
        <x:v>一食堂</x:v>
      </x:c>
      <x:c r="L1843" s="14" t="n">
        <x:v>1</x:v>
      </x:c>
      <x:c r="M1843" s="14" t="str">
        <x:v>08:41</x:v>
      </x:c>
      <x:c r="N1843" s="14" t="str">
        <x:v>否</x:v>
      </x:c>
      <x:c r="O1843" s="14" t="str">
        <x:v>否</x:v>
      </x:c>
      <x:c r="P1843" s="14" t="str">
        <x:v>刘晓燕</x:v>
      </x:c>
      <x:c r="Q1843" s="14" t="str">
        <x:v>1号车</x:v>
      </x:c>
      <x:c r="R1843" s="14" t="str">
        <x:v>预测</x:v>
      </x:c>
      <x:c r="S1843" s="14" t="str">
        <x:v>到站时间为估算值</x:v>
      </x:c>
      <x:c r="T1843" t="str">
        <x:v>研究生宿舍楼发车</x:v>
      </x:c>
    </x:row>
    <x:row r="1844">
      <x:c r="A1844" s="14" t="str">
        <x:v>S0158-03</x:v>
      </x:c>
      <x:c r="B1844" s="14" t="str">
        <x:v>S0158</x:v>
      </x:c>
      <x:c r="C1844" s="14" t="str">
        <x:v>周末/节假日</x:v>
      </x:c>
      <x:c r="D1844" s="14" t="str">
        <x:v>环线2路</x:v>
      </x:c>
      <x:c r="E1844" s="14" t="str">
        <x:v>第一班</x:v>
      </x:c>
      <x:c r="F1844" s="14" t="n">
        <x:v>2</x:v>
      </x:c>
      <x:c r="G1844" s="14" t="str">
        <x:v>8:40</x:v>
      </x:c>
      <x:c r="H1844" s="14" t="str">
        <x:v>研究生宿舍楼</x:v>
      </x:c>
      <x:c r="I1844" s="14" t="str">
        <x:v>否</x:v>
      </x:c>
      <x:c r="J1844" s="14" t="n">
        <x:v>3</x:v>
      </x:c>
      <x:c r="K1844" s="14" t="str">
        <x:v>门诊部</x:v>
      </x:c>
      <x:c r="L1844" s="14" t="n">
        <x:v>2</x:v>
      </x:c>
      <x:c r="M1844" s="14" t="str">
        <x:v>08:42</x:v>
      </x:c>
      <x:c r="N1844" s="14" t="str">
        <x:v>否</x:v>
      </x:c>
      <x:c r="O1844" s="14" t="str">
        <x:v>否</x:v>
      </x:c>
      <x:c r="P1844" s="14" t="str">
        <x:v>刘晓燕</x:v>
      </x:c>
      <x:c r="Q1844" s="14" t="str">
        <x:v>1号车</x:v>
      </x:c>
      <x:c r="R1844" s="14" t="str">
        <x:v>预测</x:v>
      </x:c>
      <x:c r="S1844" s="14" t="str">
        <x:v>到站时间为估算值</x:v>
      </x:c>
      <x:c r="T1844" t="str">
        <x:v>研究生宿舍楼发车</x:v>
      </x:c>
    </x:row>
    <x:row r="1845">
      <x:c r="A1845" s="14" t="str">
        <x:v>S0158-04</x:v>
      </x:c>
      <x:c r="B1845" s="14" t="str">
        <x:v>S0158</x:v>
      </x:c>
      <x:c r="C1845" s="14" t="str">
        <x:v>周末/节假日</x:v>
      </x:c>
      <x:c r="D1845" s="14" t="str">
        <x:v>环线2路</x:v>
      </x:c>
      <x:c r="E1845" s="14" t="str">
        <x:v>第一班</x:v>
      </x:c>
      <x:c r="F1845" s="14" t="n">
        <x:v>2</x:v>
      </x:c>
      <x:c r="G1845" s="14" t="str">
        <x:v>8:40</x:v>
      </x:c>
      <x:c r="H1845" s="14" t="str">
        <x:v>研究生宿舍楼</x:v>
      </x:c>
      <x:c r="I1845" s="14" t="str">
        <x:v>否</x:v>
      </x:c>
      <x:c r="J1845" s="14" t="n">
        <x:v>4</x:v>
      </x:c>
      <x:c r="K1845" s="14" t="str">
        <x:v>1号宿舍楼</x:v>
      </x:c>
      <x:c r="L1845" s="14" t="n">
        <x:v>3</x:v>
      </x:c>
      <x:c r="M1845" s="14" t="str">
        <x:v>08:43</x:v>
      </x:c>
      <x:c r="N1845" s="14" t="str">
        <x:v>否</x:v>
      </x:c>
      <x:c r="O1845" s="14" t="str">
        <x:v>否</x:v>
      </x:c>
      <x:c r="P1845" s="14" t="str">
        <x:v>刘晓燕</x:v>
      </x:c>
      <x:c r="Q1845" s="14" t="str">
        <x:v>1号车</x:v>
      </x:c>
      <x:c r="R1845" s="14" t="str">
        <x:v>预测</x:v>
      </x:c>
      <x:c r="S1845" s="14" t="str">
        <x:v>到站时间为估算值</x:v>
      </x:c>
      <x:c r="T1845" t="str">
        <x:v>研究生宿舍楼发车</x:v>
      </x:c>
    </x:row>
    <x:row r="1846">
      <x:c r="A1846" s="14" t="str">
        <x:v>S0158-05</x:v>
      </x:c>
      <x:c r="B1846" s="14" t="str">
        <x:v>S0158</x:v>
      </x:c>
      <x:c r="C1846" s="14" t="str">
        <x:v>周末/节假日</x:v>
      </x:c>
      <x:c r="D1846" s="14" t="str">
        <x:v>环线2路</x:v>
      </x:c>
      <x:c r="E1846" s="14" t="str">
        <x:v>第一班</x:v>
      </x:c>
      <x:c r="F1846" s="14" t="n">
        <x:v>2</x:v>
      </x:c>
      <x:c r="G1846" s="14" t="str">
        <x:v>8:40</x:v>
      </x:c>
      <x:c r="H1846" s="14" t="str">
        <x:v>研究生宿舍楼</x:v>
      </x:c>
      <x:c r="I1846" s="14" t="str">
        <x:v>否</x:v>
      </x:c>
      <x:c r="J1846" s="14" t="n">
        <x:v>5</x:v>
      </x:c>
      <x:c r="K1846" s="14" t="str">
        <x:v>水上训练中心</x:v>
      </x:c>
      <x:c r="L1846" s="14" t="n">
        <x:v>5</x:v>
      </x:c>
      <x:c r="M1846" s="14" t="str">
        <x:v>08:45</x:v>
      </x:c>
      <x:c r="N1846" s="14" t="str">
        <x:v>否</x:v>
      </x:c>
      <x:c r="O1846" s="14" t="str">
        <x:v>否</x:v>
      </x:c>
      <x:c r="P1846" s="14" t="str">
        <x:v>刘晓燕</x:v>
      </x:c>
      <x:c r="Q1846" s="14" t="str">
        <x:v>1号车</x:v>
      </x:c>
      <x:c r="R1846" s="14" t="str">
        <x:v>预测</x:v>
      </x:c>
      <x:c r="S1846" s="14" t="str">
        <x:v>到站时间为估算值</x:v>
      </x:c>
      <x:c r="T1846" t="str">
        <x:v>研究生宿舍楼发车</x:v>
      </x:c>
    </x:row>
    <x:row r="1847">
      <x:c r="A1847" s="14" t="str">
        <x:v>S0158-06</x:v>
      </x:c>
      <x:c r="B1847" s="14" t="str">
        <x:v>S0158</x:v>
      </x:c>
      <x:c r="C1847" s="14" t="str">
        <x:v>周末/节假日</x:v>
      </x:c>
      <x:c r="D1847" s="14" t="str">
        <x:v>环线2路</x:v>
      </x:c>
      <x:c r="E1847" s="14" t="str">
        <x:v>第一班</x:v>
      </x:c>
      <x:c r="F1847" s="14" t="n">
        <x:v>2</x:v>
      </x:c>
      <x:c r="G1847" s="14" t="str">
        <x:v>8:40</x:v>
      </x:c>
      <x:c r="H1847" s="14" t="str">
        <x:v>研究生宿舍楼</x:v>
      </x:c>
      <x:c r="I1847" s="14" t="str">
        <x:v>否</x:v>
      </x:c>
      <x:c r="J1847" s="14" t="n">
        <x:v>6</x:v>
      </x:c>
      <x:c r="K1847" s="14" t="str">
        <x:v>军体活动中心</x:v>
      </x:c>
      <x:c r="L1847" s="14" t="n">
        <x:v>6</x:v>
      </x:c>
      <x:c r="M1847" s="14" t="str">
        <x:v>08:46</x:v>
      </x:c>
      <x:c r="N1847" s="14" t="str">
        <x:v>否</x:v>
      </x:c>
      <x:c r="O1847" s="14" t="str">
        <x:v>否</x:v>
      </x:c>
      <x:c r="P1847" s="14" t="str">
        <x:v>刘晓燕</x:v>
      </x:c>
      <x:c r="Q1847" s="14" t="str">
        <x:v>1号车</x:v>
      </x:c>
      <x:c r="R1847" s="14" t="str">
        <x:v>预测</x:v>
      </x:c>
      <x:c r="S1847" s="14" t="str">
        <x:v>到站时间为估算值</x:v>
      </x:c>
      <x:c r="T1847" t="str">
        <x:v>研究生宿舍楼发车</x:v>
      </x:c>
    </x:row>
    <x:row r="1848">
      <x:c r="A1848" s="14" t="str">
        <x:v>S0158-07</x:v>
      </x:c>
      <x:c r="B1848" s="14" t="str">
        <x:v>S0158</x:v>
      </x:c>
      <x:c r="C1848" s="14" t="str">
        <x:v>周末/节假日</x:v>
      </x:c>
      <x:c r="D1848" s="14" t="str">
        <x:v>环线2路</x:v>
      </x:c>
      <x:c r="E1848" s="14" t="str">
        <x:v>第一班</x:v>
      </x:c>
      <x:c r="F1848" s="14" t="n">
        <x:v>2</x:v>
      </x:c>
      <x:c r="G1848" s="14" t="str">
        <x:v>8:40</x:v>
      </x:c>
      <x:c r="H1848" s="14" t="str">
        <x:v>研究生宿舍楼</x:v>
      </x:c>
      <x:c r="I1848" s="14" t="str">
        <x:v>否</x:v>
      </x:c>
      <x:c r="J1848" s="14" t="n">
        <x:v>7</x:v>
      </x:c>
      <x:c r="K1848" s="14" t="str">
        <x:v>二食堂</x:v>
      </x:c>
      <x:c r="L1848" s="14" t="n">
        <x:v>8</x:v>
      </x:c>
      <x:c r="M1848" s="14" t="str">
        <x:v>08:48</x:v>
      </x:c>
      <x:c r="N1848" s="14" t="str">
        <x:v>否</x:v>
      </x:c>
      <x:c r="O1848" s="14" t="str">
        <x:v>否</x:v>
      </x:c>
      <x:c r="P1848" s="14" t="str">
        <x:v>刘晓燕</x:v>
      </x:c>
      <x:c r="Q1848" s="14" t="str">
        <x:v>1号车</x:v>
      </x:c>
      <x:c r="R1848" s="14" t="str">
        <x:v>预测</x:v>
      </x:c>
      <x:c r="S1848" s="14" t="str">
        <x:v>到站时间为估算值</x:v>
      </x:c>
      <x:c r="T1848" t="str">
        <x:v>研究生宿舍楼发车</x:v>
      </x:c>
    </x:row>
    <x:row r="1849">
      <x:c r="A1849" s="14" t="str">
        <x:v>S0158-08</x:v>
      </x:c>
      <x:c r="B1849" s="14" t="str">
        <x:v>S0158</x:v>
      </x:c>
      <x:c r="C1849" s="14" t="str">
        <x:v>周末/节假日</x:v>
      </x:c>
      <x:c r="D1849" s="14" t="str">
        <x:v>环线2路</x:v>
      </x:c>
      <x:c r="E1849" s="14" t="str">
        <x:v>第一班</x:v>
      </x:c>
      <x:c r="F1849" s="14" t="n">
        <x:v>2</x:v>
      </x:c>
      <x:c r="G1849" s="14" t="str">
        <x:v>8:40</x:v>
      </x:c>
      <x:c r="H1849" s="14" t="str">
        <x:v>研究生宿舍楼</x:v>
      </x:c>
      <x:c r="I1849" s="14" t="str">
        <x:v>否</x:v>
      </x:c>
      <x:c r="J1849" s="14" t="n">
        <x:v>8</x:v>
      </x:c>
      <x:c r="K1849" s="14" t="str">
        <x:v>5号宿舍楼</x:v>
      </x:c>
      <x:c r="L1849" s="14" t="n">
        <x:v>9</x:v>
      </x:c>
      <x:c r="M1849" s="14" t="str">
        <x:v>08:49</x:v>
      </x:c>
      <x:c r="N1849" s="14" t="str">
        <x:v>否</x:v>
      </x:c>
      <x:c r="O1849" s="14" t="str">
        <x:v>否</x:v>
      </x:c>
      <x:c r="P1849" s="14" t="str">
        <x:v>刘晓燕</x:v>
      </x:c>
      <x:c r="Q1849" s="14" t="str">
        <x:v>1号车</x:v>
      </x:c>
      <x:c r="R1849" s="14" t="str">
        <x:v>预测</x:v>
      </x:c>
      <x:c r="S1849" s="14" t="str">
        <x:v>到站时间为估算值</x:v>
      </x:c>
      <x:c r="T1849" t="str">
        <x:v>研究生宿舍楼发车</x:v>
      </x:c>
    </x:row>
    <x:row r="1850">
      <x:c r="A1850" s="14" t="str">
        <x:v>S0158-09</x:v>
      </x:c>
      <x:c r="B1850" s="14" t="str">
        <x:v>S0158</x:v>
      </x:c>
      <x:c r="C1850" s="14" t="str">
        <x:v>周末/节假日</x:v>
      </x:c>
      <x:c r="D1850" s="14" t="str">
        <x:v>环线2路</x:v>
      </x:c>
      <x:c r="E1850" s="14" t="str">
        <x:v>第一班</x:v>
      </x:c>
      <x:c r="F1850" s="14" t="n">
        <x:v>2</x:v>
      </x:c>
      <x:c r="G1850" s="14" t="str">
        <x:v>8:40</x:v>
      </x:c>
      <x:c r="H1850" s="14" t="str">
        <x:v>研究生宿舍楼</x:v>
      </x:c>
      <x:c r="I1850" s="14" t="str">
        <x:v>否</x:v>
      </x:c>
      <x:c r="J1850" s="14" t="n">
        <x:v>9</x:v>
      </x:c>
      <x:c r="K1850" s="14" t="str">
        <x:v>305教学楼</x:v>
      </x:c>
      <x:c r="L1850" s="14" t="n">
        <x:v>10</x:v>
      </x:c>
      <x:c r="M1850" s="14" t="str">
        <x:v>08:50</x:v>
      </x:c>
      <x:c r="N1850" s="14" t="str">
        <x:v>否</x:v>
      </x:c>
      <x:c r="O1850" s="14" t="str">
        <x:v>否</x:v>
      </x:c>
      <x:c r="P1850" s="14" t="str">
        <x:v>刘晓燕</x:v>
      </x:c>
      <x:c r="Q1850" s="14" t="str">
        <x:v>1号车</x:v>
      </x:c>
      <x:c r="R1850" s="14" t="str">
        <x:v>预测</x:v>
      </x:c>
      <x:c r="S1850" s="14" t="str">
        <x:v>到站时间为估算值</x:v>
      </x:c>
      <x:c r="T1850" t="str">
        <x:v>研究生宿舍楼发车</x:v>
      </x:c>
    </x:row>
    <x:row r="1851">
      <x:c r="A1851" s="14" t="str">
        <x:v>S0158-10</x:v>
      </x:c>
      <x:c r="B1851" s="14" t="str">
        <x:v>S0158</x:v>
      </x:c>
      <x:c r="C1851" s="14" t="str">
        <x:v>周末/节假日</x:v>
      </x:c>
      <x:c r="D1851" s="14" t="str">
        <x:v>环线2路</x:v>
      </x:c>
      <x:c r="E1851" s="14" t="str">
        <x:v>第一班</x:v>
      </x:c>
      <x:c r="F1851" s="14" t="n">
        <x:v>2</x:v>
      </x:c>
      <x:c r="G1851" s="14" t="str">
        <x:v>8:40</x:v>
      </x:c>
      <x:c r="H1851" s="14" t="str">
        <x:v>研究生宿舍楼</x:v>
      </x:c>
      <x:c r="I1851" s="14" t="str">
        <x:v>否</x:v>
      </x:c>
      <x:c r="J1851" s="14" t="n">
        <x:v>10</x:v>
      </x:c>
      <x:c r="K1851" s="14" t="str">
        <x:v>研究生宿舍楼</x:v>
      </x:c>
      <x:c r="L1851" s="14" t="n">
        <x:v>12</x:v>
      </x:c>
      <x:c r="M1851" s="14" t="str">
        <x:v>08:52</x:v>
      </x:c>
      <x:c r="N1851" s="14" t="str">
        <x:v>否</x:v>
      </x:c>
      <x:c r="O1851" s="14" t="str">
        <x:v>是</x:v>
      </x:c>
      <x:c r="P1851" s="14" t="str">
        <x:v>刘晓燕</x:v>
      </x:c>
      <x:c r="Q1851" s="14" t="str">
        <x:v>1号车</x:v>
      </x:c>
      <x:c r="R1851" s="14" t="str">
        <x:v>预测</x:v>
      </x:c>
      <x:c r="S1851" s="14" t="str">
        <x:v>到站时间为估算值</x:v>
      </x:c>
      <x:c r="T1851" t="str">
        <x:v>研究生宿舍楼发车</x:v>
      </x:c>
    </x:row>
    <x:row r="1852">
      <x:c r="A1852" s="14" t="str">
        <x:v>S0159-01</x:v>
      </x:c>
      <x:c r="B1852" s="14" t="str">
        <x:v>S0159</x:v>
      </x:c>
      <x:c r="C1852" s="14" t="str">
        <x:v>周末/节假日</x:v>
      </x:c>
      <x:c r="D1852" s="14" t="str">
        <x:v>环线2路</x:v>
      </x:c>
      <x:c r="E1852" s="14" t="str">
        <x:v>第一班</x:v>
      </x:c>
      <x:c r="F1852" s="14" t="n">
        <x:v>3</x:v>
      </x:c>
      <x:c r="G1852" s="14" t="str">
        <x:v>9:00</x:v>
      </x:c>
      <x:c r="H1852" s="14" t="str">
        <x:v>研究生宿舍楼</x:v>
      </x:c>
      <x:c r="I1852" s="14" t="str">
        <x:v>否</x:v>
      </x:c>
      <x:c r="J1852" s="14" t="n">
        <x:v>1</x:v>
      </x:c>
      <x:c r="K1852" s="14" t="str">
        <x:v>研究生宿舍楼</x:v>
      </x:c>
      <x:c r="L1852" s="14" t="n">
        <x:v>0</x:v>
      </x:c>
      <x:c r="M1852" s="14" t="str">
        <x:v>09:00</x:v>
      </x:c>
      <x:c r="N1852" s="14" t="str">
        <x:v>是</x:v>
      </x:c>
      <x:c r="O1852" s="14" t="str">
        <x:v>否</x:v>
      </x:c>
      <x:c r="P1852" s="14" t="str">
        <x:v>刘晓燕</x:v>
      </x:c>
      <x:c r="Q1852" s="14" t="str">
        <x:v>1号车</x:v>
      </x:c>
      <x:c r="R1852" s="14" t="str">
        <x:v>预测</x:v>
      </x:c>
      <x:c r="S1852" s="14" t="str">
        <x:v>到站时间为估算值</x:v>
      </x:c>
      <x:c r="T1852" t="str">
        <x:v>研究生宿舍楼发车</x:v>
      </x:c>
    </x:row>
    <x:row r="1853">
      <x:c r="A1853" s="14" t="str">
        <x:v>S0159-02</x:v>
      </x:c>
      <x:c r="B1853" s="14" t="str">
        <x:v>S0159</x:v>
      </x:c>
      <x:c r="C1853" s="14" t="str">
        <x:v>周末/节假日</x:v>
      </x:c>
      <x:c r="D1853" s="14" t="str">
        <x:v>环线2路</x:v>
      </x:c>
      <x:c r="E1853" s="14" t="str">
        <x:v>第一班</x:v>
      </x:c>
      <x:c r="F1853" s="14" t="n">
        <x:v>3</x:v>
      </x:c>
      <x:c r="G1853" s="14" t="str">
        <x:v>9:00</x:v>
      </x:c>
      <x:c r="H1853" s="14" t="str">
        <x:v>研究生宿舍楼</x:v>
      </x:c>
      <x:c r="I1853" s="14" t="str">
        <x:v>否</x:v>
      </x:c>
      <x:c r="J1853" s="14" t="n">
        <x:v>2</x:v>
      </x:c>
      <x:c r="K1853" s="14" t="str">
        <x:v>一食堂</x:v>
      </x:c>
      <x:c r="L1853" s="14" t="n">
        <x:v>1</x:v>
      </x:c>
      <x:c r="M1853" s="14" t="str">
        <x:v>09:01</x:v>
      </x:c>
      <x:c r="N1853" s="14" t="str">
        <x:v>否</x:v>
      </x:c>
      <x:c r="O1853" s="14" t="str">
        <x:v>否</x:v>
      </x:c>
      <x:c r="P1853" s="14" t="str">
        <x:v>刘晓燕</x:v>
      </x:c>
      <x:c r="Q1853" s="14" t="str">
        <x:v>1号车</x:v>
      </x:c>
      <x:c r="R1853" s="14" t="str">
        <x:v>预测</x:v>
      </x:c>
      <x:c r="S1853" s="14" t="str">
        <x:v>到站时间为估算值</x:v>
      </x:c>
      <x:c r="T1853" t="str">
        <x:v>研究生宿舍楼发车</x:v>
      </x:c>
    </x:row>
    <x:row r="1854">
      <x:c r="A1854" s="14" t="str">
        <x:v>S0159-03</x:v>
      </x:c>
      <x:c r="B1854" s="14" t="str">
        <x:v>S0159</x:v>
      </x:c>
      <x:c r="C1854" s="14" t="str">
        <x:v>周末/节假日</x:v>
      </x:c>
      <x:c r="D1854" s="14" t="str">
        <x:v>环线2路</x:v>
      </x:c>
      <x:c r="E1854" s="14" t="str">
        <x:v>第一班</x:v>
      </x:c>
      <x:c r="F1854" s="14" t="n">
        <x:v>3</x:v>
      </x:c>
      <x:c r="G1854" s="14" t="str">
        <x:v>9:00</x:v>
      </x:c>
      <x:c r="H1854" s="14" t="str">
        <x:v>研究生宿舍楼</x:v>
      </x:c>
      <x:c r="I1854" s="14" t="str">
        <x:v>否</x:v>
      </x:c>
      <x:c r="J1854" s="14" t="n">
        <x:v>3</x:v>
      </x:c>
      <x:c r="K1854" s="14" t="str">
        <x:v>门诊部</x:v>
      </x:c>
      <x:c r="L1854" s="14" t="n">
        <x:v>2</x:v>
      </x:c>
      <x:c r="M1854" s="14" t="str">
        <x:v>09:02</x:v>
      </x:c>
      <x:c r="N1854" s="14" t="str">
        <x:v>否</x:v>
      </x:c>
      <x:c r="O1854" s="14" t="str">
        <x:v>否</x:v>
      </x:c>
      <x:c r="P1854" s="14" t="str">
        <x:v>刘晓燕</x:v>
      </x:c>
      <x:c r="Q1854" s="14" t="str">
        <x:v>1号车</x:v>
      </x:c>
      <x:c r="R1854" s="14" t="str">
        <x:v>预测</x:v>
      </x:c>
      <x:c r="S1854" s="14" t="str">
        <x:v>到站时间为估算值</x:v>
      </x:c>
      <x:c r="T1854" t="str">
        <x:v>研究生宿舍楼发车</x:v>
      </x:c>
    </x:row>
    <x:row r="1855">
      <x:c r="A1855" s="14" t="str">
        <x:v>S0159-04</x:v>
      </x:c>
      <x:c r="B1855" s="14" t="str">
        <x:v>S0159</x:v>
      </x:c>
      <x:c r="C1855" s="14" t="str">
        <x:v>周末/节假日</x:v>
      </x:c>
      <x:c r="D1855" s="14" t="str">
        <x:v>环线2路</x:v>
      </x:c>
      <x:c r="E1855" s="14" t="str">
        <x:v>第一班</x:v>
      </x:c>
      <x:c r="F1855" s="14" t="n">
        <x:v>3</x:v>
      </x:c>
      <x:c r="G1855" s="14" t="str">
        <x:v>9:00</x:v>
      </x:c>
      <x:c r="H1855" s="14" t="str">
        <x:v>研究生宿舍楼</x:v>
      </x:c>
      <x:c r="I1855" s="14" t="str">
        <x:v>否</x:v>
      </x:c>
      <x:c r="J1855" s="14" t="n">
        <x:v>4</x:v>
      </x:c>
      <x:c r="K1855" s="14" t="str">
        <x:v>1号宿舍楼</x:v>
      </x:c>
      <x:c r="L1855" s="14" t="n">
        <x:v>3</x:v>
      </x:c>
      <x:c r="M1855" s="14" t="str">
        <x:v>09:03</x:v>
      </x:c>
      <x:c r="N1855" s="14" t="str">
        <x:v>否</x:v>
      </x:c>
      <x:c r="O1855" s="14" t="str">
        <x:v>否</x:v>
      </x:c>
      <x:c r="P1855" s="14" t="str">
        <x:v>刘晓燕</x:v>
      </x:c>
      <x:c r="Q1855" s="14" t="str">
        <x:v>1号车</x:v>
      </x:c>
      <x:c r="R1855" s="14" t="str">
        <x:v>预测</x:v>
      </x:c>
      <x:c r="S1855" s="14" t="str">
        <x:v>到站时间为估算值</x:v>
      </x:c>
      <x:c r="T1855" t="str">
        <x:v>研究生宿舍楼发车</x:v>
      </x:c>
    </x:row>
    <x:row r="1856">
      <x:c r="A1856" s="14" t="str">
        <x:v>S0159-05</x:v>
      </x:c>
      <x:c r="B1856" s="14" t="str">
        <x:v>S0159</x:v>
      </x:c>
      <x:c r="C1856" s="14" t="str">
        <x:v>周末/节假日</x:v>
      </x:c>
      <x:c r="D1856" s="14" t="str">
        <x:v>环线2路</x:v>
      </x:c>
      <x:c r="E1856" s="14" t="str">
        <x:v>第一班</x:v>
      </x:c>
      <x:c r="F1856" s="14" t="n">
        <x:v>3</x:v>
      </x:c>
      <x:c r="G1856" s="14" t="str">
        <x:v>9:00</x:v>
      </x:c>
      <x:c r="H1856" s="14" t="str">
        <x:v>研究生宿舍楼</x:v>
      </x:c>
      <x:c r="I1856" s="14" t="str">
        <x:v>否</x:v>
      </x:c>
      <x:c r="J1856" s="14" t="n">
        <x:v>5</x:v>
      </x:c>
      <x:c r="K1856" s="14" t="str">
        <x:v>水上训练中心</x:v>
      </x:c>
      <x:c r="L1856" s="14" t="n">
        <x:v>5</x:v>
      </x:c>
      <x:c r="M1856" s="14" t="str">
        <x:v>09:05</x:v>
      </x:c>
      <x:c r="N1856" s="14" t="str">
        <x:v>否</x:v>
      </x:c>
      <x:c r="O1856" s="14" t="str">
        <x:v>否</x:v>
      </x:c>
      <x:c r="P1856" s="14" t="str">
        <x:v>刘晓燕</x:v>
      </x:c>
      <x:c r="Q1856" s="14" t="str">
        <x:v>1号车</x:v>
      </x:c>
      <x:c r="R1856" s="14" t="str">
        <x:v>预测</x:v>
      </x:c>
      <x:c r="S1856" s="14" t="str">
        <x:v>到站时间为估算值</x:v>
      </x:c>
      <x:c r="T1856" t="str">
        <x:v>研究生宿舍楼发车</x:v>
      </x:c>
    </x:row>
    <x:row r="1857">
      <x:c r="A1857" s="14" t="str">
        <x:v>S0159-06</x:v>
      </x:c>
      <x:c r="B1857" s="14" t="str">
        <x:v>S0159</x:v>
      </x:c>
      <x:c r="C1857" s="14" t="str">
        <x:v>周末/节假日</x:v>
      </x:c>
      <x:c r="D1857" s="14" t="str">
        <x:v>环线2路</x:v>
      </x:c>
      <x:c r="E1857" s="14" t="str">
        <x:v>第一班</x:v>
      </x:c>
      <x:c r="F1857" s="14" t="n">
        <x:v>3</x:v>
      </x:c>
      <x:c r="G1857" s="14" t="str">
        <x:v>9:00</x:v>
      </x:c>
      <x:c r="H1857" s="14" t="str">
        <x:v>研究生宿舍楼</x:v>
      </x:c>
      <x:c r="I1857" s="14" t="str">
        <x:v>否</x:v>
      </x:c>
      <x:c r="J1857" s="14" t="n">
        <x:v>6</x:v>
      </x:c>
      <x:c r="K1857" s="14" t="str">
        <x:v>军体活动中心</x:v>
      </x:c>
      <x:c r="L1857" s="14" t="n">
        <x:v>6</x:v>
      </x:c>
      <x:c r="M1857" s="14" t="str">
        <x:v>09:06</x:v>
      </x:c>
      <x:c r="N1857" s="14" t="str">
        <x:v>否</x:v>
      </x:c>
      <x:c r="O1857" s="14" t="str">
        <x:v>否</x:v>
      </x:c>
      <x:c r="P1857" s="14" t="str">
        <x:v>刘晓燕</x:v>
      </x:c>
      <x:c r="Q1857" s="14" t="str">
        <x:v>1号车</x:v>
      </x:c>
      <x:c r="R1857" s="14" t="str">
        <x:v>预测</x:v>
      </x:c>
      <x:c r="S1857" s="14" t="str">
        <x:v>到站时间为估算值</x:v>
      </x:c>
      <x:c r="T1857" t="str">
        <x:v>研究生宿舍楼发车</x:v>
      </x:c>
    </x:row>
    <x:row r="1858">
      <x:c r="A1858" s="14" t="str">
        <x:v>S0159-07</x:v>
      </x:c>
      <x:c r="B1858" s="14" t="str">
        <x:v>S0159</x:v>
      </x:c>
      <x:c r="C1858" s="14" t="str">
        <x:v>周末/节假日</x:v>
      </x:c>
      <x:c r="D1858" s="14" t="str">
        <x:v>环线2路</x:v>
      </x:c>
      <x:c r="E1858" s="14" t="str">
        <x:v>第一班</x:v>
      </x:c>
      <x:c r="F1858" s="14" t="n">
        <x:v>3</x:v>
      </x:c>
      <x:c r="G1858" s="14" t="str">
        <x:v>9:00</x:v>
      </x:c>
      <x:c r="H1858" s="14" t="str">
        <x:v>研究生宿舍楼</x:v>
      </x:c>
      <x:c r="I1858" s="14" t="str">
        <x:v>否</x:v>
      </x:c>
      <x:c r="J1858" s="14" t="n">
        <x:v>7</x:v>
      </x:c>
      <x:c r="K1858" s="14" t="str">
        <x:v>二食堂</x:v>
      </x:c>
      <x:c r="L1858" s="14" t="n">
        <x:v>8</x:v>
      </x:c>
      <x:c r="M1858" s="14" t="str">
        <x:v>09:08</x:v>
      </x:c>
      <x:c r="N1858" s="14" t="str">
        <x:v>否</x:v>
      </x:c>
      <x:c r="O1858" s="14" t="str">
        <x:v>否</x:v>
      </x:c>
      <x:c r="P1858" s="14" t="str">
        <x:v>刘晓燕</x:v>
      </x:c>
      <x:c r="Q1858" s="14" t="str">
        <x:v>1号车</x:v>
      </x:c>
      <x:c r="R1858" s="14" t="str">
        <x:v>预测</x:v>
      </x:c>
      <x:c r="S1858" s="14" t="str">
        <x:v>到站时间为估算值</x:v>
      </x:c>
      <x:c r="T1858" t="str">
        <x:v>研究生宿舍楼发车</x:v>
      </x:c>
    </x:row>
    <x:row r="1859">
      <x:c r="A1859" s="14" t="str">
        <x:v>S0159-08</x:v>
      </x:c>
      <x:c r="B1859" s="14" t="str">
        <x:v>S0159</x:v>
      </x:c>
      <x:c r="C1859" s="14" t="str">
        <x:v>周末/节假日</x:v>
      </x:c>
      <x:c r="D1859" s="14" t="str">
        <x:v>环线2路</x:v>
      </x:c>
      <x:c r="E1859" s="14" t="str">
        <x:v>第一班</x:v>
      </x:c>
      <x:c r="F1859" s="14" t="n">
        <x:v>3</x:v>
      </x:c>
      <x:c r="G1859" s="14" t="str">
        <x:v>9:00</x:v>
      </x:c>
      <x:c r="H1859" s="14" t="str">
        <x:v>研究生宿舍楼</x:v>
      </x:c>
      <x:c r="I1859" s="14" t="str">
        <x:v>否</x:v>
      </x:c>
      <x:c r="J1859" s="14" t="n">
        <x:v>8</x:v>
      </x:c>
      <x:c r="K1859" s="14" t="str">
        <x:v>5号宿舍楼</x:v>
      </x:c>
      <x:c r="L1859" s="14" t="n">
        <x:v>9</x:v>
      </x:c>
      <x:c r="M1859" s="14" t="str">
        <x:v>09:09</x:v>
      </x:c>
      <x:c r="N1859" s="14" t="str">
        <x:v>否</x:v>
      </x:c>
      <x:c r="O1859" s="14" t="str">
        <x:v>否</x:v>
      </x:c>
      <x:c r="P1859" s="14" t="str">
        <x:v>刘晓燕</x:v>
      </x:c>
      <x:c r="Q1859" s="14" t="str">
        <x:v>1号车</x:v>
      </x:c>
      <x:c r="R1859" s="14" t="str">
        <x:v>预测</x:v>
      </x:c>
      <x:c r="S1859" s="14" t="str">
        <x:v>到站时间为估算值</x:v>
      </x:c>
      <x:c r="T1859" t="str">
        <x:v>研究生宿舍楼发车</x:v>
      </x:c>
    </x:row>
    <x:row r="1860">
      <x:c r="A1860" s="14" t="str">
        <x:v>S0159-09</x:v>
      </x:c>
      <x:c r="B1860" s="14" t="str">
        <x:v>S0159</x:v>
      </x:c>
      <x:c r="C1860" s="14" t="str">
        <x:v>周末/节假日</x:v>
      </x:c>
      <x:c r="D1860" s="14" t="str">
        <x:v>环线2路</x:v>
      </x:c>
      <x:c r="E1860" s="14" t="str">
        <x:v>第一班</x:v>
      </x:c>
      <x:c r="F1860" s="14" t="n">
        <x:v>3</x:v>
      </x:c>
      <x:c r="G1860" s="14" t="str">
        <x:v>9:00</x:v>
      </x:c>
      <x:c r="H1860" s="14" t="str">
        <x:v>研究生宿舍楼</x:v>
      </x:c>
      <x:c r="I1860" s="14" t="str">
        <x:v>否</x:v>
      </x:c>
      <x:c r="J1860" s="14" t="n">
        <x:v>9</x:v>
      </x:c>
      <x:c r="K1860" s="14" t="str">
        <x:v>305教学楼</x:v>
      </x:c>
      <x:c r="L1860" s="14" t="n">
        <x:v>10</x:v>
      </x:c>
      <x:c r="M1860" s="14" t="str">
        <x:v>09:10</x:v>
      </x:c>
      <x:c r="N1860" s="14" t="str">
        <x:v>否</x:v>
      </x:c>
      <x:c r="O1860" s="14" t="str">
        <x:v>否</x:v>
      </x:c>
      <x:c r="P1860" s="14" t="str">
        <x:v>刘晓燕</x:v>
      </x:c>
      <x:c r="Q1860" s="14" t="str">
        <x:v>1号车</x:v>
      </x:c>
      <x:c r="R1860" s="14" t="str">
        <x:v>预测</x:v>
      </x:c>
      <x:c r="S1860" s="14" t="str">
        <x:v>到站时间为估算值</x:v>
      </x:c>
      <x:c r="T1860" t="str">
        <x:v>研究生宿舍楼发车</x:v>
      </x:c>
    </x:row>
    <x:row r="1861">
      <x:c r="A1861" s="14" t="str">
        <x:v>S0159-10</x:v>
      </x:c>
      <x:c r="B1861" s="14" t="str">
        <x:v>S0159</x:v>
      </x:c>
      <x:c r="C1861" s="14" t="str">
        <x:v>周末/节假日</x:v>
      </x:c>
      <x:c r="D1861" s="14" t="str">
        <x:v>环线2路</x:v>
      </x:c>
      <x:c r="E1861" s="14" t="str">
        <x:v>第一班</x:v>
      </x:c>
      <x:c r="F1861" s="14" t="n">
        <x:v>3</x:v>
      </x:c>
      <x:c r="G1861" s="14" t="str">
        <x:v>9:00</x:v>
      </x:c>
      <x:c r="H1861" s="14" t="str">
        <x:v>研究生宿舍楼</x:v>
      </x:c>
      <x:c r="I1861" s="14" t="str">
        <x:v>否</x:v>
      </x:c>
      <x:c r="J1861" s="14" t="n">
        <x:v>10</x:v>
      </x:c>
      <x:c r="K1861" s="14" t="str">
        <x:v>研究生宿舍楼</x:v>
      </x:c>
      <x:c r="L1861" s="14" t="n">
        <x:v>12</x:v>
      </x:c>
      <x:c r="M1861" s="14" t="str">
        <x:v>09:12</x:v>
      </x:c>
      <x:c r="N1861" s="14" t="str">
        <x:v>否</x:v>
      </x:c>
      <x:c r="O1861" s="14" t="str">
        <x:v>是</x:v>
      </x:c>
      <x:c r="P1861" s="14" t="str">
        <x:v>刘晓燕</x:v>
      </x:c>
      <x:c r="Q1861" s="14" t="str">
        <x:v>1号车</x:v>
      </x:c>
      <x:c r="R1861" s="14" t="str">
        <x:v>预测</x:v>
      </x:c>
      <x:c r="S1861" s="14" t="str">
        <x:v>到站时间为估算值</x:v>
      </x:c>
      <x:c r="T1861" t="str">
        <x:v>研究生宿舍楼发车</x:v>
      </x:c>
    </x:row>
    <x:row r="1862">
      <x:c r="A1862" s="14" t="str">
        <x:v>S0160-01</x:v>
      </x:c>
      <x:c r="B1862" s="14" t="str">
        <x:v>S0160</x:v>
      </x:c>
      <x:c r="C1862" s="14" t="str">
        <x:v>周末/节假日</x:v>
      </x:c>
      <x:c r="D1862" s="14" t="str">
        <x:v>环线2路</x:v>
      </x:c>
      <x:c r="E1862" s="14" t="str">
        <x:v>第一班</x:v>
      </x:c>
      <x:c r="F1862" s="14" t="n">
        <x:v>4</x:v>
      </x:c>
      <x:c r="G1862" s="14" t="str">
        <x:v>9:20</x:v>
      </x:c>
      <x:c r="H1862" s="14" t="str">
        <x:v>研究生宿舍楼</x:v>
      </x:c>
      <x:c r="I1862" s="14" t="str">
        <x:v>否</x:v>
      </x:c>
      <x:c r="J1862" s="14" t="n">
        <x:v>1</x:v>
      </x:c>
      <x:c r="K1862" s="14" t="str">
        <x:v>研究生宿舍楼</x:v>
      </x:c>
      <x:c r="L1862" s="14" t="n">
        <x:v>0</x:v>
      </x:c>
      <x:c r="M1862" s="14" t="str">
        <x:v>09:20</x:v>
      </x:c>
      <x:c r="N1862" s="14" t="str">
        <x:v>是</x:v>
      </x:c>
      <x:c r="O1862" s="14" t="str">
        <x:v>否</x:v>
      </x:c>
      <x:c r="P1862" s="14" t="str">
        <x:v>刘晓燕</x:v>
      </x:c>
      <x:c r="Q1862" s="14" t="str">
        <x:v>1号车</x:v>
      </x:c>
      <x:c r="R1862" s="14" t="str">
        <x:v>预测</x:v>
      </x:c>
      <x:c r="S1862" s="14" t="str">
        <x:v>到站时间为估算值</x:v>
      </x:c>
      <x:c r="T1862" t="str">
        <x:v>研究生宿舍楼发车</x:v>
      </x:c>
    </x:row>
    <x:row r="1863">
      <x:c r="A1863" s="14" t="str">
        <x:v>S0160-02</x:v>
      </x:c>
      <x:c r="B1863" s="14" t="str">
        <x:v>S0160</x:v>
      </x:c>
      <x:c r="C1863" s="14" t="str">
        <x:v>周末/节假日</x:v>
      </x:c>
      <x:c r="D1863" s="14" t="str">
        <x:v>环线2路</x:v>
      </x:c>
      <x:c r="E1863" s="14" t="str">
        <x:v>第一班</x:v>
      </x:c>
      <x:c r="F1863" s="14" t="n">
        <x:v>4</x:v>
      </x:c>
      <x:c r="G1863" s="14" t="str">
        <x:v>9:20</x:v>
      </x:c>
      <x:c r="H1863" s="14" t="str">
        <x:v>研究生宿舍楼</x:v>
      </x:c>
      <x:c r="I1863" s="14" t="str">
        <x:v>否</x:v>
      </x:c>
      <x:c r="J1863" s="14" t="n">
        <x:v>2</x:v>
      </x:c>
      <x:c r="K1863" s="14" t="str">
        <x:v>一食堂</x:v>
      </x:c>
      <x:c r="L1863" s="14" t="n">
        <x:v>1</x:v>
      </x:c>
      <x:c r="M1863" s="14" t="str">
        <x:v>09:21</x:v>
      </x:c>
      <x:c r="N1863" s="14" t="str">
        <x:v>否</x:v>
      </x:c>
      <x:c r="O1863" s="14" t="str">
        <x:v>否</x:v>
      </x:c>
      <x:c r="P1863" s="14" t="str">
        <x:v>刘晓燕</x:v>
      </x:c>
      <x:c r="Q1863" s="14" t="str">
        <x:v>1号车</x:v>
      </x:c>
      <x:c r="R1863" s="14" t="str">
        <x:v>预测</x:v>
      </x:c>
      <x:c r="S1863" s="14" t="str">
        <x:v>到站时间为估算值</x:v>
      </x:c>
      <x:c r="T1863" t="str">
        <x:v>研究生宿舍楼发车</x:v>
      </x:c>
    </x:row>
    <x:row r="1864">
      <x:c r="A1864" s="14" t="str">
        <x:v>S0160-03</x:v>
      </x:c>
      <x:c r="B1864" s="14" t="str">
        <x:v>S0160</x:v>
      </x:c>
      <x:c r="C1864" s="14" t="str">
        <x:v>周末/节假日</x:v>
      </x:c>
      <x:c r="D1864" s="14" t="str">
        <x:v>环线2路</x:v>
      </x:c>
      <x:c r="E1864" s="14" t="str">
        <x:v>第一班</x:v>
      </x:c>
      <x:c r="F1864" s="14" t="n">
        <x:v>4</x:v>
      </x:c>
      <x:c r="G1864" s="14" t="str">
        <x:v>9:20</x:v>
      </x:c>
      <x:c r="H1864" s="14" t="str">
        <x:v>研究生宿舍楼</x:v>
      </x:c>
      <x:c r="I1864" s="14" t="str">
        <x:v>否</x:v>
      </x:c>
      <x:c r="J1864" s="14" t="n">
        <x:v>3</x:v>
      </x:c>
      <x:c r="K1864" s="14" t="str">
        <x:v>门诊部</x:v>
      </x:c>
      <x:c r="L1864" s="14" t="n">
        <x:v>2</x:v>
      </x:c>
      <x:c r="M1864" s="14" t="str">
        <x:v>09:22</x:v>
      </x:c>
      <x:c r="N1864" s="14" t="str">
        <x:v>否</x:v>
      </x:c>
      <x:c r="O1864" s="14" t="str">
        <x:v>否</x:v>
      </x:c>
      <x:c r="P1864" s="14" t="str">
        <x:v>刘晓燕</x:v>
      </x:c>
      <x:c r="Q1864" s="14" t="str">
        <x:v>1号车</x:v>
      </x:c>
      <x:c r="R1864" s="14" t="str">
        <x:v>预测</x:v>
      </x:c>
      <x:c r="S1864" s="14" t="str">
        <x:v>到站时间为估算值</x:v>
      </x:c>
      <x:c r="T1864" t="str">
        <x:v>研究生宿舍楼发车</x:v>
      </x:c>
    </x:row>
    <x:row r="1865">
      <x:c r="A1865" s="14" t="str">
        <x:v>S0160-04</x:v>
      </x:c>
      <x:c r="B1865" s="14" t="str">
        <x:v>S0160</x:v>
      </x:c>
      <x:c r="C1865" s="14" t="str">
        <x:v>周末/节假日</x:v>
      </x:c>
      <x:c r="D1865" s="14" t="str">
        <x:v>环线2路</x:v>
      </x:c>
      <x:c r="E1865" s="14" t="str">
        <x:v>第一班</x:v>
      </x:c>
      <x:c r="F1865" s="14" t="n">
        <x:v>4</x:v>
      </x:c>
      <x:c r="G1865" s="14" t="str">
        <x:v>9:20</x:v>
      </x:c>
      <x:c r="H1865" s="14" t="str">
        <x:v>研究生宿舍楼</x:v>
      </x:c>
      <x:c r="I1865" s="14" t="str">
        <x:v>否</x:v>
      </x:c>
      <x:c r="J1865" s="14" t="n">
        <x:v>4</x:v>
      </x:c>
      <x:c r="K1865" s="14" t="str">
        <x:v>1号宿舍楼</x:v>
      </x:c>
      <x:c r="L1865" s="14" t="n">
        <x:v>3</x:v>
      </x:c>
      <x:c r="M1865" s="14" t="str">
        <x:v>09:23</x:v>
      </x:c>
      <x:c r="N1865" s="14" t="str">
        <x:v>否</x:v>
      </x:c>
      <x:c r="O1865" s="14" t="str">
        <x:v>否</x:v>
      </x:c>
      <x:c r="P1865" s="14" t="str">
        <x:v>刘晓燕</x:v>
      </x:c>
      <x:c r="Q1865" s="14" t="str">
        <x:v>1号车</x:v>
      </x:c>
      <x:c r="R1865" s="14" t="str">
        <x:v>预测</x:v>
      </x:c>
      <x:c r="S1865" s="14" t="str">
        <x:v>到站时间为估算值</x:v>
      </x:c>
      <x:c r="T1865" t="str">
        <x:v>研究生宿舍楼发车</x:v>
      </x:c>
    </x:row>
    <x:row r="1866">
      <x:c r="A1866" s="14" t="str">
        <x:v>S0160-05</x:v>
      </x:c>
      <x:c r="B1866" s="14" t="str">
        <x:v>S0160</x:v>
      </x:c>
      <x:c r="C1866" s="14" t="str">
        <x:v>周末/节假日</x:v>
      </x:c>
      <x:c r="D1866" s="14" t="str">
        <x:v>环线2路</x:v>
      </x:c>
      <x:c r="E1866" s="14" t="str">
        <x:v>第一班</x:v>
      </x:c>
      <x:c r="F1866" s="14" t="n">
        <x:v>4</x:v>
      </x:c>
      <x:c r="G1866" s="14" t="str">
        <x:v>9:20</x:v>
      </x:c>
      <x:c r="H1866" s="14" t="str">
        <x:v>研究生宿舍楼</x:v>
      </x:c>
      <x:c r="I1866" s="14" t="str">
        <x:v>否</x:v>
      </x:c>
      <x:c r="J1866" s="14" t="n">
        <x:v>5</x:v>
      </x:c>
      <x:c r="K1866" s="14" t="str">
        <x:v>水上训练中心</x:v>
      </x:c>
      <x:c r="L1866" s="14" t="n">
        <x:v>5</x:v>
      </x:c>
      <x:c r="M1866" s="14" t="str">
        <x:v>09:25</x:v>
      </x:c>
      <x:c r="N1866" s="14" t="str">
        <x:v>否</x:v>
      </x:c>
      <x:c r="O1866" s="14" t="str">
        <x:v>否</x:v>
      </x:c>
      <x:c r="P1866" s="14" t="str">
        <x:v>刘晓燕</x:v>
      </x:c>
      <x:c r="Q1866" s="14" t="str">
        <x:v>1号车</x:v>
      </x:c>
      <x:c r="R1866" s="14" t="str">
        <x:v>预测</x:v>
      </x:c>
      <x:c r="S1866" s="14" t="str">
        <x:v>到站时间为估算值</x:v>
      </x:c>
      <x:c r="T1866" t="str">
        <x:v>研究生宿舍楼发车</x:v>
      </x:c>
    </x:row>
    <x:row r="1867">
      <x:c r="A1867" s="14" t="str">
        <x:v>S0160-06</x:v>
      </x:c>
      <x:c r="B1867" s="14" t="str">
        <x:v>S0160</x:v>
      </x:c>
      <x:c r="C1867" s="14" t="str">
        <x:v>周末/节假日</x:v>
      </x:c>
      <x:c r="D1867" s="14" t="str">
        <x:v>环线2路</x:v>
      </x:c>
      <x:c r="E1867" s="14" t="str">
        <x:v>第一班</x:v>
      </x:c>
      <x:c r="F1867" s="14" t="n">
        <x:v>4</x:v>
      </x:c>
      <x:c r="G1867" s="14" t="str">
        <x:v>9:20</x:v>
      </x:c>
      <x:c r="H1867" s="14" t="str">
        <x:v>研究生宿舍楼</x:v>
      </x:c>
      <x:c r="I1867" s="14" t="str">
        <x:v>否</x:v>
      </x:c>
      <x:c r="J1867" s="14" t="n">
        <x:v>6</x:v>
      </x:c>
      <x:c r="K1867" s="14" t="str">
        <x:v>军体活动中心</x:v>
      </x:c>
      <x:c r="L1867" s="14" t="n">
        <x:v>6</x:v>
      </x:c>
      <x:c r="M1867" s="14" t="str">
        <x:v>09:26</x:v>
      </x:c>
      <x:c r="N1867" s="14" t="str">
        <x:v>否</x:v>
      </x:c>
      <x:c r="O1867" s="14" t="str">
        <x:v>否</x:v>
      </x:c>
      <x:c r="P1867" s="14" t="str">
        <x:v>刘晓燕</x:v>
      </x:c>
      <x:c r="Q1867" s="14" t="str">
        <x:v>1号车</x:v>
      </x:c>
      <x:c r="R1867" s="14" t="str">
        <x:v>预测</x:v>
      </x:c>
      <x:c r="S1867" s="14" t="str">
        <x:v>到站时间为估算值</x:v>
      </x:c>
      <x:c r="T1867" t="str">
        <x:v>研究生宿舍楼发车</x:v>
      </x:c>
    </x:row>
    <x:row r="1868">
      <x:c r="A1868" s="14" t="str">
        <x:v>S0160-07</x:v>
      </x:c>
      <x:c r="B1868" s="14" t="str">
        <x:v>S0160</x:v>
      </x:c>
      <x:c r="C1868" s="14" t="str">
        <x:v>周末/节假日</x:v>
      </x:c>
      <x:c r="D1868" s="14" t="str">
        <x:v>环线2路</x:v>
      </x:c>
      <x:c r="E1868" s="14" t="str">
        <x:v>第一班</x:v>
      </x:c>
      <x:c r="F1868" s="14" t="n">
        <x:v>4</x:v>
      </x:c>
      <x:c r="G1868" s="14" t="str">
        <x:v>9:20</x:v>
      </x:c>
      <x:c r="H1868" s="14" t="str">
        <x:v>研究生宿舍楼</x:v>
      </x:c>
      <x:c r="I1868" s="14" t="str">
        <x:v>否</x:v>
      </x:c>
      <x:c r="J1868" s="14" t="n">
        <x:v>7</x:v>
      </x:c>
      <x:c r="K1868" s="14" t="str">
        <x:v>二食堂</x:v>
      </x:c>
      <x:c r="L1868" s="14" t="n">
        <x:v>8</x:v>
      </x:c>
      <x:c r="M1868" s="14" t="str">
        <x:v>09:28</x:v>
      </x:c>
      <x:c r="N1868" s="14" t="str">
        <x:v>否</x:v>
      </x:c>
      <x:c r="O1868" s="14" t="str">
        <x:v>否</x:v>
      </x:c>
      <x:c r="P1868" s="14" t="str">
        <x:v>刘晓燕</x:v>
      </x:c>
      <x:c r="Q1868" s="14" t="str">
        <x:v>1号车</x:v>
      </x:c>
      <x:c r="R1868" s="14" t="str">
        <x:v>预测</x:v>
      </x:c>
      <x:c r="S1868" s="14" t="str">
        <x:v>到站时间为估算值</x:v>
      </x:c>
      <x:c r="T1868" t="str">
        <x:v>研究生宿舍楼发车</x:v>
      </x:c>
    </x:row>
    <x:row r="1869">
      <x:c r="A1869" s="14" t="str">
        <x:v>S0160-08</x:v>
      </x:c>
      <x:c r="B1869" s="14" t="str">
        <x:v>S0160</x:v>
      </x:c>
      <x:c r="C1869" s="14" t="str">
        <x:v>周末/节假日</x:v>
      </x:c>
      <x:c r="D1869" s="14" t="str">
        <x:v>环线2路</x:v>
      </x:c>
      <x:c r="E1869" s="14" t="str">
        <x:v>第一班</x:v>
      </x:c>
      <x:c r="F1869" s="14" t="n">
        <x:v>4</x:v>
      </x:c>
      <x:c r="G1869" s="14" t="str">
        <x:v>9:20</x:v>
      </x:c>
      <x:c r="H1869" s="14" t="str">
        <x:v>研究生宿舍楼</x:v>
      </x:c>
      <x:c r="I1869" s="14" t="str">
        <x:v>否</x:v>
      </x:c>
      <x:c r="J1869" s="14" t="n">
        <x:v>8</x:v>
      </x:c>
      <x:c r="K1869" s="14" t="str">
        <x:v>5号宿舍楼</x:v>
      </x:c>
      <x:c r="L1869" s="14" t="n">
        <x:v>9</x:v>
      </x:c>
      <x:c r="M1869" s="14" t="str">
        <x:v>09:29</x:v>
      </x:c>
      <x:c r="N1869" s="14" t="str">
        <x:v>否</x:v>
      </x:c>
      <x:c r="O1869" s="14" t="str">
        <x:v>否</x:v>
      </x:c>
      <x:c r="P1869" s="14" t="str">
        <x:v>刘晓燕</x:v>
      </x:c>
      <x:c r="Q1869" s="14" t="str">
        <x:v>1号车</x:v>
      </x:c>
      <x:c r="R1869" s="14" t="str">
        <x:v>预测</x:v>
      </x:c>
      <x:c r="S1869" s="14" t="str">
        <x:v>到站时间为估算值</x:v>
      </x:c>
      <x:c r="T1869" t="str">
        <x:v>研究生宿舍楼发车</x:v>
      </x:c>
    </x:row>
    <x:row r="1870">
      <x:c r="A1870" s="14" t="str">
        <x:v>S0160-09</x:v>
      </x:c>
      <x:c r="B1870" s="14" t="str">
        <x:v>S0160</x:v>
      </x:c>
      <x:c r="C1870" s="14" t="str">
        <x:v>周末/节假日</x:v>
      </x:c>
      <x:c r="D1870" s="14" t="str">
        <x:v>环线2路</x:v>
      </x:c>
      <x:c r="E1870" s="14" t="str">
        <x:v>第一班</x:v>
      </x:c>
      <x:c r="F1870" s="14" t="n">
        <x:v>4</x:v>
      </x:c>
      <x:c r="G1870" s="14" t="str">
        <x:v>9:20</x:v>
      </x:c>
      <x:c r="H1870" s="14" t="str">
        <x:v>研究生宿舍楼</x:v>
      </x:c>
      <x:c r="I1870" s="14" t="str">
        <x:v>否</x:v>
      </x:c>
      <x:c r="J1870" s="14" t="n">
        <x:v>9</x:v>
      </x:c>
      <x:c r="K1870" s="14" t="str">
        <x:v>305教学楼</x:v>
      </x:c>
      <x:c r="L1870" s="14" t="n">
        <x:v>10</x:v>
      </x:c>
      <x:c r="M1870" s="14" t="str">
        <x:v>09:30</x:v>
      </x:c>
      <x:c r="N1870" s="14" t="str">
        <x:v>否</x:v>
      </x:c>
      <x:c r="O1870" s="14" t="str">
        <x:v>否</x:v>
      </x:c>
      <x:c r="P1870" s="14" t="str">
        <x:v>刘晓燕</x:v>
      </x:c>
      <x:c r="Q1870" s="14" t="str">
        <x:v>1号车</x:v>
      </x:c>
      <x:c r="R1870" s="14" t="str">
        <x:v>预测</x:v>
      </x:c>
      <x:c r="S1870" s="14" t="str">
        <x:v>到站时间为估算值</x:v>
      </x:c>
      <x:c r="T1870" t="str">
        <x:v>研究生宿舍楼发车</x:v>
      </x:c>
    </x:row>
    <x:row r="1871">
      <x:c r="A1871" s="14" t="str">
        <x:v>S0160-10</x:v>
      </x:c>
      <x:c r="B1871" s="14" t="str">
        <x:v>S0160</x:v>
      </x:c>
      <x:c r="C1871" s="14" t="str">
        <x:v>周末/节假日</x:v>
      </x:c>
      <x:c r="D1871" s="14" t="str">
        <x:v>环线2路</x:v>
      </x:c>
      <x:c r="E1871" s="14" t="str">
        <x:v>第一班</x:v>
      </x:c>
      <x:c r="F1871" s="14" t="n">
        <x:v>4</x:v>
      </x:c>
      <x:c r="G1871" s="14" t="str">
        <x:v>9:20</x:v>
      </x:c>
      <x:c r="H1871" s="14" t="str">
        <x:v>研究生宿舍楼</x:v>
      </x:c>
      <x:c r="I1871" s="14" t="str">
        <x:v>否</x:v>
      </x:c>
      <x:c r="J1871" s="14" t="n">
        <x:v>10</x:v>
      </x:c>
      <x:c r="K1871" s="14" t="str">
        <x:v>研究生宿舍楼</x:v>
      </x:c>
      <x:c r="L1871" s="14" t="n">
        <x:v>12</x:v>
      </x:c>
      <x:c r="M1871" s="14" t="str">
        <x:v>09:32</x:v>
      </x:c>
      <x:c r="N1871" s="14" t="str">
        <x:v>否</x:v>
      </x:c>
      <x:c r="O1871" s="14" t="str">
        <x:v>是</x:v>
      </x:c>
      <x:c r="P1871" s="14" t="str">
        <x:v>刘晓燕</x:v>
      </x:c>
      <x:c r="Q1871" s="14" t="str">
        <x:v>1号车</x:v>
      </x:c>
      <x:c r="R1871" s="14" t="str">
        <x:v>预测</x:v>
      </x:c>
      <x:c r="S1871" s="14" t="str">
        <x:v>到站时间为估算值</x:v>
      </x:c>
      <x:c r="T1871" t="str">
        <x:v>研究生宿舍楼发车</x:v>
      </x:c>
    </x:row>
    <x:row r="1872">
      <x:c r="A1872" s="14" t="str">
        <x:v>S0161-01</x:v>
      </x:c>
      <x:c r="B1872" s="14" t="str">
        <x:v>S0161</x:v>
      </x:c>
      <x:c r="C1872" s="14" t="str">
        <x:v>周末/节假日</x:v>
      </x:c>
      <x:c r="D1872" s="14" t="str">
        <x:v>环线2路</x:v>
      </x:c>
      <x:c r="E1872" s="14" t="str">
        <x:v>第一班</x:v>
      </x:c>
      <x:c r="F1872" s="14" t="n">
        <x:v>5</x:v>
      </x:c>
      <x:c r="G1872" s="14" t="str">
        <x:v>9:40</x:v>
      </x:c>
      <x:c r="H1872" s="14" t="str">
        <x:v>研究生宿舍楼</x:v>
      </x:c>
      <x:c r="I1872" s="14" t="str">
        <x:v>否</x:v>
      </x:c>
      <x:c r="J1872" s="14" t="n">
        <x:v>1</x:v>
      </x:c>
      <x:c r="K1872" s="14" t="str">
        <x:v>研究生宿舍楼</x:v>
      </x:c>
      <x:c r="L1872" s="14" t="n">
        <x:v>0</x:v>
      </x:c>
      <x:c r="M1872" s="14" t="str">
        <x:v>09:40</x:v>
      </x:c>
      <x:c r="N1872" s="14" t="str">
        <x:v>是</x:v>
      </x:c>
      <x:c r="O1872" s="14" t="str">
        <x:v>否</x:v>
      </x:c>
      <x:c r="P1872" s="14" t="str">
        <x:v>刘晓燕</x:v>
      </x:c>
      <x:c r="Q1872" s="14" t="str">
        <x:v>1号车</x:v>
      </x:c>
      <x:c r="R1872" s="14" t="str">
        <x:v>预测</x:v>
      </x:c>
      <x:c r="S1872" s="14" t="str">
        <x:v>到站时间为估算值</x:v>
      </x:c>
      <x:c r="T1872" t="str">
        <x:v>研究生宿舍楼发车</x:v>
      </x:c>
    </x:row>
    <x:row r="1873">
      <x:c r="A1873" s="14" t="str">
        <x:v>S0161-02</x:v>
      </x:c>
      <x:c r="B1873" s="14" t="str">
        <x:v>S0161</x:v>
      </x:c>
      <x:c r="C1873" s="14" t="str">
        <x:v>周末/节假日</x:v>
      </x:c>
      <x:c r="D1873" s="14" t="str">
        <x:v>环线2路</x:v>
      </x:c>
      <x:c r="E1873" s="14" t="str">
        <x:v>第一班</x:v>
      </x:c>
      <x:c r="F1873" s="14" t="n">
        <x:v>5</x:v>
      </x:c>
      <x:c r="G1873" s="14" t="str">
        <x:v>9:40</x:v>
      </x:c>
      <x:c r="H1873" s="14" t="str">
        <x:v>研究生宿舍楼</x:v>
      </x:c>
      <x:c r="I1873" s="14" t="str">
        <x:v>否</x:v>
      </x:c>
      <x:c r="J1873" s="14" t="n">
        <x:v>2</x:v>
      </x:c>
      <x:c r="K1873" s="14" t="str">
        <x:v>一食堂</x:v>
      </x:c>
      <x:c r="L1873" s="14" t="n">
        <x:v>1</x:v>
      </x:c>
      <x:c r="M1873" s="14" t="str">
        <x:v>09:41</x:v>
      </x:c>
      <x:c r="N1873" s="14" t="str">
        <x:v>否</x:v>
      </x:c>
      <x:c r="O1873" s="14" t="str">
        <x:v>否</x:v>
      </x:c>
      <x:c r="P1873" s="14" t="str">
        <x:v>刘晓燕</x:v>
      </x:c>
      <x:c r="Q1873" s="14" t="str">
        <x:v>1号车</x:v>
      </x:c>
      <x:c r="R1873" s="14" t="str">
        <x:v>预测</x:v>
      </x:c>
      <x:c r="S1873" s="14" t="str">
        <x:v>到站时间为估算值</x:v>
      </x:c>
      <x:c r="T1873" t="str">
        <x:v>研究生宿舍楼发车</x:v>
      </x:c>
    </x:row>
    <x:row r="1874">
      <x:c r="A1874" s="14" t="str">
        <x:v>S0161-03</x:v>
      </x:c>
      <x:c r="B1874" s="14" t="str">
        <x:v>S0161</x:v>
      </x:c>
      <x:c r="C1874" s="14" t="str">
        <x:v>周末/节假日</x:v>
      </x:c>
      <x:c r="D1874" s="14" t="str">
        <x:v>环线2路</x:v>
      </x:c>
      <x:c r="E1874" s="14" t="str">
        <x:v>第一班</x:v>
      </x:c>
      <x:c r="F1874" s="14" t="n">
        <x:v>5</x:v>
      </x:c>
      <x:c r="G1874" s="14" t="str">
        <x:v>9:40</x:v>
      </x:c>
      <x:c r="H1874" s="14" t="str">
        <x:v>研究生宿舍楼</x:v>
      </x:c>
      <x:c r="I1874" s="14" t="str">
        <x:v>否</x:v>
      </x:c>
      <x:c r="J1874" s="14" t="n">
        <x:v>3</x:v>
      </x:c>
      <x:c r="K1874" s="14" t="str">
        <x:v>门诊部</x:v>
      </x:c>
      <x:c r="L1874" s="14" t="n">
        <x:v>2</x:v>
      </x:c>
      <x:c r="M1874" s="14" t="str">
        <x:v>09:42</x:v>
      </x:c>
      <x:c r="N1874" s="14" t="str">
        <x:v>否</x:v>
      </x:c>
      <x:c r="O1874" s="14" t="str">
        <x:v>否</x:v>
      </x:c>
      <x:c r="P1874" s="14" t="str">
        <x:v>刘晓燕</x:v>
      </x:c>
      <x:c r="Q1874" s="14" t="str">
        <x:v>1号车</x:v>
      </x:c>
      <x:c r="R1874" s="14" t="str">
        <x:v>预测</x:v>
      </x:c>
      <x:c r="S1874" s="14" t="str">
        <x:v>到站时间为估算值</x:v>
      </x:c>
      <x:c r="T1874" t="str">
        <x:v>研究生宿舍楼发车</x:v>
      </x:c>
    </x:row>
    <x:row r="1875">
      <x:c r="A1875" s="14" t="str">
        <x:v>S0161-04</x:v>
      </x:c>
      <x:c r="B1875" s="14" t="str">
        <x:v>S0161</x:v>
      </x:c>
      <x:c r="C1875" s="14" t="str">
        <x:v>周末/节假日</x:v>
      </x:c>
      <x:c r="D1875" s="14" t="str">
        <x:v>环线2路</x:v>
      </x:c>
      <x:c r="E1875" s="14" t="str">
        <x:v>第一班</x:v>
      </x:c>
      <x:c r="F1875" s="14" t="n">
        <x:v>5</x:v>
      </x:c>
      <x:c r="G1875" s="14" t="str">
        <x:v>9:40</x:v>
      </x:c>
      <x:c r="H1875" s="14" t="str">
        <x:v>研究生宿舍楼</x:v>
      </x:c>
      <x:c r="I1875" s="14" t="str">
        <x:v>否</x:v>
      </x:c>
      <x:c r="J1875" s="14" t="n">
        <x:v>4</x:v>
      </x:c>
      <x:c r="K1875" s="14" t="str">
        <x:v>1号宿舍楼</x:v>
      </x:c>
      <x:c r="L1875" s="14" t="n">
        <x:v>3</x:v>
      </x:c>
      <x:c r="M1875" s="14" t="str">
        <x:v>09:43</x:v>
      </x:c>
      <x:c r="N1875" s="14" t="str">
        <x:v>否</x:v>
      </x:c>
      <x:c r="O1875" s="14" t="str">
        <x:v>否</x:v>
      </x:c>
      <x:c r="P1875" s="14" t="str">
        <x:v>刘晓燕</x:v>
      </x:c>
      <x:c r="Q1875" s="14" t="str">
        <x:v>1号车</x:v>
      </x:c>
      <x:c r="R1875" s="14" t="str">
        <x:v>预测</x:v>
      </x:c>
      <x:c r="S1875" s="14" t="str">
        <x:v>到站时间为估算值</x:v>
      </x:c>
      <x:c r="T1875" t="str">
        <x:v>研究生宿舍楼发车</x:v>
      </x:c>
    </x:row>
    <x:row r="1876">
      <x:c r="A1876" s="14" t="str">
        <x:v>S0161-05</x:v>
      </x:c>
      <x:c r="B1876" s="14" t="str">
        <x:v>S0161</x:v>
      </x:c>
      <x:c r="C1876" s="14" t="str">
        <x:v>周末/节假日</x:v>
      </x:c>
      <x:c r="D1876" s="14" t="str">
        <x:v>环线2路</x:v>
      </x:c>
      <x:c r="E1876" s="14" t="str">
        <x:v>第一班</x:v>
      </x:c>
      <x:c r="F1876" s="14" t="n">
        <x:v>5</x:v>
      </x:c>
      <x:c r="G1876" s="14" t="str">
        <x:v>9:40</x:v>
      </x:c>
      <x:c r="H1876" s="14" t="str">
        <x:v>研究生宿舍楼</x:v>
      </x:c>
      <x:c r="I1876" s="14" t="str">
        <x:v>否</x:v>
      </x:c>
      <x:c r="J1876" s="14" t="n">
        <x:v>5</x:v>
      </x:c>
      <x:c r="K1876" s="14" t="str">
        <x:v>水上训练中心</x:v>
      </x:c>
      <x:c r="L1876" s="14" t="n">
        <x:v>5</x:v>
      </x:c>
      <x:c r="M1876" s="14" t="str">
        <x:v>09:45</x:v>
      </x:c>
      <x:c r="N1876" s="14" t="str">
        <x:v>否</x:v>
      </x:c>
      <x:c r="O1876" s="14" t="str">
        <x:v>否</x:v>
      </x:c>
      <x:c r="P1876" s="14" t="str">
        <x:v>刘晓燕</x:v>
      </x:c>
      <x:c r="Q1876" s="14" t="str">
        <x:v>1号车</x:v>
      </x:c>
      <x:c r="R1876" s="14" t="str">
        <x:v>预测</x:v>
      </x:c>
      <x:c r="S1876" s="14" t="str">
        <x:v>到站时间为估算值</x:v>
      </x:c>
      <x:c r="T1876" t="str">
        <x:v>研究生宿舍楼发车</x:v>
      </x:c>
    </x:row>
    <x:row r="1877">
      <x:c r="A1877" s="14" t="str">
        <x:v>S0161-06</x:v>
      </x:c>
      <x:c r="B1877" s="14" t="str">
        <x:v>S0161</x:v>
      </x:c>
      <x:c r="C1877" s="14" t="str">
        <x:v>周末/节假日</x:v>
      </x:c>
      <x:c r="D1877" s="14" t="str">
        <x:v>环线2路</x:v>
      </x:c>
      <x:c r="E1877" s="14" t="str">
        <x:v>第一班</x:v>
      </x:c>
      <x:c r="F1877" s="14" t="n">
        <x:v>5</x:v>
      </x:c>
      <x:c r="G1877" s="14" t="str">
        <x:v>9:40</x:v>
      </x:c>
      <x:c r="H1877" s="14" t="str">
        <x:v>研究生宿舍楼</x:v>
      </x:c>
      <x:c r="I1877" s="14" t="str">
        <x:v>否</x:v>
      </x:c>
      <x:c r="J1877" s="14" t="n">
        <x:v>6</x:v>
      </x:c>
      <x:c r="K1877" s="14" t="str">
        <x:v>军体活动中心</x:v>
      </x:c>
      <x:c r="L1877" s="14" t="n">
        <x:v>6</x:v>
      </x:c>
      <x:c r="M1877" s="14" t="str">
        <x:v>09:46</x:v>
      </x:c>
      <x:c r="N1877" s="14" t="str">
        <x:v>否</x:v>
      </x:c>
      <x:c r="O1877" s="14" t="str">
        <x:v>否</x:v>
      </x:c>
      <x:c r="P1877" s="14" t="str">
        <x:v>刘晓燕</x:v>
      </x:c>
      <x:c r="Q1877" s="14" t="str">
        <x:v>1号车</x:v>
      </x:c>
      <x:c r="R1877" s="14" t="str">
        <x:v>预测</x:v>
      </x:c>
      <x:c r="S1877" s="14" t="str">
        <x:v>到站时间为估算值</x:v>
      </x:c>
      <x:c r="T1877" t="str">
        <x:v>研究生宿舍楼发车</x:v>
      </x:c>
    </x:row>
    <x:row r="1878">
      <x:c r="A1878" s="14" t="str">
        <x:v>S0161-07</x:v>
      </x:c>
      <x:c r="B1878" s="14" t="str">
        <x:v>S0161</x:v>
      </x:c>
      <x:c r="C1878" s="14" t="str">
        <x:v>周末/节假日</x:v>
      </x:c>
      <x:c r="D1878" s="14" t="str">
        <x:v>环线2路</x:v>
      </x:c>
      <x:c r="E1878" s="14" t="str">
        <x:v>第一班</x:v>
      </x:c>
      <x:c r="F1878" s="14" t="n">
        <x:v>5</x:v>
      </x:c>
      <x:c r="G1878" s="14" t="str">
        <x:v>9:40</x:v>
      </x:c>
      <x:c r="H1878" s="14" t="str">
        <x:v>研究生宿舍楼</x:v>
      </x:c>
      <x:c r="I1878" s="14" t="str">
        <x:v>否</x:v>
      </x:c>
      <x:c r="J1878" s="14" t="n">
        <x:v>7</x:v>
      </x:c>
      <x:c r="K1878" s="14" t="str">
        <x:v>二食堂</x:v>
      </x:c>
      <x:c r="L1878" s="14" t="n">
        <x:v>8</x:v>
      </x:c>
      <x:c r="M1878" s="14" t="str">
        <x:v>09:48</x:v>
      </x:c>
      <x:c r="N1878" s="14" t="str">
        <x:v>否</x:v>
      </x:c>
      <x:c r="O1878" s="14" t="str">
        <x:v>否</x:v>
      </x:c>
      <x:c r="P1878" s="14" t="str">
        <x:v>刘晓燕</x:v>
      </x:c>
      <x:c r="Q1878" s="14" t="str">
        <x:v>1号车</x:v>
      </x:c>
      <x:c r="R1878" s="14" t="str">
        <x:v>预测</x:v>
      </x:c>
      <x:c r="S1878" s="14" t="str">
        <x:v>到站时间为估算值</x:v>
      </x:c>
      <x:c r="T1878" t="str">
        <x:v>研究生宿舍楼发车</x:v>
      </x:c>
    </x:row>
    <x:row r="1879">
      <x:c r="A1879" s="14" t="str">
        <x:v>S0161-08</x:v>
      </x:c>
      <x:c r="B1879" s="14" t="str">
        <x:v>S0161</x:v>
      </x:c>
      <x:c r="C1879" s="14" t="str">
        <x:v>周末/节假日</x:v>
      </x:c>
      <x:c r="D1879" s="14" t="str">
        <x:v>环线2路</x:v>
      </x:c>
      <x:c r="E1879" s="14" t="str">
        <x:v>第一班</x:v>
      </x:c>
      <x:c r="F1879" s="14" t="n">
        <x:v>5</x:v>
      </x:c>
      <x:c r="G1879" s="14" t="str">
        <x:v>9:40</x:v>
      </x:c>
      <x:c r="H1879" s="14" t="str">
        <x:v>研究生宿舍楼</x:v>
      </x:c>
      <x:c r="I1879" s="14" t="str">
        <x:v>否</x:v>
      </x:c>
      <x:c r="J1879" s="14" t="n">
        <x:v>8</x:v>
      </x:c>
      <x:c r="K1879" s="14" t="str">
        <x:v>5号宿舍楼</x:v>
      </x:c>
      <x:c r="L1879" s="14" t="n">
        <x:v>9</x:v>
      </x:c>
      <x:c r="M1879" s="14" t="str">
        <x:v>09:49</x:v>
      </x:c>
      <x:c r="N1879" s="14" t="str">
        <x:v>否</x:v>
      </x:c>
      <x:c r="O1879" s="14" t="str">
        <x:v>否</x:v>
      </x:c>
      <x:c r="P1879" s="14" t="str">
        <x:v>刘晓燕</x:v>
      </x:c>
      <x:c r="Q1879" s="14" t="str">
        <x:v>1号车</x:v>
      </x:c>
      <x:c r="R1879" s="14" t="str">
        <x:v>预测</x:v>
      </x:c>
      <x:c r="S1879" s="14" t="str">
        <x:v>到站时间为估算值</x:v>
      </x:c>
      <x:c r="T1879" t="str">
        <x:v>研究生宿舍楼发车</x:v>
      </x:c>
    </x:row>
    <x:row r="1880">
      <x:c r="A1880" s="14" t="str">
        <x:v>S0161-09</x:v>
      </x:c>
      <x:c r="B1880" s="14" t="str">
        <x:v>S0161</x:v>
      </x:c>
      <x:c r="C1880" s="14" t="str">
        <x:v>周末/节假日</x:v>
      </x:c>
      <x:c r="D1880" s="14" t="str">
        <x:v>环线2路</x:v>
      </x:c>
      <x:c r="E1880" s="14" t="str">
        <x:v>第一班</x:v>
      </x:c>
      <x:c r="F1880" s="14" t="n">
        <x:v>5</x:v>
      </x:c>
      <x:c r="G1880" s="14" t="str">
        <x:v>9:40</x:v>
      </x:c>
      <x:c r="H1880" s="14" t="str">
        <x:v>研究生宿舍楼</x:v>
      </x:c>
      <x:c r="I1880" s="14" t="str">
        <x:v>否</x:v>
      </x:c>
      <x:c r="J1880" s="14" t="n">
        <x:v>9</x:v>
      </x:c>
      <x:c r="K1880" s="14" t="str">
        <x:v>305教学楼</x:v>
      </x:c>
      <x:c r="L1880" s="14" t="n">
        <x:v>10</x:v>
      </x:c>
      <x:c r="M1880" s="14" t="str">
        <x:v>09:50</x:v>
      </x:c>
      <x:c r="N1880" s="14" t="str">
        <x:v>否</x:v>
      </x:c>
      <x:c r="O1880" s="14" t="str">
        <x:v>否</x:v>
      </x:c>
      <x:c r="P1880" s="14" t="str">
        <x:v>刘晓燕</x:v>
      </x:c>
      <x:c r="Q1880" s="14" t="str">
        <x:v>1号车</x:v>
      </x:c>
      <x:c r="R1880" s="14" t="str">
        <x:v>预测</x:v>
      </x:c>
      <x:c r="S1880" s="14" t="str">
        <x:v>到站时间为估算值</x:v>
      </x:c>
      <x:c r="T1880" t="str">
        <x:v>研究生宿舍楼发车</x:v>
      </x:c>
    </x:row>
    <x:row r="1881">
      <x:c r="A1881" s="14" t="str">
        <x:v>S0161-10</x:v>
      </x:c>
      <x:c r="B1881" s="14" t="str">
        <x:v>S0161</x:v>
      </x:c>
      <x:c r="C1881" s="14" t="str">
        <x:v>周末/节假日</x:v>
      </x:c>
      <x:c r="D1881" s="14" t="str">
        <x:v>环线2路</x:v>
      </x:c>
      <x:c r="E1881" s="14" t="str">
        <x:v>第一班</x:v>
      </x:c>
      <x:c r="F1881" s="14" t="n">
        <x:v>5</x:v>
      </x:c>
      <x:c r="G1881" s="14" t="str">
        <x:v>9:40</x:v>
      </x:c>
      <x:c r="H1881" s="14" t="str">
        <x:v>研究生宿舍楼</x:v>
      </x:c>
      <x:c r="I1881" s="14" t="str">
        <x:v>否</x:v>
      </x:c>
      <x:c r="J1881" s="14" t="n">
        <x:v>10</x:v>
      </x:c>
      <x:c r="K1881" s="14" t="str">
        <x:v>研究生宿舍楼</x:v>
      </x:c>
      <x:c r="L1881" s="14" t="n">
        <x:v>12</x:v>
      </x:c>
      <x:c r="M1881" s="14" t="str">
        <x:v>09:52</x:v>
      </x:c>
      <x:c r="N1881" s="14" t="str">
        <x:v>否</x:v>
      </x:c>
      <x:c r="O1881" s="14" t="str">
        <x:v>是</x:v>
      </x:c>
      <x:c r="P1881" s="14" t="str">
        <x:v>刘晓燕</x:v>
      </x:c>
      <x:c r="Q1881" s="14" t="str">
        <x:v>1号车</x:v>
      </x:c>
      <x:c r="R1881" s="14" t="str">
        <x:v>预测</x:v>
      </x:c>
      <x:c r="S1881" s="14" t="str">
        <x:v>到站时间为估算值</x:v>
      </x:c>
      <x:c r="T1881" t="str">
        <x:v>研究生宿舍楼发车</x:v>
      </x:c>
    </x:row>
    <x:row r="1882">
      <x:c r="A1882" s="14" t="str">
        <x:v>S0162-01</x:v>
      </x:c>
      <x:c r="B1882" s="14" t="str">
        <x:v>S0162</x:v>
      </x:c>
      <x:c r="C1882" s="14" t="str">
        <x:v>周末/节假日</x:v>
      </x:c>
      <x:c r="D1882" s="14" t="str">
        <x:v>环线2路</x:v>
      </x:c>
      <x:c r="E1882" s="14" t="str">
        <x:v>第一班</x:v>
      </x:c>
      <x:c r="F1882" s="14" t="n">
        <x:v>6</x:v>
      </x:c>
      <x:c r="G1882" s="14" t="str">
        <x:v>11:30</x:v>
      </x:c>
      <x:c r="H1882" s="14" t="str">
        <x:v>研究生宿舍楼</x:v>
      </x:c>
      <x:c r="I1882" s="14" t="str">
        <x:v>否</x:v>
      </x:c>
      <x:c r="J1882" s="14" t="n">
        <x:v>1</x:v>
      </x:c>
      <x:c r="K1882" s="14" t="str">
        <x:v>研究生宿舍楼</x:v>
      </x:c>
      <x:c r="L1882" s="14" t="n">
        <x:v>0</x:v>
      </x:c>
      <x:c r="M1882" s="14" t="str">
        <x:v>11:30</x:v>
      </x:c>
      <x:c r="N1882" s="14" t="str">
        <x:v>是</x:v>
      </x:c>
      <x:c r="O1882" s="14" t="str">
        <x:v>否</x:v>
      </x:c>
      <x:c r="P1882" s="14" t="str">
        <x:v>刘晓燕</x:v>
      </x:c>
      <x:c r="Q1882" s="14" t="str">
        <x:v>1号车</x:v>
      </x:c>
      <x:c r="R1882" s="14" t="str">
        <x:v>预测</x:v>
      </x:c>
      <x:c r="S1882" s="14" t="str">
        <x:v>到站时间为估算值</x:v>
      </x:c>
      <x:c r="T1882" t="str">
        <x:v>研究生宿舍楼发车</x:v>
      </x:c>
    </x:row>
    <x:row r="1883">
      <x:c r="A1883" s="14" t="str">
        <x:v>S0162-02</x:v>
      </x:c>
      <x:c r="B1883" s="14" t="str">
        <x:v>S0162</x:v>
      </x:c>
      <x:c r="C1883" s="14" t="str">
        <x:v>周末/节假日</x:v>
      </x:c>
      <x:c r="D1883" s="14" t="str">
        <x:v>环线2路</x:v>
      </x:c>
      <x:c r="E1883" s="14" t="str">
        <x:v>第一班</x:v>
      </x:c>
      <x:c r="F1883" s="14" t="n">
        <x:v>6</x:v>
      </x:c>
      <x:c r="G1883" s="14" t="str">
        <x:v>11:30</x:v>
      </x:c>
      <x:c r="H1883" s="14" t="str">
        <x:v>研究生宿舍楼</x:v>
      </x:c>
      <x:c r="I1883" s="14" t="str">
        <x:v>否</x:v>
      </x:c>
      <x:c r="J1883" s="14" t="n">
        <x:v>2</x:v>
      </x:c>
      <x:c r="K1883" s="14" t="str">
        <x:v>一食堂</x:v>
      </x:c>
      <x:c r="L1883" s="14" t="n">
        <x:v>1</x:v>
      </x:c>
      <x:c r="M1883" s="14" t="str">
        <x:v>11:31</x:v>
      </x:c>
      <x:c r="N1883" s="14" t="str">
        <x:v>否</x:v>
      </x:c>
      <x:c r="O1883" s="14" t="str">
        <x:v>否</x:v>
      </x:c>
      <x:c r="P1883" s="14" t="str">
        <x:v>刘晓燕</x:v>
      </x:c>
      <x:c r="Q1883" s="14" t="str">
        <x:v>1号车</x:v>
      </x:c>
      <x:c r="R1883" s="14" t="str">
        <x:v>预测</x:v>
      </x:c>
      <x:c r="S1883" s="14" t="str">
        <x:v>到站时间为估算值</x:v>
      </x:c>
      <x:c r="T1883" t="str">
        <x:v>研究生宿舍楼发车</x:v>
      </x:c>
    </x:row>
    <x:row r="1884">
      <x:c r="A1884" s="14" t="str">
        <x:v>S0162-03</x:v>
      </x:c>
      <x:c r="B1884" s="14" t="str">
        <x:v>S0162</x:v>
      </x:c>
      <x:c r="C1884" s="14" t="str">
        <x:v>周末/节假日</x:v>
      </x:c>
      <x:c r="D1884" s="14" t="str">
        <x:v>环线2路</x:v>
      </x:c>
      <x:c r="E1884" s="14" t="str">
        <x:v>第一班</x:v>
      </x:c>
      <x:c r="F1884" s="14" t="n">
        <x:v>6</x:v>
      </x:c>
      <x:c r="G1884" s="14" t="str">
        <x:v>11:30</x:v>
      </x:c>
      <x:c r="H1884" s="14" t="str">
        <x:v>研究生宿舍楼</x:v>
      </x:c>
      <x:c r="I1884" s="14" t="str">
        <x:v>否</x:v>
      </x:c>
      <x:c r="J1884" s="14" t="n">
        <x:v>3</x:v>
      </x:c>
      <x:c r="K1884" s="14" t="str">
        <x:v>门诊部</x:v>
      </x:c>
      <x:c r="L1884" s="14" t="n">
        <x:v>2</x:v>
      </x:c>
      <x:c r="M1884" s="14" t="str">
        <x:v>11:32</x:v>
      </x:c>
      <x:c r="N1884" s="14" t="str">
        <x:v>否</x:v>
      </x:c>
      <x:c r="O1884" s="14" t="str">
        <x:v>否</x:v>
      </x:c>
      <x:c r="P1884" s="14" t="str">
        <x:v>刘晓燕</x:v>
      </x:c>
      <x:c r="Q1884" s="14" t="str">
        <x:v>1号车</x:v>
      </x:c>
      <x:c r="R1884" s="14" t="str">
        <x:v>预测</x:v>
      </x:c>
      <x:c r="S1884" s="14" t="str">
        <x:v>到站时间为估算值</x:v>
      </x:c>
      <x:c r="T1884" t="str">
        <x:v>研究生宿舍楼发车</x:v>
      </x:c>
    </x:row>
    <x:row r="1885">
      <x:c r="A1885" s="14" t="str">
        <x:v>S0162-04</x:v>
      </x:c>
      <x:c r="B1885" s="14" t="str">
        <x:v>S0162</x:v>
      </x:c>
      <x:c r="C1885" s="14" t="str">
        <x:v>周末/节假日</x:v>
      </x:c>
      <x:c r="D1885" s="14" t="str">
        <x:v>环线2路</x:v>
      </x:c>
      <x:c r="E1885" s="14" t="str">
        <x:v>第一班</x:v>
      </x:c>
      <x:c r="F1885" s="14" t="n">
        <x:v>6</x:v>
      </x:c>
      <x:c r="G1885" s="14" t="str">
        <x:v>11:30</x:v>
      </x:c>
      <x:c r="H1885" s="14" t="str">
        <x:v>研究生宿舍楼</x:v>
      </x:c>
      <x:c r="I1885" s="14" t="str">
        <x:v>否</x:v>
      </x:c>
      <x:c r="J1885" s="14" t="n">
        <x:v>4</x:v>
      </x:c>
      <x:c r="K1885" s="14" t="str">
        <x:v>1号宿舍楼</x:v>
      </x:c>
      <x:c r="L1885" s="14" t="n">
        <x:v>3</x:v>
      </x:c>
      <x:c r="M1885" s="14" t="str">
        <x:v>11:33</x:v>
      </x:c>
      <x:c r="N1885" s="14" t="str">
        <x:v>否</x:v>
      </x:c>
      <x:c r="O1885" s="14" t="str">
        <x:v>否</x:v>
      </x:c>
      <x:c r="P1885" s="14" t="str">
        <x:v>刘晓燕</x:v>
      </x:c>
      <x:c r="Q1885" s="14" t="str">
        <x:v>1号车</x:v>
      </x:c>
      <x:c r="R1885" s="14" t="str">
        <x:v>预测</x:v>
      </x:c>
      <x:c r="S1885" s="14" t="str">
        <x:v>到站时间为估算值</x:v>
      </x:c>
      <x:c r="T1885" t="str">
        <x:v>研究生宿舍楼发车</x:v>
      </x:c>
    </x:row>
    <x:row r="1886">
      <x:c r="A1886" s="14" t="str">
        <x:v>S0162-05</x:v>
      </x:c>
      <x:c r="B1886" s="14" t="str">
        <x:v>S0162</x:v>
      </x:c>
      <x:c r="C1886" s="14" t="str">
        <x:v>周末/节假日</x:v>
      </x:c>
      <x:c r="D1886" s="14" t="str">
        <x:v>环线2路</x:v>
      </x:c>
      <x:c r="E1886" s="14" t="str">
        <x:v>第一班</x:v>
      </x:c>
      <x:c r="F1886" s="14" t="n">
        <x:v>6</x:v>
      </x:c>
      <x:c r="G1886" s="14" t="str">
        <x:v>11:30</x:v>
      </x:c>
      <x:c r="H1886" s="14" t="str">
        <x:v>研究生宿舍楼</x:v>
      </x:c>
      <x:c r="I1886" s="14" t="str">
        <x:v>否</x:v>
      </x:c>
      <x:c r="J1886" s="14" t="n">
        <x:v>5</x:v>
      </x:c>
      <x:c r="K1886" s="14" t="str">
        <x:v>水上训练中心</x:v>
      </x:c>
      <x:c r="L1886" s="14" t="n">
        <x:v>5</x:v>
      </x:c>
      <x:c r="M1886" s="14" t="str">
        <x:v>11:35</x:v>
      </x:c>
      <x:c r="N1886" s="14" t="str">
        <x:v>否</x:v>
      </x:c>
      <x:c r="O1886" s="14" t="str">
        <x:v>否</x:v>
      </x:c>
      <x:c r="P1886" s="14" t="str">
        <x:v>刘晓燕</x:v>
      </x:c>
      <x:c r="Q1886" s="14" t="str">
        <x:v>1号车</x:v>
      </x:c>
      <x:c r="R1886" s="14" t="str">
        <x:v>预测</x:v>
      </x:c>
      <x:c r="S1886" s="14" t="str">
        <x:v>到站时间为估算值</x:v>
      </x:c>
      <x:c r="T1886" t="str">
        <x:v>研究生宿舍楼发车</x:v>
      </x:c>
    </x:row>
    <x:row r="1887">
      <x:c r="A1887" s="14" t="str">
        <x:v>S0162-06</x:v>
      </x:c>
      <x:c r="B1887" s="14" t="str">
        <x:v>S0162</x:v>
      </x:c>
      <x:c r="C1887" s="14" t="str">
        <x:v>周末/节假日</x:v>
      </x:c>
      <x:c r="D1887" s="14" t="str">
        <x:v>环线2路</x:v>
      </x:c>
      <x:c r="E1887" s="14" t="str">
        <x:v>第一班</x:v>
      </x:c>
      <x:c r="F1887" s="14" t="n">
        <x:v>6</x:v>
      </x:c>
      <x:c r="G1887" s="14" t="str">
        <x:v>11:30</x:v>
      </x:c>
      <x:c r="H1887" s="14" t="str">
        <x:v>研究生宿舍楼</x:v>
      </x:c>
      <x:c r="I1887" s="14" t="str">
        <x:v>否</x:v>
      </x:c>
      <x:c r="J1887" s="14" t="n">
        <x:v>6</x:v>
      </x:c>
      <x:c r="K1887" s="14" t="str">
        <x:v>军体活动中心</x:v>
      </x:c>
      <x:c r="L1887" s="14" t="n">
        <x:v>6</x:v>
      </x:c>
      <x:c r="M1887" s="14" t="str">
        <x:v>11:36</x:v>
      </x:c>
      <x:c r="N1887" s="14" t="str">
        <x:v>否</x:v>
      </x:c>
      <x:c r="O1887" s="14" t="str">
        <x:v>否</x:v>
      </x:c>
      <x:c r="P1887" s="14" t="str">
        <x:v>刘晓燕</x:v>
      </x:c>
      <x:c r="Q1887" s="14" t="str">
        <x:v>1号车</x:v>
      </x:c>
      <x:c r="R1887" s="14" t="str">
        <x:v>预测</x:v>
      </x:c>
      <x:c r="S1887" s="14" t="str">
        <x:v>到站时间为估算值</x:v>
      </x:c>
      <x:c r="T1887" t="str">
        <x:v>研究生宿舍楼发车</x:v>
      </x:c>
    </x:row>
    <x:row r="1888">
      <x:c r="A1888" s="14" t="str">
        <x:v>S0162-07</x:v>
      </x:c>
      <x:c r="B1888" s="14" t="str">
        <x:v>S0162</x:v>
      </x:c>
      <x:c r="C1888" s="14" t="str">
        <x:v>周末/节假日</x:v>
      </x:c>
      <x:c r="D1888" s="14" t="str">
        <x:v>环线2路</x:v>
      </x:c>
      <x:c r="E1888" s="14" t="str">
        <x:v>第一班</x:v>
      </x:c>
      <x:c r="F1888" s="14" t="n">
        <x:v>6</x:v>
      </x:c>
      <x:c r="G1888" s="14" t="str">
        <x:v>11:30</x:v>
      </x:c>
      <x:c r="H1888" s="14" t="str">
        <x:v>研究生宿舍楼</x:v>
      </x:c>
      <x:c r="I1888" s="14" t="str">
        <x:v>否</x:v>
      </x:c>
      <x:c r="J1888" s="14" t="n">
        <x:v>7</x:v>
      </x:c>
      <x:c r="K1888" s="14" t="str">
        <x:v>二食堂</x:v>
      </x:c>
      <x:c r="L1888" s="14" t="n">
        <x:v>8</x:v>
      </x:c>
      <x:c r="M1888" s="14" t="str">
        <x:v>11:38</x:v>
      </x:c>
      <x:c r="N1888" s="14" t="str">
        <x:v>否</x:v>
      </x:c>
      <x:c r="O1888" s="14" t="str">
        <x:v>否</x:v>
      </x:c>
      <x:c r="P1888" s="14" t="str">
        <x:v>刘晓燕</x:v>
      </x:c>
      <x:c r="Q1888" s="14" t="str">
        <x:v>1号车</x:v>
      </x:c>
      <x:c r="R1888" s="14" t="str">
        <x:v>预测</x:v>
      </x:c>
      <x:c r="S1888" s="14" t="str">
        <x:v>到站时间为估算值</x:v>
      </x:c>
      <x:c r="T1888" t="str">
        <x:v>研究生宿舍楼发车</x:v>
      </x:c>
    </x:row>
    <x:row r="1889">
      <x:c r="A1889" s="14" t="str">
        <x:v>S0162-08</x:v>
      </x:c>
      <x:c r="B1889" s="14" t="str">
        <x:v>S0162</x:v>
      </x:c>
      <x:c r="C1889" s="14" t="str">
        <x:v>周末/节假日</x:v>
      </x:c>
      <x:c r="D1889" s="14" t="str">
        <x:v>环线2路</x:v>
      </x:c>
      <x:c r="E1889" s="14" t="str">
        <x:v>第一班</x:v>
      </x:c>
      <x:c r="F1889" s="14" t="n">
        <x:v>6</x:v>
      </x:c>
      <x:c r="G1889" s="14" t="str">
        <x:v>11:30</x:v>
      </x:c>
      <x:c r="H1889" s="14" t="str">
        <x:v>研究生宿舍楼</x:v>
      </x:c>
      <x:c r="I1889" s="14" t="str">
        <x:v>否</x:v>
      </x:c>
      <x:c r="J1889" s="14" t="n">
        <x:v>8</x:v>
      </x:c>
      <x:c r="K1889" s="14" t="str">
        <x:v>5号宿舍楼</x:v>
      </x:c>
      <x:c r="L1889" s="14" t="n">
        <x:v>9</x:v>
      </x:c>
      <x:c r="M1889" s="14" t="str">
        <x:v>11:39</x:v>
      </x:c>
      <x:c r="N1889" s="14" t="str">
        <x:v>否</x:v>
      </x:c>
      <x:c r="O1889" s="14" t="str">
        <x:v>否</x:v>
      </x:c>
      <x:c r="P1889" s="14" t="str">
        <x:v>刘晓燕</x:v>
      </x:c>
      <x:c r="Q1889" s="14" t="str">
        <x:v>1号车</x:v>
      </x:c>
      <x:c r="R1889" s="14" t="str">
        <x:v>预测</x:v>
      </x:c>
      <x:c r="S1889" s="14" t="str">
        <x:v>到站时间为估算值</x:v>
      </x:c>
      <x:c r="T1889" t="str">
        <x:v>研究生宿舍楼发车</x:v>
      </x:c>
    </x:row>
    <x:row r="1890">
      <x:c r="A1890" s="14" t="str">
        <x:v>S0162-09</x:v>
      </x:c>
      <x:c r="B1890" s="14" t="str">
        <x:v>S0162</x:v>
      </x:c>
      <x:c r="C1890" s="14" t="str">
        <x:v>周末/节假日</x:v>
      </x:c>
      <x:c r="D1890" s="14" t="str">
        <x:v>环线2路</x:v>
      </x:c>
      <x:c r="E1890" s="14" t="str">
        <x:v>第一班</x:v>
      </x:c>
      <x:c r="F1890" s="14" t="n">
        <x:v>6</x:v>
      </x:c>
      <x:c r="G1890" s="14" t="str">
        <x:v>11:30</x:v>
      </x:c>
      <x:c r="H1890" s="14" t="str">
        <x:v>研究生宿舍楼</x:v>
      </x:c>
      <x:c r="I1890" s="14" t="str">
        <x:v>否</x:v>
      </x:c>
      <x:c r="J1890" s="14" t="n">
        <x:v>9</x:v>
      </x:c>
      <x:c r="K1890" s="14" t="str">
        <x:v>305教学楼</x:v>
      </x:c>
      <x:c r="L1890" s="14" t="n">
        <x:v>10</x:v>
      </x:c>
      <x:c r="M1890" s="14" t="str">
        <x:v>11:40</x:v>
      </x:c>
      <x:c r="N1890" s="14" t="str">
        <x:v>否</x:v>
      </x:c>
      <x:c r="O1890" s="14" t="str">
        <x:v>否</x:v>
      </x:c>
      <x:c r="P1890" s="14" t="str">
        <x:v>刘晓燕</x:v>
      </x:c>
      <x:c r="Q1890" s="14" t="str">
        <x:v>1号车</x:v>
      </x:c>
      <x:c r="R1890" s="14" t="str">
        <x:v>预测</x:v>
      </x:c>
      <x:c r="S1890" s="14" t="str">
        <x:v>到站时间为估算值</x:v>
      </x:c>
      <x:c r="T1890" t="str">
        <x:v>研究生宿舍楼发车</x:v>
      </x:c>
    </x:row>
    <x:row r="1891">
      <x:c r="A1891" s="14" t="str">
        <x:v>S0162-10</x:v>
      </x:c>
      <x:c r="B1891" s="14" t="str">
        <x:v>S0162</x:v>
      </x:c>
      <x:c r="C1891" s="14" t="str">
        <x:v>周末/节假日</x:v>
      </x:c>
      <x:c r="D1891" s="14" t="str">
        <x:v>环线2路</x:v>
      </x:c>
      <x:c r="E1891" s="14" t="str">
        <x:v>第一班</x:v>
      </x:c>
      <x:c r="F1891" s="14" t="n">
        <x:v>6</x:v>
      </x:c>
      <x:c r="G1891" s="14" t="str">
        <x:v>11:30</x:v>
      </x:c>
      <x:c r="H1891" s="14" t="str">
        <x:v>研究生宿舍楼</x:v>
      </x:c>
      <x:c r="I1891" s="14" t="str">
        <x:v>否</x:v>
      </x:c>
      <x:c r="J1891" s="14" t="n">
        <x:v>10</x:v>
      </x:c>
      <x:c r="K1891" s="14" t="str">
        <x:v>研究生宿舍楼</x:v>
      </x:c>
      <x:c r="L1891" s="14" t="n">
        <x:v>12</x:v>
      </x:c>
      <x:c r="M1891" s="14" t="str">
        <x:v>11:42</x:v>
      </x:c>
      <x:c r="N1891" s="14" t="str">
        <x:v>否</x:v>
      </x:c>
      <x:c r="O1891" s="14" t="str">
        <x:v>是</x:v>
      </x:c>
      <x:c r="P1891" s="14" t="str">
        <x:v>刘晓燕</x:v>
      </x:c>
      <x:c r="Q1891" s="14" t="str">
        <x:v>1号车</x:v>
      </x:c>
      <x:c r="R1891" s="14" t="str">
        <x:v>预测</x:v>
      </x:c>
      <x:c r="S1891" s="14" t="str">
        <x:v>到站时间为估算值</x:v>
      </x:c>
      <x:c r="T1891" t="str">
        <x:v>研究生宿舍楼发车</x:v>
      </x:c>
    </x:row>
    <x:row r="1892">
      <x:c r="A1892" s="14" t="str">
        <x:v>S0163-01</x:v>
      </x:c>
      <x:c r="B1892" s="14" t="str">
        <x:v>S0163</x:v>
      </x:c>
      <x:c r="C1892" s="14" t="str">
        <x:v>周末/节假日</x:v>
      </x:c>
      <x:c r="D1892" s="14" t="str">
        <x:v>环线2路</x:v>
      </x:c>
      <x:c r="E1892" s="14" t="str">
        <x:v>第一班</x:v>
      </x:c>
      <x:c r="F1892" s="14" t="n">
        <x:v>7</x:v>
      </x:c>
      <x:c r="G1892" s="14" t="str">
        <x:v>12:00</x:v>
      </x:c>
      <x:c r="H1892" s="14" t="str">
        <x:v>研究生宿舍楼</x:v>
      </x:c>
      <x:c r="I1892" s="14" t="str">
        <x:v>否</x:v>
      </x:c>
      <x:c r="J1892" s="14" t="n">
        <x:v>1</x:v>
      </x:c>
      <x:c r="K1892" s="14" t="str">
        <x:v>研究生宿舍楼</x:v>
      </x:c>
      <x:c r="L1892" s="14" t="n">
        <x:v>0</x:v>
      </x:c>
      <x:c r="M1892" s="14" t="str">
        <x:v>12:00</x:v>
      </x:c>
      <x:c r="N1892" s="14" t="str">
        <x:v>是</x:v>
      </x:c>
      <x:c r="O1892" s="14" t="str">
        <x:v>否</x:v>
      </x:c>
      <x:c r="P1892" s="14" t="str">
        <x:v>刘晓燕</x:v>
      </x:c>
      <x:c r="Q1892" s="14" t="str">
        <x:v>1号车</x:v>
      </x:c>
      <x:c r="R1892" s="14" t="str">
        <x:v>预测</x:v>
      </x:c>
      <x:c r="S1892" s="14" t="str">
        <x:v>到站时间为估算值</x:v>
      </x:c>
      <x:c r="T1892" t="str">
        <x:v>研究生宿舍楼发车</x:v>
      </x:c>
    </x:row>
    <x:row r="1893">
      <x:c r="A1893" s="14" t="str">
        <x:v>S0163-02</x:v>
      </x:c>
      <x:c r="B1893" s="14" t="str">
        <x:v>S0163</x:v>
      </x:c>
      <x:c r="C1893" s="14" t="str">
        <x:v>周末/节假日</x:v>
      </x:c>
      <x:c r="D1893" s="14" t="str">
        <x:v>环线2路</x:v>
      </x:c>
      <x:c r="E1893" s="14" t="str">
        <x:v>第一班</x:v>
      </x:c>
      <x:c r="F1893" s="14" t="n">
        <x:v>7</x:v>
      </x:c>
      <x:c r="G1893" s="14" t="str">
        <x:v>12:00</x:v>
      </x:c>
      <x:c r="H1893" s="14" t="str">
        <x:v>研究生宿舍楼</x:v>
      </x:c>
      <x:c r="I1893" s="14" t="str">
        <x:v>否</x:v>
      </x:c>
      <x:c r="J1893" s="14" t="n">
        <x:v>2</x:v>
      </x:c>
      <x:c r="K1893" s="14" t="str">
        <x:v>一食堂</x:v>
      </x:c>
      <x:c r="L1893" s="14" t="n">
        <x:v>1</x:v>
      </x:c>
      <x:c r="M1893" s="14" t="str">
        <x:v>12:01</x:v>
      </x:c>
      <x:c r="N1893" s="14" t="str">
        <x:v>否</x:v>
      </x:c>
      <x:c r="O1893" s="14" t="str">
        <x:v>否</x:v>
      </x:c>
      <x:c r="P1893" s="14" t="str">
        <x:v>刘晓燕</x:v>
      </x:c>
      <x:c r="Q1893" s="14" t="str">
        <x:v>1号车</x:v>
      </x:c>
      <x:c r="R1893" s="14" t="str">
        <x:v>预测</x:v>
      </x:c>
      <x:c r="S1893" s="14" t="str">
        <x:v>到站时间为估算值</x:v>
      </x:c>
      <x:c r="T1893" t="str">
        <x:v>研究生宿舍楼发车</x:v>
      </x:c>
    </x:row>
    <x:row r="1894">
      <x:c r="A1894" s="14" t="str">
        <x:v>S0163-03</x:v>
      </x:c>
      <x:c r="B1894" s="14" t="str">
        <x:v>S0163</x:v>
      </x:c>
      <x:c r="C1894" s="14" t="str">
        <x:v>周末/节假日</x:v>
      </x:c>
      <x:c r="D1894" s="14" t="str">
        <x:v>环线2路</x:v>
      </x:c>
      <x:c r="E1894" s="14" t="str">
        <x:v>第一班</x:v>
      </x:c>
      <x:c r="F1894" s="14" t="n">
        <x:v>7</x:v>
      </x:c>
      <x:c r="G1894" s="14" t="str">
        <x:v>12:00</x:v>
      </x:c>
      <x:c r="H1894" s="14" t="str">
        <x:v>研究生宿舍楼</x:v>
      </x:c>
      <x:c r="I1894" s="14" t="str">
        <x:v>否</x:v>
      </x:c>
      <x:c r="J1894" s="14" t="n">
        <x:v>3</x:v>
      </x:c>
      <x:c r="K1894" s="14" t="str">
        <x:v>门诊部</x:v>
      </x:c>
      <x:c r="L1894" s="14" t="n">
        <x:v>2</x:v>
      </x:c>
      <x:c r="M1894" s="14" t="str">
        <x:v>12:02</x:v>
      </x:c>
      <x:c r="N1894" s="14" t="str">
        <x:v>否</x:v>
      </x:c>
      <x:c r="O1894" s="14" t="str">
        <x:v>否</x:v>
      </x:c>
      <x:c r="P1894" s="14" t="str">
        <x:v>刘晓燕</x:v>
      </x:c>
      <x:c r="Q1894" s="14" t="str">
        <x:v>1号车</x:v>
      </x:c>
      <x:c r="R1894" s="14" t="str">
        <x:v>预测</x:v>
      </x:c>
      <x:c r="S1894" s="14" t="str">
        <x:v>到站时间为估算值</x:v>
      </x:c>
      <x:c r="T1894" t="str">
        <x:v>研究生宿舍楼发车</x:v>
      </x:c>
    </x:row>
    <x:row r="1895">
      <x:c r="A1895" s="14" t="str">
        <x:v>S0163-04</x:v>
      </x:c>
      <x:c r="B1895" s="14" t="str">
        <x:v>S0163</x:v>
      </x:c>
      <x:c r="C1895" s="14" t="str">
        <x:v>周末/节假日</x:v>
      </x:c>
      <x:c r="D1895" s="14" t="str">
        <x:v>环线2路</x:v>
      </x:c>
      <x:c r="E1895" s="14" t="str">
        <x:v>第一班</x:v>
      </x:c>
      <x:c r="F1895" s="14" t="n">
        <x:v>7</x:v>
      </x:c>
      <x:c r="G1895" s="14" t="str">
        <x:v>12:00</x:v>
      </x:c>
      <x:c r="H1895" s="14" t="str">
        <x:v>研究生宿舍楼</x:v>
      </x:c>
      <x:c r="I1895" s="14" t="str">
        <x:v>否</x:v>
      </x:c>
      <x:c r="J1895" s="14" t="n">
        <x:v>4</x:v>
      </x:c>
      <x:c r="K1895" s="14" t="str">
        <x:v>1号宿舍楼</x:v>
      </x:c>
      <x:c r="L1895" s="14" t="n">
        <x:v>3</x:v>
      </x:c>
      <x:c r="M1895" s="14" t="str">
        <x:v>12:03</x:v>
      </x:c>
      <x:c r="N1895" s="14" t="str">
        <x:v>否</x:v>
      </x:c>
      <x:c r="O1895" s="14" t="str">
        <x:v>否</x:v>
      </x:c>
      <x:c r="P1895" s="14" t="str">
        <x:v>刘晓燕</x:v>
      </x:c>
      <x:c r="Q1895" s="14" t="str">
        <x:v>1号车</x:v>
      </x:c>
      <x:c r="R1895" s="14" t="str">
        <x:v>预测</x:v>
      </x:c>
      <x:c r="S1895" s="14" t="str">
        <x:v>到站时间为估算值</x:v>
      </x:c>
      <x:c r="T1895" t="str">
        <x:v>研究生宿舍楼发车</x:v>
      </x:c>
    </x:row>
    <x:row r="1896">
      <x:c r="A1896" s="14" t="str">
        <x:v>S0163-05</x:v>
      </x:c>
      <x:c r="B1896" s="14" t="str">
        <x:v>S0163</x:v>
      </x:c>
      <x:c r="C1896" s="14" t="str">
        <x:v>周末/节假日</x:v>
      </x:c>
      <x:c r="D1896" s="14" t="str">
        <x:v>环线2路</x:v>
      </x:c>
      <x:c r="E1896" s="14" t="str">
        <x:v>第一班</x:v>
      </x:c>
      <x:c r="F1896" s="14" t="n">
        <x:v>7</x:v>
      </x:c>
      <x:c r="G1896" s="14" t="str">
        <x:v>12:00</x:v>
      </x:c>
      <x:c r="H1896" s="14" t="str">
        <x:v>研究生宿舍楼</x:v>
      </x:c>
      <x:c r="I1896" s="14" t="str">
        <x:v>否</x:v>
      </x:c>
      <x:c r="J1896" s="14" t="n">
        <x:v>5</x:v>
      </x:c>
      <x:c r="K1896" s="14" t="str">
        <x:v>水上训练中心</x:v>
      </x:c>
      <x:c r="L1896" s="14" t="n">
        <x:v>5</x:v>
      </x:c>
      <x:c r="M1896" s="14" t="str">
        <x:v>12:05</x:v>
      </x:c>
      <x:c r="N1896" s="14" t="str">
        <x:v>否</x:v>
      </x:c>
      <x:c r="O1896" s="14" t="str">
        <x:v>否</x:v>
      </x:c>
      <x:c r="P1896" s="14" t="str">
        <x:v>刘晓燕</x:v>
      </x:c>
      <x:c r="Q1896" s="14" t="str">
        <x:v>1号车</x:v>
      </x:c>
      <x:c r="R1896" s="14" t="str">
        <x:v>预测</x:v>
      </x:c>
      <x:c r="S1896" s="14" t="str">
        <x:v>到站时间为估算值</x:v>
      </x:c>
      <x:c r="T1896" t="str">
        <x:v>研究生宿舍楼发车</x:v>
      </x:c>
    </x:row>
    <x:row r="1897">
      <x:c r="A1897" s="14" t="str">
        <x:v>S0163-06</x:v>
      </x:c>
      <x:c r="B1897" s="14" t="str">
        <x:v>S0163</x:v>
      </x:c>
      <x:c r="C1897" s="14" t="str">
        <x:v>周末/节假日</x:v>
      </x:c>
      <x:c r="D1897" s="14" t="str">
        <x:v>环线2路</x:v>
      </x:c>
      <x:c r="E1897" s="14" t="str">
        <x:v>第一班</x:v>
      </x:c>
      <x:c r="F1897" s="14" t="n">
        <x:v>7</x:v>
      </x:c>
      <x:c r="G1897" s="14" t="str">
        <x:v>12:00</x:v>
      </x:c>
      <x:c r="H1897" s="14" t="str">
        <x:v>研究生宿舍楼</x:v>
      </x:c>
      <x:c r="I1897" s="14" t="str">
        <x:v>否</x:v>
      </x:c>
      <x:c r="J1897" s="14" t="n">
        <x:v>6</x:v>
      </x:c>
      <x:c r="K1897" s="14" t="str">
        <x:v>军体活动中心</x:v>
      </x:c>
      <x:c r="L1897" s="14" t="n">
        <x:v>6</x:v>
      </x:c>
      <x:c r="M1897" s="14" t="str">
        <x:v>12:06</x:v>
      </x:c>
      <x:c r="N1897" s="14" t="str">
        <x:v>否</x:v>
      </x:c>
      <x:c r="O1897" s="14" t="str">
        <x:v>否</x:v>
      </x:c>
      <x:c r="P1897" s="14" t="str">
        <x:v>刘晓燕</x:v>
      </x:c>
      <x:c r="Q1897" s="14" t="str">
        <x:v>1号车</x:v>
      </x:c>
      <x:c r="R1897" s="14" t="str">
        <x:v>预测</x:v>
      </x:c>
      <x:c r="S1897" s="14" t="str">
        <x:v>到站时间为估算值</x:v>
      </x:c>
      <x:c r="T1897" t="str">
        <x:v>研究生宿舍楼发车</x:v>
      </x:c>
    </x:row>
    <x:row r="1898">
      <x:c r="A1898" s="14" t="str">
        <x:v>S0163-07</x:v>
      </x:c>
      <x:c r="B1898" s="14" t="str">
        <x:v>S0163</x:v>
      </x:c>
      <x:c r="C1898" s="14" t="str">
        <x:v>周末/节假日</x:v>
      </x:c>
      <x:c r="D1898" s="14" t="str">
        <x:v>环线2路</x:v>
      </x:c>
      <x:c r="E1898" s="14" t="str">
        <x:v>第一班</x:v>
      </x:c>
      <x:c r="F1898" s="14" t="n">
        <x:v>7</x:v>
      </x:c>
      <x:c r="G1898" s="14" t="str">
        <x:v>12:00</x:v>
      </x:c>
      <x:c r="H1898" s="14" t="str">
        <x:v>研究生宿舍楼</x:v>
      </x:c>
      <x:c r="I1898" s="14" t="str">
        <x:v>否</x:v>
      </x:c>
      <x:c r="J1898" s="14" t="n">
        <x:v>7</x:v>
      </x:c>
      <x:c r="K1898" s="14" t="str">
        <x:v>二食堂</x:v>
      </x:c>
      <x:c r="L1898" s="14" t="n">
        <x:v>8</x:v>
      </x:c>
      <x:c r="M1898" s="14" t="str">
        <x:v>12:08</x:v>
      </x:c>
      <x:c r="N1898" s="14" t="str">
        <x:v>否</x:v>
      </x:c>
      <x:c r="O1898" s="14" t="str">
        <x:v>否</x:v>
      </x:c>
      <x:c r="P1898" s="14" t="str">
        <x:v>刘晓燕</x:v>
      </x:c>
      <x:c r="Q1898" s="14" t="str">
        <x:v>1号车</x:v>
      </x:c>
      <x:c r="R1898" s="14" t="str">
        <x:v>预测</x:v>
      </x:c>
      <x:c r="S1898" s="14" t="str">
        <x:v>到站时间为估算值</x:v>
      </x:c>
      <x:c r="T1898" t="str">
        <x:v>研究生宿舍楼发车</x:v>
      </x:c>
    </x:row>
    <x:row r="1899">
      <x:c r="A1899" s="14" t="str">
        <x:v>S0163-08</x:v>
      </x:c>
      <x:c r="B1899" s="14" t="str">
        <x:v>S0163</x:v>
      </x:c>
      <x:c r="C1899" s="14" t="str">
        <x:v>周末/节假日</x:v>
      </x:c>
      <x:c r="D1899" s="14" t="str">
        <x:v>环线2路</x:v>
      </x:c>
      <x:c r="E1899" s="14" t="str">
        <x:v>第一班</x:v>
      </x:c>
      <x:c r="F1899" s="14" t="n">
        <x:v>7</x:v>
      </x:c>
      <x:c r="G1899" s="14" t="str">
        <x:v>12:00</x:v>
      </x:c>
      <x:c r="H1899" s="14" t="str">
        <x:v>研究生宿舍楼</x:v>
      </x:c>
      <x:c r="I1899" s="14" t="str">
        <x:v>否</x:v>
      </x:c>
      <x:c r="J1899" s="14" t="n">
        <x:v>8</x:v>
      </x:c>
      <x:c r="K1899" s="14" t="str">
        <x:v>5号宿舍楼</x:v>
      </x:c>
      <x:c r="L1899" s="14" t="n">
        <x:v>9</x:v>
      </x:c>
      <x:c r="M1899" s="14" t="str">
        <x:v>12:09</x:v>
      </x:c>
      <x:c r="N1899" s="14" t="str">
        <x:v>否</x:v>
      </x:c>
      <x:c r="O1899" s="14" t="str">
        <x:v>否</x:v>
      </x:c>
      <x:c r="P1899" s="14" t="str">
        <x:v>刘晓燕</x:v>
      </x:c>
      <x:c r="Q1899" s="14" t="str">
        <x:v>1号车</x:v>
      </x:c>
      <x:c r="R1899" s="14" t="str">
        <x:v>预测</x:v>
      </x:c>
      <x:c r="S1899" s="14" t="str">
        <x:v>到站时间为估算值</x:v>
      </x:c>
      <x:c r="T1899" t="str">
        <x:v>研究生宿舍楼发车</x:v>
      </x:c>
    </x:row>
    <x:row r="1900">
      <x:c r="A1900" s="14" t="str">
        <x:v>S0163-09</x:v>
      </x:c>
      <x:c r="B1900" s="14" t="str">
        <x:v>S0163</x:v>
      </x:c>
      <x:c r="C1900" s="14" t="str">
        <x:v>周末/节假日</x:v>
      </x:c>
      <x:c r="D1900" s="14" t="str">
        <x:v>环线2路</x:v>
      </x:c>
      <x:c r="E1900" s="14" t="str">
        <x:v>第一班</x:v>
      </x:c>
      <x:c r="F1900" s="14" t="n">
        <x:v>7</x:v>
      </x:c>
      <x:c r="G1900" s="14" t="str">
        <x:v>12:00</x:v>
      </x:c>
      <x:c r="H1900" s="14" t="str">
        <x:v>研究生宿舍楼</x:v>
      </x:c>
      <x:c r="I1900" s="14" t="str">
        <x:v>否</x:v>
      </x:c>
      <x:c r="J1900" s="14" t="n">
        <x:v>9</x:v>
      </x:c>
      <x:c r="K1900" s="14" t="str">
        <x:v>305教学楼</x:v>
      </x:c>
      <x:c r="L1900" s="14" t="n">
        <x:v>10</x:v>
      </x:c>
      <x:c r="M1900" s="14" t="str">
        <x:v>12:10</x:v>
      </x:c>
      <x:c r="N1900" s="14" t="str">
        <x:v>否</x:v>
      </x:c>
      <x:c r="O1900" s="14" t="str">
        <x:v>否</x:v>
      </x:c>
      <x:c r="P1900" s="14" t="str">
        <x:v>刘晓燕</x:v>
      </x:c>
      <x:c r="Q1900" s="14" t="str">
        <x:v>1号车</x:v>
      </x:c>
      <x:c r="R1900" s="14" t="str">
        <x:v>预测</x:v>
      </x:c>
      <x:c r="S1900" s="14" t="str">
        <x:v>到站时间为估算值</x:v>
      </x:c>
      <x:c r="T1900" t="str">
        <x:v>研究生宿舍楼发车</x:v>
      </x:c>
    </x:row>
    <x:row r="1901">
      <x:c r="A1901" s="14" t="str">
        <x:v>S0163-10</x:v>
      </x:c>
      <x:c r="B1901" s="14" t="str">
        <x:v>S0163</x:v>
      </x:c>
      <x:c r="C1901" s="14" t="str">
        <x:v>周末/节假日</x:v>
      </x:c>
      <x:c r="D1901" s="14" t="str">
        <x:v>环线2路</x:v>
      </x:c>
      <x:c r="E1901" s="14" t="str">
        <x:v>第一班</x:v>
      </x:c>
      <x:c r="F1901" s="14" t="n">
        <x:v>7</x:v>
      </x:c>
      <x:c r="G1901" s="14" t="str">
        <x:v>12:00</x:v>
      </x:c>
      <x:c r="H1901" s="14" t="str">
        <x:v>研究生宿舍楼</x:v>
      </x:c>
      <x:c r="I1901" s="14" t="str">
        <x:v>否</x:v>
      </x:c>
      <x:c r="J1901" s="14" t="n">
        <x:v>10</x:v>
      </x:c>
      <x:c r="K1901" s="14" t="str">
        <x:v>研究生宿舍楼</x:v>
      </x:c>
      <x:c r="L1901" s="14" t="n">
        <x:v>12</x:v>
      </x:c>
      <x:c r="M1901" s="14" t="str">
        <x:v>12:12</x:v>
      </x:c>
      <x:c r="N1901" s="14" t="str">
        <x:v>否</x:v>
      </x:c>
      <x:c r="O1901" s="14" t="str">
        <x:v>是</x:v>
      </x:c>
      <x:c r="P1901" s="14" t="str">
        <x:v>刘晓燕</x:v>
      </x:c>
      <x:c r="Q1901" s="14" t="str">
        <x:v>1号车</x:v>
      </x:c>
      <x:c r="R1901" s="14" t="str">
        <x:v>预测</x:v>
      </x:c>
      <x:c r="S1901" s="14" t="str">
        <x:v>到站时间为估算值</x:v>
      </x:c>
      <x:c r="T1901" t="str">
        <x:v>研究生宿舍楼发车</x:v>
      </x:c>
    </x:row>
    <x:row r="1902">
      <x:c r="A1902" s="14" t="str">
        <x:v>S0164-01</x:v>
      </x:c>
      <x:c r="B1902" s="14" t="str">
        <x:v>S0164</x:v>
      </x:c>
      <x:c r="C1902" s="14" t="str">
        <x:v>周末/节假日</x:v>
      </x:c>
      <x:c r="D1902" s="14" t="str">
        <x:v>环线2路</x:v>
      </x:c>
      <x:c r="E1902" s="14" t="str">
        <x:v>第一班</x:v>
      </x:c>
      <x:c r="F1902" s="14" t="n">
        <x:v>8</x:v>
      </x:c>
      <x:c r="G1902" s="14" t="str">
        <x:v>12:30</x:v>
      </x:c>
      <x:c r="H1902" s="14" t="str">
        <x:v>研究生宿舍楼</x:v>
      </x:c>
      <x:c r="I1902" s="14" t="str">
        <x:v>否</x:v>
      </x:c>
      <x:c r="J1902" s="14" t="n">
        <x:v>1</x:v>
      </x:c>
      <x:c r="K1902" s="14" t="str">
        <x:v>研究生宿舍楼</x:v>
      </x:c>
      <x:c r="L1902" s="14" t="n">
        <x:v>0</x:v>
      </x:c>
      <x:c r="M1902" s="14" t="str">
        <x:v>12:30</x:v>
      </x:c>
      <x:c r="N1902" s="14" t="str">
        <x:v>是</x:v>
      </x:c>
      <x:c r="O1902" s="14" t="str">
        <x:v>否</x:v>
      </x:c>
      <x:c r="P1902" s="14" t="str">
        <x:v>刘晓燕</x:v>
      </x:c>
      <x:c r="Q1902" s="14" t="str">
        <x:v>1号车</x:v>
      </x:c>
      <x:c r="R1902" s="14" t="str">
        <x:v>预测</x:v>
      </x:c>
      <x:c r="S1902" s="14" t="str">
        <x:v>到站时间为估算值</x:v>
      </x:c>
      <x:c r="T1902" t="str">
        <x:v>研究生宿舍楼发车</x:v>
      </x:c>
    </x:row>
    <x:row r="1903">
      <x:c r="A1903" s="14" t="str">
        <x:v>S0164-02</x:v>
      </x:c>
      <x:c r="B1903" s="14" t="str">
        <x:v>S0164</x:v>
      </x:c>
      <x:c r="C1903" s="14" t="str">
        <x:v>周末/节假日</x:v>
      </x:c>
      <x:c r="D1903" s="14" t="str">
        <x:v>环线2路</x:v>
      </x:c>
      <x:c r="E1903" s="14" t="str">
        <x:v>第一班</x:v>
      </x:c>
      <x:c r="F1903" s="14" t="n">
        <x:v>8</x:v>
      </x:c>
      <x:c r="G1903" s="14" t="str">
        <x:v>12:30</x:v>
      </x:c>
      <x:c r="H1903" s="14" t="str">
        <x:v>研究生宿舍楼</x:v>
      </x:c>
      <x:c r="I1903" s="14" t="str">
        <x:v>否</x:v>
      </x:c>
      <x:c r="J1903" s="14" t="n">
        <x:v>2</x:v>
      </x:c>
      <x:c r="K1903" s="14" t="str">
        <x:v>一食堂</x:v>
      </x:c>
      <x:c r="L1903" s="14" t="n">
        <x:v>1</x:v>
      </x:c>
      <x:c r="M1903" s="14" t="str">
        <x:v>12:31</x:v>
      </x:c>
      <x:c r="N1903" s="14" t="str">
        <x:v>否</x:v>
      </x:c>
      <x:c r="O1903" s="14" t="str">
        <x:v>否</x:v>
      </x:c>
      <x:c r="P1903" s="14" t="str">
        <x:v>刘晓燕</x:v>
      </x:c>
      <x:c r="Q1903" s="14" t="str">
        <x:v>1号车</x:v>
      </x:c>
      <x:c r="R1903" s="14" t="str">
        <x:v>预测</x:v>
      </x:c>
      <x:c r="S1903" s="14" t="str">
        <x:v>到站时间为估算值</x:v>
      </x:c>
      <x:c r="T1903" t="str">
        <x:v>研究生宿舍楼发车</x:v>
      </x:c>
    </x:row>
    <x:row r="1904">
      <x:c r="A1904" s="14" t="str">
        <x:v>S0164-03</x:v>
      </x:c>
      <x:c r="B1904" s="14" t="str">
        <x:v>S0164</x:v>
      </x:c>
      <x:c r="C1904" s="14" t="str">
        <x:v>周末/节假日</x:v>
      </x:c>
      <x:c r="D1904" s="14" t="str">
        <x:v>环线2路</x:v>
      </x:c>
      <x:c r="E1904" s="14" t="str">
        <x:v>第一班</x:v>
      </x:c>
      <x:c r="F1904" s="14" t="n">
        <x:v>8</x:v>
      </x:c>
      <x:c r="G1904" s="14" t="str">
        <x:v>12:30</x:v>
      </x:c>
      <x:c r="H1904" s="14" t="str">
        <x:v>研究生宿舍楼</x:v>
      </x:c>
      <x:c r="I1904" s="14" t="str">
        <x:v>否</x:v>
      </x:c>
      <x:c r="J1904" s="14" t="n">
        <x:v>3</x:v>
      </x:c>
      <x:c r="K1904" s="14" t="str">
        <x:v>门诊部</x:v>
      </x:c>
      <x:c r="L1904" s="14" t="n">
        <x:v>2</x:v>
      </x:c>
      <x:c r="M1904" s="14" t="str">
        <x:v>12:32</x:v>
      </x:c>
      <x:c r="N1904" s="14" t="str">
        <x:v>否</x:v>
      </x:c>
      <x:c r="O1904" s="14" t="str">
        <x:v>否</x:v>
      </x:c>
      <x:c r="P1904" s="14" t="str">
        <x:v>刘晓燕</x:v>
      </x:c>
      <x:c r="Q1904" s="14" t="str">
        <x:v>1号车</x:v>
      </x:c>
      <x:c r="R1904" s="14" t="str">
        <x:v>预测</x:v>
      </x:c>
      <x:c r="S1904" s="14" t="str">
        <x:v>到站时间为估算值</x:v>
      </x:c>
      <x:c r="T1904" t="str">
        <x:v>研究生宿舍楼发车</x:v>
      </x:c>
    </x:row>
    <x:row r="1905">
      <x:c r="A1905" s="14" t="str">
        <x:v>S0164-04</x:v>
      </x:c>
      <x:c r="B1905" s="14" t="str">
        <x:v>S0164</x:v>
      </x:c>
      <x:c r="C1905" s="14" t="str">
        <x:v>周末/节假日</x:v>
      </x:c>
      <x:c r="D1905" s="14" t="str">
        <x:v>环线2路</x:v>
      </x:c>
      <x:c r="E1905" s="14" t="str">
        <x:v>第一班</x:v>
      </x:c>
      <x:c r="F1905" s="14" t="n">
        <x:v>8</x:v>
      </x:c>
      <x:c r="G1905" s="14" t="str">
        <x:v>12:30</x:v>
      </x:c>
      <x:c r="H1905" s="14" t="str">
        <x:v>研究生宿舍楼</x:v>
      </x:c>
      <x:c r="I1905" s="14" t="str">
        <x:v>否</x:v>
      </x:c>
      <x:c r="J1905" s="14" t="n">
        <x:v>4</x:v>
      </x:c>
      <x:c r="K1905" s="14" t="str">
        <x:v>1号宿舍楼</x:v>
      </x:c>
      <x:c r="L1905" s="14" t="n">
        <x:v>3</x:v>
      </x:c>
      <x:c r="M1905" s="14" t="str">
        <x:v>12:33</x:v>
      </x:c>
      <x:c r="N1905" s="14" t="str">
        <x:v>否</x:v>
      </x:c>
      <x:c r="O1905" s="14" t="str">
        <x:v>否</x:v>
      </x:c>
      <x:c r="P1905" s="14" t="str">
        <x:v>刘晓燕</x:v>
      </x:c>
      <x:c r="Q1905" s="14" t="str">
        <x:v>1号车</x:v>
      </x:c>
      <x:c r="R1905" s="14" t="str">
        <x:v>预测</x:v>
      </x:c>
      <x:c r="S1905" s="14" t="str">
        <x:v>到站时间为估算值</x:v>
      </x:c>
      <x:c r="T1905" t="str">
        <x:v>研究生宿舍楼发车</x:v>
      </x:c>
    </x:row>
    <x:row r="1906">
      <x:c r="A1906" s="14" t="str">
        <x:v>S0164-05</x:v>
      </x:c>
      <x:c r="B1906" s="14" t="str">
        <x:v>S0164</x:v>
      </x:c>
      <x:c r="C1906" s="14" t="str">
        <x:v>周末/节假日</x:v>
      </x:c>
      <x:c r="D1906" s="14" t="str">
        <x:v>环线2路</x:v>
      </x:c>
      <x:c r="E1906" s="14" t="str">
        <x:v>第一班</x:v>
      </x:c>
      <x:c r="F1906" s="14" t="n">
        <x:v>8</x:v>
      </x:c>
      <x:c r="G1906" s="14" t="str">
        <x:v>12:30</x:v>
      </x:c>
      <x:c r="H1906" s="14" t="str">
        <x:v>研究生宿舍楼</x:v>
      </x:c>
      <x:c r="I1906" s="14" t="str">
        <x:v>否</x:v>
      </x:c>
      <x:c r="J1906" s="14" t="n">
        <x:v>5</x:v>
      </x:c>
      <x:c r="K1906" s="14" t="str">
        <x:v>水上训练中心</x:v>
      </x:c>
      <x:c r="L1906" s="14" t="n">
        <x:v>5</x:v>
      </x:c>
      <x:c r="M1906" s="14" t="str">
        <x:v>12:35</x:v>
      </x:c>
      <x:c r="N1906" s="14" t="str">
        <x:v>否</x:v>
      </x:c>
      <x:c r="O1906" s="14" t="str">
        <x:v>否</x:v>
      </x:c>
      <x:c r="P1906" s="14" t="str">
        <x:v>刘晓燕</x:v>
      </x:c>
      <x:c r="Q1906" s="14" t="str">
        <x:v>1号车</x:v>
      </x:c>
      <x:c r="R1906" s="14" t="str">
        <x:v>预测</x:v>
      </x:c>
      <x:c r="S1906" s="14" t="str">
        <x:v>到站时间为估算值</x:v>
      </x:c>
      <x:c r="T1906" t="str">
        <x:v>研究生宿舍楼发车</x:v>
      </x:c>
    </x:row>
    <x:row r="1907">
      <x:c r="A1907" s="14" t="str">
        <x:v>S0164-06</x:v>
      </x:c>
      <x:c r="B1907" s="14" t="str">
        <x:v>S0164</x:v>
      </x:c>
      <x:c r="C1907" s="14" t="str">
        <x:v>周末/节假日</x:v>
      </x:c>
      <x:c r="D1907" s="14" t="str">
        <x:v>环线2路</x:v>
      </x:c>
      <x:c r="E1907" s="14" t="str">
        <x:v>第一班</x:v>
      </x:c>
      <x:c r="F1907" s="14" t="n">
        <x:v>8</x:v>
      </x:c>
      <x:c r="G1907" s="14" t="str">
        <x:v>12:30</x:v>
      </x:c>
      <x:c r="H1907" s="14" t="str">
        <x:v>研究生宿舍楼</x:v>
      </x:c>
      <x:c r="I1907" s="14" t="str">
        <x:v>否</x:v>
      </x:c>
      <x:c r="J1907" s="14" t="n">
        <x:v>6</x:v>
      </x:c>
      <x:c r="K1907" s="14" t="str">
        <x:v>军体活动中心</x:v>
      </x:c>
      <x:c r="L1907" s="14" t="n">
        <x:v>6</x:v>
      </x:c>
      <x:c r="M1907" s="14" t="str">
        <x:v>12:36</x:v>
      </x:c>
      <x:c r="N1907" s="14" t="str">
        <x:v>否</x:v>
      </x:c>
      <x:c r="O1907" s="14" t="str">
        <x:v>否</x:v>
      </x:c>
      <x:c r="P1907" s="14" t="str">
        <x:v>刘晓燕</x:v>
      </x:c>
      <x:c r="Q1907" s="14" t="str">
        <x:v>1号车</x:v>
      </x:c>
      <x:c r="R1907" s="14" t="str">
        <x:v>预测</x:v>
      </x:c>
      <x:c r="S1907" s="14" t="str">
        <x:v>到站时间为估算值</x:v>
      </x:c>
      <x:c r="T1907" t="str">
        <x:v>研究生宿舍楼发车</x:v>
      </x:c>
    </x:row>
    <x:row r="1908">
      <x:c r="A1908" s="14" t="str">
        <x:v>S0164-07</x:v>
      </x:c>
      <x:c r="B1908" s="14" t="str">
        <x:v>S0164</x:v>
      </x:c>
      <x:c r="C1908" s="14" t="str">
        <x:v>周末/节假日</x:v>
      </x:c>
      <x:c r="D1908" s="14" t="str">
        <x:v>环线2路</x:v>
      </x:c>
      <x:c r="E1908" s="14" t="str">
        <x:v>第一班</x:v>
      </x:c>
      <x:c r="F1908" s="14" t="n">
        <x:v>8</x:v>
      </x:c>
      <x:c r="G1908" s="14" t="str">
        <x:v>12:30</x:v>
      </x:c>
      <x:c r="H1908" s="14" t="str">
        <x:v>研究生宿舍楼</x:v>
      </x:c>
      <x:c r="I1908" s="14" t="str">
        <x:v>否</x:v>
      </x:c>
      <x:c r="J1908" s="14" t="n">
        <x:v>7</x:v>
      </x:c>
      <x:c r="K1908" s="14" t="str">
        <x:v>二食堂</x:v>
      </x:c>
      <x:c r="L1908" s="14" t="n">
        <x:v>8</x:v>
      </x:c>
      <x:c r="M1908" s="14" t="str">
        <x:v>12:38</x:v>
      </x:c>
      <x:c r="N1908" s="14" t="str">
        <x:v>否</x:v>
      </x:c>
      <x:c r="O1908" s="14" t="str">
        <x:v>否</x:v>
      </x:c>
      <x:c r="P1908" s="14" t="str">
        <x:v>刘晓燕</x:v>
      </x:c>
      <x:c r="Q1908" s="14" t="str">
        <x:v>1号车</x:v>
      </x:c>
      <x:c r="R1908" s="14" t="str">
        <x:v>预测</x:v>
      </x:c>
      <x:c r="S1908" s="14" t="str">
        <x:v>到站时间为估算值</x:v>
      </x:c>
      <x:c r="T1908" t="str">
        <x:v>研究生宿舍楼发车</x:v>
      </x:c>
    </x:row>
    <x:row r="1909">
      <x:c r="A1909" s="14" t="str">
        <x:v>S0164-08</x:v>
      </x:c>
      <x:c r="B1909" s="14" t="str">
        <x:v>S0164</x:v>
      </x:c>
      <x:c r="C1909" s="14" t="str">
        <x:v>周末/节假日</x:v>
      </x:c>
      <x:c r="D1909" s="14" t="str">
        <x:v>环线2路</x:v>
      </x:c>
      <x:c r="E1909" s="14" t="str">
        <x:v>第一班</x:v>
      </x:c>
      <x:c r="F1909" s="14" t="n">
        <x:v>8</x:v>
      </x:c>
      <x:c r="G1909" s="14" t="str">
        <x:v>12:30</x:v>
      </x:c>
      <x:c r="H1909" s="14" t="str">
        <x:v>研究生宿舍楼</x:v>
      </x:c>
      <x:c r="I1909" s="14" t="str">
        <x:v>否</x:v>
      </x:c>
      <x:c r="J1909" s="14" t="n">
        <x:v>8</x:v>
      </x:c>
      <x:c r="K1909" s="14" t="str">
        <x:v>5号宿舍楼</x:v>
      </x:c>
      <x:c r="L1909" s="14" t="n">
        <x:v>9</x:v>
      </x:c>
      <x:c r="M1909" s="14" t="str">
        <x:v>12:39</x:v>
      </x:c>
      <x:c r="N1909" s="14" t="str">
        <x:v>否</x:v>
      </x:c>
      <x:c r="O1909" s="14" t="str">
        <x:v>否</x:v>
      </x:c>
      <x:c r="P1909" s="14" t="str">
        <x:v>刘晓燕</x:v>
      </x:c>
      <x:c r="Q1909" s="14" t="str">
        <x:v>1号车</x:v>
      </x:c>
      <x:c r="R1909" s="14" t="str">
        <x:v>预测</x:v>
      </x:c>
      <x:c r="S1909" s="14" t="str">
        <x:v>到站时间为估算值</x:v>
      </x:c>
      <x:c r="T1909" t="str">
        <x:v>研究生宿舍楼发车</x:v>
      </x:c>
    </x:row>
    <x:row r="1910">
      <x:c r="A1910" s="14" t="str">
        <x:v>S0164-09</x:v>
      </x:c>
      <x:c r="B1910" s="14" t="str">
        <x:v>S0164</x:v>
      </x:c>
      <x:c r="C1910" s="14" t="str">
        <x:v>周末/节假日</x:v>
      </x:c>
      <x:c r="D1910" s="14" t="str">
        <x:v>环线2路</x:v>
      </x:c>
      <x:c r="E1910" s="14" t="str">
        <x:v>第一班</x:v>
      </x:c>
      <x:c r="F1910" s="14" t="n">
        <x:v>8</x:v>
      </x:c>
      <x:c r="G1910" s="14" t="str">
        <x:v>12:30</x:v>
      </x:c>
      <x:c r="H1910" s="14" t="str">
        <x:v>研究生宿舍楼</x:v>
      </x:c>
      <x:c r="I1910" s="14" t="str">
        <x:v>否</x:v>
      </x:c>
      <x:c r="J1910" s="14" t="n">
        <x:v>9</x:v>
      </x:c>
      <x:c r="K1910" s="14" t="str">
        <x:v>305教学楼</x:v>
      </x:c>
      <x:c r="L1910" s="14" t="n">
        <x:v>10</x:v>
      </x:c>
      <x:c r="M1910" s="14" t="str">
        <x:v>12:40</x:v>
      </x:c>
      <x:c r="N1910" s="14" t="str">
        <x:v>否</x:v>
      </x:c>
      <x:c r="O1910" s="14" t="str">
        <x:v>否</x:v>
      </x:c>
      <x:c r="P1910" s="14" t="str">
        <x:v>刘晓燕</x:v>
      </x:c>
      <x:c r="Q1910" s="14" t="str">
        <x:v>1号车</x:v>
      </x:c>
      <x:c r="R1910" s="14" t="str">
        <x:v>预测</x:v>
      </x:c>
      <x:c r="S1910" s="14" t="str">
        <x:v>到站时间为估算值</x:v>
      </x:c>
      <x:c r="T1910" t="str">
        <x:v>研究生宿舍楼发车</x:v>
      </x:c>
    </x:row>
    <x:row r="1911">
      <x:c r="A1911" s="14" t="str">
        <x:v>S0164-10</x:v>
      </x:c>
      <x:c r="B1911" s="14" t="str">
        <x:v>S0164</x:v>
      </x:c>
      <x:c r="C1911" s="14" t="str">
        <x:v>周末/节假日</x:v>
      </x:c>
      <x:c r="D1911" s="14" t="str">
        <x:v>环线2路</x:v>
      </x:c>
      <x:c r="E1911" s="14" t="str">
        <x:v>第一班</x:v>
      </x:c>
      <x:c r="F1911" s="14" t="n">
        <x:v>8</x:v>
      </x:c>
      <x:c r="G1911" s="14" t="str">
        <x:v>12:30</x:v>
      </x:c>
      <x:c r="H1911" s="14" t="str">
        <x:v>研究生宿舍楼</x:v>
      </x:c>
      <x:c r="I1911" s="14" t="str">
        <x:v>否</x:v>
      </x:c>
      <x:c r="J1911" s="14" t="n">
        <x:v>10</x:v>
      </x:c>
      <x:c r="K1911" s="14" t="str">
        <x:v>研究生宿舍楼</x:v>
      </x:c>
      <x:c r="L1911" s="14" t="n">
        <x:v>12</x:v>
      </x:c>
      <x:c r="M1911" s="14" t="str">
        <x:v>12:42</x:v>
      </x:c>
      <x:c r="N1911" s="14" t="str">
        <x:v>否</x:v>
      </x:c>
      <x:c r="O1911" s="14" t="str">
        <x:v>是</x:v>
      </x:c>
      <x:c r="P1911" s="14" t="str">
        <x:v>刘晓燕</x:v>
      </x:c>
      <x:c r="Q1911" s="14" t="str">
        <x:v>1号车</x:v>
      </x:c>
      <x:c r="R1911" s="14" t="str">
        <x:v>预测</x:v>
      </x:c>
      <x:c r="S1911" s="14" t="str">
        <x:v>到站时间为估算值</x:v>
      </x:c>
      <x:c r="T1911" t="str">
        <x:v>研究生宿舍楼发车</x:v>
      </x:c>
    </x:row>
    <x:row r="1912">
      <x:c r="A1912" s="14" t="str">
        <x:v>S0165-01</x:v>
      </x:c>
      <x:c r="B1912" s="14" t="str">
        <x:v>S0165</x:v>
      </x:c>
      <x:c r="C1912" s="14" t="str">
        <x:v>周末/节假日</x:v>
      </x:c>
      <x:c r="D1912" s="14" t="str">
        <x:v>环线2路</x:v>
      </x:c>
      <x:c r="E1912" s="14" t="str">
        <x:v>第一班</x:v>
      </x:c>
      <x:c r="F1912" s="14" t="n">
        <x:v>9</x:v>
      </x:c>
      <x:c r="G1912" s="14" t="str">
        <x:v>14:30</x:v>
      </x:c>
      <x:c r="H1912" s="14" t="str">
        <x:v>研究生宿舍楼</x:v>
      </x:c>
      <x:c r="I1912" s="14" t="str">
        <x:v>否</x:v>
      </x:c>
      <x:c r="J1912" s="14" t="n">
        <x:v>1</x:v>
      </x:c>
      <x:c r="K1912" s="14" t="str">
        <x:v>研究生宿舍楼</x:v>
      </x:c>
      <x:c r="L1912" s="14" t="n">
        <x:v>0</x:v>
      </x:c>
      <x:c r="M1912" s="14" t="str">
        <x:v>14:30</x:v>
      </x:c>
      <x:c r="N1912" s="14" t="str">
        <x:v>是</x:v>
      </x:c>
      <x:c r="O1912" s="14" t="str">
        <x:v>否</x:v>
      </x:c>
      <x:c r="P1912" s="14" t="str">
        <x:v>刘晓燕</x:v>
      </x:c>
      <x:c r="Q1912" s="14" t="str">
        <x:v>1号车</x:v>
      </x:c>
      <x:c r="R1912" s="14" t="str">
        <x:v>预测</x:v>
      </x:c>
      <x:c r="S1912" s="14" t="str">
        <x:v>到站时间为估算值</x:v>
      </x:c>
      <x:c r="T1912" t="str">
        <x:v>研究生宿舍楼发车</x:v>
      </x:c>
    </x:row>
    <x:row r="1913">
      <x:c r="A1913" s="14" t="str">
        <x:v>S0165-02</x:v>
      </x:c>
      <x:c r="B1913" s="14" t="str">
        <x:v>S0165</x:v>
      </x:c>
      <x:c r="C1913" s="14" t="str">
        <x:v>周末/节假日</x:v>
      </x:c>
      <x:c r="D1913" s="14" t="str">
        <x:v>环线2路</x:v>
      </x:c>
      <x:c r="E1913" s="14" t="str">
        <x:v>第一班</x:v>
      </x:c>
      <x:c r="F1913" s="14" t="n">
        <x:v>9</x:v>
      </x:c>
      <x:c r="G1913" s="14" t="str">
        <x:v>14:30</x:v>
      </x:c>
      <x:c r="H1913" s="14" t="str">
        <x:v>研究生宿舍楼</x:v>
      </x:c>
      <x:c r="I1913" s="14" t="str">
        <x:v>否</x:v>
      </x:c>
      <x:c r="J1913" s="14" t="n">
        <x:v>2</x:v>
      </x:c>
      <x:c r="K1913" s="14" t="str">
        <x:v>一食堂</x:v>
      </x:c>
      <x:c r="L1913" s="14" t="n">
        <x:v>1</x:v>
      </x:c>
      <x:c r="M1913" s="14" t="str">
        <x:v>14:31</x:v>
      </x:c>
      <x:c r="N1913" s="14" t="str">
        <x:v>否</x:v>
      </x:c>
      <x:c r="O1913" s="14" t="str">
        <x:v>否</x:v>
      </x:c>
      <x:c r="P1913" s="14" t="str">
        <x:v>刘晓燕</x:v>
      </x:c>
      <x:c r="Q1913" s="14" t="str">
        <x:v>1号车</x:v>
      </x:c>
      <x:c r="R1913" s="14" t="str">
        <x:v>预测</x:v>
      </x:c>
      <x:c r="S1913" s="14" t="str">
        <x:v>到站时间为估算值</x:v>
      </x:c>
      <x:c r="T1913" t="str">
        <x:v>研究生宿舍楼发车</x:v>
      </x:c>
    </x:row>
    <x:row r="1914">
      <x:c r="A1914" s="14" t="str">
        <x:v>S0165-03</x:v>
      </x:c>
      <x:c r="B1914" s="14" t="str">
        <x:v>S0165</x:v>
      </x:c>
      <x:c r="C1914" s="14" t="str">
        <x:v>周末/节假日</x:v>
      </x:c>
      <x:c r="D1914" s="14" t="str">
        <x:v>环线2路</x:v>
      </x:c>
      <x:c r="E1914" s="14" t="str">
        <x:v>第一班</x:v>
      </x:c>
      <x:c r="F1914" s="14" t="n">
        <x:v>9</x:v>
      </x:c>
      <x:c r="G1914" s="14" t="str">
        <x:v>14:30</x:v>
      </x:c>
      <x:c r="H1914" s="14" t="str">
        <x:v>研究生宿舍楼</x:v>
      </x:c>
      <x:c r="I1914" s="14" t="str">
        <x:v>否</x:v>
      </x:c>
      <x:c r="J1914" s="14" t="n">
        <x:v>3</x:v>
      </x:c>
      <x:c r="K1914" s="14" t="str">
        <x:v>门诊部</x:v>
      </x:c>
      <x:c r="L1914" s="14" t="n">
        <x:v>2</x:v>
      </x:c>
      <x:c r="M1914" s="14" t="str">
        <x:v>14:32</x:v>
      </x:c>
      <x:c r="N1914" s="14" t="str">
        <x:v>否</x:v>
      </x:c>
      <x:c r="O1914" s="14" t="str">
        <x:v>否</x:v>
      </x:c>
      <x:c r="P1914" s="14" t="str">
        <x:v>刘晓燕</x:v>
      </x:c>
      <x:c r="Q1914" s="14" t="str">
        <x:v>1号车</x:v>
      </x:c>
      <x:c r="R1914" s="14" t="str">
        <x:v>预测</x:v>
      </x:c>
      <x:c r="S1914" s="14" t="str">
        <x:v>到站时间为估算值</x:v>
      </x:c>
      <x:c r="T1914" t="str">
        <x:v>研究生宿舍楼发车</x:v>
      </x:c>
    </x:row>
    <x:row r="1915">
      <x:c r="A1915" s="14" t="str">
        <x:v>S0165-04</x:v>
      </x:c>
      <x:c r="B1915" s="14" t="str">
        <x:v>S0165</x:v>
      </x:c>
      <x:c r="C1915" s="14" t="str">
        <x:v>周末/节假日</x:v>
      </x:c>
      <x:c r="D1915" s="14" t="str">
        <x:v>环线2路</x:v>
      </x:c>
      <x:c r="E1915" s="14" t="str">
        <x:v>第一班</x:v>
      </x:c>
      <x:c r="F1915" s="14" t="n">
        <x:v>9</x:v>
      </x:c>
      <x:c r="G1915" s="14" t="str">
        <x:v>14:30</x:v>
      </x:c>
      <x:c r="H1915" s="14" t="str">
        <x:v>研究生宿舍楼</x:v>
      </x:c>
      <x:c r="I1915" s="14" t="str">
        <x:v>否</x:v>
      </x:c>
      <x:c r="J1915" s="14" t="n">
        <x:v>4</x:v>
      </x:c>
      <x:c r="K1915" s="14" t="str">
        <x:v>1号宿舍楼</x:v>
      </x:c>
      <x:c r="L1915" s="14" t="n">
        <x:v>3</x:v>
      </x:c>
      <x:c r="M1915" s="14" t="str">
        <x:v>14:33</x:v>
      </x:c>
      <x:c r="N1915" s="14" t="str">
        <x:v>否</x:v>
      </x:c>
      <x:c r="O1915" s="14" t="str">
        <x:v>否</x:v>
      </x:c>
      <x:c r="P1915" s="14" t="str">
        <x:v>刘晓燕</x:v>
      </x:c>
      <x:c r="Q1915" s="14" t="str">
        <x:v>1号车</x:v>
      </x:c>
      <x:c r="R1915" s="14" t="str">
        <x:v>预测</x:v>
      </x:c>
      <x:c r="S1915" s="14" t="str">
        <x:v>到站时间为估算值</x:v>
      </x:c>
      <x:c r="T1915" t="str">
        <x:v>研究生宿舍楼发车</x:v>
      </x:c>
    </x:row>
    <x:row r="1916">
      <x:c r="A1916" s="14" t="str">
        <x:v>S0165-05</x:v>
      </x:c>
      <x:c r="B1916" s="14" t="str">
        <x:v>S0165</x:v>
      </x:c>
      <x:c r="C1916" s="14" t="str">
        <x:v>周末/节假日</x:v>
      </x:c>
      <x:c r="D1916" s="14" t="str">
        <x:v>环线2路</x:v>
      </x:c>
      <x:c r="E1916" s="14" t="str">
        <x:v>第一班</x:v>
      </x:c>
      <x:c r="F1916" s="14" t="n">
        <x:v>9</x:v>
      </x:c>
      <x:c r="G1916" s="14" t="str">
        <x:v>14:30</x:v>
      </x:c>
      <x:c r="H1916" s="14" t="str">
        <x:v>研究生宿舍楼</x:v>
      </x:c>
      <x:c r="I1916" s="14" t="str">
        <x:v>否</x:v>
      </x:c>
      <x:c r="J1916" s="14" t="n">
        <x:v>5</x:v>
      </x:c>
      <x:c r="K1916" s="14" t="str">
        <x:v>水上训练中心</x:v>
      </x:c>
      <x:c r="L1916" s="14" t="n">
        <x:v>5</x:v>
      </x:c>
      <x:c r="M1916" s="14" t="str">
        <x:v>14:35</x:v>
      </x:c>
      <x:c r="N1916" s="14" t="str">
        <x:v>否</x:v>
      </x:c>
      <x:c r="O1916" s="14" t="str">
        <x:v>否</x:v>
      </x:c>
      <x:c r="P1916" s="14" t="str">
        <x:v>刘晓燕</x:v>
      </x:c>
      <x:c r="Q1916" s="14" t="str">
        <x:v>1号车</x:v>
      </x:c>
      <x:c r="R1916" s="14" t="str">
        <x:v>预测</x:v>
      </x:c>
      <x:c r="S1916" s="14" t="str">
        <x:v>到站时间为估算值</x:v>
      </x:c>
      <x:c r="T1916" t="str">
        <x:v>研究生宿舍楼发车</x:v>
      </x:c>
    </x:row>
    <x:row r="1917">
      <x:c r="A1917" s="14" t="str">
        <x:v>S0165-06</x:v>
      </x:c>
      <x:c r="B1917" s="14" t="str">
        <x:v>S0165</x:v>
      </x:c>
      <x:c r="C1917" s="14" t="str">
        <x:v>周末/节假日</x:v>
      </x:c>
      <x:c r="D1917" s="14" t="str">
        <x:v>环线2路</x:v>
      </x:c>
      <x:c r="E1917" s="14" t="str">
        <x:v>第一班</x:v>
      </x:c>
      <x:c r="F1917" s="14" t="n">
        <x:v>9</x:v>
      </x:c>
      <x:c r="G1917" s="14" t="str">
        <x:v>14:30</x:v>
      </x:c>
      <x:c r="H1917" s="14" t="str">
        <x:v>研究生宿舍楼</x:v>
      </x:c>
      <x:c r="I1917" s="14" t="str">
        <x:v>否</x:v>
      </x:c>
      <x:c r="J1917" s="14" t="n">
        <x:v>6</x:v>
      </x:c>
      <x:c r="K1917" s="14" t="str">
        <x:v>军体活动中心</x:v>
      </x:c>
      <x:c r="L1917" s="14" t="n">
        <x:v>6</x:v>
      </x:c>
      <x:c r="M1917" s="14" t="str">
        <x:v>14:36</x:v>
      </x:c>
      <x:c r="N1917" s="14" t="str">
        <x:v>否</x:v>
      </x:c>
      <x:c r="O1917" s="14" t="str">
        <x:v>否</x:v>
      </x:c>
      <x:c r="P1917" s="14" t="str">
        <x:v>刘晓燕</x:v>
      </x:c>
      <x:c r="Q1917" s="14" t="str">
        <x:v>1号车</x:v>
      </x:c>
      <x:c r="R1917" s="14" t="str">
        <x:v>预测</x:v>
      </x:c>
      <x:c r="S1917" s="14" t="str">
        <x:v>到站时间为估算值</x:v>
      </x:c>
      <x:c r="T1917" t="str">
        <x:v>研究生宿舍楼发车</x:v>
      </x:c>
    </x:row>
    <x:row r="1918">
      <x:c r="A1918" s="14" t="str">
        <x:v>S0165-07</x:v>
      </x:c>
      <x:c r="B1918" s="14" t="str">
        <x:v>S0165</x:v>
      </x:c>
      <x:c r="C1918" s="14" t="str">
        <x:v>周末/节假日</x:v>
      </x:c>
      <x:c r="D1918" s="14" t="str">
        <x:v>环线2路</x:v>
      </x:c>
      <x:c r="E1918" s="14" t="str">
        <x:v>第一班</x:v>
      </x:c>
      <x:c r="F1918" s="14" t="n">
        <x:v>9</x:v>
      </x:c>
      <x:c r="G1918" s="14" t="str">
        <x:v>14:30</x:v>
      </x:c>
      <x:c r="H1918" s="14" t="str">
        <x:v>研究生宿舍楼</x:v>
      </x:c>
      <x:c r="I1918" s="14" t="str">
        <x:v>否</x:v>
      </x:c>
      <x:c r="J1918" s="14" t="n">
        <x:v>7</x:v>
      </x:c>
      <x:c r="K1918" s="14" t="str">
        <x:v>二食堂</x:v>
      </x:c>
      <x:c r="L1918" s="14" t="n">
        <x:v>8</x:v>
      </x:c>
      <x:c r="M1918" s="14" t="str">
        <x:v>14:38</x:v>
      </x:c>
      <x:c r="N1918" s="14" t="str">
        <x:v>否</x:v>
      </x:c>
      <x:c r="O1918" s="14" t="str">
        <x:v>否</x:v>
      </x:c>
      <x:c r="P1918" s="14" t="str">
        <x:v>刘晓燕</x:v>
      </x:c>
      <x:c r="Q1918" s="14" t="str">
        <x:v>1号车</x:v>
      </x:c>
      <x:c r="R1918" s="14" t="str">
        <x:v>预测</x:v>
      </x:c>
      <x:c r="S1918" s="14" t="str">
        <x:v>到站时间为估算值</x:v>
      </x:c>
      <x:c r="T1918" t="str">
        <x:v>研究生宿舍楼发车</x:v>
      </x:c>
    </x:row>
    <x:row r="1919">
      <x:c r="A1919" s="14" t="str">
        <x:v>S0165-08</x:v>
      </x:c>
      <x:c r="B1919" s="14" t="str">
        <x:v>S0165</x:v>
      </x:c>
      <x:c r="C1919" s="14" t="str">
        <x:v>周末/节假日</x:v>
      </x:c>
      <x:c r="D1919" s="14" t="str">
        <x:v>环线2路</x:v>
      </x:c>
      <x:c r="E1919" s="14" t="str">
        <x:v>第一班</x:v>
      </x:c>
      <x:c r="F1919" s="14" t="n">
        <x:v>9</x:v>
      </x:c>
      <x:c r="G1919" s="14" t="str">
        <x:v>14:30</x:v>
      </x:c>
      <x:c r="H1919" s="14" t="str">
        <x:v>研究生宿舍楼</x:v>
      </x:c>
      <x:c r="I1919" s="14" t="str">
        <x:v>否</x:v>
      </x:c>
      <x:c r="J1919" s="14" t="n">
        <x:v>8</x:v>
      </x:c>
      <x:c r="K1919" s="14" t="str">
        <x:v>5号宿舍楼</x:v>
      </x:c>
      <x:c r="L1919" s="14" t="n">
        <x:v>9</x:v>
      </x:c>
      <x:c r="M1919" s="14" t="str">
        <x:v>14:39</x:v>
      </x:c>
      <x:c r="N1919" s="14" t="str">
        <x:v>否</x:v>
      </x:c>
      <x:c r="O1919" s="14" t="str">
        <x:v>否</x:v>
      </x:c>
      <x:c r="P1919" s="14" t="str">
        <x:v>刘晓燕</x:v>
      </x:c>
      <x:c r="Q1919" s="14" t="str">
        <x:v>1号车</x:v>
      </x:c>
      <x:c r="R1919" s="14" t="str">
        <x:v>预测</x:v>
      </x:c>
      <x:c r="S1919" s="14" t="str">
        <x:v>到站时间为估算值</x:v>
      </x:c>
      <x:c r="T1919" t="str">
        <x:v>研究生宿舍楼发车</x:v>
      </x:c>
    </x:row>
    <x:row r="1920">
      <x:c r="A1920" s="14" t="str">
        <x:v>S0165-09</x:v>
      </x:c>
      <x:c r="B1920" s="14" t="str">
        <x:v>S0165</x:v>
      </x:c>
      <x:c r="C1920" s="14" t="str">
        <x:v>周末/节假日</x:v>
      </x:c>
      <x:c r="D1920" s="14" t="str">
        <x:v>环线2路</x:v>
      </x:c>
      <x:c r="E1920" s="14" t="str">
        <x:v>第一班</x:v>
      </x:c>
      <x:c r="F1920" s="14" t="n">
        <x:v>9</x:v>
      </x:c>
      <x:c r="G1920" s="14" t="str">
        <x:v>14:30</x:v>
      </x:c>
      <x:c r="H1920" s="14" t="str">
        <x:v>研究生宿舍楼</x:v>
      </x:c>
      <x:c r="I1920" s="14" t="str">
        <x:v>否</x:v>
      </x:c>
      <x:c r="J1920" s="14" t="n">
        <x:v>9</x:v>
      </x:c>
      <x:c r="K1920" s="14" t="str">
        <x:v>305教学楼</x:v>
      </x:c>
      <x:c r="L1920" s="14" t="n">
        <x:v>10</x:v>
      </x:c>
      <x:c r="M1920" s="14" t="str">
        <x:v>14:40</x:v>
      </x:c>
      <x:c r="N1920" s="14" t="str">
        <x:v>否</x:v>
      </x:c>
      <x:c r="O1920" s="14" t="str">
        <x:v>否</x:v>
      </x:c>
      <x:c r="P1920" s="14" t="str">
        <x:v>刘晓燕</x:v>
      </x:c>
      <x:c r="Q1920" s="14" t="str">
        <x:v>1号车</x:v>
      </x:c>
      <x:c r="R1920" s="14" t="str">
        <x:v>预测</x:v>
      </x:c>
      <x:c r="S1920" s="14" t="str">
        <x:v>到站时间为估算值</x:v>
      </x:c>
      <x:c r="T1920" t="str">
        <x:v>研究生宿舍楼发车</x:v>
      </x:c>
    </x:row>
    <x:row r="1921">
      <x:c r="A1921" s="14" t="str">
        <x:v>S0165-10</x:v>
      </x:c>
      <x:c r="B1921" s="14" t="str">
        <x:v>S0165</x:v>
      </x:c>
      <x:c r="C1921" s="14" t="str">
        <x:v>周末/节假日</x:v>
      </x:c>
      <x:c r="D1921" s="14" t="str">
        <x:v>环线2路</x:v>
      </x:c>
      <x:c r="E1921" s="14" t="str">
        <x:v>第一班</x:v>
      </x:c>
      <x:c r="F1921" s="14" t="n">
        <x:v>9</x:v>
      </x:c>
      <x:c r="G1921" s="14" t="str">
        <x:v>14:30</x:v>
      </x:c>
      <x:c r="H1921" s="14" t="str">
        <x:v>研究生宿舍楼</x:v>
      </x:c>
      <x:c r="I1921" s="14" t="str">
        <x:v>否</x:v>
      </x:c>
      <x:c r="J1921" s="14" t="n">
        <x:v>10</x:v>
      </x:c>
      <x:c r="K1921" s="14" t="str">
        <x:v>研究生宿舍楼</x:v>
      </x:c>
      <x:c r="L1921" s="14" t="n">
        <x:v>12</x:v>
      </x:c>
      <x:c r="M1921" s="14" t="str">
        <x:v>14:42</x:v>
      </x:c>
      <x:c r="N1921" s="14" t="str">
        <x:v>否</x:v>
      </x:c>
      <x:c r="O1921" s="14" t="str">
        <x:v>是</x:v>
      </x:c>
      <x:c r="P1921" s="14" t="str">
        <x:v>刘晓燕</x:v>
      </x:c>
      <x:c r="Q1921" s="14" t="str">
        <x:v>1号车</x:v>
      </x:c>
      <x:c r="R1921" s="14" t="str">
        <x:v>预测</x:v>
      </x:c>
      <x:c r="S1921" s="14" t="str">
        <x:v>到站时间为估算值</x:v>
      </x:c>
      <x:c r="T1921" t="str">
        <x:v>研究生宿舍楼发车</x:v>
      </x:c>
    </x:row>
    <x:row r="1922">
      <x:c r="A1922" s="14" t="str">
        <x:v>S0166-01</x:v>
      </x:c>
      <x:c r="B1922" s="14" t="str">
        <x:v>S0166</x:v>
      </x:c>
      <x:c r="C1922" s="14" t="str">
        <x:v>周末/节假日</x:v>
      </x:c>
      <x:c r="D1922" s="14" t="str">
        <x:v>环线2路</x:v>
      </x:c>
      <x:c r="E1922" s="14" t="str">
        <x:v>第一班</x:v>
      </x:c>
      <x:c r="F1922" s="14" t="n">
        <x:v>10</x:v>
      </x:c>
      <x:c r="G1922" s="14" t="str">
        <x:v>15:00</x:v>
      </x:c>
      <x:c r="H1922" s="14" t="str">
        <x:v>研究生宿舍楼</x:v>
      </x:c>
      <x:c r="I1922" s="14" t="str">
        <x:v>否</x:v>
      </x:c>
      <x:c r="J1922" s="14" t="n">
        <x:v>1</x:v>
      </x:c>
      <x:c r="K1922" s="14" t="str">
        <x:v>研究生宿舍楼</x:v>
      </x:c>
      <x:c r="L1922" s="14" t="n">
        <x:v>0</x:v>
      </x:c>
      <x:c r="M1922" s="14" t="str">
        <x:v>15:00</x:v>
      </x:c>
      <x:c r="N1922" s="14" t="str">
        <x:v>是</x:v>
      </x:c>
      <x:c r="O1922" s="14" t="str">
        <x:v>否</x:v>
      </x:c>
      <x:c r="P1922" s="14" t="str">
        <x:v>刘晓燕</x:v>
      </x:c>
      <x:c r="Q1922" s="14" t="str">
        <x:v>1号车</x:v>
      </x:c>
      <x:c r="R1922" s="14" t="str">
        <x:v>预测</x:v>
      </x:c>
      <x:c r="S1922" s="14" t="str">
        <x:v>到站时间为估算值</x:v>
      </x:c>
      <x:c r="T1922" t="str">
        <x:v>研究生宿舍楼发车</x:v>
      </x:c>
    </x:row>
    <x:row r="1923">
      <x:c r="A1923" s="14" t="str">
        <x:v>S0166-02</x:v>
      </x:c>
      <x:c r="B1923" s="14" t="str">
        <x:v>S0166</x:v>
      </x:c>
      <x:c r="C1923" s="14" t="str">
        <x:v>周末/节假日</x:v>
      </x:c>
      <x:c r="D1923" s="14" t="str">
        <x:v>环线2路</x:v>
      </x:c>
      <x:c r="E1923" s="14" t="str">
        <x:v>第一班</x:v>
      </x:c>
      <x:c r="F1923" s="14" t="n">
        <x:v>10</x:v>
      </x:c>
      <x:c r="G1923" s="14" t="str">
        <x:v>15:00</x:v>
      </x:c>
      <x:c r="H1923" s="14" t="str">
        <x:v>研究生宿舍楼</x:v>
      </x:c>
      <x:c r="I1923" s="14" t="str">
        <x:v>否</x:v>
      </x:c>
      <x:c r="J1923" s="14" t="n">
        <x:v>2</x:v>
      </x:c>
      <x:c r="K1923" s="14" t="str">
        <x:v>一食堂</x:v>
      </x:c>
      <x:c r="L1923" s="14" t="n">
        <x:v>1</x:v>
      </x:c>
      <x:c r="M1923" s="14" t="str">
        <x:v>15:01</x:v>
      </x:c>
      <x:c r="N1923" s="14" t="str">
        <x:v>否</x:v>
      </x:c>
      <x:c r="O1923" s="14" t="str">
        <x:v>否</x:v>
      </x:c>
      <x:c r="P1923" s="14" t="str">
        <x:v>刘晓燕</x:v>
      </x:c>
      <x:c r="Q1923" s="14" t="str">
        <x:v>1号车</x:v>
      </x:c>
      <x:c r="R1923" s="14" t="str">
        <x:v>预测</x:v>
      </x:c>
      <x:c r="S1923" s="14" t="str">
        <x:v>到站时间为估算值</x:v>
      </x:c>
      <x:c r="T1923" t="str">
        <x:v>研究生宿舍楼发车</x:v>
      </x:c>
    </x:row>
    <x:row r="1924">
      <x:c r="A1924" s="14" t="str">
        <x:v>S0166-03</x:v>
      </x:c>
      <x:c r="B1924" s="14" t="str">
        <x:v>S0166</x:v>
      </x:c>
      <x:c r="C1924" s="14" t="str">
        <x:v>周末/节假日</x:v>
      </x:c>
      <x:c r="D1924" s="14" t="str">
        <x:v>环线2路</x:v>
      </x:c>
      <x:c r="E1924" s="14" t="str">
        <x:v>第一班</x:v>
      </x:c>
      <x:c r="F1924" s="14" t="n">
        <x:v>10</x:v>
      </x:c>
      <x:c r="G1924" s="14" t="str">
        <x:v>15:00</x:v>
      </x:c>
      <x:c r="H1924" s="14" t="str">
        <x:v>研究生宿舍楼</x:v>
      </x:c>
      <x:c r="I1924" s="14" t="str">
        <x:v>否</x:v>
      </x:c>
      <x:c r="J1924" s="14" t="n">
        <x:v>3</x:v>
      </x:c>
      <x:c r="K1924" s="14" t="str">
        <x:v>门诊部</x:v>
      </x:c>
      <x:c r="L1924" s="14" t="n">
        <x:v>2</x:v>
      </x:c>
      <x:c r="M1924" s="14" t="str">
        <x:v>15:02</x:v>
      </x:c>
      <x:c r="N1924" s="14" t="str">
        <x:v>否</x:v>
      </x:c>
      <x:c r="O1924" s="14" t="str">
        <x:v>否</x:v>
      </x:c>
      <x:c r="P1924" s="14" t="str">
        <x:v>刘晓燕</x:v>
      </x:c>
      <x:c r="Q1924" s="14" t="str">
        <x:v>1号车</x:v>
      </x:c>
      <x:c r="R1924" s="14" t="str">
        <x:v>预测</x:v>
      </x:c>
      <x:c r="S1924" s="14" t="str">
        <x:v>到站时间为估算值</x:v>
      </x:c>
      <x:c r="T1924" t="str">
        <x:v>研究生宿舍楼发车</x:v>
      </x:c>
    </x:row>
    <x:row r="1925">
      <x:c r="A1925" s="14" t="str">
        <x:v>S0166-04</x:v>
      </x:c>
      <x:c r="B1925" s="14" t="str">
        <x:v>S0166</x:v>
      </x:c>
      <x:c r="C1925" s="14" t="str">
        <x:v>周末/节假日</x:v>
      </x:c>
      <x:c r="D1925" s="14" t="str">
        <x:v>环线2路</x:v>
      </x:c>
      <x:c r="E1925" s="14" t="str">
        <x:v>第一班</x:v>
      </x:c>
      <x:c r="F1925" s="14" t="n">
        <x:v>10</x:v>
      </x:c>
      <x:c r="G1925" s="14" t="str">
        <x:v>15:00</x:v>
      </x:c>
      <x:c r="H1925" s="14" t="str">
        <x:v>研究生宿舍楼</x:v>
      </x:c>
      <x:c r="I1925" s="14" t="str">
        <x:v>否</x:v>
      </x:c>
      <x:c r="J1925" s="14" t="n">
        <x:v>4</x:v>
      </x:c>
      <x:c r="K1925" s="14" t="str">
        <x:v>1号宿舍楼</x:v>
      </x:c>
      <x:c r="L1925" s="14" t="n">
        <x:v>3</x:v>
      </x:c>
      <x:c r="M1925" s="14" t="str">
        <x:v>15:03</x:v>
      </x:c>
      <x:c r="N1925" s="14" t="str">
        <x:v>否</x:v>
      </x:c>
      <x:c r="O1925" s="14" t="str">
        <x:v>否</x:v>
      </x:c>
      <x:c r="P1925" s="14" t="str">
        <x:v>刘晓燕</x:v>
      </x:c>
      <x:c r="Q1925" s="14" t="str">
        <x:v>1号车</x:v>
      </x:c>
      <x:c r="R1925" s="14" t="str">
        <x:v>预测</x:v>
      </x:c>
      <x:c r="S1925" s="14" t="str">
        <x:v>到站时间为估算值</x:v>
      </x:c>
      <x:c r="T1925" t="str">
        <x:v>研究生宿舍楼发车</x:v>
      </x:c>
    </x:row>
    <x:row r="1926">
      <x:c r="A1926" s="14" t="str">
        <x:v>S0166-05</x:v>
      </x:c>
      <x:c r="B1926" s="14" t="str">
        <x:v>S0166</x:v>
      </x:c>
      <x:c r="C1926" s="14" t="str">
        <x:v>周末/节假日</x:v>
      </x:c>
      <x:c r="D1926" s="14" t="str">
        <x:v>环线2路</x:v>
      </x:c>
      <x:c r="E1926" s="14" t="str">
        <x:v>第一班</x:v>
      </x:c>
      <x:c r="F1926" s="14" t="n">
        <x:v>10</x:v>
      </x:c>
      <x:c r="G1926" s="14" t="str">
        <x:v>15:00</x:v>
      </x:c>
      <x:c r="H1926" s="14" t="str">
        <x:v>研究生宿舍楼</x:v>
      </x:c>
      <x:c r="I1926" s="14" t="str">
        <x:v>否</x:v>
      </x:c>
      <x:c r="J1926" s="14" t="n">
        <x:v>5</x:v>
      </x:c>
      <x:c r="K1926" s="14" t="str">
        <x:v>水上训练中心</x:v>
      </x:c>
      <x:c r="L1926" s="14" t="n">
        <x:v>5</x:v>
      </x:c>
      <x:c r="M1926" s="14" t="str">
        <x:v>15:05</x:v>
      </x:c>
      <x:c r="N1926" s="14" t="str">
        <x:v>否</x:v>
      </x:c>
      <x:c r="O1926" s="14" t="str">
        <x:v>否</x:v>
      </x:c>
      <x:c r="P1926" s="14" t="str">
        <x:v>刘晓燕</x:v>
      </x:c>
      <x:c r="Q1926" s="14" t="str">
        <x:v>1号车</x:v>
      </x:c>
      <x:c r="R1926" s="14" t="str">
        <x:v>预测</x:v>
      </x:c>
      <x:c r="S1926" s="14" t="str">
        <x:v>到站时间为估算值</x:v>
      </x:c>
      <x:c r="T1926" t="str">
        <x:v>研究生宿舍楼发车</x:v>
      </x:c>
    </x:row>
    <x:row r="1927">
      <x:c r="A1927" s="14" t="str">
        <x:v>S0166-06</x:v>
      </x:c>
      <x:c r="B1927" s="14" t="str">
        <x:v>S0166</x:v>
      </x:c>
      <x:c r="C1927" s="14" t="str">
        <x:v>周末/节假日</x:v>
      </x:c>
      <x:c r="D1927" s="14" t="str">
        <x:v>环线2路</x:v>
      </x:c>
      <x:c r="E1927" s="14" t="str">
        <x:v>第一班</x:v>
      </x:c>
      <x:c r="F1927" s="14" t="n">
        <x:v>10</x:v>
      </x:c>
      <x:c r="G1927" s="14" t="str">
        <x:v>15:00</x:v>
      </x:c>
      <x:c r="H1927" s="14" t="str">
        <x:v>研究生宿舍楼</x:v>
      </x:c>
      <x:c r="I1927" s="14" t="str">
        <x:v>否</x:v>
      </x:c>
      <x:c r="J1927" s="14" t="n">
        <x:v>6</x:v>
      </x:c>
      <x:c r="K1927" s="14" t="str">
        <x:v>军体活动中心</x:v>
      </x:c>
      <x:c r="L1927" s="14" t="n">
        <x:v>6</x:v>
      </x:c>
      <x:c r="M1927" s="14" t="str">
        <x:v>15:06</x:v>
      </x:c>
      <x:c r="N1927" s="14" t="str">
        <x:v>否</x:v>
      </x:c>
      <x:c r="O1927" s="14" t="str">
        <x:v>否</x:v>
      </x:c>
      <x:c r="P1927" s="14" t="str">
        <x:v>刘晓燕</x:v>
      </x:c>
      <x:c r="Q1927" s="14" t="str">
        <x:v>1号车</x:v>
      </x:c>
      <x:c r="R1927" s="14" t="str">
        <x:v>预测</x:v>
      </x:c>
      <x:c r="S1927" s="14" t="str">
        <x:v>到站时间为估算值</x:v>
      </x:c>
      <x:c r="T1927" t="str">
        <x:v>研究生宿舍楼发车</x:v>
      </x:c>
    </x:row>
    <x:row r="1928">
      <x:c r="A1928" s="14" t="str">
        <x:v>S0166-07</x:v>
      </x:c>
      <x:c r="B1928" s="14" t="str">
        <x:v>S0166</x:v>
      </x:c>
      <x:c r="C1928" s="14" t="str">
        <x:v>周末/节假日</x:v>
      </x:c>
      <x:c r="D1928" s="14" t="str">
        <x:v>环线2路</x:v>
      </x:c>
      <x:c r="E1928" s="14" t="str">
        <x:v>第一班</x:v>
      </x:c>
      <x:c r="F1928" s="14" t="n">
        <x:v>10</x:v>
      </x:c>
      <x:c r="G1928" s="14" t="str">
        <x:v>15:00</x:v>
      </x:c>
      <x:c r="H1928" s="14" t="str">
        <x:v>研究生宿舍楼</x:v>
      </x:c>
      <x:c r="I1928" s="14" t="str">
        <x:v>否</x:v>
      </x:c>
      <x:c r="J1928" s="14" t="n">
        <x:v>7</x:v>
      </x:c>
      <x:c r="K1928" s="14" t="str">
        <x:v>二食堂</x:v>
      </x:c>
      <x:c r="L1928" s="14" t="n">
        <x:v>8</x:v>
      </x:c>
      <x:c r="M1928" s="14" t="str">
        <x:v>15:08</x:v>
      </x:c>
      <x:c r="N1928" s="14" t="str">
        <x:v>否</x:v>
      </x:c>
      <x:c r="O1928" s="14" t="str">
        <x:v>否</x:v>
      </x:c>
      <x:c r="P1928" s="14" t="str">
        <x:v>刘晓燕</x:v>
      </x:c>
      <x:c r="Q1928" s="14" t="str">
        <x:v>1号车</x:v>
      </x:c>
      <x:c r="R1928" s="14" t="str">
        <x:v>预测</x:v>
      </x:c>
      <x:c r="S1928" s="14" t="str">
        <x:v>到站时间为估算值</x:v>
      </x:c>
      <x:c r="T1928" t="str">
        <x:v>研究生宿舍楼发车</x:v>
      </x:c>
    </x:row>
    <x:row r="1929">
      <x:c r="A1929" s="14" t="str">
        <x:v>S0166-08</x:v>
      </x:c>
      <x:c r="B1929" s="14" t="str">
        <x:v>S0166</x:v>
      </x:c>
      <x:c r="C1929" s="14" t="str">
        <x:v>周末/节假日</x:v>
      </x:c>
      <x:c r="D1929" s="14" t="str">
        <x:v>环线2路</x:v>
      </x:c>
      <x:c r="E1929" s="14" t="str">
        <x:v>第一班</x:v>
      </x:c>
      <x:c r="F1929" s="14" t="n">
        <x:v>10</x:v>
      </x:c>
      <x:c r="G1929" s="14" t="str">
        <x:v>15:00</x:v>
      </x:c>
      <x:c r="H1929" s="14" t="str">
        <x:v>研究生宿舍楼</x:v>
      </x:c>
      <x:c r="I1929" s="14" t="str">
        <x:v>否</x:v>
      </x:c>
      <x:c r="J1929" s="14" t="n">
        <x:v>8</x:v>
      </x:c>
      <x:c r="K1929" s="14" t="str">
        <x:v>5号宿舍楼</x:v>
      </x:c>
      <x:c r="L1929" s="14" t="n">
        <x:v>9</x:v>
      </x:c>
      <x:c r="M1929" s="14" t="str">
        <x:v>15:09</x:v>
      </x:c>
      <x:c r="N1929" s="14" t="str">
        <x:v>否</x:v>
      </x:c>
      <x:c r="O1929" s="14" t="str">
        <x:v>否</x:v>
      </x:c>
      <x:c r="P1929" s="14" t="str">
        <x:v>刘晓燕</x:v>
      </x:c>
      <x:c r="Q1929" s="14" t="str">
        <x:v>1号车</x:v>
      </x:c>
      <x:c r="R1929" s="14" t="str">
        <x:v>预测</x:v>
      </x:c>
      <x:c r="S1929" s="14" t="str">
        <x:v>到站时间为估算值</x:v>
      </x:c>
      <x:c r="T1929" t="str">
        <x:v>研究生宿舍楼发车</x:v>
      </x:c>
    </x:row>
    <x:row r="1930">
      <x:c r="A1930" s="14" t="str">
        <x:v>S0166-09</x:v>
      </x:c>
      <x:c r="B1930" s="14" t="str">
        <x:v>S0166</x:v>
      </x:c>
      <x:c r="C1930" s="14" t="str">
        <x:v>周末/节假日</x:v>
      </x:c>
      <x:c r="D1930" s="14" t="str">
        <x:v>环线2路</x:v>
      </x:c>
      <x:c r="E1930" s="14" t="str">
        <x:v>第一班</x:v>
      </x:c>
      <x:c r="F1930" s="14" t="n">
        <x:v>10</x:v>
      </x:c>
      <x:c r="G1930" s="14" t="str">
        <x:v>15:00</x:v>
      </x:c>
      <x:c r="H1930" s="14" t="str">
        <x:v>研究生宿舍楼</x:v>
      </x:c>
      <x:c r="I1930" s="14" t="str">
        <x:v>否</x:v>
      </x:c>
      <x:c r="J1930" s="14" t="n">
        <x:v>9</x:v>
      </x:c>
      <x:c r="K1930" s="14" t="str">
        <x:v>305教学楼</x:v>
      </x:c>
      <x:c r="L1930" s="14" t="n">
        <x:v>10</x:v>
      </x:c>
      <x:c r="M1930" s="14" t="str">
        <x:v>15:10</x:v>
      </x:c>
      <x:c r="N1930" s="14" t="str">
        <x:v>否</x:v>
      </x:c>
      <x:c r="O1930" s="14" t="str">
        <x:v>否</x:v>
      </x:c>
      <x:c r="P1930" s="14" t="str">
        <x:v>刘晓燕</x:v>
      </x:c>
      <x:c r="Q1930" s="14" t="str">
        <x:v>1号车</x:v>
      </x:c>
      <x:c r="R1930" s="14" t="str">
        <x:v>预测</x:v>
      </x:c>
      <x:c r="S1930" s="14" t="str">
        <x:v>到站时间为估算值</x:v>
      </x:c>
      <x:c r="T1930" t="str">
        <x:v>研究生宿舍楼发车</x:v>
      </x:c>
    </x:row>
    <x:row r="1931">
      <x:c r="A1931" s="14" t="str">
        <x:v>S0166-10</x:v>
      </x:c>
      <x:c r="B1931" s="14" t="str">
        <x:v>S0166</x:v>
      </x:c>
      <x:c r="C1931" s="14" t="str">
        <x:v>周末/节假日</x:v>
      </x:c>
      <x:c r="D1931" s="14" t="str">
        <x:v>环线2路</x:v>
      </x:c>
      <x:c r="E1931" s="14" t="str">
        <x:v>第一班</x:v>
      </x:c>
      <x:c r="F1931" s="14" t="n">
        <x:v>10</x:v>
      </x:c>
      <x:c r="G1931" s="14" t="str">
        <x:v>15:00</x:v>
      </x:c>
      <x:c r="H1931" s="14" t="str">
        <x:v>研究生宿舍楼</x:v>
      </x:c>
      <x:c r="I1931" s="14" t="str">
        <x:v>否</x:v>
      </x:c>
      <x:c r="J1931" s="14" t="n">
        <x:v>10</x:v>
      </x:c>
      <x:c r="K1931" s="14" t="str">
        <x:v>研究生宿舍楼</x:v>
      </x:c>
      <x:c r="L1931" s="14" t="n">
        <x:v>12</x:v>
      </x:c>
      <x:c r="M1931" s="14" t="str">
        <x:v>15:12</x:v>
      </x:c>
      <x:c r="N1931" s="14" t="str">
        <x:v>否</x:v>
      </x:c>
      <x:c r="O1931" s="14" t="str">
        <x:v>是</x:v>
      </x:c>
      <x:c r="P1931" s="14" t="str">
        <x:v>刘晓燕</x:v>
      </x:c>
      <x:c r="Q1931" s="14" t="str">
        <x:v>1号车</x:v>
      </x:c>
      <x:c r="R1931" s="14" t="str">
        <x:v>预测</x:v>
      </x:c>
      <x:c r="S1931" s="14" t="str">
        <x:v>到站时间为估算值</x:v>
      </x:c>
      <x:c r="T1931" t="str">
        <x:v>研究生宿舍楼发车</x:v>
      </x:c>
    </x:row>
    <x:row r="1932">
      <x:c r="A1932" s="14" t="str">
        <x:v>S0167-01</x:v>
      </x:c>
      <x:c r="B1932" s="14" t="str">
        <x:v>S0167</x:v>
      </x:c>
      <x:c r="C1932" s="14" t="str">
        <x:v>周末/节假日</x:v>
      </x:c>
      <x:c r="D1932" s="14" t="str">
        <x:v>环线2路</x:v>
      </x:c>
      <x:c r="E1932" s="14" t="str">
        <x:v>第一班</x:v>
      </x:c>
      <x:c r="F1932" s="14" t="n">
        <x:v>11</x:v>
      </x:c>
      <x:c r="G1932" s="14" t="str">
        <x:v>17:00</x:v>
      </x:c>
      <x:c r="H1932" s="14" t="str">
        <x:v>研究生宿舍楼</x:v>
      </x:c>
      <x:c r="I1932" s="14" t="str">
        <x:v>否</x:v>
      </x:c>
      <x:c r="J1932" s="14" t="n">
        <x:v>1</x:v>
      </x:c>
      <x:c r="K1932" s="14" t="str">
        <x:v>研究生宿舍楼</x:v>
      </x:c>
      <x:c r="L1932" s="14" t="n">
        <x:v>0</x:v>
      </x:c>
      <x:c r="M1932" s="14" t="str">
        <x:v>17:00</x:v>
      </x:c>
      <x:c r="N1932" s="14" t="str">
        <x:v>是</x:v>
      </x:c>
      <x:c r="O1932" s="14" t="str">
        <x:v>否</x:v>
      </x:c>
      <x:c r="P1932" s="14" t="str">
        <x:v>刘晓燕</x:v>
      </x:c>
      <x:c r="Q1932" s="14" t="str">
        <x:v>1号车</x:v>
      </x:c>
      <x:c r="R1932" s="14" t="str">
        <x:v>预测</x:v>
      </x:c>
      <x:c r="S1932" s="14" t="str">
        <x:v>到站时间为估算值</x:v>
      </x:c>
      <x:c r="T1932" t="str">
        <x:v>研究生宿舍楼发车</x:v>
      </x:c>
    </x:row>
    <x:row r="1933">
      <x:c r="A1933" s="14" t="str">
        <x:v>S0167-02</x:v>
      </x:c>
      <x:c r="B1933" s="14" t="str">
        <x:v>S0167</x:v>
      </x:c>
      <x:c r="C1933" s="14" t="str">
        <x:v>周末/节假日</x:v>
      </x:c>
      <x:c r="D1933" s="14" t="str">
        <x:v>环线2路</x:v>
      </x:c>
      <x:c r="E1933" s="14" t="str">
        <x:v>第一班</x:v>
      </x:c>
      <x:c r="F1933" s="14" t="n">
        <x:v>11</x:v>
      </x:c>
      <x:c r="G1933" s="14" t="str">
        <x:v>17:00</x:v>
      </x:c>
      <x:c r="H1933" s="14" t="str">
        <x:v>研究生宿舍楼</x:v>
      </x:c>
      <x:c r="I1933" s="14" t="str">
        <x:v>否</x:v>
      </x:c>
      <x:c r="J1933" s="14" t="n">
        <x:v>2</x:v>
      </x:c>
      <x:c r="K1933" s="14" t="str">
        <x:v>一食堂</x:v>
      </x:c>
      <x:c r="L1933" s="14" t="n">
        <x:v>1</x:v>
      </x:c>
      <x:c r="M1933" s="14" t="str">
        <x:v>17:01</x:v>
      </x:c>
      <x:c r="N1933" s="14" t="str">
        <x:v>否</x:v>
      </x:c>
      <x:c r="O1933" s="14" t="str">
        <x:v>否</x:v>
      </x:c>
      <x:c r="P1933" s="14" t="str">
        <x:v>刘晓燕</x:v>
      </x:c>
      <x:c r="Q1933" s="14" t="str">
        <x:v>1号车</x:v>
      </x:c>
      <x:c r="R1933" s="14" t="str">
        <x:v>预测</x:v>
      </x:c>
      <x:c r="S1933" s="14" t="str">
        <x:v>到站时间为估算值</x:v>
      </x:c>
      <x:c r="T1933" t="str">
        <x:v>研究生宿舍楼发车</x:v>
      </x:c>
    </x:row>
    <x:row r="1934">
      <x:c r="A1934" s="14" t="str">
        <x:v>S0167-03</x:v>
      </x:c>
      <x:c r="B1934" s="14" t="str">
        <x:v>S0167</x:v>
      </x:c>
      <x:c r="C1934" s="14" t="str">
        <x:v>周末/节假日</x:v>
      </x:c>
      <x:c r="D1934" s="14" t="str">
        <x:v>环线2路</x:v>
      </x:c>
      <x:c r="E1934" s="14" t="str">
        <x:v>第一班</x:v>
      </x:c>
      <x:c r="F1934" s="14" t="n">
        <x:v>11</x:v>
      </x:c>
      <x:c r="G1934" s="14" t="str">
        <x:v>17:00</x:v>
      </x:c>
      <x:c r="H1934" s="14" t="str">
        <x:v>研究生宿舍楼</x:v>
      </x:c>
      <x:c r="I1934" s="14" t="str">
        <x:v>否</x:v>
      </x:c>
      <x:c r="J1934" s="14" t="n">
        <x:v>3</x:v>
      </x:c>
      <x:c r="K1934" s="14" t="str">
        <x:v>门诊部</x:v>
      </x:c>
      <x:c r="L1934" s="14" t="n">
        <x:v>2</x:v>
      </x:c>
      <x:c r="M1934" s="14" t="str">
        <x:v>17:02</x:v>
      </x:c>
      <x:c r="N1934" s="14" t="str">
        <x:v>否</x:v>
      </x:c>
      <x:c r="O1934" s="14" t="str">
        <x:v>否</x:v>
      </x:c>
      <x:c r="P1934" s="14" t="str">
        <x:v>刘晓燕</x:v>
      </x:c>
      <x:c r="Q1934" s="14" t="str">
        <x:v>1号车</x:v>
      </x:c>
      <x:c r="R1934" s="14" t="str">
        <x:v>预测</x:v>
      </x:c>
      <x:c r="S1934" s="14" t="str">
        <x:v>到站时间为估算值</x:v>
      </x:c>
      <x:c r="T1934" t="str">
        <x:v>研究生宿舍楼发车</x:v>
      </x:c>
    </x:row>
    <x:row r="1935">
      <x:c r="A1935" s="14" t="str">
        <x:v>S0167-04</x:v>
      </x:c>
      <x:c r="B1935" s="14" t="str">
        <x:v>S0167</x:v>
      </x:c>
      <x:c r="C1935" s="14" t="str">
        <x:v>周末/节假日</x:v>
      </x:c>
      <x:c r="D1935" s="14" t="str">
        <x:v>环线2路</x:v>
      </x:c>
      <x:c r="E1935" s="14" t="str">
        <x:v>第一班</x:v>
      </x:c>
      <x:c r="F1935" s="14" t="n">
        <x:v>11</x:v>
      </x:c>
      <x:c r="G1935" s="14" t="str">
        <x:v>17:00</x:v>
      </x:c>
      <x:c r="H1935" s="14" t="str">
        <x:v>研究生宿舍楼</x:v>
      </x:c>
      <x:c r="I1935" s="14" t="str">
        <x:v>否</x:v>
      </x:c>
      <x:c r="J1935" s="14" t="n">
        <x:v>4</x:v>
      </x:c>
      <x:c r="K1935" s="14" t="str">
        <x:v>1号宿舍楼</x:v>
      </x:c>
      <x:c r="L1935" s="14" t="n">
        <x:v>3</x:v>
      </x:c>
      <x:c r="M1935" s="14" t="str">
        <x:v>17:03</x:v>
      </x:c>
      <x:c r="N1935" s="14" t="str">
        <x:v>否</x:v>
      </x:c>
      <x:c r="O1935" s="14" t="str">
        <x:v>否</x:v>
      </x:c>
      <x:c r="P1935" s="14" t="str">
        <x:v>刘晓燕</x:v>
      </x:c>
      <x:c r="Q1935" s="14" t="str">
        <x:v>1号车</x:v>
      </x:c>
      <x:c r="R1935" s="14" t="str">
        <x:v>预测</x:v>
      </x:c>
      <x:c r="S1935" s="14" t="str">
        <x:v>到站时间为估算值</x:v>
      </x:c>
      <x:c r="T1935" t="str">
        <x:v>研究生宿舍楼发车</x:v>
      </x:c>
    </x:row>
    <x:row r="1936">
      <x:c r="A1936" s="14" t="str">
        <x:v>S0167-05</x:v>
      </x:c>
      <x:c r="B1936" s="14" t="str">
        <x:v>S0167</x:v>
      </x:c>
      <x:c r="C1936" s="14" t="str">
        <x:v>周末/节假日</x:v>
      </x:c>
      <x:c r="D1936" s="14" t="str">
        <x:v>环线2路</x:v>
      </x:c>
      <x:c r="E1936" s="14" t="str">
        <x:v>第一班</x:v>
      </x:c>
      <x:c r="F1936" s="14" t="n">
        <x:v>11</x:v>
      </x:c>
      <x:c r="G1936" s="14" t="str">
        <x:v>17:00</x:v>
      </x:c>
      <x:c r="H1936" s="14" t="str">
        <x:v>研究生宿舍楼</x:v>
      </x:c>
      <x:c r="I1936" s="14" t="str">
        <x:v>否</x:v>
      </x:c>
      <x:c r="J1936" s="14" t="n">
        <x:v>5</x:v>
      </x:c>
      <x:c r="K1936" s="14" t="str">
        <x:v>水上训练中心</x:v>
      </x:c>
      <x:c r="L1936" s="14" t="n">
        <x:v>5</x:v>
      </x:c>
      <x:c r="M1936" s="14" t="str">
        <x:v>17:05</x:v>
      </x:c>
      <x:c r="N1936" s="14" t="str">
        <x:v>否</x:v>
      </x:c>
      <x:c r="O1936" s="14" t="str">
        <x:v>否</x:v>
      </x:c>
      <x:c r="P1936" s="14" t="str">
        <x:v>刘晓燕</x:v>
      </x:c>
      <x:c r="Q1936" s="14" t="str">
        <x:v>1号车</x:v>
      </x:c>
      <x:c r="R1936" s="14" t="str">
        <x:v>预测</x:v>
      </x:c>
      <x:c r="S1936" s="14" t="str">
        <x:v>到站时间为估算值</x:v>
      </x:c>
      <x:c r="T1936" t="str">
        <x:v>研究生宿舍楼发车</x:v>
      </x:c>
    </x:row>
    <x:row r="1937">
      <x:c r="A1937" s="14" t="str">
        <x:v>S0167-06</x:v>
      </x:c>
      <x:c r="B1937" s="14" t="str">
        <x:v>S0167</x:v>
      </x:c>
      <x:c r="C1937" s="14" t="str">
        <x:v>周末/节假日</x:v>
      </x:c>
      <x:c r="D1937" s="14" t="str">
        <x:v>环线2路</x:v>
      </x:c>
      <x:c r="E1937" s="14" t="str">
        <x:v>第一班</x:v>
      </x:c>
      <x:c r="F1937" s="14" t="n">
        <x:v>11</x:v>
      </x:c>
      <x:c r="G1937" s="14" t="str">
        <x:v>17:00</x:v>
      </x:c>
      <x:c r="H1937" s="14" t="str">
        <x:v>研究生宿舍楼</x:v>
      </x:c>
      <x:c r="I1937" s="14" t="str">
        <x:v>否</x:v>
      </x:c>
      <x:c r="J1937" s="14" t="n">
        <x:v>6</x:v>
      </x:c>
      <x:c r="K1937" s="14" t="str">
        <x:v>军体活动中心</x:v>
      </x:c>
      <x:c r="L1937" s="14" t="n">
        <x:v>6</x:v>
      </x:c>
      <x:c r="M1937" s="14" t="str">
        <x:v>17:06</x:v>
      </x:c>
      <x:c r="N1937" s="14" t="str">
        <x:v>否</x:v>
      </x:c>
      <x:c r="O1937" s="14" t="str">
        <x:v>否</x:v>
      </x:c>
      <x:c r="P1937" s="14" t="str">
        <x:v>刘晓燕</x:v>
      </x:c>
      <x:c r="Q1937" s="14" t="str">
        <x:v>1号车</x:v>
      </x:c>
      <x:c r="R1937" s="14" t="str">
        <x:v>预测</x:v>
      </x:c>
      <x:c r="S1937" s="14" t="str">
        <x:v>到站时间为估算值</x:v>
      </x:c>
      <x:c r="T1937" t="str">
        <x:v>研究生宿舍楼发车</x:v>
      </x:c>
    </x:row>
    <x:row r="1938">
      <x:c r="A1938" s="14" t="str">
        <x:v>S0167-07</x:v>
      </x:c>
      <x:c r="B1938" s="14" t="str">
        <x:v>S0167</x:v>
      </x:c>
      <x:c r="C1938" s="14" t="str">
        <x:v>周末/节假日</x:v>
      </x:c>
      <x:c r="D1938" s="14" t="str">
        <x:v>环线2路</x:v>
      </x:c>
      <x:c r="E1938" s="14" t="str">
        <x:v>第一班</x:v>
      </x:c>
      <x:c r="F1938" s="14" t="n">
        <x:v>11</x:v>
      </x:c>
      <x:c r="G1938" s="14" t="str">
        <x:v>17:00</x:v>
      </x:c>
      <x:c r="H1938" s="14" t="str">
        <x:v>研究生宿舍楼</x:v>
      </x:c>
      <x:c r="I1938" s="14" t="str">
        <x:v>否</x:v>
      </x:c>
      <x:c r="J1938" s="14" t="n">
        <x:v>7</x:v>
      </x:c>
      <x:c r="K1938" s="14" t="str">
        <x:v>二食堂</x:v>
      </x:c>
      <x:c r="L1938" s="14" t="n">
        <x:v>8</x:v>
      </x:c>
      <x:c r="M1938" s="14" t="str">
        <x:v>17:08</x:v>
      </x:c>
      <x:c r="N1938" s="14" t="str">
        <x:v>否</x:v>
      </x:c>
      <x:c r="O1938" s="14" t="str">
        <x:v>否</x:v>
      </x:c>
      <x:c r="P1938" s="14" t="str">
        <x:v>刘晓燕</x:v>
      </x:c>
      <x:c r="Q1938" s="14" t="str">
        <x:v>1号车</x:v>
      </x:c>
      <x:c r="R1938" s="14" t="str">
        <x:v>预测</x:v>
      </x:c>
      <x:c r="S1938" s="14" t="str">
        <x:v>到站时间为估算值</x:v>
      </x:c>
      <x:c r="T1938" t="str">
        <x:v>研究生宿舍楼发车</x:v>
      </x:c>
    </x:row>
    <x:row r="1939">
      <x:c r="A1939" s="14" t="str">
        <x:v>S0167-08</x:v>
      </x:c>
      <x:c r="B1939" s="14" t="str">
        <x:v>S0167</x:v>
      </x:c>
      <x:c r="C1939" s="14" t="str">
        <x:v>周末/节假日</x:v>
      </x:c>
      <x:c r="D1939" s="14" t="str">
        <x:v>环线2路</x:v>
      </x:c>
      <x:c r="E1939" s="14" t="str">
        <x:v>第一班</x:v>
      </x:c>
      <x:c r="F1939" s="14" t="n">
        <x:v>11</x:v>
      </x:c>
      <x:c r="G1939" s="14" t="str">
        <x:v>17:00</x:v>
      </x:c>
      <x:c r="H1939" s="14" t="str">
        <x:v>研究生宿舍楼</x:v>
      </x:c>
      <x:c r="I1939" s="14" t="str">
        <x:v>否</x:v>
      </x:c>
      <x:c r="J1939" s="14" t="n">
        <x:v>8</x:v>
      </x:c>
      <x:c r="K1939" s="14" t="str">
        <x:v>5号宿舍楼</x:v>
      </x:c>
      <x:c r="L1939" s="14" t="n">
        <x:v>9</x:v>
      </x:c>
      <x:c r="M1939" s="14" t="str">
        <x:v>17:09</x:v>
      </x:c>
      <x:c r="N1939" s="14" t="str">
        <x:v>否</x:v>
      </x:c>
      <x:c r="O1939" s="14" t="str">
        <x:v>否</x:v>
      </x:c>
      <x:c r="P1939" s="14" t="str">
        <x:v>刘晓燕</x:v>
      </x:c>
      <x:c r="Q1939" s="14" t="str">
        <x:v>1号车</x:v>
      </x:c>
      <x:c r="R1939" s="14" t="str">
        <x:v>预测</x:v>
      </x:c>
      <x:c r="S1939" s="14" t="str">
        <x:v>到站时间为估算值</x:v>
      </x:c>
      <x:c r="T1939" t="str">
        <x:v>研究生宿舍楼发车</x:v>
      </x:c>
    </x:row>
    <x:row r="1940">
      <x:c r="A1940" s="14" t="str">
        <x:v>S0167-09</x:v>
      </x:c>
      <x:c r="B1940" s="14" t="str">
        <x:v>S0167</x:v>
      </x:c>
      <x:c r="C1940" s="14" t="str">
        <x:v>周末/节假日</x:v>
      </x:c>
      <x:c r="D1940" s="14" t="str">
        <x:v>环线2路</x:v>
      </x:c>
      <x:c r="E1940" s="14" t="str">
        <x:v>第一班</x:v>
      </x:c>
      <x:c r="F1940" s="14" t="n">
        <x:v>11</x:v>
      </x:c>
      <x:c r="G1940" s="14" t="str">
        <x:v>17:00</x:v>
      </x:c>
      <x:c r="H1940" s="14" t="str">
        <x:v>研究生宿舍楼</x:v>
      </x:c>
      <x:c r="I1940" s="14" t="str">
        <x:v>否</x:v>
      </x:c>
      <x:c r="J1940" s="14" t="n">
        <x:v>9</x:v>
      </x:c>
      <x:c r="K1940" s="14" t="str">
        <x:v>305教学楼</x:v>
      </x:c>
      <x:c r="L1940" s="14" t="n">
        <x:v>10</x:v>
      </x:c>
      <x:c r="M1940" s="14" t="str">
        <x:v>17:10</x:v>
      </x:c>
      <x:c r="N1940" s="14" t="str">
        <x:v>否</x:v>
      </x:c>
      <x:c r="O1940" s="14" t="str">
        <x:v>否</x:v>
      </x:c>
      <x:c r="P1940" s="14" t="str">
        <x:v>刘晓燕</x:v>
      </x:c>
      <x:c r="Q1940" s="14" t="str">
        <x:v>1号车</x:v>
      </x:c>
      <x:c r="R1940" s="14" t="str">
        <x:v>预测</x:v>
      </x:c>
      <x:c r="S1940" s="14" t="str">
        <x:v>到站时间为估算值</x:v>
      </x:c>
      <x:c r="T1940" t="str">
        <x:v>研究生宿舍楼发车</x:v>
      </x:c>
    </x:row>
    <x:row r="1941">
      <x:c r="A1941" s="14" t="str">
        <x:v>S0167-10</x:v>
      </x:c>
      <x:c r="B1941" s="14" t="str">
        <x:v>S0167</x:v>
      </x:c>
      <x:c r="C1941" s="14" t="str">
        <x:v>周末/节假日</x:v>
      </x:c>
      <x:c r="D1941" s="14" t="str">
        <x:v>环线2路</x:v>
      </x:c>
      <x:c r="E1941" s="14" t="str">
        <x:v>第一班</x:v>
      </x:c>
      <x:c r="F1941" s="14" t="n">
        <x:v>11</x:v>
      </x:c>
      <x:c r="G1941" s="14" t="str">
        <x:v>17:00</x:v>
      </x:c>
      <x:c r="H1941" s="14" t="str">
        <x:v>研究生宿舍楼</x:v>
      </x:c>
      <x:c r="I1941" s="14" t="str">
        <x:v>否</x:v>
      </x:c>
      <x:c r="J1941" s="14" t="n">
        <x:v>10</x:v>
      </x:c>
      <x:c r="K1941" s="14" t="str">
        <x:v>研究生宿舍楼</x:v>
      </x:c>
      <x:c r="L1941" s="14" t="n">
        <x:v>12</x:v>
      </x:c>
      <x:c r="M1941" s="14" t="str">
        <x:v>17:12</x:v>
      </x:c>
      <x:c r="N1941" s="14" t="str">
        <x:v>否</x:v>
      </x:c>
      <x:c r="O1941" s="14" t="str">
        <x:v>是</x:v>
      </x:c>
      <x:c r="P1941" s="14" t="str">
        <x:v>刘晓燕</x:v>
      </x:c>
      <x:c r="Q1941" s="14" t="str">
        <x:v>1号车</x:v>
      </x:c>
      <x:c r="R1941" s="14" t="str">
        <x:v>预测</x:v>
      </x:c>
      <x:c r="S1941" s="14" t="str">
        <x:v>到站时间为估算值</x:v>
      </x:c>
      <x:c r="T1941" t="str">
        <x:v>研究生宿舍楼发车</x:v>
      </x:c>
    </x:row>
    <x:row r="1942">
      <x:c r="A1942" s="14" t="str">
        <x:v>S0168-01</x:v>
      </x:c>
      <x:c r="B1942" s="14" t="str">
        <x:v>S0168</x:v>
      </x:c>
      <x:c r="C1942" s="14" t="str">
        <x:v>周末/节假日</x:v>
      </x:c>
      <x:c r="D1942" s="14" t="str">
        <x:v>环线2路</x:v>
      </x:c>
      <x:c r="E1942" s="14" t="str">
        <x:v>第一班</x:v>
      </x:c>
      <x:c r="F1942" s="14" t="n">
        <x:v>12</x:v>
      </x:c>
      <x:c r="G1942" s="14" t="str">
        <x:v>17:30</x:v>
      </x:c>
      <x:c r="H1942" s="14" t="str">
        <x:v>研究生宿舍楼</x:v>
      </x:c>
      <x:c r="I1942" s="14" t="str">
        <x:v>否</x:v>
      </x:c>
      <x:c r="J1942" s="14" t="n">
        <x:v>1</x:v>
      </x:c>
      <x:c r="K1942" s="14" t="str">
        <x:v>研究生宿舍楼</x:v>
      </x:c>
      <x:c r="L1942" s="14" t="n">
        <x:v>0</x:v>
      </x:c>
      <x:c r="M1942" s="14" t="str">
        <x:v>17:30</x:v>
      </x:c>
      <x:c r="N1942" s="14" t="str">
        <x:v>是</x:v>
      </x:c>
      <x:c r="O1942" s="14" t="str">
        <x:v>否</x:v>
      </x:c>
      <x:c r="P1942" s="14" t="str">
        <x:v>刘晓燕</x:v>
      </x:c>
      <x:c r="Q1942" s="14" t="str">
        <x:v>1号车</x:v>
      </x:c>
      <x:c r="R1942" s="14" t="str">
        <x:v>预测</x:v>
      </x:c>
      <x:c r="S1942" s="14" t="str">
        <x:v>到站时间为估算值</x:v>
      </x:c>
      <x:c r="T1942" t="str">
        <x:v>研究生宿舍楼发车</x:v>
      </x:c>
    </x:row>
    <x:row r="1943">
      <x:c r="A1943" s="14" t="str">
        <x:v>S0168-02</x:v>
      </x:c>
      <x:c r="B1943" s="14" t="str">
        <x:v>S0168</x:v>
      </x:c>
      <x:c r="C1943" s="14" t="str">
        <x:v>周末/节假日</x:v>
      </x:c>
      <x:c r="D1943" s="14" t="str">
        <x:v>环线2路</x:v>
      </x:c>
      <x:c r="E1943" s="14" t="str">
        <x:v>第一班</x:v>
      </x:c>
      <x:c r="F1943" s="14" t="n">
        <x:v>12</x:v>
      </x:c>
      <x:c r="G1943" s="14" t="str">
        <x:v>17:30</x:v>
      </x:c>
      <x:c r="H1943" s="14" t="str">
        <x:v>研究生宿舍楼</x:v>
      </x:c>
      <x:c r="I1943" s="14" t="str">
        <x:v>否</x:v>
      </x:c>
      <x:c r="J1943" s="14" t="n">
        <x:v>2</x:v>
      </x:c>
      <x:c r="K1943" s="14" t="str">
        <x:v>一食堂</x:v>
      </x:c>
      <x:c r="L1943" s="14" t="n">
        <x:v>1</x:v>
      </x:c>
      <x:c r="M1943" s="14" t="str">
        <x:v>17:31</x:v>
      </x:c>
      <x:c r="N1943" s="14" t="str">
        <x:v>否</x:v>
      </x:c>
      <x:c r="O1943" s="14" t="str">
        <x:v>否</x:v>
      </x:c>
      <x:c r="P1943" s="14" t="str">
        <x:v>刘晓燕</x:v>
      </x:c>
      <x:c r="Q1943" s="14" t="str">
        <x:v>1号车</x:v>
      </x:c>
      <x:c r="R1943" s="14" t="str">
        <x:v>预测</x:v>
      </x:c>
      <x:c r="S1943" s="14" t="str">
        <x:v>到站时间为估算值</x:v>
      </x:c>
      <x:c r="T1943" t="str">
        <x:v>研究生宿舍楼发车</x:v>
      </x:c>
    </x:row>
    <x:row r="1944">
      <x:c r="A1944" s="14" t="str">
        <x:v>S0168-03</x:v>
      </x:c>
      <x:c r="B1944" s="14" t="str">
        <x:v>S0168</x:v>
      </x:c>
      <x:c r="C1944" s="14" t="str">
        <x:v>周末/节假日</x:v>
      </x:c>
      <x:c r="D1944" s="14" t="str">
        <x:v>环线2路</x:v>
      </x:c>
      <x:c r="E1944" s="14" t="str">
        <x:v>第一班</x:v>
      </x:c>
      <x:c r="F1944" s="14" t="n">
        <x:v>12</x:v>
      </x:c>
      <x:c r="G1944" s="14" t="str">
        <x:v>17:30</x:v>
      </x:c>
      <x:c r="H1944" s="14" t="str">
        <x:v>研究生宿舍楼</x:v>
      </x:c>
      <x:c r="I1944" s="14" t="str">
        <x:v>否</x:v>
      </x:c>
      <x:c r="J1944" s="14" t="n">
        <x:v>3</x:v>
      </x:c>
      <x:c r="K1944" s="14" t="str">
        <x:v>门诊部</x:v>
      </x:c>
      <x:c r="L1944" s="14" t="n">
        <x:v>2</x:v>
      </x:c>
      <x:c r="M1944" s="14" t="str">
        <x:v>17:32</x:v>
      </x:c>
      <x:c r="N1944" s="14" t="str">
        <x:v>否</x:v>
      </x:c>
      <x:c r="O1944" s="14" t="str">
        <x:v>否</x:v>
      </x:c>
      <x:c r="P1944" s="14" t="str">
        <x:v>刘晓燕</x:v>
      </x:c>
      <x:c r="Q1944" s="14" t="str">
        <x:v>1号车</x:v>
      </x:c>
      <x:c r="R1944" s="14" t="str">
        <x:v>预测</x:v>
      </x:c>
      <x:c r="S1944" s="14" t="str">
        <x:v>到站时间为估算值</x:v>
      </x:c>
      <x:c r="T1944" t="str">
        <x:v>研究生宿舍楼发车</x:v>
      </x:c>
    </x:row>
    <x:row r="1945">
      <x:c r="A1945" s="14" t="str">
        <x:v>S0168-04</x:v>
      </x:c>
      <x:c r="B1945" s="14" t="str">
        <x:v>S0168</x:v>
      </x:c>
      <x:c r="C1945" s="14" t="str">
        <x:v>周末/节假日</x:v>
      </x:c>
      <x:c r="D1945" s="14" t="str">
        <x:v>环线2路</x:v>
      </x:c>
      <x:c r="E1945" s="14" t="str">
        <x:v>第一班</x:v>
      </x:c>
      <x:c r="F1945" s="14" t="n">
        <x:v>12</x:v>
      </x:c>
      <x:c r="G1945" s="14" t="str">
        <x:v>17:30</x:v>
      </x:c>
      <x:c r="H1945" s="14" t="str">
        <x:v>研究生宿舍楼</x:v>
      </x:c>
      <x:c r="I1945" s="14" t="str">
        <x:v>否</x:v>
      </x:c>
      <x:c r="J1945" s="14" t="n">
        <x:v>4</x:v>
      </x:c>
      <x:c r="K1945" s="14" t="str">
        <x:v>1号宿舍楼</x:v>
      </x:c>
      <x:c r="L1945" s="14" t="n">
        <x:v>3</x:v>
      </x:c>
      <x:c r="M1945" s="14" t="str">
        <x:v>17:33</x:v>
      </x:c>
      <x:c r="N1945" s="14" t="str">
        <x:v>否</x:v>
      </x:c>
      <x:c r="O1945" s="14" t="str">
        <x:v>否</x:v>
      </x:c>
      <x:c r="P1945" s="14" t="str">
        <x:v>刘晓燕</x:v>
      </x:c>
      <x:c r="Q1945" s="14" t="str">
        <x:v>1号车</x:v>
      </x:c>
      <x:c r="R1945" s="14" t="str">
        <x:v>预测</x:v>
      </x:c>
      <x:c r="S1945" s="14" t="str">
        <x:v>到站时间为估算值</x:v>
      </x:c>
      <x:c r="T1945" t="str">
        <x:v>研究生宿舍楼发车</x:v>
      </x:c>
    </x:row>
    <x:row r="1946">
      <x:c r="A1946" s="14" t="str">
        <x:v>S0168-05</x:v>
      </x:c>
      <x:c r="B1946" s="14" t="str">
        <x:v>S0168</x:v>
      </x:c>
      <x:c r="C1946" s="14" t="str">
        <x:v>周末/节假日</x:v>
      </x:c>
      <x:c r="D1946" s="14" t="str">
        <x:v>环线2路</x:v>
      </x:c>
      <x:c r="E1946" s="14" t="str">
        <x:v>第一班</x:v>
      </x:c>
      <x:c r="F1946" s="14" t="n">
        <x:v>12</x:v>
      </x:c>
      <x:c r="G1946" s="14" t="str">
        <x:v>17:30</x:v>
      </x:c>
      <x:c r="H1946" s="14" t="str">
        <x:v>研究生宿舍楼</x:v>
      </x:c>
      <x:c r="I1946" s="14" t="str">
        <x:v>否</x:v>
      </x:c>
      <x:c r="J1946" s="14" t="n">
        <x:v>5</x:v>
      </x:c>
      <x:c r="K1946" s="14" t="str">
        <x:v>水上训练中心</x:v>
      </x:c>
      <x:c r="L1946" s="14" t="n">
        <x:v>5</x:v>
      </x:c>
      <x:c r="M1946" s="14" t="str">
        <x:v>17:35</x:v>
      </x:c>
      <x:c r="N1946" s="14" t="str">
        <x:v>否</x:v>
      </x:c>
      <x:c r="O1946" s="14" t="str">
        <x:v>否</x:v>
      </x:c>
      <x:c r="P1946" s="14" t="str">
        <x:v>刘晓燕</x:v>
      </x:c>
      <x:c r="Q1946" s="14" t="str">
        <x:v>1号车</x:v>
      </x:c>
      <x:c r="R1946" s="14" t="str">
        <x:v>预测</x:v>
      </x:c>
      <x:c r="S1946" s="14" t="str">
        <x:v>到站时间为估算值</x:v>
      </x:c>
      <x:c r="T1946" t="str">
        <x:v>研究生宿舍楼发车</x:v>
      </x:c>
    </x:row>
    <x:row r="1947">
      <x:c r="A1947" s="14" t="str">
        <x:v>S0168-06</x:v>
      </x:c>
      <x:c r="B1947" s="14" t="str">
        <x:v>S0168</x:v>
      </x:c>
      <x:c r="C1947" s="14" t="str">
        <x:v>周末/节假日</x:v>
      </x:c>
      <x:c r="D1947" s="14" t="str">
        <x:v>环线2路</x:v>
      </x:c>
      <x:c r="E1947" s="14" t="str">
        <x:v>第一班</x:v>
      </x:c>
      <x:c r="F1947" s="14" t="n">
        <x:v>12</x:v>
      </x:c>
      <x:c r="G1947" s="14" t="str">
        <x:v>17:30</x:v>
      </x:c>
      <x:c r="H1947" s="14" t="str">
        <x:v>研究生宿舍楼</x:v>
      </x:c>
      <x:c r="I1947" s="14" t="str">
        <x:v>否</x:v>
      </x:c>
      <x:c r="J1947" s="14" t="n">
        <x:v>6</x:v>
      </x:c>
      <x:c r="K1947" s="14" t="str">
        <x:v>军体活动中心</x:v>
      </x:c>
      <x:c r="L1947" s="14" t="n">
        <x:v>6</x:v>
      </x:c>
      <x:c r="M1947" s="14" t="str">
        <x:v>17:36</x:v>
      </x:c>
      <x:c r="N1947" s="14" t="str">
        <x:v>否</x:v>
      </x:c>
      <x:c r="O1947" s="14" t="str">
        <x:v>否</x:v>
      </x:c>
      <x:c r="P1947" s="14" t="str">
        <x:v>刘晓燕</x:v>
      </x:c>
      <x:c r="Q1947" s="14" t="str">
        <x:v>1号车</x:v>
      </x:c>
      <x:c r="R1947" s="14" t="str">
        <x:v>预测</x:v>
      </x:c>
      <x:c r="S1947" s="14" t="str">
        <x:v>到站时间为估算值</x:v>
      </x:c>
      <x:c r="T1947" t="str">
        <x:v>研究生宿舍楼发车</x:v>
      </x:c>
    </x:row>
    <x:row r="1948">
      <x:c r="A1948" s="14" t="str">
        <x:v>S0168-07</x:v>
      </x:c>
      <x:c r="B1948" s="14" t="str">
        <x:v>S0168</x:v>
      </x:c>
      <x:c r="C1948" s="14" t="str">
        <x:v>周末/节假日</x:v>
      </x:c>
      <x:c r="D1948" s="14" t="str">
        <x:v>环线2路</x:v>
      </x:c>
      <x:c r="E1948" s="14" t="str">
        <x:v>第一班</x:v>
      </x:c>
      <x:c r="F1948" s="14" t="n">
        <x:v>12</x:v>
      </x:c>
      <x:c r="G1948" s="14" t="str">
        <x:v>17:30</x:v>
      </x:c>
      <x:c r="H1948" s="14" t="str">
        <x:v>研究生宿舍楼</x:v>
      </x:c>
      <x:c r="I1948" s="14" t="str">
        <x:v>否</x:v>
      </x:c>
      <x:c r="J1948" s="14" t="n">
        <x:v>7</x:v>
      </x:c>
      <x:c r="K1948" s="14" t="str">
        <x:v>二食堂</x:v>
      </x:c>
      <x:c r="L1948" s="14" t="n">
        <x:v>8</x:v>
      </x:c>
      <x:c r="M1948" s="14" t="str">
        <x:v>17:38</x:v>
      </x:c>
      <x:c r="N1948" s="14" t="str">
        <x:v>否</x:v>
      </x:c>
      <x:c r="O1948" s="14" t="str">
        <x:v>否</x:v>
      </x:c>
      <x:c r="P1948" s="14" t="str">
        <x:v>刘晓燕</x:v>
      </x:c>
      <x:c r="Q1948" s="14" t="str">
        <x:v>1号车</x:v>
      </x:c>
      <x:c r="R1948" s="14" t="str">
        <x:v>预测</x:v>
      </x:c>
      <x:c r="S1948" s="14" t="str">
        <x:v>到站时间为估算值</x:v>
      </x:c>
      <x:c r="T1948" t="str">
        <x:v>研究生宿舍楼发车</x:v>
      </x:c>
    </x:row>
    <x:row r="1949">
      <x:c r="A1949" s="14" t="str">
        <x:v>S0168-08</x:v>
      </x:c>
      <x:c r="B1949" s="14" t="str">
        <x:v>S0168</x:v>
      </x:c>
      <x:c r="C1949" s="14" t="str">
        <x:v>周末/节假日</x:v>
      </x:c>
      <x:c r="D1949" s="14" t="str">
        <x:v>环线2路</x:v>
      </x:c>
      <x:c r="E1949" s="14" t="str">
        <x:v>第一班</x:v>
      </x:c>
      <x:c r="F1949" s="14" t="n">
        <x:v>12</x:v>
      </x:c>
      <x:c r="G1949" s="14" t="str">
        <x:v>17:30</x:v>
      </x:c>
      <x:c r="H1949" s="14" t="str">
        <x:v>研究生宿舍楼</x:v>
      </x:c>
      <x:c r="I1949" s="14" t="str">
        <x:v>否</x:v>
      </x:c>
      <x:c r="J1949" s="14" t="n">
        <x:v>8</x:v>
      </x:c>
      <x:c r="K1949" s="14" t="str">
        <x:v>5号宿舍楼</x:v>
      </x:c>
      <x:c r="L1949" s="14" t="n">
        <x:v>9</x:v>
      </x:c>
      <x:c r="M1949" s="14" t="str">
        <x:v>17:39</x:v>
      </x:c>
      <x:c r="N1949" s="14" t="str">
        <x:v>否</x:v>
      </x:c>
      <x:c r="O1949" s="14" t="str">
        <x:v>否</x:v>
      </x:c>
      <x:c r="P1949" s="14" t="str">
        <x:v>刘晓燕</x:v>
      </x:c>
      <x:c r="Q1949" s="14" t="str">
        <x:v>1号车</x:v>
      </x:c>
      <x:c r="R1949" s="14" t="str">
        <x:v>预测</x:v>
      </x:c>
      <x:c r="S1949" s="14" t="str">
        <x:v>到站时间为估算值</x:v>
      </x:c>
      <x:c r="T1949" t="str">
        <x:v>研究生宿舍楼发车</x:v>
      </x:c>
    </x:row>
    <x:row r="1950">
      <x:c r="A1950" s="14" t="str">
        <x:v>S0168-09</x:v>
      </x:c>
      <x:c r="B1950" s="14" t="str">
        <x:v>S0168</x:v>
      </x:c>
      <x:c r="C1950" s="14" t="str">
        <x:v>周末/节假日</x:v>
      </x:c>
      <x:c r="D1950" s="14" t="str">
        <x:v>环线2路</x:v>
      </x:c>
      <x:c r="E1950" s="14" t="str">
        <x:v>第一班</x:v>
      </x:c>
      <x:c r="F1950" s="14" t="n">
        <x:v>12</x:v>
      </x:c>
      <x:c r="G1950" s="14" t="str">
        <x:v>17:30</x:v>
      </x:c>
      <x:c r="H1950" s="14" t="str">
        <x:v>研究生宿舍楼</x:v>
      </x:c>
      <x:c r="I1950" s="14" t="str">
        <x:v>否</x:v>
      </x:c>
      <x:c r="J1950" s="14" t="n">
        <x:v>9</x:v>
      </x:c>
      <x:c r="K1950" s="14" t="str">
        <x:v>305教学楼</x:v>
      </x:c>
      <x:c r="L1950" s="14" t="n">
        <x:v>10</x:v>
      </x:c>
      <x:c r="M1950" s="14" t="str">
        <x:v>17:40</x:v>
      </x:c>
      <x:c r="N1950" s="14" t="str">
        <x:v>否</x:v>
      </x:c>
      <x:c r="O1950" s="14" t="str">
        <x:v>否</x:v>
      </x:c>
      <x:c r="P1950" s="14" t="str">
        <x:v>刘晓燕</x:v>
      </x:c>
      <x:c r="Q1950" s="14" t="str">
        <x:v>1号车</x:v>
      </x:c>
      <x:c r="R1950" s="14" t="str">
        <x:v>预测</x:v>
      </x:c>
      <x:c r="S1950" s="14" t="str">
        <x:v>到站时间为估算值</x:v>
      </x:c>
      <x:c r="T1950" t="str">
        <x:v>研究生宿舍楼发车</x:v>
      </x:c>
    </x:row>
    <x:row r="1951">
      <x:c r="A1951" s="14" t="str">
        <x:v>S0168-10</x:v>
      </x:c>
      <x:c r="B1951" s="14" t="str">
        <x:v>S0168</x:v>
      </x:c>
      <x:c r="C1951" s="14" t="str">
        <x:v>周末/节假日</x:v>
      </x:c>
      <x:c r="D1951" s="14" t="str">
        <x:v>环线2路</x:v>
      </x:c>
      <x:c r="E1951" s="14" t="str">
        <x:v>第一班</x:v>
      </x:c>
      <x:c r="F1951" s="14" t="n">
        <x:v>12</x:v>
      </x:c>
      <x:c r="G1951" s="14" t="str">
        <x:v>17:30</x:v>
      </x:c>
      <x:c r="H1951" s="14" t="str">
        <x:v>研究生宿舍楼</x:v>
      </x:c>
      <x:c r="I1951" s="14" t="str">
        <x:v>否</x:v>
      </x:c>
      <x:c r="J1951" s="14" t="n">
        <x:v>10</x:v>
      </x:c>
      <x:c r="K1951" s="14" t="str">
        <x:v>研究生宿舍楼</x:v>
      </x:c>
      <x:c r="L1951" s="14" t="n">
        <x:v>12</x:v>
      </x:c>
      <x:c r="M1951" s="14" t="str">
        <x:v>17:42</x:v>
      </x:c>
      <x:c r="N1951" s="14" t="str">
        <x:v>否</x:v>
      </x:c>
      <x:c r="O1951" s="14" t="str">
        <x:v>是</x:v>
      </x:c>
      <x:c r="P1951" s="14" t="str">
        <x:v>刘晓燕</x:v>
      </x:c>
      <x:c r="Q1951" s="14" t="str">
        <x:v>1号车</x:v>
      </x:c>
      <x:c r="R1951" s="14" t="str">
        <x:v>预测</x:v>
      </x:c>
      <x:c r="S1951" s="14" t="str">
        <x:v>到站时间为估算值</x:v>
      </x:c>
      <x:c r="T1951" t="str">
        <x:v>研究生宿舍楼发车</x:v>
      </x:c>
    </x:row>
    <x:row r="1952">
      <x:c r="A1952" s="14" t="str">
        <x:v>S0169-01</x:v>
      </x:c>
      <x:c r="B1952" s="14" t="str">
        <x:v>S0169</x:v>
      </x:c>
      <x:c r="C1952" s="14" t="str">
        <x:v>周末/节假日</x:v>
      </x:c>
      <x:c r="D1952" s="14" t="str">
        <x:v>环线2路</x:v>
      </x:c>
      <x:c r="E1952" s="14" t="str">
        <x:v>第一班</x:v>
      </x:c>
      <x:c r="F1952" s="14" t="n">
        <x:v>13</x:v>
      </x:c>
      <x:c r="G1952" s="14" t="str">
        <x:v>18:00</x:v>
      </x:c>
      <x:c r="H1952" s="14" t="str">
        <x:v>研究生宿舍楼</x:v>
      </x:c>
      <x:c r="I1952" s="14" t="str">
        <x:v>否</x:v>
      </x:c>
      <x:c r="J1952" s="14" t="n">
        <x:v>1</x:v>
      </x:c>
      <x:c r="K1952" s="14" t="str">
        <x:v>研究生宿舍楼</x:v>
      </x:c>
      <x:c r="L1952" s="14" t="n">
        <x:v>0</x:v>
      </x:c>
      <x:c r="M1952" s="14" t="str">
        <x:v>18:00</x:v>
      </x:c>
      <x:c r="N1952" s="14" t="str">
        <x:v>是</x:v>
      </x:c>
      <x:c r="O1952" s="14" t="str">
        <x:v>否</x:v>
      </x:c>
      <x:c r="P1952" s="14" t="str">
        <x:v>刘晓燕</x:v>
      </x:c>
      <x:c r="Q1952" s="14" t="str">
        <x:v>1号车</x:v>
      </x:c>
      <x:c r="R1952" s="14" t="str">
        <x:v>预测</x:v>
      </x:c>
      <x:c r="S1952" s="14" t="str">
        <x:v>到站时间为估算值</x:v>
      </x:c>
      <x:c r="T1952" t="str">
        <x:v>研究生宿舍楼发车</x:v>
      </x:c>
    </x:row>
    <x:row r="1953">
      <x:c r="A1953" s="14" t="str">
        <x:v>S0169-02</x:v>
      </x:c>
      <x:c r="B1953" s="14" t="str">
        <x:v>S0169</x:v>
      </x:c>
      <x:c r="C1953" s="14" t="str">
        <x:v>周末/节假日</x:v>
      </x:c>
      <x:c r="D1953" s="14" t="str">
        <x:v>环线2路</x:v>
      </x:c>
      <x:c r="E1953" s="14" t="str">
        <x:v>第一班</x:v>
      </x:c>
      <x:c r="F1953" s="14" t="n">
        <x:v>13</x:v>
      </x:c>
      <x:c r="G1953" s="14" t="str">
        <x:v>18:00</x:v>
      </x:c>
      <x:c r="H1953" s="14" t="str">
        <x:v>研究生宿舍楼</x:v>
      </x:c>
      <x:c r="I1953" s="14" t="str">
        <x:v>否</x:v>
      </x:c>
      <x:c r="J1953" s="14" t="n">
        <x:v>2</x:v>
      </x:c>
      <x:c r="K1953" s="14" t="str">
        <x:v>一食堂</x:v>
      </x:c>
      <x:c r="L1953" s="14" t="n">
        <x:v>1</x:v>
      </x:c>
      <x:c r="M1953" s="14" t="str">
        <x:v>18:01</x:v>
      </x:c>
      <x:c r="N1953" s="14" t="str">
        <x:v>否</x:v>
      </x:c>
      <x:c r="O1953" s="14" t="str">
        <x:v>否</x:v>
      </x:c>
      <x:c r="P1953" s="14" t="str">
        <x:v>刘晓燕</x:v>
      </x:c>
      <x:c r="Q1953" s="14" t="str">
        <x:v>1号车</x:v>
      </x:c>
      <x:c r="R1953" s="14" t="str">
        <x:v>预测</x:v>
      </x:c>
      <x:c r="S1953" s="14" t="str">
        <x:v>到站时间为估算值</x:v>
      </x:c>
      <x:c r="T1953" t="str">
        <x:v>研究生宿舍楼发车</x:v>
      </x:c>
    </x:row>
    <x:row r="1954">
      <x:c r="A1954" s="14" t="str">
        <x:v>S0169-03</x:v>
      </x:c>
      <x:c r="B1954" s="14" t="str">
        <x:v>S0169</x:v>
      </x:c>
      <x:c r="C1954" s="14" t="str">
        <x:v>周末/节假日</x:v>
      </x:c>
      <x:c r="D1954" s="14" t="str">
        <x:v>环线2路</x:v>
      </x:c>
      <x:c r="E1954" s="14" t="str">
        <x:v>第一班</x:v>
      </x:c>
      <x:c r="F1954" s="14" t="n">
        <x:v>13</x:v>
      </x:c>
      <x:c r="G1954" s="14" t="str">
        <x:v>18:00</x:v>
      </x:c>
      <x:c r="H1954" s="14" t="str">
        <x:v>研究生宿舍楼</x:v>
      </x:c>
      <x:c r="I1954" s="14" t="str">
        <x:v>否</x:v>
      </x:c>
      <x:c r="J1954" s="14" t="n">
        <x:v>3</x:v>
      </x:c>
      <x:c r="K1954" s="14" t="str">
        <x:v>门诊部</x:v>
      </x:c>
      <x:c r="L1954" s="14" t="n">
        <x:v>2</x:v>
      </x:c>
      <x:c r="M1954" s="14" t="str">
        <x:v>18:02</x:v>
      </x:c>
      <x:c r="N1954" s="14" t="str">
        <x:v>否</x:v>
      </x:c>
      <x:c r="O1954" s="14" t="str">
        <x:v>否</x:v>
      </x:c>
      <x:c r="P1954" s="14" t="str">
        <x:v>刘晓燕</x:v>
      </x:c>
      <x:c r="Q1954" s="14" t="str">
        <x:v>1号车</x:v>
      </x:c>
      <x:c r="R1954" s="14" t="str">
        <x:v>预测</x:v>
      </x:c>
      <x:c r="S1954" s="14" t="str">
        <x:v>到站时间为估算值</x:v>
      </x:c>
      <x:c r="T1954" t="str">
        <x:v>研究生宿舍楼发车</x:v>
      </x:c>
    </x:row>
    <x:row r="1955">
      <x:c r="A1955" s="14" t="str">
        <x:v>S0169-04</x:v>
      </x:c>
      <x:c r="B1955" s="14" t="str">
        <x:v>S0169</x:v>
      </x:c>
      <x:c r="C1955" s="14" t="str">
        <x:v>周末/节假日</x:v>
      </x:c>
      <x:c r="D1955" s="14" t="str">
        <x:v>环线2路</x:v>
      </x:c>
      <x:c r="E1955" s="14" t="str">
        <x:v>第一班</x:v>
      </x:c>
      <x:c r="F1955" s="14" t="n">
        <x:v>13</x:v>
      </x:c>
      <x:c r="G1955" s="14" t="str">
        <x:v>18:00</x:v>
      </x:c>
      <x:c r="H1955" s="14" t="str">
        <x:v>研究生宿舍楼</x:v>
      </x:c>
      <x:c r="I1955" s="14" t="str">
        <x:v>否</x:v>
      </x:c>
      <x:c r="J1955" s="14" t="n">
        <x:v>4</x:v>
      </x:c>
      <x:c r="K1955" s="14" t="str">
        <x:v>1号宿舍楼</x:v>
      </x:c>
      <x:c r="L1955" s="14" t="n">
        <x:v>3</x:v>
      </x:c>
      <x:c r="M1955" s="14" t="str">
        <x:v>18:03</x:v>
      </x:c>
      <x:c r="N1955" s="14" t="str">
        <x:v>否</x:v>
      </x:c>
      <x:c r="O1955" s="14" t="str">
        <x:v>否</x:v>
      </x:c>
      <x:c r="P1955" s="14" t="str">
        <x:v>刘晓燕</x:v>
      </x:c>
      <x:c r="Q1955" s="14" t="str">
        <x:v>1号车</x:v>
      </x:c>
      <x:c r="R1955" s="14" t="str">
        <x:v>预测</x:v>
      </x:c>
      <x:c r="S1955" s="14" t="str">
        <x:v>到站时间为估算值</x:v>
      </x:c>
      <x:c r="T1955" t="str">
        <x:v>研究生宿舍楼发车</x:v>
      </x:c>
    </x:row>
    <x:row r="1956">
      <x:c r="A1956" s="14" t="str">
        <x:v>S0169-05</x:v>
      </x:c>
      <x:c r="B1956" s="14" t="str">
        <x:v>S0169</x:v>
      </x:c>
      <x:c r="C1956" s="14" t="str">
        <x:v>周末/节假日</x:v>
      </x:c>
      <x:c r="D1956" s="14" t="str">
        <x:v>环线2路</x:v>
      </x:c>
      <x:c r="E1956" s="14" t="str">
        <x:v>第一班</x:v>
      </x:c>
      <x:c r="F1956" s="14" t="n">
        <x:v>13</x:v>
      </x:c>
      <x:c r="G1956" s="14" t="str">
        <x:v>18:00</x:v>
      </x:c>
      <x:c r="H1956" s="14" t="str">
        <x:v>研究生宿舍楼</x:v>
      </x:c>
      <x:c r="I1956" s="14" t="str">
        <x:v>否</x:v>
      </x:c>
      <x:c r="J1956" s="14" t="n">
        <x:v>5</x:v>
      </x:c>
      <x:c r="K1956" s="14" t="str">
        <x:v>水上训练中心</x:v>
      </x:c>
      <x:c r="L1956" s="14" t="n">
        <x:v>5</x:v>
      </x:c>
      <x:c r="M1956" s="14" t="str">
        <x:v>18:05</x:v>
      </x:c>
      <x:c r="N1956" s="14" t="str">
        <x:v>否</x:v>
      </x:c>
      <x:c r="O1956" s="14" t="str">
        <x:v>否</x:v>
      </x:c>
      <x:c r="P1956" s="14" t="str">
        <x:v>刘晓燕</x:v>
      </x:c>
      <x:c r="Q1956" s="14" t="str">
        <x:v>1号车</x:v>
      </x:c>
      <x:c r="R1956" s="14" t="str">
        <x:v>预测</x:v>
      </x:c>
      <x:c r="S1956" s="14" t="str">
        <x:v>到站时间为估算值</x:v>
      </x:c>
      <x:c r="T1956" t="str">
        <x:v>研究生宿舍楼发车</x:v>
      </x:c>
    </x:row>
    <x:row r="1957">
      <x:c r="A1957" s="14" t="str">
        <x:v>S0169-06</x:v>
      </x:c>
      <x:c r="B1957" s="14" t="str">
        <x:v>S0169</x:v>
      </x:c>
      <x:c r="C1957" s="14" t="str">
        <x:v>周末/节假日</x:v>
      </x:c>
      <x:c r="D1957" s="14" t="str">
        <x:v>环线2路</x:v>
      </x:c>
      <x:c r="E1957" s="14" t="str">
        <x:v>第一班</x:v>
      </x:c>
      <x:c r="F1957" s="14" t="n">
        <x:v>13</x:v>
      </x:c>
      <x:c r="G1957" s="14" t="str">
        <x:v>18:00</x:v>
      </x:c>
      <x:c r="H1957" s="14" t="str">
        <x:v>研究生宿舍楼</x:v>
      </x:c>
      <x:c r="I1957" s="14" t="str">
        <x:v>否</x:v>
      </x:c>
      <x:c r="J1957" s="14" t="n">
        <x:v>6</x:v>
      </x:c>
      <x:c r="K1957" s="14" t="str">
        <x:v>军体活动中心</x:v>
      </x:c>
      <x:c r="L1957" s="14" t="n">
        <x:v>6</x:v>
      </x:c>
      <x:c r="M1957" s="14" t="str">
        <x:v>18:06</x:v>
      </x:c>
      <x:c r="N1957" s="14" t="str">
        <x:v>否</x:v>
      </x:c>
      <x:c r="O1957" s="14" t="str">
        <x:v>否</x:v>
      </x:c>
      <x:c r="P1957" s="14" t="str">
        <x:v>刘晓燕</x:v>
      </x:c>
      <x:c r="Q1957" s="14" t="str">
        <x:v>1号车</x:v>
      </x:c>
      <x:c r="R1957" s="14" t="str">
        <x:v>预测</x:v>
      </x:c>
      <x:c r="S1957" s="14" t="str">
        <x:v>到站时间为估算值</x:v>
      </x:c>
      <x:c r="T1957" t="str">
        <x:v>研究生宿舍楼发车</x:v>
      </x:c>
    </x:row>
    <x:row r="1958">
      <x:c r="A1958" s="14" t="str">
        <x:v>S0169-07</x:v>
      </x:c>
      <x:c r="B1958" s="14" t="str">
        <x:v>S0169</x:v>
      </x:c>
      <x:c r="C1958" s="14" t="str">
        <x:v>周末/节假日</x:v>
      </x:c>
      <x:c r="D1958" s="14" t="str">
        <x:v>环线2路</x:v>
      </x:c>
      <x:c r="E1958" s="14" t="str">
        <x:v>第一班</x:v>
      </x:c>
      <x:c r="F1958" s="14" t="n">
        <x:v>13</x:v>
      </x:c>
      <x:c r="G1958" s="14" t="str">
        <x:v>18:00</x:v>
      </x:c>
      <x:c r="H1958" s="14" t="str">
        <x:v>研究生宿舍楼</x:v>
      </x:c>
      <x:c r="I1958" s="14" t="str">
        <x:v>否</x:v>
      </x:c>
      <x:c r="J1958" s="14" t="n">
        <x:v>7</x:v>
      </x:c>
      <x:c r="K1958" s="14" t="str">
        <x:v>二食堂</x:v>
      </x:c>
      <x:c r="L1958" s="14" t="n">
        <x:v>8</x:v>
      </x:c>
      <x:c r="M1958" s="14" t="str">
        <x:v>18:08</x:v>
      </x:c>
      <x:c r="N1958" s="14" t="str">
        <x:v>否</x:v>
      </x:c>
      <x:c r="O1958" s="14" t="str">
        <x:v>否</x:v>
      </x:c>
      <x:c r="P1958" s="14" t="str">
        <x:v>刘晓燕</x:v>
      </x:c>
      <x:c r="Q1958" s="14" t="str">
        <x:v>1号车</x:v>
      </x:c>
      <x:c r="R1958" s="14" t="str">
        <x:v>预测</x:v>
      </x:c>
      <x:c r="S1958" s="14" t="str">
        <x:v>到站时间为估算值</x:v>
      </x:c>
      <x:c r="T1958" t="str">
        <x:v>研究生宿舍楼发车</x:v>
      </x:c>
    </x:row>
    <x:row r="1959">
      <x:c r="A1959" s="14" t="str">
        <x:v>S0169-08</x:v>
      </x:c>
      <x:c r="B1959" s="14" t="str">
        <x:v>S0169</x:v>
      </x:c>
      <x:c r="C1959" s="14" t="str">
        <x:v>周末/节假日</x:v>
      </x:c>
      <x:c r="D1959" s="14" t="str">
        <x:v>环线2路</x:v>
      </x:c>
      <x:c r="E1959" s="14" t="str">
        <x:v>第一班</x:v>
      </x:c>
      <x:c r="F1959" s="14" t="n">
        <x:v>13</x:v>
      </x:c>
      <x:c r="G1959" s="14" t="str">
        <x:v>18:00</x:v>
      </x:c>
      <x:c r="H1959" s="14" t="str">
        <x:v>研究生宿舍楼</x:v>
      </x:c>
      <x:c r="I1959" s="14" t="str">
        <x:v>否</x:v>
      </x:c>
      <x:c r="J1959" s="14" t="n">
        <x:v>8</x:v>
      </x:c>
      <x:c r="K1959" s="14" t="str">
        <x:v>5号宿舍楼</x:v>
      </x:c>
      <x:c r="L1959" s="14" t="n">
        <x:v>9</x:v>
      </x:c>
      <x:c r="M1959" s="14" t="str">
        <x:v>18:09</x:v>
      </x:c>
      <x:c r="N1959" s="14" t="str">
        <x:v>否</x:v>
      </x:c>
      <x:c r="O1959" s="14" t="str">
        <x:v>否</x:v>
      </x:c>
      <x:c r="P1959" s="14" t="str">
        <x:v>刘晓燕</x:v>
      </x:c>
      <x:c r="Q1959" s="14" t="str">
        <x:v>1号车</x:v>
      </x:c>
      <x:c r="R1959" s="14" t="str">
        <x:v>预测</x:v>
      </x:c>
      <x:c r="S1959" s="14" t="str">
        <x:v>到站时间为估算值</x:v>
      </x:c>
      <x:c r="T1959" t="str">
        <x:v>研究生宿舍楼发车</x:v>
      </x:c>
    </x:row>
    <x:row r="1960">
      <x:c r="A1960" s="14" t="str">
        <x:v>S0169-09</x:v>
      </x:c>
      <x:c r="B1960" s="14" t="str">
        <x:v>S0169</x:v>
      </x:c>
      <x:c r="C1960" s="14" t="str">
        <x:v>周末/节假日</x:v>
      </x:c>
      <x:c r="D1960" s="14" t="str">
        <x:v>环线2路</x:v>
      </x:c>
      <x:c r="E1960" s="14" t="str">
        <x:v>第一班</x:v>
      </x:c>
      <x:c r="F1960" s="14" t="n">
        <x:v>13</x:v>
      </x:c>
      <x:c r="G1960" s="14" t="str">
        <x:v>18:00</x:v>
      </x:c>
      <x:c r="H1960" s="14" t="str">
        <x:v>研究生宿舍楼</x:v>
      </x:c>
      <x:c r="I1960" s="14" t="str">
        <x:v>否</x:v>
      </x:c>
      <x:c r="J1960" s="14" t="n">
        <x:v>9</x:v>
      </x:c>
      <x:c r="K1960" s="14" t="str">
        <x:v>305教学楼</x:v>
      </x:c>
      <x:c r="L1960" s="14" t="n">
        <x:v>10</x:v>
      </x:c>
      <x:c r="M1960" s="14" t="str">
        <x:v>18:10</x:v>
      </x:c>
      <x:c r="N1960" s="14" t="str">
        <x:v>否</x:v>
      </x:c>
      <x:c r="O1960" s="14" t="str">
        <x:v>否</x:v>
      </x:c>
      <x:c r="P1960" s="14" t="str">
        <x:v>刘晓燕</x:v>
      </x:c>
      <x:c r="Q1960" s="14" t="str">
        <x:v>1号车</x:v>
      </x:c>
      <x:c r="R1960" s="14" t="str">
        <x:v>预测</x:v>
      </x:c>
      <x:c r="S1960" s="14" t="str">
        <x:v>到站时间为估算值</x:v>
      </x:c>
      <x:c r="T1960" t="str">
        <x:v>研究生宿舍楼发车</x:v>
      </x:c>
    </x:row>
    <x:row r="1961">
      <x:c r="A1961" s="14" t="str">
        <x:v>S0169-10</x:v>
      </x:c>
      <x:c r="B1961" s="14" t="str">
        <x:v>S0169</x:v>
      </x:c>
      <x:c r="C1961" s="14" t="str">
        <x:v>周末/节假日</x:v>
      </x:c>
      <x:c r="D1961" s="14" t="str">
        <x:v>环线2路</x:v>
      </x:c>
      <x:c r="E1961" s="14" t="str">
        <x:v>第一班</x:v>
      </x:c>
      <x:c r="F1961" s="14" t="n">
        <x:v>13</x:v>
      </x:c>
      <x:c r="G1961" s="14" t="str">
        <x:v>18:00</x:v>
      </x:c>
      <x:c r="H1961" s="14" t="str">
        <x:v>研究生宿舍楼</x:v>
      </x:c>
      <x:c r="I1961" s="14" t="str">
        <x:v>否</x:v>
      </x:c>
      <x:c r="J1961" s="14" t="n">
        <x:v>10</x:v>
      </x:c>
      <x:c r="K1961" s="14" t="str">
        <x:v>研究生宿舍楼</x:v>
      </x:c>
      <x:c r="L1961" s="14" t="n">
        <x:v>12</x:v>
      </x:c>
      <x:c r="M1961" s="14" t="str">
        <x:v>18:12</x:v>
      </x:c>
      <x:c r="N1961" s="14" t="str">
        <x:v>否</x:v>
      </x:c>
      <x:c r="O1961" s="14" t="str">
        <x:v>是</x:v>
      </x:c>
      <x:c r="P1961" s="14" t="str">
        <x:v>刘晓燕</x:v>
      </x:c>
      <x:c r="Q1961" s="14" t="str">
        <x:v>1号车</x:v>
      </x:c>
      <x:c r="R1961" s="14" t="str">
        <x:v>预测</x:v>
      </x:c>
      <x:c r="S1961" s="14" t="str">
        <x:v>到站时间为估算值</x:v>
      </x:c>
      <x:c r="T1961" t="str">
        <x:v>研究生宿舍楼发车</x:v>
      </x:c>
    </x:row>
    <x:row r="1962">
      <x:c r="A1962" s="14" t="str">
        <x:v>S0170-01</x:v>
      </x:c>
      <x:c r="B1962" s="14" t="str">
        <x:v>S0170</x:v>
      </x:c>
      <x:c r="C1962" s="14" t="str">
        <x:v>周末/节假日</x:v>
      </x:c>
      <x:c r="D1962" s="14" t="str">
        <x:v>环线2路</x:v>
      </x:c>
      <x:c r="E1962" s="14" t="str">
        <x:v>第二班</x:v>
      </x:c>
      <x:c r="F1962" s="14" t="n">
        <x:v>1</x:v>
      </x:c>
      <x:c r="G1962" s="14" t="str">
        <x:v>20:40</x:v>
      </x:c>
      <x:c r="H1962" s="14" t="str">
        <x:v>研究生宿舍楼</x:v>
      </x:c>
      <x:c r="I1962" s="14" t="str">
        <x:v>否</x:v>
      </x:c>
      <x:c r="J1962" s="14" t="n">
        <x:v>1</x:v>
      </x:c>
      <x:c r="K1962" s="14" t="str">
        <x:v>研究生宿舍楼</x:v>
      </x:c>
      <x:c r="L1962" s="14" t="n">
        <x:v>0</x:v>
      </x:c>
      <x:c r="M1962" s="14" t="str">
        <x:v>20:40</x:v>
      </x:c>
      <x:c r="N1962" s="14" t="str">
        <x:v>是</x:v>
      </x:c>
      <x:c r="O1962" s="14" t="str">
        <x:v>否</x:v>
      </x:c>
      <x:c r="P1962" s="14" t="str">
        <x:v>孙五星</x:v>
      </x:c>
      <x:c r="Q1962" s="14" t="str">
        <x:v>2号车</x:v>
      </x:c>
      <x:c r="R1962" s="14" t="str">
        <x:v>预测</x:v>
      </x:c>
      <x:c r="S1962" s="14" t="str">
        <x:v>到站时间为估算值</x:v>
      </x:c>
      <x:c r="T1962" t="str">
        <x:v>研究生宿舍楼发车</x:v>
      </x:c>
    </x:row>
    <x:row r="1963">
      <x:c r="A1963" s="14" t="str">
        <x:v>S0170-02</x:v>
      </x:c>
      <x:c r="B1963" s="14" t="str">
        <x:v>S0170</x:v>
      </x:c>
      <x:c r="C1963" s="14" t="str">
        <x:v>周末/节假日</x:v>
      </x:c>
      <x:c r="D1963" s="14" t="str">
        <x:v>环线2路</x:v>
      </x:c>
      <x:c r="E1963" s="14" t="str">
        <x:v>第二班</x:v>
      </x:c>
      <x:c r="F1963" s="14" t="n">
        <x:v>1</x:v>
      </x:c>
      <x:c r="G1963" s="14" t="str">
        <x:v>20:40</x:v>
      </x:c>
      <x:c r="H1963" s="14" t="str">
        <x:v>研究生宿舍楼</x:v>
      </x:c>
      <x:c r="I1963" s="14" t="str">
        <x:v>否</x:v>
      </x:c>
      <x:c r="J1963" s="14" t="n">
        <x:v>2</x:v>
      </x:c>
      <x:c r="K1963" s="14" t="str">
        <x:v>一食堂</x:v>
      </x:c>
      <x:c r="L1963" s="14" t="n">
        <x:v>1</x:v>
      </x:c>
      <x:c r="M1963" s="14" t="str">
        <x:v>20:41</x:v>
      </x:c>
      <x:c r="N1963" s="14" t="str">
        <x:v>否</x:v>
      </x:c>
      <x:c r="O1963" s="14" t="str">
        <x:v>否</x:v>
      </x:c>
      <x:c r="P1963" s="14" t="str">
        <x:v>孙五星</x:v>
      </x:c>
      <x:c r="Q1963" s="14" t="str">
        <x:v>2号车</x:v>
      </x:c>
      <x:c r="R1963" s="14" t="str">
        <x:v>预测</x:v>
      </x:c>
      <x:c r="S1963" s="14" t="str">
        <x:v>到站时间为估算值</x:v>
      </x:c>
      <x:c r="T1963" t="str">
        <x:v>研究生宿舍楼发车</x:v>
      </x:c>
    </x:row>
    <x:row r="1964">
      <x:c r="A1964" s="14" t="str">
        <x:v>S0170-03</x:v>
      </x:c>
      <x:c r="B1964" s="14" t="str">
        <x:v>S0170</x:v>
      </x:c>
      <x:c r="C1964" s="14" t="str">
        <x:v>周末/节假日</x:v>
      </x:c>
      <x:c r="D1964" s="14" t="str">
        <x:v>环线2路</x:v>
      </x:c>
      <x:c r="E1964" s="14" t="str">
        <x:v>第二班</x:v>
      </x:c>
      <x:c r="F1964" s="14" t="n">
        <x:v>1</x:v>
      </x:c>
      <x:c r="G1964" s="14" t="str">
        <x:v>20:40</x:v>
      </x:c>
      <x:c r="H1964" s="14" t="str">
        <x:v>研究生宿舍楼</x:v>
      </x:c>
      <x:c r="I1964" s="14" t="str">
        <x:v>否</x:v>
      </x:c>
      <x:c r="J1964" s="14" t="n">
        <x:v>3</x:v>
      </x:c>
      <x:c r="K1964" s="14" t="str">
        <x:v>门诊部</x:v>
      </x:c>
      <x:c r="L1964" s="14" t="n">
        <x:v>2</x:v>
      </x:c>
      <x:c r="M1964" s="14" t="str">
        <x:v>20:42</x:v>
      </x:c>
      <x:c r="N1964" s="14" t="str">
        <x:v>否</x:v>
      </x:c>
      <x:c r="O1964" s="14" t="str">
        <x:v>否</x:v>
      </x:c>
      <x:c r="P1964" s="14" t="str">
        <x:v>孙五星</x:v>
      </x:c>
      <x:c r="Q1964" s="14" t="str">
        <x:v>2号车</x:v>
      </x:c>
      <x:c r="R1964" s="14" t="str">
        <x:v>预测</x:v>
      </x:c>
      <x:c r="S1964" s="14" t="str">
        <x:v>到站时间为估算值</x:v>
      </x:c>
      <x:c r="T1964" t="str">
        <x:v>研究生宿舍楼发车</x:v>
      </x:c>
    </x:row>
    <x:row r="1965">
      <x:c r="A1965" s="14" t="str">
        <x:v>S0170-04</x:v>
      </x:c>
      <x:c r="B1965" s="14" t="str">
        <x:v>S0170</x:v>
      </x:c>
      <x:c r="C1965" s="14" t="str">
        <x:v>周末/节假日</x:v>
      </x:c>
      <x:c r="D1965" s="14" t="str">
        <x:v>环线2路</x:v>
      </x:c>
      <x:c r="E1965" s="14" t="str">
        <x:v>第二班</x:v>
      </x:c>
      <x:c r="F1965" s="14" t="n">
        <x:v>1</x:v>
      </x:c>
      <x:c r="G1965" s="14" t="str">
        <x:v>20:40</x:v>
      </x:c>
      <x:c r="H1965" s="14" t="str">
        <x:v>研究生宿舍楼</x:v>
      </x:c>
      <x:c r="I1965" s="14" t="str">
        <x:v>否</x:v>
      </x:c>
      <x:c r="J1965" s="14" t="n">
        <x:v>4</x:v>
      </x:c>
      <x:c r="K1965" s="14" t="str">
        <x:v>1号宿舍楼</x:v>
      </x:c>
      <x:c r="L1965" s="14" t="n">
        <x:v>3</x:v>
      </x:c>
      <x:c r="M1965" s="14" t="str">
        <x:v>20:43</x:v>
      </x:c>
      <x:c r="N1965" s="14" t="str">
        <x:v>否</x:v>
      </x:c>
      <x:c r="O1965" s="14" t="str">
        <x:v>否</x:v>
      </x:c>
      <x:c r="P1965" s="14" t="str">
        <x:v>孙五星</x:v>
      </x:c>
      <x:c r="Q1965" s="14" t="str">
        <x:v>2号车</x:v>
      </x:c>
      <x:c r="R1965" s="14" t="str">
        <x:v>预测</x:v>
      </x:c>
      <x:c r="S1965" s="14" t="str">
        <x:v>到站时间为估算值</x:v>
      </x:c>
      <x:c r="T1965" t="str">
        <x:v>研究生宿舍楼发车</x:v>
      </x:c>
    </x:row>
    <x:row r="1966">
      <x:c r="A1966" s="14" t="str">
        <x:v>S0170-05</x:v>
      </x:c>
      <x:c r="B1966" s="14" t="str">
        <x:v>S0170</x:v>
      </x:c>
      <x:c r="C1966" s="14" t="str">
        <x:v>周末/节假日</x:v>
      </x:c>
      <x:c r="D1966" s="14" t="str">
        <x:v>环线2路</x:v>
      </x:c>
      <x:c r="E1966" s="14" t="str">
        <x:v>第二班</x:v>
      </x:c>
      <x:c r="F1966" s="14" t="n">
        <x:v>1</x:v>
      </x:c>
      <x:c r="G1966" s="14" t="str">
        <x:v>20:40</x:v>
      </x:c>
      <x:c r="H1966" s="14" t="str">
        <x:v>研究生宿舍楼</x:v>
      </x:c>
      <x:c r="I1966" s="14" t="str">
        <x:v>否</x:v>
      </x:c>
      <x:c r="J1966" s="14" t="n">
        <x:v>5</x:v>
      </x:c>
      <x:c r="K1966" s="14" t="str">
        <x:v>水上训练中心</x:v>
      </x:c>
      <x:c r="L1966" s="14" t="n">
        <x:v>5</x:v>
      </x:c>
      <x:c r="M1966" s="14" t="str">
        <x:v>20:45</x:v>
      </x:c>
      <x:c r="N1966" s="14" t="str">
        <x:v>否</x:v>
      </x:c>
      <x:c r="O1966" s="14" t="str">
        <x:v>否</x:v>
      </x:c>
      <x:c r="P1966" s="14" t="str">
        <x:v>孙五星</x:v>
      </x:c>
      <x:c r="Q1966" s="14" t="str">
        <x:v>2号车</x:v>
      </x:c>
      <x:c r="R1966" s="14" t="str">
        <x:v>预测</x:v>
      </x:c>
      <x:c r="S1966" s="14" t="str">
        <x:v>到站时间为估算值</x:v>
      </x:c>
      <x:c r="T1966" t="str">
        <x:v>研究生宿舍楼发车</x:v>
      </x:c>
    </x:row>
    <x:row r="1967">
      <x:c r="A1967" s="14" t="str">
        <x:v>S0170-06</x:v>
      </x:c>
      <x:c r="B1967" s="14" t="str">
        <x:v>S0170</x:v>
      </x:c>
      <x:c r="C1967" s="14" t="str">
        <x:v>周末/节假日</x:v>
      </x:c>
      <x:c r="D1967" s="14" t="str">
        <x:v>环线2路</x:v>
      </x:c>
      <x:c r="E1967" s="14" t="str">
        <x:v>第二班</x:v>
      </x:c>
      <x:c r="F1967" s="14" t="n">
        <x:v>1</x:v>
      </x:c>
      <x:c r="G1967" s="14" t="str">
        <x:v>20:40</x:v>
      </x:c>
      <x:c r="H1967" s="14" t="str">
        <x:v>研究生宿舍楼</x:v>
      </x:c>
      <x:c r="I1967" s="14" t="str">
        <x:v>否</x:v>
      </x:c>
      <x:c r="J1967" s="14" t="n">
        <x:v>6</x:v>
      </x:c>
      <x:c r="K1967" s="14" t="str">
        <x:v>军体活动中心</x:v>
      </x:c>
      <x:c r="L1967" s="14" t="n">
        <x:v>6</x:v>
      </x:c>
      <x:c r="M1967" s="14" t="str">
        <x:v>20:46</x:v>
      </x:c>
      <x:c r="N1967" s="14" t="str">
        <x:v>否</x:v>
      </x:c>
      <x:c r="O1967" s="14" t="str">
        <x:v>否</x:v>
      </x:c>
      <x:c r="P1967" s="14" t="str">
        <x:v>孙五星</x:v>
      </x:c>
      <x:c r="Q1967" s="14" t="str">
        <x:v>2号车</x:v>
      </x:c>
      <x:c r="R1967" s="14" t="str">
        <x:v>预测</x:v>
      </x:c>
      <x:c r="S1967" s="14" t="str">
        <x:v>到站时间为估算值</x:v>
      </x:c>
      <x:c r="T1967" t="str">
        <x:v>研究生宿舍楼发车</x:v>
      </x:c>
    </x:row>
    <x:row r="1968">
      <x:c r="A1968" s="14" t="str">
        <x:v>S0170-07</x:v>
      </x:c>
      <x:c r="B1968" s="14" t="str">
        <x:v>S0170</x:v>
      </x:c>
      <x:c r="C1968" s="14" t="str">
        <x:v>周末/节假日</x:v>
      </x:c>
      <x:c r="D1968" s="14" t="str">
        <x:v>环线2路</x:v>
      </x:c>
      <x:c r="E1968" s="14" t="str">
        <x:v>第二班</x:v>
      </x:c>
      <x:c r="F1968" s="14" t="n">
        <x:v>1</x:v>
      </x:c>
      <x:c r="G1968" s="14" t="str">
        <x:v>20:40</x:v>
      </x:c>
      <x:c r="H1968" s="14" t="str">
        <x:v>研究生宿舍楼</x:v>
      </x:c>
      <x:c r="I1968" s="14" t="str">
        <x:v>否</x:v>
      </x:c>
      <x:c r="J1968" s="14" t="n">
        <x:v>7</x:v>
      </x:c>
      <x:c r="K1968" s="14" t="str">
        <x:v>二食堂</x:v>
      </x:c>
      <x:c r="L1968" s="14" t="n">
        <x:v>8</x:v>
      </x:c>
      <x:c r="M1968" s="14" t="str">
        <x:v>20:48</x:v>
      </x:c>
      <x:c r="N1968" s="14" t="str">
        <x:v>否</x:v>
      </x:c>
      <x:c r="O1968" s="14" t="str">
        <x:v>否</x:v>
      </x:c>
      <x:c r="P1968" s="14" t="str">
        <x:v>孙五星</x:v>
      </x:c>
      <x:c r="Q1968" s="14" t="str">
        <x:v>2号车</x:v>
      </x:c>
      <x:c r="R1968" s="14" t="str">
        <x:v>预测</x:v>
      </x:c>
      <x:c r="S1968" s="14" t="str">
        <x:v>到站时间为估算值</x:v>
      </x:c>
      <x:c r="T1968" t="str">
        <x:v>研究生宿舍楼发车</x:v>
      </x:c>
    </x:row>
    <x:row r="1969">
      <x:c r="A1969" s="14" t="str">
        <x:v>S0170-08</x:v>
      </x:c>
      <x:c r="B1969" s="14" t="str">
        <x:v>S0170</x:v>
      </x:c>
      <x:c r="C1969" s="14" t="str">
        <x:v>周末/节假日</x:v>
      </x:c>
      <x:c r="D1969" s="14" t="str">
        <x:v>环线2路</x:v>
      </x:c>
      <x:c r="E1969" s="14" t="str">
        <x:v>第二班</x:v>
      </x:c>
      <x:c r="F1969" s="14" t="n">
        <x:v>1</x:v>
      </x:c>
      <x:c r="G1969" s="14" t="str">
        <x:v>20:40</x:v>
      </x:c>
      <x:c r="H1969" s="14" t="str">
        <x:v>研究生宿舍楼</x:v>
      </x:c>
      <x:c r="I1969" s="14" t="str">
        <x:v>否</x:v>
      </x:c>
      <x:c r="J1969" s="14" t="n">
        <x:v>8</x:v>
      </x:c>
      <x:c r="K1969" s="14" t="str">
        <x:v>5号宿舍楼</x:v>
      </x:c>
      <x:c r="L1969" s="14" t="n">
        <x:v>9</x:v>
      </x:c>
      <x:c r="M1969" s="14" t="str">
        <x:v>20:49</x:v>
      </x:c>
      <x:c r="N1969" s="14" t="str">
        <x:v>否</x:v>
      </x:c>
      <x:c r="O1969" s="14" t="str">
        <x:v>否</x:v>
      </x:c>
      <x:c r="P1969" s="14" t="str">
        <x:v>孙五星</x:v>
      </x:c>
      <x:c r="Q1969" s="14" t="str">
        <x:v>2号车</x:v>
      </x:c>
      <x:c r="R1969" s="14" t="str">
        <x:v>预测</x:v>
      </x:c>
      <x:c r="S1969" s="14" t="str">
        <x:v>到站时间为估算值</x:v>
      </x:c>
      <x:c r="T1969" t="str">
        <x:v>研究生宿舍楼发车</x:v>
      </x:c>
    </x:row>
    <x:row r="1970">
      <x:c r="A1970" s="14" t="str">
        <x:v>S0170-09</x:v>
      </x:c>
      <x:c r="B1970" s="14" t="str">
        <x:v>S0170</x:v>
      </x:c>
      <x:c r="C1970" s="14" t="str">
        <x:v>周末/节假日</x:v>
      </x:c>
      <x:c r="D1970" s="14" t="str">
        <x:v>环线2路</x:v>
      </x:c>
      <x:c r="E1970" s="14" t="str">
        <x:v>第二班</x:v>
      </x:c>
      <x:c r="F1970" s="14" t="n">
        <x:v>1</x:v>
      </x:c>
      <x:c r="G1970" s="14" t="str">
        <x:v>20:40</x:v>
      </x:c>
      <x:c r="H1970" s="14" t="str">
        <x:v>研究生宿舍楼</x:v>
      </x:c>
      <x:c r="I1970" s="14" t="str">
        <x:v>否</x:v>
      </x:c>
      <x:c r="J1970" s="14" t="n">
        <x:v>9</x:v>
      </x:c>
      <x:c r="K1970" s="14" t="str">
        <x:v>305教学楼</x:v>
      </x:c>
      <x:c r="L1970" s="14" t="n">
        <x:v>10</x:v>
      </x:c>
      <x:c r="M1970" s="14" t="str">
        <x:v>20:50</x:v>
      </x:c>
      <x:c r="N1970" s="14" t="str">
        <x:v>否</x:v>
      </x:c>
      <x:c r="O1970" s="14" t="str">
        <x:v>否</x:v>
      </x:c>
      <x:c r="P1970" s="14" t="str">
        <x:v>孙五星</x:v>
      </x:c>
      <x:c r="Q1970" s="14" t="str">
        <x:v>2号车</x:v>
      </x:c>
      <x:c r="R1970" s="14" t="str">
        <x:v>预测</x:v>
      </x:c>
      <x:c r="S1970" s="14" t="str">
        <x:v>到站时间为估算值</x:v>
      </x:c>
      <x:c r="T1970" t="str">
        <x:v>研究生宿舍楼发车</x:v>
      </x:c>
    </x:row>
    <x:row r="1971">
      <x:c r="A1971" s="14" t="str">
        <x:v>S0170-10</x:v>
      </x:c>
      <x:c r="B1971" s="14" t="str">
        <x:v>S0170</x:v>
      </x:c>
      <x:c r="C1971" s="14" t="str">
        <x:v>周末/节假日</x:v>
      </x:c>
      <x:c r="D1971" s="14" t="str">
        <x:v>环线2路</x:v>
      </x:c>
      <x:c r="E1971" s="14" t="str">
        <x:v>第二班</x:v>
      </x:c>
      <x:c r="F1971" s="14" t="n">
        <x:v>1</x:v>
      </x:c>
      <x:c r="G1971" s="14" t="str">
        <x:v>20:40</x:v>
      </x:c>
      <x:c r="H1971" s="14" t="str">
        <x:v>研究生宿舍楼</x:v>
      </x:c>
      <x:c r="I1971" s="14" t="str">
        <x:v>否</x:v>
      </x:c>
      <x:c r="J1971" s="14" t="n">
        <x:v>10</x:v>
      </x:c>
      <x:c r="K1971" s="14" t="str">
        <x:v>研究生宿舍楼</x:v>
      </x:c>
      <x:c r="L1971" s="14" t="n">
        <x:v>12</x:v>
      </x:c>
      <x:c r="M1971" s="14" t="str">
        <x:v>20:52</x:v>
      </x:c>
      <x:c r="N1971" s="14" t="str">
        <x:v>否</x:v>
      </x:c>
      <x:c r="O1971" s="14" t="str">
        <x:v>是</x:v>
      </x:c>
      <x:c r="P1971" s="14" t="str">
        <x:v>孙五星</x:v>
      </x:c>
      <x:c r="Q1971" s="14" t="str">
        <x:v>2号车</x:v>
      </x:c>
      <x:c r="R1971" s="14" t="str">
        <x:v>预测</x:v>
      </x:c>
      <x:c r="S1971" s="14" t="str">
        <x:v>到站时间为估算值</x:v>
      </x:c>
      <x:c r="T1971" t="str">
        <x:v>研究生宿舍楼发车</x:v>
      </x:c>
    </x:row>
    <x:row r="1972">
      <x:c r="A1972" s="14" t="str">
        <x:v>S0171-01</x:v>
      </x:c>
      <x:c r="B1972" s="14" t="str">
        <x:v>S0171</x:v>
      </x:c>
      <x:c r="C1972" s="14" t="str">
        <x:v>周末/节假日</x:v>
      </x:c>
      <x:c r="D1972" s="14" t="str">
        <x:v>环线2路</x:v>
      </x:c>
      <x:c r="E1972" s="14" t="str">
        <x:v>第二班</x:v>
      </x:c>
      <x:c r="F1972" s="14" t="n">
        <x:v>2</x:v>
      </x:c>
      <x:c r="G1972" s="14" t="str">
        <x:v>21:00</x:v>
      </x:c>
      <x:c r="H1972" s="14" t="str">
        <x:v>研究生宿舍楼</x:v>
      </x:c>
      <x:c r="I1972" s="14" t="str">
        <x:v>否</x:v>
      </x:c>
      <x:c r="J1972" s="14" t="n">
        <x:v>1</x:v>
      </x:c>
      <x:c r="K1972" s="14" t="str">
        <x:v>研究生宿舍楼</x:v>
      </x:c>
      <x:c r="L1972" s="14" t="n">
        <x:v>0</x:v>
      </x:c>
      <x:c r="M1972" s="14" t="str">
        <x:v>21:00</x:v>
      </x:c>
      <x:c r="N1972" s="14" t="str">
        <x:v>是</x:v>
      </x:c>
      <x:c r="O1972" s="14" t="str">
        <x:v>否</x:v>
      </x:c>
      <x:c r="P1972" s="14" t="str">
        <x:v>孙五星</x:v>
      </x:c>
      <x:c r="Q1972" s="14" t="str">
        <x:v>2号车</x:v>
      </x:c>
      <x:c r="R1972" s="14" t="str">
        <x:v>预测</x:v>
      </x:c>
      <x:c r="S1972" s="14" t="str">
        <x:v>到站时间为估算值</x:v>
      </x:c>
      <x:c r="T1972" t="str">
        <x:v>研究生宿舍楼发车</x:v>
      </x:c>
    </x:row>
    <x:row r="1973">
      <x:c r="A1973" s="14" t="str">
        <x:v>S0171-02</x:v>
      </x:c>
      <x:c r="B1973" s="14" t="str">
        <x:v>S0171</x:v>
      </x:c>
      <x:c r="C1973" s="14" t="str">
        <x:v>周末/节假日</x:v>
      </x:c>
      <x:c r="D1973" s="14" t="str">
        <x:v>环线2路</x:v>
      </x:c>
      <x:c r="E1973" s="14" t="str">
        <x:v>第二班</x:v>
      </x:c>
      <x:c r="F1973" s="14" t="n">
        <x:v>2</x:v>
      </x:c>
      <x:c r="G1973" s="14" t="str">
        <x:v>21:00</x:v>
      </x:c>
      <x:c r="H1973" s="14" t="str">
        <x:v>研究生宿舍楼</x:v>
      </x:c>
      <x:c r="I1973" s="14" t="str">
        <x:v>否</x:v>
      </x:c>
      <x:c r="J1973" s="14" t="n">
        <x:v>2</x:v>
      </x:c>
      <x:c r="K1973" s="14" t="str">
        <x:v>一食堂</x:v>
      </x:c>
      <x:c r="L1973" s="14" t="n">
        <x:v>1</x:v>
      </x:c>
      <x:c r="M1973" s="14" t="str">
        <x:v>21:01</x:v>
      </x:c>
      <x:c r="N1973" s="14" t="str">
        <x:v>否</x:v>
      </x:c>
      <x:c r="O1973" s="14" t="str">
        <x:v>否</x:v>
      </x:c>
      <x:c r="P1973" s="14" t="str">
        <x:v>孙五星</x:v>
      </x:c>
      <x:c r="Q1973" s="14" t="str">
        <x:v>2号车</x:v>
      </x:c>
      <x:c r="R1973" s="14" t="str">
        <x:v>预测</x:v>
      </x:c>
      <x:c r="S1973" s="14" t="str">
        <x:v>到站时间为估算值</x:v>
      </x:c>
      <x:c r="T1973" t="str">
        <x:v>研究生宿舍楼发车</x:v>
      </x:c>
    </x:row>
    <x:row r="1974">
      <x:c r="A1974" s="14" t="str">
        <x:v>S0171-03</x:v>
      </x:c>
      <x:c r="B1974" s="14" t="str">
        <x:v>S0171</x:v>
      </x:c>
      <x:c r="C1974" s="14" t="str">
        <x:v>周末/节假日</x:v>
      </x:c>
      <x:c r="D1974" s="14" t="str">
        <x:v>环线2路</x:v>
      </x:c>
      <x:c r="E1974" s="14" t="str">
        <x:v>第二班</x:v>
      </x:c>
      <x:c r="F1974" s="14" t="n">
        <x:v>2</x:v>
      </x:c>
      <x:c r="G1974" s="14" t="str">
        <x:v>21:00</x:v>
      </x:c>
      <x:c r="H1974" s="14" t="str">
        <x:v>研究生宿舍楼</x:v>
      </x:c>
      <x:c r="I1974" s="14" t="str">
        <x:v>否</x:v>
      </x:c>
      <x:c r="J1974" s="14" t="n">
        <x:v>3</x:v>
      </x:c>
      <x:c r="K1974" s="14" t="str">
        <x:v>门诊部</x:v>
      </x:c>
      <x:c r="L1974" s="14" t="n">
        <x:v>2</x:v>
      </x:c>
      <x:c r="M1974" s="14" t="str">
        <x:v>21:02</x:v>
      </x:c>
      <x:c r="N1974" s="14" t="str">
        <x:v>否</x:v>
      </x:c>
      <x:c r="O1974" s="14" t="str">
        <x:v>否</x:v>
      </x:c>
      <x:c r="P1974" s="14" t="str">
        <x:v>孙五星</x:v>
      </x:c>
      <x:c r="Q1974" s="14" t="str">
        <x:v>2号车</x:v>
      </x:c>
      <x:c r="R1974" s="14" t="str">
        <x:v>预测</x:v>
      </x:c>
      <x:c r="S1974" s="14" t="str">
        <x:v>到站时间为估算值</x:v>
      </x:c>
      <x:c r="T1974" t="str">
        <x:v>研究生宿舍楼发车</x:v>
      </x:c>
    </x:row>
    <x:row r="1975">
      <x:c r="A1975" s="14" t="str">
        <x:v>S0171-04</x:v>
      </x:c>
      <x:c r="B1975" s="14" t="str">
        <x:v>S0171</x:v>
      </x:c>
      <x:c r="C1975" s="14" t="str">
        <x:v>周末/节假日</x:v>
      </x:c>
      <x:c r="D1975" s="14" t="str">
        <x:v>环线2路</x:v>
      </x:c>
      <x:c r="E1975" s="14" t="str">
        <x:v>第二班</x:v>
      </x:c>
      <x:c r="F1975" s="14" t="n">
        <x:v>2</x:v>
      </x:c>
      <x:c r="G1975" s="14" t="str">
        <x:v>21:00</x:v>
      </x:c>
      <x:c r="H1975" s="14" t="str">
        <x:v>研究生宿舍楼</x:v>
      </x:c>
      <x:c r="I1975" s="14" t="str">
        <x:v>否</x:v>
      </x:c>
      <x:c r="J1975" s="14" t="n">
        <x:v>4</x:v>
      </x:c>
      <x:c r="K1975" s="14" t="str">
        <x:v>1号宿舍楼</x:v>
      </x:c>
      <x:c r="L1975" s="14" t="n">
        <x:v>3</x:v>
      </x:c>
      <x:c r="M1975" s="14" t="str">
        <x:v>21:03</x:v>
      </x:c>
      <x:c r="N1975" s="14" t="str">
        <x:v>否</x:v>
      </x:c>
      <x:c r="O1975" s="14" t="str">
        <x:v>否</x:v>
      </x:c>
      <x:c r="P1975" s="14" t="str">
        <x:v>孙五星</x:v>
      </x:c>
      <x:c r="Q1975" s="14" t="str">
        <x:v>2号车</x:v>
      </x:c>
      <x:c r="R1975" s="14" t="str">
        <x:v>预测</x:v>
      </x:c>
      <x:c r="S1975" s="14" t="str">
        <x:v>到站时间为估算值</x:v>
      </x:c>
      <x:c r="T1975" t="str">
        <x:v>研究生宿舍楼发车</x:v>
      </x:c>
    </x:row>
    <x:row r="1976">
      <x:c r="A1976" s="14" t="str">
        <x:v>S0171-05</x:v>
      </x:c>
      <x:c r="B1976" s="14" t="str">
        <x:v>S0171</x:v>
      </x:c>
      <x:c r="C1976" s="14" t="str">
        <x:v>周末/节假日</x:v>
      </x:c>
      <x:c r="D1976" s="14" t="str">
        <x:v>环线2路</x:v>
      </x:c>
      <x:c r="E1976" s="14" t="str">
        <x:v>第二班</x:v>
      </x:c>
      <x:c r="F1976" s="14" t="n">
        <x:v>2</x:v>
      </x:c>
      <x:c r="G1976" s="14" t="str">
        <x:v>21:00</x:v>
      </x:c>
      <x:c r="H1976" s="14" t="str">
        <x:v>研究生宿舍楼</x:v>
      </x:c>
      <x:c r="I1976" s="14" t="str">
        <x:v>否</x:v>
      </x:c>
      <x:c r="J1976" s="14" t="n">
        <x:v>5</x:v>
      </x:c>
      <x:c r="K1976" s="14" t="str">
        <x:v>水上训练中心</x:v>
      </x:c>
      <x:c r="L1976" s="14" t="n">
        <x:v>5</x:v>
      </x:c>
      <x:c r="M1976" s="14" t="str">
        <x:v>21:05</x:v>
      </x:c>
      <x:c r="N1976" s="14" t="str">
        <x:v>否</x:v>
      </x:c>
      <x:c r="O1976" s="14" t="str">
        <x:v>否</x:v>
      </x:c>
      <x:c r="P1976" s="14" t="str">
        <x:v>孙五星</x:v>
      </x:c>
      <x:c r="Q1976" s="14" t="str">
        <x:v>2号车</x:v>
      </x:c>
      <x:c r="R1976" s="14" t="str">
        <x:v>预测</x:v>
      </x:c>
      <x:c r="S1976" s="14" t="str">
        <x:v>到站时间为估算值</x:v>
      </x:c>
      <x:c r="T1976" t="str">
        <x:v>研究生宿舍楼发车</x:v>
      </x:c>
    </x:row>
    <x:row r="1977">
      <x:c r="A1977" s="14" t="str">
        <x:v>S0171-06</x:v>
      </x:c>
      <x:c r="B1977" s="14" t="str">
        <x:v>S0171</x:v>
      </x:c>
      <x:c r="C1977" s="14" t="str">
        <x:v>周末/节假日</x:v>
      </x:c>
      <x:c r="D1977" s="14" t="str">
        <x:v>环线2路</x:v>
      </x:c>
      <x:c r="E1977" s="14" t="str">
        <x:v>第二班</x:v>
      </x:c>
      <x:c r="F1977" s="14" t="n">
        <x:v>2</x:v>
      </x:c>
      <x:c r="G1977" s="14" t="str">
        <x:v>21:00</x:v>
      </x:c>
      <x:c r="H1977" s="14" t="str">
        <x:v>研究生宿舍楼</x:v>
      </x:c>
      <x:c r="I1977" s="14" t="str">
        <x:v>否</x:v>
      </x:c>
      <x:c r="J1977" s="14" t="n">
        <x:v>6</x:v>
      </x:c>
      <x:c r="K1977" s="14" t="str">
        <x:v>军体活动中心</x:v>
      </x:c>
      <x:c r="L1977" s="14" t="n">
        <x:v>6</x:v>
      </x:c>
      <x:c r="M1977" s="14" t="str">
        <x:v>21:06</x:v>
      </x:c>
      <x:c r="N1977" s="14" t="str">
        <x:v>否</x:v>
      </x:c>
      <x:c r="O1977" s="14" t="str">
        <x:v>否</x:v>
      </x:c>
      <x:c r="P1977" s="14" t="str">
        <x:v>孙五星</x:v>
      </x:c>
      <x:c r="Q1977" s="14" t="str">
        <x:v>2号车</x:v>
      </x:c>
      <x:c r="R1977" s="14" t="str">
        <x:v>预测</x:v>
      </x:c>
      <x:c r="S1977" s="14" t="str">
        <x:v>到站时间为估算值</x:v>
      </x:c>
      <x:c r="T1977" t="str">
        <x:v>研究生宿舍楼发车</x:v>
      </x:c>
    </x:row>
    <x:row r="1978">
      <x:c r="A1978" s="14" t="str">
        <x:v>S0171-07</x:v>
      </x:c>
      <x:c r="B1978" s="14" t="str">
        <x:v>S0171</x:v>
      </x:c>
      <x:c r="C1978" s="14" t="str">
        <x:v>周末/节假日</x:v>
      </x:c>
      <x:c r="D1978" s="14" t="str">
        <x:v>环线2路</x:v>
      </x:c>
      <x:c r="E1978" s="14" t="str">
        <x:v>第二班</x:v>
      </x:c>
      <x:c r="F1978" s="14" t="n">
        <x:v>2</x:v>
      </x:c>
      <x:c r="G1978" s="14" t="str">
        <x:v>21:00</x:v>
      </x:c>
      <x:c r="H1978" s="14" t="str">
        <x:v>研究生宿舍楼</x:v>
      </x:c>
      <x:c r="I1978" s="14" t="str">
        <x:v>否</x:v>
      </x:c>
      <x:c r="J1978" s="14" t="n">
        <x:v>7</x:v>
      </x:c>
      <x:c r="K1978" s="14" t="str">
        <x:v>二食堂</x:v>
      </x:c>
      <x:c r="L1978" s="14" t="n">
        <x:v>8</x:v>
      </x:c>
      <x:c r="M1978" s="14" t="str">
        <x:v>21:08</x:v>
      </x:c>
      <x:c r="N1978" s="14" t="str">
        <x:v>否</x:v>
      </x:c>
      <x:c r="O1978" s="14" t="str">
        <x:v>否</x:v>
      </x:c>
      <x:c r="P1978" s="14" t="str">
        <x:v>孙五星</x:v>
      </x:c>
      <x:c r="Q1978" s="14" t="str">
        <x:v>2号车</x:v>
      </x:c>
      <x:c r="R1978" s="14" t="str">
        <x:v>预测</x:v>
      </x:c>
      <x:c r="S1978" s="14" t="str">
        <x:v>到站时间为估算值</x:v>
      </x:c>
      <x:c r="T1978" t="str">
        <x:v>研究生宿舍楼发车</x:v>
      </x:c>
    </x:row>
    <x:row r="1979">
      <x:c r="A1979" s="14" t="str">
        <x:v>S0171-08</x:v>
      </x:c>
      <x:c r="B1979" s="14" t="str">
        <x:v>S0171</x:v>
      </x:c>
      <x:c r="C1979" s="14" t="str">
        <x:v>周末/节假日</x:v>
      </x:c>
      <x:c r="D1979" s="14" t="str">
        <x:v>环线2路</x:v>
      </x:c>
      <x:c r="E1979" s="14" t="str">
        <x:v>第二班</x:v>
      </x:c>
      <x:c r="F1979" s="14" t="n">
        <x:v>2</x:v>
      </x:c>
      <x:c r="G1979" s="14" t="str">
        <x:v>21:00</x:v>
      </x:c>
      <x:c r="H1979" s="14" t="str">
        <x:v>研究生宿舍楼</x:v>
      </x:c>
      <x:c r="I1979" s="14" t="str">
        <x:v>否</x:v>
      </x:c>
      <x:c r="J1979" s="14" t="n">
        <x:v>8</x:v>
      </x:c>
      <x:c r="K1979" s="14" t="str">
        <x:v>5号宿舍楼</x:v>
      </x:c>
      <x:c r="L1979" s="14" t="n">
        <x:v>9</x:v>
      </x:c>
      <x:c r="M1979" s="14" t="str">
        <x:v>21:09</x:v>
      </x:c>
      <x:c r="N1979" s="14" t="str">
        <x:v>否</x:v>
      </x:c>
      <x:c r="O1979" s="14" t="str">
        <x:v>否</x:v>
      </x:c>
      <x:c r="P1979" s="14" t="str">
        <x:v>孙五星</x:v>
      </x:c>
      <x:c r="Q1979" s="14" t="str">
        <x:v>2号车</x:v>
      </x:c>
      <x:c r="R1979" s="14" t="str">
        <x:v>预测</x:v>
      </x:c>
      <x:c r="S1979" s="14" t="str">
        <x:v>到站时间为估算值</x:v>
      </x:c>
      <x:c r="T1979" t="str">
        <x:v>研究生宿舍楼发车</x:v>
      </x:c>
    </x:row>
    <x:row r="1980">
      <x:c r="A1980" s="14" t="str">
        <x:v>S0171-09</x:v>
      </x:c>
      <x:c r="B1980" s="14" t="str">
        <x:v>S0171</x:v>
      </x:c>
      <x:c r="C1980" s="14" t="str">
        <x:v>周末/节假日</x:v>
      </x:c>
      <x:c r="D1980" s="14" t="str">
        <x:v>环线2路</x:v>
      </x:c>
      <x:c r="E1980" s="14" t="str">
        <x:v>第二班</x:v>
      </x:c>
      <x:c r="F1980" s="14" t="n">
        <x:v>2</x:v>
      </x:c>
      <x:c r="G1980" s="14" t="str">
        <x:v>21:00</x:v>
      </x:c>
      <x:c r="H1980" s="14" t="str">
        <x:v>研究生宿舍楼</x:v>
      </x:c>
      <x:c r="I1980" s="14" t="str">
        <x:v>否</x:v>
      </x:c>
      <x:c r="J1980" s="14" t="n">
        <x:v>9</x:v>
      </x:c>
      <x:c r="K1980" s="14" t="str">
        <x:v>305教学楼</x:v>
      </x:c>
      <x:c r="L1980" s="14" t="n">
        <x:v>10</x:v>
      </x:c>
      <x:c r="M1980" s="14" t="str">
        <x:v>21:10</x:v>
      </x:c>
      <x:c r="N1980" s="14" t="str">
        <x:v>否</x:v>
      </x:c>
      <x:c r="O1980" s="14" t="str">
        <x:v>否</x:v>
      </x:c>
      <x:c r="P1980" s="14" t="str">
        <x:v>孙五星</x:v>
      </x:c>
      <x:c r="Q1980" s="14" t="str">
        <x:v>2号车</x:v>
      </x:c>
      <x:c r="R1980" s="14" t="str">
        <x:v>预测</x:v>
      </x:c>
      <x:c r="S1980" s="14" t="str">
        <x:v>到站时间为估算值</x:v>
      </x:c>
      <x:c r="T1980" t="str">
        <x:v>研究生宿舍楼发车</x:v>
      </x:c>
    </x:row>
    <x:row r="1981">
      <x:c r="A1981" s="14" t="str">
        <x:v>S0171-10</x:v>
      </x:c>
      <x:c r="B1981" s="14" t="str">
        <x:v>S0171</x:v>
      </x:c>
      <x:c r="C1981" s="14" t="str">
        <x:v>周末/节假日</x:v>
      </x:c>
      <x:c r="D1981" s="14" t="str">
        <x:v>环线2路</x:v>
      </x:c>
      <x:c r="E1981" s="14" t="str">
        <x:v>第二班</x:v>
      </x:c>
      <x:c r="F1981" s="14" t="n">
        <x:v>2</x:v>
      </x:c>
      <x:c r="G1981" s="14" t="str">
        <x:v>21:00</x:v>
      </x:c>
      <x:c r="H1981" s="14" t="str">
        <x:v>研究生宿舍楼</x:v>
      </x:c>
      <x:c r="I1981" s="14" t="str">
        <x:v>否</x:v>
      </x:c>
      <x:c r="J1981" s="14" t="n">
        <x:v>10</x:v>
      </x:c>
      <x:c r="K1981" s="14" t="str">
        <x:v>研究生宿舍楼</x:v>
      </x:c>
      <x:c r="L1981" s="14" t="n">
        <x:v>12</x:v>
      </x:c>
      <x:c r="M1981" s="14" t="str">
        <x:v>21:12</x:v>
      </x:c>
      <x:c r="N1981" s="14" t="str">
        <x:v>否</x:v>
      </x:c>
      <x:c r="O1981" s="14" t="str">
        <x:v>是</x:v>
      </x:c>
      <x:c r="P1981" s="14" t="str">
        <x:v>孙五星</x:v>
      </x:c>
      <x:c r="Q1981" s="14" t="str">
        <x:v>2号车</x:v>
      </x:c>
      <x:c r="R1981" s="14" t="str">
        <x:v>预测</x:v>
      </x:c>
      <x:c r="S1981" s="14" t="str">
        <x:v>到站时间为估算值</x:v>
      </x:c>
      <x:c r="T1981" t="str">
        <x:v>研究生宿舍楼发车</x:v>
      </x:c>
    </x:row>
    <x:row r="1982">
      <x:c r="A1982" s="14" t="str">
        <x:v>S0172-01</x:v>
      </x:c>
      <x:c r="B1982" s="14" t="str">
        <x:v>S0172</x:v>
      </x:c>
      <x:c r="C1982" s="14" t="str">
        <x:v>周末/节假日</x:v>
      </x:c>
      <x:c r="D1982" s="14" t="str">
        <x:v>环线2路</x:v>
      </x:c>
      <x:c r="E1982" s="14" t="str">
        <x:v>第二班</x:v>
      </x:c>
      <x:c r="F1982" s="14" t="n">
        <x:v>3</x:v>
      </x:c>
      <x:c r="G1982" s="14" t="str">
        <x:v>21:25</x:v>
      </x:c>
      <x:c r="H1982" s="14" t="str">
        <x:v>研究生宿舍楼</x:v>
      </x:c>
      <x:c r="I1982" s="14" t="str">
        <x:v>否</x:v>
      </x:c>
      <x:c r="J1982" s="14" t="n">
        <x:v>1</x:v>
      </x:c>
      <x:c r="K1982" s="14" t="str">
        <x:v>研究生宿舍楼</x:v>
      </x:c>
      <x:c r="L1982" s="14" t="n">
        <x:v>0</x:v>
      </x:c>
      <x:c r="M1982" s="14" t="str">
        <x:v>21:25</x:v>
      </x:c>
      <x:c r="N1982" s="14" t="str">
        <x:v>是</x:v>
      </x:c>
      <x:c r="O1982" s="14" t="str">
        <x:v>否</x:v>
      </x:c>
      <x:c r="P1982" s="14" t="str">
        <x:v>孙五星</x:v>
      </x:c>
      <x:c r="Q1982" s="14" t="str">
        <x:v>2号车</x:v>
      </x:c>
      <x:c r="R1982" s="14" t="str">
        <x:v>预测</x:v>
      </x:c>
      <x:c r="S1982" s="14" t="str">
        <x:v>到站时间为估算值</x:v>
      </x:c>
      <x:c r="T1982" t="str">
        <x:v>研究生宿舍楼发车</x:v>
      </x:c>
    </x:row>
    <x:row r="1983">
      <x:c r="A1983" s="14" t="str">
        <x:v>S0172-02</x:v>
      </x:c>
      <x:c r="B1983" s="14" t="str">
        <x:v>S0172</x:v>
      </x:c>
      <x:c r="C1983" s="14" t="str">
        <x:v>周末/节假日</x:v>
      </x:c>
      <x:c r="D1983" s="14" t="str">
        <x:v>环线2路</x:v>
      </x:c>
      <x:c r="E1983" s="14" t="str">
        <x:v>第二班</x:v>
      </x:c>
      <x:c r="F1983" s="14" t="n">
        <x:v>3</x:v>
      </x:c>
      <x:c r="G1983" s="14" t="str">
        <x:v>21:25</x:v>
      </x:c>
      <x:c r="H1983" s="14" t="str">
        <x:v>研究生宿舍楼</x:v>
      </x:c>
      <x:c r="I1983" s="14" t="str">
        <x:v>否</x:v>
      </x:c>
      <x:c r="J1983" s="14" t="n">
        <x:v>2</x:v>
      </x:c>
      <x:c r="K1983" s="14" t="str">
        <x:v>一食堂</x:v>
      </x:c>
      <x:c r="L1983" s="14" t="n">
        <x:v>1</x:v>
      </x:c>
      <x:c r="M1983" s="14" t="str">
        <x:v>21:26</x:v>
      </x:c>
      <x:c r="N1983" s="14" t="str">
        <x:v>否</x:v>
      </x:c>
      <x:c r="O1983" s="14" t="str">
        <x:v>否</x:v>
      </x:c>
      <x:c r="P1983" s="14" t="str">
        <x:v>孙五星</x:v>
      </x:c>
      <x:c r="Q1983" s="14" t="str">
        <x:v>2号车</x:v>
      </x:c>
      <x:c r="R1983" s="14" t="str">
        <x:v>预测</x:v>
      </x:c>
      <x:c r="S1983" s="14" t="str">
        <x:v>到站时间为估算值</x:v>
      </x:c>
      <x:c r="T1983" t="str">
        <x:v>研究生宿舍楼发车</x:v>
      </x:c>
    </x:row>
    <x:row r="1984">
      <x:c r="A1984" s="14" t="str">
        <x:v>S0172-03</x:v>
      </x:c>
      <x:c r="B1984" s="14" t="str">
        <x:v>S0172</x:v>
      </x:c>
      <x:c r="C1984" s="14" t="str">
        <x:v>周末/节假日</x:v>
      </x:c>
      <x:c r="D1984" s="14" t="str">
        <x:v>环线2路</x:v>
      </x:c>
      <x:c r="E1984" s="14" t="str">
        <x:v>第二班</x:v>
      </x:c>
      <x:c r="F1984" s="14" t="n">
        <x:v>3</x:v>
      </x:c>
      <x:c r="G1984" s="14" t="str">
        <x:v>21:25</x:v>
      </x:c>
      <x:c r="H1984" s="14" t="str">
        <x:v>研究生宿舍楼</x:v>
      </x:c>
      <x:c r="I1984" s="14" t="str">
        <x:v>否</x:v>
      </x:c>
      <x:c r="J1984" s="14" t="n">
        <x:v>3</x:v>
      </x:c>
      <x:c r="K1984" s="14" t="str">
        <x:v>门诊部</x:v>
      </x:c>
      <x:c r="L1984" s="14" t="n">
        <x:v>2</x:v>
      </x:c>
      <x:c r="M1984" s="14" t="str">
        <x:v>21:27</x:v>
      </x:c>
      <x:c r="N1984" s="14" t="str">
        <x:v>否</x:v>
      </x:c>
      <x:c r="O1984" s="14" t="str">
        <x:v>否</x:v>
      </x:c>
      <x:c r="P1984" s="14" t="str">
        <x:v>孙五星</x:v>
      </x:c>
      <x:c r="Q1984" s="14" t="str">
        <x:v>2号车</x:v>
      </x:c>
      <x:c r="R1984" s="14" t="str">
        <x:v>预测</x:v>
      </x:c>
      <x:c r="S1984" s="14" t="str">
        <x:v>到站时间为估算值</x:v>
      </x:c>
      <x:c r="T1984" t="str">
        <x:v>研究生宿舍楼发车</x:v>
      </x:c>
    </x:row>
    <x:row r="1985">
      <x:c r="A1985" s="14" t="str">
        <x:v>S0172-04</x:v>
      </x:c>
      <x:c r="B1985" s="14" t="str">
        <x:v>S0172</x:v>
      </x:c>
      <x:c r="C1985" s="14" t="str">
        <x:v>周末/节假日</x:v>
      </x:c>
      <x:c r="D1985" s="14" t="str">
        <x:v>环线2路</x:v>
      </x:c>
      <x:c r="E1985" s="14" t="str">
        <x:v>第二班</x:v>
      </x:c>
      <x:c r="F1985" s="14" t="n">
        <x:v>3</x:v>
      </x:c>
      <x:c r="G1985" s="14" t="str">
        <x:v>21:25</x:v>
      </x:c>
      <x:c r="H1985" s="14" t="str">
        <x:v>研究生宿舍楼</x:v>
      </x:c>
      <x:c r="I1985" s="14" t="str">
        <x:v>否</x:v>
      </x:c>
      <x:c r="J1985" s="14" t="n">
        <x:v>4</x:v>
      </x:c>
      <x:c r="K1985" s="14" t="str">
        <x:v>1号宿舍楼</x:v>
      </x:c>
      <x:c r="L1985" s="14" t="n">
        <x:v>3</x:v>
      </x:c>
      <x:c r="M1985" s="14" t="str">
        <x:v>21:28</x:v>
      </x:c>
      <x:c r="N1985" s="14" t="str">
        <x:v>否</x:v>
      </x:c>
      <x:c r="O1985" s="14" t="str">
        <x:v>否</x:v>
      </x:c>
      <x:c r="P1985" s="14" t="str">
        <x:v>孙五星</x:v>
      </x:c>
      <x:c r="Q1985" s="14" t="str">
        <x:v>2号车</x:v>
      </x:c>
      <x:c r="R1985" s="14" t="str">
        <x:v>预测</x:v>
      </x:c>
      <x:c r="S1985" s="14" t="str">
        <x:v>到站时间为估算值</x:v>
      </x:c>
      <x:c r="T1985" t="str">
        <x:v>研究生宿舍楼发车</x:v>
      </x:c>
    </x:row>
    <x:row r="1986">
      <x:c r="A1986" s="14" t="str">
        <x:v>S0172-05</x:v>
      </x:c>
      <x:c r="B1986" s="14" t="str">
        <x:v>S0172</x:v>
      </x:c>
      <x:c r="C1986" s="14" t="str">
        <x:v>周末/节假日</x:v>
      </x:c>
      <x:c r="D1986" s="14" t="str">
        <x:v>环线2路</x:v>
      </x:c>
      <x:c r="E1986" s="14" t="str">
        <x:v>第二班</x:v>
      </x:c>
      <x:c r="F1986" s="14" t="n">
        <x:v>3</x:v>
      </x:c>
      <x:c r="G1986" s="14" t="str">
        <x:v>21:25</x:v>
      </x:c>
      <x:c r="H1986" s="14" t="str">
        <x:v>研究生宿舍楼</x:v>
      </x:c>
      <x:c r="I1986" s="14" t="str">
        <x:v>否</x:v>
      </x:c>
      <x:c r="J1986" s="14" t="n">
        <x:v>5</x:v>
      </x:c>
      <x:c r="K1986" s="14" t="str">
        <x:v>水上训练中心</x:v>
      </x:c>
      <x:c r="L1986" s="14" t="n">
        <x:v>5</x:v>
      </x:c>
      <x:c r="M1986" s="14" t="str">
        <x:v>21:30</x:v>
      </x:c>
      <x:c r="N1986" s="14" t="str">
        <x:v>否</x:v>
      </x:c>
      <x:c r="O1986" s="14" t="str">
        <x:v>否</x:v>
      </x:c>
      <x:c r="P1986" s="14" t="str">
        <x:v>孙五星</x:v>
      </x:c>
      <x:c r="Q1986" s="14" t="str">
        <x:v>2号车</x:v>
      </x:c>
      <x:c r="R1986" s="14" t="str">
        <x:v>预测</x:v>
      </x:c>
      <x:c r="S1986" s="14" t="str">
        <x:v>到站时间为估算值</x:v>
      </x:c>
      <x:c r="T1986" t="str">
        <x:v>研究生宿舍楼发车</x:v>
      </x:c>
    </x:row>
    <x:row r="1987">
      <x:c r="A1987" s="14" t="str">
        <x:v>S0172-06</x:v>
      </x:c>
      <x:c r="B1987" s="14" t="str">
        <x:v>S0172</x:v>
      </x:c>
      <x:c r="C1987" s="14" t="str">
        <x:v>周末/节假日</x:v>
      </x:c>
      <x:c r="D1987" s="14" t="str">
        <x:v>环线2路</x:v>
      </x:c>
      <x:c r="E1987" s="14" t="str">
        <x:v>第二班</x:v>
      </x:c>
      <x:c r="F1987" s="14" t="n">
        <x:v>3</x:v>
      </x:c>
      <x:c r="G1987" s="14" t="str">
        <x:v>21:25</x:v>
      </x:c>
      <x:c r="H1987" s="14" t="str">
        <x:v>研究生宿舍楼</x:v>
      </x:c>
      <x:c r="I1987" s="14" t="str">
        <x:v>否</x:v>
      </x:c>
      <x:c r="J1987" s="14" t="n">
        <x:v>6</x:v>
      </x:c>
      <x:c r="K1987" s="14" t="str">
        <x:v>军体活动中心</x:v>
      </x:c>
      <x:c r="L1987" s="14" t="n">
        <x:v>6</x:v>
      </x:c>
      <x:c r="M1987" s="14" t="str">
        <x:v>21:31</x:v>
      </x:c>
      <x:c r="N1987" s="14" t="str">
        <x:v>否</x:v>
      </x:c>
      <x:c r="O1987" s="14" t="str">
        <x:v>否</x:v>
      </x:c>
      <x:c r="P1987" s="14" t="str">
        <x:v>孙五星</x:v>
      </x:c>
      <x:c r="Q1987" s="14" t="str">
        <x:v>2号车</x:v>
      </x:c>
      <x:c r="R1987" s="14" t="str">
        <x:v>预测</x:v>
      </x:c>
      <x:c r="S1987" s="14" t="str">
        <x:v>到站时间为估算值</x:v>
      </x:c>
      <x:c r="T1987" t="str">
        <x:v>研究生宿舍楼发车</x:v>
      </x:c>
    </x:row>
    <x:row r="1988">
      <x:c r="A1988" s="14" t="str">
        <x:v>S0172-07</x:v>
      </x:c>
      <x:c r="B1988" s="14" t="str">
        <x:v>S0172</x:v>
      </x:c>
      <x:c r="C1988" s="14" t="str">
        <x:v>周末/节假日</x:v>
      </x:c>
      <x:c r="D1988" s="14" t="str">
        <x:v>环线2路</x:v>
      </x:c>
      <x:c r="E1988" s="14" t="str">
        <x:v>第二班</x:v>
      </x:c>
      <x:c r="F1988" s="14" t="n">
        <x:v>3</x:v>
      </x:c>
      <x:c r="G1988" s="14" t="str">
        <x:v>21:25</x:v>
      </x:c>
      <x:c r="H1988" s="14" t="str">
        <x:v>研究生宿舍楼</x:v>
      </x:c>
      <x:c r="I1988" s="14" t="str">
        <x:v>否</x:v>
      </x:c>
      <x:c r="J1988" s="14" t="n">
        <x:v>7</x:v>
      </x:c>
      <x:c r="K1988" s="14" t="str">
        <x:v>二食堂</x:v>
      </x:c>
      <x:c r="L1988" s="14" t="n">
        <x:v>8</x:v>
      </x:c>
      <x:c r="M1988" s="14" t="str">
        <x:v>21:33</x:v>
      </x:c>
      <x:c r="N1988" s="14" t="str">
        <x:v>否</x:v>
      </x:c>
      <x:c r="O1988" s="14" t="str">
        <x:v>否</x:v>
      </x:c>
      <x:c r="P1988" s="14" t="str">
        <x:v>孙五星</x:v>
      </x:c>
      <x:c r="Q1988" s="14" t="str">
        <x:v>2号车</x:v>
      </x:c>
      <x:c r="R1988" s="14" t="str">
        <x:v>预测</x:v>
      </x:c>
      <x:c r="S1988" s="14" t="str">
        <x:v>到站时间为估算值</x:v>
      </x:c>
      <x:c r="T1988" t="str">
        <x:v>研究生宿舍楼发车</x:v>
      </x:c>
    </x:row>
    <x:row r="1989">
      <x:c r="A1989" s="14" t="str">
        <x:v>S0172-08</x:v>
      </x:c>
      <x:c r="B1989" s="14" t="str">
        <x:v>S0172</x:v>
      </x:c>
      <x:c r="C1989" s="14" t="str">
        <x:v>周末/节假日</x:v>
      </x:c>
      <x:c r="D1989" s="14" t="str">
        <x:v>环线2路</x:v>
      </x:c>
      <x:c r="E1989" s="14" t="str">
        <x:v>第二班</x:v>
      </x:c>
      <x:c r="F1989" s="14" t="n">
        <x:v>3</x:v>
      </x:c>
      <x:c r="G1989" s="14" t="str">
        <x:v>21:25</x:v>
      </x:c>
      <x:c r="H1989" s="14" t="str">
        <x:v>研究生宿舍楼</x:v>
      </x:c>
      <x:c r="I1989" s="14" t="str">
        <x:v>否</x:v>
      </x:c>
      <x:c r="J1989" s="14" t="n">
        <x:v>8</x:v>
      </x:c>
      <x:c r="K1989" s="14" t="str">
        <x:v>5号宿舍楼</x:v>
      </x:c>
      <x:c r="L1989" s="14" t="n">
        <x:v>9</x:v>
      </x:c>
      <x:c r="M1989" s="14" t="str">
        <x:v>21:34</x:v>
      </x:c>
      <x:c r="N1989" s="14" t="str">
        <x:v>否</x:v>
      </x:c>
      <x:c r="O1989" s="14" t="str">
        <x:v>否</x:v>
      </x:c>
      <x:c r="P1989" s="14" t="str">
        <x:v>孙五星</x:v>
      </x:c>
      <x:c r="Q1989" s="14" t="str">
        <x:v>2号车</x:v>
      </x:c>
      <x:c r="R1989" s="14" t="str">
        <x:v>预测</x:v>
      </x:c>
      <x:c r="S1989" s="14" t="str">
        <x:v>到站时间为估算值</x:v>
      </x:c>
      <x:c r="T1989" t="str">
        <x:v>研究生宿舍楼发车</x:v>
      </x:c>
    </x:row>
    <x:row r="1990">
      <x:c r="A1990" s="14" t="str">
        <x:v>S0172-09</x:v>
      </x:c>
      <x:c r="B1990" s="14" t="str">
        <x:v>S0172</x:v>
      </x:c>
      <x:c r="C1990" s="14" t="str">
        <x:v>周末/节假日</x:v>
      </x:c>
      <x:c r="D1990" s="14" t="str">
        <x:v>环线2路</x:v>
      </x:c>
      <x:c r="E1990" s="14" t="str">
        <x:v>第二班</x:v>
      </x:c>
      <x:c r="F1990" s="14" t="n">
        <x:v>3</x:v>
      </x:c>
      <x:c r="G1990" s="14" t="str">
        <x:v>21:25</x:v>
      </x:c>
      <x:c r="H1990" s="14" t="str">
        <x:v>研究生宿舍楼</x:v>
      </x:c>
      <x:c r="I1990" s="14" t="str">
        <x:v>否</x:v>
      </x:c>
      <x:c r="J1990" s="14" t="n">
        <x:v>9</x:v>
      </x:c>
      <x:c r="K1990" s="14" t="str">
        <x:v>305教学楼</x:v>
      </x:c>
      <x:c r="L1990" s="14" t="n">
        <x:v>10</x:v>
      </x:c>
      <x:c r="M1990" s="14" t="str">
        <x:v>21:35</x:v>
      </x:c>
      <x:c r="N1990" s="14" t="str">
        <x:v>否</x:v>
      </x:c>
      <x:c r="O1990" s="14" t="str">
        <x:v>否</x:v>
      </x:c>
      <x:c r="P1990" s="14" t="str">
        <x:v>孙五星</x:v>
      </x:c>
      <x:c r="Q1990" s="14" t="str">
        <x:v>2号车</x:v>
      </x:c>
      <x:c r="R1990" s="14" t="str">
        <x:v>预测</x:v>
      </x:c>
      <x:c r="S1990" s="14" t="str">
        <x:v>到站时间为估算值</x:v>
      </x:c>
      <x:c r="T1990" t="str">
        <x:v>研究生宿舍楼发车</x:v>
      </x:c>
    </x:row>
    <x:row r="1991">
      <x:c r="A1991" s="14" t="str">
        <x:v>S0172-10</x:v>
      </x:c>
      <x:c r="B1991" s="14" t="str">
        <x:v>S0172</x:v>
      </x:c>
      <x:c r="C1991" s="14" t="str">
        <x:v>周末/节假日</x:v>
      </x:c>
      <x:c r="D1991" s="14" t="str">
        <x:v>环线2路</x:v>
      </x:c>
      <x:c r="E1991" s="14" t="str">
        <x:v>第二班</x:v>
      </x:c>
      <x:c r="F1991" s="14" t="n">
        <x:v>3</x:v>
      </x:c>
      <x:c r="G1991" s="14" t="str">
        <x:v>21:25</x:v>
      </x:c>
      <x:c r="H1991" s="14" t="str">
        <x:v>研究生宿舍楼</x:v>
      </x:c>
      <x:c r="I1991" s="14" t="str">
        <x:v>否</x:v>
      </x:c>
      <x:c r="J1991" s="14" t="n">
        <x:v>10</x:v>
      </x:c>
      <x:c r="K1991" s="14" t="str">
        <x:v>研究生宿舍楼</x:v>
      </x:c>
      <x:c r="L1991" s="14" t="n">
        <x:v>12</x:v>
      </x:c>
      <x:c r="M1991" s="14" t="str">
        <x:v>21:37</x:v>
      </x:c>
      <x:c r="N1991" s="14" t="str">
        <x:v>否</x:v>
      </x:c>
      <x:c r="O1991" s="14" t="str">
        <x:v>是</x:v>
      </x:c>
      <x:c r="P1991" s="14" t="str">
        <x:v>孙五星</x:v>
      </x:c>
      <x:c r="Q1991" s="14" t="str">
        <x:v>2号车</x:v>
      </x:c>
      <x:c r="R1991" s="14" t="str">
        <x:v>预测</x:v>
      </x:c>
      <x:c r="S1991" s="14" t="str">
        <x:v>到站时间为估算值</x:v>
      </x:c>
      <x:c r="T1991" t="str">
        <x:v>研究生宿舍楼发车</x:v>
      </x:c>
    </x:row>
    <x:row r="1992">
      <x:c r="A1992" s="14" t="str">
        <x:v>S0173-01</x:v>
      </x:c>
      <x:c r="B1992" s="14" t="str">
        <x:v>S0173</x:v>
      </x:c>
      <x:c r="C1992" s="14" t="str">
        <x:v>周末/节假日</x:v>
      </x:c>
      <x:c r="D1992" s="14" t="str">
        <x:v>环线2路</x:v>
      </x:c>
      <x:c r="E1992" s="14" t="str">
        <x:v>第二班</x:v>
      </x:c>
      <x:c r="F1992" s="14" t="n">
        <x:v>4</x:v>
      </x:c>
      <x:c r="G1992" s="14" t="str">
        <x:v>21:50</x:v>
      </x:c>
      <x:c r="H1992" s="14" t="str">
        <x:v>研究生宿舍楼</x:v>
      </x:c>
      <x:c r="I1992" s="14" t="str">
        <x:v>否</x:v>
      </x:c>
      <x:c r="J1992" s="14" t="n">
        <x:v>1</x:v>
      </x:c>
      <x:c r="K1992" s="14" t="str">
        <x:v>研究生宿舍楼</x:v>
      </x:c>
      <x:c r="L1992" s="14" t="n">
        <x:v>0</x:v>
      </x:c>
      <x:c r="M1992" s="14" t="str">
        <x:v>21:50</x:v>
      </x:c>
      <x:c r="N1992" s="14" t="str">
        <x:v>是</x:v>
      </x:c>
      <x:c r="O1992" s="14" t="str">
        <x:v>否</x:v>
      </x:c>
      <x:c r="P1992" s="14" t="str">
        <x:v>孙五星</x:v>
      </x:c>
      <x:c r="Q1992" s="14" t="str">
        <x:v>2号车</x:v>
      </x:c>
      <x:c r="R1992" s="14" t="str">
        <x:v>预测</x:v>
      </x:c>
      <x:c r="S1992" s="14" t="str">
        <x:v>到站时间为估算值</x:v>
      </x:c>
      <x:c r="T1992" t="str">
        <x:v>研究生宿舍楼发车</x:v>
      </x:c>
    </x:row>
    <x:row r="1993">
      <x:c r="A1993" s="14" t="str">
        <x:v>S0173-02</x:v>
      </x:c>
      <x:c r="B1993" s="14" t="str">
        <x:v>S0173</x:v>
      </x:c>
      <x:c r="C1993" s="14" t="str">
        <x:v>周末/节假日</x:v>
      </x:c>
      <x:c r="D1993" s="14" t="str">
        <x:v>环线2路</x:v>
      </x:c>
      <x:c r="E1993" s="14" t="str">
        <x:v>第二班</x:v>
      </x:c>
      <x:c r="F1993" s="14" t="n">
        <x:v>4</x:v>
      </x:c>
      <x:c r="G1993" s="14" t="str">
        <x:v>21:50</x:v>
      </x:c>
      <x:c r="H1993" s="14" t="str">
        <x:v>研究生宿舍楼</x:v>
      </x:c>
      <x:c r="I1993" s="14" t="str">
        <x:v>否</x:v>
      </x:c>
      <x:c r="J1993" s="14" t="n">
        <x:v>2</x:v>
      </x:c>
      <x:c r="K1993" s="14" t="str">
        <x:v>一食堂</x:v>
      </x:c>
      <x:c r="L1993" s="14" t="n">
        <x:v>1</x:v>
      </x:c>
      <x:c r="M1993" s="14" t="str">
        <x:v>21:51</x:v>
      </x:c>
      <x:c r="N1993" s="14" t="str">
        <x:v>否</x:v>
      </x:c>
      <x:c r="O1993" s="14" t="str">
        <x:v>否</x:v>
      </x:c>
      <x:c r="P1993" s="14" t="str">
        <x:v>孙五星</x:v>
      </x:c>
      <x:c r="Q1993" s="14" t="str">
        <x:v>2号车</x:v>
      </x:c>
      <x:c r="R1993" s="14" t="str">
        <x:v>预测</x:v>
      </x:c>
      <x:c r="S1993" s="14" t="str">
        <x:v>到站时间为估算值</x:v>
      </x:c>
      <x:c r="T1993" t="str">
        <x:v>研究生宿舍楼发车</x:v>
      </x:c>
    </x:row>
    <x:row r="1994">
      <x:c r="A1994" s="14" t="str">
        <x:v>S0173-03</x:v>
      </x:c>
      <x:c r="B1994" s="14" t="str">
        <x:v>S0173</x:v>
      </x:c>
      <x:c r="C1994" s="14" t="str">
        <x:v>周末/节假日</x:v>
      </x:c>
      <x:c r="D1994" s="14" t="str">
        <x:v>环线2路</x:v>
      </x:c>
      <x:c r="E1994" s="14" t="str">
        <x:v>第二班</x:v>
      </x:c>
      <x:c r="F1994" s="14" t="n">
        <x:v>4</x:v>
      </x:c>
      <x:c r="G1994" s="14" t="str">
        <x:v>21:50</x:v>
      </x:c>
      <x:c r="H1994" s="14" t="str">
        <x:v>研究生宿舍楼</x:v>
      </x:c>
      <x:c r="I1994" s="14" t="str">
        <x:v>否</x:v>
      </x:c>
      <x:c r="J1994" s="14" t="n">
        <x:v>3</x:v>
      </x:c>
      <x:c r="K1994" s="14" t="str">
        <x:v>门诊部</x:v>
      </x:c>
      <x:c r="L1994" s="14" t="n">
        <x:v>2</x:v>
      </x:c>
      <x:c r="M1994" s="14" t="str">
        <x:v>21:52</x:v>
      </x:c>
      <x:c r="N1994" s="14" t="str">
        <x:v>否</x:v>
      </x:c>
      <x:c r="O1994" s="14" t="str">
        <x:v>否</x:v>
      </x:c>
      <x:c r="P1994" s="14" t="str">
        <x:v>孙五星</x:v>
      </x:c>
      <x:c r="Q1994" s="14" t="str">
        <x:v>2号车</x:v>
      </x:c>
      <x:c r="R1994" s="14" t="str">
        <x:v>预测</x:v>
      </x:c>
      <x:c r="S1994" s="14" t="str">
        <x:v>到站时间为估算值</x:v>
      </x:c>
      <x:c r="T1994" t="str">
        <x:v>研究生宿舍楼发车</x:v>
      </x:c>
    </x:row>
    <x:row r="1995">
      <x:c r="A1995" s="14" t="str">
        <x:v>S0173-04</x:v>
      </x:c>
      <x:c r="B1995" s="14" t="str">
        <x:v>S0173</x:v>
      </x:c>
      <x:c r="C1995" s="14" t="str">
        <x:v>周末/节假日</x:v>
      </x:c>
      <x:c r="D1995" s="14" t="str">
        <x:v>环线2路</x:v>
      </x:c>
      <x:c r="E1995" s="14" t="str">
        <x:v>第二班</x:v>
      </x:c>
      <x:c r="F1995" s="14" t="n">
        <x:v>4</x:v>
      </x:c>
      <x:c r="G1995" s="14" t="str">
        <x:v>21:50</x:v>
      </x:c>
      <x:c r="H1995" s="14" t="str">
        <x:v>研究生宿舍楼</x:v>
      </x:c>
      <x:c r="I1995" s="14" t="str">
        <x:v>否</x:v>
      </x:c>
      <x:c r="J1995" s="14" t="n">
        <x:v>4</x:v>
      </x:c>
      <x:c r="K1995" s="14" t="str">
        <x:v>1号宿舍楼</x:v>
      </x:c>
      <x:c r="L1995" s="14" t="n">
        <x:v>3</x:v>
      </x:c>
      <x:c r="M1995" s="14" t="str">
        <x:v>21:53</x:v>
      </x:c>
      <x:c r="N1995" s="14" t="str">
        <x:v>否</x:v>
      </x:c>
      <x:c r="O1995" s="14" t="str">
        <x:v>否</x:v>
      </x:c>
      <x:c r="P1995" s="14" t="str">
        <x:v>孙五星</x:v>
      </x:c>
      <x:c r="Q1995" s="14" t="str">
        <x:v>2号车</x:v>
      </x:c>
      <x:c r="R1995" s="14" t="str">
        <x:v>预测</x:v>
      </x:c>
      <x:c r="S1995" s="14" t="str">
        <x:v>到站时间为估算值</x:v>
      </x:c>
      <x:c r="T1995" t="str">
        <x:v>研究生宿舍楼发车</x:v>
      </x:c>
    </x:row>
    <x:row r="1996">
      <x:c r="A1996" s="14" t="str">
        <x:v>S0173-05</x:v>
      </x:c>
      <x:c r="B1996" s="14" t="str">
        <x:v>S0173</x:v>
      </x:c>
      <x:c r="C1996" s="14" t="str">
        <x:v>周末/节假日</x:v>
      </x:c>
      <x:c r="D1996" s="14" t="str">
        <x:v>环线2路</x:v>
      </x:c>
      <x:c r="E1996" s="14" t="str">
        <x:v>第二班</x:v>
      </x:c>
      <x:c r="F1996" s="14" t="n">
        <x:v>4</x:v>
      </x:c>
      <x:c r="G1996" s="14" t="str">
        <x:v>21:50</x:v>
      </x:c>
      <x:c r="H1996" s="14" t="str">
        <x:v>研究生宿舍楼</x:v>
      </x:c>
      <x:c r="I1996" s="14" t="str">
        <x:v>否</x:v>
      </x:c>
      <x:c r="J1996" s="14" t="n">
        <x:v>5</x:v>
      </x:c>
      <x:c r="K1996" s="14" t="str">
        <x:v>水上训练中心</x:v>
      </x:c>
      <x:c r="L1996" s="14" t="n">
        <x:v>5</x:v>
      </x:c>
      <x:c r="M1996" s="14" t="str">
        <x:v>21:55</x:v>
      </x:c>
      <x:c r="N1996" s="14" t="str">
        <x:v>否</x:v>
      </x:c>
      <x:c r="O1996" s="14" t="str">
        <x:v>否</x:v>
      </x:c>
      <x:c r="P1996" s="14" t="str">
        <x:v>孙五星</x:v>
      </x:c>
      <x:c r="Q1996" s="14" t="str">
        <x:v>2号车</x:v>
      </x:c>
      <x:c r="R1996" s="14" t="str">
        <x:v>预测</x:v>
      </x:c>
      <x:c r="S1996" s="14" t="str">
        <x:v>到站时间为估算值</x:v>
      </x:c>
      <x:c r="T1996" t="str">
        <x:v>研究生宿舍楼发车</x:v>
      </x:c>
    </x:row>
    <x:row r="1997">
      <x:c r="A1997" s="14" t="str">
        <x:v>S0173-06</x:v>
      </x:c>
      <x:c r="B1997" s="14" t="str">
        <x:v>S0173</x:v>
      </x:c>
      <x:c r="C1997" s="14" t="str">
        <x:v>周末/节假日</x:v>
      </x:c>
      <x:c r="D1997" s="14" t="str">
        <x:v>环线2路</x:v>
      </x:c>
      <x:c r="E1997" s="14" t="str">
        <x:v>第二班</x:v>
      </x:c>
      <x:c r="F1997" s="14" t="n">
        <x:v>4</x:v>
      </x:c>
      <x:c r="G1997" s="14" t="str">
        <x:v>21:50</x:v>
      </x:c>
      <x:c r="H1997" s="14" t="str">
        <x:v>研究生宿舍楼</x:v>
      </x:c>
      <x:c r="I1997" s="14" t="str">
        <x:v>否</x:v>
      </x:c>
      <x:c r="J1997" s="14" t="n">
        <x:v>6</x:v>
      </x:c>
      <x:c r="K1997" s="14" t="str">
        <x:v>军体活动中心</x:v>
      </x:c>
      <x:c r="L1997" s="14" t="n">
        <x:v>6</x:v>
      </x:c>
      <x:c r="M1997" s="14" t="str">
        <x:v>21:56</x:v>
      </x:c>
      <x:c r="N1997" s="14" t="str">
        <x:v>否</x:v>
      </x:c>
      <x:c r="O1997" s="14" t="str">
        <x:v>否</x:v>
      </x:c>
      <x:c r="P1997" s="14" t="str">
        <x:v>孙五星</x:v>
      </x:c>
      <x:c r="Q1997" s="14" t="str">
        <x:v>2号车</x:v>
      </x:c>
      <x:c r="R1997" s="14" t="str">
        <x:v>预测</x:v>
      </x:c>
      <x:c r="S1997" s="14" t="str">
        <x:v>到站时间为估算值</x:v>
      </x:c>
      <x:c r="T1997" t="str">
        <x:v>研究生宿舍楼发车</x:v>
      </x:c>
    </x:row>
    <x:row r="1998">
      <x:c r="A1998" s="14" t="str">
        <x:v>S0173-07</x:v>
      </x:c>
      <x:c r="B1998" s="14" t="str">
        <x:v>S0173</x:v>
      </x:c>
      <x:c r="C1998" s="14" t="str">
        <x:v>周末/节假日</x:v>
      </x:c>
      <x:c r="D1998" s="14" t="str">
        <x:v>环线2路</x:v>
      </x:c>
      <x:c r="E1998" s="14" t="str">
        <x:v>第二班</x:v>
      </x:c>
      <x:c r="F1998" s="14" t="n">
        <x:v>4</x:v>
      </x:c>
      <x:c r="G1998" s="14" t="str">
        <x:v>21:50</x:v>
      </x:c>
      <x:c r="H1998" s="14" t="str">
        <x:v>研究生宿舍楼</x:v>
      </x:c>
      <x:c r="I1998" s="14" t="str">
        <x:v>否</x:v>
      </x:c>
      <x:c r="J1998" s="14" t="n">
        <x:v>7</x:v>
      </x:c>
      <x:c r="K1998" s="14" t="str">
        <x:v>二食堂</x:v>
      </x:c>
      <x:c r="L1998" s="14" t="n">
        <x:v>8</x:v>
      </x:c>
      <x:c r="M1998" s="14" t="str">
        <x:v>21:58</x:v>
      </x:c>
      <x:c r="N1998" s="14" t="str">
        <x:v>否</x:v>
      </x:c>
      <x:c r="O1998" s="14" t="str">
        <x:v>否</x:v>
      </x:c>
      <x:c r="P1998" s="14" t="str">
        <x:v>孙五星</x:v>
      </x:c>
      <x:c r="Q1998" s="14" t="str">
        <x:v>2号车</x:v>
      </x:c>
      <x:c r="R1998" s="14" t="str">
        <x:v>预测</x:v>
      </x:c>
      <x:c r="S1998" s="14" t="str">
        <x:v>到站时间为估算值</x:v>
      </x:c>
      <x:c r="T1998" t="str">
        <x:v>研究生宿舍楼发车</x:v>
      </x:c>
    </x:row>
    <x:row r="1999">
      <x:c r="A1999" s="14" t="str">
        <x:v>S0173-08</x:v>
      </x:c>
      <x:c r="B1999" s="14" t="str">
        <x:v>S0173</x:v>
      </x:c>
      <x:c r="C1999" s="14" t="str">
        <x:v>周末/节假日</x:v>
      </x:c>
      <x:c r="D1999" s="14" t="str">
        <x:v>环线2路</x:v>
      </x:c>
      <x:c r="E1999" s="14" t="str">
        <x:v>第二班</x:v>
      </x:c>
      <x:c r="F1999" s="14" t="n">
        <x:v>4</x:v>
      </x:c>
      <x:c r="G1999" s="14" t="str">
        <x:v>21:50</x:v>
      </x:c>
      <x:c r="H1999" s="14" t="str">
        <x:v>研究生宿舍楼</x:v>
      </x:c>
      <x:c r="I1999" s="14" t="str">
        <x:v>否</x:v>
      </x:c>
      <x:c r="J1999" s="14" t="n">
        <x:v>8</x:v>
      </x:c>
      <x:c r="K1999" s="14" t="str">
        <x:v>5号宿舍楼</x:v>
      </x:c>
      <x:c r="L1999" s="14" t="n">
        <x:v>9</x:v>
      </x:c>
      <x:c r="M1999" s="14" t="str">
        <x:v>21:59</x:v>
      </x:c>
      <x:c r="N1999" s="14" t="str">
        <x:v>否</x:v>
      </x:c>
      <x:c r="O1999" s="14" t="str">
        <x:v>否</x:v>
      </x:c>
      <x:c r="P1999" s="14" t="str">
        <x:v>孙五星</x:v>
      </x:c>
      <x:c r="Q1999" s="14" t="str">
        <x:v>2号车</x:v>
      </x:c>
      <x:c r="R1999" s="14" t="str">
        <x:v>预测</x:v>
      </x:c>
      <x:c r="S1999" s="14" t="str">
        <x:v>到站时间为估算值</x:v>
      </x:c>
      <x:c r="T1999" t="str">
        <x:v>研究生宿舍楼发车</x:v>
      </x:c>
    </x:row>
    <x:row r="2000">
      <x:c r="A2000" s="14" t="str">
        <x:v>S0173-09</x:v>
      </x:c>
      <x:c r="B2000" s="14" t="str">
        <x:v>S0173</x:v>
      </x:c>
      <x:c r="C2000" s="14" t="str">
        <x:v>周末/节假日</x:v>
      </x:c>
      <x:c r="D2000" s="14" t="str">
        <x:v>环线2路</x:v>
      </x:c>
      <x:c r="E2000" s="14" t="str">
        <x:v>第二班</x:v>
      </x:c>
      <x:c r="F2000" s="14" t="n">
        <x:v>4</x:v>
      </x:c>
      <x:c r="G2000" s="14" t="str">
        <x:v>21:50</x:v>
      </x:c>
      <x:c r="H2000" s="14" t="str">
        <x:v>研究生宿舍楼</x:v>
      </x:c>
      <x:c r="I2000" s="14" t="str">
        <x:v>否</x:v>
      </x:c>
      <x:c r="J2000" s="14" t="n">
        <x:v>9</x:v>
      </x:c>
      <x:c r="K2000" s="14" t="str">
        <x:v>305教学楼</x:v>
      </x:c>
      <x:c r="L2000" s="14" t="n">
        <x:v>10</x:v>
      </x:c>
      <x:c r="M2000" s="14" t="str">
        <x:v>22:00</x:v>
      </x:c>
      <x:c r="N2000" s="14" t="str">
        <x:v>否</x:v>
      </x:c>
      <x:c r="O2000" s="14" t="str">
        <x:v>否</x:v>
      </x:c>
      <x:c r="P2000" s="14" t="str">
        <x:v>孙五星</x:v>
      </x:c>
      <x:c r="Q2000" s="14" t="str">
        <x:v>2号车</x:v>
      </x:c>
      <x:c r="R2000" s="14" t="str">
        <x:v>预测</x:v>
      </x:c>
      <x:c r="S2000" s="14" t="str">
        <x:v>到站时间为估算值</x:v>
      </x:c>
      <x:c r="T2000" t="str">
        <x:v>研究生宿舍楼发车</x:v>
      </x:c>
    </x:row>
    <x:row r="2001">
      <x:c r="A2001" s="14" t="str">
        <x:v>S0173-10</x:v>
      </x:c>
      <x:c r="B2001" s="14" t="str">
        <x:v>S0173</x:v>
      </x:c>
      <x:c r="C2001" s="14" t="str">
        <x:v>周末/节假日</x:v>
      </x:c>
      <x:c r="D2001" s="14" t="str">
        <x:v>环线2路</x:v>
      </x:c>
      <x:c r="E2001" s="14" t="str">
        <x:v>第二班</x:v>
      </x:c>
      <x:c r="F2001" s="14" t="n">
        <x:v>4</x:v>
      </x:c>
      <x:c r="G2001" s="14" t="str">
        <x:v>21:50</x:v>
      </x:c>
      <x:c r="H2001" s="14" t="str">
        <x:v>研究生宿舍楼</x:v>
      </x:c>
      <x:c r="I2001" s="14" t="str">
        <x:v>否</x:v>
      </x:c>
      <x:c r="J2001" s="14" t="n">
        <x:v>10</x:v>
      </x:c>
      <x:c r="K2001" s="14" t="str">
        <x:v>研究生宿舍楼</x:v>
      </x:c>
      <x:c r="L2001" s="14" t="n">
        <x:v>12</x:v>
      </x:c>
      <x:c r="M2001" s="14" t="str">
        <x:v>22:02</x:v>
      </x:c>
      <x:c r="N2001" s="14" t="str">
        <x:v>否</x:v>
      </x:c>
      <x:c r="O2001" s="14" t="str">
        <x:v>是</x:v>
      </x:c>
      <x:c r="P2001" s="14" t="str">
        <x:v>孙五星</x:v>
      </x:c>
      <x:c r="Q2001" s="14" t="str">
        <x:v>2号车</x:v>
      </x:c>
      <x:c r="R2001" s="14" t="str">
        <x:v>预测</x:v>
      </x:c>
      <x:c r="S2001" s="14" t="str">
        <x:v>到站时间为估算值</x:v>
      </x:c>
      <x:c r="T2001" t="str">
        <x:v>研究生宿舍楼发车</x:v>
      </x:c>
    </x:row>
    <x:row r="2002">
      <x:c r="A2002" s="14" t="str">
        <x:v>S0174-01</x:v>
      </x:c>
      <x:c r="B2002" s="14" t="str">
        <x:v>S0174</x:v>
      </x:c>
      <x:c r="C2002" s="14" t="str">
        <x:v>周末/节假日</x:v>
      </x:c>
      <x:c r="D2002" s="14" t="str">
        <x:v>环线3路</x:v>
      </x:c>
      <x:c r="E2002" s="14" t="str">
        <x:v>第一班</x:v>
      </x:c>
      <x:c r="F2002" s="14" t="n">
        <x:v>1</x:v>
      </x:c>
      <x:c r="G2002" s="14" t="str">
        <x:v>8:15</x:v>
      </x:c>
      <x:c r="H2002" s="14" t="str">
        <x:v>研究生宿舍楼</x:v>
      </x:c>
      <x:c r="I2002" s="14" t="str">
        <x:v>否</x:v>
      </x:c>
      <x:c r="J2002" s="14" t="n">
        <x:v>1</x:v>
      </x:c>
      <x:c r="K2002" s="14" t="str">
        <x:v>研究生宿舍楼</x:v>
      </x:c>
      <x:c r="L2002" s="14" t="n">
        <x:v>0</x:v>
      </x:c>
      <x:c r="M2002" s="14" t="str">
        <x:v>08:15</x:v>
      </x:c>
      <x:c r="N2002" s="14" t="str">
        <x:v>是</x:v>
      </x:c>
      <x:c r="O2002" s="14" t="str">
        <x:v>否</x:v>
      </x:c>
      <x:c r="P2002" s="14" t="str">
        <x:v>孙五星</x:v>
      </x:c>
      <x:c r="Q2002" s="14" t="str">
        <x:v>3号车</x:v>
      </x:c>
      <x:c r="R2002" s="14" t="str">
        <x:v>预测</x:v>
      </x:c>
      <x:c r="S2002" s="14" t="str">
        <x:v>到站时间为估算值</x:v>
      </x:c>
      <x:c r="T2002" t="str">
        <x:v>研究生宿舍楼发车</x:v>
      </x:c>
    </x:row>
    <x:row r="2003">
      <x:c r="A2003" s="14" t="str">
        <x:v>S0174-02</x:v>
      </x:c>
      <x:c r="B2003" s="14" t="str">
        <x:v>S0174</x:v>
      </x:c>
      <x:c r="C2003" s="14" t="str">
        <x:v>周末/节假日</x:v>
      </x:c>
      <x:c r="D2003" s="14" t="str">
        <x:v>环线3路</x:v>
      </x:c>
      <x:c r="E2003" s="14" t="str">
        <x:v>第一班</x:v>
      </x:c>
      <x:c r="F2003" s="14" t="n">
        <x:v>1</x:v>
      </x:c>
      <x:c r="G2003" s="14" t="str">
        <x:v>8:15</x:v>
      </x:c>
      <x:c r="H2003" s="14" t="str">
        <x:v>研究生宿舍楼</x:v>
      </x:c>
      <x:c r="I2003" s="14" t="str">
        <x:v>否</x:v>
      </x:c>
      <x:c r="J2003" s="14" t="n">
        <x:v>2</x:v>
      </x:c>
      <x:c r="K2003" s="14" t="str">
        <x:v>一食堂</x:v>
      </x:c>
      <x:c r="L2003" s="14" t="n">
        <x:v>1</x:v>
      </x:c>
      <x:c r="M2003" s="14" t="str">
        <x:v>08:16</x:v>
      </x:c>
      <x:c r="N2003" s="14" t="str">
        <x:v>否</x:v>
      </x:c>
      <x:c r="O2003" s="14" t="str">
        <x:v>否</x:v>
      </x:c>
      <x:c r="P2003" s="14" t="str">
        <x:v>孙五星</x:v>
      </x:c>
      <x:c r="Q2003" s="14" t="str">
        <x:v>3号车</x:v>
      </x:c>
      <x:c r="R2003" s="14" t="str">
        <x:v>预测</x:v>
      </x:c>
      <x:c r="S2003" s="14" t="str">
        <x:v>到站时间为估算值</x:v>
      </x:c>
      <x:c r="T2003" t="str">
        <x:v>研究生宿舍楼发车</x:v>
      </x:c>
    </x:row>
    <x:row r="2004">
      <x:c r="A2004" s="14" t="str">
        <x:v>S0174-03</x:v>
      </x:c>
      <x:c r="B2004" s="14" t="str">
        <x:v>S0174</x:v>
      </x:c>
      <x:c r="C2004" s="14" t="str">
        <x:v>周末/节假日</x:v>
      </x:c>
      <x:c r="D2004" s="14" t="str">
        <x:v>环线3路</x:v>
      </x:c>
      <x:c r="E2004" s="14" t="str">
        <x:v>第一班</x:v>
      </x:c>
      <x:c r="F2004" s="14" t="n">
        <x:v>1</x:v>
      </x:c>
      <x:c r="G2004" s="14" t="str">
        <x:v>8:15</x:v>
      </x:c>
      <x:c r="H2004" s="14" t="str">
        <x:v>研究生宿舍楼</x:v>
      </x:c>
      <x:c r="I2004" s="14" t="str">
        <x:v>否</x:v>
      </x:c>
      <x:c r="J2004" s="14" t="n">
        <x:v>3</x:v>
      </x:c>
      <x:c r="K2004" s="14" t="str">
        <x:v>2号宿舍楼</x:v>
      </x:c>
      <x:c r="L2004" s="14" t="n">
        <x:v>3</x:v>
      </x:c>
      <x:c r="M2004" s="14" t="str">
        <x:v>08:18</x:v>
      </x:c>
      <x:c r="N2004" s="14" t="str">
        <x:v>否</x:v>
      </x:c>
      <x:c r="O2004" s="14" t="str">
        <x:v>否</x:v>
      </x:c>
      <x:c r="P2004" s="14" t="str">
        <x:v>孙五星</x:v>
      </x:c>
      <x:c r="Q2004" s="14" t="str">
        <x:v>3号车</x:v>
      </x:c>
      <x:c r="R2004" s="14" t="str">
        <x:v>预测</x:v>
      </x:c>
      <x:c r="S2004" s="14" t="str">
        <x:v>到站时间为估算值</x:v>
      </x:c>
      <x:c r="T2004" t="str">
        <x:v>研究生宿舍楼发车</x:v>
      </x:c>
    </x:row>
    <x:row r="2005">
      <x:c r="A2005" s="14" t="str">
        <x:v>S0174-04</x:v>
      </x:c>
      <x:c r="B2005" s="14" t="str">
        <x:v>S0174</x:v>
      </x:c>
      <x:c r="C2005" s="14" t="str">
        <x:v>周末/节假日</x:v>
      </x:c>
      <x:c r="D2005" s="14" t="str">
        <x:v>环线3路</x:v>
      </x:c>
      <x:c r="E2005" s="14" t="str">
        <x:v>第一班</x:v>
      </x:c>
      <x:c r="F2005" s="14" t="n">
        <x:v>1</x:v>
      </x:c>
      <x:c r="G2005" s="14" t="str">
        <x:v>8:15</x:v>
      </x:c>
      <x:c r="H2005" s="14" t="str">
        <x:v>研究生宿舍楼</x:v>
      </x:c>
      <x:c r="I2005" s="14" t="str">
        <x:v>否</x:v>
      </x:c>
      <x:c r="J2005" s="14" t="n">
        <x:v>4</x:v>
      </x:c>
      <x:c r="K2005" s="14" t="str">
        <x:v>军体活动中心</x:v>
      </x:c>
      <x:c r="L2005" s="14" t="n">
        <x:v>4</x:v>
      </x:c>
      <x:c r="M2005" s="14" t="str">
        <x:v>08:19</x:v>
      </x:c>
      <x:c r="N2005" s="14" t="str">
        <x:v>否</x:v>
      </x:c>
      <x:c r="O2005" s="14" t="str">
        <x:v>否</x:v>
      </x:c>
      <x:c r="P2005" s="14" t="str">
        <x:v>孙五星</x:v>
      </x:c>
      <x:c r="Q2005" s="14" t="str">
        <x:v>3号车</x:v>
      </x:c>
      <x:c r="R2005" s="14" t="str">
        <x:v>预测</x:v>
      </x:c>
      <x:c r="S2005" s="14" t="str">
        <x:v>到站时间为估算值</x:v>
      </x:c>
      <x:c r="T2005" t="str">
        <x:v>研究生宿舍楼发车</x:v>
      </x:c>
    </x:row>
    <x:row r="2006">
      <x:c r="A2006" s="14" t="str">
        <x:v>S0174-05</x:v>
      </x:c>
      <x:c r="B2006" s="14" t="str">
        <x:v>S0174</x:v>
      </x:c>
      <x:c r="C2006" s="14" t="str">
        <x:v>周末/节假日</x:v>
      </x:c>
      <x:c r="D2006" s="14" t="str">
        <x:v>环线3路</x:v>
      </x:c>
      <x:c r="E2006" s="14" t="str">
        <x:v>第一班</x:v>
      </x:c>
      <x:c r="F2006" s="14" t="n">
        <x:v>1</x:v>
      </x:c>
      <x:c r="G2006" s="14" t="str">
        <x:v>8:15</x:v>
      </x:c>
      <x:c r="H2006" s="14" t="str">
        <x:v>研究生宿舍楼</x:v>
      </x:c>
      <x:c r="I2006" s="14" t="str">
        <x:v>否</x:v>
      </x:c>
      <x:c r="J2006" s="14" t="n">
        <x:v>5</x:v>
      </x:c>
      <x:c r="K2006" s="14" t="str">
        <x:v>教勤连</x:v>
      </x:c>
      <x:c r="L2006" s="14" t="n">
        <x:v>6</x:v>
      </x:c>
      <x:c r="M2006" s="14" t="str">
        <x:v>08:21</x:v>
      </x:c>
      <x:c r="N2006" s="14" t="str">
        <x:v>否</x:v>
      </x:c>
      <x:c r="O2006" s="14" t="str">
        <x:v>否</x:v>
      </x:c>
      <x:c r="P2006" s="14" t="str">
        <x:v>孙五星</x:v>
      </x:c>
      <x:c r="Q2006" s="14" t="str">
        <x:v>3号车</x:v>
      </x:c>
      <x:c r="R2006" s="14" t="str">
        <x:v>预测</x:v>
      </x:c>
      <x:c r="S2006" s="14" t="str">
        <x:v>到站时间为估算值</x:v>
      </x:c>
      <x:c r="T2006" t="str">
        <x:v>研究生宿舍楼发车</x:v>
      </x:c>
    </x:row>
    <x:row r="2007">
      <x:c r="A2007" s="14" t="str">
        <x:v>S0174-06</x:v>
      </x:c>
      <x:c r="B2007" s="14" t="str">
        <x:v>S0174</x:v>
      </x:c>
      <x:c r="C2007" s="14" t="str">
        <x:v>周末/节假日</x:v>
      </x:c>
      <x:c r="D2007" s="14" t="str">
        <x:v>环线3路</x:v>
      </x:c>
      <x:c r="E2007" s="14" t="str">
        <x:v>第一班</x:v>
      </x:c>
      <x:c r="F2007" s="14" t="n">
        <x:v>1</x:v>
      </x:c>
      <x:c r="G2007" s="14" t="str">
        <x:v>8:15</x:v>
      </x:c>
      <x:c r="H2007" s="14" t="str">
        <x:v>研究生宿舍楼</x:v>
      </x:c>
      <x:c r="I2007" s="14" t="str">
        <x:v>否</x:v>
      </x:c>
      <x:c r="J2007" s="14" t="n">
        <x:v>6</x:v>
      </x:c>
      <x:c r="K2007" s="14" t="str">
        <x:v>激光所</x:v>
      </x:c>
      <x:c r="L2007" s="14" t="n">
        <x:v>7</x:v>
      </x:c>
      <x:c r="M2007" s="14" t="str">
        <x:v>08:22</x:v>
      </x:c>
      <x:c r="N2007" s="14" t="str">
        <x:v>否</x:v>
      </x:c>
      <x:c r="O2007" s="14" t="str">
        <x:v>否</x:v>
      </x:c>
      <x:c r="P2007" s="14" t="str">
        <x:v>孙五星</x:v>
      </x:c>
      <x:c r="Q2007" s="14" t="str">
        <x:v>3号车</x:v>
      </x:c>
      <x:c r="R2007" s="14" t="str">
        <x:v>预测</x:v>
      </x:c>
      <x:c r="S2007" s="14" t="str">
        <x:v>到站时间为估算值</x:v>
      </x:c>
      <x:c r="T2007" t="str">
        <x:v>研究生宿舍楼发车</x:v>
      </x:c>
    </x:row>
    <x:row r="2008">
      <x:c r="A2008" s="14" t="str">
        <x:v>S0174-07</x:v>
      </x:c>
      <x:c r="B2008" s="14" t="str">
        <x:v>S0174</x:v>
      </x:c>
      <x:c r="C2008" s="14" t="str">
        <x:v>周末/节假日</x:v>
      </x:c>
      <x:c r="D2008" s="14" t="str">
        <x:v>环线3路</x:v>
      </x:c>
      <x:c r="E2008" s="14" t="str">
        <x:v>第一班</x:v>
      </x:c>
      <x:c r="F2008" s="14" t="n">
        <x:v>1</x:v>
      </x:c>
      <x:c r="G2008" s="14" t="str">
        <x:v>8:15</x:v>
      </x:c>
      <x:c r="H2008" s="14" t="str">
        <x:v>研究生宿舍楼</x:v>
      </x:c>
      <x:c r="I2008" s="14" t="str">
        <x:v>否</x:v>
      </x:c>
      <x:c r="J2008" s="14" t="n">
        <x:v>7</x:v>
      </x:c>
      <x:c r="K2008" s="14" t="str">
        <x:v>高超楼</x:v>
      </x:c>
      <x:c r="L2008" s="14" t="n">
        <x:v>9</x:v>
      </x:c>
      <x:c r="M2008" s="14" t="str">
        <x:v>08:24</x:v>
      </x:c>
      <x:c r="N2008" s="14" t="str">
        <x:v>否</x:v>
      </x:c>
      <x:c r="O2008" s="14" t="str">
        <x:v>否</x:v>
      </x:c>
      <x:c r="P2008" s="14" t="str">
        <x:v>孙五星</x:v>
      </x:c>
      <x:c r="Q2008" s="14" t="str">
        <x:v>3号车</x:v>
      </x:c>
      <x:c r="R2008" s="14" t="str">
        <x:v>预测</x:v>
      </x:c>
      <x:c r="S2008" s="14" t="str">
        <x:v>到站时间为估算值</x:v>
      </x:c>
      <x:c r="T2008" t="str">
        <x:v>研究生宿舍楼发车</x:v>
      </x:c>
    </x:row>
    <x:row r="2009">
      <x:c r="A2009" s="14" t="str">
        <x:v>S0174-08</x:v>
      </x:c>
      <x:c r="B2009" s="14" t="str">
        <x:v>S0174</x:v>
      </x:c>
      <x:c r="C2009" s="14" t="str">
        <x:v>周末/节假日</x:v>
      </x:c>
      <x:c r="D2009" s="14" t="str">
        <x:v>环线3路</x:v>
      </x:c>
      <x:c r="E2009" s="14" t="str">
        <x:v>第一班</x:v>
      </x:c>
      <x:c r="F2009" s="14" t="n">
        <x:v>1</x:v>
      </x:c>
      <x:c r="G2009" s="14" t="str">
        <x:v>8:15</x:v>
      </x:c>
      <x:c r="H2009" s="14" t="str">
        <x:v>研究生宿舍楼</x:v>
      </x:c>
      <x:c r="I2009" s="14" t="str">
        <x:v>否</x:v>
      </x:c>
      <x:c r="J2009" s="14" t="n">
        <x:v>8</x:v>
      </x:c>
      <x:c r="K2009" s="14" t="str">
        <x:v>理学院</x:v>
      </x:c>
      <x:c r="L2009" s="14" t="n">
        <x:v>10</x:v>
      </x:c>
      <x:c r="M2009" s="14" t="str">
        <x:v>08:25</x:v>
      </x:c>
      <x:c r="N2009" s="14" t="str">
        <x:v>否</x:v>
      </x:c>
      <x:c r="O2009" s="14" t="str">
        <x:v>否</x:v>
      </x:c>
      <x:c r="P2009" s="14" t="str">
        <x:v>孙五星</x:v>
      </x:c>
      <x:c r="Q2009" s="14" t="str">
        <x:v>3号车</x:v>
      </x:c>
      <x:c r="R2009" s="14" t="str">
        <x:v>预测</x:v>
      </x:c>
      <x:c r="S2009" s="14" t="str">
        <x:v>到站时间为估算值</x:v>
      </x:c>
      <x:c r="T2009" t="str">
        <x:v>研究生宿舍楼发车</x:v>
      </x:c>
    </x:row>
    <x:row r="2010">
      <x:c r="A2010" s="14" t="str">
        <x:v>S0174-09</x:v>
      </x:c>
      <x:c r="B2010" s="14" t="str">
        <x:v>S0174</x:v>
      </x:c>
      <x:c r="C2010" s="14" t="str">
        <x:v>周末/节假日</x:v>
      </x:c>
      <x:c r="D2010" s="14" t="str">
        <x:v>环线3路</x:v>
      </x:c>
      <x:c r="E2010" s="14" t="str">
        <x:v>第一班</x:v>
      </x:c>
      <x:c r="F2010" s="14" t="n">
        <x:v>1</x:v>
      </x:c>
      <x:c r="G2010" s="14" t="str">
        <x:v>8:15</x:v>
      </x:c>
      <x:c r="H2010" s="14" t="str">
        <x:v>研究生宿舍楼</x:v>
      </x:c>
      <x:c r="I2010" s="14" t="str">
        <x:v>否</x:v>
      </x:c>
      <x:c r="J2010" s="14" t="n">
        <x:v>9</x:v>
      </x:c>
      <x:c r="K2010" s="14" t="str">
        <x:v>二食堂</x:v>
      </x:c>
      <x:c r="L2010" s="14" t="n">
        <x:v>13</x:v>
      </x:c>
      <x:c r="M2010" s="14" t="str">
        <x:v>08:28</x:v>
      </x:c>
      <x:c r="N2010" s="14" t="str">
        <x:v>否</x:v>
      </x:c>
      <x:c r="O2010" s="14" t="str">
        <x:v>否</x:v>
      </x:c>
      <x:c r="P2010" s="14" t="str">
        <x:v>孙五星</x:v>
      </x:c>
      <x:c r="Q2010" s="14" t="str">
        <x:v>3号车</x:v>
      </x:c>
      <x:c r="R2010" s="14" t="str">
        <x:v>预测</x:v>
      </x:c>
      <x:c r="S2010" s="14" t="str">
        <x:v>到站时间为估算值</x:v>
      </x:c>
      <x:c r="T2010" t="str">
        <x:v>研究生宿舍楼发车</x:v>
      </x:c>
    </x:row>
    <x:row r="2011">
      <x:c r="A2011" s="14" t="str">
        <x:v>S0174-10</x:v>
      </x:c>
      <x:c r="B2011" s="14" t="str">
        <x:v>S0174</x:v>
      </x:c>
      <x:c r="C2011" s="14" t="str">
        <x:v>周末/节假日</x:v>
      </x:c>
      <x:c r="D2011" s="14" t="str">
        <x:v>环线3路</x:v>
      </x:c>
      <x:c r="E2011" s="14" t="str">
        <x:v>第一班</x:v>
      </x:c>
      <x:c r="F2011" s="14" t="n">
        <x:v>1</x:v>
      </x:c>
      <x:c r="G2011" s="14" t="str">
        <x:v>8:15</x:v>
      </x:c>
      <x:c r="H2011" s="14" t="str">
        <x:v>研究生宿舍楼</x:v>
      </x:c>
      <x:c r="I2011" s="14" t="str">
        <x:v>否</x:v>
      </x:c>
      <x:c r="J2011" s="14" t="n">
        <x:v>10</x:v>
      </x:c>
      <x:c r="K2011" s="14" t="str">
        <x:v>图书馆</x:v>
      </x:c>
      <x:c r="L2011" s="14" t="n">
        <x:v>14</x:v>
      </x:c>
      <x:c r="M2011" s="14" t="str">
        <x:v>08:29</x:v>
      </x:c>
      <x:c r="N2011" s="14" t="str">
        <x:v>否</x:v>
      </x:c>
      <x:c r="O2011" s="14" t="str">
        <x:v>否</x:v>
      </x:c>
      <x:c r="P2011" s="14" t="str">
        <x:v>孙五星</x:v>
      </x:c>
      <x:c r="Q2011" s="14" t="str">
        <x:v>3号车</x:v>
      </x:c>
      <x:c r="R2011" s="14" t="str">
        <x:v>预测</x:v>
      </x:c>
      <x:c r="S2011" s="14" t="str">
        <x:v>到站时间为估算值</x:v>
      </x:c>
      <x:c r="T2011" t="str">
        <x:v>研究生宿舍楼发车</x:v>
      </x:c>
    </x:row>
    <x:row r="2012">
      <x:c r="A2012" s="14" t="str">
        <x:v>S0174-11</x:v>
      </x:c>
      <x:c r="B2012" s="14" t="str">
        <x:v>S0174</x:v>
      </x:c>
      <x:c r="C2012" s="14" t="str">
        <x:v>周末/节假日</x:v>
      </x:c>
      <x:c r="D2012" s="14" t="str">
        <x:v>环线3路</x:v>
      </x:c>
      <x:c r="E2012" s="14" t="str">
        <x:v>第一班</x:v>
      </x:c>
      <x:c r="F2012" s="14" t="n">
        <x:v>1</x:v>
      </x:c>
      <x:c r="G2012" s="14" t="str">
        <x:v>8:15</x:v>
      </x:c>
      <x:c r="H2012" s="14" t="str">
        <x:v>研究生宿舍楼</x:v>
      </x:c>
      <x:c r="I2012" s="14" t="str">
        <x:v>否</x:v>
      </x:c>
      <x:c r="J2012" s="14" t="n">
        <x:v>11</x:v>
      </x:c>
      <x:c r="K2012" s="14" t="str">
        <x:v>305教学楼</x:v>
      </x:c>
      <x:c r="L2012" s="14" t="n">
        <x:v>16</x:v>
      </x:c>
      <x:c r="M2012" s="14" t="str">
        <x:v>08:31</x:v>
      </x:c>
      <x:c r="N2012" s="14" t="str">
        <x:v>否</x:v>
      </x:c>
      <x:c r="O2012" s="14" t="str">
        <x:v>否</x:v>
      </x:c>
      <x:c r="P2012" s="14" t="str">
        <x:v>孙五星</x:v>
      </x:c>
      <x:c r="Q2012" s="14" t="str">
        <x:v>3号车</x:v>
      </x:c>
      <x:c r="R2012" s="14" t="str">
        <x:v>预测</x:v>
      </x:c>
      <x:c r="S2012" s="14" t="str">
        <x:v>到站时间为估算值</x:v>
      </x:c>
      <x:c r="T2012" t="str">
        <x:v>研究生宿舍楼发车</x:v>
      </x:c>
    </x:row>
    <x:row r="2013">
      <x:c r="A2013" s="14" t="str">
        <x:v>S0174-12</x:v>
      </x:c>
      <x:c r="B2013" s="14" t="str">
        <x:v>S0174</x:v>
      </x:c>
      <x:c r="C2013" s="14" t="str">
        <x:v>周末/节假日</x:v>
      </x:c>
      <x:c r="D2013" s="14" t="str">
        <x:v>环线3路</x:v>
      </x:c>
      <x:c r="E2013" s="14" t="str">
        <x:v>第一班</x:v>
      </x:c>
      <x:c r="F2013" s="14" t="n">
        <x:v>1</x:v>
      </x:c>
      <x:c r="G2013" s="14" t="str">
        <x:v>8:15</x:v>
      </x:c>
      <x:c r="H2013" s="14" t="str">
        <x:v>研究生宿舍楼</x:v>
      </x:c>
      <x:c r="I2013" s="14" t="str">
        <x:v>否</x:v>
      </x:c>
      <x:c r="J2013" s="14" t="n">
        <x:v>12</x:v>
      </x:c>
      <x:c r="K2013" s="14" t="str">
        <x:v>研究生宿舍楼</x:v>
      </x:c>
      <x:c r="L2013" s="14" t="n">
        <x:v>18</x:v>
      </x:c>
      <x:c r="M2013" s="14" t="str">
        <x:v>08:33</x:v>
      </x:c>
      <x:c r="N2013" s="14" t="str">
        <x:v>否</x:v>
      </x:c>
      <x:c r="O2013" s="14" t="str">
        <x:v>是</x:v>
      </x:c>
      <x:c r="P2013" s="14" t="str">
        <x:v>孙五星</x:v>
      </x:c>
      <x:c r="Q2013" s="14" t="str">
        <x:v>3号车</x:v>
      </x:c>
      <x:c r="R2013" s="14" t="str">
        <x:v>预测</x:v>
      </x:c>
      <x:c r="S2013" s="14" t="str">
        <x:v>到站时间为估算值</x:v>
      </x:c>
      <x:c r="T2013" t="str">
        <x:v>研究生宿舍楼发车</x:v>
      </x:c>
    </x:row>
    <x:row r="2014">
      <x:c r="A2014" s="14" t="str">
        <x:v>S0175-01</x:v>
      </x:c>
      <x:c r="B2014" s="14" t="str">
        <x:v>S0175</x:v>
      </x:c>
      <x:c r="C2014" s="14" t="str">
        <x:v>周末/节假日</x:v>
      </x:c>
      <x:c r="D2014" s="14" t="str">
        <x:v>环线3路</x:v>
      </x:c>
      <x:c r="E2014" s="14" t="str">
        <x:v>第一班</x:v>
      </x:c>
      <x:c r="F2014" s="14" t="n">
        <x:v>2</x:v>
      </x:c>
      <x:c r="G2014" s="14" t="str">
        <x:v>8:40</x:v>
      </x:c>
      <x:c r="H2014" s="14" t="str">
        <x:v>研究生宿舍楼</x:v>
      </x:c>
      <x:c r="I2014" s="14" t="str">
        <x:v>否</x:v>
      </x:c>
      <x:c r="J2014" s="14" t="n">
        <x:v>1</x:v>
      </x:c>
      <x:c r="K2014" s="14" t="str">
        <x:v>研究生宿舍楼</x:v>
      </x:c>
      <x:c r="L2014" s="14" t="n">
        <x:v>0</x:v>
      </x:c>
      <x:c r="M2014" s="14" t="str">
        <x:v>08:40</x:v>
      </x:c>
      <x:c r="N2014" s="14" t="str">
        <x:v>是</x:v>
      </x:c>
      <x:c r="O2014" s="14" t="str">
        <x:v>否</x:v>
      </x:c>
      <x:c r="P2014" s="14" t="str">
        <x:v>孙五星</x:v>
      </x:c>
      <x:c r="Q2014" s="14" t="str">
        <x:v>3号车</x:v>
      </x:c>
      <x:c r="R2014" s="14" t="str">
        <x:v>预测</x:v>
      </x:c>
      <x:c r="S2014" s="14" t="str">
        <x:v>到站时间为估算值</x:v>
      </x:c>
      <x:c r="T2014" t="str">
        <x:v>研究生宿舍楼发车</x:v>
      </x:c>
    </x:row>
    <x:row r="2015">
      <x:c r="A2015" s="14" t="str">
        <x:v>S0175-02</x:v>
      </x:c>
      <x:c r="B2015" s="14" t="str">
        <x:v>S0175</x:v>
      </x:c>
      <x:c r="C2015" s="14" t="str">
        <x:v>周末/节假日</x:v>
      </x:c>
      <x:c r="D2015" s="14" t="str">
        <x:v>环线3路</x:v>
      </x:c>
      <x:c r="E2015" s="14" t="str">
        <x:v>第一班</x:v>
      </x:c>
      <x:c r="F2015" s="14" t="n">
        <x:v>2</x:v>
      </x:c>
      <x:c r="G2015" s="14" t="str">
        <x:v>8:40</x:v>
      </x:c>
      <x:c r="H2015" s="14" t="str">
        <x:v>研究生宿舍楼</x:v>
      </x:c>
      <x:c r="I2015" s="14" t="str">
        <x:v>否</x:v>
      </x:c>
      <x:c r="J2015" s="14" t="n">
        <x:v>2</x:v>
      </x:c>
      <x:c r="K2015" s="14" t="str">
        <x:v>一食堂</x:v>
      </x:c>
      <x:c r="L2015" s="14" t="n">
        <x:v>1</x:v>
      </x:c>
      <x:c r="M2015" s="14" t="str">
        <x:v>08:41</x:v>
      </x:c>
      <x:c r="N2015" s="14" t="str">
        <x:v>否</x:v>
      </x:c>
      <x:c r="O2015" s="14" t="str">
        <x:v>否</x:v>
      </x:c>
      <x:c r="P2015" s="14" t="str">
        <x:v>孙五星</x:v>
      </x:c>
      <x:c r="Q2015" s="14" t="str">
        <x:v>3号车</x:v>
      </x:c>
      <x:c r="R2015" s="14" t="str">
        <x:v>预测</x:v>
      </x:c>
      <x:c r="S2015" s="14" t="str">
        <x:v>到站时间为估算值</x:v>
      </x:c>
      <x:c r="T2015" t="str">
        <x:v>研究生宿舍楼发车</x:v>
      </x:c>
    </x:row>
    <x:row r="2016">
      <x:c r="A2016" s="14" t="str">
        <x:v>S0175-03</x:v>
      </x:c>
      <x:c r="B2016" s="14" t="str">
        <x:v>S0175</x:v>
      </x:c>
      <x:c r="C2016" s="14" t="str">
        <x:v>周末/节假日</x:v>
      </x:c>
      <x:c r="D2016" s="14" t="str">
        <x:v>环线3路</x:v>
      </x:c>
      <x:c r="E2016" s="14" t="str">
        <x:v>第一班</x:v>
      </x:c>
      <x:c r="F2016" s="14" t="n">
        <x:v>2</x:v>
      </x:c>
      <x:c r="G2016" s="14" t="str">
        <x:v>8:40</x:v>
      </x:c>
      <x:c r="H2016" s="14" t="str">
        <x:v>研究生宿舍楼</x:v>
      </x:c>
      <x:c r="I2016" s="14" t="str">
        <x:v>否</x:v>
      </x:c>
      <x:c r="J2016" s="14" t="n">
        <x:v>3</x:v>
      </x:c>
      <x:c r="K2016" s="14" t="str">
        <x:v>2号宿舍楼</x:v>
      </x:c>
      <x:c r="L2016" s="14" t="n">
        <x:v>3</x:v>
      </x:c>
      <x:c r="M2016" s="14" t="str">
        <x:v>08:43</x:v>
      </x:c>
      <x:c r="N2016" s="14" t="str">
        <x:v>否</x:v>
      </x:c>
      <x:c r="O2016" s="14" t="str">
        <x:v>否</x:v>
      </x:c>
      <x:c r="P2016" s="14" t="str">
        <x:v>孙五星</x:v>
      </x:c>
      <x:c r="Q2016" s="14" t="str">
        <x:v>3号车</x:v>
      </x:c>
      <x:c r="R2016" s="14" t="str">
        <x:v>预测</x:v>
      </x:c>
      <x:c r="S2016" s="14" t="str">
        <x:v>到站时间为估算值</x:v>
      </x:c>
      <x:c r="T2016" t="str">
        <x:v>研究生宿舍楼发车</x:v>
      </x:c>
    </x:row>
    <x:row r="2017">
      <x:c r="A2017" s="14" t="str">
        <x:v>S0175-04</x:v>
      </x:c>
      <x:c r="B2017" s="14" t="str">
        <x:v>S0175</x:v>
      </x:c>
      <x:c r="C2017" s="14" t="str">
        <x:v>周末/节假日</x:v>
      </x:c>
      <x:c r="D2017" s="14" t="str">
        <x:v>环线3路</x:v>
      </x:c>
      <x:c r="E2017" s="14" t="str">
        <x:v>第一班</x:v>
      </x:c>
      <x:c r="F2017" s="14" t="n">
        <x:v>2</x:v>
      </x:c>
      <x:c r="G2017" s="14" t="str">
        <x:v>8:40</x:v>
      </x:c>
      <x:c r="H2017" s="14" t="str">
        <x:v>研究生宿舍楼</x:v>
      </x:c>
      <x:c r="I2017" s="14" t="str">
        <x:v>否</x:v>
      </x:c>
      <x:c r="J2017" s="14" t="n">
        <x:v>4</x:v>
      </x:c>
      <x:c r="K2017" s="14" t="str">
        <x:v>军体活动中心</x:v>
      </x:c>
      <x:c r="L2017" s="14" t="n">
        <x:v>4</x:v>
      </x:c>
      <x:c r="M2017" s="14" t="str">
        <x:v>08:44</x:v>
      </x:c>
      <x:c r="N2017" s="14" t="str">
        <x:v>否</x:v>
      </x:c>
      <x:c r="O2017" s="14" t="str">
        <x:v>否</x:v>
      </x:c>
      <x:c r="P2017" s="14" t="str">
        <x:v>孙五星</x:v>
      </x:c>
      <x:c r="Q2017" s="14" t="str">
        <x:v>3号车</x:v>
      </x:c>
      <x:c r="R2017" s="14" t="str">
        <x:v>预测</x:v>
      </x:c>
      <x:c r="S2017" s="14" t="str">
        <x:v>到站时间为估算值</x:v>
      </x:c>
      <x:c r="T2017" t="str">
        <x:v>研究生宿舍楼发车</x:v>
      </x:c>
    </x:row>
    <x:row r="2018">
      <x:c r="A2018" s="14" t="str">
        <x:v>S0175-05</x:v>
      </x:c>
      <x:c r="B2018" s="14" t="str">
        <x:v>S0175</x:v>
      </x:c>
      <x:c r="C2018" s="14" t="str">
        <x:v>周末/节假日</x:v>
      </x:c>
      <x:c r="D2018" s="14" t="str">
        <x:v>环线3路</x:v>
      </x:c>
      <x:c r="E2018" s="14" t="str">
        <x:v>第一班</x:v>
      </x:c>
      <x:c r="F2018" s="14" t="n">
        <x:v>2</x:v>
      </x:c>
      <x:c r="G2018" s="14" t="str">
        <x:v>8:40</x:v>
      </x:c>
      <x:c r="H2018" s="14" t="str">
        <x:v>研究生宿舍楼</x:v>
      </x:c>
      <x:c r="I2018" s="14" t="str">
        <x:v>否</x:v>
      </x:c>
      <x:c r="J2018" s="14" t="n">
        <x:v>5</x:v>
      </x:c>
      <x:c r="K2018" s="14" t="str">
        <x:v>教勤连</x:v>
      </x:c>
      <x:c r="L2018" s="14" t="n">
        <x:v>6</x:v>
      </x:c>
      <x:c r="M2018" s="14" t="str">
        <x:v>08:46</x:v>
      </x:c>
      <x:c r="N2018" s="14" t="str">
        <x:v>否</x:v>
      </x:c>
      <x:c r="O2018" s="14" t="str">
        <x:v>否</x:v>
      </x:c>
      <x:c r="P2018" s="14" t="str">
        <x:v>孙五星</x:v>
      </x:c>
      <x:c r="Q2018" s="14" t="str">
        <x:v>3号车</x:v>
      </x:c>
      <x:c r="R2018" s="14" t="str">
        <x:v>预测</x:v>
      </x:c>
      <x:c r="S2018" s="14" t="str">
        <x:v>到站时间为估算值</x:v>
      </x:c>
      <x:c r="T2018" t="str">
        <x:v>研究生宿舍楼发车</x:v>
      </x:c>
    </x:row>
    <x:row r="2019">
      <x:c r="A2019" s="14" t="str">
        <x:v>S0175-06</x:v>
      </x:c>
      <x:c r="B2019" s="14" t="str">
        <x:v>S0175</x:v>
      </x:c>
      <x:c r="C2019" s="14" t="str">
        <x:v>周末/节假日</x:v>
      </x:c>
      <x:c r="D2019" s="14" t="str">
        <x:v>环线3路</x:v>
      </x:c>
      <x:c r="E2019" s="14" t="str">
        <x:v>第一班</x:v>
      </x:c>
      <x:c r="F2019" s="14" t="n">
        <x:v>2</x:v>
      </x:c>
      <x:c r="G2019" s="14" t="str">
        <x:v>8:40</x:v>
      </x:c>
      <x:c r="H2019" s="14" t="str">
        <x:v>研究生宿舍楼</x:v>
      </x:c>
      <x:c r="I2019" s="14" t="str">
        <x:v>否</x:v>
      </x:c>
      <x:c r="J2019" s="14" t="n">
        <x:v>6</x:v>
      </x:c>
      <x:c r="K2019" s="14" t="str">
        <x:v>激光所</x:v>
      </x:c>
      <x:c r="L2019" s="14" t="n">
        <x:v>7</x:v>
      </x:c>
      <x:c r="M2019" s="14" t="str">
        <x:v>08:47</x:v>
      </x:c>
      <x:c r="N2019" s="14" t="str">
        <x:v>否</x:v>
      </x:c>
      <x:c r="O2019" s="14" t="str">
        <x:v>否</x:v>
      </x:c>
      <x:c r="P2019" s="14" t="str">
        <x:v>孙五星</x:v>
      </x:c>
      <x:c r="Q2019" s="14" t="str">
        <x:v>3号车</x:v>
      </x:c>
      <x:c r="R2019" s="14" t="str">
        <x:v>预测</x:v>
      </x:c>
      <x:c r="S2019" s="14" t="str">
        <x:v>到站时间为估算值</x:v>
      </x:c>
      <x:c r="T2019" t="str">
        <x:v>研究生宿舍楼发车</x:v>
      </x:c>
    </x:row>
    <x:row r="2020">
      <x:c r="A2020" s="14" t="str">
        <x:v>S0175-07</x:v>
      </x:c>
      <x:c r="B2020" s="14" t="str">
        <x:v>S0175</x:v>
      </x:c>
      <x:c r="C2020" s="14" t="str">
        <x:v>周末/节假日</x:v>
      </x:c>
      <x:c r="D2020" s="14" t="str">
        <x:v>环线3路</x:v>
      </x:c>
      <x:c r="E2020" s="14" t="str">
        <x:v>第一班</x:v>
      </x:c>
      <x:c r="F2020" s="14" t="n">
        <x:v>2</x:v>
      </x:c>
      <x:c r="G2020" s="14" t="str">
        <x:v>8:40</x:v>
      </x:c>
      <x:c r="H2020" s="14" t="str">
        <x:v>研究生宿舍楼</x:v>
      </x:c>
      <x:c r="I2020" s="14" t="str">
        <x:v>否</x:v>
      </x:c>
      <x:c r="J2020" s="14" t="n">
        <x:v>7</x:v>
      </x:c>
      <x:c r="K2020" s="14" t="str">
        <x:v>高超楼</x:v>
      </x:c>
      <x:c r="L2020" s="14" t="n">
        <x:v>9</x:v>
      </x:c>
      <x:c r="M2020" s="14" t="str">
        <x:v>08:49</x:v>
      </x:c>
      <x:c r="N2020" s="14" t="str">
        <x:v>否</x:v>
      </x:c>
      <x:c r="O2020" s="14" t="str">
        <x:v>否</x:v>
      </x:c>
      <x:c r="P2020" s="14" t="str">
        <x:v>孙五星</x:v>
      </x:c>
      <x:c r="Q2020" s="14" t="str">
        <x:v>3号车</x:v>
      </x:c>
      <x:c r="R2020" s="14" t="str">
        <x:v>预测</x:v>
      </x:c>
      <x:c r="S2020" s="14" t="str">
        <x:v>到站时间为估算值</x:v>
      </x:c>
      <x:c r="T2020" t="str">
        <x:v>研究生宿舍楼发车</x:v>
      </x:c>
    </x:row>
    <x:row r="2021">
      <x:c r="A2021" s="14" t="str">
        <x:v>S0175-08</x:v>
      </x:c>
      <x:c r="B2021" s="14" t="str">
        <x:v>S0175</x:v>
      </x:c>
      <x:c r="C2021" s="14" t="str">
        <x:v>周末/节假日</x:v>
      </x:c>
      <x:c r="D2021" s="14" t="str">
        <x:v>环线3路</x:v>
      </x:c>
      <x:c r="E2021" s="14" t="str">
        <x:v>第一班</x:v>
      </x:c>
      <x:c r="F2021" s="14" t="n">
        <x:v>2</x:v>
      </x:c>
      <x:c r="G2021" s="14" t="str">
        <x:v>8:40</x:v>
      </x:c>
      <x:c r="H2021" s="14" t="str">
        <x:v>研究生宿舍楼</x:v>
      </x:c>
      <x:c r="I2021" s="14" t="str">
        <x:v>否</x:v>
      </x:c>
      <x:c r="J2021" s="14" t="n">
        <x:v>8</x:v>
      </x:c>
      <x:c r="K2021" s="14" t="str">
        <x:v>理学院</x:v>
      </x:c>
      <x:c r="L2021" s="14" t="n">
        <x:v>10</x:v>
      </x:c>
      <x:c r="M2021" s="14" t="str">
        <x:v>08:50</x:v>
      </x:c>
      <x:c r="N2021" s="14" t="str">
        <x:v>否</x:v>
      </x:c>
      <x:c r="O2021" s="14" t="str">
        <x:v>否</x:v>
      </x:c>
      <x:c r="P2021" s="14" t="str">
        <x:v>孙五星</x:v>
      </x:c>
      <x:c r="Q2021" s="14" t="str">
        <x:v>3号车</x:v>
      </x:c>
      <x:c r="R2021" s="14" t="str">
        <x:v>预测</x:v>
      </x:c>
      <x:c r="S2021" s="14" t="str">
        <x:v>到站时间为估算值</x:v>
      </x:c>
      <x:c r="T2021" t="str">
        <x:v>研究生宿舍楼发车</x:v>
      </x:c>
    </x:row>
    <x:row r="2022">
      <x:c r="A2022" s="14" t="str">
        <x:v>S0175-09</x:v>
      </x:c>
      <x:c r="B2022" s="14" t="str">
        <x:v>S0175</x:v>
      </x:c>
      <x:c r="C2022" s="14" t="str">
        <x:v>周末/节假日</x:v>
      </x:c>
      <x:c r="D2022" s="14" t="str">
        <x:v>环线3路</x:v>
      </x:c>
      <x:c r="E2022" s="14" t="str">
        <x:v>第一班</x:v>
      </x:c>
      <x:c r="F2022" s="14" t="n">
        <x:v>2</x:v>
      </x:c>
      <x:c r="G2022" s="14" t="str">
        <x:v>8:40</x:v>
      </x:c>
      <x:c r="H2022" s="14" t="str">
        <x:v>研究生宿舍楼</x:v>
      </x:c>
      <x:c r="I2022" s="14" t="str">
        <x:v>否</x:v>
      </x:c>
      <x:c r="J2022" s="14" t="n">
        <x:v>9</x:v>
      </x:c>
      <x:c r="K2022" s="14" t="str">
        <x:v>二食堂</x:v>
      </x:c>
      <x:c r="L2022" s="14" t="n">
        <x:v>13</x:v>
      </x:c>
      <x:c r="M2022" s="14" t="str">
        <x:v>08:53</x:v>
      </x:c>
      <x:c r="N2022" s="14" t="str">
        <x:v>否</x:v>
      </x:c>
      <x:c r="O2022" s="14" t="str">
        <x:v>否</x:v>
      </x:c>
      <x:c r="P2022" s="14" t="str">
        <x:v>孙五星</x:v>
      </x:c>
      <x:c r="Q2022" s="14" t="str">
        <x:v>3号车</x:v>
      </x:c>
      <x:c r="R2022" s="14" t="str">
        <x:v>预测</x:v>
      </x:c>
      <x:c r="S2022" s="14" t="str">
        <x:v>到站时间为估算值</x:v>
      </x:c>
      <x:c r="T2022" t="str">
        <x:v>研究生宿舍楼发车</x:v>
      </x:c>
    </x:row>
    <x:row r="2023">
      <x:c r="A2023" s="14" t="str">
        <x:v>S0175-10</x:v>
      </x:c>
      <x:c r="B2023" s="14" t="str">
        <x:v>S0175</x:v>
      </x:c>
      <x:c r="C2023" s="14" t="str">
        <x:v>周末/节假日</x:v>
      </x:c>
      <x:c r="D2023" s="14" t="str">
        <x:v>环线3路</x:v>
      </x:c>
      <x:c r="E2023" s="14" t="str">
        <x:v>第一班</x:v>
      </x:c>
      <x:c r="F2023" s="14" t="n">
        <x:v>2</x:v>
      </x:c>
      <x:c r="G2023" s="14" t="str">
        <x:v>8:40</x:v>
      </x:c>
      <x:c r="H2023" s="14" t="str">
        <x:v>研究生宿舍楼</x:v>
      </x:c>
      <x:c r="I2023" s="14" t="str">
        <x:v>否</x:v>
      </x:c>
      <x:c r="J2023" s="14" t="n">
        <x:v>10</x:v>
      </x:c>
      <x:c r="K2023" s="14" t="str">
        <x:v>图书馆</x:v>
      </x:c>
      <x:c r="L2023" s="14" t="n">
        <x:v>14</x:v>
      </x:c>
      <x:c r="M2023" s="14" t="str">
        <x:v>08:54</x:v>
      </x:c>
      <x:c r="N2023" s="14" t="str">
        <x:v>否</x:v>
      </x:c>
      <x:c r="O2023" s="14" t="str">
        <x:v>否</x:v>
      </x:c>
      <x:c r="P2023" s="14" t="str">
        <x:v>孙五星</x:v>
      </x:c>
      <x:c r="Q2023" s="14" t="str">
        <x:v>3号车</x:v>
      </x:c>
      <x:c r="R2023" s="14" t="str">
        <x:v>预测</x:v>
      </x:c>
      <x:c r="S2023" s="14" t="str">
        <x:v>到站时间为估算值</x:v>
      </x:c>
      <x:c r="T2023" t="str">
        <x:v>研究生宿舍楼发车</x:v>
      </x:c>
    </x:row>
    <x:row r="2024">
      <x:c r="A2024" s="14" t="str">
        <x:v>S0175-11</x:v>
      </x:c>
      <x:c r="B2024" s="14" t="str">
        <x:v>S0175</x:v>
      </x:c>
      <x:c r="C2024" s="14" t="str">
        <x:v>周末/节假日</x:v>
      </x:c>
      <x:c r="D2024" s="14" t="str">
        <x:v>环线3路</x:v>
      </x:c>
      <x:c r="E2024" s="14" t="str">
        <x:v>第一班</x:v>
      </x:c>
      <x:c r="F2024" s="14" t="n">
        <x:v>2</x:v>
      </x:c>
      <x:c r="G2024" s="14" t="str">
        <x:v>8:40</x:v>
      </x:c>
      <x:c r="H2024" s="14" t="str">
        <x:v>研究生宿舍楼</x:v>
      </x:c>
      <x:c r="I2024" s="14" t="str">
        <x:v>否</x:v>
      </x:c>
      <x:c r="J2024" s="14" t="n">
        <x:v>11</x:v>
      </x:c>
      <x:c r="K2024" s="14" t="str">
        <x:v>305教学楼</x:v>
      </x:c>
      <x:c r="L2024" s="14" t="n">
        <x:v>16</x:v>
      </x:c>
      <x:c r="M2024" s="14" t="str">
        <x:v>08:56</x:v>
      </x:c>
      <x:c r="N2024" s="14" t="str">
        <x:v>否</x:v>
      </x:c>
      <x:c r="O2024" s="14" t="str">
        <x:v>否</x:v>
      </x:c>
      <x:c r="P2024" s="14" t="str">
        <x:v>孙五星</x:v>
      </x:c>
      <x:c r="Q2024" s="14" t="str">
        <x:v>3号车</x:v>
      </x:c>
      <x:c r="R2024" s="14" t="str">
        <x:v>预测</x:v>
      </x:c>
      <x:c r="S2024" s="14" t="str">
        <x:v>到站时间为估算值</x:v>
      </x:c>
      <x:c r="T2024" t="str">
        <x:v>研究生宿舍楼发车</x:v>
      </x:c>
    </x:row>
    <x:row r="2025">
      <x:c r="A2025" s="14" t="str">
        <x:v>S0175-12</x:v>
      </x:c>
      <x:c r="B2025" s="14" t="str">
        <x:v>S0175</x:v>
      </x:c>
      <x:c r="C2025" s="14" t="str">
        <x:v>周末/节假日</x:v>
      </x:c>
      <x:c r="D2025" s="14" t="str">
        <x:v>环线3路</x:v>
      </x:c>
      <x:c r="E2025" s="14" t="str">
        <x:v>第一班</x:v>
      </x:c>
      <x:c r="F2025" s="14" t="n">
        <x:v>2</x:v>
      </x:c>
      <x:c r="G2025" s="14" t="str">
        <x:v>8:40</x:v>
      </x:c>
      <x:c r="H2025" s="14" t="str">
        <x:v>研究生宿舍楼</x:v>
      </x:c>
      <x:c r="I2025" s="14" t="str">
        <x:v>否</x:v>
      </x:c>
      <x:c r="J2025" s="14" t="n">
        <x:v>12</x:v>
      </x:c>
      <x:c r="K2025" s="14" t="str">
        <x:v>研究生宿舍楼</x:v>
      </x:c>
      <x:c r="L2025" s="14" t="n">
        <x:v>18</x:v>
      </x:c>
      <x:c r="M2025" s="14" t="str">
        <x:v>08:58</x:v>
      </x:c>
      <x:c r="N2025" s="14" t="str">
        <x:v>否</x:v>
      </x:c>
      <x:c r="O2025" s="14" t="str">
        <x:v>是</x:v>
      </x:c>
      <x:c r="P2025" s="14" t="str">
        <x:v>孙五星</x:v>
      </x:c>
      <x:c r="Q2025" s="14" t="str">
        <x:v>3号车</x:v>
      </x:c>
      <x:c r="R2025" s="14" t="str">
        <x:v>预测</x:v>
      </x:c>
      <x:c r="S2025" s="14" t="str">
        <x:v>到站时间为估算值</x:v>
      </x:c>
      <x:c r="T2025" t="str">
        <x:v>研究生宿舍楼发车</x:v>
      </x:c>
    </x:row>
    <x:row r="2026">
      <x:c r="A2026" s="14" t="str">
        <x:v>S0176-01</x:v>
      </x:c>
      <x:c r="B2026" s="14" t="str">
        <x:v>S0176</x:v>
      </x:c>
      <x:c r="C2026" s="14" t="str">
        <x:v>周末/节假日</x:v>
      </x:c>
      <x:c r="D2026" s="14" t="str">
        <x:v>环线3路</x:v>
      </x:c>
      <x:c r="E2026" s="14" t="str">
        <x:v>第一班</x:v>
      </x:c>
      <x:c r="F2026" s="14" t="n">
        <x:v>3</x:v>
      </x:c>
      <x:c r="G2026" s="14" t="str">
        <x:v>9:05</x:v>
      </x:c>
      <x:c r="H2026" s="14" t="str">
        <x:v>研究生宿舍楼</x:v>
      </x:c>
      <x:c r="I2026" s="14" t="str">
        <x:v>否</x:v>
      </x:c>
      <x:c r="J2026" s="14" t="n">
        <x:v>1</x:v>
      </x:c>
      <x:c r="K2026" s="14" t="str">
        <x:v>研究生宿舍楼</x:v>
      </x:c>
      <x:c r="L2026" s="14" t="n">
        <x:v>0</x:v>
      </x:c>
      <x:c r="M2026" s="14" t="str">
        <x:v>09:05</x:v>
      </x:c>
      <x:c r="N2026" s="14" t="str">
        <x:v>是</x:v>
      </x:c>
      <x:c r="O2026" s="14" t="str">
        <x:v>否</x:v>
      </x:c>
      <x:c r="P2026" s="14" t="str">
        <x:v>孙五星</x:v>
      </x:c>
      <x:c r="Q2026" s="14" t="str">
        <x:v>3号车</x:v>
      </x:c>
      <x:c r="R2026" s="14" t="str">
        <x:v>预测</x:v>
      </x:c>
      <x:c r="S2026" s="14" t="str">
        <x:v>到站时间为估算值</x:v>
      </x:c>
      <x:c r="T2026" t="str">
        <x:v>研究生宿舍楼发车</x:v>
      </x:c>
    </x:row>
    <x:row r="2027">
      <x:c r="A2027" s="14" t="str">
        <x:v>S0176-02</x:v>
      </x:c>
      <x:c r="B2027" s="14" t="str">
        <x:v>S0176</x:v>
      </x:c>
      <x:c r="C2027" s="14" t="str">
        <x:v>周末/节假日</x:v>
      </x:c>
      <x:c r="D2027" s="14" t="str">
        <x:v>环线3路</x:v>
      </x:c>
      <x:c r="E2027" s="14" t="str">
        <x:v>第一班</x:v>
      </x:c>
      <x:c r="F2027" s="14" t="n">
        <x:v>3</x:v>
      </x:c>
      <x:c r="G2027" s="14" t="str">
        <x:v>9:05</x:v>
      </x:c>
      <x:c r="H2027" s="14" t="str">
        <x:v>研究生宿舍楼</x:v>
      </x:c>
      <x:c r="I2027" s="14" t="str">
        <x:v>否</x:v>
      </x:c>
      <x:c r="J2027" s="14" t="n">
        <x:v>2</x:v>
      </x:c>
      <x:c r="K2027" s="14" t="str">
        <x:v>一食堂</x:v>
      </x:c>
      <x:c r="L2027" s="14" t="n">
        <x:v>1</x:v>
      </x:c>
      <x:c r="M2027" s="14" t="str">
        <x:v>09:06</x:v>
      </x:c>
      <x:c r="N2027" s="14" t="str">
        <x:v>否</x:v>
      </x:c>
      <x:c r="O2027" s="14" t="str">
        <x:v>否</x:v>
      </x:c>
      <x:c r="P2027" s="14" t="str">
        <x:v>孙五星</x:v>
      </x:c>
      <x:c r="Q2027" s="14" t="str">
        <x:v>3号车</x:v>
      </x:c>
      <x:c r="R2027" s="14" t="str">
        <x:v>预测</x:v>
      </x:c>
      <x:c r="S2027" s="14" t="str">
        <x:v>到站时间为估算值</x:v>
      </x:c>
      <x:c r="T2027" t="str">
        <x:v>研究生宿舍楼发车</x:v>
      </x:c>
    </x:row>
    <x:row r="2028">
      <x:c r="A2028" s="14" t="str">
        <x:v>S0176-03</x:v>
      </x:c>
      <x:c r="B2028" s="14" t="str">
        <x:v>S0176</x:v>
      </x:c>
      <x:c r="C2028" s="14" t="str">
        <x:v>周末/节假日</x:v>
      </x:c>
      <x:c r="D2028" s="14" t="str">
        <x:v>环线3路</x:v>
      </x:c>
      <x:c r="E2028" s="14" t="str">
        <x:v>第一班</x:v>
      </x:c>
      <x:c r="F2028" s="14" t="n">
        <x:v>3</x:v>
      </x:c>
      <x:c r="G2028" s="14" t="str">
        <x:v>9:05</x:v>
      </x:c>
      <x:c r="H2028" s="14" t="str">
        <x:v>研究生宿舍楼</x:v>
      </x:c>
      <x:c r="I2028" s="14" t="str">
        <x:v>否</x:v>
      </x:c>
      <x:c r="J2028" s="14" t="n">
        <x:v>3</x:v>
      </x:c>
      <x:c r="K2028" s="14" t="str">
        <x:v>2号宿舍楼</x:v>
      </x:c>
      <x:c r="L2028" s="14" t="n">
        <x:v>3</x:v>
      </x:c>
      <x:c r="M2028" s="14" t="str">
        <x:v>09:08</x:v>
      </x:c>
      <x:c r="N2028" s="14" t="str">
        <x:v>否</x:v>
      </x:c>
      <x:c r="O2028" s="14" t="str">
        <x:v>否</x:v>
      </x:c>
      <x:c r="P2028" s="14" t="str">
        <x:v>孙五星</x:v>
      </x:c>
      <x:c r="Q2028" s="14" t="str">
        <x:v>3号车</x:v>
      </x:c>
      <x:c r="R2028" s="14" t="str">
        <x:v>预测</x:v>
      </x:c>
      <x:c r="S2028" s="14" t="str">
        <x:v>到站时间为估算值</x:v>
      </x:c>
      <x:c r="T2028" t="str">
        <x:v>研究生宿舍楼发车</x:v>
      </x:c>
    </x:row>
    <x:row r="2029">
      <x:c r="A2029" s="14" t="str">
        <x:v>S0176-04</x:v>
      </x:c>
      <x:c r="B2029" s="14" t="str">
        <x:v>S0176</x:v>
      </x:c>
      <x:c r="C2029" s="14" t="str">
        <x:v>周末/节假日</x:v>
      </x:c>
      <x:c r="D2029" s="14" t="str">
        <x:v>环线3路</x:v>
      </x:c>
      <x:c r="E2029" s="14" t="str">
        <x:v>第一班</x:v>
      </x:c>
      <x:c r="F2029" s="14" t="n">
        <x:v>3</x:v>
      </x:c>
      <x:c r="G2029" s="14" t="str">
        <x:v>9:05</x:v>
      </x:c>
      <x:c r="H2029" s="14" t="str">
        <x:v>研究生宿舍楼</x:v>
      </x:c>
      <x:c r="I2029" s="14" t="str">
        <x:v>否</x:v>
      </x:c>
      <x:c r="J2029" s="14" t="n">
        <x:v>4</x:v>
      </x:c>
      <x:c r="K2029" s="14" t="str">
        <x:v>军体活动中心</x:v>
      </x:c>
      <x:c r="L2029" s="14" t="n">
        <x:v>4</x:v>
      </x:c>
      <x:c r="M2029" s="14" t="str">
        <x:v>09:09</x:v>
      </x:c>
      <x:c r="N2029" s="14" t="str">
        <x:v>否</x:v>
      </x:c>
      <x:c r="O2029" s="14" t="str">
        <x:v>否</x:v>
      </x:c>
      <x:c r="P2029" s="14" t="str">
        <x:v>孙五星</x:v>
      </x:c>
      <x:c r="Q2029" s="14" t="str">
        <x:v>3号车</x:v>
      </x:c>
      <x:c r="R2029" s="14" t="str">
        <x:v>预测</x:v>
      </x:c>
      <x:c r="S2029" s="14" t="str">
        <x:v>到站时间为估算值</x:v>
      </x:c>
      <x:c r="T2029" t="str">
        <x:v>研究生宿舍楼发车</x:v>
      </x:c>
    </x:row>
    <x:row r="2030">
      <x:c r="A2030" s="14" t="str">
        <x:v>S0176-05</x:v>
      </x:c>
      <x:c r="B2030" s="14" t="str">
        <x:v>S0176</x:v>
      </x:c>
      <x:c r="C2030" s="14" t="str">
        <x:v>周末/节假日</x:v>
      </x:c>
      <x:c r="D2030" s="14" t="str">
        <x:v>环线3路</x:v>
      </x:c>
      <x:c r="E2030" s="14" t="str">
        <x:v>第一班</x:v>
      </x:c>
      <x:c r="F2030" s="14" t="n">
        <x:v>3</x:v>
      </x:c>
      <x:c r="G2030" s="14" t="str">
        <x:v>9:05</x:v>
      </x:c>
      <x:c r="H2030" s="14" t="str">
        <x:v>研究生宿舍楼</x:v>
      </x:c>
      <x:c r="I2030" s="14" t="str">
        <x:v>否</x:v>
      </x:c>
      <x:c r="J2030" s="14" t="n">
        <x:v>5</x:v>
      </x:c>
      <x:c r="K2030" s="14" t="str">
        <x:v>教勤连</x:v>
      </x:c>
      <x:c r="L2030" s="14" t="n">
        <x:v>6</x:v>
      </x:c>
      <x:c r="M2030" s="14" t="str">
        <x:v>09:11</x:v>
      </x:c>
      <x:c r="N2030" s="14" t="str">
        <x:v>否</x:v>
      </x:c>
      <x:c r="O2030" s="14" t="str">
        <x:v>否</x:v>
      </x:c>
      <x:c r="P2030" s="14" t="str">
        <x:v>孙五星</x:v>
      </x:c>
      <x:c r="Q2030" s="14" t="str">
        <x:v>3号车</x:v>
      </x:c>
      <x:c r="R2030" s="14" t="str">
        <x:v>预测</x:v>
      </x:c>
      <x:c r="S2030" s="14" t="str">
        <x:v>到站时间为估算值</x:v>
      </x:c>
      <x:c r="T2030" t="str">
        <x:v>研究生宿舍楼发车</x:v>
      </x:c>
    </x:row>
    <x:row r="2031">
      <x:c r="A2031" s="14" t="str">
        <x:v>S0176-06</x:v>
      </x:c>
      <x:c r="B2031" s="14" t="str">
        <x:v>S0176</x:v>
      </x:c>
      <x:c r="C2031" s="14" t="str">
        <x:v>周末/节假日</x:v>
      </x:c>
      <x:c r="D2031" s="14" t="str">
        <x:v>环线3路</x:v>
      </x:c>
      <x:c r="E2031" s="14" t="str">
        <x:v>第一班</x:v>
      </x:c>
      <x:c r="F2031" s="14" t="n">
        <x:v>3</x:v>
      </x:c>
      <x:c r="G2031" s="14" t="str">
        <x:v>9:05</x:v>
      </x:c>
      <x:c r="H2031" s="14" t="str">
        <x:v>研究生宿舍楼</x:v>
      </x:c>
      <x:c r="I2031" s="14" t="str">
        <x:v>否</x:v>
      </x:c>
      <x:c r="J2031" s="14" t="n">
        <x:v>6</x:v>
      </x:c>
      <x:c r="K2031" s="14" t="str">
        <x:v>激光所</x:v>
      </x:c>
      <x:c r="L2031" s="14" t="n">
        <x:v>7</x:v>
      </x:c>
      <x:c r="M2031" s="14" t="str">
        <x:v>09:12</x:v>
      </x:c>
      <x:c r="N2031" s="14" t="str">
        <x:v>否</x:v>
      </x:c>
      <x:c r="O2031" s="14" t="str">
        <x:v>否</x:v>
      </x:c>
      <x:c r="P2031" s="14" t="str">
        <x:v>孙五星</x:v>
      </x:c>
      <x:c r="Q2031" s="14" t="str">
        <x:v>3号车</x:v>
      </x:c>
      <x:c r="R2031" s="14" t="str">
        <x:v>预测</x:v>
      </x:c>
      <x:c r="S2031" s="14" t="str">
        <x:v>到站时间为估算值</x:v>
      </x:c>
      <x:c r="T2031" t="str">
        <x:v>研究生宿舍楼发车</x:v>
      </x:c>
    </x:row>
    <x:row r="2032">
      <x:c r="A2032" s="14" t="str">
        <x:v>S0176-07</x:v>
      </x:c>
      <x:c r="B2032" s="14" t="str">
        <x:v>S0176</x:v>
      </x:c>
      <x:c r="C2032" s="14" t="str">
        <x:v>周末/节假日</x:v>
      </x:c>
      <x:c r="D2032" s="14" t="str">
        <x:v>环线3路</x:v>
      </x:c>
      <x:c r="E2032" s="14" t="str">
        <x:v>第一班</x:v>
      </x:c>
      <x:c r="F2032" s="14" t="n">
        <x:v>3</x:v>
      </x:c>
      <x:c r="G2032" s="14" t="str">
        <x:v>9:05</x:v>
      </x:c>
      <x:c r="H2032" s="14" t="str">
        <x:v>研究生宿舍楼</x:v>
      </x:c>
      <x:c r="I2032" s="14" t="str">
        <x:v>否</x:v>
      </x:c>
      <x:c r="J2032" s="14" t="n">
        <x:v>7</x:v>
      </x:c>
      <x:c r="K2032" s="14" t="str">
        <x:v>高超楼</x:v>
      </x:c>
      <x:c r="L2032" s="14" t="n">
        <x:v>9</x:v>
      </x:c>
      <x:c r="M2032" s="14" t="str">
        <x:v>09:14</x:v>
      </x:c>
      <x:c r="N2032" s="14" t="str">
        <x:v>否</x:v>
      </x:c>
      <x:c r="O2032" s="14" t="str">
        <x:v>否</x:v>
      </x:c>
      <x:c r="P2032" s="14" t="str">
        <x:v>孙五星</x:v>
      </x:c>
      <x:c r="Q2032" s="14" t="str">
        <x:v>3号车</x:v>
      </x:c>
      <x:c r="R2032" s="14" t="str">
        <x:v>预测</x:v>
      </x:c>
      <x:c r="S2032" s="14" t="str">
        <x:v>到站时间为估算值</x:v>
      </x:c>
      <x:c r="T2032" t="str">
        <x:v>研究生宿舍楼发车</x:v>
      </x:c>
    </x:row>
    <x:row r="2033">
      <x:c r="A2033" s="14" t="str">
        <x:v>S0176-08</x:v>
      </x:c>
      <x:c r="B2033" s="14" t="str">
        <x:v>S0176</x:v>
      </x:c>
      <x:c r="C2033" s="14" t="str">
        <x:v>周末/节假日</x:v>
      </x:c>
      <x:c r="D2033" s="14" t="str">
        <x:v>环线3路</x:v>
      </x:c>
      <x:c r="E2033" s="14" t="str">
        <x:v>第一班</x:v>
      </x:c>
      <x:c r="F2033" s="14" t="n">
        <x:v>3</x:v>
      </x:c>
      <x:c r="G2033" s="14" t="str">
        <x:v>9:05</x:v>
      </x:c>
      <x:c r="H2033" s="14" t="str">
        <x:v>研究生宿舍楼</x:v>
      </x:c>
      <x:c r="I2033" s="14" t="str">
        <x:v>否</x:v>
      </x:c>
      <x:c r="J2033" s="14" t="n">
        <x:v>8</x:v>
      </x:c>
      <x:c r="K2033" s="14" t="str">
        <x:v>理学院</x:v>
      </x:c>
      <x:c r="L2033" s="14" t="n">
        <x:v>10</x:v>
      </x:c>
      <x:c r="M2033" s="14" t="str">
        <x:v>09:15</x:v>
      </x:c>
      <x:c r="N2033" s="14" t="str">
        <x:v>否</x:v>
      </x:c>
      <x:c r="O2033" s="14" t="str">
        <x:v>否</x:v>
      </x:c>
      <x:c r="P2033" s="14" t="str">
        <x:v>孙五星</x:v>
      </x:c>
      <x:c r="Q2033" s="14" t="str">
        <x:v>3号车</x:v>
      </x:c>
      <x:c r="R2033" s="14" t="str">
        <x:v>预测</x:v>
      </x:c>
      <x:c r="S2033" s="14" t="str">
        <x:v>到站时间为估算值</x:v>
      </x:c>
      <x:c r="T2033" t="str">
        <x:v>研究生宿舍楼发车</x:v>
      </x:c>
    </x:row>
    <x:row r="2034">
      <x:c r="A2034" s="14" t="str">
        <x:v>S0176-09</x:v>
      </x:c>
      <x:c r="B2034" s="14" t="str">
        <x:v>S0176</x:v>
      </x:c>
      <x:c r="C2034" s="14" t="str">
        <x:v>周末/节假日</x:v>
      </x:c>
      <x:c r="D2034" s="14" t="str">
        <x:v>环线3路</x:v>
      </x:c>
      <x:c r="E2034" s="14" t="str">
        <x:v>第一班</x:v>
      </x:c>
      <x:c r="F2034" s="14" t="n">
        <x:v>3</x:v>
      </x:c>
      <x:c r="G2034" s="14" t="str">
        <x:v>9:05</x:v>
      </x:c>
      <x:c r="H2034" s="14" t="str">
        <x:v>研究生宿舍楼</x:v>
      </x:c>
      <x:c r="I2034" s="14" t="str">
        <x:v>否</x:v>
      </x:c>
      <x:c r="J2034" s="14" t="n">
        <x:v>9</x:v>
      </x:c>
      <x:c r="K2034" s="14" t="str">
        <x:v>二食堂</x:v>
      </x:c>
      <x:c r="L2034" s="14" t="n">
        <x:v>13</x:v>
      </x:c>
      <x:c r="M2034" s="14" t="str">
        <x:v>09:18</x:v>
      </x:c>
      <x:c r="N2034" s="14" t="str">
        <x:v>否</x:v>
      </x:c>
      <x:c r="O2034" s="14" t="str">
        <x:v>否</x:v>
      </x:c>
      <x:c r="P2034" s="14" t="str">
        <x:v>孙五星</x:v>
      </x:c>
      <x:c r="Q2034" s="14" t="str">
        <x:v>3号车</x:v>
      </x:c>
      <x:c r="R2034" s="14" t="str">
        <x:v>预测</x:v>
      </x:c>
      <x:c r="S2034" s="14" t="str">
        <x:v>到站时间为估算值</x:v>
      </x:c>
      <x:c r="T2034" t="str">
        <x:v>研究生宿舍楼发车</x:v>
      </x:c>
    </x:row>
    <x:row r="2035">
      <x:c r="A2035" s="14" t="str">
        <x:v>S0176-10</x:v>
      </x:c>
      <x:c r="B2035" s="14" t="str">
        <x:v>S0176</x:v>
      </x:c>
      <x:c r="C2035" s="14" t="str">
        <x:v>周末/节假日</x:v>
      </x:c>
      <x:c r="D2035" s="14" t="str">
        <x:v>环线3路</x:v>
      </x:c>
      <x:c r="E2035" s="14" t="str">
        <x:v>第一班</x:v>
      </x:c>
      <x:c r="F2035" s="14" t="n">
        <x:v>3</x:v>
      </x:c>
      <x:c r="G2035" s="14" t="str">
        <x:v>9:05</x:v>
      </x:c>
      <x:c r="H2035" s="14" t="str">
        <x:v>研究生宿舍楼</x:v>
      </x:c>
      <x:c r="I2035" s="14" t="str">
        <x:v>否</x:v>
      </x:c>
      <x:c r="J2035" s="14" t="n">
        <x:v>10</x:v>
      </x:c>
      <x:c r="K2035" s="14" t="str">
        <x:v>图书馆</x:v>
      </x:c>
      <x:c r="L2035" s="14" t="n">
        <x:v>14</x:v>
      </x:c>
      <x:c r="M2035" s="14" t="str">
        <x:v>09:19</x:v>
      </x:c>
      <x:c r="N2035" s="14" t="str">
        <x:v>否</x:v>
      </x:c>
      <x:c r="O2035" s="14" t="str">
        <x:v>否</x:v>
      </x:c>
      <x:c r="P2035" s="14" t="str">
        <x:v>孙五星</x:v>
      </x:c>
      <x:c r="Q2035" s="14" t="str">
        <x:v>3号车</x:v>
      </x:c>
      <x:c r="R2035" s="14" t="str">
        <x:v>预测</x:v>
      </x:c>
      <x:c r="S2035" s="14" t="str">
        <x:v>到站时间为估算值</x:v>
      </x:c>
      <x:c r="T2035" t="str">
        <x:v>研究生宿舍楼发车</x:v>
      </x:c>
    </x:row>
    <x:row r="2036">
      <x:c r="A2036" s="14" t="str">
        <x:v>S0176-11</x:v>
      </x:c>
      <x:c r="B2036" s="14" t="str">
        <x:v>S0176</x:v>
      </x:c>
      <x:c r="C2036" s="14" t="str">
        <x:v>周末/节假日</x:v>
      </x:c>
      <x:c r="D2036" s="14" t="str">
        <x:v>环线3路</x:v>
      </x:c>
      <x:c r="E2036" s="14" t="str">
        <x:v>第一班</x:v>
      </x:c>
      <x:c r="F2036" s="14" t="n">
        <x:v>3</x:v>
      </x:c>
      <x:c r="G2036" s="14" t="str">
        <x:v>9:05</x:v>
      </x:c>
      <x:c r="H2036" s="14" t="str">
        <x:v>研究生宿舍楼</x:v>
      </x:c>
      <x:c r="I2036" s="14" t="str">
        <x:v>否</x:v>
      </x:c>
      <x:c r="J2036" s="14" t="n">
        <x:v>11</x:v>
      </x:c>
      <x:c r="K2036" s="14" t="str">
        <x:v>305教学楼</x:v>
      </x:c>
      <x:c r="L2036" s="14" t="n">
        <x:v>16</x:v>
      </x:c>
      <x:c r="M2036" s="14" t="str">
        <x:v>09:21</x:v>
      </x:c>
      <x:c r="N2036" s="14" t="str">
        <x:v>否</x:v>
      </x:c>
      <x:c r="O2036" s="14" t="str">
        <x:v>否</x:v>
      </x:c>
      <x:c r="P2036" s="14" t="str">
        <x:v>孙五星</x:v>
      </x:c>
      <x:c r="Q2036" s="14" t="str">
        <x:v>3号车</x:v>
      </x:c>
      <x:c r="R2036" s="14" t="str">
        <x:v>预测</x:v>
      </x:c>
      <x:c r="S2036" s="14" t="str">
        <x:v>到站时间为估算值</x:v>
      </x:c>
      <x:c r="T2036" t="str">
        <x:v>研究生宿舍楼发车</x:v>
      </x:c>
    </x:row>
    <x:row r="2037">
      <x:c r="A2037" s="14" t="str">
        <x:v>S0176-12</x:v>
      </x:c>
      <x:c r="B2037" s="14" t="str">
        <x:v>S0176</x:v>
      </x:c>
      <x:c r="C2037" s="14" t="str">
        <x:v>周末/节假日</x:v>
      </x:c>
      <x:c r="D2037" s="14" t="str">
        <x:v>环线3路</x:v>
      </x:c>
      <x:c r="E2037" s="14" t="str">
        <x:v>第一班</x:v>
      </x:c>
      <x:c r="F2037" s="14" t="n">
        <x:v>3</x:v>
      </x:c>
      <x:c r="G2037" s="14" t="str">
        <x:v>9:05</x:v>
      </x:c>
      <x:c r="H2037" s="14" t="str">
        <x:v>研究生宿舍楼</x:v>
      </x:c>
      <x:c r="I2037" s="14" t="str">
        <x:v>否</x:v>
      </x:c>
      <x:c r="J2037" s="14" t="n">
        <x:v>12</x:v>
      </x:c>
      <x:c r="K2037" s="14" t="str">
        <x:v>研究生宿舍楼</x:v>
      </x:c>
      <x:c r="L2037" s="14" t="n">
        <x:v>18</x:v>
      </x:c>
      <x:c r="M2037" s="14" t="str">
        <x:v>09:23</x:v>
      </x:c>
      <x:c r="N2037" s="14" t="str">
        <x:v>否</x:v>
      </x:c>
      <x:c r="O2037" s="14" t="str">
        <x:v>是</x:v>
      </x:c>
      <x:c r="P2037" s="14" t="str">
        <x:v>孙五星</x:v>
      </x:c>
      <x:c r="Q2037" s="14" t="str">
        <x:v>3号车</x:v>
      </x:c>
      <x:c r="R2037" s="14" t="str">
        <x:v>预测</x:v>
      </x:c>
      <x:c r="S2037" s="14" t="str">
        <x:v>到站时间为估算值</x:v>
      </x:c>
      <x:c r="T2037" t="str">
        <x:v>研究生宿舍楼发车</x:v>
      </x:c>
    </x:row>
    <x:row r="2038">
      <x:c r="A2038" s="14" t="str">
        <x:v>S0177-01</x:v>
      </x:c>
      <x:c r="B2038" s="14" t="str">
        <x:v>S0177</x:v>
      </x:c>
      <x:c r="C2038" s="14" t="str">
        <x:v>周末/节假日</x:v>
      </x:c>
      <x:c r="D2038" s="14" t="str">
        <x:v>环线3路</x:v>
      </x:c>
      <x:c r="E2038" s="14" t="str">
        <x:v>第一班</x:v>
      </x:c>
      <x:c r="F2038" s="14" t="n">
        <x:v>4</x:v>
      </x:c>
      <x:c r="G2038" s="14" t="str">
        <x:v>9:30</x:v>
      </x:c>
      <x:c r="H2038" s="14" t="str">
        <x:v>研究生宿舍楼</x:v>
      </x:c>
      <x:c r="I2038" s="14" t="str">
        <x:v>否</x:v>
      </x:c>
      <x:c r="J2038" s="14" t="n">
        <x:v>1</x:v>
      </x:c>
      <x:c r="K2038" s="14" t="str">
        <x:v>研究生宿舍楼</x:v>
      </x:c>
      <x:c r="L2038" s="14" t="n">
        <x:v>0</x:v>
      </x:c>
      <x:c r="M2038" s="14" t="str">
        <x:v>09:30</x:v>
      </x:c>
      <x:c r="N2038" s="14" t="str">
        <x:v>是</x:v>
      </x:c>
      <x:c r="O2038" s="14" t="str">
        <x:v>否</x:v>
      </x:c>
      <x:c r="P2038" s="14" t="str">
        <x:v>孙五星</x:v>
      </x:c>
      <x:c r="Q2038" s="14" t="str">
        <x:v>3号车</x:v>
      </x:c>
      <x:c r="R2038" s="14" t="str">
        <x:v>预测</x:v>
      </x:c>
      <x:c r="S2038" s="14" t="str">
        <x:v>到站时间为估算值</x:v>
      </x:c>
      <x:c r="T2038" t="str">
        <x:v>研究生宿舍楼发车</x:v>
      </x:c>
    </x:row>
    <x:row r="2039">
      <x:c r="A2039" s="14" t="str">
        <x:v>S0177-02</x:v>
      </x:c>
      <x:c r="B2039" s="14" t="str">
        <x:v>S0177</x:v>
      </x:c>
      <x:c r="C2039" s="14" t="str">
        <x:v>周末/节假日</x:v>
      </x:c>
      <x:c r="D2039" s="14" t="str">
        <x:v>环线3路</x:v>
      </x:c>
      <x:c r="E2039" s="14" t="str">
        <x:v>第一班</x:v>
      </x:c>
      <x:c r="F2039" s="14" t="n">
        <x:v>4</x:v>
      </x:c>
      <x:c r="G2039" s="14" t="str">
        <x:v>9:30</x:v>
      </x:c>
      <x:c r="H2039" s="14" t="str">
        <x:v>研究生宿舍楼</x:v>
      </x:c>
      <x:c r="I2039" s="14" t="str">
        <x:v>否</x:v>
      </x:c>
      <x:c r="J2039" s="14" t="n">
        <x:v>2</x:v>
      </x:c>
      <x:c r="K2039" s="14" t="str">
        <x:v>一食堂</x:v>
      </x:c>
      <x:c r="L2039" s="14" t="n">
        <x:v>1</x:v>
      </x:c>
      <x:c r="M2039" s="14" t="str">
        <x:v>09:31</x:v>
      </x:c>
      <x:c r="N2039" s="14" t="str">
        <x:v>否</x:v>
      </x:c>
      <x:c r="O2039" s="14" t="str">
        <x:v>否</x:v>
      </x:c>
      <x:c r="P2039" s="14" t="str">
        <x:v>孙五星</x:v>
      </x:c>
      <x:c r="Q2039" s="14" t="str">
        <x:v>3号车</x:v>
      </x:c>
      <x:c r="R2039" s="14" t="str">
        <x:v>预测</x:v>
      </x:c>
      <x:c r="S2039" s="14" t="str">
        <x:v>到站时间为估算值</x:v>
      </x:c>
      <x:c r="T2039" t="str">
        <x:v>研究生宿舍楼发车</x:v>
      </x:c>
    </x:row>
    <x:row r="2040">
      <x:c r="A2040" s="14" t="str">
        <x:v>S0177-03</x:v>
      </x:c>
      <x:c r="B2040" s="14" t="str">
        <x:v>S0177</x:v>
      </x:c>
      <x:c r="C2040" s="14" t="str">
        <x:v>周末/节假日</x:v>
      </x:c>
      <x:c r="D2040" s="14" t="str">
        <x:v>环线3路</x:v>
      </x:c>
      <x:c r="E2040" s="14" t="str">
        <x:v>第一班</x:v>
      </x:c>
      <x:c r="F2040" s="14" t="n">
        <x:v>4</x:v>
      </x:c>
      <x:c r="G2040" s="14" t="str">
        <x:v>9:30</x:v>
      </x:c>
      <x:c r="H2040" s="14" t="str">
        <x:v>研究生宿舍楼</x:v>
      </x:c>
      <x:c r="I2040" s="14" t="str">
        <x:v>否</x:v>
      </x:c>
      <x:c r="J2040" s="14" t="n">
        <x:v>3</x:v>
      </x:c>
      <x:c r="K2040" s="14" t="str">
        <x:v>2号宿舍楼</x:v>
      </x:c>
      <x:c r="L2040" s="14" t="n">
        <x:v>3</x:v>
      </x:c>
      <x:c r="M2040" s="14" t="str">
        <x:v>09:33</x:v>
      </x:c>
      <x:c r="N2040" s="14" t="str">
        <x:v>否</x:v>
      </x:c>
      <x:c r="O2040" s="14" t="str">
        <x:v>否</x:v>
      </x:c>
      <x:c r="P2040" s="14" t="str">
        <x:v>孙五星</x:v>
      </x:c>
      <x:c r="Q2040" s="14" t="str">
        <x:v>3号车</x:v>
      </x:c>
      <x:c r="R2040" s="14" t="str">
        <x:v>预测</x:v>
      </x:c>
      <x:c r="S2040" s="14" t="str">
        <x:v>到站时间为估算值</x:v>
      </x:c>
      <x:c r="T2040" t="str">
        <x:v>研究生宿舍楼发车</x:v>
      </x:c>
    </x:row>
    <x:row r="2041">
      <x:c r="A2041" s="14" t="str">
        <x:v>S0177-04</x:v>
      </x:c>
      <x:c r="B2041" s="14" t="str">
        <x:v>S0177</x:v>
      </x:c>
      <x:c r="C2041" s="14" t="str">
        <x:v>周末/节假日</x:v>
      </x:c>
      <x:c r="D2041" s="14" t="str">
        <x:v>环线3路</x:v>
      </x:c>
      <x:c r="E2041" s="14" t="str">
        <x:v>第一班</x:v>
      </x:c>
      <x:c r="F2041" s="14" t="n">
        <x:v>4</x:v>
      </x:c>
      <x:c r="G2041" s="14" t="str">
        <x:v>9:30</x:v>
      </x:c>
      <x:c r="H2041" s="14" t="str">
        <x:v>研究生宿舍楼</x:v>
      </x:c>
      <x:c r="I2041" s="14" t="str">
        <x:v>否</x:v>
      </x:c>
      <x:c r="J2041" s="14" t="n">
        <x:v>4</x:v>
      </x:c>
      <x:c r="K2041" s="14" t="str">
        <x:v>军体活动中心</x:v>
      </x:c>
      <x:c r="L2041" s="14" t="n">
        <x:v>4</x:v>
      </x:c>
      <x:c r="M2041" s="14" t="str">
        <x:v>09:34</x:v>
      </x:c>
      <x:c r="N2041" s="14" t="str">
        <x:v>否</x:v>
      </x:c>
      <x:c r="O2041" s="14" t="str">
        <x:v>否</x:v>
      </x:c>
      <x:c r="P2041" s="14" t="str">
        <x:v>孙五星</x:v>
      </x:c>
      <x:c r="Q2041" s="14" t="str">
        <x:v>3号车</x:v>
      </x:c>
      <x:c r="R2041" s="14" t="str">
        <x:v>预测</x:v>
      </x:c>
      <x:c r="S2041" s="14" t="str">
        <x:v>到站时间为估算值</x:v>
      </x:c>
      <x:c r="T2041" t="str">
        <x:v>研究生宿舍楼发车</x:v>
      </x:c>
    </x:row>
    <x:row r="2042">
      <x:c r="A2042" s="14" t="str">
        <x:v>S0177-05</x:v>
      </x:c>
      <x:c r="B2042" s="14" t="str">
        <x:v>S0177</x:v>
      </x:c>
      <x:c r="C2042" s="14" t="str">
        <x:v>周末/节假日</x:v>
      </x:c>
      <x:c r="D2042" s="14" t="str">
        <x:v>环线3路</x:v>
      </x:c>
      <x:c r="E2042" s="14" t="str">
        <x:v>第一班</x:v>
      </x:c>
      <x:c r="F2042" s="14" t="n">
        <x:v>4</x:v>
      </x:c>
      <x:c r="G2042" s="14" t="str">
        <x:v>9:30</x:v>
      </x:c>
      <x:c r="H2042" s="14" t="str">
        <x:v>研究生宿舍楼</x:v>
      </x:c>
      <x:c r="I2042" s="14" t="str">
        <x:v>否</x:v>
      </x:c>
      <x:c r="J2042" s="14" t="n">
        <x:v>5</x:v>
      </x:c>
      <x:c r="K2042" s="14" t="str">
        <x:v>教勤连</x:v>
      </x:c>
      <x:c r="L2042" s="14" t="n">
        <x:v>6</x:v>
      </x:c>
      <x:c r="M2042" s="14" t="str">
        <x:v>09:36</x:v>
      </x:c>
      <x:c r="N2042" s="14" t="str">
        <x:v>否</x:v>
      </x:c>
      <x:c r="O2042" s="14" t="str">
        <x:v>否</x:v>
      </x:c>
      <x:c r="P2042" s="14" t="str">
        <x:v>孙五星</x:v>
      </x:c>
      <x:c r="Q2042" s="14" t="str">
        <x:v>3号车</x:v>
      </x:c>
      <x:c r="R2042" s="14" t="str">
        <x:v>预测</x:v>
      </x:c>
      <x:c r="S2042" s="14" t="str">
        <x:v>到站时间为估算值</x:v>
      </x:c>
      <x:c r="T2042" t="str">
        <x:v>研究生宿舍楼发车</x:v>
      </x:c>
    </x:row>
    <x:row r="2043">
      <x:c r="A2043" s="14" t="str">
        <x:v>S0177-06</x:v>
      </x:c>
      <x:c r="B2043" s="14" t="str">
        <x:v>S0177</x:v>
      </x:c>
      <x:c r="C2043" s="14" t="str">
        <x:v>周末/节假日</x:v>
      </x:c>
      <x:c r="D2043" s="14" t="str">
        <x:v>环线3路</x:v>
      </x:c>
      <x:c r="E2043" s="14" t="str">
        <x:v>第一班</x:v>
      </x:c>
      <x:c r="F2043" s="14" t="n">
        <x:v>4</x:v>
      </x:c>
      <x:c r="G2043" s="14" t="str">
        <x:v>9:30</x:v>
      </x:c>
      <x:c r="H2043" s="14" t="str">
        <x:v>研究生宿舍楼</x:v>
      </x:c>
      <x:c r="I2043" s="14" t="str">
        <x:v>否</x:v>
      </x:c>
      <x:c r="J2043" s="14" t="n">
        <x:v>6</x:v>
      </x:c>
      <x:c r="K2043" s="14" t="str">
        <x:v>激光所</x:v>
      </x:c>
      <x:c r="L2043" s="14" t="n">
        <x:v>7</x:v>
      </x:c>
      <x:c r="M2043" s="14" t="str">
        <x:v>09:37</x:v>
      </x:c>
      <x:c r="N2043" s="14" t="str">
        <x:v>否</x:v>
      </x:c>
      <x:c r="O2043" s="14" t="str">
        <x:v>否</x:v>
      </x:c>
      <x:c r="P2043" s="14" t="str">
        <x:v>孙五星</x:v>
      </x:c>
      <x:c r="Q2043" s="14" t="str">
        <x:v>3号车</x:v>
      </x:c>
      <x:c r="R2043" s="14" t="str">
        <x:v>预测</x:v>
      </x:c>
      <x:c r="S2043" s="14" t="str">
        <x:v>到站时间为估算值</x:v>
      </x:c>
      <x:c r="T2043" t="str">
        <x:v>研究生宿舍楼发车</x:v>
      </x:c>
    </x:row>
    <x:row r="2044">
      <x:c r="A2044" s="14" t="str">
        <x:v>S0177-07</x:v>
      </x:c>
      <x:c r="B2044" s="14" t="str">
        <x:v>S0177</x:v>
      </x:c>
      <x:c r="C2044" s="14" t="str">
        <x:v>周末/节假日</x:v>
      </x:c>
      <x:c r="D2044" s="14" t="str">
        <x:v>环线3路</x:v>
      </x:c>
      <x:c r="E2044" s="14" t="str">
        <x:v>第一班</x:v>
      </x:c>
      <x:c r="F2044" s="14" t="n">
        <x:v>4</x:v>
      </x:c>
      <x:c r="G2044" s="14" t="str">
        <x:v>9:30</x:v>
      </x:c>
      <x:c r="H2044" s="14" t="str">
        <x:v>研究生宿舍楼</x:v>
      </x:c>
      <x:c r="I2044" s="14" t="str">
        <x:v>否</x:v>
      </x:c>
      <x:c r="J2044" s="14" t="n">
        <x:v>7</x:v>
      </x:c>
      <x:c r="K2044" s="14" t="str">
        <x:v>高超楼</x:v>
      </x:c>
      <x:c r="L2044" s="14" t="n">
        <x:v>9</x:v>
      </x:c>
      <x:c r="M2044" s="14" t="str">
        <x:v>09:39</x:v>
      </x:c>
      <x:c r="N2044" s="14" t="str">
        <x:v>否</x:v>
      </x:c>
      <x:c r="O2044" s="14" t="str">
        <x:v>否</x:v>
      </x:c>
      <x:c r="P2044" s="14" t="str">
        <x:v>孙五星</x:v>
      </x:c>
      <x:c r="Q2044" s="14" t="str">
        <x:v>3号车</x:v>
      </x:c>
      <x:c r="R2044" s="14" t="str">
        <x:v>预测</x:v>
      </x:c>
      <x:c r="S2044" s="14" t="str">
        <x:v>到站时间为估算值</x:v>
      </x:c>
      <x:c r="T2044" t="str">
        <x:v>研究生宿舍楼发车</x:v>
      </x:c>
    </x:row>
    <x:row r="2045">
      <x:c r="A2045" s="14" t="str">
        <x:v>S0177-08</x:v>
      </x:c>
      <x:c r="B2045" s="14" t="str">
        <x:v>S0177</x:v>
      </x:c>
      <x:c r="C2045" s="14" t="str">
        <x:v>周末/节假日</x:v>
      </x:c>
      <x:c r="D2045" s="14" t="str">
        <x:v>环线3路</x:v>
      </x:c>
      <x:c r="E2045" s="14" t="str">
        <x:v>第一班</x:v>
      </x:c>
      <x:c r="F2045" s="14" t="n">
        <x:v>4</x:v>
      </x:c>
      <x:c r="G2045" s="14" t="str">
        <x:v>9:30</x:v>
      </x:c>
      <x:c r="H2045" s="14" t="str">
        <x:v>研究生宿舍楼</x:v>
      </x:c>
      <x:c r="I2045" s="14" t="str">
        <x:v>否</x:v>
      </x:c>
      <x:c r="J2045" s="14" t="n">
        <x:v>8</x:v>
      </x:c>
      <x:c r="K2045" s="14" t="str">
        <x:v>理学院</x:v>
      </x:c>
      <x:c r="L2045" s="14" t="n">
        <x:v>10</x:v>
      </x:c>
      <x:c r="M2045" s="14" t="str">
        <x:v>09:40</x:v>
      </x:c>
      <x:c r="N2045" s="14" t="str">
        <x:v>否</x:v>
      </x:c>
      <x:c r="O2045" s="14" t="str">
        <x:v>否</x:v>
      </x:c>
      <x:c r="P2045" s="14" t="str">
        <x:v>孙五星</x:v>
      </x:c>
      <x:c r="Q2045" s="14" t="str">
        <x:v>3号车</x:v>
      </x:c>
      <x:c r="R2045" s="14" t="str">
        <x:v>预测</x:v>
      </x:c>
      <x:c r="S2045" s="14" t="str">
        <x:v>到站时间为估算值</x:v>
      </x:c>
      <x:c r="T2045" t="str">
        <x:v>研究生宿舍楼发车</x:v>
      </x:c>
    </x:row>
    <x:row r="2046">
      <x:c r="A2046" s="14" t="str">
        <x:v>S0177-09</x:v>
      </x:c>
      <x:c r="B2046" s="14" t="str">
        <x:v>S0177</x:v>
      </x:c>
      <x:c r="C2046" s="14" t="str">
        <x:v>周末/节假日</x:v>
      </x:c>
      <x:c r="D2046" s="14" t="str">
        <x:v>环线3路</x:v>
      </x:c>
      <x:c r="E2046" s="14" t="str">
        <x:v>第一班</x:v>
      </x:c>
      <x:c r="F2046" s="14" t="n">
        <x:v>4</x:v>
      </x:c>
      <x:c r="G2046" s="14" t="str">
        <x:v>9:30</x:v>
      </x:c>
      <x:c r="H2046" s="14" t="str">
        <x:v>研究生宿舍楼</x:v>
      </x:c>
      <x:c r="I2046" s="14" t="str">
        <x:v>否</x:v>
      </x:c>
      <x:c r="J2046" s="14" t="n">
        <x:v>9</x:v>
      </x:c>
      <x:c r="K2046" s="14" t="str">
        <x:v>二食堂</x:v>
      </x:c>
      <x:c r="L2046" s="14" t="n">
        <x:v>13</x:v>
      </x:c>
      <x:c r="M2046" s="14" t="str">
        <x:v>09:43</x:v>
      </x:c>
      <x:c r="N2046" s="14" t="str">
        <x:v>否</x:v>
      </x:c>
      <x:c r="O2046" s="14" t="str">
        <x:v>否</x:v>
      </x:c>
      <x:c r="P2046" s="14" t="str">
        <x:v>孙五星</x:v>
      </x:c>
      <x:c r="Q2046" s="14" t="str">
        <x:v>3号车</x:v>
      </x:c>
      <x:c r="R2046" s="14" t="str">
        <x:v>预测</x:v>
      </x:c>
      <x:c r="S2046" s="14" t="str">
        <x:v>到站时间为估算值</x:v>
      </x:c>
      <x:c r="T2046" t="str">
        <x:v>研究生宿舍楼发车</x:v>
      </x:c>
    </x:row>
    <x:row r="2047">
      <x:c r="A2047" s="14" t="str">
        <x:v>S0177-10</x:v>
      </x:c>
      <x:c r="B2047" s="14" t="str">
        <x:v>S0177</x:v>
      </x:c>
      <x:c r="C2047" s="14" t="str">
        <x:v>周末/节假日</x:v>
      </x:c>
      <x:c r="D2047" s="14" t="str">
        <x:v>环线3路</x:v>
      </x:c>
      <x:c r="E2047" s="14" t="str">
        <x:v>第一班</x:v>
      </x:c>
      <x:c r="F2047" s="14" t="n">
        <x:v>4</x:v>
      </x:c>
      <x:c r="G2047" s="14" t="str">
        <x:v>9:30</x:v>
      </x:c>
      <x:c r="H2047" s="14" t="str">
        <x:v>研究生宿舍楼</x:v>
      </x:c>
      <x:c r="I2047" s="14" t="str">
        <x:v>否</x:v>
      </x:c>
      <x:c r="J2047" s="14" t="n">
        <x:v>10</x:v>
      </x:c>
      <x:c r="K2047" s="14" t="str">
        <x:v>图书馆</x:v>
      </x:c>
      <x:c r="L2047" s="14" t="n">
        <x:v>14</x:v>
      </x:c>
      <x:c r="M2047" s="14" t="str">
        <x:v>09:44</x:v>
      </x:c>
      <x:c r="N2047" s="14" t="str">
        <x:v>否</x:v>
      </x:c>
      <x:c r="O2047" s="14" t="str">
        <x:v>否</x:v>
      </x:c>
      <x:c r="P2047" s="14" t="str">
        <x:v>孙五星</x:v>
      </x:c>
      <x:c r="Q2047" s="14" t="str">
        <x:v>3号车</x:v>
      </x:c>
      <x:c r="R2047" s="14" t="str">
        <x:v>预测</x:v>
      </x:c>
      <x:c r="S2047" s="14" t="str">
        <x:v>到站时间为估算值</x:v>
      </x:c>
      <x:c r="T2047" t="str">
        <x:v>研究生宿舍楼发车</x:v>
      </x:c>
    </x:row>
    <x:row r="2048">
      <x:c r="A2048" s="14" t="str">
        <x:v>S0177-11</x:v>
      </x:c>
      <x:c r="B2048" s="14" t="str">
        <x:v>S0177</x:v>
      </x:c>
      <x:c r="C2048" s="14" t="str">
        <x:v>周末/节假日</x:v>
      </x:c>
      <x:c r="D2048" s="14" t="str">
        <x:v>环线3路</x:v>
      </x:c>
      <x:c r="E2048" s="14" t="str">
        <x:v>第一班</x:v>
      </x:c>
      <x:c r="F2048" s="14" t="n">
        <x:v>4</x:v>
      </x:c>
      <x:c r="G2048" s="14" t="str">
        <x:v>9:30</x:v>
      </x:c>
      <x:c r="H2048" s="14" t="str">
        <x:v>研究生宿舍楼</x:v>
      </x:c>
      <x:c r="I2048" s="14" t="str">
        <x:v>否</x:v>
      </x:c>
      <x:c r="J2048" s="14" t="n">
        <x:v>11</x:v>
      </x:c>
      <x:c r="K2048" s="14" t="str">
        <x:v>305教学楼</x:v>
      </x:c>
      <x:c r="L2048" s="14" t="n">
        <x:v>16</x:v>
      </x:c>
      <x:c r="M2048" s="14" t="str">
        <x:v>09:46</x:v>
      </x:c>
      <x:c r="N2048" s="14" t="str">
        <x:v>否</x:v>
      </x:c>
      <x:c r="O2048" s="14" t="str">
        <x:v>否</x:v>
      </x:c>
      <x:c r="P2048" s="14" t="str">
        <x:v>孙五星</x:v>
      </x:c>
      <x:c r="Q2048" s="14" t="str">
        <x:v>3号车</x:v>
      </x:c>
      <x:c r="R2048" s="14" t="str">
        <x:v>预测</x:v>
      </x:c>
      <x:c r="S2048" s="14" t="str">
        <x:v>到站时间为估算值</x:v>
      </x:c>
      <x:c r="T2048" t="str">
        <x:v>研究生宿舍楼发车</x:v>
      </x:c>
    </x:row>
    <x:row r="2049">
      <x:c r="A2049" s="14" t="str">
        <x:v>S0177-12</x:v>
      </x:c>
      <x:c r="B2049" s="14" t="str">
        <x:v>S0177</x:v>
      </x:c>
      <x:c r="C2049" s="14" t="str">
        <x:v>周末/节假日</x:v>
      </x:c>
      <x:c r="D2049" s="14" t="str">
        <x:v>环线3路</x:v>
      </x:c>
      <x:c r="E2049" s="14" t="str">
        <x:v>第一班</x:v>
      </x:c>
      <x:c r="F2049" s="14" t="n">
        <x:v>4</x:v>
      </x:c>
      <x:c r="G2049" s="14" t="str">
        <x:v>9:30</x:v>
      </x:c>
      <x:c r="H2049" s="14" t="str">
        <x:v>研究生宿舍楼</x:v>
      </x:c>
      <x:c r="I2049" s="14" t="str">
        <x:v>否</x:v>
      </x:c>
      <x:c r="J2049" s="14" t="n">
        <x:v>12</x:v>
      </x:c>
      <x:c r="K2049" s="14" t="str">
        <x:v>研究生宿舍楼</x:v>
      </x:c>
      <x:c r="L2049" s="14" t="n">
        <x:v>18</x:v>
      </x:c>
      <x:c r="M2049" s="14" t="str">
        <x:v>09:48</x:v>
      </x:c>
      <x:c r="N2049" s="14" t="str">
        <x:v>否</x:v>
      </x:c>
      <x:c r="O2049" s="14" t="str">
        <x:v>是</x:v>
      </x:c>
      <x:c r="P2049" s="14" t="str">
        <x:v>孙五星</x:v>
      </x:c>
      <x:c r="Q2049" s="14" t="str">
        <x:v>3号车</x:v>
      </x:c>
      <x:c r="R2049" s="14" t="str">
        <x:v>预测</x:v>
      </x:c>
      <x:c r="S2049" s="14" t="str">
        <x:v>到站时间为估算值</x:v>
      </x:c>
      <x:c r="T2049" t="str">
        <x:v>研究生宿舍楼发车</x:v>
      </x:c>
    </x:row>
    <x:row r="2050">
      <x:c r="A2050" s="14" t="str">
        <x:v>S0178-01</x:v>
      </x:c>
      <x:c r="B2050" s="14" t="str">
        <x:v>S0178</x:v>
      </x:c>
      <x:c r="C2050" s="14" t="str">
        <x:v>周末/节假日</x:v>
      </x:c>
      <x:c r="D2050" s="14" t="str">
        <x:v>环线3路</x:v>
      </x:c>
      <x:c r="E2050" s="14" t="str">
        <x:v>第一班</x:v>
      </x:c>
      <x:c r="F2050" s="14" t="n">
        <x:v>5</x:v>
      </x:c>
      <x:c r="G2050" s="14" t="str">
        <x:v>9:55</x:v>
      </x:c>
      <x:c r="H2050" s="14" t="str">
        <x:v>研究生宿舍楼</x:v>
      </x:c>
      <x:c r="I2050" s="14" t="str">
        <x:v>否</x:v>
      </x:c>
      <x:c r="J2050" s="14" t="n">
        <x:v>1</x:v>
      </x:c>
      <x:c r="K2050" s="14" t="str">
        <x:v>研究生宿舍楼</x:v>
      </x:c>
      <x:c r="L2050" s="14" t="n">
        <x:v>0</x:v>
      </x:c>
      <x:c r="M2050" s="14" t="str">
        <x:v>09:55</x:v>
      </x:c>
      <x:c r="N2050" s="14" t="str">
        <x:v>是</x:v>
      </x:c>
      <x:c r="O2050" s="14" t="str">
        <x:v>否</x:v>
      </x:c>
      <x:c r="P2050" s="14" t="str">
        <x:v>孙五星</x:v>
      </x:c>
      <x:c r="Q2050" s="14" t="str">
        <x:v>3号车</x:v>
      </x:c>
      <x:c r="R2050" s="14" t="str">
        <x:v>预测</x:v>
      </x:c>
      <x:c r="S2050" s="14" t="str">
        <x:v>到站时间为估算值</x:v>
      </x:c>
      <x:c r="T2050" t="str">
        <x:v>研究生宿舍楼发车</x:v>
      </x:c>
    </x:row>
    <x:row r="2051">
      <x:c r="A2051" s="14" t="str">
        <x:v>S0178-02</x:v>
      </x:c>
      <x:c r="B2051" s="14" t="str">
        <x:v>S0178</x:v>
      </x:c>
      <x:c r="C2051" s="14" t="str">
        <x:v>周末/节假日</x:v>
      </x:c>
      <x:c r="D2051" s="14" t="str">
        <x:v>环线3路</x:v>
      </x:c>
      <x:c r="E2051" s="14" t="str">
        <x:v>第一班</x:v>
      </x:c>
      <x:c r="F2051" s="14" t="n">
        <x:v>5</x:v>
      </x:c>
      <x:c r="G2051" s="14" t="str">
        <x:v>9:55</x:v>
      </x:c>
      <x:c r="H2051" s="14" t="str">
        <x:v>研究生宿舍楼</x:v>
      </x:c>
      <x:c r="I2051" s="14" t="str">
        <x:v>否</x:v>
      </x:c>
      <x:c r="J2051" s="14" t="n">
        <x:v>2</x:v>
      </x:c>
      <x:c r="K2051" s="14" t="str">
        <x:v>一食堂</x:v>
      </x:c>
      <x:c r="L2051" s="14" t="n">
        <x:v>1</x:v>
      </x:c>
      <x:c r="M2051" s="14" t="str">
        <x:v>09:56</x:v>
      </x:c>
      <x:c r="N2051" s="14" t="str">
        <x:v>否</x:v>
      </x:c>
      <x:c r="O2051" s="14" t="str">
        <x:v>否</x:v>
      </x:c>
      <x:c r="P2051" s="14" t="str">
        <x:v>孙五星</x:v>
      </x:c>
      <x:c r="Q2051" s="14" t="str">
        <x:v>3号车</x:v>
      </x:c>
      <x:c r="R2051" s="14" t="str">
        <x:v>预测</x:v>
      </x:c>
      <x:c r="S2051" s="14" t="str">
        <x:v>到站时间为估算值</x:v>
      </x:c>
      <x:c r="T2051" t="str">
        <x:v>研究生宿舍楼发车</x:v>
      </x:c>
    </x:row>
    <x:row r="2052">
      <x:c r="A2052" s="14" t="str">
        <x:v>S0178-03</x:v>
      </x:c>
      <x:c r="B2052" s="14" t="str">
        <x:v>S0178</x:v>
      </x:c>
      <x:c r="C2052" s="14" t="str">
        <x:v>周末/节假日</x:v>
      </x:c>
      <x:c r="D2052" s="14" t="str">
        <x:v>环线3路</x:v>
      </x:c>
      <x:c r="E2052" s="14" t="str">
        <x:v>第一班</x:v>
      </x:c>
      <x:c r="F2052" s="14" t="n">
        <x:v>5</x:v>
      </x:c>
      <x:c r="G2052" s="14" t="str">
        <x:v>9:55</x:v>
      </x:c>
      <x:c r="H2052" s="14" t="str">
        <x:v>研究生宿舍楼</x:v>
      </x:c>
      <x:c r="I2052" s="14" t="str">
        <x:v>否</x:v>
      </x:c>
      <x:c r="J2052" s="14" t="n">
        <x:v>3</x:v>
      </x:c>
      <x:c r="K2052" s="14" t="str">
        <x:v>2号宿舍楼</x:v>
      </x:c>
      <x:c r="L2052" s="14" t="n">
        <x:v>3</x:v>
      </x:c>
      <x:c r="M2052" s="14" t="str">
        <x:v>09:58</x:v>
      </x:c>
      <x:c r="N2052" s="14" t="str">
        <x:v>否</x:v>
      </x:c>
      <x:c r="O2052" s="14" t="str">
        <x:v>否</x:v>
      </x:c>
      <x:c r="P2052" s="14" t="str">
        <x:v>孙五星</x:v>
      </x:c>
      <x:c r="Q2052" s="14" t="str">
        <x:v>3号车</x:v>
      </x:c>
      <x:c r="R2052" s="14" t="str">
        <x:v>预测</x:v>
      </x:c>
      <x:c r="S2052" s="14" t="str">
        <x:v>到站时间为估算值</x:v>
      </x:c>
      <x:c r="T2052" t="str">
        <x:v>研究生宿舍楼发车</x:v>
      </x:c>
    </x:row>
    <x:row r="2053">
      <x:c r="A2053" s="14" t="str">
        <x:v>S0178-04</x:v>
      </x:c>
      <x:c r="B2053" s="14" t="str">
        <x:v>S0178</x:v>
      </x:c>
      <x:c r="C2053" s="14" t="str">
        <x:v>周末/节假日</x:v>
      </x:c>
      <x:c r="D2053" s="14" t="str">
        <x:v>环线3路</x:v>
      </x:c>
      <x:c r="E2053" s="14" t="str">
        <x:v>第一班</x:v>
      </x:c>
      <x:c r="F2053" s="14" t="n">
        <x:v>5</x:v>
      </x:c>
      <x:c r="G2053" s="14" t="str">
        <x:v>9:55</x:v>
      </x:c>
      <x:c r="H2053" s="14" t="str">
        <x:v>研究生宿舍楼</x:v>
      </x:c>
      <x:c r="I2053" s="14" t="str">
        <x:v>否</x:v>
      </x:c>
      <x:c r="J2053" s="14" t="n">
        <x:v>4</x:v>
      </x:c>
      <x:c r="K2053" s="14" t="str">
        <x:v>军体活动中心</x:v>
      </x:c>
      <x:c r="L2053" s="14" t="n">
        <x:v>4</x:v>
      </x:c>
      <x:c r="M2053" s="14" t="str">
        <x:v>09:59</x:v>
      </x:c>
      <x:c r="N2053" s="14" t="str">
        <x:v>否</x:v>
      </x:c>
      <x:c r="O2053" s="14" t="str">
        <x:v>否</x:v>
      </x:c>
      <x:c r="P2053" s="14" t="str">
        <x:v>孙五星</x:v>
      </x:c>
      <x:c r="Q2053" s="14" t="str">
        <x:v>3号车</x:v>
      </x:c>
      <x:c r="R2053" s="14" t="str">
        <x:v>预测</x:v>
      </x:c>
      <x:c r="S2053" s="14" t="str">
        <x:v>到站时间为估算值</x:v>
      </x:c>
      <x:c r="T2053" t="str">
        <x:v>研究生宿舍楼发车</x:v>
      </x:c>
    </x:row>
    <x:row r="2054">
      <x:c r="A2054" s="14" t="str">
        <x:v>S0178-05</x:v>
      </x:c>
      <x:c r="B2054" s="14" t="str">
        <x:v>S0178</x:v>
      </x:c>
      <x:c r="C2054" s="14" t="str">
        <x:v>周末/节假日</x:v>
      </x:c>
      <x:c r="D2054" s="14" t="str">
        <x:v>环线3路</x:v>
      </x:c>
      <x:c r="E2054" s="14" t="str">
        <x:v>第一班</x:v>
      </x:c>
      <x:c r="F2054" s="14" t="n">
        <x:v>5</x:v>
      </x:c>
      <x:c r="G2054" s="14" t="str">
        <x:v>9:55</x:v>
      </x:c>
      <x:c r="H2054" s="14" t="str">
        <x:v>研究生宿舍楼</x:v>
      </x:c>
      <x:c r="I2054" s="14" t="str">
        <x:v>否</x:v>
      </x:c>
      <x:c r="J2054" s="14" t="n">
        <x:v>5</x:v>
      </x:c>
      <x:c r="K2054" s="14" t="str">
        <x:v>教勤连</x:v>
      </x:c>
      <x:c r="L2054" s="14" t="n">
        <x:v>6</x:v>
      </x:c>
      <x:c r="M2054" s="14" t="str">
        <x:v>10:01</x:v>
      </x:c>
      <x:c r="N2054" s="14" t="str">
        <x:v>否</x:v>
      </x:c>
      <x:c r="O2054" s="14" t="str">
        <x:v>否</x:v>
      </x:c>
      <x:c r="P2054" s="14" t="str">
        <x:v>孙五星</x:v>
      </x:c>
      <x:c r="Q2054" s="14" t="str">
        <x:v>3号车</x:v>
      </x:c>
      <x:c r="R2054" s="14" t="str">
        <x:v>预测</x:v>
      </x:c>
      <x:c r="S2054" s="14" t="str">
        <x:v>到站时间为估算值</x:v>
      </x:c>
      <x:c r="T2054" t="str">
        <x:v>研究生宿舍楼发车</x:v>
      </x:c>
    </x:row>
    <x:row r="2055">
      <x:c r="A2055" s="14" t="str">
        <x:v>S0178-06</x:v>
      </x:c>
      <x:c r="B2055" s="14" t="str">
        <x:v>S0178</x:v>
      </x:c>
      <x:c r="C2055" s="14" t="str">
        <x:v>周末/节假日</x:v>
      </x:c>
      <x:c r="D2055" s="14" t="str">
        <x:v>环线3路</x:v>
      </x:c>
      <x:c r="E2055" s="14" t="str">
        <x:v>第一班</x:v>
      </x:c>
      <x:c r="F2055" s="14" t="n">
        <x:v>5</x:v>
      </x:c>
      <x:c r="G2055" s="14" t="str">
        <x:v>9:55</x:v>
      </x:c>
      <x:c r="H2055" s="14" t="str">
        <x:v>研究生宿舍楼</x:v>
      </x:c>
      <x:c r="I2055" s="14" t="str">
        <x:v>否</x:v>
      </x:c>
      <x:c r="J2055" s="14" t="n">
        <x:v>6</x:v>
      </x:c>
      <x:c r="K2055" s="14" t="str">
        <x:v>激光所</x:v>
      </x:c>
      <x:c r="L2055" s="14" t="n">
        <x:v>7</x:v>
      </x:c>
      <x:c r="M2055" s="14" t="str">
        <x:v>10:02</x:v>
      </x:c>
      <x:c r="N2055" s="14" t="str">
        <x:v>否</x:v>
      </x:c>
      <x:c r="O2055" s="14" t="str">
        <x:v>否</x:v>
      </x:c>
      <x:c r="P2055" s="14" t="str">
        <x:v>孙五星</x:v>
      </x:c>
      <x:c r="Q2055" s="14" t="str">
        <x:v>3号车</x:v>
      </x:c>
      <x:c r="R2055" s="14" t="str">
        <x:v>预测</x:v>
      </x:c>
      <x:c r="S2055" s="14" t="str">
        <x:v>到站时间为估算值</x:v>
      </x:c>
      <x:c r="T2055" t="str">
        <x:v>研究生宿舍楼发车</x:v>
      </x:c>
    </x:row>
    <x:row r="2056">
      <x:c r="A2056" s="14" t="str">
        <x:v>S0178-07</x:v>
      </x:c>
      <x:c r="B2056" s="14" t="str">
        <x:v>S0178</x:v>
      </x:c>
      <x:c r="C2056" s="14" t="str">
        <x:v>周末/节假日</x:v>
      </x:c>
      <x:c r="D2056" s="14" t="str">
        <x:v>环线3路</x:v>
      </x:c>
      <x:c r="E2056" s="14" t="str">
        <x:v>第一班</x:v>
      </x:c>
      <x:c r="F2056" s="14" t="n">
        <x:v>5</x:v>
      </x:c>
      <x:c r="G2056" s="14" t="str">
        <x:v>9:55</x:v>
      </x:c>
      <x:c r="H2056" s="14" t="str">
        <x:v>研究生宿舍楼</x:v>
      </x:c>
      <x:c r="I2056" s="14" t="str">
        <x:v>否</x:v>
      </x:c>
      <x:c r="J2056" s="14" t="n">
        <x:v>7</x:v>
      </x:c>
      <x:c r="K2056" s="14" t="str">
        <x:v>高超楼</x:v>
      </x:c>
      <x:c r="L2056" s="14" t="n">
        <x:v>9</x:v>
      </x:c>
      <x:c r="M2056" s="14" t="str">
        <x:v>10:04</x:v>
      </x:c>
      <x:c r="N2056" s="14" t="str">
        <x:v>否</x:v>
      </x:c>
      <x:c r="O2056" s="14" t="str">
        <x:v>否</x:v>
      </x:c>
      <x:c r="P2056" s="14" t="str">
        <x:v>孙五星</x:v>
      </x:c>
      <x:c r="Q2056" s="14" t="str">
        <x:v>3号车</x:v>
      </x:c>
      <x:c r="R2056" s="14" t="str">
        <x:v>预测</x:v>
      </x:c>
      <x:c r="S2056" s="14" t="str">
        <x:v>到站时间为估算值</x:v>
      </x:c>
      <x:c r="T2056" t="str">
        <x:v>研究生宿舍楼发车</x:v>
      </x:c>
    </x:row>
    <x:row r="2057">
      <x:c r="A2057" s="14" t="str">
        <x:v>S0178-08</x:v>
      </x:c>
      <x:c r="B2057" s="14" t="str">
        <x:v>S0178</x:v>
      </x:c>
      <x:c r="C2057" s="14" t="str">
        <x:v>周末/节假日</x:v>
      </x:c>
      <x:c r="D2057" s="14" t="str">
        <x:v>环线3路</x:v>
      </x:c>
      <x:c r="E2057" s="14" t="str">
        <x:v>第一班</x:v>
      </x:c>
      <x:c r="F2057" s="14" t="n">
        <x:v>5</x:v>
      </x:c>
      <x:c r="G2057" s="14" t="str">
        <x:v>9:55</x:v>
      </x:c>
      <x:c r="H2057" s="14" t="str">
        <x:v>研究生宿舍楼</x:v>
      </x:c>
      <x:c r="I2057" s="14" t="str">
        <x:v>否</x:v>
      </x:c>
      <x:c r="J2057" s="14" t="n">
        <x:v>8</x:v>
      </x:c>
      <x:c r="K2057" s="14" t="str">
        <x:v>理学院</x:v>
      </x:c>
      <x:c r="L2057" s="14" t="n">
        <x:v>10</x:v>
      </x:c>
      <x:c r="M2057" s="14" t="str">
        <x:v>10:05</x:v>
      </x:c>
      <x:c r="N2057" s="14" t="str">
        <x:v>否</x:v>
      </x:c>
      <x:c r="O2057" s="14" t="str">
        <x:v>否</x:v>
      </x:c>
      <x:c r="P2057" s="14" t="str">
        <x:v>孙五星</x:v>
      </x:c>
      <x:c r="Q2057" s="14" t="str">
        <x:v>3号车</x:v>
      </x:c>
      <x:c r="R2057" s="14" t="str">
        <x:v>预测</x:v>
      </x:c>
      <x:c r="S2057" s="14" t="str">
        <x:v>到站时间为估算值</x:v>
      </x:c>
      <x:c r="T2057" t="str">
        <x:v>研究生宿舍楼发车</x:v>
      </x:c>
    </x:row>
    <x:row r="2058">
      <x:c r="A2058" s="14" t="str">
        <x:v>S0178-09</x:v>
      </x:c>
      <x:c r="B2058" s="14" t="str">
        <x:v>S0178</x:v>
      </x:c>
      <x:c r="C2058" s="14" t="str">
        <x:v>周末/节假日</x:v>
      </x:c>
      <x:c r="D2058" s="14" t="str">
        <x:v>环线3路</x:v>
      </x:c>
      <x:c r="E2058" s="14" t="str">
        <x:v>第一班</x:v>
      </x:c>
      <x:c r="F2058" s="14" t="n">
        <x:v>5</x:v>
      </x:c>
      <x:c r="G2058" s="14" t="str">
        <x:v>9:55</x:v>
      </x:c>
      <x:c r="H2058" s="14" t="str">
        <x:v>研究生宿舍楼</x:v>
      </x:c>
      <x:c r="I2058" s="14" t="str">
        <x:v>否</x:v>
      </x:c>
      <x:c r="J2058" s="14" t="n">
        <x:v>9</x:v>
      </x:c>
      <x:c r="K2058" s="14" t="str">
        <x:v>二食堂</x:v>
      </x:c>
      <x:c r="L2058" s="14" t="n">
        <x:v>13</x:v>
      </x:c>
      <x:c r="M2058" s="14" t="str">
        <x:v>10:08</x:v>
      </x:c>
      <x:c r="N2058" s="14" t="str">
        <x:v>否</x:v>
      </x:c>
      <x:c r="O2058" s="14" t="str">
        <x:v>否</x:v>
      </x:c>
      <x:c r="P2058" s="14" t="str">
        <x:v>孙五星</x:v>
      </x:c>
      <x:c r="Q2058" s="14" t="str">
        <x:v>3号车</x:v>
      </x:c>
      <x:c r="R2058" s="14" t="str">
        <x:v>预测</x:v>
      </x:c>
      <x:c r="S2058" s="14" t="str">
        <x:v>到站时间为估算值</x:v>
      </x:c>
      <x:c r="T2058" t="str">
        <x:v>研究生宿舍楼发车</x:v>
      </x:c>
    </x:row>
    <x:row r="2059">
      <x:c r="A2059" s="14" t="str">
        <x:v>S0178-10</x:v>
      </x:c>
      <x:c r="B2059" s="14" t="str">
        <x:v>S0178</x:v>
      </x:c>
      <x:c r="C2059" s="14" t="str">
        <x:v>周末/节假日</x:v>
      </x:c>
      <x:c r="D2059" s="14" t="str">
        <x:v>环线3路</x:v>
      </x:c>
      <x:c r="E2059" s="14" t="str">
        <x:v>第一班</x:v>
      </x:c>
      <x:c r="F2059" s="14" t="n">
        <x:v>5</x:v>
      </x:c>
      <x:c r="G2059" s="14" t="str">
        <x:v>9:55</x:v>
      </x:c>
      <x:c r="H2059" s="14" t="str">
        <x:v>研究生宿舍楼</x:v>
      </x:c>
      <x:c r="I2059" s="14" t="str">
        <x:v>否</x:v>
      </x:c>
      <x:c r="J2059" s="14" t="n">
        <x:v>10</x:v>
      </x:c>
      <x:c r="K2059" s="14" t="str">
        <x:v>图书馆</x:v>
      </x:c>
      <x:c r="L2059" s="14" t="n">
        <x:v>14</x:v>
      </x:c>
      <x:c r="M2059" s="14" t="str">
        <x:v>10:09</x:v>
      </x:c>
      <x:c r="N2059" s="14" t="str">
        <x:v>否</x:v>
      </x:c>
      <x:c r="O2059" s="14" t="str">
        <x:v>否</x:v>
      </x:c>
      <x:c r="P2059" s="14" t="str">
        <x:v>孙五星</x:v>
      </x:c>
      <x:c r="Q2059" s="14" t="str">
        <x:v>3号车</x:v>
      </x:c>
      <x:c r="R2059" s="14" t="str">
        <x:v>预测</x:v>
      </x:c>
      <x:c r="S2059" s="14" t="str">
        <x:v>到站时间为估算值</x:v>
      </x:c>
      <x:c r="T2059" t="str">
        <x:v>研究生宿舍楼发车</x:v>
      </x:c>
    </x:row>
    <x:row r="2060">
      <x:c r="A2060" s="14" t="str">
        <x:v>S0178-11</x:v>
      </x:c>
      <x:c r="B2060" s="14" t="str">
        <x:v>S0178</x:v>
      </x:c>
      <x:c r="C2060" s="14" t="str">
        <x:v>周末/节假日</x:v>
      </x:c>
      <x:c r="D2060" s="14" t="str">
        <x:v>环线3路</x:v>
      </x:c>
      <x:c r="E2060" s="14" t="str">
        <x:v>第一班</x:v>
      </x:c>
      <x:c r="F2060" s="14" t="n">
        <x:v>5</x:v>
      </x:c>
      <x:c r="G2060" s="14" t="str">
        <x:v>9:55</x:v>
      </x:c>
      <x:c r="H2060" s="14" t="str">
        <x:v>研究生宿舍楼</x:v>
      </x:c>
      <x:c r="I2060" s="14" t="str">
        <x:v>否</x:v>
      </x:c>
      <x:c r="J2060" s="14" t="n">
        <x:v>11</x:v>
      </x:c>
      <x:c r="K2060" s="14" t="str">
        <x:v>305教学楼</x:v>
      </x:c>
      <x:c r="L2060" s="14" t="n">
        <x:v>16</x:v>
      </x:c>
      <x:c r="M2060" s="14" t="str">
        <x:v>10:11</x:v>
      </x:c>
      <x:c r="N2060" s="14" t="str">
        <x:v>否</x:v>
      </x:c>
      <x:c r="O2060" s="14" t="str">
        <x:v>否</x:v>
      </x:c>
      <x:c r="P2060" s="14" t="str">
        <x:v>孙五星</x:v>
      </x:c>
      <x:c r="Q2060" s="14" t="str">
        <x:v>3号车</x:v>
      </x:c>
      <x:c r="R2060" s="14" t="str">
        <x:v>预测</x:v>
      </x:c>
      <x:c r="S2060" s="14" t="str">
        <x:v>到站时间为估算值</x:v>
      </x:c>
      <x:c r="T2060" t="str">
        <x:v>研究生宿舍楼发车</x:v>
      </x:c>
    </x:row>
    <x:row r="2061">
      <x:c r="A2061" s="14" t="str">
        <x:v>S0178-12</x:v>
      </x:c>
      <x:c r="B2061" s="14" t="str">
        <x:v>S0178</x:v>
      </x:c>
      <x:c r="C2061" s="14" t="str">
        <x:v>周末/节假日</x:v>
      </x:c>
      <x:c r="D2061" s="14" t="str">
        <x:v>环线3路</x:v>
      </x:c>
      <x:c r="E2061" s="14" t="str">
        <x:v>第一班</x:v>
      </x:c>
      <x:c r="F2061" s="14" t="n">
        <x:v>5</x:v>
      </x:c>
      <x:c r="G2061" s="14" t="str">
        <x:v>9:55</x:v>
      </x:c>
      <x:c r="H2061" s="14" t="str">
        <x:v>研究生宿舍楼</x:v>
      </x:c>
      <x:c r="I2061" s="14" t="str">
        <x:v>否</x:v>
      </x:c>
      <x:c r="J2061" s="14" t="n">
        <x:v>12</x:v>
      </x:c>
      <x:c r="K2061" s="14" t="str">
        <x:v>研究生宿舍楼</x:v>
      </x:c>
      <x:c r="L2061" s="14" t="n">
        <x:v>18</x:v>
      </x:c>
      <x:c r="M2061" s="14" t="str">
        <x:v>10:13</x:v>
      </x:c>
      <x:c r="N2061" s="14" t="str">
        <x:v>否</x:v>
      </x:c>
      <x:c r="O2061" s="14" t="str">
        <x:v>是</x:v>
      </x:c>
      <x:c r="P2061" s="14" t="str">
        <x:v>孙五星</x:v>
      </x:c>
      <x:c r="Q2061" s="14" t="str">
        <x:v>3号车</x:v>
      </x:c>
      <x:c r="R2061" s="14" t="str">
        <x:v>预测</x:v>
      </x:c>
      <x:c r="S2061" s="14" t="str">
        <x:v>到站时间为估算值</x:v>
      </x:c>
      <x:c r="T2061" t="str">
        <x:v>研究生宿舍楼发车</x:v>
      </x:c>
    </x:row>
    <x:row r="2062">
      <x:c r="A2062" s="14" t="str">
        <x:v>S0179-01</x:v>
      </x:c>
      <x:c r="B2062" s="14" t="str">
        <x:v>S0179</x:v>
      </x:c>
      <x:c r="C2062" s="14" t="str">
        <x:v>周末/节假日</x:v>
      </x:c>
      <x:c r="D2062" s="14" t="str">
        <x:v>环线3路</x:v>
      </x:c>
      <x:c r="E2062" s="14" t="str">
        <x:v>第一班</x:v>
      </x:c>
      <x:c r="F2062" s="14" t="n">
        <x:v>6</x:v>
      </x:c>
      <x:c r="G2062" s="14" t="str">
        <x:v>10:20</x:v>
      </x:c>
      <x:c r="H2062" s="14" t="str">
        <x:v>研究生宿舍楼</x:v>
      </x:c>
      <x:c r="I2062" s="14" t="str">
        <x:v>否</x:v>
      </x:c>
      <x:c r="J2062" s="14" t="n">
        <x:v>1</x:v>
      </x:c>
      <x:c r="K2062" s="14" t="str">
        <x:v>研究生宿舍楼</x:v>
      </x:c>
      <x:c r="L2062" s="14" t="n">
        <x:v>0</x:v>
      </x:c>
      <x:c r="M2062" s="14" t="str">
        <x:v>10:20</x:v>
      </x:c>
      <x:c r="N2062" s="14" t="str">
        <x:v>是</x:v>
      </x:c>
      <x:c r="O2062" s="14" t="str">
        <x:v>否</x:v>
      </x:c>
      <x:c r="P2062" s="14" t="str">
        <x:v>孙五星</x:v>
      </x:c>
      <x:c r="Q2062" s="14" t="str">
        <x:v>3号车</x:v>
      </x:c>
      <x:c r="R2062" s="14" t="str">
        <x:v>预测</x:v>
      </x:c>
      <x:c r="S2062" s="14" t="str">
        <x:v>到站时间为估算值</x:v>
      </x:c>
      <x:c r="T2062" t="str">
        <x:v>研究生宿舍楼发车</x:v>
      </x:c>
    </x:row>
    <x:row r="2063">
      <x:c r="A2063" s="14" t="str">
        <x:v>S0179-02</x:v>
      </x:c>
      <x:c r="B2063" s="14" t="str">
        <x:v>S0179</x:v>
      </x:c>
      <x:c r="C2063" s="14" t="str">
        <x:v>周末/节假日</x:v>
      </x:c>
      <x:c r="D2063" s="14" t="str">
        <x:v>环线3路</x:v>
      </x:c>
      <x:c r="E2063" s="14" t="str">
        <x:v>第一班</x:v>
      </x:c>
      <x:c r="F2063" s="14" t="n">
        <x:v>6</x:v>
      </x:c>
      <x:c r="G2063" s="14" t="str">
        <x:v>10:20</x:v>
      </x:c>
      <x:c r="H2063" s="14" t="str">
        <x:v>研究生宿舍楼</x:v>
      </x:c>
      <x:c r="I2063" s="14" t="str">
        <x:v>否</x:v>
      </x:c>
      <x:c r="J2063" s="14" t="n">
        <x:v>2</x:v>
      </x:c>
      <x:c r="K2063" s="14" t="str">
        <x:v>一食堂</x:v>
      </x:c>
      <x:c r="L2063" s="14" t="n">
        <x:v>1</x:v>
      </x:c>
      <x:c r="M2063" s="14" t="str">
        <x:v>10:21</x:v>
      </x:c>
      <x:c r="N2063" s="14" t="str">
        <x:v>否</x:v>
      </x:c>
      <x:c r="O2063" s="14" t="str">
        <x:v>否</x:v>
      </x:c>
      <x:c r="P2063" s="14" t="str">
        <x:v>孙五星</x:v>
      </x:c>
      <x:c r="Q2063" s="14" t="str">
        <x:v>3号车</x:v>
      </x:c>
      <x:c r="R2063" s="14" t="str">
        <x:v>预测</x:v>
      </x:c>
      <x:c r="S2063" s="14" t="str">
        <x:v>到站时间为估算值</x:v>
      </x:c>
      <x:c r="T2063" t="str">
        <x:v>研究生宿舍楼发车</x:v>
      </x:c>
    </x:row>
    <x:row r="2064">
      <x:c r="A2064" s="14" t="str">
        <x:v>S0179-03</x:v>
      </x:c>
      <x:c r="B2064" s="14" t="str">
        <x:v>S0179</x:v>
      </x:c>
      <x:c r="C2064" s="14" t="str">
        <x:v>周末/节假日</x:v>
      </x:c>
      <x:c r="D2064" s="14" t="str">
        <x:v>环线3路</x:v>
      </x:c>
      <x:c r="E2064" s="14" t="str">
        <x:v>第一班</x:v>
      </x:c>
      <x:c r="F2064" s="14" t="n">
        <x:v>6</x:v>
      </x:c>
      <x:c r="G2064" s="14" t="str">
        <x:v>10:20</x:v>
      </x:c>
      <x:c r="H2064" s="14" t="str">
        <x:v>研究生宿舍楼</x:v>
      </x:c>
      <x:c r="I2064" s="14" t="str">
        <x:v>否</x:v>
      </x:c>
      <x:c r="J2064" s="14" t="n">
        <x:v>3</x:v>
      </x:c>
      <x:c r="K2064" s="14" t="str">
        <x:v>2号宿舍楼</x:v>
      </x:c>
      <x:c r="L2064" s="14" t="n">
        <x:v>3</x:v>
      </x:c>
      <x:c r="M2064" s="14" t="str">
        <x:v>10:23</x:v>
      </x:c>
      <x:c r="N2064" s="14" t="str">
        <x:v>否</x:v>
      </x:c>
      <x:c r="O2064" s="14" t="str">
        <x:v>否</x:v>
      </x:c>
      <x:c r="P2064" s="14" t="str">
        <x:v>孙五星</x:v>
      </x:c>
      <x:c r="Q2064" s="14" t="str">
        <x:v>3号车</x:v>
      </x:c>
      <x:c r="R2064" s="14" t="str">
        <x:v>预测</x:v>
      </x:c>
      <x:c r="S2064" s="14" t="str">
        <x:v>到站时间为估算值</x:v>
      </x:c>
      <x:c r="T2064" t="str">
        <x:v>研究生宿舍楼发车</x:v>
      </x:c>
    </x:row>
    <x:row r="2065">
      <x:c r="A2065" s="14" t="str">
        <x:v>S0179-04</x:v>
      </x:c>
      <x:c r="B2065" s="14" t="str">
        <x:v>S0179</x:v>
      </x:c>
      <x:c r="C2065" s="14" t="str">
        <x:v>周末/节假日</x:v>
      </x:c>
      <x:c r="D2065" s="14" t="str">
        <x:v>环线3路</x:v>
      </x:c>
      <x:c r="E2065" s="14" t="str">
        <x:v>第一班</x:v>
      </x:c>
      <x:c r="F2065" s="14" t="n">
        <x:v>6</x:v>
      </x:c>
      <x:c r="G2065" s="14" t="str">
        <x:v>10:20</x:v>
      </x:c>
      <x:c r="H2065" s="14" t="str">
        <x:v>研究生宿舍楼</x:v>
      </x:c>
      <x:c r="I2065" s="14" t="str">
        <x:v>否</x:v>
      </x:c>
      <x:c r="J2065" s="14" t="n">
        <x:v>4</x:v>
      </x:c>
      <x:c r="K2065" s="14" t="str">
        <x:v>军体活动中心</x:v>
      </x:c>
      <x:c r="L2065" s="14" t="n">
        <x:v>4</x:v>
      </x:c>
      <x:c r="M2065" s="14" t="str">
        <x:v>10:24</x:v>
      </x:c>
      <x:c r="N2065" s="14" t="str">
        <x:v>否</x:v>
      </x:c>
      <x:c r="O2065" s="14" t="str">
        <x:v>否</x:v>
      </x:c>
      <x:c r="P2065" s="14" t="str">
        <x:v>孙五星</x:v>
      </x:c>
      <x:c r="Q2065" s="14" t="str">
        <x:v>3号车</x:v>
      </x:c>
      <x:c r="R2065" s="14" t="str">
        <x:v>预测</x:v>
      </x:c>
      <x:c r="S2065" s="14" t="str">
        <x:v>到站时间为估算值</x:v>
      </x:c>
      <x:c r="T2065" t="str">
        <x:v>研究生宿舍楼发车</x:v>
      </x:c>
    </x:row>
    <x:row r="2066">
      <x:c r="A2066" s="14" t="str">
        <x:v>S0179-05</x:v>
      </x:c>
      <x:c r="B2066" s="14" t="str">
        <x:v>S0179</x:v>
      </x:c>
      <x:c r="C2066" s="14" t="str">
        <x:v>周末/节假日</x:v>
      </x:c>
      <x:c r="D2066" s="14" t="str">
        <x:v>环线3路</x:v>
      </x:c>
      <x:c r="E2066" s="14" t="str">
        <x:v>第一班</x:v>
      </x:c>
      <x:c r="F2066" s="14" t="n">
        <x:v>6</x:v>
      </x:c>
      <x:c r="G2066" s="14" t="str">
        <x:v>10:20</x:v>
      </x:c>
      <x:c r="H2066" s="14" t="str">
        <x:v>研究生宿舍楼</x:v>
      </x:c>
      <x:c r="I2066" s="14" t="str">
        <x:v>否</x:v>
      </x:c>
      <x:c r="J2066" s="14" t="n">
        <x:v>5</x:v>
      </x:c>
      <x:c r="K2066" s="14" t="str">
        <x:v>教勤连</x:v>
      </x:c>
      <x:c r="L2066" s="14" t="n">
        <x:v>6</x:v>
      </x:c>
      <x:c r="M2066" s="14" t="str">
        <x:v>10:26</x:v>
      </x:c>
      <x:c r="N2066" s="14" t="str">
        <x:v>否</x:v>
      </x:c>
      <x:c r="O2066" s="14" t="str">
        <x:v>否</x:v>
      </x:c>
      <x:c r="P2066" s="14" t="str">
        <x:v>孙五星</x:v>
      </x:c>
      <x:c r="Q2066" s="14" t="str">
        <x:v>3号车</x:v>
      </x:c>
      <x:c r="R2066" s="14" t="str">
        <x:v>预测</x:v>
      </x:c>
      <x:c r="S2066" s="14" t="str">
        <x:v>到站时间为估算值</x:v>
      </x:c>
      <x:c r="T2066" t="str">
        <x:v>研究生宿舍楼发车</x:v>
      </x:c>
    </x:row>
    <x:row r="2067">
      <x:c r="A2067" s="14" t="str">
        <x:v>S0179-06</x:v>
      </x:c>
      <x:c r="B2067" s="14" t="str">
        <x:v>S0179</x:v>
      </x:c>
      <x:c r="C2067" s="14" t="str">
        <x:v>周末/节假日</x:v>
      </x:c>
      <x:c r="D2067" s="14" t="str">
        <x:v>环线3路</x:v>
      </x:c>
      <x:c r="E2067" s="14" t="str">
        <x:v>第一班</x:v>
      </x:c>
      <x:c r="F2067" s="14" t="n">
        <x:v>6</x:v>
      </x:c>
      <x:c r="G2067" s="14" t="str">
        <x:v>10:20</x:v>
      </x:c>
      <x:c r="H2067" s="14" t="str">
        <x:v>研究生宿舍楼</x:v>
      </x:c>
      <x:c r="I2067" s="14" t="str">
        <x:v>否</x:v>
      </x:c>
      <x:c r="J2067" s="14" t="n">
        <x:v>6</x:v>
      </x:c>
      <x:c r="K2067" s="14" t="str">
        <x:v>激光所</x:v>
      </x:c>
      <x:c r="L2067" s="14" t="n">
        <x:v>7</x:v>
      </x:c>
      <x:c r="M2067" s="14" t="str">
        <x:v>10:27</x:v>
      </x:c>
      <x:c r="N2067" s="14" t="str">
        <x:v>否</x:v>
      </x:c>
      <x:c r="O2067" s="14" t="str">
        <x:v>否</x:v>
      </x:c>
      <x:c r="P2067" s="14" t="str">
        <x:v>孙五星</x:v>
      </x:c>
      <x:c r="Q2067" s="14" t="str">
        <x:v>3号车</x:v>
      </x:c>
      <x:c r="R2067" s="14" t="str">
        <x:v>预测</x:v>
      </x:c>
      <x:c r="S2067" s="14" t="str">
        <x:v>到站时间为估算值</x:v>
      </x:c>
      <x:c r="T2067" t="str">
        <x:v>研究生宿舍楼发车</x:v>
      </x:c>
    </x:row>
    <x:row r="2068">
      <x:c r="A2068" s="14" t="str">
        <x:v>S0179-07</x:v>
      </x:c>
      <x:c r="B2068" s="14" t="str">
        <x:v>S0179</x:v>
      </x:c>
      <x:c r="C2068" s="14" t="str">
        <x:v>周末/节假日</x:v>
      </x:c>
      <x:c r="D2068" s="14" t="str">
        <x:v>环线3路</x:v>
      </x:c>
      <x:c r="E2068" s="14" t="str">
        <x:v>第一班</x:v>
      </x:c>
      <x:c r="F2068" s="14" t="n">
        <x:v>6</x:v>
      </x:c>
      <x:c r="G2068" s="14" t="str">
        <x:v>10:20</x:v>
      </x:c>
      <x:c r="H2068" s="14" t="str">
        <x:v>研究生宿舍楼</x:v>
      </x:c>
      <x:c r="I2068" s="14" t="str">
        <x:v>否</x:v>
      </x:c>
      <x:c r="J2068" s="14" t="n">
        <x:v>7</x:v>
      </x:c>
      <x:c r="K2068" s="14" t="str">
        <x:v>高超楼</x:v>
      </x:c>
      <x:c r="L2068" s="14" t="n">
        <x:v>9</x:v>
      </x:c>
      <x:c r="M2068" s="14" t="str">
        <x:v>10:29</x:v>
      </x:c>
      <x:c r="N2068" s="14" t="str">
        <x:v>否</x:v>
      </x:c>
      <x:c r="O2068" s="14" t="str">
        <x:v>否</x:v>
      </x:c>
      <x:c r="P2068" s="14" t="str">
        <x:v>孙五星</x:v>
      </x:c>
      <x:c r="Q2068" s="14" t="str">
        <x:v>3号车</x:v>
      </x:c>
      <x:c r="R2068" s="14" t="str">
        <x:v>预测</x:v>
      </x:c>
      <x:c r="S2068" s="14" t="str">
        <x:v>到站时间为估算值</x:v>
      </x:c>
      <x:c r="T2068" t="str">
        <x:v>研究生宿舍楼发车</x:v>
      </x:c>
    </x:row>
    <x:row r="2069">
      <x:c r="A2069" s="14" t="str">
        <x:v>S0179-08</x:v>
      </x:c>
      <x:c r="B2069" s="14" t="str">
        <x:v>S0179</x:v>
      </x:c>
      <x:c r="C2069" s="14" t="str">
        <x:v>周末/节假日</x:v>
      </x:c>
      <x:c r="D2069" s="14" t="str">
        <x:v>环线3路</x:v>
      </x:c>
      <x:c r="E2069" s="14" t="str">
        <x:v>第一班</x:v>
      </x:c>
      <x:c r="F2069" s="14" t="n">
        <x:v>6</x:v>
      </x:c>
      <x:c r="G2069" s="14" t="str">
        <x:v>10:20</x:v>
      </x:c>
      <x:c r="H2069" s="14" t="str">
        <x:v>研究生宿舍楼</x:v>
      </x:c>
      <x:c r="I2069" s="14" t="str">
        <x:v>否</x:v>
      </x:c>
      <x:c r="J2069" s="14" t="n">
        <x:v>8</x:v>
      </x:c>
      <x:c r="K2069" s="14" t="str">
        <x:v>理学院</x:v>
      </x:c>
      <x:c r="L2069" s="14" t="n">
        <x:v>10</x:v>
      </x:c>
      <x:c r="M2069" s="14" t="str">
        <x:v>10:30</x:v>
      </x:c>
      <x:c r="N2069" s="14" t="str">
        <x:v>否</x:v>
      </x:c>
      <x:c r="O2069" s="14" t="str">
        <x:v>否</x:v>
      </x:c>
      <x:c r="P2069" s="14" t="str">
        <x:v>孙五星</x:v>
      </x:c>
      <x:c r="Q2069" s="14" t="str">
        <x:v>3号车</x:v>
      </x:c>
      <x:c r="R2069" s="14" t="str">
        <x:v>预测</x:v>
      </x:c>
      <x:c r="S2069" s="14" t="str">
        <x:v>到站时间为估算值</x:v>
      </x:c>
      <x:c r="T2069" t="str">
        <x:v>研究生宿舍楼发车</x:v>
      </x:c>
    </x:row>
    <x:row r="2070">
      <x:c r="A2070" s="14" t="str">
        <x:v>S0179-09</x:v>
      </x:c>
      <x:c r="B2070" s="14" t="str">
        <x:v>S0179</x:v>
      </x:c>
      <x:c r="C2070" s="14" t="str">
        <x:v>周末/节假日</x:v>
      </x:c>
      <x:c r="D2070" s="14" t="str">
        <x:v>环线3路</x:v>
      </x:c>
      <x:c r="E2070" s="14" t="str">
        <x:v>第一班</x:v>
      </x:c>
      <x:c r="F2070" s="14" t="n">
        <x:v>6</x:v>
      </x:c>
      <x:c r="G2070" s="14" t="str">
        <x:v>10:20</x:v>
      </x:c>
      <x:c r="H2070" s="14" t="str">
        <x:v>研究生宿舍楼</x:v>
      </x:c>
      <x:c r="I2070" s="14" t="str">
        <x:v>否</x:v>
      </x:c>
      <x:c r="J2070" s="14" t="n">
        <x:v>9</x:v>
      </x:c>
      <x:c r="K2070" s="14" t="str">
        <x:v>二食堂</x:v>
      </x:c>
      <x:c r="L2070" s="14" t="n">
        <x:v>13</x:v>
      </x:c>
      <x:c r="M2070" s="14" t="str">
        <x:v>10:33</x:v>
      </x:c>
      <x:c r="N2070" s="14" t="str">
        <x:v>否</x:v>
      </x:c>
      <x:c r="O2070" s="14" t="str">
        <x:v>否</x:v>
      </x:c>
      <x:c r="P2070" s="14" t="str">
        <x:v>孙五星</x:v>
      </x:c>
      <x:c r="Q2070" s="14" t="str">
        <x:v>3号车</x:v>
      </x:c>
      <x:c r="R2070" s="14" t="str">
        <x:v>预测</x:v>
      </x:c>
      <x:c r="S2070" s="14" t="str">
        <x:v>到站时间为估算值</x:v>
      </x:c>
      <x:c r="T2070" t="str">
        <x:v>研究生宿舍楼发车</x:v>
      </x:c>
    </x:row>
    <x:row r="2071">
      <x:c r="A2071" s="14" t="str">
        <x:v>S0179-10</x:v>
      </x:c>
      <x:c r="B2071" s="14" t="str">
        <x:v>S0179</x:v>
      </x:c>
      <x:c r="C2071" s="14" t="str">
        <x:v>周末/节假日</x:v>
      </x:c>
      <x:c r="D2071" s="14" t="str">
        <x:v>环线3路</x:v>
      </x:c>
      <x:c r="E2071" s="14" t="str">
        <x:v>第一班</x:v>
      </x:c>
      <x:c r="F2071" s="14" t="n">
        <x:v>6</x:v>
      </x:c>
      <x:c r="G2071" s="14" t="str">
        <x:v>10:20</x:v>
      </x:c>
      <x:c r="H2071" s="14" t="str">
        <x:v>研究生宿舍楼</x:v>
      </x:c>
      <x:c r="I2071" s="14" t="str">
        <x:v>否</x:v>
      </x:c>
      <x:c r="J2071" s="14" t="n">
        <x:v>10</x:v>
      </x:c>
      <x:c r="K2071" s="14" t="str">
        <x:v>图书馆</x:v>
      </x:c>
      <x:c r="L2071" s="14" t="n">
        <x:v>14</x:v>
      </x:c>
      <x:c r="M2071" s="14" t="str">
        <x:v>10:34</x:v>
      </x:c>
      <x:c r="N2071" s="14" t="str">
        <x:v>否</x:v>
      </x:c>
      <x:c r="O2071" s="14" t="str">
        <x:v>否</x:v>
      </x:c>
      <x:c r="P2071" s="14" t="str">
        <x:v>孙五星</x:v>
      </x:c>
      <x:c r="Q2071" s="14" t="str">
        <x:v>3号车</x:v>
      </x:c>
      <x:c r="R2071" s="14" t="str">
        <x:v>预测</x:v>
      </x:c>
      <x:c r="S2071" s="14" t="str">
        <x:v>到站时间为估算值</x:v>
      </x:c>
      <x:c r="T2071" t="str">
        <x:v>研究生宿舍楼发车</x:v>
      </x:c>
    </x:row>
    <x:row r="2072">
      <x:c r="A2072" s="14" t="str">
        <x:v>S0179-11</x:v>
      </x:c>
      <x:c r="B2072" s="14" t="str">
        <x:v>S0179</x:v>
      </x:c>
      <x:c r="C2072" s="14" t="str">
        <x:v>周末/节假日</x:v>
      </x:c>
      <x:c r="D2072" s="14" t="str">
        <x:v>环线3路</x:v>
      </x:c>
      <x:c r="E2072" s="14" t="str">
        <x:v>第一班</x:v>
      </x:c>
      <x:c r="F2072" s="14" t="n">
        <x:v>6</x:v>
      </x:c>
      <x:c r="G2072" s="14" t="str">
        <x:v>10:20</x:v>
      </x:c>
      <x:c r="H2072" s="14" t="str">
        <x:v>研究生宿舍楼</x:v>
      </x:c>
      <x:c r="I2072" s="14" t="str">
        <x:v>否</x:v>
      </x:c>
      <x:c r="J2072" s="14" t="n">
        <x:v>11</x:v>
      </x:c>
      <x:c r="K2072" s="14" t="str">
        <x:v>305教学楼</x:v>
      </x:c>
      <x:c r="L2072" s="14" t="n">
        <x:v>16</x:v>
      </x:c>
      <x:c r="M2072" s="14" t="str">
        <x:v>10:36</x:v>
      </x:c>
      <x:c r="N2072" s="14" t="str">
        <x:v>否</x:v>
      </x:c>
      <x:c r="O2072" s="14" t="str">
        <x:v>否</x:v>
      </x:c>
      <x:c r="P2072" s="14" t="str">
        <x:v>孙五星</x:v>
      </x:c>
      <x:c r="Q2072" s="14" t="str">
        <x:v>3号车</x:v>
      </x:c>
      <x:c r="R2072" s="14" t="str">
        <x:v>预测</x:v>
      </x:c>
      <x:c r="S2072" s="14" t="str">
        <x:v>到站时间为估算值</x:v>
      </x:c>
      <x:c r="T2072" t="str">
        <x:v>研究生宿舍楼发车</x:v>
      </x:c>
    </x:row>
    <x:row r="2073">
      <x:c r="A2073" s="14" t="str">
        <x:v>S0179-12</x:v>
      </x:c>
      <x:c r="B2073" s="14" t="str">
        <x:v>S0179</x:v>
      </x:c>
      <x:c r="C2073" s="14" t="str">
        <x:v>周末/节假日</x:v>
      </x:c>
      <x:c r="D2073" s="14" t="str">
        <x:v>环线3路</x:v>
      </x:c>
      <x:c r="E2073" s="14" t="str">
        <x:v>第一班</x:v>
      </x:c>
      <x:c r="F2073" s="14" t="n">
        <x:v>6</x:v>
      </x:c>
      <x:c r="G2073" s="14" t="str">
        <x:v>10:20</x:v>
      </x:c>
      <x:c r="H2073" s="14" t="str">
        <x:v>研究生宿舍楼</x:v>
      </x:c>
      <x:c r="I2073" s="14" t="str">
        <x:v>否</x:v>
      </x:c>
      <x:c r="J2073" s="14" t="n">
        <x:v>12</x:v>
      </x:c>
      <x:c r="K2073" s="14" t="str">
        <x:v>研究生宿舍楼</x:v>
      </x:c>
      <x:c r="L2073" s="14" t="n">
        <x:v>18</x:v>
      </x:c>
      <x:c r="M2073" s="14" t="str">
        <x:v>10:38</x:v>
      </x:c>
      <x:c r="N2073" s="14" t="str">
        <x:v>否</x:v>
      </x:c>
      <x:c r="O2073" s="14" t="str">
        <x:v>是</x:v>
      </x:c>
      <x:c r="P2073" s="14" t="str">
        <x:v>孙五星</x:v>
      </x:c>
      <x:c r="Q2073" s="14" t="str">
        <x:v>3号车</x:v>
      </x:c>
      <x:c r="R2073" s="14" t="str">
        <x:v>预测</x:v>
      </x:c>
      <x:c r="S2073" s="14" t="str">
        <x:v>到站时间为估算值</x:v>
      </x:c>
      <x:c r="T2073" t="str">
        <x:v>研究生宿舍楼发车</x:v>
      </x:c>
    </x:row>
    <x:row r="2074">
      <x:c r="A2074" s="14" t="str">
        <x:v>S0180-01</x:v>
      </x:c>
      <x:c r="B2074" s="14" t="str">
        <x:v>S0180</x:v>
      </x:c>
      <x:c r="C2074" s="14" t="str">
        <x:v>周末/节假日</x:v>
      </x:c>
      <x:c r="D2074" s="14" t="str">
        <x:v>环线3路</x:v>
      </x:c>
      <x:c r="E2074" s="14" t="str">
        <x:v>第二班</x:v>
      </x:c>
      <x:c r="F2074" s="14" t="n">
        <x:v>1</x:v>
      </x:c>
      <x:c r="G2074" s="14" t="str">
        <x:v>11:25</x:v>
      </x:c>
      <x:c r="H2074" s="14" t="str">
        <x:v>高超楼（系统工程学院旁）</x:v>
      </x:c>
      <x:c r="I2074" s="14" t="str">
        <x:v>是</x:v>
      </x:c>
      <x:c r="J2074" s="14" t="n">
        <x:v>1</x:v>
      </x:c>
      <x:c r="K2074" s="14" t="str">
        <x:v>高超楼</x:v>
      </x:c>
      <x:c r="L2074" s="14" t="n">
        <x:v>0</x:v>
      </x:c>
      <x:c r="M2074" s="14" t="str">
        <x:v>11:25</x:v>
      </x:c>
      <x:c r="N2074" s="14" t="str">
        <x:v>是</x:v>
      </x:c>
      <x:c r="O2074" s="14" t="str">
        <x:v>否</x:v>
      </x:c>
      <x:c r="P2074" s="14" t="str">
        <x:v>夏文新</x:v>
      </x:c>
      <x:c r="Q2074" s="14" t="str">
        <x:v>4号车</x:v>
      </x:c>
      <x:c r="R2074" s="14" t="str">
        <x:v>预测</x:v>
      </x:c>
      <x:c r="S2074" s="14" t="str">
        <x:v>到站时间为估算值</x:v>
      </x:c>
      <x:c r="T2074" t="str">
        <x:v>高超楼发车</x:v>
      </x:c>
    </x:row>
    <x:row r="2075">
      <x:c r="A2075" s="14" t="str">
        <x:v>S0180-02</x:v>
      </x:c>
      <x:c r="B2075" s="14" t="str">
        <x:v>S0180</x:v>
      </x:c>
      <x:c r="C2075" s="14" t="str">
        <x:v>周末/节假日</x:v>
      </x:c>
      <x:c r="D2075" s="14" t="str">
        <x:v>环线3路</x:v>
      </x:c>
      <x:c r="E2075" s="14" t="str">
        <x:v>第二班</x:v>
      </x:c>
      <x:c r="F2075" s="14" t="n">
        <x:v>1</x:v>
      </x:c>
      <x:c r="G2075" s="14" t="str">
        <x:v>11:25</x:v>
      </x:c>
      <x:c r="H2075" s="14" t="str">
        <x:v>高超楼（系统工程学院旁）</x:v>
      </x:c>
      <x:c r="I2075" s="14" t="str">
        <x:v>是</x:v>
      </x:c>
      <x:c r="J2075" s="14" t="n">
        <x:v>2</x:v>
      </x:c>
      <x:c r="K2075" s="14" t="str">
        <x:v>理学院</x:v>
      </x:c>
      <x:c r="L2075" s="14" t="n">
        <x:v>1</x:v>
      </x:c>
      <x:c r="M2075" s="14" t="str">
        <x:v>11:26</x:v>
      </x:c>
      <x:c r="N2075" s="14" t="str">
        <x:v>否</x:v>
      </x:c>
      <x:c r="O2075" s="14" t="str">
        <x:v>否</x:v>
      </x:c>
      <x:c r="P2075" s="14" t="str">
        <x:v>夏文新</x:v>
      </x:c>
      <x:c r="Q2075" s="14" t="str">
        <x:v>4号车</x:v>
      </x:c>
      <x:c r="R2075" s="14" t="str">
        <x:v>预测</x:v>
      </x:c>
      <x:c r="S2075" s="14" t="str">
        <x:v>到站时间为估算值</x:v>
      </x:c>
      <x:c r="T2075" t="str">
        <x:v>高超楼发车</x:v>
      </x:c>
    </x:row>
    <x:row r="2076">
      <x:c r="A2076" s="14" t="str">
        <x:v>S0180-03</x:v>
      </x:c>
      <x:c r="B2076" s="14" t="str">
        <x:v>S0180</x:v>
      </x:c>
      <x:c r="C2076" s="14" t="str">
        <x:v>周末/节假日</x:v>
      </x:c>
      <x:c r="D2076" s="14" t="str">
        <x:v>环线3路</x:v>
      </x:c>
      <x:c r="E2076" s="14" t="str">
        <x:v>第二班</x:v>
      </x:c>
      <x:c r="F2076" s="14" t="n">
        <x:v>1</x:v>
      </x:c>
      <x:c r="G2076" s="14" t="str">
        <x:v>11:25</x:v>
      </x:c>
      <x:c r="H2076" s="14" t="str">
        <x:v>高超楼（系统工程学院旁）</x:v>
      </x:c>
      <x:c r="I2076" s="14" t="str">
        <x:v>是</x:v>
      </x:c>
      <x:c r="J2076" s="14" t="n">
        <x:v>3</x:v>
      </x:c>
      <x:c r="K2076" s="14" t="str">
        <x:v>二食堂</x:v>
      </x:c>
      <x:c r="L2076" s="14" t="n">
        <x:v>4</x:v>
      </x:c>
      <x:c r="M2076" s="14" t="str">
        <x:v>11:29</x:v>
      </x:c>
      <x:c r="N2076" s="14" t="str">
        <x:v>否</x:v>
      </x:c>
      <x:c r="O2076" s="14" t="str">
        <x:v>否</x:v>
      </x:c>
      <x:c r="P2076" s="14" t="str">
        <x:v>夏文新</x:v>
      </x:c>
      <x:c r="Q2076" s="14" t="str">
        <x:v>4号车</x:v>
      </x:c>
      <x:c r="R2076" s="14" t="str">
        <x:v>预测</x:v>
      </x:c>
      <x:c r="S2076" s="14" t="str">
        <x:v>到站时间为估算值</x:v>
      </x:c>
      <x:c r="T2076" t="str">
        <x:v>高超楼发车</x:v>
      </x:c>
    </x:row>
    <x:row r="2077">
      <x:c r="A2077" s="14" t="str">
        <x:v>S0180-04</x:v>
      </x:c>
      <x:c r="B2077" s="14" t="str">
        <x:v>S0180</x:v>
      </x:c>
      <x:c r="C2077" s="14" t="str">
        <x:v>周末/节假日</x:v>
      </x:c>
      <x:c r="D2077" s="14" t="str">
        <x:v>环线3路</x:v>
      </x:c>
      <x:c r="E2077" s="14" t="str">
        <x:v>第二班</x:v>
      </x:c>
      <x:c r="F2077" s="14" t="n">
        <x:v>1</x:v>
      </x:c>
      <x:c r="G2077" s="14" t="str">
        <x:v>11:25</x:v>
      </x:c>
      <x:c r="H2077" s="14" t="str">
        <x:v>高超楼（系统工程学院旁）</x:v>
      </x:c>
      <x:c r="I2077" s="14" t="str">
        <x:v>是</x:v>
      </x:c>
      <x:c r="J2077" s="14" t="n">
        <x:v>4</x:v>
      </x:c>
      <x:c r="K2077" s="14" t="str">
        <x:v>图书馆</x:v>
      </x:c>
      <x:c r="L2077" s="14" t="n">
        <x:v>5</x:v>
      </x:c>
      <x:c r="M2077" s="14" t="str">
        <x:v>11:30</x:v>
      </x:c>
      <x:c r="N2077" s="14" t="str">
        <x:v>否</x:v>
      </x:c>
      <x:c r="O2077" s="14" t="str">
        <x:v>否</x:v>
      </x:c>
      <x:c r="P2077" s="14" t="str">
        <x:v>夏文新</x:v>
      </x:c>
      <x:c r="Q2077" s="14" t="str">
        <x:v>4号车</x:v>
      </x:c>
      <x:c r="R2077" s="14" t="str">
        <x:v>预测</x:v>
      </x:c>
      <x:c r="S2077" s="14" t="str">
        <x:v>到站时间为估算值</x:v>
      </x:c>
      <x:c r="T2077" t="str">
        <x:v>高超楼发车</x:v>
      </x:c>
    </x:row>
    <x:row r="2078">
      <x:c r="A2078" s="14" t="str">
        <x:v>S0180-05</x:v>
      </x:c>
      <x:c r="B2078" s="14" t="str">
        <x:v>S0180</x:v>
      </x:c>
      <x:c r="C2078" s="14" t="str">
        <x:v>周末/节假日</x:v>
      </x:c>
      <x:c r="D2078" s="14" t="str">
        <x:v>环线3路</x:v>
      </x:c>
      <x:c r="E2078" s="14" t="str">
        <x:v>第二班</x:v>
      </x:c>
      <x:c r="F2078" s="14" t="n">
        <x:v>1</x:v>
      </x:c>
      <x:c r="G2078" s="14" t="str">
        <x:v>11:25</x:v>
      </x:c>
      <x:c r="H2078" s="14" t="str">
        <x:v>高超楼（系统工程学院旁）</x:v>
      </x:c>
      <x:c r="I2078" s="14" t="str">
        <x:v>是</x:v>
      </x:c>
      <x:c r="J2078" s="14" t="n">
        <x:v>5</x:v>
      </x:c>
      <x:c r="K2078" s="14" t="str">
        <x:v>305教学楼</x:v>
      </x:c>
      <x:c r="L2078" s="14" t="n">
        <x:v>7</x:v>
      </x:c>
      <x:c r="M2078" s="14" t="str">
        <x:v>11:32</x:v>
      </x:c>
      <x:c r="N2078" s="14" t="str">
        <x:v>否</x:v>
      </x:c>
      <x:c r="O2078" s="14" t="str">
        <x:v>否</x:v>
      </x:c>
      <x:c r="P2078" s="14" t="str">
        <x:v>夏文新</x:v>
      </x:c>
      <x:c r="Q2078" s="14" t="str">
        <x:v>4号车</x:v>
      </x:c>
      <x:c r="R2078" s="14" t="str">
        <x:v>预测</x:v>
      </x:c>
      <x:c r="S2078" s="14" t="str">
        <x:v>到站时间为估算值</x:v>
      </x:c>
      <x:c r="T2078" t="str">
        <x:v>高超楼发车</x:v>
      </x:c>
    </x:row>
    <x:row r="2079">
      <x:c r="A2079" s="14" t="str">
        <x:v>S0180-06</x:v>
      </x:c>
      <x:c r="B2079" s="14" t="str">
        <x:v>S0180</x:v>
      </x:c>
      <x:c r="C2079" s="14" t="str">
        <x:v>周末/节假日</x:v>
      </x:c>
      <x:c r="D2079" s="14" t="str">
        <x:v>环线3路</x:v>
      </x:c>
      <x:c r="E2079" s="14" t="str">
        <x:v>第二班</x:v>
      </x:c>
      <x:c r="F2079" s="14" t="n">
        <x:v>1</x:v>
      </x:c>
      <x:c r="G2079" s="14" t="str">
        <x:v>11:25</x:v>
      </x:c>
      <x:c r="H2079" s="14" t="str">
        <x:v>高超楼（系统工程学院旁）</x:v>
      </x:c>
      <x:c r="I2079" s="14" t="str">
        <x:v>是</x:v>
      </x:c>
      <x:c r="J2079" s="14" t="n">
        <x:v>6</x:v>
      </x:c>
      <x:c r="K2079" s="14" t="str">
        <x:v>研究生宿舍楼</x:v>
      </x:c>
      <x:c r="L2079" s="14" t="n">
        <x:v>9</x:v>
      </x:c>
      <x:c r="M2079" s="14" t="str">
        <x:v>11:34</x:v>
      </x:c>
      <x:c r="N2079" s="14" t="str">
        <x:v>否</x:v>
      </x:c>
      <x:c r="O2079" s="14" t="str">
        <x:v>否</x:v>
      </x:c>
      <x:c r="P2079" s="14" t="str">
        <x:v>夏文新</x:v>
      </x:c>
      <x:c r="Q2079" s="14" t="str">
        <x:v>4号车</x:v>
      </x:c>
      <x:c r="R2079" s="14" t="str">
        <x:v>预测</x:v>
      </x:c>
      <x:c r="S2079" s="14" t="str">
        <x:v>到站时间为估算值</x:v>
      </x:c>
      <x:c r="T2079" t="str">
        <x:v>高超楼发车</x:v>
      </x:c>
    </x:row>
    <x:row r="2080">
      <x:c r="A2080" s="14" t="str">
        <x:v>S0180-07</x:v>
      </x:c>
      <x:c r="B2080" s="14" t="str">
        <x:v>S0180</x:v>
      </x:c>
      <x:c r="C2080" s="14" t="str">
        <x:v>周末/节假日</x:v>
      </x:c>
      <x:c r="D2080" s="14" t="str">
        <x:v>环线3路</x:v>
      </x:c>
      <x:c r="E2080" s="14" t="str">
        <x:v>第二班</x:v>
      </x:c>
      <x:c r="F2080" s="14" t="n">
        <x:v>1</x:v>
      </x:c>
      <x:c r="G2080" s="14" t="str">
        <x:v>11:25</x:v>
      </x:c>
      <x:c r="H2080" s="14" t="str">
        <x:v>高超楼（系统工程学院旁）</x:v>
      </x:c>
      <x:c r="I2080" s="14" t="str">
        <x:v>是</x:v>
      </x:c>
      <x:c r="J2080" s="14" t="n">
        <x:v>7</x:v>
      </x:c>
      <x:c r="K2080" s="14" t="str">
        <x:v>一食堂</x:v>
      </x:c>
      <x:c r="L2080" s="14" t="n">
        <x:v>10</x:v>
      </x:c>
      <x:c r="M2080" s="14" t="str">
        <x:v>11:35</x:v>
      </x:c>
      <x:c r="N2080" s="14" t="str">
        <x:v>否</x:v>
      </x:c>
      <x:c r="O2080" s="14" t="str">
        <x:v>否</x:v>
      </x:c>
      <x:c r="P2080" s="14" t="str">
        <x:v>夏文新</x:v>
      </x:c>
      <x:c r="Q2080" s="14" t="str">
        <x:v>4号车</x:v>
      </x:c>
      <x:c r="R2080" s="14" t="str">
        <x:v>预测</x:v>
      </x:c>
      <x:c r="S2080" s="14" t="str">
        <x:v>到站时间为估算值</x:v>
      </x:c>
      <x:c r="T2080" t="str">
        <x:v>高超楼发车</x:v>
      </x:c>
    </x:row>
    <x:row r="2081">
      <x:c r="A2081" s="14" t="str">
        <x:v>S0180-08</x:v>
      </x:c>
      <x:c r="B2081" s="14" t="str">
        <x:v>S0180</x:v>
      </x:c>
      <x:c r="C2081" s="14" t="str">
        <x:v>周末/节假日</x:v>
      </x:c>
      <x:c r="D2081" s="14" t="str">
        <x:v>环线3路</x:v>
      </x:c>
      <x:c r="E2081" s="14" t="str">
        <x:v>第二班</x:v>
      </x:c>
      <x:c r="F2081" s="14" t="n">
        <x:v>1</x:v>
      </x:c>
      <x:c r="G2081" s="14" t="str">
        <x:v>11:25</x:v>
      </x:c>
      <x:c r="H2081" s="14" t="str">
        <x:v>高超楼（系统工程学院旁）</x:v>
      </x:c>
      <x:c r="I2081" s="14" t="str">
        <x:v>是</x:v>
      </x:c>
      <x:c r="J2081" s="14" t="n">
        <x:v>8</x:v>
      </x:c>
      <x:c r="K2081" s="14" t="str">
        <x:v>2号宿舍楼</x:v>
      </x:c>
      <x:c r="L2081" s="14" t="n">
        <x:v>12</x:v>
      </x:c>
      <x:c r="M2081" s="14" t="str">
        <x:v>11:37</x:v>
      </x:c>
      <x:c r="N2081" s="14" t="str">
        <x:v>否</x:v>
      </x:c>
      <x:c r="O2081" s="14" t="str">
        <x:v>否</x:v>
      </x:c>
      <x:c r="P2081" s="14" t="str">
        <x:v>夏文新</x:v>
      </x:c>
      <x:c r="Q2081" s="14" t="str">
        <x:v>4号车</x:v>
      </x:c>
      <x:c r="R2081" s="14" t="str">
        <x:v>预测</x:v>
      </x:c>
      <x:c r="S2081" s="14" t="str">
        <x:v>到站时间为估算值</x:v>
      </x:c>
      <x:c r="T2081" t="str">
        <x:v>高超楼发车</x:v>
      </x:c>
    </x:row>
    <x:row r="2082">
      <x:c r="A2082" s="14" t="str">
        <x:v>S0180-09</x:v>
      </x:c>
      <x:c r="B2082" s="14" t="str">
        <x:v>S0180</x:v>
      </x:c>
      <x:c r="C2082" s="14" t="str">
        <x:v>周末/节假日</x:v>
      </x:c>
      <x:c r="D2082" s="14" t="str">
        <x:v>环线3路</x:v>
      </x:c>
      <x:c r="E2082" s="14" t="str">
        <x:v>第二班</x:v>
      </x:c>
      <x:c r="F2082" s="14" t="n">
        <x:v>1</x:v>
      </x:c>
      <x:c r="G2082" s="14" t="str">
        <x:v>11:25</x:v>
      </x:c>
      <x:c r="H2082" s="14" t="str">
        <x:v>高超楼（系统工程学院旁）</x:v>
      </x:c>
      <x:c r="I2082" s="14" t="str">
        <x:v>是</x:v>
      </x:c>
      <x:c r="J2082" s="14" t="n">
        <x:v>9</x:v>
      </x:c>
      <x:c r="K2082" s="14" t="str">
        <x:v>军体活动中心</x:v>
      </x:c>
      <x:c r="L2082" s="14" t="n">
        <x:v>13</x:v>
      </x:c>
      <x:c r="M2082" s="14" t="str">
        <x:v>11:38</x:v>
      </x:c>
      <x:c r="N2082" s="14" t="str">
        <x:v>否</x:v>
      </x:c>
      <x:c r="O2082" s="14" t="str">
        <x:v>否</x:v>
      </x:c>
      <x:c r="P2082" s="14" t="str">
        <x:v>夏文新</x:v>
      </x:c>
      <x:c r="Q2082" s="14" t="str">
        <x:v>4号车</x:v>
      </x:c>
      <x:c r="R2082" s="14" t="str">
        <x:v>预测</x:v>
      </x:c>
      <x:c r="S2082" s="14" t="str">
        <x:v>到站时间为估算值</x:v>
      </x:c>
      <x:c r="T2082" t="str">
        <x:v>高超楼发车</x:v>
      </x:c>
    </x:row>
    <x:row r="2083">
      <x:c r="A2083" s="14" t="str">
        <x:v>S0180-10</x:v>
      </x:c>
      <x:c r="B2083" s="14" t="str">
        <x:v>S0180</x:v>
      </x:c>
      <x:c r="C2083" s="14" t="str">
        <x:v>周末/节假日</x:v>
      </x:c>
      <x:c r="D2083" s="14" t="str">
        <x:v>环线3路</x:v>
      </x:c>
      <x:c r="E2083" s="14" t="str">
        <x:v>第二班</x:v>
      </x:c>
      <x:c r="F2083" s="14" t="n">
        <x:v>1</x:v>
      </x:c>
      <x:c r="G2083" s="14" t="str">
        <x:v>11:25</x:v>
      </x:c>
      <x:c r="H2083" s="14" t="str">
        <x:v>高超楼（系统工程学院旁）</x:v>
      </x:c>
      <x:c r="I2083" s="14" t="str">
        <x:v>是</x:v>
      </x:c>
      <x:c r="J2083" s="14" t="n">
        <x:v>10</x:v>
      </x:c>
      <x:c r="K2083" s="14" t="str">
        <x:v>教勤连</x:v>
      </x:c>
      <x:c r="L2083" s="14" t="n">
        <x:v>15</x:v>
      </x:c>
      <x:c r="M2083" s="14" t="str">
        <x:v>11:40</x:v>
      </x:c>
      <x:c r="N2083" s="14" t="str">
        <x:v>否</x:v>
      </x:c>
      <x:c r="O2083" s="14" t="str">
        <x:v>否</x:v>
      </x:c>
      <x:c r="P2083" s="14" t="str">
        <x:v>夏文新</x:v>
      </x:c>
      <x:c r="Q2083" s="14" t="str">
        <x:v>4号车</x:v>
      </x:c>
      <x:c r="R2083" s="14" t="str">
        <x:v>预测</x:v>
      </x:c>
      <x:c r="S2083" s="14" t="str">
        <x:v>到站时间为估算值</x:v>
      </x:c>
      <x:c r="T2083" t="str">
        <x:v>高超楼发车</x:v>
      </x:c>
    </x:row>
    <x:row r="2084">
      <x:c r="A2084" s="14" t="str">
        <x:v>S0180-11</x:v>
      </x:c>
      <x:c r="B2084" s="14" t="str">
        <x:v>S0180</x:v>
      </x:c>
      <x:c r="C2084" s="14" t="str">
        <x:v>周末/节假日</x:v>
      </x:c>
      <x:c r="D2084" s="14" t="str">
        <x:v>环线3路</x:v>
      </x:c>
      <x:c r="E2084" s="14" t="str">
        <x:v>第二班</x:v>
      </x:c>
      <x:c r="F2084" s="14" t="n">
        <x:v>1</x:v>
      </x:c>
      <x:c r="G2084" s="14" t="str">
        <x:v>11:25</x:v>
      </x:c>
      <x:c r="H2084" s="14" t="str">
        <x:v>高超楼（系统工程学院旁）</x:v>
      </x:c>
      <x:c r="I2084" s="14" t="str">
        <x:v>是</x:v>
      </x:c>
      <x:c r="J2084" s="14" t="n">
        <x:v>11</x:v>
      </x:c>
      <x:c r="K2084" s="14" t="str">
        <x:v>激光所</x:v>
      </x:c>
      <x:c r="L2084" s="14" t="n">
        <x:v>16</x:v>
      </x:c>
      <x:c r="M2084" s="14" t="str">
        <x:v>11:41</x:v>
      </x:c>
      <x:c r="N2084" s="14" t="str">
        <x:v>否</x:v>
      </x:c>
      <x:c r="O2084" s="14" t="str">
        <x:v>否</x:v>
      </x:c>
      <x:c r="P2084" s="14" t="str">
        <x:v>夏文新</x:v>
      </x:c>
      <x:c r="Q2084" s="14" t="str">
        <x:v>4号车</x:v>
      </x:c>
      <x:c r="R2084" s="14" t="str">
        <x:v>预测</x:v>
      </x:c>
      <x:c r="S2084" s="14" t="str">
        <x:v>到站时间为估算值</x:v>
      </x:c>
      <x:c r="T2084" t="str">
        <x:v>高超楼发车</x:v>
      </x:c>
    </x:row>
    <x:row r="2085">
      <x:c r="A2085" s="14" t="str">
        <x:v>S0180-12</x:v>
      </x:c>
      <x:c r="B2085" s="14" t="str">
        <x:v>S0180</x:v>
      </x:c>
      <x:c r="C2085" s="14" t="str">
        <x:v>周末/节假日</x:v>
      </x:c>
      <x:c r="D2085" s="14" t="str">
        <x:v>环线3路</x:v>
      </x:c>
      <x:c r="E2085" s="14" t="str">
        <x:v>第二班</x:v>
      </x:c>
      <x:c r="F2085" s="14" t="n">
        <x:v>1</x:v>
      </x:c>
      <x:c r="G2085" s="14" t="str">
        <x:v>11:25</x:v>
      </x:c>
      <x:c r="H2085" s="14" t="str">
        <x:v>高超楼（系统工程学院旁）</x:v>
      </x:c>
      <x:c r="I2085" s="14" t="str">
        <x:v>是</x:v>
      </x:c>
      <x:c r="J2085" s="14" t="n">
        <x:v>12</x:v>
      </x:c>
      <x:c r="K2085" s="14" t="str">
        <x:v>高超楼</x:v>
      </x:c>
      <x:c r="L2085" s="14" t="n">
        <x:v>18</x:v>
      </x:c>
      <x:c r="M2085" s="14" t="str">
        <x:v>11:43</x:v>
      </x:c>
      <x:c r="N2085" s="14" t="str">
        <x:v>否</x:v>
      </x:c>
      <x:c r="O2085" s="14" t="str">
        <x:v>是</x:v>
      </x:c>
      <x:c r="P2085" s="14" t="str">
        <x:v>夏文新</x:v>
      </x:c>
      <x:c r="Q2085" s="14" t="str">
        <x:v>4号车</x:v>
      </x:c>
      <x:c r="R2085" s="14" t="str">
        <x:v>预测</x:v>
      </x:c>
      <x:c r="S2085" s="14" t="str">
        <x:v>到站时间为估算值</x:v>
      </x:c>
      <x:c r="T2085" t="str">
        <x:v>高超楼发车</x:v>
      </x:c>
    </x:row>
    <x:row r="2086">
      <x:c r="A2086" s="14" t="str">
        <x:v>S0181-01</x:v>
      </x:c>
      <x:c r="B2086" s="14" t="str">
        <x:v>S0181</x:v>
      </x:c>
      <x:c r="C2086" s="14" t="str">
        <x:v>周末/节假日</x:v>
      </x:c>
      <x:c r="D2086" s="14" t="str">
        <x:v>环线3路</x:v>
      </x:c>
      <x:c r="E2086" s="14" t="str">
        <x:v>第二班</x:v>
      </x:c>
      <x:c r="F2086" s="14" t="n">
        <x:v>2</x:v>
      </x:c>
      <x:c r="G2086" s="14" t="str">
        <x:v>11:55</x:v>
      </x:c>
      <x:c r="H2086" s="14" t="str">
        <x:v>高超楼（系统工程学院旁）</x:v>
      </x:c>
      <x:c r="I2086" s="14" t="str">
        <x:v>是</x:v>
      </x:c>
      <x:c r="J2086" s="14" t="n">
        <x:v>1</x:v>
      </x:c>
      <x:c r="K2086" s="14" t="str">
        <x:v>高超楼</x:v>
      </x:c>
      <x:c r="L2086" s="14" t="n">
        <x:v>0</x:v>
      </x:c>
      <x:c r="M2086" s="14" t="str">
        <x:v>11:55</x:v>
      </x:c>
      <x:c r="N2086" s="14" t="str">
        <x:v>是</x:v>
      </x:c>
      <x:c r="O2086" s="14" t="str">
        <x:v>否</x:v>
      </x:c>
      <x:c r="P2086" s="14" t="str">
        <x:v>夏文新</x:v>
      </x:c>
      <x:c r="Q2086" s="14" t="str">
        <x:v>4号车</x:v>
      </x:c>
      <x:c r="R2086" s="14" t="str">
        <x:v>预测</x:v>
      </x:c>
      <x:c r="S2086" s="14" t="str">
        <x:v>到站时间为估算值</x:v>
      </x:c>
      <x:c r="T2086" t="str">
        <x:v>高超楼发车</x:v>
      </x:c>
    </x:row>
    <x:row r="2087">
      <x:c r="A2087" s="14" t="str">
        <x:v>S0181-02</x:v>
      </x:c>
      <x:c r="B2087" s="14" t="str">
        <x:v>S0181</x:v>
      </x:c>
      <x:c r="C2087" s="14" t="str">
        <x:v>周末/节假日</x:v>
      </x:c>
      <x:c r="D2087" s="14" t="str">
        <x:v>环线3路</x:v>
      </x:c>
      <x:c r="E2087" s="14" t="str">
        <x:v>第二班</x:v>
      </x:c>
      <x:c r="F2087" s="14" t="n">
        <x:v>2</x:v>
      </x:c>
      <x:c r="G2087" s="14" t="str">
        <x:v>11:55</x:v>
      </x:c>
      <x:c r="H2087" s="14" t="str">
        <x:v>高超楼（系统工程学院旁）</x:v>
      </x:c>
      <x:c r="I2087" s="14" t="str">
        <x:v>是</x:v>
      </x:c>
      <x:c r="J2087" s="14" t="n">
        <x:v>2</x:v>
      </x:c>
      <x:c r="K2087" s="14" t="str">
        <x:v>理学院</x:v>
      </x:c>
      <x:c r="L2087" s="14" t="n">
        <x:v>1</x:v>
      </x:c>
      <x:c r="M2087" s="14" t="str">
        <x:v>11:56</x:v>
      </x:c>
      <x:c r="N2087" s="14" t="str">
        <x:v>否</x:v>
      </x:c>
      <x:c r="O2087" s="14" t="str">
        <x:v>否</x:v>
      </x:c>
      <x:c r="P2087" s="14" t="str">
        <x:v>夏文新</x:v>
      </x:c>
      <x:c r="Q2087" s="14" t="str">
        <x:v>4号车</x:v>
      </x:c>
      <x:c r="R2087" s="14" t="str">
        <x:v>预测</x:v>
      </x:c>
      <x:c r="S2087" s="14" t="str">
        <x:v>到站时间为估算值</x:v>
      </x:c>
      <x:c r="T2087" t="str">
        <x:v>高超楼发车</x:v>
      </x:c>
    </x:row>
    <x:row r="2088">
      <x:c r="A2088" s="14" t="str">
        <x:v>S0181-03</x:v>
      </x:c>
      <x:c r="B2088" s="14" t="str">
        <x:v>S0181</x:v>
      </x:c>
      <x:c r="C2088" s="14" t="str">
        <x:v>周末/节假日</x:v>
      </x:c>
      <x:c r="D2088" s="14" t="str">
        <x:v>环线3路</x:v>
      </x:c>
      <x:c r="E2088" s="14" t="str">
        <x:v>第二班</x:v>
      </x:c>
      <x:c r="F2088" s="14" t="n">
        <x:v>2</x:v>
      </x:c>
      <x:c r="G2088" s="14" t="str">
        <x:v>11:55</x:v>
      </x:c>
      <x:c r="H2088" s="14" t="str">
        <x:v>高超楼（系统工程学院旁）</x:v>
      </x:c>
      <x:c r="I2088" s="14" t="str">
        <x:v>是</x:v>
      </x:c>
      <x:c r="J2088" s="14" t="n">
        <x:v>3</x:v>
      </x:c>
      <x:c r="K2088" s="14" t="str">
        <x:v>二食堂</x:v>
      </x:c>
      <x:c r="L2088" s="14" t="n">
        <x:v>4</x:v>
      </x:c>
      <x:c r="M2088" s="14" t="str">
        <x:v>11:59</x:v>
      </x:c>
      <x:c r="N2088" s="14" t="str">
        <x:v>否</x:v>
      </x:c>
      <x:c r="O2088" s="14" t="str">
        <x:v>否</x:v>
      </x:c>
      <x:c r="P2088" s="14" t="str">
        <x:v>夏文新</x:v>
      </x:c>
      <x:c r="Q2088" s="14" t="str">
        <x:v>4号车</x:v>
      </x:c>
      <x:c r="R2088" s="14" t="str">
        <x:v>预测</x:v>
      </x:c>
      <x:c r="S2088" s="14" t="str">
        <x:v>到站时间为估算值</x:v>
      </x:c>
      <x:c r="T2088" t="str">
        <x:v>高超楼发车</x:v>
      </x:c>
    </x:row>
    <x:row r="2089">
      <x:c r="A2089" s="14" t="str">
        <x:v>S0181-04</x:v>
      </x:c>
      <x:c r="B2089" s="14" t="str">
        <x:v>S0181</x:v>
      </x:c>
      <x:c r="C2089" s="14" t="str">
        <x:v>周末/节假日</x:v>
      </x:c>
      <x:c r="D2089" s="14" t="str">
        <x:v>环线3路</x:v>
      </x:c>
      <x:c r="E2089" s="14" t="str">
        <x:v>第二班</x:v>
      </x:c>
      <x:c r="F2089" s="14" t="n">
        <x:v>2</x:v>
      </x:c>
      <x:c r="G2089" s="14" t="str">
        <x:v>11:55</x:v>
      </x:c>
      <x:c r="H2089" s="14" t="str">
        <x:v>高超楼（系统工程学院旁）</x:v>
      </x:c>
      <x:c r="I2089" s="14" t="str">
        <x:v>是</x:v>
      </x:c>
      <x:c r="J2089" s="14" t="n">
        <x:v>4</x:v>
      </x:c>
      <x:c r="K2089" s="14" t="str">
        <x:v>图书馆</x:v>
      </x:c>
      <x:c r="L2089" s="14" t="n">
        <x:v>5</x:v>
      </x:c>
      <x:c r="M2089" s="14" t="str">
        <x:v>12:00</x:v>
      </x:c>
      <x:c r="N2089" s="14" t="str">
        <x:v>否</x:v>
      </x:c>
      <x:c r="O2089" s="14" t="str">
        <x:v>否</x:v>
      </x:c>
      <x:c r="P2089" s="14" t="str">
        <x:v>夏文新</x:v>
      </x:c>
      <x:c r="Q2089" s="14" t="str">
        <x:v>4号车</x:v>
      </x:c>
      <x:c r="R2089" s="14" t="str">
        <x:v>预测</x:v>
      </x:c>
      <x:c r="S2089" s="14" t="str">
        <x:v>到站时间为估算值</x:v>
      </x:c>
      <x:c r="T2089" t="str">
        <x:v>高超楼发车</x:v>
      </x:c>
    </x:row>
    <x:row r="2090">
      <x:c r="A2090" s="14" t="str">
        <x:v>S0181-05</x:v>
      </x:c>
      <x:c r="B2090" s="14" t="str">
        <x:v>S0181</x:v>
      </x:c>
      <x:c r="C2090" s="14" t="str">
        <x:v>周末/节假日</x:v>
      </x:c>
      <x:c r="D2090" s="14" t="str">
        <x:v>环线3路</x:v>
      </x:c>
      <x:c r="E2090" s="14" t="str">
        <x:v>第二班</x:v>
      </x:c>
      <x:c r="F2090" s="14" t="n">
        <x:v>2</x:v>
      </x:c>
      <x:c r="G2090" s="14" t="str">
        <x:v>11:55</x:v>
      </x:c>
      <x:c r="H2090" s="14" t="str">
        <x:v>高超楼（系统工程学院旁）</x:v>
      </x:c>
      <x:c r="I2090" s="14" t="str">
        <x:v>是</x:v>
      </x:c>
      <x:c r="J2090" s="14" t="n">
        <x:v>5</x:v>
      </x:c>
      <x:c r="K2090" s="14" t="str">
        <x:v>305教学楼</x:v>
      </x:c>
      <x:c r="L2090" s="14" t="n">
        <x:v>7</x:v>
      </x:c>
      <x:c r="M2090" s="14" t="str">
        <x:v>12:02</x:v>
      </x:c>
      <x:c r="N2090" s="14" t="str">
        <x:v>否</x:v>
      </x:c>
      <x:c r="O2090" s="14" t="str">
        <x:v>否</x:v>
      </x:c>
      <x:c r="P2090" s="14" t="str">
        <x:v>夏文新</x:v>
      </x:c>
      <x:c r="Q2090" s="14" t="str">
        <x:v>4号车</x:v>
      </x:c>
      <x:c r="R2090" s="14" t="str">
        <x:v>预测</x:v>
      </x:c>
      <x:c r="S2090" s="14" t="str">
        <x:v>到站时间为估算值</x:v>
      </x:c>
      <x:c r="T2090" t="str">
        <x:v>高超楼发车</x:v>
      </x:c>
    </x:row>
    <x:row r="2091">
      <x:c r="A2091" s="14" t="str">
        <x:v>S0181-06</x:v>
      </x:c>
      <x:c r="B2091" s="14" t="str">
        <x:v>S0181</x:v>
      </x:c>
      <x:c r="C2091" s="14" t="str">
        <x:v>周末/节假日</x:v>
      </x:c>
      <x:c r="D2091" s="14" t="str">
        <x:v>环线3路</x:v>
      </x:c>
      <x:c r="E2091" s="14" t="str">
        <x:v>第二班</x:v>
      </x:c>
      <x:c r="F2091" s="14" t="n">
        <x:v>2</x:v>
      </x:c>
      <x:c r="G2091" s="14" t="str">
        <x:v>11:55</x:v>
      </x:c>
      <x:c r="H2091" s="14" t="str">
        <x:v>高超楼（系统工程学院旁）</x:v>
      </x:c>
      <x:c r="I2091" s="14" t="str">
        <x:v>是</x:v>
      </x:c>
      <x:c r="J2091" s="14" t="n">
        <x:v>6</x:v>
      </x:c>
      <x:c r="K2091" s="14" t="str">
        <x:v>研究生宿舍楼</x:v>
      </x:c>
      <x:c r="L2091" s="14" t="n">
        <x:v>9</x:v>
      </x:c>
      <x:c r="M2091" s="14" t="str">
        <x:v>12:04</x:v>
      </x:c>
      <x:c r="N2091" s="14" t="str">
        <x:v>否</x:v>
      </x:c>
      <x:c r="O2091" s="14" t="str">
        <x:v>否</x:v>
      </x:c>
      <x:c r="P2091" s="14" t="str">
        <x:v>夏文新</x:v>
      </x:c>
      <x:c r="Q2091" s="14" t="str">
        <x:v>4号车</x:v>
      </x:c>
      <x:c r="R2091" s="14" t="str">
        <x:v>预测</x:v>
      </x:c>
      <x:c r="S2091" s="14" t="str">
        <x:v>到站时间为估算值</x:v>
      </x:c>
      <x:c r="T2091" t="str">
        <x:v>高超楼发车</x:v>
      </x:c>
    </x:row>
    <x:row r="2092">
      <x:c r="A2092" s="14" t="str">
        <x:v>S0181-07</x:v>
      </x:c>
      <x:c r="B2092" s="14" t="str">
        <x:v>S0181</x:v>
      </x:c>
      <x:c r="C2092" s="14" t="str">
        <x:v>周末/节假日</x:v>
      </x:c>
      <x:c r="D2092" s="14" t="str">
        <x:v>环线3路</x:v>
      </x:c>
      <x:c r="E2092" s="14" t="str">
        <x:v>第二班</x:v>
      </x:c>
      <x:c r="F2092" s="14" t="n">
        <x:v>2</x:v>
      </x:c>
      <x:c r="G2092" s="14" t="str">
        <x:v>11:55</x:v>
      </x:c>
      <x:c r="H2092" s="14" t="str">
        <x:v>高超楼（系统工程学院旁）</x:v>
      </x:c>
      <x:c r="I2092" s="14" t="str">
        <x:v>是</x:v>
      </x:c>
      <x:c r="J2092" s="14" t="n">
        <x:v>7</x:v>
      </x:c>
      <x:c r="K2092" s="14" t="str">
        <x:v>一食堂</x:v>
      </x:c>
      <x:c r="L2092" s="14" t="n">
        <x:v>10</x:v>
      </x:c>
      <x:c r="M2092" s="14" t="str">
        <x:v>12:05</x:v>
      </x:c>
      <x:c r="N2092" s="14" t="str">
        <x:v>否</x:v>
      </x:c>
      <x:c r="O2092" s="14" t="str">
        <x:v>否</x:v>
      </x:c>
      <x:c r="P2092" s="14" t="str">
        <x:v>夏文新</x:v>
      </x:c>
      <x:c r="Q2092" s="14" t="str">
        <x:v>4号车</x:v>
      </x:c>
      <x:c r="R2092" s="14" t="str">
        <x:v>预测</x:v>
      </x:c>
      <x:c r="S2092" s="14" t="str">
        <x:v>到站时间为估算值</x:v>
      </x:c>
      <x:c r="T2092" t="str">
        <x:v>高超楼发车</x:v>
      </x:c>
    </x:row>
    <x:row r="2093">
      <x:c r="A2093" s="14" t="str">
        <x:v>S0181-08</x:v>
      </x:c>
      <x:c r="B2093" s="14" t="str">
        <x:v>S0181</x:v>
      </x:c>
      <x:c r="C2093" s="14" t="str">
        <x:v>周末/节假日</x:v>
      </x:c>
      <x:c r="D2093" s="14" t="str">
        <x:v>环线3路</x:v>
      </x:c>
      <x:c r="E2093" s="14" t="str">
        <x:v>第二班</x:v>
      </x:c>
      <x:c r="F2093" s="14" t="n">
        <x:v>2</x:v>
      </x:c>
      <x:c r="G2093" s="14" t="str">
        <x:v>11:55</x:v>
      </x:c>
      <x:c r="H2093" s="14" t="str">
        <x:v>高超楼（系统工程学院旁）</x:v>
      </x:c>
      <x:c r="I2093" s="14" t="str">
        <x:v>是</x:v>
      </x:c>
      <x:c r="J2093" s="14" t="n">
        <x:v>8</x:v>
      </x:c>
      <x:c r="K2093" s="14" t="str">
        <x:v>2号宿舍楼</x:v>
      </x:c>
      <x:c r="L2093" s="14" t="n">
        <x:v>12</x:v>
      </x:c>
      <x:c r="M2093" s="14" t="str">
        <x:v>12:07</x:v>
      </x:c>
      <x:c r="N2093" s="14" t="str">
        <x:v>否</x:v>
      </x:c>
      <x:c r="O2093" s="14" t="str">
        <x:v>否</x:v>
      </x:c>
      <x:c r="P2093" s="14" t="str">
        <x:v>夏文新</x:v>
      </x:c>
      <x:c r="Q2093" s="14" t="str">
        <x:v>4号车</x:v>
      </x:c>
      <x:c r="R2093" s="14" t="str">
        <x:v>预测</x:v>
      </x:c>
      <x:c r="S2093" s="14" t="str">
        <x:v>到站时间为估算值</x:v>
      </x:c>
      <x:c r="T2093" t="str">
        <x:v>高超楼发车</x:v>
      </x:c>
    </x:row>
    <x:row r="2094">
      <x:c r="A2094" s="14" t="str">
        <x:v>S0181-09</x:v>
      </x:c>
      <x:c r="B2094" s="14" t="str">
        <x:v>S0181</x:v>
      </x:c>
      <x:c r="C2094" s="14" t="str">
        <x:v>周末/节假日</x:v>
      </x:c>
      <x:c r="D2094" s="14" t="str">
        <x:v>环线3路</x:v>
      </x:c>
      <x:c r="E2094" s="14" t="str">
        <x:v>第二班</x:v>
      </x:c>
      <x:c r="F2094" s="14" t="n">
        <x:v>2</x:v>
      </x:c>
      <x:c r="G2094" s="14" t="str">
        <x:v>11:55</x:v>
      </x:c>
      <x:c r="H2094" s="14" t="str">
        <x:v>高超楼（系统工程学院旁）</x:v>
      </x:c>
      <x:c r="I2094" s="14" t="str">
        <x:v>是</x:v>
      </x:c>
      <x:c r="J2094" s="14" t="n">
        <x:v>9</x:v>
      </x:c>
      <x:c r="K2094" s="14" t="str">
        <x:v>军体活动中心</x:v>
      </x:c>
      <x:c r="L2094" s="14" t="n">
        <x:v>13</x:v>
      </x:c>
      <x:c r="M2094" s="14" t="str">
        <x:v>12:08</x:v>
      </x:c>
      <x:c r="N2094" s="14" t="str">
        <x:v>否</x:v>
      </x:c>
      <x:c r="O2094" s="14" t="str">
        <x:v>否</x:v>
      </x:c>
      <x:c r="P2094" s="14" t="str">
        <x:v>夏文新</x:v>
      </x:c>
      <x:c r="Q2094" s="14" t="str">
        <x:v>4号车</x:v>
      </x:c>
      <x:c r="R2094" s="14" t="str">
        <x:v>预测</x:v>
      </x:c>
      <x:c r="S2094" s="14" t="str">
        <x:v>到站时间为估算值</x:v>
      </x:c>
      <x:c r="T2094" t="str">
        <x:v>高超楼发车</x:v>
      </x:c>
    </x:row>
    <x:row r="2095">
      <x:c r="A2095" s="14" t="str">
        <x:v>S0181-10</x:v>
      </x:c>
      <x:c r="B2095" s="14" t="str">
        <x:v>S0181</x:v>
      </x:c>
      <x:c r="C2095" s="14" t="str">
        <x:v>周末/节假日</x:v>
      </x:c>
      <x:c r="D2095" s="14" t="str">
        <x:v>环线3路</x:v>
      </x:c>
      <x:c r="E2095" s="14" t="str">
        <x:v>第二班</x:v>
      </x:c>
      <x:c r="F2095" s="14" t="n">
        <x:v>2</x:v>
      </x:c>
      <x:c r="G2095" s="14" t="str">
        <x:v>11:55</x:v>
      </x:c>
      <x:c r="H2095" s="14" t="str">
        <x:v>高超楼（系统工程学院旁）</x:v>
      </x:c>
      <x:c r="I2095" s="14" t="str">
        <x:v>是</x:v>
      </x:c>
      <x:c r="J2095" s="14" t="n">
        <x:v>10</x:v>
      </x:c>
      <x:c r="K2095" s="14" t="str">
        <x:v>教勤连</x:v>
      </x:c>
      <x:c r="L2095" s="14" t="n">
        <x:v>15</x:v>
      </x:c>
      <x:c r="M2095" s="14" t="str">
        <x:v>12:10</x:v>
      </x:c>
      <x:c r="N2095" s="14" t="str">
        <x:v>否</x:v>
      </x:c>
      <x:c r="O2095" s="14" t="str">
        <x:v>否</x:v>
      </x:c>
      <x:c r="P2095" s="14" t="str">
        <x:v>夏文新</x:v>
      </x:c>
      <x:c r="Q2095" s="14" t="str">
        <x:v>4号车</x:v>
      </x:c>
      <x:c r="R2095" s="14" t="str">
        <x:v>预测</x:v>
      </x:c>
      <x:c r="S2095" s="14" t="str">
        <x:v>到站时间为估算值</x:v>
      </x:c>
      <x:c r="T2095" t="str">
        <x:v>高超楼发车</x:v>
      </x:c>
    </x:row>
    <x:row r="2096">
      <x:c r="A2096" s="14" t="str">
        <x:v>S0181-11</x:v>
      </x:c>
      <x:c r="B2096" s="14" t="str">
        <x:v>S0181</x:v>
      </x:c>
      <x:c r="C2096" s="14" t="str">
        <x:v>周末/节假日</x:v>
      </x:c>
      <x:c r="D2096" s="14" t="str">
        <x:v>环线3路</x:v>
      </x:c>
      <x:c r="E2096" s="14" t="str">
        <x:v>第二班</x:v>
      </x:c>
      <x:c r="F2096" s="14" t="n">
        <x:v>2</x:v>
      </x:c>
      <x:c r="G2096" s="14" t="str">
        <x:v>11:55</x:v>
      </x:c>
      <x:c r="H2096" s="14" t="str">
        <x:v>高超楼（系统工程学院旁）</x:v>
      </x:c>
      <x:c r="I2096" s="14" t="str">
        <x:v>是</x:v>
      </x:c>
      <x:c r="J2096" s="14" t="n">
        <x:v>11</x:v>
      </x:c>
      <x:c r="K2096" s="14" t="str">
        <x:v>激光所</x:v>
      </x:c>
      <x:c r="L2096" s="14" t="n">
        <x:v>16</x:v>
      </x:c>
      <x:c r="M2096" s="14" t="str">
        <x:v>12:11</x:v>
      </x:c>
      <x:c r="N2096" s="14" t="str">
        <x:v>否</x:v>
      </x:c>
      <x:c r="O2096" s="14" t="str">
        <x:v>否</x:v>
      </x:c>
      <x:c r="P2096" s="14" t="str">
        <x:v>夏文新</x:v>
      </x:c>
      <x:c r="Q2096" s="14" t="str">
        <x:v>4号车</x:v>
      </x:c>
      <x:c r="R2096" s="14" t="str">
        <x:v>预测</x:v>
      </x:c>
      <x:c r="S2096" s="14" t="str">
        <x:v>到站时间为估算值</x:v>
      </x:c>
      <x:c r="T2096" t="str">
        <x:v>高超楼发车</x:v>
      </x:c>
    </x:row>
    <x:row r="2097">
      <x:c r="A2097" s="14" t="str">
        <x:v>S0181-12</x:v>
      </x:c>
      <x:c r="B2097" s="14" t="str">
        <x:v>S0181</x:v>
      </x:c>
      <x:c r="C2097" s="14" t="str">
        <x:v>周末/节假日</x:v>
      </x:c>
      <x:c r="D2097" s="14" t="str">
        <x:v>环线3路</x:v>
      </x:c>
      <x:c r="E2097" s="14" t="str">
        <x:v>第二班</x:v>
      </x:c>
      <x:c r="F2097" s="14" t="n">
        <x:v>2</x:v>
      </x:c>
      <x:c r="G2097" s="14" t="str">
        <x:v>11:55</x:v>
      </x:c>
      <x:c r="H2097" s="14" t="str">
        <x:v>高超楼（系统工程学院旁）</x:v>
      </x:c>
      <x:c r="I2097" s="14" t="str">
        <x:v>是</x:v>
      </x:c>
      <x:c r="J2097" s="14" t="n">
        <x:v>12</x:v>
      </x:c>
      <x:c r="K2097" s="14" t="str">
        <x:v>高超楼</x:v>
      </x:c>
      <x:c r="L2097" s="14" t="n">
        <x:v>18</x:v>
      </x:c>
      <x:c r="M2097" s="14" t="str">
        <x:v>12:13</x:v>
      </x:c>
      <x:c r="N2097" s="14" t="str">
        <x:v>否</x:v>
      </x:c>
      <x:c r="O2097" s="14" t="str">
        <x:v>是</x:v>
      </x:c>
      <x:c r="P2097" s="14" t="str">
        <x:v>夏文新</x:v>
      </x:c>
      <x:c r="Q2097" s="14" t="str">
        <x:v>4号车</x:v>
      </x:c>
      <x:c r="R2097" s="14" t="str">
        <x:v>预测</x:v>
      </x:c>
      <x:c r="S2097" s="14" t="str">
        <x:v>到站时间为估算值</x:v>
      </x:c>
      <x:c r="T2097" t="str">
        <x:v>高超楼发车</x:v>
      </x:c>
    </x:row>
    <x:row r="2098">
      <x:c r="A2098" s="14" t="str">
        <x:v>S0182-01</x:v>
      </x:c>
      <x:c r="B2098" s="14" t="str">
        <x:v>S0182</x:v>
      </x:c>
      <x:c r="C2098" s="14" t="str">
        <x:v>周末/节假日</x:v>
      </x:c>
      <x:c r="D2098" s="14" t="str">
        <x:v>环线3路</x:v>
      </x:c>
      <x:c r="E2098" s="14" t="str">
        <x:v>第二班</x:v>
      </x:c>
      <x:c r="F2098" s="14" t="n">
        <x:v>3</x:v>
      </x:c>
      <x:c r="G2098" s="14" t="str">
        <x:v>12:25</x:v>
      </x:c>
      <x:c r="H2098" s="14" t="str">
        <x:v>高超楼（系统工程学院旁）</x:v>
      </x:c>
      <x:c r="I2098" s="14" t="str">
        <x:v>是</x:v>
      </x:c>
      <x:c r="J2098" s="14" t="n">
        <x:v>1</x:v>
      </x:c>
      <x:c r="K2098" s="14" t="str">
        <x:v>高超楼</x:v>
      </x:c>
      <x:c r="L2098" s="14" t="n">
        <x:v>0</x:v>
      </x:c>
      <x:c r="M2098" s="14" t="str">
        <x:v>12:25</x:v>
      </x:c>
      <x:c r="N2098" s="14" t="str">
        <x:v>是</x:v>
      </x:c>
      <x:c r="O2098" s="14" t="str">
        <x:v>否</x:v>
      </x:c>
      <x:c r="P2098" s="14" t="str">
        <x:v>夏文新</x:v>
      </x:c>
      <x:c r="Q2098" s="14" t="str">
        <x:v>4号车</x:v>
      </x:c>
      <x:c r="R2098" s="14" t="str">
        <x:v>预测</x:v>
      </x:c>
      <x:c r="S2098" s="14" t="str">
        <x:v>到站时间为估算值</x:v>
      </x:c>
      <x:c r="T2098" t="str">
        <x:v>高超楼发车</x:v>
      </x:c>
    </x:row>
    <x:row r="2099">
      <x:c r="A2099" s="14" t="str">
        <x:v>S0182-02</x:v>
      </x:c>
      <x:c r="B2099" s="14" t="str">
        <x:v>S0182</x:v>
      </x:c>
      <x:c r="C2099" s="14" t="str">
        <x:v>周末/节假日</x:v>
      </x:c>
      <x:c r="D2099" s="14" t="str">
        <x:v>环线3路</x:v>
      </x:c>
      <x:c r="E2099" s="14" t="str">
        <x:v>第二班</x:v>
      </x:c>
      <x:c r="F2099" s="14" t="n">
        <x:v>3</x:v>
      </x:c>
      <x:c r="G2099" s="14" t="str">
        <x:v>12:25</x:v>
      </x:c>
      <x:c r="H2099" s="14" t="str">
        <x:v>高超楼（系统工程学院旁）</x:v>
      </x:c>
      <x:c r="I2099" s="14" t="str">
        <x:v>是</x:v>
      </x:c>
      <x:c r="J2099" s="14" t="n">
        <x:v>2</x:v>
      </x:c>
      <x:c r="K2099" s="14" t="str">
        <x:v>理学院</x:v>
      </x:c>
      <x:c r="L2099" s="14" t="n">
        <x:v>1</x:v>
      </x:c>
      <x:c r="M2099" s="14" t="str">
        <x:v>12:26</x:v>
      </x:c>
      <x:c r="N2099" s="14" t="str">
        <x:v>否</x:v>
      </x:c>
      <x:c r="O2099" s="14" t="str">
        <x:v>否</x:v>
      </x:c>
      <x:c r="P2099" s="14" t="str">
        <x:v>夏文新</x:v>
      </x:c>
      <x:c r="Q2099" s="14" t="str">
        <x:v>4号车</x:v>
      </x:c>
      <x:c r="R2099" s="14" t="str">
        <x:v>预测</x:v>
      </x:c>
      <x:c r="S2099" s="14" t="str">
        <x:v>到站时间为估算值</x:v>
      </x:c>
      <x:c r="T2099" t="str">
        <x:v>高超楼发车</x:v>
      </x:c>
    </x:row>
    <x:row r="2100">
      <x:c r="A2100" s="14" t="str">
        <x:v>S0182-03</x:v>
      </x:c>
      <x:c r="B2100" s="14" t="str">
        <x:v>S0182</x:v>
      </x:c>
      <x:c r="C2100" s="14" t="str">
        <x:v>周末/节假日</x:v>
      </x:c>
      <x:c r="D2100" s="14" t="str">
        <x:v>环线3路</x:v>
      </x:c>
      <x:c r="E2100" s="14" t="str">
        <x:v>第二班</x:v>
      </x:c>
      <x:c r="F2100" s="14" t="n">
        <x:v>3</x:v>
      </x:c>
      <x:c r="G2100" s="14" t="str">
        <x:v>12:25</x:v>
      </x:c>
      <x:c r="H2100" s="14" t="str">
        <x:v>高超楼（系统工程学院旁）</x:v>
      </x:c>
      <x:c r="I2100" s="14" t="str">
        <x:v>是</x:v>
      </x:c>
      <x:c r="J2100" s="14" t="n">
        <x:v>3</x:v>
      </x:c>
      <x:c r="K2100" s="14" t="str">
        <x:v>二食堂</x:v>
      </x:c>
      <x:c r="L2100" s="14" t="n">
        <x:v>4</x:v>
      </x:c>
      <x:c r="M2100" s="14" t="str">
        <x:v>12:29</x:v>
      </x:c>
      <x:c r="N2100" s="14" t="str">
        <x:v>否</x:v>
      </x:c>
      <x:c r="O2100" s="14" t="str">
        <x:v>否</x:v>
      </x:c>
      <x:c r="P2100" s="14" t="str">
        <x:v>夏文新</x:v>
      </x:c>
      <x:c r="Q2100" s="14" t="str">
        <x:v>4号车</x:v>
      </x:c>
      <x:c r="R2100" s="14" t="str">
        <x:v>预测</x:v>
      </x:c>
      <x:c r="S2100" s="14" t="str">
        <x:v>到站时间为估算值</x:v>
      </x:c>
      <x:c r="T2100" t="str">
        <x:v>高超楼发车</x:v>
      </x:c>
    </x:row>
    <x:row r="2101">
      <x:c r="A2101" s="14" t="str">
        <x:v>S0182-04</x:v>
      </x:c>
      <x:c r="B2101" s="14" t="str">
        <x:v>S0182</x:v>
      </x:c>
      <x:c r="C2101" s="14" t="str">
        <x:v>周末/节假日</x:v>
      </x:c>
      <x:c r="D2101" s="14" t="str">
        <x:v>环线3路</x:v>
      </x:c>
      <x:c r="E2101" s="14" t="str">
        <x:v>第二班</x:v>
      </x:c>
      <x:c r="F2101" s="14" t="n">
        <x:v>3</x:v>
      </x:c>
      <x:c r="G2101" s="14" t="str">
        <x:v>12:25</x:v>
      </x:c>
      <x:c r="H2101" s="14" t="str">
        <x:v>高超楼（系统工程学院旁）</x:v>
      </x:c>
      <x:c r="I2101" s="14" t="str">
        <x:v>是</x:v>
      </x:c>
      <x:c r="J2101" s="14" t="n">
        <x:v>4</x:v>
      </x:c>
      <x:c r="K2101" s="14" t="str">
        <x:v>图书馆</x:v>
      </x:c>
      <x:c r="L2101" s="14" t="n">
        <x:v>5</x:v>
      </x:c>
      <x:c r="M2101" s="14" t="str">
        <x:v>12:30</x:v>
      </x:c>
      <x:c r="N2101" s="14" t="str">
        <x:v>否</x:v>
      </x:c>
      <x:c r="O2101" s="14" t="str">
        <x:v>否</x:v>
      </x:c>
      <x:c r="P2101" s="14" t="str">
        <x:v>夏文新</x:v>
      </x:c>
      <x:c r="Q2101" s="14" t="str">
        <x:v>4号车</x:v>
      </x:c>
      <x:c r="R2101" s="14" t="str">
        <x:v>预测</x:v>
      </x:c>
      <x:c r="S2101" s="14" t="str">
        <x:v>到站时间为估算值</x:v>
      </x:c>
      <x:c r="T2101" t="str">
        <x:v>高超楼发车</x:v>
      </x:c>
    </x:row>
    <x:row r="2102">
      <x:c r="A2102" s="14" t="str">
        <x:v>S0182-05</x:v>
      </x:c>
      <x:c r="B2102" s="14" t="str">
        <x:v>S0182</x:v>
      </x:c>
      <x:c r="C2102" s="14" t="str">
        <x:v>周末/节假日</x:v>
      </x:c>
      <x:c r="D2102" s="14" t="str">
        <x:v>环线3路</x:v>
      </x:c>
      <x:c r="E2102" s="14" t="str">
        <x:v>第二班</x:v>
      </x:c>
      <x:c r="F2102" s="14" t="n">
        <x:v>3</x:v>
      </x:c>
      <x:c r="G2102" s="14" t="str">
        <x:v>12:25</x:v>
      </x:c>
      <x:c r="H2102" s="14" t="str">
        <x:v>高超楼（系统工程学院旁）</x:v>
      </x:c>
      <x:c r="I2102" s="14" t="str">
        <x:v>是</x:v>
      </x:c>
      <x:c r="J2102" s="14" t="n">
        <x:v>5</x:v>
      </x:c>
      <x:c r="K2102" s="14" t="str">
        <x:v>305教学楼</x:v>
      </x:c>
      <x:c r="L2102" s="14" t="n">
        <x:v>7</x:v>
      </x:c>
      <x:c r="M2102" s="14" t="str">
        <x:v>12:32</x:v>
      </x:c>
      <x:c r="N2102" s="14" t="str">
        <x:v>否</x:v>
      </x:c>
      <x:c r="O2102" s="14" t="str">
        <x:v>否</x:v>
      </x:c>
      <x:c r="P2102" s="14" t="str">
        <x:v>夏文新</x:v>
      </x:c>
      <x:c r="Q2102" s="14" t="str">
        <x:v>4号车</x:v>
      </x:c>
      <x:c r="R2102" s="14" t="str">
        <x:v>预测</x:v>
      </x:c>
      <x:c r="S2102" s="14" t="str">
        <x:v>到站时间为估算值</x:v>
      </x:c>
      <x:c r="T2102" t="str">
        <x:v>高超楼发车</x:v>
      </x:c>
    </x:row>
    <x:row r="2103">
      <x:c r="A2103" s="14" t="str">
        <x:v>S0182-06</x:v>
      </x:c>
      <x:c r="B2103" s="14" t="str">
        <x:v>S0182</x:v>
      </x:c>
      <x:c r="C2103" s="14" t="str">
        <x:v>周末/节假日</x:v>
      </x:c>
      <x:c r="D2103" s="14" t="str">
        <x:v>环线3路</x:v>
      </x:c>
      <x:c r="E2103" s="14" t="str">
        <x:v>第二班</x:v>
      </x:c>
      <x:c r="F2103" s="14" t="n">
        <x:v>3</x:v>
      </x:c>
      <x:c r="G2103" s="14" t="str">
        <x:v>12:25</x:v>
      </x:c>
      <x:c r="H2103" s="14" t="str">
        <x:v>高超楼（系统工程学院旁）</x:v>
      </x:c>
      <x:c r="I2103" s="14" t="str">
        <x:v>是</x:v>
      </x:c>
      <x:c r="J2103" s="14" t="n">
        <x:v>6</x:v>
      </x:c>
      <x:c r="K2103" s="14" t="str">
        <x:v>研究生宿舍楼</x:v>
      </x:c>
      <x:c r="L2103" s="14" t="n">
        <x:v>9</x:v>
      </x:c>
      <x:c r="M2103" s="14" t="str">
        <x:v>12:34</x:v>
      </x:c>
      <x:c r="N2103" s="14" t="str">
        <x:v>否</x:v>
      </x:c>
      <x:c r="O2103" s="14" t="str">
        <x:v>否</x:v>
      </x:c>
      <x:c r="P2103" s="14" t="str">
        <x:v>夏文新</x:v>
      </x:c>
      <x:c r="Q2103" s="14" t="str">
        <x:v>4号车</x:v>
      </x:c>
      <x:c r="R2103" s="14" t="str">
        <x:v>预测</x:v>
      </x:c>
      <x:c r="S2103" s="14" t="str">
        <x:v>到站时间为估算值</x:v>
      </x:c>
      <x:c r="T2103" t="str">
        <x:v>高超楼发车</x:v>
      </x:c>
    </x:row>
    <x:row r="2104">
      <x:c r="A2104" s="14" t="str">
        <x:v>S0182-07</x:v>
      </x:c>
      <x:c r="B2104" s="14" t="str">
        <x:v>S0182</x:v>
      </x:c>
      <x:c r="C2104" s="14" t="str">
        <x:v>周末/节假日</x:v>
      </x:c>
      <x:c r="D2104" s="14" t="str">
        <x:v>环线3路</x:v>
      </x:c>
      <x:c r="E2104" s="14" t="str">
        <x:v>第二班</x:v>
      </x:c>
      <x:c r="F2104" s="14" t="n">
        <x:v>3</x:v>
      </x:c>
      <x:c r="G2104" s="14" t="str">
        <x:v>12:25</x:v>
      </x:c>
      <x:c r="H2104" s="14" t="str">
        <x:v>高超楼（系统工程学院旁）</x:v>
      </x:c>
      <x:c r="I2104" s="14" t="str">
        <x:v>是</x:v>
      </x:c>
      <x:c r="J2104" s="14" t="n">
        <x:v>7</x:v>
      </x:c>
      <x:c r="K2104" s="14" t="str">
        <x:v>一食堂</x:v>
      </x:c>
      <x:c r="L2104" s="14" t="n">
        <x:v>10</x:v>
      </x:c>
      <x:c r="M2104" s="14" t="str">
        <x:v>12:35</x:v>
      </x:c>
      <x:c r="N2104" s="14" t="str">
        <x:v>否</x:v>
      </x:c>
      <x:c r="O2104" s="14" t="str">
        <x:v>否</x:v>
      </x:c>
      <x:c r="P2104" s="14" t="str">
        <x:v>夏文新</x:v>
      </x:c>
      <x:c r="Q2104" s="14" t="str">
        <x:v>4号车</x:v>
      </x:c>
      <x:c r="R2104" s="14" t="str">
        <x:v>预测</x:v>
      </x:c>
      <x:c r="S2104" s="14" t="str">
        <x:v>到站时间为估算值</x:v>
      </x:c>
      <x:c r="T2104" t="str">
        <x:v>高超楼发车</x:v>
      </x:c>
    </x:row>
    <x:row r="2105">
      <x:c r="A2105" s="14" t="str">
        <x:v>S0182-08</x:v>
      </x:c>
      <x:c r="B2105" s="14" t="str">
        <x:v>S0182</x:v>
      </x:c>
      <x:c r="C2105" s="14" t="str">
        <x:v>周末/节假日</x:v>
      </x:c>
      <x:c r="D2105" s="14" t="str">
        <x:v>环线3路</x:v>
      </x:c>
      <x:c r="E2105" s="14" t="str">
        <x:v>第二班</x:v>
      </x:c>
      <x:c r="F2105" s="14" t="n">
        <x:v>3</x:v>
      </x:c>
      <x:c r="G2105" s="14" t="str">
        <x:v>12:25</x:v>
      </x:c>
      <x:c r="H2105" s="14" t="str">
        <x:v>高超楼（系统工程学院旁）</x:v>
      </x:c>
      <x:c r="I2105" s="14" t="str">
        <x:v>是</x:v>
      </x:c>
      <x:c r="J2105" s="14" t="n">
        <x:v>8</x:v>
      </x:c>
      <x:c r="K2105" s="14" t="str">
        <x:v>2号宿舍楼</x:v>
      </x:c>
      <x:c r="L2105" s="14" t="n">
        <x:v>12</x:v>
      </x:c>
      <x:c r="M2105" s="14" t="str">
        <x:v>12:37</x:v>
      </x:c>
      <x:c r="N2105" s="14" t="str">
        <x:v>否</x:v>
      </x:c>
      <x:c r="O2105" s="14" t="str">
        <x:v>否</x:v>
      </x:c>
      <x:c r="P2105" s="14" t="str">
        <x:v>夏文新</x:v>
      </x:c>
      <x:c r="Q2105" s="14" t="str">
        <x:v>4号车</x:v>
      </x:c>
      <x:c r="R2105" s="14" t="str">
        <x:v>预测</x:v>
      </x:c>
      <x:c r="S2105" s="14" t="str">
        <x:v>到站时间为估算值</x:v>
      </x:c>
      <x:c r="T2105" t="str">
        <x:v>高超楼发车</x:v>
      </x:c>
    </x:row>
    <x:row r="2106">
      <x:c r="A2106" s="14" t="str">
        <x:v>S0182-09</x:v>
      </x:c>
      <x:c r="B2106" s="14" t="str">
        <x:v>S0182</x:v>
      </x:c>
      <x:c r="C2106" s="14" t="str">
        <x:v>周末/节假日</x:v>
      </x:c>
      <x:c r="D2106" s="14" t="str">
        <x:v>环线3路</x:v>
      </x:c>
      <x:c r="E2106" s="14" t="str">
        <x:v>第二班</x:v>
      </x:c>
      <x:c r="F2106" s="14" t="n">
        <x:v>3</x:v>
      </x:c>
      <x:c r="G2106" s="14" t="str">
        <x:v>12:25</x:v>
      </x:c>
      <x:c r="H2106" s="14" t="str">
        <x:v>高超楼（系统工程学院旁）</x:v>
      </x:c>
      <x:c r="I2106" s="14" t="str">
        <x:v>是</x:v>
      </x:c>
      <x:c r="J2106" s="14" t="n">
        <x:v>9</x:v>
      </x:c>
      <x:c r="K2106" s="14" t="str">
        <x:v>军体活动中心</x:v>
      </x:c>
      <x:c r="L2106" s="14" t="n">
        <x:v>13</x:v>
      </x:c>
      <x:c r="M2106" s="14" t="str">
        <x:v>12:38</x:v>
      </x:c>
      <x:c r="N2106" s="14" t="str">
        <x:v>否</x:v>
      </x:c>
      <x:c r="O2106" s="14" t="str">
        <x:v>否</x:v>
      </x:c>
      <x:c r="P2106" s="14" t="str">
        <x:v>夏文新</x:v>
      </x:c>
      <x:c r="Q2106" s="14" t="str">
        <x:v>4号车</x:v>
      </x:c>
      <x:c r="R2106" s="14" t="str">
        <x:v>预测</x:v>
      </x:c>
      <x:c r="S2106" s="14" t="str">
        <x:v>到站时间为估算值</x:v>
      </x:c>
      <x:c r="T2106" t="str">
        <x:v>高超楼发车</x:v>
      </x:c>
    </x:row>
    <x:row r="2107">
      <x:c r="A2107" s="14" t="str">
        <x:v>S0182-10</x:v>
      </x:c>
      <x:c r="B2107" s="14" t="str">
        <x:v>S0182</x:v>
      </x:c>
      <x:c r="C2107" s="14" t="str">
        <x:v>周末/节假日</x:v>
      </x:c>
      <x:c r="D2107" s="14" t="str">
        <x:v>环线3路</x:v>
      </x:c>
      <x:c r="E2107" s="14" t="str">
        <x:v>第二班</x:v>
      </x:c>
      <x:c r="F2107" s="14" t="n">
        <x:v>3</x:v>
      </x:c>
      <x:c r="G2107" s="14" t="str">
        <x:v>12:25</x:v>
      </x:c>
      <x:c r="H2107" s="14" t="str">
        <x:v>高超楼（系统工程学院旁）</x:v>
      </x:c>
      <x:c r="I2107" s="14" t="str">
        <x:v>是</x:v>
      </x:c>
      <x:c r="J2107" s="14" t="n">
        <x:v>10</x:v>
      </x:c>
      <x:c r="K2107" s="14" t="str">
        <x:v>教勤连</x:v>
      </x:c>
      <x:c r="L2107" s="14" t="n">
        <x:v>15</x:v>
      </x:c>
      <x:c r="M2107" s="14" t="str">
        <x:v>12:40</x:v>
      </x:c>
      <x:c r="N2107" s="14" t="str">
        <x:v>否</x:v>
      </x:c>
      <x:c r="O2107" s="14" t="str">
        <x:v>否</x:v>
      </x:c>
      <x:c r="P2107" s="14" t="str">
        <x:v>夏文新</x:v>
      </x:c>
      <x:c r="Q2107" s="14" t="str">
        <x:v>4号车</x:v>
      </x:c>
      <x:c r="R2107" s="14" t="str">
        <x:v>预测</x:v>
      </x:c>
      <x:c r="S2107" s="14" t="str">
        <x:v>到站时间为估算值</x:v>
      </x:c>
      <x:c r="T2107" t="str">
        <x:v>高超楼发车</x:v>
      </x:c>
    </x:row>
    <x:row r="2108">
      <x:c r="A2108" s="14" t="str">
        <x:v>S0182-11</x:v>
      </x:c>
      <x:c r="B2108" s="14" t="str">
        <x:v>S0182</x:v>
      </x:c>
      <x:c r="C2108" s="14" t="str">
        <x:v>周末/节假日</x:v>
      </x:c>
      <x:c r="D2108" s="14" t="str">
        <x:v>环线3路</x:v>
      </x:c>
      <x:c r="E2108" s="14" t="str">
        <x:v>第二班</x:v>
      </x:c>
      <x:c r="F2108" s="14" t="n">
        <x:v>3</x:v>
      </x:c>
      <x:c r="G2108" s="14" t="str">
        <x:v>12:25</x:v>
      </x:c>
      <x:c r="H2108" s="14" t="str">
        <x:v>高超楼（系统工程学院旁）</x:v>
      </x:c>
      <x:c r="I2108" s="14" t="str">
        <x:v>是</x:v>
      </x:c>
      <x:c r="J2108" s="14" t="n">
        <x:v>11</x:v>
      </x:c>
      <x:c r="K2108" s="14" t="str">
        <x:v>激光所</x:v>
      </x:c>
      <x:c r="L2108" s="14" t="n">
        <x:v>16</x:v>
      </x:c>
      <x:c r="M2108" s="14" t="str">
        <x:v>12:41</x:v>
      </x:c>
      <x:c r="N2108" s="14" t="str">
        <x:v>否</x:v>
      </x:c>
      <x:c r="O2108" s="14" t="str">
        <x:v>否</x:v>
      </x:c>
      <x:c r="P2108" s="14" t="str">
        <x:v>夏文新</x:v>
      </x:c>
      <x:c r="Q2108" s="14" t="str">
        <x:v>4号车</x:v>
      </x:c>
      <x:c r="R2108" s="14" t="str">
        <x:v>预测</x:v>
      </x:c>
      <x:c r="S2108" s="14" t="str">
        <x:v>到站时间为估算值</x:v>
      </x:c>
      <x:c r="T2108" t="str">
        <x:v>高超楼发车</x:v>
      </x:c>
    </x:row>
    <x:row r="2109">
      <x:c r="A2109" s="14" t="str">
        <x:v>S0182-12</x:v>
      </x:c>
      <x:c r="B2109" s="14" t="str">
        <x:v>S0182</x:v>
      </x:c>
      <x:c r="C2109" s="14" t="str">
        <x:v>周末/节假日</x:v>
      </x:c>
      <x:c r="D2109" s="14" t="str">
        <x:v>环线3路</x:v>
      </x:c>
      <x:c r="E2109" s="14" t="str">
        <x:v>第二班</x:v>
      </x:c>
      <x:c r="F2109" s="14" t="n">
        <x:v>3</x:v>
      </x:c>
      <x:c r="G2109" s="14" t="str">
        <x:v>12:25</x:v>
      </x:c>
      <x:c r="H2109" s="14" t="str">
        <x:v>高超楼（系统工程学院旁）</x:v>
      </x:c>
      <x:c r="I2109" s="14" t="str">
        <x:v>是</x:v>
      </x:c>
      <x:c r="J2109" s="14" t="n">
        <x:v>12</x:v>
      </x:c>
      <x:c r="K2109" s="14" t="str">
        <x:v>高超楼</x:v>
      </x:c>
      <x:c r="L2109" s="14" t="n">
        <x:v>18</x:v>
      </x:c>
      <x:c r="M2109" s="14" t="str">
        <x:v>12:43</x:v>
      </x:c>
      <x:c r="N2109" s="14" t="str">
        <x:v>否</x:v>
      </x:c>
      <x:c r="O2109" s="14" t="str">
        <x:v>是</x:v>
      </x:c>
      <x:c r="P2109" s="14" t="str">
        <x:v>夏文新</x:v>
      </x:c>
      <x:c r="Q2109" s="14" t="str">
        <x:v>4号车</x:v>
      </x:c>
      <x:c r="R2109" s="14" t="str">
        <x:v>预测</x:v>
      </x:c>
      <x:c r="S2109" s="14" t="str">
        <x:v>到站时间为估算值</x:v>
      </x:c>
      <x:c r="T2109" t="str">
        <x:v>高超楼发车</x:v>
      </x:c>
    </x:row>
    <x:row r="2110">
      <x:c r="A2110" s="14" t="str">
        <x:v>S0183-01</x:v>
      </x:c>
      <x:c r="B2110" s="14" t="str">
        <x:v>S0183</x:v>
      </x:c>
      <x:c r="C2110" s="14" t="str">
        <x:v>周末/节假日</x:v>
      </x:c>
      <x:c r="D2110" s="14" t="str">
        <x:v>环线3路</x:v>
      </x:c>
      <x:c r="E2110" s="14" t="str">
        <x:v>第二班</x:v>
      </x:c>
      <x:c r="F2110" s="14" t="n">
        <x:v>4</x:v>
      </x:c>
      <x:c r="G2110" s="14" t="str">
        <x:v>14:20</x:v>
      </x:c>
      <x:c r="H2110" s="14" t="str">
        <x:v>研究生宿舍楼</x:v>
      </x:c>
      <x:c r="I2110" s="14" t="str">
        <x:v>否</x:v>
      </x:c>
      <x:c r="J2110" s="14" t="n">
        <x:v>1</x:v>
      </x:c>
      <x:c r="K2110" s="14" t="str">
        <x:v>研究生宿舍楼</x:v>
      </x:c>
      <x:c r="L2110" s="14" t="n">
        <x:v>0</x:v>
      </x:c>
      <x:c r="M2110" s="14" t="str">
        <x:v>14:20</x:v>
      </x:c>
      <x:c r="N2110" s="14" t="str">
        <x:v>是</x:v>
      </x:c>
      <x:c r="O2110" s="14" t="str">
        <x:v>否</x:v>
      </x:c>
      <x:c r="P2110" s="14" t="str">
        <x:v>夏文新</x:v>
      </x:c>
      <x:c r="Q2110" s="14" t="str">
        <x:v>4号车</x:v>
      </x:c>
      <x:c r="R2110" s="14" t="str">
        <x:v>预测</x:v>
      </x:c>
      <x:c r="S2110" s="14" t="str">
        <x:v>到站时间为估算值</x:v>
      </x:c>
      <x:c r="T2110" t="str">
        <x:v>研究生宿舍楼发车</x:v>
      </x:c>
    </x:row>
    <x:row r="2111">
      <x:c r="A2111" s="14" t="str">
        <x:v>S0183-02</x:v>
      </x:c>
      <x:c r="B2111" s="14" t="str">
        <x:v>S0183</x:v>
      </x:c>
      <x:c r="C2111" s="14" t="str">
        <x:v>周末/节假日</x:v>
      </x:c>
      <x:c r="D2111" s="14" t="str">
        <x:v>环线3路</x:v>
      </x:c>
      <x:c r="E2111" s="14" t="str">
        <x:v>第二班</x:v>
      </x:c>
      <x:c r="F2111" s="14" t="n">
        <x:v>4</x:v>
      </x:c>
      <x:c r="G2111" s="14" t="str">
        <x:v>14:20</x:v>
      </x:c>
      <x:c r="H2111" s="14" t="str">
        <x:v>研究生宿舍楼</x:v>
      </x:c>
      <x:c r="I2111" s="14" t="str">
        <x:v>否</x:v>
      </x:c>
      <x:c r="J2111" s="14" t="n">
        <x:v>2</x:v>
      </x:c>
      <x:c r="K2111" s="14" t="str">
        <x:v>一食堂</x:v>
      </x:c>
      <x:c r="L2111" s="14" t="n">
        <x:v>1</x:v>
      </x:c>
      <x:c r="M2111" s="14" t="str">
        <x:v>14:21</x:v>
      </x:c>
      <x:c r="N2111" s="14" t="str">
        <x:v>否</x:v>
      </x:c>
      <x:c r="O2111" s="14" t="str">
        <x:v>否</x:v>
      </x:c>
      <x:c r="P2111" s="14" t="str">
        <x:v>夏文新</x:v>
      </x:c>
      <x:c r="Q2111" s="14" t="str">
        <x:v>4号车</x:v>
      </x:c>
      <x:c r="R2111" s="14" t="str">
        <x:v>预测</x:v>
      </x:c>
      <x:c r="S2111" s="14" t="str">
        <x:v>到站时间为估算值</x:v>
      </x:c>
      <x:c r="T2111" t="str">
        <x:v>研究生宿舍楼发车</x:v>
      </x:c>
    </x:row>
    <x:row r="2112">
      <x:c r="A2112" s="14" t="str">
        <x:v>S0183-03</x:v>
      </x:c>
      <x:c r="B2112" s="14" t="str">
        <x:v>S0183</x:v>
      </x:c>
      <x:c r="C2112" s="14" t="str">
        <x:v>周末/节假日</x:v>
      </x:c>
      <x:c r="D2112" s="14" t="str">
        <x:v>环线3路</x:v>
      </x:c>
      <x:c r="E2112" s="14" t="str">
        <x:v>第二班</x:v>
      </x:c>
      <x:c r="F2112" s="14" t="n">
        <x:v>4</x:v>
      </x:c>
      <x:c r="G2112" s="14" t="str">
        <x:v>14:20</x:v>
      </x:c>
      <x:c r="H2112" s="14" t="str">
        <x:v>研究生宿舍楼</x:v>
      </x:c>
      <x:c r="I2112" s="14" t="str">
        <x:v>否</x:v>
      </x:c>
      <x:c r="J2112" s="14" t="n">
        <x:v>3</x:v>
      </x:c>
      <x:c r="K2112" s="14" t="str">
        <x:v>2号宿舍楼</x:v>
      </x:c>
      <x:c r="L2112" s="14" t="n">
        <x:v>3</x:v>
      </x:c>
      <x:c r="M2112" s="14" t="str">
        <x:v>14:23</x:v>
      </x:c>
      <x:c r="N2112" s="14" t="str">
        <x:v>否</x:v>
      </x:c>
      <x:c r="O2112" s="14" t="str">
        <x:v>否</x:v>
      </x:c>
      <x:c r="P2112" s="14" t="str">
        <x:v>夏文新</x:v>
      </x:c>
      <x:c r="Q2112" s="14" t="str">
        <x:v>4号车</x:v>
      </x:c>
      <x:c r="R2112" s="14" t="str">
        <x:v>预测</x:v>
      </x:c>
      <x:c r="S2112" s="14" t="str">
        <x:v>到站时间为估算值</x:v>
      </x:c>
      <x:c r="T2112" t="str">
        <x:v>研究生宿舍楼发车</x:v>
      </x:c>
    </x:row>
    <x:row r="2113">
      <x:c r="A2113" s="14" t="str">
        <x:v>S0183-04</x:v>
      </x:c>
      <x:c r="B2113" s="14" t="str">
        <x:v>S0183</x:v>
      </x:c>
      <x:c r="C2113" s="14" t="str">
        <x:v>周末/节假日</x:v>
      </x:c>
      <x:c r="D2113" s="14" t="str">
        <x:v>环线3路</x:v>
      </x:c>
      <x:c r="E2113" s="14" t="str">
        <x:v>第二班</x:v>
      </x:c>
      <x:c r="F2113" s="14" t="n">
        <x:v>4</x:v>
      </x:c>
      <x:c r="G2113" s="14" t="str">
        <x:v>14:20</x:v>
      </x:c>
      <x:c r="H2113" s="14" t="str">
        <x:v>研究生宿舍楼</x:v>
      </x:c>
      <x:c r="I2113" s="14" t="str">
        <x:v>否</x:v>
      </x:c>
      <x:c r="J2113" s="14" t="n">
        <x:v>4</x:v>
      </x:c>
      <x:c r="K2113" s="14" t="str">
        <x:v>军体活动中心</x:v>
      </x:c>
      <x:c r="L2113" s="14" t="n">
        <x:v>4</x:v>
      </x:c>
      <x:c r="M2113" s="14" t="str">
        <x:v>14:24</x:v>
      </x:c>
      <x:c r="N2113" s="14" t="str">
        <x:v>否</x:v>
      </x:c>
      <x:c r="O2113" s="14" t="str">
        <x:v>否</x:v>
      </x:c>
      <x:c r="P2113" s="14" t="str">
        <x:v>夏文新</x:v>
      </x:c>
      <x:c r="Q2113" s="14" t="str">
        <x:v>4号车</x:v>
      </x:c>
      <x:c r="R2113" s="14" t="str">
        <x:v>预测</x:v>
      </x:c>
      <x:c r="S2113" s="14" t="str">
        <x:v>到站时间为估算值</x:v>
      </x:c>
      <x:c r="T2113" t="str">
        <x:v>研究生宿舍楼发车</x:v>
      </x:c>
    </x:row>
    <x:row r="2114">
      <x:c r="A2114" s="14" t="str">
        <x:v>S0183-05</x:v>
      </x:c>
      <x:c r="B2114" s="14" t="str">
        <x:v>S0183</x:v>
      </x:c>
      <x:c r="C2114" s="14" t="str">
        <x:v>周末/节假日</x:v>
      </x:c>
      <x:c r="D2114" s="14" t="str">
        <x:v>环线3路</x:v>
      </x:c>
      <x:c r="E2114" s="14" t="str">
        <x:v>第二班</x:v>
      </x:c>
      <x:c r="F2114" s="14" t="n">
        <x:v>4</x:v>
      </x:c>
      <x:c r="G2114" s="14" t="str">
        <x:v>14:20</x:v>
      </x:c>
      <x:c r="H2114" s="14" t="str">
        <x:v>研究生宿舍楼</x:v>
      </x:c>
      <x:c r="I2114" s="14" t="str">
        <x:v>否</x:v>
      </x:c>
      <x:c r="J2114" s="14" t="n">
        <x:v>5</x:v>
      </x:c>
      <x:c r="K2114" s="14" t="str">
        <x:v>教勤连</x:v>
      </x:c>
      <x:c r="L2114" s="14" t="n">
        <x:v>6</x:v>
      </x:c>
      <x:c r="M2114" s="14" t="str">
        <x:v>14:26</x:v>
      </x:c>
      <x:c r="N2114" s="14" t="str">
        <x:v>否</x:v>
      </x:c>
      <x:c r="O2114" s="14" t="str">
        <x:v>否</x:v>
      </x:c>
      <x:c r="P2114" s="14" t="str">
        <x:v>夏文新</x:v>
      </x:c>
      <x:c r="Q2114" s="14" t="str">
        <x:v>4号车</x:v>
      </x:c>
      <x:c r="R2114" s="14" t="str">
        <x:v>预测</x:v>
      </x:c>
      <x:c r="S2114" s="14" t="str">
        <x:v>到站时间为估算值</x:v>
      </x:c>
      <x:c r="T2114" t="str">
        <x:v>研究生宿舍楼发车</x:v>
      </x:c>
    </x:row>
    <x:row r="2115">
      <x:c r="A2115" s="14" t="str">
        <x:v>S0183-06</x:v>
      </x:c>
      <x:c r="B2115" s="14" t="str">
        <x:v>S0183</x:v>
      </x:c>
      <x:c r="C2115" s="14" t="str">
        <x:v>周末/节假日</x:v>
      </x:c>
      <x:c r="D2115" s="14" t="str">
        <x:v>环线3路</x:v>
      </x:c>
      <x:c r="E2115" s="14" t="str">
        <x:v>第二班</x:v>
      </x:c>
      <x:c r="F2115" s="14" t="n">
        <x:v>4</x:v>
      </x:c>
      <x:c r="G2115" s="14" t="str">
        <x:v>14:20</x:v>
      </x:c>
      <x:c r="H2115" s="14" t="str">
        <x:v>研究生宿舍楼</x:v>
      </x:c>
      <x:c r="I2115" s="14" t="str">
        <x:v>否</x:v>
      </x:c>
      <x:c r="J2115" s="14" t="n">
        <x:v>6</x:v>
      </x:c>
      <x:c r="K2115" s="14" t="str">
        <x:v>激光所</x:v>
      </x:c>
      <x:c r="L2115" s="14" t="n">
        <x:v>7</x:v>
      </x:c>
      <x:c r="M2115" s="14" t="str">
        <x:v>14:27</x:v>
      </x:c>
      <x:c r="N2115" s="14" t="str">
        <x:v>否</x:v>
      </x:c>
      <x:c r="O2115" s="14" t="str">
        <x:v>否</x:v>
      </x:c>
      <x:c r="P2115" s="14" t="str">
        <x:v>夏文新</x:v>
      </x:c>
      <x:c r="Q2115" s="14" t="str">
        <x:v>4号车</x:v>
      </x:c>
      <x:c r="R2115" s="14" t="str">
        <x:v>预测</x:v>
      </x:c>
      <x:c r="S2115" s="14" t="str">
        <x:v>到站时间为估算值</x:v>
      </x:c>
      <x:c r="T2115" t="str">
        <x:v>研究生宿舍楼发车</x:v>
      </x:c>
    </x:row>
    <x:row r="2116">
      <x:c r="A2116" s="14" t="str">
        <x:v>S0183-07</x:v>
      </x:c>
      <x:c r="B2116" s="14" t="str">
        <x:v>S0183</x:v>
      </x:c>
      <x:c r="C2116" s="14" t="str">
        <x:v>周末/节假日</x:v>
      </x:c>
      <x:c r="D2116" s="14" t="str">
        <x:v>环线3路</x:v>
      </x:c>
      <x:c r="E2116" s="14" t="str">
        <x:v>第二班</x:v>
      </x:c>
      <x:c r="F2116" s="14" t="n">
        <x:v>4</x:v>
      </x:c>
      <x:c r="G2116" s="14" t="str">
        <x:v>14:20</x:v>
      </x:c>
      <x:c r="H2116" s="14" t="str">
        <x:v>研究生宿舍楼</x:v>
      </x:c>
      <x:c r="I2116" s="14" t="str">
        <x:v>否</x:v>
      </x:c>
      <x:c r="J2116" s="14" t="n">
        <x:v>7</x:v>
      </x:c>
      <x:c r="K2116" s="14" t="str">
        <x:v>高超楼</x:v>
      </x:c>
      <x:c r="L2116" s="14" t="n">
        <x:v>9</x:v>
      </x:c>
      <x:c r="M2116" s="14" t="str">
        <x:v>14:29</x:v>
      </x:c>
      <x:c r="N2116" s="14" t="str">
        <x:v>否</x:v>
      </x:c>
      <x:c r="O2116" s="14" t="str">
        <x:v>否</x:v>
      </x:c>
      <x:c r="P2116" s="14" t="str">
        <x:v>夏文新</x:v>
      </x:c>
      <x:c r="Q2116" s="14" t="str">
        <x:v>4号车</x:v>
      </x:c>
      <x:c r="R2116" s="14" t="str">
        <x:v>预测</x:v>
      </x:c>
      <x:c r="S2116" s="14" t="str">
        <x:v>到站时间为估算值</x:v>
      </x:c>
      <x:c r="T2116" t="str">
        <x:v>研究生宿舍楼发车</x:v>
      </x:c>
    </x:row>
    <x:row r="2117">
      <x:c r="A2117" s="14" t="str">
        <x:v>S0183-08</x:v>
      </x:c>
      <x:c r="B2117" s="14" t="str">
        <x:v>S0183</x:v>
      </x:c>
      <x:c r="C2117" s="14" t="str">
        <x:v>周末/节假日</x:v>
      </x:c>
      <x:c r="D2117" s="14" t="str">
        <x:v>环线3路</x:v>
      </x:c>
      <x:c r="E2117" s="14" t="str">
        <x:v>第二班</x:v>
      </x:c>
      <x:c r="F2117" s="14" t="n">
        <x:v>4</x:v>
      </x:c>
      <x:c r="G2117" s="14" t="str">
        <x:v>14:20</x:v>
      </x:c>
      <x:c r="H2117" s="14" t="str">
        <x:v>研究生宿舍楼</x:v>
      </x:c>
      <x:c r="I2117" s="14" t="str">
        <x:v>否</x:v>
      </x:c>
      <x:c r="J2117" s="14" t="n">
        <x:v>8</x:v>
      </x:c>
      <x:c r="K2117" s="14" t="str">
        <x:v>理学院</x:v>
      </x:c>
      <x:c r="L2117" s="14" t="n">
        <x:v>10</x:v>
      </x:c>
      <x:c r="M2117" s="14" t="str">
        <x:v>14:30</x:v>
      </x:c>
      <x:c r="N2117" s="14" t="str">
        <x:v>否</x:v>
      </x:c>
      <x:c r="O2117" s="14" t="str">
        <x:v>否</x:v>
      </x:c>
      <x:c r="P2117" s="14" t="str">
        <x:v>夏文新</x:v>
      </x:c>
      <x:c r="Q2117" s="14" t="str">
        <x:v>4号车</x:v>
      </x:c>
      <x:c r="R2117" s="14" t="str">
        <x:v>预测</x:v>
      </x:c>
      <x:c r="S2117" s="14" t="str">
        <x:v>到站时间为估算值</x:v>
      </x:c>
      <x:c r="T2117" t="str">
        <x:v>研究生宿舍楼发车</x:v>
      </x:c>
    </x:row>
    <x:row r="2118">
      <x:c r="A2118" s="14" t="str">
        <x:v>S0183-09</x:v>
      </x:c>
      <x:c r="B2118" s="14" t="str">
        <x:v>S0183</x:v>
      </x:c>
      <x:c r="C2118" s="14" t="str">
        <x:v>周末/节假日</x:v>
      </x:c>
      <x:c r="D2118" s="14" t="str">
        <x:v>环线3路</x:v>
      </x:c>
      <x:c r="E2118" s="14" t="str">
        <x:v>第二班</x:v>
      </x:c>
      <x:c r="F2118" s="14" t="n">
        <x:v>4</x:v>
      </x:c>
      <x:c r="G2118" s="14" t="str">
        <x:v>14:20</x:v>
      </x:c>
      <x:c r="H2118" s="14" t="str">
        <x:v>研究生宿舍楼</x:v>
      </x:c>
      <x:c r="I2118" s="14" t="str">
        <x:v>否</x:v>
      </x:c>
      <x:c r="J2118" s="14" t="n">
        <x:v>9</x:v>
      </x:c>
      <x:c r="K2118" s="14" t="str">
        <x:v>二食堂</x:v>
      </x:c>
      <x:c r="L2118" s="14" t="n">
        <x:v>13</x:v>
      </x:c>
      <x:c r="M2118" s="14" t="str">
        <x:v>14:33</x:v>
      </x:c>
      <x:c r="N2118" s="14" t="str">
        <x:v>否</x:v>
      </x:c>
      <x:c r="O2118" s="14" t="str">
        <x:v>否</x:v>
      </x:c>
      <x:c r="P2118" s="14" t="str">
        <x:v>夏文新</x:v>
      </x:c>
      <x:c r="Q2118" s="14" t="str">
        <x:v>4号车</x:v>
      </x:c>
      <x:c r="R2118" s="14" t="str">
        <x:v>预测</x:v>
      </x:c>
      <x:c r="S2118" s="14" t="str">
        <x:v>到站时间为估算值</x:v>
      </x:c>
      <x:c r="T2118" t="str">
        <x:v>研究生宿舍楼发车</x:v>
      </x:c>
    </x:row>
    <x:row r="2119">
      <x:c r="A2119" s="14" t="str">
        <x:v>S0183-10</x:v>
      </x:c>
      <x:c r="B2119" s="14" t="str">
        <x:v>S0183</x:v>
      </x:c>
      <x:c r="C2119" s="14" t="str">
        <x:v>周末/节假日</x:v>
      </x:c>
      <x:c r="D2119" s="14" t="str">
        <x:v>环线3路</x:v>
      </x:c>
      <x:c r="E2119" s="14" t="str">
        <x:v>第二班</x:v>
      </x:c>
      <x:c r="F2119" s="14" t="n">
        <x:v>4</x:v>
      </x:c>
      <x:c r="G2119" s="14" t="str">
        <x:v>14:20</x:v>
      </x:c>
      <x:c r="H2119" s="14" t="str">
        <x:v>研究生宿舍楼</x:v>
      </x:c>
      <x:c r="I2119" s="14" t="str">
        <x:v>否</x:v>
      </x:c>
      <x:c r="J2119" s="14" t="n">
        <x:v>10</x:v>
      </x:c>
      <x:c r="K2119" s="14" t="str">
        <x:v>图书馆</x:v>
      </x:c>
      <x:c r="L2119" s="14" t="n">
        <x:v>14</x:v>
      </x:c>
      <x:c r="M2119" s="14" t="str">
        <x:v>14:34</x:v>
      </x:c>
      <x:c r="N2119" s="14" t="str">
        <x:v>否</x:v>
      </x:c>
      <x:c r="O2119" s="14" t="str">
        <x:v>否</x:v>
      </x:c>
      <x:c r="P2119" s="14" t="str">
        <x:v>夏文新</x:v>
      </x:c>
      <x:c r="Q2119" s="14" t="str">
        <x:v>4号车</x:v>
      </x:c>
      <x:c r="R2119" s="14" t="str">
        <x:v>预测</x:v>
      </x:c>
      <x:c r="S2119" s="14" t="str">
        <x:v>到站时间为估算值</x:v>
      </x:c>
      <x:c r="T2119" t="str">
        <x:v>研究生宿舍楼发车</x:v>
      </x:c>
    </x:row>
    <x:row r="2120">
      <x:c r="A2120" s="14" t="str">
        <x:v>S0183-11</x:v>
      </x:c>
      <x:c r="B2120" s="14" t="str">
        <x:v>S0183</x:v>
      </x:c>
      <x:c r="C2120" s="14" t="str">
        <x:v>周末/节假日</x:v>
      </x:c>
      <x:c r="D2120" s="14" t="str">
        <x:v>环线3路</x:v>
      </x:c>
      <x:c r="E2120" s="14" t="str">
        <x:v>第二班</x:v>
      </x:c>
      <x:c r="F2120" s="14" t="n">
        <x:v>4</x:v>
      </x:c>
      <x:c r="G2120" s="14" t="str">
        <x:v>14:20</x:v>
      </x:c>
      <x:c r="H2120" s="14" t="str">
        <x:v>研究生宿舍楼</x:v>
      </x:c>
      <x:c r="I2120" s="14" t="str">
        <x:v>否</x:v>
      </x:c>
      <x:c r="J2120" s="14" t="n">
        <x:v>11</x:v>
      </x:c>
      <x:c r="K2120" s="14" t="str">
        <x:v>305教学楼</x:v>
      </x:c>
      <x:c r="L2120" s="14" t="n">
        <x:v>16</x:v>
      </x:c>
      <x:c r="M2120" s="14" t="str">
        <x:v>14:36</x:v>
      </x:c>
      <x:c r="N2120" s="14" t="str">
        <x:v>否</x:v>
      </x:c>
      <x:c r="O2120" s="14" t="str">
        <x:v>否</x:v>
      </x:c>
      <x:c r="P2120" s="14" t="str">
        <x:v>夏文新</x:v>
      </x:c>
      <x:c r="Q2120" s="14" t="str">
        <x:v>4号车</x:v>
      </x:c>
      <x:c r="R2120" s="14" t="str">
        <x:v>预测</x:v>
      </x:c>
      <x:c r="S2120" s="14" t="str">
        <x:v>到站时间为估算值</x:v>
      </x:c>
      <x:c r="T2120" t="str">
        <x:v>研究生宿舍楼发车</x:v>
      </x:c>
    </x:row>
    <x:row r="2121">
      <x:c r="A2121" s="14" t="str">
        <x:v>S0183-12</x:v>
      </x:c>
      <x:c r="B2121" s="14" t="str">
        <x:v>S0183</x:v>
      </x:c>
      <x:c r="C2121" s="14" t="str">
        <x:v>周末/节假日</x:v>
      </x:c>
      <x:c r="D2121" s="14" t="str">
        <x:v>环线3路</x:v>
      </x:c>
      <x:c r="E2121" s="14" t="str">
        <x:v>第二班</x:v>
      </x:c>
      <x:c r="F2121" s="14" t="n">
        <x:v>4</x:v>
      </x:c>
      <x:c r="G2121" s="14" t="str">
        <x:v>14:20</x:v>
      </x:c>
      <x:c r="H2121" s="14" t="str">
        <x:v>研究生宿舍楼</x:v>
      </x:c>
      <x:c r="I2121" s="14" t="str">
        <x:v>否</x:v>
      </x:c>
      <x:c r="J2121" s="14" t="n">
        <x:v>12</x:v>
      </x:c>
      <x:c r="K2121" s="14" t="str">
        <x:v>研究生宿舍楼</x:v>
      </x:c>
      <x:c r="L2121" s="14" t="n">
        <x:v>18</x:v>
      </x:c>
      <x:c r="M2121" s="14" t="str">
        <x:v>14:38</x:v>
      </x:c>
      <x:c r="N2121" s="14" t="str">
        <x:v>否</x:v>
      </x:c>
      <x:c r="O2121" s="14" t="str">
        <x:v>是</x:v>
      </x:c>
      <x:c r="P2121" s="14" t="str">
        <x:v>夏文新</x:v>
      </x:c>
      <x:c r="Q2121" s="14" t="str">
        <x:v>4号车</x:v>
      </x:c>
      <x:c r="R2121" s="14" t="str">
        <x:v>预测</x:v>
      </x:c>
      <x:c r="S2121" s="14" t="str">
        <x:v>到站时间为估算值</x:v>
      </x:c>
      <x:c r="T2121" t="str">
        <x:v>研究生宿舍楼发车</x:v>
      </x:c>
    </x:row>
    <x:row r="2122">
      <x:c r="A2122" s="14" t="str">
        <x:v>S0184-01</x:v>
      </x:c>
      <x:c r="B2122" s="14" t="str">
        <x:v>S0184</x:v>
      </x:c>
      <x:c r="C2122" s="14" t="str">
        <x:v>周末/节假日</x:v>
      </x:c>
      <x:c r="D2122" s="14" t="str">
        <x:v>环线3路</x:v>
      </x:c>
      <x:c r="E2122" s="14" t="str">
        <x:v>第二班</x:v>
      </x:c>
      <x:c r="F2122" s="14" t="n">
        <x:v>5</x:v>
      </x:c>
      <x:c r="G2122" s="14" t="str">
        <x:v>14:45</x:v>
      </x:c>
      <x:c r="H2122" s="14" t="str">
        <x:v>研究生宿舍楼</x:v>
      </x:c>
      <x:c r="I2122" s="14" t="str">
        <x:v>否</x:v>
      </x:c>
      <x:c r="J2122" s="14" t="n">
        <x:v>1</x:v>
      </x:c>
      <x:c r="K2122" s="14" t="str">
        <x:v>研究生宿舍楼</x:v>
      </x:c>
      <x:c r="L2122" s="14" t="n">
        <x:v>0</x:v>
      </x:c>
      <x:c r="M2122" s="14" t="str">
        <x:v>14:45</x:v>
      </x:c>
      <x:c r="N2122" s="14" t="str">
        <x:v>是</x:v>
      </x:c>
      <x:c r="O2122" s="14" t="str">
        <x:v>否</x:v>
      </x:c>
      <x:c r="P2122" s="14" t="str">
        <x:v>夏文新</x:v>
      </x:c>
      <x:c r="Q2122" s="14" t="str">
        <x:v>4号车</x:v>
      </x:c>
      <x:c r="R2122" s="14" t="str">
        <x:v>预测</x:v>
      </x:c>
      <x:c r="S2122" s="14" t="str">
        <x:v>到站时间为估算值</x:v>
      </x:c>
      <x:c r="T2122" t="str">
        <x:v>研究生宿舍楼发车</x:v>
      </x:c>
    </x:row>
    <x:row r="2123">
      <x:c r="A2123" s="14" t="str">
        <x:v>S0184-02</x:v>
      </x:c>
      <x:c r="B2123" s="14" t="str">
        <x:v>S0184</x:v>
      </x:c>
      <x:c r="C2123" s="14" t="str">
        <x:v>周末/节假日</x:v>
      </x:c>
      <x:c r="D2123" s="14" t="str">
        <x:v>环线3路</x:v>
      </x:c>
      <x:c r="E2123" s="14" t="str">
        <x:v>第二班</x:v>
      </x:c>
      <x:c r="F2123" s="14" t="n">
        <x:v>5</x:v>
      </x:c>
      <x:c r="G2123" s="14" t="str">
        <x:v>14:45</x:v>
      </x:c>
      <x:c r="H2123" s="14" t="str">
        <x:v>研究生宿舍楼</x:v>
      </x:c>
      <x:c r="I2123" s="14" t="str">
        <x:v>否</x:v>
      </x:c>
      <x:c r="J2123" s="14" t="n">
        <x:v>2</x:v>
      </x:c>
      <x:c r="K2123" s="14" t="str">
        <x:v>一食堂</x:v>
      </x:c>
      <x:c r="L2123" s="14" t="n">
        <x:v>1</x:v>
      </x:c>
      <x:c r="M2123" s="14" t="str">
        <x:v>14:46</x:v>
      </x:c>
      <x:c r="N2123" s="14" t="str">
        <x:v>否</x:v>
      </x:c>
      <x:c r="O2123" s="14" t="str">
        <x:v>否</x:v>
      </x:c>
      <x:c r="P2123" s="14" t="str">
        <x:v>夏文新</x:v>
      </x:c>
      <x:c r="Q2123" s="14" t="str">
        <x:v>4号车</x:v>
      </x:c>
      <x:c r="R2123" s="14" t="str">
        <x:v>预测</x:v>
      </x:c>
      <x:c r="S2123" s="14" t="str">
        <x:v>到站时间为估算值</x:v>
      </x:c>
      <x:c r="T2123" t="str">
        <x:v>研究生宿舍楼发车</x:v>
      </x:c>
    </x:row>
    <x:row r="2124">
      <x:c r="A2124" s="14" t="str">
        <x:v>S0184-03</x:v>
      </x:c>
      <x:c r="B2124" s="14" t="str">
        <x:v>S0184</x:v>
      </x:c>
      <x:c r="C2124" s="14" t="str">
        <x:v>周末/节假日</x:v>
      </x:c>
      <x:c r="D2124" s="14" t="str">
        <x:v>环线3路</x:v>
      </x:c>
      <x:c r="E2124" s="14" t="str">
        <x:v>第二班</x:v>
      </x:c>
      <x:c r="F2124" s="14" t="n">
        <x:v>5</x:v>
      </x:c>
      <x:c r="G2124" s="14" t="str">
        <x:v>14:45</x:v>
      </x:c>
      <x:c r="H2124" s="14" t="str">
        <x:v>研究生宿舍楼</x:v>
      </x:c>
      <x:c r="I2124" s="14" t="str">
        <x:v>否</x:v>
      </x:c>
      <x:c r="J2124" s="14" t="n">
        <x:v>3</x:v>
      </x:c>
      <x:c r="K2124" s="14" t="str">
        <x:v>2号宿舍楼</x:v>
      </x:c>
      <x:c r="L2124" s="14" t="n">
        <x:v>3</x:v>
      </x:c>
      <x:c r="M2124" s="14" t="str">
        <x:v>14:48</x:v>
      </x:c>
      <x:c r="N2124" s="14" t="str">
        <x:v>否</x:v>
      </x:c>
      <x:c r="O2124" s="14" t="str">
        <x:v>否</x:v>
      </x:c>
      <x:c r="P2124" s="14" t="str">
        <x:v>夏文新</x:v>
      </x:c>
      <x:c r="Q2124" s="14" t="str">
        <x:v>4号车</x:v>
      </x:c>
      <x:c r="R2124" s="14" t="str">
        <x:v>预测</x:v>
      </x:c>
      <x:c r="S2124" s="14" t="str">
        <x:v>到站时间为估算值</x:v>
      </x:c>
      <x:c r="T2124" t="str">
        <x:v>研究生宿舍楼发车</x:v>
      </x:c>
    </x:row>
    <x:row r="2125">
      <x:c r="A2125" s="14" t="str">
        <x:v>S0184-04</x:v>
      </x:c>
      <x:c r="B2125" s="14" t="str">
        <x:v>S0184</x:v>
      </x:c>
      <x:c r="C2125" s="14" t="str">
        <x:v>周末/节假日</x:v>
      </x:c>
      <x:c r="D2125" s="14" t="str">
        <x:v>环线3路</x:v>
      </x:c>
      <x:c r="E2125" s="14" t="str">
        <x:v>第二班</x:v>
      </x:c>
      <x:c r="F2125" s="14" t="n">
        <x:v>5</x:v>
      </x:c>
      <x:c r="G2125" s="14" t="str">
        <x:v>14:45</x:v>
      </x:c>
      <x:c r="H2125" s="14" t="str">
        <x:v>研究生宿舍楼</x:v>
      </x:c>
      <x:c r="I2125" s="14" t="str">
        <x:v>否</x:v>
      </x:c>
      <x:c r="J2125" s="14" t="n">
        <x:v>4</x:v>
      </x:c>
      <x:c r="K2125" s="14" t="str">
        <x:v>军体活动中心</x:v>
      </x:c>
      <x:c r="L2125" s="14" t="n">
        <x:v>4</x:v>
      </x:c>
      <x:c r="M2125" s="14" t="str">
        <x:v>14:49</x:v>
      </x:c>
      <x:c r="N2125" s="14" t="str">
        <x:v>否</x:v>
      </x:c>
      <x:c r="O2125" s="14" t="str">
        <x:v>否</x:v>
      </x:c>
      <x:c r="P2125" s="14" t="str">
        <x:v>夏文新</x:v>
      </x:c>
      <x:c r="Q2125" s="14" t="str">
        <x:v>4号车</x:v>
      </x:c>
      <x:c r="R2125" s="14" t="str">
        <x:v>预测</x:v>
      </x:c>
      <x:c r="S2125" s="14" t="str">
        <x:v>到站时间为估算值</x:v>
      </x:c>
      <x:c r="T2125" t="str">
        <x:v>研究生宿舍楼发车</x:v>
      </x:c>
    </x:row>
    <x:row r="2126">
      <x:c r="A2126" s="14" t="str">
        <x:v>S0184-05</x:v>
      </x:c>
      <x:c r="B2126" s="14" t="str">
        <x:v>S0184</x:v>
      </x:c>
      <x:c r="C2126" s="14" t="str">
        <x:v>周末/节假日</x:v>
      </x:c>
      <x:c r="D2126" s="14" t="str">
        <x:v>环线3路</x:v>
      </x:c>
      <x:c r="E2126" s="14" t="str">
        <x:v>第二班</x:v>
      </x:c>
      <x:c r="F2126" s="14" t="n">
        <x:v>5</x:v>
      </x:c>
      <x:c r="G2126" s="14" t="str">
        <x:v>14:45</x:v>
      </x:c>
      <x:c r="H2126" s="14" t="str">
        <x:v>研究生宿舍楼</x:v>
      </x:c>
      <x:c r="I2126" s="14" t="str">
        <x:v>否</x:v>
      </x:c>
      <x:c r="J2126" s="14" t="n">
        <x:v>5</x:v>
      </x:c>
      <x:c r="K2126" s="14" t="str">
        <x:v>教勤连</x:v>
      </x:c>
      <x:c r="L2126" s="14" t="n">
        <x:v>6</x:v>
      </x:c>
      <x:c r="M2126" s="14" t="str">
        <x:v>14:51</x:v>
      </x:c>
      <x:c r="N2126" s="14" t="str">
        <x:v>否</x:v>
      </x:c>
      <x:c r="O2126" s="14" t="str">
        <x:v>否</x:v>
      </x:c>
      <x:c r="P2126" s="14" t="str">
        <x:v>夏文新</x:v>
      </x:c>
      <x:c r="Q2126" s="14" t="str">
        <x:v>4号车</x:v>
      </x:c>
      <x:c r="R2126" s="14" t="str">
        <x:v>预测</x:v>
      </x:c>
      <x:c r="S2126" s="14" t="str">
        <x:v>到站时间为估算值</x:v>
      </x:c>
      <x:c r="T2126" t="str">
        <x:v>研究生宿舍楼发车</x:v>
      </x:c>
    </x:row>
    <x:row r="2127">
      <x:c r="A2127" s="14" t="str">
        <x:v>S0184-06</x:v>
      </x:c>
      <x:c r="B2127" s="14" t="str">
        <x:v>S0184</x:v>
      </x:c>
      <x:c r="C2127" s="14" t="str">
        <x:v>周末/节假日</x:v>
      </x:c>
      <x:c r="D2127" s="14" t="str">
        <x:v>环线3路</x:v>
      </x:c>
      <x:c r="E2127" s="14" t="str">
        <x:v>第二班</x:v>
      </x:c>
      <x:c r="F2127" s="14" t="n">
        <x:v>5</x:v>
      </x:c>
      <x:c r="G2127" s="14" t="str">
        <x:v>14:45</x:v>
      </x:c>
      <x:c r="H2127" s="14" t="str">
        <x:v>研究生宿舍楼</x:v>
      </x:c>
      <x:c r="I2127" s="14" t="str">
        <x:v>否</x:v>
      </x:c>
      <x:c r="J2127" s="14" t="n">
        <x:v>6</x:v>
      </x:c>
      <x:c r="K2127" s="14" t="str">
        <x:v>激光所</x:v>
      </x:c>
      <x:c r="L2127" s="14" t="n">
        <x:v>7</x:v>
      </x:c>
      <x:c r="M2127" s="14" t="str">
        <x:v>14:52</x:v>
      </x:c>
      <x:c r="N2127" s="14" t="str">
        <x:v>否</x:v>
      </x:c>
      <x:c r="O2127" s="14" t="str">
        <x:v>否</x:v>
      </x:c>
      <x:c r="P2127" s="14" t="str">
        <x:v>夏文新</x:v>
      </x:c>
      <x:c r="Q2127" s="14" t="str">
        <x:v>4号车</x:v>
      </x:c>
      <x:c r="R2127" s="14" t="str">
        <x:v>预测</x:v>
      </x:c>
      <x:c r="S2127" s="14" t="str">
        <x:v>到站时间为估算值</x:v>
      </x:c>
      <x:c r="T2127" t="str">
        <x:v>研究生宿舍楼发车</x:v>
      </x:c>
    </x:row>
    <x:row r="2128">
      <x:c r="A2128" s="14" t="str">
        <x:v>S0184-07</x:v>
      </x:c>
      <x:c r="B2128" s="14" t="str">
        <x:v>S0184</x:v>
      </x:c>
      <x:c r="C2128" s="14" t="str">
        <x:v>周末/节假日</x:v>
      </x:c>
      <x:c r="D2128" s="14" t="str">
        <x:v>环线3路</x:v>
      </x:c>
      <x:c r="E2128" s="14" t="str">
        <x:v>第二班</x:v>
      </x:c>
      <x:c r="F2128" s="14" t="n">
        <x:v>5</x:v>
      </x:c>
      <x:c r="G2128" s="14" t="str">
        <x:v>14:45</x:v>
      </x:c>
      <x:c r="H2128" s="14" t="str">
        <x:v>研究生宿舍楼</x:v>
      </x:c>
      <x:c r="I2128" s="14" t="str">
        <x:v>否</x:v>
      </x:c>
      <x:c r="J2128" s="14" t="n">
        <x:v>7</x:v>
      </x:c>
      <x:c r="K2128" s="14" t="str">
        <x:v>高超楼</x:v>
      </x:c>
      <x:c r="L2128" s="14" t="n">
        <x:v>9</x:v>
      </x:c>
      <x:c r="M2128" s="14" t="str">
        <x:v>14:54</x:v>
      </x:c>
      <x:c r="N2128" s="14" t="str">
        <x:v>否</x:v>
      </x:c>
      <x:c r="O2128" s="14" t="str">
        <x:v>否</x:v>
      </x:c>
      <x:c r="P2128" s="14" t="str">
        <x:v>夏文新</x:v>
      </x:c>
      <x:c r="Q2128" s="14" t="str">
        <x:v>4号车</x:v>
      </x:c>
      <x:c r="R2128" s="14" t="str">
        <x:v>预测</x:v>
      </x:c>
      <x:c r="S2128" s="14" t="str">
        <x:v>到站时间为估算值</x:v>
      </x:c>
      <x:c r="T2128" t="str">
        <x:v>研究生宿舍楼发车</x:v>
      </x:c>
    </x:row>
    <x:row r="2129">
      <x:c r="A2129" s="14" t="str">
        <x:v>S0184-08</x:v>
      </x:c>
      <x:c r="B2129" s="14" t="str">
        <x:v>S0184</x:v>
      </x:c>
      <x:c r="C2129" s="14" t="str">
        <x:v>周末/节假日</x:v>
      </x:c>
      <x:c r="D2129" s="14" t="str">
        <x:v>环线3路</x:v>
      </x:c>
      <x:c r="E2129" s="14" t="str">
        <x:v>第二班</x:v>
      </x:c>
      <x:c r="F2129" s="14" t="n">
        <x:v>5</x:v>
      </x:c>
      <x:c r="G2129" s="14" t="str">
        <x:v>14:45</x:v>
      </x:c>
      <x:c r="H2129" s="14" t="str">
        <x:v>研究生宿舍楼</x:v>
      </x:c>
      <x:c r="I2129" s="14" t="str">
        <x:v>否</x:v>
      </x:c>
      <x:c r="J2129" s="14" t="n">
        <x:v>8</x:v>
      </x:c>
      <x:c r="K2129" s="14" t="str">
        <x:v>理学院</x:v>
      </x:c>
      <x:c r="L2129" s="14" t="n">
        <x:v>10</x:v>
      </x:c>
      <x:c r="M2129" s="14" t="str">
        <x:v>14:55</x:v>
      </x:c>
      <x:c r="N2129" s="14" t="str">
        <x:v>否</x:v>
      </x:c>
      <x:c r="O2129" s="14" t="str">
        <x:v>否</x:v>
      </x:c>
      <x:c r="P2129" s="14" t="str">
        <x:v>夏文新</x:v>
      </x:c>
      <x:c r="Q2129" s="14" t="str">
        <x:v>4号车</x:v>
      </x:c>
      <x:c r="R2129" s="14" t="str">
        <x:v>预测</x:v>
      </x:c>
      <x:c r="S2129" s="14" t="str">
        <x:v>到站时间为估算值</x:v>
      </x:c>
      <x:c r="T2129" t="str">
        <x:v>研究生宿舍楼发车</x:v>
      </x:c>
    </x:row>
    <x:row r="2130">
      <x:c r="A2130" s="14" t="str">
        <x:v>S0184-09</x:v>
      </x:c>
      <x:c r="B2130" s="14" t="str">
        <x:v>S0184</x:v>
      </x:c>
      <x:c r="C2130" s="14" t="str">
        <x:v>周末/节假日</x:v>
      </x:c>
      <x:c r="D2130" s="14" t="str">
        <x:v>环线3路</x:v>
      </x:c>
      <x:c r="E2130" s="14" t="str">
        <x:v>第二班</x:v>
      </x:c>
      <x:c r="F2130" s="14" t="n">
        <x:v>5</x:v>
      </x:c>
      <x:c r="G2130" s="14" t="str">
        <x:v>14:45</x:v>
      </x:c>
      <x:c r="H2130" s="14" t="str">
        <x:v>研究生宿舍楼</x:v>
      </x:c>
      <x:c r="I2130" s="14" t="str">
        <x:v>否</x:v>
      </x:c>
      <x:c r="J2130" s="14" t="n">
        <x:v>9</x:v>
      </x:c>
      <x:c r="K2130" s="14" t="str">
        <x:v>二食堂</x:v>
      </x:c>
      <x:c r="L2130" s="14" t="n">
        <x:v>13</x:v>
      </x:c>
      <x:c r="M2130" s="14" t="str">
        <x:v>14:58</x:v>
      </x:c>
      <x:c r="N2130" s="14" t="str">
        <x:v>否</x:v>
      </x:c>
      <x:c r="O2130" s="14" t="str">
        <x:v>否</x:v>
      </x:c>
      <x:c r="P2130" s="14" t="str">
        <x:v>夏文新</x:v>
      </x:c>
      <x:c r="Q2130" s="14" t="str">
        <x:v>4号车</x:v>
      </x:c>
      <x:c r="R2130" s="14" t="str">
        <x:v>预测</x:v>
      </x:c>
      <x:c r="S2130" s="14" t="str">
        <x:v>到站时间为估算值</x:v>
      </x:c>
      <x:c r="T2130" t="str">
        <x:v>研究生宿舍楼发车</x:v>
      </x:c>
    </x:row>
    <x:row r="2131">
      <x:c r="A2131" s="14" t="str">
        <x:v>S0184-10</x:v>
      </x:c>
      <x:c r="B2131" s="14" t="str">
        <x:v>S0184</x:v>
      </x:c>
      <x:c r="C2131" s="14" t="str">
        <x:v>周末/节假日</x:v>
      </x:c>
      <x:c r="D2131" s="14" t="str">
        <x:v>环线3路</x:v>
      </x:c>
      <x:c r="E2131" s="14" t="str">
        <x:v>第二班</x:v>
      </x:c>
      <x:c r="F2131" s="14" t="n">
        <x:v>5</x:v>
      </x:c>
      <x:c r="G2131" s="14" t="str">
        <x:v>14:45</x:v>
      </x:c>
      <x:c r="H2131" s="14" t="str">
        <x:v>研究生宿舍楼</x:v>
      </x:c>
      <x:c r="I2131" s="14" t="str">
        <x:v>否</x:v>
      </x:c>
      <x:c r="J2131" s="14" t="n">
        <x:v>10</x:v>
      </x:c>
      <x:c r="K2131" s="14" t="str">
        <x:v>图书馆</x:v>
      </x:c>
      <x:c r="L2131" s="14" t="n">
        <x:v>14</x:v>
      </x:c>
      <x:c r="M2131" s="14" t="str">
        <x:v>14:59</x:v>
      </x:c>
      <x:c r="N2131" s="14" t="str">
        <x:v>否</x:v>
      </x:c>
      <x:c r="O2131" s="14" t="str">
        <x:v>否</x:v>
      </x:c>
      <x:c r="P2131" s="14" t="str">
        <x:v>夏文新</x:v>
      </x:c>
      <x:c r="Q2131" s="14" t="str">
        <x:v>4号车</x:v>
      </x:c>
      <x:c r="R2131" s="14" t="str">
        <x:v>预测</x:v>
      </x:c>
      <x:c r="S2131" s="14" t="str">
        <x:v>到站时间为估算值</x:v>
      </x:c>
      <x:c r="T2131" t="str">
        <x:v>研究生宿舍楼发车</x:v>
      </x:c>
    </x:row>
    <x:row r="2132">
      <x:c r="A2132" s="14" t="str">
        <x:v>S0184-11</x:v>
      </x:c>
      <x:c r="B2132" s="14" t="str">
        <x:v>S0184</x:v>
      </x:c>
      <x:c r="C2132" s="14" t="str">
        <x:v>周末/节假日</x:v>
      </x:c>
      <x:c r="D2132" s="14" t="str">
        <x:v>环线3路</x:v>
      </x:c>
      <x:c r="E2132" s="14" t="str">
        <x:v>第二班</x:v>
      </x:c>
      <x:c r="F2132" s="14" t="n">
        <x:v>5</x:v>
      </x:c>
      <x:c r="G2132" s="14" t="str">
        <x:v>14:45</x:v>
      </x:c>
      <x:c r="H2132" s="14" t="str">
        <x:v>研究生宿舍楼</x:v>
      </x:c>
      <x:c r="I2132" s="14" t="str">
        <x:v>否</x:v>
      </x:c>
      <x:c r="J2132" s="14" t="n">
        <x:v>11</x:v>
      </x:c>
      <x:c r="K2132" s="14" t="str">
        <x:v>305教学楼</x:v>
      </x:c>
      <x:c r="L2132" s="14" t="n">
        <x:v>16</x:v>
      </x:c>
      <x:c r="M2132" s="14" t="str">
        <x:v>15:01</x:v>
      </x:c>
      <x:c r="N2132" s="14" t="str">
        <x:v>否</x:v>
      </x:c>
      <x:c r="O2132" s="14" t="str">
        <x:v>否</x:v>
      </x:c>
      <x:c r="P2132" s="14" t="str">
        <x:v>夏文新</x:v>
      </x:c>
      <x:c r="Q2132" s="14" t="str">
        <x:v>4号车</x:v>
      </x:c>
      <x:c r="R2132" s="14" t="str">
        <x:v>预测</x:v>
      </x:c>
      <x:c r="S2132" s="14" t="str">
        <x:v>到站时间为估算值</x:v>
      </x:c>
      <x:c r="T2132" t="str">
        <x:v>研究生宿舍楼发车</x:v>
      </x:c>
    </x:row>
    <x:row r="2133">
      <x:c r="A2133" s="14" t="str">
        <x:v>S0184-12</x:v>
      </x:c>
      <x:c r="B2133" s="14" t="str">
        <x:v>S0184</x:v>
      </x:c>
      <x:c r="C2133" s="14" t="str">
        <x:v>周末/节假日</x:v>
      </x:c>
      <x:c r="D2133" s="14" t="str">
        <x:v>环线3路</x:v>
      </x:c>
      <x:c r="E2133" s="14" t="str">
        <x:v>第二班</x:v>
      </x:c>
      <x:c r="F2133" s="14" t="n">
        <x:v>5</x:v>
      </x:c>
      <x:c r="G2133" s="14" t="str">
        <x:v>14:45</x:v>
      </x:c>
      <x:c r="H2133" s="14" t="str">
        <x:v>研究生宿舍楼</x:v>
      </x:c>
      <x:c r="I2133" s="14" t="str">
        <x:v>否</x:v>
      </x:c>
      <x:c r="J2133" s="14" t="n">
        <x:v>12</x:v>
      </x:c>
      <x:c r="K2133" s="14" t="str">
        <x:v>研究生宿舍楼</x:v>
      </x:c>
      <x:c r="L2133" s="14" t="n">
        <x:v>18</x:v>
      </x:c>
      <x:c r="M2133" s="14" t="str">
        <x:v>15:03</x:v>
      </x:c>
      <x:c r="N2133" s="14" t="str">
        <x:v>否</x:v>
      </x:c>
      <x:c r="O2133" s="14" t="str">
        <x:v>是</x:v>
      </x:c>
      <x:c r="P2133" s="14" t="str">
        <x:v>夏文新</x:v>
      </x:c>
      <x:c r="Q2133" s="14" t="str">
        <x:v>4号车</x:v>
      </x:c>
      <x:c r="R2133" s="14" t="str">
        <x:v>预测</x:v>
      </x:c>
      <x:c r="S2133" s="14" t="str">
        <x:v>到站时间为估算值</x:v>
      </x:c>
      <x:c r="T2133" t="str">
        <x:v>研究生宿舍楼发车</x:v>
      </x:c>
    </x:row>
    <x:row r="2134">
      <x:c r="A2134" s="14" t="str">
        <x:v>S0185-01</x:v>
      </x:c>
      <x:c r="B2134" s="14" t="str">
        <x:v>S0185</x:v>
      </x:c>
      <x:c r="C2134" s="14" t="str">
        <x:v>周末/节假日</x:v>
      </x:c>
      <x:c r="D2134" s="14" t="str">
        <x:v>环线3路</x:v>
      </x:c>
      <x:c r="E2134" s="14" t="str">
        <x:v>第二班</x:v>
      </x:c>
      <x:c r="F2134" s="14" t="n">
        <x:v>6</x:v>
      </x:c>
      <x:c r="G2134" s="14" t="str">
        <x:v>15:10</x:v>
      </x:c>
      <x:c r="H2134" s="14" t="str">
        <x:v>研究生宿舍楼</x:v>
      </x:c>
      <x:c r="I2134" s="14" t="str">
        <x:v>否</x:v>
      </x:c>
      <x:c r="J2134" s="14" t="n">
        <x:v>1</x:v>
      </x:c>
      <x:c r="K2134" s="14" t="str">
        <x:v>研究生宿舍楼</x:v>
      </x:c>
      <x:c r="L2134" s="14" t="n">
        <x:v>0</x:v>
      </x:c>
      <x:c r="M2134" s="14" t="str">
        <x:v>15:10</x:v>
      </x:c>
      <x:c r="N2134" s="14" t="str">
        <x:v>是</x:v>
      </x:c>
      <x:c r="O2134" s="14" t="str">
        <x:v>否</x:v>
      </x:c>
      <x:c r="P2134" s="14" t="str">
        <x:v>夏文新</x:v>
      </x:c>
      <x:c r="Q2134" s="14" t="str">
        <x:v>4号车</x:v>
      </x:c>
      <x:c r="R2134" s="14" t="str">
        <x:v>预测</x:v>
      </x:c>
      <x:c r="S2134" s="14" t="str">
        <x:v>到站时间为估算值</x:v>
      </x:c>
      <x:c r="T2134" t="str">
        <x:v>研究生宿舍楼发车</x:v>
      </x:c>
    </x:row>
    <x:row r="2135">
      <x:c r="A2135" s="14" t="str">
        <x:v>S0185-02</x:v>
      </x:c>
      <x:c r="B2135" s="14" t="str">
        <x:v>S0185</x:v>
      </x:c>
      <x:c r="C2135" s="14" t="str">
        <x:v>周末/节假日</x:v>
      </x:c>
      <x:c r="D2135" s="14" t="str">
        <x:v>环线3路</x:v>
      </x:c>
      <x:c r="E2135" s="14" t="str">
        <x:v>第二班</x:v>
      </x:c>
      <x:c r="F2135" s="14" t="n">
        <x:v>6</x:v>
      </x:c>
      <x:c r="G2135" s="14" t="str">
        <x:v>15:10</x:v>
      </x:c>
      <x:c r="H2135" s="14" t="str">
        <x:v>研究生宿舍楼</x:v>
      </x:c>
      <x:c r="I2135" s="14" t="str">
        <x:v>否</x:v>
      </x:c>
      <x:c r="J2135" s="14" t="n">
        <x:v>2</x:v>
      </x:c>
      <x:c r="K2135" s="14" t="str">
        <x:v>一食堂</x:v>
      </x:c>
      <x:c r="L2135" s="14" t="n">
        <x:v>1</x:v>
      </x:c>
      <x:c r="M2135" s="14" t="str">
        <x:v>15:11</x:v>
      </x:c>
      <x:c r="N2135" s="14" t="str">
        <x:v>否</x:v>
      </x:c>
      <x:c r="O2135" s="14" t="str">
        <x:v>否</x:v>
      </x:c>
      <x:c r="P2135" s="14" t="str">
        <x:v>夏文新</x:v>
      </x:c>
      <x:c r="Q2135" s="14" t="str">
        <x:v>4号车</x:v>
      </x:c>
      <x:c r="R2135" s="14" t="str">
        <x:v>预测</x:v>
      </x:c>
      <x:c r="S2135" s="14" t="str">
        <x:v>到站时间为估算值</x:v>
      </x:c>
      <x:c r="T2135" t="str">
        <x:v>研究生宿舍楼发车</x:v>
      </x:c>
    </x:row>
    <x:row r="2136">
      <x:c r="A2136" s="14" t="str">
        <x:v>S0185-03</x:v>
      </x:c>
      <x:c r="B2136" s="14" t="str">
        <x:v>S0185</x:v>
      </x:c>
      <x:c r="C2136" s="14" t="str">
        <x:v>周末/节假日</x:v>
      </x:c>
      <x:c r="D2136" s="14" t="str">
        <x:v>环线3路</x:v>
      </x:c>
      <x:c r="E2136" s="14" t="str">
        <x:v>第二班</x:v>
      </x:c>
      <x:c r="F2136" s="14" t="n">
        <x:v>6</x:v>
      </x:c>
      <x:c r="G2136" s="14" t="str">
        <x:v>15:10</x:v>
      </x:c>
      <x:c r="H2136" s="14" t="str">
        <x:v>研究生宿舍楼</x:v>
      </x:c>
      <x:c r="I2136" s="14" t="str">
        <x:v>否</x:v>
      </x:c>
      <x:c r="J2136" s="14" t="n">
        <x:v>3</x:v>
      </x:c>
      <x:c r="K2136" s="14" t="str">
        <x:v>2号宿舍楼</x:v>
      </x:c>
      <x:c r="L2136" s="14" t="n">
        <x:v>3</x:v>
      </x:c>
      <x:c r="M2136" s="14" t="str">
        <x:v>15:13</x:v>
      </x:c>
      <x:c r="N2136" s="14" t="str">
        <x:v>否</x:v>
      </x:c>
      <x:c r="O2136" s="14" t="str">
        <x:v>否</x:v>
      </x:c>
      <x:c r="P2136" s="14" t="str">
        <x:v>夏文新</x:v>
      </x:c>
      <x:c r="Q2136" s="14" t="str">
        <x:v>4号车</x:v>
      </x:c>
      <x:c r="R2136" s="14" t="str">
        <x:v>预测</x:v>
      </x:c>
      <x:c r="S2136" s="14" t="str">
        <x:v>到站时间为估算值</x:v>
      </x:c>
      <x:c r="T2136" t="str">
        <x:v>研究生宿舍楼发车</x:v>
      </x:c>
    </x:row>
    <x:row r="2137">
      <x:c r="A2137" s="14" t="str">
        <x:v>S0185-04</x:v>
      </x:c>
      <x:c r="B2137" s="14" t="str">
        <x:v>S0185</x:v>
      </x:c>
      <x:c r="C2137" s="14" t="str">
        <x:v>周末/节假日</x:v>
      </x:c>
      <x:c r="D2137" s="14" t="str">
        <x:v>环线3路</x:v>
      </x:c>
      <x:c r="E2137" s="14" t="str">
        <x:v>第二班</x:v>
      </x:c>
      <x:c r="F2137" s="14" t="n">
        <x:v>6</x:v>
      </x:c>
      <x:c r="G2137" s="14" t="str">
        <x:v>15:10</x:v>
      </x:c>
      <x:c r="H2137" s="14" t="str">
        <x:v>研究生宿舍楼</x:v>
      </x:c>
      <x:c r="I2137" s="14" t="str">
        <x:v>否</x:v>
      </x:c>
      <x:c r="J2137" s="14" t="n">
        <x:v>4</x:v>
      </x:c>
      <x:c r="K2137" s="14" t="str">
        <x:v>军体活动中心</x:v>
      </x:c>
      <x:c r="L2137" s="14" t="n">
        <x:v>4</x:v>
      </x:c>
      <x:c r="M2137" s="14" t="str">
        <x:v>15:14</x:v>
      </x:c>
      <x:c r="N2137" s="14" t="str">
        <x:v>否</x:v>
      </x:c>
      <x:c r="O2137" s="14" t="str">
        <x:v>否</x:v>
      </x:c>
      <x:c r="P2137" s="14" t="str">
        <x:v>夏文新</x:v>
      </x:c>
      <x:c r="Q2137" s="14" t="str">
        <x:v>4号车</x:v>
      </x:c>
      <x:c r="R2137" s="14" t="str">
        <x:v>预测</x:v>
      </x:c>
      <x:c r="S2137" s="14" t="str">
        <x:v>到站时间为估算值</x:v>
      </x:c>
      <x:c r="T2137" t="str">
        <x:v>研究生宿舍楼发车</x:v>
      </x:c>
    </x:row>
    <x:row r="2138">
      <x:c r="A2138" s="14" t="str">
        <x:v>S0185-05</x:v>
      </x:c>
      <x:c r="B2138" s="14" t="str">
        <x:v>S0185</x:v>
      </x:c>
      <x:c r="C2138" s="14" t="str">
        <x:v>周末/节假日</x:v>
      </x:c>
      <x:c r="D2138" s="14" t="str">
        <x:v>环线3路</x:v>
      </x:c>
      <x:c r="E2138" s="14" t="str">
        <x:v>第二班</x:v>
      </x:c>
      <x:c r="F2138" s="14" t="n">
        <x:v>6</x:v>
      </x:c>
      <x:c r="G2138" s="14" t="str">
        <x:v>15:10</x:v>
      </x:c>
      <x:c r="H2138" s="14" t="str">
        <x:v>研究生宿舍楼</x:v>
      </x:c>
      <x:c r="I2138" s="14" t="str">
        <x:v>否</x:v>
      </x:c>
      <x:c r="J2138" s="14" t="n">
        <x:v>5</x:v>
      </x:c>
      <x:c r="K2138" s="14" t="str">
        <x:v>教勤连</x:v>
      </x:c>
      <x:c r="L2138" s="14" t="n">
        <x:v>6</x:v>
      </x:c>
      <x:c r="M2138" s="14" t="str">
        <x:v>15:16</x:v>
      </x:c>
      <x:c r="N2138" s="14" t="str">
        <x:v>否</x:v>
      </x:c>
      <x:c r="O2138" s="14" t="str">
        <x:v>否</x:v>
      </x:c>
      <x:c r="P2138" s="14" t="str">
        <x:v>夏文新</x:v>
      </x:c>
      <x:c r="Q2138" s="14" t="str">
        <x:v>4号车</x:v>
      </x:c>
      <x:c r="R2138" s="14" t="str">
        <x:v>预测</x:v>
      </x:c>
      <x:c r="S2138" s="14" t="str">
        <x:v>到站时间为估算值</x:v>
      </x:c>
      <x:c r="T2138" t="str">
        <x:v>研究生宿舍楼发车</x:v>
      </x:c>
    </x:row>
    <x:row r="2139">
      <x:c r="A2139" s="14" t="str">
        <x:v>S0185-06</x:v>
      </x:c>
      <x:c r="B2139" s="14" t="str">
        <x:v>S0185</x:v>
      </x:c>
      <x:c r="C2139" s="14" t="str">
        <x:v>周末/节假日</x:v>
      </x:c>
      <x:c r="D2139" s="14" t="str">
        <x:v>环线3路</x:v>
      </x:c>
      <x:c r="E2139" s="14" t="str">
        <x:v>第二班</x:v>
      </x:c>
      <x:c r="F2139" s="14" t="n">
        <x:v>6</x:v>
      </x:c>
      <x:c r="G2139" s="14" t="str">
        <x:v>15:10</x:v>
      </x:c>
      <x:c r="H2139" s="14" t="str">
        <x:v>研究生宿舍楼</x:v>
      </x:c>
      <x:c r="I2139" s="14" t="str">
        <x:v>否</x:v>
      </x:c>
      <x:c r="J2139" s="14" t="n">
        <x:v>6</x:v>
      </x:c>
      <x:c r="K2139" s="14" t="str">
        <x:v>激光所</x:v>
      </x:c>
      <x:c r="L2139" s="14" t="n">
        <x:v>7</x:v>
      </x:c>
      <x:c r="M2139" s="14" t="str">
        <x:v>15:17</x:v>
      </x:c>
      <x:c r="N2139" s="14" t="str">
        <x:v>否</x:v>
      </x:c>
      <x:c r="O2139" s="14" t="str">
        <x:v>否</x:v>
      </x:c>
      <x:c r="P2139" s="14" t="str">
        <x:v>夏文新</x:v>
      </x:c>
      <x:c r="Q2139" s="14" t="str">
        <x:v>4号车</x:v>
      </x:c>
      <x:c r="R2139" s="14" t="str">
        <x:v>预测</x:v>
      </x:c>
      <x:c r="S2139" s="14" t="str">
        <x:v>到站时间为估算值</x:v>
      </x:c>
      <x:c r="T2139" t="str">
        <x:v>研究生宿舍楼发车</x:v>
      </x:c>
    </x:row>
    <x:row r="2140">
      <x:c r="A2140" s="14" t="str">
        <x:v>S0185-07</x:v>
      </x:c>
      <x:c r="B2140" s="14" t="str">
        <x:v>S0185</x:v>
      </x:c>
      <x:c r="C2140" s="14" t="str">
        <x:v>周末/节假日</x:v>
      </x:c>
      <x:c r="D2140" s="14" t="str">
        <x:v>环线3路</x:v>
      </x:c>
      <x:c r="E2140" s="14" t="str">
        <x:v>第二班</x:v>
      </x:c>
      <x:c r="F2140" s="14" t="n">
        <x:v>6</x:v>
      </x:c>
      <x:c r="G2140" s="14" t="str">
        <x:v>15:10</x:v>
      </x:c>
      <x:c r="H2140" s="14" t="str">
        <x:v>研究生宿舍楼</x:v>
      </x:c>
      <x:c r="I2140" s="14" t="str">
        <x:v>否</x:v>
      </x:c>
      <x:c r="J2140" s="14" t="n">
        <x:v>7</x:v>
      </x:c>
      <x:c r="K2140" s="14" t="str">
        <x:v>高超楼</x:v>
      </x:c>
      <x:c r="L2140" s="14" t="n">
        <x:v>9</x:v>
      </x:c>
      <x:c r="M2140" s="14" t="str">
        <x:v>15:19</x:v>
      </x:c>
      <x:c r="N2140" s="14" t="str">
        <x:v>否</x:v>
      </x:c>
      <x:c r="O2140" s="14" t="str">
        <x:v>否</x:v>
      </x:c>
      <x:c r="P2140" s="14" t="str">
        <x:v>夏文新</x:v>
      </x:c>
      <x:c r="Q2140" s="14" t="str">
        <x:v>4号车</x:v>
      </x:c>
      <x:c r="R2140" s="14" t="str">
        <x:v>预测</x:v>
      </x:c>
      <x:c r="S2140" s="14" t="str">
        <x:v>到站时间为估算值</x:v>
      </x:c>
      <x:c r="T2140" t="str">
        <x:v>研究生宿舍楼发车</x:v>
      </x:c>
    </x:row>
    <x:row r="2141">
      <x:c r="A2141" s="14" t="str">
        <x:v>S0185-08</x:v>
      </x:c>
      <x:c r="B2141" s="14" t="str">
        <x:v>S0185</x:v>
      </x:c>
      <x:c r="C2141" s="14" t="str">
        <x:v>周末/节假日</x:v>
      </x:c>
      <x:c r="D2141" s="14" t="str">
        <x:v>环线3路</x:v>
      </x:c>
      <x:c r="E2141" s="14" t="str">
        <x:v>第二班</x:v>
      </x:c>
      <x:c r="F2141" s="14" t="n">
        <x:v>6</x:v>
      </x:c>
      <x:c r="G2141" s="14" t="str">
        <x:v>15:10</x:v>
      </x:c>
      <x:c r="H2141" s="14" t="str">
        <x:v>研究生宿舍楼</x:v>
      </x:c>
      <x:c r="I2141" s="14" t="str">
        <x:v>否</x:v>
      </x:c>
      <x:c r="J2141" s="14" t="n">
        <x:v>8</x:v>
      </x:c>
      <x:c r="K2141" s="14" t="str">
        <x:v>理学院</x:v>
      </x:c>
      <x:c r="L2141" s="14" t="n">
        <x:v>10</x:v>
      </x:c>
      <x:c r="M2141" s="14" t="str">
        <x:v>15:20</x:v>
      </x:c>
      <x:c r="N2141" s="14" t="str">
        <x:v>否</x:v>
      </x:c>
      <x:c r="O2141" s="14" t="str">
        <x:v>否</x:v>
      </x:c>
      <x:c r="P2141" s="14" t="str">
        <x:v>夏文新</x:v>
      </x:c>
      <x:c r="Q2141" s="14" t="str">
        <x:v>4号车</x:v>
      </x:c>
      <x:c r="R2141" s="14" t="str">
        <x:v>预测</x:v>
      </x:c>
      <x:c r="S2141" s="14" t="str">
        <x:v>到站时间为估算值</x:v>
      </x:c>
      <x:c r="T2141" t="str">
        <x:v>研究生宿舍楼发车</x:v>
      </x:c>
    </x:row>
    <x:row r="2142">
      <x:c r="A2142" s="14" t="str">
        <x:v>S0185-09</x:v>
      </x:c>
      <x:c r="B2142" s="14" t="str">
        <x:v>S0185</x:v>
      </x:c>
      <x:c r="C2142" s="14" t="str">
        <x:v>周末/节假日</x:v>
      </x:c>
      <x:c r="D2142" s="14" t="str">
        <x:v>环线3路</x:v>
      </x:c>
      <x:c r="E2142" s="14" t="str">
        <x:v>第二班</x:v>
      </x:c>
      <x:c r="F2142" s="14" t="n">
        <x:v>6</x:v>
      </x:c>
      <x:c r="G2142" s="14" t="str">
        <x:v>15:10</x:v>
      </x:c>
      <x:c r="H2142" s="14" t="str">
        <x:v>研究生宿舍楼</x:v>
      </x:c>
      <x:c r="I2142" s="14" t="str">
        <x:v>否</x:v>
      </x:c>
      <x:c r="J2142" s="14" t="n">
        <x:v>9</x:v>
      </x:c>
      <x:c r="K2142" s="14" t="str">
        <x:v>二食堂</x:v>
      </x:c>
      <x:c r="L2142" s="14" t="n">
        <x:v>13</x:v>
      </x:c>
      <x:c r="M2142" s="14" t="str">
        <x:v>15:23</x:v>
      </x:c>
      <x:c r="N2142" s="14" t="str">
        <x:v>否</x:v>
      </x:c>
      <x:c r="O2142" s="14" t="str">
        <x:v>否</x:v>
      </x:c>
      <x:c r="P2142" s="14" t="str">
        <x:v>夏文新</x:v>
      </x:c>
      <x:c r="Q2142" s="14" t="str">
        <x:v>4号车</x:v>
      </x:c>
      <x:c r="R2142" s="14" t="str">
        <x:v>预测</x:v>
      </x:c>
      <x:c r="S2142" s="14" t="str">
        <x:v>到站时间为估算值</x:v>
      </x:c>
      <x:c r="T2142" t="str">
        <x:v>研究生宿舍楼发车</x:v>
      </x:c>
    </x:row>
    <x:row r="2143">
      <x:c r="A2143" s="14" t="str">
        <x:v>S0185-10</x:v>
      </x:c>
      <x:c r="B2143" s="14" t="str">
        <x:v>S0185</x:v>
      </x:c>
      <x:c r="C2143" s="14" t="str">
        <x:v>周末/节假日</x:v>
      </x:c>
      <x:c r="D2143" s="14" t="str">
        <x:v>环线3路</x:v>
      </x:c>
      <x:c r="E2143" s="14" t="str">
        <x:v>第二班</x:v>
      </x:c>
      <x:c r="F2143" s="14" t="n">
        <x:v>6</x:v>
      </x:c>
      <x:c r="G2143" s="14" t="str">
        <x:v>15:10</x:v>
      </x:c>
      <x:c r="H2143" s="14" t="str">
        <x:v>研究生宿舍楼</x:v>
      </x:c>
      <x:c r="I2143" s="14" t="str">
        <x:v>否</x:v>
      </x:c>
      <x:c r="J2143" s="14" t="n">
        <x:v>10</x:v>
      </x:c>
      <x:c r="K2143" s="14" t="str">
        <x:v>图书馆</x:v>
      </x:c>
      <x:c r="L2143" s="14" t="n">
        <x:v>14</x:v>
      </x:c>
      <x:c r="M2143" s="14" t="str">
        <x:v>15:24</x:v>
      </x:c>
      <x:c r="N2143" s="14" t="str">
        <x:v>否</x:v>
      </x:c>
      <x:c r="O2143" s="14" t="str">
        <x:v>否</x:v>
      </x:c>
      <x:c r="P2143" s="14" t="str">
        <x:v>夏文新</x:v>
      </x:c>
      <x:c r="Q2143" s="14" t="str">
        <x:v>4号车</x:v>
      </x:c>
      <x:c r="R2143" s="14" t="str">
        <x:v>预测</x:v>
      </x:c>
      <x:c r="S2143" s="14" t="str">
        <x:v>到站时间为估算值</x:v>
      </x:c>
      <x:c r="T2143" t="str">
        <x:v>研究生宿舍楼发车</x:v>
      </x:c>
    </x:row>
    <x:row r="2144">
      <x:c r="A2144" s="14" t="str">
        <x:v>S0185-11</x:v>
      </x:c>
      <x:c r="B2144" s="14" t="str">
        <x:v>S0185</x:v>
      </x:c>
      <x:c r="C2144" s="14" t="str">
        <x:v>周末/节假日</x:v>
      </x:c>
      <x:c r="D2144" s="14" t="str">
        <x:v>环线3路</x:v>
      </x:c>
      <x:c r="E2144" s="14" t="str">
        <x:v>第二班</x:v>
      </x:c>
      <x:c r="F2144" s="14" t="n">
        <x:v>6</x:v>
      </x:c>
      <x:c r="G2144" s="14" t="str">
        <x:v>15:10</x:v>
      </x:c>
      <x:c r="H2144" s="14" t="str">
        <x:v>研究生宿舍楼</x:v>
      </x:c>
      <x:c r="I2144" s="14" t="str">
        <x:v>否</x:v>
      </x:c>
      <x:c r="J2144" s="14" t="n">
        <x:v>11</x:v>
      </x:c>
      <x:c r="K2144" s="14" t="str">
        <x:v>305教学楼</x:v>
      </x:c>
      <x:c r="L2144" s="14" t="n">
        <x:v>16</x:v>
      </x:c>
      <x:c r="M2144" s="14" t="str">
        <x:v>15:26</x:v>
      </x:c>
      <x:c r="N2144" s="14" t="str">
        <x:v>否</x:v>
      </x:c>
      <x:c r="O2144" s="14" t="str">
        <x:v>否</x:v>
      </x:c>
      <x:c r="P2144" s="14" t="str">
        <x:v>夏文新</x:v>
      </x:c>
      <x:c r="Q2144" s="14" t="str">
        <x:v>4号车</x:v>
      </x:c>
      <x:c r="R2144" s="14" t="str">
        <x:v>预测</x:v>
      </x:c>
      <x:c r="S2144" s="14" t="str">
        <x:v>到站时间为估算值</x:v>
      </x:c>
      <x:c r="T2144" t="str">
        <x:v>研究生宿舍楼发车</x:v>
      </x:c>
    </x:row>
    <x:row r="2145">
      <x:c r="A2145" s="14" t="str">
        <x:v>S0185-12</x:v>
      </x:c>
      <x:c r="B2145" s="14" t="str">
        <x:v>S0185</x:v>
      </x:c>
      <x:c r="C2145" s="14" t="str">
        <x:v>周末/节假日</x:v>
      </x:c>
      <x:c r="D2145" s="14" t="str">
        <x:v>环线3路</x:v>
      </x:c>
      <x:c r="E2145" s="14" t="str">
        <x:v>第二班</x:v>
      </x:c>
      <x:c r="F2145" s="14" t="n">
        <x:v>6</x:v>
      </x:c>
      <x:c r="G2145" s="14" t="str">
        <x:v>15:10</x:v>
      </x:c>
      <x:c r="H2145" s="14" t="str">
        <x:v>研究生宿舍楼</x:v>
      </x:c>
      <x:c r="I2145" s="14" t="str">
        <x:v>否</x:v>
      </x:c>
      <x:c r="J2145" s="14" t="n">
        <x:v>12</x:v>
      </x:c>
      <x:c r="K2145" s="14" t="str">
        <x:v>研究生宿舍楼</x:v>
      </x:c>
      <x:c r="L2145" s="14" t="n">
        <x:v>18</x:v>
      </x:c>
      <x:c r="M2145" s="14" t="str">
        <x:v>15:28</x:v>
      </x:c>
      <x:c r="N2145" s="14" t="str">
        <x:v>否</x:v>
      </x:c>
      <x:c r="O2145" s="14" t="str">
        <x:v>是</x:v>
      </x:c>
      <x:c r="P2145" s="14" t="str">
        <x:v>夏文新</x:v>
      </x:c>
      <x:c r="Q2145" s="14" t="str">
        <x:v>4号车</x:v>
      </x:c>
      <x:c r="R2145" s="14" t="str">
        <x:v>预测</x:v>
      </x:c>
      <x:c r="S2145" s="14" t="str">
        <x:v>到站时间为估算值</x:v>
      </x:c>
      <x:c r="T2145" t="str">
        <x:v>研究生宿舍楼发车</x:v>
      </x:c>
    </x:row>
    <x:row r="2146">
      <x:c r="A2146" s="14" t="str">
        <x:v>S0186-01</x:v>
      </x:c>
      <x:c r="B2146" s="14" t="str">
        <x:v>S0186</x:v>
      </x:c>
      <x:c r="C2146" s="14" t="str">
        <x:v>周末/节假日</x:v>
      </x:c>
      <x:c r="D2146" s="14" t="str">
        <x:v>环线3路</x:v>
      </x:c>
      <x:c r="E2146" s="14" t="str">
        <x:v>第二班</x:v>
      </x:c>
      <x:c r="F2146" s="14" t="n">
        <x:v>7</x:v>
      </x:c>
      <x:c r="G2146" s="14" t="str">
        <x:v>16:50</x:v>
      </x:c>
      <x:c r="H2146" s="14" t="str">
        <x:v>高超楼（系统工程学院旁）</x:v>
      </x:c>
      <x:c r="I2146" s="14" t="str">
        <x:v>是</x:v>
      </x:c>
      <x:c r="J2146" s="14" t="n">
        <x:v>1</x:v>
      </x:c>
      <x:c r="K2146" s="14" t="str">
        <x:v>高超楼</x:v>
      </x:c>
      <x:c r="L2146" s="14" t="n">
        <x:v>0</x:v>
      </x:c>
      <x:c r="M2146" s="14" t="str">
        <x:v>16:50</x:v>
      </x:c>
      <x:c r="N2146" s="14" t="str">
        <x:v>是</x:v>
      </x:c>
      <x:c r="O2146" s="14" t="str">
        <x:v>否</x:v>
      </x:c>
      <x:c r="P2146" s="14" t="str">
        <x:v>夏文新</x:v>
      </x:c>
      <x:c r="Q2146" s="14" t="str">
        <x:v>4号车</x:v>
      </x:c>
      <x:c r="R2146" s="14" t="str">
        <x:v>预测</x:v>
      </x:c>
      <x:c r="S2146" s="14" t="str">
        <x:v>到站时间为估算值</x:v>
      </x:c>
      <x:c r="T2146" t="str">
        <x:v>高超楼发车</x:v>
      </x:c>
    </x:row>
    <x:row r="2147">
      <x:c r="A2147" s="14" t="str">
        <x:v>S0186-02</x:v>
      </x:c>
      <x:c r="B2147" s="14" t="str">
        <x:v>S0186</x:v>
      </x:c>
      <x:c r="C2147" s="14" t="str">
        <x:v>周末/节假日</x:v>
      </x:c>
      <x:c r="D2147" s="14" t="str">
        <x:v>环线3路</x:v>
      </x:c>
      <x:c r="E2147" s="14" t="str">
        <x:v>第二班</x:v>
      </x:c>
      <x:c r="F2147" s="14" t="n">
        <x:v>7</x:v>
      </x:c>
      <x:c r="G2147" s="14" t="str">
        <x:v>16:50</x:v>
      </x:c>
      <x:c r="H2147" s="14" t="str">
        <x:v>高超楼（系统工程学院旁）</x:v>
      </x:c>
      <x:c r="I2147" s="14" t="str">
        <x:v>是</x:v>
      </x:c>
      <x:c r="J2147" s="14" t="n">
        <x:v>2</x:v>
      </x:c>
      <x:c r="K2147" s="14" t="str">
        <x:v>理学院</x:v>
      </x:c>
      <x:c r="L2147" s="14" t="n">
        <x:v>1</x:v>
      </x:c>
      <x:c r="M2147" s="14" t="str">
        <x:v>16:51</x:v>
      </x:c>
      <x:c r="N2147" s="14" t="str">
        <x:v>否</x:v>
      </x:c>
      <x:c r="O2147" s="14" t="str">
        <x:v>否</x:v>
      </x:c>
      <x:c r="P2147" s="14" t="str">
        <x:v>夏文新</x:v>
      </x:c>
      <x:c r="Q2147" s="14" t="str">
        <x:v>4号车</x:v>
      </x:c>
      <x:c r="R2147" s="14" t="str">
        <x:v>预测</x:v>
      </x:c>
      <x:c r="S2147" s="14" t="str">
        <x:v>到站时间为估算值</x:v>
      </x:c>
      <x:c r="T2147" t="str">
        <x:v>高超楼发车</x:v>
      </x:c>
    </x:row>
    <x:row r="2148">
      <x:c r="A2148" s="14" t="str">
        <x:v>S0186-03</x:v>
      </x:c>
      <x:c r="B2148" s="14" t="str">
        <x:v>S0186</x:v>
      </x:c>
      <x:c r="C2148" s="14" t="str">
        <x:v>周末/节假日</x:v>
      </x:c>
      <x:c r="D2148" s="14" t="str">
        <x:v>环线3路</x:v>
      </x:c>
      <x:c r="E2148" s="14" t="str">
        <x:v>第二班</x:v>
      </x:c>
      <x:c r="F2148" s="14" t="n">
        <x:v>7</x:v>
      </x:c>
      <x:c r="G2148" s="14" t="str">
        <x:v>16:50</x:v>
      </x:c>
      <x:c r="H2148" s="14" t="str">
        <x:v>高超楼（系统工程学院旁）</x:v>
      </x:c>
      <x:c r="I2148" s="14" t="str">
        <x:v>是</x:v>
      </x:c>
      <x:c r="J2148" s="14" t="n">
        <x:v>3</x:v>
      </x:c>
      <x:c r="K2148" s="14" t="str">
        <x:v>二食堂</x:v>
      </x:c>
      <x:c r="L2148" s="14" t="n">
        <x:v>4</x:v>
      </x:c>
      <x:c r="M2148" s="14" t="str">
        <x:v>16:54</x:v>
      </x:c>
      <x:c r="N2148" s="14" t="str">
        <x:v>否</x:v>
      </x:c>
      <x:c r="O2148" s="14" t="str">
        <x:v>否</x:v>
      </x:c>
      <x:c r="P2148" s="14" t="str">
        <x:v>夏文新</x:v>
      </x:c>
      <x:c r="Q2148" s="14" t="str">
        <x:v>4号车</x:v>
      </x:c>
      <x:c r="R2148" s="14" t="str">
        <x:v>预测</x:v>
      </x:c>
      <x:c r="S2148" s="14" t="str">
        <x:v>到站时间为估算值</x:v>
      </x:c>
      <x:c r="T2148" t="str">
        <x:v>高超楼发车</x:v>
      </x:c>
    </x:row>
    <x:row r="2149">
      <x:c r="A2149" s="14" t="str">
        <x:v>S0186-04</x:v>
      </x:c>
      <x:c r="B2149" s="14" t="str">
        <x:v>S0186</x:v>
      </x:c>
      <x:c r="C2149" s="14" t="str">
        <x:v>周末/节假日</x:v>
      </x:c>
      <x:c r="D2149" s="14" t="str">
        <x:v>环线3路</x:v>
      </x:c>
      <x:c r="E2149" s="14" t="str">
        <x:v>第二班</x:v>
      </x:c>
      <x:c r="F2149" s="14" t="n">
        <x:v>7</x:v>
      </x:c>
      <x:c r="G2149" s="14" t="str">
        <x:v>16:50</x:v>
      </x:c>
      <x:c r="H2149" s="14" t="str">
        <x:v>高超楼（系统工程学院旁）</x:v>
      </x:c>
      <x:c r="I2149" s="14" t="str">
        <x:v>是</x:v>
      </x:c>
      <x:c r="J2149" s="14" t="n">
        <x:v>4</x:v>
      </x:c>
      <x:c r="K2149" s="14" t="str">
        <x:v>图书馆</x:v>
      </x:c>
      <x:c r="L2149" s="14" t="n">
        <x:v>5</x:v>
      </x:c>
      <x:c r="M2149" s="14" t="str">
        <x:v>16:55</x:v>
      </x:c>
      <x:c r="N2149" s="14" t="str">
        <x:v>否</x:v>
      </x:c>
      <x:c r="O2149" s="14" t="str">
        <x:v>否</x:v>
      </x:c>
      <x:c r="P2149" s="14" t="str">
        <x:v>夏文新</x:v>
      </x:c>
      <x:c r="Q2149" s="14" t="str">
        <x:v>4号车</x:v>
      </x:c>
      <x:c r="R2149" s="14" t="str">
        <x:v>预测</x:v>
      </x:c>
      <x:c r="S2149" s="14" t="str">
        <x:v>到站时间为估算值</x:v>
      </x:c>
      <x:c r="T2149" t="str">
        <x:v>高超楼发车</x:v>
      </x:c>
    </x:row>
    <x:row r="2150">
      <x:c r="A2150" s="14" t="str">
        <x:v>S0186-05</x:v>
      </x:c>
      <x:c r="B2150" s="14" t="str">
        <x:v>S0186</x:v>
      </x:c>
      <x:c r="C2150" s="14" t="str">
        <x:v>周末/节假日</x:v>
      </x:c>
      <x:c r="D2150" s="14" t="str">
        <x:v>环线3路</x:v>
      </x:c>
      <x:c r="E2150" s="14" t="str">
        <x:v>第二班</x:v>
      </x:c>
      <x:c r="F2150" s="14" t="n">
        <x:v>7</x:v>
      </x:c>
      <x:c r="G2150" s="14" t="str">
        <x:v>16:50</x:v>
      </x:c>
      <x:c r="H2150" s="14" t="str">
        <x:v>高超楼（系统工程学院旁）</x:v>
      </x:c>
      <x:c r="I2150" s="14" t="str">
        <x:v>是</x:v>
      </x:c>
      <x:c r="J2150" s="14" t="n">
        <x:v>5</x:v>
      </x:c>
      <x:c r="K2150" s="14" t="str">
        <x:v>305教学楼</x:v>
      </x:c>
      <x:c r="L2150" s="14" t="n">
        <x:v>7</x:v>
      </x:c>
      <x:c r="M2150" s="14" t="str">
        <x:v>16:57</x:v>
      </x:c>
      <x:c r="N2150" s="14" t="str">
        <x:v>否</x:v>
      </x:c>
      <x:c r="O2150" s="14" t="str">
        <x:v>否</x:v>
      </x:c>
      <x:c r="P2150" s="14" t="str">
        <x:v>夏文新</x:v>
      </x:c>
      <x:c r="Q2150" s="14" t="str">
        <x:v>4号车</x:v>
      </x:c>
      <x:c r="R2150" s="14" t="str">
        <x:v>预测</x:v>
      </x:c>
      <x:c r="S2150" s="14" t="str">
        <x:v>到站时间为估算值</x:v>
      </x:c>
      <x:c r="T2150" t="str">
        <x:v>高超楼发车</x:v>
      </x:c>
    </x:row>
    <x:row r="2151">
      <x:c r="A2151" s="14" t="str">
        <x:v>S0186-06</x:v>
      </x:c>
      <x:c r="B2151" s="14" t="str">
        <x:v>S0186</x:v>
      </x:c>
      <x:c r="C2151" s="14" t="str">
        <x:v>周末/节假日</x:v>
      </x:c>
      <x:c r="D2151" s="14" t="str">
        <x:v>环线3路</x:v>
      </x:c>
      <x:c r="E2151" s="14" t="str">
        <x:v>第二班</x:v>
      </x:c>
      <x:c r="F2151" s="14" t="n">
        <x:v>7</x:v>
      </x:c>
      <x:c r="G2151" s="14" t="str">
        <x:v>16:50</x:v>
      </x:c>
      <x:c r="H2151" s="14" t="str">
        <x:v>高超楼（系统工程学院旁）</x:v>
      </x:c>
      <x:c r="I2151" s="14" t="str">
        <x:v>是</x:v>
      </x:c>
      <x:c r="J2151" s="14" t="n">
        <x:v>6</x:v>
      </x:c>
      <x:c r="K2151" s="14" t="str">
        <x:v>研究生宿舍楼</x:v>
      </x:c>
      <x:c r="L2151" s="14" t="n">
        <x:v>9</x:v>
      </x:c>
      <x:c r="M2151" s="14" t="str">
        <x:v>16:59</x:v>
      </x:c>
      <x:c r="N2151" s="14" t="str">
        <x:v>否</x:v>
      </x:c>
      <x:c r="O2151" s="14" t="str">
        <x:v>否</x:v>
      </x:c>
      <x:c r="P2151" s="14" t="str">
        <x:v>夏文新</x:v>
      </x:c>
      <x:c r="Q2151" s="14" t="str">
        <x:v>4号车</x:v>
      </x:c>
      <x:c r="R2151" s="14" t="str">
        <x:v>预测</x:v>
      </x:c>
      <x:c r="S2151" s="14" t="str">
        <x:v>到站时间为估算值</x:v>
      </x:c>
      <x:c r="T2151" t="str">
        <x:v>高超楼发车</x:v>
      </x:c>
    </x:row>
    <x:row r="2152">
      <x:c r="A2152" s="14" t="str">
        <x:v>S0186-07</x:v>
      </x:c>
      <x:c r="B2152" s="14" t="str">
        <x:v>S0186</x:v>
      </x:c>
      <x:c r="C2152" s="14" t="str">
        <x:v>周末/节假日</x:v>
      </x:c>
      <x:c r="D2152" s="14" t="str">
        <x:v>环线3路</x:v>
      </x:c>
      <x:c r="E2152" s="14" t="str">
        <x:v>第二班</x:v>
      </x:c>
      <x:c r="F2152" s="14" t="n">
        <x:v>7</x:v>
      </x:c>
      <x:c r="G2152" s="14" t="str">
        <x:v>16:50</x:v>
      </x:c>
      <x:c r="H2152" s="14" t="str">
        <x:v>高超楼（系统工程学院旁）</x:v>
      </x:c>
      <x:c r="I2152" s="14" t="str">
        <x:v>是</x:v>
      </x:c>
      <x:c r="J2152" s="14" t="n">
        <x:v>7</x:v>
      </x:c>
      <x:c r="K2152" s="14" t="str">
        <x:v>一食堂</x:v>
      </x:c>
      <x:c r="L2152" s="14" t="n">
        <x:v>10</x:v>
      </x:c>
      <x:c r="M2152" s="14" t="str">
        <x:v>17:00</x:v>
      </x:c>
      <x:c r="N2152" s="14" t="str">
        <x:v>否</x:v>
      </x:c>
      <x:c r="O2152" s="14" t="str">
        <x:v>否</x:v>
      </x:c>
      <x:c r="P2152" s="14" t="str">
        <x:v>夏文新</x:v>
      </x:c>
      <x:c r="Q2152" s="14" t="str">
        <x:v>4号车</x:v>
      </x:c>
      <x:c r="R2152" s="14" t="str">
        <x:v>预测</x:v>
      </x:c>
      <x:c r="S2152" s="14" t="str">
        <x:v>到站时间为估算值</x:v>
      </x:c>
      <x:c r="T2152" t="str">
        <x:v>高超楼发车</x:v>
      </x:c>
    </x:row>
    <x:row r="2153">
      <x:c r="A2153" s="14" t="str">
        <x:v>S0186-08</x:v>
      </x:c>
      <x:c r="B2153" s="14" t="str">
        <x:v>S0186</x:v>
      </x:c>
      <x:c r="C2153" s="14" t="str">
        <x:v>周末/节假日</x:v>
      </x:c>
      <x:c r="D2153" s="14" t="str">
        <x:v>环线3路</x:v>
      </x:c>
      <x:c r="E2153" s="14" t="str">
        <x:v>第二班</x:v>
      </x:c>
      <x:c r="F2153" s="14" t="n">
        <x:v>7</x:v>
      </x:c>
      <x:c r="G2153" s="14" t="str">
        <x:v>16:50</x:v>
      </x:c>
      <x:c r="H2153" s="14" t="str">
        <x:v>高超楼（系统工程学院旁）</x:v>
      </x:c>
      <x:c r="I2153" s="14" t="str">
        <x:v>是</x:v>
      </x:c>
      <x:c r="J2153" s="14" t="n">
        <x:v>8</x:v>
      </x:c>
      <x:c r="K2153" s="14" t="str">
        <x:v>2号宿舍楼</x:v>
      </x:c>
      <x:c r="L2153" s="14" t="n">
        <x:v>12</x:v>
      </x:c>
      <x:c r="M2153" s="14" t="str">
        <x:v>17:02</x:v>
      </x:c>
      <x:c r="N2153" s="14" t="str">
        <x:v>否</x:v>
      </x:c>
      <x:c r="O2153" s="14" t="str">
        <x:v>否</x:v>
      </x:c>
      <x:c r="P2153" s="14" t="str">
        <x:v>夏文新</x:v>
      </x:c>
      <x:c r="Q2153" s="14" t="str">
        <x:v>4号车</x:v>
      </x:c>
      <x:c r="R2153" s="14" t="str">
        <x:v>预测</x:v>
      </x:c>
      <x:c r="S2153" s="14" t="str">
        <x:v>到站时间为估算值</x:v>
      </x:c>
      <x:c r="T2153" t="str">
        <x:v>高超楼发车</x:v>
      </x:c>
    </x:row>
    <x:row r="2154">
      <x:c r="A2154" s="14" t="str">
        <x:v>S0186-09</x:v>
      </x:c>
      <x:c r="B2154" s="14" t="str">
        <x:v>S0186</x:v>
      </x:c>
      <x:c r="C2154" s="14" t="str">
        <x:v>周末/节假日</x:v>
      </x:c>
      <x:c r="D2154" s="14" t="str">
        <x:v>环线3路</x:v>
      </x:c>
      <x:c r="E2154" s="14" t="str">
        <x:v>第二班</x:v>
      </x:c>
      <x:c r="F2154" s="14" t="n">
        <x:v>7</x:v>
      </x:c>
      <x:c r="G2154" s="14" t="str">
        <x:v>16:50</x:v>
      </x:c>
      <x:c r="H2154" s="14" t="str">
        <x:v>高超楼（系统工程学院旁）</x:v>
      </x:c>
      <x:c r="I2154" s="14" t="str">
        <x:v>是</x:v>
      </x:c>
      <x:c r="J2154" s="14" t="n">
        <x:v>9</x:v>
      </x:c>
      <x:c r="K2154" s="14" t="str">
        <x:v>军体活动中心</x:v>
      </x:c>
      <x:c r="L2154" s="14" t="n">
        <x:v>13</x:v>
      </x:c>
      <x:c r="M2154" s="14" t="str">
        <x:v>17:03</x:v>
      </x:c>
      <x:c r="N2154" s="14" t="str">
        <x:v>否</x:v>
      </x:c>
      <x:c r="O2154" s="14" t="str">
        <x:v>否</x:v>
      </x:c>
      <x:c r="P2154" s="14" t="str">
        <x:v>夏文新</x:v>
      </x:c>
      <x:c r="Q2154" s="14" t="str">
        <x:v>4号车</x:v>
      </x:c>
      <x:c r="R2154" s="14" t="str">
        <x:v>预测</x:v>
      </x:c>
      <x:c r="S2154" s="14" t="str">
        <x:v>到站时间为估算值</x:v>
      </x:c>
      <x:c r="T2154" t="str">
        <x:v>高超楼发车</x:v>
      </x:c>
    </x:row>
    <x:row r="2155">
      <x:c r="A2155" s="14" t="str">
        <x:v>S0186-10</x:v>
      </x:c>
      <x:c r="B2155" s="14" t="str">
        <x:v>S0186</x:v>
      </x:c>
      <x:c r="C2155" s="14" t="str">
        <x:v>周末/节假日</x:v>
      </x:c>
      <x:c r="D2155" s="14" t="str">
        <x:v>环线3路</x:v>
      </x:c>
      <x:c r="E2155" s="14" t="str">
        <x:v>第二班</x:v>
      </x:c>
      <x:c r="F2155" s="14" t="n">
        <x:v>7</x:v>
      </x:c>
      <x:c r="G2155" s="14" t="str">
        <x:v>16:50</x:v>
      </x:c>
      <x:c r="H2155" s="14" t="str">
        <x:v>高超楼（系统工程学院旁）</x:v>
      </x:c>
      <x:c r="I2155" s="14" t="str">
        <x:v>是</x:v>
      </x:c>
      <x:c r="J2155" s="14" t="n">
        <x:v>10</x:v>
      </x:c>
      <x:c r="K2155" s="14" t="str">
        <x:v>教勤连</x:v>
      </x:c>
      <x:c r="L2155" s="14" t="n">
        <x:v>15</x:v>
      </x:c>
      <x:c r="M2155" s="14" t="str">
        <x:v>17:05</x:v>
      </x:c>
      <x:c r="N2155" s="14" t="str">
        <x:v>否</x:v>
      </x:c>
      <x:c r="O2155" s="14" t="str">
        <x:v>否</x:v>
      </x:c>
      <x:c r="P2155" s="14" t="str">
        <x:v>夏文新</x:v>
      </x:c>
      <x:c r="Q2155" s="14" t="str">
        <x:v>4号车</x:v>
      </x:c>
      <x:c r="R2155" s="14" t="str">
        <x:v>预测</x:v>
      </x:c>
      <x:c r="S2155" s="14" t="str">
        <x:v>到站时间为估算值</x:v>
      </x:c>
      <x:c r="T2155" t="str">
        <x:v>高超楼发车</x:v>
      </x:c>
    </x:row>
    <x:row r="2156">
      <x:c r="A2156" s="14" t="str">
        <x:v>S0186-11</x:v>
      </x:c>
      <x:c r="B2156" s="14" t="str">
        <x:v>S0186</x:v>
      </x:c>
      <x:c r="C2156" s="14" t="str">
        <x:v>周末/节假日</x:v>
      </x:c>
      <x:c r="D2156" s="14" t="str">
        <x:v>环线3路</x:v>
      </x:c>
      <x:c r="E2156" s="14" t="str">
        <x:v>第二班</x:v>
      </x:c>
      <x:c r="F2156" s="14" t="n">
        <x:v>7</x:v>
      </x:c>
      <x:c r="G2156" s="14" t="str">
        <x:v>16:50</x:v>
      </x:c>
      <x:c r="H2156" s="14" t="str">
        <x:v>高超楼（系统工程学院旁）</x:v>
      </x:c>
      <x:c r="I2156" s="14" t="str">
        <x:v>是</x:v>
      </x:c>
      <x:c r="J2156" s="14" t="n">
        <x:v>11</x:v>
      </x:c>
      <x:c r="K2156" s="14" t="str">
        <x:v>激光所</x:v>
      </x:c>
      <x:c r="L2156" s="14" t="n">
        <x:v>16</x:v>
      </x:c>
      <x:c r="M2156" s="14" t="str">
        <x:v>17:06</x:v>
      </x:c>
      <x:c r="N2156" s="14" t="str">
        <x:v>否</x:v>
      </x:c>
      <x:c r="O2156" s="14" t="str">
        <x:v>否</x:v>
      </x:c>
      <x:c r="P2156" s="14" t="str">
        <x:v>夏文新</x:v>
      </x:c>
      <x:c r="Q2156" s="14" t="str">
        <x:v>4号车</x:v>
      </x:c>
      <x:c r="R2156" s="14" t="str">
        <x:v>预测</x:v>
      </x:c>
      <x:c r="S2156" s="14" t="str">
        <x:v>到站时间为估算值</x:v>
      </x:c>
      <x:c r="T2156" t="str">
        <x:v>高超楼发车</x:v>
      </x:c>
    </x:row>
    <x:row r="2157">
      <x:c r="A2157" s="14" t="str">
        <x:v>S0186-12</x:v>
      </x:c>
      <x:c r="B2157" s="14" t="str">
        <x:v>S0186</x:v>
      </x:c>
      <x:c r="C2157" s="14" t="str">
        <x:v>周末/节假日</x:v>
      </x:c>
      <x:c r="D2157" s="14" t="str">
        <x:v>环线3路</x:v>
      </x:c>
      <x:c r="E2157" s="14" t="str">
        <x:v>第二班</x:v>
      </x:c>
      <x:c r="F2157" s="14" t="n">
        <x:v>7</x:v>
      </x:c>
      <x:c r="G2157" s="14" t="str">
        <x:v>16:50</x:v>
      </x:c>
      <x:c r="H2157" s="14" t="str">
        <x:v>高超楼（系统工程学院旁）</x:v>
      </x:c>
      <x:c r="I2157" s="14" t="str">
        <x:v>是</x:v>
      </x:c>
      <x:c r="J2157" s="14" t="n">
        <x:v>12</x:v>
      </x:c>
      <x:c r="K2157" s="14" t="str">
        <x:v>高超楼</x:v>
      </x:c>
      <x:c r="L2157" s="14" t="n">
        <x:v>18</x:v>
      </x:c>
      <x:c r="M2157" s="14" t="str">
        <x:v>17:08</x:v>
      </x:c>
      <x:c r="N2157" s="14" t="str">
        <x:v>否</x:v>
      </x:c>
      <x:c r="O2157" s="14" t="str">
        <x:v>是</x:v>
      </x:c>
      <x:c r="P2157" s="14" t="str">
        <x:v>夏文新</x:v>
      </x:c>
      <x:c r="Q2157" s="14" t="str">
        <x:v>4号车</x:v>
      </x:c>
      <x:c r="R2157" s="14" t="str">
        <x:v>预测</x:v>
      </x:c>
      <x:c r="S2157" s="14" t="str">
        <x:v>到站时间为估算值</x:v>
      </x:c>
      <x:c r="T2157" t="str">
        <x:v>高超楼发车</x:v>
      </x:c>
    </x:row>
    <x:row r="2158">
      <x:c r="A2158" s="14" t="str">
        <x:v>S0187-01</x:v>
      </x:c>
      <x:c r="B2158" s="14" t="str">
        <x:v>S0187</x:v>
      </x:c>
      <x:c r="C2158" s="14" t="str">
        <x:v>周末/节假日</x:v>
      </x:c>
      <x:c r="D2158" s="14" t="str">
        <x:v>环线3路</x:v>
      </x:c>
      <x:c r="E2158" s="14" t="str">
        <x:v>第二班</x:v>
      </x:c>
      <x:c r="F2158" s="14" t="n">
        <x:v>8</x:v>
      </x:c>
      <x:c r="G2158" s="14" t="str">
        <x:v>17:20</x:v>
      </x:c>
      <x:c r="H2158" s="14" t="str">
        <x:v>高超楼（系统工程学院旁）</x:v>
      </x:c>
      <x:c r="I2158" s="14" t="str">
        <x:v>是</x:v>
      </x:c>
      <x:c r="J2158" s="14" t="n">
        <x:v>1</x:v>
      </x:c>
      <x:c r="K2158" s="14" t="str">
        <x:v>高超楼</x:v>
      </x:c>
      <x:c r="L2158" s="14" t="n">
        <x:v>0</x:v>
      </x:c>
      <x:c r="M2158" s="14" t="str">
        <x:v>17:20</x:v>
      </x:c>
      <x:c r="N2158" s="14" t="str">
        <x:v>是</x:v>
      </x:c>
      <x:c r="O2158" s="14" t="str">
        <x:v>否</x:v>
      </x:c>
      <x:c r="P2158" s="14" t="str">
        <x:v>夏文新</x:v>
      </x:c>
      <x:c r="Q2158" s="14" t="str">
        <x:v>4号车</x:v>
      </x:c>
      <x:c r="R2158" s="14" t="str">
        <x:v>预测</x:v>
      </x:c>
      <x:c r="S2158" s="14" t="str">
        <x:v>到站时间为估算值</x:v>
      </x:c>
      <x:c r="T2158" t="str">
        <x:v>高超楼发车</x:v>
      </x:c>
    </x:row>
    <x:row r="2159">
      <x:c r="A2159" s="14" t="str">
        <x:v>S0187-02</x:v>
      </x:c>
      <x:c r="B2159" s="14" t="str">
        <x:v>S0187</x:v>
      </x:c>
      <x:c r="C2159" s="14" t="str">
        <x:v>周末/节假日</x:v>
      </x:c>
      <x:c r="D2159" s="14" t="str">
        <x:v>环线3路</x:v>
      </x:c>
      <x:c r="E2159" s="14" t="str">
        <x:v>第二班</x:v>
      </x:c>
      <x:c r="F2159" s="14" t="n">
        <x:v>8</x:v>
      </x:c>
      <x:c r="G2159" s="14" t="str">
        <x:v>17:20</x:v>
      </x:c>
      <x:c r="H2159" s="14" t="str">
        <x:v>高超楼（系统工程学院旁）</x:v>
      </x:c>
      <x:c r="I2159" s="14" t="str">
        <x:v>是</x:v>
      </x:c>
      <x:c r="J2159" s="14" t="n">
        <x:v>2</x:v>
      </x:c>
      <x:c r="K2159" s="14" t="str">
        <x:v>理学院</x:v>
      </x:c>
      <x:c r="L2159" s="14" t="n">
        <x:v>1</x:v>
      </x:c>
      <x:c r="M2159" s="14" t="str">
        <x:v>17:21</x:v>
      </x:c>
      <x:c r="N2159" s="14" t="str">
        <x:v>否</x:v>
      </x:c>
      <x:c r="O2159" s="14" t="str">
        <x:v>否</x:v>
      </x:c>
      <x:c r="P2159" s="14" t="str">
        <x:v>夏文新</x:v>
      </x:c>
      <x:c r="Q2159" s="14" t="str">
        <x:v>4号车</x:v>
      </x:c>
      <x:c r="R2159" s="14" t="str">
        <x:v>预测</x:v>
      </x:c>
      <x:c r="S2159" s="14" t="str">
        <x:v>到站时间为估算值</x:v>
      </x:c>
      <x:c r="T2159" t="str">
        <x:v>高超楼发车</x:v>
      </x:c>
    </x:row>
    <x:row r="2160">
      <x:c r="A2160" s="14" t="str">
        <x:v>S0187-03</x:v>
      </x:c>
      <x:c r="B2160" s="14" t="str">
        <x:v>S0187</x:v>
      </x:c>
      <x:c r="C2160" s="14" t="str">
        <x:v>周末/节假日</x:v>
      </x:c>
      <x:c r="D2160" s="14" t="str">
        <x:v>环线3路</x:v>
      </x:c>
      <x:c r="E2160" s="14" t="str">
        <x:v>第二班</x:v>
      </x:c>
      <x:c r="F2160" s="14" t="n">
        <x:v>8</x:v>
      </x:c>
      <x:c r="G2160" s="14" t="str">
        <x:v>17:20</x:v>
      </x:c>
      <x:c r="H2160" s="14" t="str">
        <x:v>高超楼（系统工程学院旁）</x:v>
      </x:c>
      <x:c r="I2160" s="14" t="str">
        <x:v>是</x:v>
      </x:c>
      <x:c r="J2160" s="14" t="n">
        <x:v>3</x:v>
      </x:c>
      <x:c r="K2160" s="14" t="str">
        <x:v>二食堂</x:v>
      </x:c>
      <x:c r="L2160" s="14" t="n">
        <x:v>4</x:v>
      </x:c>
      <x:c r="M2160" s="14" t="str">
        <x:v>17:24</x:v>
      </x:c>
      <x:c r="N2160" s="14" t="str">
        <x:v>否</x:v>
      </x:c>
      <x:c r="O2160" s="14" t="str">
        <x:v>否</x:v>
      </x:c>
      <x:c r="P2160" s="14" t="str">
        <x:v>夏文新</x:v>
      </x:c>
      <x:c r="Q2160" s="14" t="str">
        <x:v>4号车</x:v>
      </x:c>
      <x:c r="R2160" s="14" t="str">
        <x:v>预测</x:v>
      </x:c>
      <x:c r="S2160" s="14" t="str">
        <x:v>到站时间为估算值</x:v>
      </x:c>
      <x:c r="T2160" t="str">
        <x:v>高超楼发车</x:v>
      </x:c>
    </x:row>
    <x:row r="2161">
      <x:c r="A2161" s="14" t="str">
        <x:v>S0187-04</x:v>
      </x:c>
      <x:c r="B2161" s="14" t="str">
        <x:v>S0187</x:v>
      </x:c>
      <x:c r="C2161" s="14" t="str">
        <x:v>周末/节假日</x:v>
      </x:c>
      <x:c r="D2161" s="14" t="str">
        <x:v>环线3路</x:v>
      </x:c>
      <x:c r="E2161" s="14" t="str">
        <x:v>第二班</x:v>
      </x:c>
      <x:c r="F2161" s="14" t="n">
        <x:v>8</x:v>
      </x:c>
      <x:c r="G2161" s="14" t="str">
        <x:v>17:20</x:v>
      </x:c>
      <x:c r="H2161" s="14" t="str">
        <x:v>高超楼（系统工程学院旁）</x:v>
      </x:c>
      <x:c r="I2161" s="14" t="str">
        <x:v>是</x:v>
      </x:c>
      <x:c r="J2161" s="14" t="n">
        <x:v>4</x:v>
      </x:c>
      <x:c r="K2161" s="14" t="str">
        <x:v>图书馆</x:v>
      </x:c>
      <x:c r="L2161" s="14" t="n">
        <x:v>5</x:v>
      </x:c>
      <x:c r="M2161" s="14" t="str">
        <x:v>17:25</x:v>
      </x:c>
      <x:c r="N2161" s="14" t="str">
        <x:v>否</x:v>
      </x:c>
      <x:c r="O2161" s="14" t="str">
        <x:v>否</x:v>
      </x:c>
      <x:c r="P2161" s="14" t="str">
        <x:v>夏文新</x:v>
      </x:c>
      <x:c r="Q2161" s="14" t="str">
        <x:v>4号车</x:v>
      </x:c>
      <x:c r="R2161" s="14" t="str">
        <x:v>预测</x:v>
      </x:c>
      <x:c r="S2161" s="14" t="str">
        <x:v>到站时间为估算值</x:v>
      </x:c>
      <x:c r="T2161" t="str">
        <x:v>高超楼发车</x:v>
      </x:c>
    </x:row>
    <x:row r="2162">
      <x:c r="A2162" s="14" t="str">
        <x:v>S0187-05</x:v>
      </x:c>
      <x:c r="B2162" s="14" t="str">
        <x:v>S0187</x:v>
      </x:c>
      <x:c r="C2162" s="14" t="str">
        <x:v>周末/节假日</x:v>
      </x:c>
      <x:c r="D2162" s="14" t="str">
        <x:v>环线3路</x:v>
      </x:c>
      <x:c r="E2162" s="14" t="str">
        <x:v>第二班</x:v>
      </x:c>
      <x:c r="F2162" s="14" t="n">
        <x:v>8</x:v>
      </x:c>
      <x:c r="G2162" s="14" t="str">
        <x:v>17:20</x:v>
      </x:c>
      <x:c r="H2162" s="14" t="str">
        <x:v>高超楼（系统工程学院旁）</x:v>
      </x:c>
      <x:c r="I2162" s="14" t="str">
        <x:v>是</x:v>
      </x:c>
      <x:c r="J2162" s="14" t="n">
        <x:v>5</x:v>
      </x:c>
      <x:c r="K2162" s="14" t="str">
        <x:v>305教学楼</x:v>
      </x:c>
      <x:c r="L2162" s="14" t="n">
        <x:v>7</x:v>
      </x:c>
      <x:c r="M2162" s="14" t="str">
        <x:v>17:27</x:v>
      </x:c>
      <x:c r="N2162" s="14" t="str">
        <x:v>否</x:v>
      </x:c>
      <x:c r="O2162" s="14" t="str">
        <x:v>否</x:v>
      </x:c>
      <x:c r="P2162" s="14" t="str">
        <x:v>夏文新</x:v>
      </x:c>
      <x:c r="Q2162" s="14" t="str">
        <x:v>4号车</x:v>
      </x:c>
      <x:c r="R2162" s="14" t="str">
        <x:v>预测</x:v>
      </x:c>
      <x:c r="S2162" s="14" t="str">
        <x:v>到站时间为估算值</x:v>
      </x:c>
      <x:c r="T2162" t="str">
        <x:v>高超楼发车</x:v>
      </x:c>
    </x:row>
    <x:row r="2163">
      <x:c r="A2163" s="14" t="str">
        <x:v>S0187-06</x:v>
      </x:c>
      <x:c r="B2163" s="14" t="str">
        <x:v>S0187</x:v>
      </x:c>
      <x:c r="C2163" s="14" t="str">
        <x:v>周末/节假日</x:v>
      </x:c>
      <x:c r="D2163" s="14" t="str">
        <x:v>环线3路</x:v>
      </x:c>
      <x:c r="E2163" s="14" t="str">
        <x:v>第二班</x:v>
      </x:c>
      <x:c r="F2163" s="14" t="n">
        <x:v>8</x:v>
      </x:c>
      <x:c r="G2163" s="14" t="str">
        <x:v>17:20</x:v>
      </x:c>
      <x:c r="H2163" s="14" t="str">
        <x:v>高超楼（系统工程学院旁）</x:v>
      </x:c>
      <x:c r="I2163" s="14" t="str">
        <x:v>是</x:v>
      </x:c>
      <x:c r="J2163" s="14" t="n">
        <x:v>6</x:v>
      </x:c>
      <x:c r="K2163" s="14" t="str">
        <x:v>研究生宿舍楼</x:v>
      </x:c>
      <x:c r="L2163" s="14" t="n">
        <x:v>9</x:v>
      </x:c>
      <x:c r="M2163" s="14" t="str">
        <x:v>17:29</x:v>
      </x:c>
      <x:c r="N2163" s="14" t="str">
        <x:v>否</x:v>
      </x:c>
      <x:c r="O2163" s="14" t="str">
        <x:v>否</x:v>
      </x:c>
      <x:c r="P2163" s="14" t="str">
        <x:v>夏文新</x:v>
      </x:c>
      <x:c r="Q2163" s="14" t="str">
        <x:v>4号车</x:v>
      </x:c>
      <x:c r="R2163" s="14" t="str">
        <x:v>预测</x:v>
      </x:c>
      <x:c r="S2163" s="14" t="str">
        <x:v>到站时间为估算值</x:v>
      </x:c>
      <x:c r="T2163" t="str">
        <x:v>高超楼发车</x:v>
      </x:c>
    </x:row>
    <x:row r="2164">
      <x:c r="A2164" s="14" t="str">
        <x:v>S0187-07</x:v>
      </x:c>
      <x:c r="B2164" s="14" t="str">
        <x:v>S0187</x:v>
      </x:c>
      <x:c r="C2164" s="14" t="str">
        <x:v>周末/节假日</x:v>
      </x:c>
      <x:c r="D2164" s="14" t="str">
        <x:v>环线3路</x:v>
      </x:c>
      <x:c r="E2164" s="14" t="str">
        <x:v>第二班</x:v>
      </x:c>
      <x:c r="F2164" s="14" t="n">
        <x:v>8</x:v>
      </x:c>
      <x:c r="G2164" s="14" t="str">
        <x:v>17:20</x:v>
      </x:c>
      <x:c r="H2164" s="14" t="str">
        <x:v>高超楼（系统工程学院旁）</x:v>
      </x:c>
      <x:c r="I2164" s="14" t="str">
        <x:v>是</x:v>
      </x:c>
      <x:c r="J2164" s="14" t="n">
        <x:v>7</x:v>
      </x:c>
      <x:c r="K2164" s="14" t="str">
        <x:v>一食堂</x:v>
      </x:c>
      <x:c r="L2164" s="14" t="n">
        <x:v>10</x:v>
      </x:c>
      <x:c r="M2164" s="14" t="str">
        <x:v>17:30</x:v>
      </x:c>
      <x:c r="N2164" s="14" t="str">
        <x:v>否</x:v>
      </x:c>
      <x:c r="O2164" s="14" t="str">
        <x:v>否</x:v>
      </x:c>
      <x:c r="P2164" s="14" t="str">
        <x:v>夏文新</x:v>
      </x:c>
      <x:c r="Q2164" s="14" t="str">
        <x:v>4号车</x:v>
      </x:c>
      <x:c r="R2164" s="14" t="str">
        <x:v>预测</x:v>
      </x:c>
      <x:c r="S2164" s="14" t="str">
        <x:v>到站时间为估算值</x:v>
      </x:c>
      <x:c r="T2164" t="str">
        <x:v>高超楼发车</x:v>
      </x:c>
    </x:row>
    <x:row r="2165">
      <x:c r="A2165" s="14" t="str">
        <x:v>S0187-08</x:v>
      </x:c>
      <x:c r="B2165" s="14" t="str">
        <x:v>S0187</x:v>
      </x:c>
      <x:c r="C2165" s="14" t="str">
        <x:v>周末/节假日</x:v>
      </x:c>
      <x:c r="D2165" s="14" t="str">
        <x:v>环线3路</x:v>
      </x:c>
      <x:c r="E2165" s="14" t="str">
        <x:v>第二班</x:v>
      </x:c>
      <x:c r="F2165" s="14" t="n">
        <x:v>8</x:v>
      </x:c>
      <x:c r="G2165" s="14" t="str">
        <x:v>17:20</x:v>
      </x:c>
      <x:c r="H2165" s="14" t="str">
        <x:v>高超楼（系统工程学院旁）</x:v>
      </x:c>
      <x:c r="I2165" s="14" t="str">
        <x:v>是</x:v>
      </x:c>
      <x:c r="J2165" s="14" t="n">
        <x:v>8</x:v>
      </x:c>
      <x:c r="K2165" s="14" t="str">
        <x:v>2号宿舍楼</x:v>
      </x:c>
      <x:c r="L2165" s="14" t="n">
        <x:v>12</x:v>
      </x:c>
      <x:c r="M2165" s="14" t="str">
        <x:v>17:32</x:v>
      </x:c>
      <x:c r="N2165" s="14" t="str">
        <x:v>否</x:v>
      </x:c>
      <x:c r="O2165" s="14" t="str">
        <x:v>否</x:v>
      </x:c>
      <x:c r="P2165" s="14" t="str">
        <x:v>夏文新</x:v>
      </x:c>
      <x:c r="Q2165" s="14" t="str">
        <x:v>4号车</x:v>
      </x:c>
      <x:c r="R2165" s="14" t="str">
        <x:v>预测</x:v>
      </x:c>
      <x:c r="S2165" s="14" t="str">
        <x:v>到站时间为估算值</x:v>
      </x:c>
      <x:c r="T2165" t="str">
        <x:v>高超楼发车</x:v>
      </x:c>
    </x:row>
    <x:row r="2166">
      <x:c r="A2166" s="14" t="str">
        <x:v>S0187-09</x:v>
      </x:c>
      <x:c r="B2166" s="14" t="str">
        <x:v>S0187</x:v>
      </x:c>
      <x:c r="C2166" s="14" t="str">
        <x:v>周末/节假日</x:v>
      </x:c>
      <x:c r="D2166" s="14" t="str">
        <x:v>环线3路</x:v>
      </x:c>
      <x:c r="E2166" s="14" t="str">
        <x:v>第二班</x:v>
      </x:c>
      <x:c r="F2166" s="14" t="n">
        <x:v>8</x:v>
      </x:c>
      <x:c r="G2166" s="14" t="str">
        <x:v>17:20</x:v>
      </x:c>
      <x:c r="H2166" s="14" t="str">
        <x:v>高超楼（系统工程学院旁）</x:v>
      </x:c>
      <x:c r="I2166" s="14" t="str">
        <x:v>是</x:v>
      </x:c>
      <x:c r="J2166" s="14" t="n">
        <x:v>9</x:v>
      </x:c>
      <x:c r="K2166" s="14" t="str">
        <x:v>军体活动中心</x:v>
      </x:c>
      <x:c r="L2166" s="14" t="n">
        <x:v>13</x:v>
      </x:c>
      <x:c r="M2166" s="14" t="str">
        <x:v>17:33</x:v>
      </x:c>
      <x:c r="N2166" s="14" t="str">
        <x:v>否</x:v>
      </x:c>
      <x:c r="O2166" s="14" t="str">
        <x:v>否</x:v>
      </x:c>
      <x:c r="P2166" s="14" t="str">
        <x:v>夏文新</x:v>
      </x:c>
      <x:c r="Q2166" s="14" t="str">
        <x:v>4号车</x:v>
      </x:c>
      <x:c r="R2166" s="14" t="str">
        <x:v>预测</x:v>
      </x:c>
      <x:c r="S2166" s="14" t="str">
        <x:v>到站时间为估算值</x:v>
      </x:c>
      <x:c r="T2166" t="str">
        <x:v>高超楼发车</x:v>
      </x:c>
    </x:row>
    <x:row r="2167">
      <x:c r="A2167" s="14" t="str">
        <x:v>S0187-10</x:v>
      </x:c>
      <x:c r="B2167" s="14" t="str">
        <x:v>S0187</x:v>
      </x:c>
      <x:c r="C2167" s="14" t="str">
        <x:v>周末/节假日</x:v>
      </x:c>
      <x:c r="D2167" s="14" t="str">
        <x:v>环线3路</x:v>
      </x:c>
      <x:c r="E2167" s="14" t="str">
        <x:v>第二班</x:v>
      </x:c>
      <x:c r="F2167" s="14" t="n">
        <x:v>8</x:v>
      </x:c>
      <x:c r="G2167" s="14" t="str">
        <x:v>17:20</x:v>
      </x:c>
      <x:c r="H2167" s="14" t="str">
        <x:v>高超楼（系统工程学院旁）</x:v>
      </x:c>
      <x:c r="I2167" s="14" t="str">
        <x:v>是</x:v>
      </x:c>
      <x:c r="J2167" s="14" t="n">
        <x:v>10</x:v>
      </x:c>
      <x:c r="K2167" s="14" t="str">
        <x:v>教勤连</x:v>
      </x:c>
      <x:c r="L2167" s="14" t="n">
        <x:v>15</x:v>
      </x:c>
      <x:c r="M2167" s="14" t="str">
        <x:v>17:35</x:v>
      </x:c>
      <x:c r="N2167" s="14" t="str">
        <x:v>否</x:v>
      </x:c>
      <x:c r="O2167" s="14" t="str">
        <x:v>否</x:v>
      </x:c>
      <x:c r="P2167" s="14" t="str">
        <x:v>夏文新</x:v>
      </x:c>
      <x:c r="Q2167" s="14" t="str">
        <x:v>4号车</x:v>
      </x:c>
      <x:c r="R2167" s="14" t="str">
        <x:v>预测</x:v>
      </x:c>
      <x:c r="S2167" s="14" t="str">
        <x:v>到站时间为估算值</x:v>
      </x:c>
      <x:c r="T2167" t="str">
        <x:v>高超楼发车</x:v>
      </x:c>
    </x:row>
    <x:row r="2168">
      <x:c r="A2168" s="14" t="str">
        <x:v>S0187-11</x:v>
      </x:c>
      <x:c r="B2168" s="14" t="str">
        <x:v>S0187</x:v>
      </x:c>
      <x:c r="C2168" s="14" t="str">
        <x:v>周末/节假日</x:v>
      </x:c>
      <x:c r="D2168" s="14" t="str">
        <x:v>环线3路</x:v>
      </x:c>
      <x:c r="E2168" s="14" t="str">
        <x:v>第二班</x:v>
      </x:c>
      <x:c r="F2168" s="14" t="n">
        <x:v>8</x:v>
      </x:c>
      <x:c r="G2168" s="14" t="str">
        <x:v>17:20</x:v>
      </x:c>
      <x:c r="H2168" s="14" t="str">
        <x:v>高超楼（系统工程学院旁）</x:v>
      </x:c>
      <x:c r="I2168" s="14" t="str">
        <x:v>是</x:v>
      </x:c>
      <x:c r="J2168" s="14" t="n">
        <x:v>11</x:v>
      </x:c>
      <x:c r="K2168" s="14" t="str">
        <x:v>激光所</x:v>
      </x:c>
      <x:c r="L2168" s="14" t="n">
        <x:v>16</x:v>
      </x:c>
      <x:c r="M2168" s="14" t="str">
        <x:v>17:36</x:v>
      </x:c>
      <x:c r="N2168" s="14" t="str">
        <x:v>否</x:v>
      </x:c>
      <x:c r="O2168" s="14" t="str">
        <x:v>否</x:v>
      </x:c>
      <x:c r="P2168" s="14" t="str">
        <x:v>夏文新</x:v>
      </x:c>
      <x:c r="Q2168" s="14" t="str">
        <x:v>4号车</x:v>
      </x:c>
      <x:c r="R2168" s="14" t="str">
        <x:v>预测</x:v>
      </x:c>
      <x:c r="S2168" s="14" t="str">
        <x:v>到站时间为估算值</x:v>
      </x:c>
      <x:c r="T2168" t="str">
        <x:v>高超楼发车</x:v>
      </x:c>
    </x:row>
    <x:row r="2169">
      <x:c r="A2169" s="14" t="str">
        <x:v>S0187-12</x:v>
      </x:c>
      <x:c r="B2169" s="14" t="str">
        <x:v>S0187</x:v>
      </x:c>
      <x:c r="C2169" s="14" t="str">
        <x:v>周末/节假日</x:v>
      </x:c>
      <x:c r="D2169" s="14" t="str">
        <x:v>环线3路</x:v>
      </x:c>
      <x:c r="E2169" s="14" t="str">
        <x:v>第二班</x:v>
      </x:c>
      <x:c r="F2169" s="14" t="n">
        <x:v>8</x:v>
      </x:c>
      <x:c r="G2169" s="14" t="str">
        <x:v>17:20</x:v>
      </x:c>
      <x:c r="H2169" s="14" t="str">
        <x:v>高超楼（系统工程学院旁）</x:v>
      </x:c>
      <x:c r="I2169" s="14" t="str">
        <x:v>是</x:v>
      </x:c>
      <x:c r="J2169" s="14" t="n">
        <x:v>12</x:v>
      </x:c>
      <x:c r="K2169" s="14" t="str">
        <x:v>高超楼</x:v>
      </x:c>
      <x:c r="L2169" s="14" t="n">
        <x:v>18</x:v>
      </x:c>
      <x:c r="M2169" s="14" t="str">
        <x:v>17:38</x:v>
      </x:c>
      <x:c r="N2169" s="14" t="str">
        <x:v>否</x:v>
      </x:c>
      <x:c r="O2169" s="14" t="str">
        <x:v>是</x:v>
      </x:c>
      <x:c r="P2169" s="14" t="str">
        <x:v>夏文新</x:v>
      </x:c>
      <x:c r="Q2169" s="14" t="str">
        <x:v>4号车</x:v>
      </x:c>
      <x:c r="R2169" s="14" t="str">
        <x:v>预测</x:v>
      </x:c>
      <x:c r="S2169" s="14" t="str">
        <x:v>到站时间为估算值</x:v>
      </x:c>
      <x:c r="T2169" t="str">
        <x:v>高超楼发车</x:v>
      </x:c>
    </x:row>
    <x:row r="2170">
      <x:c r="A2170" s="14" t="str">
        <x:v>S0188-01</x:v>
      </x:c>
      <x:c r="B2170" s="14" t="str">
        <x:v>S0188</x:v>
      </x:c>
      <x:c r="C2170" s="14" t="str">
        <x:v>周末/节假日</x:v>
      </x:c>
      <x:c r="D2170" s="14" t="str">
        <x:v>环线3路</x:v>
      </x:c>
      <x:c r="E2170" s="14" t="str">
        <x:v>第二班</x:v>
      </x:c>
      <x:c r="F2170" s="14" t="n">
        <x:v>9</x:v>
      </x:c>
      <x:c r="G2170" s="14" t="str">
        <x:v>17:50</x:v>
      </x:c>
      <x:c r="H2170" s="14" t="str">
        <x:v>高超楼（系统工程学院旁）</x:v>
      </x:c>
      <x:c r="I2170" s="14" t="str">
        <x:v>是</x:v>
      </x:c>
      <x:c r="J2170" s="14" t="n">
        <x:v>1</x:v>
      </x:c>
      <x:c r="K2170" s="14" t="str">
        <x:v>高超楼</x:v>
      </x:c>
      <x:c r="L2170" s="14" t="n">
        <x:v>0</x:v>
      </x:c>
      <x:c r="M2170" s="14" t="str">
        <x:v>17:50</x:v>
      </x:c>
      <x:c r="N2170" s="14" t="str">
        <x:v>是</x:v>
      </x:c>
      <x:c r="O2170" s="14" t="str">
        <x:v>否</x:v>
      </x:c>
      <x:c r="P2170" s="14" t="str">
        <x:v>夏文新</x:v>
      </x:c>
      <x:c r="Q2170" s="14" t="str">
        <x:v>4号车</x:v>
      </x:c>
      <x:c r="R2170" s="14" t="str">
        <x:v>预测</x:v>
      </x:c>
      <x:c r="S2170" s="14" t="str">
        <x:v>到站时间为估算值</x:v>
      </x:c>
      <x:c r="T2170" t="str">
        <x:v>高超楼发车</x:v>
      </x:c>
    </x:row>
    <x:row r="2171">
      <x:c r="A2171" s="14" t="str">
        <x:v>S0188-02</x:v>
      </x:c>
      <x:c r="B2171" s="14" t="str">
        <x:v>S0188</x:v>
      </x:c>
      <x:c r="C2171" s="14" t="str">
        <x:v>周末/节假日</x:v>
      </x:c>
      <x:c r="D2171" s="14" t="str">
        <x:v>环线3路</x:v>
      </x:c>
      <x:c r="E2171" s="14" t="str">
        <x:v>第二班</x:v>
      </x:c>
      <x:c r="F2171" s="14" t="n">
        <x:v>9</x:v>
      </x:c>
      <x:c r="G2171" s="14" t="str">
        <x:v>17:50</x:v>
      </x:c>
      <x:c r="H2171" s="14" t="str">
        <x:v>高超楼（系统工程学院旁）</x:v>
      </x:c>
      <x:c r="I2171" s="14" t="str">
        <x:v>是</x:v>
      </x:c>
      <x:c r="J2171" s="14" t="n">
        <x:v>2</x:v>
      </x:c>
      <x:c r="K2171" s="14" t="str">
        <x:v>理学院</x:v>
      </x:c>
      <x:c r="L2171" s="14" t="n">
        <x:v>1</x:v>
      </x:c>
      <x:c r="M2171" s="14" t="str">
        <x:v>17:51</x:v>
      </x:c>
      <x:c r="N2171" s="14" t="str">
        <x:v>否</x:v>
      </x:c>
      <x:c r="O2171" s="14" t="str">
        <x:v>否</x:v>
      </x:c>
      <x:c r="P2171" s="14" t="str">
        <x:v>夏文新</x:v>
      </x:c>
      <x:c r="Q2171" s="14" t="str">
        <x:v>4号车</x:v>
      </x:c>
      <x:c r="R2171" s="14" t="str">
        <x:v>预测</x:v>
      </x:c>
      <x:c r="S2171" s="14" t="str">
        <x:v>到站时间为估算值</x:v>
      </x:c>
      <x:c r="T2171" t="str">
        <x:v>高超楼发车</x:v>
      </x:c>
    </x:row>
    <x:row r="2172">
      <x:c r="A2172" s="14" t="str">
        <x:v>S0188-03</x:v>
      </x:c>
      <x:c r="B2172" s="14" t="str">
        <x:v>S0188</x:v>
      </x:c>
      <x:c r="C2172" s="14" t="str">
        <x:v>周末/节假日</x:v>
      </x:c>
      <x:c r="D2172" s="14" t="str">
        <x:v>环线3路</x:v>
      </x:c>
      <x:c r="E2172" s="14" t="str">
        <x:v>第二班</x:v>
      </x:c>
      <x:c r="F2172" s="14" t="n">
        <x:v>9</x:v>
      </x:c>
      <x:c r="G2172" s="14" t="str">
        <x:v>17:50</x:v>
      </x:c>
      <x:c r="H2172" s="14" t="str">
        <x:v>高超楼（系统工程学院旁）</x:v>
      </x:c>
      <x:c r="I2172" s="14" t="str">
        <x:v>是</x:v>
      </x:c>
      <x:c r="J2172" s="14" t="n">
        <x:v>3</x:v>
      </x:c>
      <x:c r="K2172" s="14" t="str">
        <x:v>二食堂</x:v>
      </x:c>
      <x:c r="L2172" s="14" t="n">
        <x:v>4</x:v>
      </x:c>
      <x:c r="M2172" s="14" t="str">
        <x:v>17:54</x:v>
      </x:c>
      <x:c r="N2172" s="14" t="str">
        <x:v>否</x:v>
      </x:c>
      <x:c r="O2172" s="14" t="str">
        <x:v>否</x:v>
      </x:c>
      <x:c r="P2172" s="14" t="str">
        <x:v>夏文新</x:v>
      </x:c>
      <x:c r="Q2172" s="14" t="str">
        <x:v>4号车</x:v>
      </x:c>
      <x:c r="R2172" s="14" t="str">
        <x:v>预测</x:v>
      </x:c>
      <x:c r="S2172" s="14" t="str">
        <x:v>到站时间为估算值</x:v>
      </x:c>
      <x:c r="T2172" t="str">
        <x:v>高超楼发车</x:v>
      </x:c>
    </x:row>
    <x:row r="2173">
      <x:c r="A2173" s="14" t="str">
        <x:v>S0188-04</x:v>
      </x:c>
      <x:c r="B2173" s="14" t="str">
        <x:v>S0188</x:v>
      </x:c>
      <x:c r="C2173" s="14" t="str">
        <x:v>周末/节假日</x:v>
      </x:c>
      <x:c r="D2173" s="14" t="str">
        <x:v>环线3路</x:v>
      </x:c>
      <x:c r="E2173" s="14" t="str">
        <x:v>第二班</x:v>
      </x:c>
      <x:c r="F2173" s="14" t="n">
        <x:v>9</x:v>
      </x:c>
      <x:c r="G2173" s="14" t="str">
        <x:v>17:50</x:v>
      </x:c>
      <x:c r="H2173" s="14" t="str">
        <x:v>高超楼（系统工程学院旁）</x:v>
      </x:c>
      <x:c r="I2173" s="14" t="str">
        <x:v>是</x:v>
      </x:c>
      <x:c r="J2173" s="14" t="n">
        <x:v>4</x:v>
      </x:c>
      <x:c r="K2173" s="14" t="str">
        <x:v>图书馆</x:v>
      </x:c>
      <x:c r="L2173" s="14" t="n">
        <x:v>5</x:v>
      </x:c>
      <x:c r="M2173" s="14" t="str">
        <x:v>17:55</x:v>
      </x:c>
      <x:c r="N2173" s="14" t="str">
        <x:v>否</x:v>
      </x:c>
      <x:c r="O2173" s="14" t="str">
        <x:v>否</x:v>
      </x:c>
      <x:c r="P2173" s="14" t="str">
        <x:v>夏文新</x:v>
      </x:c>
      <x:c r="Q2173" s="14" t="str">
        <x:v>4号车</x:v>
      </x:c>
      <x:c r="R2173" s="14" t="str">
        <x:v>预测</x:v>
      </x:c>
      <x:c r="S2173" s="14" t="str">
        <x:v>到站时间为估算值</x:v>
      </x:c>
      <x:c r="T2173" t="str">
        <x:v>高超楼发车</x:v>
      </x:c>
    </x:row>
    <x:row r="2174">
      <x:c r="A2174" s="14" t="str">
        <x:v>S0188-05</x:v>
      </x:c>
      <x:c r="B2174" s="14" t="str">
        <x:v>S0188</x:v>
      </x:c>
      <x:c r="C2174" s="14" t="str">
        <x:v>周末/节假日</x:v>
      </x:c>
      <x:c r="D2174" s="14" t="str">
        <x:v>环线3路</x:v>
      </x:c>
      <x:c r="E2174" s="14" t="str">
        <x:v>第二班</x:v>
      </x:c>
      <x:c r="F2174" s="14" t="n">
        <x:v>9</x:v>
      </x:c>
      <x:c r="G2174" s="14" t="str">
        <x:v>17:50</x:v>
      </x:c>
      <x:c r="H2174" s="14" t="str">
        <x:v>高超楼（系统工程学院旁）</x:v>
      </x:c>
      <x:c r="I2174" s="14" t="str">
        <x:v>是</x:v>
      </x:c>
      <x:c r="J2174" s="14" t="n">
        <x:v>5</x:v>
      </x:c>
      <x:c r="K2174" s="14" t="str">
        <x:v>305教学楼</x:v>
      </x:c>
      <x:c r="L2174" s="14" t="n">
        <x:v>7</x:v>
      </x:c>
      <x:c r="M2174" s="14" t="str">
        <x:v>17:57</x:v>
      </x:c>
      <x:c r="N2174" s="14" t="str">
        <x:v>否</x:v>
      </x:c>
      <x:c r="O2174" s="14" t="str">
        <x:v>否</x:v>
      </x:c>
      <x:c r="P2174" s="14" t="str">
        <x:v>夏文新</x:v>
      </x:c>
      <x:c r="Q2174" s="14" t="str">
        <x:v>4号车</x:v>
      </x:c>
      <x:c r="R2174" s="14" t="str">
        <x:v>预测</x:v>
      </x:c>
      <x:c r="S2174" s="14" t="str">
        <x:v>到站时间为估算值</x:v>
      </x:c>
      <x:c r="T2174" t="str">
        <x:v>高超楼发车</x:v>
      </x:c>
    </x:row>
    <x:row r="2175">
      <x:c r="A2175" s="14" t="str">
        <x:v>S0188-06</x:v>
      </x:c>
      <x:c r="B2175" s="14" t="str">
        <x:v>S0188</x:v>
      </x:c>
      <x:c r="C2175" s="14" t="str">
        <x:v>周末/节假日</x:v>
      </x:c>
      <x:c r="D2175" s="14" t="str">
        <x:v>环线3路</x:v>
      </x:c>
      <x:c r="E2175" s="14" t="str">
        <x:v>第二班</x:v>
      </x:c>
      <x:c r="F2175" s="14" t="n">
        <x:v>9</x:v>
      </x:c>
      <x:c r="G2175" s="14" t="str">
        <x:v>17:50</x:v>
      </x:c>
      <x:c r="H2175" s="14" t="str">
        <x:v>高超楼（系统工程学院旁）</x:v>
      </x:c>
      <x:c r="I2175" s="14" t="str">
        <x:v>是</x:v>
      </x:c>
      <x:c r="J2175" s="14" t="n">
        <x:v>6</x:v>
      </x:c>
      <x:c r="K2175" s="14" t="str">
        <x:v>研究生宿舍楼</x:v>
      </x:c>
      <x:c r="L2175" s="14" t="n">
        <x:v>9</x:v>
      </x:c>
      <x:c r="M2175" s="14" t="str">
        <x:v>17:59</x:v>
      </x:c>
      <x:c r="N2175" s="14" t="str">
        <x:v>否</x:v>
      </x:c>
      <x:c r="O2175" s="14" t="str">
        <x:v>否</x:v>
      </x:c>
      <x:c r="P2175" s="14" t="str">
        <x:v>夏文新</x:v>
      </x:c>
      <x:c r="Q2175" s="14" t="str">
        <x:v>4号车</x:v>
      </x:c>
      <x:c r="R2175" s="14" t="str">
        <x:v>预测</x:v>
      </x:c>
      <x:c r="S2175" s="14" t="str">
        <x:v>到站时间为估算值</x:v>
      </x:c>
      <x:c r="T2175" t="str">
        <x:v>高超楼发车</x:v>
      </x:c>
    </x:row>
    <x:row r="2176">
      <x:c r="A2176" s="14" t="str">
        <x:v>S0188-07</x:v>
      </x:c>
      <x:c r="B2176" s="14" t="str">
        <x:v>S0188</x:v>
      </x:c>
      <x:c r="C2176" s="14" t="str">
        <x:v>周末/节假日</x:v>
      </x:c>
      <x:c r="D2176" s="14" t="str">
        <x:v>环线3路</x:v>
      </x:c>
      <x:c r="E2176" s="14" t="str">
        <x:v>第二班</x:v>
      </x:c>
      <x:c r="F2176" s="14" t="n">
        <x:v>9</x:v>
      </x:c>
      <x:c r="G2176" s="14" t="str">
        <x:v>17:50</x:v>
      </x:c>
      <x:c r="H2176" s="14" t="str">
        <x:v>高超楼（系统工程学院旁）</x:v>
      </x:c>
      <x:c r="I2176" s="14" t="str">
        <x:v>是</x:v>
      </x:c>
      <x:c r="J2176" s="14" t="n">
        <x:v>7</x:v>
      </x:c>
      <x:c r="K2176" s="14" t="str">
        <x:v>一食堂</x:v>
      </x:c>
      <x:c r="L2176" s="14" t="n">
        <x:v>10</x:v>
      </x:c>
      <x:c r="M2176" s="14" t="str">
        <x:v>18:00</x:v>
      </x:c>
      <x:c r="N2176" s="14" t="str">
        <x:v>否</x:v>
      </x:c>
      <x:c r="O2176" s="14" t="str">
        <x:v>否</x:v>
      </x:c>
      <x:c r="P2176" s="14" t="str">
        <x:v>夏文新</x:v>
      </x:c>
      <x:c r="Q2176" s="14" t="str">
        <x:v>4号车</x:v>
      </x:c>
      <x:c r="R2176" s="14" t="str">
        <x:v>预测</x:v>
      </x:c>
      <x:c r="S2176" s="14" t="str">
        <x:v>到站时间为估算值</x:v>
      </x:c>
      <x:c r="T2176" t="str">
        <x:v>高超楼发车</x:v>
      </x:c>
    </x:row>
    <x:row r="2177">
      <x:c r="A2177" s="14" t="str">
        <x:v>S0188-08</x:v>
      </x:c>
      <x:c r="B2177" s="14" t="str">
        <x:v>S0188</x:v>
      </x:c>
      <x:c r="C2177" s="14" t="str">
        <x:v>周末/节假日</x:v>
      </x:c>
      <x:c r="D2177" s="14" t="str">
        <x:v>环线3路</x:v>
      </x:c>
      <x:c r="E2177" s="14" t="str">
        <x:v>第二班</x:v>
      </x:c>
      <x:c r="F2177" s="14" t="n">
        <x:v>9</x:v>
      </x:c>
      <x:c r="G2177" s="14" t="str">
        <x:v>17:50</x:v>
      </x:c>
      <x:c r="H2177" s="14" t="str">
        <x:v>高超楼（系统工程学院旁）</x:v>
      </x:c>
      <x:c r="I2177" s="14" t="str">
        <x:v>是</x:v>
      </x:c>
      <x:c r="J2177" s="14" t="n">
        <x:v>8</x:v>
      </x:c>
      <x:c r="K2177" s="14" t="str">
        <x:v>2号宿舍楼</x:v>
      </x:c>
      <x:c r="L2177" s="14" t="n">
        <x:v>12</x:v>
      </x:c>
      <x:c r="M2177" s="14" t="str">
        <x:v>18:02</x:v>
      </x:c>
      <x:c r="N2177" s="14" t="str">
        <x:v>否</x:v>
      </x:c>
      <x:c r="O2177" s="14" t="str">
        <x:v>否</x:v>
      </x:c>
      <x:c r="P2177" s="14" t="str">
        <x:v>夏文新</x:v>
      </x:c>
      <x:c r="Q2177" s="14" t="str">
        <x:v>4号车</x:v>
      </x:c>
      <x:c r="R2177" s="14" t="str">
        <x:v>预测</x:v>
      </x:c>
      <x:c r="S2177" s="14" t="str">
        <x:v>到站时间为估算值</x:v>
      </x:c>
      <x:c r="T2177" t="str">
        <x:v>高超楼发车</x:v>
      </x:c>
    </x:row>
    <x:row r="2178">
      <x:c r="A2178" s="14" t="str">
        <x:v>S0188-09</x:v>
      </x:c>
      <x:c r="B2178" s="14" t="str">
        <x:v>S0188</x:v>
      </x:c>
      <x:c r="C2178" s="14" t="str">
        <x:v>周末/节假日</x:v>
      </x:c>
      <x:c r="D2178" s="14" t="str">
        <x:v>环线3路</x:v>
      </x:c>
      <x:c r="E2178" s="14" t="str">
        <x:v>第二班</x:v>
      </x:c>
      <x:c r="F2178" s="14" t="n">
        <x:v>9</x:v>
      </x:c>
      <x:c r="G2178" s="14" t="str">
        <x:v>17:50</x:v>
      </x:c>
      <x:c r="H2178" s="14" t="str">
        <x:v>高超楼（系统工程学院旁）</x:v>
      </x:c>
      <x:c r="I2178" s="14" t="str">
        <x:v>是</x:v>
      </x:c>
      <x:c r="J2178" s="14" t="n">
        <x:v>9</x:v>
      </x:c>
      <x:c r="K2178" s="14" t="str">
        <x:v>军体活动中心</x:v>
      </x:c>
      <x:c r="L2178" s="14" t="n">
        <x:v>13</x:v>
      </x:c>
      <x:c r="M2178" s="14" t="str">
        <x:v>18:03</x:v>
      </x:c>
      <x:c r="N2178" s="14" t="str">
        <x:v>否</x:v>
      </x:c>
      <x:c r="O2178" s="14" t="str">
        <x:v>否</x:v>
      </x:c>
      <x:c r="P2178" s="14" t="str">
        <x:v>夏文新</x:v>
      </x:c>
      <x:c r="Q2178" s="14" t="str">
        <x:v>4号车</x:v>
      </x:c>
      <x:c r="R2178" s="14" t="str">
        <x:v>预测</x:v>
      </x:c>
      <x:c r="S2178" s="14" t="str">
        <x:v>到站时间为估算值</x:v>
      </x:c>
      <x:c r="T2178" t="str">
        <x:v>高超楼发车</x:v>
      </x:c>
    </x:row>
    <x:row r="2179">
      <x:c r="A2179" s="14" t="str">
        <x:v>S0188-10</x:v>
      </x:c>
      <x:c r="B2179" s="14" t="str">
        <x:v>S0188</x:v>
      </x:c>
      <x:c r="C2179" s="14" t="str">
        <x:v>周末/节假日</x:v>
      </x:c>
      <x:c r="D2179" s="14" t="str">
        <x:v>环线3路</x:v>
      </x:c>
      <x:c r="E2179" s="14" t="str">
        <x:v>第二班</x:v>
      </x:c>
      <x:c r="F2179" s="14" t="n">
        <x:v>9</x:v>
      </x:c>
      <x:c r="G2179" s="14" t="str">
        <x:v>17:50</x:v>
      </x:c>
      <x:c r="H2179" s="14" t="str">
        <x:v>高超楼（系统工程学院旁）</x:v>
      </x:c>
      <x:c r="I2179" s="14" t="str">
        <x:v>是</x:v>
      </x:c>
      <x:c r="J2179" s="14" t="n">
        <x:v>10</x:v>
      </x:c>
      <x:c r="K2179" s="14" t="str">
        <x:v>教勤连</x:v>
      </x:c>
      <x:c r="L2179" s="14" t="n">
        <x:v>15</x:v>
      </x:c>
      <x:c r="M2179" s="14" t="str">
        <x:v>18:05</x:v>
      </x:c>
      <x:c r="N2179" s="14" t="str">
        <x:v>否</x:v>
      </x:c>
      <x:c r="O2179" s="14" t="str">
        <x:v>否</x:v>
      </x:c>
      <x:c r="P2179" s="14" t="str">
        <x:v>夏文新</x:v>
      </x:c>
      <x:c r="Q2179" s="14" t="str">
        <x:v>4号车</x:v>
      </x:c>
      <x:c r="R2179" s="14" t="str">
        <x:v>预测</x:v>
      </x:c>
      <x:c r="S2179" s="14" t="str">
        <x:v>到站时间为估算值</x:v>
      </x:c>
      <x:c r="T2179" t="str">
        <x:v>高超楼发车</x:v>
      </x:c>
    </x:row>
    <x:row r="2180">
      <x:c r="A2180" s="14" t="str">
        <x:v>S0188-11</x:v>
      </x:c>
      <x:c r="B2180" s="14" t="str">
        <x:v>S0188</x:v>
      </x:c>
      <x:c r="C2180" s="14" t="str">
        <x:v>周末/节假日</x:v>
      </x:c>
      <x:c r="D2180" s="14" t="str">
        <x:v>环线3路</x:v>
      </x:c>
      <x:c r="E2180" s="14" t="str">
        <x:v>第二班</x:v>
      </x:c>
      <x:c r="F2180" s="14" t="n">
        <x:v>9</x:v>
      </x:c>
      <x:c r="G2180" s="14" t="str">
        <x:v>17:50</x:v>
      </x:c>
      <x:c r="H2180" s="14" t="str">
        <x:v>高超楼（系统工程学院旁）</x:v>
      </x:c>
      <x:c r="I2180" s="14" t="str">
        <x:v>是</x:v>
      </x:c>
      <x:c r="J2180" s="14" t="n">
        <x:v>11</x:v>
      </x:c>
      <x:c r="K2180" s="14" t="str">
        <x:v>激光所</x:v>
      </x:c>
      <x:c r="L2180" s="14" t="n">
        <x:v>16</x:v>
      </x:c>
      <x:c r="M2180" s="14" t="str">
        <x:v>18:06</x:v>
      </x:c>
      <x:c r="N2180" s="14" t="str">
        <x:v>否</x:v>
      </x:c>
      <x:c r="O2180" s="14" t="str">
        <x:v>否</x:v>
      </x:c>
      <x:c r="P2180" s="14" t="str">
        <x:v>夏文新</x:v>
      </x:c>
      <x:c r="Q2180" s="14" t="str">
        <x:v>4号车</x:v>
      </x:c>
      <x:c r="R2180" s="14" t="str">
        <x:v>预测</x:v>
      </x:c>
      <x:c r="S2180" s="14" t="str">
        <x:v>到站时间为估算值</x:v>
      </x:c>
      <x:c r="T2180" t="str">
        <x:v>高超楼发车</x:v>
      </x:c>
    </x:row>
    <x:row r="2181">
      <x:c r="A2181" s="14" t="str">
        <x:v>S0188-12</x:v>
      </x:c>
      <x:c r="B2181" s="14" t="str">
        <x:v>S0188</x:v>
      </x:c>
      <x:c r="C2181" s="14" t="str">
        <x:v>周末/节假日</x:v>
      </x:c>
      <x:c r="D2181" s="14" t="str">
        <x:v>环线3路</x:v>
      </x:c>
      <x:c r="E2181" s="14" t="str">
        <x:v>第二班</x:v>
      </x:c>
      <x:c r="F2181" s="14" t="n">
        <x:v>9</x:v>
      </x:c>
      <x:c r="G2181" s="14" t="str">
        <x:v>17:50</x:v>
      </x:c>
      <x:c r="H2181" s="14" t="str">
        <x:v>高超楼（系统工程学院旁）</x:v>
      </x:c>
      <x:c r="I2181" s="14" t="str">
        <x:v>是</x:v>
      </x:c>
      <x:c r="J2181" s="14" t="n">
        <x:v>12</x:v>
      </x:c>
      <x:c r="K2181" s="14" t="str">
        <x:v>高超楼</x:v>
      </x:c>
      <x:c r="L2181" s="14" t="n">
        <x:v>18</x:v>
      </x:c>
      <x:c r="M2181" s="14" t="str">
        <x:v>18:08</x:v>
      </x:c>
      <x:c r="N2181" s="14" t="str">
        <x:v>否</x:v>
      </x:c>
      <x:c r="O2181" s="14" t="str">
        <x:v>是</x:v>
      </x:c>
      <x:c r="P2181" s="14" t="str">
        <x:v>夏文新</x:v>
      </x:c>
      <x:c r="Q2181" s="14" t="str">
        <x:v>4号车</x:v>
      </x:c>
      <x:c r="R2181" s="14" t="str">
        <x:v>预测</x:v>
      </x:c>
      <x:c r="S2181" s="14" t="str">
        <x:v>到站时间为估算值</x:v>
      </x:c>
      <x:c r="T2181" t="str">
        <x:v>高超楼发车</x:v>
      </x:c>
    </x:row>
    <x:row r="2182">
      <x:c r="A2182" s="14" t="str">
        <x:v>S0189-01</x:v>
      </x:c>
      <x:c r="B2182" s="14" t="str">
        <x:v>S0189</x:v>
      </x:c>
      <x:c r="C2182" s="14" t="str">
        <x:v>周末/节假日</x:v>
      </x:c>
      <x:c r="D2182" s="14" t="str">
        <x:v>环线3路</x:v>
      </x:c>
      <x:c r="E2182" s="14" t="str">
        <x:v>第二班</x:v>
      </x:c>
      <x:c r="F2182" s="14" t="n">
        <x:v>10</x:v>
      </x:c>
      <x:c r="G2182" s="14" t="str">
        <x:v>21:00</x:v>
      </x:c>
      <x:c r="H2182" s="14" t="str">
        <x:v>高超楼（系统工程学院旁）</x:v>
      </x:c>
      <x:c r="I2182" s="14" t="str">
        <x:v>是</x:v>
      </x:c>
      <x:c r="J2182" s="14" t="n">
        <x:v>1</x:v>
      </x:c>
      <x:c r="K2182" s="14" t="str">
        <x:v>高超楼</x:v>
      </x:c>
      <x:c r="L2182" s="14" t="n">
        <x:v>0</x:v>
      </x:c>
      <x:c r="M2182" s="14" t="str">
        <x:v>21:00</x:v>
      </x:c>
      <x:c r="N2182" s="14" t="str">
        <x:v>是</x:v>
      </x:c>
      <x:c r="O2182" s="14" t="str">
        <x:v>否</x:v>
      </x:c>
      <x:c r="P2182" s="14" t="str">
        <x:v>夏文新</x:v>
      </x:c>
      <x:c r="Q2182" s="14" t="str">
        <x:v>4号车</x:v>
      </x:c>
      <x:c r="R2182" s="14" t="str">
        <x:v>预测</x:v>
      </x:c>
      <x:c r="S2182" s="14" t="str">
        <x:v>到站时间为估算值</x:v>
      </x:c>
      <x:c r="T2182" t="str">
        <x:v>高超楼发车</x:v>
      </x:c>
    </x:row>
    <x:row r="2183">
      <x:c r="A2183" s="14" t="str">
        <x:v>S0189-02</x:v>
      </x:c>
      <x:c r="B2183" s="14" t="str">
        <x:v>S0189</x:v>
      </x:c>
      <x:c r="C2183" s="14" t="str">
        <x:v>周末/节假日</x:v>
      </x:c>
      <x:c r="D2183" s="14" t="str">
        <x:v>环线3路</x:v>
      </x:c>
      <x:c r="E2183" s="14" t="str">
        <x:v>第二班</x:v>
      </x:c>
      <x:c r="F2183" s="14" t="n">
        <x:v>10</x:v>
      </x:c>
      <x:c r="G2183" s="14" t="str">
        <x:v>21:00</x:v>
      </x:c>
      <x:c r="H2183" s="14" t="str">
        <x:v>高超楼（系统工程学院旁）</x:v>
      </x:c>
      <x:c r="I2183" s="14" t="str">
        <x:v>是</x:v>
      </x:c>
      <x:c r="J2183" s="14" t="n">
        <x:v>2</x:v>
      </x:c>
      <x:c r="K2183" s="14" t="str">
        <x:v>理学院</x:v>
      </x:c>
      <x:c r="L2183" s="14" t="n">
        <x:v>1</x:v>
      </x:c>
      <x:c r="M2183" s="14" t="str">
        <x:v>21:01</x:v>
      </x:c>
      <x:c r="N2183" s="14" t="str">
        <x:v>否</x:v>
      </x:c>
      <x:c r="O2183" s="14" t="str">
        <x:v>否</x:v>
      </x:c>
      <x:c r="P2183" s="14" t="str">
        <x:v>夏文新</x:v>
      </x:c>
      <x:c r="Q2183" s="14" t="str">
        <x:v>4号车</x:v>
      </x:c>
      <x:c r="R2183" s="14" t="str">
        <x:v>预测</x:v>
      </x:c>
      <x:c r="S2183" s="14" t="str">
        <x:v>到站时间为估算值</x:v>
      </x:c>
      <x:c r="T2183" t="str">
        <x:v>高超楼发车</x:v>
      </x:c>
    </x:row>
    <x:row r="2184">
      <x:c r="A2184" s="14" t="str">
        <x:v>S0189-03</x:v>
      </x:c>
      <x:c r="B2184" s="14" t="str">
        <x:v>S0189</x:v>
      </x:c>
      <x:c r="C2184" s="14" t="str">
        <x:v>周末/节假日</x:v>
      </x:c>
      <x:c r="D2184" s="14" t="str">
        <x:v>环线3路</x:v>
      </x:c>
      <x:c r="E2184" s="14" t="str">
        <x:v>第二班</x:v>
      </x:c>
      <x:c r="F2184" s="14" t="n">
        <x:v>10</x:v>
      </x:c>
      <x:c r="G2184" s="14" t="str">
        <x:v>21:00</x:v>
      </x:c>
      <x:c r="H2184" s="14" t="str">
        <x:v>高超楼（系统工程学院旁）</x:v>
      </x:c>
      <x:c r="I2184" s="14" t="str">
        <x:v>是</x:v>
      </x:c>
      <x:c r="J2184" s="14" t="n">
        <x:v>3</x:v>
      </x:c>
      <x:c r="K2184" s="14" t="str">
        <x:v>二食堂</x:v>
      </x:c>
      <x:c r="L2184" s="14" t="n">
        <x:v>4</x:v>
      </x:c>
      <x:c r="M2184" s="14" t="str">
        <x:v>21:04</x:v>
      </x:c>
      <x:c r="N2184" s="14" t="str">
        <x:v>否</x:v>
      </x:c>
      <x:c r="O2184" s="14" t="str">
        <x:v>否</x:v>
      </x:c>
      <x:c r="P2184" s="14" t="str">
        <x:v>夏文新</x:v>
      </x:c>
      <x:c r="Q2184" s="14" t="str">
        <x:v>4号车</x:v>
      </x:c>
      <x:c r="R2184" s="14" t="str">
        <x:v>预测</x:v>
      </x:c>
      <x:c r="S2184" s="14" t="str">
        <x:v>到站时间为估算值</x:v>
      </x:c>
      <x:c r="T2184" t="str">
        <x:v>高超楼发车</x:v>
      </x:c>
    </x:row>
    <x:row r="2185">
      <x:c r="A2185" s="14" t="str">
        <x:v>S0189-04</x:v>
      </x:c>
      <x:c r="B2185" s="14" t="str">
        <x:v>S0189</x:v>
      </x:c>
      <x:c r="C2185" s="14" t="str">
        <x:v>周末/节假日</x:v>
      </x:c>
      <x:c r="D2185" s="14" t="str">
        <x:v>环线3路</x:v>
      </x:c>
      <x:c r="E2185" s="14" t="str">
        <x:v>第二班</x:v>
      </x:c>
      <x:c r="F2185" s="14" t="n">
        <x:v>10</x:v>
      </x:c>
      <x:c r="G2185" s="14" t="str">
        <x:v>21:00</x:v>
      </x:c>
      <x:c r="H2185" s="14" t="str">
        <x:v>高超楼（系统工程学院旁）</x:v>
      </x:c>
      <x:c r="I2185" s="14" t="str">
        <x:v>是</x:v>
      </x:c>
      <x:c r="J2185" s="14" t="n">
        <x:v>4</x:v>
      </x:c>
      <x:c r="K2185" s="14" t="str">
        <x:v>图书馆</x:v>
      </x:c>
      <x:c r="L2185" s="14" t="n">
        <x:v>5</x:v>
      </x:c>
      <x:c r="M2185" s="14" t="str">
        <x:v>21:05</x:v>
      </x:c>
      <x:c r="N2185" s="14" t="str">
        <x:v>否</x:v>
      </x:c>
      <x:c r="O2185" s="14" t="str">
        <x:v>否</x:v>
      </x:c>
      <x:c r="P2185" s="14" t="str">
        <x:v>夏文新</x:v>
      </x:c>
      <x:c r="Q2185" s="14" t="str">
        <x:v>4号车</x:v>
      </x:c>
      <x:c r="R2185" s="14" t="str">
        <x:v>预测</x:v>
      </x:c>
      <x:c r="S2185" s="14" t="str">
        <x:v>到站时间为估算值</x:v>
      </x:c>
      <x:c r="T2185" t="str">
        <x:v>高超楼发车</x:v>
      </x:c>
    </x:row>
    <x:row r="2186">
      <x:c r="A2186" s="14" t="str">
        <x:v>S0189-05</x:v>
      </x:c>
      <x:c r="B2186" s="14" t="str">
        <x:v>S0189</x:v>
      </x:c>
      <x:c r="C2186" s="14" t="str">
        <x:v>周末/节假日</x:v>
      </x:c>
      <x:c r="D2186" s="14" t="str">
        <x:v>环线3路</x:v>
      </x:c>
      <x:c r="E2186" s="14" t="str">
        <x:v>第二班</x:v>
      </x:c>
      <x:c r="F2186" s="14" t="n">
        <x:v>10</x:v>
      </x:c>
      <x:c r="G2186" s="14" t="str">
        <x:v>21:00</x:v>
      </x:c>
      <x:c r="H2186" s="14" t="str">
        <x:v>高超楼（系统工程学院旁）</x:v>
      </x:c>
      <x:c r="I2186" s="14" t="str">
        <x:v>是</x:v>
      </x:c>
      <x:c r="J2186" s="14" t="n">
        <x:v>5</x:v>
      </x:c>
      <x:c r="K2186" s="14" t="str">
        <x:v>305教学楼</x:v>
      </x:c>
      <x:c r="L2186" s="14" t="n">
        <x:v>7</x:v>
      </x:c>
      <x:c r="M2186" s="14" t="str">
        <x:v>21:07</x:v>
      </x:c>
      <x:c r="N2186" s="14" t="str">
        <x:v>否</x:v>
      </x:c>
      <x:c r="O2186" s="14" t="str">
        <x:v>否</x:v>
      </x:c>
      <x:c r="P2186" s="14" t="str">
        <x:v>夏文新</x:v>
      </x:c>
      <x:c r="Q2186" s="14" t="str">
        <x:v>4号车</x:v>
      </x:c>
      <x:c r="R2186" s="14" t="str">
        <x:v>预测</x:v>
      </x:c>
      <x:c r="S2186" s="14" t="str">
        <x:v>到站时间为估算值</x:v>
      </x:c>
      <x:c r="T2186" t="str">
        <x:v>高超楼发车</x:v>
      </x:c>
    </x:row>
    <x:row r="2187">
      <x:c r="A2187" s="14" t="str">
        <x:v>S0189-06</x:v>
      </x:c>
      <x:c r="B2187" s="14" t="str">
        <x:v>S0189</x:v>
      </x:c>
      <x:c r="C2187" s="14" t="str">
        <x:v>周末/节假日</x:v>
      </x:c>
      <x:c r="D2187" s="14" t="str">
        <x:v>环线3路</x:v>
      </x:c>
      <x:c r="E2187" s="14" t="str">
        <x:v>第二班</x:v>
      </x:c>
      <x:c r="F2187" s="14" t="n">
        <x:v>10</x:v>
      </x:c>
      <x:c r="G2187" s="14" t="str">
        <x:v>21:00</x:v>
      </x:c>
      <x:c r="H2187" s="14" t="str">
        <x:v>高超楼（系统工程学院旁）</x:v>
      </x:c>
      <x:c r="I2187" s="14" t="str">
        <x:v>是</x:v>
      </x:c>
      <x:c r="J2187" s="14" t="n">
        <x:v>6</x:v>
      </x:c>
      <x:c r="K2187" s="14" t="str">
        <x:v>研究生宿舍楼</x:v>
      </x:c>
      <x:c r="L2187" s="14" t="n">
        <x:v>9</x:v>
      </x:c>
      <x:c r="M2187" s="14" t="str">
        <x:v>21:09</x:v>
      </x:c>
      <x:c r="N2187" s="14" t="str">
        <x:v>否</x:v>
      </x:c>
      <x:c r="O2187" s="14" t="str">
        <x:v>否</x:v>
      </x:c>
      <x:c r="P2187" s="14" t="str">
        <x:v>夏文新</x:v>
      </x:c>
      <x:c r="Q2187" s="14" t="str">
        <x:v>4号车</x:v>
      </x:c>
      <x:c r="R2187" s="14" t="str">
        <x:v>预测</x:v>
      </x:c>
      <x:c r="S2187" s="14" t="str">
        <x:v>到站时间为估算值</x:v>
      </x:c>
      <x:c r="T2187" t="str">
        <x:v>高超楼发车</x:v>
      </x:c>
    </x:row>
    <x:row r="2188">
      <x:c r="A2188" s="14" t="str">
        <x:v>S0189-07</x:v>
      </x:c>
      <x:c r="B2188" s="14" t="str">
        <x:v>S0189</x:v>
      </x:c>
      <x:c r="C2188" s="14" t="str">
        <x:v>周末/节假日</x:v>
      </x:c>
      <x:c r="D2188" s="14" t="str">
        <x:v>环线3路</x:v>
      </x:c>
      <x:c r="E2188" s="14" t="str">
        <x:v>第二班</x:v>
      </x:c>
      <x:c r="F2188" s="14" t="n">
        <x:v>10</x:v>
      </x:c>
      <x:c r="G2188" s="14" t="str">
        <x:v>21:00</x:v>
      </x:c>
      <x:c r="H2188" s="14" t="str">
        <x:v>高超楼（系统工程学院旁）</x:v>
      </x:c>
      <x:c r="I2188" s="14" t="str">
        <x:v>是</x:v>
      </x:c>
      <x:c r="J2188" s="14" t="n">
        <x:v>7</x:v>
      </x:c>
      <x:c r="K2188" s="14" t="str">
        <x:v>一食堂</x:v>
      </x:c>
      <x:c r="L2188" s="14" t="n">
        <x:v>10</x:v>
      </x:c>
      <x:c r="M2188" s="14" t="str">
        <x:v>21:10</x:v>
      </x:c>
      <x:c r="N2188" s="14" t="str">
        <x:v>否</x:v>
      </x:c>
      <x:c r="O2188" s="14" t="str">
        <x:v>否</x:v>
      </x:c>
      <x:c r="P2188" s="14" t="str">
        <x:v>夏文新</x:v>
      </x:c>
      <x:c r="Q2188" s="14" t="str">
        <x:v>4号车</x:v>
      </x:c>
      <x:c r="R2188" s="14" t="str">
        <x:v>预测</x:v>
      </x:c>
      <x:c r="S2188" s="14" t="str">
        <x:v>到站时间为估算值</x:v>
      </x:c>
      <x:c r="T2188" t="str">
        <x:v>高超楼发车</x:v>
      </x:c>
    </x:row>
    <x:row r="2189">
      <x:c r="A2189" s="14" t="str">
        <x:v>S0189-08</x:v>
      </x:c>
      <x:c r="B2189" s="14" t="str">
        <x:v>S0189</x:v>
      </x:c>
      <x:c r="C2189" s="14" t="str">
        <x:v>周末/节假日</x:v>
      </x:c>
      <x:c r="D2189" s="14" t="str">
        <x:v>环线3路</x:v>
      </x:c>
      <x:c r="E2189" s="14" t="str">
        <x:v>第二班</x:v>
      </x:c>
      <x:c r="F2189" s="14" t="n">
        <x:v>10</x:v>
      </x:c>
      <x:c r="G2189" s="14" t="str">
        <x:v>21:00</x:v>
      </x:c>
      <x:c r="H2189" s="14" t="str">
        <x:v>高超楼（系统工程学院旁）</x:v>
      </x:c>
      <x:c r="I2189" s="14" t="str">
        <x:v>是</x:v>
      </x:c>
      <x:c r="J2189" s="14" t="n">
        <x:v>8</x:v>
      </x:c>
      <x:c r="K2189" s="14" t="str">
        <x:v>2号宿舍楼</x:v>
      </x:c>
      <x:c r="L2189" s="14" t="n">
        <x:v>12</x:v>
      </x:c>
      <x:c r="M2189" s="14" t="str">
        <x:v>21:12</x:v>
      </x:c>
      <x:c r="N2189" s="14" t="str">
        <x:v>否</x:v>
      </x:c>
      <x:c r="O2189" s="14" t="str">
        <x:v>否</x:v>
      </x:c>
      <x:c r="P2189" s="14" t="str">
        <x:v>夏文新</x:v>
      </x:c>
      <x:c r="Q2189" s="14" t="str">
        <x:v>4号车</x:v>
      </x:c>
      <x:c r="R2189" s="14" t="str">
        <x:v>预测</x:v>
      </x:c>
      <x:c r="S2189" s="14" t="str">
        <x:v>到站时间为估算值</x:v>
      </x:c>
      <x:c r="T2189" t="str">
        <x:v>高超楼发车</x:v>
      </x:c>
    </x:row>
    <x:row r="2190">
      <x:c r="A2190" s="14" t="str">
        <x:v>S0189-09</x:v>
      </x:c>
      <x:c r="B2190" s="14" t="str">
        <x:v>S0189</x:v>
      </x:c>
      <x:c r="C2190" s="14" t="str">
        <x:v>周末/节假日</x:v>
      </x:c>
      <x:c r="D2190" s="14" t="str">
        <x:v>环线3路</x:v>
      </x:c>
      <x:c r="E2190" s="14" t="str">
        <x:v>第二班</x:v>
      </x:c>
      <x:c r="F2190" s="14" t="n">
        <x:v>10</x:v>
      </x:c>
      <x:c r="G2190" s="14" t="str">
        <x:v>21:00</x:v>
      </x:c>
      <x:c r="H2190" s="14" t="str">
        <x:v>高超楼（系统工程学院旁）</x:v>
      </x:c>
      <x:c r="I2190" s="14" t="str">
        <x:v>是</x:v>
      </x:c>
      <x:c r="J2190" s="14" t="n">
        <x:v>9</x:v>
      </x:c>
      <x:c r="K2190" s="14" t="str">
        <x:v>军体活动中心</x:v>
      </x:c>
      <x:c r="L2190" s="14" t="n">
        <x:v>13</x:v>
      </x:c>
      <x:c r="M2190" s="14" t="str">
        <x:v>21:13</x:v>
      </x:c>
      <x:c r="N2190" s="14" t="str">
        <x:v>否</x:v>
      </x:c>
      <x:c r="O2190" s="14" t="str">
        <x:v>否</x:v>
      </x:c>
      <x:c r="P2190" s="14" t="str">
        <x:v>夏文新</x:v>
      </x:c>
      <x:c r="Q2190" s="14" t="str">
        <x:v>4号车</x:v>
      </x:c>
      <x:c r="R2190" s="14" t="str">
        <x:v>预测</x:v>
      </x:c>
      <x:c r="S2190" s="14" t="str">
        <x:v>到站时间为估算值</x:v>
      </x:c>
      <x:c r="T2190" t="str">
        <x:v>高超楼发车</x:v>
      </x:c>
    </x:row>
    <x:row r="2191">
      <x:c r="A2191" s="14" t="str">
        <x:v>S0189-10</x:v>
      </x:c>
      <x:c r="B2191" s="14" t="str">
        <x:v>S0189</x:v>
      </x:c>
      <x:c r="C2191" s="14" t="str">
        <x:v>周末/节假日</x:v>
      </x:c>
      <x:c r="D2191" s="14" t="str">
        <x:v>环线3路</x:v>
      </x:c>
      <x:c r="E2191" s="14" t="str">
        <x:v>第二班</x:v>
      </x:c>
      <x:c r="F2191" s="14" t="n">
        <x:v>10</x:v>
      </x:c>
      <x:c r="G2191" s="14" t="str">
        <x:v>21:00</x:v>
      </x:c>
      <x:c r="H2191" s="14" t="str">
        <x:v>高超楼（系统工程学院旁）</x:v>
      </x:c>
      <x:c r="I2191" s="14" t="str">
        <x:v>是</x:v>
      </x:c>
      <x:c r="J2191" s="14" t="n">
        <x:v>10</x:v>
      </x:c>
      <x:c r="K2191" s="14" t="str">
        <x:v>教勤连</x:v>
      </x:c>
      <x:c r="L2191" s="14" t="n">
        <x:v>15</x:v>
      </x:c>
      <x:c r="M2191" s="14" t="str">
        <x:v>21:15</x:v>
      </x:c>
      <x:c r="N2191" s="14" t="str">
        <x:v>否</x:v>
      </x:c>
      <x:c r="O2191" s="14" t="str">
        <x:v>否</x:v>
      </x:c>
      <x:c r="P2191" s="14" t="str">
        <x:v>夏文新</x:v>
      </x:c>
      <x:c r="Q2191" s="14" t="str">
        <x:v>4号车</x:v>
      </x:c>
      <x:c r="R2191" s="14" t="str">
        <x:v>预测</x:v>
      </x:c>
      <x:c r="S2191" s="14" t="str">
        <x:v>到站时间为估算值</x:v>
      </x:c>
      <x:c r="T2191" t="str">
        <x:v>高超楼发车</x:v>
      </x:c>
    </x:row>
    <x:row r="2192">
      <x:c r="A2192" s="14" t="str">
        <x:v>S0189-11</x:v>
      </x:c>
      <x:c r="B2192" s="14" t="str">
        <x:v>S0189</x:v>
      </x:c>
      <x:c r="C2192" s="14" t="str">
        <x:v>周末/节假日</x:v>
      </x:c>
      <x:c r="D2192" s="14" t="str">
        <x:v>环线3路</x:v>
      </x:c>
      <x:c r="E2192" s="14" t="str">
        <x:v>第二班</x:v>
      </x:c>
      <x:c r="F2192" s="14" t="n">
        <x:v>10</x:v>
      </x:c>
      <x:c r="G2192" s="14" t="str">
        <x:v>21:00</x:v>
      </x:c>
      <x:c r="H2192" s="14" t="str">
        <x:v>高超楼（系统工程学院旁）</x:v>
      </x:c>
      <x:c r="I2192" s="14" t="str">
        <x:v>是</x:v>
      </x:c>
      <x:c r="J2192" s="14" t="n">
        <x:v>11</x:v>
      </x:c>
      <x:c r="K2192" s="14" t="str">
        <x:v>激光所</x:v>
      </x:c>
      <x:c r="L2192" s="14" t="n">
        <x:v>16</x:v>
      </x:c>
      <x:c r="M2192" s="14" t="str">
        <x:v>21:16</x:v>
      </x:c>
      <x:c r="N2192" s="14" t="str">
        <x:v>否</x:v>
      </x:c>
      <x:c r="O2192" s="14" t="str">
        <x:v>否</x:v>
      </x:c>
      <x:c r="P2192" s="14" t="str">
        <x:v>夏文新</x:v>
      </x:c>
      <x:c r="Q2192" s="14" t="str">
        <x:v>4号车</x:v>
      </x:c>
      <x:c r="R2192" s="14" t="str">
        <x:v>预测</x:v>
      </x:c>
      <x:c r="S2192" s="14" t="str">
        <x:v>到站时间为估算值</x:v>
      </x:c>
      <x:c r="T2192" t="str">
        <x:v>高超楼发车</x:v>
      </x:c>
    </x:row>
    <x:row r="2193">
      <x:c r="A2193" s="14" t="str">
        <x:v>S0189-12</x:v>
      </x:c>
      <x:c r="B2193" s="14" t="str">
        <x:v>S0189</x:v>
      </x:c>
      <x:c r="C2193" s="14" t="str">
        <x:v>周末/节假日</x:v>
      </x:c>
      <x:c r="D2193" s="14" t="str">
        <x:v>环线3路</x:v>
      </x:c>
      <x:c r="E2193" s="14" t="str">
        <x:v>第二班</x:v>
      </x:c>
      <x:c r="F2193" s="14" t="n">
        <x:v>10</x:v>
      </x:c>
      <x:c r="G2193" s="14" t="str">
        <x:v>21:00</x:v>
      </x:c>
      <x:c r="H2193" s="14" t="str">
        <x:v>高超楼（系统工程学院旁）</x:v>
      </x:c>
      <x:c r="I2193" s="14" t="str">
        <x:v>是</x:v>
      </x:c>
      <x:c r="J2193" s="14" t="n">
        <x:v>12</x:v>
      </x:c>
      <x:c r="K2193" s="14" t="str">
        <x:v>高超楼</x:v>
      </x:c>
      <x:c r="L2193" s="14" t="n">
        <x:v>18</x:v>
      </x:c>
      <x:c r="M2193" s="14" t="str">
        <x:v>21:18</x:v>
      </x:c>
      <x:c r="N2193" s="14" t="str">
        <x:v>否</x:v>
      </x:c>
      <x:c r="O2193" s="14" t="str">
        <x:v>是</x:v>
      </x:c>
      <x:c r="P2193" s="14" t="str">
        <x:v>夏文新</x:v>
      </x:c>
      <x:c r="Q2193" s="14" t="str">
        <x:v>4号车</x:v>
      </x:c>
      <x:c r="R2193" s="14" t="str">
        <x:v>预测</x:v>
      </x:c>
      <x:c r="S2193" s="14" t="str">
        <x:v>到站时间为估算值</x:v>
      </x:c>
      <x:c r="T2193" t="str">
        <x:v>高超楼发车</x:v>
      </x:c>
    </x:row>
    <x:row r="2194">
      <x:c r="A2194" s="14" t="str">
        <x:v>S0190-01</x:v>
      </x:c>
      <x:c r="B2194" s="14" t="str">
        <x:v>S0190</x:v>
      </x:c>
      <x:c r="C2194" s="14" t="str">
        <x:v>周末/节假日</x:v>
      </x:c>
      <x:c r="D2194" s="14" t="str">
        <x:v>环线3路</x:v>
      </x:c>
      <x:c r="E2194" s="14" t="str">
        <x:v>第二班</x:v>
      </x:c>
      <x:c r="F2194" s="14" t="n">
        <x:v>11</x:v>
      </x:c>
      <x:c r="G2194" s="14" t="str">
        <x:v>21:25</x:v>
      </x:c>
      <x:c r="H2194" s="14" t="str">
        <x:v>高超楼（系统工程学院旁）</x:v>
      </x:c>
      <x:c r="I2194" s="14" t="str">
        <x:v>是</x:v>
      </x:c>
      <x:c r="J2194" s="14" t="n">
        <x:v>1</x:v>
      </x:c>
      <x:c r="K2194" s="14" t="str">
        <x:v>高超楼</x:v>
      </x:c>
      <x:c r="L2194" s="14" t="n">
        <x:v>0</x:v>
      </x:c>
      <x:c r="M2194" s="14" t="str">
        <x:v>21:25</x:v>
      </x:c>
      <x:c r="N2194" s="14" t="str">
        <x:v>是</x:v>
      </x:c>
      <x:c r="O2194" s="14" t="str">
        <x:v>否</x:v>
      </x:c>
      <x:c r="P2194" s="14" t="str">
        <x:v>夏文新</x:v>
      </x:c>
      <x:c r="Q2194" s="14" t="str">
        <x:v>4号车</x:v>
      </x:c>
      <x:c r="R2194" s="14" t="str">
        <x:v>预测</x:v>
      </x:c>
      <x:c r="S2194" s="14" t="str">
        <x:v>到站时间为估算值</x:v>
      </x:c>
      <x:c r="T2194" t="str">
        <x:v>高超楼发车</x:v>
      </x:c>
    </x:row>
    <x:row r="2195">
      <x:c r="A2195" s="14" t="str">
        <x:v>S0190-02</x:v>
      </x:c>
      <x:c r="B2195" s="14" t="str">
        <x:v>S0190</x:v>
      </x:c>
      <x:c r="C2195" s="14" t="str">
        <x:v>周末/节假日</x:v>
      </x:c>
      <x:c r="D2195" s="14" t="str">
        <x:v>环线3路</x:v>
      </x:c>
      <x:c r="E2195" s="14" t="str">
        <x:v>第二班</x:v>
      </x:c>
      <x:c r="F2195" s="14" t="n">
        <x:v>11</x:v>
      </x:c>
      <x:c r="G2195" s="14" t="str">
        <x:v>21:25</x:v>
      </x:c>
      <x:c r="H2195" s="14" t="str">
        <x:v>高超楼（系统工程学院旁）</x:v>
      </x:c>
      <x:c r="I2195" s="14" t="str">
        <x:v>是</x:v>
      </x:c>
      <x:c r="J2195" s="14" t="n">
        <x:v>2</x:v>
      </x:c>
      <x:c r="K2195" s="14" t="str">
        <x:v>理学院</x:v>
      </x:c>
      <x:c r="L2195" s="14" t="n">
        <x:v>1</x:v>
      </x:c>
      <x:c r="M2195" s="14" t="str">
        <x:v>21:26</x:v>
      </x:c>
      <x:c r="N2195" s="14" t="str">
        <x:v>否</x:v>
      </x:c>
      <x:c r="O2195" s="14" t="str">
        <x:v>否</x:v>
      </x:c>
      <x:c r="P2195" s="14" t="str">
        <x:v>夏文新</x:v>
      </x:c>
      <x:c r="Q2195" s="14" t="str">
        <x:v>4号车</x:v>
      </x:c>
      <x:c r="R2195" s="14" t="str">
        <x:v>预测</x:v>
      </x:c>
      <x:c r="S2195" s="14" t="str">
        <x:v>到站时间为估算值</x:v>
      </x:c>
      <x:c r="T2195" t="str">
        <x:v>高超楼发车</x:v>
      </x:c>
    </x:row>
    <x:row r="2196">
      <x:c r="A2196" s="14" t="str">
        <x:v>S0190-03</x:v>
      </x:c>
      <x:c r="B2196" s="14" t="str">
        <x:v>S0190</x:v>
      </x:c>
      <x:c r="C2196" s="14" t="str">
        <x:v>周末/节假日</x:v>
      </x:c>
      <x:c r="D2196" s="14" t="str">
        <x:v>环线3路</x:v>
      </x:c>
      <x:c r="E2196" s="14" t="str">
        <x:v>第二班</x:v>
      </x:c>
      <x:c r="F2196" s="14" t="n">
        <x:v>11</x:v>
      </x:c>
      <x:c r="G2196" s="14" t="str">
        <x:v>21:25</x:v>
      </x:c>
      <x:c r="H2196" s="14" t="str">
        <x:v>高超楼（系统工程学院旁）</x:v>
      </x:c>
      <x:c r="I2196" s="14" t="str">
        <x:v>是</x:v>
      </x:c>
      <x:c r="J2196" s="14" t="n">
        <x:v>3</x:v>
      </x:c>
      <x:c r="K2196" s="14" t="str">
        <x:v>二食堂</x:v>
      </x:c>
      <x:c r="L2196" s="14" t="n">
        <x:v>4</x:v>
      </x:c>
      <x:c r="M2196" s="14" t="str">
        <x:v>21:29</x:v>
      </x:c>
      <x:c r="N2196" s="14" t="str">
        <x:v>否</x:v>
      </x:c>
      <x:c r="O2196" s="14" t="str">
        <x:v>否</x:v>
      </x:c>
      <x:c r="P2196" s="14" t="str">
        <x:v>夏文新</x:v>
      </x:c>
      <x:c r="Q2196" s="14" t="str">
        <x:v>4号车</x:v>
      </x:c>
      <x:c r="R2196" s="14" t="str">
        <x:v>预测</x:v>
      </x:c>
      <x:c r="S2196" s="14" t="str">
        <x:v>到站时间为估算值</x:v>
      </x:c>
      <x:c r="T2196" t="str">
        <x:v>高超楼发车</x:v>
      </x:c>
    </x:row>
    <x:row r="2197">
      <x:c r="A2197" s="14" t="str">
        <x:v>S0190-04</x:v>
      </x:c>
      <x:c r="B2197" s="14" t="str">
        <x:v>S0190</x:v>
      </x:c>
      <x:c r="C2197" s="14" t="str">
        <x:v>周末/节假日</x:v>
      </x:c>
      <x:c r="D2197" s="14" t="str">
        <x:v>环线3路</x:v>
      </x:c>
      <x:c r="E2197" s="14" t="str">
        <x:v>第二班</x:v>
      </x:c>
      <x:c r="F2197" s="14" t="n">
        <x:v>11</x:v>
      </x:c>
      <x:c r="G2197" s="14" t="str">
        <x:v>21:25</x:v>
      </x:c>
      <x:c r="H2197" s="14" t="str">
        <x:v>高超楼（系统工程学院旁）</x:v>
      </x:c>
      <x:c r="I2197" s="14" t="str">
        <x:v>是</x:v>
      </x:c>
      <x:c r="J2197" s="14" t="n">
        <x:v>4</x:v>
      </x:c>
      <x:c r="K2197" s="14" t="str">
        <x:v>图书馆</x:v>
      </x:c>
      <x:c r="L2197" s="14" t="n">
        <x:v>5</x:v>
      </x:c>
      <x:c r="M2197" s="14" t="str">
        <x:v>21:30</x:v>
      </x:c>
      <x:c r="N2197" s="14" t="str">
        <x:v>否</x:v>
      </x:c>
      <x:c r="O2197" s="14" t="str">
        <x:v>否</x:v>
      </x:c>
      <x:c r="P2197" s="14" t="str">
        <x:v>夏文新</x:v>
      </x:c>
      <x:c r="Q2197" s="14" t="str">
        <x:v>4号车</x:v>
      </x:c>
      <x:c r="R2197" s="14" t="str">
        <x:v>预测</x:v>
      </x:c>
      <x:c r="S2197" s="14" t="str">
        <x:v>到站时间为估算值</x:v>
      </x:c>
      <x:c r="T2197" t="str">
        <x:v>高超楼发车</x:v>
      </x:c>
    </x:row>
    <x:row r="2198">
      <x:c r="A2198" s="14" t="str">
        <x:v>S0190-05</x:v>
      </x:c>
      <x:c r="B2198" s="14" t="str">
        <x:v>S0190</x:v>
      </x:c>
      <x:c r="C2198" s="14" t="str">
        <x:v>周末/节假日</x:v>
      </x:c>
      <x:c r="D2198" s="14" t="str">
        <x:v>环线3路</x:v>
      </x:c>
      <x:c r="E2198" s="14" t="str">
        <x:v>第二班</x:v>
      </x:c>
      <x:c r="F2198" s="14" t="n">
        <x:v>11</x:v>
      </x:c>
      <x:c r="G2198" s="14" t="str">
        <x:v>21:25</x:v>
      </x:c>
      <x:c r="H2198" s="14" t="str">
        <x:v>高超楼（系统工程学院旁）</x:v>
      </x:c>
      <x:c r="I2198" s="14" t="str">
        <x:v>是</x:v>
      </x:c>
      <x:c r="J2198" s="14" t="n">
        <x:v>5</x:v>
      </x:c>
      <x:c r="K2198" s="14" t="str">
        <x:v>305教学楼</x:v>
      </x:c>
      <x:c r="L2198" s="14" t="n">
        <x:v>7</x:v>
      </x:c>
      <x:c r="M2198" s="14" t="str">
        <x:v>21:32</x:v>
      </x:c>
      <x:c r="N2198" s="14" t="str">
        <x:v>否</x:v>
      </x:c>
      <x:c r="O2198" s="14" t="str">
        <x:v>否</x:v>
      </x:c>
      <x:c r="P2198" s="14" t="str">
        <x:v>夏文新</x:v>
      </x:c>
      <x:c r="Q2198" s="14" t="str">
        <x:v>4号车</x:v>
      </x:c>
      <x:c r="R2198" s="14" t="str">
        <x:v>预测</x:v>
      </x:c>
      <x:c r="S2198" s="14" t="str">
        <x:v>到站时间为估算值</x:v>
      </x:c>
      <x:c r="T2198" t="str">
        <x:v>高超楼发车</x:v>
      </x:c>
    </x:row>
    <x:row r="2199">
      <x:c r="A2199" s="14" t="str">
        <x:v>S0190-06</x:v>
      </x:c>
      <x:c r="B2199" s="14" t="str">
        <x:v>S0190</x:v>
      </x:c>
      <x:c r="C2199" s="14" t="str">
        <x:v>周末/节假日</x:v>
      </x:c>
      <x:c r="D2199" s="14" t="str">
        <x:v>环线3路</x:v>
      </x:c>
      <x:c r="E2199" s="14" t="str">
        <x:v>第二班</x:v>
      </x:c>
      <x:c r="F2199" s="14" t="n">
        <x:v>11</x:v>
      </x:c>
      <x:c r="G2199" s="14" t="str">
        <x:v>21:25</x:v>
      </x:c>
      <x:c r="H2199" s="14" t="str">
        <x:v>高超楼（系统工程学院旁）</x:v>
      </x:c>
      <x:c r="I2199" s="14" t="str">
        <x:v>是</x:v>
      </x:c>
      <x:c r="J2199" s="14" t="n">
        <x:v>6</x:v>
      </x:c>
      <x:c r="K2199" s="14" t="str">
        <x:v>研究生宿舍楼</x:v>
      </x:c>
      <x:c r="L2199" s="14" t="n">
        <x:v>9</x:v>
      </x:c>
      <x:c r="M2199" s="14" t="str">
        <x:v>21:34</x:v>
      </x:c>
      <x:c r="N2199" s="14" t="str">
        <x:v>否</x:v>
      </x:c>
      <x:c r="O2199" s="14" t="str">
        <x:v>否</x:v>
      </x:c>
      <x:c r="P2199" s="14" t="str">
        <x:v>夏文新</x:v>
      </x:c>
      <x:c r="Q2199" s="14" t="str">
        <x:v>4号车</x:v>
      </x:c>
      <x:c r="R2199" s="14" t="str">
        <x:v>预测</x:v>
      </x:c>
      <x:c r="S2199" s="14" t="str">
        <x:v>到站时间为估算值</x:v>
      </x:c>
      <x:c r="T2199" t="str">
        <x:v>高超楼发车</x:v>
      </x:c>
    </x:row>
    <x:row r="2200">
      <x:c r="A2200" s="14" t="str">
        <x:v>S0190-07</x:v>
      </x:c>
      <x:c r="B2200" s="14" t="str">
        <x:v>S0190</x:v>
      </x:c>
      <x:c r="C2200" s="14" t="str">
        <x:v>周末/节假日</x:v>
      </x:c>
      <x:c r="D2200" s="14" t="str">
        <x:v>环线3路</x:v>
      </x:c>
      <x:c r="E2200" s="14" t="str">
        <x:v>第二班</x:v>
      </x:c>
      <x:c r="F2200" s="14" t="n">
        <x:v>11</x:v>
      </x:c>
      <x:c r="G2200" s="14" t="str">
        <x:v>21:25</x:v>
      </x:c>
      <x:c r="H2200" s="14" t="str">
        <x:v>高超楼（系统工程学院旁）</x:v>
      </x:c>
      <x:c r="I2200" s="14" t="str">
        <x:v>是</x:v>
      </x:c>
      <x:c r="J2200" s="14" t="n">
        <x:v>7</x:v>
      </x:c>
      <x:c r="K2200" s="14" t="str">
        <x:v>一食堂</x:v>
      </x:c>
      <x:c r="L2200" s="14" t="n">
        <x:v>10</x:v>
      </x:c>
      <x:c r="M2200" s="14" t="str">
        <x:v>21:35</x:v>
      </x:c>
      <x:c r="N2200" s="14" t="str">
        <x:v>否</x:v>
      </x:c>
      <x:c r="O2200" s="14" t="str">
        <x:v>否</x:v>
      </x:c>
      <x:c r="P2200" s="14" t="str">
        <x:v>夏文新</x:v>
      </x:c>
      <x:c r="Q2200" s="14" t="str">
        <x:v>4号车</x:v>
      </x:c>
      <x:c r="R2200" s="14" t="str">
        <x:v>预测</x:v>
      </x:c>
      <x:c r="S2200" s="14" t="str">
        <x:v>到站时间为估算值</x:v>
      </x:c>
      <x:c r="T2200" t="str">
        <x:v>高超楼发车</x:v>
      </x:c>
    </x:row>
    <x:row r="2201">
      <x:c r="A2201" s="14" t="str">
        <x:v>S0190-08</x:v>
      </x:c>
      <x:c r="B2201" s="14" t="str">
        <x:v>S0190</x:v>
      </x:c>
      <x:c r="C2201" s="14" t="str">
        <x:v>周末/节假日</x:v>
      </x:c>
      <x:c r="D2201" s="14" t="str">
        <x:v>环线3路</x:v>
      </x:c>
      <x:c r="E2201" s="14" t="str">
        <x:v>第二班</x:v>
      </x:c>
      <x:c r="F2201" s="14" t="n">
        <x:v>11</x:v>
      </x:c>
      <x:c r="G2201" s="14" t="str">
        <x:v>21:25</x:v>
      </x:c>
      <x:c r="H2201" s="14" t="str">
        <x:v>高超楼（系统工程学院旁）</x:v>
      </x:c>
      <x:c r="I2201" s="14" t="str">
        <x:v>是</x:v>
      </x:c>
      <x:c r="J2201" s="14" t="n">
        <x:v>8</x:v>
      </x:c>
      <x:c r="K2201" s="14" t="str">
        <x:v>2号宿舍楼</x:v>
      </x:c>
      <x:c r="L2201" s="14" t="n">
        <x:v>12</x:v>
      </x:c>
      <x:c r="M2201" s="14" t="str">
        <x:v>21:37</x:v>
      </x:c>
      <x:c r="N2201" s="14" t="str">
        <x:v>否</x:v>
      </x:c>
      <x:c r="O2201" s="14" t="str">
        <x:v>否</x:v>
      </x:c>
      <x:c r="P2201" s="14" t="str">
        <x:v>夏文新</x:v>
      </x:c>
      <x:c r="Q2201" s="14" t="str">
        <x:v>4号车</x:v>
      </x:c>
      <x:c r="R2201" s="14" t="str">
        <x:v>预测</x:v>
      </x:c>
      <x:c r="S2201" s="14" t="str">
        <x:v>到站时间为估算值</x:v>
      </x:c>
      <x:c r="T2201" t="str">
        <x:v>高超楼发车</x:v>
      </x:c>
    </x:row>
    <x:row r="2202">
      <x:c r="A2202" s="14" t="str">
        <x:v>S0190-09</x:v>
      </x:c>
      <x:c r="B2202" s="14" t="str">
        <x:v>S0190</x:v>
      </x:c>
      <x:c r="C2202" s="14" t="str">
        <x:v>周末/节假日</x:v>
      </x:c>
      <x:c r="D2202" s="14" t="str">
        <x:v>环线3路</x:v>
      </x:c>
      <x:c r="E2202" s="14" t="str">
        <x:v>第二班</x:v>
      </x:c>
      <x:c r="F2202" s="14" t="n">
        <x:v>11</x:v>
      </x:c>
      <x:c r="G2202" s="14" t="str">
        <x:v>21:25</x:v>
      </x:c>
      <x:c r="H2202" s="14" t="str">
        <x:v>高超楼（系统工程学院旁）</x:v>
      </x:c>
      <x:c r="I2202" s="14" t="str">
        <x:v>是</x:v>
      </x:c>
      <x:c r="J2202" s="14" t="n">
        <x:v>9</x:v>
      </x:c>
      <x:c r="K2202" s="14" t="str">
        <x:v>军体活动中心</x:v>
      </x:c>
      <x:c r="L2202" s="14" t="n">
        <x:v>13</x:v>
      </x:c>
      <x:c r="M2202" s="14" t="str">
        <x:v>21:38</x:v>
      </x:c>
      <x:c r="N2202" s="14" t="str">
        <x:v>否</x:v>
      </x:c>
      <x:c r="O2202" s="14" t="str">
        <x:v>否</x:v>
      </x:c>
      <x:c r="P2202" s="14" t="str">
        <x:v>夏文新</x:v>
      </x:c>
      <x:c r="Q2202" s="14" t="str">
        <x:v>4号车</x:v>
      </x:c>
      <x:c r="R2202" s="14" t="str">
        <x:v>预测</x:v>
      </x:c>
      <x:c r="S2202" s="14" t="str">
        <x:v>到站时间为估算值</x:v>
      </x:c>
      <x:c r="T2202" t="str">
        <x:v>高超楼发车</x:v>
      </x:c>
    </x:row>
    <x:row r="2203">
      <x:c r="A2203" s="14" t="str">
        <x:v>S0190-10</x:v>
      </x:c>
      <x:c r="B2203" s="14" t="str">
        <x:v>S0190</x:v>
      </x:c>
      <x:c r="C2203" s="14" t="str">
        <x:v>周末/节假日</x:v>
      </x:c>
      <x:c r="D2203" s="14" t="str">
        <x:v>环线3路</x:v>
      </x:c>
      <x:c r="E2203" s="14" t="str">
        <x:v>第二班</x:v>
      </x:c>
      <x:c r="F2203" s="14" t="n">
        <x:v>11</x:v>
      </x:c>
      <x:c r="G2203" s="14" t="str">
        <x:v>21:25</x:v>
      </x:c>
      <x:c r="H2203" s="14" t="str">
        <x:v>高超楼（系统工程学院旁）</x:v>
      </x:c>
      <x:c r="I2203" s="14" t="str">
        <x:v>是</x:v>
      </x:c>
      <x:c r="J2203" s="14" t="n">
        <x:v>10</x:v>
      </x:c>
      <x:c r="K2203" s="14" t="str">
        <x:v>教勤连</x:v>
      </x:c>
      <x:c r="L2203" s="14" t="n">
        <x:v>15</x:v>
      </x:c>
      <x:c r="M2203" s="14" t="str">
        <x:v>21:40</x:v>
      </x:c>
      <x:c r="N2203" s="14" t="str">
        <x:v>否</x:v>
      </x:c>
      <x:c r="O2203" s="14" t="str">
        <x:v>否</x:v>
      </x:c>
      <x:c r="P2203" s="14" t="str">
        <x:v>夏文新</x:v>
      </x:c>
      <x:c r="Q2203" s="14" t="str">
        <x:v>4号车</x:v>
      </x:c>
      <x:c r="R2203" s="14" t="str">
        <x:v>预测</x:v>
      </x:c>
      <x:c r="S2203" s="14" t="str">
        <x:v>到站时间为估算值</x:v>
      </x:c>
      <x:c r="T2203" t="str">
        <x:v>高超楼发车</x:v>
      </x:c>
    </x:row>
    <x:row r="2204">
      <x:c r="A2204" s="14" t="str">
        <x:v>S0190-11</x:v>
      </x:c>
      <x:c r="B2204" s="14" t="str">
        <x:v>S0190</x:v>
      </x:c>
      <x:c r="C2204" s="14" t="str">
        <x:v>周末/节假日</x:v>
      </x:c>
      <x:c r="D2204" s="14" t="str">
        <x:v>环线3路</x:v>
      </x:c>
      <x:c r="E2204" s="14" t="str">
        <x:v>第二班</x:v>
      </x:c>
      <x:c r="F2204" s="14" t="n">
        <x:v>11</x:v>
      </x:c>
      <x:c r="G2204" s="14" t="str">
        <x:v>21:25</x:v>
      </x:c>
      <x:c r="H2204" s="14" t="str">
        <x:v>高超楼（系统工程学院旁）</x:v>
      </x:c>
      <x:c r="I2204" s="14" t="str">
        <x:v>是</x:v>
      </x:c>
      <x:c r="J2204" s="14" t="n">
        <x:v>11</x:v>
      </x:c>
      <x:c r="K2204" s="14" t="str">
        <x:v>激光所</x:v>
      </x:c>
      <x:c r="L2204" s="14" t="n">
        <x:v>16</x:v>
      </x:c>
      <x:c r="M2204" s="14" t="str">
        <x:v>21:41</x:v>
      </x:c>
      <x:c r="N2204" s="14" t="str">
        <x:v>否</x:v>
      </x:c>
      <x:c r="O2204" s="14" t="str">
        <x:v>否</x:v>
      </x:c>
      <x:c r="P2204" s="14" t="str">
        <x:v>夏文新</x:v>
      </x:c>
      <x:c r="Q2204" s="14" t="str">
        <x:v>4号车</x:v>
      </x:c>
      <x:c r="R2204" s="14" t="str">
        <x:v>预测</x:v>
      </x:c>
      <x:c r="S2204" s="14" t="str">
        <x:v>到站时间为估算值</x:v>
      </x:c>
      <x:c r="T2204" t="str">
        <x:v>高超楼发车</x:v>
      </x:c>
    </x:row>
    <x:row r="2205">
      <x:c r="A2205" s="14" t="str">
        <x:v>S0190-12</x:v>
      </x:c>
      <x:c r="B2205" s="14" t="str">
        <x:v>S0190</x:v>
      </x:c>
      <x:c r="C2205" s="14" t="str">
        <x:v>周末/节假日</x:v>
      </x:c>
      <x:c r="D2205" s="14" t="str">
        <x:v>环线3路</x:v>
      </x:c>
      <x:c r="E2205" s="14" t="str">
        <x:v>第二班</x:v>
      </x:c>
      <x:c r="F2205" s="14" t="n">
        <x:v>11</x:v>
      </x:c>
      <x:c r="G2205" s="14" t="str">
        <x:v>21:25</x:v>
      </x:c>
      <x:c r="H2205" s="14" t="str">
        <x:v>高超楼（系统工程学院旁）</x:v>
      </x:c>
      <x:c r="I2205" s="14" t="str">
        <x:v>是</x:v>
      </x:c>
      <x:c r="J2205" s="14" t="n">
        <x:v>12</x:v>
      </x:c>
      <x:c r="K2205" s="14" t="str">
        <x:v>高超楼</x:v>
      </x:c>
      <x:c r="L2205" s="14" t="n">
        <x:v>18</x:v>
      </x:c>
      <x:c r="M2205" s="14" t="str">
        <x:v>21:43</x:v>
      </x:c>
      <x:c r="N2205" s="14" t="str">
        <x:v>否</x:v>
      </x:c>
      <x:c r="O2205" s="14" t="str">
        <x:v>是</x:v>
      </x:c>
      <x:c r="P2205" s="14" t="str">
        <x:v>夏文新</x:v>
      </x:c>
      <x:c r="Q2205" s="14" t="str">
        <x:v>4号车</x:v>
      </x:c>
      <x:c r="R2205" s="14" t="str">
        <x:v>预测</x:v>
      </x:c>
      <x:c r="S2205" s="14" t="str">
        <x:v>到站时间为估算值</x:v>
      </x:c>
      <x:c r="T2205" t="str">
        <x:v>高超楼发车</x:v>
      </x:c>
    </x:row>
    <x:row r="2206">
      <x:c r="A2206" s="14" t="str">
        <x:v>S0191-01</x:v>
      </x:c>
      <x:c r="B2206" s="14" t="str">
        <x:v>S0191</x:v>
      </x:c>
      <x:c r="C2206" s="14" t="str">
        <x:v>周末/节假日</x:v>
      </x:c>
      <x:c r="D2206" s="14" t="str">
        <x:v>环线3路</x:v>
      </x:c>
      <x:c r="E2206" s="14" t="str">
        <x:v>第二班</x:v>
      </x:c>
      <x:c r="F2206" s="14" t="n">
        <x:v>12</x:v>
      </x:c>
      <x:c r="G2206" s="14" t="str">
        <x:v>21:50</x:v>
      </x:c>
      <x:c r="H2206" s="14" t="str">
        <x:v>高超楼（系统工程学院旁）</x:v>
      </x:c>
      <x:c r="I2206" s="14" t="str">
        <x:v>是</x:v>
      </x:c>
      <x:c r="J2206" s="14" t="n">
        <x:v>1</x:v>
      </x:c>
      <x:c r="K2206" s="14" t="str">
        <x:v>高超楼</x:v>
      </x:c>
      <x:c r="L2206" s="14" t="n">
        <x:v>0</x:v>
      </x:c>
      <x:c r="M2206" s="14" t="str">
        <x:v>21:50</x:v>
      </x:c>
      <x:c r="N2206" s="14" t="str">
        <x:v>是</x:v>
      </x:c>
      <x:c r="O2206" s="14" t="str">
        <x:v>否</x:v>
      </x:c>
      <x:c r="P2206" s="14" t="str">
        <x:v>夏文新</x:v>
      </x:c>
      <x:c r="Q2206" s="14" t="str">
        <x:v>4号车</x:v>
      </x:c>
      <x:c r="R2206" s="14" t="str">
        <x:v>预测</x:v>
      </x:c>
      <x:c r="S2206" s="14" t="str">
        <x:v>到站时间为估算值</x:v>
      </x:c>
      <x:c r="T2206" t="str">
        <x:v>高超楼发车</x:v>
      </x:c>
    </x:row>
    <x:row r="2207">
      <x:c r="A2207" s="14" t="str">
        <x:v>S0191-02</x:v>
      </x:c>
      <x:c r="B2207" s="14" t="str">
        <x:v>S0191</x:v>
      </x:c>
      <x:c r="C2207" s="14" t="str">
        <x:v>周末/节假日</x:v>
      </x:c>
      <x:c r="D2207" s="14" t="str">
        <x:v>环线3路</x:v>
      </x:c>
      <x:c r="E2207" s="14" t="str">
        <x:v>第二班</x:v>
      </x:c>
      <x:c r="F2207" s="14" t="n">
        <x:v>12</x:v>
      </x:c>
      <x:c r="G2207" s="14" t="str">
        <x:v>21:50</x:v>
      </x:c>
      <x:c r="H2207" s="14" t="str">
        <x:v>高超楼（系统工程学院旁）</x:v>
      </x:c>
      <x:c r="I2207" s="14" t="str">
        <x:v>是</x:v>
      </x:c>
      <x:c r="J2207" s="14" t="n">
        <x:v>2</x:v>
      </x:c>
      <x:c r="K2207" s="14" t="str">
        <x:v>理学院</x:v>
      </x:c>
      <x:c r="L2207" s="14" t="n">
        <x:v>1</x:v>
      </x:c>
      <x:c r="M2207" s="14" t="str">
        <x:v>21:51</x:v>
      </x:c>
      <x:c r="N2207" s="14" t="str">
        <x:v>否</x:v>
      </x:c>
      <x:c r="O2207" s="14" t="str">
        <x:v>否</x:v>
      </x:c>
      <x:c r="P2207" s="14" t="str">
        <x:v>夏文新</x:v>
      </x:c>
      <x:c r="Q2207" s="14" t="str">
        <x:v>4号车</x:v>
      </x:c>
      <x:c r="R2207" s="14" t="str">
        <x:v>预测</x:v>
      </x:c>
      <x:c r="S2207" s="14" t="str">
        <x:v>到站时间为估算值</x:v>
      </x:c>
      <x:c r="T2207" t="str">
        <x:v>高超楼发车</x:v>
      </x:c>
    </x:row>
    <x:row r="2208">
      <x:c r="A2208" s="14" t="str">
        <x:v>S0191-03</x:v>
      </x:c>
      <x:c r="B2208" s="14" t="str">
        <x:v>S0191</x:v>
      </x:c>
      <x:c r="C2208" s="14" t="str">
        <x:v>周末/节假日</x:v>
      </x:c>
      <x:c r="D2208" s="14" t="str">
        <x:v>环线3路</x:v>
      </x:c>
      <x:c r="E2208" s="14" t="str">
        <x:v>第二班</x:v>
      </x:c>
      <x:c r="F2208" s="14" t="n">
        <x:v>12</x:v>
      </x:c>
      <x:c r="G2208" s="14" t="str">
        <x:v>21:50</x:v>
      </x:c>
      <x:c r="H2208" s="14" t="str">
        <x:v>高超楼（系统工程学院旁）</x:v>
      </x:c>
      <x:c r="I2208" s="14" t="str">
        <x:v>是</x:v>
      </x:c>
      <x:c r="J2208" s="14" t="n">
        <x:v>3</x:v>
      </x:c>
      <x:c r="K2208" s="14" t="str">
        <x:v>二食堂</x:v>
      </x:c>
      <x:c r="L2208" s="14" t="n">
        <x:v>4</x:v>
      </x:c>
      <x:c r="M2208" s="14" t="str">
        <x:v>21:54</x:v>
      </x:c>
      <x:c r="N2208" s="14" t="str">
        <x:v>否</x:v>
      </x:c>
      <x:c r="O2208" s="14" t="str">
        <x:v>否</x:v>
      </x:c>
      <x:c r="P2208" s="14" t="str">
        <x:v>夏文新</x:v>
      </x:c>
      <x:c r="Q2208" s="14" t="str">
        <x:v>4号车</x:v>
      </x:c>
      <x:c r="R2208" s="14" t="str">
        <x:v>预测</x:v>
      </x:c>
      <x:c r="S2208" s="14" t="str">
        <x:v>到站时间为估算值</x:v>
      </x:c>
      <x:c r="T2208" t="str">
        <x:v>高超楼发车</x:v>
      </x:c>
    </x:row>
    <x:row r="2209">
      <x:c r="A2209" s="14" t="str">
        <x:v>S0191-04</x:v>
      </x:c>
      <x:c r="B2209" s="14" t="str">
        <x:v>S0191</x:v>
      </x:c>
      <x:c r="C2209" s="14" t="str">
        <x:v>周末/节假日</x:v>
      </x:c>
      <x:c r="D2209" s="14" t="str">
        <x:v>环线3路</x:v>
      </x:c>
      <x:c r="E2209" s="14" t="str">
        <x:v>第二班</x:v>
      </x:c>
      <x:c r="F2209" s="14" t="n">
        <x:v>12</x:v>
      </x:c>
      <x:c r="G2209" s="14" t="str">
        <x:v>21:50</x:v>
      </x:c>
      <x:c r="H2209" s="14" t="str">
        <x:v>高超楼（系统工程学院旁）</x:v>
      </x:c>
      <x:c r="I2209" s="14" t="str">
        <x:v>是</x:v>
      </x:c>
      <x:c r="J2209" s="14" t="n">
        <x:v>4</x:v>
      </x:c>
      <x:c r="K2209" s="14" t="str">
        <x:v>图书馆</x:v>
      </x:c>
      <x:c r="L2209" s="14" t="n">
        <x:v>5</x:v>
      </x:c>
      <x:c r="M2209" s="14" t="str">
        <x:v>21:55</x:v>
      </x:c>
      <x:c r="N2209" s="14" t="str">
        <x:v>否</x:v>
      </x:c>
      <x:c r="O2209" s="14" t="str">
        <x:v>否</x:v>
      </x:c>
      <x:c r="P2209" s="14" t="str">
        <x:v>夏文新</x:v>
      </x:c>
      <x:c r="Q2209" s="14" t="str">
        <x:v>4号车</x:v>
      </x:c>
      <x:c r="R2209" s="14" t="str">
        <x:v>预测</x:v>
      </x:c>
      <x:c r="S2209" s="14" t="str">
        <x:v>到站时间为估算值</x:v>
      </x:c>
      <x:c r="T2209" t="str">
        <x:v>高超楼发车</x:v>
      </x:c>
    </x:row>
    <x:row r="2210">
      <x:c r="A2210" s="14" t="str">
        <x:v>S0191-05</x:v>
      </x:c>
      <x:c r="B2210" s="14" t="str">
        <x:v>S0191</x:v>
      </x:c>
      <x:c r="C2210" s="14" t="str">
        <x:v>周末/节假日</x:v>
      </x:c>
      <x:c r="D2210" s="14" t="str">
        <x:v>环线3路</x:v>
      </x:c>
      <x:c r="E2210" s="14" t="str">
        <x:v>第二班</x:v>
      </x:c>
      <x:c r="F2210" s="14" t="n">
        <x:v>12</x:v>
      </x:c>
      <x:c r="G2210" s="14" t="str">
        <x:v>21:50</x:v>
      </x:c>
      <x:c r="H2210" s="14" t="str">
        <x:v>高超楼（系统工程学院旁）</x:v>
      </x:c>
      <x:c r="I2210" s="14" t="str">
        <x:v>是</x:v>
      </x:c>
      <x:c r="J2210" s="14" t="n">
        <x:v>5</x:v>
      </x:c>
      <x:c r="K2210" s="14" t="str">
        <x:v>305教学楼</x:v>
      </x:c>
      <x:c r="L2210" s="14" t="n">
        <x:v>7</x:v>
      </x:c>
      <x:c r="M2210" s="14" t="str">
        <x:v>21:57</x:v>
      </x:c>
      <x:c r="N2210" s="14" t="str">
        <x:v>否</x:v>
      </x:c>
      <x:c r="O2210" s="14" t="str">
        <x:v>否</x:v>
      </x:c>
      <x:c r="P2210" s="14" t="str">
        <x:v>夏文新</x:v>
      </x:c>
      <x:c r="Q2210" s="14" t="str">
        <x:v>4号车</x:v>
      </x:c>
      <x:c r="R2210" s="14" t="str">
        <x:v>预测</x:v>
      </x:c>
      <x:c r="S2210" s="14" t="str">
        <x:v>到站时间为估算值</x:v>
      </x:c>
      <x:c r="T2210" t="str">
        <x:v>高超楼发车</x:v>
      </x:c>
    </x:row>
    <x:row r="2211">
      <x:c r="A2211" s="14" t="str">
        <x:v>S0191-06</x:v>
      </x:c>
      <x:c r="B2211" s="14" t="str">
        <x:v>S0191</x:v>
      </x:c>
      <x:c r="C2211" s="14" t="str">
        <x:v>周末/节假日</x:v>
      </x:c>
      <x:c r="D2211" s="14" t="str">
        <x:v>环线3路</x:v>
      </x:c>
      <x:c r="E2211" s="14" t="str">
        <x:v>第二班</x:v>
      </x:c>
      <x:c r="F2211" s="14" t="n">
        <x:v>12</x:v>
      </x:c>
      <x:c r="G2211" s="14" t="str">
        <x:v>21:50</x:v>
      </x:c>
      <x:c r="H2211" s="14" t="str">
        <x:v>高超楼（系统工程学院旁）</x:v>
      </x:c>
      <x:c r="I2211" s="14" t="str">
        <x:v>是</x:v>
      </x:c>
      <x:c r="J2211" s="14" t="n">
        <x:v>6</x:v>
      </x:c>
      <x:c r="K2211" s="14" t="str">
        <x:v>研究生宿舍楼</x:v>
      </x:c>
      <x:c r="L2211" s="14" t="n">
        <x:v>9</x:v>
      </x:c>
      <x:c r="M2211" s="14" t="str">
        <x:v>21:59</x:v>
      </x:c>
      <x:c r="N2211" s="14" t="str">
        <x:v>否</x:v>
      </x:c>
      <x:c r="O2211" s="14" t="str">
        <x:v>否</x:v>
      </x:c>
      <x:c r="P2211" s="14" t="str">
        <x:v>夏文新</x:v>
      </x:c>
      <x:c r="Q2211" s="14" t="str">
        <x:v>4号车</x:v>
      </x:c>
      <x:c r="R2211" s="14" t="str">
        <x:v>预测</x:v>
      </x:c>
      <x:c r="S2211" s="14" t="str">
        <x:v>到站时间为估算值</x:v>
      </x:c>
      <x:c r="T2211" t="str">
        <x:v>高超楼发车</x:v>
      </x:c>
    </x:row>
    <x:row r="2212">
      <x:c r="A2212" s="14" t="str">
        <x:v>S0191-07</x:v>
      </x:c>
      <x:c r="B2212" s="14" t="str">
        <x:v>S0191</x:v>
      </x:c>
      <x:c r="C2212" s="14" t="str">
        <x:v>周末/节假日</x:v>
      </x:c>
      <x:c r="D2212" s="14" t="str">
        <x:v>环线3路</x:v>
      </x:c>
      <x:c r="E2212" s="14" t="str">
        <x:v>第二班</x:v>
      </x:c>
      <x:c r="F2212" s="14" t="n">
        <x:v>12</x:v>
      </x:c>
      <x:c r="G2212" s="14" t="str">
        <x:v>21:50</x:v>
      </x:c>
      <x:c r="H2212" s="14" t="str">
        <x:v>高超楼（系统工程学院旁）</x:v>
      </x:c>
      <x:c r="I2212" s="14" t="str">
        <x:v>是</x:v>
      </x:c>
      <x:c r="J2212" s="14" t="n">
        <x:v>7</x:v>
      </x:c>
      <x:c r="K2212" s="14" t="str">
        <x:v>一食堂</x:v>
      </x:c>
      <x:c r="L2212" s="14" t="n">
        <x:v>10</x:v>
      </x:c>
      <x:c r="M2212" s="14" t="str">
        <x:v>22:00</x:v>
      </x:c>
      <x:c r="N2212" s="14" t="str">
        <x:v>否</x:v>
      </x:c>
      <x:c r="O2212" s="14" t="str">
        <x:v>否</x:v>
      </x:c>
      <x:c r="P2212" s="14" t="str">
        <x:v>夏文新</x:v>
      </x:c>
      <x:c r="Q2212" s="14" t="str">
        <x:v>4号车</x:v>
      </x:c>
      <x:c r="R2212" s="14" t="str">
        <x:v>预测</x:v>
      </x:c>
      <x:c r="S2212" s="14" t="str">
        <x:v>到站时间为估算值</x:v>
      </x:c>
      <x:c r="T2212" t="str">
        <x:v>高超楼发车</x:v>
      </x:c>
    </x:row>
    <x:row r="2213">
      <x:c r="A2213" s="14" t="str">
        <x:v>S0191-08</x:v>
      </x:c>
      <x:c r="B2213" s="14" t="str">
        <x:v>S0191</x:v>
      </x:c>
      <x:c r="C2213" s="14" t="str">
        <x:v>周末/节假日</x:v>
      </x:c>
      <x:c r="D2213" s="14" t="str">
        <x:v>环线3路</x:v>
      </x:c>
      <x:c r="E2213" s="14" t="str">
        <x:v>第二班</x:v>
      </x:c>
      <x:c r="F2213" s="14" t="n">
        <x:v>12</x:v>
      </x:c>
      <x:c r="G2213" s="14" t="str">
        <x:v>21:50</x:v>
      </x:c>
      <x:c r="H2213" s="14" t="str">
        <x:v>高超楼（系统工程学院旁）</x:v>
      </x:c>
      <x:c r="I2213" s="14" t="str">
        <x:v>是</x:v>
      </x:c>
      <x:c r="J2213" s="14" t="n">
        <x:v>8</x:v>
      </x:c>
      <x:c r="K2213" s="14" t="str">
        <x:v>2号宿舍楼</x:v>
      </x:c>
      <x:c r="L2213" s="14" t="n">
        <x:v>12</x:v>
      </x:c>
      <x:c r="M2213" s="14" t="str">
        <x:v>22:02</x:v>
      </x:c>
      <x:c r="N2213" s="14" t="str">
        <x:v>否</x:v>
      </x:c>
      <x:c r="O2213" s="14" t="str">
        <x:v>否</x:v>
      </x:c>
      <x:c r="P2213" s="14" t="str">
        <x:v>夏文新</x:v>
      </x:c>
      <x:c r="Q2213" s="14" t="str">
        <x:v>4号车</x:v>
      </x:c>
      <x:c r="R2213" s="14" t="str">
        <x:v>预测</x:v>
      </x:c>
      <x:c r="S2213" s="14" t="str">
        <x:v>到站时间为估算值</x:v>
      </x:c>
      <x:c r="T2213" t="str">
        <x:v>高超楼发车</x:v>
      </x:c>
    </x:row>
    <x:row r="2214">
      <x:c r="A2214" s="14" t="str">
        <x:v>S0191-09</x:v>
      </x:c>
      <x:c r="B2214" s="14" t="str">
        <x:v>S0191</x:v>
      </x:c>
      <x:c r="C2214" s="14" t="str">
        <x:v>周末/节假日</x:v>
      </x:c>
      <x:c r="D2214" s="14" t="str">
        <x:v>环线3路</x:v>
      </x:c>
      <x:c r="E2214" s="14" t="str">
        <x:v>第二班</x:v>
      </x:c>
      <x:c r="F2214" s="14" t="n">
        <x:v>12</x:v>
      </x:c>
      <x:c r="G2214" s="14" t="str">
        <x:v>21:50</x:v>
      </x:c>
      <x:c r="H2214" s="14" t="str">
        <x:v>高超楼（系统工程学院旁）</x:v>
      </x:c>
      <x:c r="I2214" s="14" t="str">
        <x:v>是</x:v>
      </x:c>
      <x:c r="J2214" s="14" t="n">
        <x:v>9</x:v>
      </x:c>
      <x:c r="K2214" s="14" t="str">
        <x:v>军体活动中心</x:v>
      </x:c>
      <x:c r="L2214" s="14" t="n">
        <x:v>13</x:v>
      </x:c>
      <x:c r="M2214" s="14" t="str">
        <x:v>22:03</x:v>
      </x:c>
      <x:c r="N2214" s="14" t="str">
        <x:v>否</x:v>
      </x:c>
      <x:c r="O2214" s="14" t="str">
        <x:v>否</x:v>
      </x:c>
      <x:c r="P2214" s="14" t="str">
        <x:v>夏文新</x:v>
      </x:c>
      <x:c r="Q2214" s="14" t="str">
        <x:v>4号车</x:v>
      </x:c>
      <x:c r="R2214" s="14" t="str">
        <x:v>预测</x:v>
      </x:c>
      <x:c r="S2214" s="14" t="str">
        <x:v>到站时间为估算值</x:v>
      </x:c>
      <x:c r="T2214" t="str">
        <x:v>高超楼发车</x:v>
      </x:c>
    </x:row>
    <x:row r="2215">
      <x:c r="A2215" s="14" t="str">
        <x:v>S0191-10</x:v>
      </x:c>
      <x:c r="B2215" s="14" t="str">
        <x:v>S0191</x:v>
      </x:c>
      <x:c r="C2215" s="14" t="str">
        <x:v>周末/节假日</x:v>
      </x:c>
      <x:c r="D2215" s="14" t="str">
        <x:v>环线3路</x:v>
      </x:c>
      <x:c r="E2215" s="14" t="str">
        <x:v>第二班</x:v>
      </x:c>
      <x:c r="F2215" s="14" t="n">
        <x:v>12</x:v>
      </x:c>
      <x:c r="G2215" s="14" t="str">
        <x:v>21:50</x:v>
      </x:c>
      <x:c r="H2215" s="14" t="str">
        <x:v>高超楼（系统工程学院旁）</x:v>
      </x:c>
      <x:c r="I2215" s="14" t="str">
        <x:v>是</x:v>
      </x:c>
      <x:c r="J2215" s="14" t="n">
        <x:v>10</x:v>
      </x:c>
      <x:c r="K2215" s="14" t="str">
        <x:v>教勤连</x:v>
      </x:c>
      <x:c r="L2215" s="14" t="n">
        <x:v>15</x:v>
      </x:c>
      <x:c r="M2215" s="14" t="str">
        <x:v>22:05</x:v>
      </x:c>
      <x:c r="N2215" s="14" t="str">
        <x:v>否</x:v>
      </x:c>
      <x:c r="O2215" s="14" t="str">
        <x:v>否</x:v>
      </x:c>
      <x:c r="P2215" s="14" t="str">
        <x:v>夏文新</x:v>
      </x:c>
      <x:c r="Q2215" s="14" t="str">
        <x:v>4号车</x:v>
      </x:c>
      <x:c r="R2215" s="14" t="str">
        <x:v>预测</x:v>
      </x:c>
      <x:c r="S2215" s="14" t="str">
        <x:v>到站时间为估算值</x:v>
      </x:c>
      <x:c r="T2215" t="str">
        <x:v>高超楼发车</x:v>
      </x:c>
    </x:row>
    <x:row r="2216">
      <x:c r="A2216" s="14" t="str">
        <x:v>S0191-11</x:v>
      </x:c>
      <x:c r="B2216" s="14" t="str">
        <x:v>S0191</x:v>
      </x:c>
      <x:c r="C2216" s="14" t="str">
        <x:v>周末/节假日</x:v>
      </x:c>
      <x:c r="D2216" s="14" t="str">
        <x:v>环线3路</x:v>
      </x:c>
      <x:c r="E2216" s="14" t="str">
        <x:v>第二班</x:v>
      </x:c>
      <x:c r="F2216" s="14" t="n">
        <x:v>12</x:v>
      </x:c>
      <x:c r="G2216" s="14" t="str">
        <x:v>21:50</x:v>
      </x:c>
      <x:c r="H2216" s="14" t="str">
        <x:v>高超楼（系统工程学院旁）</x:v>
      </x:c>
      <x:c r="I2216" s="14" t="str">
        <x:v>是</x:v>
      </x:c>
      <x:c r="J2216" s="14" t="n">
        <x:v>11</x:v>
      </x:c>
      <x:c r="K2216" s="14" t="str">
        <x:v>激光所</x:v>
      </x:c>
      <x:c r="L2216" s="14" t="n">
        <x:v>16</x:v>
      </x:c>
      <x:c r="M2216" s="14" t="str">
        <x:v>22:06</x:v>
      </x:c>
      <x:c r="N2216" s="14" t="str">
        <x:v>否</x:v>
      </x:c>
      <x:c r="O2216" s="14" t="str">
        <x:v>否</x:v>
      </x:c>
      <x:c r="P2216" s="14" t="str">
        <x:v>夏文新</x:v>
      </x:c>
      <x:c r="Q2216" s="14" t="str">
        <x:v>4号车</x:v>
      </x:c>
      <x:c r="R2216" s="14" t="str">
        <x:v>预测</x:v>
      </x:c>
      <x:c r="S2216" s="14" t="str">
        <x:v>到站时间为估算值</x:v>
      </x:c>
      <x:c r="T2216" t="str">
        <x:v>高超楼发车</x:v>
      </x:c>
    </x:row>
    <x:row r="2217">
      <x:c r="A2217" s="14" t="str">
        <x:v>S0191-12</x:v>
      </x:c>
      <x:c r="B2217" s="14" t="str">
        <x:v>S0191</x:v>
      </x:c>
      <x:c r="C2217" s="14" t="str">
        <x:v>周末/节假日</x:v>
      </x:c>
      <x:c r="D2217" s="14" t="str">
        <x:v>环线3路</x:v>
      </x:c>
      <x:c r="E2217" s="14" t="str">
        <x:v>第二班</x:v>
      </x:c>
      <x:c r="F2217" s="14" t="n">
        <x:v>12</x:v>
      </x:c>
      <x:c r="G2217" s="14" t="str">
        <x:v>21:50</x:v>
      </x:c>
      <x:c r="H2217" s="14" t="str">
        <x:v>高超楼（系统工程学院旁）</x:v>
      </x:c>
      <x:c r="I2217" s="14" t="str">
        <x:v>是</x:v>
      </x:c>
      <x:c r="J2217" s="14" t="n">
        <x:v>12</x:v>
      </x:c>
      <x:c r="K2217" s="14" t="str">
        <x:v>高超楼</x:v>
      </x:c>
      <x:c r="L2217" s="14" t="n">
        <x:v>18</x:v>
      </x:c>
      <x:c r="M2217" s="14" t="str">
        <x:v>22:08</x:v>
      </x:c>
      <x:c r="N2217" s="14" t="str">
        <x:v>否</x:v>
      </x:c>
      <x:c r="O2217" s="14" t="str">
        <x:v>是</x:v>
      </x:c>
      <x:c r="P2217" s="14" t="str">
        <x:v>夏文新</x:v>
      </x:c>
      <x:c r="Q2217" s="14" t="str">
        <x:v>4号车</x:v>
      </x:c>
      <x:c r="R2217" s="14" t="str">
        <x:v>预测</x:v>
      </x:c>
      <x:c r="S2217" s="14" t="str">
        <x:v>到站时间为估算值</x:v>
      </x:c>
      <x:c r="T2217" t="str">
        <x:v>高超楼发车</x:v>
      </x:c>
    </x:row>
    <x:row r="2218">
      <x:c r="A2218" s="14"/>
      <x:c r="B2218" s="14"/>
      <x:c r="C2218" s="14"/>
      <x:c r="D2218" s="14"/>
      <x:c r="E2218" s="14"/>
      <x:c r="F2218" s="14"/>
      <x:c r="G2218" s="14"/>
      <x:c r="H2218" s="14"/>
      <x:c r="I2218" s="14"/>
      <x:c r="J2218" s="14"/>
      <x:c r="K2218" s="14"/>
      <x:c r="L2218" s="14"/>
      <x:c r="M2218" s="14"/>
      <x:c r="N2218" s="14"/>
      <x:c r="O2218" s="14"/>
      <x:c r="P2218" s="14"/>
      <x:c r="Q2218" s="14"/>
      <x:c r="R2218" s="14"/>
      <x:c r="S2218" s="14"/>
    </x:row>
    <x:row r="2219">
      <x:c r="A2219" s="14"/>
      <x:c r="B2219" s="14"/>
      <x:c r="C2219" s="14"/>
      <x:c r="D2219" s="14"/>
      <x:c r="E2219" s="14"/>
      <x:c r="F2219" s="14"/>
      <x:c r="G2219" s="14"/>
      <x:c r="H2219" s="14"/>
      <x:c r="I2219" s="14"/>
      <x:c r="J2219" s="14"/>
      <x:c r="K2219" s="14"/>
      <x:c r="L2219" s="14"/>
      <x:c r="M2219" s="14"/>
      <x:c r="N2219" s="14"/>
      <x:c r="O2219" s="14"/>
      <x:c r="P2219" s="14"/>
      <x:c r="Q2219" s="14"/>
      <x:c r="R2219" s="14"/>
      <x:c r="S2219" s="14"/>
    </x:row>
    <x:row r="2220">
      <x:c r="A2220" s="14"/>
      <x:c r="B2220" s="14"/>
      <x:c r="C2220" s="14"/>
      <x:c r="D2220" s="14"/>
      <x:c r="E2220" s="14"/>
      <x:c r="F2220" s="14"/>
      <x:c r="G2220" s="14"/>
      <x:c r="H2220" s="14"/>
      <x:c r="I2220" s="14"/>
      <x:c r="J2220" s="14"/>
      <x:c r="K2220" s="14"/>
      <x:c r="L2220" s="14"/>
      <x:c r="M2220" s="14"/>
      <x:c r="N2220" s="14"/>
      <x:c r="O2220" s="14"/>
      <x:c r="P2220" s="14"/>
      <x:c r="Q2220" s="14"/>
      <x:c r="R2220" s="14"/>
      <x:c r="S2220" s="14"/>
    </x:row>
    <x:row r="2221">
      <x:c r="A2221" s="14"/>
      <x:c r="B2221" s="14"/>
      <x:c r="C2221" s="14"/>
      <x:c r="D2221" s="14"/>
      <x:c r="E2221" s="14"/>
      <x:c r="F2221" s="14"/>
      <x:c r="G2221" s="14"/>
      <x:c r="H2221" s="14"/>
      <x:c r="I2221" s="14"/>
      <x:c r="J2221" s="14"/>
      <x:c r="K2221" s="14"/>
      <x:c r="L2221" s="14"/>
      <x:c r="M2221" s="14"/>
      <x:c r="N2221" s="14"/>
      <x:c r="O2221" s="14"/>
      <x:c r="P2221" s="14"/>
      <x:c r="Q2221" s="14"/>
      <x:c r="R2221" s="14"/>
      <x:c r="S2221" s="14"/>
    </x:row>
    <x:row r="2222">
      <x:c r="A2222" s="14"/>
      <x:c r="B2222" s="14"/>
      <x:c r="C2222" s="14"/>
      <x:c r="D2222" s="14"/>
      <x:c r="E2222" s="14"/>
      <x:c r="F2222" s="14"/>
      <x:c r="G2222" s="14"/>
      <x:c r="H2222" s="14"/>
      <x:c r="I2222" s="14"/>
      <x:c r="J2222" s="14"/>
      <x:c r="K2222" s="14"/>
      <x:c r="L2222" s="14"/>
      <x:c r="M2222" s="14"/>
      <x:c r="N2222" s="14"/>
      <x:c r="O2222" s="14"/>
      <x:c r="P2222" s="14"/>
      <x:c r="Q2222" s="14"/>
      <x:c r="R2222" s="14"/>
      <x:c r="S2222" s="14"/>
    </x:row>
    <x:row r="2223">
      <x:c r="A2223" s="14"/>
      <x:c r="B2223" s="14"/>
      <x:c r="C2223" s="14"/>
      <x:c r="D2223" s="14"/>
      <x:c r="E2223" s="14"/>
      <x:c r="F2223" s="14"/>
      <x:c r="G2223" s="14"/>
      <x:c r="H2223" s="14"/>
      <x:c r="I2223" s="14"/>
      <x:c r="J2223" s="14"/>
      <x:c r="K2223" s="14"/>
      <x:c r="L2223" s="14"/>
      <x:c r="M2223" s="14"/>
      <x:c r="N2223" s="14"/>
      <x:c r="O2223" s="14"/>
      <x:c r="P2223" s="14"/>
      <x:c r="Q2223" s="14"/>
      <x:c r="R2223" s="14"/>
      <x:c r="S2223" s="14"/>
    </x:row>
    <x:row r="2224">
      <x:c r="A2224" s="14"/>
      <x:c r="B2224" s="14"/>
      <x:c r="C2224" s="14"/>
      <x:c r="D2224" s="14"/>
      <x:c r="E2224" s="14"/>
      <x:c r="F2224" s="14"/>
      <x:c r="G2224" s="14"/>
      <x:c r="H2224" s="14"/>
      <x:c r="I2224" s="14"/>
      <x:c r="J2224" s="14"/>
      <x:c r="K2224" s="14"/>
      <x:c r="L2224" s="14"/>
      <x:c r="M2224" s="14"/>
      <x:c r="N2224" s="14"/>
      <x:c r="O2224" s="14"/>
      <x:c r="P2224" s="14"/>
      <x:c r="Q2224" s="14"/>
      <x:c r="R2224" s="14"/>
      <x:c r="S2224" s="14"/>
    </x:row>
    <x:row r="2225">
      <x:c r="A2225" s="14"/>
      <x:c r="B2225" s="14"/>
      <x:c r="C2225" s="14"/>
      <x:c r="D2225" s="14"/>
      <x:c r="E2225" s="14"/>
      <x:c r="F2225" s="14"/>
      <x:c r="G2225" s="14"/>
      <x:c r="H2225" s="14"/>
      <x:c r="I2225" s="14"/>
      <x:c r="J2225" s="14"/>
      <x:c r="K2225" s="14"/>
      <x:c r="L2225" s="14"/>
      <x:c r="M2225" s="14"/>
      <x:c r="N2225" s="14"/>
      <x:c r="O2225" s="14"/>
      <x:c r="P2225" s="14"/>
      <x:c r="Q2225" s="14"/>
      <x:c r="R2225" s="14"/>
      <x:c r="S2225" s="14"/>
    </x:row>
    <x:row r="2226">
      <x:c r="A2226" s="14"/>
      <x:c r="B2226" s="14"/>
      <x:c r="C2226" s="14"/>
      <x:c r="D2226" s="14"/>
      <x:c r="E2226" s="14"/>
      <x:c r="F2226" s="14"/>
      <x:c r="G2226" s="14"/>
      <x:c r="H2226" s="14"/>
      <x:c r="I2226" s="14"/>
      <x:c r="J2226" s="14"/>
      <x:c r="K2226" s="14"/>
      <x:c r="L2226" s="14"/>
      <x:c r="M2226" s="14"/>
      <x:c r="N2226" s="14"/>
      <x:c r="O2226" s="14"/>
      <x:c r="P2226" s="14"/>
      <x:c r="Q2226" s="14"/>
      <x:c r="R2226" s="14"/>
      <x:c r="S2226" s="14"/>
    </x:row>
    <x:row r="2227">
      <x:c r="A2227" s="14"/>
      <x:c r="B2227" s="14"/>
      <x:c r="C2227" s="14"/>
      <x:c r="D2227" s="14"/>
      <x:c r="E2227" s="14"/>
      <x:c r="F2227" s="14"/>
      <x:c r="G2227" s="14"/>
      <x:c r="H2227" s="14"/>
      <x:c r="I2227" s="14"/>
      <x:c r="J2227" s="14"/>
      <x:c r="K2227" s="14"/>
      <x:c r="L2227" s="14"/>
      <x:c r="M2227" s="14"/>
      <x:c r="N2227" s="14"/>
      <x:c r="O2227" s="14"/>
      <x:c r="P2227" s="14"/>
      <x:c r="Q2227" s="14"/>
      <x:c r="R2227" s="14"/>
      <x:c r="S2227" s="14"/>
    </x:row>
    <x:row r="2228">
      <x:c r="A2228" s="14"/>
      <x:c r="B2228" s="14"/>
      <x:c r="C2228" s="14"/>
      <x:c r="D2228" s="14"/>
      <x:c r="E2228" s="14"/>
      <x:c r="F2228" s="14"/>
      <x:c r="G2228" s="14"/>
      <x:c r="H2228" s="14"/>
      <x:c r="I2228" s="14"/>
      <x:c r="J2228" s="14"/>
      <x:c r="K2228" s="14"/>
      <x:c r="L2228" s="14"/>
      <x:c r="M2228" s="14"/>
      <x:c r="N2228" s="14"/>
      <x:c r="O2228" s="14"/>
      <x:c r="P2228" s="14"/>
      <x:c r="Q2228" s="14"/>
      <x:c r="R2228" s="14"/>
      <x:c r="S2228" s="14"/>
    </x:row>
    <x:row r="2229">
      <x:c r="A2229" s="14"/>
      <x:c r="B2229" s="14"/>
      <x:c r="C2229" s="14"/>
      <x:c r="D2229" s="14"/>
      <x:c r="E2229" s="14"/>
      <x:c r="F2229" s="14"/>
      <x:c r="G2229" s="14"/>
      <x:c r="H2229" s="14"/>
      <x:c r="I2229" s="14"/>
      <x:c r="J2229" s="14"/>
      <x:c r="K2229" s="14"/>
      <x:c r="L2229" s="14"/>
      <x:c r="M2229" s="14"/>
      <x:c r="N2229" s="14"/>
      <x:c r="O2229" s="14"/>
      <x:c r="P2229" s="14"/>
      <x:c r="Q2229" s="14"/>
      <x:c r="R2229" s="14"/>
      <x:c r="S2229" s="14"/>
    </x:row>
    <x:row r="2230">
      <x:c r="A2230" s="14"/>
      <x:c r="B2230" s="14"/>
      <x:c r="C2230" s="14"/>
      <x:c r="D2230" s="14"/>
      <x:c r="E2230" s="14"/>
      <x:c r="F2230" s="14"/>
      <x:c r="G2230" s="14"/>
      <x:c r="H2230" s="14"/>
      <x:c r="I2230" s="14"/>
      <x:c r="J2230" s="14"/>
      <x:c r="K2230" s="14"/>
      <x:c r="L2230" s="14"/>
      <x:c r="M2230" s="14"/>
      <x:c r="N2230" s="14"/>
      <x:c r="O2230" s="14"/>
      <x:c r="P2230" s="14"/>
      <x:c r="Q2230" s="14"/>
      <x:c r="R2230" s="14"/>
      <x:c r="S2230" s="14"/>
    </x:row>
    <x:row r="2231">
      <x:c r="A2231" s="14"/>
      <x:c r="B2231" s="14"/>
      <x:c r="C2231" s="14"/>
      <x:c r="D2231" s="14"/>
      <x:c r="E2231" s="14"/>
      <x:c r="F2231" s="14"/>
      <x:c r="G2231" s="14"/>
      <x:c r="H2231" s="14"/>
      <x:c r="I2231" s="14"/>
      <x:c r="J2231" s="14"/>
      <x:c r="K2231" s="14"/>
      <x:c r="L2231" s="14"/>
      <x:c r="M2231" s="14"/>
      <x:c r="N2231" s="14"/>
      <x:c r="O2231" s="14"/>
      <x:c r="P2231" s="14"/>
      <x:c r="Q2231" s="14"/>
      <x:c r="R2231" s="14"/>
      <x:c r="S2231" s="14"/>
    </x:row>
    <x:row r="2232">
      <x:c r="A2232" s="14"/>
      <x:c r="B2232" s="14"/>
      <x:c r="C2232" s="14"/>
      <x:c r="D2232" s="14"/>
      <x:c r="E2232" s="14"/>
      <x:c r="F2232" s="14"/>
      <x:c r="G2232" s="14"/>
      <x:c r="H2232" s="14"/>
      <x:c r="I2232" s="14"/>
      <x:c r="J2232" s="14"/>
      <x:c r="K2232" s="14"/>
      <x:c r="L2232" s="14"/>
      <x:c r="M2232" s="14"/>
      <x:c r="N2232" s="14"/>
      <x:c r="O2232" s="14"/>
      <x:c r="P2232" s="14"/>
      <x:c r="Q2232" s="14"/>
      <x:c r="R2232" s="14"/>
      <x:c r="S2232" s="14"/>
    </x:row>
    <x:row r="2233">
      <x:c r="A2233" s="14"/>
      <x:c r="B2233" s="14"/>
      <x:c r="C2233" s="14"/>
      <x:c r="D2233" s="14"/>
      <x:c r="E2233" s="14"/>
      <x:c r="F2233" s="14"/>
      <x:c r="G2233" s="14"/>
      <x:c r="H2233" s="14"/>
      <x:c r="I2233" s="14"/>
      <x:c r="J2233" s="14"/>
      <x:c r="K2233" s="14"/>
      <x:c r="L2233" s="14"/>
      <x:c r="M2233" s="14"/>
      <x:c r="N2233" s="14"/>
      <x:c r="O2233" s="14"/>
      <x:c r="P2233" s="14"/>
      <x:c r="Q2233" s="14"/>
      <x:c r="R2233" s="14"/>
      <x:c r="S2233" s="14"/>
    </x:row>
    <x:row r="2234">
      <x:c r="A2234" s="14"/>
      <x:c r="B2234" s="14"/>
      <x:c r="C2234" s="14"/>
      <x:c r="D2234" s="14"/>
      <x:c r="E2234" s="14"/>
      <x:c r="F2234" s="14"/>
      <x:c r="G2234" s="14"/>
      <x:c r="H2234" s="14"/>
      <x:c r="I2234" s="14"/>
      <x:c r="J2234" s="14"/>
      <x:c r="K2234" s="14"/>
      <x:c r="L2234" s="14"/>
      <x:c r="M2234" s="14"/>
      <x:c r="N2234" s="14"/>
      <x:c r="O2234" s="14"/>
      <x:c r="P2234" s="14"/>
      <x:c r="Q2234" s="14"/>
      <x:c r="R2234" s="14"/>
      <x:c r="S2234" s="14"/>
    </x:row>
    <x:row r="2235">
      <x:c r="A2235" s="14"/>
      <x:c r="B2235" s="14"/>
      <x:c r="C2235" s="14"/>
      <x:c r="D2235" s="14"/>
      <x:c r="E2235" s="14"/>
      <x:c r="F2235" s="14"/>
      <x:c r="G2235" s="14"/>
      <x:c r="H2235" s="14"/>
      <x:c r="I2235" s="14"/>
      <x:c r="J2235" s="14"/>
      <x:c r="K2235" s="14"/>
      <x:c r="L2235" s="14"/>
      <x:c r="M2235" s="14"/>
      <x:c r="N2235" s="14"/>
      <x:c r="O2235" s="14"/>
      <x:c r="P2235" s="14"/>
      <x:c r="Q2235" s="14"/>
      <x:c r="R2235" s="14"/>
      <x:c r="S2235" s="14"/>
    </x:row>
    <x:row r="2236">
      <x:c r="A2236" s="14"/>
      <x:c r="B2236" s="14"/>
      <x:c r="C2236" s="14"/>
      <x:c r="D2236" s="14"/>
      <x:c r="E2236" s="14"/>
      <x:c r="F2236" s="14"/>
      <x:c r="G2236" s="14"/>
      <x:c r="H2236" s="14"/>
      <x:c r="I2236" s="14"/>
      <x:c r="J2236" s="14"/>
      <x:c r="K2236" s="14"/>
      <x:c r="L2236" s="14"/>
      <x:c r="M2236" s="14"/>
      <x:c r="N2236" s="14"/>
      <x:c r="O2236" s="14"/>
      <x:c r="P2236" s="14"/>
      <x:c r="Q2236" s="14"/>
      <x:c r="R2236" s="14"/>
      <x:c r="S2236" s="14"/>
    </x:row>
    <x:row r="2237">
      <x:c r="A2237" s="14"/>
      <x:c r="B2237" s="14"/>
      <x:c r="C2237" s="14"/>
      <x:c r="D2237" s="14"/>
      <x:c r="E2237" s="14"/>
      <x:c r="F2237" s="14"/>
      <x:c r="G2237" s="14"/>
      <x:c r="H2237" s="14"/>
      <x:c r="I2237" s="14"/>
      <x:c r="J2237" s="14"/>
      <x:c r="K2237" s="14"/>
      <x:c r="L2237" s="14"/>
      <x:c r="M2237" s="14"/>
      <x:c r="N2237" s="14"/>
      <x:c r="O2237" s="14"/>
      <x:c r="P2237" s="14"/>
      <x:c r="Q2237" s="14"/>
      <x:c r="R2237" s="14"/>
      <x:c r="S2237" s="14"/>
    </x:row>
    <x:row r="2238">
      <x:c r="A2238" s="14"/>
      <x:c r="B2238" s="14"/>
      <x:c r="C2238" s="14"/>
      <x:c r="D2238" s="14"/>
      <x:c r="E2238" s="14"/>
      <x:c r="F2238" s="14"/>
      <x:c r="G2238" s="14"/>
      <x:c r="H2238" s="14"/>
      <x:c r="I2238" s="14"/>
      <x:c r="J2238" s="14"/>
      <x:c r="K2238" s="14"/>
      <x:c r="L2238" s="14"/>
      <x:c r="M2238" s="14"/>
      <x:c r="N2238" s="14"/>
      <x:c r="O2238" s="14"/>
      <x:c r="P2238" s="14"/>
      <x:c r="Q2238" s="14"/>
      <x:c r="R2238" s="14"/>
      <x:c r="S2238" s="14"/>
    </x:row>
    <x:row r="2239">
      <x:c r="A2239" s="14"/>
      <x:c r="B2239" s="14"/>
      <x:c r="C2239" s="14"/>
      <x:c r="D2239" s="14"/>
      <x:c r="E2239" s="14"/>
      <x:c r="F2239" s="14"/>
      <x:c r="G2239" s="14"/>
      <x:c r="H2239" s="14"/>
      <x:c r="I2239" s="14"/>
      <x:c r="J2239" s="14"/>
      <x:c r="K2239" s="14"/>
      <x:c r="L2239" s="14"/>
      <x:c r="M2239" s="14"/>
      <x:c r="N2239" s="14"/>
      <x:c r="O2239" s="14"/>
      <x:c r="P2239" s="14"/>
      <x:c r="Q2239" s="14"/>
      <x:c r="R2239" s="14"/>
      <x:c r="S2239" s="14"/>
    </x:row>
    <x:row r="2240">
      <x:c r="A2240" s="14"/>
      <x:c r="B2240" s="14"/>
      <x:c r="C2240" s="14"/>
      <x:c r="D2240" s="14"/>
      <x:c r="E2240" s="14"/>
      <x:c r="F2240" s="14"/>
      <x:c r="G2240" s="14"/>
      <x:c r="H2240" s="14"/>
      <x:c r="I2240" s="14"/>
      <x:c r="J2240" s="14"/>
      <x:c r="K2240" s="14"/>
      <x:c r="L2240" s="14"/>
      <x:c r="M2240" s="14"/>
      <x:c r="N2240" s="14"/>
      <x:c r="O2240" s="14"/>
      <x:c r="P2240" s="14"/>
      <x:c r="Q2240" s="14"/>
      <x:c r="R2240" s="14"/>
      <x:c r="S2240" s="14"/>
    </x:row>
    <x:row r="2241">
      <x:c r="A2241" s="14"/>
      <x:c r="B2241" s="14"/>
      <x:c r="C2241" s="14"/>
      <x:c r="D2241" s="14"/>
      <x:c r="E2241" s="14"/>
      <x:c r="F2241" s="14"/>
      <x:c r="G2241" s="14"/>
      <x:c r="H2241" s="14"/>
      <x:c r="I2241" s="14"/>
      <x:c r="J2241" s="14"/>
      <x:c r="K2241" s="14"/>
      <x:c r="L2241" s="14"/>
      <x:c r="M2241" s="14"/>
      <x:c r="N2241" s="14"/>
      <x:c r="O2241" s="14"/>
      <x:c r="P2241" s="14"/>
      <x:c r="Q2241" s="14"/>
      <x:c r="R2241" s="14"/>
      <x:c r="S2241" s="14"/>
    </x:row>
    <x:row r="2242">
      <x:c r="A2242" s="14"/>
      <x:c r="B2242" s="14"/>
      <x:c r="C2242" s="14"/>
      <x:c r="D2242" s="14"/>
      <x:c r="E2242" s="14"/>
      <x:c r="F2242" s="14"/>
      <x:c r="G2242" s="14"/>
      <x:c r="H2242" s="14"/>
      <x:c r="I2242" s="14"/>
      <x:c r="J2242" s="14"/>
      <x:c r="K2242" s="14"/>
      <x:c r="L2242" s="14"/>
      <x:c r="M2242" s="14"/>
      <x:c r="N2242" s="14"/>
      <x:c r="O2242" s="14"/>
      <x:c r="P2242" s="14"/>
      <x:c r="Q2242" s="14"/>
      <x:c r="R2242" s="14"/>
      <x:c r="S2242" s="14"/>
    </x:row>
    <x:row r="2243">
      <x:c r="A2243" s="14"/>
      <x:c r="B2243" s="14"/>
      <x:c r="C2243" s="14"/>
      <x:c r="D2243" s="14"/>
      <x:c r="E2243" s="14"/>
      <x:c r="F2243" s="14"/>
      <x:c r="G2243" s="14"/>
      <x:c r="H2243" s="14"/>
      <x:c r="I2243" s="14"/>
      <x:c r="J2243" s="14"/>
      <x:c r="K2243" s="14"/>
      <x:c r="L2243" s="14"/>
      <x:c r="M2243" s="14"/>
      <x:c r="N2243" s="14"/>
      <x:c r="O2243" s="14"/>
      <x:c r="P2243" s="14"/>
      <x:c r="Q2243" s="14"/>
      <x:c r="R2243" s="14"/>
      <x:c r="S2243" s="14"/>
    </x:row>
    <x:row r="2244">
      <x:c r="A2244" s="14"/>
      <x:c r="B2244" s="14"/>
      <x:c r="C2244" s="14"/>
      <x:c r="D2244" s="14"/>
      <x:c r="E2244" s="14"/>
      <x:c r="F2244" s="14"/>
      <x:c r="G2244" s="14"/>
      <x:c r="H2244" s="14"/>
      <x:c r="I2244" s="14"/>
      <x:c r="J2244" s="14"/>
      <x:c r="K2244" s="14"/>
      <x:c r="L2244" s="14"/>
      <x:c r="M2244" s="14"/>
      <x:c r="N2244" s="14"/>
      <x:c r="O2244" s="14"/>
      <x:c r="P2244" s="14"/>
      <x:c r="Q2244" s="14"/>
      <x:c r="R2244" s="14"/>
      <x:c r="S2244" s="14"/>
    </x:row>
    <x:row r="2245">
      <x:c r="A2245" s="14"/>
      <x:c r="B2245" s="14"/>
      <x:c r="C2245" s="14"/>
      <x:c r="D2245" s="14"/>
      <x:c r="E2245" s="14"/>
      <x:c r="F2245" s="14"/>
      <x:c r="G2245" s="14"/>
      <x:c r="H2245" s="14"/>
      <x:c r="I2245" s="14"/>
      <x:c r="J2245" s="14"/>
      <x:c r="K2245" s="14"/>
      <x:c r="L2245" s="14"/>
      <x:c r="M2245" s="14"/>
      <x:c r="N2245" s="14"/>
      <x:c r="O2245" s="14"/>
      <x:c r="P2245" s="14"/>
      <x:c r="Q2245" s="14"/>
      <x:c r="R2245" s="14"/>
      <x:c r="S2245" s="14"/>
    </x:row>
    <x:row r="2246">
      <x:c r="A2246" s="14"/>
      <x:c r="B2246" s="14"/>
      <x:c r="C2246" s="14"/>
      <x:c r="D2246" s="14"/>
      <x:c r="E2246" s="14"/>
      <x:c r="F2246" s="14"/>
      <x:c r="G2246" s="14"/>
      <x:c r="H2246" s="14"/>
      <x:c r="I2246" s="14"/>
      <x:c r="J2246" s="14"/>
      <x:c r="K2246" s="14"/>
      <x:c r="L2246" s="14"/>
      <x:c r="M2246" s="14"/>
      <x:c r="N2246" s="14"/>
      <x:c r="O2246" s="14"/>
      <x:c r="P2246" s="14"/>
      <x:c r="Q2246" s="14"/>
      <x:c r="R2246" s="14"/>
      <x:c r="S2246" s="14"/>
    </x:row>
    <x:row r="2247">
      <x:c r="A2247" s="14"/>
      <x:c r="B2247" s="14"/>
      <x:c r="C2247" s="14"/>
      <x:c r="D2247" s="14"/>
      <x:c r="E2247" s="14"/>
      <x:c r="F2247" s="14"/>
      <x:c r="G2247" s="14"/>
      <x:c r="H2247" s="14"/>
      <x:c r="I2247" s="14"/>
      <x:c r="J2247" s="14"/>
      <x:c r="K2247" s="14"/>
      <x:c r="L2247" s="14"/>
      <x:c r="M2247" s="14"/>
      <x:c r="N2247" s="14"/>
      <x:c r="O2247" s="14"/>
      <x:c r="P2247" s="14"/>
      <x:c r="Q2247" s="14"/>
      <x:c r="R2247" s="14"/>
      <x:c r="S2247" s="14"/>
    </x:row>
    <x:row r="2248">
      <x:c r="A2248" s="14"/>
      <x:c r="B2248" s="14"/>
      <x:c r="C2248" s="14"/>
      <x:c r="D2248" s="14"/>
      <x:c r="E2248" s="14"/>
      <x:c r="F2248" s="14"/>
      <x:c r="G2248" s="14"/>
      <x:c r="H2248" s="14"/>
      <x:c r="I2248" s="14"/>
      <x:c r="J2248" s="14"/>
      <x:c r="K2248" s="14"/>
      <x:c r="L2248" s="14"/>
      <x:c r="M2248" s="14"/>
      <x:c r="N2248" s="14"/>
      <x:c r="O2248" s="14"/>
      <x:c r="P2248" s="14"/>
      <x:c r="Q2248" s="14"/>
      <x:c r="R2248" s="14"/>
      <x:c r="S2248" s="14"/>
    </x:row>
    <x:row r="2249">
      <x:c r="A2249" s="14"/>
      <x:c r="B2249" s="14"/>
      <x:c r="C2249" s="14"/>
      <x:c r="D2249" s="14"/>
      <x:c r="E2249" s="14"/>
      <x:c r="F2249" s="14"/>
      <x:c r="G2249" s="14"/>
      <x:c r="H2249" s="14"/>
      <x:c r="I2249" s="14"/>
      <x:c r="J2249" s="14"/>
      <x:c r="K2249" s="14"/>
      <x:c r="L2249" s="14"/>
      <x:c r="M2249" s="14"/>
      <x:c r="N2249" s="14"/>
      <x:c r="O2249" s="14"/>
      <x:c r="P2249" s="14"/>
      <x:c r="Q2249" s="14"/>
      <x:c r="R2249" s="14"/>
      <x:c r="S2249" s="14"/>
    </x:row>
    <x:row r="2250">
      <x:c r="A2250" s="14"/>
      <x:c r="B2250" s="14"/>
      <x:c r="C2250" s="14"/>
      <x:c r="D2250" s="14"/>
      <x:c r="E2250" s="14"/>
      <x:c r="F2250" s="14"/>
      <x:c r="G2250" s="14"/>
      <x:c r="H2250" s="14"/>
      <x:c r="I2250" s="14"/>
      <x:c r="J2250" s="14"/>
      <x:c r="K2250" s="14"/>
      <x:c r="L2250" s="14"/>
      <x:c r="M2250" s="14"/>
      <x:c r="N2250" s="14"/>
      <x:c r="O2250" s="14"/>
      <x:c r="P2250" s="14"/>
      <x:c r="Q2250" s="14"/>
      <x:c r="R2250" s="14"/>
      <x:c r="S2250" s="14"/>
    </x:row>
    <x:row r="2251">
      <x:c r="A2251" s="14"/>
      <x:c r="B2251" s="14"/>
      <x:c r="C2251" s="14"/>
      <x:c r="D2251" s="14"/>
      <x:c r="E2251" s="14"/>
      <x:c r="F2251" s="14"/>
      <x:c r="G2251" s="14"/>
      <x:c r="H2251" s="14"/>
      <x:c r="I2251" s="14"/>
      <x:c r="J2251" s="14"/>
      <x:c r="K2251" s="14"/>
      <x:c r="L2251" s="14"/>
      <x:c r="M2251" s="14"/>
      <x:c r="N2251" s="14"/>
      <x:c r="O2251" s="14"/>
      <x:c r="P2251" s="14"/>
      <x:c r="Q2251" s="14"/>
      <x:c r="R2251" s="14"/>
      <x:c r="S2251" s="14"/>
    </x:row>
    <x:row r="2252">
      <x:c r="A2252" s="14"/>
      <x:c r="B2252" s="14"/>
      <x:c r="C2252" s="14"/>
      <x:c r="D2252" s="14"/>
      <x:c r="E2252" s="14"/>
      <x:c r="F2252" s="14"/>
      <x:c r="G2252" s="14"/>
      <x:c r="H2252" s="14"/>
      <x:c r="I2252" s="14"/>
      <x:c r="J2252" s="14"/>
      <x:c r="K2252" s="14"/>
      <x:c r="L2252" s="14"/>
      <x:c r="M2252" s="14"/>
      <x:c r="N2252" s="14"/>
      <x:c r="O2252" s="14"/>
      <x:c r="P2252" s="14"/>
      <x:c r="Q2252" s="14"/>
      <x:c r="R2252" s="14"/>
      <x:c r="S2252" s="14"/>
    </x:row>
    <x:row r="2253">
      <x:c r="A2253" s="14"/>
      <x:c r="B2253" s="14"/>
      <x:c r="C2253" s="14"/>
      <x:c r="D2253" s="14"/>
      <x:c r="E2253" s="14"/>
      <x:c r="F2253" s="14"/>
      <x:c r="G2253" s="14"/>
      <x:c r="H2253" s="14"/>
      <x:c r="I2253" s="14"/>
      <x:c r="J2253" s="14"/>
      <x:c r="K2253" s="14"/>
      <x:c r="L2253" s="14"/>
      <x:c r="M2253" s="14"/>
      <x:c r="N2253" s="14"/>
      <x:c r="O2253" s="14"/>
      <x:c r="P2253" s="14"/>
      <x:c r="Q2253" s="14"/>
      <x:c r="R2253" s="14"/>
      <x:c r="S2253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20" hidden="0" customWidth="1"/>
    <x:col min="7" max="7" width="14" hidden="0" customWidth="1"/>
    <x:col min="8" max="8" width="12" hidden="0" customWidth="1"/>
    <x:col min="9" max="9" width="20" hidden="0" customWidth="1"/>
    <x:col min="10" max="10" width="10" hidden="0" customWidth="1"/>
    <x:col min="11" max="11" width="16" hidden="0" customWidth="1"/>
    <x:col min="12" max="12" width="14" hidden="0" customWidth="1"/>
    <x:col min="13" max="13" width="10" hidden="0" customWidth="1"/>
    <x:col min="14" max="14" width="36" hidden="0" customWidth="1"/>
  </x:cols>
  <x:sheetData>
    <x:row r="1" ht="28" customHeight="1">
      <x:c r="A1" s="65" t="str">
        <x:v>适用日期</x:v>
      </x:c>
      <x:c r="B1" s="65" t="str">
        <x:v>线路</x:v>
      </x:c>
      <x:c r="C1" s="65" t="str">
        <x:v>班次</x:v>
      </x:c>
      <x:c r="D1" s="65" t="str">
        <x:v>当前发车记录ID</x:v>
      </x:c>
      <x:c r="E1" s="65" t="str">
        <x:v>当前发车时间</x:v>
      </x:c>
      <x:c r="F1" s="65" t="str">
        <x:v>当前发车站点</x:v>
      </x:c>
      <x:c r="G1" s="65" t="str">
        <x:v>当前运行路线模式</x:v>
      </x:c>
      <x:c r="H1" s="65" t="str">
        <x:v>下一发车记录ID</x:v>
      </x:c>
      <x:c r="I1" s="65" t="str">
        <x:v>下一发车时间</x:v>
      </x:c>
      <x:c r="J1" s="65" t="str">
        <x:v>下一发车站点</x:v>
      </x:c>
      <x:c r="K1" s="65" t="str">
        <x:v>下一运行路线模式</x:v>
      </x:c>
      <x:c r="L1" s="65" t="str">
        <x:v>发车间隔分钟</x:v>
      </x:c>
      <x:c r="M1" s="65" t="str">
        <x:v>到达下一发车点所需分钟</x:v>
      </x:c>
      <x:c r="N1" s="65" t="str">
        <x:v>预计等待分钟</x:v>
      </x:c>
      <x:c r="O1" s="68" t="str">
        <x:v>校验结果</x:v>
      </x:c>
      <x:c r="P1" s="68" t="str">
        <x:v>备注</x:v>
      </x:c>
    </x:row>
    <x:row r="2">
      <x:c r="A2" s="14" t="str">
        <x:v>工作日</x:v>
      </x:c>
      <x:c r="B2" s="14" t="str">
        <x:v>环线1路</x:v>
      </x:c>
      <x:c r="C2" s="14" t="str">
        <x:v>第一班</x:v>
      </x:c>
      <x:c r="D2" s="14" t="str">
        <x:v>S0001</x:v>
      </x:c>
      <x:c r="E2" s="14" t="str">
        <x:v>7:30</x:v>
      </x:c>
      <x:c r="F2" s="14" t="str">
        <x:v>研究生宿舍楼</x:v>
      </x:c>
      <x:c r="G2" s="14" t="str">
        <x:v>研究生宿舍楼发车</x:v>
      </x:c>
      <x:c r="H2" s="14" t="str">
        <x:v>S0002</x:v>
      </x:c>
      <x:c r="I2" s="14" t="str">
        <x:v>8:00</x:v>
      </x:c>
      <x:c r="J2" s="14" t="str">
        <x:v>研究生宿舍楼</x:v>
      </x:c>
      <x:c r="K2" s="14" t="str">
        <x:v>研究生宿舍楼发车</x:v>
      </x:c>
      <x:c r="L2" s="14" t="n">
        <x:v>30</x:v>
      </x:c>
      <x:c r="M2" s="14" t="n">
        <x:v>17</x:v>
      </x:c>
      <x:c r="N2" s="14" t="n">
        <x:v>13</x:v>
      </x:c>
      <x:c r="O2" t="str">
        <x:v>通过</x:v>
      </x:c>
      <x:c r="P2" t="str">
        <x:v>按预测运行时间计算；实际运营可能因上下车和路况略有波动</x:v>
      </x:c>
    </x:row>
    <x:row r="3">
      <x:c r="A3" s="14" t="str">
        <x:v>工作日</x:v>
      </x:c>
      <x:c r="B3" s="14" t="str">
        <x:v>环线1路</x:v>
      </x:c>
      <x:c r="C3" s="14" t="str">
        <x:v>第一班</x:v>
      </x:c>
      <x:c r="D3" s="14" t="str">
        <x:v>S0002</x:v>
      </x:c>
      <x:c r="E3" s="14" t="str">
        <x:v>8:00</x:v>
      </x:c>
      <x:c r="F3" s="14" t="str">
        <x:v>研究生宿舍楼</x:v>
      </x:c>
      <x:c r="G3" s="14" t="str">
        <x:v>研究生宿舍楼发车</x:v>
      </x:c>
      <x:c r="H3" s="14" t="str">
        <x:v>S0003</x:v>
      </x:c>
      <x:c r="I3" s="14" t="str">
        <x:v>8:30</x:v>
      </x:c>
      <x:c r="J3" s="14" t="str">
        <x:v>研究生宿舍楼</x:v>
      </x:c>
      <x:c r="K3" s="14" t="str">
        <x:v>研究生宿舍楼发车</x:v>
      </x:c>
      <x:c r="L3" s="14" t="n">
        <x:v>30</x:v>
      </x:c>
      <x:c r="M3" s="14" t="n">
        <x:v>17</x:v>
      </x:c>
      <x:c r="N3" s="14" t="n">
        <x:v>13</x:v>
      </x:c>
      <x:c r="O3" t="str">
        <x:v>通过</x:v>
      </x:c>
      <x:c r="P3" t="str">
        <x:v>按预测运行时间计算；实际运营可能因上下车和路况略有波动</x:v>
      </x:c>
    </x:row>
    <x:row r="4">
      <x:c r="A4" s="14" t="str">
        <x:v>工作日</x:v>
      </x:c>
      <x:c r="B4" s="14" t="str">
        <x:v>环线1路</x:v>
      </x:c>
      <x:c r="C4" s="14" t="str">
        <x:v>第一班</x:v>
      </x:c>
      <x:c r="D4" s="14" t="str">
        <x:v>S0003</x:v>
      </x:c>
      <x:c r="E4" s="14" t="str">
        <x:v>8:30</x:v>
      </x:c>
      <x:c r="F4" s="14" t="str">
        <x:v>研究生宿舍楼</x:v>
      </x:c>
      <x:c r="G4" s="14" t="str">
        <x:v>研究生宿舍楼发车</x:v>
      </x:c>
      <x:c r="H4" s="14" t="str">
        <x:v>S0004</x:v>
      </x:c>
      <x:c r="I4" s="14" t="str">
        <x:v>9:00</x:v>
      </x:c>
      <x:c r="J4" s="14" t="str">
        <x:v>研究生宿舍楼</x:v>
      </x:c>
      <x:c r="K4" s="14" t="str">
        <x:v>研究生宿舍楼发车</x:v>
      </x:c>
      <x:c r="L4" s="14" t="n">
        <x:v>30</x:v>
      </x:c>
      <x:c r="M4" s="14" t="n">
        <x:v>17</x:v>
      </x:c>
      <x:c r="N4" s="14" t="n">
        <x:v>13</x:v>
      </x:c>
      <x:c r="O4" t="str">
        <x:v>通过</x:v>
      </x:c>
      <x:c r="P4" t="str">
        <x:v>按预测运行时间计算；实际运营可能因上下车和路况略有波动</x:v>
      </x:c>
    </x:row>
    <x:row r="5">
      <x:c r="A5" s="14" t="str">
        <x:v>工作日</x:v>
      </x:c>
      <x:c r="B5" s="14" t="str">
        <x:v>环线1路</x:v>
      </x:c>
      <x:c r="C5" s="14" t="str">
        <x:v>第一班</x:v>
      </x:c>
      <x:c r="D5" s="14" t="str">
        <x:v>S0004</x:v>
      </x:c>
      <x:c r="E5" s="14" t="str">
        <x:v>9:00</x:v>
      </x:c>
      <x:c r="F5" s="14" t="str">
        <x:v>研究生宿舍楼</x:v>
      </x:c>
      <x:c r="G5" s="14" t="str">
        <x:v>研究生宿舍楼发车</x:v>
      </x:c>
      <x:c r="H5" s="14" t="str">
        <x:v>S0005</x:v>
      </x:c>
      <x:c r="I5" s="14" t="str">
        <x:v>9:36</x:v>
      </x:c>
      <x:c r="J5" s="14" t="str">
        <x:v>研究生宿舍楼</x:v>
      </x:c>
      <x:c r="K5" s="14" t="str">
        <x:v>研究生宿舍楼发车</x:v>
      </x:c>
      <x:c r="L5" s="14" t="n">
        <x:v>36</x:v>
      </x:c>
      <x:c r="M5" s="14" t="n">
        <x:v>17</x:v>
      </x:c>
      <x:c r="N5" s="14" t="n">
        <x:v>19</x:v>
      </x:c>
      <x:c r="O5" t="str">
        <x:v>通过</x:v>
      </x:c>
      <x:c r="P5" t="str">
        <x:v>按预测运行时间计算；实际运营可能因上下车和路况略有波动</x:v>
      </x:c>
    </x:row>
    <x:row r="6">
      <x:c r="A6" s="14" t="str">
        <x:v>工作日</x:v>
      </x:c>
      <x:c r="B6" s="14" t="str">
        <x:v>环线1路</x:v>
      </x:c>
      <x:c r="C6" s="14" t="str">
        <x:v>第一班</x:v>
      </x:c>
      <x:c r="D6" s="14" t="str">
        <x:v>S0005</x:v>
      </x:c>
      <x:c r="E6" s="14" t="str">
        <x:v>9:36</x:v>
      </x:c>
      <x:c r="F6" s="14" t="str">
        <x:v>研究生宿舍楼</x:v>
      </x:c>
      <x:c r="G6" s="14" t="str">
        <x:v>研究生宿舍楼发车</x:v>
      </x:c>
      <x:c r="H6" s="14" t="str">
        <x:v>S0006</x:v>
      </x:c>
      <x:c r="I6" s="14" t="str">
        <x:v>10:15</x:v>
      </x:c>
      <x:c r="J6" s="14" t="str">
        <x:v>研究生宿舍楼</x:v>
      </x:c>
      <x:c r="K6" s="14" t="str">
        <x:v>研究生宿舍楼发车</x:v>
      </x:c>
      <x:c r="L6" s="14" t="n">
        <x:v>39</x:v>
      </x:c>
      <x:c r="M6" s="14" t="n">
        <x:v>17</x:v>
      </x:c>
      <x:c r="N6" s="14" t="n">
        <x:v>22</x:v>
      </x:c>
      <x:c r="O6" t="str">
        <x:v>通过</x:v>
      </x:c>
      <x:c r="P6" t="str">
        <x:v>按预测运行时间计算；实际运营可能因上下车和路况略有波动</x:v>
      </x:c>
    </x:row>
    <x:row r="7">
      <x:c r="A7" s="14" t="str">
        <x:v>工作日</x:v>
      </x:c>
      <x:c r="B7" s="14" t="str">
        <x:v>环线1路</x:v>
      </x:c>
      <x:c r="C7" s="14" t="str">
        <x:v>第一班</x:v>
      </x:c>
      <x:c r="D7" s="14" t="str">
        <x:v>S0006</x:v>
      </x:c>
      <x:c r="E7" s="14" t="str">
        <x:v>10:15</x:v>
      </x:c>
      <x:c r="F7" s="14" t="str">
        <x:v>研究生宿舍楼</x:v>
      </x:c>
      <x:c r="G7" s="14" t="str">
        <x:v>研究生宿舍楼发车</x:v>
      </x:c>
      <x:c r="H7" s="14" t="str">
        <x:v>S0007</x:v>
      </x:c>
      <x:c r="I7" s="14" t="str">
        <x:v>11:15</x:v>
      </x:c>
      <x:c r="J7" s="14" t="str">
        <x:v>研究生宿舍楼</x:v>
      </x:c>
      <x:c r="K7" s="14" t="str">
        <x:v>研究生宿舍楼发车</x:v>
      </x:c>
      <x:c r="L7" s="14" t="n">
        <x:v>60</x:v>
      </x:c>
      <x:c r="M7" s="14" t="n">
        <x:v>17</x:v>
      </x:c>
      <x:c r="N7" s="14" t="n">
        <x:v>43</x:v>
      </x:c>
      <x:c r="O7" t="str">
        <x:v>通过</x:v>
      </x:c>
      <x:c r="P7" t="str">
        <x:v>按预测运行时间计算；实际运营可能因上下车和路况略有波动</x:v>
      </x:c>
    </x:row>
    <x:row r="8">
      <x:c r="A8" s="14" t="str">
        <x:v>工作日</x:v>
      </x:c>
      <x:c r="B8" s="14" t="str">
        <x:v>环线1路</x:v>
      </x:c>
      <x:c r="C8" s="14" t="str">
        <x:v>第一班</x:v>
      </x:c>
      <x:c r="D8" s="14" t="str">
        <x:v>S0007</x:v>
      </x:c>
      <x:c r="E8" s="14" t="str">
        <x:v>11:15</x:v>
      </x:c>
      <x:c r="F8" s="14" t="str">
        <x:v>研究生宿舍楼</x:v>
      </x:c>
      <x:c r="G8" s="14" t="str">
        <x:v>研究生宿舍楼发车</x:v>
      </x:c>
      <x:c r="H8" s="14" t="str">
        <x:v>S0008</x:v>
      </x:c>
      <x:c r="I8" s="14" t="str">
        <x:v>11:30</x:v>
      </x:c>
      <x:c r="J8" s="14" t="str">
        <x:v>高超楼（就餐专线）</x:v>
      </x:c>
      <x:c r="K8" s="14" t="str">
        <x:v>高超楼发车（就餐专线）</x:v>
      </x:c>
      <x:c r="L8" s="14" t="n">
        <x:v>15</x:v>
      </x:c>
      <x:c r="M8" s="14" t="n">
        <x:v>9</x:v>
      </x:c>
      <x:c r="N8" s="14" t="n">
        <x:v>6</x:v>
      </x:c>
      <x:c r="O8" t="str">
        <x:v>通过</x:v>
      </x:c>
      <x:c r="P8" t="str">
        <x:v>涉及环线1路就餐专线：按就餐专线16分钟全程估计；若转回研究生宿舍楼发车，另估约8分钟空驶/调度时间</x:v>
      </x:c>
    </x:row>
    <x:row r="9">
      <x:c r="A9" s="14" t="str">
        <x:v>工作日</x:v>
      </x:c>
      <x:c r="B9" s="14" t="str">
        <x:v>环线1路</x:v>
      </x:c>
      <x:c r="C9" s="14" t="str">
        <x:v>第一班</x:v>
      </x:c>
      <x:c r="D9" s="14" t="str">
        <x:v>S0008</x:v>
      </x:c>
      <x:c r="E9" s="14" t="str">
        <x:v>11:30</x:v>
      </x:c>
      <x:c r="F9" s="14" t="str">
        <x:v>高超楼（就餐专线）</x:v>
      </x:c>
      <x:c r="G9" s="14" t="str">
        <x:v>高超楼发车（就餐专线）</x:v>
      </x:c>
      <x:c r="H9" s="14" t="str">
        <x:v>S0009</x:v>
      </x:c>
      <x:c r="I9" s="14" t="str">
        <x:v>11:50</x:v>
      </x:c>
      <x:c r="J9" s="14" t="str">
        <x:v>高超楼（就餐专线）</x:v>
      </x:c>
      <x:c r="K9" s="14" t="str">
        <x:v>高超楼发车（就餐专线）</x:v>
      </x:c>
      <x:c r="L9" s="14" t="n">
        <x:v>20</x:v>
      </x:c>
      <x:c r="M9" s="14" t="n">
        <x:v>16</x:v>
      </x:c>
      <x:c r="N9" s="14" t="n">
        <x:v>4</x:v>
      </x:c>
      <x:c r="O9" t="str">
        <x:v>通过</x:v>
      </x:c>
      <x:c r="P9" t="str">
        <x:v>涉及环线1路就餐专线：按就餐专线16分钟全程估计；若转回研究生宿舍楼发车，另估约8分钟空驶/调度时间</x:v>
      </x:c>
    </x:row>
    <x:row r="10">
      <x:c r="A10" s="14" t="str">
        <x:v>工作日</x:v>
      </x:c>
      <x:c r="B10" s="14" t="str">
        <x:v>环线1路</x:v>
      </x:c>
      <x:c r="C10" s="14" t="str">
        <x:v>第一班</x:v>
      </x:c>
      <x:c r="D10" s="14" t="str">
        <x:v>S0009</x:v>
      </x:c>
      <x:c r="E10" s="14" t="str">
        <x:v>11:50</x:v>
      </x:c>
      <x:c r="F10" s="14" t="str">
        <x:v>高超楼（就餐专线）</x:v>
      </x:c>
      <x:c r="G10" s="14" t="str">
        <x:v>高超楼发车（就餐专线）</x:v>
      </x:c>
      <x:c r="H10" s="14" t="str">
        <x:v>S0010</x:v>
      </x:c>
      <x:c r="I10" s="14" t="str">
        <x:v>12:10</x:v>
      </x:c>
      <x:c r="J10" s="14" t="str">
        <x:v>高超楼（就餐专线）</x:v>
      </x:c>
      <x:c r="K10" s="14" t="str">
        <x:v>高超楼发车（就餐专线）</x:v>
      </x:c>
      <x:c r="L10" s="14" t="n">
        <x:v>20</x:v>
      </x:c>
      <x:c r="M10" s="14" t="n">
        <x:v>16</x:v>
      </x:c>
      <x:c r="N10" s="14" t="n">
        <x:v>4</x:v>
      </x:c>
      <x:c r="O10" t="str">
        <x:v>通过</x:v>
      </x:c>
      <x:c r="P10" t="str">
        <x:v>涉及环线1路就餐专线：按就餐专线16分钟全程估计；若转回研究生宿舍楼发车，另估约8分钟空驶/调度时间</x:v>
      </x:c>
    </x:row>
    <x:row r="11">
      <x:c r="A11" s="14" t="str">
        <x:v>工作日</x:v>
      </x:c>
      <x:c r="B11" s="14" t="str">
        <x:v>环线1路</x:v>
      </x:c>
      <x:c r="C11" s="14" t="str">
        <x:v>第一班</x:v>
      </x:c>
      <x:c r="D11" s="14" t="str">
        <x:v>S0010</x:v>
      </x:c>
      <x:c r="E11" s="14" t="str">
        <x:v>12:10</x:v>
      </x:c>
      <x:c r="F11" s="14" t="str">
        <x:v>高超楼（就餐专线）</x:v>
      </x:c>
      <x:c r="G11" s="14" t="str">
        <x:v>高超楼发车（就餐专线）</x:v>
      </x:c>
      <x:c r="H11" s="14" t="str">
        <x:v>S0011</x:v>
      </x:c>
      <x:c r="I11" s="14" t="str">
        <x:v>12:30</x:v>
      </x:c>
      <x:c r="J11" s="14" t="str">
        <x:v>高超楼（就餐专线）</x:v>
      </x:c>
      <x:c r="K11" s="14" t="str">
        <x:v>高超楼发车（就餐专线）</x:v>
      </x:c>
      <x:c r="L11" s="14" t="n">
        <x:v>20</x:v>
      </x:c>
      <x:c r="M11" s="14" t="n">
        <x:v>16</x:v>
      </x:c>
      <x:c r="N11" s="14" t="n">
        <x:v>4</x:v>
      </x:c>
      <x:c r="O11" t="str">
        <x:v>通过</x:v>
      </x:c>
      <x:c r="P11" t="str">
        <x:v>涉及环线1路就餐专线：按就餐专线16分钟全程估计；若转回研究生宿舍楼发车，另估约8分钟空驶/调度时间</x:v>
      </x:c>
    </x:row>
    <x:row r="12">
      <x:c r="A12" s="14" t="str">
        <x:v>工作日</x:v>
      </x:c>
      <x:c r="B12" s="14" t="str">
        <x:v>环线1路</x:v>
      </x:c>
      <x:c r="C12" s="14" t="str">
        <x:v>第三班</x:v>
      </x:c>
      <x:c r="D12" s="14" t="str">
        <x:v>S0012</x:v>
      </x:c>
      <x:c r="E12" s="14" t="str">
        <x:v>7:50</x:v>
      </x:c>
      <x:c r="F12" s="14" t="str">
        <x:v>研究生宿舍楼</x:v>
      </x:c>
      <x:c r="G12" s="14" t="str">
        <x:v>研究生宿舍楼发车</x:v>
      </x:c>
      <x:c r="H12" s="14" t="str">
        <x:v>S0013</x:v>
      </x:c>
      <x:c r="I12" s="14" t="str">
        <x:v>8:20</x:v>
      </x:c>
      <x:c r="J12" s="14" t="str">
        <x:v>研究生宿舍楼</x:v>
      </x:c>
      <x:c r="K12" s="14" t="str">
        <x:v>研究生宿舍楼发车</x:v>
      </x:c>
      <x:c r="L12" s="14" t="n">
        <x:v>30</x:v>
      </x:c>
      <x:c r="M12" s="14" t="n">
        <x:v>17</x:v>
      </x:c>
      <x:c r="N12" s="14" t="n">
        <x:v>13</x:v>
      </x:c>
      <x:c r="O12" t="str">
        <x:v>通过</x:v>
      </x:c>
      <x:c r="P12" t="str">
        <x:v>按预测运行时间计算；实际运营可能因上下车和路况略有波动</x:v>
      </x:c>
    </x:row>
    <x:row r="13">
      <x:c r="A13" s="14" t="str">
        <x:v>工作日</x:v>
      </x:c>
      <x:c r="B13" s="14" t="str">
        <x:v>环线1路</x:v>
      </x:c>
      <x:c r="C13" s="14" t="str">
        <x:v>第三班</x:v>
      </x:c>
      <x:c r="D13" s="14" t="str">
        <x:v>S0013</x:v>
      </x:c>
      <x:c r="E13" s="14" t="str">
        <x:v>8:20</x:v>
      </x:c>
      <x:c r="F13" s="14" t="str">
        <x:v>研究生宿舍楼</x:v>
      </x:c>
      <x:c r="G13" s="14" t="str">
        <x:v>研究生宿舍楼发车</x:v>
      </x:c>
      <x:c r="H13" s="14" t="str">
        <x:v>S0014</x:v>
      </x:c>
      <x:c r="I13" s="14" t="str">
        <x:v>8:50</x:v>
      </x:c>
      <x:c r="J13" s="14" t="str">
        <x:v>研究生宿舍楼</x:v>
      </x:c>
      <x:c r="K13" s="14" t="str">
        <x:v>研究生宿舍楼发车</x:v>
      </x:c>
      <x:c r="L13" s="14" t="n">
        <x:v>30</x:v>
      </x:c>
      <x:c r="M13" s="14" t="n">
        <x:v>17</x:v>
      </x:c>
      <x:c r="N13" s="14" t="n">
        <x:v>13</x:v>
      </x:c>
      <x:c r="O13" t="str">
        <x:v>通过</x:v>
      </x:c>
      <x:c r="P13" t="str">
        <x:v>按预测运行时间计算；实际运营可能因上下车和路况略有波动</x:v>
      </x:c>
    </x:row>
    <x:row r="14">
      <x:c r="A14" s="14" t="str">
        <x:v>工作日</x:v>
      </x:c>
      <x:c r="B14" s="14" t="str">
        <x:v>环线1路</x:v>
      </x:c>
      <x:c r="C14" s="14" t="str">
        <x:v>第三班</x:v>
      </x:c>
      <x:c r="D14" s="14" t="str">
        <x:v>S0014</x:v>
      </x:c>
      <x:c r="E14" s="14" t="str">
        <x:v>8:50</x:v>
      </x:c>
      <x:c r="F14" s="14" t="str">
        <x:v>研究生宿舍楼</x:v>
      </x:c>
      <x:c r="G14" s="14" t="str">
        <x:v>研究生宿舍楼发车</x:v>
      </x:c>
      <x:c r="H14" s="14" t="str">
        <x:v>S0015</x:v>
      </x:c>
      <x:c r="I14" s="14" t="str">
        <x:v>9:24</x:v>
      </x:c>
      <x:c r="J14" s="14" t="str">
        <x:v>研究生宿舍楼</x:v>
      </x:c>
      <x:c r="K14" s="14" t="str">
        <x:v>研究生宿舍楼发车</x:v>
      </x:c>
      <x:c r="L14" s="14" t="n">
        <x:v>34</x:v>
      </x:c>
      <x:c r="M14" s="14" t="n">
        <x:v>17</x:v>
      </x:c>
      <x:c r="N14" s="14" t="n">
        <x:v>17</x:v>
      </x:c>
      <x:c r="O14" t="str">
        <x:v>通过</x:v>
      </x:c>
      <x:c r="P14" t="str">
        <x:v>按预测运行时间计算；实际运营可能因上下车和路况略有波动</x:v>
      </x:c>
    </x:row>
    <x:row r="15">
      <x:c r="A15" s="14" t="str">
        <x:v>工作日</x:v>
      </x:c>
      <x:c r="B15" s="14" t="str">
        <x:v>环线1路</x:v>
      </x:c>
      <x:c r="C15" s="14" t="str">
        <x:v>第三班</x:v>
      </x:c>
      <x:c r="D15" s="14" t="str">
        <x:v>S0015</x:v>
      </x:c>
      <x:c r="E15" s="14" t="str">
        <x:v>9:24</x:v>
      </x:c>
      <x:c r="F15" s="14" t="str">
        <x:v>研究生宿舍楼</x:v>
      </x:c>
      <x:c r="G15" s="14" t="str">
        <x:v>研究生宿舍楼发车</x:v>
      </x:c>
      <x:c r="H15" s="14" t="str">
        <x:v>S0016</x:v>
      </x:c>
      <x:c r="I15" s="14" t="str">
        <x:v>10:00</x:v>
      </x:c>
      <x:c r="J15" s="14" t="str">
        <x:v>研究生宿舍楼</x:v>
      </x:c>
      <x:c r="K15" s="14" t="str">
        <x:v>研究生宿舍楼发车</x:v>
      </x:c>
      <x:c r="L15" s="14" t="n">
        <x:v>36</x:v>
      </x:c>
      <x:c r="M15" s="14" t="n">
        <x:v>17</x:v>
      </x:c>
      <x:c r="N15" s="14" t="n">
        <x:v>19</x:v>
      </x:c>
      <x:c r="O15" t="str">
        <x:v>通过</x:v>
      </x:c>
      <x:c r="P15" t="str">
        <x:v>按预测运行时间计算；实际运营可能因上下车和路况略有波动</x:v>
      </x:c>
    </x:row>
    <x:row r="16">
      <x:c r="A16" s="14" t="str">
        <x:v>工作日</x:v>
      </x:c>
      <x:c r="B16" s="14" t="str">
        <x:v>环线1路</x:v>
      </x:c>
      <x:c r="C16" s="14" t="str">
        <x:v>第三班</x:v>
      </x:c>
      <x:c r="D16" s="14" t="str">
        <x:v>S0016</x:v>
      </x:c>
      <x:c r="E16" s="14" t="str">
        <x:v>10:00</x:v>
      </x:c>
      <x:c r="F16" s="14" t="str">
        <x:v>研究生宿舍楼</x:v>
      </x:c>
      <x:c r="G16" s="14" t="str">
        <x:v>研究生宿舍楼发车</x:v>
      </x:c>
      <x:c r="H16" s="14" t="str">
        <x:v>S0017</x:v>
      </x:c>
      <x:c r="I16" s="14" t="str">
        <x:v>10:45</x:v>
      </x:c>
      <x:c r="J16" s="14" t="str">
        <x:v>研究生宿舍楼</x:v>
      </x:c>
      <x:c r="K16" s="14" t="str">
        <x:v>研究生宿舍楼发车</x:v>
      </x:c>
      <x:c r="L16" s="14" t="n">
        <x:v>45</x:v>
      </x:c>
      <x:c r="M16" s="14" t="n">
        <x:v>17</x:v>
      </x:c>
      <x:c r="N16" s="14" t="n">
        <x:v>28</x:v>
      </x:c>
      <x:c r="O16" t="str">
        <x:v>通过</x:v>
      </x:c>
      <x:c r="P16" t="str">
        <x:v>按预测运行时间计算；实际运营可能因上下车和路况略有波动</x:v>
      </x:c>
    </x:row>
    <x:row r="17">
      <x:c r="A17" s="14" t="str">
        <x:v>工作日</x:v>
      </x:c>
      <x:c r="B17" s="14" t="str">
        <x:v>环线1路</x:v>
      </x:c>
      <x:c r="C17" s="14" t="str">
        <x:v>第三班</x:v>
      </x:c>
      <x:c r="D17" s="14" t="str">
        <x:v>S0017</x:v>
      </x:c>
      <x:c r="E17" s="14" t="str">
        <x:v>10:45</x:v>
      </x:c>
      <x:c r="F17" s="14" t="str">
        <x:v>研究生宿舍楼</x:v>
      </x:c>
      <x:c r="G17" s="14" t="str">
        <x:v>研究生宿舍楼发车</x:v>
      </x:c>
      <x:c r="H17" s="14" t="str">
        <x:v>S0018</x:v>
      </x:c>
      <x:c r="I17" s="14" t="str">
        <x:v>11:30</x:v>
      </x:c>
      <x:c r="J17" s="14" t="str">
        <x:v>研究生宿舍楼</x:v>
      </x:c>
      <x:c r="K17" s="14" t="str">
        <x:v>研究生宿舍楼发车</x:v>
      </x:c>
      <x:c r="L17" s="14" t="n">
        <x:v>45</x:v>
      </x:c>
      <x:c r="M17" s="14" t="n">
        <x:v>17</x:v>
      </x:c>
      <x:c r="N17" s="14" t="n">
        <x:v>28</x:v>
      </x:c>
      <x:c r="O17" t="str">
        <x:v>通过</x:v>
      </x:c>
      <x:c r="P17" t="str">
        <x:v>按预测运行时间计算；实际运营可能因上下车和路况略有波动</x:v>
      </x:c>
    </x:row>
    <x:row r="18">
      <x:c r="A18" s="14" t="str">
        <x:v>工作日</x:v>
      </x:c>
      <x:c r="B18" s="14" t="str">
        <x:v>环线1路</x:v>
      </x:c>
      <x:c r="C18" s="14" t="str">
        <x:v>第三班</x:v>
      </x:c>
      <x:c r="D18" s="14" t="str">
        <x:v>S0018</x:v>
      </x:c>
      <x:c r="E18" s="14" t="str">
        <x:v>11:30</x:v>
      </x:c>
      <x:c r="F18" s="14" t="str">
        <x:v>研究生宿舍楼</x:v>
      </x:c>
      <x:c r="G18" s="14" t="str">
        <x:v>研究生宿舍楼发车</x:v>
      </x:c>
      <x:c r="H18" s="14" t="str">
        <x:v>S0019</x:v>
      </x:c>
      <x:c r="I18" s="14" t="str">
        <x:v>11:50</x:v>
      </x:c>
      <x:c r="J18" s="14" t="str">
        <x:v>研究生宿舍楼</x:v>
      </x:c>
      <x:c r="K18" s="14" t="str">
        <x:v>研究生宿舍楼发车</x:v>
      </x:c>
      <x:c r="L18" s="14" t="n">
        <x:v>20</x:v>
      </x:c>
      <x:c r="M18" s="14" t="n">
        <x:v>17</x:v>
      </x:c>
      <x:c r="N18" s="14" t="n">
        <x:v>3</x:v>
      </x:c>
      <x:c r="O18" t="str">
        <x:v>通过</x:v>
      </x:c>
      <x:c r="P18" t="str">
        <x:v>按预测运行时间计算；实际运营可能因上下车和路况略有波动</x:v>
      </x:c>
    </x:row>
    <x:row r="19">
      <x:c r="A19" s="14" t="str">
        <x:v>工作日</x:v>
      </x:c>
      <x:c r="B19" s="14" t="str">
        <x:v>环线1路</x:v>
      </x:c>
      <x:c r="C19" s="14" t="str">
        <x:v>第三班</x:v>
      </x:c>
      <x:c r="D19" s="14" t="str">
        <x:v>S0019</x:v>
      </x:c>
      <x:c r="E19" s="14" t="str">
        <x:v>11:50</x:v>
      </x:c>
      <x:c r="F19" s="14" t="str">
        <x:v>研究生宿舍楼</x:v>
      </x:c>
      <x:c r="G19" s="14" t="str">
        <x:v>研究生宿舍楼发车</x:v>
      </x:c>
      <x:c r="H19" s="14" t="str">
        <x:v>S0020</x:v>
      </x:c>
      <x:c r="I19" s="14" t="str">
        <x:v>12:25</x:v>
      </x:c>
      <x:c r="J19" s="14" t="str">
        <x:v>研究生宿舍楼</x:v>
      </x:c>
      <x:c r="K19" s="14" t="str">
        <x:v>研究生宿舍楼发车</x:v>
      </x:c>
      <x:c r="L19" s="14" t="n">
        <x:v>35</x:v>
      </x:c>
      <x:c r="M19" s="14" t="n">
        <x:v>17</x:v>
      </x:c>
      <x:c r="N19" s="14" t="n">
        <x:v>18</x:v>
      </x:c>
      <x:c r="O19" t="str">
        <x:v>通过</x:v>
      </x:c>
      <x:c r="P19" t="str">
        <x:v>按预测运行时间计算；实际运营可能因上下车和路况略有波动</x:v>
      </x:c>
    </x:row>
    <x:row r="20">
      <x:c r="A20" s="14" t="str">
        <x:v>工作日</x:v>
      </x:c>
      <x:c r="B20" s="14" t="str">
        <x:v>环线1路</x:v>
      </x:c>
      <x:c r="C20" s="14" t="str">
        <x:v>第三班</x:v>
      </x:c>
      <x:c r="D20" s="14" t="str">
        <x:v>S0020</x:v>
      </x:c>
      <x:c r="E20" s="14" t="str">
        <x:v>12:25</x:v>
      </x:c>
      <x:c r="F20" s="14" t="str">
        <x:v>研究生宿舍楼</x:v>
      </x:c>
      <x:c r="G20" s="14" t="str">
        <x:v>研究生宿舍楼发车</x:v>
      </x:c>
      <x:c r="H20" s="14" t="str">
        <x:v>S0021</x:v>
      </x:c>
      <x:c r="I20" s="14" t="str">
        <x:v>14:00</x:v>
      </x:c>
      <x:c r="J20" s="14" t="str">
        <x:v>研究生宿舍楼</x:v>
      </x:c>
      <x:c r="K20" s="14" t="str">
        <x:v>研究生宿舍楼发车</x:v>
      </x:c>
      <x:c r="L20" s="14" t="n">
        <x:v>95</x:v>
      </x:c>
      <x:c r="M20" s="14" t="n">
        <x:v>17</x:v>
      </x:c>
      <x:c r="N20" s="14" t="n">
        <x:v>78</x:v>
      </x:c>
      <x:c r="O20" t="str">
        <x:v>通过</x:v>
      </x:c>
      <x:c r="P20" t="str">
        <x:v>按预测运行时间计算；实际运营可能因上下车和路况略有波动</x:v>
      </x:c>
    </x:row>
    <x:row r="21">
      <x:c r="A21" s="14" t="str">
        <x:v>工作日</x:v>
      </x:c>
      <x:c r="B21" s="14" t="str">
        <x:v>环线1路</x:v>
      </x:c>
      <x:c r="C21" s="14" t="str">
        <x:v>第三班</x:v>
      </x:c>
      <x:c r="D21" s="14" t="str">
        <x:v>S0021</x:v>
      </x:c>
      <x:c r="E21" s="14" t="str">
        <x:v>14:00</x:v>
      </x:c>
      <x:c r="F21" s="14" t="str">
        <x:v>研究生宿舍楼</x:v>
      </x:c>
      <x:c r="G21" s="14" t="str">
        <x:v>研究生宿舍楼发车</x:v>
      </x:c>
      <x:c r="H21" s="14" t="str">
        <x:v>S0022</x:v>
      </x:c>
      <x:c r="I21" s="14" t="str">
        <x:v>14:36</x:v>
      </x:c>
      <x:c r="J21" s="14" t="str">
        <x:v>研究生宿舍楼</x:v>
      </x:c>
      <x:c r="K21" s="14" t="str">
        <x:v>研究生宿舍楼发车</x:v>
      </x:c>
      <x:c r="L21" s="14" t="n">
        <x:v>36</x:v>
      </x:c>
      <x:c r="M21" s="14" t="n">
        <x:v>17</x:v>
      </x:c>
      <x:c r="N21" s="14" t="n">
        <x:v>19</x:v>
      </x:c>
      <x:c r="O21" t="str">
        <x:v>通过</x:v>
      </x:c>
      <x:c r="P21" t="str">
        <x:v>按预测运行时间计算；实际运营可能因上下车和路况略有波动</x:v>
      </x:c>
    </x:row>
    <x:row r="22">
      <x:c r="A22" s="14" t="str">
        <x:v>工作日</x:v>
      </x:c>
      <x:c r="B22" s="14" t="str">
        <x:v>环线1路</x:v>
      </x:c>
      <x:c r="C22" s="14" t="str">
        <x:v>第三班</x:v>
      </x:c>
      <x:c r="D22" s="14" t="str">
        <x:v>S0022</x:v>
      </x:c>
      <x:c r="E22" s="14" t="str">
        <x:v>14:36</x:v>
      </x:c>
      <x:c r="F22" s="14" t="str">
        <x:v>研究生宿舍楼</x:v>
      </x:c>
      <x:c r="G22" s="14" t="str">
        <x:v>研究生宿舍楼发车</x:v>
      </x:c>
      <x:c r="H22" s="14" t="str">
        <x:v>S0023</x:v>
      </x:c>
      <x:c r="I22" s="14" t="str">
        <x:v>15:20</x:v>
      </x:c>
      <x:c r="J22" s="14" t="str">
        <x:v>研究生宿舍楼</x:v>
      </x:c>
      <x:c r="K22" s="14" t="str">
        <x:v>研究生宿舍楼发车</x:v>
      </x:c>
      <x:c r="L22" s="14" t="n">
        <x:v>44</x:v>
      </x:c>
      <x:c r="M22" s="14" t="n">
        <x:v>17</x:v>
      </x:c>
      <x:c r="N22" s="14" t="n">
        <x:v>27</x:v>
      </x:c>
      <x:c r="O22" t="str">
        <x:v>通过</x:v>
      </x:c>
      <x:c r="P22" t="str">
        <x:v>按预测运行时间计算；实际运营可能因上下车和路况略有波动</x:v>
      </x:c>
    </x:row>
    <x:row r="23">
      <x:c r="A23" s="14" t="str">
        <x:v>工作日</x:v>
      </x:c>
      <x:c r="B23" s="14" t="str">
        <x:v>环线1路</x:v>
      </x:c>
      <x:c r="C23" s="14" t="str">
        <x:v>第三班</x:v>
      </x:c>
      <x:c r="D23" s="14" t="str">
        <x:v>S0023</x:v>
      </x:c>
      <x:c r="E23" s="14" t="str">
        <x:v>15:20</x:v>
      </x:c>
      <x:c r="F23" s="14" t="str">
        <x:v>研究生宿舍楼</x:v>
      </x:c>
      <x:c r="G23" s="14" t="str">
        <x:v>研究生宿舍楼发车</x:v>
      </x:c>
      <x:c r="H23" s="14" t="str">
        <x:v>S0024</x:v>
      </x:c>
      <x:c r="I23" s="14" t="str">
        <x:v>16:30</x:v>
      </x:c>
      <x:c r="J23" s="14" t="str">
        <x:v>研究生宿舍楼</x:v>
      </x:c>
      <x:c r="K23" s="14" t="str">
        <x:v>研究生宿舍楼发车</x:v>
      </x:c>
      <x:c r="L23" s="14" t="n">
        <x:v>70</x:v>
      </x:c>
      <x:c r="M23" s="14" t="n">
        <x:v>17</x:v>
      </x:c>
      <x:c r="N23" s="14" t="n">
        <x:v>53</x:v>
      </x:c>
      <x:c r="O23" t="str">
        <x:v>通过</x:v>
      </x:c>
      <x:c r="P23" t="str">
        <x:v>按预测运行时间计算；实际运营可能因上下车和路况略有波动</x:v>
      </x:c>
    </x:row>
    <x:row r="24">
      <x:c r="A24" s="14" t="str">
        <x:v>工作日</x:v>
      </x:c>
      <x:c r="B24" s="14" t="str">
        <x:v>环线1路</x:v>
      </x:c>
      <x:c r="C24" s="14" t="str">
        <x:v>第三班</x:v>
      </x:c>
      <x:c r="D24" s="14" t="str">
        <x:v>S0024</x:v>
      </x:c>
      <x:c r="E24" s="14" t="str">
        <x:v>16:30</x:v>
      </x:c>
      <x:c r="F24" s="14" t="str">
        <x:v>研究生宿舍楼</x:v>
      </x:c>
      <x:c r="G24" s="14" t="str">
        <x:v>研究生宿舍楼发车</x:v>
      </x:c>
      <x:c r="H24" s="14" t="str">
        <x:v>S0025</x:v>
      </x:c>
      <x:c r="I24" s="14" t="str">
        <x:v>17:15</x:v>
      </x:c>
      <x:c r="J24" s="14" t="str">
        <x:v>研究生宿舍楼</x:v>
      </x:c>
      <x:c r="K24" s="14" t="str">
        <x:v>研究生宿舍楼发车</x:v>
      </x:c>
      <x:c r="L24" s="14" t="n">
        <x:v>45</x:v>
      </x:c>
      <x:c r="M24" s="14" t="n">
        <x:v>17</x:v>
      </x:c>
      <x:c r="N24" s="14" t="n">
        <x:v>28</x:v>
      </x:c>
      <x:c r="O24" t="str">
        <x:v>通过</x:v>
      </x:c>
      <x:c r="P24" t="str">
        <x:v>按预测运行时间计算；实际运营可能因上下车和路况略有波动</x:v>
      </x:c>
    </x:row>
    <x:row r="25">
      <x:c r="A25" s="14" t="str">
        <x:v>工作日</x:v>
      </x:c>
      <x:c r="B25" s="14" t="str">
        <x:v>环线1路</x:v>
      </x:c>
      <x:c r="C25" s="14" t="str">
        <x:v>第三班</x:v>
      </x:c>
      <x:c r="D25" s="14" t="str">
        <x:v>S0025</x:v>
      </x:c>
      <x:c r="E25" s="14" t="str">
        <x:v>17:15</x:v>
      </x:c>
      <x:c r="F25" s="14" t="str">
        <x:v>研究生宿舍楼</x:v>
      </x:c>
      <x:c r="G25" s="14" t="str">
        <x:v>研究生宿舍楼发车</x:v>
      </x:c>
      <x:c r="H25" s="14" t="str">
        <x:v>S0026</x:v>
      </x:c>
      <x:c r="I25" s="14" t="str">
        <x:v>18:00</x:v>
      </x:c>
      <x:c r="J25" s="14" t="str">
        <x:v>研究生宿舍楼</x:v>
      </x:c>
      <x:c r="K25" s="14" t="str">
        <x:v>研究生宿舍楼发车</x:v>
      </x:c>
      <x:c r="L25" s="14" t="n">
        <x:v>45</x:v>
      </x:c>
      <x:c r="M25" s="14" t="n">
        <x:v>17</x:v>
      </x:c>
      <x:c r="N25" s="14" t="n">
        <x:v>28</x:v>
      </x:c>
      <x:c r="O25" t="str">
        <x:v>通过</x:v>
      </x:c>
      <x:c r="P25" t="str">
        <x:v>按预测运行时间计算；实际运营可能因上下车和路况略有波动</x:v>
      </x:c>
    </x:row>
    <x:row r="26">
      <x:c r="A26" s="14" t="str">
        <x:v>工作日</x:v>
      </x:c>
      <x:c r="B26" s="14" t="str">
        <x:v>环线1路</x:v>
      </x:c>
      <x:c r="C26" s="14" t="str">
        <x:v>第二班</x:v>
      </x:c>
      <x:c r="D26" s="14" t="str">
        <x:v>S0027</x:v>
      </x:c>
      <x:c r="E26" s="14" t="str">
        <x:v>7:40</x:v>
      </x:c>
      <x:c r="F26" s="14" t="str">
        <x:v>研究生宿舍楼</x:v>
      </x:c>
      <x:c r="G26" s="14" t="str">
        <x:v>研究生宿舍楼发车</x:v>
      </x:c>
      <x:c r="H26" s="14" t="str">
        <x:v>S0028</x:v>
      </x:c>
      <x:c r="I26" s="14" t="str">
        <x:v>8:10</x:v>
      </x:c>
      <x:c r="J26" s="14" t="str">
        <x:v>研究生宿舍楼</x:v>
      </x:c>
      <x:c r="K26" s="14" t="str">
        <x:v>研究生宿舍楼发车</x:v>
      </x:c>
      <x:c r="L26" s="14" t="n">
        <x:v>30</x:v>
      </x:c>
      <x:c r="M26" s="14" t="n">
        <x:v>17</x:v>
      </x:c>
      <x:c r="N26" s="14" t="n">
        <x:v>13</x:v>
      </x:c>
      <x:c r="O26" t="str">
        <x:v>通过</x:v>
      </x:c>
      <x:c r="P26" t="str">
        <x:v>按预测运行时间计算；实际运营可能因上下车和路况略有波动</x:v>
      </x:c>
    </x:row>
    <x:row r="27">
      <x:c r="A27" s="14" t="str">
        <x:v>工作日</x:v>
      </x:c>
      <x:c r="B27" s="14" t="str">
        <x:v>环线1路</x:v>
      </x:c>
      <x:c r="C27" s="14" t="str">
        <x:v>第二班</x:v>
      </x:c>
      <x:c r="D27" s="14" t="str">
        <x:v>S0028</x:v>
      </x:c>
      <x:c r="E27" s="14" t="str">
        <x:v>8:10</x:v>
      </x:c>
      <x:c r="F27" s="14" t="str">
        <x:v>研究生宿舍楼</x:v>
      </x:c>
      <x:c r="G27" s="14" t="str">
        <x:v>研究生宿舍楼发车</x:v>
      </x:c>
      <x:c r="H27" s="14" t="str">
        <x:v>S0029</x:v>
      </x:c>
      <x:c r="I27" s="14" t="str">
        <x:v>8:40</x:v>
      </x:c>
      <x:c r="J27" s="14" t="str">
        <x:v>研究生宿舍楼</x:v>
      </x:c>
      <x:c r="K27" s="14" t="str">
        <x:v>研究生宿舍楼发车</x:v>
      </x:c>
      <x:c r="L27" s="14" t="n">
        <x:v>30</x:v>
      </x:c>
      <x:c r="M27" s="14" t="n">
        <x:v>17</x:v>
      </x:c>
      <x:c r="N27" s="14" t="n">
        <x:v>13</x:v>
      </x:c>
      <x:c r="O27" t="str">
        <x:v>通过</x:v>
      </x:c>
      <x:c r="P27" t="str">
        <x:v>按预测运行时间计算；实际运营可能因上下车和路况略有波动</x:v>
      </x:c>
    </x:row>
    <x:row r="28">
      <x:c r="A28" s="14" t="str">
        <x:v>工作日</x:v>
      </x:c>
      <x:c r="B28" s="14" t="str">
        <x:v>环线1路</x:v>
      </x:c>
      <x:c r="C28" s="14" t="str">
        <x:v>第二班</x:v>
      </x:c>
      <x:c r="D28" s="14" t="str">
        <x:v>S0029</x:v>
      </x:c>
      <x:c r="E28" s="14" t="str">
        <x:v>8:40</x:v>
      </x:c>
      <x:c r="F28" s="14" t="str">
        <x:v>研究生宿舍楼</x:v>
      </x:c>
      <x:c r="G28" s="14" t="str">
        <x:v>研究生宿舍楼发车</x:v>
      </x:c>
      <x:c r="H28" s="14" t="str">
        <x:v>S0030</x:v>
      </x:c>
      <x:c r="I28" s="14" t="str">
        <x:v>9:12</x:v>
      </x:c>
      <x:c r="J28" s="14" t="str">
        <x:v>研究生宿舍楼</x:v>
      </x:c>
      <x:c r="K28" s="14" t="str">
        <x:v>研究生宿舍楼发车</x:v>
      </x:c>
      <x:c r="L28" s="14" t="n">
        <x:v>32</x:v>
      </x:c>
      <x:c r="M28" s="14" t="n">
        <x:v>17</x:v>
      </x:c>
      <x:c r="N28" s="14" t="n">
        <x:v>15</x:v>
      </x:c>
      <x:c r="O28" t="str">
        <x:v>通过</x:v>
      </x:c>
      <x:c r="P28" t="str">
        <x:v>按预测运行时间计算；实际运营可能因上下车和路况略有波动</x:v>
      </x:c>
    </x:row>
    <x:row r="29">
      <x:c r="A29" s="14" t="str">
        <x:v>工作日</x:v>
      </x:c>
      <x:c r="B29" s="14" t="str">
        <x:v>环线1路</x:v>
      </x:c>
      <x:c r="C29" s="14" t="str">
        <x:v>第二班</x:v>
      </x:c>
      <x:c r="D29" s="14" t="str">
        <x:v>S0030</x:v>
      </x:c>
      <x:c r="E29" s="14" t="str">
        <x:v>9:12</x:v>
      </x:c>
      <x:c r="F29" s="14" t="str">
        <x:v>研究生宿舍楼</x:v>
      </x:c>
      <x:c r="G29" s="14" t="str">
        <x:v>研究生宿舍楼发车</x:v>
      </x:c>
      <x:c r="H29" s="14" t="str">
        <x:v>S0031</x:v>
      </x:c>
      <x:c r="I29" s="14" t="str">
        <x:v>9:48</x:v>
      </x:c>
      <x:c r="J29" s="14" t="str">
        <x:v>研究生宿舍楼</x:v>
      </x:c>
      <x:c r="K29" s="14" t="str">
        <x:v>研究生宿舍楼发车</x:v>
      </x:c>
      <x:c r="L29" s="14" t="n">
        <x:v>36</x:v>
      </x:c>
      <x:c r="M29" s="14" t="n">
        <x:v>17</x:v>
      </x:c>
      <x:c r="N29" s="14" t="n">
        <x:v>19</x:v>
      </x:c>
      <x:c r="O29" t="str">
        <x:v>通过</x:v>
      </x:c>
      <x:c r="P29" t="str">
        <x:v>按预测运行时间计算；实际运营可能因上下车和路况略有波动</x:v>
      </x:c>
    </x:row>
    <x:row r="30">
      <x:c r="A30" s="14" t="str">
        <x:v>工作日</x:v>
      </x:c>
      <x:c r="B30" s="14" t="str">
        <x:v>环线1路</x:v>
      </x:c>
      <x:c r="C30" s="14" t="str">
        <x:v>第二班</x:v>
      </x:c>
      <x:c r="D30" s="14" t="str">
        <x:v>S0031</x:v>
      </x:c>
      <x:c r="E30" s="14" t="str">
        <x:v>9:48</x:v>
      </x:c>
      <x:c r="F30" s="14" t="str">
        <x:v>研究生宿舍楼</x:v>
      </x:c>
      <x:c r="G30" s="14" t="str">
        <x:v>研究生宿舍楼发车</x:v>
      </x:c>
      <x:c r="H30" s="14" t="str">
        <x:v>S0032</x:v>
      </x:c>
      <x:c r="I30" s="14" t="str">
        <x:v>10:30</x:v>
      </x:c>
      <x:c r="J30" s="14" t="str">
        <x:v>研究生宿舍楼</x:v>
      </x:c>
      <x:c r="K30" s="14" t="str">
        <x:v>研究生宿舍楼发车</x:v>
      </x:c>
      <x:c r="L30" s="14" t="n">
        <x:v>42</x:v>
      </x:c>
      <x:c r="M30" s="14" t="n">
        <x:v>17</x:v>
      </x:c>
      <x:c r="N30" s="14" t="n">
        <x:v>25</x:v>
      </x:c>
      <x:c r="O30" t="str">
        <x:v>通过</x:v>
      </x:c>
      <x:c r="P30" t="str">
        <x:v>按预测运行时间计算；实际运营可能因上下车和路况略有波动</x:v>
      </x:c>
    </x:row>
    <x:row r="31">
      <x:c r="A31" s="14" t="str">
        <x:v>工作日</x:v>
      </x:c>
      <x:c r="B31" s="14" t="str">
        <x:v>环线1路</x:v>
      </x:c>
      <x:c r="C31" s="14" t="str">
        <x:v>第二班</x:v>
      </x:c>
      <x:c r="D31" s="14" t="str">
        <x:v>S0032</x:v>
      </x:c>
      <x:c r="E31" s="14" t="str">
        <x:v>10:30</x:v>
      </x:c>
      <x:c r="F31" s="14" t="str">
        <x:v>研究生宿舍楼</x:v>
      </x:c>
      <x:c r="G31" s="14" t="str">
        <x:v>研究生宿舍楼发车</x:v>
      </x:c>
      <x:c r="H31" s="14" t="str">
        <x:v>S0033</x:v>
      </x:c>
      <x:c r="I31" s="14" t="str">
        <x:v>11:00</x:v>
      </x:c>
      <x:c r="J31" s="14" t="str">
        <x:v>研究生宿舍楼</x:v>
      </x:c>
      <x:c r="K31" s="14" t="str">
        <x:v>研究生宿舍楼发车</x:v>
      </x:c>
      <x:c r="L31" s="14" t="n">
        <x:v>30</x:v>
      </x:c>
      <x:c r="M31" s="14" t="n">
        <x:v>17</x:v>
      </x:c>
      <x:c r="N31" s="14" t="n">
        <x:v>13</x:v>
      </x:c>
      <x:c r="O31" t="str">
        <x:v>通过</x:v>
      </x:c>
      <x:c r="P31" t="str">
        <x:v>按预测运行时间计算；实际运营可能因上下车和路况略有波动</x:v>
      </x:c>
    </x:row>
    <x:row r="32">
      <x:c r="A32" s="14" t="str">
        <x:v>工作日</x:v>
      </x:c>
      <x:c r="B32" s="14" t="str">
        <x:v>环线1路</x:v>
      </x:c>
      <x:c r="C32" s="14" t="str">
        <x:v>第二班</x:v>
      </x:c>
      <x:c r="D32" s="14" t="str">
        <x:v>S0033</x:v>
      </x:c>
      <x:c r="E32" s="14" t="str">
        <x:v>11:00</x:v>
      </x:c>
      <x:c r="F32" s="14" t="str">
        <x:v>研究生宿舍楼</x:v>
      </x:c>
      <x:c r="G32" s="14" t="str">
        <x:v>研究生宿舍楼发车</x:v>
      </x:c>
      <x:c r="H32" s="14" t="str">
        <x:v>S0034</x:v>
      </x:c>
      <x:c r="I32" s="14" t="str">
        <x:v>11:40</x:v>
      </x:c>
      <x:c r="J32" s="14" t="str">
        <x:v>研究生宿舍楼</x:v>
      </x:c>
      <x:c r="K32" s="14" t="str">
        <x:v>研究生宿舍楼发车</x:v>
      </x:c>
      <x:c r="L32" s="14" t="n">
        <x:v>40</x:v>
      </x:c>
      <x:c r="M32" s="14" t="n">
        <x:v>17</x:v>
      </x:c>
      <x:c r="N32" s="14" t="n">
        <x:v>23</x:v>
      </x:c>
      <x:c r="O32" t="str">
        <x:v>通过</x:v>
      </x:c>
      <x:c r="P32" t="str">
        <x:v>按预测运行时间计算；实际运营可能因上下车和路况略有波动</x:v>
      </x:c>
    </x:row>
    <x:row r="33">
      <x:c r="A33" s="14" t="str">
        <x:v>工作日</x:v>
      </x:c>
      <x:c r="B33" s="14" t="str">
        <x:v>环线1路</x:v>
      </x:c>
      <x:c r="C33" s="14" t="str">
        <x:v>第二班</x:v>
      </x:c>
      <x:c r="D33" s="14" t="str">
        <x:v>S0034</x:v>
      </x:c>
      <x:c r="E33" s="14" t="str">
        <x:v>11:40</x:v>
      </x:c>
      <x:c r="F33" s="14" t="str">
        <x:v>研究生宿舍楼</x:v>
      </x:c>
      <x:c r="G33" s="14" t="str">
        <x:v>研究生宿舍楼发车</x:v>
      </x:c>
      <x:c r="H33" s="14" t="str">
        <x:v>S0035</x:v>
      </x:c>
      <x:c r="I33" s="14" t="str">
        <x:v>12:10</x:v>
      </x:c>
      <x:c r="J33" s="14" t="str">
        <x:v>研究生宿舍楼</x:v>
      </x:c>
      <x:c r="K33" s="14" t="str">
        <x:v>研究生宿舍楼发车</x:v>
      </x:c>
      <x:c r="L33" s="14" t="n">
        <x:v>30</x:v>
      </x:c>
      <x:c r="M33" s="14" t="n">
        <x:v>17</x:v>
      </x:c>
      <x:c r="N33" s="14" t="n">
        <x:v>13</x:v>
      </x:c>
      <x:c r="O33" t="str">
        <x:v>通过</x:v>
      </x:c>
      <x:c r="P33" t="str">
        <x:v>按预测运行时间计算；实际运营可能因上下车和路况略有波动</x:v>
      </x:c>
    </x:row>
    <x:row r="34">
      <x:c r="A34" s="14" t="str">
        <x:v>工作日</x:v>
      </x:c>
      <x:c r="B34" s="14" t="str">
        <x:v>环线1路</x:v>
      </x:c>
      <x:c r="C34" s="14" t="str">
        <x:v>第二班</x:v>
      </x:c>
      <x:c r="D34" s="14" t="str">
        <x:v>S0035</x:v>
      </x:c>
      <x:c r="E34" s="14" t="str">
        <x:v>12:10</x:v>
      </x:c>
      <x:c r="F34" s="14" t="str">
        <x:v>研究生宿舍楼</x:v>
      </x:c>
      <x:c r="G34" s="14" t="str">
        <x:v>研究生宿舍楼发车</x:v>
      </x:c>
      <x:c r="H34" s="14" t="str">
        <x:v>S0036</x:v>
      </x:c>
      <x:c r="I34" s="14" t="str">
        <x:v>12:40</x:v>
      </x:c>
      <x:c r="J34" s="14" t="str">
        <x:v>研究生宿舍楼</x:v>
      </x:c>
      <x:c r="K34" s="14" t="str">
        <x:v>研究生宿舍楼发车</x:v>
      </x:c>
      <x:c r="L34" s="14" t="n">
        <x:v>30</x:v>
      </x:c>
      <x:c r="M34" s="14" t="n">
        <x:v>17</x:v>
      </x:c>
      <x:c r="N34" s="14" t="n">
        <x:v>13</x:v>
      </x:c>
      <x:c r="O34" t="str">
        <x:v>通过</x:v>
      </x:c>
      <x:c r="P34" t="str">
        <x:v>按预测运行时间计算；实际运营可能因上下车和路况略有波动</x:v>
      </x:c>
    </x:row>
    <x:row r="35">
      <x:c r="A35" s="14" t="str">
        <x:v>工作日</x:v>
      </x:c>
      <x:c r="B35" s="14" t="str">
        <x:v>环线1路</x:v>
      </x:c>
      <x:c r="C35" s="14" t="str">
        <x:v>第二班</x:v>
      </x:c>
      <x:c r="D35" s="14" t="str">
        <x:v>S0036</x:v>
      </x:c>
      <x:c r="E35" s="14" t="str">
        <x:v>12:40</x:v>
      </x:c>
      <x:c r="F35" s="14" t="str">
        <x:v>研究生宿舍楼</x:v>
      </x:c>
      <x:c r="G35" s="14" t="str">
        <x:v>研究生宿舍楼发车</x:v>
      </x:c>
      <x:c r="H35" s="14" t="str">
        <x:v>S0037</x:v>
      </x:c>
      <x:c r="I35" s="14" t="str">
        <x:v>14:12</x:v>
      </x:c>
      <x:c r="J35" s="14" t="str">
        <x:v>研究生宿舍楼</x:v>
      </x:c>
      <x:c r="K35" s="14" t="str">
        <x:v>研究生宿舍楼发车</x:v>
      </x:c>
      <x:c r="L35" s="14" t="n">
        <x:v>92</x:v>
      </x:c>
      <x:c r="M35" s="14" t="n">
        <x:v>17</x:v>
      </x:c>
      <x:c r="N35" s="14" t="n">
        <x:v>75</x:v>
      </x:c>
      <x:c r="O35" t="str">
        <x:v>通过</x:v>
      </x:c>
      <x:c r="P35" t="str">
        <x:v>按预测运行时间计算；实际运营可能因上下车和路况略有波动</x:v>
      </x:c>
    </x:row>
    <x:row r="36">
      <x:c r="A36" s="14" t="str">
        <x:v>工作日</x:v>
      </x:c>
      <x:c r="B36" s="14" t="str">
        <x:v>环线1路</x:v>
      </x:c>
      <x:c r="C36" s="14" t="str">
        <x:v>第二班</x:v>
      </x:c>
      <x:c r="D36" s="14" t="str">
        <x:v>S0037</x:v>
      </x:c>
      <x:c r="E36" s="14" t="str">
        <x:v>14:12</x:v>
      </x:c>
      <x:c r="F36" s="14" t="str">
        <x:v>研究生宿舍楼</x:v>
      </x:c>
      <x:c r="G36" s="14" t="str">
        <x:v>研究生宿舍楼发车</x:v>
      </x:c>
      <x:c r="H36" s="14" t="str">
        <x:v>S0038</x:v>
      </x:c>
      <x:c r="I36" s="14" t="str">
        <x:v>14:48</x:v>
      </x:c>
      <x:c r="J36" s="14" t="str">
        <x:v>研究生宿舍楼</x:v>
      </x:c>
      <x:c r="K36" s="14" t="str">
        <x:v>研究生宿舍楼发车</x:v>
      </x:c>
      <x:c r="L36" s="14" t="n">
        <x:v>36</x:v>
      </x:c>
      <x:c r="M36" s="14" t="n">
        <x:v>17</x:v>
      </x:c>
      <x:c r="N36" s="14" t="n">
        <x:v>19</x:v>
      </x:c>
      <x:c r="O36" t="str">
        <x:v>通过</x:v>
      </x:c>
      <x:c r="P36" t="str">
        <x:v>按预测运行时间计算；实际运营可能因上下车和路况略有波动</x:v>
      </x:c>
    </x:row>
    <x:row r="37">
      <x:c r="A37" s="14" t="str">
        <x:v>工作日</x:v>
      </x:c>
      <x:c r="B37" s="14" t="str">
        <x:v>环线1路</x:v>
      </x:c>
      <x:c r="C37" s="14" t="str">
        <x:v>第二班</x:v>
      </x:c>
      <x:c r="D37" s="14" t="str">
        <x:v>S0038</x:v>
      </x:c>
      <x:c r="E37" s="14" t="str">
        <x:v>14:48</x:v>
      </x:c>
      <x:c r="F37" s="14" t="str">
        <x:v>研究生宿舍楼</x:v>
      </x:c>
      <x:c r="G37" s="14" t="str">
        <x:v>研究生宿舍楼发车</x:v>
      </x:c>
      <x:c r="H37" s="14" t="str">
        <x:v>S0039</x:v>
      </x:c>
      <x:c r="I37" s="14" t="str">
        <x:v>15:40</x:v>
      </x:c>
      <x:c r="J37" s="14" t="str">
        <x:v>研究生宿舍楼</x:v>
      </x:c>
      <x:c r="K37" s="14" t="str">
        <x:v>研究生宿舍楼发车</x:v>
      </x:c>
      <x:c r="L37" s="14" t="n">
        <x:v>52</x:v>
      </x:c>
      <x:c r="M37" s="14" t="n">
        <x:v>17</x:v>
      </x:c>
      <x:c r="N37" s="14" t="n">
        <x:v>35</x:v>
      </x:c>
      <x:c r="O37" t="str">
        <x:v>通过</x:v>
      </x:c>
      <x:c r="P37" t="str">
        <x:v>按预测运行时间计算；实际运营可能因上下车和路况略有波动</x:v>
      </x:c>
    </x:row>
    <x:row r="38">
      <x:c r="A38" s="14" t="str">
        <x:v>工作日</x:v>
      </x:c>
      <x:c r="B38" s="14" t="str">
        <x:v>环线1路</x:v>
      </x:c>
      <x:c r="C38" s="14" t="str">
        <x:v>第二班</x:v>
      </x:c>
      <x:c r="D38" s="14" t="str">
        <x:v>S0039</x:v>
      </x:c>
      <x:c r="E38" s="14" t="str">
        <x:v>15:40</x:v>
      </x:c>
      <x:c r="F38" s="14" t="str">
        <x:v>研究生宿舍楼</x:v>
      </x:c>
      <x:c r="G38" s="14" t="str">
        <x:v>研究生宿舍楼发车</x:v>
      </x:c>
      <x:c r="H38" s="14" t="str">
        <x:v>S0040</x:v>
      </x:c>
      <x:c r="I38" s="14" t="str">
        <x:v>17:00</x:v>
      </x:c>
      <x:c r="J38" s="14" t="str">
        <x:v>研究生宿舍楼</x:v>
      </x:c>
      <x:c r="K38" s="14" t="str">
        <x:v>研究生宿舍楼发车</x:v>
      </x:c>
      <x:c r="L38" s="14" t="n">
        <x:v>80</x:v>
      </x:c>
      <x:c r="M38" s="14" t="n">
        <x:v>17</x:v>
      </x:c>
      <x:c r="N38" s="14" t="n">
        <x:v>63</x:v>
      </x:c>
      <x:c r="O38" t="str">
        <x:v>通过</x:v>
      </x:c>
      <x:c r="P38" t="str">
        <x:v>按预测运行时间计算；实际运营可能因上下车和路况略有波动</x:v>
      </x:c>
    </x:row>
    <x:row r="39">
      <x:c r="A39" s="14" t="str">
        <x:v>工作日</x:v>
      </x:c>
      <x:c r="B39" s="14" t="str">
        <x:v>环线1路</x:v>
      </x:c>
      <x:c r="C39" s="14" t="str">
        <x:v>第二班</x:v>
      </x:c>
      <x:c r="D39" s="14" t="str">
        <x:v>S0040</x:v>
      </x:c>
      <x:c r="E39" s="14" t="str">
        <x:v>17:00</x:v>
      </x:c>
      <x:c r="F39" s="14" t="str">
        <x:v>研究生宿舍楼</x:v>
      </x:c>
      <x:c r="G39" s="14" t="str">
        <x:v>研究生宿舍楼发车</x:v>
      </x:c>
      <x:c r="H39" s="14" t="str">
        <x:v>S0041</x:v>
      </x:c>
      <x:c r="I39" s="14" t="str">
        <x:v>17:30</x:v>
      </x:c>
      <x:c r="J39" s="14" t="str">
        <x:v>研究生宿舍楼</x:v>
      </x:c>
      <x:c r="K39" s="14" t="str">
        <x:v>研究生宿舍楼发车</x:v>
      </x:c>
      <x:c r="L39" s="14" t="n">
        <x:v>30</x:v>
      </x:c>
      <x:c r="M39" s="14" t="n">
        <x:v>17</x:v>
      </x:c>
      <x:c r="N39" s="14" t="n">
        <x:v>13</x:v>
      </x:c>
      <x:c r="O39" t="str">
        <x:v>通过</x:v>
      </x:c>
      <x:c r="P39" t="str">
        <x:v>按预测运行时间计算；实际运营可能因上下车和路况略有波动</x:v>
      </x:c>
    </x:row>
    <x:row r="40">
      <x:c r="A40" s="14" t="str">
        <x:v>工作日</x:v>
      </x:c>
      <x:c r="B40" s="14" t="str">
        <x:v>环线1路</x:v>
      </x:c>
      <x:c r="C40" s="14" t="str">
        <x:v>第五班（夜2）</x:v>
      </x:c>
      <x:c r="D40" s="14" t="str">
        <x:v>S0042</x:v>
      </x:c>
      <x:c r="E40" s="14" t="str">
        <x:v>16:15</x:v>
      </x:c>
      <x:c r="F40" s="14" t="str">
        <x:v>研究生宿舍楼</x:v>
      </x:c>
      <x:c r="G40" s="14" t="str">
        <x:v>研究生宿舍楼发车</x:v>
      </x:c>
      <x:c r="H40" s="14" t="str">
        <x:v>S0043</x:v>
      </x:c>
      <x:c r="I40" s="14" t="str">
        <x:v>16:30</x:v>
      </x:c>
      <x:c r="J40" s="14" t="str">
        <x:v>高超楼（就餐专线）</x:v>
      </x:c>
      <x:c r="K40" s="14" t="str">
        <x:v>高超楼发车（就餐专线）</x:v>
      </x:c>
      <x:c r="L40" s="14" t="n">
        <x:v>15</x:v>
      </x:c>
      <x:c r="M40" s="14" t="n">
        <x:v>9</x:v>
      </x:c>
      <x:c r="N40" s="14" t="n">
        <x:v>6</x:v>
      </x:c>
      <x:c r="O40" t="str">
        <x:v>通过</x:v>
      </x:c>
      <x:c r="P40" t="str">
        <x:v>涉及环线1路就餐专线：按就餐专线16分钟全程估计；若转回研究生宿舍楼发车，另估约8分钟空驶/调度时间</x:v>
      </x:c>
    </x:row>
    <x:row r="41">
      <x:c r="A41" s="14" t="str">
        <x:v>工作日</x:v>
      </x:c>
      <x:c r="B41" s="14" t="str">
        <x:v>环线1路</x:v>
      </x:c>
      <x:c r="C41" s="14" t="str">
        <x:v>第五班（夜2）</x:v>
      </x:c>
      <x:c r="D41" s="14" t="str">
        <x:v>S0043</x:v>
      </x:c>
      <x:c r="E41" s="14" t="str">
        <x:v>16:30</x:v>
      </x:c>
      <x:c r="F41" s="14" t="str">
        <x:v>高超楼（就餐专线）</x:v>
      </x:c>
      <x:c r="G41" s="14" t="str">
        <x:v>高超楼发车（就餐专线）</x:v>
      </x:c>
      <x:c r="H41" s="14" t="str">
        <x:v>S0044</x:v>
      </x:c>
      <x:c r="I41" s="14" t="str">
        <x:v>16:50</x:v>
      </x:c>
      <x:c r="J41" s="14" t="str">
        <x:v>高超楼（就餐专线）</x:v>
      </x:c>
      <x:c r="K41" s="14" t="str">
        <x:v>高超楼发车（就餐专线）</x:v>
      </x:c>
      <x:c r="L41" s="14" t="n">
        <x:v>20</x:v>
      </x:c>
      <x:c r="M41" s="14" t="n">
        <x:v>16</x:v>
      </x:c>
      <x:c r="N41" s="14" t="n">
        <x:v>4</x:v>
      </x:c>
      <x:c r="O41" t="str">
        <x:v>通过</x:v>
      </x:c>
      <x:c r="P41" t="str">
        <x:v>涉及环线1路就餐专线：按就餐专线16分钟全程估计；若转回研究生宿舍楼发车，另估约8分钟空驶/调度时间</x:v>
      </x:c>
    </x:row>
    <x:row r="42">
      <x:c r="A42" s="14" t="str">
        <x:v>工作日</x:v>
      </x:c>
      <x:c r="B42" s="14" t="str">
        <x:v>环线1路</x:v>
      </x:c>
      <x:c r="C42" s="14" t="str">
        <x:v>第五班（夜2）</x:v>
      </x:c>
      <x:c r="D42" s="14" t="str">
        <x:v>S0044</x:v>
      </x:c>
      <x:c r="E42" s="14" t="str">
        <x:v>16:50</x:v>
      </x:c>
      <x:c r="F42" s="14" t="str">
        <x:v>高超楼（就餐专线）</x:v>
      </x:c>
      <x:c r="G42" s="14" t="str">
        <x:v>高超楼发车（就餐专线）</x:v>
      </x:c>
      <x:c r="H42" s="14" t="str">
        <x:v>S0045</x:v>
      </x:c>
      <x:c r="I42" s="14" t="str">
        <x:v>17:10</x:v>
      </x:c>
      <x:c r="J42" s="14" t="str">
        <x:v>高超楼（就餐专线）</x:v>
      </x:c>
      <x:c r="K42" s="14" t="str">
        <x:v>高超楼发车（就餐专线）</x:v>
      </x:c>
      <x:c r="L42" s="14" t="n">
        <x:v>20</x:v>
      </x:c>
      <x:c r="M42" s="14" t="n">
        <x:v>16</x:v>
      </x:c>
      <x:c r="N42" s="14" t="n">
        <x:v>4</x:v>
      </x:c>
      <x:c r="O42" t="str">
        <x:v>通过</x:v>
      </x:c>
      <x:c r="P42" t="str">
        <x:v>涉及环线1路就餐专线：按就餐专线16分钟全程估计；若转回研究生宿舍楼发车，另估约8分钟空驶/调度时间</x:v>
      </x:c>
    </x:row>
    <x:row r="43">
      <x:c r="A43" s="14" t="str">
        <x:v>工作日</x:v>
      </x:c>
      <x:c r="B43" s="14" t="str">
        <x:v>环线1路</x:v>
      </x:c>
      <x:c r="C43" s="14" t="str">
        <x:v>第五班（夜2）</x:v>
      </x:c>
      <x:c r="D43" s="14" t="str">
        <x:v>S0045</x:v>
      </x:c>
      <x:c r="E43" s="14" t="str">
        <x:v>17:10</x:v>
      </x:c>
      <x:c r="F43" s="14" t="str">
        <x:v>高超楼（就餐专线）</x:v>
      </x:c>
      <x:c r="G43" s="14" t="str">
        <x:v>高超楼发车（就餐专线）</x:v>
      </x:c>
      <x:c r="H43" s="14" t="str">
        <x:v>S0046</x:v>
      </x:c>
      <x:c r="I43" s="14" t="str">
        <x:v>17:30</x:v>
      </x:c>
      <x:c r="J43" s="14" t="str">
        <x:v>高超楼（就餐专线）</x:v>
      </x:c>
      <x:c r="K43" s="14" t="str">
        <x:v>高超楼发车（就餐专线）</x:v>
      </x:c>
      <x:c r="L43" s="14" t="n">
        <x:v>20</x:v>
      </x:c>
      <x:c r="M43" s="14" t="n">
        <x:v>16</x:v>
      </x:c>
      <x:c r="N43" s="14" t="n">
        <x:v>4</x:v>
      </x:c>
      <x:c r="O43" t="str">
        <x:v>通过</x:v>
      </x:c>
      <x:c r="P43" t="str">
        <x:v>涉及环线1路就餐专线：按就餐专线16分钟全程估计；若转回研究生宿舍楼发车，另估约8分钟空驶/调度时间</x:v>
      </x:c>
    </x:row>
    <x:row r="44">
      <x:c r="A44" s="14" t="str">
        <x:v>工作日</x:v>
      </x:c>
      <x:c r="B44" s="14" t="str">
        <x:v>环线1路</x:v>
      </x:c>
      <x:c r="C44" s="14" t="str">
        <x:v>第五班（夜2）</x:v>
      </x:c>
      <x:c r="D44" s="14" t="str">
        <x:v>S0046</x:v>
      </x:c>
      <x:c r="E44" s="14" t="str">
        <x:v>17:30</x:v>
      </x:c>
      <x:c r="F44" s="14" t="str">
        <x:v>高超楼（就餐专线）</x:v>
      </x:c>
      <x:c r="G44" s="14" t="str">
        <x:v>高超楼发车（就餐专线）</x:v>
      </x:c>
      <x:c r="H44" s="14" t="str">
        <x:v>S0047</x:v>
      </x:c>
      <x:c r="I44" s="14" t="str">
        <x:v>17:50</x:v>
      </x:c>
      <x:c r="J44" s="14" t="str">
        <x:v>高超楼（就餐专线）</x:v>
      </x:c>
      <x:c r="K44" s="14" t="str">
        <x:v>高超楼发车（就餐专线）</x:v>
      </x:c>
      <x:c r="L44" s="14" t="n">
        <x:v>20</x:v>
      </x:c>
      <x:c r="M44" s="14" t="n">
        <x:v>16</x:v>
      </x:c>
      <x:c r="N44" s="14" t="n">
        <x:v>4</x:v>
      </x:c>
      <x:c r="O44" t="str">
        <x:v>通过</x:v>
      </x:c>
      <x:c r="P44" t="str">
        <x:v>涉及环线1路就餐专线：按就餐专线16分钟全程估计；若转回研究生宿舍楼发车，另估约8分钟空驶/调度时间</x:v>
      </x:c>
    </x:row>
    <x:row r="45">
      <x:c r="A45" s="14" t="str">
        <x:v>工作日</x:v>
      </x:c>
      <x:c r="B45" s="14" t="str">
        <x:v>环线1路</x:v>
      </x:c>
      <x:c r="C45" s="14" t="str">
        <x:v>第五班（夜2）</x:v>
      </x:c>
      <x:c r="D45" s="14" t="str">
        <x:v>S0047</x:v>
      </x:c>
      <x:c r="E45" s="14" t="str">
        <x:v>17:50</x:v>
      </x:c>
      <x:c r="F45" s="14" t="str">
        <x:v>高超楼（就餐专线）</x:v>
      </x:c>
      <x:c r="G45" s="14" t="str">
        <x:v>高超楼发车（就餐专线）</x:v>
      </x:c>
      <x:c r="H45" s="14" t="str">
        <x:v>S0048</x:v>
      </x:c>
      <x:c r="I45" s="14" t="str">
        <x:v>18:30</x:v>
      </x:c>
      <x:c r="J45" s="14" t="str">
        <x:v>研究生宿舍楼</x:v>
      </x:c>
      <x:c r="K45" s="14" t="str">
        <x:v>研究生宿舍楼发车</x:v>
      </x:c>
      <x:c r="L45" s="14" t="n">
        <x:v>40</x:v>
      </x:c>
      <x:c r="M45" s="14" t="n">
        <x:v>24</x:v>
      </x:c>
      <x:c r="N45" s="14" t="n">
        <x:v>16</x:v>
      </x:c>
      <x:c r="O45" t="str">
        <x:v>通过</x:v>
      </x:c>
      <x:c r="P45" t="str">
        <x:v>涉及环线1路就餐专线：按就餐专线16分钟全程估计；若转回研究生宿舍楼发车，另估约8分钟空驶/调度时间</x:v>
      </x:c>
    </x:row>
    <x:row r="46">
      <x:c r="A46" s="14" t="str">
        <x:v>工作日</x:v>
      </x:c>
      <x:c r="B46" s="14" t="str">
        <x:v>环线1路</x:v>
      </x:c>
      <x:c r="C46" s="14" t="str">
        <x:v>第五班（夜2）</x:v>
      </x:c>
      <x:c r="D46" s="14" t="str">
        <x:v>S0048</x:v>
      </x:c>
      <x:c r="E46" s="14" t="str">
        <x:v>18:30</x:v>
      </x:c>
      <x:c r="F46" s="14" t="str">
        <x:v>研究生宿舍楼</x:v>
      </x:c>
      <x:c r="G46" s="14" t="str">
        <x:v>研究生宿舍楼发车</x:v>
      </x:c>
      <x:c r="H46" s="14" t="str">
        <x:v>S0049</x:v>
      </x:c>
      <x:c r="I46" s="14" t="str">
        <x:v>19:00</x:v>
      </x:c>
      <x:c r="J46" s="14" t="str">
        <x:v>研究生宿舍楼</x:v>
      </x:c>
      <x:c r="K46" s="14" t="str">
        <x:v>研究生宿舍楼发车</x:v>
      </x:c>
      <x:c r="L46" s="14" t="n">
        <x:v>30</x:v>
      </x:c>
      <x:c r="M46" s="14" t="n">
        <x:v>17</x:v>
      </x:c>
      <x:c r="N46" s="14" t="n">
        <x:v>13</x:v>
      </x:c>
      <x:c r="O46" t="str">
        <x:v>通过</x:v>
      </x:c>
      <x:c r="P46" t="str">
        <x:v>按预测运行时间计算；实际运营可能因上下车和路况略有波动</x:v>
      </x:c>
    </x:row>
    <x:row r="47">
      <x:c r="A47" s="14" t="str">
        <x:v>工作日</x:v>
      </x:c>
      <x:c r="B47" s="14" t="str">
        <x:v>环线1路</x:v>
      </x:c>
      <x:c r="C47" s="14" t="str">
        <x:v>第五班（夜2）</x:v>
      </x:c>
      <x:c r="D47" s="14" t="str">
        <x:v>S0049</x:v>
      </x:c>
      <x:c r="E47" s="14" t="str">
        <x:v>19:00</x:v>
      </x:c>
      <x:c r="F47" s="14" t="str">
        <x:v>研究生宿舍楼</x:v>
      </x:c>
      <x:c r="G47" s="14" t="str">
        <x:v>研究生宿舍楼发车</x:v>
      </x:c>
      <x:c r="H47" s="14" t="str">
        <x:v>S0050</x:v>
      </x:c>
      <x:c r="I47" s="14" t="str">
        <x:v>19:30</x:v>
      </x:c>
      <x:c r="J47" s="14" t="str">
        <x:v>研究生宿舍楼</x:v>
      </x:c>
      <x:c r="K47" s="14" t="str">
        <x:v>研究生宿舍楼发车</x:v>
      </x:c>
      <x:c r="L47" s="14" t="n">
        <x:v>30</x:v>
      </x:c>
      <x:c r="M47" s="14" t="n">
        <x:v>17</x:v>
      </x:c>
      <x:c r="N47" s="14" t="n">
        <x:v>13</x:v>
      </x:c>
      <x:c r="O47" t="str">
        <x:v>通过</x:v>
      </x:c>
      <x:c r="P47" t="str">
        <x:v>按预测运行时间计算；实际运营可能因上下车和路况略有波动</x:v>
      </x:c>
    </x:row>
    <x:row r="48">
      <x:c r="A48" s="14" t="str">
        <x:v>工作日</x:v>
      </x:c>
      <x:c r="B48" s="14" t="str">
        <x:v>环线1路</x:v>
      </x:c>
      <x:c r="C48" s="14" t="str">
        <x:v>第五班（夜2）</x:v>
      </x:c>
      <x:c r="D48" s="14" t="str">
        <x:v>S0050</x:v>
      </x:c>
      <x:c r="E48" s="14" t="str">
        <x:v>19:30</x:v>
      </x:c>
      <x:c r="F48" s="14" t="str">
        <x:v>研究生宿舍楼</x:v>
      </x:c>
      <x:c r="G48" s="14" t="str">
        <x:v>研究生宿舍楼发车</x:v>
      </x:c>
      <x:c r="H48" s="14" t="str">
        <x:v>S0051</x:v>
      </x:c>
      <x:c r="I48" s="14" t="str">
        <x:v>20:00</x:v>
      </x:c>
      <x:c r="J48" s="14" t="str">
        <x:v>研究生宿舍楼</x:v>
      </x:c>
      <x:c r="K48" s="14" t="str">
        <x:v>研究生宿舍楼发车</x:v>
      </x:c>
      <x:c r="L48" s="14" t="n">
        <x:v>30</x:v>
      </x:c>
      <x:c r="M48" s="14" t="n">
        <x:v>17</x:v>
      </x:c>
      <x:c r="N48" s="14" t="n">
        <x:v>13</x:v>
      </x:c>
      <x:c r="O48" t="str">
        <x:v>通过</x:v>
      </x:c>
      <x:c r="P48" t="str">
        <x:v>按预测运行时间计算；实际运营可能因上下车和路况略有波动</x:v>
      </x:c>
    </x:row>
    <x:row r="49">
      <x:c r="A49" s="14" t="str">
        <x:v>工作日</x:v>
      </x:c>
      <x:c r="B49" s="14" t="str">
        <x:v>环线1路</x:v>
      </x:c>
      <x:c r="C49" s="14" t="str">
        <x:v>第五班（夜2）</x:v>
      </x:c>
      <x:c r="D49" s="14" t="str">
        <x:v>S0051</x:v>
      </x:c>
      <x:c r="E49" s="14" t="str">
        <x:v>20:00</x:v>
      </x:c>
      <x:c r="F49" s="14" t="str">
        <x:v>研究生宿舍楼</x:v>
      </x:c>
      <x:c r="G49" s="14" t="str">
        <x:v>研究生宿舍楼发车</x:v>
      </x:c>
      <x:c r="H49" s="14" t="str">
        <x:v>S0052</x:v>
      </x:c>
      <x:c r="I49" s="14" t="str">
        <x:v>20:30</x:v>
      </x:c>
      <x:c r="J49" s="14" t="str">
        <x:v>研究生宿舍楼</x:v>
      </x:c>
      <x:c r="K49" s="14" t="str">
        <x:v>研究生宿舍楼发车</x:v>
      </x:c>
      <x:c r="L49" s="14" t="n">
        <x:v>30</x:v>
      </x:c>
      <x:c r="M49" s="14" t="n">
        <x:v>17</x:v>
      </x:c>
      <x:c r="N49" s="14" t="n">
        <x:v>13</x:v>
      </x:c>
      <x:c r="O49" t="str">
        <x:v>通过</x:v>
      </x:c>
      <x:c r="P49" t="str">
        <x:v>按预测运行时间计算；实际运营可能因上下车和路况略有波动</x:v>
      </x:c>
    </x:row>
    <x:row r="50">
      <x:c r="A50" s="14" t="str">
        <x:v>工作日</x:v>
      </x:c>
      <x:c r="B50" s="14" t="str">
        <x:v>环线1路</x:v>
      </x:c>
      <x:c r="C50" s="14" t="str">
        <x:v>第五班（夜2）</x:v>
      </x:c>
      <x:c r="D50" s="14" t="str">
        <x:v>S0052</x:v>
      </x:c>
      <x:c r="E50" s="14" t="str">
        <x:v>20:30</x:v>
      </x:c>
      <x:c r="F50" s="14" t="str">
        <x:v>研究生宿舍楼</x:v>
      </x:c>
      <x:c r="G50" s="14" t="str">
        <x:v>研究生宿舍楼发车</x:v>
      </x:c>
      <x:c r="H50" s="14" t="str">
        <x:v>S0053</x:v>
      </x:c>
      <x:c r="I50" s="14" t="str">
        <x:v>21:00</x:v>
      </x:c>
      <x:c r="J50" s="14" t="str">
        <x:v>研究生宿舍楼</x:v>
      </x:c>
      <x:c r="K50" s="14" t="str">
        <x:v>研究生宿舍楼发车</x:v>
      </x:c>
      <x:c r="L50" s="14" t="n">
        <x:v>30</x:v>
      </x:c>
      <x:c r="M50" s="14" t="n">
        <x:v>17</x:v>
      </x:c>
      <x:c r="N50" s="14" t="n">
        <x:v>13</x:v>
      </x:c>
      <x:c r="O50" t="str">
        <x:v>通过</x:v>
      </x:c>
      <x:c r="P50" t="str">
        <x:v>按预测运行时间计算；实际运营可能因上下车和路况略有波动</x:v>
      </x:c>
    </x:row>
    <x:row r="51">
      <x:c r="A51" s="14" t="str">
        <x:v>工作日</x:v>
      </x:c>
      <x:c r="B51" s="14" t="str">
        <x:v>环线1路</x:v>
      </x:c>
      <x:c r="C51" s="14" t="str">
        <x:v>第五班（夜2）</x:v>
      </x:c>
      <x:c r="D51" s="14" t="str">
        <x:v>S0053</x:v>
      </x:c>
      <x:c r="E51" s="14" t="str">
        <x:v>21:00</x:v>
      </x:c>
      <x:c r="F51" s="14" t="str">
        <x:v>研究生宿舍楼</x:v>
      </x:c>
      <x:c r="G51" s="14" t="str">
        <x:v>研究生宿舍楼发车</x:v>
      </x:c>
      <x:c r="H51" s="14" t="str">
        <x:v>S0054</x:v>
      </x:c>
      <x:c r="I51" s="14" t="str">
        <x:v>21:30</x:v>
      </x:c>
      <x:c r="J51" s="14" t="str">
        <x:v>研究生宿舍楼</x:v>
      </x:c>
      <x:c r="K51" s="14" t="str">
        <x:v>研究生宿舍楼发车</x:v>
      </x:c>
      <x:c r="L51" s="14" t="n">
        <x:v>30</x:v>
      </x:c>
      <x:c r="M51" s="14" t="n">
        <x:v>17</x:v>
      </x:c>
      <x:c r="N51" s="14" t="n">
        <x:v>13</x:v>
      </x:c>
      <x:c r="O51" t="str">
        <x:v>通过</x:v>
      </x:c>
      <x:c r="P51" t="str">
        <x:v>按预测运行时间计算；实际运营可能因上下车和路况略有波动</x:v>
      </x:c>
    </x:row>
    <x:row r="52">
      <x:c r="A52" s="14" t="str">
        <x:v>工作日</x:v>
      </x:c>
      <x:c r="B52" s="14" t="str">
        <x:v>环线1路</x:v>
      </x:c>
      <x:c r="C52" s="14" t="str">
        <x:v>第五班（夜2）</x:v>
      </x:c>
      <x:c r="D52" s="14" t="str">
        <x:v>S0054</x:v>
      </x:c>
      <x:c r="E52" s="14" t="str">
        <x:v>21:30</x:v>
      </x:c>
      <x:c r="F52" s="14" t="str">
        <x:v>研究生宿舍楼</x:v>
      </x:c>
      <x:c r="G52" s="14" t="str">
        <x:v>研究生宿舍楼发车</x:v>
      </x:c>
      <x:c r="H52" s="14" t="str">
        <x:v>S0055</x:v>
      </x:c>
      <x:c r="I52" s="14" t="str">
        <x:v>22:00</x:v>
      </x:c>
      <x:c r="J52" s="14" t="str">
        <x:v>研究生宿舍楼</x:v>
      </x:c>
      <x:c r="K52" s="14" t="str">
        <x:v>研究生宿舍楼发车</x:v>
      </x:c>
      <x:c r="L52" s="14" t="n">
        <x:v>30</x:v>
      </x:c>
      <x:c r="M52" s="14" t="n">
        <x:v>17</x:v>
      </x:c>
      <x:c r="N52" s="14" t="n">
        <x:v>13</x:v>
      </x:c>
      <x:c r="O52" t="str">
        <x:v>通过</x:v>
      </x:c>
      <x:c r="P52" t="str">
        <x:v>按预测运行时间计算；实际运营可能因上下车和路况略有波动</x:v>
      </x:c>
    </x:row>
    <x:row r="53">
      <x:c r="A53" s="14" t="str">
        <x:v>工作日</x:v>
      </x:c>
      <x:c r="B53" s="14" t="str">
        <x:v>环线1路</x:v>
      </x:c>
      <x:c r="C53" s="14" t="str">
        <x:v>第五班（夜2）</x:v>
      </x:c>
      <x:c r="D53" s="14" t="str">
        <x:v>S0055</x:v>
      </x:c>
      <x:c r="E53" s="14" t="str">
        <x:v>22:00</x:v>
      </x:c>
      <x:c r="F53" s="14" t="str">
        <x:v>研究生宿舍楼</x:v>
      </x:c>
      <x:c r="G53" s="14" t="str">
        <x:v>研究生宿舍楼发车</x:v>
      </x:c>
      <x:c r="H53" s="14" t="str">
        <x:v>S0056</x:v>
      </x:c>
      <x:c r="I53" s="14" t="str">
        <x:v>22:30</x:v>
      </x:c>
      <x:c r="J53" s="14" t="str">
        <x:v>研究生宿舍楼</x:v>
      </x:c>
      <x:c r="K53" s="14" t="str">
        <x:v>研究生宿舍楼发车</x:v>
      </x:c>
      <x:c r="L53" s="14" t="n">
        <x:v>30</x:v>
      </x:c>
      <x:c r="M53" s="14" t="n">
        <x:v>17</x:v>
      </x:c>
      <x:c r="N53" s="14" t="n">
        <x:v>13</x:v>
      </x:c>
      <x:c r="O53" t="str">
        <x:v>通过</x:v>
      </x:c>
      <x:c r="P53" t="str">
        <x:v>按预测运行时间计算；实际运营可能因上下车和路况略有波动</x:v>
      </x:c>
    </x:row>
    <x:row r="54">
      <x:c r="A54" s="14" t="str">
        <x:v>工作日</x:v>
      </x:c>
      <x:c r="B54" s="14" t="str">
        <x:v>环线1路</x:v>
      </x:c>
      <x:c r="C54" s="14" t="str">
        <x:v>第四班（夜1）</x:v>
      </x:c>
      <x:c r="D54" s="14" t="str">
        <x:v>S0057</x:v>
      </x:c>
      <x:c r="E54" s="14" t="str">
        <x:v>14:24</x:v>
      </x:c>
      <x:c r="F54" s="14" t="str">
        <x:v>研究生宿舍楼</x:v>
      </x:c>
      <x:c r="G54" s="14" t="str">
        <x:v>研究生宿舍楼发车</x:v>
      </x:c>
      <x:c r="H54" s="14" t="str">
        <x:v>S0058</x:v>
      </x:c>
      <x:c r="I54" s="14" t="str">
        <x:v>15:00</x:v>
      </x:c>
      <x:c r="J54" s="14" t="str">
        <x:v>研究生宿舍楼</x:v>
      </x:c>
      <x:c r="K54" s="14" t="str">
        <x:v>研究生宿舍楼发车</x:v>
      </x:c>
      <x:c r="L54" s="14" t="n">
        <x:v>36</x:v>
      </x:c>
      <x:c r="M54" s="14" t="n">
        <x:v>17</x:v>
      </x:c>
      <x:c r="N54" s="14" t="n">
        <x:v>19</x:v>
      </x:c>
      <x:c r="O54" t="str">
        <x:v>通过</x:v>
      </x:c>
      <x:c r="P54" t="str">
        <x:v>按预测运行时间计算；实际运营可能因上下车和路况略有波动</x:v>
      </x:c>
    </x:row>
    <x:row r="55">
      <x:c r="A55" s="14" t="str">
        <x:v>工作日</x:v>
      </x:c>
      <x:c r="B55" s="14" t="str">
        <x:v>环线1路</x:v>
      </x:c>
      <x:c r="C55" s="14" t="str">
        <x:v>第四班（夜1）</x:v>
      </x:c>
      <x:c r="D55" s="14" t="str">
        <x:v>S0058</x:v>
      </x:c>
      <x:c r="E55" s="14" t="str">
        <x:v>15:00</x:v>
      </x:c>
      <x:c r="F55" s="14" t="str">
        <x:v>研究生宿舍楼</x:v>
      </x:c>
      <x:c r="G55" s="14" t="str">
        <x:v>研究生宿舍楼发车</x:v>
      </x:c>
      <x:c r="H55" s="14" t="str">
        <x:v>S0059</x:v>
      </x:c>
      <x:c r="I55" s="14" t="str">
        <x:v>16:00</x:v>
      </x:c>
      <x:c r="J55" s="14" t="str">
        <x:v>研究生宿舍楼</x:v>
      </x:c>
      <x:c r="K55" s="14" t="str">
        <x:v>研究生宿舍楼发车</x:v>
      </x:c>
      <x:c r="L55" s="14" t="n">
        <x:v>60</x:v>
      </x:c>
      <x:c r="M55" s="14" t="n">
        <x:v>17</x:v>
      </x:c>
      <x:c r="N55" s="14" t="n">
        <x:v>43</x:v>
      </x:c>
      <x:c r="O55" t="str">
        <x:v>通过</x:v>
      </x:c>
      <x:c r="P55" t="str">
        <x:v>按预测运行时间计算；实际运营可能因上下车和路况略有波动</x:v>
      </x:c>
    </x:row>
    <x:row r="56">
      <x:c r="A56" s="14" t="str">
        <x:v>工作日</x:v>
      </x:c>
      <x:c r="B56" s="14" t="str">
        <x:v>环线1路</x:v>
      </x:c>
      <x:c r="C56" s="14" t="str">
        <x:v>第四班（夜1）</x:v>
      </x:c>
      <x:c r="D56" s="14" t="str">
        <x:v>S0059</x:v>
      </x:c>
      <x:c r="E56" s="14" t="str">
        <x:v>16:00</x:v>
      </x:c>
      <x:c r="F56" s="14" t="str">
        <x:v>研究生宿舍楼</x:v>
      </x:c>
      <x:c r="G56" s="14" t="str">
        <x:v>研究生宿舍楼发车</x:v>
      </x:c>
      <x:c r="H56" s="14" t="str">
        <x:v>S0060</x:v>
      </x:c>
      <x:c r="I56" s="14" t="str">
        <x:v>16:45</x:v>
      </x:c>
      <x:c r="J56" s="14" t="str">
        <x:v>研究生宿舍楼</x:v>
      </x:c>
      <x:c r="K56" s="14" t="str">
        <x:v>研究生宿舍楼发车</x:v>
      </x:c>
      <x:c r="L56" s="14" t="n">
        <x:v>45</x:v>
      </x:c>
      <x:c r="M56" s="14" t="n">
        <x:v>17</x:v>
      </x:c>
      <x:c r="N56" s="14" t="n">
        <x:v>28</x:v>
      </x:c>
      <x:c r="O56" t="str">
        <x:v>通过</x:v>
      </x:c>
      <x:c r="P56" t="str">
        <x:v>按预测运行时间计算；实际运营可能因上下车和路况略有波动</x:v>
      </x:c>
    </x:row>
    <x:row r="57">
      <x:c r="A57" s="14" t="str">
        <x:v>工作日</x:v>
      </x:c>
      <x:c r="B57" s="14" t="str">
        <x:v>环线1路</x:v>
      </x:c>
      <x:c r="C57" s="14" t="str">
        <x:v>第四班（夜1）</x:v>
      </x:c>
      <x:c r="D57" s="14" t="str">
        <x:v>S0060</x:v>
      </x:c>
      <x:c r="E57" s="14" t="str">
        <x:v>16:45</x:v>
      </x:c>
      <x:c r="F57" s="14" t="str">
        <x:v>研究生宿舍楼</x:v>
      </x:c>
      <x:c r="G57" s="14" t="str">
        <x:v>研究生宿舍楼发车</x:v>
      </x:c>
      <x:c r="H57" s="14" t="str">
        <x:v>S0061</x:v>
      </x:c>
      <x:c r="I57" s="14" t="str">
        <x:v>17:45</x:v>
      </x:c>
      <x:c r="J57" s="14" t="str">
        <x:v>研究生宿舍楼</x:v>
      </x:c>
      <x:c r="K57" s="14" t="str">
        <x:v>研究生宿舍楼发车</x:v>
      </x:c>
      <x:c r="L57" s="14" t="n">
        <x:v>60</x:v>
      </x:c>
      <x:c r="M57" s="14" t="n">
        <x:v>17</x:v>
      </x:c>
      <x:c r="N57" s="14" t="n">
        <x:v>43</x:v>
      </x:c>
      <x:c r="O57" t="str">
        <x:v>通过</x:v>
      </x:c>
      <x:c r="P57" t="str">
        <x:v>按预测运行时间计算；实际运营可能因上下车和路况略有波动</x:v>
      </x:c>
    </x:row>
    <x:row r="58">
      <x:c r="A58" s="14" t="str">
        <x:v>工作日</x:v>
      </x:c>
      <x:c r="B58" s="14" t="str">
        <x:v>环线1路</x:v>
      </x:c>
      <x:c r="C58" s="14" t="str">
        <x:v>第四班（夜1）</x:v>
      </x:c>
      <x:c r="D58" s="14" t="str">
        <x:v>S0061</x:v>
      </x:c>
      <x:c r="E58" s="14" t="str">
        <x:v>17:45</x:v>
      </x:c>
      <x:c r="F58" s="14" t="str">
        <x:v>研究生宿舍楼</x:v>
      </x:c>
      <x:c r="G58" s="14" t="str">
        <x:v>研究生宿舍楼发车</x:v>
      </x:c>
      <x:c r="H58" s="14" t="str">
        <x:v>S0062</x:v>
      </x:c>
      <x:c r="I58" s="14" t="str">
        <x:v>18:15</x:v>
      </x:c>
      <x:c r="J58" s="14" t="str">
        <x:v>研究生宿舍楼</x:v>
      </x:c>
      <x:c r="K58" s="14" t="str">
        <x:v>研究生宿舍楼发车</x:v>
      </x:c>
      <x:c r="L58" s="14" t="n">
        <x:v>30</x:v>
      </x:c>
      <x:c r="M58" s="14" t="n">
        <x:v>17</x:v>
      </x:c>
      <x:c r="N58" s="14" t="n">
        <x:v>13</x:v>
      </x:c>
      <x:c r="O58" t="str">
        <x:v>通过</x:v>
      </x:c>
      <x:c r="P58" t="str">
        <x:v>按预测运行时间计算；实际运营可能因上下车和路况略有波动</x:v>
      </x:c>
    </x:row>
    <x:row r="59">
      <x:c r="A59" s="14" t="str">
        <x:v>工作日</x:v>
      </x:c>
      <x:c r="B59" s="14" t="str">
        <x:v>环线1路</x:v>
      </x:c>
      <x:c r="C59" s="14" t="str">
        <x:v>第四班（夜1）</x:v>
      </x:c>
      <x:c r="D59" s="14" t="str">
        <x:v>S0062</x:v>
      </x:c>
      <x:c r="E59" s="14" t="str">
        <x:v>18:15</x:v>
      </x:c>
      <x:c r="F59" s="14" t="str">
        <x:v>研究生宿舍楼</x:v>
      </x:c>
      <x:c r="G59" s="14" t="str">
        <x:v>研究生宿舍楼发车</x:v>
      </x:c>
      <x:c r="H59" s="14" t="str">
        <x:v>S0063</x:v>
      </x:c>
      <x:c r="I59" s="14" t="str">
        <x:v>18:45</x:v>
      </x:c>
      <x:c r="J59" s="14" t="str">
        <x:v>研究生宿舍楼</x:v>
      </x:c>
      <x:c r="K59" s="14" t="str">
        <x:v>研究生宿舍楼发车</x:v>
      </x:c>
      <x:c r="L59" s="14" t="n">
        <x:v>30</x:v>
      </x:c>
      <x:c r="M59" s="14" t="n">
        <x:v>17</x:v>
      </x:c>
      <x:c r="N59" s="14" t="n">
        <x:v>13</x:v>
      </x:c>
      <x:c r="O59" t="str">
        <x:v>通过</x:v>
      </x:c>
      <x:c r="P59" t="str">
        <x:v>按预测运行时间计算；实际运营可能因上下车和路况略有波动</x:v>
      </x:c>
    </x:row>
    <x:row r="60">
      <x:c r="A60" s="14" t="str">
        <x:v>工作日</x:v>
      </x:c>
      <x:c r="B60" s="14" t="str">
        <x:v>环线1路</x:v>
      </x:c>
      <x:c r="C60" s="14" t="str">
        <x:v>第四班（夜1）</x:v>
      </x:c>
      <x:c r="D60" s="14" t="str">
        <x:v>S0063</x:v>
      </x:c>
      <x:c r="E60" s="14" t="str">
        <x:v>18:45</x:v>
      </x:c>
      <x:c r="F60" s="14" t="str">
        <x:v>研究生宿舍楼</x:v>
      </x:c>
      <x:c r="G60" s="14" t="str">
        <x:v>研究生宿舍楼发车</x:v>
      </x:c>
      <x:c r="H60" s="14" t="str">
        <x:v>S0064</x:v>
      </x:c>
      <x:c r="I60" s="14" t="str">
        <x:v>19:15</x:v>
      </x:c>
      <x:c r="J60" s="14" t="str">
        <x:v>研究生宿舍楼</x:v>
      </x:c>
      <x:c r="K60" s="14" t="str">
        <x:v>研究生宿舍楼发车</x:v>
      </x:c>
      <x:c r="L60" s="14" t="n">
        <x:v>30</x:v>
      </x:c>
      <x:c r="M60" s="14" t="n">
        <x:v>17</x:v>
      </x:c>
      <x:c r="N60" s="14" t="n">
        <x:v>13</x:v>
      </x:c>
      <x:c r="O60" t="str">
        <x:v>通过</x:v>
      </x:c>
      <x:c r="P60" t="str">
        <x:v>按预测运行时间计算；实际运营可能因上下车和路况略有波动</x:v>
      </x:c>
    </x:row>
    <x:row r="61">
      <x:c r="A61" s="14" t="str">
        <x:v>工作日</x:v>
      </x:c>
      <x:c r="B61" s="14" t="str">
        <x:v>环线1路</x:v>
      </x:c>
      <x:c r="C61" s="14" t="str">
        <x:v>第四班（夜1）</x:v>
      </x:c>
      <x:c r="D61" s="14" t="str">
        <x:v>S0064</x:v>
      </x:c>
      <x:c r="E61" s="14" t="str">
        <x:v>19:15</x:v>
      </x:c>
      <x:c r="F61" s="14" t="str">
        <x:v>研究生宿舍楼</x:v>
      </x:c>
      <x:c r="G61" s="14" t="str">
        <x:v>研究生宿舍楼发车</x:v>
      </x:c>
      <x:c r="H61" s="14" t="str">
        <x:v>S0065</x:v>
      </x:c>
      <x:c r="I61" s="14" t="str">
        <x:v>19:45</x:v>
      </x:c>
      <x:c r="J61" s="14" t="str">
        <x:v>研究生宿舍楼</x:v>
      </x:c>
      <x:c r="K61" s="14" t="str">
        <x:v>研究生宿舍楼发车</x:v>
      </x:c>
      <x:c r="L61" s="14" t="n">
        <x:v>30</x:v>
      </x:c>
      <x:c r="M61" s="14" t="n">
        <x:v>17</x:v>
      </x:c>
      <x:c r="N61" s="14" t="n">
        <x:v>13</x:v>
      </x:c>
      <x:c r="O61" t="str">
        <x:v>通过</x:v>
      </x:c>
      <x:c r="P61" t="str">
        <x:v>按预测运行时间计算；实际运营可能因上下车和路况略有波动</x:v>
      </x:c>
    </x:row>
    <x:row r="62">
      <x:c r="A62" s="14" t="str">
        <x:v>工作日</x:v>
      </x:c>
      <x:c r="B62" s="14" t="str">
        <x:v>环线1路</x:v>
      </x:c>
      <x:c r="C62" s="14" t="str">
        <x:v>第四班（夜1）</x:v>
      </x:c>
      <x:c r="D62" s="14" t="str">
        <x:v>S0065</x:v>
      </x:c>
      <x:c r="E62" s="14" t="str">
        <x:v>19:45</x:v>
      </x:c>
      <x:c r="F62" s="14" t="str">
        <x:v>研究生宿舍楼</x:v>
      </x:c>
      <x:c r="G62" s="14" t="str">
        <x:v>研究生宿舍楼发车</x:v>
      </x:c>
      <x:c r="H62" s="14" t="str">
        <x:v>S0066</x:v>
      </x:c>
      <x:c r="I62" s="14" t="str">
        <x:v>20:15</x:v>
      </x:c>
      <x:c r="J62" s="14" t="str">
        <x:v>研究生宿舍楼</x:v>
      </x:c>
      <x:c r="K62" s="14" t="str">
        <x:v>研究生宿舍楼发车</x:v>
      </x:c>
      <x:c r="L62" s="14" t="n">
        <x:v>30</x:v>
      </x:c>
      <x:c r="M62" s="14" t="n">
        <x:v>17</x:v>
      </x:c>
      <x:c r="N62" s="14" t="n">
        <x:v>13</x:v>
      </x:c>
      <x:c r="O62" t="str">
        <x:v>通过</x:v>
      </x:c>
      <x:c r="P62" t="str">
        <x:v>按预测运行时间计算；实际运营可能因上下车和路况略有波动</x:v>
      </x:c>
    </x:row>
    <x:row r="63">
      <x:c r="A63" s="14" t="str">
        <x:v>工作日</x:v>
      </x:c>
      <x:c r="B63" s="14" t="str">
        <x:v>环线1路</x:v>
      </x:c>
      <x:c r="C63" s="14" t="str">
        <x:v>第四班（夜1）</x:v>
      </x:c>
      <x:c r="D63" s="14" t="str">
        <x:v>S0066</x:v>
      </x:c>
      <x:c r="E63" s="14" t="str">
        <x:v>20:15</x:v>
      </x:c>
      <x:c r="F63" s="14" t="str">
        <x:v>研究生宿舍楼</x:v>
      </x:c>
      <x:c r="G63" s="14" t="str">
        <x:v>研究生宿舍楼发车</x:v>
      </x:c>
      <x:c r="H63" s="14" t="str">
        <x:v>S0067</x:v>
      </x:c>
      <x:c r="I63" s="14" t="str">
        <x:v>20:45</x:v>
      </x:c>
      <x:c r="J63" s="14" t="str">
        <x:v>研究生宿舍楼</x:v>
      </x:c>
      <x:c r="K63" s="14" t="str">
        <x:v>研究生宿舍楼发车</x:v>
      </x:c>
      <x:c r="L63" s="14" t="n">
        <x:v>30</x:v>
      </x:c>
      <x:c r="M63" s="14" t="n">
        <x:v>17</x:v>
      </x:c>
      <x:c r="N63" s="14" t="n">
        <x:v>13</x:v>
      </x:c>
      <x:c r="O63" t="str">
        <x:v>通过</x:v>
      </x:c>
      <x:c r="P63" t="str">
        <x:v>按预测运行时间计算；实际运营可能因上下车和路况略有波动</x:v>
      </x:c>
    </x:row>
    <x:row r="64">
      <x:c r="A64" s="14" t="str">
        <x:v>工作日</x:v>
      </x:c>
      <x:c r="B64" s="14" t="str">
        <x:v>环线1路</x:v>
      </x:c>
      <x:c r="C64" s="14" t="str">
        <x:v>第四班（夜1）</x:v>
      </x:c>
      <x:c r="D64" s="14" t="str">
        <x:v>S0067</x:v>
      </x:c>
      <x:c r="E64" s="14" t="str">
        <x:v>20:45</x:v>
      </x:c>
      <x:c r="F64" s="14" t="str">
        <x:v>研究生宿舍楼</x:v>
      </x:c>
      <x:c r="G64" s="14" t="str">
        <x:v>研究生宿舍楼发车</x:v>
      </x:c>
      <x:c r="H64" s="14" t="str">
        <x:v>S0068</x:v>
      </x:c>
      <x:c r="I64" s="14" t="str">
        <x:v>21:15</x:v>
      </x:c>
      <x:c r="J64" s="14" t="str">
        <x:v>研究生宿舍楼</x:v>
      </x:c>
      <x:c r="K64" s="14" t="str">
        <x:v>研究生宿舍楼发车</x:v>
      </x:c>
      <x:c r="L64" s="14" t="n">
        <x:v>30</x:v>
      </x:c>
      <x:c r="M64" s="14" t="n">
        <x:v>17</x:v>
      </x:c>
      <x:c r="N64" s="14" t="n">
        <x:v>13</x:v>
      </x:c>
      <x:c r="O64" t="str">
        <x:v>通过</x:v>
      </x:c>
      <x:c r="P64" t="str">
        <x:v>按预测运行时间计算；实际运营可能因上下车和路况略有波动</x:v>
      </x:c>
    </x:row>
    <x:row r="65">
      <x:c r="A65" s="14" t="str">
        <x:v>工作日</x:v>
      </x:c>
      <x:c r="B65" s="14" t="str">
        <x:v>环线1路</x:v>
      </x:c>
      <x:c r="C65" s="14" t="str">
        <x:v>第四班（夜1）</x:v>
      </x:c>
      <x:c r="D65" s="14" t="str">
        <x:v>S0068</x:v>
      </x:c>
      <x:c r="E65" s="14" t="str">
        <x:v>21:15</x:v>
      </x:c>
      <x:c r="F65" s="14" t="str">
        <x:v>研究生宿舍楼</x:v>
      </x:c>
      <x:c r="G65" s="14" t="str">
        <x:v>研究生宿舍楼发车</x:v>
      </x:c>
      <x:c r="H65" s="14" t="str">
        <x:v>S0069</x:v>
      </x:c>
      <x:c r="I65" s="14" t="str">
        <x:v>21:45</x:v>
      </x:c>
      <x:c r="J65" s="14" t="str">
        <x:v>研究生宿舍楼</x:v>
      </x:c>
      <x:c r="K65" s="14" t="str">
        <x:v>研究生宿舍楼发车</x:v>
      </x:c>
      <x:c r="L65" s="14" t="n">
        <x:v>30</x:v>
      </x:c>
      <x:c r="M65" s="14" t="n">
        <x:v>17</x:v>
      </x:c>
      <x:c r="N65" s="14" t="n">
        <x:v>13</x:v>
      </x:c>
      <x:c r="O65" t="str">
        <x:v>通过</x:v>
      </x:c>
      <x:c r="P65" t="str">
        <x:v>按预测运行时间计算；实际运营可能因上下车和路况略有波动</x:v>
      </x:c>
    </x:row>
    <x:row r="66">
      <x:c r="A66" s="14" t="str">
        <x:v>工作日</x:v>
      </x:c>
      <x:c r="B66" s="14" t="str">
        <x:v>环线1路</x:v>
      </x:c>
      <x:c r="C66" s="14" t="str">
        <x:v>第四班（夜1）</x:v>
      </x:c>
      <x:c r="D66" s="14" t="str">
        <x:v>S0069</x:v>
      </x:c>
      <x:c r="E66" s="14" t="str">
        <x:v>21:45</x:v>
      </x:c>
      <x:c r="F66" s="14" t="str">
        <x:v>研究生宿舍楼</x:v>
      </x:c>
      <x:c r="G66" s="14" t="str">
        <x:v>研究生宿舍楼发车</x:v>
      </x:c>
      <x:c r="H66" s="14" t="str">
        <x:v>S0070</x:v>
      </x:c>
      <x:c r="I66" s="14" t="str">
        <x:v>22:15</x:v>
      </x:c>
      <x:c r="J66" s="14" t="str">
        <x:v>研究生宿舍楼</x:v>
      </x:c>
      <x:c r="K66" s="14" t="str">
        <x:v>研究生宿舍楼发车</x:v>
      </x:c>
      <x:c r="L66" s="14" t="n">
        <x:v>30</x:v>
      </x:c>
      <x:c r="M66" s="14" t="n">
        <x:v>17</x:v>
      </x:c>
      <x:c r="N66" s="14" t="n">
        <x:v>13</x:v>
      </x:c>
      <x:c r="O66" t="str">
        <x:v>通过</x:v>
      </x:c>
      <x:c r="P66" t="str">
        <x:v>按预测运行时间计算；实际运营可能因上下车和路况略有波动</x:v>
      </x:c>
    </x:row>
    <x:row r="67">
      <x:c r="A67" s="14" t="str">
        <x:v>工作日</x:v>
      </x:c>
      <x:c r="B67" s="14" t="str">
        <x:v>环线2路</x:v>
      </x:c>
      <x:c r="C67" s="14" t="str">
        <x:v>第一班</x:v>
      </x:c>
      <x:c r="D67" s="14" t="str">
        <x:v>S0071</x:v>
      </x:c>
      <x:c r="E67" s="14" t="str">
        <x:v>7:35</x:v>
      </x:c>
      <x:c r="F67" s="14" t="str">
        <x:v>研究生宿舍楼</x:v>
      </x:c>
      <x:c r="G67" s="14" t="str">
        <x:v>研究生宿舍楼发车</x:v>
      </x:c>
      <x:c r="H67" s="14" t="str">
        <x:v>S0072</x:v>
      </x:c>
      <x:c r="I67" s="14" t="str">
        <x:v>7:50</x:v>
      </x:c>
      <x:c r="J67" s="14" t="str">
        <x:v>研究生宿舍楼</x:v>
      </x:c>
      <x:c r="K67" s="14" t="str">
        <x:v>研究生宿舍楼发车</x:v>
      </x:c>
      <x:c r="L67" s="14" t="n">
        <x:v>15</x:v>
      </x:c>
      <x:c r="M67" s="14" t="n">
        <x:v>12</x:v>
      </x:c>
      <x:c r="N67" s="14" t="n">
        <x:v>3</x:v>
      </x:c>
      <x:c r="O67" t="str">
        <x:v>通过</x:v>
      </x:c>
      <x:c r="P67" t="str">
        <x:v>按预测运行时间计算；实际运营可能因上下车和路况略有波动</x:v>
      </x:c>
    </x:row>
    <x:row r="68">
      <x:c r="A68" s="14" t="str">
        <x:v>工作日</x:v>
      </x:c>
      <x:c r="B68" s="14" t="str">
        <x:v>环线2路</x:v>
      </x:c>
      <x:c r="C68" s="14" t="str">
        <x:v>第一班</x:v>
      </x:c>
      <x:c r="D68" s="14" t="str">
        <x:v>S0072</x:v>
      </x:c>
      <x:c r="E68" s="14" t="str">
        <x:v>7:50</x:v>
      </x:c>
      <x:c r="F68" s="14" t="str">
        <x:v>研究生宿舍楼</x:v>
      </x:c>
      <x:c r="G68" s="14" t="str">
        <x:v>研究生宿舍楼发车</x:v>
      </x:c>
      <x:c r="H68" s="14" t="str">
        <x:v>S0073</x:v>
      </x:c>
      <x:c r="I68" s="14" t="str">
        <x:v>8:05</x:v>
      </x:c>
      <x:c r="J68" s="14" t="str">
        <x:v>研究生宿舍楼</x:v>
      </x:c>
      <x:c r="K68" s="14" t="str">
        <x:v>研究生宿舍楼发车</x:v>
      </x:c>
      <x:c r="L68" s="14" t="n">
        <x:v>15</x:v>
      </x:c>
      <x:c r="M68" s="14" t="n">
        <x:v>12</x:v>
      </x:c>
      <x:c r="N68" s="14" t="n">
        <x:v>3</x:v>
      </x:c>
      <x:c r="O68" t="str">
        <x:v>通过</x:v>
      </x:c>
      <x:c r="P68" t="str">
        <x:v>按预测运行时间计算；实际运营可能因上下车和路况略有波动</x:v>
      </x:c>
    </x:row>
    <x:row r="69">
      <x:c r="A69" s="14" t="str">
        <x:v>工作日</x:v>
      </x:c>
      <x:c r="B69" s="14" t="str">
        <x:v>环线2路</x:v>
      </x:c>
      <x:c r="C69" s="14" t="str">
        <x:v>第一班</x:v>
      </x:c>
      <x:c r="D69" s="14" t="str">
        <x:v>S0073</x:v>
      </x:c>
      <x:c r="E69" s="14" t="str">
        <x:v>8:05</x:v>
      </x:c>
      <x:c r="F69" s="14" t="str">
        <x:v>研究生宿舍楼</x:v>
      </x:c>
      <x:c r="G69" s="14" t="str">
        <x:v>研究生宿舍楼发车</x:v>
      </x:c>
      <x:c r="H69" s="14" t="str">
        <x:v>S0074</x:v>
      </x:c>
      <x:c r="I69" s="14" t="str">
        <x:v>8:20</x:v>
      </x:c>
      <x:c r="J69" s="14" t="str">
        <x:v>研究生宿舍楼</x:v>
      </x:c>
      <x:c r="K69" s="14" t="str">
        <x:v>研究生宿舍楼发车</x:v>
      </x:c>
      <x:c r="L69" s="14" t="n">
        <x:v>15</x:v>
      </x:c>
      <x:c r="M69" s="14" t="n">
        <x:v>12</x:v>
      </x:c>
      <x:c r="N69" s="14" t="n">
        <x:v>3</x:v>
      </x:c>
      <x:c r="O69" t="str">
        <x:v>通过</x:v>
      </x:c>
      <x:c r="P69" t="str">
        <x:v>按预测运行时间计算；实际运营可能因上下车和路况略有波动</x:v>
      </x:c>
    </x:row>
    <x:row r="70">
      <x:c r="A70" s="14" t="str">
        <x:v>工作日</x:v>
      </x:c>
      <x:c r="B70" s="14" t="str">
        <x:v>环线2路</x:v>
      </x:c>
      <x:c r="C70" s="14" t="str">
        <x:v>第一班</x:v>
      </x:c>
      <x:c r="D70" s="14" t="str">
        <x:v>S0074</x:v>
      </x:c>
      <x:c r="E70" s="14" t="str">
        <x:v>8:20</x:v>
      </x:c>
      <x:c r="F70" s="14" t="str">
        <x:v>研究生宿舍楼</x:v>
      </x:c>
      <x:c r="G70" s="14" t="str">
        <x:v>研究生宿舍楼发车</x:v>
      </x:c>
      <x:c r="H70" s="14" t="str">
        <x:v>S0075</x:v>
      </x:c>
      <x:c r="I70" s="14" t="str">
        <x:v>8:35</x:v>
      </x:c>
      <x:c r="J70" s="14" t="str">
        <x:v>研究生宿舍楼</x:v>
      </x:c>
      <x:c r="K70" s="14" t="str">
        <x:v>研究生宿舍楼发车</x:v>
      </x:c>
      <x:c r="L70" s="14" t="n">
        <x:v>15</x:v>
      </x:c>
      <x:c r="M70" s="14" t="n">
        <x:v>12</x:v>
      </x:c>
      <x:c r="N70" s="14" t="n">
        <x:v>3</x:v>
      </x:c>
      <x:c r="O70" t="str">
        <x:v>通过</x:v>
      </x:c>
      <x:c r="P70" t="str">
        <x:v>按预测运行时间计算；实际运营可能因上下车和路况略有波动</x:v>
      </x:c>
    </x:row>
    <x:row r="71">
      <x:c r="A71" s="14" t="str">
        <x:v>工作日</x:v>
      </x:c>
      <x:c r="B71" s="14" t="str">
        <x:v>环线2路</x:v>
      </x:c>
      <x:c r="C71" s="14" t="str">
        <x:v>第一班</x:v>
      </x:c>
      <x:c r="D71" s="14" t="str">
        <x:v>S0075</x:v>
      </x:c>
      <x:c r="E71" s="14" t="str">
        <x:v>8:35</x:v>
      </x:c>
      <x:c r="F71" s="14" t="str">
        <x:v>研究生宿舍楼</x:v>
      </x:c>
      <x:c r="G71" s="14" t="str">
        <x:v>研究生宿舍楼发车</x:v>
      </x:c>
      <x:c r="H71" s="14" t="str">
        <x:v>S0076</x:v>
      </x:c>
      <x:c r="I71" s="14" t="str">
        <x:v>8:50</x:v>
      </x:c>
      <x:c r="J71" s="14" t="str">
        <x:v>研究生宿舍楼</x:v>
      </x:c>
      <x:c r="K71" s="14" t="str">
        <x:v>研究生宿舍楼发车</x:v>
      </x:c>
      <x:c r="L71" s="14" t="n">
        <x:v>15</x:v>
      </x:c>
      <x:c r="M71" s="14" t="n">
        <x:v>12</x:v>
      </x:c>
      <x:c r="N71" s="14" t="n">
        <x:v>3</x:v>
      </x:c>
      <x:c r="O71" t="str">
        <x:v>通过</x:v>
      </x:c>
      <x:c r="P71" t="str">
        <x:v>按预测运行时间计算；实际运营可能因上下车和路况略有波动</x:v>
      </x:c>
    </x:row>
    <x:row r="72">
      <x:c r="A72" s="14" t="str">
        <x:v>工作日</x:v>
      </x:c>
      <x:c r="B72" s="14" t="str">
        <x:v>环线2路</x:v>
      </x:c>
      <x:c r="C72" s="14" t="str">
        <x:v>第一班</x:v>
      </x:c>
      <x:c r="D72" s="14" t="str">
        <x:v>S0076</x:v>
      </x:c>
      <x:c r="E72" s="14" t="str">
        <x:v>8:50</x:v>
      </x:c>
      <x:c r="F72" s="14" t="str">
        <x:v>研究生宿舍楼</x:v>
      </x:c>
      <x:c r="G72" s="14" t="str">
        <x:v>研究生宿舍楼发车</x:v>
      </x:c>
      <x:c r="H72" s="14" t="str">
        <x:v>S0077</x:v>
      </x:c>
      <x:c r="I72" s="14" t="str">
        <x:v>9:10</x:v>
      </x:c>
      <x:c r="J72" s="14" t="str">
        <x:v>研究生宿舍楼</x:v>
      </x:c>
      <x:c r="K72" s="14" t="str">
        <x:v>研究生宿舍楼发车</x:v>
      </x:c>
      <x:c r="L72" s="14" t="n">
        <x:v>20</x:v>
      </x:c>
      <x:c r="M72" s="14" t="n">
        <x:v>12</x:v>
      </x:c>
      <x:c r="N72" s="14" t="n">
        <x:v>8</x:v>
      </x:c>
      <x:c r="O72" t="str">
        <x:v>通过</x:v>
      </x:c>
      <x:c r="P72" t="str">
        <x:v>按预测运行时间计算；实际运营可能因上下车和路况略有波动</x:v>
      </x:c>
    </x:row>
    <x:row r="73">
      <x:c r="A73" s="14" t="str">
        <x:v>工作日</x:v>
      </x:c>
      <x:c r="B73" s="14" t="str">
        <x:v>环线2路</x:v>
      </x:c>
      <x:c r="C73" s="14" t="str">
        <x:v>第一班</x:v>
      </x:c>
      <x:c r="D73" s="14" t="str">
        <x:v>S0077</x:v>
      </x:c>
      <x:c r="E73" s="14" t="str">
        <x:v>9:10</x:v>
      </x:c>
      <x:c r="F73" s="14" t="str">
        <x:v>研究生宿舍楼</x:v>
      </x:c>
      <x:c r="G73" s="14" t="str">
        <x:v>研究生宿舍楼发车</x:v>
      </x:c>
      <x:c r="H73" s="14" t="str">
        <x:v>S0078</x:v>
      </x:c>
      <x:c r="I73" s="14" t="str">
        <x:v>9:40</x:v>
      </x:c>
      <x:c r="J73" s="14" t="str">
        <x:v>研究生宿舍楼</x:v>
      </x:c>
      <x:c r="K73" s="14" t="str">
        <x:v>研究生宿舍楼发车</x:v>
      </x:c>
      <x:c r="L73" s="14" t="n">
        <x:v>30</x:v>
      </x:c>
      <x:c r="M73" s="14" t="n">
        <x:v>12</x:v>
      </x:c>
      <x:c r="N73" s="14" t="n">
        <x:v>18</x:v>
      </x:c>
      <x:c r="O73" t="str">
        <x:v>通过</x:v>
      </x:c>
      <x:c r="P73" t="str">
        <x:v>按预测运行时间计算；实际运营可能因上下车和路况略有波动</x:v>
      </x:c>
    </x:row>
    <x:row r="74">
      <x:c r="A74" s="14" t="str">
        <x:v>工作日</x:v>
      </x:c>
      <x:c r="B74" s="14" t="str">
        <x:v>环线2路</x:v>
      </x:c>
      <x:c r="C74" s="14" t="str">
        <x:v>第一班</x:v>
      </x:c>
      <x:c r="D74" s="14" t="str">
        <x:v>S0078</x:v>
      </x:c>
      <x:c r="E74" s="14" t="str">
        <x:v>9:40</x:v>
      </x:c>
      <x:c r="F74" s="14" t="str">
        <x:v>研究生宿舍楼</x:v>
      </x:c>
      <x:c r="G74" s="14" t="str">
        <x:v>研究生宿舍楼发车</x:v>
      </x:c>
      <x:c r="H74" s="14" t="str">
        <x:v>S0079</x:v>
      </x:c>
      <x:c r="I74" s="14" t="str">
        <x:v>10:10</x:v>
      </x:c>
      <x:c r="J74" s="14" t="str">
        <x:v>研究生宿舍楼</x:v>
      </x:c>
      <x:c r="K74" s="14" t="str">
        <x:v>研究生宿舍楼发车</x:v>
      </x:c>
      <x:c r="L74" s="14" t="n">
        <x:v>30</x:v>
      </x:c>
      <x:c r="M74" s="14" t="n">
        <x:v>12</x:v>
      </x:c>
      <x:c r="N74" s="14" t="n">
        <x:v>18</x:v>
      </x:c>
      <x:c r="O74" t="str">
        <x:v>通过</x:v>
      </x:c>
      <x:c r="P74" t="str">
        <x:v>按预测运行时间计算；实际运营可能因上下车和路况略有波动</x:v>
      </x:c>
    </x:row>
    <x:row r="75">
      <x:c r="A75" s="14" t="str">
        <x:v>工作日</x:v>
      </x:c>
      <x:c r="B75" s="14" t="str">
        <x:v>环线2路</x:v>
      </x:c>
      <x:c r="C75" s="14" t="str">
        <x:v>第一班</x:v>
      </x:c>
      <x:c r="D75" s="14" t="str">
        <x:v>S0079</x:v>
      </x:c>
      <x:c r="E75" s="14" t="str">
        <x:v>10:10</x:v>
      </x:c>
      <x:c r="F75" s="14" t="str">
        <x:v>研究生宿舍楼</x:v>
      </x:c>
      <x:c r="G75" s="14" t="str">
        <x:v>研究生宿舍楼发车</x:v>
      </x:c>
      <x:c r="H75" s="14" t="str">
        <x:v>S0080</x:v>
      </x:c>
      <x:c r="I75" s="14" t="str">
        <x:v>10:40</x:v>
      </x:c>
      <x:c r="J75" s="14" t="str">
        <x:v>研究生宿舍楼</x:v>
      </x:c>
      <x:c r="K75" s="14" t="str">
        <x:v>研究生宿舍楼发车</x:v>
      </x:c>
      <x:c r="L75" s="14" t="n">
        <x:v>30</x:v>
      </x:c>
      <x:c r="M75" s="14" t="n">
        <x:v>12</x:v>
      </x:c>
      <x:c r="N75" s="14" t="n">
        <x:v>18</x:v>
      </x:c>
      <x:c r="O75" t="str">
        <x:v>通过</x:v>
      </x:c>
      <x:c r="P75" t="str">
        <x:v>按预测运行时间计算；实际运营可能因上下车和路况略有波动</x:v>
      </x:c>
    </x:row>
    <x:row r="76">
      <x:c r="A76" s="14" t="str">
        <x:v>工作日</x:v>
      </x:c>
      <x:c r="B76" s="14" t="str">
        <x:v>环线2路</x:v>
      </x:c>
      <x:c r="C76" s="14" t="str">
        <x:v>第一班</x:v>
      </x:c>
      <x:c r="D76" s="14" t="str">
        <x:v>S0080</x:v>
      </x:c>
      <x:c r="E76" s="14" t="str">
        <x:v>10:40</x:v>
      </x:c>
      <x:c r="F76" s="14" t="str">
        <x:v>研究生宿舍楼</x:v>
      </x:c>
      <x:c r="G76" s="14" t="str">
        <x:v>研究生宿舍楼发车</x:v>
      </x:c>
      <x:c r="H76" s="14" t="str">
        <x:v>S0081</x:v>
      </x:c>
      <x:c r="I76" s="14" t="str">
        <x:v>11:15</x:v>
      </x:c>
      <x:c r="J76" s="14" t="str">
        <x:v>研究生宿舍楼</x:v>
      </x:c>
      <x:c r="K76" s="14" t="str">
        <x:v>研究生宿舍楼发车</x:v>
      </x:c>
      <x:c r="L76" s="14" t="n">
        <x:v>35</x:v>
      </x:c>
      <x:c r="M76" s="14" t="n">
        <x:v>12</x:v>
      </x:c>
      <x:c r="N76" s="14" t="n">
        <x:v>23</x:v>
      </x:c>
      <x:c r="O76" t="str">
        <x:v>通过</x:v>
      </x:c>
      <x:c r="P76" t="str">
        <x:v>按预测运行时间计算；实际运营可能因上下车和路况略有波动</x:v>
      </x:c>
    </x:row>
    <x:row r="77">
      <x:c r="A77" s="14" t="str">
        <x:v>工作日</x:v>
      </x:c>
      <x:c r="B77" s="14" t="str">
        <x:v>环线2路</x:v>
      </x:c>
      <x:c r="C77" s="14" t="str">
        <x:v>第一班</x:v>
      </x:c>
      <x:c r="D77" s="14" t="str">
        <x:v>S0081</x:v>
      </x:c>
      <x:c r="E77" s="14" t="str">
        <x:v>11:15</x:v>
      </x:c>
      <x:c r="F77" s="14" t="str">
        <x:v>研究生宿舍楼</x:v>
      </x:c>
      <x:c r="G77" s="14" t="str">
        <x:v>研究生宿舍楼发车</x:v>
      </x:c>
      <x:c r="H77" s="14" t="str">
        <x:v>S0082</x:v>
      </x:c>
      <x:c r="I77" s="14" t="str">
        <x:v>11:40</x:v>
      </x:c>
      <x:c r="J77" s="14" t="str">
        <x:v>研究生宿舍楼</x:v>
      </x:c>
      <x:c r="K77" s="14" t="str">
        <x:v>研究生宿舍楼发车</x:v>
      </x:c>
      <x:c r="L77" s="14" t="n">
        <x:v>25</x:v>
      </x:c>
      <x:c r="M77" s="14" t="n">
        <x:v>12</x:v>
      </x:c>
      <x:c r="N77" s="14" t="n">
        <x:v>13</x:v>
      </x:c>
      <x:c r="O77" t="str">
        <x:v>通过</x:v>
      </x:c>
      <x:c r="P77" t="str">
        <x:v>按预测运行时间计算；实际运营可能因上下车和路况略有波动</x:v>
      </x:c>
    </x:row>
    <x:row r="78">
      <x:c r="A78" s="14" t="str">
        <x:v>工作日</x:v>
      </x:c>
      <x:c r="B78" s="14" t="str">
        <x:v>环线2路</x:v>
      </x:c>
      <x:c r="C78" s="14" t="str">
        <x:v>第一班</x:v>
      </x:c>
      <x:c r="D78" s="14" t="str">
        <x:v>S0082</x:v>
      </x:c>
      <x:c r="E78" s="14" t="str">
        <x:v>11:40</x:v>
      </x:c>
      <x:c r="F78" s="14" t="str">
        <x:v>研究生宿舍楼</x:v>
      </x:c>
      <x:c r="G78" s="14" t="str">
        <x:v>研究生宿舍楼发车</x:v>
      </x:c>
      <x:c r="H78" s="14" t="str">
        <x:v>S0083</x:v>
      </x:c>
      <x:c r="I78" s="14" t="str">
        <x:v>12:00</x:v>
      </x:c>
      <x:c r="J78" s="14" t="str">
        <x:v>研究生宿舍楼</x:v>
      </x:c>
      <x:c r="K78" s="14" t="str">
        <x:v>研究生宿舍楼发车</x:v>
      </x:c>
      <x:c r="L78" s="14" t="n">
        <x:v>20</x:v>
      </x:c>
      <x:c r="M78" s="14" t="n">
        <x:v>12</x:v>
      </x:c>
      <x:c r="N78" s="14" t="n">
        <x:v>8</x:v>
      </x:c>
      <x:c r="O78" t="str">
        <x:v>通过</x:v>
      </x:c>
      <x:c r="P78" t="str">
        <x:v>按预测运行时间计算；实际运营可能因上下车和路况略有波动</x:v>
      </x:c>
    </x:row>
    <x:row r="79">
      <x:c r="A79" s="14" t="str">
        <x:v>工作日</x:v>
      </x:c>
      <x:c r="B79" s="14" t="str">
        <x:v>环线2路</x:v>
      </x:c>
      <x:c r="C79" s="14" t="str">
        <x:v>第一班</x:v>
      </x:c>
      <x:c r="D79" s="14" t="str">
        <x:v>S0083</x:v>
      </x:c>
      <x:c r="E79" s="14" t="str">
        <x:v>12:00</x:v>
      </x:c>
      <x:c r="F79" s="14" t="str">
        <x:v>研究生宿舍楼</x:v>
      </x:c>
      <x:c r="G79" s="14" t="str">
        <x:v>研究生宿舍楼发车</x:v>
      </x:c>
      <x:c r="H79" s="14" t="str">
        <x:v>S0084</x:v>
      </x:c>
      <x:c r="I79" s="14" t="str">
        <x:v>12:15</x:v>
      </x:c>
      <x:c r="J79" s="14" t="str">
        <x:v>研究生宿舍楼</x:v>
      </x:c>
      <x:c r="K79" s="14" t="str">
        <x:v>研究生宿舍楼发车</x:v>
      </x:c>
      <x:c r="L79" s="14" t="n">
        <x:v>15</x:v>
      </x:c>
      <x:c r="M79" s="14" t="n">
        <x:v>12</x:v>
      </x:c>
      <x:c r="N79" s="14" t="n">
        <x:v>3</x:v>
      </x:c>
      <x:c r="O79" t="str">
        <x:v>通过</x:v>
      </x:c>
      <x:c r="P79" t="str">
        <x:v>按预测运行时间计算；实际运营可能因上下车和路况略有波动</x:v>
      </x:c>
    </x:row>
    <x:row r="80">
      <x:c r="A80" s="14" t="str">
        <x:v>工作日</x:v>
      </x:c>
      <x:c r="B80" s="14" t="str">
        <x:v>环线2路</x:v>
      </x:c>
      <x:c r="C80" s="14" t="str">
        <x:v>第一班</x:v>
      </x:c>
      <x:c r="D80" s="14" t="str">
        <x:v>S0084</x:v>
      </x:c>
      <x:c r="E80" s="14" t="str">
        <x:v>12:15</x:v>
      </x:c>
      <x:c r="F80" s="14" t="str">
        <x:v>研究生宿舍楼</x:v>
      </x:c>
      <x:c r="G80" s="14" t="str">
        <x:v>研究生宿舍楼发车</x:v>
      </x:c>
      <x:c r="H80" s="14" t="str">
        <x:v>S0085</x:v>
      </x:c>
      <x:c r="I80" s="14" t="str">
        <x:v>12:30</x:v>
      </x:c>
      <x:c r="J80" s="14" t="str">
        <x:v>研究生宿舍楼</x:v>
      </x:c>
      <x:c r="K80" s="14" t="str">
        <x:v>研究生宿舍楼发车</x:v>
      </x:c>
      <x:c r="L80" s="14" t="n">
        <x:v>15</x:v>
      </x:c>
      <x:c r="M80" s="14" t="n">
        <x:v>12</x:v>
      </x:c>
      <x:c r="N80" s="14" t="n">
        <x:v>3</x:v>
      </x:c>
      <x:c r="O80" t="str">
        <x:v>通过</x:v>
      </x:c>
      <x:c r="P80" t="str">
        <x:v>按预测运行时间计算；实际运营可能因上下车和路况略有波动</x:v>
      </x:c>
    </x:row>
    <x:row r="81">
      <x:c r="A81" s="14" t="str">
        <x:v>工作日</x:v>
      </x:c>
      <x:c r="B81" s="14" t="str">
        <x:v>环线2路</x:v>
      </x:c>
      <x:c r="C81" s="14" t="str">
        <x:v>第一班</x:v>
      </x:c>
      <x:c r="D81" s="14" t="str">
        <x:v>S0085</x:v>
      </x:c>
      <x:c r="E81" s="14" t="str">
        <x:v>12:30</x:v>
      </x:c>
      <x:c r="F81" s="14" t="str">
        <x:v>研究生宿舍楼</x:v>
      </x:c>
      <x:c r="G81" s="14" t="str">
        <x:v>研究生宿舍楼发车</x:v>
      </x:c>
      <x:c r="H81" s="14" t="str">
        <x:v>S0086</x:v>
      </x:c>
      <x:c r="I81" s="14" t="str">
        <x:v>14:10</x:v>
      </x:c>
      <x:c r="J81" s="14" t="str">
        <x:v>研究生宿舍楼</x:v>
      </x:c>
      <x:c r="K81" s="14" t="str">
        <x:v>研究生宿舍楼发车</x:v>
      </x:c>
      <x:c r="L81" s="14" t="n">
        <x:v>100</x:v>
      </x:c>
      <x:c r="M81" s="14" t="n">
        <x:v>12</x:v>
      </x:c>
      <x:c r="N81" s="14" t="n">
        <x:v>88</x:v>
      </x:c>
      <x:c r="O81" t="str">
        <x:v>通过</x:v>
      </x:c>
      <x:c r="P81" t="str">
        <x:v>按预测运行时间计算；实际运营可能因上下车和路况略有波动</x:v>
      </x:c>
    </x:row>
    <x:row r="82">
      <x:c r="A82" s="14" t="str">
        <x:v>工作日</x:v>
      </x:c>
      <x:c r="B82" s="14" t="str">
        <x:v>环线2路</x:v>
      </x:c>
      <x:c r="C82" s="14" t="str">
        <x:v>第一班</x:v>
      </x:c>
      <x:c r="D82" s="14" t="str">
        <x:v>S0086</x:v>
      </x:c>
      <x:c r="E82" s="14" t="str">
        <x:v>14:10</x:v>
      </x:c>
      <x:c r="F82" s="14" t="str">
        <x:v>研究生宿舍楼</x:v>
      </x:c>
      <x:c r="G82" s="14" t="str">
        <x:v>研究生宿舍楼发车</x:v>
      </x:c>
      <x:c r="H82" s="14" t="str">
        <x:v>S0087</x:v>
      </x:c>
      <x:c r="I82" s="14" t="str">
        <x:v>16:20</x:v>
      </x:c>
      <x:c r="J82" s="14" t="str">
        <x:v>研究生宿舍楼</x:v>
      </x:c>
      <x:c r="K82" s="14" t="str">
        <x:v>研究生宿舍楼发车</x:v>
      </x:c>
      <x:c r="L82" s="14" t="n">
        <x:v>130</x:v>
      </x:c>
      <x:c r="M82" s="14" t="n">
        <x:v>12</x:v>
      </x:c>
      <x:c r="N82" s="14" t="n">
        <x:v>118</x:v>
      </x:c>
      <x:c r="O82" t="str">
        <x:v>通过</x:v>
      </x:c>
      <x:c r="P82" t="str">
        <x:v>按预测运行时间计算；实际运营可能因上下车和路况略有波动</x:v>
      </x:c>
    </x:row>
    <x:row r="83">
      <x:c r="A83" s="14" t="str">
        <x:v>工作日</x:v>
      </x:c>
      <x:c r="B83" s="14" t="str">
        <x:v>环线2路</x:v>
      </x:c>
      <x:c r="C83" s="14" t="str">
        <x:v>第一班</x:v>
      </x:c>
      <x:c r="D83" s="14" t="str">
        <x:v>S0087</x:v>
      </x:c>
      <x:c r="E83" s="14" t="str">
        <x:v>16:20</x:v>
      </x:c>
      <x:c r="F83" s="14" t="str">
        <x:v>研究生宿舍楼</x:v>
      </x:c>
      <x:c r="G83" s="14" t="str">
        <x:v>研究生宿舍楼发车</x:v>
      </x:c>
      <x:c r="H83" s="14" t="str">
        <x:v>S0088</x:v>
      </x:c>
      <x:c r="I83" s="14" t="str">
        <x:v>16:50</x:v>
      </x:c>
      <x:c r="J83" s="14" t="str">
        <x:v>研究生宿舍楼</x:v>
      </x:c>
      <x:c r="K83" s="14" t="str">
        <x:v>研究生宿舍楼发车</x:v>
      </x:c>
      <x:c r="L83" s="14" t="n">
        <x:v>30</x:v>
      </x:c>
      <x:c r="M83" s="14" t="n">
        <x:v>12</x:v>
      </x:c>
      <x:c r="N83" s="14" t="n">
        <x:v>18</x:v>
      </x:c>
      <x:c r="O83" t="str">
        <x:v>通过</x:v>
      </x:c>
      <x:c r="P83" t="str">
        <x:v>按预测运行时间计算；实际运营可能因上下车和路况略有波动</x:v>
      </x:c>
    </x:row>
    <x:row r="84">
      <x:c r="A84" s="14" t="str">
        <x:v>工作日</x:v>
      </x:c>
      <x:c r="B84" s="14" t="str">
        <x:v>环线2路</x:v>
      </x:c>
      <x:c r="C84" s="14" t="str">
        <x:v>第一班</x:v>
      </x:c>
      <x:c r="D84" s="14" t="str">
        <x:v>S0088</x:v>
      </x:c>
      <x:c r="E84" s="14" t="str">
        <x:v>16:50</x:v>
      </x:c>
      <x:c r="F84" s="14" t="str">
        <x:v>研究生宿舍楼</x:v>
      </x:c>
      <x:c r="G84" s="14" t="str">
        <x:v>研究生宿舍楼发车</x:v>
      </x:c>
      <x:c r="H84" s="14" t="str">
        <x:v>S0089</x:v>
      </x:c>
      <x:c r="I84" s="14" t="str">
        <x:v>17:10</x:v>
      </x:c>
      <x:c r="J84" s="14" t="str">
        <x:v>研究生宿舍楼</x:v>
      </x:c>
      <x:c r="K84" s="14" t="str">
        <x:v>研究生宿舍楼发车</x:v>
      </x:c>
      <x:c r="L84" s="14" t="n">
        <x:v>20</x:v>
      </x:c>
      <x:c r="M84" s="14" t="n">
        <x:v>12</x:v>
      </x:c>
      <x:c r="N84" s="14" t="n">
        <x:v>8</x:v>
      </x:c>
      <x:c r="O84" t="str">
        <x:v>通过</x:v>
      </x:c>
      <x:c r="P84" t="str">
        <x:v>按预测运行时间计算；实际运营可能因上下车和路况略有波动</x:v>
      </x:c>
    </x:row>
    <x:row r="85">
      <x:c r="A85" s="14" t="str">
        <x:v>工作日</x:v>
      </x:c>
      <x:c r="B85" s="14" t="str">
        <x:v>环线2路</x:v>
      </x:c>
      <x:c r="C85" s="14" t="str">
        <x:v>第二班</x:v>
      </x:c>
      <x:c r="D85" s="14" t="str">
        <x:v>S0090</x:v>
      </x:c>
      <x:c r="E85" s="14" t="str">
        <x:v>14:25</x:v>
      </x:c>
      <x:c r="F85" s="14" t="str">
        <x:v>研究生宿舍楼</x:v>
      </x:c>
      <x:c r="G85" s="14" t="str">
        <x:v>研究生宿舍楼发车</x:v>
      </x:c>
      <x:c r="H85" s="14" t="str">
        <x:v>S0091</x:v>
      </x:c>
      <x:c r="I85" s="14" t="str">
        <x:v>14:40</x:v>
      </x:c>
      <x:c r="J85" s="14" t="str">
        <x:v>研究生宿舍楼</x:v>
      </x:c>
      <x:c r="K85" s="14" t="str">
        <x:v>研究生宿舍楼发车</x:v>
      </x:c>
      <x:c r="L85" s="14" t="n">
        <x:v>15</x:v>
      </x:c>
      <x:c r="M85" s="14" t="n">
        <x:v>12</x:v>
      </x:c>
      <x:c r="N85" s="14" t="n">
        <x:v>3</x:v>
      </x:c>
      <x:c r="O85" t="str">
        <x:v>通过</x:v>
      </x:c>
      <x:c r="P85" t="str">
        <x:v>按预测运行时间计算；实际运营可能因上下车和路况略有波动</x:v>
      </x:c>
    </x:row>
    <x:row r="86">
      <x:c r="A86" s="14" t="str">
        <x:v>工作日</x:v>
      </x:c>
      <x:c r="B86" s="14" t="str">
        <x:v>环线2路</x:v>
      </x:c>
      <x:c r="C86" s="14" t="str">
        <x:v>第二班</x:v>
      </x:c>
      <x:c r="D86" s="14" t="str">
        <x:v>S0091</x:v>
      </x:c>
      <x:c r="E86" s="14" t="str">
        <x:v>14:40</x:v>
      </x:c>
      <x:c r="F86" s="14" t="str">
        <x:v>研究生宿舍楼</x:v>
      </x:c>
      <x:c r="G86" s="14" t="str">
        <x:v>研究生宿舍楼发车</x:v>
      </x:c>
      <x:c r="H86" s="14" t="str">
        <x:v>S0092</x:v>
      </x:c>
      <x:c r="I86" s="14" t="str">
        <x:v>15:00</x:v>
      </x:c>
      <x:c r="J86" s="14" t="str">
        <x:v>研究生宿舍楼</x:v>
      </x:c>
      <x:c r="K86" s="14" t="str">
        <x:v>研究生宿舍楼发车</x:v>
      </x:c>
      <x:c r="L86" s="14" t="n">
        <x:v>20</x:v>
      </x:c>
      <x:c r="M86" s="14" t="n">
        <x:v>12</x:v>
      </x:c>
      <x:c r="N86" s="14" t="n">
        <x:v>8</x:v>
      </x:c>
      <x:c r="O86" t="str">
        <x:v>通过</x:v>
      </x:c>
      <x:c r="P86" t="str">
        <x:v>按预测运行时间计算；实际运营可能因上下车和路况略有波动</x:v>
      </x:c>
    </x:row>
    <x:row r="87">
      <x:c r="A87" s="14" t="str">
        <x:v>工作日</x:v>
      </x:c>
      <x:c r="B87" s="14" t="str">
        <x:v>环线2路</x:v>
      </x:c>
      <x:c r="C87" s="14" t="str">
        <x:v>第二班</x:v>
      </x:c>
      <x:c r="D87" s="14" t="str">
        <x:v>S0092</x:v>
      </x:c>
      <x:c r="E87" s="14" t="str">
        <x:v>15:00</x:v>
      </x:c>
      <x:c r="F87" s="14" t="str">
        <x:v>研究生宿舍楼</x:v>
      </x:c>
      <x:c r="G87" s="14" t="str">
        <x:v>研究生宿舍楼发车</x:v>
      </x:c>
      <x:c r="H87" s="14" t="str">
        <x:v>S0093</x:v>
      </x:c>
      <x:c r="I87" s="14" t="str">
        <x:v>15:20</x:v>
      </x:c>
      <x:c r="J87" s="14" t="str">
        <x:v>研究生宿舍楼</x:v>
      </x:c>
      <x:c r="K87" s="14" t="str">
        <x:v>研究生宿舍楼发车</x:v>
      </x:c>
      <x:c r="L87" s="14" t="n">
        <x:v>20</x:v>
      </x:c>
      <x:c r="M87" s="14" t="n">
        <x:v>12</x:v>
      </x:c>
      <x:c r="N87" s="14" t="n">
        <x:v>8</x:v>
      </x:c>
      <x:c r="O87" t="str">
        <x:v>通过</x:v>
      </x:c>
      <x:c r="P87" t="str">
        <x:v>按预测运行时间计算；实际运营可能因上下车和路况略有波动</x:v>
      </x:c>
    </x:row>
    <x:row r="88">
      <x:c r="A88" s="14" t="str">
        <x:v>工作日</x:v>
      </x:c>
      <x:c r="B88" s="14" t="str">
        <x:v>环线2路</x:v>
      </x:c>
      <x:c r="C88" s="14" t="str">
        <x:v>第二班</x:v>
      </x:c>
      <x:c r="D88" s="14" t="str">
        <x:v>S0093</x:v>
      </x:c>
      <x:c r="E88" s="14" t="str">
        <x:v>15:20</x:v>
      </x:c>
      <x:c r="F88" s="14" t="str">
        <x:v>研究生宿舍楼</x:v>
      </x:c>
      <x:c r="G88" s="14" t="str">
        <x:v>研究生宿舍楼发车</x:v>
      </x:c>
      <x:c r="H88" s="14" t="str">
        <x:v>S0094</x:v>
      </x:c>
      <x:c r="I88" s="14" t="str">
        <x:v>15:40</x:v>
      </x:c>
      <x:c r="J88" s="14" t="str">
        <x:v>研究生宿舍楼</x:v>
      </x:c>
      <x:c r="K88" s="14" t="str">
        <x:v>研究生宿舍楼发车</x:v>
      </x:c>
      <x:c r="L88" s="14" t="n">
        <x:v>20</x:v>
      </x:c>
      <x:c r="M88" s="14" t="n">
        <x:v>12</x:v>
      </x:c>
      <x:c r="N88" s="14" t="n">
        <x:v>8</x:v>
      </x:c>
      <x:c r="O88" t="str">
        <x:v>通过</x:v>
      </x:c>
      <x:c r="P88" t="str">
        <x:v>按预测运行时间计算；实际运营可能因上下车和路况略有波动</x:v>
      </x:c>
    </x:row>
    <x:row r="89">
      <x:c r="A89" s="14" t="str">
        <x:v>工作日</x:v>
      </x:c>
      <x:c r="B89" s="14" t="str">
        <x:v>环线2路</x:v>
      </x:c>
      <x:c r="C89" s="14" t="str">
        <x:v>第二班</x:v>
      </x:c>
      <x:c r="D89" s="14" t="str">
        <x:v>S0094</x:v>
      </x:c>
      <x:c r="E89" s="14" t="str">
        <x:v>15:40</x:v>
      </x:c>
      <x:c r="F89" s="14" t="str">
        <x:v>研究生宿舍楼</x:v>
      </x:c>
      <x:c r="G89" s="14" t="str">
        <x:v>研究生宿舍楼发车</x:v>
      </x:c>
      <x:c r="H89" s="14" t="str">
        <x:v>S0095</x:v>
      </x:c>
      <x:c r="I89" s="14" t="str">
        <x:v>16:00</x:v>
      </x:c>
      <x:c r="J89" s="14" t="str">
        <x:v>研究生宿舍楼</x:v>
      </x:c>
      <x:c r="K89" s="14" t="str">
        <x:v>研究生宿舍楼发车</x:v>
      </x:c>
      <x:c r="L89" s="14" t="n">
        <x:v>20</x:v>
      </x:c>
      <x:c r="M89" s="14" t="n">
        <x:v>12</x:v>
      </x:c>
      <x:c r="N89" s="14" t="n">
        <x:v>8</x:v>
      </x:c>
      <x:c r="O89" t="str">
        <x:v>通过</x:v>
      </x:c>
      <x:c r="P89" t="str">
        <x:v>按预测运行时间计算；实际运营可能因上下车和路况略有波动</x:v>
      </x:c>
    </x:row>
    <x:row r="90">
      <x:c r="A90" s="14" t="str">
        <x:v>工作日</x:v>
      </x:c>
      <x:c r="B90" s="14" t="str">
        <x:v>环线2路</x:v>
      </x:c>
      <x:c r="C90" s="14" t="str">
        <x:v>第二班</x:v>
      </x:c>
      <x:c r="D90" s="14" t="str">
        <x:v>S0095</x:v>
      </x:c>
      <x:c r="E90" s="14" t="str">
        <x:v>16:00</x:v>
      </x:c>
      <x:c r="F90" s="14" t="str">
        <x:v>研究生宿舍楼</x:v>
      </x:c>
      <x:c r="G90" s="14" t="str">
        <x:v>研究生宿舍楼发车</x:v>
      </x:c>
      <x:c r="H90" s="14" t="str">
        <x:v>S0096</x:v>
      </x:c>
      <x:c r="I90" s="14" t="str">
        <x:v>16:35</x:v>
      </x:c>
      <x:c r="J90" s="14" t="str">
        <x:v>研究生宿舍楼</x:v>
      </x:c>
      <x:c r="K90" s="14" t="str">
        <x:v>研究生宿舍楼发车</x:v>
      </x:c>
      <x:c r="L90" s="14" t="n">
        <x:v>35</x:v>
      </x:c>
      <x:c r="M90" s="14" t="n">
        <x:v>12</x:v>
      </x:c>
      <x:c r="N90" s="14" t="n">
        <x:v>23</x:v>
      </x:c>
      <x:c r="O90" t="str">
        <x:v>通过</x:v>
      </x:c>
      <x:c r="P90" t="str">
        <x:v>按预测运行时间计算；实际运营可能因上下车和路况略有波动</x:v>
      </x:c>
    </x:row>
    <x:row r="91">
      <x:c r="A91" s="14" t="str">
        <x:v>工作日</x:v>
      </x:c>
      <x:c r="B91" s="14" t="str">
        <x:v>环线2路</x:v>
      </x:c>
      <x:c r="C91" s="14" t="str">
        <x:v>第二班</x:v>
      </x:c>
      <x:c r="D91" s="14" t="str">
        <x:v>S0096</x:v>
      </x:c>
      <x:c r="E91" s="14" t="str">
        <x:v>16:35</x:v>
      </x:c>
      <x:c r="F91" s="14" t="str">
        <x:v>研究生宿舍楼</x:v>
      </x:c>
      <x:c r="G91" s="14" t="str">
        <x:v>研究生宿舍楼发车</x:v>
      </x:c>
      <x:c r="H91" s="14" t="str">
        <x:v>S0097</x:v>
      </x:c>
      <x:c r="I91" s="14" t="str">
        <x:v>17:05</x:v>
      </x:c>
      <x:c r="J91" s="14" t="str">
        <x:v>研究生宿舍楼</x:v>
      </x:c>
      <x:c r="K91" s="14" t="str">
        <x:v>研究生宿舍楼发车</x:v>
      </x:c>
      <x:c r="L91" s="14" t="n">
        <x:v>30</x:v>
      </x:c>
      <x:c r="M91" s="14" t="n">
        <x:v>12</x:v>
      </x:c>
      <x:c r="N91" s="14" t="n">
        <x:v>18</x:v>
      </x:c>
      <x:c r="O91" t="str">
        <x:v>通过</x:v>
      </x:c>
      <x:c r="P91" t="str">
        <x:v>按预测运行时间计算；实际运营可能因上下车和路况略有波动</x:v>
      </x:c>
    </x:row>
    <x:row r="92">
      <x:c r="A92" s="14" t="str">
        <x:v>工作日</x:v>
      </x:c>
      <x:c r="B92" s="14" t="str">
        <x:v>环线2路</x:v>
      </x:c>
      <x:c r="C92" s="14" t="str">
        <x:v>第二班</x:v>
      </x:c>
      <x:c r="D92" s="14" t="str">
        <x:v>S0097</x:v>
      </x:c>
      <x:c r="E92" s="14" t="str">
        <x:v>17:05</x:v>
      </x:c>
      <x:c r="F92" s="14" t="str">
        <x:v>研究生宿舍楼</x:v>
      </x:c>
      <x:c r="G92" s="14" t="str">
        <x:v>研究生宿舍楼发车</x:v>
      </x:c>
      <x:c r="H92" s="14" t="str">
        <x:v>S0098</x:v>
      </x:c>
      <x:c r="I92" s="14" t="str">
        <x:v>17:35</x:v>
      </x:c>
      <x:c r="J92" s="14" t="str">
        <x:v>研究生宿舍楼</x:v>
      </x:c>
      <x:c r="K92" s="14" t="str">
        <x:v>研究生宿舍楼发车</x:v>
      </x:c>
      <x:c r="L92" s="14" t="n">
        <x:v>30</x:v>
      </x:c>
      <x:c r="M92" s="14" t="n">
        <x:v>12</x:v>
      </x:c>
      <x:c r="N92" s="14" t="n">
        <x:v>18</x:v>
      </x:c>
      <x:c r="O92" t="str">
        <x:v>通过</x:v>
      </x:c>
      <x:c r="P92" t="str">
        <x:v>按预测运行时间计算；实际运营可能因上下车和路况略有波动</x:v>
      </x:c>
    </x:row>
    <x:row r="93">
      <x:c r="A93" s="14" t="str">
        <x:v>工作日</x:v>
      </x:c>
      <x:c r="B93" s="14" t="str">
        <x:v>环线2路</x:v>
      </x:c>
      <x:c r="C93" s="14" t="str">
        <x:v>第二班</x:v>
      </x:c>
      <x:c r="D93" s="14" t="str">
        <x:v>S0098</x:v>
      </x:c>
      <x:c r="E93" s="14" t="str">
        <x:v>17:35</x:v>
      </x:c>
      <x:c r="F93" s="14" t="str">
        <x:v>研究生宿舍楼</x:v>
      </x:c>
      <x:c r="G93" s="14" t="str">
        <x:v>研究生宿舍楼发车</x:v>
      </x:c>
      <x:c r="H93" s="14" t="str">
        <x:v>S0099</x:v>
      </x:c>
      <x:c r="I93" s="14" t="str">
        <x:v>18:10</x:v>
      </x:c>
      <x:c r="J93" s="14" t="str">
        <x:v>研究生宿舍楼</x:v>
      </x:c>
      <x:c r="K93" s="14" t="str">
        <x:v>研究生宿舍楼发车</x:v>
      </x:c>
      <x:c r="L93" s="14" t="n">
        <x:v>35</x:v>
      </x:c>
      <x:c r="M93" s="14" t="n">
        <x:v>12</x:v>
      </x:c>
      <x:c r="N93" s="14" t="n">
        <x:v>23</x:v>
      </x:c>
      <x:c r="O93" t="str">
        <x:v>通过</x:v>
      </x:c>
      <x:c r="P93" t="str">
        <x:v>按预测运行时间计算；实际运营可能因上下车和路况略有波动</x:v>
      </x:c>
    </x:row>
    <x:row r="94">
      <x:c r="A94" s="14" t="str">
        <x:v>工作日</x:v>
      </x:c>
      <x:c r="B94" s="14" t="str">
        <x:v>环线2路</x:v>
      </x:c>
      <x:c r="C94" s="14" t="str">
        <x:v>第二班</x:v>
      </x:c>
      <x:c r="D94" s="14" t="str">
        <x:v>S0099</x:v>
      </x:c>
      <x:c r="E94" s="14" t="str">
        <x:v>18:10</x:v>
      </x:c>
      <x:c r="F94" s="14" t="str">
        <x:v>研究生宿舍楼</x:v>
      </x:c>
      <x:c r="G94" s="14" t="str">
        <x:v>研究生宿舍楼发车</x:v>
      </x:c>
      <x:c r="H94" s="14" t="str">
        <x:v>S0100</x:v>
      </x:c>
      <x:c r="I94" s="14" t="str">
        <x:v>18:25</x:v>
      </x:c>
      <x:c r="J94" s="14" t="str">
        <x:v>研究生宿舍楼</x:v>
      </x:c>
      <x:c r="K94" s="14" t="str">
        <x:v>研究生宿舍楼发车</x:v>
      </x:c>
      <x:c r="L94" s="14" t="n">
        <x:v>15</x:v>
      </x:c>
      <x:c r="M94" s="14" t="n">
        <x:v>12</x:v>
      </x:c>
      <x:c r="N94" s="14" t="n">
        <x:v>3</x:v>
      </x:c>
      <x:c r="O94" t="str">
        <x:v>通过</x:v>
      </x:c>
      <x:c r="P94" t="str">
        <x:v>按预测运行时间计算；实际运营可能因上下车和路况略有波动</x:v>
      </x:c>
    </x:row>
    <x:row r="95">
      <x:c r="A95" s="14" t="str">
        <x:v>工作日</x:v>
      </x:c>
      <x:c r="B95" s="14" t="str">
        <x:v>环线2路</x:v>
      </x:c>
      <x:c r="C95" s="14" t="str">
        <x:v>第二班</x:v>
      </x:c>
      <x:c r="D95" s="14" t="str">
        <x:v>S0100</x:v>
      </x:c>
      <x:c r="E95" s="14" t="str">
        <x:v>18:25</x:v>
      </x:c>
      <x:c r="F95" s="14" t="str">
        <x:v>研究生宿舍楼</x:v>
      </x:c>
      <x:c r="G95" s="14" t="str">
        <x:v>研究生宿舍楼发车</x:v>
      </x:c>
      <x:c r="H95" s="14" t="str">
        <x:v>S0101</x:v>
      </x:c>
      <x:c r="I95" s="14" t="str">
        <x:v>18:45</x:v>
      </x:c>
      <x:c r="J95" s="14" t="str">
        <x:v>研究生宿舍楼</x:v>
      </x:c>
      <x:c r="K95" s="14" t="str">
        <x:v>研究生宿舍楼发车</x:v>
      </x:c>
      <x:c r="L95" s="14" t="n">
        <x:v>20</x:v>
      </x:c>
      <x:c r="M95" s="14" t="n">
        <x:v>12</x:v>
      </x:c>
      <x:c r="N95" s="14" t="n">
        <x:v>8</x:v>
      </x:c>
      <x:c r="O95" t="str">
        <x:v>通过</x:v>
      </x:c>
      <x:c r="P95" t="str">
        <x:v>按预测运行时间计算；实际运营可能因上下车和路况略有波动</x:v>
      </x:c>
    </x:row>
    <x:row r="96">
      <x:c r="A96" s="14" t="str">
        <x:v>工作日</x:v>
      </x:c>
      <x:c r="B96" s="14" t="str">
        <x:v>环线2路</x:v>
      </x:c>
      <x:c r="C96" s="14" t="str">
        <x:v>第二班</x:v>
      </x:c>
      <x:c r="D96" s="14" t="str">
        <x:v>S0101</x:v>
      </x:c>
      <x:c r="E96" s="14" t="str">
        <x:v>18:45</x:v>
      </x:c>
      <x:c r="F96" s="14" t="str">
        <x:v>研究生宿舍楼</x:v>
      </x:c>
      <x:c r="G96" s="14" t="str">
        <x:v>研究生宿舍楼发车</x:v>
      </x:c>
      <x:c r="H96" s="14" t="str">
        <x:v>S0102</x:v>
      </x:c>
      <x:c r="I96" s="14" t="str">
        <x:v>19:15</x:v>
      </x:c>
      <x:c r="J96" s="14" t="str">
        <x:v>研究生宿舍楼</x:v>
      </x:c>
      <x:c r="K96" s="14" t="str">
        <x:v>研究生宿舍楼发车</x:v>
      </x:c>
      <x:c r="L96" s="14" t="n">
        <x:v>30</x:v>
      </x:c>
      <x:c r="M96" s="14" t="n">
        <x:v>12</x:v>
      </x:c>
      <x:c r="N96" s="14" t="n">
        <x:v>18</x:v>
      </x:c>
      <x:c r="O96" t="str">
        <x:v>通过</x:v>
      </x:c>
      <x:c r="P96" t="str">
        <x:v>按预测运行时间计算；实际运营可能因上下车和路况略有波动</x:v>
      </x:c>
    </x:row>
    <x:row r="97">
      <x:c r="A97" s="14" t="str">
        <x:v>工作日</x:v>
      </x:c>
      <x:c r="B97" s="14" t="str">
        <x:v>环线2路</x:v>
      </x:c>
      <x:c r="C97" s="14" t="str">
        <x:v>第二班</x:v>
      </x:c>
      <x:c r="D97" s="14" t="str">
        <x:v>S0102</x:v>
      </x:c>
      <x:c r="E97" s="14" t="str">
        <x:v>19:15</x:v>
      </x:c>
      <x:c r="F97" s="14" t="str">
        <x:v>研究生宿舍楼</x:v>
      </x:c>
      <x:c r="G97" s="14" t="str">
        <x:v>研究生宿舍楼发车</x:v>
      </x:c>
      <x:c r="H97" s="14" t="str">
        <x:v>S0103</x:v>
      </x:c>
      <x:c r="I97" s="14" t="str">
        <x:v>19:30</x:v>
      </x:c>
      <x:c r="J97" s="14" t="str">
        <x:v>研究生宿舍楼</x:v>
      </x:c>
      <x:c r="K97" s="14" t="str">
        <x:v>研究生宿舍楼发车</x:v>
      </x:c>
      <x:c r="L97" s="14" t="n">
        <x:v>15</x:v>
      </x:c>
      <x:c r="M97" s="14" t="n">
        <x:v>12</x:v>
      </x:c>
      <x:c r="N97" s="14" t="n">
        <x:v>3</x:v>
      </x:c>
      <x:c r="O97" t="str">
        <x:v>通过</x:v>
      </x:c>
      <x:c r="P97" t="str">
        <x:v>按预测运行时间计算；实际运营可能因上下车和路况略有波动</x:v>
      </x:c>
    </x:row>
    <x:row r="98">
      <x:c r="A98" s="14" t="str">
        <x:v>工作日</x:v>
      </x:c>
      <x:c r="B98" s="14" t="str">
        <x:v>环线2路</x:v>
      </x:c>
      <x:c r="C98" s="14" t="str">
        <x:v>第二班</x:v>
      </x:c>
      <x:c r="D98" s="14" t="str">
        <x:v>S0103</x:v>
      </x:c>
      <x:c r="E98" s="14" t="str">
        <x:v>19:30</x:v>
      </x:c>
      <x:c r="F98" s="14" t="str">
        <x:v>研究生宿舍楼</x:v>
      </x:c>
      <x:c r="G98" s="14" t="str">
        <x:v>研究生宿舍楼发车</x:v>
      </x:c>
      <x:c r="H98" s="14" t="str">
        <x:v>S0104</x:v>
      </x:c>
      <x:c r="I98" s="14" t="str">
        <x:v>19:50</x:v>
      </x:c>
      <x:c r="J98" s="14" t="str">
        <x:v>研究生宿舍楼</x:v>
      </x:c>
      <x:c r="K98" s="14" t="str">
        <x:v>研究生宿舍楼发车</x:v>
      </x:c>
      <x:c r="L98" s="14" t="n">
        <x:v>20</x:v>
      </x:c>
      <x:c r="M98" s="14" t="n">
        <x:v>12</x:v>
      </x:c>
      <x:c r="N98" s="14" t="n">
        <x:v>8</x:v>
      </x:c>
      <x:c r="O98" t="str">
        <x:v>通过</x:v>
      </x:c>
      <x:c r="P98" t="str">
        <x:v>按预测运行时间计算；实际运营可能因上下车和路况略有波动</x:v>
      </x:c>
    </x:row>
    <x:row r="99">
      <x:c r="A99" s="14" t="str">
        <x:v>工作日</x:v>
      </x:c>
      <x:c r="B99" s="14" t="str">
        <x:v>环线2路</x:v>
      </x:c>
      <x:c r="C99" s="14" t="str">
        <x:v>第二班</x:v>
      </x:c>
      <x:c r="D99" s="14" t="str">
        <x:v>S0104</x:v>
      </x:c>
      <x:c r="E99" s="14" t="str">
        <x:v>19:50</x:v>
      </x:c>
      <x:c r="F99" s="14" t="str">
        <x:v>研究生宿舍楼</x:v>
      </x:c>
      <x:c r="G99" s="14" t="str">
        <x:v>研究生宿舍楼发车</x:v>
      </x:c>
      <x:c r="H99" s="14" t="str">
        <x:v>S0105</x:v>
      </x:c>
      <x:c r="I99" s="14" t="str">
        <x:v>20:10</x:v>
      </x:c>
      <x:c r="J99" s="14" t="str">
        <x:v>研究生宿舍楼</x:v>
      </x:c>
      <x:c r="K99" s="14" t="str">
        <x:v>研究生宿舍楼发车</x:v>
      </x:c>
      <x:c r="L99" s="14" t="n">
        <x:v>20</x:v>
      </x:c>
      <x:c r="M99" s="14" t="n">
        <x:v>12</x:v>
      </x:c>
      <x:c r="N99" s="14" t="n">
        <x:v>8</x:v>
      </x:c>
      <x:c r="O99" t="str">
        <x:v>通过</x:v>
      </x:c>
      <x:c r="P99" t="str">
        <x:v>按预测运行时间计算；实际运营可能因上下车和路况略有波动</x:v>
      </x:c>
    </x:row>
    <x:row r="100">
      <x:c r="A100" s="14" t="str">
        <x:v>工作日</x:v>
      </x:c>
      <x:c r="B100" s="14" t="str">
        <x:v>环线2路</x:v>
      </x:c>
      <x:c r="C100" s="14" t="str">
        <x:v>第二班</x:v>
      </x:c>
      <x:c r="D100" s="14" t="str">
        <x:v>S0105</x:v>
      </x:c>
      <x:c r="E100" s="14" t="str">
        <x:v>20:10</x:v>
      </x:c>
      <x:c r="F100" s="14" t="str">
        <x:v>研究生宿舍楼</x:v>
      </x:c>
      <x:c r="G100" s="14" t="str">
        <x:v>研究生宿舍楼发车</x:v>
      </x:c>
      <x:c r="H100" s="14" t="str">
        <x:v>S0106</x:v>
      </x:c>
      <x:c r="I100" s="14" t="str">
        <x:v>20:40</x:v>
      </x:c>
      <x:c r="J100" s="14" t="str">
        <x:v>研究生宿舍楼</x:v>
      </x:c>
      <x:c r="K100" s="14" t="str">
        <x:v>研究生宿舍楼发车</x:v>
      </x:c>
      <x:c r="L100" s="14" t="n">
        <x:v>30</x:v>
      </x:c>
      <x:c r="M100" s="14" t="n">
        <x:v>12</x:v>
      </x:c>
      <x:c r="N100" s="14" t="n">
        <x:v>18</x:v>
      </x:c>
      <x:c r="O100" t="str">
        <x:v>通过</x:v>
      </x:c>
      <x:c r="P100" t="str">
        <x:v>按预测运行时间计算；实际运营可能因上下车和路况略有波动</x:v>
      </x:c>
    </x:row>
    <x:row r="101">
      <x:c r="A101" s="14" t="str">
        <x:v>工作日</x:v>
      </x:c>
      <x:c r="B101" s="14" t="str">
        <x:v>环线2路</x:v>
      </x:c>
      <x:c r="C101" s="14" t="str">
        <x:v>第二班</x:v>
      </x:c>
      <x:c r="D101" s="14" t="str">
        <x:v>S0106</x:v>
      </x:c>
      <x:c r="E101" s="14" t="str">
        <x:v>20:40</x:v>
      </x:c>
      <x:c r="F101" s="14" t="str">
        <x:v>研究生宿舍楼</x:v>
      </x:c>
      <x:c r="G101" s="14" t="str">
        <x:v>研究生宿舍楼发车</x:v>
      </x:c>
      <x:c r="H101" s="14" t="str">
        <x:v>S0107</x:v>
      </x:c>
      <x:c r="I101" s="14" t="str">
        <x:v>21:05</x:v>
      </x:c>
      <x:c r="J101" s="14" t="str">
        <x:v>研究生宿舍楼</x:v>
      </x:c>
      <x:c r="K101" s="14" t="str">
        <x:v>研究生宿舍楼发车</x:v>
      </x:c>
      <x:c r="L101" s="14" t="n">
        <x:v>25</x:v>
      </x:c>
      <x:c r="M101" s="14" t="n">
        <x:v>12</x:v>
      </x:c>
      <x:c r="N101" s="14" t="n">
        <x:v>13</x:v>
      </x:c>
      <x:c r="O101" t="str">
        <x:v>通过</x:v>
      </x:c>
      <x:c r="P101" t="str">
        <x:v>按预测运行时间计算；实际运营可能因上下车和路况略有波动</x:v>
      </x:c>
    </x:row>
    <x:row r="102">
      <x:c r="A102" s="14" t="str">
        <x:v>工作日</x:v>
      </x:c>
      <x:c r="B102" s="14" t="str">
        <x:v>环线2路</x:v>
      </x:c>
      <x:c r="C102" s="14" t="str">
        <x:v>第二班</x:v>
      </x:c>
      <x:c r="D102" s="14" t="str">
        <x:v>S0107</x:v>
      </x:c>
      <x:c r="E102" s="14" t="str">
        <x:v>21:05</x:v>
      </x:c>
      <x:c r="F102" s="14" t="str">
        <x:v>研究生宿舍楼</x:v>
      </x:c>
      <x:c r="G102" s="14" t="str">
        <x:v>研究生宿舍楼发车</x:v>
      </x:c>
      <x:c r="H102" s="14" t="str">
        <x:v>S0108</x:v>
      </x:c>
      <x:c r="I102" s="14" t="str">
        <x:v>21:30</x:v>
      </x:c>
      <x:c r="J102" s="14" t="str">
        <x:v>研究生宿舍楼</x:v>
      </x:c>
      <x:c r="K102" s="14" t="str">
        <x:v>研究生宿舍楼发车</x:v>
      </x:c>
      <x:c r="L102" s="14" t="n">
        <x:v>25</x:v>
      </x:c>
      <x:c r="M102" s="14" t="n">
        <x:v>12</x:v>
      </x:c>
      <x:c r="N102" s="14" t="n">
        <x:v>13</x:v>
      </x:c>
      <x:c r="O102" t="str">
        <x:v>通过</x:v>
      </x:c>
      <x:c r="P102" t="str">
        <x:v>按预测运行时间计算；实际运营可能因上下车和路况略有波动</x:v>
      </x:c>
    </x:row>
    <x:row r="103">
      <x:c r="A103" s="14" t="str">
        <x:v>工作日</x:v>
      </x:c>
      <x:c r="B103" s="14" t="str">
        <x:v>环线3路</x:v>
      </x:c>
      <x:c r="C103" s="14" t="str">
        <x:v>第一班</x:v>
      </x:c>
      <x:c r="D103" s="14" t="str">
        <x:v>S0109</x:v>
      </x:c>
      <x:c r="E103" s="14" t="str">
        <x:v>7:35</x:v>
      </x:c>
      <x:c r="F103" s="14" t="str">
        <x:v>研究生宿舍楼</x:v>
      </x:c>
      <x:c r="G103" s="14" t="str">
        <x:v>研究生宿舍楼发车</x:v>
      </x:c>
      <x:c r="H103" s="14" t="str">
        <x:v>S0110</x:v>
      </x:c>
      <x:c r="I103" s="14" t="str">
        <x:v>8:05</x:v>
      </x:c>
      <x:c r="J103" s="14" t="str">
        <x:v>研究生宿舍楼</x:v>
      </x:c>
      <x:c r="K103" s="14" t="str">
        <x:v>研究生宿舍楼发车</x:v>
      </x:c>
      <x:c r="L103" s="14" t="n">
        <x:v>30</x:v>
      </x:c>
      <x:c r="M103" s="14" t="n">
        <x:v>18</x:v>
      </x:c>
      <x:c r="N103" s="14" t="n">
        <x:v>12</x:v>
      </x:c>
      <x:c r="O103" t="str">
        <x:v>通过</x:v>
      </x:c>
      <x:c r="P103" t="str">
        <x:v>按预测运行时间计算；实际运营可能因上下车和路况略有波动</x:v>
      </x:c>
    </x:row>
    <x:row r="104">
      <x:c r="A104" s="14" t="str">
        <x:v>工作日</x:v>
      </x:c>
      <x:c r="B104" s="14" t="str">
        <x:v>环线3路</x:v>
      </x:c>
      <x:c r="C104" s="14" t="str">
        <x:v>第一班</x:v>
      </x:c>
      <x:c r="D104" s="14" t="str">
        <x:v>S0110</x:v>
      </x:c>
      <x:c r="E104" s="14" t="str">
        <x:v>8:05</x:v>
      </x:c>
      <x:c r="F104" s="14" t="str">
        <x:v>研究生宿舍楼</x:v>
      </x:c>
      <x:c r="G104" s="14" t="str">
        <x:v>研究生宿舍楼发车</x:v>
      </x:c>
      <x:c r="H104" s="14" t="str">
        <x:v>S0111</x:v>
      </x:c>
      <x:c r="I104" s="14" t="str">
        <x:v>8:35</x:v>
      </x:c>
      <x:c r="J104" s="14" t="str">
        <x:v>研究生宿舍楼</x:v>
      </x:c>
      <x:c r="K104" s="14" t="str">
        <x:v>研究生宿舍楼发车</x:v>
      </x:c>
      <x:c r="L104" s="14" t="n">
        <x:v>30</x:v>
      </x:c>
      <x:c r="M104" s="14" t="n">
        <x:v>18</x:v>
      </x:c>
      <x:c r="N104" s="14" t="n">
        <x:v>12</x:v>
      </x:c>
      <x:c r="O104" t="str">
        <x:v>通过</x:v>
      </x:c>
      <x:c r="P104" t="str">
        <x:v>按预测运行时间计算；实际运营可能因上下车和路况略有波动</x:v>
      </x:c>
    </x:row>
    <x:row r="105">
      <x:c r="A105" s="14" t="str">
        <x:v>工作日</x:v>
      </x:c>
      <x:c r="B105" s="14" t="str">
        <x:v>环线3路</x:v>
      </x:c>
      <x:c r="C105" s="14" t="str">
        <x:v>第一班</x:v>
      </x:c>
      <x:c r="D105" s="14" t="str">
        <x:v>S0111</x:v>
      </x:c>
      <x:c r="E105" s="14" t="str">
        <x:v>8:35</x:v>
      </x:c>
      <x:c r="F105" s="14" t="str">
        <x:v>研究生宿舍楼</x:v>
      </x:c>
      <x:c r="G105" s="14" t="str">
        <x:v>研究生宿舍楼发车</x:v>
      </x:c>
      <x:c r="H105" s="14" t="str">
        <x:v>S0112</x:v>
      </x:c>
      <x:c r="I105" s="14" t="str">
        <x:v>9:05</x:v>
      </x:c>
      <x:c r="J105" s="14" t="str">
        <x:v>研究生宿舍楼</x:v>
      </x:c>
      <x:c r="K105" s="14" t="str">
        <x:v>研究生宿舍楼发车</x:v>
      </x:c>
      <x:c r="L105" s="14" t="n">
        <x:v>30</x:v>
      </x:c>
      <x:c r="M105" s="14" t="n">
        <x:v>18</x:v>
      </x:c>
      <x:c r="N105" s="14" t="n">
        <x:v>12</x:v>
      </x:c>
      <x:c r="O105" t="str">
        <x:v>通过</x:v>
      </x:c>
      <x:c r="P105" t="str">
        <x:v>按预测运行时间计算；实际运营可能因上下车和路况略有波动</x:v>
      </x:c>
    </x:row>
    <x:row r="106">
      <x:c r="A106" s="14" t="str">
        <x:v>工作日</x:v>
      </x:c>
      <x:c r="B106" s="14" t="str">
        <x:v>环线3路</x:v>
      </x:c>
      <x:c r="C106" s="14" t="str">
        <x:v>第一班</x:v>
      </x:c>
      <x:c r="D106" s="14" t="str">
        <x:v>S0112</x:v>
      </x:c>
      <x:c r="E106" s="14" t="str">
        <x:v>9:05</x:v>
      </x:c>
      <x:c r="F106" s="14" t="str">
        <x:v>研究生宿舍楼</x:v>
      </x:c>
      <x:c r="G106" s="14" t="str">
        <x:v>研究生宿舍楼发车</x:v>
      </x:c>
      <x:c r="H106" s="14" t="str">
        <x:v>S0113</x:v>
      </x:c>
      <x:c r="I106" s="14" t="str">
        <x:v>10:50</x:v>
      </x:c>
      <x:c r="J106" s="14" t="str">
        <x:v>高超楼（系统工程学院旁）</x:v>
      </x:c>
      <x:c r="K106" s="14" t="str">
        <x:v>高超楼发车</x:v>
      </x:c>
      <x:c r="L106" s="14" t="n">
        <x:v>105</x:v>
      </x:c>
      <x:c r="M106" s="14" t="n">
        <x:v>9</x:v>
      </x:c>
      <x:c r="N106" s="14" t="n">
        <x:v>96</x:v>
      </x:c>
      <x:c r="O106" t="str">
        <x:v>通过</x:v>
      </x:c>
      <x:c r="P106" t="str">
        <x:v>按预测运行时间计算；实际运营可能因上下车和路况略有波动</x:v>
      </x:c>
    </x:row>
    <x:row r="107">
      <x:c r="A107" s="14" t="str">
        <x:v>工作日</x:v>
      </x:c>
      <x:c r="B107" s="14" t="str">
        <x:v>环线3路</x:v>
      </x:c>
      <x:c r="C107" s="14" t="str">
        <x:v>第一班</x:v>
      </x:c>
      <x:c r="D107" s="14" t="str">
        <x:v>S0113</x:v>
      </x:c>
      <x:c r="E107" s="14" t="str">
        <x:v>10:50</x:v>
      </x:c>
      <x:c r="F107" s="14" t="str">
        <x:v>高超楼（系统工程学院旁）</x:v>
      </x:c>
      <x:c r="G107" s="14" t="str">
        <x:v>高超楼发车</x:v>
      </x:c>
      <x:c r="H107" s="14" t="str">
        <x:v>S0114</x:v>
      </x:c>
      <x:c r="I107" s="14" t="str">
        <x:v>11:20</x:v>
      </x:c>
      <x:c r="J107" s="14" t="str">
        <x:v>研究生宿舍楼</x:v>
      </x:c>
      <x:c r="K107" s="14" t="str">
        <x:v>研究生宿舍楼发车</x:v>
      </x:c>
      <x:c r="L107" s="14" t="n">
        <x:v>30</x:v>
      </x:c>
      <x:c r="M107" s="14" t="n">
        <x:v>9</x:v>
      </x:c>
      <x:c r="N107" s="14" t="n">
        <x:v>21</x:v>
      </x:c>
      <x:c r="O107" t="str">
        <x:v>通过</x:v>
      </x:c>
      <x:c r="P107" t="str">
        <x:v>按预测运行时间计算；实际运营可能因上下车和路况略有波动</x:v>
      </x:c>
    </x:row>
    <x:row r="108">
      <x:c r="A108" s="14" t="str">
        <x:v>工作日</x:v>
      </x:c>
      <x:c r="B108" s="14" t="str">
        <x:v>环线3路</x:v>
      </x:c>
      <x:c r="C108" s="14" t="str">
        <x:v>第一班</x:v>
      </x:c>
      <x:c r="D108" s="14" t="str">
        <x:v>S0114</x:v>
      </x:c>
      <x:c r="E108" s="14" t="str">
        <x:v>11:20</x:v>
      </x:c>
      <x:c r="F108" s="14" t="str">
        <x:v>研究生宿舍楼</x:v>
      </x:c>
      <x:c r="G108" s="14" t="str">
        <x:v>研究生宿舍楼发车</x:v>
      </x:c>
      <x:c r="H108" s="14" t="str">
        <x:v>S0115</x:v>
      </x:c>
      <x:c r="I108" s="14" t="str">
        <x:v>12:05</x:v>
      </x:c>
      <x:c r="J108" s="14" t="str">
        <x:v>研究生宿舍楼</x:v>
      </x:c>
      <x:c r="K108" s="14" t="str">
        <x:v>研究生宿舍楼发车</x:v>
      </x:c>
      <x:c r="L108" s="14" t="n">
        <x:v>45</x:v>
      </x:c>
      <x:c r="M108" s="14" t="n">
        <x:v>18</x:v>
      </x:c>
      <x:c r="N108" s="14" t="n">
        <x:v>27</x:v>
      </x:c>
      <x:c r="O108" t="str">
        <x:v>通过</x:v>
      </x:c>
      <x:c r="P108" t="str">
        <x:v>按预测运行时间计算；实际运营可能因上下车和路况略有波动</x:v>
      </x:c>
    </x:row>
    <x:row r="109">
      <x:c r="A109" s="14" t="str">
        <x:v>工作日</x:v>
      </x:c>
      <x:c r="B109" s="14" t="str">
        <x:v>环线3路</x:v>
      </x:c>
      <x:c r="C109" s="14" t="str">
        <x:v>第一班</x:v>
      </x:c>
      <x:c r="D109" s="14" t="str">
        <x:v>S0115</x:v>
      </x:c>
      <x:c r="E109" s="14" t="str">
        <x:v>12:05</x:v>
      </x:c>
      <x:c r="F109" s="14" t="str">
        <x:v>研究生宿舍楼</x:v>
      </x:c>
      <x:c r="G109" s="14" t="str">
        <x:v>研究生宿舍楼发车</x:v>
      </x:c>
      <x:c r="H109" s="14" t="str">
        <x:v>S0116</x:v>
      </x:c>
      <x:c r="I109" s="14" t="str">
        <x:v>14:10</x:v>
      </x:c>
      <x:c r="J109" s="14" t="str">
        <x:v>研究生宿舍楼</x:v>
      </x:c>
      <x:c r="K109" s="14" t="str">
        <x:v>研究生宿舍楼发车</x:v>
      </x:c>
      <x:c r="L109" s="14" t="n">
        <x:v>125</x:v>
      </x:c>
      <x:c r="M109" s="14" t="n">
        <x:v>18</x:v>
      </x:c>
      <x:c r="N109" s="14" t="n">
        <x:v>107</x:v>
      </x:c>
      <x:c r="O109" t="str">
        <x:v>通过</x:v>
      </x:c>
      <x:c r="P109" t="str">
        <x:v>按预测运行时间计算；实际运营可能因上下车和路况略有波动</x:v>
      </x:c>
    </x:row>
    <x:row r="110">
      <x:c r="A110" s="14" t="str">
        <x:v>工作日</x:v>
      </x:c>
      <x:c r="B110" s="14" t="str">
        <x:v>环线3路</x:v>
      </x:c>
      <x:c r="C110" s="14" t="str">
        <x:v>第一班</x:v>
      </x:c>
      <x:c r="D110" s="14" t="str">
        <x:v>S0116</x:v>
      </x:c>
      <x:c r="E110" s="14" t="str">
        <x:v>14:10</x:v>
      </x:c>
      <x:c r="F110" s="14" t="str">
        <x:v>研究生宿舍楼</x:v>
      </x:c>
      <x:c r="G110" s="14" t="str">
        <x:v>研究生宿舍楼发车</x:v>
      </x:c>
      <x:c r="H110" s="14" t="str">
        <x:v>S0117</x:v>
      </x:c>
      <x:c r="I110" s="14" t="str">
        <x:v>14:40</x:v>
      </x:c>
      <x:c r="J110" s="14" t="str">
        <x:v>研究生宿舍楼</x:v>
      </x:c>
      <x:c r="K110" s="14" t="str">
        <x:v>研究生宿舍楼发车</x:v>
      </x:c>
      <x:c r="L110" s="14" t="n">
        <x:v>30</x:v>
      </x:c>
      <x:c r="M110" s="14" t="n">
        <x:v>18</x:v>
      </x:c>
      <x:c r="N110" s="14" t="n">
        <x:v>12</x:v>
      </x:c>
      <x:c r="O110" t="str">
        <x:v>通过</x:v>
      </x:c>
      <x:c r="P110" t="str">
        <x:v>按预测运行时间计算；实际运营可能因上下车和路况略有波动</x:v>
      </x:c>
    </x:row>
    <x:row r="111">
      <x:c r="A111" s="14" t="str">
        <x:v>工作日</x:v>
      </x:c>
      <x:c r="B111" s="14" t="str">
        <x:v>环线3路</x:v>
      </x:c>
      <x:c r="C111" s="14" t="str">
        <x:v>第一班</x:v>
      </x:c>
      <x:c r="D111" s="14" t="str">
        <x:v>S0117</x:v>
      </x:c>
      <x:c r="E111" s="14" t="str">
        <x:v>14:40</x:v>
      </x:c>
      <x:c r="F111" s="14" t="str">
        <x:v>研究生宿舍楼</x:v>
      </x:c>
      <x:c r="G111" s="14" t="str">
        <x:v>研究生宿舍楼发车</x:v>
      </x:c>
      <x:c r="H111" s="14" t="str">
        <x:v>S0118</x:v>
      </x:c>
      <x:c r="I111" s="14" t="str">
        <x:v>15:10</x:v>
      </x:c>
      <x:c r="J111" s="14" t="str">
        <x:v>研究生宿舍楼</x:v>
      </x:c>
      <x:c r="K111" s="14" t="str">
        <x:v>研究生宿舍楼发车</x:v>
      </x:c>
      <x:c r="L111" s="14" t="n">
        <x:v>30</x:v>
      </x:c>
      <x:c r="M111" s="14" t="n">
        <x:v>18</x:v>
      </x:c>
      <x:c r="N111" s="14" t="n">
        <x:v>12</x:v>
      </x:c>
      <x:c r="O111" t="str">
        <x:v>通过</x:v>
      </x:c>
      <x:c r="P111" t="str">
        <x:v>按预测运行时间计算；实际运营可能因上下车和路况略有波动</x:v>
      </x:c>
    </x:row>
    <x:row r="112">
      <x:c r="A112" s="14" t="str">
        <x:v>工作日</x:v>
      </x:c>
      <x:c r="B112" s="14" t="str">
        <x:v>环线3路</x:v>
      </x:c>
      <x:c r="C112" s="14" t="str">
        <x:v>第一班</x:v>
      </x:c>
      <x:c r="D112" s="14" t="str">
        <x:v>S0118</x:v>
      </x:c>
      <x:c r="E112" s="14" t="str">
        <x:v>15:10</x:v>
      </x:c>
      <x:c r="F112" s="14" t="str">
        <x:v>研究生宿舍楼</x:v>
      </x:c>
      <x:c r="G112" s="14" t="str">
        <x:v>研究生宿舍楼发车</x:v>
      </x:c>
      <x:c r="H112" s="14" t="str">
        <x:v>S0119</x:v>
      </x:c>
      <x:c r="I112" s="14" t="str">
        <x:v>16:00</x:v>
      </x:c>
      <x:c r="J112" s="14" t="str">
        <x:v>研究生宿舍楼</x:v>
      </x:c>
      <x:c r="K112" s="14" t="str">
        <x:v>研究生宿舍楼发车</x:v>
      </x:c>
      <x:c r="L112" s="14" t="n">
        <x:v>50</x:v>
      </x:c>
      <x:c r="M112" s="14" t="n">
        <x:v>18</x:v>
      </x:c>
      <x:c r="N112" s="14" t="n">
        <x:v>32</x:v>
      </x:c>
      <x:c r="O112" t="str">
        <x:v>通过</x:v>
      </x:c>
      <x:c r="P112" t="str">
        <x:v>按预测运行时间计算；实际运营可能因上下车和路况略有波动</x:v>
      </x:c>
    </x:row>
    <x:row r="113">
      <x:c r="A113" s="14" t="str">
        <x:v>工作日</x:v>
      </x:c>
      <x:c r="B113" s="14" t="str">
        <x:v>环线3路</x:v>
      </x:c>
      <x:c r="C113" s="14" t="str">
        <x:v>第一班</x:v>
      </x:c>
      <x:c r="D113" s="14" t="str">
        <x:v>S0119</x:v>
      </x:c>
      <x:c r="E113" s="14" t="str">
        <x:v>16:00</x:v>
      </x:c>
      <x:c r="F113" s="14" t="str">
        <x:v>研究生宿舍楼</x:v>
      </x:c>
      <x:c r="G113" s="14" t="str">
        <x:v>研究生宿舍楼发车</x:v>
      </x:c>
      <x:c r="H113" s="14" t="str">
        <x:v>S0120</x:v>
      </x:c>
      <x:c r="I113" s="14" t="str">
        <x:v>16:35</x:v>
      </x:c>
      <x:c r="J113" s="14" t="str">
        <x:v>研究生宿舍楼</x:v>
      </x:c>
      <x:c r="K113" s="14" t="str">
        <x:v>研究生宿舍楼发车</x:v>
      </x:c>
      <x:c r="L113" s="14" t="n">
        <x:v>35</x:v>
      </x:c>
      <x:c r="M113" s="14" t="n">
        <x:v>18</x:v>
      </x:c>
      <x:c r="N113" s="14" t="n">
        <x:v>17</x:v>
      </x:c>
      <x:c r="O113" t="str">
        <x:v>通过</x:v>
      </x:c>
      <x:c r="P113" t="str">
        <x:v>按预测运行时间计算；实际运营可能因上下车和路况略有波动</x:v>
      </x:c>
    </x:row>
    <x:row r="114">
      <x:c r="A114" s="14" t="str">
        <x:v>工作日</x:v>
      </x:c>
      <x:c r="B114" s="14" t="str">
        <x:v>环线3路</x:v>
      </x:c>
      <x:c r="C114" s="14" t="str">
        <x:v>第一班</x:v>
      </x:c>
      <x:c r="D114" s="14" t="str">
        <x:v>S0120</x:v>
      </x:c>
      <x:c r="E114" s="14" t="str">
        <x:v>16:35</x:v>
      </x:c>
      <x:c r="F114" s="14" t="str">
        <x:v>研究生宿舍楼</x:v>
      </x:c>
      <x:c r="G114" s="14" t="str">
        <x:v>研究生宿舍楼发车</x:v>
      </x:c>
      <x:c r="H114" s="14" t="str">
        <x:v>S0121</x:v>
      </x:c>
      <x:c r="I114" s="14" t="str">
        <x:v>17:00</x:v>
      </x:c>
      <x:c r="J114" s="14" t="str">
        <x:v>研究生宿舍楼</x:v>
      </x:c>
      <x:c r="K114" s="14" t="str">
        <x:v>研究生宿舍楼发车</x:v>
      </x:c>
      <x:c r="L114" s="14" t="n">
        <x:v>25</x:v>
      </x:c>
      <x:c r="M114" s="14" t="n">
        <x:v>18</x:v>
      </x:c>
      <x:c r="N114" s="14" t="n">
        <x:v>7</x:v>
      </x:c>
      <x:c r="O114" t="str">
        <x:v>通过</x:v>
      </x:c>
      <x:c r="P114" t="str">
        <x:v>按预测运行时间计算；实际运营可能因上下车和路况略有波动</x:v>
      </x:c>
    </x:row>
    <x:row r="115">
      <x:c r="A115" s="14" t="str">
        <x:v>工作日</x:v>
      </x:c>
      <x:c r="B115" s="14" t="str">
        <x:v>环线3路</x:v>
      </x:c>
      <x:c r="C115" s="14" t="str">
        <x:v>第三班</x:v>
      </x:c>
      <x:c r="D115" s="14" t="str">
        <x:v>S0122</x:v>
      </x:c>
      <x:c r="E115" s="14" t="str">
        <x:v>7:55</x:v>
      </x:c>
      <x:c r="F115" s="14" t="str">
        <x:v>研究生宿舍楼</x:v>
      </x:c>
      <x:c r="G115" s="14" t="str">
        <x:v>研究生宿舍楼发车</x:v>
      </x:c>
      <x:c r="H115" s="14" t="str">
        <x:v>S0123</x:v>
      </x:c>
      <x:c r="I115" s="14" t="str">
        <x:v>8:25</x:v>
      </x:c>
      <x:c r="J115" s="14" t="str">
        <x:v>研究生宿舍楼</x:v>
      </x:c>
      <x:c r="K115" s="14" t="str">
        <x:v>研究生宿舍楼发车</x:v>
      </x:c>
      <x:c r="L115" s="14" t="n">
        <x:v>30</x:v>
      </x:c>
      <x:c r="M115" s="14" t="n">
        <x:v>18</x:v>
      </x:c>
      <x:c r="N115" s="14" t="n">
        <x:v>12</x:v>
      </x:c>
      <x:c r="O115" t="str">
        <x:v>通过</x:v>
      </x:c>
      <x:c r="P115" t="str">
        <x:v>按预测运行时间计算；实际运营可能因上下车和路况略有波动</x:v>
      </x:c>
    </x:row>
    <x:row r="116">
      <x:c r="A116" s="14" t="str">
        <x:v>工作日</x:v>
      </x:c>
      <x:c r="B116" s="14" t="str">
        <x:v>环线3路</x:v>
      </x:c>
      <x:c r="C116" s="14" t="str">
        <x:v>第三班</x:v>
      </x:c>
      <x:c r="D116" s="14" t="str">
        <x:v>S0123</x:v>
      </x:c>
      <x:c r="E116" s="14" t="str">
        <x:v>8:25</x:v>
      </x:c>
      <x:c r="F116" s="14" t="str">
        <x:v>研究生宿舍楼</x:v>
      </x:c>
      <x:c r="G116" s="14" t="str">
        <x:v>研究生宿舍楼发车</x:v>
      </x:c>
      <x:c r="H116" s="14" t="str">
        <x:v>S0124</x:v>
      </x:c>
      <x:c r="I116" s="14" t="str">
        <x:v>8:55</x:v>
      </x:c>
      <x:c r="J116" s="14" t="str">
        <x:v>研究生宿舍楼</x:v>
      </x:c>
      <x:c r="K116" s="14" t="str">
        <x:v>研究生宿舍楼发车</x:v>
      </x:c>
      <x:c r="L116" s="14" t="n">
        <x:v>30</x:v>
      </x:c>
      <x:c r="M116" s="14" t="n">
        <x:v>18</x:v>
      </x:c>
      <x:c r="N116" s="14" t="n">
        <x:v>12</x:v>
      </x:c>
      <x:c r="O116" t="str">
        <x:v>通过</x:v>
      </x:c>
      <x:c r="P116" t="str">
        <x:v>按预测运行时间计算；实际运营可能因上下车和路况略有波动</x:v>
      </x:c>
    </x:row>
    <x:row r="117">
      <x:c r="A117" s="14" t="str">
        <x:v>工作日</x:v>
      </x:c>
      <x:c r="B117" s="14" t="str">
        <x:v>环线3路</x:v>
      </x:c>
      <x:c r="C117" s="14" t="str">
        <x:v>第三班</x:v>
      </x:c>
      <x:c r="D117" s="14" t="str">
        <x:v>S0124</x:v>
      </x:c>
      <x:c r="E117" s="14" t="str">
        <x:v>8:55</x:v>
      </x:c>
      <x:c r="F117" s="14" t="str">
        <x:v>研究生宿舍楼</x:v>
      </x:c>
      <x:c r="G117" s="14" t="str">
        <x:v>研究生宿舍楼发车</x:v>
      </x:c>
      <x:c r="H117" s="14" t="str">
        <x:v>S0125</x:v>
      </x:c>
      <x:c r="I117" s="14" t="str">
        <x:v>9:35</x:v>
      </x:c>
      <x:c r="J117" s="14" t="str">
        <x:v>研究生宿舍楼</x:v>
      </x:c>
      <x:c r="K117" s="14" t="str">
        <x:v>研究生宿舍楼发车</x:v>
      </x:c>
      <x:c r="L117" s="14" t="n">
        <x:v>40</x:v>
      </x:c>
      <x:c r="M117" s="14" t="n">
        <x:v>18</x:v>
      </x:c>
      <x:c r="N117" s="14" t="n">
        <x:v>22</x:v>
      </x:c>
      <x:c r="O117" t="str">
        <x:v>通过</x:v>
      </x:c>
      <x:c r="P117" t="str">
        <x:v>按预测运行时间计算；实际运营可能因上下车和路况略有波动</x:v>
      </x:c>
    </x:row>
    <x:row r="118">
      <x:c r="A118" s="14" t="str">
        <x:v>工作日</x:v>
      </x:c>
      <x:c r="B118" s="14" t="str">
        <x:v>环线3路</x:v>
      </x:c>
      <x:c r="C118" s="14" t="str">
        <x:v>第三班</x:v>
      </x:c>
      <x:c r="D118" s="14" t="str">
        <x:v>S0125</x:v>
      </x:c>
      <x:c r="E118" s="14" t="str">
        <x:v>9:35</x:v>
      </x:c>
      <x:c r="F118" s="14" t="str">
        <x:v>研究生宿舍楼</x:v>
      </x:c>
      <x:c r="G118" s="14" t="str">
        <x:v>研究生宿舍楼发车</x:v>
      </x:c>
      <x:c r="H118" s="14" t="str">
        <x:v>S0126</x:v>
      </x:c>
      <x:c r="I118" s="14" t="str">
        <x:v>10:10</x:v>
      </x:c>
      <x:c r="J118" s="14" t="str">
        <x:v>研究生宿舍楼</x:v>
      </x:c>
      <x:c r="K118" s="14" t="str">
        <x:v>研究生宿舍楼发车</x:v>
      </x:c>
      <x:c r="L118" s="14" t="n">
        <x:v>35</x:v>
      </x:c>
      <x:c r="M118" s="14" t="n">
        <x:v>18</x:v>
      </x:c>
      <x:c r="N118" s="14" t="n">
        <x:v>17</x:v>
      </x:c>
      <x:c r="O118" t="str">
        <x:v>通过</x:v>
      </x:c>
      <x:c r="P118" t="str">
        <x:v>按预测运行时间计算；实际运营可能因上下车和路况略有波动</x:v>
      </x:c>
    </x:row>
    <x:row r="119">
      <x:c r="A119" s="14" t="str">
        <x:v>工作日</x:v>
      </x:c>
      <x:c r="B119" s="14" t="str">
        <x:v>环线3路</x:v>
      </x:c>
      <x:c r="C119" s="14" t="str">
        <x:v>第三班</x:v>
      </x:c>
      <x:c r="D119" s="14" t="str">
        <x:v>S0126</x:v>
      </x:c>
      <x:c r="E119" s="14" t="str">
        <x:v>10:10</x:v>
      </x:c>
      <x:c r="F119" s="14" t="str">
        <x:v>研究生宿舍楼</x:v>
      </x:c>
      <x:c r="G119" s="14" t="str">
        <x:v>研究生宿舍楼发车</x:v>
      </x:c>
      <x:c r="H119" s="14" t="str">
        <x:v>S0127</x:v>
      </x:c>
      <x:c r="I119" s="14" t="str">
        <x:v>10:45</x:v>
      </x:c>
      <x:c r="J119" s="14" t="str">
        <x:v>高超楼（系统工程学院旁）</x:v>
      </x:c>
      <x:c r="K119" s="14" t="str">
        <x:v>高超楼发车</x:v>
      </x:c>
      <x:c r="L119" s="14" t="n">
        <x:v>35</x:v>
      </x:c>
      <x:c r="M119" s="14" t="n">
        <x:v>9</x:v>
      </x:c>
      <x:c r="N119" s="14" t="n">
        <x:v>26</x:v>
      </x:c>
      <x:c r="O119" t="str">
        <x:v>通过</x:v>
      </x:c>
      <x:c r="P119" t="str">
        <x:v>按预测运行时间计算；实际运营可能因上下车和路况略有波动</x:v>
      </x:c>
    </x:row>
    <x:row r="120">
      <x:c r="A120" s="14" t="str">
        <x:v>工作日</x:v>
      </x:c>
      <x:c r="B120" s="14" t="str">
        <x:v>环线3路</x:v>
      </x:c>
      <x:c r="C120" s="14" t="str">
        <x:v>第三班</x:v>
      </x:c>
      <x:c r="D120" s="14" t="str">
        <x:v>S0127</x:v>
      </x:c>
      <x:c r="E120" s="14" t="str">
        <x:v>10:45</x:v>
      </x:c>
      <x:c r="F120" s="14" t="str">
        <x:v>高超楼（系统工程学院旁）</x:v>
      </x:c>
      <x:c r="G120" s="14" t="str">
        <x:v>高超楼发车</x:v>
      </x:c>
      <x:c r="H120" s="14" t="str">
        <x:v>S0128</x:v>
      </x:c>
      <x:c r="I120" s="14" t="str">
        <x:v>11:35</x:v>
      </x:c>
      <x:c r="J120" s="14" t="str">
        <x:v>研究生宿舍楼</x:v>
      </x:c>
      <x:c r="K120" s="14" t="str">
        <x:v>研究生宿舍楼发车</x:v>
      </x:c>
      <x:c r="L120" s="14" t="n">
        <x:v>50</x:v>
      </x:c>
      <x:c r="M120" s="14" t="n">
        <x:v>9</x:v>
      </x:c>
      <x:c r="N120" s="14" t="n">
        <x:v>41</x:v>
      </x:c>
      <x:c r="O120" t="str">
        <x:v>通过</x:v>
      </x:c>
      <x:c r="P120" t="str">
        <x:v>按预测运行时间计算；实际运营可能因上下车和路况略有波动</x:v>
      </x:c>
    </x:row>
    <x:row r="121">
      <x:c r="A121" s="14" t="str">
        <x:v>工作日</x:v>
      </x:c>
      <x:c r="B121" s="14" t="str">
        <x:v>环线3路</x:v>
      </x:c>
      <x:c r="C121" s="14" t="str">
        <x:v>第三班</x:v>
      </x:c>
      <x:c r="D121" s="14" t="str">
        <x:v>S0128</x:v>
      </x:c>
      <x:c r="E121" s="14" t="str">
        <x:v>11:35</x:v>
      </x:c>
      <x:c r="F121" s="14" t="str">
        <x:v>研究生宿舍楼</x:v>
      </x:c>
      <x:c r="G121" s="14" t="str">
        <x:v>研究生宿舍楼发车</x:v>
      </x:c>
      <x:c r="H121" s="14" t="str">
        <x:v>S0129</x:v>
      </x:c>
      <x:c r="I121" s="14" t="str">
        <x:v>12:20</x:v>
      </x:c>
      <x:c r="J121" s="14" t="str">
        <x:v>研究生宿舍楼</x:v>
      </x:c>
      <x:c r="K121" s="14" t="str">
        <x:v>研究生宿舍楼发车</x:v>
      </x:c>
      <x:c r="L121" s="14" t="n">
        <x:v>45</x:v>
      </x:c>
      <x:c r="M121" s="14" t="n">
        <x:v>18</x:v>
      </x:c>
      <x:c r="N121" s="14" t="n">
        <x:v>27</x:v>
      </x:c>
      <x:c r="O121" t="str">
        <x:v>通过</x:v>
      </x:c>
      <x:c r="P121" t="str">
        <x:v>按预测运行时间计算；实际运营可能因上下车和路况略有波动</x:v>
      </x:c>
    </x:row>
    <x:row r="122">
      <x:c r="A122" s="14" t="str">
        <x:v>工作日</x:v>
      </x:c>
      <x:c r="B122" s="14" t="str">
        <x:v>环线3路</x:v>
      </x:c>
      <x:c r="C122" s="14" t="str">
        <x:v>第三班</x:v>
      </x:c>
      <x:c r="D122" s="14" t="str">
        <x:v>S0129</x:v>
      </x:c>
      <x:c r="E122" s="14" t="str">
        <x:v>12:20</x:v>
      </x:c>
      <x:c r="F122" s="14" t="str">
        <x:v>研究生宿舍楼</x:v>
      </x:c>
      <x:c r="G122" s="14" t="str">
        <x:v>研究生宿舍楼发车</x:v>
      </x:c>
      <x:c r="H122" s="14" t="str">
        <x:v>S0130</x:v>
      </x:c>
      <x:c r="I122" s="14" t="str">
        <x:v>14:25</x:v>
      </x:c>
      <x:c r="J122" s="14" t="str">
        <x:v>研究生宿舍楼</x:v>
      </x:c>
      <x:c r="K122" s="14" t="str">
        <x:v>研究生宿舍楼发车</x:v>
      </x:c>
      <x:c r="L122" s="14" t="n">
        <x:v>125</x:v>
      </x:c>
      <x:c r="M122" s="14" t="n">
        <x:v>18</x:v>
      </x:c>
      <x:c r="N122" s="14" t="n">
        <x:v>107</x:v>
      </x:c>
      <x:c r="O122" t="str">
        <x:v>通过</x:v>
      </x:c>
      <x:c r="P122" t="str">
        <x:v>按预测运行时间计算；实际运营可能因上下车和路况略有波动</x:v>
      </x:c>
    </x:row>
    <x:row r="123">
      <x:c r="A123" s="14" t="str">
        <x:v>工作日</x:v>
      </x:c>
      <x:c r="B123" s="14" t="str">
        <x:v>环线3路</x:v>
      </x:c>
      <x:c r="C123" s="14" t="str">
        <x:v>第三班</x:v>
      </x:c>
      <x:c r="D123" s="14" t="str">
        <x:v>S0130</x:v>
      </x:c>
      <x:c r="E123" s="14" t="str">
        <x:v>14:25</x:v>
      </x:c>
      <x:c r="F123" s="14" t="str">
        <x:v>研究生宿舍楼</x:v>
      </x:c>
      <x:c r="G123" s="14" t="str">
        <x:v>研究生宿舍楼发车</x:v>
      </x:c>
      <x:c r="H123" s="14" t="str">
        <x:v>S0131</x:v>
      </x:c>
      <x:c r="I123" s="14" t="str">
        <x:v>15:00</x:v>
      </x:c>
      <x:c r="J123" s="14" t="str">
        <x:v>研究生宿舍楼</x:v>
      </x:c>
      <x:c r="K123" s="14" t="str">
        <x:v>研究生宿舍楼发车</x:v>
      </x:c>
      <x:c r="L123" s="14" t="n">
        <x:v>35</x:v>
      </x:c>
      <x:c r="M123" s="14" t="n">
        <x:v>18</x:v>
      </x:c>
      <x:c r="N123" s="14" t="n">
        <x:v>17</x:v>
      </x:c>
      <x:c r="O123" t="str">
        <x:v>通过</x:v>
      </x:c>
      <x:c r="P123" t="str">
        <x:v>按预测运行时间计算；实际运营可能因上下车和路况略有波动</x:v>
      </x:c>
    </x:row>
    <x:row r="124">
      <x:c r="A124" s="14" t="str">
        <x:v>工作日</x:v>
      </x:c>
      <x:c r="B124" s="14" t="str">
        <x:v>环线3路</x:v>
      </x:c>
      <x:c r="C124" s="14" t="str">
        <x:v>第三班</x:v>
      </x:c>
      <x:c r="D124" s="14" t="str">
        <x:v>S0131</x:v>
      </x:c>
      <x:c r="E124" s="14" t="str">
        <x:v>15:00</x:v>
      </x:c>
      <x:c r="F124" s="14" t="str">
        <x:v>研究生宿舍楼</x:v>
      </x:c>
      <x:c r="G124" s="14" t="str">
        <x:v>研究生宿舍楼发车</x:v>
      </x:c>
      <x:c r="H124" s="14" t="str">
        <x:v>S0132</x:v>
      </x:c>
      <x:c r="I124" s="14" t="str">
        <x:v>15:45</x:v>
      </x:c>
      <x:c r="J124" s="14" t="str">
        <x:v>研究生宿舍楼</x:v>
      </x:c>
      <x:c r="K124" s="14" t="str">
        <x:v>研究生宿舍楼发车</x:v>
      </x:c>
      <x:c r="L124" s="14" t="n">
        <x:v>45</x:v>
      </x:c>
      <x:c r="M124" s="14" t="n">
        <x:v>18</x:v>
      </x:c>
      <x:c r="N124" s="14" t="n">
        <x:v>27</x:v>
      </x:c>
      <x:c r="O124" t="str">
        <x:v>通过</x:v>
      </x:c>
      <x:c r="P124" t="str">
        <x:v>按预测运行时间计算；实际运营可能因上下车和路况略有波动</x:v>
      </x:c>
    </x:row>
    <x:row r="125">
      <x:c r="A125" s="14" t="str">
        <x:v>工作日</x:v>
      </x:c>
      <x:c r="B125" s="14" t="str">
        <x:v>环线3路</x:v>
      </x:c>
      <x:c r="C125" s="14" t="str">
        <x:v>第三班</x:v>
      </x:c>
      <x:c r="D125" s="14" t="str">
        <x:v>S0132</x:v>
      </x:c>
      <x:c r="E125" s="14" t="str">
        <x:v>15:45</x:v>
      </x:c>
      <x:c r="F125" s="14" t="str">
        <x:v>研究生宿舍楼</x:v>
      </x:c>
      <x:c r="G125" s="14" t="str">
        <x:v>研究生宿舍楼发车</x:v>
      </x:c>
      <x:c r="H125" s="14" t="str">
        <x:v>S0133</x:v>
      </x:c>
      <x:c r="I125" s="14" t="str">
        <x:v>17:10</x:v>
      </x:c>
      <x:c r="J125" s="14" t="str">
        <x:v>研究生宿舍楼</x:v>
      </x:c>
      <x:c r="K125" s="14" t="str">
        <x:v>研究生宿舍楼发车</x:v>
      </x:c>
      <x:c r="L125" s="14" t="n">
        <x:v>85</x:v>
      </x:c>
      <x:c r="M125" s="14" t="n">
        <x:v>18</x:v>
      </x:c>
      <x:c r="N125" s="14" t="n">
        <x:v>67</x:v>
      </x:c>
      <x:c r="O125" t="str">
        <x:v>通过</x:v>
      </x:c>
      <x:c r="P125" t="str">
        <x:v>按预测运行时间计算；实际运营可能因上下车和路况略有波动</x:v>
      </x:c>
    </x:row>
    <x:row r="126">
      <x:c r="A126" s="14" t="str">
        <x:v>工作日</x:v>
      </x:c>
      <x:c r="B126" s="14" t="str">
        <x:v>环线3路</x:v>
      </x:c>
      <x:c r="C126" s="14" t="str">
        <x:v>第三班</x:v>
      </x:c>
      <x:c r="D126" s="14" t="str">
        <x:v>S0133</x:v>
      </x:c>
      <x:c r="E126" s="14" t="str">
        <x:v>17:10</x:v>
      </x:c>
      <x:c r="F126" s="14" t="str">
        <x:v>研究生宿舍楼</x:v>
      </x:c>
      <x:c r="G126" s="14" t="str">
        <x:v>研究生宿舍楼发车</x:v>
      </x:c>
      <x:c r="H126" s="14" t="str">
        <x:v>S0134</x:v>
      </x:c>
      <x:c r="I126" s="14" t="str">
        <x:v>17:40</x:v>
      </x:c>
      <x:c r="J126" s="14" t="str">
        <x:v>研究生宿舍楼</x:v>
      </x:c>
      <x:c r="K126" s="14" t="str">
        <x:v>研究生宿舍楼发车</x:v>
      </x:c>
      <x:c r="L126" s="14" t="n">
        <x:v>30</x:v>
      </x:c>
      <x:c r="M126" s="14" t="n">
        <x:v>18</x:v>
      </x:c>
      <x:c r="N126" s="14" t="n">
        <x:v>12</x:v>
      </x:c>
      <x:c r="O126" t="str">
        <x:v>通过</x:v>
      </x:c>
      <x:c r="P126" t="str">
        <x:v>按预测运行时间计算；实际运营可能因上下车和路况略有波动</x:v>
      </x:c>
    </x:row>
    <x:row r="127">
      <x:c r="A127" s="14" t="str">
        <x:v>工作日</x:v>
      </x:c>
      <x:c r="B127" s="14" t="str">
        <x:v>环线3路</x:v>
      </x:c>
      <x:c r="C127" s="14" t="str">
        <x:v>第二班</x:v>
      </x:c>
      <x:c r="D127" s="14" t="str">
        <x:v>S0135</x:v>
      </x:c>
      <x:c r="E127" s="14" t="str">
        <x:v>7:45</x:v>
      </x:c>
      <x:c r="F127" s="14" t="str">
        <x:v>研究生宿舍楼</x:v>
      </x:c>
      <x:c r="G127" s="14" t="str">
        <x:v>研究生宿舍楼发车</x:v>
      </x:c>
      <x:c r="H127" s="14" t="str">
        <x:v>S0136</x:v>
      </x:c>
      <x:c r="I127" s="14" t="str">
        <x:v>8:15</x:v>
      </x:c>
      <x:c r="J127" s="14" t="str">
        <x:v>研究生宿舍楼</x:v>
      </x:c>
      <x:c r="K127" s="14" t="str">
        <x:v>研究生宿舍楼发车</x:v>
      </x:c>
      <x:c r="L127" s="14" t="n">
        <x:v>30</x:v>
      </x:c>
      <x:c r="M127" s="14" t="n">
        <x:v>18</x:v>
      </x:c>
      <x:c r="N127" s="14" t="n">
        <x:v>12</x:v>
      </x:c>
      <x:c r="O127" t="str">
        <x:v>通过</x:v>
      </x:c>
      <x:c r="P127" t="str">
        <x:v>按预测运行时间计算；实际运营可能因上下车和路况略有波动</x:v>
      </x:c>
    </x:row>
    <x:row r="128">
      <x:c r="A128" s="14" t="str">
        <x:v>工作日</x:v>
      </x:c>
      <x:c r="B128" s="14" t="str">
        <x:v>环线3路</x:v>
      </x:c>
      <x:c r="C128" s="14" t="str">
        <x:v>第二班</x:v>
      </x:c>
      <x:c r="D128" s="14" t="str">
        <x:v>S0136</x:v>
      </x:c>
      <x:c r="E128" s="14" t="str">
        <x:v>8:15</x:v>
      </x:c>
      <x:c r="F128" s="14" t="str">
        <x:v>研究生宿舍楼</x:v>
      </x:c>
      <x:c r="G128" s="14" t="str">
        <x:v>研究生宿舍楼发车</x:v>
      </x:c>
      <x:c r="H128" s="14" t="str">
        <x:v>S0137</x:v>
      </x:c>
      <x:c r="I128" s="14" t="str">
        <x:v>8:45</x:v>
      </x:c>
      <x:c r="J128" s="14" t="str">
        <x:v>研究生宿舍楼</x:v>
      </x:c>
      <x:c r="K128" s="14" t="str">
        <x:v>研究生宿舍楼发车</x:v>
      </x:c>
      <x:c r="L128" s="14" t="n">
        <x:v>30</x:v>
      </x:c>
      <x:c r="M128" s="14" t="n">
        <x:v>18</x:v>
      </x:c>
      <x:c r="N128" s="14" t="n">
        <x:v>12</x:v>
      </x:c>
      <x:c r="O128" t="str">
        <x:v>通过</x:v>
      </x:c>
      <x:c r="P128" t="str">
        <x:v>按预测运行时间计算；实际运营可能因上下车和路况略有波动</x:v>
      </x:c>
    </x:row>
    <x:row r="129">
      <x:c r="A129" s="14" t="str">
        <x:v>工作日</x:v>
      </x:c>
      <x:c r="B129" s="14" t="str">
        <x:v>环线3路</x:v>
      </x:c>
      <x:c r="C129" s="14" t="str">
        <x:v>第二班</x:v>
      </x:c>
      <x:c r="D129" s="14" t="str">
        <x:v>S0137</x:v>
      </x:c>
      <x:c r="E129" s="14" t="str">
        <x:v>8:45</x:v>
      </x:c>
      <x:c r="F129" s="14" t="str">
        <x:v>研究生宿舍楼</x:v>
      </x:c>
      <x:c r="G129" s="14" t="str">
        <x:v>研究生宿舍楼发车</x:v>
      </x:c>
      <x:c r="H129" s="14" t="str">
        <x:v>S0138</x:v>
      </x:c>
      <x:c r="I129" s="14" t="str">
        <x:v>9:20</x:v>
      </x:c>
      <x:c r="J129" s="14" t="str">
        <x:v>研究生宿舍楼</x:v>
      </x:c>
      <x:c r="K129" s="14" t="str">
        <x:v>研究生宿舍楼发车</x:v>
      </x:c>
      <x:c r="L129" s="14" t="n">
        <x:v>35</x:v>
      </x:c>
      <x:c r="M129" s="14" t="n">
        <x:v>18</x:v>
      </x:c>
      <x:c r="N129" s="14" t="n">
        <x:v>17</x:v>
      </x:c>
      <x:c r="O129" t="str">
        <x:v>通过</x:v>
      </x:c>
      <x:c r="P129" t="str">
        <x:v>按预测运行时间计算；实际运营可能因上下车和路况略有波动</x:v>
      </x:c>
    </x:row>
    <x:row r="130">
      <x:c r="A130" s="14" t="str">
        <x:v>工作日</x:v>
      </x:c>
      <x:c r="B130" s="14" t="str">
        <x:v>环线3路</x:v>
      </x:c>
      <x:c r="C130" s="14" t="str">
        <x:v>第二班</x:v>
      </x:c>
      <x:c r="D130" s="14" t="str">
        <x:v>S0138</x:v>
      </x:c>
      <x:c r="E130" s="14" t="str">
        <x:v>9:20</x:v>
      </x:c>
      <x:c r="F130" s="14" t="str">
        <x:v>研究生宿舍楼</x:v>
      </x:c>
      <x:c r="G130" s="14" t="str">
        <x:v>研究生宿舍楼发车</x:v>
      </x:c>
      <x:c r="H130" s="14" t="str">
        <x:v>S0139</x:v>
      </x:c>
      <x:c r="I130" s="14" t="str">
        <x:v>9:50</x:v>
      </x:c>
      <x:c r="J130" s="14" t="str">
        <x:v>研究生宿舍楼</x:v>
      </x:c>
      <x:c r="K130" s="14" t="str">
        <x:v>研究生宿舍楼发车</x:v>
      </x:c>
      <x:c r="L130" s="14" t="n">
        <x:v>30</x:v>
      </x:c>
      <x:c r="M130" s="14" t="n">
        <x:v>18</x:v>
      </x:c>
      <x:c r="N130" s="14" t="n">
        <x:v>12</x:v>
      </x:c>
      <x:c r="O130" t="str">
        <x:v>通过</x:v>
      </x:c>
      <x:c r="P130" t="str">
        <x:v>按预测运行时间计算；实际运营可能因上下车和路况略有波动</x:v>
      </x:c>
    </x:row>
    <x:row r="131">
      <x:c r="A131" s="14" t="str">
        <x:v>工作日</x:v>
      </x:c>
      <x:c r="B131" s="14" t="str">
        <x:v>环线3路</x:v>
      </x:c>
      <x:c r="C131" s="14" t="str">
        <x:v>第二班</x:v>
      </x:c>
      <x:c r="D131" s="14" t="str">
        <x:v>S0139</x:v>
      </x:c>
      <x:c r="E131" s="14" t="str">
        <x:v>9:50</x:v>
      </x:c>
      <x:c r="F131" s="14" t="str">
        <x:v>研究生宿舍楼</x:v>
      </x:c>
      <x:c r="G131" s="14" t="str">
        <x:v>研究生宿舍楼发车</x:v>
      </x:c>
      <x:c r="H131" s="14" t="str">
        <x:v>S0140</x:v>
      </x:c>
      <x:c r="I131" s="14" t="str">
        <x:v>10:30</x:v>
      </x:c>
      <x:c r="J131" s="14" t="str">
        <x:v>研究生宿舍楼</x:v>
      </x:c>
      <x:c r="K131" s="14" t="str">
        <x:v>研究生宿舍楼发车</x:v>
      </x:c>
      <x:c r="L131" s="14" t="n">
        <x:v>40</x:v>
      </x:c>
      <x:c r="M131" s="14" t="n">
        <x:v>18</x:v>
      </x:c>
      <x:c r="N131" s="14" t="n">
        <x:v>22</x:v>
      </x:c>
      <x:c r="O131" t="str">
        <x:v>通过</x:v>
      </x:c>
      <x:c r="P131" t="str">
        <x:v>按预测运行时间计算；实际运营可能因上下车和路况略有波动</x:v>
      </x:c>
    </x:row>
    <x:row r="132">
      <x:c r="A132" s="14" t="str">
        <x:v>工作日</x:v>
      </x:c>
      <x:c r="B132" s="14" t="str">
        <x:v>环线3路</x:v>
      </x:c>
      <x:c r="C132" s="14" t="str">
        <x:v>第二班</x:v>
      </x:c>
      <x:c r="D132" s="14" t="str">
        <x:v>S0140</x:v>
      </x:c>
      <x:c r="E132" s="14" t="str">
        <x:v>10:30</x:v>
      </x:c>
      <x:c r="F132" s="14" t="str">
        <x:v>研究生宿舍楼</x:v>
      </x:c>
      <x:c r="G132" s="14" t="str">
        <x:v>研究生宿舍楼发车</x:v>
      </x:c>
      <x:c r="H132" s="14" t="str">
        <x:v>S0141</x:v>
      </x:c>
      <x:c r="I132" s="14" t="str">
        <x:v>11:00</x:v>
      </x:c>
      <x:c r="J132" s="14" t="str">
        <x:v>研究生宿舍楼</x:v>
      </x:c>
      <x:c r="K132" s="14" t="str">
        <x:v>研究生宿舍楼发车</x:v>
      </x:c>
      <x:c r="L132" s="14" t="n">
        <x:v>30</x:v>
      </x:c>
      <x:c r="M132" s="14" t="n">
        <x:v>18</x:v>
      </x:c>
      <x:c r="N132" s="14" t="n">
        <x:v>12</x:v>
      </x:c>
      <x:c r="O132" t="str">
        <x:v>通过</x:v>
      </x:c>
      <x:c r="P132" t="str">
        <x:v>按预测运行时间计算；实际运营可能因上下车和路况略有波动</x:v>
      </x:c>
    </x:row>
    <x:row r="133">
      <x:c r="A133" s="14" t="str">
        <x:v>工作日</x:v>
      </x:c>
      <x:c r="B133" s="14" t="str">
        <x:v>环线3路</x:v>
      </x:c>
      <x:c r="C133" s="14" t="str">
        <x:v>第二班</x:v>
      </x:c>
      <x:c r="D133" s="14" t="str">
        <x:v>S0141</x:v>
      </x:c>
      <x:c r="E133" s="14" t="str">
        <x:v>11:00</x:v>
      </x:c>
      <x:c r="F133" s="14" t="str">
        <x:v>研究生宿舍楼</x:v>
      </x:c>
      <x:c r="G133" s="14" t="str">
        <x:v>研究生宿舍楼发车</x:v>
      </x:c>
      <x:c r="H133" s="14" t="str">
        <x:v>S0142</x:v>
      </x:c>
      <x:c r="I133" s="14" t="str">
        <x:v>11:45</x:v>
      </x:c>
      <x:c r="J133" s="14" t="str">
        <x:v>研究生宿舍楼</x:v>
      </x:c>
      <x:c r="K133" s="14" t="str">
        <x:v>研究生宿舍楼发车</x:v>
      </x:c>
      <x:c r="L133" s="14" t="n">
        <x:v>45</x:v>
      </x:c>
      <x:c r="M133" s="14" t="n">
        <x:v>18</x:v>
      </x:c>
      <x:c r="N133" s="14" t="n">
        <x:v>27</x:v>
      </x:c>
      <x:c r="O133" t="str">
        <x:v>通过</x:v>
      </x:c>
      <x:c r="P133" t="str">
        <x:v>按预测运行时间计算；实际运营可能因上下车和路况略有波动</x:v>
      </x:c>
    </x:row>
    <x:row r="134">
      <x:c r="A134" s="14" t="str">
        <x:v>工作日</x:v>
      </x:c>
      <x:c r="B134" s="14" t="str">
        <x:v>环线3路</x:v>
      </x:c>
      <x:c r="C134" s="14" t="str">
        <x:v>第二班</x:v>
      </x:c>
      <x:c r="D134" s="14" t="str">
        <x:v>S0142</x:v>
      </x:c>
      <x:c r="E134" s="14" t="str">
        <x:v>11:45</x:v>
      </x:c>
      <x:c r="F134" s="14" t="str">
        <x:v>研究生宿舍楼</x:v>
      </x:c>
      <x:c r="G134" s="14" t="str">
        <x:v>研究生宿舍楼发车</x:v>
      </x:c>
      <x:c r="H134" s="14" t="str">
        <x:v>S0143</x:v>
      </x:c>
      <x:c r="I134" s="14" t="str">
        <x:v>12:30</x:v>
      </x:c>
      <x:c r="J134" s="14" t="str">
        <x:v>研究生宿舍楼</x:v>
      </x:c>
      <x:c r="K134" s="14" t="str">
        <x:v>研究生宿舍楼发车</x:v>
      </x:c>
      <x:c r="L134" s="14" t="n">
        <x:v>45</x:v>
      </x:c>
      <x:c r="M134" s="14" t="n">
        <x:v>18</x:v>
      </x:c>
      <x:c r="N134" s="14" t="n">
        <x:v>27</x:v>
      </x:c>
      <x:c r="O134" t="str">
        <x:v>通过</x:v>
      </x:c>
      <x:c r="P134" t="str">
        <x:v>按预测运行时间计算；实际运营可能因上下车和路况略有波动</x:v>
      </x:c>
    </x:row>
    <x:row r="135">
      <x:c r="A135" s="14" t="str">
        <x:v>工作日</x:v>
      </x:c>
      <x:c r="B135" s="14" t="str">
        <x:v>环线3路</x:v>
      </x:c>
      <x:c r="C135" s="14" t="str">
        <x:v>第二班</x:v>
      </x:c>
      <x:c r="D135" s="14" t="str">
        <x:v>S0143</x:v>
      </x:c>
      <x:c r="E135" s="14" t="str">
        <x:v>12:30</x:v>
      </x:c>
      <x:c r="F135" s="14" t="str">
        <x:v>研究生宿舍楼</x:v>
      </x:c>
      <x:c r="G135" s="14" t="str">
        <x:v>研究生宿舍楼发车</x:v>
      </x:c>
      <x:c r="H135" s="14" t="str">
        <x:v>S0144</x:v>
      </x:c>
      <x:c r="I135" s="14" t="str">
        <x:v>15:25</x:v>
      </x:c>
      <x:c r="J135" s="14" t="str">
        <x:v>研究生宿舍楼</x:v>
      </x:c>
      <x:c r="K135" s="14" t="str">
        <x:v>研究生宿舍楼发车</x:v>
      </x:c>
      <x:c r="L135" s="14" t="n">
        <x:v>175</x:v>
      </x:c>
      <x:c r="M135" s="14" t="n">
        <x:v>18</x:v>
      </x:c>
      <x:c r="N135" s="14" t="n">
        <x:v>157</x:v>
      </x:c>
      <x:c r="O135" t="str">
        <x:v>通过</x:v>
      </x:c>
      <x:c r="P135" t="str">
        <x:v>按预测运行时间计算；实际运营可能因上下车和路况略有波动</x:v>
      </x:c>
    </x:row>
    <x:row r="136">
      <x:c r="A136" s="14" t="str">
        <x:v>工作日</x:v>
      </x:c>
      <x:c r="B136" s="14" t="str">
        <x:v>环线3路</x:v>
      </x:c>
      <x:c r="C136" s="14" t="str">
        <x:v>第二班</x:v>
      </x:c>
      <x:c r="D136" s="14" t="str">
        <x:v>S0144</x:v>
      </x:c>
      <x:c r="E136" s="14" t="str">
        <x:v>15:25</x:v>
      </x:c>
      <x:c r="F136" s="14" t="str">
        <x:v>研究生宿舍楼</x:v>
      </x:c>
      <x:c r="G136" s="14" t="str">
        <x:v>研究生宿舍楼发车</x:v>
      </x:c>
      <x:c r="H136" s="14" t="str">
        <x:v>S0145</x:v>
      </x:c>
      <x:c r="I136" s="14" t="str">
        <x:v>16:20</x:v>
      </x:c>
      <x:c r="J136" s="14" t="str">
        <x:v>研究生宿舍楼</x:v>
      </x:c>
      <x:c r="K136" s="14" t="str">
        <x:v>研究生宿舍楼发车</x:v>
      </x:c>
      <x:c r="L136" s="14" t="n">
        <x:v>55</x:v>
      </x:c>
      <x:c r="M136" s="14" t="n">
        <x:v>18</x:v>
      </x:c>
      <x:c r="N136" s="14" t="n">
        <x:v>37</x:v>
      </x:c>
      <x:c r="O136" t="str">
        <x:v>通过</x:v>
      </x:c>
      <x:c r="P136" t="str">
        <x:v>按预测运行时间计算；实际运营可能因上下车和路况略有波动</x:v>
      </x:c>
    </x:row>
    <x:row r="137">
      <x:c r="A137" s="14" t="str">
        <x:v>工作日</x:v>
      </x:c>
      <x:c r="B137" s="14" t="str">
        <x:v>环线3路</x:v>
      </x:c>
      <x:c r="C137" s="14" t="str">
        <x:v>第二班</x:v>
      </x:c>
      <x:c r="D137" s="14" t="str">
        <x:v>S0145</x:v>
      </x:c>
      <x:c r="E137" s="14" t="str">
        <x:v>16:20</x:v>
      </x:c>
      <x:c r="F137" s="14" t="str">
        <x:v>研究生宿舍楼</x:v>
      </x:c>
      <x:c r="G137" s="14" t="str">
        <x:v>研究生宿舍楼发车</x:v>
      </x:c>
      <x:c r="H137" s="14" t="str">
        <x:v>S0146</x:v>
      </x:c>
      <x:c r="I137" s="14" t="str">
        <x:v>16:50</x:v>
      </x:c>
      <x:c r="J137" s="14" t="str">
        <x:v>高超楼（系统工程学院旁）</x:v>
      </x:c>
      <x:c r="K137" s="14" t="str">
        <x:v>高超楼发车</x:v>
      </x:c>
      <x:c r="L137" s="14" t="n">
        <x:v>30</x:v>
      </x:c>
      <x:c r="M137" s="14" t="n">
        <x:v>9</x:v>
      </x:c>
      <x:c r="N137" s="14" t="n">
        <x:v>21</x:v>
      </x:c>
      <x:c r="O137" t="str">
        <x:v>通过</x:v>
      </x:c>
      <x:c r="P137" t="str">
        <x:v>按预测运行时间计算；实际运营可能因上下车和路况略有波动</x:v>
      </x:c>
    </x:row>
    <x:row r="138">
      <x:c r="A138" s="14" t="str">
        <x:v>工作日</x:v>
      </x:c>
      <x:c r="B138" s="14" t="str">
        <x:v>环线3路</x:v>
      </x:c>
      <x:c r="C138" s="14" t="str">
        <x:v>第二班</x:v>
      </x:c>
      <x:c r="D138" s="14" t="str">
        <x:v>S0146</x:v>
      </x:c>
      <x:c r="E138" s="14" t="str">
        <x:v>16:50</x:v>
      </x:c>
      <x:c r="F138" s="14" t="str">
        <x:v>高超楼（系统工程学院旁）</x:v>
      </x:c>
      <x:c r="G138" s="14" t="str">
        <x:v>高超楼发车</x:v>
      </x:c>
      <x:c r="H138" s="14" t="str">
        <x:v>S0147</x:v>
      </x:c>
      <x:c r="I138" s="14" t="str">
        <x:v>17:25</x:v>
      </x:c>
      <x:c r="J138" s="14" t="str">
        <x:v>研究生宿舍楼</x:v>
      </x:c>
      <x:c r="K138" s="14" t="str">
        <x:v>研究生宿舍楼发车</x:v>
      </x:c>
      <x:c r="L138" s="14" t="n">
        <x:v>35</x:v>
      </x:c>
      <x:c r="M138" s="14" t="n">
        <x:v>9</x:v>
      </x:c>
      <x:c r="N138" s="14" t="n">
        <x:v>26</x:v>
      </x:c>
      <x:c r="O138" t="str">
        <x:v>通过</x:v>
      </x:c>
      <x:c r="P138" t="str">
        <x:v>按预测运行时间计算；实际运营可能因上下车和路况略有波动</x:v>
      </x:c>
    </x:row>
    <x:row r="139">
      <x:c r="A139" s="14" t="str">
        <x:v>工作日</x:v>
      </x:c>
      <x:c r="B139" s="14" t="str">
        <x:v>环线3路</x:v>
      </x:c>
      <x:c r="C139" s="14" t="str">
        <x:v>第四班</x:v>
      </x:c>
      <x:c r="D139" s="14" t="str">
        <x:v>S0148</x:v>
      </x:c>
      <x:c r="E139" s="14" t="str">
        <x:v>17:55</x:v>
      </x:c>
      <x:c r="F139" s="14" t="str">
        <x:v>研究生宿舍楼</x:v>
      </x:c>
      <x:c r="G139" s="14" t="str">
        <x:v>研究生宿舍楼发车</x:v>
      </x:c>
      <x:c r="H139" s="14" t="str">
        <x:v>S0149</x:v>
      </x:c>
      <x:c r="I139" s="14" t="str">
        <x:v>18:20</x:v>
      </x:c>
      <x:c r="J139" s="14" t="str">
        <x:v>研究生宿舍楼</x:v>
      </x:c>
      <x:c r="K139" s="14" t="str">
        <x:v>研究生宿舍楼发车</x:v>
      </x:c>
      <x:c r="L139" s="14" t="n">
        <x:v>25</x:v>
      </x:c>
      <x:c r="M139" s="14" t="n">
        <x:v>18</x:v>
      </x:c>
      <x:c r="N139" s="14" t="n">
        <x:v>7</x:v>
      </x:c>
      <x:c r="O139" t="str">
        <x:v>通过</x:v>
      </x:c>
      <x:c r="P139" t="str">
        <x:v>按预测运行时间计算；实际运营可能因上下车和路况略有波动</x:v>
      </x:c>
    </x:row>
    <x:row r="140">
      <x:c r="A140" s="14" t="str">
        <x:v>工作日</x:v>
      </x:c>
      <x:c r="B140" s="14" t="str">
        <x:v>环线3路</x:v>
      </x:c>
      <x:c r="C140" s="14" t="str">
        <x:v>第四班</x:v>
      </x:c>
      <x:c r="D140" s="14" t="str">
        <x:v>S0149</x:v>
      </x:c>
      <x:c r="E140" s="14" t="str">
        <x:v>18:20</x:v>
      </x:c>
      <x:c r="F140" s="14" t="str">
        <x:v>研究生宿舍楼</x:v>
      </x:c>
      <x:c r="G140" s="14" t="str">
        <x:v>研究生宿舍楼发车</x:v>
      </x:c>
      <x:c r="H140" s="14" t="str">
        <x:v>S0150</x:v>
      </x:c>
      <x:c r="I140" s="14" t="str">
        <x:v>18:50</x:v>
      </x:c>
      <x:c r="J140" s="14" t="str">
        <x:v>研究生宿舍楼</x:v>
      </x:c>
      <x:c r="K140" s="14" t="str">
        <x:v>研究生宿舍楼发车</x:v>
      </x:c>
      <x:c r="L140" s="14" t="n">
        <x:v>30</x:v>
      </x:c>
      <x:c r="M140" s="14" t="n">
        <x:v>18</x:v>
      </x:c>
      <x:c r="N140" s="14" t="n">
        <x:v>12</x:v>
      </x:c>
      <x:c r="O140" t="str">
        <x:v>通过</x:v>
      </x:c>
      <x:c r="P140" t="str">
        <x:v>按预测运行时间计算；实际运营可能因上下车和路况略有波动</x:v>
      </x:c>
    </x:row>
    <x:row r="141">
      <x:c r="A141" s="14" t="str">
        <x:v>工作日</x:v>
      </x:c>
      <x:c r="B141" s="14" t="str">
        <x:v>环线3路</x:v>
      </x:c>
      <x:c r="C141" s="14" t="str">
        <x:v>第四班</x:v>
      </x:c>
      <x:c r="D141" s="14" t="str">
        <x:v>S0150</x:v>
      </x:c>
      <x:c r="E141" s="14" t="str">
        <x:v>18:50</x:v>
      </x:c>
      <x:c r="F141" s="14" t="str">
        <x:v>研究生宿舍楼</x:v>
      </x:c>
      <x:c r="G141" s="14" t="str">
        <x:v>研究生宿舍楼发车</x:v>
      </x:c>
      <x:c r="H141" s="14" t="str">
        <x:v>S0151</x:v>
      </x:c>
      <x:c r="I141" s="14" t="str">
        <x:v>19:20</x:v>
      </x:c>
      <x:c r="J141" s="14" t="str">
        <x:v>研究生宿舍楼</x:v>
      </x:c>
      <x:c r="K141" s="14" t="str">
        <x:v>研究生宿舍楼发车</x:v>
      </x:c>
      <x:c r="L141" s="14" t="n">
        <x:v>30</x:v>
      </x:c>
      <x:c r="M141" s="14" t="n">
        <x:v>18</x:v>
      </x:c>
      <x:c r="N141" s="14" t="n">
        <x:v>12</x:v>
      </x:c>
      <x:c r="O141" t="str">
        <x:v>通过</x:v>
      </x:c>
      <x:c r="P141" t="str">
        <x:v>按预测运行时间计算；实际运营可能因上下车和路况略有波动</x:v>
      </x:c>
    </x:row>
    <x:row r="142">
      <x:c r="A142" s="14" t="str">
        <x:v>工作日</x:v>
      </x:c>
      <x:c r="B142" s="14" t="str">
        <x:v>环线3路</x:v>
      </x:c>
      <x:c r="C142" s="14" t="str">
        <x:v>第四班</x:v>
      </x:c>
      <x:c r="D142" s="14" t="str">
        <x:v>S0151</x:v>
      </x:c>
      <x:c r="E142" s="14" t="str">
        <x:v>19:20</x:v>
      </x:c>
      <x:c r="F142" s="14" t="str">
        <x:v>研究生宿舍楼</x:v>
      </x:c>
      <x:c r="G142" s="14" t="str">
        <x:v>研究生宿舍楼发车</x:v>
      </x:c>
      <x:c r="H142" s="14" t="str">
        <x:v>S0152</x:v>
      </x:c>
      <x:c r="I142" s="14" t="str">
        <x:v>19:50</x:v>
      </x:c>
      <x:c r="J142" s="14" t="str">
        <x:v>研究生宿舍楼</x:v>
      </x:c>
      <x:c r="K142" s="14" t="str">
        <x:v>研究生宿舍楼发车</x:v>
      </x:c>
      <x:c r="L142" s="14" t="n">
        <x:v>30</x:v>
      </x:c>
      <x:c r="M142" s="14" t="n">
        <x:v>18</x:v>
      </x:c>
      <x:c r="N142" s="14" t="n">
        <x:v>12</x:v>
      </x:c>
      <x:c r="O142" t="str">
        <x:v>通过</x:v>
      </x:c>
      <x:c r="P142" t="str">
        <x:v>按预测运行时间计算；实际运营可能因上下车和路况略有波动</x:v>
      </x:c>
    </x:row>
    <x:row r="143">
      <x:c r="A143" s="14" t="str">
        <x:v>工作日</x:v>
      </x:c>
      <x:c r="B143" s="14" t="str">
        <x:v>环线3路</x:v>
      </x:c>
      <x:c r="C143" s="14" t="str">
        <x:v>第四班</x:v>
      </x:c>
      <x:c r="D143" s="14" t="str">
        <x:v>S0152</x:v>
      </x:c>
      <x:c r="E143" s="14" t="str">
        <x:v>19:50</x:v>
      </x:c>
      <x:c r="F143" s="14" t="str">
        <x:v>研究生宿舍楼</x:v>
      </x:c>
      <x:c r="G143" s="14" t="str">
        <x:v>研究生宿舍楼发车</x:v>
      </x:c>
      <x:c r="H143" s="14" t="str">
        <x:v>S0153</x:v>
      </x:c>
      <x:c r="I143" s="14" t="str">
        <x:v>20:20</x:v>
      </x:c>
      <x:c r="J143" s="14" t="str">
        <x:v>研究生宿舍楼</x:v>
      </x:c>
      <x:c r="K143" s="14" t="str">
        <x:v>研究生宿舍楼发车</x:v>
      </x:c>
      <x:c r="L143" s="14" t="n">
        <x:v>30</x:v>
      </x:c>
      <x:c r="M143" s="14" t="n">
        <x:v>18</x:v>
      </x:c>
      <x:c r="N143" s="14" t="n">
        <x:v>12</x:v>
      </x:c>
      <x:c r="O143" t="str">
        <x:v>通过</x:v>
      </x:c>
      <x:c r="P143" t="str">
        <x:v>按预测运行时间计算；实际运营可能因上下车和路况略有波动</x:v>
      </x:c>
    </x:row>
    <x:row r="144">
      <x:c r="A144" s="14" t="str">
        <x:v>工作日</x:v>
      </x:c>
      <x:c r="B144" s="14" t="str">
        <x:v>环线3路</x:v>
      </x:c>
      <x:c r="C144" s="14" t="str">
        <x:v>第四班</x:v>
      </x:c>
      <x:c r="D144" s="14" t="str">
        <x:v>S0153</x:v>
      </x:c>
      <x:c r="E144" s="14" t="str">
        <x:v>20:20</x:v>
      </x:c>
      <x:c r="F144" s="14" t="str">
        <x:v>研究生宿舍楼</x:v>
      </x:c>
      <x:c r="G144" s="14" t="str">
        <x:v>研究生宿舍楼发车</x:v>
      </x:c>
      <x:c r="H144" s="14" t="str">
        <x:v>S0154</x:v>
      </x:c>
      <x:c r="I144" s="14" t="str">
        <x:v>20:50</x:v>
      </x:c>
      <x:c r="J144" s="14" t="str">
        <x:v>研究生宿舍楼</x:v>
      </x:c>
      <x:c r="K144" s="14" t="str">
        <x:v>研究生宿舍楼发车</x:v>
      </x:c>
      <x:c r="L144" s="14" t="n">
        <x:v>30</x:v>
      </x:c>
      <x:c r="M144" s="14" t="n">
        <x:v>18</x:v>
      </x:c>
      <x:c r="N144" s="14" t="n">
        <x:v>12</x:v>
      </x:c>
      <x:c r="O144" t="str">
        <x:v>通过</x:v>
      </x:c>
      <x:c r="P144" t="str">
        <x:v>按预测运行时间计算；实际运营可能因上下车和路况略有波动</x:v>
      </x:c>
    </x:row>
    <x:row r="145">
      <x:c r="A145" s="14" t="str">
        <x:v>工作日</x:v>
      </x:c>
      <x:c r="B145" s="14" t="str">
        <x:v>环线3路</x:v>
      </x:c>
      <x:c r="C145" s="14" t="str">
        <x:v>第四班</x:v>
      </x:c>
      <x:c r="D145" s="14" t="str">
        <x:v>S0154</x:v>
      </x:c>
      <x:c r="E145" s="14" t="str">
        <x:v>20:50</x:v>
      </x:c>
      <x:c r="F145" s="14" t="str">
        <x:v>研究生宿舍楼</x:v>
      </x:c>
      <x:c r="G145" s="14" t="str">
        <x:v>研究生宿舍楼发车</x:v>
      </x:c>
      <x:c r="H145" s="14" t="str">
        <x:v>S0155</x:v>
      </x:c>
      <x:c r="I145" s="14" t="str">
        <x:v>21:20</x:v>
      </x:c>
      <x:c r="J145" s="14" t="str">
        <x:v>研究生宿舍楼</x:v>
      </x:c>
      <x:c r="K145" s="14" t="str">
        <x:v>研究生宿舍楼发车</x:v>
      </x:c>
      <x:c r="L145" s="14" t="n">
        <x:v>30</x:v>
      </x:c>
      <x:c r="M145" s="14" t="n">
        <x:v>18</x:v>
      </x:c>
      <x:c r="N145" s="14" t="n">
        <x:v>12</x:v>
      </x:c>
      <x:c r="O145" t="str">
        <x:v>通过</x:v>
      </x:c>
      <x:c r="P145" t="str">
        <x:v>按预测运行时间计算；实际运营可能因上下车和路况略有波动</x:v>
      </x:c>
    </x:row>
    <x:row r="146">
      <x:c r="A146" s="14" t="str">
        <x:v>工作日</x:v>
      </x:c>
      <x:c r="B146" s="14" t="str">
        <x:v>环线3路</x:v>
      </x:c>
      <x:c r="C146" s="14" t="str">
        <x:v>第四班</x:v>
      </x:c>
      <x:c r="D146" s="14" t="str">
        <x:v>S0155</x:v>
      </x:c>
      <x:c r="E146" s="14" t="str">
        <x:v>21:20</x:v>
      </x:c>
      <x:c r="F146" s="14" t="str">
        <x:v>研究生宿舍楼</x:v>
      </x:c>
      <x:c r="G146" s="14" t="str">
        <x:v>研究生宿舍楼发车</x:v>
      </x:c>
      <x:c r="H146" s="14" t="str">
        <x:v>S0156</x:v>
      </x:c>
      <x:c r="I146" s="14" t="str">
        <x:v>21:50</x:v>
      </x:c>
      <x:c r="J146" s="14" t="str">
        <x:v>研究生宿舍楼</x:v>
      </x:c>
      <x:c r="K146" s="14" t="str">
        <x:v>研究生宿舍楼发车</x:v>
      </x:c>
      <x:c r="L146" s="14" t="n">
        <x:v>30</x:v>
      </x:c>
      <x:c r="M146" s="14" t="n">
        <x:v>18</x:v>
      </x:c>
      <x:c r="N146" s="14" t="n">
        <x:v>12</x:v>
      </x:c>
      <x:c r="O146" t="str">
        <x:v>通过</x:v>
      </x:c>
      <x:c r="P146" t="str">
        <x:v>按预测运行时间计算；实际运营可能因上下车和路况略有波动</x:v>
      </x:c>
    </x:row>
    <x:row r="147">
      <x:c r="A147" s="14" t="str">
        <x:v>周末/节假日</x:v>
      </x:c>
      <x:c r="B147" s="14" t="str">
        <x:v>环线2路</x:v>
      </x:c>
      <x:c r="C147" s="14" t="str">
        <x:v>第一班</x:v>
      </x:c>
      <x:c r="D147" s="14" t="str">
        <x:v>S0157</x:v>
      </x:c>
      <x:c r="E147" s="14" t="str">
        <x:v>8:20</x:v>
      </x:c>
      <x:c r="F147" s="14" t="str">
        <x:v>研究生宿舍楼</x:v>
      </x:c>
      <x:c r="G147" s="14" t="str">
        <x:v>研究生宿舍楼发车</x:v>
      </x:c>
      <x:c r="H147" s="14" t="str">
        <x:v>S0158</x:v>
      </x:c>
      <x:c r="I147" s="14" t="str">
        <x:v>8:40</x:v>
      </x:c>
      <x:c r="J147" s="14" t="str">
        <x:v>研究生宿舍楼</x:v>
      </x:c>
      <x:c r="K147" s="14" t="str">
        <x:v>研究生宿舍楼发车</x:v>
      </x:c>
      <x:c r="L147" s="14" t="n">
        <x:v>20</x:v>
      </x:c>
      <x:c r="M147" s="14" t="n">
        <x:v>12</x:v>
      </x:c>
      <x:c r="N147" s="14" t="n">
        <x:v>8</x:v>
      </x:c>
      <x:c r="O147" t="str">
        <x:v>通过</x:v>
      </x:c>
      <x:c r="P147" t="str">
        <x:v>按预测运行时间计算；实际运营可能因上下车和路况略有波动</x:v>
      </x:c>
    </x:row>
    <x:row r="148">
      <x:c r="A148" s="14" t="str">
        <x:v>周末/节假日</x:v>
      </x:c>
      <x:c r="B148" s="14" t="str">
        <x:v>环线2路</x:v>
      </x:c>
      <x:c r="C148" s="14" t="str">
        <x:v>第一班</x:v>
      </x:c>
      <x:c r="D148" s="14" t="str">
        <x:v>S0158</x:v>
      </x:c>
      <x:c r="E148" s="14" t="str">
        <x:v>8:40</x:v>
      </x:c>
      <x:c r="F148" s="14" t="str">
        <x:v>研究生宿舍楼</x:v>
      </x:c>
      <x:c r="G148" s="14" t="str">
        <x:v>研究生宿舍楼发车</x:v>
      </x:c>
      <x:c r="H148" s="14" t="str">
        <x:v>S0159</x:v>
      </x:c>
      <x:c r="I148" s="14" t="str">
        <x:v>9:00</x:v>
      </x:c>
      <x:c r="J148" s="14" t="str">
        <x:v>研究生宿舍楼</x:v>
      </x:c>
      <x:c r="K148" s="14" t="str">
        <x:v>研究生宿舍楼发车</x:v>
      </x:c>
      <x:c r="L148" s="14" t="n">
        <x:v>20</x:v>
      </x:c>
      <x:c r="M148" s="14" t="n">
        <x:v>12</x:v>
      </x:c>
      <x:c r="N148" s="14" t="n">
        <x:v>8</x:v>
      </x:c>
      <x:c r="O148" t="str">
        <x:v>通过</x:v>
      </x:c>
      <x:c r="P148" t="str">
        <x:v>按预测运行时间计算；实际运营可能因上下车和路况略有波动</x:v>
      </x:c>
    </x:row>
    <x:row r="149">
      <x:c r="A149" s="14" t="str">
        <x:v>周末/节假日</x:v>
      </x:c>
      <x:c r="B149" s="14" t="str">
        <x:v>环线2路</x:v>
      </x:c>
      <x:c r="C149" s="14" t="str">
        <x:v>第一班</x:v>
      </x:c>
      <x:c r="D149" s="14" t="str">
        <x:v>S0159</x:v>
      </x:c>
      <x:c r="E149" s="14" t="str">
        <x:v>9:00</x:v>
      </x:c>
      <x:c r="F149" s="14" t="str">
        <x:v>研究生宿舍楼</x:v>
      </x:c>
      <x:c r="G149" s="14" t="str">
        <x:v>研究生宿舍楼发车</x:v>
      </x:c>
      <x:c r="H149" s="14" t="str">
        <x:v>S0160</x:v>
      </x:c>
      <x:c r="I149" s="14" t="str">
        <x:v>9:20</x:v>
      </x:c>
      <x:c r="J149" s="14" t="str">
        <x:v>研究生宿舍楼</x:v>
      </x:c>
      <x:c r="K149" s="14" t="str">
        <x:v>研究生宿舍楼发车</x:v>
      </x:c>
      <x:c r="L149" s="14" t="n">
        <x:v>20</x:v>
      </x:c>
      <x:c r="M149" s="14" t="n">
        <x:v>12</x:v>
      </x:c>
      <x:c r="N149" s="14" t="n">
        <x:v>8</x:v>
      </x:c>
      <x:c r="O149" t="str">
        <x:v>通过</x:v>
      </x:c>
      <x:c r="P149" t="str">
        <x:v>按预测运行时间计算；实际运营可能因上下车和路况略有波动</x:v>
      </x:c>
    </x:row>
    <x:row r="150">
      <x:c r="A150" s="14" t="str">
        <x:v>周末/节假日</x:v>
      </x:c>
      <x:c r="B150" s="14" t="str">
        <x:v>环线2路</x:v>
      </x:c>
      <x:c r="C150" s="14" t="str">
        <x:v>第一班</x:v>
      </x:c>
      <x:c r="D150" s="14" t="str">
        <x:v>S0160</x:v>
      </x:c>
      <x:c r="E150" s="14" t="str">
        <x:v>9:20</x:v>
      </x:c>
      <x:c r="F150" s="14" t="str">
        <x:v>研究生宿舍楼</x:v>
      </x:c>
      <x:c r="G150" s="14" t="str">
        <x:v>研究生宿舍楼发车</x:v>
      </x:c>
      <x:c r="H150" s="14" t="str">
        <x:v>S0161</x:v>
      </x:c>
      <x:c r="I150" s="14" t="str">
        <x:v>9:40</x:v>
      </x:c>
      <x:c r="J150" s="14" t="str">
        <x:v>研究生宿舍楼</x:v>
      </x:c>
      <x:c r="K150" s="14" t="str">
        <x:v>研究生宿舍楼发车</x:v>
      </x:c>
      <x:c r="L150" s="14" t="n">
        <x:v>20</x:v>
      </x:c>
      <x:c r="M150" s="14" t="n">
        <x:v>12</x:v>
      </x:c>
      <x:c r="N150" s="14" t="n">
        <x:v>8</x:v>
      </x:c>
      <x:c r="O150" t="str">
        <x:v>通过</x:v>
      </x:c>
      <x:c r="P150" t="str">
        <x:v>按预测运行时间计算；实际运营可能因上下车和路况略有波动</x:v>
      </x:c>
    </x:row>
    <x:row r="151">
      <x:c r="A151" s="14" t="str">
        <x:v>周末/节假日</x:v>
      </x:c>
      <x:c r="B151" s="14" t="str">
        <x:v>环线2路</x:v>
      </x:c>
      <x:c r="C151" s="14" t="str">
        <x:v>第一班</x:v>
      </x:c>
      <x:c r="D151" s="14" t="str">
        <x:v>S0161</x:v>
      </x:c>
      <x:c r="E151" s="14" t="str">
        <x:v>9:40</x:v>
      </x:c>
      <x:c r="F151" s="14" t="str">
        <x:v>研究生宿舍楼</x:v>
      </x:c>
      <x:c r="G151" s="14" t="str">
        <x:v>研究生宿舍楼发车</x:v>
      </x:c>
      <x:c r="H151" s="14" t="str">
        <x:v>S0162</x:v>
      </x:c>
      <x:c r="I151" s="14" t="str">
        <x:v>11:30</x:v>
      </x:c>
      <x:c r="J151" s="14" t="str">
        <x:v>研究生宿舍楼</x:v>
      </x:c>
      <x:c r="K151" s="14" t="str">
        <x:v>研究生宿舍楼发车</x:v>
      </x:c>
      <x:c r="L151" s="14" t="n">
        <x:v>110</x:v>
      </x:c>
      <x:c r="M151" s="14" t="n">
        <x:v>12</x:v>
      </x:c>
      <x:c r="N151" s="14" t="n">
        <x:v>98</x:v>
      </x:c>
      <x:c r="O151" t="str">
        <x:v>通过</x:v>
      </x:c>
      <x:c r="P151" t="str">
        <x:v>按预测运行时间计算；实际运营可能因上下车和路况略有波动</x:v>
      </x:c>
    </x:row>
    <x:row r="152">
      <x:c r="A152" s="14" t="str">
        <x:v>周末/节假日</x:v>
      </x:c>
      <x:c r="B152" s="14" t="str">
        <x:v>环线2路</x:v>
      </x:c>
      <x:c r="C152" s="14" t="str">
        <x:v>第一班</x:v>
      </x:c>
      <x:c r="D152" s="14" t="str">
        <x:v>S0162</x:v>
      </x:c>
      <x:c r="E152" s="14" t="str">
        <x:v>11:30</x:v>
      </x:c>
      <x:c r="F152" s="14" t="str">
        <x:v>研究生宿舍楼</x:v>
      </x:c>
      <x:c r="G152" s="14" t="str">
        <x:v>研究生宿舍楼发车</x:v>
      </x:c>
      <x:c r="H152" s="14" t="str">
        <x:v>S0163</x:v>
      </x:c>
      <x:c r="I152" s="14" t="str">
        <x:v>12:00</x:v>
      </x:c>
      <x:c r="J152" s="14" t="str">
        <x:v>研究生宿舍楼</x:v>
      </x:c>
      <x:c r="K152" s="14" t="str">
        <x:v>研究生宿舍楼发车</x:v>
      </x:c>
      <x:c r="L152" s="14" t="n">
        <x:v>30</x:v>
      </x:c>
      <x:c r="M152" s="14" t="n">
        <x:v>12</x:v>
      </x:c>
      <x:c r="N152" s="14" t="n">
        <x:v>18</x:v>
      </x:c>
      <x:c r="O152" t="str">
        <x:v>通过</x:v>
      </x:c>
      <x:c r="P152" t="str">
        <x:v>按预测运行时间计算；实际运营可能因上下车和路况略有波动</x:v>
      </x:c>
    </x:row>
    <x:row r="153">
      <x:c r="A153" s="14" t="str">
        <x:v>周末/节假日</x:v>
      </x:c>
      <x:c r="B153" s="14" t="str">
        <x:v>环线2路</x:v>
      </x:c>
      <x:c r="C153" s="14" t="str">
        <x:v>第一班</x:v>
      </x:c>
      <x:c r="D153" s="14" t="str">
        <x:v>S0163</x:v>
      </x:c>
      <x:c r="E153" s="14" t="str">
        <x:v>12:00</x:v>
      </x:c>
      <x:c r="F153" s="14" t="str">
        <x:v>研究生宿舍楼</x:v>
      </x:c>
      <x:c r="G153" s="14" t="str">
        <x:v>研究生宿舍楼发车</x:v>
      </x:c>
      <x:c r="H153" s="14" t="str">
        <x:v>S0164</x:v>
      </x:c>
      <x:c r="I153" s="14" t="str">
        <x:v>12:30</x:v>
      </x:c>
      <x:c r="J153" s="14" t="str">
        <x:v>研究生宿舍楼</x:v>
      </x:c>
      <x:c r="K153" s="14" t="str">
        <x:v>研究生宿舍楼发车</x:v>
      </x:c>
      <x:c r="L153" s="14" t="n">
        <x:v>30</x:v>
      </x:c>
      <x:c r="M153" s="14" t="n">
        <x:v>12</x:v>
      </x:c>
      <x:c r="N153" s="14" t="n">
        <x:v>18</x:v>
      </x:c>
      <x:c r="O153" t="str">
        <x:v>通过</x:v>
      </x:c>
      <x:c r="P153" t="str">
        <x:v>按预测运行时间计算；实际运营可能因上下车和路况略有波动</x:v>
      </x:c>
    </x:row>
    <x:row r="154">
      <x:c r="A154" s="14" t="str">
        <x:v>周末/节假日</x:v>
      </x:c>
      <x:c r="B154" s="14" t="str">
        <x:v>环线2路</x:v>
      </x:c>
      <x:c r="C154" s="14" t="str">
        <x:v>第一班</x:v>
      </x:c>
      <x:c r="D154" s="14" t="str">
        <x:v>S0164</x:v>
      </x:c>
      <x:c r="E154" s="14" t="str">
        <x:v>12:30</x:v>
      </x:c>
      <x:c r="F154" s="14" t="str">
        <x:v>研究生宿舍楼</x:v>
      </x:c>
      <x:c r="G154" s="14" t="str">
        <x:v>研究生宿舍楼发车</x:v>
      </x:c>
      <x:c r="H154" s="14" t="str">
        <x:v>S0165</x:v>
      </x:c>
      <x:c r="I154" s="14" t="str">
        <x:v>14:30</x:v>
      </x:c>
      <x:c r="J154" s="14" t="str">
        <x:v>研究生宿舍楼</x:v>
      </x:c>
      <x:c r="K154" s="14" t="str">
        <x:v>研究生宿舍楼发车</x:v>
      </x:c>
      <x:c r="L154" s="14" t="n">
        <x:v>120</x:v>
      </x:c>
      <x:c r="M154" s="14" t="n">
        <x:v>12</x:v>
      </x:c>
      <x:c r="N154" s="14" t="n">
        <x:v>108</x:v>
      </x:c>
      <x:c r="O154" t="str">
        <x:v>通过</x:v>
      </x:c>
      <x:c r="P154" t="str">
        <x:v>按预测运行时间计算；实际运营可能因上下车和路况略有波动</x:v>
      </x:c>
    </x:row>
    <x:row r="155">
      <x:c r="A155" s="14" t="str">
        <x:v>周末/节假日</x:v>
      </x:c>
      <x:c r="B155" s="14" t="str">
        <x:v>环线2路</x:v>
      </x:c>
      <x:c r="C155" s="14" t="str">
        <x:v>第一班</x:v>
      </x:c>
      <x:c r="D155" s="14" t="str">
        <x:v>S0165</x:v>
      </x:c>
      <x:c r="E155" s="14" t="str">
        <x:v>14:30</x:v>
      </x:c>
      <x:c r="F155" s="14" t="str">
        <x:v>研究生宿舍楼</x:v>
      </x:c>
      <x:c r="G155" s="14" t="str">
        <x:v>研究生宿舍楼发车</x:v>
      </x:c>
      <x:c r="H155" s="14" t="str">
        <x:v>S0166</x:v>
      </x:c>
      <x:c r="I155" s="14" t="str">
        <x:v>15:00</x:v>
      </x:c>
      <x:c r="J155" s="14" t="str">
        <x:v>研究生宿舍楼</x:v>
      </x:c>
      <x:c r="K155" s="14" t="str">
        <x:v>研究生宿舍楼发车</x:v>
      </x:c>
      <x:c r="L155" s="14" t="n">
        <x:v>30</x:v>
      </x:c>
      <x:c r="M155" s="14" t="n">
        <x:v>12</x:v>
      </x:c>
      <x:c r="N155" s="14" t="n">
        <x:v>18</x:v>
      </x:c>
      <x:c r="O155" t="str">
        <x:v>通过</x:v>
      </x:c>
      <x:c r="P155" t="str">
        <x:v>按预测运行时间计算；实际运营可能因上下车和路况略有波动</x:v>
      </x:c>
    </x:row>
    <x:row r="156">
      <x:c r="A156" s="14" t="str">
        <x:v>周末/节假日</x:v>
      </x:c>
      <x:c r="B156" s="14" t="str">
        <x:v>环线2路</x:v>
      </x:c>
      <x:c r="C156" s="14" t="str">
        <x:v>第一班</x:v>
      </x:c>
      <x:c r="D156" s="14" t="str">
        <x:v>S0166</x:v>
      </x:c>
      <x:c r="E156" s="14" t="str">
        <x:v>15:00</x:v>
      </x:c>
      <x:c r="F156" s="14" t="str">
        <x:v>研究生宿舍楼</x:v>
      </x:c>
      <x:c r="G156" s="14" t="str">
        <x:v>研究生宿舍楼发车</x:v>
      </x:c>
      <x:c r="H156" s="14" t="str">
        <x:v>S0167</x:v>
      </x:c>
      <x:c r="I156" s="14" t="str">
        <x:v>17:00</x:v>
      </x:c>
      <x:c r="J156" s="14" t="str">
        <x:v>研究生宿舍楼</x:v>
      </x:c>
      <x:c r="K156" s="14" t="str">
        <x:v>研究生宿舍楼发车</x:v>
      </x:c>
      <x:c r="L156" s="14" t="n">
        <x:v>120</x:v>
      </x:c>
      <x:c r="M156" s="14" t="n">
        <x:v>12</x:v>
      </x:c>
      <x:c r="N156" s="14" t="n">
        <x:v>108</x:v>
      </x:c>
      <x:c r="O156" t="str">
        <x:v>通过</x:v>
      </x:c>
      <x:c r="P156" t="str">
        <x:v>按预测运行时间计算；实际运营可能因上下车和路况略有波动</x:v>
      </x:c>
    </x:row>
    <x:row r="157">
      <x:c r="A157" s="14" t="str">
        <x:v>周末/节假日</x:v>
      </x:c>
      <x:c r="B157" s="14" t="str">
        <x:v>环线2路</x:v>
      </x:c>
      <x:c r="C157" s="14" t="str">
        <x:v>第一班</x:v>
      </x:c>
      <x:c r="D157" s="14" t="str">
        <x:v>S0167</x:v>
      </x:c>
      <x:c r="E157" s="14" t="str">
        <x:v>17:00</x:v>
      </x:c>
      <x:c r="F157" s="14" t="str">
        <x:v>研究生宿舍楼</x:v>
      </x:c>
      <x:c r="G157" s="14" t="str">
        <x:v>研究生宿舍楼发车</x:v>
      </x:c>
      <x:c r="H157" s="14" t="str">
        <x:v>S0168</x:v>
      </x:c>
      <x:c r="I157" s="14" t="str">
        <x:v>17:30</x:v>
      </x:c>
      <x:c r="J157" s="14" t="str">
        <x:v>研究生宿舍楼</x:v>
      </x:c>
      <x:c r="K157" s="14" t="str">
        <x:v>研究生宿舍楼发车</x:v>
      </x:c>
      <x:c r="L157" s="14" t="n">
        <x:v>30</x:v>
      </x:c>
      <x:c r="M157" s="14" t="n">
        <x:v>12</x:v>
      </x:c>
      <x:c r="N157" s="14" t="n">
        <x:v>18</x:v>
      </x:c>
      <x:c r="O157" t="str">
        <x:v>通过</x:v>
      </x:c>
      <x:c r="P157" t="str">
        <x:v>按预测运行时间计算；实际运营可能因上下车和路况略有波动</x:v>
      </x:c>
    </x:row>
    <x:row r="158">
      <x:c r="A158" s="14" t="str">
        <x:v>周末/节假日</x:v>
      </x:c>
      <x:c r="B158" s="14" t="str">
        <x:v>环线2路</x:v>
      </x:c>
      <x:c r="C158" s="14" t="str">
        <x:v>第一班</x:v>
      </x:c>
      <x:c r="D158" s="14" t="str">
        <x:v>S0168</x:v>
      </x:c>
      <x:c r="E158" s="14" t="str">
        <x:v>17:30</x:v>
      </x:c>
      <x:c r="F158" s="14" t="str">
        <x:v>研究生宿舍楼</x:v>
      </x:c>
      <x:c r="G158" s="14" t="str">
        <x:v>研究生宿舍楼发车</x:v>
      </x:c>
      <x:c r="H158" s="14" t="str">
        <x:v>S0169</x:v>
      </x:c>
      <x:c r="I158" s="14" t="str">
        <x:v>18:00</x:v>
      </x:c>
      <x:c r="J158" s="14" t="str">
        <x:v>研究生宿舍楼</x:v>
      </x:c>
      <x:c r="K158" s="14" t="str">
        <x:v>研究生宿舍楼发车</x:v>
      </x:c>
      <x:c r="L158" s="14" t="n">
        <x:v>30</x:v>
      </x:c>
      <x:c r="M158" s="14" t="n">
        <x:v>12</x:v>
      </x:c>
      <x:c r="N158" s="14" t="n">
        <x:v>18</x:v>
      </x:c>
      <x:c r="O158" t="str">
        <x:v>通过</x:v>
      </x:c>
      <x:c r="P158" t="str">
        <x:v>按预测运行时间计算；实际运营可能因上下车和路况略有波动</x:v>
      </x:c>
    </x:row>
    <x:row r="159">
      <x:c r="A159" s="14" t="str">
        <x:v>周末/节假日</x:v>
      </x:c>
      <x:c r="B159" s="14" t="str">
        <x:v>环线2路</x:v>
      </x:c>
      <x:c r="C159" s="14" t="str">
        <x:v>第二班</x:v>
      </x:c>
      <x:c r="D159" s="14" t="str">
        <x:v>S0170</x:v>
      </x:c>
      <x:c r="E159" s="14" t="str">
        <x:v>20:40</x:v>
      </x:c>
      <x:c r="F159" s="14" t="str">
        <x:v>研究生宿舍楼</x:v>
      </x:c>
      <x:c r="G159" s="14" t="str">
        <x:v>研究生宿舍楼发车</x:v>
      </x:c>
      <x:c r="H159" s="14" t="str">
        <x:v>S0171</x:v>
      </x:c>
      <x:c r="I159" s="14" t="str">
        <x:v>21:00</x:v>
      </x:c>
      <x:c r="J159" s="14" t="str">
        <x:v>研究生宿舍楼</x:v>
      </x:c>
      <x:c r="K159" s="14" t="str">
        <x:v>研究生宿舍楼发车</x:v>
      </x:c>
      <x:c r="L159" s="14" t="n">
        <x:v>20</x:v>
      </x:c>
      <x:c r="M159" s="14" t="n">
        <x:v>12</x:v>
      </x:c>
      <x:c r="N159" s="14" t="n">
        <x:v>8</x:v>
      </x:c>
      <x:c r="O159" t="str">
        <x:v>通过</x:v>
      </x:c>
      <x:c r="P159" t="str">
        <x:v>按预测运行时间计算；实际运营可能因上下车和路况略有波动</x:v>
      </x:c>
    </x:row>
    <x:row r="160">
      <x:c r="A160" s="14" t="str">
        <x:v>周末/节假日</x:v>
      </x:c>
      <x:c r="B160" s="14" t="str">
        <x:v>环线2路</x:v>
      </x:c>
      <x:c r="C160" s="14" t="str">
        <x:v>第二班</x:v>
      </x:c>
      <x:c r="D160" s="14" t="str">
        <x:v>S0171</x:v>
      </x:c>
      <x:c r="E160" s="14" t="str">
        <x:v>21:00</x:v>
      </x:c>
      <x:c r="F160" s="14" t="str">
        <x:v>研究生宿舍楼</x:v>
      </x:c>
      <x:c r="G160" s="14" t="str">
        <x:v>研究生宿舍楼发车</x:v>
      </x:c>
      <x:c r="H160" s="14" t="str">
        <x:v>S0172</x:v>
      </x:c>
      <x:c r="I160" s="14" t="str">
        <x:v>21:25</x:v>
      </x:c>
      <x:c r="J160" s="14" t="str">
        <x:v>研究生宿舍楼</x:v>
      </x:c>
      <x:c r="K160" s="14" t="str">
        <x:v>研究生宿舍楼发车</x:v>
      </x:c>
      <x:c r="L160" s="14" t="n">
        <x:v>25</x:v>
      </x:c>
      <x:c r="M160" s="14" t="n">
        <x:v>12</x:v>
      </x:c>
      <x:c r="N160" s="14" t="n">
        <x:v>13</x:v>
      </x:c>
      <x:c r="O160" t="str">
        <x:v>通过</x:v>
      </x:c>
      <x:c r="P160" t="str">
        <x:v>按预测运行时间计算；实际运营可能因上下车和路况略有波动</x:v>
      </x:c>
    </x:row>
    <x:row r="161">
      <x:c r="A161" s="14" t="str">
        <x:v>周末/节假日</x:v>
      </x:c>
      <x:c r="B161" s="14" t="str">
        <x:v>环线2路</x:v>
      </x:c>
      <x:c r="C161" s="14" t="str">
        <x:v>第二班</x:v>
      </x:c>
      <x:c r="D161" s="14" t="str">
        <x:v>S0172</x:v>
      </x:c>
      <x:c r="E161" s="14" t="str">
        <x:v>21:25</x:v>
      </x:c>
      <x:c r="F161" s="14" t="str">
        <x:v>研究生宿舍楼</x:v>
      </x:c>
      <x:c r="G161" s="14" t="str">
        <x:v>研究生宿舍楼发车</x:v>
      </x:c>
      <x:c r="H161" s="14" t="str">
        <x:v>S0173</x:v>
      </x:c>
      <x:c r="I161" s="14" t="str">
        <x:v>21:50</x:v>
      </x:c>
      <x:c r="J161" s="14" t="str">
        <x:v>研究生宿舍楼</x:v>
      </x:c>
      <x:c r="K161" s="14" t="str">
        <x:v>研究生宿舍楼发车</x:v>
      </x:c>
      <x:c r="L161" s="14" t="n">
        <x:v>25</x:v>
      </x:c>
      <x:c r="M161" s="14" t="n">
        <x:v>12</x:v>
      </x:c>
      <x:c r="N161" s="14" t="n">
        <x:v>13</x:v>
      </x:c>
      <x:c r="O161" t="str">
        <x:v>通过</x:v>
      </x:c>
      <x:c r="P161" t="str">
        <x:v>按预测运行时间计算；实际运营可能因上下车和路况略有波动</x:v>
      </x:c>
    </x:row>
    <x:row r="162">
      <x:c r="A162" s="14" t="str">
        <x:v>周末/节假日</x:v>
      </x:c>
      <x:c r="B162" s="14" t="str">
        <x:v>环线3路</x:v>
      </x:c>
      <x:c r="C162" s="14" t="str">
        <x:v>第一班</x:v>
      </x:c>
      <x:c r="D162" s="14" t="str">
        <x:v>S0174</x:v>
      </x:c>
      <x:c r="E162" s="14" t="str">
        <x:v>8:15</x:v>
      </x:c>
      <x:c r="F162" s="14" t="str">
        <x:v>研究生宿舍楼</x:v>
      </x:c>
      <x:c r="G162" s="14" t="str">
        <x:v>研究生宿舍楼发车</x:v>
      </x:c>
      <x:c r="H162" s="14" t="str">
        <x:v>S0175</x:v>
      </x:c>
      <x:c r="I162" s="14" t="str">
        <x:v>8:40</x:v>
      </x:c>
      <x:c r="J162" s="14" t="str">
        <x:v>研究生宿舍楼</x:v>
      </x:c>
      <x:c r="K162" s="14" t="str">
        <x:v>研究生宿舍楼发车</x:v>
      </x:c>
      <x:c r="L162" s="14" t="n">
        <x:v>25</x:v>
      </x:c>
      <x:c r="M162" s="14" t="n">
        <x:v>18</x:v>
      </x:c>
      <x:c r="N162" s="14" t="n">
        <x:v>7</x:v>
      </x:c>
      <x:c r="O162" t="str">
        <x:v>通过</x:v>
      </x:c>
      <x:c r="P162" t="str">
        <x:v>按预测运行时间计算；实际运营可能因上下车和路况略有波动</x:v>
      </x:c>
    </x:row>
    <x:row r="163">
      <x:c r="A163" s="14" t="str">
        <x:v>周末/节假日</x:v>
      </x:c>
      <x:c r="B163" s="14" t="str">
        <x:v>环线3路</x:v>
      </x:c>
      <x:c r="C163" s="14" t="str">
        <x:v>第一班</x:v>
      </x:c>
      <x:c r="D163" s="14" t="str">
        <x:v>S0175</x:v>
      </x:c>
      <x:c r="E163" s="14" t="str">
        <x:v>8:40</x:v>
      </x:c>
      <x:c r="F163" s="14" t="str">
        <x:v>研究生宿舍楼</x:v>
      </x:c>
      <x:c r="G163" s="14" t="str">
        <x:v>研究生宿舍楼发车</x:v>
      </x:c>
      <x:c r="H163" s="14" t="str">
        <x:v>S0176</x:v>
      </x:c>
      <x:c r="I163" s="14" t="str">
        <x:v>9:05</x:v>
      </x:c>
      <x:c r="J163" s="14" t="str">
        <x:v>研究生宿舍楼</x:v>
      </x:c>
      <x:c r="K163" s="14" t="str">
        <x:v>研究生宿舍楼发车</x:v>
      </x:c>
      <x:c r="L163" s="14" t="n">
        <x:v>25</x:v>
      </x:c>
      <x:c r="M163" s="14" t="n">
        <x:v>18</x:v>
      </x:c>
      <x:c r="N163" s="14" t="n">
        <x:v>7</x:v>
      </x:c>
      <x:c r="O163" t="str">
        <x:v>通过</x:v>
      </x:c>
      <x:c r="P163" t="str">
        <x:v>按预测运行时间计算；实际运营可能因上下车和路况略有波动</x:v>
      </x:c>
    </x:row>
    <x:row r="164">
      <x:c r="A164" s="14" t="str">
        <x:v>周末/节假日</x:v>
      </x:c>
      <x:c r="B164" s="14" t="str">
        <x:v>环线3路</x:v>
      </x:c>
      <x:c r="C164" s="14" t="str">
        <x:v>第一班</x:v>
      </x:c>
      <x:c r="D164" s="14" t="str">
        <x:v>S0176</x:v>
      </x:c>
      <x:c r="E164" s="14" t="str">
        <x:v>9:05</x:v>
      </x:c>
      <x:c r="F164" s="14" t="str">
        <x:v>研究生宿舍楼</x:v>
      </x:c>
      <x:c r="G164" s="14" t="str">
        <x:v>研究生宿舍楼发车</x:v>
      </x:c>
      <x:c r="H164" s="14" t="str">
        <x:v>S0177</x:v>
      </x:c>
      <x:c r="I164" s="14" t="str">
        <x:v>9:30</x:v>
      </x:c>
      <x:c r="J164" s="14" t="str">
        <x:v>研究生宿舍楼</x:v>
      </x:c>
      <x:c r="K164" s="14" t="str">
        <x:v>研究生宿舍楼发车</x:v>
      </x:c>
      <x:c r="L164" s="14" t="n">
        <x:v>25</x:v>
      </x:c>
      <x:c r="M164" s="14" t="n">
        <x:v>18</x:v>
      </x:c>
      <x:c r="N164" s="14" t="n">
        <x:v>7</x:v>
      </x:c>
      <x:c r="O164" t="str">
        <x:v>通过</x:v>
      </x:c>
      <x:c r="P164" t="str">
        <x:v>按预测运行时间计算；实际运营可能因上下车和路况略有波动</x:v>
      </x:c>
    </x:row>
    <x:row r="165">
      <x:c r="A165" s="14" t="str">
        <x:v>周末/节假日</x:v>
      </x:c>
      <x:c r="B165" s="14" t="str">
        <x:v>环线3路</x:v>
      </x:c>
      <x:c r="C165" s="14" t="str">
        <x:v>第一班</x:v>
      </x:c>
      <x:c r="D165" s="14" t="str">
        <x:v>S0177</x:v>
      </x:c>
      <x:c r="E165" s="14" t="str">
        <x:v>9:30</x:v>
      </x:c>
      <x:c r="F165" s="14" t="str">
        <x:v>研究生宿舍楼</x:v>
      </x:c>
      <x:c r="G165" s="14" t="str">
        <x:v>研究生宿舍楼发车</x:v>
      </x:c>
      <x:c r="H165" s="14" t="str">
        <x:v>S0178</x:v>
      </x:c>
      <x:c r="I165" s="14" t="str">
        <x:v>9:55</x:v>
      </x:c>
      <x:c r="J165" s="14" t="str">
        <x:v>研究生宿舍楼</x:v>
      </x:c>
      <x:c r="K165" s="14" t="str">
        <x:v>研究生宿舍楼发车</x:v>
      </x:c>
      <x:c r="L165" s="14" t="n">
        <x:v>25</x:v>
      </x:c>
      <x:c r="M165" s="14" t="n">
        <x:v>18</x:v>
      </x:c>
      <x:c r="N165" s="14" t="n">
        <x:v>7</x:v>
      </x:c>
      <x:c r="O165" t="str">
        <x:v>通过</x:v>
      </x:c>
      <x:c r="P165" t="str">
        <x:v>按预测运行时间计算；实际运营可能因上下车和路况略有波动</x:v>
      </x:c>
    </x:row>
    <x:row r="166">
      <x:c r="A166" s="14" t="str">
        <x:v>周末/节假日</x:v>
      </x:c>
      <x:c r="B166" s="14" t="str">
        <x:v>环线3路</x:v>
      </x:c>
      <x:c r="C166" s="14" t="str">
        <x:v>第一班</x:v>
      </x:c>
      <x:c r="D166" s="14" t="str">
        <x:v>S0178</x:v>
      </x:c>
      <x:c r="E166" s="14" t="str">
        <x:v>9:55</x:v>
      </x:c>
      <x:c r="F166" s="14" t="str">
        <x:v>研究生宿舍楼</x:v>
      </x:c>
      <x:c r="G166" s="14" t="str">
        <x:v>研究生宿舍楼发车</x:v>
      </x:c>
      <x:c r="H166" s="14" t="str">
        <x:v>S0179</x:v>
      </x:c>
      <x:c r="I166" s="14" t="str">
        <x:v>10:20</x:v>
      </x:c>
      <x:c r="J166" s="14" t="str">
        <x:v>研究生宿舍楼</x:v>
      </x:c>
      <x:c r="K166" s="14" t="str">
        <x:v>研究生宿舍楼发车</x:v>
      </x:c>
      <x:c r="L166" s="14" t="n">
        <x:v>25</x:v>
      </x:c>
      <x:c r="M166" s="14" t="n">
        <x:v>18</x:v>
      </x:c>
      <x:c r="N166" s="14" t="n">
        <x:v>7</x:v>
      </x:c>
      <x:c r="O166" t="str">
        <x:v>通过</x:v>
      </x:c>
      <x:c r="P166" t="str">
        <x:v>按预测运行时间计算；实际运营可能因上下车和路况略有波动</x:v>
      </x:c>
    </x:row>
    <x:row r="167">
      <x:c r="A167" s="14" t="str">
        <x:v>周末/节假日</x:v>
      </x:c>
      <x:c r="B167" s="14" t="str">
        <x:v>环线3路</x:v>
      </x:c>
      <x:c r="C167" s="14" t="str">
        <x:v>第二班</x:v>
      </x:c>
      <x:c r="D167" s="14" t="str">
        <x:v>S0180</x:v>
      </x:c>
      <x:c r="E167" s="14" t="str">
        <x:v>11:25</x:v>
      </x:c>
      <x:c r="F167" s="14" t="str">
        <x:v>高超楼（系统工程学院旁）</x:v>
      </x:c>
      <x:c r="G167" s="14" t="str">
        <x:v>高超楼发车</x:v>
      </x:c>
      <x:c r="H167" s="14" t="str">
        <x:v>S0181</x:v>
      </x:c>
      <x:c r="I167" s="14" t="str">
        <x:v>11:55</x:v>
      </x:c>
      <x:c r="J167" s="14" t="str">
        <x:v>高超楼（系统工程学院旁）</x:v>
      </x:c>
      <x:c r="K167" s="14" t="str">
        <x:v>高超楼发车</x:v>
      </x:c>
      <x:c r="L167" s="14" t="n">
        <x:v>30</x:v>
      </x:c>
      <x:c r="M167" s="14" t="n">
        <x:v>18</x:v>
      </x:c>
      <x:c r="N167" s="14" t="n">
        <x:v>12</x:v>
      </x:c>
      <x:c r="O167" t="str">
        <x:v>通过</x:v>
      </x:c>
      <x:c r="P167" t="str">
        <x:v>按预测运行时间计算；实际运营可能因上下车和路况略有波动</x:v>
      </x:c>
    </x:row>
    <x:row r="168">
      <x:c r="A168" s="14" t="str">
        <x:v>周末/节假日</x:v>
      </x:c>
      <x:c r="B168" s="14" t="str">
        <x:v>环线3路</x:v>
      </x:c>
      <x:c r="C168" s="14" t="str">
        <x:v>第二班</x:v>
      </x:c>
      <x:c r="D168" s="14" t="str">
        <x:v>S0181</x:v>
      </x:c>
      <x:c r="E168" s="14" t="str">
        <x:v>11:55</x:v>
      </x:c>
      <x:c r="F168" s="14" t="str">
        <x:v>高超楼（系统工程学院旁）</x:v>
      </x:c>
      <x:c r="G168" s="14" t="str">
        <x:v>高超楼发车</x:v>
      </x:c>
      <x:c r="H168" s="14" t="str">
        <x:v>S0182</x:v>
      </x:c>
      <x:c r="I168" s="14" t="str">
        <x:v>12:25</x:v>
      </x:c>
      <x:c r="J168" s="14" t="str">
        <x:v>高超楼（系统工程学院旁）</x:v>
      </x:c>
      <x:c r="K168" s="14" t="str">
        <x:v>高超楼发车</x:v>
      </x:c>
      <x:c r="L168" s="14" t="n">
        <x:v>30</x:v>
      </x:c>
      <x:c r="M168" s="14" t="n">
        <x:v>18</x:v>
      </x:c>
      <x:c r="N168" s="14" t="n">
        <x:v>12</x:v>
      </x:c>
      <x:c r="O168" t="str">
        <x:v>通过</x:v>
      </x:c>
      <x:c r="P168" t="str">
        <x:v>按预测运行时间计算；实际运营可能因上下车和路况略有波动</x:v>
      </x:c>
    </x:row>
    <x:row r="169">
      <x:c r="A169" s="14" t="str">
        <x:v>周末/节假日</x:v>
      </x:c>
      <x:c r="B169" s="14" t="str">
        <x:v>环线3路</x:v>
      </x:c>
      <x:c r="C169" s="14" t="str">
        <x:v>第二班</x:v>
      </x:c>
      <x:c r="D169" s="14" t="str">
        <x:v>S0182</x:v>
      </x:c>
      <x:c r="E169" s="14" t="str">
        <x:v>12:25</x:v>
      </x:c>
      <x:c r="F169" s="14" t="str">
        <x:v>高超楼（系统工程学院旁）</x:v>
      </x:c>
      <x:c r="G169" s="14" t="str">
        <x:v>高超楼发车</x:v>
      </x:c>
      <x:c r="H169" s="14" t="str">
        <x:v>S0183</x:v>
      </x:c>
      <x:c r="I169" s="14" t="str">
        <x:v>14:20</x:v>
      </x:c>
      <x:c r="J169" s="14" t="str">
        <x:v>研究生宿舍楼</x:v>
      </x:c>
      <x:c r="K169" s="14" t="str">
        <x:v>研究生宿舍楼发车</x:v>
      </x:c>
      <x:c r="L169" s="14" t="n">
        <x:v>115</x:v>
      </x:c>
      <x:c r="M169" s="14" t="n">
        <x:v>9</x:v>
      </x:c>
      <x:c r="N169" s="14" t="n">
        <x:v>106</x:v>
      </x:c>
      <x:c r="O169" t="str">
        <x:v>通过</x:v>
      </x:c>
      <x:c r="P169" t="str">
        <x:v>按预测运行时间计算；实际运营可能因上下车和路况略有波动</x:v>
      </x:c>
    </x:row>
    <x:row r="170">
      <x:c r="A170" s="14" t="str">
        <x:v>周末/节假日</x:v>
      </x:c>
      <x:c r="B170" s="14" t="str">
        <x:v>环线3路</x:v>
      </x:c>
      <x:c r="C170" s="14" t="str">
        <x:v>第二班</x:v>
      </x:c>
      <x:c r="D170" s="14" t="str">
        <x:v>S0183</x:v>
      </x:c>
      <x:c r="E170" s="14" t="str">
        <x:v>14:20</x:v>
      </x:c>
      <x:c r="F170" s="14" t="str">
        <x:v>研究生宿舍楼</x:v>
      </x:c>
      <x:c r="G170" s="14" t="str">
        <x:v>研究生宿舍楼发车</x:v>
      </x:c>
      <x:c r="H170" s="14" t="str">
        <x:v>S0184</x:v>
      </x:c>
      <x:c r="I170" s="14" t="str">
        <x:v>14:45</x:v>
      </x:c>
      <x:c r="J170" s="14" t="str">
        <x:v>研究生宿舍楼</x:v>
      </x:c>
      <x:c r="K170" s="14" t="str">
        <x:v>研究生宿舍楼发车</x:v>
      </x:c>
      <x:c r="L170" s="14" t="n">
        <x:v>25</x:v>
      </x:c>
      <x:c r="M170" s="14" t="n">
        <x:v>18</x:v>
      </x:c>
      <x:c r="N170" s="14" t="n">
        <x:v>7</x:v>
      </x:c>
      <x:c r="O170" t="str">
        <x:v>通过</x:v>
      </x:c>
      <x:c r="P170" t="str">
        <x:v>按预测运行时间计算；实际运营可能因上下车和路况略有波动</x:v>
      </x:c>
    </x:row>
    <x:row r="171">
      <x:c r="A171" s="14" t="str">
        <x:v>周末/节假日</x:v>
      </x:c>
      <x:c r="B171" s="14" t="str">
        <x:v>环线3路</x:v>
      </x:c>
      <x:c r="C171" s="14" t="str">
        <x:v>第二班</x:v>
      </x:c>
      <x:c r="D171" s="14" t="str">
        <x:v>S0184</x:v>
      </x:c>
      <x:c r="E171" s="14" t="str">
        <x:v>14:45</x:v>
      </x:c>
      <x:c r="F171" s="14" t="str">
        <x:v>研究生宿舍楼</x:v>
      </x:c>
      <x:c r="G171" s="14" t="str">
        <x:v>研究生宿舍楼发车</x:v>
      </x:c>
      <x:c r="H171" s="14" t="str">
        <x:v>S0185</x:v>
      </x:c>
      <x:c r="I171" s="14" t="str">
        <x:v>15:10</x:v>
      </x:c>
      <x:c r="J171" s="14" t="str">
        <x:v>研究生宿舍楼</x:v>
      </x:c>
      <x:c r="K171" s="14" t="str">
        <x:v>研究生宿舍楼发车</x:v>
      </x:c>
      <x:c r="L171" s="14" t="n">
        <x:v>25</x:v>
      </x:c>
      <x:c r="M171" s="14" t="n">
        <x:v>18</x:v>
      </x:c>
      <x:c r="N171" s="14" t="n">
        <x:v>7</x:v>
      </x:c>
      <x:c r="O171" t="str">
        <x:v>通过</x:v>
      </x:c>
      <x:c r="P171" t="str">
        <x:v>按预测运行时间计算；实际运营可能因上下车和路况略有波动</x:v>
      </x:c>
    </x:row>
    <x:row r="172">
      <x:c r="A172" s="14" t="str">
        <x:v>周末/节假日</x:v>
      </x:c>
      <x:c r="B172" s="14" t="str">
        <x:v>环线3路</x:v>
      </x:c>
      <x:c r="C172" s="14" t="str">
        <x:v>第二班</x:v>
      </x:c>
      <x:c r="D172" s="14" t="str">
        <x:v>S0185</x:v>
      </x:c>
      <x:c r="E172" s="14" t="str">
        <x:v>15:10</x:v>
      </x:c>
      <x:c r="F172" s="14" t="str">
        <x:v>研究生宿舍楼</x:v>
      </x:c>
      <x:c r="G172" s="14" t="str">
        <x:v>研究生宿舍楼发车</x:v>
      </x:c>
      <x:c r="H172" s="14" t="str">
        <x:v>S0186</x:v>
      </x:c>
      <x:c r="I172" s="14" t="str">
        <x:v>16:50</x:v>
      </x:c>
      <x:c r="J172" s="14" t="str">
        <x:v>高超楼（系统工程学院旁）</x:v>
      </x:c>
      <x:c r="K172" s="14" t="str">
        <x:v>高超楼发车</x:v>
      </x:c>
      <x:c r="L172" s="14" t="n">
        <x:v>100</x:v>
      </x:c>
      <x:c r="M172" s="14" t="n">
        <x:v>9</x:v>
      </x:c>
      <x:c r="N172" s="14" t="n">
        <x:v>91</x:v>
      </x:c>
      <x:c r="O172" t="str">
        <x:v>通过</x:v>
      </x:c>
      <x:c r="P172" t="str">
        <x:v>按预测运行时间计算；实际运营可能因上下车和路况略有波动</x:v>
      </x:c>
    </x:row>
    <x:row r="173">
      <x:c r="A173" s="14" t="str">
        <x:v>周末/节假日</x:v>
      </x:c>
      <x:c r="B173" s="14" t="str">
        <x:v>环线3路</x:v>
      </x:c>
      <x:c r="C173" s="14" t="str">
        <x:v>第二班</x:v>
      </x:c>
      <x:c r="D173" s="14" t="str">
        <x:v>S0186</x:v>
      </x:c>
      <x:c r="E173" s="14" t="str">
        <x:v>16:50</x:v>
      </x:c>
      <x:c r="F173" s="14" t="str">
        <x:v>高超楼（系统工程学院旁）</x:v>
      </x:c>
      <x:c r="G173" s="14" t="str">
        <x:v>高超楼发车</x:v>
      </x:c>
      <x:c r="H173" s="14" t="str">
        <x:v>S0187</x:v>
      </x:c>
      <x:c r="I173" s="14" t="str">
        <x:v>17:20</x:v>
      </x:c>
      <x:c r="J173" s="14" t="str">
        <x:v>高超楼（系统工程学院旁）</x:v>
      </x:c>
      <x:c r="K173" s="14" t="str">
        <x:v>高超楼发车</x:v>
      </x:c>
      <x:c r="L173" s="14" t="n">
        <x:v>30</x:v>
      </x:c>
      <x:c r="M173" s="14" t="n">
        <x:v>18</x:v>
      </x:c>
      <x:c r="N173" s="14" t="n">
        <x:v>12</x:v>
      </x:c>
      <x:c r="O173" t="str">
        <x:v>通过</x:v>
      </x:c>
      <x:c r="P173" t="str">
        <x:v>按预测运行时间计算；实际运营可能因上下车和路况略有波动</x:v>
      </x:c>
    </x:row>
    <x:row r="174">
      <x:c r="A174" s="14" t="str">
        <x:v>周末/节假日</x:v>
      </x:c>
      <x:c r="B174" s="14" t="str">
        <x:v>环线3路</x:v>
      </x:c>
      <x:c r="C174" s="14" t="str">
        <x:v>第二班</x:v>
      </x:c>
      <x:c r="D174" s="14" t="str">
        <x:v>S0187</x:v>
      </x:c>
      <x:c r="E174" s="14" t="str">
        <x:v>17:20</x:v>
      </x:c>
      <x:c r="F174" s="14" t="str">
        <x:v>高超楼（系统工程学院旁）</x:v>
      </x:c>
      <x:c r="G174" s="14" t="str">
        <x:v>高超楼发车</x:v>
      </x:c>
      <x:c r="H174" s="14" t="str">
        <x:v>S0188</x:v>
      </x:c>
      <x:c r="I174" s="14" t="str">
        <x:v>17:50</x:v>
      </x:c>
      <x:c r="J174" s="14" t="str">
        <x:v>高超楼（系统工程学院旁）</x:v>
      </x:c>
      <x:c r="K174" s="14" t="str">
        <x:v>高超楼发车</x:v>
      </x:c>
      <x:c r="L174" s="14" t="n">
        <x:v>30</x:v>
      </x:c>
      <x:c r="M174" s="14" t="n">
        <x:v>18</x:v>
      </x:c>
      <x:c r="N174" s="14" t="n">
        <x:v>12</x:v>
      </x:c>
      <x:c r="O174" t="str">
        <x:v>通过</x:v>
      </x:c>
      <x:c r="P174" t="str">
        <x:v>按预测运行时间计算；实际运营可能因上下车和路况略有波动</x:v>
      </x:c>
    </x:row>
    <x:row r="175">
      <x:c r="A175" s="14" t="str">
        <x:v>周末/节假日</x:v>
      </x:c>
      <x:c r="B175" s="14" t="str">
        <x:v>环线3路</x:v>
      </x:c>
      <x:c r="C175" s="14" t="str">
        <x:v>第二班</x:v>
      </x:c>
      <x:c r="D175" s="14" t="str">
        <x:v>S0188</x:v>
      </x:c>
      <x:c r="E175" s="14" t="str">
        <x:v>17:50</x:v>
      </x:c>
      <x:c r="F175" s="14" t="str">
        <x:v>高超楼（系统工程学院旁）</x:v>
      </x:c>
      <x:c r="G175" s="14" t="str">
        <x:v>高超楼发车</x:v>
      </x:c>
      <x:c r="H175" s="14" t="str">
        <x:v>S0189</x:v>
      </x:c>
      <x:c r="I175" s="14" t="str">
        <x:v>21:00</x:v>
      </x:c>
      <x:c r="J175" s="14" t="str">
        <x:v>高超楼（系统工程学院旁）</x:v>
      </x:c>
      <x:c r="K175" s="14" t="str">
        <x:v>高超楼发车</x:v>
      </x:c>
      <x:c r="L175" s="14" t="n">
        <x:v>190</x:v>
      </x:c>
      <x:c r="M175" s="14" t="n">
        <x:v>18</x:v>
      </x:c>
      <x:c r="N175" s="14" t="n">
        <x:v>172</x:v>
      </x:c>
      <x:c r="O175" t="str">
        <x:v>通过</x:v>
      </x:c>
      <x:c r="P175" t="str">
        <x:v>按预测运行时间计算；实际运营可能因上下车和路况略有波动</x:v>
      </x:c>
    </x:row>
    <x:row r="176">
      <x:c r="A176" s="14" t="str">
        <x:v>周末/节假日</x:v>
      </x:c>
      <x:c r="B176" s="14" t="str">
        <x:v>环线3路</x:v>
      </x:c>
      <x:c r="C176" s="14" t="str">
        <x:v>第二班</x:v>
      </x:c>
      <x:c r="D176" s="14" t="str">
        <x:v>S0189</x:v>
      </x:c>
      <x:c r="E176" s="14" t="str">
        <x:v>21:00</x:v>
      </x:c>
      <x:c r="F176" s="14" t="str">
        <x:v>高超楼（系统工程学院旁）</x:v>
      </x:c>
      <x:c r="G176" s="14" t="str">
        <x:v>高超楼发车</x:v>
      </x:c>
      <x:c r="H176" s="14" t="str">
        <x:v>S0190</x:v>
      </x:c>
      <x:c r="I176" s="14" t="str">
        <x:v>21:25</x:v>
      </x:c>
      <x:c r="J176" s="14" t="str">
        <x:v>高超楼（系统工程学院旁）</x:v>
      </x:c>
      <x:c r="K176" s="14" t="str">
        <x:v>高超楼发车</x:v>
      </x:c>
      <x:c r="L176" s="14" t="n">
        <x:v>25</x:v>
      </x:c>
      <x:c r="M176" s="14" t="n">
        <x:v>18</x:v>
      </x:c>
      <x:c r="N176" s="14" t="n">
        <x:v>7</x:v>
      </x:c>
      <x:c r="O176" t="str">
        <x:v>通过</x:v>
      </x:c>
      <x:c r="P176" t="str">
        <x:v>按预测运行时间计算；实际运营可能因上下车和路况略有波动</x:v>
      </x:c>
    </x:row>
    <x:row r="177">
      <x:c r="A177" s="14" t="str">
        <x:v>周末/节假日</x:v>
      </x:c>
      <x:c r="B177" s="14" t="str">
        <x:v>环线3路</x:v>
      </x:c>
      <x:c r="C177" s="14" t="str">
        <x:v>第二班</x:v>
      </x:c>
      <x:c r="D177" s="14" t="str">
        <x:v>S0190</x:v>
      </x:c>
      <x:c r="E177" s="14" t="str">
        <x:v>21:25</x:v>
      </x:c>
      <x:c r="F177" s="14" t="str">
        <x:v>高超楼（系统工程学院旁）</x:v>
      </x:c>
      <x:c r="G177" s="14" t="str">
        <x:v>高超楼发车</x:v>
      </x:c>
      <x:c r="H177" s="14" t="str">
        <x:v>S0191</x:v>
      </x:c>
      <x:c r="I177" s="14" t="str">
        <x:v>21:50</x:v>
      </x:c>
      <x:c r="J177" s="14" t="str">
        <x:v>高超楼（系统工程学院旁）</x:v>
      </x:c>
      <x:c r="K177" s="14" t="str">
        <x:v>高超楼发车</x:v>
      </x:c>
      <x:c r="L177" s="14" t="n">
        <x:v>25</x:v>
      </x:c>
      <x:c r="M177" s="14" t="n">
        <x:v>18</x:v>
      </x:c>
      <x:c r="N177" s="14" t="n">
        <x:v>7</x:v>
      </x:c>
      <x:c r="O177" t="str">
        <x:v>通过</x:v>
      </x:c>
      <x:c r="P177" t="str">
        <x:v>按预测运行时间计算；实际运营可能因上下车和路况略有波动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55" hidden="0" customWidth="1"/>
    <x:col min="5" max="5" width="55" hidden="0" customWidth="1"/>
    <x:col min="6" max="6" width="14" hidden="0" customWidth="1"/>
    <x:col min="7" max="7" width="10" hidden="0" customWidth="1"/>
    <x:col min="8" max="8" width="42" hidden="0" customWidth="1"/>
  </x:cols>
  <x:sheetData>
    <x:row r="1" ht="28" customHeight="1">
      <x:c r="A1" s="65" t="str">
        <x:v>线路</x:v>
      </x:c>
      <x:c r="B1" s="65" t="str">
        <x:v>发车模式</x:v>
      </x:c>
      <x:c r="C1" s="65" t="str">
        <x:v>实际发车站点</x:v>
      </x:c>
      <x:c r="D1" s="65" t="str">
        <x:v>站点序列JSON</x:v>
      </x:c>
      <x:c r="E1" s="65" t="str">
        <x:v>偏移分钟JSON</x:v>
      </x:c>
      <x:c r="F1" s="65" t="str">
        <x:v>全程预测分钟</x:v>
      </x:c>
      <x:c r="G1" s="65" t="str">
        <x:v>站点数</x:v>
      </x:c>
      <x:c r="H1" s="65" t="str">
        <x:v>备注</x:v>
      </x:c>
    </x:row>
    <x:row r="2">
      <x:c r="A2" s="14" t="str">
        <x:v>环线1路</x:v>
      </x:c>
      <x:c r="B2" s="14" t="str">
        <x:v>研究生宿舍楼发车</x:v>
      </x:c>
      <x:c r="C2" s="14" t="str">
        <x:v>研究生宿舍楼</x:v>
      </x:c>
      <x:c r="D2" s="14" t="str">
        <x:v>["研究生宿舍楼", "东门", "2号宿舍楼", "军体活动中心", "激光所", "超算中心", "北门", "高超楼", "理学院", "二食堂", "5号宿舍楼", "305教学楼", "研究生宿舍楼"]</x:v>
      </x:c>
      <x:c r="E2" s="14" t="str">
        <x:v>[0, 1, 2, 3, 5, 6, 8, 9, 10, 13, 14, 15, 17]</x:v>
      </x:c>
      <x:c r="F2" s="14" t="n">
        <x:v>17</x:v>
      </x:c>
      <x:c r="G2" s="14" t="n">
        <x:v>13</x:v>
      </x:c>
      <x:c r="H2" s="14" t="str">
        <x:v>可作为小程序端 stop_offsets；预计到站=发车时间+offset</x:v>
      </x:c>
    </x:row>
    <x:row r="3">
      <x:c r="A3" s="14" t="str">
        <x:v>环线1路</x:v>
      </x:c>
      <x:c r="B3" s="14" t="str">
        <x:v>高超楼发车（就餐专线）</x:v>
      </x:c>
      <x:c r="C3" s="14" t="str">
        <x:v>高超楼（就餐专线）</x:v>
      </x:c>
      <x:c r="D3" s="14" t="str">
        <x:v>["高超楼", "理学院", "二食堂", "一食堂", "305教学楼", "5号宿舍楼", "二食堂北", "理学院", "高超楼"]</x:v>
      </x:c>
      <x:c r="E3" s="14" t="str">
        <x:v>[0, 1, 4, 6, 8, 10, 12, 15, 16]</x:v>
      </x:c>
      <x:c r="F3" s="14" t="n">
        <x:v>16</x:v>
      </x:c>
      <x:c r="G3" s="14" t="n">
        <x:v>9</x:v>
      </x:c>
      <x:c r="H3" s="14" t="str">
        <x:v>可作为小程序端 stop_offsets；预计到站=发车时间+offset</x:v>
      </x:c>
    </x:row>
    <x:row r="4">
      <x:c r="A4" s="14" t="str">
        <x:v>环线2路</x:v>
      </x:c>
      <x:c r="B4" s="14" t="str">
        <x:v>研究生宿舍楼发车</x:v>
      </x:c>
      <x:c r="C4" s="14" t="str">
        <x:v>研究生宿舍楼</x:v>
      </x:c>
      <x:c r="D4" s="14" t="str">
        <x:v>["研究生宿舍楼", "一食堂", "门诊部", "1号宿舍楼", "水上训练中心", "军体活动中心", "二食堂", "5号宿舍楼", "305教学楼", "研究生宿舍楼"]</x:v>
      </x:c>
      <x:c r="E4" s="14" t="str">
        <x:v>[0, 1, 2, 3, 5, 6, 8, 9, 10, 12]</x:v>
      </x:c>
      <x:c r="F4" s="14" t="n">
        <x:v>12</x:v>
      </x:c>
      <x:c r="G4" s="14" t="n">
        <x:v>10</x:v>
      </x:c>
      <x:c r="H4" s="14" t="str">
        <x:v>可作为小程序端 stop_offsets；预计到站=发车时间+offset</x:v>
      </x:c>
    </x:row>
    <x:row r="5">
      <x:c r="A5" s="14" t="str">
        <x:v>环线3路</x:v>
      </x:c>
      <x:c r="B5" s="14" t="str">
        <x:v>研究生宿舍楼发车</x:v>
      </x:c>
      <x:c r="C5" s="14" t="str">
        <x:v>研究生宿舍楼</x:v>
      </x:c>
      <x:c r="D5" s="14" t="str">
        <x:v>["研究生宿舍楼", "一食堂", "2号宿舍楼", "军体活动中心", "教勤连", "激光所", "高超楼", "理学院", "二食堂", "图书馆", "305教学楼", "研究生宿舍楼"]</x:v>
      </x:c>
      <x:c r="E5" s="14" t="str">
        <x:v>[0, 1, 3, 4, 6, 7, 9, 10, 13, 14, 16, 18]</x:v>
      </x:c>
      <x:c r="F5" s="14" t="n">
        <x:v>18</x:v>
      </x:c>
      <x:c r="G5" s="14" t="n">
        <x:v>12</x:v>
      </x:c>
      <x:c r="H5" s="14" t="str">
        <x:v>可作为小程序端 stop_offsets；预计到站=发车时间+offset</x:v>
      </x:c>
    </x:row>
    <x:row r="6">
      <x:c r="A6" s="14" t="str">
        <x:v>环线3路</x:v>
      </x:c>
      <x:c r="B6" s="14" t="str">
        <x:v>高超楼发车</x:v>
      </x:c>
      <x:c r="C6" s="14" t="str">
        <x:v>高超楼（系统工程学院旁）</x:v>
      </x:c>
      <x:c r="D6" s="14" t="str">
        <x:v>["高超楼", "理学院", "二食堂", "图书馆", "305教学楼", "研究生宿舍楼", "一食堂", "2号宿舍楼", "军体活动中心", "教勤连", "激光所", "高超楼"]</x:v>
      </x:c>
      <x:c r="E6" s="14" t="str">
        <x:v>[0, 1, 4, 5, 7, 9, 10, 12, 13, 15, 16, 18]</x:v>
      </x:c>
      <x:c r="F6" s="14" t="n">
        <x:v>18</x:v>
      </x:c>
      <x:c r="G6" s="14" t="n">
        <x:v>12</x:v>
      </x:c>
      <x:c r="H6" s="14" t="str">
        <x:v>可作为小程序端 stop_offsets；预计到站=发车时间+offset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0" hidden="0" customWidth="1"/>
    <x:col min="4" max="4" width="40" hidden="0" customWidth="1"/>
  </x:cols>
  <x:sheetData>
    <x:row r="1" ht="28" customHeight="1">
      <x:c r="A1" s="65" t="str">
        <x:v>站点名称</x:v>
      </x:c>
      <x:c r="B1" s="65" t="str">
        <x:v>服务线路</x:v>
      </x:c>
      <x:c r="C1" s="65" t="str">
        <x:v>位置/口径说明</x:v>
      </x:c>
      <x:c r="D1" s="65" t="str">
        <x:v>备注</x:v>
      </x:c>
    </x:row>
    <x:row r="2">
      <x:c r="A2" s="14" t="str">
        <x:v>研究生宿舍楼</x:v>
      </x:c>
      <x:c r="B2" s="14" t="str">
        <x:v>环线1路、环线2路、环线3路</x:v>
      </x:c>
      <x:c r="C2" s="14" t="str">
        <x:v>三条环线默认发车点，也是回到起点候车的位置</x:v>
      </x:c>
      <x:c r="D2" s="14" t="str">
        <x:v>预测到站时间按线路+发车模式的累计分钟计算</x:v>
      </x:c>
    </x:row>
    <x:row r="3">
      <x:c r="A3" s="14" t="str">
        <x:v>东门</x:v>
      </x:c>
      <x:c r="B3" s="14" t="str">
        <x:v>环线1路</x:v>
      </x:c>
      <x:c r="C3" s="14" t="str">
        <x:v>环线1路站点</x:v>
      </x:c>
      <x:c r="D3" s="14" t="str"/>
    </x:row>
    <x:row r="4">
      <x:c r="A4" s="14" t="str">
        <x:v>2号宿舍楼</x:v>
      </x:c>
      <x:c r="B4" s="14" t="str">
        <x:v>环线1路、环线3路</x:v>
      </x:c>
      <x:c r="C4" s="14" t="str">
        <x:v>根据路线图途径站点整理</x:v>
      </x:c>
      <x:c r="D4" s="14" t="str"/>
    </x:row>
    <x:row r="5">
      <x:c r="A5" s="14" t="str">
        <x:v>军体活动中心</x:v>
      </x:c>
      <x:c r="B5" s="14" t="str">
        <x:v>环线1路、环线2路、环线3路</x:v>
      </x:c>
      <x:c r="C5" s="14" t="str">
        <x:v>根据路线图途径站点整理</x:v>
      </x:c>
      <x:c r="D5" s="14" t="str"/>
    </x:row>
    <x:row r="6">
      <x:c r="A6" s="14" t="str">
        <x:v>激光所</x:v>
      </x:c>
      <x:c r="B6" s="14" t="str">
        <x:v>环线1路、环线3路</x:v>
      </x:c>
      <x:c r="C6" s="14" t="str">
        <x:v>根据路线图途径站点整理</x:v>
      </x:c>
      <x:c r="D6" s="14" t="str"/>
    </x:row>
    <x:row r="7">
      <x:c r="A7" s="14" t="str">
        <x:v>超算中心</x:v>
      </x:c>
      <x:c r="B7" s="14" t="str">
        <x:v>环线1路</x:v>
      </x:c>
      <x:c r="C7" s="14" t="str">
        <x:v>根据路线图途径站点整理</x:v>
      </x:c>
      <x:c r="D7" s="14" t="str"/>
    </x:row>
    <x:row r="8">
      <x:c r="A8" s="14" t="str">
        <x:v>北门</x:v>
      </x:c>
      <x:c r="B8" s="14" t="str">
        <x:v>环线1路</x:v>
      </x:c>
      <x:c r="C8" s="14" t="str">
        <x:v>环线1路站点</x:v>
      </x:c>
      <x:c r="D8" s="14" t="str"/>
    </x:row>
    <x:row r="9">
      <x:c r="A9" s="14" t="str">
        <x:v>高超楼</x:v>
      </x:c>
      <x:c r="B9" s="14" t="str">
        <x:v>环线1路、环线3路</x:v>
      </x:c>
      <x:c r="C9" s="14" t="str">
        <x:v>系统工程学院旁；系统工程学院/系统楼发车在小程序中按高超楼处理</x:v>
      </x:c>
      <x:c r="D9" s="14" t="str">
        <x:v>环线1路打勾车次在此发车后走就餐专线</x:v>
      </x:c>
    </x:row>
    <x:row r="10">
      <x:c r="A10" s="14" t="str">
        <x:v>理学院</x:v>
      </x:c>
      <x:c r="B10" s="14" t="str">
        <x:v>环线1路、环线3路、就餐专线</x:v>
      </x:c>
      <x:c r="C10" s="14" t="str">
        <x:v>至二食堂约1km</x:v>
      </x:c>
      <x:c r="D10" s="14" t="str"/>
    </x:row>
    <x:row r="11">
      <x:c r="A11" s="14" t="str">
        <x:v>二食堂</x:v>
      </x:c>
      <x:c r="B11" s="14" t="str">
        <x:v>环线1路、环线2路、环线3路、就餐专线</x:v>
      </x:c>
      <x:c r="C11" s="14" t="str">
        <x:v>共用站点</x:v>
      </x:c>
      <x:c r="D11" s="14" t="str"/>
    </x:row>
    <x:row r="12">
      <x:c r="A12" s="14" t="str">
        <x:v>一食堂</x:v>
      </x:c>
      <x:c r="B12" s="14" t="str">
        <x:v>环线2路、环线3路、就餐专线</x:v>
      </x:c>
      <x:c r="C12" s="14" t="str">
        <x:v>根据路线图途径站点整理</x:v>
      </x:c>
      <x:c r="D12" s="14" t="str"/>
    </x:row>
    <x:row r="13">
      <x:c r="A13" s="14" t="str">
        <x:v>305教学楼</x:v>
      </x:c>
      <x:c r="B13" s="14" t="str">
        <x:v>环线1路、环线2路、环线3路、就餐专线</x:v>
      </x:c>
      <x:c r="C13" s="14" t="str">
        <x:v>共用站点</x:v>
      </x:c>
      <x:c r="D13" s="14" t="str"/>
    </x:row>
    <x:row r="14">
      <x:c r="A14" s="14" t="str">
        <x:v>5号宿舍楼</x:v>
      </x:c>
      <x:c r="B14" s="14" t="str">
        <x:v>环线1路、环线2路、就餐专线</x:v>
      </x:c>
      <x:c r="C14" s="14" t="str">
        <x:v>根据路线图途径站点整理</x:v>
      </x:c>
      <x:c r="D14" s="14" t="str"/>
    </x:row>
    <x:row r="15">
      <x:c r="A15" s="14" t="str">
        <x:v>二食堂北</x:v>
      </x:c>
      <x:c r="B15" s="14" t="str">
        <x:v>就餐专线</x:v>
      </x:c>
      <x:c r="C15" s="14" t="str">
        <x:v>就餐专线站点，位于二食堂北侧</x:v>
      </x:c>
      <x:c r="D15" s="14" t="str">
        <x:v>环线1路打勾车次专用站点</x:v>
      </x:c>
    </x:row>
    <x:row r="16">
      <x:c r="A16" s="14" t="str">
        <x:v>门诊部</x:v>
      </x:c>
      <x:c r="B16" s="14" t="str">
        <x:v>环线2路</x:v>
      </x:c>
      <x:c r="C16" s="14" t="str">
        <x:v>根据路线图途径站点整理</x:v>
      </x:c>
      <x:c r="D16" s="14" t="str"/>
    </x:row>
    <x:row r="17">
      <x:c r="A17" s="14" t="str">
        <x:v>1号宿舍楼</x:v>
      </x:c>
      <x:c r="B17" s="14" t="str">
        <x:v>环线2路</x:v>
      </x:c>
      <x:c r="C17" s="14" t="str">
        <x:v>根据路线图途径站点整理</x:v>
      </x:c>
      <x:c r="D17" s="14" t="str"/>
    </x:row>
    <x:row r="18">
      <x:c r="A18" s="14" t="str">
        <x:v>水上训练中心</x:v>
      </x:c>
      <x:c r="B18" s="14" t="str">
        <x:v>环线2路</x:v>
      </x:c>
      <x:c r="C18" s="14" t="str">
        <x:v>根据路线图途径站点整理</x:v>
      </x:c>
      <x:c r="D18" s="14" t="str"/>
    </x:row>
    <x:row r="19">
      <x:c r="A19" s="14" t="str">
        <x:v>教勤连</x:v>
      </x:c>
      <x:c r="B19" s="14" t="str">
        <x:v>环线3路</x:v>
      </x:c>
      <x:c r="C19" s="14" t="str">
        <x:v>根据路线图途径站点整理</x:v>
      </x:c>
      <x:c r="D19" s="14" t="str"/>
    </x:row>
    <x:row r="20">
      <x:c r="A20" t="str">
        <x:v>图书馆</x:v>
      </x:c>
      <x:c r="B20" t="str">
        <x:v>环线3路</x:v>
      </x:c>
      <x:c r="C20" t="str">
        <x:v>根据路线图途径站点整理</x:v>
      </x:c>
      <x:c r="D2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65" t="str">
        <x:v>项目</x:v>
      </x:c>
      <x:c r="B1" s="65" t="str">
        <x:v>内容</x:v>
      </x:c>
    </x:row>
    <x:row r="2">
      <x:c r="A2" s="14" t="str">
        <x:v>本次处理范围</x:v>
      </x:c>
      <x:c r="B2" s="14" t="str">
        <x:v>不修改原有发车时刻数据；更新环线1路打勾车次的运行路线为就餐专线，并重新生成预测到站、运转校验和小程序数据口径。</x:v>
      </x:c>
    </x:row>
    <x:row r="3">
      <x:c r="A3" s="14" t="str">
        <x:v>系统工程学院/系统楼发车口径</x:v>
      </x:c>
      <x:c r="B3" s="14" t="str">
        <x:v>按用户说明，系统工程学院/系统楼发车在小程序中统一视为高超楼站点发车，避免出现不存在的“系统楼站”。</x:v>
      </x:c>
    </x:row>
    <x:row r="4">
      <x:c r="A4" s="14" t="str">
        <x:v>环线1路打勾车次路线</x:v>
      </x:c>
      <x:c r="B4" s="14" t="str">
        <x:v>环线1路第一班 11:30、11:50、12:10、12:30，以及第五班（夜2）16:30、16:50、17:10、17:30、17:50，均按就餐专线运行，不按环线1路完整路线运行。</x:v>
      </x:c>
    </x:row>
    <x:row r="5">
      <x:c r="A5" s="14" t="str">
        <x:v>就餐专线站点顺序</x:v>
      </x:c>
      <x:c r="B5" s="14" t="str">
        <x:v>高超楼 → 理学院 → 二食堂 → 一食堂 → 305教学楼 → 5号宿舍楼 → 二食堂北 → 理学院 → 高超楼。</x:v>
      </x:c>
    </x:row>
    <x:row r="6">
      <x:c r="A6" s="14" t="str">
        <x:v>环线1路日期</x:v>
      </x:c>
      <x:c r="B6" s="14" t="str">
        <x:v>环线1路按工作日时刻表处理，周末/节假日不运行。</x:v>
      </x:c>
    </x:row>
    <x:row r="7">
      <x:c r="A7" s="14" t="str">
        <x:v>校园限速</x:v>
      </x:c>
      <x:c r="B7" s="14" t="str">
        <x:v>校园限速约25km/h；预测到站采用不超过限速且兼顾停站、转弯、上下车的折算时间。</x:v>
      </x:c>
    </x:row>
    <x:row r="8">
      <x:c r="A8" s="14" t="str">
        <x:v>距离锚点1</x:v>
      </x:c>
      <x:c r="B8" s="14" t="str">
        <x:v>东门至北门约1.9km，用于拆分环线1路普通路线东侧至北侧各段。</x:v>
      </x:c>
    </x:row>
    <x:row r="9">
      <x:c r="A9" s="14" t="str">
        <x:v>距离锚点2</x:v>
      </x:c>
      <x:c r="B9" s="14" t="str">
        <x:v>理学院至二食堂约1km，用于环线1路普通路线、环线3路以及就餐专线相关路段预测。</x:v>
      </x:c>
    </x:row>
    <x:row r="10">
      <x:c r="A10" s="14" t="str">
        <x:v>距离锚点3</x:v>
      </x:c>
      <x:c r="B10" s="14" t="str">
        <x:v>305教学楼—图书馆—2号宿舍楼—军体活动中心—水上训练中心—二食堂—5号宿舍楼—305教学楼约2km，用于校准中央区域路段。</x:v>
      </x:c>
    </x:row>
    <x:row r="11">
      <x:c r="A11" s="14" t="str">
        <x:v>预测全程分钟：环线1路普通路线</x:v>
      </x:c>
      <x:c r="B11" s="14" t="str">
        <x:v>17分钟；普通车次从研究生宿舍楼发车并回到研究生宿舍楼。</x:v>
      </x:c>
    </x:row>
    <x:row r="12">
      <x:c r="A12" s="14" t="str">
        <x:v>预测全程分钟：环线1路就餐专线</x:v>
      </x:c>
      <x:c r="B12" s="14" t="str">
        <x:v>16分钟；20分钟连续高超楼发车时，预计可预留约4分钟等待上车。</x:v>
      </x:c>
    </x:row>
    <x:row r="13">
      <x:c r="A13" s="14" t="str">
        <x:v>预测全程分钟：环线2路</x:v>
      </x:c>
      <x:c r="B13" s="14" t="str">
        <x:v>12分钟；最小15分钟连续发车时，预计可预留约3分钟等待上车。</x:v>
      </x:c>
    </x:row>
    <x:row r="14">
      <x:c r="A14" s="14" t="str">
        <x:v>预测全程分钟：环线3路</x:v>
      </x:c>
      <x:c r="B14" s="14" t="str">
        <x:v>18分钟；系统工程学院/高超楼发车车次仍按环线3路高超楼发车路线预测。</x:v>
      </x:c>
    </x:row>
    <x:row r="15">
      <x:c r="A15" t="str">
        <x:v>误差说明</x:v>
      </x:c>
      <x:c r="B15" t="str">
        <x:v>预测到站按分钟取整，建议小程序展示为“预计到达”，实际可能因上下车、临停、路况产生约±2–3分钟偏差。</x:v>
      </x:c>
    </x:row>
    <x:row r="16">
      <x:c r="A16" t="str">
        <x:v>后续可调整字段</x:v>
      </x:c>
      <x:c r="B16" t="str">
        <x:v>如实测站间时间可直接更新“路线站点与偏移”中的发车后累计分钟，再重新生成预测到站明细。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7.809999942779541" hidden="0" customWidth="1"/>
    <x:col min="6" max="6" width="16" hidden="0" customWidth="1"/>
    <x:col min="7" max="7" width="16" hidden="0" customWidth="1"/>
    <x:col min="8" max="8" width="19.520000457763672" hidden="0" customWidth="1"/>
    <x:col min="9" max="9" width="9.829999923706055" hidden="0" customWidth="1"/>
    <x:col min="10" max="10" width="11.710000038146973" hidden="0" customWidth="1"/>
    <x:col min="11" max="11" width="17.6299991607666" hidden="0" customWidth="1"/>
    <x:col min="12" max="12" width="17.6299991607666" hidden="0" customWidth="1"/>
    <x:col min="13" max="13" width="17.6299991607666" hidden="0" customWidth="1"/>
    <x:col min="14" max="14" width="17.6299991607666" hidden="0" customWidth="1"/>
    <x:col min="15" max="15" width="13.729999542236328" hidden="0" customWidth="1"/>
    <x:col min="16" max="16" width="15.75" hidden="0" customWidth="1"/>
    <x:col min="17" max="17" width="11.710000038146973" hidden="0" customWidth="1"/>
    <x:col min="18" max="18" width="9.829999923706055" hidden="0" customWidth="1"/>
    <x:col min="19" max="19" width="13.729999542236328" hidden="0" customWidth="1"/>
    <x:col min="20" max="20" width="36" hidden="0" customWidth="1"/>
  </x:cols>
  <x:sheetData>
    <x:row r="1" ht="28" customHeight="1">
      <x:c r="A1" s="74" t="str">
        <x:v>路线站点键</x:v>
      </x:c>
      <x:c r="B1" s="74" t="str">
        <x:v>路线键</x:v>
      </x:c>
      <x:c r="C1" s="74" t="str">
        <x:v>线路</x:v>
      </x:c>
      <x:c r="D1" s="74" t="str">
        <x:v>发车模式</x:v>
      </x:c>
      <x:c r="E1" s="74" t="str">
        <x:v>站点序号</x:v>
      </x:c>
      <x:c r="F1" s="74" t="str">
        <x:v>上一站</x:v>
      </x:c>
      <x:c r="G1" s="74" t="str">
        <x:v>当前站</x:v>
      </x:c>
      <x:c r="H1" s="75" t="str">
        <x:v>与上一站距离估计(km)</x:v>
      </x:c>
      <x:c r="I1" s="76" t="str">
        <x:v>基准站间秒</x:v>
      </x:c>
      <x:c r="J1" s="77" t="str">
        <x:v>基准站间时间</x:v>
      </x:c>
      <x:c r="K1" s="76" t="str">
        <x:v>实测样本数（自动）</x:v>
      </x:c>
      <x:c r="L1" s="76" t="str">
        <x:v>实测平均秒（自动）</x:v>
      </x:c>
      <x:c r="M1" s="76" t="str">
        <x:v>手动采用秒（可填）</x:v>
      </x:c>
      <x:c r="N1" s="76" t="str">
        <x:v>最终站间秒（自动）</x:v>
      </x:c>
      <x:c r="O1" s="76" t="str">
        <x:v>累计秒（自动）</x:v>
      </x:c>
      <x:c r="P1" s="77" t="str">
        <x:v>累计时间（自动）</x:v>
      </x:c>
      <x:c r="Q1" s="74" t="str">
        <x:v>累计偏移文本</x:v>
      </x:c>
      <x:c r="R1" s="74" t="str">
        <x:v>是否发车站</x:v>
      </x:c>
      <x:c r="S1" s="74" t="str">
        <x:v>是否返回发车点</x:v>
      </x:c>
      <x:c r="T1" s="74" t="str">
        <x:v>依据/备注</x:v>
      </x:c>
    </x:row>
    <x:row r="2">
      <x:c r="A2" s="12" t="str">
        <x:v>HX1_NORMAL|1</x:v>
      </x:c>
      <x:c r="B2" s="12" t="str">
        <x:v>HX1_NORMAL</x:v>
      </x:c>
      <x:c r="C2" s="12" t="str">
        <x:v>环线1路</x:v>
      </x:c>
      <x:c r="D2" s="12" t="str">
        <x:v>研究生宿舍楼发车</x:v>
      </x:c>
      <x:c r="E2" s="12" t="n">
        <x:v>1</x:v>
      </x:c>
      <x:c r="F2" s="12" t="str">
        <x:v>研究生宿舍楼</x:v>
      </x:c>
      <x:c r="G2" s="12" t="str">
        <x:v>研究生宿舍楼</x:v>
      </x:c>
      <x:c r="H2" s="12" t="n">
        <x:v>0</x:v>
      </x:c>
      <x:c r="I2" s="12" t="n">
        <x:v>0</x:v>
      </x:c>
      <x:c r="J2" s="12" t="n">
        <x:f>I2/86400</x:f>
        <x:v>0</x:v>
      </x:c>
      <x:c r="K2" s="12" t="n">
        <x:f>COUNTIFS('实测记录模板'!$E:$E,$B2,'实测记录模板'!$H:$H,$E2)</x:f>
        <x:v>0</x:v>
      </x:c>
      <x:c r="L2" s="12" t="str">
        <x:f>IF(K2=0,"",ROUND(AVERAGEIFS('实测记录模板'!$N:$N,'实测记录模板'!$E:$E,$B2,'实测记录模板'!$H:$H,$E2),0))</x:f>
      </x:c>
      <x:c r="M2" s="12"/>
      <x:c r="N2" s="12" t="n">
        <x:f>IF(ISNUMBER(M2),M2,IF(ISNUMBER(L2),ROUND(L2,0),I2))</x:f>
        <x:v>0</x:v>
      </x:c>
      <x:c r="O2" s="12" t="n">
        <x:f>SUMIFS($N:$N,$B:$B,$B2,$E:$E,"&lt;="&amp;$E2)</x:f>
        <x:v>0</x:v>
      </x:c>
      <x:c r="P2" s="12" t="n">
        <x:f>O2/86400</x:f>
        <x:v>0</x:v>
      </x:c>
      <x:c r="Q2" s="12" t="str">
        <x:f>TEXT(P2,"[m]:ss")</x:f>
        <x:v>0:00</x:v>
      </x:c>
      <x:c r="R2" s="12" t="str">
        <x:v>是</x:v>
      </x:c>
      <x:c r="S2" s="12" t="str">
        <x:v>否</x:v>
      </x:c>
      <x:c r="T2" s="12" t="str">
        <x:v>发车点</x:v>
      </x:c>
    </x:row>
    <x:row r="3">
      <x:c r="A3" s="12" t="str">
        <x:v>HX1_NORMAL|2</x:v>
      </x:c>
      <x:c r="B3" s="12" t="str">
        <x:v>HX1_NORMAL</x:v>
      </x:c>
      <x:c r="C3" s="12" t="str">
        <x:v>环线1路</x:v>
      </x:c>
      <x:c r="D3" s="12" t="str">
        <x:v>研究生宿舍楼发车</x:v>
      </x:c>
      <x:c r="E3" s="12" t="n">
        <x:v>2</x:v>
      </x:c>
      <x:c r="F3" s="12" t="str">
        <x:v>研究生宿舍楼</x:v>
      </x:c>
      <x:c r="G3" s="12" t="str">
        <x:v>东门</x:v>
      </x:c>
      <x:c r="H3" s="12" t="n">
        <x:v>0.35</x:v>
      </x:c>
      <x:c r="I3" s="12" t="n">
        <x:v>65</x:v>
      </x:c>
      <x:c r="J3" s="12" t="n">
        <x:f>I3/86400</x:f>
        <x:v>0.0007523148148148148</x:v>
      </x:c>
      <x:c r="K3" s="12" t="n">
        <x:f>COUNTIFS('实测记录模板'!$E:$E,$B3,'实测记录模板'!$H:$H,$E3)</x:f>
        <x:v>0</x:v>
      </x:c>
      <x:c r="L3" s="12" t="str">
        <x:f>IF(K3=0,"",ROUND(AVERAGEIFS('实测记录模板'!$N:$N,'实测记录模板'!$E:$E,$B3,'实测记录模板'!$H:$H,$E3),0))</x:f>
      </x:c>
      <x:c r="M3" s="12"/>
      <x:c r="N3" s="12" t="n">
        <x:f>IF(ISNUMBER(M3),M3,IF(ISNUMBER(L3),ROUND(L3,0),I3))</x:f>
        <x:v>65</x:v>
      </x:c>
      <x:c r="O3" s="12" t="n">
        <x:f>SUMIFS($N:$N,$B:$B,$B3,$E:$E,"&lt;="&amp;$E3)</x:f>
        <x:v>65</x:v>
      </x:c>
      <x:c r="P3" s="12" t="n">
        <x:f>O3/86400</x:f>
        <x:v>0.0007523148148148148</x:v>
      </x:c>
      <x:c r="Q3" s="12" t="str">
        <x:f>TEXT(P3,"[m]:ss")</x:f>
        <x:v>1:05</x:v>
      </x:c>
      <x:c r="R3" s="12" t="str">
        <x:v>否</x:v>
      </x:c>
      <x:c r="S3" s="12" t="str">
        <x:v>否</x:v>
      </x:c>
      <x:c r="T3" s="12" t="str">
        <x:v>短距离东向，含出站/转弯缓冲</x:v>
      </x:c>
    </x:row>
    <x:row r="4">
      <x:c r="A4" s="12" t="str">
        <x:v>HX1_NORMAL|3</x:v>
      </x:c>
      <x:c r="B4" s="12" t="str">
        <x:v>HX1_NORMAL</x:v>
      </x:c>
      <x:c r="C4" s="12" t="str">
        <x:v>环线1路</x:v>
      </x:c>
      <x:c r="D4" s="12" t="str">
        <x:v>研究生宿舍楼发车</x:v>
      </x:c>
      <x:c r="E4" s="12" t="n">
        <x:v>3</x:v>
      </x:c>
      <x:c r="F4" s="12" t="str">
        <x:v>东门</x:v>
      </x:c>
      <x:c r="G4" s="12" t="str">
        <x:v>2号宿舍楼</x:v>
      </x:c>
      <x:c r="H4" s="12" t="n">
        <x:v>0.35</x:v>
      </x:c>
      <x:c r="I4" s="12" t="n">
        <x:v>55</x:v>
      </x:c>
      <x:c r="J4" s="12" t="n">
        <x:f>I4/86400</x:f>
        <x:v>0.0006365740740740741</x:v>
      </x:c>
      <x:c r="K4" s="12" t="n">
        <x:f>COUNTIFS('实测记录模板'!$E:$E,$B4,'实测记录模板'!$H:$H,$E4)</x:f>
        <x:v>0</x:v>
      </x:c>
      <x:c r="L4" s="12" t="str">
        <x:f>IF(K4=0,"",ROUND(AVERAGEIFS('实测记录模板'!$N:$N,'实测记录模板'!$E:$E,$B4,'实测记录模板'!$H:$H,$E4),0))</x:f>
      </x:c>
      <x:c r="M4" s="12"/>
      <x:c r="N4" s="12" t="n">
        <x:f>IF(ISNUMBER(M4),M4,IF(ISNUMBER(L4),ROUND(L4,0),I4))</x:f>
        <x:v>55</x:v>
      </x:c>
      <x:c r="O4" s="12" t="n">
        <x:f>SUMIFS($N:$N,$B:$B,$B4,$E:$E,"&lt;="&amp;$E4)</x:f>
        <x:v>120</x:v>
      </x:c>
      <x:c r="P4" s="12" t="n">
        <x:f>O4/86400</x:f>
        <x:v>0.001388888888888889</x:v>
      </x:c>
      <x:c r="Q4" s="12" t="str">
        <x:f>TEXT(P4,"[m]:ss")</x:f>
        <x:v>2:00</x:v>
      </x:c>
      <x:c r="R4" s="12" t="str">
        <x:v>否</x:v>
      </x:c>
      <x:c r="S4" s="12" t="str">
        <x:v>否</x:v>
      </x:c>
      <x:c r="T4" s="12" t="str">
        <x:v>东门至北门约1.9km分段</x:v>
      </x:c>
    </x:row>
    <x:row r="5">
      <x:c r="A5" s="12" t="str">
        <x:v>HX1_NORMAL|4</x:v>
      </x:c>
      <x:c r="B5" s="12" t="str">
        <x:v>HX1_NORMAL</x:v>
      </x:c>
      <x:c r="C5" s="12" t="str">
        <x:v>环线1路</x:v>
      </x:c>
      <x:c r="D5" s="12" t="str">
        <x:v>研究生宿舍楼发车</x:v>
      </x:c>
      <x:c r="E5" s="12" t="n">
        <x:v>4</x:v>
      </x:c>
      <x:c r="F5" s="12" t="str">
        <x:v>2号宿舍楼</x:v>
      </x:c>
      <x:c r="G5" s="12" t="str">
        <x:v>军体活动中心</x:v>
      </x:c>
      <x:c r="H5" s="12" t="n">
        <x:v>0.25</x:v>
      </x:c>
      <x:c r="I5" s="12" t="n">
        <x:v>45</x:v>
      </x:c>
      <x:c r="J5" s="12" t="n">
        <x:f>I5/86400</x:f>
        <x:v>0.0005208333333333333</x:v>
      </x:c>
      <x:c r="K5" s="12" t="n">
        <x:f>COUNTIFS('实测记录模板'!$E:$E,$B5,'实测记录模板'!$H:$H,$E5)</x:f>
        <x:v>0</x:v>
      </x:c>
      <x:c r="L5" s="12" t="str">
        <x:f>IF(K5=0,"",ROUND(AVERAGEIFS('实测记录模板'!$N:$N,'实测记录模板'!$E:$E,$B5,'实测记录模板'!$H:$H,$E5),0))</x:f>
      </x:c>
      <x:c r="M5" s="12"/>
      <x:c r="N5" s="12" t="n">
        <x:f>IF(ISNUMBER(M5),M5,IF(ISNUMBER(L5),ROUND(L5,0),I5))</x:f>
        <x:v>45</x:v>
      </x:c>
      <x:c r="O5" s="12" t="n">
        <x:f>SUMIFS($N:$N,$B:$B,$B5,$E:$E,"&lt;="&amp;$E5)</x:f>
        <x:v>165</x:v>
      </x:c>
      <x:c r="P5" s="12" t="n">
        <x:f>O5/86400</x:f>
        <x:v>0.0019097222222222222</x:v>
      </x:c>
      <x:c r="Q5" s="12" t="str">
        <x:f>TEXT(P5,"[m]:ss")</x:f>
        <x:v>2:45</x:v>
      </x:c>
      <x:c r="R5" s="12" t="str">
        <x:v>否</x:v>
      </x:c>
      <x:c r="S5" s="12" t="str">
        <x:v>否</x:v>
      </x:c>
      <x:c r="T5" s="12" t="str">
        <x:v>近距离站点，预计不足1分钟</x:v>
      </x:c>
    </x:row>
    <x:row r="6">
      <x:c r="A6" s="12" t="str">
        <x:v>HX1_NORMAL|5</x:v>
      </x:c>
      <x:c r="B6" s="12" t="str">
        <x:v>HX1_NORMAL</x:v>
      </x:c>
      <x:c r="C6" s="12" t="str">
        <x:v>环线1路</x:v>
      </x:c>
      <x:c r="D6" s="12" t="str">
        <x:v>研究生宿舍楼发车</x:v>
      </x:c>
      <x:c r="E6" s="12" t="n">
        <x:v>5</x:v>
      </x:c>
      <x:c r="F6" s="12" t="str">
        <x:v>军体活动中心</x:v>
      </x:c>
      <x:c r="G6" s="12" t="str">
        <x:v>激光所</x:v>
      </x:c>
      <x:c r="H6" s="12" t="n">
        <x:v>0.4</x:v>
      </x:c>
      <x:c r="I6" s="12" t="n">
        <x:v>85</x:v>
      </x:c>
      <x:c r="J6" s="12" t="n">
        <x:f>I6/86400</x:f>
        <x:v>0.0009837962962962962</x:v>
      </x:c>
      <x:c r="K6" s="12" t="n">
        <x:f>COUNTIFS('实测记录模板'!$E:$E,$B6,'实测记录模板'!$H:$H,$E6)</x:f>
        <x:v>0</x:v>
      </x:c>
      <x:c r="L6" s="12" t="str">
        <x:f>IF(K6=0,"",ROUND(AVERAGEIFS('实测记录模板'!$N:$N,'实测记录模板'!$E:$E,$B6,'实测记录模板'!$H:$H,$E6),0))</x:f>
      </x:c>
      <x:c r="M6" s="12"/>
      <x:c r="N6" s="12" t="n">
        <x:f>IF(ISNUMBER(M6),M6,IF(ISNUMBER(L6),ROUND(L6,0),I6))</x:f>
        <x:v>85</x:v>
      </x:c>
      <x:c r="O6" s="12" t="n">
        <x:f>SUMIFS($N:$N,$B:$B,$B6,$E:$E,"&lt;="&amp;$E6)</x:f>
        <x:v>250</x:v>
      </x:c>
      <x:c r="P6" s="12" t="n">
        <x:f>O6/86400</x:f>
        <x:v>0.0028935185185185184</x:v>
      </x:c>
      <x:c r="Q6" s="12" t="str">
        <x:f>TEXT(P6,"[m]:ss")</x:f>
        <x:v>4:10</x:v>
      </x:c>
      <x:c r="R6" s="12" t="str">
        <x:v>否</x:v>
      </x:c>
      <x:c r="S6" s="12" t="str">
        <x:v>否</x:v>
      </x:c>
      <x:c r="T6" s="12" t="str">
        <x:v>东侧道路北行</x:v>
      </x:c>
    </x:row>
    <x:row r="7">
      <x:c r="A7" s="12" t="str">
        <x:v>HX1_NORMAL|6</x:v>
      </x:c>
      <x:c r="B7" s="12" t="str">
        <x:v>HX1_NORMAL</x:v>
      </x:c>
      <x:c r="C7" s="12" t="str">
        <x:v>环线1路</x:v>
      </x:c>
      <x:c r="D7" s="12" t="str">
        <x:v>研究生宿舍楼发车</x:v>
      </x:c>
      <x:c r="E7" s="12" t="n">
        <x:v>6</x:v>
      </x:c>
      <x:c r="F7" s="12" t="str">
        <x:v>激光所</x:v>
      </x:c>
      <x:c r="G7" s="12" t="str">
        <x:v>超算中心</x:v>
      </x:c>
      <x:c r="H7" s="12" t="n">
        <x:v>0.35</x:v>
      </x:c>
      <x:c r="I7" s="12" t="n">
        <x:v>65</x:v>
      </x:c>
      <x:c r="J7" s="12" t="n">
        <x:f>I7/86400</x:f>
        <x:v>0.0007523148148148148</x:v>
      </x:c>
      <x:c r="K7" s="12" t="n">
        <x:f>COUNTIFS('实测记录模板'!$E:$E,$B7,'实测记录模板'!$H:$H,$E7)</x:f>
        <x:v>0</x:v>
      </x:c>
      <x:c r="L7" s="12" t="str">
        <x:f>IF(K7=0,"",ROUND(AVERAGEIFS('实测记录模板'!$N:$N,'实测记录模板'!$E:$E,$B7,'实测记录模板'!$H:$H,$E7),0))</x:f>
      </x:c>
      <x:c r="M7" s="12"/>
      <x:c r="N7" s="12" t="n">
        <x:f>IF(ISNUMBER(M7),M7,IF(ISNUMBER(L7),ROUND(L7,0),I7))</x:f>
        <x:v>65</x:v>
      </x:c>
      <x:c r="O7" s="12" t="n">
        <x:f>SUMIFS($N:$N,$B:$B,$B7,$E:$E,"&lt;="&amp;$E7)</x:f>
        <x:v>315</x:v>
      </x:c>
      <x:c r="P7" s="12" t="n">
        <x:f>O7/86400</x:f>
        <x:v>0.0036458333333333334</x:v>
      </x:c>
      <x:c r="Q7" s="12" t="str">
        <x:f>TEXT(P7,"[m]:ss")</x:f>
        <x:v>5:15</x:v>
      </x:c>
      <x:c r="R7" s="12" t="str">
        <x:v>否</x:v>
      </x:c>
      <x:c r="S7" s="12" t="str">
        <x:v>否</x:v>
      </x:c>
      <x:c r="T7" s="12" t="str">
        <x:v>东门至北门约1.9km分段</x:v>
      </x:c>
    </x:row>
    <x:row r="8">
      <x:c r="A8" s="12" t="str">
        <x:v>HX1_NORMAL|7</x:v>
      </x:c>
      <x:c r="B8" s="12" t="str">
        <x:v>HX1_NORMAL</x:v>
      </x:c>
      <x:c r="C8" s="12" t="str">
        <x:v>环线1路</x:v>
      </x:c>
      <x:c r="D8" s="12" t="str">
        <x:v>研究生宿舍楼发车</x:v>
      </x:c>
      <x:c r="E8" s="12" t="n">
        <x:v>7</x:v>
      </x:c>
      <x:c r="F8" s="12" t="str">
        <x:v>超算中心</x:v>
      </x:c>
      <x:c r="G8" s="12" t="str">
        <x:v>北门</x:v>
      </x:c>
      <x:c r="H8" s="12" t="n">
        <x:v>0.55</x:v>
      </x:c>
      <x:c r="I8" s="12" t="n">
        <x:v>105</x:v>
      </x:c>
      <x:c r="J8" s="12" t="n">
        <x:f>I8/86400</x:f>
        <x:v>0.0012152777777777778</x:v>
      </x:c>
      <x:c r="K8" s="12" t="n">
        <x:f>COUNTIFS('实测记录模板'!$E:$E,$B8,'实测记录模板'!$H:$H,$E8)</x:f>
        <x:v>0</x:v>
      </x:c>
      <x:c r="L8" s="12" t="str">
        <x:f>IF(K8=0,"",ROUND(AVERAGEIFS('实测记录模板'!$N:$N,'实测记录模板'!$E:$E,$B8,'实测记录模板'!$H:$H,$E8),0))</x:f>
      </x:c>
      <x:c r="M8" s="12"/>
      <x:c r="N8" s="12" t="n">
        <x:f>IF(ISNUMBER(M8),M8,IF(ISNUMBER(L8),ROUND(L8,0),I8))</x:f>
        <x:v>105</x:v>
      </x:c>
      <x:c r="O8" s="12" t="n">
        <x:f>SUMIFS($N:$N,$B:$B,$B8,$E:$E,"&lt;="&amp;$E8)</x:f>
        <x:v>420</x:v>
      </x:c>
      <x:c r="P8" s="12" t="n">
        <x:f>O8/86400</x:f>
        <x:v>0.004861111111111111</x:v>
      </x:c>
      <x:c r="Q8" s="12" t="str">
        <x:f>TEXT(P8,"[m]:ss")</x:f>
        <x:v>7:00</x:v>
      </x:c>
      <x:c r="R8" s="12" t="str">
        <x:v>否</x:v>
      </x:c>
      <x:c r="S8" s="12" t="str">
        <x:v>否</x:v>
      </x:c>
      <x:c r="T8" s="12" t="str">
        <x:v>北侧长段，含转弯缓冲</x:v>
      </x:c>
    </x:row>
    <x:row r="9">
      <x:c r="A9" s="12" t="str">
        <x:v>HX1_NORMAL|8</x:v>
      </x:c>
      <x:c r="B9" s="12" t="str">
        <x:v>HX1_NORMAL</x:v>
      </x:c>
      <x:c r="C9" s="12" t="str">
        <x:v>环线1路</x:v>
      </x:c>
      <x:c r="D9" s="12" t="str">
        <x:v>研究生宿舍楼发车</x:v>
      </x:c>
      <x:c r="E9" s="12" t="n">
        <x:v>8</x:v>
      </x:c>
      <x:c r="F9" s="12" t="str">
        <x:v>北门</x:v>
      </x:c>
      <x:c r="G9" s="12" t="str">
        <x:v>高超楼</x:v>
      </x:c>
      <x:c r="H9" s="12" t="n">
        <x:v>0.35</x:v>
      </x:c>
      <x:c r="I9" s="12" t="n">
        <x:v>60</x:v>
      </x:c>
      <x:c r="J9" s="12" t="n">
        <x:f>I9/86400</x:f>
        <x:v>0.0006944444444444445</x:v>
      </x:c>
      <x:c r="K9" s="12" t="n">
        <x:f>COUNTIFS('实测记录模板'!$E:$E,$B9,'实测记录模板'!$H:$H,$E9)</x:f>
        <x:v>0</x:v>
      </x:c>
      <x:c r="L9" s="12" t="str">
        <x:f>IF(K9=0,"",ROUND(AVERAGEIFS('实测记录模板'!$N:$N,'实测记录模板'!$E:$E,$B9,'实测记录模板'!$H:$H,$E9),0))</x:f>
      </x:c>
      <x:c r="M9" s="12"/>
      <x:c r="N9" s="12" t="n">
        <x:f>IF(ISNUMBER(M9),M9,IF(ISNUMBER(L9),ROUND(L9,0),I9))</x:f>
        <x:v>60</x:v>
      </x:c>
      <x:c r="O9" s="12" t="n">
        <x:f>SUMIFS($N:$N,$B:$B,$B9,$E:$E,"&lt;="&amp;$E9)</x:f>
        <x:v>480</x:v>
      </x:c>
      <x:c r="P9" s="12" t="n">
        <x:f>O9/86400</x:f>
        <x:v>0.005555555555555556</x:v>
      </x:c>
      <x:c r="Q9" s="12" t="str">
        <x:f>TEXT(P9,"[m]:ss")</x:f>
        <x:v>8:00</x:v>
      </x:c>
      <x:c r="R9" s="12" t="str">
        <x:v>否</x:v>
      </x:c>
      <x:c r="S9" s="12" t="str">
        <x:v>否</x:v>
      </x:c>
      <x:c r="T9" s="12" t="str">
        <x:v>高超楼旁为系统工程学院</x:v>
      </x:c>
    </x:row>
    <x:row r="10">
      <x:c r="A10" s="12" t="str">
        <x:v>HX1_NORMAL|9</x:v>
      </x:c>
      <x:c r="B10" s="12" t="str">
        <x:v>HX1_NORMAL</x:v>
      </x:c>
      <x:c r="C10" s="12" t="str">
        <x:v>环线1路</x:v>
      </x:c>
      <x:c r="D10" s="12" t="str">
        <x:v>研究生宿舍楼发车</x:v>
      </x:c>
      <x:c r="E10" s="12" t="n">
        <x:v>9</x:v>
      </x:c>
      <x:c r="F10" s="12" t="str">
        <x:v>高超楼</x:v>
      </x:c>
      <x:c r="G10" s="12" t="str">
        <x:v>理学院</x:v>
      </x:c>
      <x:c r="H10" s="12" t="n">
        <x:v>0.35</x:v>
      </x:c>
      <x:c r="I10" s="12" t="n">
        <x:v>55</x:v>
      </x:c>
      <x:c r="J10" s="12" t="n">
        <x:f>I10/86400</x:f>
        <x:v>0.0006365740740740741</x:v>
      </x:c>
      <x:c r="K10" s="12" t="n">
        <x:f>COUNTIFS('实测记录模板'!$E:$E,$B10,'实测记录模板'!$H:$H,$E10)</x:f>
        <x:v>0</x:v>
      </x:c>
      <x:c r="L10" s="12" t="str">
        <x:f>IF(K10=0,"",ROUND(AVERAGEIFS('实测记录模板'!$N:$N,'实测记录模板'!$E:$E,$B10,'实测记录模板'!$H:$H,$E10),0))</x:f>
      </x:c>
      <x:c r="M10" s="12"/>
      <x:c r="N10" s="12" t="n">
        <x:f>IF(ISNUMBER(M10),M10,IF(ISNUMBER(L10),ROUND(L10,0),I10))</x:f>
        <x:v>55</x:v>
      </x:c>
      <x:c r="O10" s="12" t="n">
        <x:f>SUMIFS($N:$N,$B:$B,$B10,$E:$E,"&lt;="&amp;$E10)</x:f>
        <x:v>535</x:v>
      </x:c>
      <x:c r="P10" s="12" t="n">
        <x:f>O10/86400</x:f>
        <x:v>0.00619212962962963</x:v>
      </x:c>
      <x:c r="Q10" s="12" t="str">
        <x:f>TEXT(P10,"[m]:ss")</x:f>
        <x:v>8:55</x:v>
      </x:c>
      <x:c r="R10" s="12" t="str">
        <x:v>否</x:v>
      </x:c>
      <x:c r="S10" s="12" t="str">
        <x:v>否</x:v>
      </x:c>
      <x:c r="T10" s="12" t="str">
        <x:v>高超楼至理学院短段</x:v>
      </x:c>
    </x:row>
    <x:row r="11">
      <x:c r="A11" s="12" t="str">
        <x:v>HX1_NORMAL|10</x:v>
      </x:c>
      <x:c r="B11" s="12" t="str">
        <x:v>HX1_NORMAL</x:v>
      </x:c>
      <x:c r="C11" s="12" t="str">
        <x:v>环线1路</x:v>
      </x:c>
      <x:c r="D11" s="12" t="str">
        <x:v>研究生宿舍楼发车</x:v>
      </x:c>
      <x:c r="E11" s="12" t="n">
        <x:v>10</x:v>
      </x:c>
      <x:c r="F11" s="12" t="str">
        <x:v>理学院</x:v>
      </x:c>
      <x:c r="G11" s="12" t="str">
        <x:v>二食堂</x:v>
      </x:c>
      <x:c r="H11" s="12" t="n">
        <x:v>1</x:v>
      </x:c>
      <x:c r="I11" s="12" t="n">
        <x:v>180</x:v>
      </x:c>
      <x:c r="J11" s="12" t="n">
        <x:f>I11/86400</x:f>
        <x:v>0.0020833333333333333</x:v>
      </x:c>
      <x:c r="K11" s="12" t="n">
        <x:f>COUNTIFS('实测记录模板'!$E:$E,$B11,'实测记录模板'!$H:$H,$E11)</x:f>
        <x:v>0</x:v>
      </x:c>
      <x:c r="L11" s="12" t="str">
        <x:f>IF(K11=0,"",ROUND(AVERAGEIFS('实测记录模板'!$N:$N,'实测记录模板'!$E:$E,$B11,'实测记录模板'!$H:$H,$E11),0))</x:f>
      </x:c>
      <x:c r="M11" s="12"/>
      <x:c r="N11" s="12" t="n">
        <x:f>IF(ISNUMBER(M11),M11,IF(ISNUMBER(L11),ROUND(L11,0),I11))</x:f>
        <x:v>180</x:v>
      </x:c>
      <x:c r="O11" s="12" t="n">
        <x:f>SUMIFS($N:$N,$B:$B,$B11,$E:$E,"&lt;="&amp;$E11)</x:f>
        <x:v>715</x:v>
      </x:c>
      <x:c r="P11" s="12" t="n">
        <x:f>O11/86400</x:f>
        <x:v>0.008275462962962964</x:v>
      </x:c>
      <x:c r="Q11" s="12" t="str">
        <x:f>TEXT(P11,"[m]:ss")</x:f>
        <x:v>11:55</x:v>
      </x:c>
      <x:c r="R11" s="12" t="str">
        <x:v>否</x:v>
      </x:c>
      <x:c r="S11" s="12" t="str">
        <x:v>否</x:v>
      </x:c>
      <x:c r="T11" s="12" t="str">
        <x:v>用户提供：理学院至二食堂约1km</x:v>
      </x:c>
    </x:row>
    <x:row r="12">
      <x:c r="A12" s="12" t="str">
        <x:v>HX1_NORMAL|11</x:v>
      </x:c>
      <x:c r="B12" s="12" t="str">
        <x:v>HX1_NORMAL</x:v>
      </x:c>
      <x:c r="C12" s="12" t="str">
        <x:v>环线1路</x:v>
      </x:c>
      <x:c r="D12" s="12" t="str">
        <x:v>研究生宿舍楼发车</x:v>
      </x:c>
      <x:c r="E12" s="12" t="n">
        <x:v>11</x:v>
      </x:c>
      <x:c r="F12" s="12" t="str">
        <x:v>二食堂</x:v>
      </x:c>
      <x:c r="G12" s="12" t="str">
        <x:v>5号宿舍楼</x:v>
      </x:c>
      <x:c r="H12" s="12" t="n">
        <x:v>0.35</x:v>
      </x:c>
      <x:c r="I12" s="12" t="n">
        <x:v>60</x:v>
      </x:c>
      <x:c r="J12" s="12" t="n">
        <x:f>I12/86400</x:f>
        <x:v>0.0006944444444444445</x:v>
      </x:c>
      <x:c r="K12" s="12" t="n">
        <x:f>COUNTIFS('实测记录模板'!$E:$E,$B12,'实测记录模板'!$H:$H,$E12)</x:f>
        <x:v>0</x:v>
      </x:c>
      <x:c r="L12" s="12" t="str">
        <x:f>IF(K12=0,"",ROUND(AVERAGEIFS('实测记录模板'!$N:$N,'实测记录模板'!$E:$E,$B12,'实测记录模板'!$H:$H,$E12),0))</x:f>
      </x:c>
      <x:c r="M12" s="12"/>
      <x:c r="N12" s="12" t="n">
        <x:f>IF(ISNUMBER(M12),M12,IF(ISNUMBER(L12),ROUND(L12,0),I12))</x:f>
        <x:v>60</x:v>
      </x:c>
      <x:c r="O12" s="12" t="n">
        <x:f>SUMIFS($N:$N,$B:$B,$B12,$E:$E,"&lt;="&amp;$E12)</x:f>
        <x:v>775</x:v>
      </x:c>
      <x:c r="P12" s="12" t="n">
        <x:f>O12/86400</x:f>
        <x:v>0.008969907407407407</x:v>
      </x:c>
      <x:c r="Q12" s="12" t="str">
        <x:f>TEXT(P12,"[m]:ss")</x:f>
        <x:v>12:55</x:v>
      </x:c>
      <x:c r="R12" s="12" t="str">
        <x:v>否</x:v>
      </x:c>
      <x:c r="S12" s="12" t="str">
        <x:v>否</x:v>
      </x:c>
      <x:c r="T12" s="12" t="str">
        <x:v>中央区短段</x:v>
      </x:c>
    </x:row>
    <x:row r="13">
      <x:c r="A13" s="12" t="str">
        <x:v>HX1_NORMAL|12</x:v>
      </x:c>
      <x:c r="B13" s="12" t="str">
        <x:v>HX1_NORMAL</x:v>
      </x:c>
      <x:c r="C13" s="12" t="str">
        <x:v>环线1路</x:v>
      </x:c>
      <x:c r="D13" s="12" t="str">
        <x:v>研究生宿舍楼发车</x:v>
      </x:c>
      <x:c r="E13" s="12" t="n">
        <x:v>12</x:v>
      </x:c>
      <x:c r="F13" s="12" t="str">
        <x:v>5号宿舍楼</x:v>
      </x:c>
      <x:c r="G13" s="12" t="str">
        <x:v>305教学楼</x:v>
      </x:c>
      <x:c r="H13" s="12" t="n">
        <x:v>0.4</x:v>
      </x:c>
      <x:c r="I13" s="12" t="n">
        <x:v>65</x:v>
      </x:c>
      <x:c r="J13" s="12" t="n">
        <x:f>I13/86400</x:f>
        <x:v>0.0007523148148148148</x:v>
      </x:c>
      <x:c r="K13" s="12" t="n">
        <x:f>COUNTIFS('实测记录模板'!$E:$E,$B13,'实测记录模板'!$H:$H,$E13)</x:f>
        <x:v>0</x:v>
      </x:c>
      <x:c r="L13" s="12" t="str">
        <x:f>IF(K13=0,"",ROUND(AVERAGEIFS('实测记录模板'!$N:$N,'实测记录模板'!$E:$E,$B13,'实测记录模板'!$H:$H,$E13),0))</x:f>
      </x:c>
      <x:c r="M13" s="12"/>
      <x:c r="N13" s="12" t="n">
        <x:f>IF(ISNUMBER(M13),M13,IF(ISNUMBER(L13),ROUND(L13,0),I13))</x:f>
        <x:v>65</x:v>
      </x:c>
      <x:c r="O13" s="12" t="n">
        <x:f>SUMIFS($N:$N,$B:$B,$B13,$E:$E,"&lt;="&amp;$E13)</x:f>
        <x:v>840</x:v>
      </x:c>
      <x:c r="P13" s="12" t="n">
        <x:f>O13/86400</x:f>
        <x:v>0.009722222222222222</x:v>
      </x:c>
      <x:c r="Q13" s="12" t="str">
        <x:f>TEXT(P13,"[m]:ss")</x:f>
        <x:v>14:00</x:v>
      </x:c>
      <x:c r="R13" s="12" t="str">
        <x:v>否</x:v>
      </x:c>
      <x:c r="S13" s="12" t="str">
        <x:v>否</x:v>
      </x:c>
      <x:c r="T13" s="12" t="str">
        <x:v>中央区短段</x:v>
      </x:c>
    </x:row>
    <x:row r="14">
      <x:c r="A14" s="12" t="str">
        <x:v>HX1_NORMAL|13</x:v>
      </x:c>
      <x:c r="B14" s="12" t="str">
        <x:v>HX1_NORMAL</x:v>
      </x:c>
      <x:c r="C14" s="12" t="str">
        <x:v>环线1路</x:v>
      </x:c>
      <x:c r="D14" s="12" t="str">
        <x:v>研究生宿舍楼发车</x:v>
      </x:c>
      <x:c r="E14" s="12" t="n">
        <x:v>13</x:v>
      </x:c>
      <x:c r="F14" s="12" t="str">
        <x:v>305教学楼</x:v>
      </x:c>
      <x:c r="G14" s="12" t="str">
        <x:v>研究生宿舍楼</x:v>
      </x:c>
      <x:c r="H14" s="12" t="n">
        <x:v>0.55</x:v>
      </x:c>
      <x:c r="I14" s="12" t="n">
        <x:v>105</x:v>
      </x:c>
      <x:c r="J14" s="12" t="n">
        <x:f>I14/86400</x:f>
        <x:v>0.0012152777777777778</x:v>
      </x:c>
      <x:c r="K14" s="12" t="n">
        <x:f>COUNTIFS('实测记录模板'!$E:$E,$B14,'实测记录模板'!$H:$H,$E14)</x:f>
        <x:v>0</x:v>
      </x:c>
      <x:c r="L14" s="12" t="str">
        <x:f>IF(K14=0,"",ROUND(AVERAGEIFS('实测记录模板'!$N:$N,'实测记录模板'!$E:$E,$B14,'实测记录模板'!$H:$H,$E14),0))</x:f>
      </x:c>
      <x:c r="M14" s="12"/>
      <x:c r="N14" s="12" t="n">
        <x:f>IF(ISNUMBER(M14),M14,IF(ISNUMBER(L14),ROUND(L14,0),I14))</x:f>
        <x:v>105</x:v>
      </x:c>
      <x:c r="O14" s="12" t="n">
        <x:f>SUMIFS($N:$N,$B:$B,$B14,$E:$E,"&lt;="&amp;$E14)</x:f>
        <x:v>945</x:v>
      </x:c>
      <x:c r="P14" s="12" t="n">
        <x:f>O14/86400</x:f>
        <x:v>0.0109375</x:v>
      </x:c>
      <x:c r="Q14" s="12" t="str">
        <x:f>TEXT(P14,"[m]:ss")</x:f>
        <x:v>15:45</x:v>
      </x:c>
      <x:c r="R14" s="12" t="str">
        <x:v>否</x:v>
      </x:c>
      <x:c r="S14" s="12" t="str">
        <x:v>是</x:v>
      </x:c>
      <x:c r="T14" s="12" t="str">
        <x:v>回到发车点</x:v>
      </x:c>
    </x:row>
    <x:row r="15">
      <x:c r="A15" s="12" t="str">
        <x:v>HX1_DINING|1</x:v>
      </x:c>
      <x:c r="B15" s="12" t="str">
        <x:v>HX1_DINING</x:v>
      </x:c>
      <x:c r="C15" s="12" t="str">
        <x:v>环线1路</x:v>
      </x:c>
      <x:c r="D15" s="12" t="str">
        <x:v>高超楼发车（就餐专线）</x:v>
      </x:c>
      <x:c r="E15" s="12" t="n">
        <x:v>1</x:v>
      </x:c>
      <x:c r="F15" s="12" t="str">
        <x:v>高超楼</x:v>
      </x:c>
      <x:c r="G15" s="12" t="str">
        <x:v>高超楼</x:v>
      </x:c>
      <x:c r="H15" s="12" t="n">
        <x:v>0</x:v>
      </x:c>
      <x:c r="I15" s="12" t="n">
        <x:v>0</x:v>
      </x:c>
      <x:c r="J15" s="12" t="n">
        <x:f>I15/86400</x:f>
        <x:v>0</x:v>
      </x:c>
      <x:c r="K15" s="12" t="n">
        <x:f>COUNTIFS('实测记录模板'!$E:$E,$B15,'实测记录模板'!$H:$H,$E15)</x:f>
        <x:v>0</x:v>
      </x:c>
      <x:c r="L15" s="12" t="str">
        <x:f>IF(K15=0,"",ROUND(AVERAGEIFS('实测记录模板'!$N:$N,'实测记录模板'!$E:$E,$B15,'实测记录模板'!$H:$H,$E15),0))</x:f>
      </x:c>
      <x:c r="M15" s="12"/>
      <x:c r="N15" s="12" t="n">
        <x:f>IF(ISNUMBER(M15),M15,IF(ISNUMBER(L15),ROUND(L15,0),I15))</x:f>
        <x:v>0</x:v>
      </x:c>
      <x:c r="O15" s="12" t="n">
        <x:f>SUMIFS($N:$N,$B:$B,$B15,$E:$E,"&lt;="&amp;$E15)</x:f>
        <x:v>0</x:v>
      </x:c>
      <x:c r="P15" s="12" t="n">
        <x:f>O15/86400</x:f>
        <x:v>0</x:v>
      </x:c>
      <x:c r="Q15" s="12" t="str">
        <x:f>TEXT(P15,"[m]:ss")</x:f>
        <x:v>0:00</x:v>
      </x:c>
      <x:c r="R15" s="12" t="str">
        <x:v>是</x:v>
      </x:c>
      <x:c r="S15" s="12" t="str">
        <x:v>否</x:v>
      </x:c>
      <x:c r="T15" s="12" t="str">
        <x:v>发车点；系统工程学院旁</x:v>
      </x:c>
    </x:row>
    <x:row r="16">
      <x:c r="A16" s="12" t="str">
        <x:v>HX1_DINING|2</x:v>
      </x:c>
      <x:c r="B16" s="12" t="str">
        <x:v>HX1_DINING</x:v>
      </x:c>
      <x:c r="C16" s="12" t="str">
        <x:v>环线1路</x:v>
      </x:c>
      <x:c r="D16" s="12" t="str">
        <x:v>高超楼发车（就餐专线）</x:v>
      </x:c>
      <x:c r="E16" s="12" t="n">
        <x:v>2</x:v>
      </x:c>
      <x:c r="F16" s="12" t="str">
        <x:v>高超楼</x:v>
      </x:c>
      <x:c r="G16" s="12" t="str">
        <x:v>理学院</x:v>
      </x:c>
      <x:c r="H16" s="12" t="n">
        <x:v>0.35</x:v>
      </x:c>
      <x:c r="I16" s="12" t="n">
        <x:v>55</x:v>
      </x:c>
      <x:c r="J16" s="12" t="n">
        <x:f>I16/86400</x:f>
        <x:v>0.0006365740740740741</x:v>
      </x:c>
      <x:c r="K16" s="12" t="n">
        <x:f>COUNTIFS('实测记录模板'!$E:$E,$B16,'实测记录模板'!$H:$H,$E16)</x:f>
        <x:v>0</x:v>
      </x:c>
      <x:c r="L16" s="12" t="str">
        <x:f>IF(K16=0,"",ROUND(AVERAGEIFS('实测记录模板'!$N:$N,'实测记录模板'!$E:$E,$B16,'实测记录模板'!$H:$H,$E16),0))</x:f>
      </x:c>
      <x:c r="M16" s="12"/>
      <x:c r="N16" s="12" t="n">
        <x:f>IF(ISNUMBER(M16),M16,IF(ISNUMBER(L16),ROUND(L16,0),I16))</x:f>
        <x:v>55</x:v>
      </x:c>
      <x:c r="O16" s="12" t="n">
        <x:f>SUMIFS($N:$N,$B:$B,$B16,$E:$E,"&lt;="&amp;$E16)</x:f>
        <x:v>55</x:v>
      </x:c>
      <x:c r="P16" s="12" t="n">
        <x:f>O16/86400</x:f>
        <x:v>0.0006365740740740741</x:v>
      </x:c>
      <x:c r="Q16" s="12" t="str">
        <x:f>TEXT(P16,"[m]:ss")</x:f>
        <x:v>0:55</x:v>
      </x:c>
      <x:c r="R16" s="12" t="str">
        <x:v>否</x:v>
      </x:c>
      <x:c r="S16" s="12" t="str">
        <x:v>否</x:v>
      </x:c>
      <x:c r="T16" s="12" t="str">
        <x:v>就餐专线南行短段</x:v>
      </x:c>
    </x:row>
    <x:row r="17">
      <x:c r="A17" s="12" t="str">
        <x:v>HX1_DINING|3</x:v>
      </x:c>
      <x:c r="B17" s="12" t="str">
        <x:v>HX1_DINING</x:v>
      </x:c>
      <x:c r="C17" s="12" t="str">
        <x:v>环线1路</x:v>
      </x:c>
      <x:c r="D17" s="12" t="str">
        <x:v>高超楼发车（就餐专线）</x:v>
      </x:c>
      <x:c r="E17" s="12" t="n">
        <x:v>3</x:v>
      </x:c>
      <x:c r="F17" s="12" t="str">
        <x:v>理学院</x:v>
      </x:c>
      <x:c r="G17" s="12" t="str">
        <x:v>二食堂</x:v>
      </x:c>
      <x:c r="H17" s="12" t="n">
        <x:v>1</x:v>
      </x:c>
      <x:c r="I17" s="12" t="n">
        <x:v>180</x:v>
      </x:c>
      <x:c r="J17" s="12" t="n">
        <x:f>I17/86400</x:f>
        <x:v>0.0020833333333333333</x:v>
      </x:c>
      <x:c r="K17" s="12" t="n">
        <x:f>COUNTIFS('实测记录模板'!$E:$E,$B17,'实测记录模板'!$H:$H,$E17)</x:f>
        <x:v>0</x:v>
      </x:c>
      <x:c r="L17" s="12" t="str">
        <x:f>IF(K17=0,"",ROUND(AVERAGEIFS('实测记录模板'!$N:$N,'实测记录模板'!$E:$E,$B17,'实测记录模板'!$H:$H,$E17),0))</x:f>
      </x:c>
      <x:c r="M17" s="12"/>
      <x:c r="N17" s="12" t="n">
        <x:f>IF(ISNUMBER(M17),M17,IF(ISNUMBER(L17),ROUND(L17,0),I17))</x:f>
        <x:v>180</x:v>
      </x:c>
      <x:c r="O17" s="12" t="n">
        <x:f>SUMIFS($N:$N,$B:$B,$B17,$E:$E,"&lt;="&amp;$E17)</x:f>
        <x:v>235</x:v>
      </x:c>
      <x:c r="P17" s="12" t="n">
        <x:f>O17/86400</x:f>
        <x:v>0.0027199074074074074</x:v>
      </x:c>
      <x:c r="Q17" s="12" t="str">
        <x:f>TEXT(P17,"[m]:ss")</x:f>
        <x:v>3:55</x:v>
      </x:c>
      <x:c r="R17" s="12" t="str">
        <x:v>否</x:v>
      </x:c>
      <x:c r="S17" s="12" t="str">
        <x:v>否</x:v>
      </x:c>
      <x:c r="T17" s="12" t="str">
        <x:v>用户提供：理学院至二食堂约1km</x:v>
      </x:c>
    </x:row>
    <x:row r="18">
      <x:c r="A18" s="12" t="str">
        <x:v>HX1_DINING|4</x:v>
      </x:c>
      <x:c r="B18" s="12" t="str">
        <x:v>HX1_DINING</x:v>
      </x:c>
      <x:c r="C18" s="12" t="str">
        <x:v>环线1路</x:v>
      </x:c>
      <x:c r="D18" s="12" t="str">
        <x:v>高超楼发车（就餐专线）</x:v>
      </x:c>
      <x:c r="E18" s="12" t="n">
        <x:v>4</x:v>
      </x:c>
      <x:c r="F18" s="12" t="str">
        <x:v>二食堂</x:v>
      </x:c>
      <x:c r="G18" s="12" t="str">
        <x:v>一食堂</x:v>
      </x:c>
      <x:c r="H18" s="12" t="n">
        <x:v>0.55</x:v>
      </x:c>
      <x:c r="I18" s="12" t="n">
        <x:v>95</x:v>
      </x:c>
      <x:c r="J18" s="12" t="n">
        <x:f>I18/86400</x:f>
        <x:v>0.001099537037037037</x:v>
      </x:c>
      <x:c r="K18" s="12" t="n">
        <x:f>COUNTIFS('实测记录模板'!$E:$E,$B18,'实测记录模板'!$H:$H,$E18)</x:f>
        <x:v>0</x:v>
      </x:c>
      <x:c r="L18" s="12" t="str">
        <x:f>IF(K18=0,"",ROUND(AVERAGEIFS('实测记录模板'!$N:$N,'实测记录模板'!$E:$E,$B18,'实测记录模板'!$H:$H,$E18),0))</x:f>
      </x:c>
      <x:c r="M18" s="12"/>
      <x:c r="N18" s="12" t="n">
        <x:f>IF(ISNUMBER(M18),M18,IF(ISNUMBER(L18),ROUND(L18,0),I18))</x:f>
        <x:v>95</x:v>
      </x:c>
      <x:c r="O18" s="12" t="n">
        <x:f>SUMIFS($N:$N,$B:$B,$B18,$E:$E,"&lt;="&amp;$E18)</x:f>
        <x:v>330</x:v>
      </x:c>
      <x:c r="P18" s="12" t="n">
        <x:f>O18/86400</x:f>
        <x:v>0.0038194444444444443</x:v>
      </x:c>
      <x:c r="Q18" s="12" t="str">
        <x:f>TEXT(P18,"[m]:ss")</x:f>
        <x:v>5:30</x:v>
      </x:c>
      <x:c r="R18" s="12" t="str">
        <x:v>否</x:v>
      </x:c>
      <x:c r="S18" s="12" t="str">
        <x:v>否</x:v>
      </x:c>
      <x:c r="T18" s="12" t="str">
        <x:v>就餐专线图比例估计</x:v>
      </x:c>
    </x:row>
    <x:row r="19">
      <x:c r="A19" s="12" t="str">
        <x:v>HX1_DINING|5</x:v>
      </x:c>
      <x:c r="B19" s="12" t="str">
        <x:v>HX1_DINING</x:v>
      </x:c>
      <x:c r="C19" s="12" t="str">
        <x:v>环线1路</x:v>
      </x:c>
      <x:c r="D19" s="12" t="str">
        <x:v>高超楼发车（就餐专线）</x:v>
      </x:c>
      <x:c r="E19" s="12" t="n">
        <x:v>5</x:v>
      </x:c>
      <x:c r="F19" s="12" t="str">
        <x:v>一食堂</x:v>
      </x:c>
      <x:c r="G19" s="12" t="str">
        <x:v>305教学楼</x:v>
      </x:c>
      <x:c r="H19" s="12" t="n">
        <x:v>0.55</x:v>
      </x:c>
      <x:c r="I19" s="12" t="n">
        <x:v>105</x:v>
      </x:c>
      <x:c r="J19" s="12" t="n">
        <x:f>I19/86400</x:f>
        <x:v>0.0012152777777777778</x:v>
      </x:c>
      <x:c r="K19" s="12" t="n">
        <x:f>COUNTIFS('实测记录模板'!$E:$E,$B19,'实测记录模板'!$H:$H,$E19)</x:f>
        <x:v>0</x:v>
      </x:c>
      <x:c r="L19" s="12" t="str">
        <x:f>IF(K19=0,"",ROUND(AVERAGEIFS('实测记录模板'!$N:$N,'实测记录模板'!$E:$E,$B19,'实测记录模板'!$H:$H,$E19),0))</x:f>
      </x:c>
      <x:c r="M19" s="12"/>
      <x:c r="N19" s="12" t="n">
        <x:f>IF(ISNUMBER(M19),M19,IF(ISNUMBER(L19),ROUND(L19,0),I19))</x:f>
        <x:v>105</x:v>
      </x:c>
      <x:c r="O19" s="12" t="n">
        <x:f>SUMIFS($N:$N,$B:$B,$B19,$E:$E,"&lt;="&amp;$E19)</x:f>
        <x:v>435</x:v>
      </x:c>
      <x:c r="P19" s="12" t="n">
        <x:f>O19/86400</x:f>
        <x:v>0.0050347222222222225</x:v>
      </x:c>
      <x:c r="Q19" s="12" t="str">
        <x:f>TEXT(P19,"[m]:ss")</x:f>
        <x:v>7:15</x:v>
      </x:c>
      <x:c r="R19" s="12" t="str">
        <x:v>否</x:v>
      </x:c>
      <x:c r="S19" s="12" t="str">
        <x:v>否</x:v>
      </x:c>
      <x:c r="T19" s="12" t="str">
        <x:v>南侧绕行，含转弯缓冲</x:v>
      </x:c>
    </x:row>
    <x:row r="20">
      <x:c r="A20" s="12" t="str">
        <x:v>HX1_DINING|6</x:v>
      </x:c>
      <x:c r="B20" s="12" t="str">
        <x:v>HX1_DINING</x:v>
      </x:c>
      <x:c r="C20" s="12" t="str">
        <x:v>环线1路</x:v>
      </x:c>
      <x:c r="D20" s="12" t="str">
        <x:v>高超楼发车（就餐专线）</x:v>
      </x:c>
      <x:c r="E20" s="12" t="n">
        <x:v>6</x:v>
      </x:c>
      <x:c r="F20" s="12" t="str">
        <x:v>305教学楼</x:v>
      </x:c>
      <x:c r="G20" s="12" t="str">
        <x:v>5号宿舍楼</x:v>
      </x:c>
      <x:c r="H20" s="12" t="n">
        <x:v>0.45</x:v>
      </x:c>
      <x:c r="I20" s="12" t="n">
        <x:v>85</x:v>
      </x:c>
      <x:c r="J20" s="12" t="n">
        <x:f>I20/86400</x:f>
        <x:v>0.0009837962962962962</x:v>
      </x:c>
      <x:c r="K20" s="12" t="n">
        <x:f>COUNTIFS('实测记录模板'!$E:$E,$B20,'实测记录模板'!$H:$H,$E20)</x:f>
        <x:v>0</x:v>
      </x:c>
      <x:c r="L20" s="12" t="str">
        <x:f>IF(K20=0,"",ROUND(AVERAGEIFS('实测记录模板'!$N:$N,'实测记录模板'!$E:$E,$B20,'实测记录模板'!$H:$H,$E20),0))</x:f>
      </x:c>
      <x:c r="M20" s="12"/>
      <x:c r="N20" s="12" t="n">
        <x:f>IF(ISNUMBER(M20),M20,IF(ISNUMBER(L20),ROUND(L20,0),I20))</x:f>
        <x:v>85</x:v>
      </x:c>
      <x:c r="O20" s="12" t="n">
        <x:f>SUMIFS($N:$N,$B:$B,$B20,$E:$E,"&lt;="&amp;$E20)</x:f>
        <x:v>520</x:v>
      </x:c>
      <x:c r="P20" s="12" t="n">
        <x:f>O20/86400</x:f>
        <x:v>0.0060185185185185185</x:v>
      </x:c>
      <x:c r="Q20" s="12" t="str">
        <x:f>TEXT(P20,"[m]:ss")</x:f>
        <x:v>8:40</x:v>
      </x:c>
      <x:c r="R20" s="12" t="str">
        <x:v>否</x:v>
      </x:c>
      <x:c r="S20" s="12" t="str">
        <x:v>否</x:v>
      </x:c>
      <x:c r="T20" s="12" t="str">
        <x:v>近距离短段</x:v>
      </x:c>
    </x:row>
    <x:row r="21">
      <x:c r="A21" s="12" t="str">
        <x:v>HX1_DINING|7</x:v>
      </x:c>
      <x:c r="B21" s="12" t="str">
        <x:v>HX1_DINING</x:v>
      </x:c>
      <x:c r="C21" s="12" t="str">
        <x:v>环线1路</x:v>
      </x:c>
      <x:c r="D21" s="12" t="str">
        <x:v>高超楼发车（就餐专线）</x:v>
      </x:c>
      <x:c r="E21" s="12" t="n">
        <x:v>7</x:v>
      </x:c>
      <x:c r="F21" s="12" t="str">
        <x:v>5号宿舍楼</x:v>
      </x:c>
      <x:c r="G21" s="12" t="str">
        <x:v>二食堂北</x:v>
      </x:c>
      <x:c r="H21" s="12" t="n">
        <x:v>0.45</x:v>
      </x:c>
      <x:c r="I21" s="12" t="n">
        <x:v>95</x:v>
      </x:c>
      <x:c r="J21" s="12" t="n">
        <x:f>I21/86400</x:f>
        <x:v>0.001099537037037037</x:v>
      </x:c>
      <x:c r="K21" s="12" t="n">
        <x:f>COUNTIFS('实测记录模板'!$E:$E,$B21,'实测记录模板'!$H:$H,$E21)</x:f>
        <x:v>0</x:v>
      </x:c>
      <x:c r="L21" s="12" t="str">
        <x:f>IF(K21=0,"",ROUND(AVERAGEIFS('实测记录模板'!$N:$N,'实测记录模板'!$E:$E,$B21,'实测记录模板'!$H:$H,$E21),0))</x:f>
      </x:c>
      <x:c r="M21" s="12"/>
      <x:c r="N21" s="12" t="n">
        <x:f>IF(ISNUMBER(M21),M21,IF(ISNUMBER(L21),ROUND(L21,0),I21))</x:f>
        <x:v>95</x:v>
      </x:c>
      <x:c r="O21" s="12" t="n">
        <x:f>SUMIFS($N:$N,$B:$B,$B21,$E:$E,"&lt;="&amp;$E21)</x:f>
        <x:v>615</x:v>
      </x:c>
      <x:c r="P21" s="12" t="n">
        <x:f>O21/86400</x:f>
        <x:v>0.007118055555555555</x:v>
      </x:c>
      <x:c r="Q21" s="12" t="str">
        <x:f>TEXT(P21,"[m]:ss")</x:f>
        <x:v>10:15</x:v>
      </x:c>
      <x:c r="R21" s="12" t="str">
        <x:v>否</x:v>
      </x:c>
      <x:c r="S21" s="12" t="str">
        <x:v>否</x:v>
      </x:c>
      <x:c r="T21" s="12" t="str">
        <x:v>近距离短段，含站点减速</x:v>
      </x:c>
    </x:row>
    <x:row r="22">
      <x:c r="A22" s="12" t="str">
        <x:v>HX1_DINING|8</x:v>
      </x:c>
      <x:c r="B22" s="12" t="str">
        <x:v>HX1_DINING</x:v>
      </x:c>
      <x:c r="C22" s="12" t="str">
        <x:v>环线1路</x:v>
      </x:c>
      <x:c r="D22" s="12" t="str">
        <x:v>高超楼发车（就餐专线）</x:v>
      </x:c>
      <x:c r="E22" s="12" t="n">
        <x:v>8</x:v>
      </x:c>
      <x:c r="F22" s="12" t="str">
        <x:v>二食堂北</x:v>
      </x:c>
      <x:c r="G22" s="12" t="str">
        <x:v>理学院</x:v>
      </x:c>
      <x:c r="H22" s="12" t="n">
        <x:v>1</x:v>
      </x:c>
      <x:c r="I22" s="12" t="n">
        <x:v>180</x:v>
      </x:c>
      <x:c r="J22" s="12" t="n">
        <x:f>I22/86400</x:f>
        <x:v>0.0020833333333333333</x:v>
      </x:c>
      <x:c r="K22" s="12" t="n">
        <x:f>COUNTIFS('实测记录模板'!$E:$E,$B22,'实测记录模板'!$H:$H,$E22)</x:f>
        <x:v>0</x:v>
      </x:c>
      <x:c r="L22" s="12" t="str">
        <x:f>IF(K22=0,"",ROUND(AVERAGEIFS('实测记录模板'!$N:$N,'实测记录模板'!$E:$E,$B22,'实测记录模板'!$H:$H,$E22),0))</x:f>
      </x:c>
      <x:c r="M22" s="12"/>
      <x:c r="N22" s="12" t="n">
        <x:f>IF(ISNUMBER(M22),M22,IF(ISNUMBER(L22),ROUND(L22,0),I22))</x:f>
        <x:v>180</x:v>
      </x:c>
      <x:c r="O22" s="12" t="n">
        <x:f>SUMIFS($N:$N,$B:$B,$B22,$E:$E,"&lt;="&amp;$E22)</x:f>
        <x:v>795</x:v>
      </x:c>
      <x:c r="P22" s="12" t="n">
        <x:f>O22/86400</x:f>
        <x:v>0.00920138888888889</x:v>
      </x:c>
      <x:c r="Q22" s="12" t="str">
        <x:f>TEXT(P22,"[m]:ss")</x:f>
        <x:v>13:15</x:v>
      </x:c>
      <x:c r="R22" s="12" t="str">
        <x:v>否</x:v>
      </x:c>
      <x:c r="S22" s="12" t="str">
        <x:v>否</x:v>
      </x:c>
      <x:c r="T22" s="12" t="str">
        <x:v>回程参考理学院—二食堂约1km锚点</x:v>
      </x:c>
    </x:row>
    <x:row r="23">
      <x:c r="A23" s="12" t="str">
        <x:v>HX1_DINING|9</x:v>
      </x:c>
      <x:c r="B23" s="12" t="str">
        <x:v>HX1_DINING</x:v>
      </x:c>
      <x:c r="C23" s="12" t="str">
        <x:v>环线1路</x:v>
      </x:c>
      <x:c r="D23" s="12" t="str">
        <x:v>高超楼发车（就餐专线）</x:v>
      </x:c>
      <x:c r="E23" s="12" t="n">
        <x:v>9</x:v>
      </x:c>
      <x:c r="F23" s="12" t="str">
        <x:v>理学院</x:v>
      </x:c>
      <x:c r="G23" s="12" t="str">
        <x:v>高超楼</x:v>
      </x:c>
      <x:c r="H23" s="12" t="n">
        <x:v>0.35</x:v>
      </x:c>
      <x:c r="I23" s="12" t="n">
        <x:v>55</x:v>
      </x:c>
      <x:c r="J23" s="12" t="n">
        <x:f>I23/86400</x:f>
        <x:v>0.0006365740740740741</x:v>
      </x:c>
      <x:c r="K23" s="12" t="n">
        <x:f>COUNTIFS('实测记录模板'!$E:$E,$B23,'实测记录模板'!$H:$H,$E23)</x:f>
        <x:v>0</x:v>
      </x:c>
      <x:c r="L23" s="12" t="str">
        <x:f>IF(K23=0,"",ROUND(AVERAGEIFS('实测记录模板'!$N:$N,'实测记录模板'!$E:$E,$B23,'实测记录模板'!$H:$H,$E23),0))</x:f>
      </x:c>
      <x:c r="M23" s="12"/>
      <x:c r="N23" s="12" t="n">
        <x:f>IF(ISNUMBER(M23),M23,IF(ISNUMBER(L23),ROUND(L23,0),I23))</x:f>
        <x:v>55</x:v>
      </x:c>
      <x:c r="O23" s="12" t="n">
        <x:f>SUMIFS($N:$N,$B:$B,$B23,$E:$E,"&lt;="&amp;$E23)</x:f>
        <x:v>850</x:v>
      </x:c>
      <x:c r="P23" s="12" t="n">
        <x:f>O23/86400</x:f>
        <x:v>0.009837962962962963</x:v>
      </x:c>
      <x:c r="Q23" s="12" t="str">
        <x:f>TEXT(P23,"[m]:ss")</x:f>
        <x:v>14:10</x:v>
      </x:c>
      <x:c r="R23" s="12" t="str">
        <x:v>否</x:v>
      </x:c>
      <x:c r="S23" s="12" t="str">
        <x:v>是</x:v>
      </x:c>
      <x:c r="T23" s="12" t="str">
        <x:v>返回高超楼等待下一趟</x:v>
      </x:c>
    </x:row>
    <x:row r="24">
      <x:c r="A24" s="12" t="str">
        <x:v>HX2_NORMAL|1</x:v>
      </x:c>
      <x:c r="B24" s="12" t="str">
        <x:v>HX2_NORMAL</x:v>
      </x:c>
      <x:c r="C24" s="12" t="str">
        <x:v>环线2路</x:v>
      </x:c>
      <x:c r="D24" s="12" t="str">
        <x:v>研究生宿舍楼发车</x:v>
      </x:c>
      <x:c r="E24" s="12" t="n">
        <x:v>1</x:v>
      </x:c>
      <x:c r="F24" s="12" t="str">
        <x:v>研究生宿舍楼</x:v>
      </x:c>
      <x:c r="G24" s="12" t="str">
        <x:v>研究生宿舍楼</x:v>
      </x:c>
      <x:c r="H24" s="12" t="n">
        <x:v>0</x:v>
      </x:c>
      <x:c r="I24" s="12" t="n">
        <x:v>0</x:v>
      </x:c>
      <x:c r="J24" s="12" t="n">
        <x:f>I24/86400</x:f>
        <x:v>0</x:v>
      </x:c>
      <x:c r="K24" s="12" t="n">
        <x:f>COUNTIFS('实测记录模板'!$E:$E,$B24,'实测记录模板'!$H:$H,$E24)</x:f>
        <x:v>0</x:v>
      </x:c>
      <x:c r="L24" s="12" t="str">
        <x:f>IF(K24=0,"",ROUND(AVERAGEIFS('实测记录模板'!$N:$N,'实测记录模板'!$E:$E,$B24,'实测记录模板'!$H:$H,$E24),0))</x:f>
      </x:c>
      <x:c r="M24" s="12"/>
      <x:c r="N24" s="12" t="n">
        <x:f>IF(ISNUMBER(M24),M24,IF(ISNUMBER(L24),ROUND(L24,0),I24))</x:f>
        <x:v>0</x:v>
      </x:c>
      <x:c r="O24" s="12" t="n">
        <x:f>SUMIFS($N:$N,$B:$B,$B24,$E:$E,"&lt;="&amp;$E24)</x:f>
        <x:v>0</x:v>
      </x:c>
      <x:c r="P24" s="12" t="n">
        <x:f>O24/86400</x:f>
        <x:v>0</x:v>
      </x:c>
      <x:c r="Q24" s="12" t="str">
        <x:f>TEXT(P24,"[m]:ss")</x:f>
        <x:v>0:00</x:v>
      </x:c>
      <x:c r="R24" s="12" t="str">
        <x:v>是</x:v>
      </x:c>
      <x:c r="S24" s="12" t="str">
        <x:v>否</x:v>
      </x:c>
      <x:c r="T24" s="12" t="str">
        <x:v>发车点</x:v>
      </x:c>
    </x:row>
    <x:row r="25">
      <x:c r="A25" s="12" t="str">
        <x:v>HX2_NORMAL|2</x:v>
      </x:c>
      <x:c r="B25" s="12" t="str">
        <x:v>HX2_NORMAL</x:v>
      </x:c>
      <x:c r="C25" s="12" t="str">
        <x:v>环线2路</x:v>
      </x:c>
      <x:c r="D25" s="12" t="str">
        <x:v>研究生宿舍楼发车</x:v>
      </x:c>
      <x:c r="E25" s="12" t="n">
        <x:v>2</x:v>
      </x:c>
      <x:c r="F25" s="12" t="str">
        <x:v>研究生宿舍楼</x:v>
      </x:c>
      <x:c r="G25" s="12" t="str">
        <x:v>一食堂</x:v>
      </x:c>
      <x:c r="H25" s="12" t="n">
        <x:v>0.3</x:v>
      </x:c>
      <x:c r="I25" s="12" t="n">
        <x:v>45</x:v>
      </x:c>
      <x:c r="J25" s="12" t="n">
        <x:f>I25/86400</x:f>
        <x:v>0.0005208333333333333</x:v>
      </x:c>
      <x:c r="K25" s="12" t="n">
        <x:f>COUNTIFS('实测记录模板'!$E:$E,$B25,'实测记录模板'!$H:$H,$E25)</x:f>
        <x:v>0</x:v>
      </x:c>
      <x:c r="L25" s="12" t="str">
        <x:f>IF(K25=0,"",ROUND(AVERAGEIFS('实测记录模板'!$N:$N,'实测记录模板'!$E:$E,$B25,'实测记录模板'!$H:$H,$E25),0))</x:f>
      </x:c>
      <x:c r="M25" s="12"/>
      <x:c r="N25" s="12" t="n">
        <x:f>IF(ISNUMBER(M25),M25,IF(ISNUMBER(L25),ROUND(L25,0),I25))</x:f>
        <x:v>45</x:v>
      </x:c>
      <x:c r="O25" s="12" t="n">
        <x:f>SUMIFS($N:$N,$B:$B,$B25,$E:$E,"&lt;="&amp;$E25)</x:f>
        <x:v>45</x:v>
      </x:c>
      <x:c r="P25" s="12" t="n">
        <x:f>O25/86400</x:f>
        <x:v>0.0005208333333333333</x:v>
      </x:c>
      <x:c r="Q25" s="12" t="str">
        <x:f>TEXT(P25,"[m]:ss")</x:f>
        <x:v>0:45</x:v>
      </x:c>
      <x:c r="R25" s="12" t="str">
        <x:v>否</x:v>
      </x:c>
      <x:c r="S25" s="12" t="str">
        <x:v>否</x:v>
      </x:c>
      <x:c r="T25" s="12" t="str">
        <x:v>近距离短段</x:v>
      </x:c>
    </x:row>
    <x:row r="26">
      <x:c r="A26" s="12" t="str">
        <x:v>HX2_NORMAL|3</x:v>
      </x:c>
      <x:c r="B26" s="12" t="str">
        <x:v>HX2_NORMAL</x:v>
      </x:c>
      <x:c r="C26" s="12" t="str">
        <x:v>环线2路</x:v>
      </x:c>
      <x:c r="D26" s="12" t="str">
        <x:v>研究生宿舍楼发车</x:v>
      </x:c>
      <x:c r="E26" s="12" t="n">
        <x:v>3</x:v>
      </x:c>
      <x:c r="F26" s="12" t="str">
        <x:v>一食堂</x:v>
      </x:c>
      <x:c r="G26" s="12" t="str">
        <x:v>门诊部</x:v>
      </x:c>
      <x:c r="H26" s="12" t="n">
        <x:v>0.25</x:v>
      </x:c>
      <x:c r="I26" s="12" t="n">
        <x:v>36</x:v>
      </x:c>
      <x:c r="J26" s="12" t="n">
        <x:f>I26/86400</x:f>
        <x:v>0.0004166666666666667</x:v>
      </x:c>
      <x:c r="K26" s="12" t="n">
        <x:f>COUNTIFS('实测记录模板'!$E:$E,$B26,'实测记录模板'!$H:$H,$E26)</x:f>
        <x:v>0</x:v>
      </x:c>
      <x:c r="L26" s="12" t="str">
        <x:f>IF(K26=0,"",ROUND(AVERAGEIFS('实测记录模板'!$N:$N,'实测记录模板'!$E:$E,$B26,'实测记录模板'!$H:$H,$E26),0))</x:f>
      </x:c>
      <x:c r="M26" s="12"/>
      <x:c r="N26" s="12" t="n">
        <x:f>IF(ISNUMBER(M26),M26,IF(ISNUMBER(L26),ROUND(L26,0),I26))</x:f>
        <x:v>36</x:v>
      </x:c>
      <x:c r="O26" s="12" t="n">
        <x:f>SUMIFS($N:$N,$B:$B,$B26,$E:$E,"&lt;="&amp;$E26)</x:f>
        <x:v>81</x:v>
      </x:c>
      <x:c r="P26" s="12" t="n">
        <x:f>O26/86400</x:f>
        <x:v>0.0009375</x:v>
      </x:c>
      <x:c r="Q26" s="12" t="str">
        <x:f>TEXT(P26,"[m]:ss")</x:f>
        <x:v>1:21</x:v>
      </x:c>
      <x:c r="R26" s="12" t="str">
        <x:v>否</x:v>
      </x:c>
      <x:c r="S26" s="12" t="str">
        <x:v>否</x:v>
      </x:c>
      <x:c r="T26" s="12" t="str">
        <x:v>站点很近，预计不足1分钟；已按25km/h限速下限校正</x:v>
      </x:c>
    </x:row>
    <x:row r="27">
      <x:c r="A27" s="12" t="str">
        <x:v>HX2_NORMAL|4</x:v>
      </x:c>
      <x:c r="B27" s="12" t="str">
        <x:v>HX2_NORMAL</x:v>
      </x:c>
      <x:c r="C27" s="12" t="str">
        <x:v>环线2路</x:v>
      </x:c>
      <x:c r="D27" s="12" t="str">
        <x:v>研究生宿舍楼发车</x:v>
      </x:c>
      <x:c r="E27" s="12" t="n">
        <x:v>4</x:v>
      </x:c>
      <x:c r="F27" s="12" t="str">
        <x:v>门诊部</x:v>
      </x:c>
      <x:c r="G27" s="12" t="str">
        <x:v>1号宿舍楼</x:v>
      </x:c>
      <x:c r="H27" s="12" t="n">
        <x:v>0.25</x:v>
      </x:c>
      <x:c r="I27" s="12" t="n">
        <x:v>36</x:v>
      </x:c>
      <x:c r="J27" s="12" t="n">
        <x:f>I27/86400</x:f>
        <x:v>0.0004166666666666667</x:v>
      </x:c>
      <x:c r="K27" s="12" t="n">
        <x:f>COUNTIFS('实测记录模板'!$E:$E,$B27,'实测记录模板'!$H:$H,$E27)</x:f>
        <x:v>0</x:v>
      </x:c>
      <x:c r="L27" s="12" t="str">
        <x:f>IF(K27=0,"",ROUND(AVERAGEIFS('实测记录模板'!$N:$N,'实测记录模板'!$E:$E,$B27,'实测记录模板'!$H:$H,$E27),0))</x:f>
      </x:c>
      <x:c r="M27" s="12"/>
      <x:c r="N27" s="12" t="n">
        <x:f>IF(ISNUMBER(M27),M27,IF(ISNUMBER(L27),ROUND(L27,0),I27))</x:f>
        <x:v>36</x:v>
      </x:c>
      <x:c r="O27" s="12" t="n">
        <x:f>SUMIFS($N:$N,$B:$B,$B27,$E:$E,"&lt;="&amp;$E27)</x:f>
        <x:v>117</x:v>
      </x:c>
      <x:c r="P27" s="12" t="n">
        <x:f>O27/86400</x:f>
        <x:v>0.0013541666666666667</x:v>
      </x:c>
      <x:c r="Q27" s="12" t="str">
        <x:f>TEXT(P27,"[m]:ss")</x:f>
        <x:v>1:57</x:v>
      </x:c>
      <x:c r="R27" s="12" t="str">
        <x:v>否</x:v>
      </x:c>
      <x:c r="S27" s="12" t="str">
        <x:v>否</x:v>
      </x:c>
      <x:c r="T27" s="12" t="str">
        <x:v>站点很近，预计不足1分钟；已按25km/h限速下限校正</x:v>
      </x:c>
    </x:row>
    <x:row r="28">
      <x:c r="A28" s="12" t="str">
        <x:v>HX2_NORMAL|5</x:v>
      </x:c>
      <x:c r="B28" s="12" t="str">
        <x:v>HX2_NORMAL</x:v>
      </x:c>
      <x:c r="C28" s="12" t="str">
        <x:v>环线2路</x:v>
      </x:c>
      <x:c r="D28" s="12" t="str">
        <x:v>研究生宿舍楼发车</x:v>
      </x:c>
      <x:c r="E28" s="12" t="n">
        <x:v>5</x:v>
      </x:c>
      <x:c r="F28" s="12" t="str">
        <x:v>1号宿舍楼</x:v>
      </x:c>
      <x:c r="G28" s="12" t="str">
        <x:v>水上训练中心</x:v>
      </x:c>
      <x:c r="H28" s="12" t="n">
        <x:v>0.5</x:v>
      </x:c>
      <x:c r="I28" s="12" t="n">
        <x:v>95</x:v>
      </x:c>
      <x:c r="J28" s="12" t="n">
        <x:f>I28/86400</x:f>
        <x:v>0.001099537037037037</x:v>
      </x:c>
      <x:c r="K28" s="12" t="n">
        <x:f>COUNTIFS('实测记录模板'!$E:$E,$B28,'实测记录模板'!$H:$H,$E28)</x:f>
        <x:v>0</x:v>
      </x:c>
      <x:c r="L28" s="12" t="str">
        <x:f>IF(K28=0,"",ROUND(AVERAGEIFS('实测记录模板'!$N:$N,'实测记录模板'!$E:$E,$B28,'实测记录模板'!$H:$H,$E28),0))</x:f>
      </x:c>
      <x:c r="M28" s="12"/>
      <x:c r="N28" s="12" t="n">
        <x:f>IF(ISNUMBER(M28),M28,IF(ISNUMBER(L28),ROUND(L28,0),I28))</x:f>
        <x:v>95</x:v>
      </x:c>
      <x:c r="O28" s="12" t="n">
        <x:f>SUMIFS($N:$N,$B:$B,$B28,$E:$E,"&lt;="&amp;$E28)</x:f>
        <x:v>212</x:v>
      </x:c>
      <x:c r="P28" s="12" t="n">
        <x:f>O28/86400</x:f>
        <x:v>0.0024537037037037036</x:v>
      </x:c>
      <x:c r="Q28" s="12" t="str">
        <x:f>TEXT(P28,"[m]:ss")</x:f>
        <x:v>3:32</x:v>
      </x:c>
      <x:c r="R28" s="12" t="str">
        <x:v>否</x:v>
      </x:c>
      <x:c r="S28" s="12" t="str">
        <x:v>否</x:v>
      </x:c>
      <x:c r="T28" s="12" t="str">
        <x:v>中央区环线较长段</x:v>
      </x:c>
    </x:row>
    <x:row r="29">
      <x:c r="A29" s="12" t="str">
        <x:v>HX2_NORMAL|6</x:v>
      </x:c>
      <x:c r="B29" s="12" t="str">
        <x:v>HX2_NORMAL</x:v>
      </x:c>
      <x:c r="C29" s="12" t="str">
        <x:v>环线2路</x:v>
      </x:c>
      <x:c r="D29" s="12" t="str">
        <x:v>研究生宿舍楼发车</x:v>
      </x:c>
      <x:c r="E29" s="12" t="n">
        <x:v>6</x:v>
      </x:c>
      <x:c r="F29" s="12" t="str">
        <x:v>水上训练中心</x:v>
      </x:c>
      <x:c r="G29" s="12" t="str">
        <x:v>军体活动中心</x:v>
      </x:c>
      <x:c r="H29" s="12" t="n">
        <x:v>0.25</x:v>
      </x:c>
      <x:c r="I29" s="12" t="n">
        <x:v>45</x:v>
      </x:c>
      <x:c r="J29" s="12" t="n">
        <x:f>I29/86400</x:f>
        <x:v>0.0005208333333333333</x:v>
      </x:c>
      <x:c r="K29" s="12" t="n">
        <x:f>COUNTIFS('实测记录模板'!$E:$E,$B29,'实测记录模板'!$H:$H,$E29)</x:f>
        <x:v>0</x:v>
      </x:c>
      <x:c r="L29" s="12" t="str">
        <x:f>IF(K29=0,"",ROUND(AVERAGEIFS('实测记录模板'!$N:$N,'实测记录模板'!$E:$E,$B29,'实测记录模板'!$H:$H,$E29),0))</x:f>
      </x:c>
      <x:c r="M29" s="12"/>
      <x:c r="N29" s="12" t="n">
        <x:f>IF(ISNUMBER(M29),M29,IF(ISNUMBER(L29),ROUND(L29,0),I29))</x:f>
        <x:v>45</x:v>
      </x:c>
      <x:c r="O29" s="12" t="n">
        <x:f>SUMIFS($N:$N,$B:$B,$B29,$E:$E,"&lt;="&amp;$E29)</x:f>
        <x:v>257</x:v>
      </x:c>
      <x:c r="P29" s="12" t="n">
        <x:f>O29/86400</x:f>
        <x:v>0.0029745370370370373</x:v>
      </x:c>
      <x:c r="Q29" s="12" t="str">
        <x:f>TEXT(P29,"[m]:ss")</x:f>
        <x:v>4:17</x:v>
      </x:c>
      <x:c r="R29" s="12" t="str">
        <x:v>否</x:v>
      </x:c>
      <x:c r="S29" s="12" t="str">
        <x:v>否</x:v>
      </x:c>
      <x:c r="T29" s="12" t="str">
        <x:v>近距离短段</x:v>
      </x:c>
    </x:row>
    <x:row r="30">
      <x:c r="A30" s="12" t="str">
        <x:v>HX2_NORMAL|7</x:v>
      </x:c>
      <x:c r="B30" s="12" t="str">
        <x:v>HX2_NORMAL</x:v>
      </x:c>
      <x:c r="C30" s="12" t="str">
        <x:v>环线2路</x:v>
      </x:c>
      <x:c r="D30" s="12" t="str">
        <x:v>研究生宿舍楼发车</x:v>
      </x:c>
      <x:c r="E30" s="12" t="n">
        <x:v>7</x:v>
      </x:c>
      <x:c r="F30" s="12" t="str">
        <x:v>军体活动中心</x:v>
      </x:c>
      <x:c r="G30" s="12" t="str">
        <x:v>二食堂</x:v>
      </x:c>
      <x:c r="H30" s="12" t="n">
        <x:v>0.55</x:v>
      </x:c>
      <x:c r="I30" s="12" t="n">
        <x:v>110</x:v>
      </x:c>
      <x:c r="J30" s="12" t="n">
        <x:f>I30/86400</x:f>
        <x:v>0.0012731481481481483</x:v>
      </x:c>
      <x:c r="K30" s="12" t="n">
        <x:f>COUNTIFS('实测记录模板'!$E:$E,$B30,'实测记录模板'!$H:$H,$E30)</x:f>
        <x:v>0</x:v>
      </x:c>
      <x:c r="L30" s="12" t="str">
        <x:f>IF(K30=0,"",ROUND(AVERAGEIFS('实测记录模板'!$N:$N,'实测记录模板'!$E:$E,$B30,'实测记录模板'!$H:$H,$E30),0))</x:f>
      </x:c>
      <x:c r="M30" s="12"/>
      <x:c r="N30" s="12" t="n">
        <x:f>IF(ISNUMBER(M30),M30,IF(ISNUMBER(L30),ROUND(L30,0),I30))</x:f>
        <x:v>110</x:v>
      </x:c>
      <x:c r="O30" s="12" t="n">
        <x:f>SUMIFS($N:$N,$B:$B,$B30,$E:$E,"&lt;="&amp;$E30)</x:f>
        <x:v>367</x:v>
      </x:c>
      <x:c r="P30" s="12" t="n">
        <x:f>O30/86400</x:f>
        <x:v>0.004247685185185185</x:v>
      </x:c>
      <x:c r="Q30" s="12" t="str">
        <x:f>TEXT(P30,"[m]:ss")</x:f>
        <x:v>6:07</x:v>
      </x:c>
      <x:c r="R30" s="12" t="str">
        <x:v>否</x:v>
      </x:c>
      <x:c r="S30" s="12" t="str">
        <x:v>否</x:v>
      </x:c>
      <x:c r="T30" s="12" t="str">
        <x:v>中央区域约2km锚点分段</x:v>
      </x:c>
    </x:row>
    <x:row r="31">
      <x:c r="A31" s="12" t="str">
        <x:v>HX2_NORMAL|8</x:v>
      </x:c>
      <x:c r="B31" s="12" t="str">
        <x:v>HX2_NORMAL</x:v>
      </x:c>
      <x:c r="C31" s="12" t="str">
        <x:v>环线2路</x:v>
      </x:c>
      <x:c r="D31" s="12" t="str">
        <x:v>研究生宿舍楼发车</x:v>
      </x:c>
      <x:c r="E31" s="12" t="n">
        <x:v>8</x:v>
      </x:c>
      <x:c r="F31" s="12" t="str">
        <x:v>二食堂</x:v>
      </x:c>
      <x:c r="G31" s="12" t="str">
        <x:v>5号宿舍楼</x:v>
      </x:c>
      <x:c r="H31" s="12" t="n">
        <x:v>0.3</x:v>
      </x:c>
      <x:c r="I31" s="12" t="n">
        <x:v>55</x:v>
      </x:c>
      <x:c r="J31" s="12" t="n">
        <x:f>I31/86400</x:f>
        <x:v>0.0006365740740740741</x:v>
      </x:c>
      <x:c r="K31" s="12" t="n">
        <x:f>COUNTIFS('实测记录模板'!$E:$E,$B31,'实测记录模板'!$H:$H,$E31)</x:f>
        <x:v>0</x:v>
      </x:c>
      <x:c r="L31" s="12" t="str">
        <x:f>IF(K31=0,"",ROUND(AVERAGEIFS('实测记录模板'!$N:$N,'实测记录模板'!$E:$E,$B31,'实测记录模板'!$H:$H,$E31),0))</x:f>
      </x:c>
      <x:c r="M31" s="12"/>
      <x:c r="N31" s="12" t="n">
        <x:f>IF(ISNUMBER(M31),M31,IF(ISNUMBER(L31),ROUND(L31,0),I31))</x:f>
        <x:v>55</x:v>
      </x:c>
      <x:c r="O31" s="12" t="n">
        <x:f>SUMIFS($N:$N,$B:$B,$B31,$E:$E,"&lt;="&amp;$E31)</x:f>
        <x:v>422</x:v>
      </x:c>
      <x:c r="P31" s="12" t="n">
        <x:f>O31/86400</x:f>
        <x:v>0.004884259259259259</x:v>
      </x:c>
      <x:c r="Q31" s="12" t="str">
        <x:f>TEXT(P31,"[m]:ss")</x:f>
        <x:v>7:02</x:v>
      </x:c>
      <x:c r="R31" s="12" t="str">
        <x:v>否</x:v>
      </x:c>
      <x:c r="S31" s="12" t="str">
        <x:v>否</x:v>
      </x:c>
      <x:c r="T31" s="12" t="str">
        <x:v>中央区短段</x:v>
      </x:c>
    </x:row>
    <x:row r="32">
      <x:c r="A32" s="12" t="str">
        <x:v>HX2_NORMAL|9</x:v>
      </x:c>
      <x:c r="B32" s="12" t="str">
        <x:v>HX2_NORMAL</x:v>
      </x:c>
      <x:c r="C32" s="12" t="str">
        <x:v>环线2路</x:v>
      </x:c>
      <x:c r="D32" s="12" t="str">
        <x:v>研究生宿舍楼发车</x:v>
      </x:c>
      <x:c r="E32" s="12" t="n">
        <x:v>9</x:v>
      </x:c>
      <x:c r="F32" s="12" t="str">
        <x:v>5号宿舍楼</x:v>
      </x:c>
      <x:c r="G32" s="12" t="str">
        <x:v>305教学楼</x:v>
      </x:c>
      <x:c r="H32" s="12" t="n">
        <x:v>0.3</x:v>
      </x:c>
      <x:c r="I32" s="12" t="n">
        <x:v>55</x:v>
      </x:c>
      <x:c r="J32" s="12" t="n">
        <x:f>I32/86400</x:f>
        <x:v>0.0006365740740740741</x:v>
      </x:c>
      <x:c r="K32" s="12" t="n">
        <x:f>COUNTIFS('实测记录模板'!$E:$E,$B32,'实测记录模板'!$H:$H,$E32)</x:f>
        <x:v>0</x:v>
      </x:c>
      <x:c r="L32" s="12" t="str">
        <x:f>IF(K32=0,"",ROUND(AVERAGEIFS('实测记录模板'!$N:$N,'实测记录模板'!$E:$E,$B32,'实测记录模板'!$H:$H,$E32),0))</x:f>
      </x:c>
      <x:c r="M32" s="12"/>
      <x:c r="N32" s="12" t="n">
        <x:f>IF(ISNUMBER(M32),M32,IF(ISNUMBER(L32),ROUND(L32,0),I32))</x:f>
        <x:v>55</x:v>
      </x:c>
      <x:c r="O32" s="12" t="n">
        <x:f>SUMIFS($N:$N,$B:$B,$B32,$E:$E,"&lt;="&amp;$E32)</x:f>
        <x:v>477</x:v>
      </x:c>
      <x:c r="P32" s="12" t="n">
        <x:f>O32/86400</x:f>
        <x:v>0.005520833333333333</x:v>
      </x:c>
      <x:c r="Q32" s="12" t="str">
        <x:f>TEXT(P32,"[m]:ss")</x:f>
        <x:v>7:57</x:v>
      </x:c>
      <x:c r="R32" s="12" t="str">
        <x:v>否</x:v>
      </x:c>
      <x:c r="S32" s="12" t="str">
        <x:v>否</x:v>
      </x:c>
      <x:c r="T32" s="12" t="str">
        <x:v>中央区短段</x:v>
      </x:c>
    </x:row>
    <x:row r="33">
      <x:c r="A33" s="12" t="str">
        <x:v>HX2_NORMAL|10</x:v>
      </x:c>
      <x:c r="B33" s="12" t="str">
        <x:v>HX2_NORMAL</x:v>
      </x:c>
      <x:c r="C33" s="12" t="str">
        <x:v>环线2路</x:v>
      </x:c>
      <x:c r="D33" s="12" t="str">
        <x:v>研究生宿舍楼发车</x:v>
      </x:c>
      <x:c r="E33" s="12" t="n">
        <x:v>10</x:v>
      </x:c>
      <x:c r="F33" s="12" t="str">
        <x:v>305教学楼</x:v>
      </x:c>
      <x:c r="G33" s="12" t="str">
        <x:v>研究生宿舍楼</x:v>
      </x:c>
      <x:c r="H33" s="12" t="n">
        <x:v>0.45</x:v>
      </x:c>
      <x:c r="I33" s="12" t="n">
        <x:v>95</x:v>
      </x:c>
      <x:c r="J33" s="12" t="n">
        <x:f>I33/86400</x:f>
        <x:v>0.001099537037037037</x:v>
      </x:c>
      <x:c r="K33" s="12" t="n">
        <x:f>COUNTIFS('实测记录模板'!$E:$E,$B33,'实测记录模板'!$H:$H,$E33)</x:f>
        <x:v>0</x:v>
      </x:c>
      <x:c r="L33" s="12" t="str">
        <x:f>IF(K33=0,"",ROUND(AVERAGEIFS('实测记录模板'!$N:$N,'实测记录模板'!$E:$E,$B33,'实测记录模板'!$H:$H,$E33),0))</x:f>
      </x:c>
      <x:c r="M33" s="12"/>
      <x:c r="N33" s="12" t="n">
        <x:f>IF(ISNUMBER(M33),M33,IF(ISNUMBER(L33),ROUND(L33,0),I33))</x:f>
        <x:v>95</x:v>
      </x:c>
      <x:c r="O33" s="12" t="n">
        <x:f>SUMIFS($N:$N,$B:$B,$B33,$E:$E,"&lt;="&amp;$E33)</x:f>
        <x:v>572</x:v>
      </x:c>
      <x:c r="P33" s="12" t="n">
        <x:f>O33/86400</x:f>
        <x:v>0.00662037037037037</x:v>
      </x:c>
      <x:c r="Q33" s="12" t="str">
        <x:f>TEXT(P33,"[m]:ss")</x:f>
        <x:v>9:32</x:v>
      </x:c>
      <x:c r="R33" s="12" t="str">
        <x:v>否</x:v>
      </x:c>
      <x:c r="S33" s="12" t="str">
        <x:v>是</x:v>
      </x:c>
      <x:c r="T33" s="12" t="str">
        <x:v>回到发车点</x:v>
      </x:c>
    </x:row>
    <x:row r="34">
      <x:c r="A34" s="12" t="str">
        <x:v>HX3_NORMAL|1</x:v>
      </x:c>
      <x:c r="B34" s="12" t="str">
        <x:v>HX3_NORMAL</x:v>
      </x:c>
      <x:c r="C34" s="12" t="str">
        <x:v>环线3路</x:v>
      </x:c>
      <x:c r="D34" s="12" t="str">
        <x:v>研究生宿舍楼发车</x:v>
      </x:c>
      <x:c r="E34" s="12" t="n">
        <x:v>1</x:v>
      </x:c>
      <x:c r="F34" s="12" t="str">
        <x:v>研究生宿舍楼</x:v>
      </x:c>
      <x:c r="G34" s="12" t="str">
        <x:v>研究生宿舍楼</x:v>
      </x:c>
      <x:c r="H34" s="12" t="n">
        <x:v>0</x:v>
      </x:c>
      <x:c r="I34" s="12" t="n">
        <x:v>0</x:v>
      </x:c>
      <x:c r="J34" s="12" t="n">
        <x:f>I34/86400</x:f>
        <x:v>0</x:v>
      </x:c>
      <x:c r="K34" s="12" t="n">
        <x:f>COUNTIFS('实测记录模板'!$E:$E,$B34,'实测记录模板'!$H:$H,$E34)</x:f>
        <x:v>0</x:v>
      </x:c>
      <x:c r="L34" s="12" t="str">
        <x:f>IF(K34=0,"",ROUND(AVERAGEIFS('实测记录模板'!$N:$N,'实测记录模板'!$E:$E,$B34,'实测记录模板'!$H:$H,$E34),0))</x:f>
      </x:c>
      <x:c r="M34" s="12"/>
      <x:c r="N34" s="12" t="n">
        <x:f>IF(ISNUMBER(M34),M34,IF(ISNUMBER(L34),ROUND(L34,0),I34))</x:f>
        <x:v>0</x:v>
      </x:c>
      <x:c r="O34" s="12" t="n">
        <x:f>SUMIFS($N:$N,$B:$B,$B34,$E:$E,"&lt;="&amp;$E34)</x:f>
        <x:v>0</x:v>
      </x:c>
      <x:c r="P34" s="12" t="n">
        <x:f>O34/86400</x:f>
        <x:v>0</x:v>
      </x:c>
      <x:c r="Q34" s="12" t="str">
        <x:f>TEXT(P34,"[m]:ss")</x:f>
        <x:v>0:00</x:v>
      </x:c>
      <x:c r="R34" s="12" t="str">
        <x:v>是</x:v>
      </x:c>
      <x:c r="S34" s="12" t="str">
        <x:v>否</x:v>
      </x:c>
      <x:c r="T34" s="12" t="str">
        <x:v>发车点</x:v>
      </x:c>
    </x:row>
    <x:row r="35">
      <x:c r="A35" s="12" t="str">
        <x:v>HX3_NORMAL|2</x:v>
      </x:c>
      <x:c r="B35" s="12" t="str">
        <x:v>HX3_NORMAL</x:v>
      </x:c>
      <x:c r="C35" s="12" t="str">
        <x:v>环线3路</x:v>
      </x:c>
      <x:c r="D35" s="12" t="str">
        <x:v>研究生宿舍楼发车</x:v>
      </x:c>
      <x:c r="E35" s="12" t="n">
        <x:v>2</x:v>
      </x:c>
      <x:c r="F35" s="12" t="str">
        <x:v>研究生宿舍楼</x:v>
      </x:c>
      <x:c r="G35" s="12" t="str">
        <x:v>一食堂</x:v>
      </x:c>
      <x:c r="H35" s="12" t="n">
        <x:v>0.3</x:v>
      </x:c>
      <x:c r="I35" s="12" t="n">
        <x:v>45</x:v>
      </x:c>
      <x:c r="J35" s="12" t="n">
        <x:f>I35/86400</x:f>
        <x:v>0.0005208333333333333</x:v>
      </x:c>
      <x:c r="K35" s="12" t="n">
        <x:f>COUNTIFS('实测记录模板'!$E:$E,$B35,'实测记录模板'!$H:$H,$E35)</x:f>
        <x:v>0</x:v>
      </x:c>
      <x:c r="L35" s="12" t="str">
        <x:f>IF(K35=0,"",ROUND(AVERAGEIFS('实测记录模板'!$N:$N,'实测记录模板'!$E:$E,$B35,'实测记录模板'!$H:$H,$E35),0))</x:f>
      </x:c>
      <x:c r="M35" s="12"/>
      <x:c r="N35" s="12" t="n">
        <x:f>IF(ISNUMBER(M35),M35,IF(ISNUMBER(L35),ROUND(L35,0),I35))</x:f>
        <x:v>45</x:v>
      </x:c>
      <x:c r="O35" s="12" t="n">
        <x:f>SUMIFS($N:$N,$B:$B,$B35,$E:$E,"&lt;="&amp;$E35)</x:f>
        <x:v>45</x:v>
      </x:c>
      <x:c r="P35" s="12" t="n">
        <x:f>O35/86400</x:f>
        <x:v>0.0005208333333333333</x:v>
      </x:c>
      <x:c r="Q35" s="12" t="str">
        <x:f>TEXT(P35,"[m]:ss")</x:f>
        <x:v>0:45</x:v>
      </x:c>
      <x:c r="R35" s="12" t="str">
        <x:v>否</x:v>
      </x:c>
      <x:c r="S35" s="12" t="str">
        <x:v>否</x:v>
      </x:c>
      <x:c r="T35" s="12" t="str">
        <x:v>近距离短段</x:v>
      </x:c>
    </x:row>
    <x:row r="36">
      <x:c r="A36" s="12" t="str">
        <x:v>HX3_NORMAL|3</x:v>
      </x:c>
      <x:c r="B36" s="12" t="str">
        <x:v>HX3_NORMAL</x:v>
      </x:c>
      <x:c r="C36" s="12" t="str">
        <x:v>环线3路</x:v>
      </x:c>
      <x:c r="D36" s="12" t="str">
        <x:v>研究生宿舍楼发车</x:v>
      </x:c>
      <x:c r="E36" s="12" t="n">
        <x:v>3</x:v>
      </x:c>
      <x:c r="F36" s="12" t="str">
        <x:v>一食堂</x:v>
      </x:c>
      <x:c r="G36" s="12" t="str">
        <x:v>2号宿舍楼</x:v>
      </x:c>
      <x:c r="H36" s="12" t="n">
        <x:v>0.55</x:v>
      </x:c>
      <x:c r="I36" s="12" t="n">
        <x:v>95</x:v>
      </x:c>
      <x:c r="J36" s="12" t="n">
        <x:f>I36/86400</x:f>
        <x:v>0.001099537037037037</x:v>
      </x:c>
      <x:c r="K36" s="12" t="n">
        <x:f>COUNTIFS('实测记录模板'!$E:$E,$B36,'实测记录模板'!$H:$H,$E36)</x:f>
        <x:v>0</x:v>
      </x:c>
      <x:c r="L36" s="12" t="str">
        <x:f>IF(K36=0,"",ROUND(AVERAGEIFS('实测记录模板'!$N:$N,'实测记录模板'!$E:$E,$B36,'实测记录模板'!$H:$H,$E36),0))</x:f>
      </x:c>
      <x:c r="M36" s="12"/>
      <x:c r="N36" s="12" t="n">
        <x:f>IF(ISNUMBER(M36),M36,IF(ISNUMBER(L36),ROUND(L36,0),I36))</x:f>
        <x:v>95</x:v>
      </x:c>
      <x:c r="O36" s="12" t="n">
        <x:f>SUMIFS($N:$N,$B:$B,$B36,$E:$E,"&lt;="&amp;$E36)</x:f>
        <x:v>140</x:v>
      </x:c>
      <x:c r="P36" s="12" t="n">
        <x:f>O36/86400</x:f>
        <x:v>0.0016203703703703703</x:v>
      </x:c>
      <x:c r="Q36" s="12" t="str">
        <x:f>TEXT(P36,"[m]:ss")</x:f>
        <x:v>2:20</x:v>
      </x:c>
      <x:c r="R36" s="12" t="str">
        <x:v>否</x:v>
      </x:c>
      <x:c r="S36" s="12" t="str">
        <x:v>否</x:v>
      </x:c>
      <x:c r="T36" s="12" t="str">
        <x:v>东南侧至宿舍区</x:v>
      </x:c>
    </x:row>
    <x:row r="37">
      <x:c r="A37" s="12" t="str">
        <x:v>HX3_NORMAL|4</x:v>
      </x:c>
      <x:c r="B37" s="12" t="str">
        <x:v>HX3_NORMAL</x:v>
      </x:c>
      <x:c r="C37" s="12" t="str">
        <x:v>环线3路</x:v>
      </x:c>
      <x:c r="D37" s="12" t="str">
        <x:v>研究生宿舍楼发车</x:v>
      </x:c>
      <x:c r="E37" s="12" t="n">
        <x:v>4</x:v>
      </x:c>
      <x:c r="F37" s="12" t="str">
        <x:v>2号宿舍楼</x:v>
      </x:c>
      <x:c r="G37" s="12" t="str">
        <x:v>军体活动中心</x:v>
      </x:c>
      <x:c r="H37" s="12" t="n">
        <x:v>0.3</x:v>
      </x:c>
      <x:c r="I37" s="12" t="n">
        <x:v>45</x:v>
      </x:c>
      <x:c r="J37" s="12" t="n">
        <x:f>I37/86400</x:f>
        <x:v>0.0005208333333333333</x:v>
      </x:c>
      <x:c r="K37" s="12" t="n">
        <x:f>COUNTIFS('实测记录模板'!$E:$E,$B37,'实测记录模板'!$H:$H,$E37)</x:f>
        <x:v>0</x:v>
      </x:c>
      <x:c r="L37" s="12" t="str">
        <x:f>IF(K37=0,"",ROUND(AVERAGEIFS('实测记录模板'!$N:$N,'实测记录模板'!$E:$E,$B37,'实测记录模板'!$H:$H,$E37),0))</x:f>
      </x:c>
      <x:c r="M37" s="12"/>
      <x:c r="N37" s="12" t="n">
        <x:f>IF(ISNUMBER(M37),M37,IF(ISNUMBER(L37),ROUND(L37,0),I37))</x:f>
        <x:v>45</x:v>
      </x:c>
      <x:c r="O37" s="12" t="n">
        <x:f>SUMIFS($N:$N,$B:$B,$B37,$E:$E,"&lt;="&amp;$E37)</x:f>
        <x:v>185</x:v>
      </x:c>
      <x:c r="P37" s="12" t="n">
        <x:f>O37/86400</x:f>
        <x:v>0.0021412037037037038</x:v>
      </x:c>
      <x:c r="Q37" s="12" t="str">
        <x:f>TEXT(P37,"[m]:ss")</x:f>
        <x:v>3:05</x:v>
      </x:c>
      <x:c r="R37" s="12" t="str">
        <x:v>否</x:v>
      </x:c>
      <x:c r="S37" s="12" t="str">
        <x:v>否</x:v>
      </x:c>
      <x:c r="T37" s="12" t="str">
        <x:v>近距离短段</x:v>
      </x:c>
    </x:row>
    <x:row r="38">
      <x:c r="A38" s="12" t="str">
        <x:v>HX3_NORMAL|5</x:v>
      </x:c>
      <x:c r="B38" s="12" t="str">
        <x:v>HX3_NORMAL</x:v>
      </x:c>
      <x:c r="C38" s="12" t="str">
        <x:v>环线3路</x:v>
      </x:c>
      <x:c r="D38" s="12" t="str">
        <x:v>研究生宿舍楼发车</x:v>
      </x:c>
      <x:c r="E38" s="12" t="n">
        <x:v>5</x:v>
      </x:c>
      <x:c r="F38" s="12" t="str">
        <x:v>军体活动中心</x:v>
      </x:c>
      <x:c r="G38" s="12" t="str">
        <x:v>教勤连</x:v>
      </x:c>
      <x:c r="H38" s="12" t="n">
        <x:v>0.45</x:v>
      </x:c>
      <x:c r="I38" s="12" t="n">
        <x:v>85</x:v>
      </x:c>
      <x:c r="J38" s="12" t="n">
        <x:f>I38/86400</x:f>
        <x:v>0.0009837962962962962</x:v>
      </x:c>
      <x:c r="K38" s="12" t="n">
        <x:f>COUNTIFS('实测记录模板'!$E:$E,$B38,'实测记录模板'!$H:$H,$E38)</x:f>
        <x:v>0</x:v>
      </x:c>
      <x:c r="L38" s="12" t="str">
        <x:f>IF(K38=0,"",ROUND(AVERAGEIFS('实测记录模板'!$N:$N,'实测记录模板'!$E:$E,$B38,'实测记录模板'!$H:$H,$E38),0))</x:f>
      </x:c>
      <x:c r="M38" s="12"/>
      <x:c r="N38" s="12" t="n">
        <x:f>IF(ISNUMBER(M38),M38,IF(ISNUMBER(L38),ROUND(L38,0),I38))</x:f>
        <x:v>85</x:v>
      </x:c>
      <x:c r="O38" s="12" t="n">
        <x:f>SUMIFS($N:$N,$B:$B,$B38,$E:$E,"&lt;="&amp;$E38)</x:f>
        <x:v>270</x:v>
      </x:c>
      <x:c r="P38" s="12" t="n">
        <x:f>O38/86400</x:f>
        <x:v>0.003125</x:v>
      </x:c>
      <x:c r="Q38" s="12" t="str">
        <x:f>TEXT(P38,"[m]:ss")</x:f>
        <x:v>4:30</x:v>
      </x:c>
      <x:c r="R38" s="12" t="str">
        <x:v>否</x:v>
      </x:c>
      <x:c r="S38" s="12" t="str">
        <x:v>否</x:v>
      </x:c>
      <x:c r="T38" s="12" t="str">
        <x:v>东侧北行</x:v>
      </x:c>
    </x:row>
    <x:row r="39">
      <x:c r="A39" s="12" t="str">
        <x:v>HX3_NORMAL|6</x:v>
      </x:c>
      <x:c r="B39" s="12" t="str">
        <x:v>HX3_NORMAL</x:v>
      </x:c>
      <x:c r="C39" s="12" t="str">
        <x:v>环线3路</x:v>
      </x:c>
      <x:c r="D39" s="12" t="str">
        <x:v>研究生宿舍楼发车</x:v>
      </x:c>
      <x:c r="E39" s="12" t="n">
        <x:v>6</x:v>
      </x:c>
      <x:c r="F39" s="12" t="str">
        <x:v>教勤连</x:v>
      </x:c>
      <x:c r="G39" s="12" t="str">
        <x:v>激光所</x:v>
      </x:c>
      <x:c r="H39" s="12" t="n">
        <x:v>0.3</x:v>
      </x:c>
      <x:c r="I39" s="12" t="n">
        <x:v>50</x:v>
      </x:c>
      <x:c r="J39" s="12" t="n">
        <x:f>I39/86400</x:f>
        <x:v>0.0005787037037037037</x:v>
      </x:c>
      <x:c r="K39" s="12" t="n">
        <x:f>COUNTIFS('实测记录模板'!$E:$E,$B39,'实测记录模板'!$H:$H,$E39)</x:f>
        <x:v>0</x:v>
      </x:c>
      <x:c r="L39" s="12" t="str">
        <x:f>IF(K39=0,"",ROUND(AVERAGEIFS('实测记录模板'!$N:$N,'实测记录模板'!$E:$E,$B39,'实测记录模板'!$H:$H,$E39),0))</x:f>
      </x:c>
      <x:c r="M39" s="12"/>
      <x:c r="N39" s="12" t="n">
        <x:f>IF(ISNUMBER(M39),M39,IF(ISNUMBER(L39),ROUND(L39,0),I39))</x:f>
        <x:v>50</x:v>
      </x:c>
      <x:c r="O39" s="12" t="n">
        <x:f>SUMIFS($N:$N,$B:$B,$B39,$E:$E,"&lt;="&amp;$E39)</x:f>
        <x:v>320</x:v>
      </x:c>
      <x:c r="P39" s="12" t="n">
        <x:f>O39/86400</x:f>
        <x:v>0.003703703703703704</x:v>
      </x:c>
      <x:c r="Q39" s="12" t="str">
        <x:f>TEXT(P39,"[m]:ss")</x:f>
        <x:v>5:20</x:v>
      </x:c>
      <x:c r="R39" s="12" t="str">
        <x:v>否</x:v>
      </x:c>
      <x:c r="S39" s="12" t="str">
        <x:v>否</x:v>
      </x:c>
      <x:c r="T39" s="12" t="str">
        <x:v>近距离短段</x:v>
      </x:c>
    </x:row>
    <x:row r="40">
      <x:c r="A40" s="12" t="str">
        <x:v>HX3_NORMAL|7</x:v>
      </x:c>
      <x:c r="B40" s="12" t="str">
        <x:v>HX3_NORMAL</x:v>
      </x:c>
      <x:c r="C40" s="12" t="str">
        <x:v>环线3路</x:v>
      </x:c>
      <x:c r="D40" s="12" t="str">
        <x:v>研究生宿舍楼发车</x:v>
      </x:c>
      <x:c r="E40" s="12" t="n">
        <x:v>7</x:v>
      </x:c>
      <x:c r="F40" s="12" t="str">
        <x:v>激光所</x:v>
      </x:c>
      <x:c r="G40" s="12" t="str">
        <x:v>高超楼</x:v>
      </x:c>
      <x:c r="H40" s="12" t="n">
        <x:v>0.55</x:v>
      </x:c>
      <x:c r="I40" s="12" t="n">
        <x:v>95</x:v>
      </x:c>
      <x:c r="J40" s="12" t="n">
        <x:f>I40/86400</x:f>
        <x:v>0.001099537037037037</x:v>
      </x:c>
      <x:c r="K40" s="12" t="n">
        <x:f>COUNTIFS('实测记录模板'!$E:$E,$B40,'实测记录模板'!$H:$H,$E40)</x:f>
        <x:v>0</x:v>
      </x:c>
      <x:c r="L40" s="12" t="str">
        <x:f>IF(K40=0,"",ROUND(AVERAGEIFS('实测记录模板'!$N:$N,'实测记录模板'!$E:$E,$B40,'实测记录模板'!$H:$H,$E40),0))</x:f>
      </x:c>
      <x:c r="M40" s="12"/>
      <x:c r="N40" s="12" t="n">
        <x:f>IF(ISNUMBER(M40),M40,IF(ISNUMBER(L40),ROUND(L40,0),I40))</x:f>
        <x:v>95</x:v>
      </x:c>
      <x:c r="O40" s="12" t="n">
        <x:f>SUMIFS($N:$N,$B:$B,$B40,$E:$E,"&lt;="&amp;$E40)</x:f>
        <x:v>415</x:v>
      </x:c>
      <x:c r="P40" s="12" t="n">
        <x:f>O40/86400</x:f>
        <x:v>0.004803240740740741</x:v>
      </x:c>
      <x:c r="Q40" s="12" t="str">
        <x:f>TEXT(P40,"[m]:ss")</x:f>
        <x:v>6:55</x:v>
      </x:c>
      <x:c r="R40" s="12" t="str">
        <x:v>否</x:v>
      </x:c>
      <x:c r="S40" s="12" t="str">
        <x:v>否</x:v>
      </x:c>
      <x:c r="T40" s="12" t="str">
        <x:v>北侧至高超楼</x:v>
      </x:c>
    </x:row>
    <x:row r="41">
      <x:c r="A41" s="12" t="str">
        <x:v>HX3_NORMAL|8</x:v>
      </x:c>
      <x:c r="B41" s="12" t="str">
        <x:v>HX3_NORMAL</x:v>
      </x:c>
      <x:c r="C41" s="12" t="str">
        <x:v>环线3路</x:v>
      </x:c>
      <x:c r="D41" s="12" t="str">
        <x:v>研究生宿舍楼发车</x:v>
      </x:c>
      <x:c r="E41" s="12" t="n">
        <x:v>8</x:v>
      </x:c>
      <x:c r="F41" s="12" t="str">
        <x:v>高超楼</x:v>
      </x:c>
      <x:c r="G41" s="12" t="str">
        <x:v>理学院</x:v>
      </x:c>
      <x:c r="H41" s="12" t="n">
        <x:v>0.35</x:v>
      </x:c>
      <x:c r="I41" s="12" t="n">
        <x:v>55</x:v>
      </x:c>
      <x:c r="J41" s="12" t="n">
        <x:f>I41/86400</x:f>
        <x:v>0.0006365740740740741</x:v>
      </x:c>
      <x:c r="K41" s="12" t="n">
        <x:f>COUNTIFS('实测记录模板'!$E:$E,$B41,'实测记录模板'!$H:$H,$E41)</x:f>
        <x:v>0</x:v>
      </x:c>
      <x:c r="L41" s="12" t="str">
        <x:f>IF(K41=0,"",ROUND(AVERAGEIFS('实测记录模板'!$N:$N,'实测记录模板'!$E:$E,$B41,'实测记录模板'!$H:$H,$E41),0))</x:f>
      </x:c>
      <x:c r="M41" s="12"/>
      <x:c r="N41" s="12" t="n">
        <x:f>IF(ISNUMBER(M41),M41,IF(ISNUMBER(L41),ROUND(L41,0),I41))</x:f>
        <x:v>55</x:v>
      </x:c>
      <x:c r="O41" s="12" t="n">
        <x:f>SUMIFS($N:$N,$B:$B,$B41,$E:$E,"&lt;="&amp;$E41)</x:f>
        <x:v>470</x:v>
      </x:c>
      <x:c r="P41" s="12" t="n">
        <x:f>O41/86400</x:f>
        <x:v>0.005439814814814815</x:v>
      </x:c>
      <x:c r="Q41" s="12" t="str">
        <x:f>TEXT(P41,"[m]:ss")</x:f>
        <x:v>7:50</x:v>
      </x:c>
      <x:c r="R41" s="12" t="str">
        <x:v>否</x:v>
      </x:c>
      <x:c r="S41" s="12" t="str">
        <x:v>否</x:v>
      </x:c>
      <x:c r="T41" s="12" t="str">
        <x:v>高超楼旁为系统工程学院</x:v>
      </x:c>
    </x:row>
    <x:row r="42">
      <x:c r="A42" s="12" t="str">
        <x:v>HX3_NORMAL|9</x:v>
      </x:c>
      <x:c r="B42" s="12" t="str">
        <x:v>HX3_NORMAL</x:v>
      </x:c>
      <x:c r="C42" s="12" t="str">
        <x:v>环线3路</x:v>
      </x:c>
      <x:c r="D42" s="12" t="str">
        <x:v>研究生宿舍楼发车</x:v>
      </x:c>
      <x:c r="E42" s="12" t="n">
        <x:v>9</x:v>
      </x:c>
      <x:c r="F42" s="12" t="str">
        <x:v>理学院</x:v>
      </x:c>
      <x:c r="G42" s="12" t="str">
        <x:v>二食堂</x:v>
      </x:c>
      <x:c r="H42" s="12" t="n">
        <x:v>1</x:v>
      </x:c>
      <x:c r="I42" s="12" t="n">
        <x:v>180</x:v>
      </x:c>
      <x:c r="J42" s="12" t="n">
        <x:f>I42/86400</x:f>
        <x:v>0.0020833333333333333</x:v>
      </x:c>
      <x:c r="K42" s="12" t="n">
        <x:f>COUNTIFS('实测记录模板'!$E:$E,$B42,'实测记录模板'!$H:$H,$E42)</x:f>
        <x:v>0</x:v>
      </x:c>
      <x:c r="L42" s="12" t="str">
        <x:f>IF(K42=0,"",ROUND(AVERAGEIFS('实测记录模板'!$N:$N,'实测记录模板'!$E:$E,$B42,'实测记录模板'!$H:$H,$E42),0))</x:f>
      </x:c>
      <x:c r="M42" s="12"/>
      <x:c r="N42" s="12" t="n">
        <x:f>IF(ISNUMBER(M42),M42,IF(ISNUMBER(L42),ROUND(L42,0),I42))</x:f>
        <x:v>180</x:v>
      </x:c>
      <x:c r="O42" s="12" t="n">
        <x:f>SUMIFS($N:$N,$B:$B,$B42,$E:$E,"&lt;="&amp;$E42)</x:f>
        <x:v>650</x:v>
      </x:c>
      <x:c r="P42" s="12" t="n">
        <x:f>O42/86400</x:f>
        <x:v>0.007523148148148148</x:v>
      </x:c>
      <x:c r="Q42" s="12" t="str">
        <x:f>TEXT(P42,"[m]:ss")</x:f>
        <x:v>10:50</x:v>
      </x:c>
      <x:c r="R42" s="12" t="str">
        <x:v>否</x:v>
      </x:c>
      <x:c r="S42" s="12" t="str">
        <x:v>否</x:v>
      </x:c>
      <x:c r="T42" s="12" t="str">
        <x:v>用户提供：理学院至二食堂约1km</x:v>
      </x:c>
    </x:row>
    <x:row r="43">
      <x:c r="A43" s="12" t="str">
        <x:v>HX3_NORMAL|10</x:v>
      </x:c>
      <x:c r="B43" s="12" t="str">
        <x:v>HX3_NORMAL</x:v>
      </x:c>
      <x:c r="C43" s="12" t="str">
        <x:v>环线3路</x:v>
      </x:c>
      <x:c r="D43" s="12" t="str">
        <x:v>研究生宿舍楼发车</x:v>
      </x:c>
      <x:c r="E43" s="12" t="n">
        <x:v>10</x:v>
      </x:c>
      <x:c r="F43" s="12" t="str">
        <x:v>二食堂</x:v>
      </x:c>
      <x:c r="G43" s="12" t="str">
        <x:v>图书馆</x:v>
      </x:c>
      <x:c r="H43" s="12" t="n">
        <x:v>0.3</x:v>
      </x:c>
      <x:c r="I43" s="12" t="n">
        <x:v>45</x:v>
      </x:c>
      <x:c r="J43" s="12" t="n">
        <x:f>I43/86400</x:f>
        <x:v>0.0005208333333333333</x:v>
      </x:c>
      <x:c r="K43" s="12" t="n">
        <x:f>COUNTIFS('实测记录模板'!$E:$E,$B43,'实测记录模板'!$H:$H,$E43)</x:f>
        <x:v>0</x:v>
      </x:c>
      <x:c r="L43" s="12" t="str">
        <x:f>IF(K43=0,"",ROUND(AVERAGEIFS('实测记录模板'!$N:$N,'实测记录模板'!$E:$E,$B43,'实测记录模板'!$H:$H,$E43),0))</x:f>
      </x:c>
      <x:c r="M43" s="12"/>
      <x:c r="N43" s="12" t="n">
        <x:f>IF(ISNUMBER(M43),M43,IF(ISNUMBER(L43),ROUND(L43,0),I43))</x:f>
        <x:v>45</x:v>
      </x:c>
      <x:c r="O43" s="12" t="n">
        <x:f>SUMIFS($N:$N,$B:$B,$B43,$E:$E,"&lt;="&amp;$E43)</x:f>
        <x:v>695</x:v>
      </x:c>
      <x:c r="P43" s="12" t="n">
        <x:f>O43/86400</x:f>
        <x:v>0.008043981481481482</x:v>
      </x:c>
      <x:c r="Q43" s="12" t="str">
        <x:f>TEXT(P43,"[m]:ss")</x:f>
        <x:v>11:35</x:v>
      </x:c>
      <x:c r="R43" s="12" t="str">
        <x:v>否</x:v>
      </x:c>
      <x:c r="S43" s="12" t="str">
        <x:v>否</x:v>
      </x:c>
      <x:c r="T43" s="12" t="str">
        <x:v>站点较近</x:v>
      </x:c>
    </x:row>
    <x:row r="44">
      <x:c r="A44" s="12" t="str">
        <x:v>HX3_NORMAL|11</x:v>
      </x:c>
      <x:c r="B44" s="12" t="str">
        <x:v>HX3_NORMAL</x:v>
      </x:c>
      <x:c r="C44" s="12" t="str">
        <x:v>环线3路</x:v>
      </x:c>
      <x:c r="D44" s="12" t="str">
        <x:v>研究生宿舍楼发车</x:v>
      </x:c>
      <x:c r="E44" s="12" t="n">
        <x:v>11</x:v>
      </x:c>
      <x:c r="F44" s="12" t="str">
        <x:v>图书馆</x:v>
      </x:c>
      <x:c r="G44" s="12" t="str">
        <x:v>305教学楼</x:v>
      </x:c>
      <x:c r="H44" s="12" t="n">
        <x:v>0.45</x:v>
      </x:c>
      <x:c r="I44" s="12" t="n">
        <x:v>80</x:v>
      </x:c>
      <x:c r="J44" s="12" t="n">
        <x:f>I44/86400</x:f>
        <x:v>0.000925925925925926</x:v>
      </x:c>
      <x:c r="K44" s="12" t="n">
        <x:f>COUNTIFS('实测记录模板'!$E:$E,$B44,'实测记录模板'!$H:$H,$E44)</x:f>
        <x:v>0</x:v>
      </x:c>
      <x:c r="L44" s="12" t="str">
        <x:f>IF(K44=0,"",ROUND(AVERAGEIFS('实测记录模板'!$N:$N,'实测记录模板'!$E:$E,$B44,'实测记录模板'!$H:$H,$E44),0))</x:f>
      </x:c>
      <x:c r="M44" s="12"/>
      <x:c r="N44" s="12" t="n">
        <x:f>IF(ISNUMBER(M44),M44,IF(ISNUMBER(L44),ROUND(L44,0),I44))</x:f>
        <x:v>80</x:v>
      </x:c>
      <x:c r="O44" s="12" t="n">
        <x:f>SUMIFS($N:$N,$B:$B,$B44,$E:$E,"&lt;="&amp;$E44)</x:f>
        <x:v>775</x:v>
      </x:c>
      <x:c r="P44" s="12" t="n">
        <x:f>O44/86400</x:f>
        <x:v>0.008969907407407407</x:v>
      </x:c>
      <x:c r="Q44" s="12" t="str">
        <x:f>TEXT(P44,"[m]:ss")</x:f>
        <x:v>12:55</x:v>
      </x:c>
      <x:c r="R44" s="12" t="str">
        <x:v>否</x:v>
      </x:c>
      <x:c r="S44" s="12" t="str">
        <x:v>否</x:v>
      </x:c>
      <x:c r="T44" s="12" t="str">
        <x:v>南侧至305教学楼</x:v>
      </x:c>
    </x:row>
    <x:row r="45">
      <x:c r="A45" s="12" t="str">
        <x:v>HX3_NORMAL|12</x:v>
      </x:c>
      <x:c r="B45" s="12" t="str">
        <x:v>HX3_NORMAL</x:v>
      </x:c>
      <x:c r="C45" s="12" t="str">
        <x:v>环线3路</x:v>
      </x:c>
      <x:c r="D45" s="12" t="str">
        <x:v>研究生宿舍楼发车</x:v>
      </x:c>
      <x:c r="E45" s="12" t="n">
        <x:v>12</x:v>
      </x:c>
      <x:c r="F45" s="12" t="str">
        <x:v>305教学楼</x:v>
      </x:c>
      <x:c r="G45" s="12" t="str">
        <x:v>研究生宿舍楼</x:v>
      </x:c>
      <x:c r="H45" s="12" t="n">
        <x:v>0.55</x:v>
      </x:c>
      <x:c r="I45" s="12" t="n">
        <x:v>95</x:v>
      </x:c>
      <x:c r="J45" s="12" t="n">
        <x:f>I45/86400</x:f>
        <x:v>0.001099537037037037</x:v>
      </x:c>
      <x:c r="K45" s="12" t="n">
        <x:f>COUNTIFS('实测记录模板'!$E:$E,$B45,'实测记录模板'!$H:$H,$E45)</x:f>
        <x:v>0</x:v>
      </x:c>
      <x:c r="L45" s="12" t="str">
        <x:f>IF(K45=0,"",ROUND(AVERAGEIFS('实测记录模板'!$N:$N,'实测记录模板'!$E:$E,$B45,'实测记录模板'!$H:$H,$E45),0))</x:f>
      </x:c>
      <x:c r="M45" s="12"/>
      <x:c r="N45" s="12" t="n">
        <x:f>IF(ISNUMBER(M45),M45,IF(ISNUMBER(L45),ROUND(L45,0),I45))</x:f>
        <x:v>95</x:v>
      </x:c>
      <x:c r="O45" s="12" t="n">
        <x:f>SUMIFS($N:$N,$B:$B,$B45,$E:$E,"&lt;="&amp;$E45)</x:f>
        <x:v>870</x:v>
      </x:c>
      <x:c r="P45" s="12" t="n">
        <x:f>O45/86400</x:f>
        <x:v>0.010069444444444445</x:v>
      </x:c>
      <x:c r="Q45" s="12" t="str">
        <x:f>TEXT(P45,"[m]:ss")</x:f>
        <x:v>14:30</x:v>
      </x:c>
      <x:c r="R45" s="12" t="str">
        <x:v>否</x:v>
      </x:c>
      <x:c r="S45" s="12" t="str">
        <x:v>是</x:v>
      </x:c>
      <x:c r="T45" s="12" t="str">
        <x:v>回到发车点</x:v>
      </x:c>
    </x:row>
    <x:row r="46">
      <x:c r="A46" s="12" t="str">
        <x:v>HX3_GAOCHAO|1</x:v>
      </x:c>
      <x:c r="B46" s="12" t="str">
        <x:v>HX3_GAOCHAO</x:v>
      </x:c>
      <x:c r="C46" s="12" t="str">
        <x:v>环线3路</x:v>
      </x:c>
      <x:c r="D46" s="12" t="str">
        <x:v>高超楼发车</x:v>
      </x:c>
      <x:c r="E46" s="12" t="n">
        <x:v>1</x:v>
      </x:c>
      <x:c r="F46" s="12" t="str">
        <x:v>高超楼</x:v>
      </x:c>
      <x:c r="G46" s="12" t="str">
        <x:v>高超楼</x:v>
      </x:c>
      <x:c r="H46" s="12" t="n">
        <x:v>0</x:v>
      </x:c>
      <x:c r="I46" s="12" t="n">
        <x:v>0</x:v>
      </x:c>
      <x:c r="J46" s="12" t="n">
        <x:f>I46/86400</x:f>
        <x:v>0</x:v>
      </x:c>
      <x:c r="K46" s="12" t="n">
        <x:f>COUNTIFS('实测记录模板'!$E:$E,$B46,'实测记录模板'!$H:$H,$E46)</x:f>
        <x:v>0</x:v>
      </x:c>
      <x:c r="L46" s="12" t="str">
        <x:f>IF(K46=0,"",ROUND(AVERAGEIFS('实测记录模板'!$N:$N,'实测记录模板'!$E:$E,$B46,'实测记录模板'!$H:$H,$E46),0))</x:f>
      </x:c>
      <x:c r="M46" s="12"/>
      <x:c r="N46" s="12" t="n">
        <x:f>IF(ISNUMBER(M46),M46,IF(ISNUMBER(L46),ROUND(L46,0),I46))</x:f>
        <x:v>0</x:v>
      </x:c>
      <x:c r="O46" s="12" t="n">
        <x:f>SUMIFS($N:$N,$B:$B,$B46,$E:$E,"&lt;="&amp;$E46)</x:f>
        <x:v>0</x:v>
      </x:c>
      <x:c r="P46" s="12" t="n">
        <x:f>O46/86400</x:f>
        <x:v>0</x:v>
      </x:c>
      <x:c r="Q46" s="12" t="str">
        <x:f>TEXT(P46,"[m]:ss")</x:f>
        <x:v>0:00</x:v>
      </x:c>
      <x:c r="R46" s="12" t="str">
        <x:v>是</x:v>
      </x:c>
      <x:c r="S46" s="12" t="str">
        <x:v>否</x:v>
      </x:c>
      <x:c r="T46" s="12" t="str">
        <x:v>发车点；系统工程学院旁</x:v>
      </x:c>
    </x:row>
    <x:row r="47">
      <x:c r="A47" s="12" t="str">
        <x:v>HX3_GAOCHAO|2</x:v>
      </x:c>
      <x:c r="B47" s="12" t="str">
        <x:v>HX3_GAOCHAO</x:v>
      </x:c>
      <x:c r="C47" s="12" t="str">
        <x:v>环线3路</x:v>
      </x:c>
      <x:c r="D47" s="12" t="str">
        <x:v>高超楼发车</x:v>
      </x:c>
      <x:c r="E47" s="12" t="n">
        <x:v>2</x:v>
      </x:c>
      <x:c r="F47" s="12" t="str">
        <x:v>高超楼</x:v>
      </x:c>
      <x:c r="G47" s="12" t="str">
        <x:v>理学院</x:v>
      </x:c>
      <x:c r="H47" s="12" t="n">
        <x:v>0.35</x:v>
      </x:c>
      <x:c r="I47" s="12" t="n">
        <x:v>55</x:v>
      </x:c>
      <x:c r="J47" s="12" t="n">
        <x:f>I47/86400</x:f>
        <x:v>0.0006365740740740741</x:v>
      </x:c>
      <x:c r="K47" s="12" t="n">
        <x:f>COUNTIFS('实测记录模板'!$E:$E,$B47,'实测记录模板'!$H:$H,$E47)</x:f>
        <x:v>0</x:v>
      </x:c>
      <x:c r="L47" s="12" t="str">
        <x:f>IF(K47=0,"",ROUND(AVERAGEIFS('实测记录模板'!$N:$N,'实测记录模板'!$E:$E,$B47,'实测记录模板'!$H:$H,$E47),0))</x:f>
      </x:c>
      <x:c r="M47" s="12"/>
      <x:c r="N47" s="12" t="n">
        <x:f>IF(ISNUMBER(M47),M47,IF(ISNUMBER(L47),ROUND(L47,0),I47))</x:f>
        <x:v>55</x:v>
      </x:c>
      <x:c r="O47" s="12" t="n">
        <x:f>SUMIFS($N:$N,$B:$B,$B47,$E:$E,"&lt;="&amp;$E47)</x:f>
        <x:v>55</x:v>
      </x:c>
      <x:c r="P47" s="12" t="n">
        <x:f>O47/86400</x:f>
        <x:v>0.0006365740740740741</x:v>
      </x:c>
      <x:c r="Q47" s="12" t="str">
        <x:f>TEXT(P47,"[m]:ss")</x:f>
        <x:v>0:55</x:v>
      </x:c>
      <x:c r="R47" s="12" t="str">
        <x:v>否</x:v>
      </x:c>
      <x:c r="S47" s="12" t="str">
        <x:v>否</x:v>
      </x:c>
      <x:c r="T47" s="12" t="str">
        <x:v>高超楼至理学院</x:v>
      </x:c>
    </x:row>
    <x:row r="48">
      <x:c r="A48" s="12" t="str">
        <x:v>HX3_GAOCHAO|3</x:v>
      </x:c>
      <x:c r="B48" s="12" t="str">
        <x:v>HX3_GAOCHAO</x:v>
      </x:c>
      <x:c r="C48" s="12" t="str">
        <x:v>环线3路</x:v>
      </x:c>
      <x:c r="D48" s="12" t="str">
        <x:v>高超楼发车</x:v>
      </x:c>
      <x:c r="E48" s="12" t="n">
        <x:v>3</x:v>
      </x:c>
      <x:c r="F48" s="12" t="str">
        <x:v>理学院</x:v>
      </x:c>
      <x:c r="G48" s="12" t="str">
        <x:v>二食堂</x:v>
      </x:c>
      <x:c r="H48" s="12" t="n">
        <x:v>1</x:v>
      </x:c>
      <x:c r="I48" s="12" t="n">
        <x:v>180</x:v>
      </x:c>
      <x:c r="J48" s="12" t="n">
        <x:f>I48/86400</x:f>
        <x:v>0.0020833333333333333</x:v>
      </x:c>
      <x:c r="K48" s="12" t="n">
        <x:f>COUNTIFS('实测记录模板'!$E:$E,$B48,'实测记录模板'!$H:$H,$E48)</x:f>
        <x:v>0</x:v>
      </x:c>
      <x:c r="L48" s="12" t="str">
        <x:f>IF(K48=0,"",ROUND(AVERAGEIFS('实测记录模板'!$N:$N,'实测记录模板'!$E:$E,$B48,'实测记录模板'!$H:$H,$E48),0))</x:f>
      </x:c>
      <x:c r="M48" s="12"/>
      <x:c r="N48" s="12" t="n">
        <x:f>IF(ISNUMBER(M48),M48,IF(ISNUMBER(L48),ROUND(L48,0),I48))</x:f>
        <x:v>180</x:v>
      </x:c>
      <x:c r="O48" s="12" t="n">
        <x:f>SUMIFS($N:$N,$B:$B,$B48,$E:$E,"&lt;="&amp;$E48)</x:f>
        <x:v>235</x:v>
      </x:c>
      <x:c r="P48" s="12" t="n">
        <x:f>O48/86400</x:f>
        <x:v>0.0027199074074074074</x:v>
      </x:c>
      <x:c r="Q48" s="12" t="str">
        <x:f>TEXT(P48,"[m]:ss")</x:f>
        <x:v>3:55</x:v>
      </x:c>
      <x:c r="R48" s="12" t="str">
        <x:v>否</x:v>
      </x:c>
      <x:c r="S48" s="12" t="str">
        <x:v>否</x:v>
      </x:c>
      <x:c r="T48" s="12" t="str">
        <x:v>用户提供：理学院至二食堂约1km</x:v>
      </x:c>
    </x:row>
    <x:row r="49">
      <x:c r="A49" s="12" t="str">
        <x:v>HX3_GAOCHAO|4</x:v>
      </x:c>
      <x:c r="B49" s="12" t="str">
        <x:v>HX3_GAOCHAO</x:v>
      </x:c>
      <x:c r="C49" s="12" t="str">
        <x:v>环线3路</x:v>
      </x:c>
      <x:c r="D49" s="12" t="str">
        <x:v>高超楼发车</x:v>
      </x:c>
      <x:c r="E49" s="12" t="n">
        <x:v>4</x:v>
      </x:c>
      <x:c r="F49" s="12" t="str">
        <x:v>二食堂</x:v>
      </x:c>
      <x:c r="G49" s="12" t="str">
        <x:v>图书馆</x:v>
      </x:c>
      <x:c r="H49" s="12" t="n">
        <x:v>0.3</x:v>
      </x:c>
      <x:c r="I49" s="12" t="n">
        <x:v>45</x:v>
      </x:c>
      <x:c r="J49" s="12" t="n">
        <x:f>I49/86400</x:f>
        <x:v>0.0005208333333333333</x:v>
      </x:c>
      <x:c r="K49" s="12" t="n">
        <x:f>COUNTIFS('实测记录模板'!$E:$E,$B49,'实测记录模板'!$H:$H,$E49)</x:f>
        <x:v>0</x:v>
      </x:c>
      <x:c r="L49" s="12" t="str">
        <x:f>IF(K49=0,"",ROUND(AVERAGEIFS('实测记录模板'!$N:$N,'实测记录模板'!$E:$E,$B49,'实测记录模板'!$H:$H,$E49),0))</x:f>
      </x:c>
      <x:c r="M49" s="12"/>
      <x:c r="N49" s="12" t="n">
        <x:f>IF(ISNUMBER(M49),M49,IF(ISNUMBER(L49),ROUND(L49,0),I49))</x:f>
        <x:v>45</x:v>
      </x:c>
      <x:c r="O49" s="12" t="n">
        <x:f>SUMIFS($N:$N,$B:$B,$B49,$E:$E,"&lt;="&amp;$E49)</x:f>
        <x:v>280</x:v>
      </x:c>
      <x:c r="P49" s="12" t="n">
        <x:f>O49/86400</x:f>
        <x:v>0.0032407407407407406</x:v>
      </x:c>
      <x:c r="Q49" s="12" t="str">
        <x:f>TEXT(P49,"[m]:ss")</x:f>
        <x:v>4:40</x:v>
      </x:c>
      <x:c r="R49" s="12" t="str">
        <x:v>否</x:v>
      </x:c>
      <x:c r="S49" s="12" t="str">
        <x:v>否</x:v>
      </x:c>
      <x:c r="T49" s="12" t="str">
        <x:v>站点较近</x:v>
      </x:c>
    </x:row>
    <x:row r="50">
      <x:c r="A50" s="12" t="str">
        <x:v>HX3_GAOCHAO|5</x:v>
      </x:c>
      <x:c r="B50" s="12" t="str">
        <x:v>HX3_GAOCHAO</x:v>
      </x:c>
      <x:c r="C50" s="12" t="str">
        <x:v>环线3路</x:v>
      </x:c>
      <x:c r="D50" s="12" t="str">
        <x:v>高超楼发车</x:v>
      </x:c>
      <x:c r="E50" s="12" t="n">
        <x:v>5</x:v>
      </x:c>
      <x:c r="F50" s="12" t="str">
        <x:v>图书馆</x:v>
      </x:c>
      <x:c r="G50" s="12" t="str">
        <x:v>305教学楼</x:v>
      </x:c>
      <x:c r="H50" s="12" t="n">
        <x:v>0.45</x:v>
      </x:c>
      <x:c r="I50" s="12" t="n">
        <x:v>80</x:v>
      </x:c>
      <x:c r="J50" s="12" t="n">
        <x:f>I50/86400</x:f>
        <x:v>0.000925925925925926</x:v>
      </x:c>
      <x:c r="K50" s="12" t="n">
        <x:f>COUNTIFS('实测记录模板'!$E:$E,$B50,'实测记录模板'!$H:$H,$E50)</x:f>
        <x:v>0</x:v>
      </x:c>
      <x:c r="L50" s="12" t="str">
        <x:f>IF(K50=0,"",ROUND(AVERAGEIFS('实测记录模板'!$N:$N,'实测记录模板'!$E:$E,$B50,'实测记录模板'!$H:$H,$E50),0))</x:f>
      </x:c>
      <x:c r="M50" s="12"/>
      <x:c r="N50" s="12" t="n">
        <x:f>IF(ISNUMBER(M50),M50,IF(ISNUMBER(L50),ROUND(L50,0),I50))</x:f>
        <x:v>80</x:v>
      </x:c>
      <x:c r="O50" s="12" t="n">
        <x:f>SUMIFS($N:$N,$B:$B,$B50,$E:$E,"&lt;="&amp;$E50)</x:f>
        <x:v>360</x:v>
      </x:c>
      <x:c r="P50" s="12" t="n">
        <x:f>O50/86400</x:f>
        <x:v>0.004166666666666667</x:v>
      </x:c>
      <x:c r="Q50" s="12" t="str">
        <x:f>TEXT(P50,"[m]:ss")</x:f>
        <x:v>6:00</x:v>
      </x:c>
      <x:c r="R50" s="12" t="str">
        <x:v>否</x:v>
      </x:c>
      <x:c r="S50" s="12" t="str">
        <x:v>否</x:v>
      </x:c>
      <x:c r="T50" s="12" t="str">
        <x:v>南侧至305教学楼</x:v>
      </x:c>
    </x:row>
    <x:row r="51">
      <x:c r="A51" s="12" t="str">
        <x:v>HX3_GAOCHAO|6</x:v>
      </x:c>
      <x:c r="B51" s="12" t="str">
        <x:v>HX3_GAOCHAO</x:v>
      </x:c>
      <x:c r="C51" s="12" t="str">
        <x:v>环线3路</x:v>
      </x:c>
      <x:c r="D51" s="12" t="str">
        <x:v>高超楼发车</x:v>
      </x:c>
      <x:c r="E51" s="12" t="n">
        <x:v>6</x:v>
      </x:c>
      <x:c r="F51" s="12" t="str">
        <x:v>305教学楼</x:v>
      </x:c>
      <x:c r="G51" s="12" t="str">
        <x:v>研究生宿舍楼</x:v>
      </x:c>
      <x:c r="H51" s="12" t="n">
        <x:v>0.55</x:v>
      </x:c>
      <x:c r="I51" s="12" t="n">
        <x:v>95</x:v>
      </x:c>
      <x:c r="J51" s="12" t="n">
        <x:f>I51/86400</x:f>
        <x:v>0.001099537037037037</x:v>
      </x:c>
      <x:c r="K51" s="12" t="n">
        <x:f>COUNTIFS('实测记录模板'!$E:$E,$B51,'实测记录模板'!$H:$H,$E51)</x:f>
        <x:v>0</x:v>
      </x:c>
      <x:c r="L51" s="12" t="str">
        <x:f>IF(K51=0,"",ROUND(AVERAGEIFS('实测记录模板'!$N:$N,'实测记录模板'!$E:$E,$B51,'实测记录模板'!$H:$H,$E51),0))</x:f>
      </x:c>
      <x:c r="M51" s="12"/>
      <x:c r="N51" s="12" t="n">
        <x:f>IF(ISNUMBER(M51),M51,IF(ISNUMBER(L51),ROUND(L51,0),I51))</x:f>
        <x:v>95</x:v>
      </x:c>
      <x:c r="O51" s="12" t="n">
        <x:f>SUMIFS($N:$N,$B:$B,$B51,$E:$E,"&lt;="&amp;$E51)</x:f>
        <x:v>455</x:v>
      </x:c>
      <x:c r="P51" s="12" t="n">
        <x:f>O51/86400</x:f>
        <x:v>0.0052662037037037035</x:v>
      </x:c>
      <x:c r="Q51" s="12" t="str">
        <x:f>TEXT(P51,"[m]:ss")</x:f>
        <x:v>7:35</x:v>
      </x:c>
      <x:c r="R51" s="12" t="str">
        <x:v>否</x:v>
      </x:c>
      <x:c r="S51" s="12" t="str">
        <x:v>否</x:v>
      </x:c>
      <x:c r="T51" s="12" t="str">
        <x:v>回到研究生宿舍楼片区</x:v>
      </x:c>
    </x:row>
    <x:row r="52">
      <x:c r="A52" s="12" t="str">
        <x:v>HX3_GAOCHAO|7</x:v>
      </x:c>
      <x:c r="B52" s="12" t="str">
        <x:v>HX3_GAOCHAO</x:v>
      </x:c>
      <x:c r="C52" s="12" t="str">
        <x:v>环线3路</x:v>
      </x:c>
      <x:c r="D52" s="12" t="str">
        <x:v>高超楼发车</x:v>
      </x:c>
      <x:c r="E52" s="12" t="n">
        <x:v>7</x:v>
      </x:c>
      <x:c r="F52" s="12" t="str">
        <x:v>研究生宿舍楼</x:v>
      </x:c>
      <x:c r="G52" s="12" t="str">
        <x:v>一食堂</x:v>
      </x:c>
      <x:c r="H52" s="12" t="n">
        <x:v>0.3</x:v>
      </x:c>
      <x:c r="I52" s="12" t="n">
        <x:v>45</x:v>
      </x:c>
      <x:c r="J52" s="12" t="n">
        <x:f>I52/86400</x:f>
        <x:v>0.0005208333333333333</x:v>
      </x:c>
      <x:c r="K52" s="12" t="n">
        <x:f>COUNTIFS('实测记录模板'!$E:$E,$B52,'实测记录模板'!$H:$H,$E52)</x:f>
        <x:v>0</x:v>
      </x:c>
      <x:c r="L52" s="12" t="str">
        <x:f>IF(K52=0,"",ROUND(AVERAGEIFS('实测记录模板'!$N:$N,'实测记录模板'!$E:$E,$B52,'实测记录模板'!$H:$H,$E52),0))</x:f>
      </x:c>
      <x:c r="M52" s="12"/>
      <x:c r="N52" s="12" t="n">
        <x:f>IF(ISNUMBER(M52),M52,IF(ISNUMBER(L52),ROUND(L52,0),I52))</x:f>
        <x:v>45</x:v>
      </x:c>
      <x:c r="O52" s="12" t="n">
        <x:f>SUMIFS($N:$N,$B:$B,$B52,$E:$E,"&lt;="&amp;$E52)</x:f>
        <x:v>500</x:v>
      </x:c>
      <x:c r="P52" s="12" t="n">
        <x:f>O52/86400</x:f>
        <x:v>0.005787037037037037</x:v>
      </x:c>
      <x:c r="Q52" s="12" t="str">
        <x:f>TEXT(P52,"[m]:ss")</x:f>
        <x:v>8:20</x:v>
      </x:c>
      <x:c r="R52" s="12" t="str">
        <x:v>否</x:v>
      </x:c>
      <x:c r="S52" s="12" t="str">
        <x:v>否</x:v>
      </x:c>
      <x:c r="T52" s="12" t="str">
        <x:v>近距离短段</x:v>
      </x:c>
    </x:row>
    <x:row r="53">
      <x:c r="A53" s="12" t="str">
        <x:v>HX3_GAOCHAO|8</x:v>
      </x:c>
      <x:c r="B53" s="12" t="str">
        <x:v>HX3_GAOCHAO</x:v>
      </x:c>
      <x:c r="C53" s="12" t="str">
        <x:v>环线3路</x:v>
      </x:c>
      <x:c r="D53" s="12" t="str">
        <x:v>高超楼发车</x:v>
      </x:c>
      <x:c r="E53" s="12" t="n">
        <x:v>8</x:v>
      </x:c>
      <x:c r="F53" s="12" t="str">
        <x:v>一食堂</x:v>
      </x:c>
      <x:c r="G53" s="12" t="str">
        <x:v>2号宿舍楼</x:v>
      </x:c>
      <x:c r="H53" s="12" t="n">
        <x:v>0.55</x:v>
      </x:c>
      <x:c r="I53" s="12" t="n">
        <x:v>95</x:v>
      </x:c>
      <x:c r="J53" s="12" t="n">
        <x:f>I53/86400</x:f>
        <x:v>0.001099537037037037</x:v>
      </x:c>
      <x:c r="K53" s="12" t="n">
        <x:f>COUNTIFS('实测记录模板'!$E:$E,$B53,'实测记录模板'!$H:$H,$E53)</x:f>
        <x:v>0</x:v>
      </x:c>
      <x:c r="L53" s="12" t="str">
        <x:f>IF(K53=0,"",ROUND(AVERAGEIFS('实测记录模板'!$N:$N,'实测记录模板'!$E:$E,$B53,'实测记录模板'!$H:$H,$E53),0))</x:f>
      </x:c>
      <x:c r="M53" s="12"/>
      <x:c r="N53" s="12" t="n">
        <x:f>IF(ISNUMBER(M53),M53,IF(ISNUMBER(L53),ROUND(L53,0),I53))</x:f>
        <x:v>95</x:v>
      </x:c>
      <x:c r="O53" s="12" t="n">
        <x:f>SUMIFS($N:$N,$B:$B,$B53,$E:$E,"&lt;="&amp;$E53)</x:f>
        <x:v>595</x:v>
      </x:c>
      <x:c r="P53" s="12" t="n">
        <x:f>O53/86400</x:f>
        <x:v>0.0068865740740740745</x:v>
      </x:c>
      <x:c r="Q53" s="12" t="str">
        <x:f>TEXT(P53,"[m]:ss")</x:f>
        <x:v>9:55</x:v>
      </x:c>
      <x:c r="R53" s="12" t="str">
        <x:v>否</x:v>
      </x:c>
      <x:c r="S53" s="12" t="str">
        <x:v>否</x:v>
      </x:c>
      <x:c r="T53" s="12" t="str">
        <x:v>东南侧至宿舍区</x:v>
      </x:c>
    </x:row>
    <x:row r="54">
      <x:c r="A54" s="12" t="str">
        <x:v>HX3_GAOCHAO|9</x:v>
      </x:c>
      <x:c r="B54" s="12" t="str">
        <x:v>HX3_GAOCHAO</x:v>
      </x:c>
      <x:c r="C54" s="12" t="str">
        <x:v>环线3路</x:v>
      </x:c>
      <x:c r="D54" s="12" t="str">
        <x:v>高超楼发车</x:v>
      </x:c>
      <x:c r="E54" s="12" t="n">
        <x:v>9</x:v>
      </x:c>
      <x:c r="F54" s="12" t="str">
        <x:v>2号宿舍楼</x:v>
      </x:c>
      <x:c r="G54" s="12" t="str">
        <x:v>军体活动中心</x:v>
      </x:c>
      <x:c r="H54" s="12" t="n">
        <x:v>0.3</x:v>
      </x:c>
      <x:c r="I54" s="12" t="n">
        <x:v>45</x:v>
      </x:c>
      <x:c r="J54" s="12" t="n">
        <x:f>I54/86400</x:f>
        <x:v>0.0005208333333333333</x:v>
      </x:c>
      <x:c r="K54" s="12" t="n">
        <x:f>COUNTIFS('实测记录模板'!$E:$E,$B54,'实测记录模板'!$H:$H,$E54)</x:f>
        <x:v>0</x:v>
      </x:c>
      <x:c r="L54" s="12" t="str">
        <x:f>IF(K54=0,"",ROUND(AVERAGEIFS('实测记录模板'!$N:$N,'实测记录模板'!$E:$E,$B54,'实测记录模板'!$H:$H,$E54),0))</x:f>
      </x:c>
      <x:c r="M54" s="12"/>
      <x:c r="N54" s="12" t="n">
        <x:f>IF(ISNUMBER(M54),M54,IF(ISNUMBER(L54),ROUND(L54,0),I54))</x:f>
        <x:v>45</x:v>
      </x:c>
      <x:c r="O54" s="12" t="n">
        <x:f>SUMIFS($N:$N,$B:$B,$B54,$E:$E,"&lt;="&amp;$E54)</x:f>
        <x:v>640</x:v>
      </x:c>
      <x:c r="P54" s="12" t="n">
        <x:f>O54/86400</x:f>
        <x:v>0.007407407407407408</x:v>
      </x:c>
      <x:c r="Q54" s="12" t="str">
        <x:f>TEXT(P54,"[m]:ss")</x:f>
        <x:v>10:40</x:v>
      </x:c>
      <x:c r="R54" s="12" t="str">
        <x:v>否</x:v>
      </x:c>
      <x:c r="S54" s="12" t="str">
        <x:v>否</x:v>
      </x:c>
      <x:c r="T54" s="12" t="str">
        <x:v>近距离短段</x:v>
      </x:c>
    </x:row>
    <x:row r="55">
      <x:c r="A55" s="12" t="str">
        <x:v>HX3_GAOCHAO|10</x:v>
      </x:c>
      <x:c r="B55" s="12" t="str">
        <x:v>HX3_GAOCHAO</x:v>
      </x:c>
      <x:c r="C55" s="12" t="str">
        <x:v>环线3路</x:v>
      </x:c>
      <x:c r="D55" s="12" t="str">
        <x:v>高超楼发车</x:v>
      </x:c>
      <x:c r="E55" s="12" t="n">
        <x:v>10</x:v>
      </x:c>
      <x:c r="F55" s="12" t="str">
        <x:v>军体活动中心</x:v>
      </x:c>
      <x:c r="G55" s="12" t="str">
        <x:v>教勤连</x:v>
      </x:c>
      <x:c r="H55" s="12" t="n">
        <x:v>0.45</x:v>
      </x:c>
      <x:c r="I55" s="12" t="n">
        <x:v>85</x:v>
      </x:c>
      <x:c r="J55" s="12" t="n">
        <x:f>I55/86400</x:f>
        <x:v>0.0009837962962962962</x:v>
      </x:c>
      <x:c r="K55" s="12" t="n">
        <x:f>COUNTIFS('实测记录模板'!$E:$E,$B55,'实测记录模板'!$H:$H,$E55)</x:f>
        <x:v>0</x:v>
      </x:c>
      <x:c r="L55" s="12" t="str">
        <x:f>IF(K55=0,"",ROUND(AVERAGEIFS('实测记录模板'!$N:$N,'实测记录模板'!$E:$E,$B55,'实测记录模板'!$H:$H,$E55),0))</x:f>
      </x:c>
      <x:c r="M55" s="12"/>
      <x:c r="N55" s="12" t="n">
        <x:f>IF(ISNUMBER(M55),M55,IF(ISNUMBER(L55),ROUND(L55,0),I55))</x:f>
        <x:v>85</x:v>
      </x:c>
      <x:c r="O55" s="12" t="n">
        <x:f>SUMIFS($N:$N,$B:$B,$B55,$E:$E,"&lt;="&amp;$E55)</x:f>
        <x:v>725</x:v>
      </x:c>
      <x:c r="P55" s="12" t="n">
        <x:f>O55/86400</x:f>
        <x:v>0.008391203703703705</x:v>
      </x:c>
      <x:c r="Q55" s="12" t="str">
        <x:f>TEXT(P55,"[m]:ss")</x:f>
        <x:v>12:05</x:v>
      </x:c>
      <x:c r="R55" s="12" t="str">
        <x:v>否</x:v>
      </x:c>
      <x:c r="S55" s="12" t="str">
        <x:v>否</x:v>
      </x:c>
      <x:c r="T55" s="12" t="str">
        <x:v>东侧北行</x:v>
      </x:c>
    </x:row>
    <x:row r="56">
      <x:c r="A56" s="12" t="str">
        <x:v>HX3_GAOCHAO|11</x:v>
      </x:c>
      <x:c r="B56" s="12" t="str">
        <x:v>HX3_GAOCHAO</x:v>
      </x:c>
      <x:c r="C56" s="12" t="str">
        <x:v>环线3路</x:v>
      </x:c>
      <x:c r="D56" s="12" t="str">
        <x:v>高超楼发车</x:v>
      </x:c>
      <x:c r="E56" s="12" t="n">
        <x:v>11</x:v>
      </x:c>
      <x:c r="F56" s="12" t="str">
        <x:v>教勤连</x:v>
      </x:c>
      <x:c r="G56" s="12" t="str">
        <x:v>激光所</x:v>
      </x:c>
      <x:c r="H56" s="12" t="n">
        <x:v>0.3</x:v>
      </x:c>
      <x:c r="I56" s="12" t="n">
        <x:v>50</x:v>
      </x:c>
      <x:c r="J56" s="12" t="n">
        <x:f>I56/86400</x:f>
        <x:v>0.0005787037037037037</x:v>
      </x:c>
      <x:c r="K56" s="12" t="n">
        <x:f>COUNTIFS('实测记录模板'!$E:$E,$B56,'实测记录模板'!$H:$H,$E56)</x:f>
        <x:v>0</x:v>
      </x:c>
      <x:c r="L56" s="12" t="str">
        <x:f>IF(K56=0,"",ROUND(AVERAGEIFS('实测记录模板'!$N:$N,'实测记录模板'!$E:$E,$B56,'实测记录模板'!$H:$H,$E56),0))</x:f>
      </x:c>
      <x:c r="M56" s="12"/>
      <x:c r="N56" s="12" t="n">
        <x:f>IF(ISNUMBER(M56),M56,IF(ISNUMBER(L56),ROUND(L56,0),I56))</x:f>
        <x:v>50</x:v>
      </x:c>
      <x:c r="O56" s="12" t="n">
        <x:f>SUMIFS($N:$N,$B:$B,$B56,$E:$E,"&lt;="&amp;$E56)</x:f>
        <x:v>775</x:v>
      </x:c>
      <x:c r="P56" s="12" t="n">
        <x:f>O56/86400</x:f>
        <x:v>0.008969907407407407</x:v>
      </x:c>
      <x:c r="Q56" s="12" t="str">
        <x:f>TEXT(P56,"[m]:ss")</x:f>
        <x:v>12:55</x:v>
      </x:c>
      <x:c r="R56" s="12" t="str">
        <x:v>否</x:v>
      </x:c>
      <x:c r="S56" s="12" t="str">
        <x:v>否</x:v>
      </x:c>
      <x:c r="T56" s="12" t="str">
        <x:v>近距离短段</x:v>
      </x:c>
    </x:row>
    <x:row r="57">
      <x:c r="A57" s="12" t="str">
        <x:v>HX3_GAOCHAO|12</x:v>
      </x:c>
      <x:c r="B57" s="12" t="str">
        <x:v>HX3_GAOCHAO</x:v>
      </x:c>
      <x:c r="C57" s="12" t="str">
        <x:v>环线3路</x:v>
      </x:c>
      <x:c r="D57" s="12" t="str">
        <x:v>高超楼发车</x:v>
      </x:c>
      <x:c r="E57" s="12" t="n">
        <x:v>12</x:v>
      </x:c>
      <x:c r="F57" s="12" t="str">
        <x:v>激光所</x:v>
      </x:c>
      <x:c r="G57" s="12" t="str">
        <x:v>高超楼</x:v>
      </x:c>
      <x:c r="H57" s="12" t="n">
        <x:v>0.55</x:v>
      </x:c>
      <x:c r="I57" s="12" t="n">
        <x:v>95</x:v>
      </x:c>
      <x:c r="J57" s="12" t="n">
        <x:f>I57/86400</x:f>
        <x:v>0.001099537037037037</x:v>
      </x:c>
      <x:c r="K57" s="12" t="n">
        <x:f>COUNTIFS('实测记录模板'!$E:$E,$B57,'实测记录模板'!$H:$H,$E57)</x:f>
        <x:v>0</x:v>
      </x:c>
      <x:c r="L57" s="12" t="str">
        <x:f>IF(K57=0,"",ROUND(AVERAGEIFS('实测记录模板'!$N:$N,'实测记录模板'!$E:$E,$B57,'实测记录模板'!$H:$H,$E57),0))</x:f>
      </x:c>
      <x:c r="M57" s="12"/>
      <x:c r="N57" s="12" t="n">
        <x:f>IF(ISNUMBER(M57),M57,IF(ISNUMBER(L57),ROUND(L57,0),I57))</x:f>
        <x:v>95</x:v>
      </x:c>
      <x:c r="O57" s="12" t="n">
        <x:f>SUMIFS($N:$N,$B:$B,$B57,$E:$E,"&lt;="&amp;$E57)</x:f>
        <x:v>870</x:v>
      </x:c>
      <x:c r="P57" s="12" t="n">
        <x:f>O57/86400</x:f>
        <x:v>0.010069444444444445</x:v>
      </x:c>
      <x:c r="Q57" s="12" t="str">
        <x:f>TEXT(P57,"[m]:ss")</x:f>
        <x:v>14:30</x:v>
      </x:c>
      <x:c r="R57" s="12" t="str">
        <x:v>否</x:v>
      </x:c>
      <x:c r="S57" s="12" t="str">
        <x:v>是</x:v>
      </x:c>
      <x:c r="T57" s="12" t="str">
        <x:v>返回高超楼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7.809999942779541" hidden="0" customWidth="1"/>
    <x:col min="3" max="3" width="3.9000000953674316" hidden="0" customWidth="1"/>
    <x:col min="4" max="4" width="11.710000038146973" hidden="0" customWidth="1"/>
    <x:col min="5" max="5" width="5.789999961853027" hidden="0" customWidth="1"/>
    <x:col min="6" max="6" width="14.399999618530273" hidden="0" customWidth="1"/>
    <x:col min="7" max="7" width="7.809999942779541" hidden="0" customWidth="1"/>
    <x:col min="8" max="8" width="11.710000038146973" hidden="0" customWidth="1"/>
    <x:col min="9" max="9" width="5.789999961853027" hidden="0" customWidth="1"/>
    <x:col min="10" max="10" width="5.789999961853027" hidden="0" customWidth="1"/>
    <x:col min="11" max="11" width="17.6299991607666" hidden="0" customWidth="1"/>
    <x:col min="12" max="12" width="17.6299991607666" hidden="0" customWidth="1"/>
    <x:col min="13" max="13" width="17.6299991607666" hidden="0" customWidth="1"/>
    <x:col min="14" max="14" width="17.6299991607666" hidden="0" customWidth="1"/>
    <x:col min="15" max="15" width="11.710000038146973" hidden="0" customWidth="1"/>
    <x:col min="16" max="16" width="10.630000114440918" hidden="0" customWidth="1"/>
    <x:col min="17" max="17" width="3.9000000953674316" hidden="0" customWidth="1"/>
    <x:col min="18" max="18" width="40" hidden="0" customWidth="1"/>
  </x:cols>
  <x:sheetData>
    <x:row r="1" ht="28" customHeight="1">
      <x:c r="A1" s="78" t="str">
        <x:v>日期</x:v>
      </x:c>
      <x:c r="B1" s="74" t="str">
        <x:v>适用日期</x:v>
      </x:c>
      <x:c r="C1" s="74" t="str">
        <x:v>线路</x:v>
      </x:c>
      <x:c r="D1" s="74" t="str">
        <x:v>运行路线模式</x:v>
      </x:c>
      <x:c r="E1" s="74" t="str">
        <x:v>路线键</x:v>
      </x:c>
      <x:c r="F1" s="74" t="str">
        <x:v>发车记录ID/车次</x:v>
      </x:c>
      <x:c r="G1" s="79" t="str">
        <x:v>发车时间</x:v>
      </x:c>
      <x:c r="H1" s="74" t="str">
        <x:v>到达站点序号</x:v>
      </x:c>
      <x:c r="I1" s="74" t="str">
        <x:v>上一站</x:v>
      </x:c>
      <x:c r="J1" s="74" t="str">
        <x:v>当前站</x:v>
      </x:c>
      <x:c r="K1" s="74" t="str">
        <x:v>计划累计秒（自动）</x:v>
      </x:c>
      <x:c r="L1" s="79" t="str">
        <x:v>上一站实际到达时间</x:v>
      </x:c>
      <x:c r="M1" s="79" t="str">
        <x:v>当前站实际到达时间</x:v>
      </x:c>
      <x:c r="N1" s="76" t="str">
        <x:v>实测站间秒（自动）</x:v>
      </x:c>
      <x:c r="O1" s="77" t="str">
        <x:v>实测站间时间</x:v>
      </x:c>
      <x:c r="P1" s="74" t="str">
        <x:v>车号/驾驶员</x:v>
      </x:c>
      <x:c r="Q1" s="74" t="str">
        <x:v>备注</x:v>
      </x:c>
      <x:c r="R1" s="74" t="str">
        <x:v>录入说明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 t="str">
        <x:f>IFERROR(INDEX('秒级路线参数_可调整'!$O:$O,MATCH(E2&amp;"|"&amp;H2,'秒级路线参数_可调整'!$A:$A,0)),"")</x:f>
        <x:v>累计秒（自动）</x:v>
      </x:c>
      <x:c r="L2" s="12"/>
      <x:c r="M2" s="12"/>
      <x:c r="N2" s="12" t="str">
        <x:f>IF(OR(L2="",M2=""),"",ROUND((M2-L2)*86400,0))</x:f>
      </x:c>
      <x:c r="O2" s="12" t="str">
        <x:f>IF(N2="","",N2/86400)</x:f>
      </x:c>
      <x:c r="P2" s="12"/>
      <x:c r="Q2" s="12"/>
      <x:c r="R2" s="12" t="str">
        <x:v>填写：一次乘车实测一段站间时间。路线键和到达站点序号必须与“秒级路线参数_可调整”一致。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 t="str">
        <x:f>IFERROR(INDEX('秒级路线参数_可调整'!$O:$O,MATCH(E3&amp;"|"&amp;H3,'秒级路线参数_可调整'!$A:$A,0)),"")</x:f>
        <x:v>累计秒（自动）</x:v>
      </x:c>
      <x:c r="L3" s="12"/>
      <x:c r="M3" s="12"/>
      <x:c r="N3" s="12" t="str">
        <x:f>IF(OR(L3="",M3=""),"",ROUND((M3-L3)*86400,0))</x:f>
      </x:c>
      <x:c r="O3" s="12" t="str">
        <x:f>IF(N3="","",N3/86400)</x:f>
      </x:c>
      <x:c r="P3" s="12"/>
      <x:c r="Q3" s="12"/>
      <x:c r="R3" s="12" t="str">
        <x:v>例如测“东门→2号宿舍楼”，到达站点序号填3，上一站/当前站填对应站名。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 t="str">
        <x:f>IFERROR(INDEX('秒级路线参数_可调整'!$O:$O,MATCH(E4&amp;"|"&amp;H4,'秒级路线参数_可调整'!$A:$A,0)),"")</x:f>
        <x:v>累计秒（自动）</x:v>
      </x:c>
      <x:c r="L4" s="12"/>
      <x:c r="M4" s="12"/>
      <x:c r="N4" s="12" t="str">
        <x:f>IF(OR(L4="",M4=""),"",ROUND((M4-L4)*86400,0))</x:f>
      </x:c>
      <x:c r="O4" s="12" t="str">
        <x:f>IF(N4="","",N4/86400)</x:f>
      </x:c>
      <x:c r="P4" s="12"/>
      <x:c r="Q4" s="12"/>
      <x:c r="R4" s="12" t="str">
        <x:v>实测站间秒会自动计算，并被“秒级路线参数_可调整”的实测平均秒引用。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 t="str">
        <x:f>IFERROR(INDEX('秒级路线参数_可调整'!$O:$O,MATCH(E5&amp;"|"&amp;H5,'秒级路线参数_可调整'!$A:$A,0)),"")</x:f>
        <x:v>累计秒（自动）</x:v>
      </x:c>
      <x:c r="L5" s="12"/>
      <x:c r="M5" s="12"/>
      <x:c r="N5" s="12" t="str">
        <x:f>IF(OR(L5="",M5=""),"",ROUND((M5-L5)*86400,0))</x:f>
      </x:c>
      <x:c r="O5" s="12" t="str">
        <x:f>IF(N5="","",N5/86400)</x:f>
      </x:c>
      <x:c r="P5" s="12"/>
      <x:c r="Q5" s="12"/>
      <x:c r="R5" s="12" t="str">
        <x:v>如果只想快速校准，可直接在“秒级路线参数_可调整”的“手动采用秒（可填）”列填写秒数。</x:v>
      </x:c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 t="str">
        <x:f>IFERROR(INDEX('秒级路线参数_可调整'!$O:$O,MATCH(E6&amp;"|"&amp;H6,'秒级路线参数_可调整'!$A:$A,0)),"")</x:f>
        <x:v>累计秒（自动）</x:v>
      </x:c>
      <x:c r="L6" s="12"/>
      <x:c r="M6" s="12"/>
      <x:c r="N6" s="12" t="str">
        <x:f>IF(OR(L6="",M6=""),"",ROUND((M6-L6)*86400,0))</x:f>
      </x:c>
      <x:c r="O6" s="12" t="str">
        <x:f>IF(N6="","",N6/86400)</x:f>
      </x:c>
      <x:c r="P6" s="12"/>
      <x:c r="Q6" s="12"/>
      <x:c r="R6" s="12" t="str">
        <x:v>时间请尽量记录到秒，格式如 11:32:18。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 t="str">
        <x:f>IFERROR(INDEX('秒级路线参数_可调整'!$O:$O,MATCH(E7&amp;"|"&amp;H7,'秒级路线参数_可调整'!$A:$A,0)),"")</x:f>
        <x:v>累计秒（自动）</x:v>
      </x:c>
      <x:c r="L7" s="12"/>
      <x:c r="M7" s="12"/>
      <x:c r="N7" s="12" t="str">
        <x:f>IF(OR(L7="",M7=""),"",ROUND((M7-L7)*86400,0))</x:f>
      </x:c>
      <x:c r="O7" s="12" t="str">
        <x:f>IF(N7="","",N7/86400)</x:f>
      </x:c>
      <x:c r="P7" s="12"/>
      <x:c r="Q7" s="12"/>
      <x:c r="R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 t="str">
        <x:f>IFERROR(INDEX('秒级路线参数_可调整'!$O:$O,MATCH(E8&amp;"|"&amp;H8,'秒级路线参数_可调整'!$A:$A,0)),"")</x:f>
        <x:v>累计秒（自动）</x:v>
      </x:c>
      <x:c r="L8" s="12"/>
      <x:c r="M8" s="12"/>
      <x:c r="N8" s="12" t="str">
        <x:f>IF(OR(L8="",M8=""),"",ROUND((M8-L8)*86400,0))</x:f>
      </x:c>
      <x:c r="O8" s="12" t="str">
        <x:f>IF(N8="","",N8/86400)</x:f>
      </x:c>
      <x:c r="P8" s="12"/>
      <x:c r="Q8" s="12"/>
      <x:c r="R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 t="str">
        <x:f>IFERROR(INDEX('秒级路线参数_可调整'!$O:$O,MATCH(E9&amp;"|"&amp;H9,'秒级路线参数_可调整'!$A:$A,0)),"")</x:f>
        <x:v>累计秒（自动）</x:v>
      </x:c>
      <x:c r="L9" s="12"/>
      <x:c r="M9" s="12"/>
      <x:c r="N9" s="12" t="str">
        <x:f>IF(OR(L9="",M9=""),"",ROUND((M9-L9)*86400,0))</x:f>
      </x:c>
      <x:c r="O9" s="12" t="str">
        <x:f>IF(N9="","",N9/86400)</x:f>
      </x:c>
      <x:c r="P9" s="12"/>
      <x:c r="Q9" s="12"/>
      <x:c r="R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 t="str">
        <x:f>IFERROR(INDEX('秒级路线参数_可调整'!$O:$O,MATCH(E10&amp;"|"&amp;H10,'秒级路线参数_可调整'!$A:$A,0)),"")</x:f>
        <x:v>累计秒（自动）</x:v>
      </x:c>
      <x:c r="L10" s="12"/>
      <x:c r="M10" s="12"/>
      <x:c r="N10" s="12" t="str">
        <x:f>IF(OR(L10="",M10=""),"",ROUND((M10-L10)*86400,0))</x:f>
      </x:c>
      <x:c r="O10" s="12" t="str">
        <x:f>IF(N10="","",N10/86400)</x:f>
      </x:c>
      <x:c r="P10" s="12"/>
      <x:c r="Q10" s="12"/>
      <x:c r="R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 t="str">
        <x:f>IFERROR(INDEX('秒级路线参数_可调整'!$O:$O,MATCH(E11&amp;"|"&amp;H11,'秒级路线参数_可调整'!$A:$A,0)),"")</x:f>
        <x:v>累计秒（自动）</x:v>
      </x:c>
      <x:c r="L11" s="12"/>
      <x:c r="M11" s="12"/>
      <x:c r="N11" s="12" t="str">
        <x:f>IF(OR(L11="",M11=""),"",ROUND((M11-L11)*86400,0))</x:f>
      </x:c>
      <x:c r="O11" s="12" t="str">
        <x:f>IF(N11="","",N11/86400)</x:f>
      </x:c>
      <x:c r="P11" s="12"/>
      <x:c r="Q11" s="12"/>
      <x:c r="R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 t="str">
        <x:f>IFERROR(INDEX('秒级路线参数_可调整'!$O:$O,MATCH(E12&amp;"|"&amp;H12,'秒级路线参数_可调整'!$A:$A,0)),"")</x:f>
        <x:v>累计秒（自动）</x:v>
      </x:c>
      <x:c r="L12" s="12"/>
      <x:c r="M12" s="12"/>
      <x:c r="N12" s="12" t="str">
        <x:f>IF(OR(L12="",M12=""),"",ROUND((M12-L12)*86400,0))</x:f>
      </x:c>
      <x:c r="O12" s="12" t="str">
        <x:f>IF(N12="","",N12/86400)</x:f>
      </x:c>
      <x:c r="P12" s="12"/>
      <x:c r="Q12" s="12"/>
      <x:c r="R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 t="str">
        <x:f>IFERROR(INDEX('秒级路线参数_可调整'!$O:$O,MATCH(E13&amp;"|"&amp;H13,'秒级路线参数_可调整'!$A:$A,0)),"")</x:f>
        <x:v>累计秒（自动）</x:v>
      </x:c>
      <x:c r="L13" s="12"/>
      <x:c r="M13" s="12"/>
      <x:c r="N13" s="12" t="str">
        <x:f>IF(OR(L13="",M13=""),"",ROUND((M13-L13)*86400,0))</x:f>
      </x:c>
      <x:c r="O13" s="12" t="str">
        <x:f>IF(N13="","",N13/86400)</x:f>
      </x:c>
      <x:c r="P13" s="12"/>
      <x:c r="Q13" s="12"/>
      <x:c r="R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 t="str">
        <x:f>IFERROR(INDEX('秒级路线参数_可调整'!$O:$O,MATCH(E14&amp;"|"&amp;H14,'秒级路线参数_可调整'!$A:$A,0)),"")</x:f>
        <x:v>累计秒（自动）</x:v>
      </x:c>
      <x:c r="L14" s="12"/>
      <x:c r="M14" s="12"/>
      <x:c r="N14" s="12" t="str">
        <x:f>IF(OR(L14="",M14=""),"",ROUND((M14-L14)*86400,0))</x:f>
      </x:c>
      <x:c r="O14" s="12" t="str">
        <x:f>IF(N14="","",N14/86400)</x:f>
      </x:c>
      <x:c r="P14" s="12"/>
      <x:c r="Q14" s="12"/>
      <x:c r="R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 t="str">
        <x:f>IFERROR(INDEX('秒级路线参数_可调整'!$O:$O,MATCH(E15&amp;"|"&amp;H15,'秒级路线参数_可调整'!$A:$A,0)),"")</x:f>
        <x:v>累计秒（自动）</x:v>
      </x:c>
      <x:c r="L15" s="12"/>
      <x:c r="M15" s="12"/>
      <x:c r="N15" s="12" t="str">
        <x:f>IF(OR(L15="",M15=""),"",ROUND((M15-L15)*86400,0))</x:f>
      </x:c>
      <x:c r="O15" s="12" t="str">
        <x:f>IF(N15="","",N15/86400)</x:f>
      </x:c>
      <x:c r="P15" s="12"/>
      <x:c r="Q15" s="12"/>
      <x:c r="R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 t="str">
        <x:f>IFERROR(INDEX('秒级路线参数_可调整'!$O:$O,MATCH(E16&amp;"|"&amp;H16,'秒级路线参数_可调整'!$A:$A,0)),"")</x:f>
        <x:v>累计秒（自动）</x:v>
      </x:c>
      <x:c r="L16" s="12"/>
      <x:c r="M16" s="12"/>
      <x:c r="N16" s="12" t="str">
        <x:f>IF(OR(L16="",M16=""),"",ROUND((M16-L16)*86400,0))</x:f>
      </x:c>
      <x:c r="O16" s="12" t="str">
        <x:f>IF(N16="","",N16/86400)</x:f>
      </x:c>
      <x:c r="P16" s="12"/>
      <x:c r="Q16" s="12"/>
      <x:c r="R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 t="str">
        <x:f>IFERROR(INDEX('秒级路线参数_可调整'!$O:$O,MATCH(E17&amp;"|"&amp;H17,'秒级路线参数_可调整'!$A:$A,0)),"")</x:f>
        <x:v>累计秒（自动）</x:v>
      </x:c>
      <x:c r="L17" s="12"/>
      <x:c r="M17" s="12"/>
      <x:c r="N17" s="12" t="str">
        <x:f>IF(OR(L17="",M17=""),"",ROUND((M17-L17)*86400,0))</x:f>
      </x:c>
      <x:c r="O17" s="12" t="str">
        <x:f>IF(N17="","",N17/86400)</x:f>
      </x:c>
      <x:c r="P17" s="12"/>
      <x:c r="Q17" s="12"/>
      <x:c r="R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 t="str">
        <x:f>IFERROR(INDEX('秒级路线参数_可调整'!$O:$O,MATCH(E18&amp;"|"&amp;H18,'秒级路线参数_可调整'!$A:$A,0)),"")</x:f>
        <x:v>累计秒（自动）</x:v>
      </x:c>
      <x:c r="L18" s="12"/>
      <x:c r="M18" s="12"/>
      <x:c r="N18" s="12" t="str">
        <x:f>IF(OR(L18="",M18=""),"",ROUND((M18-L18)*86400,0))</x:f>
      </x:c>
      <x:c r="O18" s="12" t="str">
        <x:f>IF(N18="","",N18/86400)</x:f>
      </x:c>
      <x:c r="P18" s="12"/>
      <x:c r="Q18" s="12"/>
      <x:c r="R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 t="str">
        <x:f>IFERROR(INDEX('秒级路线参数_可调整'!$O:$O,MATCH(E19&amp;"|"&amp;H19,'秒级路线参数_可调整'!$A:$A,0)),"")</x:f>
        <x:v>累计秒（自动）</x:v>
      </x:c>
      <x:c r="L19" s="12"/>
      <x:c r="M19" s="12"/>
      <x:c r="N19" s="12" t="str">
        <x:f>IF(OR(L19="",M19=""),"",ROUND((M19-L19)*86400,0))</x:f>
      </x:c>
      <x:c r="O19" s="12" t="str">
        <x:f>IF(N19="","",N19/86400)</x:f>
      </x:c>
      <x:c r="P19" s="12"/>
      <x:c r="Q19" s="12"/>
      <x:c r="R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 t="str">
        <x:f>IFERROR(INDEX('秒级路线参数_可调整'!$O:$O,MATCH(E20&amp;"|"&amp;H20,'秒级路线参数_可调整'!$A:$A,0)),"")</x:f>
        <x:v>累计秒（自动）</x:v>
      </x:c>
      <x:c r="L20" s="12"/>
      <x:c r="M20" s="12"/>
      <x:c r="N20" s="12" t="str">
        <x:f>IF(OR(L20="",M20=""),"",ROUND((M20-L20)*86400,0))</x:f>
      </x:c>
      <x:c r="O20" s="12" t="str">
        <x:f>IF(N20="","",N20/86400)</x:f>
      </x:c>
      <x:c r="P20" s="12"/>
      <x:c r="Q20" s="12"/>
      <x:c r="R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 t="str">
        <x:f>IFERROR(INDEX('秒级路线参数_可调整'!$O:$O,MATCH(E21&amp;"|"&amp;H21,'秒级路线参数_可调整'!$A:$A,0)),"")</x:f>
        <x:v>累计秒（自动）</x:v>
      </x:c>
      <x:c r="L21" s="12"/>
      <x:c r="M21" s="12"/>
      <x:c r="N21" s="12" t="str">
        <x:f>IF(OR(L21="",M21=""),"",ROUND((M21-L21)*86400,0))</x:f>
      </x:c>
      <x:c r="O21" s="12" t="str">
        <x:f>IF(N21="","",N21/86400)</x:f>
      </x:c>
      <x:c r="P21" s="12"/>
      <x:c r="Q21" s="12"/>
      <x:c r="R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 t="str">
        <x:f>IFERROR(INDEX('秒级路线参数_可调整'!$O:$O,MATCH(E22&amp;"|"&amp;H22,'秒级路线参数_可调整'!$A:$A,0)),"")</x:f>
        <x:v>累计秒（自动）</x:v>
      </x:c>
      <x:c r="L22" s="12"/>
      <x:c r="M22" s="12"/>
      <x:c r="N22" s="12" t="str">
        <x:f>IF(OR(L22="",M22=""),"",ROUND((M22-L22)*86400,0))</x:f>
      </x:c>
      <x:c r="O22" s="12" t="str">
        <x:f>IF(N22="","",N22/86400)</x:f>
      </x:c>
      <x:c r="P22" s="12"/>
      <x:c r="Q22" s="12"/>
      <x:c r="R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 t="str">
        <x:f>IFERROR(INDEX('秒级路线参数_可调整'!$O:$O,MATCH(E23&amp;"|"&amp;H23,'秒级路线参数_可调整'!$A:$A,0)),"")</x:f>
        <x:v>累计秒（自动）</x:v>
      </x:c>
      <x:c r="L23" s="12"/>
      <x:c r="M23" s="12"/>
      <x:c r="N23" s="12" t="str">
        <x:f>IF(OR(L23="",M23=""),"",ROUND((M23-L23)*86400,0))</x:f>
      </x:c>
      <x:c r="O23" s="12" t="str">
        <x:f>IF(N23="","",N23/86400)</x:f>
      </x:c>
      <x:c r="P23" s="12"/>
      <x:c r="Q23" s="12"/>
      <x:c r="R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 t="str">
        <x:f>IFERROR(INDEX('秒级路线参数_可调整'!$O:$O,MATCH(E24&amp;"|"&amp;H24,'秒级路线参数_可调整'!$A:$A,0)),"")</x:f>
        <x:v>累计秒（自动）</x:v>
      </x:c>
      <x:c r="L24" s="12"/>
      <x:c r="M24" s="12"/>
      <x:c r="N24" s="12" t="str">
        <x:f>IF(OR(L24="",M24=""),"",ROUND((M24-L24)*86400,0))</x:f>
      </x:c>
      <x:c r="O24" s="12" t="str">
        <x:f>IF(N24="","",N24/86400)</x:f>
      </x:c>
      <x:c r="P24" s="12"/>
      <x:c r="Q24" s="12"/>
      <x:c r="R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 t="str">
        <x:f>IFERROR(INDEX('秒级路线参数_可调整'!$O:$O,MATCH(E25&amp;"|"&amp;H25,'秒级路线参数_可调整'!$A:$A,0)),"")</x:f>
        <x:v>累计秒（自动）</x:v>
      </x:c>
      <x:c r="L25" s="12"/>
      <x:c r="M25" s="12"/>
      <x:c r="N25" s="12" t="str">
        <x:f>IF(OR(L25="",M25=""),"",ROUND((M25-L25)*86400,0))</x:f>
      </x:c>
      <x:c r="O25" s="12" t="str">
        <x:f>IF(N25="","",N25/86400)</x:f>
      </x:c>
      <x:c r="P25" s="12"/>
      <x:c r="Q25" s="12"/>
      <x:c r="R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 t="str">
        <x:f>IFERROR(INDEX('秒级路线参数_可调整'!$O:$O,MATCH(E26&amp;"|"&amp;H26,'秒级路线参数_可调整'!$A:$A,0)),"")</x:f>
        <x:v>累计秒（自动）</x:v>
      </x:c>
      <x:c r="L26" s="12"/>
      <x:c r="M26" s="12"/>
      <x:c r="N26" s="12" t="str">
        <x:f>IF(OR(L26="",M26=""),"",ROUND((M26-L26)*86400,0))</x:f>
      </x:c>
      <x:c r="O26" s="12" t="str">
        <x:f>IF(N26="","",N26/86400)</x:f>
      </x:c>
      <x:c r="P26" s="12"/>
      <x:c r="Q26" s="12"/>
      <x:c r="R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 t="str">
        <x:f>IFERROR(INDEX('秒级路线参数_可调整'!$O:$O,MATCH(E27&amp;"|"&amp;H27,'秒级路线参数_可调整'!$A:$A,0)),"")</x:f>
        <x:v>累计秒（自动）</x:v>
      </x:c>
      <x:c r="L27" s="12"/>
      <x:c r="M27" s="12"/>
      <x:c r="N27" s="12" t="str">
        <x:f>IF(OR(L27="",M27=""),"",ROUND((M27-L27)*86400,0))</x:f>
      </x:c>
      <x:c r="O27" s="12" t="str">
        <x:f>IF(N27="","",N27/86400)</x:f>
      </x:c>
      <x:c r="P27" s="12"/>
      <x:c r="Q27" s="12"/>
      <x:c r="R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 t="str">
        <x:f>IFERROR(INDEX('秒级路线参数_可调整'!$O:$O,MATCH(E28&amp;"|"&amp;H28,'秒级路线参数_可调整'!$A:$A,0)),"")</x:f>
        <x:v>累计秒（自动）</x:v>
      </x:c>
      <x:c r="L28" s="12"/>
      <x:c r="M28" s="12"/>
      <x:c r="N28" s="12" t="str">
        <x:f>IF(OR(L28="",M28=""),"",ROUND((M28-L28)*86400,0))</x:f>
      </x:c>
      <x:c r="O28" s="12" t="str">
        <x:f>IF(N28="","",N28/86400)</x:f>
      </x:c>
      <x:c r="P28" s="12"/>
      <x:c r="Q28" s="12"/>
      <x:c r="R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 t="str">
        <x:f>IFERROR(INDEX('秒级路线参数_可调整'!$O:$O,MATCH(E29&amp;"|"&amp;H29,'秒级路线参数_可调整'!$A:$A,0)),"")</x:f>
        <x:v>累计秒（自动）</x:v>
      </x:c>
      <x:c r="L29" s="12"/>
      <x:c r="M29" s="12"/>
      <x:c r="N29" s="12" t="str">
        <x:f>IF(OR(L29="",M29=""),"",ROUND((M29-L29)*86400,0))</x:f>
      </x:c>
      <x:c r="O29" s="12" t="str">
        <x:f>IF(N29="","",N29/86400)</x:f>
      </x:c>
      <x:c r="P29" s="12"/>
      <x:c r="Q29" s="12"/>
      <x:c r="R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 t="str">
        <x:f>IFERROR(INDEX('秒级路线参数_可调整'!$O:$O,MATCH(E30&amp;"|"&amp;H30,'秒级路线参数_可调整'!$A:$A,0)),"")</x:f>
        <x:v>累计秒（自动）</x:v>
      </x:c>
      <x:c r="L30" s="12"/>
      <x:c r="M30" s="12"/>
      <x:c r="N30" s="12" t="str">
        <x:f>IF(OR(L30="",M30=""),"",ROUND((M30-L30)*86400,0))</x:f>
      </x:c>
      <x:c r="O30" s="12" t="str">
        <x:f>IF(N30="","",N30/86400)</x:f>
      </x:c>
      <x:c r="P30" s="12"/>
      <x:c r="Q30" s="12"/>
      <x:c r="R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 t="str">
        <x:f>IFERROR(INDEX('秒级路线参数_可调整'!$O:$O,MATCH(E31&amp;"|"&amp;H31,'秒级路线参数_可调整'!$A:$A,0)),"")</x:f>
        <x:v>累计秒（自动）</x:v>
      </x:c>
      <x:c r="L31" s="12"/>
      <x:c r="M31" s="12"/>
      <x:c r="N31" s="12" t="str">
        <x:f>IF(OR(L31="",M31=""),"",ROUND((M31-L31)*86400,0))</x:f>
      </x:c>
      <x:c r="O31" s="12" t="str">
        <x:f>IF(N31="","",N31/86400)</x:f>
      </x:c>
      <x:c r="P31" s="12"/>
      <x:c r="Q31" s="12"/>
      <x:c r="R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 t="str">
        <x:f>IFERROR(INDEX('秒级路线参数_可调整'!$O:$O,MATCH(E32&amp;"|"&amp;H32,'秒级路线参数_可调整'!$A:$A,0)),"")</x:f>
        <x:v>累计秒（自动）</x:v>
      </x:c>
      <x:c r="L32" s="12"/>
      <x:c r="M32" s="12"/>
      <x:c r="N32" s="12" t="str">
        <x:f>IF(OR(L32="",M32=""),"",ROUND((M32-L32)*86400,0))</x:f>
      </x:c>
      <x:c r="O32" s="12" t="str">
        <x:f>IF(N32="","",N32/86400)</x:f>
      </x:c>
      <x:c r="P32" s="12"/>
      <x:c r="Q32" s="12"/>
      <x:c r="R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 t="str">
        <x:f>IFERROR(INDEX('秒级路线参数_可调整'!$O:$O,MATCH(E33&amp;"|"&amp;H33,'秒级路线参数_可调整'!$A:$A,0)),"")</x:f>
        <x:v>累计秒（自动）</x:v>
      </x:c>
      <x:c r="L33" s="12"/>
      <x:c r="M33" s="12"/>
      <x:c r="N33" s="12" t="str">
        <x:f>IF(OR(L33="",M33=""),"",ROUND((M33-L33)*86400,0))</x:f>
      </x:c>
      <x:c r="O33" s="12" t="str">
        <x:f>IF(N33="","",N33/86400)</x:f>
      </x:c>
      <x:c r="P33" s="12"/>
      <x:c r="Q33" s="12"/>
      <x:c r="R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 t="str">
        <x:f>IFERROR(INDEX('秒级路线参数_可调整'!$O:$O,MATCH(E34&amp;"|"&amp;H34,'秒级路线参数_可调整'!$A:$A,0)),"")</x:f>
        <x:v>累计秒（自动）</x:v>
      </x:c>
      <x:c r="L34" s="12"/>
      <x:c r="M34" s="12"/>
      <x:c r="N34" s="12" t="str">
        <x:f>IF(OR(L34="",M34=""),"",ROUND((M34-L34)*86400,0))</x:f>
      </x:c>
      <x:c r="O34" s="12" t="str">
        <x:f>IF(N34="","",N34/86400)</x:f>
      </x:c>
      <x:c r="P34" s="12"/>
      <x:c r="Q34" s="12"/>
      <x:c r="R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 t="str">
        <x:f>IFERROR(INDEX('秒级路线参数_可调整'!$O:$O,MATCH(E35&amp;"|"&amp;H35,'秒级路线参数_可调整'!$A:$A,0)),"")</x:f>
        <x:v>累计秒（自动）</x:v>
      </x:c>
      <x:c r="L35" s="12"/>
      <x:c r="M35" s="12"/>
      <x:c r="N35" s="12" t="str">
        <x:f>IF(OR(L35="",M35=""),"",ROUND((M35-L35)*86400,0))</x:f>
      </x:c>
      <x:c r="O35" s="12" t="str">
        <x:f>IF(N35="","",N35/86400)</x:f>
      </x:c>
      <x:c r="P35" s="12"/>
      <x:c r="Q35" s="12"/>
      <x:c r="R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 t="str">
        <x:f>IFERROR(INDEX('秒级路线参数_可调整'!$O:$O,MATCH(E36&amp;"|"&amp;H36,'秒级路线参数_可调整'!$A:$A,0)),"")</x:f>
        <x:v>累计秒（自动）</x:v>
      </x:c>
      <x:c r="L36" s="12"/>
      <x:c r="M36" s="12"/>
      <x:c r="N36" s="12" t="str">
        <x:f>IF(OR(L36="",M36=""),"",ROUND((M36-L36)*86400,0))</x:f>
      </x:c>
      <x:c r="O36" s="12" t="str">
        <x:f>IF(N36="","",N36/86400)</x:f>
      </x:c>
      <x:c r="P36" s="12"/>
      <x:c r="Q36" s="12"/>
      <x:c r="R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 t="str">
        <x:f>IFERROR(INDEX('秒级路线参数_可调整'!$O:$O,MATCH(E37&amp;"|"&amp;H37,'秒级路线参数_可调整'!$A:$A,0)),"")</x:f>
        <x:v>累计秒（自动）</x:v>
      </x:c>
      <x:c r="L37" s="12"/>
      <x:c r="M37" s="12"/>
      <x:c r="N37" s="12" t="str">
        <x:f>IF(OR(L37="",M37=""),"",ROUND((M37-L37)*86400,0))</x:f>
      </x:c>
      <x:c r="O37" s="12" t="str">
        <x:f>IF(N37="","",N37/86400)</x:f>
      </x:c>
      <x:c r="P37" s="12"/>
      <x:c r="Q37" s="12"/>
      <x:c r="R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 t="str">
        <x:f>IFERROR(INDEX('秒级路线参数_可调整'!$O:$O,MATCH(E38&amp;"|"&amp;H38,'秒级路线参数_可调整'!$A:$A,0)),"")</x:f>
        <x:v>累计秒（自动）</x:v>
      </x:c>
      <x:c r="L38" s="12"/>
      <x:c r="M38" s="12"/>
      <x:c r="N38" s="12" t="str">
        <x:f>IF(OR(L38="",M38=""),"",ROUND((M38-L38)*86400,0))</x:f>
      </x:c>
      <x:c r="O38" s="12" t="str">
        <x:f>IF(N38="","",N38/86400)</x:f>
      </x:c>
      <x:c r="P38" s="12"/>
      <x:c r="Q38" s="12"/>
      <x:c r="R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 t="str">
        <x:f>IFERROR(INDEX('秒级路线参数_可调整'!$O:$O,MATCH(E39&amp;"|"&amp;H39,'秒级路线参数_可调整'!$A:$A,0)),"")</x:f>
        <x:v>累计秒（自动）</x:v>
      </x:c>
      <x:c r="L39" s="12"/>
      <x:c r="M39" s="12"/>
      <x:c r="N39" s="12" t="str">
        <x:f>IF(OR(L39="",M39=""),"",ROUND((M39-L39)*86400,0))</x:f>
      </x:c>
      <x:c r="O39" s="12" t="str">
        <x:f>IF(N39="","",N39/86400)</x:f>
      </x:c>
      <x:c r="P39" s="12"/>
      <x:c r="Q39" s="12"/>
      <x:c r="R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 t="str">
        <x:f>IFERROR(INDEX('秒级路线参数_可调整'!$O:$O,MATCH(E40&amp;"|"&amp;H40,'秒级路线参数_可调整'!$A:$A,0)),"")</x:f>
        <x:v>累计秒（自动）</x:v>
      </x:c>
      <x:c r="L40" s="12"/>
      <x:c r="M40" s="12"/>
      <x:c r="N40" s="12" t="str">
        <x:f>IF(OR(L40="",M40=""),"",ROUND((M40-L40)*86400,0))</x:f>
      </x:c>
      <x:c r="O40" s="12" t="str">
        <x:f>IF(N40="","",N40/86400)</x:f>
      </x:c>
      <x:c r="P40" s="12"/>
      <x:c r="Q40" s="12"/>
      <x:c r="R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 t="str">
        <x:f>IFERROR(INDEX('秒级路线参数_可调整'!$O:$O,MATCH(E41&amp;"|"&amp;H41,'秒级路线参数_可调整'!$A:$A,0)),"")</x:f>
        <x:v>累计秒（自动）</x:v>
      </x:c>
      <x:c r="L41" s="12"/>
      <x:c r="M41" s="12"/>
      <x:c r="N41" s="12" t="str">
        <x:f>IF(OR(L41="",M41=""),"",ROUND((M41-L41)*86400,0))</x:f>
      </x:c>
      <x:c r="O41" s="12" t="str">
        <x:f>IF(N41="","",N41/86400)</x:f>
      </x:c>
      <x:c r="P41" s="12"/>
      <x:c r="Q41" s="12"/>
      <x:c r="R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 t="str">
        <x:f>IFERROR(INDEX('秒级路线参数_可调整'!$O:$O,MATCH(E42&amp;"|"&amp;H42,'秒级路线参数_可调整'!$A:$A,0)),"")</x:f>
        <x:v>累计秒（自动）</x:v>
      </x:c>
      <x:c r="L42" s="12"/>
      <x:c r="M42" s="12"/>
      <x:c r="N42" s="12" t="str">
        <x:f>IF(OR(L42="",M42=""),"",ROUND((M42-L42)*86400,0))</x:f>
      </x:c>
      <x:c r="O42" s="12" t="str">
        <x:f>IF(N42="","",N42/86400)</x:f>
      </x:c>
      <x:c r="P42" s="12"/>
      <x:c r="Q42" s="12"/>
      <x:c r="R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 t="str">
        <x:f>IFERROR(INDEX('秒级路线参数_可调整'!$O:$O,MATCH(E43&amp;"|"&amp;H43,'秒级路线参数_可调整'!$A:$A,0)),"")</x:f>
        <x:v>累计秒（自动）</x:v>
      </x:c>
      <x:c r="L43" s="12"/>
      <x:c r="M43" s="12"/>
      <x:c r="N43" s="12" t="str">
        <x:f>IF(OR(L43="",M43=""),"",ROUND((M43-L43)*86400,0))</x:f>
      </x:c>
      <x:c r="O43" s="12" t="str">
        <x:f>IF(N43="","",N43/86400)</x:f>
      </x:c>
      <x:c r="P43" s="12"/>
      <x:c r="Q43" s="12"/>
      <x:c r="R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 t="str">
        <x:f>IFERROR(INDEX('秒级路线参数_可调整'!$O:$O,MATCH(E44&amp;"|"&amp;H44,'秒级路线参数_可调整'!$A:$A,0)),"")</x:f>
        <x:v>累计秒（自动）</x:v>
      </x:c>
      <x:c r="L44" s="12"/>
      <x:c r="M44" s="12"/>
      <x:c r="N44" s="12" t="str">
        <x:f>IF(OR(L44="",M44=""),"",ROUND((M44-L44)*86400,0))</x:f>
      </x:c>
      <x:c r="O44" s="12" t="str">
        <x:f>IF(N44="","",N44/86400)</x:f>
      </x:c>
      <x:c r="P44" s="12"/>
      <x:c r="Q44" s="12"/>
      <x:c r="R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 t="str">
        <x:f>IFERROR(INDEX('秒级路线参数_可调整'!$O:$O,MATCH(E45&amp;"|"&amp;H45,'秒级路线参数_可调整'!$A:$A,0)),"")</x:f>
        <x:v>累计秒（自动）</x:v>
      </x:c>
      <x:c r="L45" s="12"/>
      <x:c r="M45" s="12"/>
      <x:c r="N45" s="12" t="str">
        <x:f>IF(OR(L45="",M45=""),"",ROUND((M45-L45)*86400,0))</x:f>
      </x:c>
      <x:c r="O45" s="12" t="str">
        <x:f>IF(N45="","",N45/86400)</x:f>
      </x:c>
      <x:c r="P45" s="12"/>
      <x:c r="Q45" s="12"/>
      <x:c r="R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 t="str">
        <x:f>IFERROR(INDEX('秒级路线参数_可调整'!$O:$O,MATCH(E46&amp;"|"&amp;H46,'秒级路线参数_可调整'!$A:$A,0)),"")</x:f>
        <x:v>累计秒（自动）</x:v>
      </x:c>
      <x:c r="L46" s="12"/>
      <x:c r="M46" s="12"/>
      <x:c r="N46" s="12" t="str">
        <x:f>IF(OR(L46="",M46=""),"",ROUND((M46-L46)*86400,0))</x:f>
      </x:c>
      <x:c r="O46" s="12" t="str">
        <x:f>IF(N46="","",N46/86400)</x:f>
      </x:c>
      <x:c r="P46" s="12"/>
      <x:c r="Q46" s="12"/>
      <x:c r="R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 t="str">
        <x:f>IFERROR(INDEX('秒级路线参数_可调整'!$O:$O,MATCH(E47&amp;"|"&amp;H47,'秒级路线参数_可调整'!$A:$A,0)),"")</x:f>
        <x:v>累计秒（自动）</x:v>
      </x:c>
      <x:c r="L47" s="12"/>
      <x:c r="M47" s="12"/>
      <x:c r="N47" s="12" t="str">
        <x:f>IF(OR(L47="",M47=""),"",ROUND((M47-L47)*86400,0))</x:f>
      </x:c>
      <x:c r="O47" s="12" t="str">
        <x:f>IF(N47="","",N47/86400)</x:f>
      </x:c>
      <x:c r="P47" s="12"/>
      <x:c r="Q47" s="12"/>
      <x:c r="R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 t="str">
        <x:f>IFERROR(INDEX('秒级路线参数_可调整'!$O:$O,MATCH(E48&amp;"|"&amp;H48,'秒级路线参数_可调整'!$A:$A,0)),"")</x:f>
        <x:v>累计秒（自动）</x:v>
      </x:c>
      <x:c r="L48" s="12"/>
      <x:c r="M48" s="12"/>
      <x:c r="N48" s="12" t="str">
        <x:f>IF(OR(L48="",M48=""),"",ROUND((M48-L48)*86400,0))</x:f>
      </x:c>
      <x:c r="O48" s="12" t="str">
        <x:f>IF(N48="","",N48/86400)</x:f>
      </x:c>
      <x:c r="P48" s="12"/>
      <x:c r="Q48" s="12"/>
      <x:c r="R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 t="str">
        <x:f>IFERROR(INDEX('秒级路线参数_可调整'!$O:$O,MATCH(E49&amp;"|"&amp;H49,'秒级路线参数_可调整'!$A:$A,0)),"")</x:f>
        <x:v>累计秒（自动）</x:v>
      </x:c>
      <x:c r="L49" s="12"/>
      <x:c r="M49" s="12"/>
      <x:c r="N49" s="12" t="str">
        <x:f>IF(OR(L49="",M49=""),"",ROUND((M49-L49)*86400,0))</x:f>
      </x:c>
      <x:c r="O49" s="12" t="str">
        <x:f>IF(N49="","",N49/86400)</x:f>
      </x:c>
      <x:c r="P49" s="12"/>
      <x:c r="Q49" s="12"/>
      <x:c r="R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 t="str">
        <x:f>IFERROR(INDEX('秒级路线参数_可调整'!$O:$O,MATCH(E50&amp;"|"&amp;H50,'秒级路线参数_可调整'!$A:$A,0)),"")</x:f>
        <x:v>累计秒（自动）</x:v>
      </x:c>
      <x:c r="L50" s="12"/>
      <x:c r="M50" s="12"/>
      <x:c r="N50" s="12" t="str">
        <x:f>IF(OR(L50="",M50=""),"",ROUND((M50-L50)*86400,0))</x:f>
      </x:c>
      <x:c r="O50" s="12" t="str">
        <x:f>IF(N50="","",N50/86400)</x:f>
      </x:c>
      <x:c r="P50" s="12"/>
      <x:c r="Q50" s="12"/>
      <x:c r="R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 t="str">
        <x:f>IFERROR(INDEX('秒级路线参数_可调整'!$O:$O,MATCH(E51&amp;"|"&amp;H51,'秒级路线参数_可调整'!$A:$A,0)),"")</x:f>
        <x:v>累计秒（自动）</x:v>
      </x:c>
      <x:c r="L51" s="12"/>
      <x:c r="M51" s="12"/>
      <x:c r="N51" s="12" t="str">
        <x:f>IF(OR(L51="",M51=""),"",ROUND((M51-L51)*86400,0))</x:f>
      </x:c>
      <x:c r="O51" s="12" t="str">
        <x:f>IF(N51="","",N51/86400)</x:f>
      </x:c>
      <x:c r="P51" s="12"/>
      <x:c r="Q51" s="12"/>
      <x:c r="R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 t="str">
        <x:f>IFERROR(INDEX('秒级路线参数_可调整'!$O:$O,MATCH(E52&amp;"|"&amp;H52,'秒级路线参数_可调整'!$A:$A,0)),"")</x:f>
        <x:v>累计秒（自动）</x:v>
      </x:c>
      <x:c r="L52" s="12"/>
      <x:c r="M52" s="12"/>
      <x:c r="N52" s="12" t="str">
        <x:f>IF(OR(L52="",M52=""),"",ROUND((M52-L52)*86400,0))</x:f>
      </x:c>
      <x:c r="O52" s="12" t="str">
        <x:f>IF(N52="","",N52/86400)</x:f>
      </x:c>
      <x:c r="P52" s="12"/>
      <x:c r="Q52" s="12"/>
      <x:c r="R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 t="str">
        <x:f>IFERROR(INDEX('秒级路线参数_可调整'!$O:$O,MATCH(E53&amp;"|"&amp;H53,'秒级路线参数_可调整'!$A:$A,0)),"")</x:f>
        <x:v>累计秒（自动）</x:v>
      </x:c>
      <x:c r="L53" s="12"/>
      <x:c r="M53" s="12"/>
      <x:c r="N53" s="12" t="str">
        <x:f>IF(OR(L53="",M53=""),"",ROUND((M53-L53)*86400,0))</x:f>
      </x:c>
      <x:c r="O53" s="12" t="str">
        <x:f>IF(N53="","",N53/86400)</x:f>
      </x:c>
      <x:c r="P53" s="12"/>
      <x:c r="Q53" s="12"/>
      <x:c r="R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 t="str">
        <x:f>IFERROR(INDEX('秒级路线参数_可调整'!$O:$O,MATCH(E54&amp;"|"&amp;H54,'秒级路线参数_可调整'!$A:$A,0)),"")</x:f>
        <x:v>累计秒（自动）</x:v>
      </x:c>
      <x:c r="L54" s="12"/>
      <x:c r="M54" s="12"/>
      <x:c r="N54" s="12" t="str">
        <x:f>IF(OR(L54="",M54=""),"",ROUND((M54-L54)*86400,0))</x:f>
      </x:c>
      <x:c r="O54" s="12" t="str">
        <x:f>IF(N54="","",N54/86400)</x:f>
      </x:c>
      <x:c r="P54" s="12"/>
      <x:c r="Q54" s="12"/>
      <x:c r="R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 t="str">
        <x:f>IFERROR(INDEX('秒级路线参数_可调整'!$O:$O,MATCH(E55&amp;"|"&amp;H55,'秒级路线参数_可调整'!$A:$A,0)),"")</x:f>
        <x:v>累计秒（自动）</x:v>
      </x:c>
      <x:c r="L55" s="12"/>
      <x:c r="M55" s="12"/>
      <x:c r="N55" s="12" t="str">
        <x:f>IF(OR(L55="",M55=""),"",ROUND((M55-L55)*86400,0))</x:f>
      </x:c>
      <x:c r="O55" s="12" t="str">
        <x:f>IF(N55="","",N55/86400)</x:f>
      </x:c>
      <x:c r="P55" s="12"/>
      <x:c r="Q55" s="12"/>
      <x:c r="R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 t="str">
        <x:f>IFERROR(INDEX('秒级路线参数_可调整'!$O:$O,MATCH(E56&amp;"|"&amp;H56,'秒级路线参数_可调整'!$A:$A,0)),"")</x:f>
        <x:v>累计秒（自动）</x:v>
      </x:c>
      <x:c r="L56" s="12"/>
      <x:c r="M56" s="12"/>
      <x:c r="N56" s="12" t="str">
        <x:f>IF(OR(L56="",M56=""),"",ROUND((M56-L56)*86400,0))</x:f>
      </x:c>
      <x:c r="O56" s="12" t="str">
        <x:f>IF(N56="","",N56/86400)</x:f>
      </x:c>
      <x:c r="P56" s="12"/>
      <x:c r="Q56" s="12"/>
      <x:c r="R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 t="str">
        <x:f>IFERROR(INDEX('秒级路线参数_可调整'!$O:$O,MATCH(E57&amp;"|"&amp;H57,'秒级路线参数_可调整'!$A:$A,0)),"")</x:f>
        <x:v>累计秒（自动）</x:v>
      </x:c>
      <x:c r="L57" s="12"/>
      <x:c r="M57" s="12"/>
      <x:c r="N57" s="12" t="str">
        <x:f>IF(OR(L57="",M57=""),"",ROUND((M57-L57)*86400,0))</x:f>
      </x:c>
      <x:c r="O57" s="12" t="str">
        <x:f>IF(N57="","",N57/86400)</x:f>
      </x:c>
      <x:c r="P57" s="12"/>
      <x:c r="Q57" s="12"/>
      <x:c r="R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 t="str">
        <x:f>IFERROR(INDEX('秒级路线参数_可调整'!$O:$O,MATCH(E58&amp;"|"&amp;H58,'秒级路线参数_可调整'!$A:$A,0)),"")</x:f>
        <x:v>累计秒（自动）</x:v>
      </x:c>
      <x:c r="L58" s="12"/>
      <x:c r="M58" s="12"/>
      <x:c r="N58" s="12" t="str">
        <x:f>IF(OR(L58="",M58=""),"",ROUND((M58-L58)*86400,0))</x:f>
      </x:c>
      <x:c r="O58" s="12" t="str">
        <x:f>IF(N58="","",N58/86400)</x:f>
      </x:c>
      <x:c r="P58" s="12"/>
      <x:c r="Q58" s="12"/>
      <x:c r="R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 t="str">
        <x:f>IFERROR(INDEX('秒级路线参数_可调整'!$O:$O,MATCH(E59&amp;"|"&amp;H59,'秒级路线参数_可调整'!$A:$A,0)),"")</x:f>
        <x:v>累计秒（自动）</x:v>
      </x:c>
      <x:c r="L59" s="12"/>
      <x:c r="M59" s="12"/>
      <x:c r="N59" s="12" t="str">
        <x:f>IF(OR(L59="",M59=""),"",ROUND((M59-L59)*86400,0))</x:f>
      </x:c>
      <x:c r="O59" s="12" t="str">
        <x:f>IF(N59="","",N59/86400)</x:f>
      </x:c>
      <x:c r="P59" s="12"/>
      <x:c r="Q59" s="12"/>
      <x:c r="R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 t="str">
        <x:f>IFERROR(INDEX('秒级路线参数_可调整'!$O:$O,MATCH(E60&amp;"|"&amp;H60,'秒级路线参数_可调整'!$A:$A,0)),"")</x:f>
        <x:v>累计秒（自动）</x:v>
      </x:c>
      <x:c r="L60" s="12"/>
      <x:c r="M60" s="12"/>
      <x:c r="N60" s="12" t="str">
        <x:f>IF(OR(L60="",M60=""),"",ROUND((M60-L60)*86400,0))</x:f>
      </x:c>
      <x:c r="O60" s="12" t="str">
        <x:f>IF(N60="","",N60/86400)</x:f>
      </x:c>
      <x:c r="P60" s="12"/>
      <x:c r="Q60" s="12"/>
      <x:c r="R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 t="str">
        <x:f>IFERROR(INDEX('秒级路线参数_可调整'!$O:$O,MATCH(E61&amp;"|"&amp;H61,'秒级路线参数_可调整'!$A:$A,0)),"")</x:f>
        <x:v>累计秒（自动）</x:v>
      </x:c>
      <x:c r="L61" s="12"/>
      <x:c r="M61" s="12"/>
      <x:c r="N61" s="12" t="str">
        <x:f>IF(OR(L61="",M61=""),"",ROUND((M61-L61)*86400,0))</x:f>
      </x:c>
      <x:c r="O61" s="12" t="str">
        <x:f>IF(N61="","",N61/86400)</x:f>
      </x:c>
      <x:c r="P61" s="12"/>
      <x:c r="Q61" s="12"/>
      <x:c r="R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 t="str">
        <x:f>IFERROR(INDEX('秒级路线参数_可调整'!$O:$O,MATCH(E62&amp;"|"&amp;H62,'秒级路线参数_可调整'!$A:$A,0)),"")</x:f>
        <x:v>累计秒（自动）</x:v>
      </x:c>
      <x:c r="L62" s="12"/>
      <x:c r="M62" s="12"/>
      <x:c r="N62" s="12" t="str">
        <x:f>IF(OR(L62="",M62=""),"",ROUND((M62-L62)*86400,0))</x:f>
      </x:c>
      <x:c r="O62" s="12" t="str">
        <x:f>IF(N62="","",N62/86400)</x:f>
      </x:c>
      <x:c r="P62" s="12"/>
      <x:c r="Q62" s="12"/>
      <x:c r="R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 t="str">
        <x:f>IFERROR(INDEX('秒级路线参数_可调整'!$O:$O,MATCH(E63&amp;"|"&amp;H63,'秒级路线参数_可调整'!$A:$A,0)),"")</x:f>
        <x:v>累计秒（自动）</x:v>
      </x:c>
      <x:c r="L63" s="12"/>
      <x:c r="M63" s="12"/>
      <x:c r="N63" s="12" t="str">
        <x:f>IF(OR(L63="",M63=""),"",ROUND((M63-L63)*86400,0))</x:f>
      </x:c>
      <x:c r="O63" s="12" t="str">
        <x:f>IF(N63="","",N63/86400)</x:f>
      </x:c>
      <x:c r="P63" s="12"/>
      <x:c r="Q63" s="12"/>
      <x:c r="R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 t="str">
        <x:f>IFERROR(INDEX('秒级路线参数_可调整'!$O:$O,MATCH(E64&amp;"|"&amp;H64,'秒级路线参数_可调整'!$A:$A,0)),"")</x:f>
        <x:v>累计秒（自动）</x:v>
      </x:c>
      <x:c r="L64" s="12"/>
      <x:c r="M64" s="12"/>
      <x:c r="N64" s="12" t="str">
        <x:f>IF(OR(L64="",M64=""),"",ROUND((M64-L64)*86400,0))</x:f>
      </x:c>
      <x:c r="O64" s="12" t="str">
        <x:f>IF(N64="","",N64/86400)</x:f>
      </x:c>
      <x:c r="P64" s="12"/>
      <x:c r="Q64" s="12"/>
      <x:c r="R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 t="str">
        <x:f>IFERROR(INDEX('秒级路线参数_可调整'!$O:$O,MATCH(E65&amp;"|"&amp;H65,'秒级路线参数_可调整'!$A:$A,0)),"")</x:f>
        <x:v>累计秒（自动）</x:v>
      </x:c>
      <x:c r="L65" s="12"/>
      <x:c r="M65" s="12"/>
      <x:c r="N65" s="12" t="str">
        <x:f>IF(OR(L65="",M65=""),"",ROUND((M65-L65)*86400,0))</x:f>
      </x:c>
      <x:c r="O65" s="12" t="str">
        <x:f>IF(N65="","",N65/86400)</x:f>
      </x:c>
      <x:c r="P65" s="12"/>
      <x:c r="Q65" s="12"/>
      <x:c r="R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 t="str">
        <x:f>IFERROR(INDEX('秒级路线参数_可调整'!$O:$O,MATCH(E66&amp;"|"&amp;H66,'秒级路线参数_可调整'!$A:$A,0)),"")</x:f>
        <x:v>累计秒（自动）</x:v>
      </x:c>
      <x:c r="L66" s="12"/>
      <x:c r="M66" s="12"/>
      <x:c r="N66" s="12" t="str">
        <x:f>IF(OR(L66="",M66=""),"",ROUND((M66-L66)*86400,0))</x:f>
      </x:c>
      <x:c r="O66" s="12" t="str">
        <x:f>IF(N66="","",N66/86400)</x:f>
      </x:c>
      <x:c r="P66" s="12"/>
      <x:c r="Q66" s="12"/>
      <x:c r="R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 t="str">
        <x:f>IFERROR(INDEX('秒级路线参数_可调整'!$O:$O,MATCH(E67&amp;"|"&amp;H67,'秒级路线参数_可调整'!$A:$A,0)),"")</x:f>
        <x:v>累计秒（自动）</x:v>
      </x:c>
      <x:c r="L67" s="12"/>
      <x:c r="M67" s="12"/>
      <x:c r="N67" s="12" t="str">
        <x:f>IF(OR(L67="",M67=""),"",ROUND((M67-L67)*86400,0))</x:f>
      </x:c>
      <x:c r="O67" s="12" t="str">
        <x:f>IF(N67="","",N67/86400)</x:f>
      </x:c>
      <x:c r="P67" s="12"/>
      <x:c r="Q67" s="12"/>
      <x:c r="R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 t="str">
        <x:f>IFERROR(INDEX('秒级路线参数_可调整'!$O:$O,MATCH(E68&amp;"|"&amp;H68,'秒级路线参数_可调整'!$A:$A,0)),"")</x:f>
        <x:v>累计秒（自动）</x:v>
      </x:c>
      <x:c r="L68" s="12"/>
      <x:c r="M68" s="12"/>
      <x:c r="N68" s="12" t="str">
        <x:f>IF(OR(L68="",M68=""),"",ROUND((M68-L68)*86400,0))</x:f>
      </x:c>
      <x:c r="O68" s="12" t="str">
        <x:f>IF(N68="","",N68/86400)</x:f>
      </x:c>
      <x:c r="P68" s="12"/>
      <x:c r="Q68" s="12"/>
      <x:c r="R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 t="str">
        <x:f>IFERROR(INDEX('秒级路线参数_可调整'!$O:$O,MATCH(E69&amp;"|"&amp;H69,'秒级路线参数_可调整'!$A:$A,0)),"")</x:f>
        <x:v>累计秒（自动）</x:v>
      </x:c>
      <x:c r="L69" s="12"/>
      <x:c r="M69" s="12"/>
      <x:c r="N69" s="12" t="str">
        <x:f>IF(OR(L69="",M69=""),"",ROUND((M69-L69)*86400,0))</x:f>
      </x:c>
      <x:c r="O69" s="12" t="str">
        <x:f>IF(N69="","",N69/86400)</x:f>
      </x:c>
      <x:c r="P69" s="12"/>
      <x:c r="Q69" s="12"/>
      <x:c r="R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 t="str">
        <x:f>IFERROR(INDEX('秒级路线参数_可调整'!$O:$O,MATCH(E70&amp;"|"&amp;H70,'秒级路线参数_可调整'!$A:$A,0)),"")</x:f>
        <x:v>累计秒（自动）</x:v>
      </x:c>
      <x:c r="L70" s="12"/>
      <x:c r="M70" s="12"/>
      <x:c r="N70" s="12" t="str">
        <x:f>IF(OR(L70="",M70=""),"",ROUND((M70-L70)*86400,0))</x:f>
      </x:c>
      <x:c r="O70" s="12" t="str">
        <x:f>IF(N70="","",N70/86400)</x:f>
      </x:c>
      <x:c r="P70" s="12"/>
      <x:c r="Q70" s="12"/>
      <x:c r="R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 t="str">
        <x:f>IFERROR(INDEX('秒级路线参数_可调整'!$O:$O,MATCH(E71&amp;"|"&amp;H71,'秒级路线参数_可调整'!$A:$A,0)),"")</x:f>
        <x:v>累计秒（自动）</x:v>
      </x:c>
      <x:c r="L71" s="12"/>
      <x:c r="M71" s="12"/>
      <x:c r="N71" s="12" t="str">
        <x:f>IF(OR(L71="",M71=""),"",ROUND((M71-L71)*86400,0))</x:f>
      </x:c>
      <x:c r="O71" s="12" t="str">
        <x:f>IF(N71="","",N71/86400)</x:f>
      </x:c>
      <x:c r="P71" s="12"/>
      <x:c r="Q71" s="12"/>
      <x:c r="R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 t="str">
        <x:f>IFERROR(INDEX('秒级路线参数_可调整'!$O:$O,MATCH(E72&amp;"|"&amp;H72,'秒级路线参数_可调整'!$A:$A,0)),"")</x:f>
        <x:v>累计秒（自动）</x:v>
      </x:c>
      <x:c r="L72" s="12"/>
      <x:c r="M72" s="12"/>
      <x:c r="N72" s="12" t="str">
        <x:f>IF(OR(L72="",M72=""),"",ROUND((M72-L72)*86400,0))</x:f>
      </x:c>
      <x:c r="O72" s="12" t="str">
        <x:f>IF(N72="","",N72/86400)</x:f>
      </x:c>
      <x:c r="P72" s="12"/>
      <x:c r="Q72" s="12"/>
      <x:c r="R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 t="str">
        <x:f>IFERROR(INDEX('秒级路线参数_可调整'!$O:$O,MATCH(E73&amp;"|"&amp;H73,'秒级路线参数_可调整'!$A:$A,0)),"")</x:f>
        <x:v>累计秒（自动）</x:v>
      </x:c>
      <x:c r="L73" s="12"/>
      <x:c r="M73" s="12"/>
      <x:c r="N73" s="12" t="str">
        <x:f>IF(OR(L73="",M73=""),"",ROUND((M73-L73)*86400,0))</x:f>
      </x:c>
      <x:c r="O73" s="12" t="str">
        <x:f>IF(N73="","",N73/86400)</x:f>
      </x:c>
      <x:c r="P73" s="12"/>
      <x:c r="Q73" s="12"/>
      <x:c r="R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 t="str">
        <x:f>IFERROR(INDEX('秒级路线参数_可调整'!$O:$O,MATCH(E74&amp;"|"&amp;H74,'秒级路线参数_可调整'!$A:$A,0)),"")</x:f>
        <x:v>累计秒（自动）</x:v>
      </x:c>
      <x:c r="L74" s="12"/>
      <x:c r="M74" s="12"/>
      <x:c r="N74" s="12" t="str">
        <x:f>IF(OR(L74="",M74=""),"",ROUND((M74-L74)*86400,0))</x:f>
      </x:c>
      <x:c r="O74" s="12" t="str">
        <x:f>IF(N74="","",N74/86400)</x:f>
      </x:c>
      <x:c r="P74" s="12"/>
      <x:c r="Q74" s="12"/>
      <x:c r="R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 t="str">
        <x:f>IFERROR(INDEX('秒级路线参数_可调整'!$O:$O,MATCH(E75&amp;"|"&amp;H75,'秒级路线参数_可调整'!$A:$A,0)),"")</x:f>
        <x:v>累计秒（自动）</x:v>
      </x:c>
      <x:c r="L75" s="12"/>
      <x:c r="M75" s="12"/>
      <x:c r="N75" s="12" t="str">
        <x:f>IF(OR(L75="",M75=""),"",ROUND((M75-L75)*86400,0))</x:f>
      </x:c>
      <x:c r="O75" s="12" t="str">
        <x:f>IF(N75="","",N75/86400)</x:f>
      </x:c>
      <x:c r="P75" s="12"/>
      <x:c r="Q75" s="12"/>
      <x:c r="R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 t="str">
        <x:f>IFERROR(INDEX('秒级路线参数_可调整'!$O:$O,MATCH(E76&amp;"|"&amp;H76,'秒级路线参数_可调整'!$A:$A,0)),"")</x:f>
        <x:v>累计秒（自动）</x:v>
      </x:c>
      <x:c r="L76" s="12"/>
      <x:c r="M76" s="12"/>
      <x:c r="N76" s="12" t="str">
        <x:f>IF(OR(L76="",M76=""),"",ROUND((M76-L76)*86400,0))</x:f>
      </x:c>
      <x:c r="O76" s="12" t="str">
        <x:f>IF(N76="","",N76/86400)</x:f>
      </x:c>
      <x:c r="P76" s="12"/>
      <x:c r="Q76" s="12"/>
      <x:c r="R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 t="str">
        <x:f>IFERROR(INDEX('秒级路线参数_可调整'!$O:$O,MATCH(E77&amp;"|"&amp;H77,'秒级路线参数_可调整'!$A:$A,0)),"")</x:f>
        <x:v>累计秒（自动）</x:v>
      </x:c>
      <x:c r="L77" s="12"/>
      <x:c r="M77" s="12"/>
      <x:c r="N77" s="12" t="str">
        <x:f>IF(OR(L77="",M77=""),"",ROUND((M77-L77)*86400,0))</x:f>
      </x:c>
      <x:c r="O77" s="12" t="str">
        <x:f>IF(N77="","",N77/86400)</x:f>
      </x:c>
      <x:c r="P77" s="12"/>
      <x:c r="Q77" s="12"/>
      <x:c r="R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 t="str">
        <x:f>IFERROR(INDEX('秒级路线参数_可调整'!$O:$O,MATCH(E78&amp;"|"&amp;H78,'秒级路线参数_可调整'!$A:$A,0)),"")</x:f>
        <x:v>累计秒（自动）</x:v>
      </x:c>
      <x:c r="L78" s="12"/>
      <x:c r="M78" s="12"/>
      <x:c r="N78" s="12" t="str">
        <x:f>IF(OR(L78="",M78=""),"",ROUND((M78-L78)*86400,0))</x:f>
      </x:c>
      <x:c r="O78" s="12" t="str">
        <x:f>IF(N78="","",N78/86400)</x:f>
      </x:c>
      <x:c r="P78" s="12"/>
      <x:c r="Q78" s="12"/>
      <x:c r="R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 t="str">
        <x:f>IFERROR(INDEX('秒级路线参数_可调整'!$O:$O,MATCH(E79&amp;"|"&amp;H79,'秒级路线参数_可调整'!$A:$A,0)),"")</x:f>
        <x:v>累计秒（自动）</x:v>
      </x:c>
      <x:c r="L79" s="12"/>
      <x:c r="M79" s="12"/>
      <x:c r="N79" s="12" t="str">
        <x:f>IF(OR(L79="",M79=""),"",ROUND((M79-L79)*86400,0))</x:f>
      </x:c>
      <x:c r="O79" s="12" t="str">
        <x:f>IF(N79="","",N79/86400)</x:f>
      </x:c>
      <x:c r="P79" s="12"/>
      <x:c r="Q79" s="12"/>
      <x:c r="R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 t="str">
        <x:f>IFERROR(INDEX('秒级路线参数_可调整'!$O:$O,MATCH(E80&amp;"|"&amp;H80,'秒级路线参数_可调整'!$A:$A,0)),"")</x:f>
        <x:v>累计秒（自动）</x:v>
      </x:c>
      <x:c r="L80" s="12"/>
      <x:c r="M80" s="12"/>
      <x:c r="N80" s="12" t="str">
        <x:f>IF(OR(L80="",M80=""),"",ROUND((M80-L80)*86400,0))</x:f>
      </x:c>
      <x:c r="O80" s="12" t="str">
        <x:f>IF(N80="","",N80/86400)</x:f>
      </x:c>
      <x:c r="P80" s="12"/>
      <x:c r="Q80" s="12"/>
      <x:c r="R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 t="str">
        <x:f>IFERROR(INDEX('秒级路线参数_可调整'!$O:$O,MATCH(E81&amp;"|"&amp;H81,'秒级路线参数_可调整'!$A:$A,0)),"")</x:f>
        <x:v>累计秒（自动）</x:v>
      </x:c>
      <x:c r="L81" s="12"/>
      <x:c r="M81" s="12"/>
      <x:c r="N81" s="12" t="str">
        <x:f>IF(OR(L81="",M81=""),"",ROUND((M81-L81)*86400,0))</x:f>
      </x:c>
      <x:c r="O81" s="12" t="str">
        <x:f>IF(N81="","",N81/86400)</x:f>
      </x:c>
      <x:c r="P81" s="12"/>
      <x:c r="Q81" s="12"/>
      <x:c r="R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 t="str">
        <x:f>IFERROR(INDEX('秒级路线参数_可调整'!$O:$O,MATCH(E82&amp;"|"&amp;H82,'秒级路线参数_可调整'!$A:$A,0)),"")</x:f>
        <x:v>累计秒（自动）</x:v>
      </x:c>
      <x:c r="L82" s="12"/>
      <x:c r="M82" s="12"/>
      <x:c r="N82" s="12" t="str">
        <x:f>IF(OR(L82="",M82=""),"",ROUND((M82-L82)*86400,0))</x:f>
      </x:c>
      <x:c r="O82" s="12" t="str">
        <x:f>IF(N82="","",N82/86400)</x:f>
      </x:c>
      <x:c r="P82" s="12"/>
      <x:c r="Q82" s="12"/>
      <x:c r="R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 t="str">
        <x:f>IFERROR(INDEX('秒级路线参数_可调整'!$O:$O,MATCH(E83&amp;"|"&amp;H83,'秒级路线参数_可调整'!$A:$A,0)),"")</x:f>
        <x:v>累计秒（自动）</x:v>
      </x:c>
      <x:c r="L83" s="12"/>
      <x:c r="M83" s="12"/>
      <x:c r="N83" s="12" t="str">
        <x:f>IF(OR(L83="",M83=""),"",ROUND((M83-L83)*86400,0))</x:f>
      </x:c>
      <x:c r="O83" s="12" t="str">
        <x:f>IF(N83="","",N83/86400)</x:f>
      </x:c>
      <x:c r="P83" s="12"/>
      <x:c r="Q83" s="12"/>
      <x:c r="R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 t="str">
        <x:f>IFERROR(INDEX('秒级路线参数_可调整'!$O:$O,MATCH(E84&amp;"|"&amp;H84,'秒级路线参数_可调整'!$A:$A,0)),"")</x:f>
        <x:v>累计秒（自动）</x:v>
      </x:c>
      <x:c r="L84" s="12"/>
      <x:c r="M84" s="12"/>
      <x:c r="N84" s="12" t="str">
        <x:f>IF(OR(L84="",M84=""),"",ROUND((M84-L84)*86400,0))</x:f>
      </x:c>
      <x:c r="O84" s="12" t="str">
        <x:f>IF(N84="","",N84/86400)</x:f>
      </x:c>
      <x:c r="P84" s="12"/>
      <x:c r="Q84" s="12"/>
      <x:c r="R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 t="str">
        <x:f>IFERROR(INDEX('秒级路线参数_可调整'!$O:$O,MATCH(E85&amp;"|"&amp;H85,'秒级路线参数_可调整'!$A:$A,0)),"")</x:f>
        <x:v>累计秒（自动）</x:v>
      </x:c>
      <x:c r="L85" s="12"/>
      <x:c r="M85" s="12"/>
      <x:c r="N85" s="12" t="str">
        <x:f>IF(OR(L85="",M85=""),"",ROUND((M85-L85)*86400,0))</x:f>
      </x:c>
      <x:c r="O85" s="12" t="str">
        <x:f>IF(N85="","",N85/86400)</x:f>
      </x:c>
      <x:c r="P85" s="12"/>
      <x:c r="Q85" s="12"/>
      <x:c r="R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 t="str">
        <x:f>IFERROR(INDEX('秒级路线参数_可调整'!$O:$O,MATCH(E86&amp;"|"&amp;H86,'秒级路线参数_可调整'!$A:$A,0)),"")</x:f>
        <x:v>累计秒（自动）</x:v>
      </x:c>
      <x:c r="L86" s="12"/>
      <x:c r="M86" s="12"/>
      <x:c r="N86" s="12" t="str">
        <x:f>IF(OR(L86="",M86=""),"",ROUND((M86-L86)*86400,0))</x:f>
      </x:c>
      <x:c r="O86" s="12" t="str">
        <x:f>IF(N86="","",N86/86400)</x:f>
      </x:c>
      <x:c r="P86" s="12"/>
      <x:c r="Q86" s="12"/>
      <x:c r="R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 t="str">
        <x:f>IFERROR(INDEX('秒级路线参数_可调整'!$O:$O,MATCH(E87&amp;"|"&amp;H87,'秒级路线参数_可调整'!$A:$A,0)),"")</x:f>
        <x:v>累计秒（自动）</x:v>
      </x:c>
      <x:c r="L87" s="12"/>
      <x:c r="M87" s="12"/>
      <x:c r="N87" s="12" t="str">
        <x:f>IF(OR(L87="",M87=""),"",ROUND((M87-L87)*86400,0))</x:f>
      </x:c>
      <x:c r="O87" s="12" t="str">
        <x:f>IF(N87="","",N87/86400)</x:f>
      </x:c>
      <x:c r="P87" s="12"/>
      <x:c r="Q87" s="12"/>
      <x:c r="R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 t="str">
        <x:f>IFERROR(INDEX('秒级路线参数_可调整'!$O:$O,MATCH(E88&amp;"|"&amp;H88,'秒级路线参数_可调整'!$A:$A,0)),"")</x:f>
        <x:v>累计秒（自动）</x:v>
      </x:c>
      <x:c r="L88" s="12"/>
      <x:c r="M88" s="12"/>
      <x:c r="N88" s="12" t="str">
        <x:f>IF(OR(L88="",M88=""),"",ROUND((M88-L88)*86400,0))</x:f>
      </x:c>
      <x:c r="O88" s="12" t="str">
        <x:f>IF(N88="","",N88/86400)</x:f>
      </x:c>
      <x:c r="P88" s="12"/>
      <x:c r="Q88" s="12"/>
      <x:c r="R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 t="str">
        <x:f>IFERROR(INDEX('秒级路线参数_可调整'!$O:$O,MATCH(E89&amp;"|"&amp;H89,'秒级路线参数_可调整'!$A:$A,0)),"")</x:f>
        <x:v>累计秒（自动）</x:v>
      </x:c>
      <x:c r="L89" s="12"/>
      <x:c r="M89" s="12"/>
      <x:c r="N89" s="12" t="str">
        <x:f>IF(OR(L89="",M89=""),"",ROUND((M89-L89)*86400,0))</x:f>
      </x:c>
      <x:c r="O89" s="12" t="str">
        <x:f>IF(N89="","",N89/86400)</x:f>
      </x:c>
      <x:c r="P89" s="12"/>
      <x:c r="Q89" s="12"/>
      <x:c r="R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 t="str">
        <x:f>IFERROR(INDEX('秒级路线参数_可调整'!$O:$O,MATCH(E90&amp;"|"&amp;H90,'秒级路线参数_可调整'!$A:$A,0)),"")</x:f>
        <x:v>累计秒（自动）</x:v>
      </x:c>
      <x:c r="L90" s="12"/>
      <x:c r="M90" s="12"/>
      <x:c r="N90" s="12" t="str">
        <x:f>IF(OR(L90="",M90=""),"",ROUND((M90-L90)*86400,0))</x:f>
      </x:c>
      <x:c r="O90" s="12" t="str">
        <x:f>IF(N90="","",N90/86400)</x:f>
      </x:c>
      <x:c r="P90" s="12"/>
      <x:c r="Q90" s="12"/>
      <x:c r="R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 t="str">
        <x:f>IFERROR(INDEX('秒级路线参数_可调整'!$O:$O,MATCH(E91&amp;"|"&amp;H91,'秒级路线参数_可调整'!$A:$A,0)),"")</x:f>
        <x:v>累计秒（自动）</x:v>
      </x:c>
      <x:c r="L91" s="12"/>
      <x:c r="M91" s="12"/>
      <x:c r="N91" s="12" t="str">
        <x:f>IF(OR(L91="",M91=""),"",ROUND((M91-L91)*86400,0))</x:f>
      </x:c>
      <x:c r="O91" s="12" t="str">
        <x:f>IF(N91="","",N91/86400)</x:f>
      </x:c>
      <x:c r="P91" s="12"/>
      <x:c r="Q91" s="12"/>
      <x:c r="R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 t="str">
        <x:f>IFERROR(INDEX('秒级路线参数_可调整'!$O:$O,MATCH(E92&amp;"|"&amp;H92,'秒级路线参数_可调整'!$A:$A,0)),"")</x:f>
        <x:v>累计秒（自动）</x:v>
      </x:c>
      <x:c r="L92" s="12"/>
      <x:c r="M92" s="12"/>
      <x:c r="N92" s="12" t="str">
        <x:f>IF(OR(L92="",M92=""),"",ROUND((M92-L92)*86400,0))</x:f>
      </x:c>
      <x:c r="O92" s="12" t="str">
        <x:f>IF(N92="","",N92/86400)</x:f>
      </x:c>
      <x:c r="P92" s="12"/>
      <x:c r="Q92" s="12"/>
      <x:c r="R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 t="str">
        <x:f>IFERROR(INDEX('秒级路线参数_可调整'!$O:$O,MATCH(E93&amp;"|"&amp;H93,'秒级路线参数_可调整'!$A:$A,0)),"")</x:f>
        <x:v>累计秒（自动）</x:v>
      </x:c>
      <x:c r="L93" s="12"/>
      <x:c r="M93" s="12"/>
      <x:c r="N93" s="12" t="str">
        <x:f>IF(OR(L93="",M93=""),"",ROUND((M93-L93)*86400,0))</x:f>
      </x:c>
      <x:c r="O93" s="12" t="str">
        <x:f>IF(N93="","",N93/86400)</x:f>
      </x:c>
      <x:c r="P93" s="12"/>
      <x:c r="Q93" s="12"/>
      <x:c r="R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 t="str">
        <x:f>IFERROR(INDEX('秒级路线参数_可调整'!$O:$O,MATCH(E94&amp;"|"&amp;H94,'秒级路线参数_可调整'!$A:$A,0)),"")</x:f>
        <x:v>累计秒（自动）</x:v>
      </x:c>
      <x:c r="L94" s="12"/>
      <x:c r="M94" s="12"/>
      <x:c r="N94" s="12" t="str">
        <x:f>IF(OR(L94="",M94=""),"",ROUND((M94-L94)*86400,0))</x:f>
      </x:c>
      <x:c r="O94" s="12" t="str">
        <x:f>IF(N94="","",N94/86400)</x:f>
      </x:c>
      <x:c r="P94" s="12"/>
      <x:c r="Q94" s="12"/>
      <x:c r="R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 t="str">
        <x:f>IFERROR(INDEX('秒级路线参数_可调整'!$O:$O,MATCH(E95&amp;"|"&amp;H95,'秒级路线参数_可调整'!$A:$A,0)),"")</x:f>
        <x:v>累计秒（自动）</x:v>
      </x:c>
      <x:c r="L95" s="12"/>
      <x:c r="M95" s="12"/>
      <x:c r="N95" s="12" t="str">
        <x:f>IF(OR(L95="",M95=""),"",ROUND((M95-L95)*86400,0))</x:f>
      </x:c>
      <x:c r="O95" s="12" t="str">
        <x:f>IF(N95="","",N95/86400)</x:f>
      </x:c>
      <x:c r="P95" s="12"/>
      <x:c r="Q95" s="12"/>
      <x:c r="R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 t="str">
        <x:f>IFERROR(INDEX('秒级路线参数_可调整'!$O:$O,MATCH(E96&amp;"|"&amp;H96,'秒级路线参数_可调整'!$A:$A,0)),"")</x:f>
        <x:v>累计秒（自动）</x:v>
      </x:c>
      <x:c r="L96" s="12"/>
      <x:c r="M96" s="12"/>
      <x:c r="N96" s="12" t="str">
        <x:f>IF(OR(L96="",M96=""),"",ROUND((M96-L96)*86400,0))</x:f>
      </x:c>
      <x:c r="O96" s="12" t="str">
        <x:f>IF(N96="","",N96/86400)</x:f>
      </x:c>
      <x:c r="P96" s="12"/>
      <x:c r="Q96" s="12"/>
      <x:c r="R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 t="str">
        <x:f>IFERROR(INDEX('秒级路线参数_可调整'!$O:$O,MATCH(E97&amp;"|"&amp;H97,'秒级路线参数_可调整'!$A:$A,0)),"")</x:f>
        <x:v>累计秒（自动）</x:v>
      </x:c>
      <x:c r="L97" s="12"/>
      <x:c r="M97" s="12"/>
      <x:c r="N97" s="12" t="str">
        <x:f>IF(OR(L97="",M97=""),"",ROUND((M97-L97)*86400,0))</x:f>
      </x:c>
      <x:c r="O97" s="12" t="str">
        <x:f>IF(N97="","",N97/86400)</x:f>
      </x:c>
      <x:c r="P97" s="12"/>
      <x:c r="Q97" s="12"/>
      <x:c r="R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 t="str">
        <x:f>IFERROR(INDEX('秒级路线参数_可调整'!$O:$O,MATCH(E98&amp;"|"&amp;H98,'秒级路线参数_可调整'!$A:$A,0)),"")</x:f>
        <x:v>累计秒（自动）</x:v>
      </x:c>
      <x:c r="L98" s="12"/>
      <x:c r="M98" s="12"/>
      <x:c r="N98" s="12" t="str">
        <x:f>IF(OR(L98="",M98=""),"",ROUND((M98-L98)*86400,0))</x:f>
      </x:c>
      <x:c r="O98" s="12" t="str">
        <x:f>IF(N98="","",N98/86400)</x:f>
      </x:c>
      <x:c r="P98" s="12"/>
      <x:c r="Q98" s="12"/>
      <x:c r="R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 t="str">
        <x:f>IFERROR(INDEX('秒级路线参数_可调整'!$O:$O,MATCH(E99&amp;"|"&amp;H99,'秒级路线参数_可调整'!$A:$A,0)),"")</x:f>
        <x:v>累计秒（自动）</x:v>
      </x:c>
      <x:c r="L99" s="12"/>
      <x:c r="M99" s="12"/>
      <x:c r="N99" s="12" t="str">
        <x:f>IF(OR(L99="",M99=""),"",ROUND((M99-L99)*86400,0))</x:f>
      </x:c>
      <x:c r="O99" s="12" t="str">
        <x:f>IF(N99="","",N99/86400)</x:f>
      </x:c>
      <x:c r="P99" s="12"/>
      <x:c r="Q99" s="12"/>
      <x:c r="R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 t="str">
        <x:f>IFERROR(INDEX('秒级路线参数_可调整'!$O:$O,MATCH(E100&amp;"|"&amp;H100,'秒级路线参数_可调整'!$A:$A,0)),"")</x:f>
        <x:v>累计秒（自动）</x:v>
      </x:c>
      <x:c r="L100" s="12"/>
      <x:c r="M100" s="12"/>
      <x:c r="N100" s="12" t="str">
        <x:f>IF(OR(L100="",M100=""),"",ROUND((M100-L100)*86400,0))</x:f>
      </x:c>
      <x:c r="O100" s="12" t="str">
        <x:f>IF(N100="","",N100/86400)</x:f>
      </x:c>
      <x:c r="P100" s="12"/>
      <x:c r="Q100" s="12"/>
      <x:c r="R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 t="str">
        <x:f>IFERROR(INDEX('秒级路线参数_可调整'!$O:$O,MATCH(E101&amp;"|"&amp;H101,'秒级路线参数_可调整'!$A:$A,0)),"")</x:f>
        <x:v>累计秒（自动）</x:v>
      </x:c>
      <x:c r="L101" s="12"/>
      <x:c r="M101" s="12"/>
      <x:c r="N101" s="12" t="str">
        <x:f>IF(OR(L101="",M101=""),"",ROUND((M101-L101)*86400,0))</x:f>
      </x:c>
      <x:c r="O101" s="12" t="str">
        <x:f>IF(N101="","",N101/86400)</x:f>
      </x:c>
      <x:c r="P101" s="12"/>
      <x:c r="Q101" s="12"/>
      <x:c r="R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 t="str">
        <x:f>IFERROR(INDEX('秒级路线参数_可调整'!$O:$O,MATCH(E102&amp;"|"&amp;H102,'秒级路线参数_可调整'!$A:$A,0)),"")</x:f>
        <x:v>累计秒（自动）</x:v>
      </x:c>
      <x:c r="L102" s="12"/>
      <x:c r="M102" s="12"/>
      <x:c r="N102" s="12" t="str">
        <x:f>IF(OR(L102="",M102=""),"",ROUND((M102-L102)*86400,0))</x:f>
      </x:c>
      <x:c r="O102" s="12" t="str">
        <x:f>IF(N102="","",N102/86400)</x:f>
      </x:c>
      <x:c r="P102" s="12"/>
      <x:c r="Q102" s="12"/>
      <x:c r="R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 t="str">
        <x:f>IFERROR(INDEX('秒级路线参数_可调整'!$O:$O,MATCH(E103&amp;"|"&amp;H103,'秒级路线参数_可调整'!$A:$A,0)),"")</x:f>
        <x:v>累计秒（自动）</x:v>
      </x:c>
      <x:c r="L103" s="12"/>
      <x:c r="M103" s="12"/>
      <x:c r="N103" s="12" t="str">
        <x:f>IF(OR(L103="",M103=""),"",ROUND((M103-L103)*86400,0))</x:f>
      </x:c>
      <x:c r="O103" s="12" t="str">
        <x:f>IF(N103="","",N103/86400)</x:f>
      </x:c>
      <x:c r="P103" s="12"/>
      <x:c r="Q103" s="12"/>
      <x:c r="R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 t="str">
        <x:f>IFERROR(INDEX('秒级路线参数_可调整'!$O:$O,MATCH(E104&amp;"|"&amp;H104,'秒级路线参数_可调整'!$A:$A,0)),"")</x:f>
        <x:v>累计秒（自动）</x:v>
      </x:c>
      <x:c r="L104" s="12"/>
      <x:c r="M104" s="12"/>
      <x:c r="N104" s="12" t="str">
        <x:f>IF(OR(L104="",M104=""),"",ROUND((M104-L104)*86400,0))</x:f>
      </x:c>
      <x:c r="O104" s="12" t="str">
        <x:f>IF(N104="","",N104/86400)</x:f>
      </x:c>
      <x:c r="P104" s="12"/>
      <x:c r="Q104" s="12"/>
      <x:c r="R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 t="str">
        <x:f>IFERROR(INDEX('秒级路线参数_可调整'!$O:$O,MATCH(E105&amp;"|"&amp;H105,'秒级路线参数_可调整'!$A:$A,0)),"")</x:f>
        <x:v>累计秒（自动）</x:v>
      </x:c>
      <x:c r="L105" s="12"/>
      <x:c r="M105" s="12"/>
      <x:c r="N105" s="12" t="str">
        <x:f>IF(OR(L105="",M105=""),"",ROUND((M105-L105)*86400,0))</x:f>
      </x:c>
      <x:c r="O105" s="12" t="str">
        <x:f>IF(N105="","",N105/86400)</x:f>
      </x:c>
      <x:c r="P105" s="12"/>
      <x:c r="Q105" s="12"/>
      <x:c r="R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 t="str">
        <x:f>IFERROR(INDEX('秒级路线参数_可调整'!$O:$O,MATCH(E106&amp;"|"&amp;H106,'秒级路线参数_可调整'!$A:$A,0)),"")</x:f>
        <x:v>累计秒（自动）</x:v>
      </x:c>
      <x:c r="L106" s="12"/>
      <x:c r="M106" s="12"/>
      <x:c r="N106" s="12" t="str">
        <x:f>IF(OR(L106="",M106=""),"",ROUND((M106-L106)*86400,0))</x:f>
      </x:c>
      <x:c r="O106" s="12" t="str">
        <x:f>IF(N106="","",N106/86400)</x:f>
      </x:c>
      <x:c r="P106" s="12"/>
      <x:c r="Q106" s="12"/>
      <x:c r="R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 t="str">
        <x:f>IFERROR(INDEX('秒级路线参数_可调整'!$O:$O,MATCH(E107&amp;"|"&amp;H107,'秒级路线参数_可调整'!$A:$A,0)),"")</x:f>
        <x:v>累计秒（自动）</x:v>
      </x:c>
      <x:c r="L107" s="12"/>
      <x:c r="M107" s="12"/>
      <x:c r="N107" s="12" t="str">
        <x:f>IF(OR(L107="",M107=""),"",ROUND((M107-L107)*86400,0))</x:f>
      </x:c>
      <x:c r="O107" s="12" t="str">
        <x:f>IF(N107="","",N107/86400)</x:f>
      </x:c>
      <x:c r="P107" s="12"/>
      <x:c r="Q107" s="12"/>
      <x:c r="R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 t="str">
        <x:f>IFERROR(INDEX('秒级路线参数_可调整'!$O:$O,MATCH(E108&amp;"|"&amp;H108,'秒级路线参数_可调整'!$A:$A,0)),"")</x:f>
        <x:v>累计秒（自动）</x:v>
      </x:c>
      <x:c r="L108" s="12"/>
      <x:c r="M108" s="12"/>
      <x:c r="N108" s="12" t="str">
        <x:f>IF(OR(L108="",M108=""),"",ROUND((M108-L108)*86400,0))</x:f>
      </x:c>
      <x:c r="O108" s="12" t="str">
        <x:f>IF(N108="","",N108/86400)</x:f>
      </x:c>
      <x:c r="P108" s="12"/>
      <x:c r="Q108" s="12"/>
      <x:c r="R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 t="str">
        <x:f>IFERROR(INDEX('秒级路线参数_可调整'!$O:$O,MATCH(E109&amp;"|"&amp;H109,'秒级路线参数_可调整'!$A:$A,0)),"")</x:f>
        <x:v>累计秒（自动）</x:v>
      </x:c>
      <x:c r="L109" s="12"/>
      <x:c r="M109" s="12"/>
      <x:c r="N109" s="12" t="str">
        <x:f>IF(OR(L109="",M109=""),"",ROUND((M109-L109)*86400,0))</x:f>
      </x:c>
      <x:c r="O109" s="12" t="str">
        <x:f>IF(N109="","",N109/86400)</x:f>
      </x:c>
      <x:c r="P109" s="12"/>
      <x:c r="Q109" s="12"/>
      <x:c r="R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 t="str">
        <x:f>IFERROR(INDEX('秒级路线参数_可调整'!$O:$O,MATCH(E110&amp;"|"&amp;H110,'秒级路线参数_可调整'!$A:$A,0)),"")</x:f>
        <x:v>累计秒（自动）</x:v>
      </x:c>
      <x:c r="L110" s="12"/>
      <x:c r="M110" s="12"/>
      <x:c r="N110" s="12" t="str">
        <x:f>IF(OR(L110="",M110=""),"",ROUND((M110-L110)*86400,0))</x:f>
      </x:c>
      <x:c r="O110" s="12" t="str">
        <x:f>IF(N110="","",N110/86400)</x:f>
      </x:c>
      <x:c r="P110" s="12"/>
      <x:c r="Q110" s="12"/>
      <x:c r="R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 t="str">
        <x:f>IFERROR(INDEX('秒级路线参数_可调整'!$O:$O,MATCH(E111&amp;"|"&amp;H111,'秒级路线参数_可调整'!$A:$A,0)),"")</x:f>
        <x:v>累计秒（自动）</x:v>
      </x:c>
      <x:c r="L111" s="12"/>
      <x:c r="M111" s="12"/>
      <x:c r="N111" s="12" t="str">
        <x:f>IF(OR(L111="",M111=""),"",ROUND((M111-L111)*86400,0))</x:f>
      </x:c>
      <x:c r="O111" s="12" t="str">
        <x:f>IF(N111="","",N111/86400)</x:f>
      </x:c>
      <x:c r="P111" s="12"/>
      <x:c r="Q111" s="12"/>
      <x:c r="R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 t="str">
        <x:f>IFERROR(INDEX('秒级路线参数_可调整'!$O:$O,MATCH(E112&amp;"|"&amp;H112,'秒级路线参数_可调整'!$A:$A,0)),"")</x:f>
        <x:v>累计秒（自动）</x:v>
      </x:c>
      <x:c r="L112" s="12"/>
      <x:c r="M112" s="12"/>
      <x:c r="N112" s="12" t="str">
        <x:f>IF(OR(L112="",M112=""),"",ROUND((M112-L112)*86400,0))</x:f>
      </x:c>
      <x:c r="O112" s="12" t="str">
        <x:f>IF(N112="","",N112/86400)</x:f>
      </x:c>
      <x:c r="P112" s="12"/>
      <x:c r="Q112" s="12"/>
      <x:c r="R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 t="str">
        <x:f>IFERROR(INDEX('秒级路线参数_可调整'!$O:$O,MATCH(E113&amp;"|"&amp;H113,'秒级路线参数_可调整'!$A:$A,0)),"")</x:f>
        <x:v>累计秒（自动）</x:v>
      </x:c>
      <x:c r="L113" s="12"/>
      <x:c r="M113" s="12"/>
      <x:c r="N113" s="12" t="str">
        <x:f>IF(OR(L113="",M113=""),"",ROUND((M113-L113)*86400,0))</x:f>
      </x:c>
      <x:c r="O113" s="12" t="str">
        <x:f>IF(N113="","",N113/86400)</x:f>
      </x:c>
      <x:c r="P113" s="12"/>
      <x:c r="Q113" s="12"/>
      <x:c r="R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 t="str">
        <x:f>IFERROR(INDEX('秒级路线参数_可调整'!$O:$O,MATCH(E114&amp;"|"&amp;H114,'秒级路线参数_可调整'!$A:$A,0)),"")</x:f>
        <x:v>累计秒（自动）</x:v>
      </x:c>
      <x:c r="L114" s="12"/>
      <x:c r="M114" s="12"/>
      <x:c r="N114" s="12" t="str">
        <x:f>IF(OR(L114="",M114=""),"",ROUND((M114-L114)*86400,0))</x:f>
      </x:c>
      <x:c r="O114" s="12" t="str">
        <x:f>IF(N114="","",N114/86400)</x:f>
      </x:c>
      <x:c r="P114" s="12"/>
      <x:c r="Q114" s="12"/>
      <x:c r="R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 t="str">
        <x:f>IFERROR(INDEX('秒级路线参数_可调整'!$O:$O,MATCH(E115&amp;"|"&amp;H115,'秒级路线参数_可调整'!$A:$A,0)),"")</x:f>
        <x:v>累计秒（自动）</x:v>
      </x:c>
      <x:c r="L115" s="12"/>
      <x:c r="M115" s="12"/>
      <x:c r="N115" s="12" t="str">
        <x:f>IF(OR(L115="",M115=""),"",ROUND((M115-L115)*86400,0))</x:f>
      </x:c>
      <x:c r="O115" s="12" t="str">
        <x:f>IF(N115="","",N115/86400)</x:f>
      </x:c>
      <x:c r="P115" s="12"/>
      <x:c r="Q115" s="12"/>
      <x:c r="R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 t="str">
        <x:f>IFERROR(INDEX('秒级路线参数_可调整'!$O:$O,MATCH(E116&amp;"|"&amp;H116,'秒级路线参数_可调整'!$A:$A,0)),"")</x:f>
        <x:v>累计秒（自动）</x:v>
      </x:c>
      <x:c r="L116" s="12"/>
      <x:c r="M116" s="12"/>
      <x:c r="N116" s="12" t="str">
        <x:f>IF(OR(L116="",M116=""),"",ROUND((M116-L116)*86400,0))</x:f>
      </x:c>
      <x:c r="O116" s="12" t="str">
        <x:f>IF(N116="","",N116/86400)</x:f>
      </x:c>
      <x:c r="P116" s="12"/>
      <x:c r="Q116" s="12"/>
      <x:c r="R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 t="str">
        <x:f>IFERROR(INDEX('秒级路线参数_可调整'!$O:$O,MATCH(E117&amp;"|"&amp;H117,'秒级路线参数_可调整'!$A:$A,0)),"")</x:f>
        <x:v>累计秒（自动）</x:v>
      </x:c>
      <x:c r="L117" s="12"/>
      <x:c r="M117" s="12"/>
      <x:c r="N117" s="12" t="str">
        <x:f>IF(OR(L117="",M117=""),"",ROUND((M117-L117)*86400,0))</x:f>
      </x:c>
      <x:c r="O117" s="12" t="str">
        <x:f>IF(N117="","",N117/86400)</x:f>
      </x:c>
      <x:c r="P117" s="12"/>
      <x:c r="Q117" s="12"/>
      <x:c r="R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 t="str">
        <x:f>IFERROR(INDEX('秒级路线参数_可调整'!$O:$O,MATCH(E118&amp;"|"&amp;H118,'秒级路线参数_可调整'!$A:$A,0)),"")</x:f>
        <x:v>累计秒（自动）</x:v>
      </x:c>
      <x:c r="L118" s="12"/>
      <x:c r="M118" s="12"/>
      <x:c r="N118" s="12" t="str">
        <x:f>IF(OR(L118="",M118=""),"",ROUND((M118-L118)*86400,0))</x:f>
      </x:c>
      <x:c r="O118" s="12" t="str">
        <x:f>IF(N118="","",N118/86400)</x:f>
      </x:c>
      <x:c r="P118" s="12"/>
      <x:c r="Q118" s="12"/>
      <x:c r="R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 t="str">
        <x:f>IFERROR(INDEX('秒级路线参数_可调整'!$O:$O,MATCH(E119&amp;"|"&amp;H119,'秒级路线参数_可调整'!$A:$A,0)),"")</x:f>
        <x:v>累计秒（自动）</x:v>
      </x:c>
      <x:c r="L119" s="12"/>
      <x:c r="M119" s="12"/>
      <x:c r="N119" s="12" t="str">
        <x:f>IF(OR(L119="",M119=""),"",ROUND((M119-L119)*86400,0))</x:f>
      </x:c>
      <x:c r="O119" s="12" t="str">
        <x:f>IF(N119="","",N119/86400)</x:f>
      </x:c>
      <x:c r="P119" s="12"/>
      <x:c r="Q119" s="12"/>
      <x:c r="R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 t="str">
        <x:f>IFERROR(INDEX('秒级路线参数_可调整'!$O:$O,MATCH(E120&amp;"|"&amp;H120,'秒级路线参数_可调整'!$A:$A,0)),"")</x:f>
        <x:v>累计秒（自动）</x:v>
      </x:c>
      <x:c r="L120" s="12"/>
      <x:c r="M120" s="12"/>
      <x:c r="N120" s="12" t="str">
        <x:f>IF(OR(L120="",M120=""),"",ROUND((M120-L120)*86400,0))</x:f>
      </x:c>
      <x:c r="O120" s="12" t="str">
        <x:f>IF(N120="","",N120/86400)</x:f>
      </x:c>
      <x:c r="P120" s="12"/>
      <x:c r="Q120" s="12"/>
      <x:c r="R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 t="str">
        <x:f>IFERROR(INDEX('秒级路线参数_可调整'!$O:$O,MATCH(E121&amp;"|"&amp;H121,'秒级路线参数_可调整'!$A:$A,0)),"")</x:f>
        <x:v>累计秒（自动）</x:v>
      </x:c>
      <x:c r="L121" s="12"/>
      <x:c r="M121" s="12"/>
      <x:c r="N121" s="12" t="str">
        <x:f>IF(OR(L121="",M121=""),"",ROUND((M121-L121)*86400,0))</x:f>
      </x:c>
      <x:c r="O121" s="12" t="str">
        <x:f>IF(N121="","",N121/86400)</x:f>
      </x:c>
      <x:c r="P121" s="12"/>
      <x:c r="Q121" s="12"/>
      <x:c r="R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 t="str">
        <x:f>IFERROR(INDEX('秒级路线参数_可调整'!$O:$O,MATCH(E122&amp;"|"&amp;H122,'秒级路线参数_可调整'!$A:$A,0)),"")</x:f>
        <x:v>累计秒（自动）</x:v>
      </x:c>
      <x:c r="L122" s="12"/>
      <x:c r="M122" s="12"/>
      <x:c r="N122" s="12" t="str">
        <x:f>IF(OR(L122="",M122=""),"",ROUND((M122-L122)*86400,0))</x:f>
      </x:c>
      <x:c r="O122" s="12" t="str">
        <x:f>IF(N122="","",N122/86400)</x:f>
      </x:c>
      <x:c r="P122" s="12"/>
      <x:c r="Q122" s="12"/>
      <x:c r="R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 t="str">
        <x:f>IFERROR(INDEX('秒级路线参数_可调整'!$O:$O,MATCH(E123&amp;"|"&amp;H123,'秒级路线参数_可调整'!$A:$A,0)),"")</x:f>
        <x:v>累计秒（自动）</x:v>
      </x:c>
      <x:c r="L123" s="12"/>
      <x:c r="M123" s="12"/>
      <x:c r="N123" s="12" t="str">
        <x:f>IF(OR(L123="",M123=""),"",ROUND((M123-L123)*86400,0))</x:f>
      </x:c>
      <x:c r="O123" s="12" t="str">
        <x:f>IF(N123="","",N123/86400)</x:f>
      </x:c>
      <x:c r="P123" s="12"/>
      <x:c r="Q123" s="12"/>
      <x:c r="R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 t="str">
        <x:f>IFERROR(INDEX('秒级路线参数_可调整'!$O:$O,MATCH(E124&amp;"|"&amp;H124,'秒级路线参数_可调整'!$A:$A,0)),"")</x:f>
        <x:v>累计秒（自动）</x:v>
      </x:c>
      <x:c r="L124" s="12"/>
      <x:c r="M124" s="12"/>
      <x:c r="N124" s="12" t="str">
        <x:f>IF(OR(L124="",M124=""),"",ROUND((M124-L124)*86400,0))</x:f>
      </x:c>
      <x:c r="O124" s="12" t="str">
        <x:f>IF(N124="","",N124/86400)</x:f>
      </x:c>
      <x:c r="P124" s="12"/>
      <x:c r="Q124" s="12"/>
      <x:c r="R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 t="str">
        <x:f>IFERROR(INDEX('秒级路线参数_可调整'!$O:$O,MATCH(E125&amp;"|"&amp;H125,'秒级路线参数_可调整'!$A:$A,0)),"")</x:f>
        <x:v>累计秒（自动）</x:v>
      </x:c>
      <x:c r="L125" s="12"/>
      <x:c r="M125" s="12"/>
      <x:c r="N125" s="12" t="str">
        <x:f>IF(OR(L125="",M125=""),"",ROUND((M125-L125)*86400,0))</x:f>
      </x:c>
      <x:c r="O125" s="12" t="str">
        <x:f>IF(N125="","",N125/86400)</x:f>
      </x:c>
      <x:c r="P125" s="12"/>
      <x:c r="Q125" s="12"/>
      <x:c r="R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 t="str">
        <x:f>IFERROR(INDEX('秒级路线参数_可调整'!$O:$O,MATCH(E126&amp;"|"&amp;H126,'秒级路线参数_可调整'!$A:$A,0)),"")</x:f>
        <x:v>累计秒（自动）</x:v>
      </x:c>
      <x:c r="L126" s="12"/>
      <x:c r="M126" s="12"/>
      <x:c r="N126" s="12" t="str">
        <x:f>IF(OR(L126="",M126=""),"",ROUND((M126-L126)*86400,0))</x:f>
      </x:c>
      <x:c r="O126" s="12" t="str">
        <x:f>IF(N126="","",N126/86400)</x:f>
      </x:c>
      <x:c r="P126" s="12"/>
      <x:c r="Q126" s="12"/>
      <x:c r="R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 t="str">
        <x:f>IFERROR(INDEX('秒级路线参数_可调整'!$O:$O,MATCH(E127&amp;"|"&amp;H127,'秒级路线参数_可调整'!$A:$A,0)),"")</x:f>
        <x:v>累计秒（自动）</x:v>
      </x:c>
      <x:c r="L127" s="12"/>
      <x:c r="M127" s="12"/>
      <x:c r="N127" s="12" t="str">
        <x:f>IF(OR(L127="",M127=""),"",ROUND((M127-L127)*86400,0))</x:f>
      </x:c>
      <x:c r="O127" s="12" t="str">
        <x:f>IF(N127="","",N127/86400)</x:f>
      </x:c>
      <x:c r="P127" s="12"/>
      <x:c r="Q127" s="12"/>
      <x:c r="R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 t="str">
        <x:f>IFERROR(INDEX('秒级路线参数_可调整'!$O:$O,MATCH(E128&amp;"|"&amp;H128,'秒级路线参数_可调整'!$A:$A,0)),"")</x:f>
        <x:v>累计秒（自动）</x:v>
      </x:c>
      <x:c r="L128" s="12"/>
      <x:c r="M128" s="12"/>
      <x:c r="N128" s="12" t="str">
        <x:f>IF(OR(L128="",M128=""),"",ROUND((M128-L128)*86400,0))</x:f>
      </x:c>
      <x:c r="O128" s="12" t="str">
        <x:f>IF(N128="","",N128/86400)</x:f>
      </x:c>
      <x:c r="P128" s="12"/>
      <x:c r="Q128" s="12"/>
      <x:c r="R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 t="str">
        <x:f>IFERROR(INDEX('秒级路线参数_可调整'!$O:$O,MATCH(E129&amp;"|"&amp;H129,'秒级路线参数_可调整'!$A:$A,0)),"")</x:f>
        <x:v>累计秒（自动）</x:v>
      </x:c>
      <x:c r="L129" s="12"/>
      <x:c r="M129" s="12"/>
      <x:c r="N129" s="12" t="str">
        <x:f>IF(OR(L129="",M129=""),"",ROUND((M129-L129)*86400,0))</x:f>
      </x:c>
      <x:c r="O129" s="12" t="str">
        <x:f>IF(N129="","",N129/86400)</x:f>
      </x:c>
      <x:c r="P129" s="12"/>
      <x:c r="Q129" s="12"/>
      <x:c r="R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 t="str">
        <x:f>IFERROR(INDEX('秒级路线参数_可调整'!$O:$O,MATCH(E130&amp;"|"&amp;H130,'秒级路线参数_可调整'!$A:$A,0)),"")</x:f>
        <x:v>累计秒（自动）</x:v>
      </x:c>
      <x:c r="L130" s="12"/>
      <x:c r="M130" s="12"/>
      <x:c r="N130" s="12" t="str">
        <x:f>IF(OR(L130="",M130=""),"",ROUND((M130-L130)*86400,0))</x:f>
      </x:c>
      <x:c r="O130" s="12" t="str">
        <x:f>IF(N130="","",N130/86400)</x:f>
      </x:c>
      <x:c r="P130" s="12"/>
      <x:c r="Q130" s="12"/>
      <x:c r="R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 t="str">
        <x:f>IFERROR(INDEX('秒级路线参数_可调整'!$O:$O,MATCH(E131&amp;"|"&amp;H131,'秒级路线参数_可调整'!$A:$A,0)),"")</x:f>
        <x:v>累计秒（自动）</x:v>
      </x:c>
      <x:c r="L131" s="12"/>
      <x:c r="M131" s="12"/>
      <x:c r="N131" s="12" t="str">
        <x:f>IF(OR(L131="",M131=""),"",ROUND((M131-L131)*86400,0))</x:f>
      </x:c>
      <x:c r="O131" s="12" t="str">
        <x:f>IF(N131="","",N131/86400)</x:f>
      </x:c>
      <x:c r="P131" s="12"/>
      <x:c r="Q131" s="12"/>
      <x:c r="R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 t="str">
        <x:f>IFERROR(INDEX('秒级路线参数_可调整'!$O:$O,MATCH(E132&amp;"|"&amp;H132,'秒级路线参数_可调整'!$A:$A,0)),"")</x:f>
        <x:v>累计秒（自动）</x:v>
      </x:c>
      <x:c r="L132" s="12"/>
      <x:c r="M132" s="12"/>
      <x:c r="N132" s="12" t="str">
        <x:f>IF(OR(L132="",M132=""),"",ROUND((M132-L132)*86400,0))</x:f>
      </x:c>
      <x:c r="O132" s="12" t="str">
        <x:f>IF(N132="","",N132/86400)</x:f>
      </x:c>
      <x:c r="P132" s="12"/>
      <x:c r="Q132" s="12"/>
      <x:c r="R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 t="str">
        <x:f>IFERROR(INDEX('秒级路线参数_可调整'!$O:$O,MATCH(E133&amp;"|"&amp;H133,'秒级路线参数_可调整'!$A:$A,0)),"")</x:f>
        <x:v>累计秒（自动）</x:v>
      </x:c>
      <x:c r="L133" s="12"/>
      <x:c r="M133" s="12"/>
      <x:c r="N133" s="12" t="str">
        <x:f>IF(OR(L133="",M133=""),"",ROUND((M133-L133)*86400,0))</x:f>
      </x:c>
      <x:c r="O133" s="12" t="str">
        <x:f>IF(N133="","",N133/86400)</x:f>
      </x:c>
      <x:c r="P133" s="12"/>
      <x:c r="Q133" s="12"/>
      <x:c r="R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 t="str">
        <x:f>IFERROR(INDEX('秒级路线参数_可调整'!$O:$O,MATCH(E134&amp;"|"&amp;H134,'秒级路线参数_可调整'!$A:$A,0)),"")</x:f>
        <x:v>累计秒（自动）</x:v>
      </x:c>
      <x:c r="L134" s="12"/>
      <x:c r="M134" s="12"/>
      <x:c r="N134" s="12" t="str">
        <x:f>IF(OR(L134="",M134=""),"",ROUND((M134-L134)*86400,0))</x:f>
      </x:c>
      <x:c r="O134" s="12" t="str">
        <x:f>IF(N134="","",N134/86400)</x:f>
      </x:c>
      <x:c r="P134" s="12"/>
      <x:c r="Q134" s="12"/>
      <x:c r="R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 t="str">
        <x:f>IFERROR(INDEX('秒级路线参数_可调整'!$O:$O,MATCH(E135&amp;"|"&amp;H135,'秒级路线参数_可调整'!$A:$A,0)),"")</x:f>
        <x:v>累计秒（自动）</x:v>
      </x:c>
      <x:c r="L135" s="12"/>
      <x:c r="M135" s="12"/>
      <x:c r="N135" s="12" t="str">
        <x:f>IF(OR(L135="",M135=""),"",ROUND((M135-L135)*86400,0))</x:f>
      </x:c>
      <x:c r="O135" s="12" t="str">
        <x:f>IF(N135="","",N135/86400)</x:f>
      </x:c>
      <x:c r="P135" s="12"/>
      <x:c r="Q135" s="12"/>
      <x:c r="R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 t="str">
        <x:f>IFERROR(INDEX('秒级路线参数_可调整'!$O:$O,MATCH(E136&amp;"|"&amp;H136,'秒级路线参数_可调整'!$A:$A,0)),"")</x:f>
        <x:v>累计秒（自动）</x:v>
      </x:c>
      <x:c r="L136" s="12"/>
      <x:c r="M136" s="12"/>
      <x:c r="N136" s="12" t="str">
        <x:f>IF(OR(L136="",M136=""),"",ROUND((M136-L136)*86400,0))</x:f>
      </x:c>
      <x:c r="O136" s="12" t="str">
        <x:f>IF(N136="","",N136/86400)</x:f>
      </x:c>
      <x:c r="P136" s="12"/>
      <x:c r="Q136" s="12"/>
      <x:c r="R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 t="str">
        <x:f>IFERROR(INDEX('秒级路线参数_可调整'!$O:$O,MATCH(E137&amp;"|"&amp;H137,'秒级路线参数_可调整'!$A:$A,0)),"")</x:f>
        <x:v>累计秒（自动）</x:v>
      </x:c>
      <x:c r="L137" s="12"/>
      <x:c r="M137" s="12"/>
      <x:c r="N137" s="12" t="str">
        <x:f>IF(OR(L137="",M137=""),"",ROUND((M137-L137)*86400,0))</x:f>
      </x:c>
      <x:c r="O137" s="12" t="str">
        <x:f>IF(N137="","",N137/86400)</x:f>
      </x:c>
      <x:c r="P137" s="12"/>
      <x:c r="Q137" s="12"/>
      <x:c r="R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 t="str">
        <x:f>IFERROR(INDEX('秒级路线参数_可调整'!$O:$O,MATCH(E138&amp;"|"&amp;H138,'秒级路线参数_可调整'!$A:$A,0)),"")</x:f>
        <x:v>累计秒（自动）</x:v>
      </x:c>
      <x:c r="L138" s="12"/>
      <x:c r="M138" s="12"/>
      <x:c r="N138" s="12" t="str">
        <x:f>IF(OR(L138="",M138=""),"",ROUND((M138-L138)*86400,0))</x:f>
      </x:c>
      <x:c r="O138" s="12" t="str">
        <x:f>IF(N138="","",N138/86400)</x:f>
      </x:c>
      <x:c r="P138" s="12"/>
      <x:c r="Q138" s="12"/>
      <x:c r="R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 t="str">
        <x:f>IFERROR(INDEX('秒级路线参数_可调整'!$O:$O,MATCH(E139&amp;"|"&amp;H139,'秒级路线参数_可调整'!$A:$A,0)),"")</x:f>
        <x:v>累计秒（自动）</x:v>
      </x:c>
      <x:c r="L139" s="12"/>
      <x:c r="M139" s="12"/>
      <x:c r="N139" s="12" t="str">
        <x:f>IF(OR(L139="",M139=""),"",ROUND((M139-L139)*86400,0))</x:f>
      </x:c>
      <x:c r="O139" s="12" t="str">
        <x:f>IF(N139="","",N139/86400)</x:f>
      </x:c>
      <x:c r="P139" s="12"/>
      <x:c r="Q139" s="12"/>
      <x:c r="R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 t="str">
        <x:f>IFERROR(INDEX('秒级路线参数_可调整'!$O:$O,MATCH(E140&amp;"|"&amp;H140,'秒级路线参数_可调整'!$A:$A,0)),"")</x:f>
        <x:v>累计秒（自动）</x:v>
      </x:c>
      <x:c r="L140" s="12"/>
      <x:c r="M140" s="12"/>
      <x:c r="N140" s="12" t="str">
        <x:f>IF(OR(L140="",M140=""),"",ROUND((M140-L140)*86400,0))</x:f>
      </x:c>
      <x:c r="O140" s="12" t="str">
        <x:f>IF(N140="","",N140/86400)</x:f>
      </x:c>
      <x:c r="P140" s="12"/>
      <x:c r="Q140" s="12"/>
      <x:c r="R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 t="str">
        <x:f>IFERROR(INDEX('秒级路线参数_可调整'!$O:$O,MATCH(E141&amp;"|"&amp;H141,'秒级路线参数_可调整'!$A:$A,0)),"")</x:f>
        <x:v>累计秒（自动）</x:v>
      </x:c>
      <x:c r="L141" s="12"/>
      <x:c r="M141" s="12"/>
      <x:c r="N141" s="12" t="str">
        <x:f>IF(OR(L141="",M141=""),"",ROUND((M141-L141)*86400,0))</x:f>
      </x:c>
      <x:c r="O141" s="12" t="str">
        <x:f>IF(N141="","",N141/86400)</x:f>
      </x:c>
      <x:c r="P141" s="12"/>
      <x:c r="Q141" s="12"/>
      <x:c r="R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 t="str">
        <x:f>IFERROR(INDEX('秒级路线参数_可调整'!$O:$O,MATCH(E142&amp;"|"&amp;H142,'秒级路线参数_可调整'!$A:$A,0)),"")</x:f>
        <x:v>累计秒（自动）</x:v>
      </x:c>
      <x:c r="L142" s="12"/>
      <x:c r="M142" s="12"/>
      <x:c r="N142" s="12" t="str">
        <x:f>IF(OR(L142="",M142=""),"",ROUND((M142-L142)*86400,0))</x:f>
      </x:c>
      <x:c r="O142" s="12" t="str">
        <x:f>IF(N142="","",N142/86400)</x:f>
      </x:c>
      <x:c r="P142" s="12"/>
      <x:c r="Q142" s="12"/>
      <x:c r="R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 t="str">
        <x:f>IFERROR(INDEX('秒级路线参数_可调整'!$O:$O,MATCH(E143&amp;"|"&amp;H143,'秒级路线参数_可调整'!$A:$A,0)),"")</x:f>
        <x:v>累计秒（自动）</x:v>
      </x:c>
      <x:c r="L143" s="12"/>
      <x:c r="M143" s="12"/>
      <x:c r="N143" s="12" t="str">
        <x:f>IF(OR(L143="",M143=""),"",ROUND((M143-L143)*86400,0))</x:f>
      </x:c>
      <x:c r="O143" s="12" t="str">
        <x:f>IF(N143="","",N143/86400)</x:f>
      </x:c>
      <x:c r="P143" s="12"/>
      <x:c r="Q143" s="12"/>
      <x:c r="R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 t="str">
        <x:f>IFERROR(INDEX('秒级路线参数_可调整'!$O:$O,MATCH(E144&amp;"|"&amp;H144,'秒级路线参数_可调整'!$A:$A,0)),"")</x:f>
        <x:v>累计秒（自动）</x:v>
      </x:c>
      <x:c r="L144" s="12"/>
      <x:c r="M144" s="12"/>
      <x:c r="N144" s="12" t="str">
        <x:f>IF(OR(L144="",M144=""),"",ROUND((M144-L144)*86400,0))</x:f>
      </x:c>
      <x:c r="O144" s="12" t="str">
        <x:f>IF(N144="","",N144/86400)</x:f>
      </x:c>
      <x:c r="P144" s="12"/>
      <x:c r="Q144" s="12"/>
      <x:c r="R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 t="str">
        <x:f>IFERROR(INDEX('秒级路线参数_可调整'!$O:$O,MATCH(E145&amp;"|"&amp;H145,'秒级路线参数_可调整'!$A:$A,0)),"")</x:f>
        <x:v>累计秒（自动）</x:v>
      </x:c>
      <x:c r="L145" s="12"/>
      <x:c r="M145" s="12"/>
      <x:c r="N145" s="12" t="str">
        <x:f>IF(OR(L145="",M145=""),"",ROUND((M145-L145)*86400,0))</x:f>
      </x:c>
      <x:c r="O145" s="12" t="str">
        <x:f>IF(N145="","",N145/86400)</x:f>
      </x:c>
      <x:c r="P145" s="12"/>
      <x:c r="Q145" s="12"/>
      <x:c r="R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 t="str">
        <x:f>IFERROR(INDEX('秒级路线参数_可调整'!$O:$O,MATCH(E146&amp;"|"&amp;H146,'秒级路线参数_可调整'!$A:$A,0)),"")</x:f>
        <x:v>累计秒（自动）</x:v>
      </x:c>
      <x:c r="L146" s="12"/>
      <x:c r="M146" s="12"/>
      <x:c r="N146" s="12" t="str">
        <x:f>IF(OR(L146="",M146=""),"",ROUND((M146-L146)*86400,0))</x:f>
      </x:c>
      <x:c r="O146" s="12" t="str">
        <x:f>IF(N146="","",N146/86400)</x:f>
      </x:c>
      <x:c r="P146" s="12"/>
      <x:c r="Q146" s="12"/>
      <x:c r="R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 t="str">
        <x:f>IFERROR(INDEX('秒级路线参数_可调整'!$O:$O,MATCH(E147&amp;"|"&amp;H147,'秒级路线参数_可调整'!$A:$A,0)),"")</x:f>
        <x:v>累计秒（自动）</x:v>
      </x:c>
      <x:c r="L147" s="12"/>
      <x:c r="M147" s="12"/>
      <x:c r="N147" s="12" t="str">
        <x:f>IF(OR(L147="",M147=""),"",ROUND((M147-L147)*86400,0))</x:f>
      </x:c>
      <x:c r="O147" s="12" t="str">
        <x:f>IF(N147="","",N147/86400)</x:f>
      </x:c>
      <x:c r="P147" s="12"/>
      <x:c r="Q147" s="12"/>
      <x:c r="R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 t="str">
        <x:f>IFERROR(INDEX('秒级路线参数_可调整'!$O:$O,MATCH(E148&amp;"|"&amp;H148,'秒级路线参数_可调整'!$A:$A,0)),"")</x:f>
        <x:v>累计秒（自动）</x:v>
      </x:c>
      <x:c r="L148" s="12"/>
      <x:c r="M148" s="12"/>
      <x:c r="N148" s="12" t="str">
        <x:f>IF(OR(L148="",M148=""),"",ROUND((M148-L148)*86400,0))</x:f>
      </x:c>
      <x:c r="O148" s="12" t="str">
        <x:f>IF(N148="","",N148/86400)</x:f>
      </x:c>
      <x:c r="P148" s="12"/>
      <x:c r="Q148" s="12"/>
      <x:c r="R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 t="str">
        <x:f>IFERROR(INDEX('秒级路线参数_可调整'!$O:$O,MATCH(E149&amp;"|"&amp;H149,'秒级路线参数_可调整'!$A:$A,0)),"")</x:f>
        <x:v>累计秒（自动）</x:v>
      </x:c>
      <x:c r="L149" s="12"/>
      <x:c r="M149" s="12"/>
      <x:c r="N149" s="12" t="str">
        <x:f>IF(OR(L149="",M149=""),"",ROUND((M149-L149)*86400,0))</x:f>
      </x:c>
      <x:c r="O149" s="12" t="str">
        <x:f>IF(N149="","",N149/86400)</x:f>
      </x:c>
      <x:c r="P149" s="12"/>
      <x:c r="Q149" s="12"/>
      <x:c r="R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 t="str">
        <x:f>IFERROR(INDEX('秒级路线参数_可调整'!$O:$O,MATCH(E150&amp;"|"&amp;H150,'秒级路线参数_可调整'!$A:$A,0)),"")</x:f>
        <x:v>累计秒（自动）</x:v>
      </x:c>
      <x:c r="L150" s="12"/>
      <x:c r="M150" s="12"/>
      <x:c r="N150" s="12" t="str">
        <x:f>IF(OR(L150="",M150=""),"",ROUND((M150-L150)*86400,0))</x:f>
      </x:c>
      <x:c r="O150" s="12" t="str">
        <x:f>IF(N150="","",N150/86400)</x:f>
      </x:c>
      <x:c r="P150" s="12"/>
      <x:c r="Q150" s="12"/>
      <x:c r="R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 t="str">
        <x:f>IFERROR(INDEX('秒级路线参数_可调整'!$O:$O,MATCH(E151&amp;"|"&amp;H151,'秒级路线参数_可调整'!$A:$A,0)),"")</x:f>
        <x:v>累计秒（自动）</x:v>
      </x:c>
      <x:c r="L151" s="12"/>
      <x:c r="M151" s="12"/>
      <x:c r="N151" s="12" t="str">
        <x:f>IF(OR(L151="",M151=""),"",ROUND((M151-L151)*86400,0))</x:f>
      </x:c>
      <x:c r="O151" s="12" t="str">
        <x:f>IF(N151="","",N151/86400)</x:f>
      </x:c>
      <x:c r="P151" s="12"/>
      <x:c r="Q151" s="12"/>
      <x:c r="R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 t="str">
        <x:f>IFERROR(INDEX('秒级路线参数_可调整'!$O:$O,MATCH(E152&amp;"|"&amp;H152,'秒级路线参数_可调整'!$A:$A,0)),"")</x:f>
        <x:v>累计秒（自动）</x:v>
      </x:c>
      <x:c r="L152" s="12"/>
      <x:c r="M152" s="12"/>
      <x:c r="N152" s="12" t="str">
        <x:f>IF(OR(L152="",M152=""),"",ROUND((M152-L152)*86400,0))</x:f>
      </x:c>
      <x:c r="O152" s="12" t="str">
        <x:f>IF(N152="","",N152/86400)</x:f>
      </x:c>
      <x:c r="P152" s="12"/>
      <x:c r="Q152" s="12"/>
      <x:c r="R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 t="str">
        <x:f>IFERROR(INDEX('秒级路线参数_可调整'!$O:$O,MATCH(E153&amp;"|"&amp;H153,'秒级路线参数_可调整'!$A:$A,0)),"")</x:f>
        <x:v>累计秒（自动）</x:v>
      </x:c>
      <x:c r="L153" s="12"/>
      <x:c r="M153" s="12"/>
      <x:c r="N153" s="12" t="str">
        <x:f>IF(OR(L153="",M153=""),"",ROUND((M153-L153)*86400,0))</x:f>
      </x:c>
      <x:c r="O153" s="12" t="str">
        <x:f>IF(N153="","",N153/86400)</x:f>
      </x:c>
      <x:c r="P153" s="12"/>
      <x:c r="Q153" s="12"/>
      <x:c r="R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 t="str">
        <x:f>IFERROR(INDEX('秒级路线参数_可调整'!$O:$O,MATCH(E154&amp;"|"&amp;H154,'秒级路线参数_可调整'!$A:$A,0)),"")</x:f>
        <x:v>累计秒（自动）</x:v>
      </x:c>
      <x:c r="L154" s="12"/>
      <x:c r="M154" s="12"/>
      <x:c r="N154" s="12" t="str">
        <x:f>IF(OR(L154="",M154=""),"",ROUND((M154-L154)*86400,0))</x:f>
      </x:c>
      <x:c r="O154" s="12" t="str">
        <x:f>IF(N154="","",N154/86400)</x:f>
      </x:c>
      <x:c r="P154" s="12"/>
      <x:c r="Q154" s="12"/>
      <x:c r="R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 t="str">
        <x:f>IFERROR(INDEX('秒级路线参数_可调整'!$O:$O,MATCH(E155&amp;"|"&amp;H155,'秒级路线参数_可调整'!$A:$A,0)),"")</x:f>
        <x:v>累计秒（自动）</x:v>
      </x:c>
      <x:c r="L155" s="12"/>
      <x:c r="M155" s="12"/>
      <x:c r="N155" s="12" t="str">
        <x:f>IF(OR(L155="",M155=""),"",ROUND((M155-L155)*86400,0))</x:f>
      </x:c>
      <x:c r="O155" s="12" t="str">
        <x:f>IF(N155="","",N155/86400)</x:f>
      </x:c>
      <x:c r="P155" s="12"/>
      <x:c r="Q155" s="12"/>
      <x:c r="R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 t="str">
        <x:f>IFERROR(INDEX('秒级路线参数_可调整'!$O:$O,MATCH(E156&amp;"|"&amp;H156,'秒级路线参数_可调整'!$A:$A,0)),"")</x:f>
        <x:v>累计秒（自动）</x:v>
      </x:c>
      <x:c r="L156" s="12"/>
      <x:c r="M156" s="12"/>
      <x:c r="N156" s="12" t="str">
        <x:f>IF(OR(L156="",M156=""),"",ROUND((M156-L156)*86400,0))</x:f>
      </x:c>
      <x:c r="O156" s="12" t="str">
        <x:f>IF(N156="","",N156/86400)</x:f>
      </x:c>
      <x:c r="P156" s="12"/>
      <x:c r="Q156" s="12"/>
      <x:c r="R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 t="str">
        <x:f>IFERROR(INDEX('秒级路线参数_可调整'!$O:$O,MATCH(E157&amp;"|"&amp;H157,'秒级路线参数_可调整'!$A:$A,0)),"")</x:f>
        <x:v>累计秒（自动）</x:v>
      </x:c>
      <x:c r="L157" s="12"/>
      <x:c r="M157" s="12"/>
      <x:c r="N157" s="12" t="str">
        <x:f>IF(OR(L157="",M157=""),"",ROUND((M157-L157)*86400,0))</x:f>
      </x:c>
      <x:c r="O157" s="12" t="str">
        <x:f>IF(N157="","",N157/86400)</x:f>
      </x:c>
      <x:c r="P157" s="12"/>
      <x:c r="Q157" s="12"/>
      <x:c r="R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 t="str">
        <x:f>IFERROR(INDEX('秒级路线参数_可调整'!$O:$O,MATCH(E158&amp;"|"&amp;H158,'秒级路线参数_可调整'!$A:$A,0)),"")</x:f>
        <x:v>累计秒（自动）</x:v>
      </x:c>
      <x:c r="L158" s="12"/>
      <x:c r="M158" s="12"/>
      <x:c r="N158" s="12" t="str">
        <x:f>IF(OR(L158="",M158=""),"",ROUND((M158-L158)*86400,0))</x:f>
      </x:c>
      <x:c r="O158" s="12" t="str">
        <x:f>IF(N158="","",N158/86400)</x:f>
      </x:c>
      <x:c r="P158" s="12"/>
      <x:c r="Q158" s="12"/>
      <x:c r="R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 t="str">
        <x:f>IFERROR(INDEX('秒级路线参数_可调整'!$O:$O,MATCH(E159&amp;"|"&amp;H159,'秒级路线参数_可调整'!$A:$A,0)),"")</x:f>
        <x:v>累计秒（自动）</x:v>
      </x:c>
      <x:c r="L159" s="12"/>
      <x:c r="M159" s="12"/>
      <x:c r="N159" s="12" t="str">
        <x:f>IF(OR(L159="",M159=""),"",ROUND((M159-L159)*86400,0))</x:f>
      </x:c>
      <x:c r="O159" s="12" t="str">
        <x:f>IF(N159="","",N159/86400)</x:f>
      </x:c>
      <x:c r="P159" s="12"/>
      <x:c r="Q159" s="12"/>
      <x:c r="R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 t="str">
        <x:f>IFERROR(INDEX('秒级路线参数_可调整'!$O:$O,MATCH(E160&amp;"|"&amp;H160,'秒级路线参数_可调整'!$A:$A,0)),"")</x:f>
        <x:v>累计秒（自动）</x:v>
      </x:c>
      <x:c r="L160" s="12"/>
      <x:c r="M160" s="12"/>
      <x:c r="N160" s="12" t="str">
        <x:f>IF(OR(L160="",M160=""),"",ROUND((M160-L160)*86400,0))</x:f>
      </x:c>
      <x:c r="O160" s="12" t="str">
        <x:f>IF(N160="","",N160/86400)</x:f>
      </x:c>
      <x:c r="P160" s="12"/>
      <x:c r="Q160" s="12"/>
      <x:c r="R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 t="str">
        <x:f>IFERROR(INDEX('秒级路线参数_可调整'!$O:$O,MATCH(E161&amp;"|"&amp;H161,'秒级路线参数_可调整'!$A:$A,0)),"")</x:f>
        <x:v>累计秒（自动）</x:v>
      </x:c>
      <x:c r="L161" s="12"/>
      <x:c r="M161" s="12"/>
      <x:c r="N161" s="12" t="str">
        <x:f>IF(OR(L161="",M161=""),"",ROUND((M161-L161)*86400,0))</x:f>
      </x:c>
      <x:c r="O161" s="12" t="str">
        <x:f>IF(N161="","",N161/86400)</x:f>
      </x:c>
      <x:c r="P161" s="12"/>
      <x:c r="Q161" s="12"/>
      <x:c r="R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 t="str">
        <x:f>IFERROR(INDEX('秒级路线参数_可调整'!$O:$O,MATCH(E162&amp;"|"&amp;H162,'秒级路线参数_可调整'!$A:$A,0)),"")</x:f>
        <x:v>累计秒（自动）</x:v>
      </x:c>
      <x:c r="L162" s="12"/>
      <x:c r="M162" s="12"/>
      <x:c r="N162" s="12" t="str">
        <x:f>IF(OR(L162="",M162=""),"",ROUND((M162-L162)*86400,0))</x:f>
      </x:c>
      <x:c r="O162" s="12" t="str">
        <x:f>IF(N162="","",N162/86400)</x:f>
      </x:c>
      <x:c r="P162" s="12"/>
      <x:c r="Q162" s="12"/>
      <x:c r="R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 t="str">
        <x:f>IFERROR(INDEX('秒级路线参数_可调整'!$O:$O,MATCH(E163&amp;"|"&amp;H163,'秒级路线参数_可调整'!$A:$A,0)),"")</x:f>
        <x:v>累计秒（自动）</x:v>
      </x:c>
      <x:c r="L163" s="12"/>
      <x:c r="M163" s="12"/>
      <x:c r="N163" s="12" t="str">
        <x:f>IF(OR(L163="",M163=""),"",ROUND((M163-L163)*86400,0))</x:f>
      </x:c>
      <x:c r="O163" s="12" t="str">
        <x:f>IF(N163="","",N163/86400)</x:f>
      </x:c>
      <x:c r="P163" s="12"/>
      <x:c r="Q163" s="12"/>
      <x:c r="R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 t="str">
        <x:f>IFERROR(INDEX('秒级路线参数_可调整'!$O:$O,MATCH(E164&amp;"|"&amp;H164,'秒级路线参数_可调整'!$A:$A,0)),"")</x:f>
        <x:v>累计秒（自动）</x:v>
      </x:c>
      <x:c r="L164" s="12"/>
      <x:c r="M164" s="12"/>
      <x:c r="N164" s="12" t="str">
        <x:f>IF(OR(L164="",M164=""),"",ROUND((M164-L164)*86400,0))</x:f>
      </x:c>
      <x:c r="O164" s="12" t="str">
        <x:f>IF(N164="","",N164/86400)</x:f>
      </x:c>
      <x:c r="P164" s="12"/>
      <x:c r="Q164" s="12"/>
      <x:c r="R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 t="str">
        <x:f>IFERROR(INDEX('秒级路线参数_可调整'!$O:$O,MATCH(E165&amp;"|"&amp;H165,'秒级路线参数_可调整'!$A:$A,0)),"")</x:f>
        <x:v>累计秒（自动）</x:v>
      </x:c>
      <x:c r="L165" s="12"/>
      <x:c r="M165" s="12"/>
      <x:c r="N165" s="12" t="str">
        <x:f>IF(OR(L165="",M165=""),"",ROUND((M165-L165)*86400,0))</x:f>
      </x:c>
      <x:c r="O165" s="12" t="str">
        <x:f>IF(N165="","",N165/86400)</x:f>
      </x:c>
      <x:c r="P165" s="12"/>
      <x:c r="Q165" s="12"/>
      <x:c r="R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 t="str">
        <x:f>IFERROR(INDEX('秒级路线参数_可调整'!$O:$O,MATCH(E166&amp;"|"&amp;H166,'秒级路线参数_可调整'!$A:$A,0)),"")</x:f>
        <x:v>累计秒（自动）</x:v>
      </x:c>
      <x:c r="L166" s="12"/>
      <x:c r="M166" s="12"/>
      <x:c r="N166" s="12" t="str">
        <x:f>IF(OR(L166="",M166=""),"",ROUND((M166-L166)*86400,0))</x:f>
      </x:c>
      <x:c r="O166" s="12" t="str">
        <x:f>IF(N166="","",N166/86400)</x:f>
      </x:c>
      <x:c r="P166" s="12"/>
      <x:c r="Q166" s="12"/>
      <x:c r="R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 t="str">
        <x:f>IFERROR(INDEX('秒级路线参数_可调整'!$O:$O,MATCH(E167&amp;"|"&amp;H167,'秒级路线参数_可调整'!$A:$A,0)),"")</x:f>
        <x:v>累计秒（自动）</x:v>
      </x:c>
      <x:c r="L167" s="12"/>
      <x:c r="M167" s="12"/>
      <x:c r="N167" s="12" t="str">
        <x:f>IF(OR(L167="",M167=""),"",ROUND((M167-L167)*86400,0))</x:f>
      </x:c>
      <x:c r="O167" s="12" t="str">
        <x:f>IF(N167="","",N167/86400)</x:f>
      </x:c>
      <x:c r="P167" s="12"/>
      <x:c r="Q167" s="12"/>
      <x:c r="R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 t="str">
        <x:f>IFERROR(INDEX('秒级路线参数_可调整'!$O:$O,MATCH(E168&amp;"|"&amp;H168,'秒级路线参数_可调整'!$A:$A,0)),"")</x:f>
        <x:v>累计秒（自动）</x:v>
      </x:c>
      <x:c r="L168" s="12"/>
      <x:c r="M168" s="12"/>
      <x:c r="N168" s="12" t="str">
        <x:f>IF(OR(L168="",M168=""),"",ROUND((M168-L168)*86400,0))</x:f>
      </x:c>
      <x:c r="O168" s="12" t="str">
        <x:f>IF(N168="","",N168/86400)</x:f>
      </x:c>
      <x:c r="P168" s="12"/>
      <x:c r="Q168" s="12"/>
      <x:c r="R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 t="str">
        <x:f>IFERROR(INDEX('秒级路线参数_可调整'!$O:$O,MATCH(E169&amp;"|"&amp;H169,'秒级路线参数_可调整'!$A:$A,0)),"")</x:f>
        <x:v>累计秒（自动）</x:v>
      </x:c>
      <x:c r="L169" s="12"/>
      <x:c r="M169" s="12"/>
      <x:c r="N169" s="12" t="str">
        <x:f>IF(OR(L169="",M169=""),"",ROUND((M169-L169)*86400,0))</x:f>
      </x:c>
      <x:c r="O169" s="12" t="str">
        <x:f>IF(N169="","",N169/86400)</x:f>
      </x:c>
      <x:c r="P169" s="12"/>
      <x:c r="Q169" s="12"/>
      <x:c r="R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 t="str">
        <x:f>IFERROR(INDEX('秒级路线参数_可调整'!$O:$O,MATCH(E170&amp;"|"&amp;H170,'秒级路线参数_可调整'!$A:$A,0)),"")</x:f>
        <x:v>累计秒（自动）</x:v>
      </x:c>
      <x:c r="L170" s="12"/>
      <x:c r="M170" s="12"/>
      <x:c r="N170" s="12" t="str">
        <x:f>IF(OR(L170="",M170=""),"",ROUND((M170-L170)*86400,0))</x:f>
      </x:c>
      <x:c r="O170" s="12" t="str">
        <x:f>IF(N170="","",N170/86400)</x:f>
      </x:c>
      <x:c r="P170" s="12"/>
      <x:c r="Q170" s="12"/>
      <x:c r="R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 t="str">
        <x:f>IFERROR(INDEX('秒级路线参数_可调整'!$O:$O,MATCH(E171&amp;"|"&amp;H171,'秒级路线参数_可调整'!$A:$A,0)),"")</x:f>
        <x:v>累计秒（自动）</x:v>
      </x:c>
      <x:c r="L171" s="12"/>
      <x:c r="M171" s="12"/>
      <x:c r="N171" s="12" t="str">
        <x:f>IF(OR(L171="",M171=""),"",ROUND((M171-L171)*86400,0))</x:f>
      </x:c>
      <x:c r="O171" s="12" t="str">
        <x:f>IF(N171="","",N171/86400)</x:f>
      </x:c>
      <x:c r="P171" s="12"/>
      <x:c r="Q171" s="12"/>
      <x:c r="R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 t="str">
        <x:f>IFERROR(INDEX('秒级路线参数_可调整'!$O:$O,MATCH(E172&amp;"|"&amp;H172,'秒级路线参数_可调整'!$A:$A,0)),"")</x:f>
        <x:v>累计秒（自动）</x:v>
      </x:c>
      <x:c r="L172" s="12"/>
      <x:c r="M172" s="12"/>
      <x:c r="N172" s="12" t="str">
        <x:f>IF(OR(L172="",M172=""),"",ROUND((M172-L172)*86400,0))</x:f>
      </x:c>
      <x:c r="O172" s="12" t="str">
        <x:f>IF(N172="","",N172/86400)</x:f>
      </x:c>
      <x:c r="P172" s="12"/>
      <x:c r="Q172" s="12"/>
      <x:c r="R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 t="str">
        <x:f>IFERROR(INDEX('秒级路线参数_可调整'!$O:$O,MATCH(E173&amp;"|"&amp;H173,'秒级路线参数_可调整'!$A:$A,0)),"")</x:f>
        <x:v>累计秒（自动）</x:v>
      </x:c>
      <x:c r="L173" s="12"/>
      <x:c r="M173" s="12"/>
      <x:c r="N173" s="12" t="str">
        <x:f>IF(OR(L173="",M173=""),"",ROUND((M173-L173)*86400,0))</x:f>
      </x:c>
      <x:c r="O173" s="12" t="str">
        <x:f>IF(N173="","",N173/86400)</x:f>
      </x:c>
      <x:c r="P173" s="12"/>
      <x:c r="Q173" s="12"/>
      <x:c r="R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 t="str">
        <x:f>IFERROR(INDEX('秒级路线参数_可调整'!$O:$O,MATCH(E174&amp;"|"&amp;H174,'秒级路线参数_可调整'!$A:$A,0)),"")</x:f>
        <x:v>累计秒（自动）</x:v>
      </x:c>
      <x:c r="L174" s="12"/>
      <x:c r="M174" s="12"/>
      <x:c r="N174" s="12" t="str">
        <x:f>IF(OR(L174="",M174=""),"",ROUND((M174-L174)*86400,0))</x:f>
      </x:c>
      <x:c r="O174" s="12" t="str">
        <x:f>IF(N174="","",N174/86400)</x:f>
      </x:c>
      <x:c r="P174" s="12"/>
      <x:c r="Q174" s="12"/>
      <x:c r="R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 t="str">
        <x:f>IFERROR(INDEX('秒级路线参数_可调整'!$O:$O,MATCH(E175&amp;"|"&amp;H175,'秒级路线参数_可调整'!$A:$A,0)),"")</x:f>
        <x:v>累计秒（自动）</x:v>
      </x:c>
      <x:c r="L175" s="12"/>
      <x:c r="M175" s="12"/>
      <x:c r="N175" s="12" t="str">
        <x:f>IF(OR(L175="",M175=""),"",ROUND((M175-L175)*86400,0))</x:f>
      </x:c>
      <x:c r="O175" s="12" t="str">
        <x:f>IF(N175="","",N175/86400)</x:f>
      </x:c>
      <x:c r="P175" s="12"/>
      <x:c r="Q175" s="12"/>
      <x:c r="R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 t="str">
        <x:f>IFERROR(INDEX('秒级路线参数_可调整'!$O:$O,MATCH(E176&amp;"|"&amp;H176,'秒级路线参数_可调整'!$A:$A,0)),"")</x:f>
        <x:v>累计秒（自动）</x:v>
      </x:c>
      <x:c r="L176" s="12"/>
      <x:c r="M176" s="12"/>
      <x:c r="N176" s="12" t="str">
        <x:f>IF(OR(L176="",M176=""),"",ROUND((M176-L176)*86400,0))</x:f>
      </x:c>
      <x:c r="O176" s="12" t="str">
        <x:f>IF(N176="","",N176/86400)</x:f>
      </x:c>
      <x:c r="P176" s="12"/>
      <x:c r="Q176" s="12"/>
      <x:c r="R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 t="str">
        <x:f>IFERROR(INDEX('秒级路线参数_可调整'!$O:$O,MATCH(E177&amp;"|"&amp;H177,'秒级路线参数_可调整'!$A:$A,0)),"")</x:f>
        <x:v>累计秒（自动）</x:v>
      </x:c>
      <x:c r="L177" s="12"/>
      <x:c r="M177" s="12"/>
      <x:c r="N177" s="12" t="str">
        <x:f>IF(OR(L177="",M177=""),"",ROUND((M177-L177)*86400,0))</x:f>
      </x:c>
      <x:c r="O177" s="12" t="str">
        <x:f>IF(N177="","",N177/86400)</x:f>
      </x:c>
      <x:c r="P177" s="12"/>
      <x:c r="Q177" s="12"/>
      <x:c r="R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 t="str">
        <x:f>IFERROR(INDEX('秒级路线参数_可调整'!$O:$O,MATCH(E178&amp;"|"&amp;H178,'秒级路线参数_可调整'!$A:$A,0)),"")</x:f>
        <x:v>累计秒（自动）</x:v>
      </x:c>
      <x:c r="L178" s="12"/>
      <x:c r="M178" s="12"/>
      <x:c r="N178" s="12" t="str">
        <x:f>IF(OR(L178="",M178=""),"",ROUND((M178-L178)*86400,0))</x:f>
      </x:c>
      <x:c r="O178" s="12" t="str">
        <x:f>IF(N178="","",N178/86400)</x:f>
      </x:c>
      <x:c r="P178" s="12"/>
      <x:c r="Q178" s="12"/>
      <x:c r="R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 t="str">
        <x:f>IFERROR(INDEX('秒级路线参数_可调整'!$O:$O,MATCH(E179&amp;"|"&amp;H179,'秒级路线参数_可调整'!$A:$A,0)),"")</x:f>
        <x:v>累计秒（自动）</x:v>
      </x:c>
      <x:c r="L179" s="12"/>
      <x:c r="M179" s="12"/>
      <x:c r="N179" s="12" t="str">
        <x:f>IF(OR(L179="",M179=""),"",ROUND((M179-L179)*86400,0))</x:f>
      </x:c>
      <x:c r="O179" s="12" t="str">
        <x:f>IF(N179="","",N179/86400)</x:f>
      </x:c>
      <x:c r="P179" s="12"/>
      <x:c r="Q179" s="12"/>
      <x:c r="R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 t="str">
        <x:f>IFERROR(INDEX('秒级路线参数_可调整'!$O:$O,MATCH(E180&amp;"|"&amp;H180,'秒级路线参数_可调整'!$A:$A,0)),"")</x:f>
        <x:v>累计秒（自动）</x:v>
      </x:c>
      <x:c r="L180" s="12"/>
      <x:c r="M180" s="12"/>
      <x:c r="N180" s="12" t="str">
        <x:f>IF(OR(L180="",M180=""),"",ROUND((M180-L180)*86400,0))</x:f>
      </x:c>
      <x:c r="O180" s="12" t="str">
        <x:f>IF(N180="","",N180/86400)</x:f>
      </x:c>
      <x:c r="P180" s="12"/>
      <x:c r="Q180" s="12"/>
      <x:c r="R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 t="str">
        <x:f>IFERROR(INDEX('秒级路线参数_可调整'!$O:$O,MATCH(E181&amp;"|"&amp;H181,'秒级路线参数_可调整'!$A:$A,0)),"")</x:f>
        <x:v>累计秒（自动）</x:v>
      </x:c>
      <x:c r="L181" s="12"/>
      <x:c r="M181" s="12"/>
      <x:c r="N181" s="12" t="str">
        <x:f>IF(OR(L181="",M181=""),"",ROUND((M181-L181)*86400,0))</x:f>
      </x:c>
      <x:c r="O181" s="12" t="str">
        <x:f>IF(N181="","",N181/86400)</x:f>
      </x:c>
      <x:c r="P181" s="12"/>
      <x:c r="Q181" s="12"/>
      <x:c r="R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 t="str">
        <x:f>IFERROR(INDEX('秒级路线参数_可调整'!$O:$O,MATCH(E182&amp;"|"&amp;H182,'秒级路线参数_可调整'!$A:$A,0)),"")</x:f>
        <x:v>累计秒（自动）</x:v>
      </x:c>
      <x:c r="L182" s="12"/>
      <x:c r="M182" s="12"/>
      <x:c r="N182" s="12" t="str">
        <x:f>IF(OR(L182="",M182=""),"",ROUND((M182-L182)*86400,0))</x:f>
      </x:c>
      <x:c r="O182" s="12" t="str">
        <x:f>IF(N182="","",N182/86400)</x:f>
      </x:c>
      <x:c r="P182" s="12"/>
      <x:c r="Q182" s="12"/>
      <x:c r="R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 t="str">
        <x:f>IFERROR(INDEX('秒级路线参数_可调整'!$O:$O,MATCH(E183&amp;"|"&amp;H183,'秒级路线参数_可调整'!$A:$A,0)),"")</x:f>
        <x:v>累计秒（自动）</x:v>
      </x:c>
      <x:c r="L183" s="12"/>
      <x:c r="M183" s="12"/>
      <x:c r="N183" s="12" t="str">
        <x:f>IF(OR(L183="",M183=""),"",ROUND((M183-L183)*86400,0))</x:f>
      </x:c>
      <x:c r="O183" s="12" t="str">
        <x:f>IF(N183="","",N183/86400)</x:f>
      </x:c>
      <x:c r="P183" s="12"/>
      <x:c r="Q183" s="12"/>
      <x:c r="R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 t="str">
        <x:f>IFERROR(INDEX('秒级路线参数_可调整'!$O:$O,MATCH(E184&amp;"|"&amp;H184,'秒级路线参数_可调整'!$A:$A,0)),"")</x:f>
        <x:v>累计秒（自动）</x:v>
      </x:c>
      <x:c r="L184" s="12"/>
      <x:c r="M184" s="12"/>
      <x:c r="N184" s="12" t="str">
        <x:f>IF(OR(L184="",M184=""),"",ROUND((M184-L184)*86400,0))</x:f>
      </x:c>
      <x:c r="O184" s="12" t="str">
        <x:f>IF(N184="","",N184/86400)</x:f>
      </x:c>
      <x:c r="P184" s="12"/>
      <x:c r="Q184" s="12"/>
      <x:c r="R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 t="str">
        <x:f>IFERROR(INDEX('秒级路线参数_可调整'!$O:$O,MATCH(E185&amp;"|"&amp;H185,'秒级路线参数_可调整'!$A:$A,0)),"")</x:f>
        <x:v>累计秒（自动）</x:v>
      </x:c>
      <x:c r="L185" s="12"/>
      <x:c r="M185" s="12"/>
      <x:c r="N185" s="12" t="str">
        <x:f>IF(OR(L185="",M185=""),"",ROUND((M185-L185)*86400,0))</x:f>
      </x:c>
      <x:c r="O185" s="12" t="str">
        <x:f>IF(N185="","",N185/86400)</x:f>
      </x:c>
      <x:c r="P185" s="12"/>
      <x:c r="Q185" s="12"/>
      <x:c r="R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 t="str">
        <x:f>IFERROR(INDEX('秒级路线参数_可调整'!$O:$O,MATCH(E186&amp;"|"&amp;H186,'秒级路线参数_可调整'!$A:$A,0)),"")</x:f>
        <x:v>累计秒（自动）</x:v>
      </x:c>
      <x:c r="L186" s="12"/>
      <x:c r="M186" s="12"/>
      <x:c r="N186" s="12" t="str">
        <x:f>IF(OR(L186="",M186=""),"",ROUND((M186-L186)*86400,0))</x:f>
      </x:c>
      <x:c r="O186" s="12" t="str">
        <x:f>IF(N186="","",N186/86400)</x:f>
      </x:c>
      <x:c r="P186" s="12"/>
      <x:c r="Q186" s="12"/>
      <x:c r="R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 t="str">
        <x:f>IFERROR(INDEX('秒级路线参数_可调整'!$O:$O,MATCH(E187&amp;"|"&amp;H187,'秒级路线参数_可调整'!$A:$A,0)),"")</x:f>
        <x:v>累计秒（自动）</x:v>
      </x:c>
      <x:c r="L187" s="12"/>
      <x:c r="M187" s="12"/>
      <x:c r="N187" s="12" t="str">
        <x:f>IF(OR(L187="",M187=""),"",ROUND((M187-L187)*86400,0))</x:f>
      </x:c>
      <x:c r="O187" s="12" t="str">
        <x:f>IF(N187="","",N187/86400)</x:f>
      </x:c>
      <x:c r="P187" s="12"/>
      <x:c r="Q187" s="12"/>
      <x:c r="R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 t="str">
        <x:f>IFERROR(INDEX('秒级路线参数_可调整'!$O:$O,MATCH(E188&amp;"|"&amp;H188,'秒级路线参数_可调整'!$A:$A,0)),"")</x:f>
        <x:v>累计秒（自动）</x:v>
      </x:c>
      <x:c r="L188" s="12"/>
      <x:c r="M188" s="12"/>
      <x:c r="N188" s="12" t="str">
        <x:f>IF(OR(L188="",M188=""),"",ROUND((M188-L188)*86400,0))</x:f>
      </x:c>
      <x:c r="O188" s="12" t="str">
        <x:f>IF(N188="","",N188/86400)</x:f>
      </x:c>
      <x:c r="P188" s="12"/>
      <x:c r="Q188" s="12"/>
      <x:c r="R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 t="str">
        <x:f>IFERROR(INDEX('秒级路线参数_可调整'!$O:$O,MATCH(E189&amp;"|"&amp;H189,'秒级路线参数_可调整'!$A:$A,0)),"")</x:f>
        <x:v>累计秒（自动）</x:v>
      </x:c>
      <x:c r="L189" s="12"/>
      <x:c r="M189" s="12"/>
      <x:c r="N189" s="12" t="str">
        <x:f>IF(OR(L189="",M189=""),"",ROUND((M189-L189)*86400,0))</x:f>
      </x:c>
      <x:c r="O189" s="12" t="str">
        <x:f>IF(N189="","",N189/86400)</x:f>
      </x:c>
      <x:c r="P189" s="12"/>
      <x:c r="Q189" s="12"/>
      <x:c r="R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 t="str">
        <x:f>IFERROR(INDEX('秒级路线参数_可调整'!$O:$O,MATCH(E190&amp;"|"&amp;H190,'秒级路线参数_可调整'!$A:$A,0)),"")</x:f>
        <x:v>累计秒（自动）</x:v>
      </x:c>
      <x:c r="L190" s="12"/>
      <x:c r="M190" s="12"/>
      <x:c r="N190" s="12" t="str">
        <x:f>IF(OR(L190="",M190=""),"",ROUND((M190-L190)*86400,0))</x:f>
      </x:c>
      <x:c r="O190" s="12" t="str">
        <x:f>IF(N190="","",N190/86400)</x:f>
      </x:c>
      <x:c r="P190" s="12"/>
      <x:c r="Q190" s="12"/>
      <x:c r="R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 t="str">
        <x:f>IFERROR(INDEX('秒级路线参数_可调整'!$O:$O,MATCH(E191&amp;"|"&amp;H191,'秒级路线参数_可调整'!$A:$A,0)),"")</x:f>
        <x:v>累计秒（自动）</x:v>
      </x:c>
      <x:c r="L191" s="12"/>
      <x:c r="M191" s="12"/>
      <x:c r="N191" s="12" t="str">
        <x:f>IF(OR(L191="",M191=""),"",ROUND((M191-L191)*86400,0))</x:f>
      </x:c>
      <x:c r="O191" s="12" t="str">
        <x:f>IF(N191="","",N191/86400)</x:f>
      </x:c>
      <x:c r="P191" s="12"/>
      <x:c r="Q191" s="12"/>
      <x:c r="R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 t="str">
        <x:f>IFERROR(INDEX('秒级路线参数_可调整'!$O:$O,MATCH(E192&amp;"|"&amp;H192,'秒级路线参数_可调整'!$A:$A,0)),"")</x:f>
        <x:v>累计秒（自动）</x:v>
      </x:c>
      <x:c r="L192" s="12"/>
      <x:c r="M192" s="12"/>
      <x:c r="N192" s="12" t="str">
        <x:f>IF(OR(L192="",M192=""),"",ROUND((M192-L192)*86400,0))</x:f>
      </x:c>
      <x:c r="O192" s="12" t="str">
        <x:f>IF(N192="","",N192/86400)</x:f>
      </x:c>
      <x:c r="P192" s="12"/>
      <x:c r="Q192" s="12"/>
      <x:c r="R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 t="str">
        <x:f>IFERROR(INDEX('秒级路线参数_可调整'!$O:$O,MATCH(E193&amp;"|"&amp;H193,'秒级路线参数_可调整'!$A:$A,0)),"")</x:f>
        <x:v>累计秒（自动）</x:v>
      </x:c>
      <x:c r="L193" s="12"/>
      <x:c r="M193" s="12"/>
      <x:c r="N193" s="12" t="str">
        <x:f>IF(OR(L193="",M193=""),"",ROUND((M193-L193)*86400,0))</x:f>
      </x:c>
      <x:c r="O193" s="12" t="str">
        <x:f>IF(N193="","",N193/86400)</x:f>
      </x:c>
      <x:c r="P193" s="12"/>
      <x:c r="Q193" s="12"/>
      <x:c r="R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 t="str">
        <x:f>IFERROR(INDEX('秒级路线参数_可调整'!$O:$O,MATCH(E194&amp;"|"&amp;H194,'秒级路线参数_可调整'!$A:$A,0)),"")</x:f>
        <x:v>累计秒（自动）</x:v>
      </x:c>
      <x:c r="L194" s="12"/>
      <x:c r="M194" s="12"/>
      <x:c r="N194" s="12" t="str">
        <x:f>IF(OR(L194="",M194=""),"",ROUND((M194-L194)*86400,0))</x:f>
      </x:c>
      <x:c r="O194" s="12" t="str">
        <x:f>IF(N194="","",N194/86400)</x:f>
      </x:c>
      <x:c r="P194" s="12"/>
      <x:c r="Q194" s="12"/>
      <x:c r="R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 t="str">
        <x:f>IFERROR(INDEX('秒级路线参数_可调整'!$O:$O,MATCH(E195&amp;"|"&amp;H195,'秒级路线参数_可调整'!$A:$A,0)),"")</x:f>
        <x:v>累计秒（自动）</x:v>
      </x:c>
      <x:c r="L195" s="12"/>
      <x:c r="M195" s="12"/>
      <x:c r="N195" s="12" t="str">
        <x:f>IF(OR(L195="",M195=""),"",ROUND((M195-L195)*86400,0))</x:f>
      </x:c>
      <x:c r="O195" s="12" t="str">
        <x:f>IF(N195="","",N195/86400)</x:f>
      </x:c>
      <x:c r="P195" s="12"/>
      <x:c r="Q195" s="12"/>
      <x:c r="R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 t="str">
        <x:f>IFERROR(INDEX('秒级路线参数_可调整'!$O:$O,MATCH(E196&amp;"|"&amp;H196,'秒级路线参数_可调整'!$A:$A,0)),"")</x:f>
        <x:v>累计秒（自动）</x:v>
      </x:c>
      <x:c r="L196" s="12"/>
      <x:c r="M196" s="12"/>
      <x:c r="N196" s="12" t="str">
        <x:f>IF(OR(L196="",M196=""),"",ROUND((M196-L196)*86400,0))</x:f>
      </x:c>
      <x:c r="O196" s="12" t="str">
        <x:f>IF(N196="","",N196/86400)</x:f>
      </x:c>
      <x:c r="P196" s="12"/>
      <x:c r="Q196" s="12"/>
      <x:c r="R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 t="str">
        <x:f>IFERROR(INDEX('秒级路线参数_可调整'!$O:$O,MATCH(E197&amp;"|"&amp;H197,'秒级路线参数_可调整'!$A:$A,0)),"")</x:f>
        <x:v>累计秒（自动）</x:v>
      </x:c>
      <x:c r="L197" s="12"/>
      <x:c r="M197" s="12"/>
      <x:c r="N197" s="12" t="str">
        <x:f>IF(OR(L197="",M197=""),"",ROUND((M197-L197)*86400,0))</x:f>
      </x:c>
      <x:c r="O197" s="12" t="str">
        <x:f>IF(N197="","",N197/86400)</x:f>
      </x:c>
      <x:c r="P197" s="12"/>
      <x:c r="Q197" s="12"/>
      <x:c r="R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 t="str">
        <x:f>IFERROR(INDEX('秒级路线参数_可调整'!$O:$O,MATCH(E198&amp;"|"&amp;H198,'秒级路线参数_可调整'!$A:$A,0)),"")</x:f>
        <x:v>累计秒（自动）</x:v>
      </x:c>
      <x:c r="L198" s="12"/>
      <x:c r="M198" s="12"/>
      <x:c r="N198" s="12" t="str">
        <x:f>IF(OR(L198="",M198=""),"",ROUND((M198-L198)*86400,0))</x:f>
      </x:c>
      <x:c r="O198" s="12" t="str">
        <x:f>IF(N198="","",N198/86400)</x:f>
      </x:c>
      <x:c r="P198" s="12"/>
      <x:c r="Q198" s="12"/>
      <x:c r="R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 t="str">
        <x:f>IFERROR(INDEX('秒级路线参数_可调整'!$O:$O,MATCH(E199&amp;"|"&amp;H199,'秒级路线参数_可调整'!$A:$A,0)),"")</x:f>
        <x:v>累计秒（自动）</x:v>
      </x:c>
      <x:c r="L199" s="12"/>
      <x:c r="M199" s="12"/>
      <x:c r="N199" s="12" t="str">
        <x:f>IF(OR(L199="",M199=""),"",ROUND((M199-L199)*86400,0))</x:f>
      </x:c>
      <x:c r="O199" s="12" t="str">
        <x:f>IF(N199="","",N199/86400)</x:f>
      </x:c>
      <x:c r="P199" s="12"/>
      <x:c r="Q199" s="12"/>
      <x:c r="R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 t="str">
        <x:f>IFERROR(INDEX('秒级路线参数_可调整'!$O:$O,MATCH(E200&amp;"|"&amp;H200,'秒级路线参数_可调整'!$A:$A,0)),"")</x:f>
        <x:v>累计秒（自动）</x:v>
      </x:c>
      <x:c r="L200" s="12"/>
      <x:c r="M200" s="12"/>
      <x:c r="N200" s="12" t="str">
        <x:f>IF(OR(L200="",M200=""),"",ROUND((M200-L200)*86400,0))</x:f>
      </x:c>
      <x:c r="O200" s="12" t="str">
        <x:f>IF(N200="","",N200/86400)</x:f>
      </x:c>
      <x:c r="P200" s="12"/>
      <x:c r="Q200" s="12"/>
      <x:c r="R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 t="str">
        <x:f>IFERROR(INDEX('秒级路线参数_可调整'!$O:$O,MATCH(E201&amp;"|"&amp;H201,'秒级路线参数_可调整'!$A:$A,0)),"")</x:f>
        <x:v>累计秒（自动）</x:v>
      </x:c>
      <x:c r="L201" s="12"/>
      <x:c r="M201" s="12"/>
      <x:c r="N201" s="12" t="str">
        <x:f>IF(OR(L201="",M201=""),"",ROUND((M201-L201)*86400,0))</x:f>
      </x:c>
      <x:c r="O201" s="12" t="str">
        <x:f>IF(N201="","",N201/86400)</x:f>
      </x:c>
      <x:c r="P201" s="12"/>
      <x:c r="Q201" s="12"/>
      <x:c r="R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 t="str">
        <x:f>IFERROR(INDEX('秒级路线参数_可调整'!$O:$O,MATCH(E202&amp;"|"&amp;H202,'秒级路线参数_可调整'!$A:$A,0)),"")</x:f>
        <x:v>累计秒（自动）</x:v>
      </x:c>
      <x:c r="L202" s="12"/>
      <x:c r="M202" s="12"/>
      <x:c r="N202" s="12" t="str">
        <x:f>IF(OR(L202="",M202=""),"",ROUND((M202-L202)*86400,0))</x:f>
      </x:c>
      <x:c r="O202" s="12" t="str">
        <x:f>IF(N202="","",N202/86400)</x:f>
      </x:c>
      <x:c r="P202" s="12"/>
      <x:c r="Q202" s="12"/>
      <x:c r="R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 t="str">
        <x:f>IFERROR(INDEX('秒级路线参数_可调整'!$O:$O,MATCH(E203&amp;"|"&amp;H203,'秒级路线参数_可调整'!$A:$A,0)),"")</x:f>
        <x:v>累计秒（自动）</x:v>
      </x:c>
      <x:c r="L203" s="12"/>
      <x:c r="M203" s="12"/>
      <x:c r="N203" s="12" t="str">
        <x:f>IF(OR(L203="",M203=""),"",ROUND((M203-L203)*86400,0))</x:f>
      </x:c>
      <x:c r="O203" s="12" t="str">
        <x:f>IF(N203="","",N203/86400)</x:f>
      </x:c>
      <x:c r="P203" s="12"/>
      <x:c r="Q203" s="12"/>
      <x:c r="R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 t="str">
        <x:f>IFERROR(INDEX('秒级路线参数_可调整'!$O:$O,MATCH(E204&amp;"|"&amp;H204,'秒级路线参数_可调整'!$A:$A,0)),"")</x:f>
        <x:v>累计秒（自动）</x:v>
      </x:c>
      <x:c r="L204" s="12"/>
      <x:c r="M204" s="12"/>
      <x:c r="N204" s="12" t="str">
        <x:f>IF(OR(L204="",M204=""),"",ROUND((M204-L204)*86400,0))</x:f>
      </x:c>
      <x:c r="O204" s="12" t="str">
        <x:f>IF(N204="","",N204/86400)</x:f>
      </x:c>
      <x:c r="P204" s="12"/>
      <x:c r="Q204" s="12"/>
      <x:c r="R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 t="str">
        <x:f>IFERROR(INDEX('秒级路线参数_可调整'!$O:$O,MATCH(E205&amp;"|"&amp;H205,'秒级路线参数_可调整'!$A:$A,0)),"")</x:f>
        <x:v>累计秒（自动）</x:v>
      </x:c>
      <x:c r="L205" s="12"/>
      <x:c r="M205" s="12"/>
      <x:c r="N205" s="12" t="str">
        <x:f>IF(OR(L205="",M205=""),"",ROUND((M205-L205)*86400,0))</x:f>
      </x:c>
      <x:c r="O205" s="12" t="str">
        <x:f>IF(N205="","",N205/86400)</x:f>
      </x:c>
      <x:c r="P205" s="12"/>
      <x:c r="Q205" s="12"/>
      <x:c r="R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 t="str">
        <x:f>IFERROR(INDEX('秒级路线参数_可调整'!$O:$O,MATCH(E206&amp;"|"&amp;H206,'秒级路线参数_可调整'!$A:$A,0)),"")</x:f>
        <x:v>累计秒（自动）</x:v>
      </x:c>
      <x:c r="L206" s="12"/>
      <x:c r="M206" s="12"/>
      <x:c r="N206" s="12" t="str">
        <x:f>IF(OR(L206="",M206=""),"",ROUND((M206-L206)*86400,0))</x:f>
      </x:c>
      <x:c r="O206" s="12" t="str">
        <x:f>IF(N206="","",N206/86400)</x:f>
      </x:c>
      <x:c r="P206" s="12"/>
      <x:c r="Q206" s="12"/>
      <x:c r="R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 t="str">
        <x:f>IFERROR(INDEX('秒级路线参数_可调整'!$O:$O,MATCH(E207&amp;"|"&amp;H207,'秒级路线参数_可调整'!$A:$A,0)),"")</x:f>
        <x:v>累计秒（自动）</x:v>
      </x:c>
      <x:c r="L207" s="12"/>
      <x:c r="M207" s="12"/>
      <x:c r="N207" s="12" t="str">
        <x:f>IF(OR(L207="",M207=""),"",ROUND((M207-L207)*86400,0))</x:f>
      </x:c>
      <x:c r="O207" s="12" t="str">
        <x:f>IF(N207="","",N207/86400)</x:f>
      </x:c>
      <x:c r="P207" s="12"/>
      <x:c r="Q207" s="12"/>
      <x:c r="R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 t="str">
        <x:f>IFERROR(INDEX('秒级路线参数_可调整'!$O:$O,MATCH(E208&amp;"|"&amp;H208,'秒级路线参数_可调整'!$A:$A,0)),"")</x:f>
        <x:v>累计秒（自动）</x:v>
      </x:c>
      <x:c r="L208" s="12"/>
      <x:c r="M208" s="12"/>
      <x:c r="N208" s="12" t="str">
        <x:f>IF(OR(L208="",M208=""),"",ROUND((M208-L208)*86400,0))</x:f>
      </x:c>
      <x:c r="O208" s="12" t="str">
        <x:f>IF(N208="","",N208/86400)</x:f>
      </x:c>
      <x:c r="P208" s="12"/>
      <x:c r="Q208" s="12"/>
      <x:c r="R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 t="str">
        <x:f>IFERROR(INDEX('秒级路线参数_可调整'!$O:$O,MATCH(E209&amp;"|"&amp;H209,'秒级路线参数_可调整'!$A:$A,0)),"")</x:f>
        <x:v>累计秒（自动）</x:v>
      </x:c>
      <x:c r="L209" s="12"/>
      <x:c r="M209" s="12"/>
      <x:c r="N209" s="12" t="str">
        <x:f>IF(OR(L209="",M209=""),"",ROUND((M209-L209)*86400,0))</x:f>
      </x:c>
      <x:c r="O209" s="12" t="str">
        <x:f>IF(N209="","",N209/86400)</x:f>
      </x:c>
      <x:c r="P209" s="12"/>
      <x:c r="Q209" s="12"/>
      <x:c r="R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 t="str">
        <x:f>IFERROR(INDEX('秒级路线参数_可调整'!$O:$O,MATCH(E210&amp;"|"&amp;H210,'秒级路线参数_可调整'!$A:$A,0)),"")</x:f>
        <x:v>累计秒（自动）</x:v>
      </x:c>
      <x:c r="L210" s="12"/>
      <x:c r="M210" s="12"/>
      <x:c r="N210" s="12" t="str">
        <x:f>IF(OR(L210="",M210=""),"",ROUND((M210-L210)*86400,0))</x:f>
      </x:c>
      <x:c r="O210" s="12" t="str">
        <x:f>IF(N210="","",N210/86400)</x:f>
      </x:c>
      <x:c r="P210" s="12"/>
      <x:c r="Q210" s="12"/>
      <x:c r="R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 t="str">
        <x:f>IFERROR(INDEX('秒级路线参数_可调整'!$O:$O,MATCH(E211&amp;"|"&amp;H211,'秒级路线参数_可调整'!$A:$A,0)),"")</x:f>
        <x:v>累计秒（自动）</x:v>
      </x:c>
      <x:c r="L211" s="12"/>
      <x:c r="M211" s="12"/>
      <x:c r="N211" s="12" t="str">
        <x:f>IF(OR(L211="",M211=""),"",ROUND((M211-L211)*86400,0))</x:f>
      </x:c>
      <x:c r="O211" s="12" t="str">
        <x:f>IF(N211="","",N211/86400)</x:f>
      </x:c>
      <x:c r="P211" s="12"/>
      <x:c r="Q211" s="12"/>
      <x:c r="R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 t="str">
        <x:f>IFERROR(INDEX('秒级路线参数_可调整'!$O:$O,MATCH(E212&amp;"|"&amp;H212,'秒级路线参数_可调整'!$A:$A,0)),"")</x:f>
        <x:v>累计秒（自动）</x:v>
      </x:c>
      <x:c r="L212" s="12"/>
      <x:c r="M212" s="12"/>
      <x:c r="N212" s="12" t="str">
        <x:f>IF(OR(L212="",M212=""),"",ROUND((M212-L212)*86400,0))</x:f>
      </x:c>
      <x:c r="O212" s="12" t="str">
        <x:f>IF(N212="","",N212/86400)</x:f>
      </x:c>
      <x:c r="P212" s="12"/>
      <x:c r="Q212" s="12"/>
      <x:c r="R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 t="str">
        <x:f>IFERROR(INDEX('秒级路线参数_可调整'!$O:$O,MATCH(E213&amp;"|"&amp;H213,'秒级路线参数_可调整'!$A:$A,0)),"")</x:f>
        <x:v>累计秒（自动）</x:v>
      </x:c>
      <x:c r="L213" s="12"/>
      <x:c r="M213" s="12"/>
      <x:c r="N213" s="12" t="str">
        <x:f>IF(OR(L213="",M213=""),"",ROUND((M213-L213)*86400,0))</x:f>
      </x:c>
      <x:c r="O213" s="12" t="str">
        <x:f>IF(N213="","",N213/86400)</x:f>
      </x:c>
      <x:c r="P213" s="12"/>
      <x:c r="Q213" s="12"/>
      <x:c r="R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 t="str">
        <x:f>IFERROR(INDEX('秒级路线参数_可调整'!$O:$O,MATCH(E214&amp;"|"&amp;H214,'秒级路线参数_可调整'!$A:$A,0)),"")</x:f>
        <x:v>累计秒（自动）</x:v>
      </x:c>
      <x:c r="L214" s="12"/>
      <x:c r="M214" s="12"/>
      <x:c r="N214" s="12" t="str">
        <x:f>IF(OR(L214="",M214=""),"",ROUND((M214-L214)*86400,0))</x:f>
      </x:c>
      <x:c r="O214" s="12" t="str">
        <x:f>IF(N214="","",N214/86400)</x:f>
      </x:c>
      <x:c r="P214" s="12"/>
      <x:c r="Q214" s="12"/>
      <x:c r="R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 t="str">
        <x:f>IFERROR(INDEX('秒级路线参数_可调整'!$O:$O,MATCH(E215&amp;"|"&amp;H215,'秒级路线参数_可调整'!$A:$A,0)),"")</x:f>
        <x:v>累计秒（自动）</x:v>
      </x:c>
      <x:c r="L215" s="12"/>
      <x:c r="M215" s="12"/>
      <x:c r="N215" s="12" t="str">
        <x:f>IF(OR(L215="",M215=""),"",ROUND((M215-L215)*86400,0))</x:f>
      </x:c>
      <x:c r="O215" s="12" t="str">
        <x:f>IF(N215="","",N215/86400)</x:f>
      </x:c>
      <x:c r="P215" s="12"/>
      <x:c r="Q215" s="12"/>
      <x:c r="R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 t="str">
        <x:f>IFERROR(INDEX('秒级路线参数_可调整'!$O:$O,MATCH(E216&amp;"|"&amp;H216,'秒级路线参数_可调整'!$A:$A,0)),"")</x:f>
        <x:v>累计秒（自动）</x:v>
      </x:c>
      <x:c r="L216" s="12"/>
      <x:c r="M216" s="12"/>
      <x:c r="N216" s="12" t="str">
        <x:f>IF(OR(L216="",M216=""),"",ROUND((M216-L216)*86400,0))</x:f>
      </x:c>
      <x:c r="O216" s="12" t="str">
        <x:f>IF(N216="","",N216/86400)</x:f>
      </x:c>
      <x:c r="P216" s="12"/>
      <x:c r="Q216" s="12"/>
      <x:c r="R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 t="str">
        <x:f>IFERROR(INDEX('秒级路线参数_可调整'!$O:$O,MATCH(E217&amp;"|"&amp;H217,'秒级路线参数_可调整'!$A:$A,0)),"")</x:f>
        <x:v>累计秒（自动）</x:v>
      </x:c>
      <x:c r="L217" s="12"/>
      <x:c r="M217" s="12"/>
      <x:c r="N217" s="12" t="str">
        <x:f>IF(OR(L217="",M217=""),"",ROUND((M217-L217)*86400,0))</x:f>
      </x:c>
      <x:c r="O217" s="12" t="str">
        <x:f>IF(N217="","",N217/86400)</x:f>
      </x:c>
      <x:c r="P217" s="12"/>
      <x:c r="Q217" s="12"/>
      <x:c r="R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 t="str">
        <x:f>IFERROR(INDEX('秒级路线参数_可调整'!$O:$O,MATCH(E218&amp;"|"&amp;H218,'秒级路线参数_可调整'!$A:$A,0)),"")</x:f>
        <x:v>累计秒（自动）</x:v>
      </x:c>
      <x:c r="L218" s="12"/>
      <x:c r="M218" s="12"/>
      <x:c r="N218" s="12" t="str">
        <x:f>IF(OR(L218="",M218=""),"",ROUND((M218-L218)*86400,0))</x:f>
      </x:c>
      <x:c r="O218" s="12" t="str">
        <x:f>IF(N218="","",N218/86400)</x:f>
      </x:c>
      <x:c r="P218" s="12"/>
      <x:c r="Q218" s="12"/>
      <x:c r="R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 t="str">
        <x:f>IFERROR(INDEX('秒级路线参数_可调整'!$O:$O,MATCH(E219&amp;"|"&amp;H219,'秒级路线参数_可调整'!$A:$A,0)),"")</x:f>
        <x:v>累计秒（自动）</x:v>
      </x:c>
      <x:c r="L219" s="12"/>
      <x:c r="M219" s="12"/>
      <x:c r="N219" s="12" t="str">
        <x:f>IF(OR(L219="",M219=""),"",ROUND((M219-L219)*86400,0))</x:f>
      </x:c>
      <x:c r="O219" s="12" t="str">
        <x:f>IF(N219="","",N219/86400)</x:f>
      </x:c>
      <x:c r="P219" s="12"/>
      <x:c r="Q219" s="12"/>
      <x:c r="R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 t="str">
        <x:f>IFERROR(INDEX('秒级路线参数_可调整'!$O:$O,MATCH(E220&amp;"|"&amp;H220,'秒级路线参数_可调整'!$A:$A,0)),"")</x:f>
        <x:v>累计秒（自动）</x:v>
      </x:c>
      <x:c r="L220" s="12"/>
      <x:c r="M220" s="12"/>
      <x:c r="N220" s="12" t="str">
        <x:f>IF(OR(L220="",M220=""),"",ROUND((M220-L220)*86400,0))</x:f>
      </x:c>
      <x:c r="O220" s="12" t="str">
        <x:f>IF(N220="","",N220/86400)</x:f>
      </x:c>
      <x:c r="P220" s="12"/>
      <x:c r="Q220" s="12"/>
      <x:c r="R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 t="str">
        <x:f>IFERROR(INDEX('秒级路线参数_可调整'!$O:$O,MATCH(E221&amp;"|"&amp;H221,'秒级路线参数_可调整'!$A:$A,0)),"")</x:f>
        <x:v>累计秒（自动）</x:v>
      </x:c>
      <x:c r="L221" s="12"/>
      <x:c r="M221" s="12"/>
      <x:c r="N221" s="12" t="str">
        <x:f>IF(OR(L221="",M221=""),"",ROUND((M221-L221)*86400,0))</x:f>
      </x:c>
      <x:c r="O221" s="12" t="str">
        <x:f>IF(N221="","",N221/86400)</x:f>
      </x:c>
      <x:c r="P221" s="12"/>
      <x:c r="Q221" s="12"/>
      <x:c r="R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 t="str">
        <x:f>IFERROR(INDEX('秒级路线参数_可调整'!$O:$O,MATCH(E222&amp;"|"&amp;H222,'秒级路线参数_可调整'!$A:$A,0)),"")</x:f>
        <x:v>累计秒（自动）</x:v>
      </x:c>
      <x:c r="L222" s="12"/>
      <x:c r="M222" s="12"/>
      <x:c r="N222" s="12" t="str">
        <x:f>IF(OR(L222="",M222=""),"",ROUND((M222-L222)*86400,0))</x:f>
      </x:c>
      <x:c r="O222" s="12" t="str">
        <x:f>IF(N222="","",N222/86400)</x:f>
      </x:c>
      <x:c r="P222" s="12"/>
      <x:c r="Q222" s="12"/>
      <x:c r="R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 t="str">
        <x:f>IFERROR(INDEX('秒级路线参数_可调整'!$O:$O,MATCH(E223&amp;"|"&amp;H223,'秒级路线参数_可调整'!$A:$A,0)),"")</x:f>
        <x:v>累计秒（自动）</x:v>
      </x:c>
      <x:c r="L223" s="12"/>
      <x:c r="M223" s="12"/>
      <x:c r="N223" s="12" t="str">
        <x:f>IF(OR(L223="",M223=""),"",ROUND((M223-L223)*86400,0))</x:f>
      </x:c>
      <x:c r="O223" s="12" t="str">
        <x:f>IF(N223="","",N223/86400)</x:f>
      </x:c>
      <x:c r="P223" s="12"/>
      <x:c r="Q223" s="12"/>
      <x:c r="R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 t="str">
        <x:f>IFERROR(INDEX('秒级路线参数_可调整'!$O:$O,MATCH(E224&amp;"|"&amp;H224,'秒级路线参数_可调整'!$A:$A,0)),"")</x:f>
        <x:v>累计秒（自动）</x:v>
      </x:c>
      <x:c r="L224" s="12"/>
      <x:c r="M224" s="12"/>
      <x:c r="N224" s="12" t="str">
        <x:f>IF(OR(L224="",M224=""),"",ROUND((M224-L224)*86400,0))</x:f>
      </x:c>
      <x:c r="O224" s="12" t="str">
        <x:f>IF(N224="","",N224/86400)</x:f>
      </x:c>
      <x:c r="P224" s="12"/>
      <x:c r="Q224" s="12"/>
      <x:c r="R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 t="str">
        <x:f>IFERROR(INDEX('秒级路线参数_可调整'!$O:$O,MATCH(E225&amp;"|"&amp;H225,'秒级路线参数_可调整'!$A:$A,0)),"")</x:f>
        <x:v>累计秒（自动）</x:v>
      </x:c>
      <x:c r="L225" s="12"/>
      <x:c r="M225" s="12"/>
      <x:c r="N225" s="12" t="str">
        <x:f>IF(OR(L225="",M225=""),"",ROUND((M225-L225)*86400,0))</x:f>
      </x:c>
      <x:c r="O225" s="12" t="str">
        <x:f>IF(N225="","",N225/86400)</x:f>
      </x:c>
      <x:c r="P225" s="12"/>
      <x:c r="Q225" s="12"/>
      <x:c r="R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 t="str">
        <x:f>IFERROR(INDEX('秒级路线参数_可调整'!$O:$O,MATCH(E226&amp;"|"&amp;H226,'秒级路线参数_可调整'!$A:$A,0)),"")</x:f>
        <x:v>累计秒（自动）</x:v>
      </x:c>
      <x:c r="L226" s="12"/>
      <x:c r="M226" s="12"/>
      <x:c r="N226" s="12" t="str">
        <x:f>IF(OR(L226="",M226=""),"",ROUND((M226-L226)*86400,0))</x:f>
      </x:c>
      <x:c r="O226" s="12" t="str">
        <x:f>IF(N226="","",N226/86400)</x:f>
      </x:c>
      <x:c r="P226" s="12"/>
      <x:c r="Q226" s="12"/>
      <x:c r="R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 t="str">
        <x:f>IFERROR(INDEX('秒级路线参数_可调整'!$O:$O,MATCH(E227&amp;"|"&amp;H227,'秒级路线参数_可调整'!$A:$A,0)),"")</x:f>
        <x:v>累计秒（自动）</x:v>
      </x:c>
      <x:c r="L227" s="12"/>
      <x:c r="M227" s="12"/>
      <x:c r="N227" s="12" t="str">
        <x:f>IF(OR(L227="",M227=""),"",ROUND((M227-L227)*86400,0))</x:f>
      </x:c>
      <x:c r="O227" s="12" t="str">
        <x:f>IF(N227="","",N227/86400)</x:f>
      </x:c>
      <x:c r="P227" s="12"/>
      <x:c r="Q227" s="12"/>
      <x:c r="R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 t="str">
        <x:f>IFERROR(INDEX('秒级路线参数_可调整'!$O:$O,MATCH(E228&amp;"|"&amp;H228,'秒级路线参数_可调整'!$A:$A,0)),"")</x:f>
        <x:v>累计秒（自动）</x:v>
      </x:c>
      <x:c r="L228" s="12"/>
      <x:c r="M228" s="12"/>
      <x:c r="N228" s="12" t="str">
        <x:f>IF(OR(L228="",M228=""),"",ROUND((M228-L228)*86400,0))</x:f>
      </x:c>
      <x:c r="O228" s="12" t="str">
        <x:f>IF(N228="","",N228/86400)</x:f>
      </x:c>
      <x:c r="P228" s="12"/>
      <x:c r="Q228" s="12"/>
      <x:c r="R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 t="str">
        <x:f>IFERROR(INDEX('秒级路线参数_可调整'!$O:$O,MATCH(E229&amp;"|"&amp;H229,'秒级路线参数_可调整'!$A:$A,0)),"")</x:f>
        <x:v>累计秒（自动）</x:v>
      </x:c>
      <x:c r="L229" s="12"/>
      <x:c r="M229" s="12"/>
      <x:c r="N229" s="12" t="str">
        <x:f>IF(OR(L229="",M229=""),"",ROUND((M229-L229)*86400,0))</x:f>
      </x:c>
      <x:c r="O229" s="12" t="str">
        <x:f>IF(N229="","",N229/86400)</x:f>
      </x:c>
      <x:c r="P229" s="12"/>
      <x:c r="Q229" s="12"/>
      <x:c r="R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 t="str">
        <x:f>IFERROR(INDEX('秒级路线参数_可调整'!$O:$O,MATCH(E230&amp;"|"&amp;H230,'秒级路线参数_可调整'!$A:$A,0)),"")</x:f>
        <x:v>累计秒（自动）</x:v>
      </x:c>
      <x:c r="L230" s="12"/>
      <x:c r="M230" s="12"/>
      <x:c r="N230" s="12" t="str">
        <x:f>IF(OR(L230="",M230=""),"",ROUND((M230-L230)*86400,0))</x:f>
      </x:c>
      <x:c r="O230" s="12" t="str">
        <x:f>IF(N230="","",N230/86400)</x:f>
      </x:c>
      <x:c r="P230" s="12"/>
      <x:c r="Q230" s="12"/>
      <x:c r="R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 t="str">
        <x:f>IFERROR(INDEX('秒级路线参数_可调整'!$O:$O,MATCH(E231&amp;"|"&amp;H231,'秒级路线参数_可调整'!$A:$A,0)),"")</x:f>
        <x:v>累计秒（自动）</x:v>
      </x:c>
      <x:c r="L231" s="12"/>
      <x:c r="M231" s="12"/>
      <x:c r="N231" s="12" t="str">
        <x:f>IF(OR(L231="",M231=""),"",ROUND((M231-L231)*86400,0))</x:f>
      </x:c>
      <x:c r="O231" s="12" t="str">
        <x:f>IF(N231="","",N231/86400)</x:f>
      </x:c>
      <x:c r="P231" s="12"/>
      <x:c r="Q231" s="12"/>
      <x:c r="R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 t="str">
        <x:f>IFERROR(INDEX('秒级路线参数_可调整'!$O:$O,MATCH(E232&amp;"|"&amp;H232,'秒级路线参数_可调整'!$A:$A,0)),"")</x:f>
        <x:v>累计秒（自动）</x:v>
      </x:c>
      <x:c r="L232" s="12"/>
      <x:c r="M232" s="12"/>
      <x:c r="N232" s="12" t="str">
        <x:f>IF(OR(L232="",M232=""),"",ROUND((M232-L232)*86400,0))</x:f>
      </x:c>
      <x:c r="O232" s="12" t="str">
        <x:f>IF(N232="","",N232/86400)</x:f>
      </x:c>
      <x:c r="P232" s="12"/>
      <x:c r="Q232" s="12"/>
      <x:c r="R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 t="str">
        <x:f>IFERROR(INDEX('秒级路线参数_可调整'!$O:$O,MATCH(E233&amp;"|"&amp;H233,'秒级路线参数_可调整'!$A:$A,0)),"")</x:f>
        <x:v>累计秒（自动）</x:v>
      </x:c>
      <x:c r="L233" s="12"/>
      <x:c r="M233" s="12"/>
      <x:c r="N233" s="12" t="str">
        <x:f>IF(OR(L233="",M233=""),"",ROUND((M233-L233)*86400,0))</x:f>
      </x:c>
      <x:c r="O233" s="12" t="str">
        <x:f>IF(N233="","",N233/86400)</x:f>
      </x:c>
      <x:c r="P233" s="12"/>
      <x:c r="Q233" s="12"/>
      <x:c r="R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 t="str">
        <x:f>IFERROR(INDEX('秒级路线参数_可调整'!$O:$O,MATCH(E234&amp;"|"&amp;H234,'秒级路线参数_可调整'!$A:$A,0)),"")</x:f>
        <x:v>累计秒（自动）</x:v>
      </x:c>
      <x:c r="L234" s="12"/>
      <x:c r="M234" s="12"/>
      <x:c r="N234" s="12" t="str">
        <x:f>IF(OR(L234="",M234=""),"",ROUND((M234-L234)*86400,0))</x:f>
      </x:c>
      <x:c r="O234" s="12" t="str">
        <x:f>IF(N234="","",N234/86400)</x:f>
      </x:c>
      <x:c r="P234" s="12"/>
      <x:c r="Q234" s="12"/>
      <x:c r="R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 t="str">
        <x:f>IFERROR(INDEX('秒级路线参数_可调整'!$O:$O,MATCH(E235&amp;"|"&amp;H235,'秒级路线参数_可调整'!$A:$A,0)),"")</x:f>
        <x:v>累计秒（自动）</x:v>
      </x:c>
      <x:c r="L235" s="12"/>
      <x:c r="M235" s="12"/>
      <x:c r="N235" s="12" t="str">
        <x:f>IF(OR(L235="",M235=""),"",ROUND((M235-L235)*86400,0))</x:f>
      </x:c>
      <x:c r="O235" s="12" t="str">
        <x:f>IF(N235="","",N235/86400)</x:f>
      </x:c>
      <x:c r="P235" s="12"/>
      <x:c r="Q235" s="12"/>
      <x:c r="R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 t="str">
        <x:f>IFERROR(INDEX('秒级路线参数_可调整'!$O:$O,MATCH(E236&amp;"|"&amp;H236,'秒级路线参数_可调整'!$A:$A,0)),"")</x:f>
        <x:v>累计秒（自动）</x:v>
      </x:c>
      <x:c r="L236" s="12"/>
      <x:c r="M236" s="12"/>
      <x:c r="N236" s="12" t="str">
        <x:f>IF(OR(L236="",M236=""),"",ROUND((M236-L236)*86400,0))</x:f>
      </x:c>
      <x:c r="O236" s="12" t="str">
        <x:f>IF(N236="","",N236/86400)</x:f>
      </x:c>
      <x:c r="P236" s="12"/>
      <x:c r="Q236" s="12"/>
      <x:c r="R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 t="str">
        <x:f>IFERROR(INDEX('秒级路线参数_可调整'!$O:$O,MATCH(E237&amp;"|"&amp;H237,'秒级路线参数_可调整'!$A:$A,0)),"")</x:f>
        <x:v>累计秒（自动）</x:v>
      </x:c>
      <x:c r="L237" s="12"/>
      <x:c r="M237" s="12"/>
      <x:c r="N237" s="12" t="str">
        <x:f>IF(OR(L237="",M237=""),"",ROUND((M237-L237)*86400,0))</x:f>
      </x:c>
      <x:c r="O237" s="12" t="str">
        <x:f>IF(N237="","",N237/86400)</x:f>
      </x:c>
      <x:c r="P237" s="12"/>
      <x:c r="Q237" s="12"/>
      <x:c r="R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 t="str">
        <x:f>IFERROR(INDEX('秒级路线参数_可调整'!$O:$O,MATCH(E238&amp;"|"&amp;H238,'秒级路线参数_可调整'!$A:$A,0)),"")</x:f>
        <x:v>累计秒（自动）</x:v>
      </x:c>
      <x:c r="L238" s="12"/>
      <x:c r="M238" s="12"/>
      <x:c r="N238" s="12" t="str">
        <x:f>IF(OR(L238="",M238=""),"",ROUND((M238-L238)*86400,0))</x:f>
      </x:c>
      <x:c r="O238" s="12" t="str">
        <x:f>IF(N238="","",N238/86400)</x:f>
      </x:c>
      <x:c r="P238" s="12"/>
      <x:c r="Q238" s="12"/>
      <x:c r="R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 t="str">
        <x:f>IFERROR(INDEX('秒级路线参数_可调整'!$O:$O,MATCH(E239&amp;"|"&amp;H239,'秒级路线参数_可调整'!$A:$A,0)),"")</x:f>
        <x:v>累计秒（自动）</x:v>
      </x:c>
      <x:c r="L239" s="12"/>
      <x:c r="M239" s="12"/>
      <x:c r="N239" s="12" t="str">
        <x:f>IF(OR(L239="",M239=""),"",ROUND((M239-L239)*86400,0))</x:f>
      </x:c>
      <x:c r="O239" s="12" t="str">
        <x:f>IF(N239="","",N239/86400)</x:f>
      </x:c>
      <x:c r="P239" s="12"/>
      <x:c r="Q239" s="12"/>
      <x:c r="R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 t="str">
        <x:f>IFERROR(INDEX('秒级路线参数_可调整'!$O:$O,MATCH(E240&amp;"|"&amp;H240,'秒级路线参数_可调整'!$A:$A,0)),"")</x:f>
        <x:v>累计秒（自动）</x:v>
      </x:c>
      <x:c r="L240" s="12"/>
      <x:c r="M240" s="12"/>
      <x:c r="N240" s="12" t="str">
        <x:f>IF(OR(L240="",M240=""),"",ROUND((M240-L240)*86400,0))</x:f>
      </x:c>
      <x:c r="O240" s="12" t="str">
        <x:f>IF(N240="","",N240/86400)</x:f>
      </x:c>
      <x:c r="P240" s="12"/>
      <x:c r="Q240" s="12"/>
      <x:c r="R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 t="str">
        <x:f>IFERROR(INDEX('秒级路线参数_可调整'!$O:$O,MATCH(E241&amp;"|"&amp;H241,'秒级路线参数_可调整'!$A:$A,0)),"")</x:f>
        <x:v>累计秒（自动）</x:v>
      </x:c>
      <x:c r="L241" s="12"/>
      <x:c r="M241" s="12"/>
      <x:c r="N241" s="12" t="str">
        <x:f>IF(OR(L241="",M241=""),"",ROUND((M241-L241)*86400,0))</x:f>
      </x:c>
      <x:c r="O241" s="12" t="str">
        <x:f>IF(N241="","",N241/86400)</x:f>
      </x:c>
      <x:c r="P241" s="12"/>
      <x:c r="Q241" s="12"/>
      <x:c r="R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 t="str">
        <x:f>IFERROR(INDEX('秒级路线参数_可调整'!$O:$O,MATCH(E242&amp;"|"&amp;H242,'秒级路线参数_可调整'!$A:$A,0)),"")</x:f>
        <x:v>累计秒（自动）</x:v>
      </x:c>
      <x:c r="L242" s="12"/>
      <x:c r="M242" s="12"/>
      <x:c r="N242" s="12" t="str">
        <x:f>IF(OR(L242="",M242=""),"",ROUND((M242-L242)*86400,0))</x:f>
      </x:c>
      <x:c r="O242" s="12" t="str">
        <x:f>IF(N242="","",N242/86400)</x:f>
      </x:c>
      <x:c r="P242" s="12"/>
      <x:c r="Q242" s="12"/>
      <x:c r="R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 t="str">
        <x:f>IFERROR(INDEX('秒级路线参数_可调整'!$O:$O,MATCH(E243&amp;"|"&amp;H243,'秒级路线参数_可调整'!$A:$A,0)),"")</x:f>
        <x:v>累计秒（自动）</x:v>
      </x:c>
      <x:c r="L243" s="12"/>
      <x:c r="M243" s="12"/>
      <x:c r="N243" s="12" t="str">
        <x:f>IF(OR(L243="",M243=""),"",ROUND((M243-L243)*86400,0))</x:f>
      </x:c>
      <x:c r="O243" s="12" t="str">
        <x:f>IF(N243="","",N243/86400)</x:f>
      </x:c>
      <x:c r="P243" s="12"/>
      <x:c r="Q243" s="12"/>
      <x:c r="R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 t="str">
        <x:f>IFERROR(INDEX('秒级路线参数_可调整'!$O:$O,MATCH(E244&amp;"|"&amp;H244,'秒级路线参数_可调整'!$A:$A,0)),"")</x:f>
        <x:v>累计秒（自动）</x:v>
      </x:c>
      <x:c r="L244" s="12"/>
      <x:c r="M244" s="12"/>
      <x:c r="N244" s="12" t="str">
        <x:f>IF(OR(L244="",M244=""),"",ROUND((M244-L244)*86400,0))</x:f>
      </x:c>
      <x:c r="O244" s="12" t="str">
        <x:f>IF(N244="","",N244/86400)</x:f>
      </x:c>
      <x:c r="P244" s="12"/>
      <x:c r="Q244" s="12"/>
      <x:c r="R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 t="str">
        <x:f>IFERROR(INDEX('秒级路线参数_可调整'!$O:$O,MATCH(E245&amp;"|"&amp;H245,'秒级路线参数_可调整'!$A:$A,0)),"")</x:f>
        <x:v>累计秒（自动）</x:v>
      </x:c>
      <x:c r="L245" s="12"/>
      <x:c r="M245" s="12"/>
      <x:c r="N245" s="12" t="str">
        <x:f>IF(OR(L245="",M245=""),"",ROUND((M245-L245)*86400,0))</x:f>
      </x:c>
      <x:c r="O245" s="12" t="str">
        <x:f>IF(N245="","",N245/86400)</x:f>
      </x:c>
      <x:c r="P245" s="12"/>
      <x:c r="Q245" s="12"/>
      <x:c r="R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 t="str">
        <x:f>IFERROR(INDEX('秒级路线参数_可调整'!$O:$O,MATCH(E246&amp;"|"&amp;H246,'秒级路线参数_可调整'!$A:$A,0)),"")</x:f>
        <x:v>累计秒（自动）</x:v>
      </x:c>
      <x:c r="L246" s="12"/>
      <x:c r="M246" s="12"/>
      <x:c r="N246" s="12" t="str">
        <x:f>IF(OR(L246="",M246=""),"",ROUND((M246-L246)*86400,0))</x:f>
      </x:c>
      <x:c r="O246" s="12" t="str">
        <x:f>IF(N246="","",N246/86400)</x:f>
      </x:c>
      <x:c r="P246" s="12"/>
      <x:c r="Q246" s="12"/>
      <x:c r="R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 t="str">
        <x:f>IFERROR(INDEX('秒级路线参数_可调整'!$O:$O,MATCH(E247&amp;"|"&amp;H247,'秒级路线参数_可调整'!$A:$A,0)),"")</x:f>
        <x:v>累计秒（自动）</x:v>
      </x:c>
      <x:c r="L247" s="12"/>
      <x:c r="M247" s="12"/>
      <x:c r="N247" s="12" t="str">
        <x:f>IF(OR(L247="",M247=""),"",ROUND((M247-L247)*86400,0))</x:f>
      </x:c>
      <x:c r="O247" s="12" t="str">
        <x:f>IF(N247="","",N247/86400)</x:f>
      </x:c>
      <x:c r="P247" s="12"/>
      <x:c r="Q247" s="12"/>
      <x:c r="R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 t="str">
        <x:f>IFERROR(INDEX('秒级路线参数_可调整'!$O:$O,MATCH(E248&amp;"|"&amp;H248,'秒级路线参数_可调整'!$A:$A,0)),"")</x:f>
        <x:v>累计秒（自动）</x:v>
      </x:c>
      <x:c r="L248" s="12"/>
      <x:c r="M248" s="12"/>
      <x:c r="N248" s="12" t="str">
        <x:f>IF(OR(L248="",M248=""),"",ROUND((M248-L248)*86400,0))</x:f>
      </x:c>
      <x:c r="O248" s="12" t="str">
        <x:f>IF(N248="","",N248/86400)</x:f>
      </x:c>
      <x:c r="P248" s="12"/>
      <x:c r="Q248" s="12"/>
      <x:c r="R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 t="str">
        <x:f>IFERROR(INDEX('秒级路线参数_可调整'!$O:$O,MATCH(E249&amp;"|"&amp;H249,'秒级路线参数_可调整'!$A:$A,0)),"")</x:f>
        <x:v>累计秒（自动）</x:v>
      </x:c>
      <x:c r="L249" s="12"/>
      <x:c r="M249" s="12"/>
      <x:c r="N249" s="12" t="str">
        <x:f>IF(OR(L249="",M249=""),"",ROUND((M249-L249)*86400,0))</x:f>
      </x:c>
      <x:c r="O249" s="12" t="str">
        <x:f>IF(N249="","",N249/86400)</x:f>
      </x:c>
      <x:c r="P249" s="12"/>
      <x:c r="Q249" s="12"/>
      <x:c r="R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 t="str">
        <x:f>IFERROR(INDEX('秒级路线参数_可调整'!$O:$O,MATCH(E250&amp;"|"&amp;H250,'秒级路线参数_可调整'!$A:$A,0)),"")</x:f>
        <x:v>累计秒（自动）</x:v>
      </x:c>
      <x:c r="L250" s="12"/>
      <x:c r="M250" s="12"/>
      <x:c r="N250" s="12" t="str">
        <x:f>IF(OR(L250="",M250=""),"",ROUND((M250-L250)*86400,0))</x:f>
      </x:c>
      <x:c r="O250" s="12" t="str">
        <x:f>IF(N250="","",N250/86400)</x:f>
      </x:c>
      <x:c r="P250" s="12"/>
      <x:c r="Q250" s="12"/>
      <x:c r="R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 t="str">
        <x:f>IFERROR(INDEX('秒级路线参数_可调整'!$O:$O,MATCH(E251&amp;"|"&amp;H251,'秒级路线参数_可调整'!$A:$A,0)),"")</x:f>
        <x:v>累计秒（自动）</x:v>
      </x:c>
      <x:c r="L251" s="12"/>
      <x:c r="M251" s="12"/>
      <x:c r="N251" s="12" t="str">
        <x:f>IF(OR(L251="",M251=""),"",ROUND((M251-L251)*86400,0))</x:f>
      </x:c>
      <x:c r="O251" s="12" t="str">
        <x:f>IF(N251="","",N251/86400)</x:f>
      </x:c>
      <x:c r="P251" s="12"/>
      <x:c r="Q251" s="12"/>
      <x:c r="R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 t="str">
        <x:f>IFERROR(INDEX('秒级路线参数_可调整'!$O:$O,MATCH(E252&amp;"|"&amp;H252,'秒级路线参数_可调整'!$A:$A,0)),"")</x:f>
        <x:v>累计秒（自动）</x:v>
      </x:c>
      <x:c r="L252" s="12"/>
      <x:c r="M252" s="12"/>
      <x:c r="N252" s="12" t="str">
        <x:f>IF(OR(L252="",M252=""),"",ROUND((M252-L252)*86400,0))</x:f>
      </x:c>
      <x:c r="O252" s="12" t="str">
        <x:f>IF(N252="","",N252/86400)</x:f>
      </x:c>
      <x:c r="P252" s="12"/>
      <x:c r="Q252" s="12"/>
      <x:c r="R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 t="str">
        <x:f>IFERROR(INDEX('秒级路线参数_可调整'!$O:$O,MATCH(E253&amp;"|"&amp;H253,'秒级路线参数_可调整'!$A:$A,0)),"")</x:f>
        <x:v>累计秒（自动）</x:v>
      </x:c>
      <x:c r="L253" s="12"/>
      <x:c r="M253" s="12"/>
      <x:c r="N253" s="12" t="str">
        <x:f>IF(OR(L253="",M253=""),"",ROUND((M253-L253)*86400,0))</x:f>
      </x:c>
      <x:c r="O253" s="12" t="str">
        <x:f>IF(N253="","",N253/86400)</x:f>
      </x:c>
      <x:c r="P253" s="12"/>
      <x:c r="Q253" s="12"/>
      <x:c r="R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 t="str">
        <x:f>IFERROR(INDEX('秒级路线参数_可调整'!$O:$O,MATCH(E254&amp;"|"&amp;H254,'秒级路线参数_可调整'!$A:$A,0)),"")</x:f>
        <x:v>累计秒（自动）</x:v>
      </x:c>
      <x:c r="L254" s="12"/>
      <x:c r="M254" s="12"/>
      <x:c r="N254" s="12" t="str">
        <x:f>IF(OR(L254="",M254=""),"",ROUND((M254-L254)*86400,0))</x:f>
      </x:c>
      <x:c r="O254" s="12" t="str">
        <x:f>IF(N254="","",N254/86400)</x:f>
      </x:c>
      <x:c r="P254" s="12"/>
      <x:c r="Q254" s="12"/>
      <x:c r="R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 t="str">
        <x:f>IFERROR(INDEX('秒级路线参数_可调整'!$O:$O,MATCH(E255&amp;"|"&amp;H255,'秒级路线参数_可调整'!$A:$A,0)),"")</x:f>
        <x:v>累计秒（自动）</x:v>
      </x:c>
      <x:c r="L255" s="12"/>
      <x:c r="M255" s="12"/>
      <x:c r="N255" s="12" t="str">
        <x:f>IF(OR(L255="",M255=""),"",ROUND((M255-L255)*86400,0))</x:f>
      </x:c>
      <x:c r="O255" s="12" t="str">
        <x:f>IF(N255="","",N255/86400)</x:f>
      </x:c>
      <x:c r="P255" s="12"/>
      <x:c r="Q255" s="12"/>
      <x:c r="R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 t="str">
        <x:f>IFERROR(INDEX('秒级路线参数_可调整'!$O:$O,MATCH(E256&amp;"|"&amp;H256,'秒级路线参数_可调整'!$A:$A,0)),"")</x:f>
        <x:v>累计秒（自动）</x:v>
      </x:c>
      <x:c r="L256" s="12"/>
      <x:c r="M256" s="12"/>
      <x:c r="N256" s="12" t="str">
        <x:f>IF(OR(L256="",M256=""),"",ROUND((M256-L256)*86400,0))</x:f>
      </x:c>
      <x:c r="O256" s="12" t="str">
        <x:f>IF(N256="","",N256/86400)</x:f>
      </x:c>
      <x:c r="P256" s="12"/>
      <x:c r="Q256" s="12"/>
      <x:c r="R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 t="str">
        <x:f>IFERROR(INDEX('秒级路线参数_可调整'!$O:$O,MATCH(E257&amp;"|"&amp;H257,'秒级路线参数_可调整'!$A:$A,0)),"")</x:f>
        <x:v>累计秒（自动）</x:v>
      </x:c>
      <x:c r="L257" s="12"/>
      <x:c r="M257" s="12"/>
      <x:c r="N257" s="12" t="str">
        <x:f>IF(OR(L257="",M257=""),"",ROUND((M257-L257)*86400,0))</x:f>
      </x:c>
      <x:c r="O257" s="12" t="str">
        <x:f>IF(N257="","",N257/86400)</x:f>
      </x:c>
      <x:c r="P257" s="12"/>
      <x:c r="Q257" s="12"/>
      <x:c r="R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 t="str">
        <x:f>IFERROR(INDEX('秒级路线参数_可调整'!$O:$O,MATCH(E258&amp;"|"&amp;H258,'秒级路线参数_可调整'!$A:$A,0)),"")</x:f>
        <x:v>累计秒（自动）</x:v>
      </x:c>
      <x:c r="L258" s="12"/>
      <x:c r="M258" s="12"/>
      <x:c r="N258" s="12" t="str">
        <x:f>IF(OR(L258="",M258=""),"",ROUND((M258-L258)*86400,0))</x:f>
      </x:c>
      <x:c r="O258" s="12" t="str">
        <x:f>IF(N258="","",N258/86400)</x:f>
      </x:c>
      <x:c r="P258" s="12"/>
      <x:c r="Q258" s="12"/>
      <x:c r="R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 t="str">
        <x:f>IFERROR(INDEX('秒级路线参数_可调整'!$O:$O,MATCH(E259&amp;"|"&amp;H259,'秒级路线参数_可调整'!$A:$A,0)),"")</x:f>
        <x:v>累计秒（自动）</x:v>
      </x:c>
      <x:c r="L259" s="12"/>
      <x:c r="M259" s="12"/>
      <x:c r="N259" s="12" t="str">
        <x:f>IF(OR(L259="",M259=""),"",ROUND((M259-L259)*86400,0))</x:f>
      </x:c>
      <x:c r="O259" s="12" t="str">
        <x:f>IF(N259="","",N259/86400)</x:f>
      </x:c>
      <x:c r="P259" s="12"/>
      <x:c r="Q259" s="12"/>
      <x:c r="R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 t="str">
        <x:f>IFERROR(INDEX('秒级路线参数_可调整'!$O:$O,MATCH(E260&amp;"|"&amp;H260,'秒级路线参数_可调整'!$A:$A,0)),"")</x:f>
        <x:v>累计秒（自动）</x:v>
      </x:c>
      <x:c r="L260" s="12"/>
      <x:c r="M260" s="12"/>
      <x:c r="N260" s="12" t="str">
        <x:f>IF(OR(L260="",M260=""),"",ROUND((M260-L260)*86400,0))</x:f>
      </x:c>
      <x:c r="O260" s="12" t="str">
        <x:f>IF(N260="","",N260/86400)</x:f>
      </x:c>
      <x:c r="P260" s="12"/>
      <x:c r="Q260" s="12"/>
      <x:c r="R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 t="str">
        <x:f>IFERROR(INDEX('秒级路线参数_可调整'!$O:$O,MATCH(E261&amp;"|"&amp;H261,'秒级路线参数_可调整'!$A:$A,0)),"")</x:f>
        <x:v>累计秒（自动）</x:v>
      </x:c>
      <x:c r="L261" s="12"/>
      <x:c r="M261" s="12"/>
      <x:c r="N261" s="12" t="str">
        <x:f>IF(OR(L261="",M261=""),"",ROUND((M261-L261)*86400,0))</x:f>
      </x:c>
      <x:c r="O261" s="12" t="str">
        <x:f>IF(N261="","",N261/86400)</x:f>
      </x:c>
      <x:c r="P261" s="12"/>
      <x:c r="Q261" s="12"/>
      <x:c r="R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 t="str">
        <x:f>IFERROR(INDEX('秒级路线参数_可调整'!$O:$O,MATCH(E262&amp;"|"&amp;H262,'秒级路线参数_可调整'!$A:$A,0)),"")</x:f>
        <x:v>累计秒（自动）</x:v>
      </x:c>
      <x:c r="L262" s="12"/>
      <x:c r="M262" s="12"/>
      <x:c r="N262" s="12" t="str">
        <x:f>IF(OR(L262="",M262=""),"",ROUND((M262-L262)*86400,0))</x:f>
      </x:c>
      <x:c r="O262" s="12" t="str">
        <x:f>IF(N262="","",N262/86400)</x:f>
      </x:c>
      <x:c r="P262" s="12"/>
      <x:c r="Q262" s="12"/>
      <x:c r="R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 t="str">
        <x:f>IFERROR(INDEX('秒级路线参数_可调整'!$O:$O,MATCH(E263&amp;"|"&amp;H263,'秒级路线参数_可调整'!$A:$A,0)),"")</x:f>
        <x:v>累计秒（自动）</x:v>
      </x:c>
      <x:c r="L263" s="12"/>
      <x:c r="M263" s="12"/>
      <x:c r="N263" s="12" t="str">
        <x:f>IF(OR(L263="",M263=""),"",ROUND((M263-L263)*86400,0))</x:f>
      </x:c>
      <x:c r="O263" s="12" t="str">
        <x:f>IF(N263="","",N263/86400)</x:f>
      </x:c>
      <x:c r="P263" s="12"/>
      <x:c r="Q263" s="12"/>
      <x:c r="R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 t="str">
        <x:f>IFERROR(INDEX('秒级路线参数_可调整'!$O:$O,MATCH(E264&amp;"|"&amp;H264,'秒级路线参数_可调整'!$A:$A,0)),"")</x:f>
        <x:v>累计秒（自动）</x:v>
      </x:c>
      <x:c r="L264" s="12"/>
      <x:c r="M264" s="12"/>
      <x:c r="N264" s="12" t="str">
        <x:f>IF(OR(L264="",M264=""),"",ROUND((M264-L264)*86400,0))</x:f>
      </x:c>
      <x:c r="O264" s="12" t="str">
        <x:f>IF(N264="","",N264/86400)</x:f>
      </x:c>
      <x:c r="P264" s="12"/>
      <x:c r="Q264" s="12"/>
      <x:c r="R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 t="str">
        <x:f>IFERROR(INDEX('秒级路线参数_可调整'!$O:$O,MATCH(E265&amp;"|"&amp;H265,'秒级路线参数_可调整'!$A:$A,0)),"")</x:f>
        <x:v>累计秒（自动）</x:v>
      </x:c>
      <x:c r="L265" s="12"/>
      <x:c r="M265" s="12"/>
      <x:c r="N265" s="12" t="str">
        <x:f>IF(OR(L265="",M265=""),"",ROUND((M265-L265)*86400,0))</x:f>
      </x:c>
      <x:c r="O265" s="12" t="str">
        <x:f>IF(N265="","",N265/86400)</x:f>
      </x:c>
      <x:c r="P265" s="12"/>
      <x:c r="Q265" s="12"/>
      <x:c r="R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 t="str">
        <x:f>IFERROR(INDEX('秒级路线参数_可调整'!$O:$O,MATCH(E266&amp;"|"&amp;H266,'秒级路线参数_可调整'!$A:$A,0)),"")</x:f>
        <x:v>累计秒（自动）</x:v>
      </x:c>
      <x:c r="L266" s="12"/>
      <x:c r="M266" s="12"/>
      <x:c r="N266" s="12" t="str">
        <x:f>IF(OR(L266="",M266=""),"",ROUND((M266-L266)*86400,0))</x:f>
      </x:c>
      <x:c r="O266" s="12" t="str">
        <x:f>IF(N266="","",N266/86400)</x:f>
      </x:c>
      <x:c r="P266" s="12"/>
      <x:c r="Q266" s="12"/>
      <x:c r="R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 t="str">
        <x:f>IFERROR(INDEX('秒级路线参数_可调整'!$O:$O,MATCH(E267&amp;"|"&amp;H267,'秒级路线参数_可调整'!$A:$A,0)),"")</x:f>
        <x:v>累计秒（自动）</x:v>
      </x:c>
      <x:c r="L267" s="12"/>
      <x:c r="M267" s="12"/>
      <x:c r="N267" s="12" t="str">
        <x:f>IF(OR(L267="",M267=""),"",ROUND((M267-L267)*86400,0))</x:f>
      </x:c>
      <x:c r="O267" s="12" t="str">
        <x:f>IF(N267="","",N267/86400)</x:f>
      </x:c>
      <x:c r="P267" s="12"/>
      <x:c r="Q267" s="12"/>
      <x:c r="R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 t="str">
        <x:f>IFERROR(INDEX('秒级路线参数_可调整'!$O:$O,MATCH(E268&amp;"|"&amp;H268,'秒级路线参数_可调整'!$A:$A,0)),"")</x:f>
        <x:v>累计秒（自动）</x:v>
      </x:c>
      <x:c r="L268" s="12"/>
      <x:c r="M268" s="12"/>
      <x:c r="N268" s="12" t="str">
        <x:f>IF(OR(L268="",M268=""),"",ROUND((M268-L268)*86400,0))</x:f>
      </x:c>
      <x:c r="O268" s="12" t="str">
        <x:f>IF(N268="","",N268/86400)</x:f>
      </x:c>
      <x:c r="P268" s="12"/>
      <x:c r="Q268" s="12"/>
      <x:c r="R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 t="str">
        <x:f>IFERROR(INDEX('秒级路线参数_可调整'!$O:$O,MATCH(E269&amp;"|"&amp;H269,'秒级路线参数_可调整'!$A:$A,0)),"")</x:f>
        <x:v>累计秒（自动）</x:v>
      </x:c>
      <x:c r="L269" s="12"/>
      <x:c r="M269" s="12"/>
      <x:c r="N269" s="12" t="str">
        <x:f>IF(OR(L269="",M269=""),"",ROUND((M269-L269)*86400,0))</x:f>
      </x:c>
      <x:c r="O269" s="12" t="str">
        <x:f>IF(N269="","",N269/86400)</x:f>
      </x:c>
      <x:c r="P269" s="12"/>
      <x:c r="Q269" s="12"/>
      <x:c r="R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 t="str">
        <x:f>IFERROR(INDEX('秒级路线参数_可调整'!$O:$O,MATCH(E270&amp;"|"&amp;H270,'秒级路线参数_可调整'!$A:$A,0)),"")</x:f>
        <x:v>累计秒（自动）</x:v>
      </x:c>
      <x:c r="L270" s="12"/>
      <x:c r="M270" s="12"/>
      <x:c r="N270" s="12" t="str">
        <x:f>IF(OR(L270="",M270=""),"",ROUND((M270-L270)*86400,0))</x:f>
      </x:c>
      <x:c r="O270" s="12" t="str">
        <x:f>IF(N270="","",N270/86400)</x:f>
      </x:c>
      <x:c r="P270" s="12"/>
      <x:c r="Q270" s="12"/>
      <x:c r="R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 t="str">
        <x:f>IFERROR(INDEX('秒级路线参数_可调整'!$O:$O,MATCH(E271&amp;"|"&amp;H271,'秒级路线参数_可调整'!$A:$A,0)),"")</x:f>
        <x:v>累计秒（自动）</x:v>
      </x:c>
      <x:c r="L271" s="12"/>
      <x:c r="M271" s="12"/>
      <x:c r="N271" s="12" t="str">
        <x:f>IF(OR(L271="",M271=""),"",ROUND((M271-L271)*86400,0))</x:f>
      </x:c>
      <x:c r="O271" s="12" t="str">
        <x:f>IF(N271="","",N271/86400)</x:f>
      </x:c>
      <x:c r="P271" s="12"/>
      <x:c r="Q271" s="12"/>
      <x:c r="R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 t="str">
        <x:f>IFERROR(INDEX('秒级路线参数_可调整'!$O:$O,MATCH(E272&amp;"|"&amp;H272,'秒级路线参数_可调整'!$A:$A,0)),"")</x:f>
        <x:v>累计秒（自动）</x:v>
      </x:c>
      <x:c r="L272" s="12"/>
      <x:c r="M272" s="12"/>
      <x:c r="N272" s="12" t="str">
        <x:f>IF(OR(L272="",M272=""),"",ROUND((M272-L272)*86400,0))</x:f>
      </x:c>
      <x:c r="O272" s="12" t="str">
        <x:f>IF(N272="","",N272/86400)</x:f>
      </x:c>
      <x:c r="P272" s="12"/>
      <x:c r="Q272" s="12"/>
      <x:c r="R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 t="str">
        <x:f>IFERROR(INDEX('秒级路线参数_可调整'!$O:$O,MATCH(E273&amp;"|"&amp;H273,'秒级路线参数_可调整'!$A:$A,0)),"")</x:f>
        <x:v>累计秒（自动）</x:v>
      </x:c>
      <x:c r="L273" s="12"/>
      <x:c r="M273" s="12"/>
      <x:c r="N273" s="12" t="str">
        <x:f>IF(OR(L273="",M273=""),"",ROUND((M273-L273)*86400,0))</x:f>
      </x:c>
      <x:c r="O273" s="12" t="str">
        <x:f>IF(N273="","",N273/86400)</x:f>
      </x:c>
      <x:c r="P273" s="12"/>
      <x:c r="Q273" s="12"/>
      <x:c r="R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 t="str">
        <x:f>IFERROR(INDEX('秒级路线参数_可调整'!$O:$O,MATCH(E274&amp;"|"&amp;H274,'秒级路线参数_可调整'!$A:$A,0)),"")</x:f>
        <x:v>累计秒（自动）</x:v>
      </x:c>
      <x:c r="L274" s="12"/>
      <x:c r="M274" s="12"/>
      <x:c r="N274" s="12" t="str">
        <x:f>IF(OR(L274="",M274=""),"",ROUND((M274-L274)*86400,0))</x:f>
      </x:c>
      <x:c r="O274" s="12" t="str">
        <x:f>IF(N274="","",N274/86400)</x:f>
      </x:c>
      <x:c r="P274" s="12"/>
      <x:c r="Q274" s="12"/>
      <x:c r="R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 t="str">
        <x:f>IFERROR(INDEX('秒级路线参数_可调整'!$O:$O,MATCH(E275&amp;"|"&amp;H275,'秒级路线参数_可调整'!$A:$A,0)),"")</x:f>
        <x:v>累计秒（自动）</x:v>
      </x:c>
      <x:c r="L275" s="12"/>
      <x:c r="M275" s="12"/>
      <x:c r="N275" s="12" t="str">
        <x:f>IF(OR(L275="",M275=""),"",ROUND((M275-L275)*86400,0))</x:f>
      </x:c>
      <x:c r="O275" s="12" t="str">
        <x:f>IF(N275="","",N275/86400)</x:f>
      </x:c>
      <x:c r="P275" s="12"/>
      <x:c r="Q275" s="12"/>
      <x:c r="R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 t="str">
        <x:f>IFERROR(INDEX('秒级路线参数_可调整'!$O:$O,MATCH(E276&amp;"|"&amp;H276,'秒级路线参数_可调整'!$A:$A,0)),"")</x:f>
        <x:v>累计秒（自动）</x:v>
      </x:c>
      <x:c r="L276" s="12"/>
      <x:c r="M276" s="12"/>
      <x:c r="N276" s="12" t="str">
        <x:f>IF(OR(L276="",M276=""),"",ROUND((M276-L276)*86400,0))</x:f>
      </x:c>
      <x:c r="O276" s="12" t="str">
        <x:f>IF(N276="","",N276/86400)</x:f>
      </x:c>
      <x:c r="P276" s="12"/>
      <x:c r="Q276" s="12"/>
      <x:c r="R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 t="str">
        <x:f>IFERROR(INDEX('秒级路线参数_可调整'!$O:$O,MATCH(E277&amp;"|"&amp;H277,'秒级路线参数_可调整'!$A:$A,0)),"")</x:f>
        <x:v>累计秒（自动）</x:v>
      </x:c>
      <x:c r="L277" s="12"/>
      <x:c r="M277" s="12"/>
      <x:c r="N277" s="12" t="str">
        <x:f>IF(OR(L277="",M277=""),"",ROUND((M277-L277)*86400,0))</x:f>
      </x:c>
      <x:c r="O277" s="12" t="str">
        <x:f>IF(N277="","",N277/86400)</x:f>
      </x:c>
      <x:c r="P277" s="12"/>
      <x:c r="Q277" s="12"/>
      <x:c r="R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 t="str">
        <x:f>IFERROR(INDEX('秒级路线参数_可调整'!$O:$O,MATCH(E278&amp;"|"&amp;H278,'秒级路线参数_可调整'!$A:$A,0)),"")</x:f>
        <x:v>累计秒（自动）</x:v>
      </x:c>
      <x:c r="L278" s="12"/>
      <x:c r="M278" s="12"/>
      <x:c r="N278" s="12" t="str">
        <x:f>IF(OR(L278="",M278=""),"",ROUND((M278-L278)*86400,0))</x:f>
      </x:c>
      <x:c r="O278" s="12" t="str">
        <x:f>IF(N278="","",N278/86400)</x:f>
      </x:c>
      <x:c r="P278" s="12"/>
      <x:c r="Q278" s="12"/>
      <x:c r="R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 t="str">
        <x:f>IFERROR(INDEX('秒级路线参数_可调整'!$O:$O,MATCH(E279&amp;"|"&amp;H279,'秒级路线参数_可调整'!$A:$A,0)),"")</x:f>
        <x:v>累计秒（自动）</x:v>
      </x:c>
      <x:c r="L279" s="12"/>
      <x:c r="M279" s="12"/>
      <x:c r="N279" s="12" t="str">
        <x:f>IF(OR(L279="",M279=""),"",ROUND((M279-L279)*86400,0))</x:f>
      </x:c>
      <x:c r="O279" s="12" t="str">
        <x:f>IF(N279="","",N279/86400)</x:f>
      </x:c>
      <x:c r="P279" s="12"/>
      <x:c r="Q279" s="12"/>
      <x:c r="R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 t="str">
        <x:f>IFERROR(INDEX('秒级路线参数_可调整'!$O:$O,MATCH(E280&amp;"|"&amp;H280,'秒级路线参数_可调整'!$A:$A,0)),"")</x:f>
        <x:v>累计秒（自动）</x:v>
      </x:c>
      <x:c r="L280" s="12"/>
      <x:c r="M280" s="12"/>
      <x:c r="N280" s="12" t="str">
        <x:f>IF(OR(L280="",M280=""),"",ROUND((M280-L280)*86400,0))</x:f>
      </x:c>
      <x:c r="O280" s="12" t="str">
        <x:f>IF(N280="","",N280/86400)</x:f>
      </x:c>
      <x:c r="P280" s="12"/>
      <x:c r="Q280" s="12"/>
      <x:c r="R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 t="str">
        <x:f>IFERROR(INDEX('秒级路线参数_可调整'!$O:$O,MATCH(E281&amp;"|"&amp;H281,'秒级路线参数_可调整'!$A:$A,0)),"")</x:f>
        <x:v>累计秒（自动）</x:v>
      </x:c>
      <x:c r="L281" s="12"/>
      <x:c r="M281" s="12"/>
      <x:c r="N281" s="12" t="str">
        <x:f>IF(OR(L281="",M281=""),"",ROUND((M281-L281)*86400,0))</x:f>
      </x:c>
      <x:c r="O281" s="12" t="str">
        <x:f>IF(N281="","",N281/86400)</x:f>
      </x:c>
      <x:c r="P281" s="12"/>
      <x:c r="Q281" s="12"/>
      <x:c r="R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 t="str">
        <x:f>IFERROR(INDEX('秒级路线参数_可调整'!$O:$O,MATCH(E282&amp;"|"&amp;H282,'秒级路线参数_可调整'!$A:$A,0)),"")</x:f>
        <x:v>累计秒（自动）</x:v>
      </x:c>
      <x:c r="L282" s="12"/>
      <x:c r="M282" s="12"/>
      <x:c r="N282" s="12" t="str">
        <x:f>IF(OR(L282="",M282=""),"",ROUND((M282-L282)*86400,0))</x:f>
      </x:c>
      <x:c r="O282" s="12" t="str">
        <x:f>IF(N282="","",N282/86400)</x:f>
      </x:c>
      <x:c r="P282" s="12"/>
      <x:c r="Q282" s="12"/>
      <x:c r="R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 t="str">
        <x:f>IFERROR(INDEX('秒级路线参数_可调整'!$O:$O,MATCH(E283&amp;"|"&amp;H283,'秒级路线参数_可调整'!$A:$A,0)),"")</x:f>
        <x:v>累计秒（自动）</x:v>
      </x:c>
      <x:c r="L283" s="12"/>
      <x:c r="M283" s="12"/>
      <x:c r="N283" s="12" t="str">
        <x:f>IF(OR(L283="",M283=""),"",ROUND((M283-L283)*86400,0))</x:f>
      </x:c>
      <x:c r="O283" s="12" t="str">
        <x:f>IF(N283="","",N283/86400)</x:f>
      </x:c>
      <x:c r="P283" s="12"/>
      <x:c r="Q283" s="12"/>
      <x:c r="R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 t="str">
        <x:f>IFERROR(INDEX('秒级路线参数_可调整'!$O:$O,MATCH(E284&amp;"|"&amp;H284,'秒级路线参数_可调整'!$A:$A,0)),"")</x:f>
        <x:v>累计秒（自动）</x:v>
      </x:c>
      <x:c r="L284" s="12"/>
      <x:c r="M284" s="12"/>
      <x:c r="N284" s="12" t="str">
        <x:f>IF(OR(L284="",M284=""),"",ROUND((M284-L284)*86400,0))</x:f>
      </x:c>
      <x:c r="O284" s="12" t="str">
        <x:f>IF(N284="","",N284/86400)</x:f>
      </x:c>
      <x:c r="P284" s="12"/>
      <x:c r="Q284" s="12"/>
      <x:c r="R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 t="str">
        <x:f>IFERROR(INDEX('秒级路线参数_可调整'!$O:$O,MATCH(E285&amp;"|"&amp;H285,'秒级路线参数_可调整'!$A:$A,0)),"")</x:f>
        <x:v>累计秒（自动）</x:v>
      </x:c>
      <x:c r="L285" s="12"/>
      <x:c r="M285" s="12"/>
      <x:c r="N285" s="12" t="str">
        <x:f>IF(OR(L285="",M285=""),"",ROUND((M285-L285)*86400,0))</x:f>
      </x:c>
      <x:c r="O285" s="12" t="str">
        <x:f>IF(N285="","",N285/86400)</x:f>
      </x:c>
      <x:c r="P285" s="12"/>
      <x:c r="Q285" s="12"/>
      <x:c r="R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 t="str">
        <x:f>IFERROR(INDEX('秒级路线参数_可调整'!$O:$O,MATCH(E286&amp;"|"&amp;H286,'秒级路线参数_可调整'!$A:$A,0)),"")</x:f>
        <x:v>累计秒（自动）</x:v>
      </x:c>
      <x:c r="L286" s="12"/>
      <x:c r="M286" s="12"/>
      <x:c r="N286" s="12" t="str">
        <x:f>IF(OR(L286="",M286=""),"",ROUND((M286-L286)*86400,0))</x:f>
      </x:c>
      <x:c r="O286" s="12" t="str">
        <x:f>IF(N286="","",N286/86400)</x:f>
      </x:c>
      <x:c r="P286" s="12"/>
      <x:c r="Q286" s="12"/>
      <x:c r="R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 t="str">
        <x:f>IFERROR(INDEX('秒级路线参数_可调整'!$O:$O,MATCH(E287&amp;"|"&amp;H287,'秒级路线参数_可调整'!$A:$A,0)),"")</x:f>
        <x:v>累计秒（自动）</x:v>
      </x:c>
      <x:c r="L287" s="12"/>
      <x:c r="M287" s="12"/>
      <x:c r="N287" s="12" t="str">
        <x:f>IF(OR(L287="",M287=""),"",ROUND((M287-L287)*86400,0))</x:f>
      </x:c>
      <x:c r="O287" s="12" t="str">
        <x:f>IF(N287="","",N287/86400)</x:f>
      </x:c>
      <x:c r="P287" s="12"/>
      <x:c r="Q287" s="12"/>
      <x:c r="R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 t="str">
        <x:f>IFERROR(INDEX('秒级路线参数_可调整'!$O:$O,MATCH(E288&amp;"|"&amp;H288,'秒级路线参数_可调整'!$A:$A,0)),"")</x:f>
        <x:v>累计秒（自动）</x:v>
      </x:c>
      <x:c r="L288" s="12"/>
      <x:c r="M288" s="12"/>
      <x:c r="N288" s="12" t="str">
        <x:f>IF(OR(L288="",M288=""),"",ROUND((M288-L288)*86400,0))</x:f>
      </x:c>
      <x:c r="O288" s="12" t="str">
        <x:f>IF(N288="","",N288/86400)</x:f>
      </x:c>
      <x:c r="P288" s="12"/>
      <x:c r="Q288" s="12"/>
      <x:c r="R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 t="str">
        <x:f>IFERROR(INDEX('秒级路线参数_可调整'!$O:$O,MATCH(E289&amp;"|"&amp;H289,'秒级路线参数_可调整'!$A:$A,0)),"")</x:f>
        <x:v>累计秒（自动）</x:v>
      </x:c>
      <x:c r="L289" s="12"/>
      <x:c r="M289" s="12"/>
      <x:c r="N289" s="12" t="str">
        <x:f>IF(OR(L289="",M289=""),"",ROUND((M289-L289)*86400,0))</x:f>
      </x:c>
      <x:c r="O289" s="12" t="str">
        <x:f>IF(N289="","",N289/86400)</x:f>
      </x:c>
      <x:c r="P289" s="12"/>
      <x:c r="Q289" s="12"/>
      <x:c r="R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 t="str">
        <x:f>IFERROR(INDEX('秒级路线参数_可调整'!$O:$O,MATCH(E290&amp;"|"&amp;H290,'秒级路线参数_可调整'!$A:$A,0)),"")</x:f>
        <x:v>累计秒（自动）</x:v>
      </x:c>
      <x:c r="L290" s="12"/>
      <x:c r="M290" s="12"/>
      <x:c r="N290" s="12" t="str">
        <x:f>IF(OR(L290="",M290=""),"",ROUND((M290-L290)*86400,0))</x:f>
      </x:c>
      <x:c r="O290" s="12" t="str">
        <x:f>IF(N290="","",N290/86400)</x:f>
      </x:c>
      <x:c r="P290" s="12"/>
      <x:c r="Q290" s="12"/>
      <x:c r="R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 t="str">
        <x:f>IFERROR(INDEX('秒级路线参数_可调整'!$O:$O,MATCH(E291&amp;"|"&amp;H291,'秒级路线参数_可调整'!$A:$A,0)),"")</x:f>
        <x:v>累计秒（自动）</x:v>
      </x:c>
      <x:c r="L291" s="12"/>
      <x:c r="M291" s="12"/>
      <x:c r="N291" s="12" t="str">
        <x:f>IF(OR(L291="",M291=""),"",ROUND((M291-L291)*86400,0))</x:f>
      </x:c>
      <x:c r="O291" s="12" t="str">
        <x:f>IF(N291="","",N291/86400)</x:f>
      </x:c>
      <x:c r="P291" s="12"/>
      <x:c r="Q291" s="12"/>
      <x:c r="R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 t="str">
        <x:f>IFERROR(INDEX('秒级路线参数_可调整'!$O:$O,MATCH(E292&amp;"|"&amp;H292,'秒级路线参数_可调整'!$A:$A,0)),"")</x:f>
        <x:v>累计秒（自动）</x:v>
      </x:c>
      <x:c r="L292" s="12"/>
      <x:c r="M292" s="12"/>
      <x:c r="N292" s="12" t="str">
        <x:f>IF(OR(L292="",M292=""),"",ROUND((M292-L292)*86400,0))</x:f>
      </x:c>
      <x:c r="O292" s="12" t="str">
        <x:f>IF(N292="","",N292/86400)</x:f>
      </x:c>
      <x:c r="P292" s="12"/>
      <x:c r="Q292" s="12"/>
      <x:c r="R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 t="str">
        <x:f>IFERROR(INDEX('秒级路线参数_可调整'!$O:$O,MATCH(E293&amp;"|"&amp;H293,'秒级路线参数_可调整'!$A:$A,0)),"")</x:f>
        <x:v>累计秒（自动）</x:v>
      </x:c>
      <x:c r="L293" s="12"/>
      <x:c r="M293" s="12"/>
      <x:c r="N293" s="12" t="str">
        <x:f>IF(OR(L293="",M293=""),"",ROUND((M293-L293)*86400,0))</x:f>
      </x:c>
      <x:c r="O293" s="12" t="str">
        <x:f>IF(N293="","",N293/86400)</x:f>
      </x:c>
      <x:c r="P293" s="12"/>
      <x:c r="Q293" s="12"/>
      <x:c r="R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 t="str">
        <x:f>IFERROR(INDEX('秒级路线参数_可调整'!$O:$O,MATCH(E294&amp;"|"&amp;H294,'秒级路线参数_可调整'!$A:$A,0)),"")</x:f>
        <x:v>累计秒（自动）</x:v>
      </x:c>
      <x:c r="L294" s="12"/>
      <x:c r="M294" s="12"/>
      <x:c r="N294" s="12" t="str">
        <x:f>IF(OR(L294="",M294=""),"",ROUND((M294-L294)*86400,0))</x:f>
      </x:c>
      <x:c r="O294" s="12" t="str">
        <x:f>IF(N294="","",N294/86400)</x:f>
      </x:c>
      <x:c r="P294" s="12"/>
      <x:c r="Q294" s="12"/>
      <x:c r="R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 t="str">
        <x:f>IFERROR(INDEX('秒级路线参数_可调整'!$O:$O,MATCH(E295&amp;"|"&amp;H295,'秒级路线参数_可调整'!$A:$A,0)),"")</x:f>
        <x:v>累计秒（自动）</x:v>
      </x:c>
      <x:c r="L295" s="12"/>
      <x:c r="M295" s="12"/>
      <x:c r="N295" s="12" t="str">
        <x:f>IF(OR(L295="",M295=""),"",ROUND((M295-L295)*86400,0))</x:f>
      </x:c>
      <x:c r="O295" s="12" t="str">
        <x:f>IF(N295="","",N295/86400)</x:f>
      </x:c>
      <x:c r="P295" s="12"/>
      <x:c r="Q295" s="12"/>
      <x:c r="R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 t="str">
        <x:f>IFERROR(INDEX('秒级路线参数_可调整'!$O:$O,MATCH(E296&amp;"|"&amp;H296,'秒级路线参数_可调整'!$A:$A,0)),"")</x:f>
        <x:v>累计秒（自动）</x:v>
      </x:c>
      <x:c r="L296" s="12"/>
      <x:c r="M296" s="12"/>
      <x:c r="N296" s="12" t="str">
        <x:f>IF(OR(L296="",M296=""),"",ROUND((M296-L296)*86400,0))</x:f>
      </x:c>
      <x:c r="O296" s="12" t="str">
        <x:f>IF(N296="","",N296/86400)</x:f>
      </x:c>
      <x:c r="P296" s="12"/>
      <x:c r="Q296" s="12"/>
      <x:c r="R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 t="str">
        <x:f>IFERROR(INDEX('秒级路线参数_可调整'!$O:$O,MATCH(E297&amp;"|"&amp;H297,'秒级路线参数_可调整'!$A:$A,0)),"")</x:f>
        <x:v>累计秒（自动）</x:v>
      </x:c>
      <x:c r="L297" s="12"/>
      <x:c r="M297" s="12"/>
      <x:c r="N297" s="12" t="str">
        <x:f>IF(OR(L297="",M297=""),"",ROUND((M297-L297)*86400,0))</x:f>
      </x:c>
      <x:c r="O297" s="12" t="str">
        <x:f>IF(N297="","",N297/86400)</x:f>
      </x:c>
      <x:c r="P297" s="12"/>
      <x:c r="Q297" s="12"/>
      <x:c r="R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 t="str">
        <x:f>IFERROR(INDEX('秒级路线参数_可调整'!$O:$O,MATCH(E298&amp;"|"&amp;H298,'秒级路线参数_可调整'!$A:$A,0)),"")</x:f>
        <x:v>累计秒（自动）</x:v>
      </x:c>
      <x:c r="L298" s="12"/>
      <x:c r="M298" s="12"/>
      <x:c r="N298" s="12" t="str">
        <x:f>IF(OR(L298="",M298=""),"",ROUND((M298-L298)*86400,0))</x:f>
      </x:c>
      <x:c r="O298" s="12" t="str">
        <x:f>IF(N298="","",N298/86400)</x:f>
      </x:c>
      <x:c r="P298" s="12"/>
      <x:c r="Q298" s="12"/>
      <x:c r="R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 t="str">
        <x:f>IFERROR(INDEX('秒级路线参数_可调整'!$O:$O,MATCH(E299&amp;"|"&amp;H299,'秒级路线参数_可调整'!$A:$A,0)),"")</x:f>
        <x:v>累计秒（自动）</x:v>
      </x:c>
      <x:c r="L299" s="12"/>
      <x:c r="M299" s="12"/>
      <x:c r="N299" s="12" t="str">
        <x:f>IF(OR(L299="",M299=""),"",ROUND((M299-L299)*86400,0))</x:f>
      </x:c>
      <x:c r="O299" s="12" t="str">
        <x:f>IF(N299="","",N299/86400)</x:f>
      </x:c>
      <x:c r="P299" s="12"/>
      <x:c r="Q299" s="12"/>
      <x:c r="R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 t="str">
        <x:f>IFERROR(INDEX('秒级路线参数_可调整'!$O:$O,MATCH(E300&amp;"|"&amp;H300,'秒级路线参数_可调整'!$A:$A,0)),"")</x:f>
        <x:v>累计秒（自动）</x:v>
      </x:c>
      <x:c r="L300" s="12"/>
      <x:c r="M300" s="12"/>
      <x:c r="N300" s="12" t="str">
        <x:f>IF(OR(L300="",M300=""),"",ROUND((M300-L300)*86400,0))</x:f>
      </x:c>
      <x:c r="O300" s="12" t="str">
        <x:f>IF(N300="","",N300/86400)</x:f>
      </x:c>
      <x:c r="P300" s="12"/>
      <x:c r="Q300" s="12"/>
      <x:c r="R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 t="str">
        <x:f>IFERROR(INDEX('秒级路线参数_可调整'!$O:$O,MATCH(E301&amp;"|"&amp;H301,'秒级路线参数_可调整'!$A:$A,0)),"")</x:f>
        <x:v>累计秒（自动）</x:v>
      </x:c>
      <x:c r="L301" s="12"/>
      <x:c r="M301" s="12"/>
      <x:c r="N301" s="12" t="str">
        <x:f>IF(OR(L301="",M301=""),"",ROUND((M301-L301)*86400,0))</x:f>
      </x:c>
      <x:c r="O301" s="12" t="str">
        <x:f>IF(N301="","",N301/86400)</x:f>
      </x:c>
      <x:c r="P301" s="12"/>
      <x:c r="Q301" s="12"/>
      <x:c r="R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 t="str">
        <x:f>IFERROR(INDEX('秒级路线参数_可调整'!$O:$O,MATCH(E302&amp;"|"&amp;H302,'秒级路线参数_可调整'!$A:$A,0)),"")</x:f>
        <x:v>累计秒（自动）</x:v>
      </x:c>
      <x:c r="L302" s="12"/>
      <x:c r="M302" s="12"/>
      <x:c r="N302" s="12" t="str">
        <x:f>IF(OR(L302="",M302=""),"",ROUND((M302-L302)*86400,0))</x:f>
      </x:c>
      <x:c r="O302" s="12" t="str">
        <x:f>IF(N302="","",N302/86400)</x:f>
      </x:c>
      <x:c r="P302" s="12"/>
      <x:c r="Q302" s="12"/>
      <x:c r="R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 t="str">
        <x:f>IFERROR(INDEX('秒级路线参数_可调整'!$O:$O,MATCH(E303&amp;"|"&amp;H303,'秒级路线参数_可调整'!$A:$A,0)),"")</x:f>
        <x:v>累计秒（自动）</x:v>
      </x:c>
      <x:c r="L303" s="12"/>
      <x:c r="M303" s="12"/>
      <x:c r="N303" s="12" t="str">
        <x:f>IF(OR(L303="",M303=""),"",ROUND((M303-L303)*86400,0))</x:f>
      </x:c>
      <x:c r="O303" s="12" t="str">
        <x:f>IF(N303="","",N303/86400)</x:f>
      </x:c>
      <x:c r="P303" s="12"/>
      <x:c r="Q303" s="12"/>
      <x:c r="R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 t="str">
        <x:f>IFERROR(INDEX('秒级路线参数_可调整'!$O:$O,MATCH(E304&amp;"|"&amp;H304,'秒级路线参数_可调整'!$A:$A,0)),"")</x:f>
        <x:v>累计秒（自动）</x:v>
      </x:c>
      <x:c r="L304" s="12"/>
      <x:c r="M304" s="12"/>
      <x:c r="N304" s="12" t="str">
        <x:f>IF(OR(L304="",M304=""),"",ROUND((M304-L304)*86400,0))</x:f>
      </x:c>
      <x:c r="O304" s="12" t="str">
        <x:f>IF(N304="","",N304/86400)</x:f>
      </x:c>
      <x:c r="P304" s="12"/>
      <x:c r="Q304" s="12"/>
      <x:c r="R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 t="str">
        <x:f>IFERROR(INDEX('秒级路线参数_可调整'!$O:$O,MATCH(E305&amp;"|"&amp;H305,'秒级路线参数_可调整'!$A:$A,0)),"")</x:f>
        <x:v>累计秒（自动）</x:v>
      </x:c>
      <x:c r="L305" s="12"/>
      <x:c r="M305" s="12"/>
      <x:c r="N305" s="12" t="str">
        <x:f>IF(OR(L305="",M305=""),"",ROUND((M305-L305)*86400,0))</x:f>
      </x:c>
      <x:c r="O305" s="12" t="str">
        <x:f>IF(N305="","",N305/86400)</x:f>
      </x:c>
      <x:c r="P305" s="12"/>
      <x:c r="Q305" s="12"/>
      <x:c r="R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 t="str">
        <x:f>IFERROR(INDEX('秒级路线参数_可调整'!$O:$O,MATCH(E306&amp;"|"&amp;H306,'秒级路线参数_可调整'!$A:$A,0)),"")</x:f>
        <x:v>累计秒（自动）</x:v>
      </x:c>
      <x:c r="L306" s="12"/>
      <x:c r="M306" s="12"/>
      <x:c r="N306" s="12" t="str">
        <x:f>IF(OR(L306="",M306=""),"",ROUND((M306-L306)*86400,0))</x:f>
      </x:c>
      <x:c r="O306" s="12" t="str">
        <x:f>IF(N306="","",N306/86400)</x:f>
      </x:c>
      <x:c r="P306" s="12"/>
      <x:c r="Q306" s="12"/>
      <x:c r="R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 t="str">
        <x:f>IFERROR(INDEX('秒级路线参数_可调整'!$O:$O,MATCH(E307&amp;"|"&amp;H307,'秒级路线参数_可调整'!$A:$A,0)),"")</x:f>
        <x:v>累计秒（自动）</x:v>
      </x:c>
      <x:c r="L307" s="12"/>
      <x:c r="M307" s="12"/>
      <x:c r="N307" s="12" t="str">
        <x:f>IF(OR(L307="",M307=""),"",ROUND((M307-L307)*86400,0))</x:f>
      </x:c>
      <x:c r="O307" s="12" t="str">
        <x:f>IF(N307="","",N307/86400)</x:f>
      </x:c>
      <x:c r="P307" s="12"/>
      <x:c r="Q307" s="12"/>
      <x:c r="R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 t="str">
        <x:f>IFERROR(INDEX('秒级路线参数_可调整'!$O:$O,MATCH(E308&amp;"|"&amp;H308,'秒级路线参数_可调整'!$A:$A,0)),"")</x:f>
        <x:v>累计秒（自动）</x:v>
      </x:c>
      <x:c r="L308" s="12"/>
      <x:c r="M308" s="12"/>
      <x:c r="N308" s="12" t="str">
        <x:f>IF(OR(L308="",M308=""),"",ROUND((M308-L308)*86400,0))</x:f>
      </x:c>
      <x:c r="O308" s="12" t="str">
        <x:f>IF(N308="","",N308/86400)</x:f>
      </x:c>
      <x:c r="P308" s="12"/>
      <x:c r="Q308" s="12"/>
      <x:c r="R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 t="str">
        <x:f>IFERROR(INDEX('秒级路线参数_可调整'!$O:$O,MATCH(E309&amp;"|"&amp;H309,'秒级路线参数_可调整'!$A:$A,0)),"")</x:f>
        <x:v>累计秒（自动）</x:v>
      </x:c>
      <x:c r="L309" s="12"/>
      <x:c r="M309" s="12"/>
      <x:c r="N309" s="12" t="str">
        <x:f>IF(OR(L309="",M309=""),"",ROUND((M309-L309)*86400,0))</x:f>
      </x:c>
      <x:c r="O309" s="12" t="str">
        <x:f>IF(N309="","",N309/86400)</x:f>
      </x:c>
      <x:c r="P309" s="12"/>
      <x:c r="Q309" s="12"/>
      <x:c r="R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 t="str">
        <x:f>IFERROR(INDEX('秒级路线参数_可调整'!$O:$O,MATCH(E310&amp;"|"&amp;H310,'秒级路线参数_可调整'!$A:$A,0)),"")</x:f>
        <x:v>累计秒（自动）</x:v>
      </x:c>
      <x:c r="L310" s="12"/>
      <x:c r="M310" s="12"/>
      <x:c r="N310" s="12" t="str">
        <x:f>IF(OR(L310="",M310=""),"",ROUND((M310-L310)*86400,0))</x:f>
      </x:c>
      <x:c r="O310" s="12" t="str">
        <x:f>IF(N310="","",N310/86400)</x:f>
      </x:c>
      <x:c r="P310" s="12"/>
      <x:c r="Q310" s="12"/>
      <x:c r="R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 t="str">
        <x:f>IFERROR(INDEX('秒级路线参数_可调整'!$O:$O,MATCH(E311&amp;"|"&amp;H311,'秒级路线参数_可调整'!$A:$A,0)),"")</x:f>
        <x:v>累计秒（自动）</x:v>
      </x:c>
      <x:c r="L311" s="12"/>
      <x:c r="M311" s="12"/>
      <x:c r="N311" s="12" t="str">
        <x:f>IF(OR(L311="",M311=""),"",ROUND((M311-L311)*86400,0))</x:f>
      </x:c>
      <x:c r="O311" s="12" t="str">
        <x:f>IF(N311="","",N311/86400)</x:f>
      </x:c>
      <x:c r="P311" s="12"/>
      <x:c r="Q311" s="12"/>
      <x:c r="R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 t="str">
        <x:f>IFERROR(INDEX('秒级路线参数_可调整'!$O:$O,MATCH(E312&amp;"|"&amp;H312,'秒级路线参数_可调整'!$A:$A,0)),"")</x:f>
        <x:v>累计秒（自动）</x:v>
      </x:c>
      <x:c r="L312" s="12"/>
      <x:c r="M312" s="12"/>
      <x:c r="N312" s="12" t="str">
        <x:f>IF(OR(L312="",M312=""),"",ROUND((M312-L312)*86400,0))</x:f>
      </x:c>
      <x:c r="O312" s="12" t="str">
        <x:f>IF(N312="","",N312/86400)</x:f>
      </x:c>
      <x:c r="P312" s="12"/>
      <x:c r="Q312" s="12"/>
      <x:c r="R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 t="str">
        <x:f>IFERROR(INDEX('秒级路线参数_可调整'!$O:$O,MATCH(E313&amp;"|"&amp;H313,'秒级路线参数_可调整'!$A:$A,0)),"")</x:f>
        <x:v>累计秒（自动）</x:v>
      </x:c>
      <x:c r="L313" s="12"/>
      <x:c r="M313" s="12"/>
      <x:c r="N313" s="12" t="str">
        <x:f>IF(OR(L313="",M313=""),"",ROUND((M313-L313)*86400,0))</x:f>
      </x:c>
      <x:c r="O313" s="12" t="str">
        <x:f>IF(N313="","",N313/86400)</x:f>
      </x:c>
      <x:c r="P313" s="12"/>
      <x:c r="Q313" s="12"/>
      <x:c r="R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 t="str">
        <x:f>IFERROR(INDEX('秒级路线参数_可调整'!$O:$O,MATCH(E314&amp;"|"&amp;H314,'秒级路线参数_可调整'!$A:$A,0)),"")</x:f>
        <x:v>累计秒（自动）</x:v>
      </x:c>
      <x:c r="L314" s="12"/>
      <x:c r="M314" s="12"/>
      <x:c r="N314" s="12" t="str">
        <x:f>IF(OR(L314="",M314=""),"",ROUND((M314-L314)*86400,0))</x:f>
      </x:c>
      <x:c r="O314" s="12" t="str">
        <x:f>IF(N314="","",N314/86400)</x:f>
      </x:c>
      <x:c r="P314" s="12"/>
      <x:c r="Q314" s="12"/>
      <x:c r="R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 t="str">
        <x:f>IFERROR(INDEX('秒级路线参数_可调整'!$O:$O,MATCH(E315&amp;"|"&amp;H315,'秒级路线参数_可调整'!$A:$A,0)),"")</x:f>
        <x:v>累计秒（自动）</x:v>
      </x:c>
      <x:c r="L315" s="12"/>
      <x:c r="M315" s="12"/>
      <x:c r="N315" s="12" t="str">
        <x:f>IF(OR(L315="",M315=""),"",ROUND((M315-L315)*86400,0))</x:f>
      </x:c>
      <x:c r="O315" s="12" t="str">
        <x:f>IF(N315="","",N315/86400)</x:f>
      </x:c>
      <x:c r="P315" s="12"/>
      <x:c r="Q315" s="12"/>
      <x:c r="R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 t="str">
        <x:f>IFERROR(INDEX('秒级路线参数_可调整'!$O:$O,MATCH(E316&amp;"|"&amp;H316,'秒级路线参数_可调整'!$A:$A,0)),"")</x:f>
        <x:v>累计秒（自动）</x:v>
      </x:c>
      <x:c r="L316" s="12"/>
      <x:c r="M316" s="12"/>
      <x:c r="N316" s="12" t="str">
        <x:f>IF(OR(L316="",M316=""),"",ROUND((M316-L316)*86400,0))</x:f>
      </x:c>
      <x:c r="O316" s="12" t="str">
        <x:f>IF(N316="","",N316/86400)</x:f>
      </x:c>
      <x:c r="P316" s="12"/>
      <x:c r="Q316" s="12"/>
      <x:c r="R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 t="str">
        <x:f>IFERROR(INDEX('秒级路线参数_可调整'!$O:$O,MATCH(E317&amp;"|"&amp;H317,'秒级路线参数_可调整'!$A:$A,0)),"")</x:f>
        <x:v>累计秒（自动）</x:v>
      </x:c>
      <x:c r="L317" s="12"/>
      <x:c r="M317" s="12"/>
      <x:c r="N317" s="12" t="str">
        <x:f>IF(OR(L317="",M317=""),"",ROUND((M317-L317)*86400,0))</x:f>
      </x:c>
      <x:c r="O317" s="12" t="str">
        <x:f>IF(N317="","",N317/86400)</x:f>
      </x:c>
      <x:c r="P317" s="12"/>
      <x:c r="Q317" s="12"/>
      <x:c r="R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 t="str">
        <x:f>IFERROR(INDEX('秒级路线参数_可调整'!$O:$O,MATCH(E318&amp;"|"&amp;H318,'秒级路线参数_可调整'!$A:$A,0)),"")</x:f>
        <x:v>累计秒（自动）</x:v>
      </x:c>
      <x:c r="L318" s="12"/>
      <x:c r="M318" s="12"/>
      <x:c r="N318" s="12" t="str">
        <x:f>IF(OR(L318="",M318=""),"",ROUND((M318-L318)*86400,0))</x:f>
      </x:c>
      <x:c r="O318" s="12" t="str">
        <x:f>IF(N318="","",N318/86400)</x:f>
      </x:c>
      <x:c r="P318" s="12"/>
      <x:c r="Q318" s="12"/>
      <x:c r="R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 t="str">
        <x:f>IFERROR(INDEX('秒级路线参数_可调整'!$O:$O,MATCH(E319&amp;"|"&amp;H319,'秒级路线参数_可调整'!$A:$A,0)),"")</x:f>
        <x:v>累计秒（自动）</x:v>
      </x:c>
      <x:c r="L319" s="12"/>
      <x:c r="M319" s="12"/>
      <x:c r="N319" s="12" t="str">
        <x:f>IF(OR(L319="",M319=""),"",ROUND((M319-L319)*86400,0))</x:f>
      </x:c>
      <x:c r="O319" s="12" t="str">
        <x:f>IF(N319="","",N319/86400)</x:f>
      </x:c>
      <x:c r="P319" s="12"/>
      <x:c r="Q319" s="12"/>
      <x:c r="R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 t="str">
        <x:f>IFERROR(INDEX('秒级路线参数_可调整'!$O:$O,MATCH(E320&amp;"|"&amp;H320,'秒级路线参数_可调整'!$A:$A,0)),"")</x:f>
        <x:v>累计秒（自动）</x:v>
      </x:c>
      <x:c r="L320" s="12"/>
      <x:c r="M320" s="12"/>
      <x:c r="N320" s="12" t="str">
        <x:f>IF(OR(L320="",M320=""),"",ROUND((M320-L320)*86400,0))</x:f>
      </x:c>
      <x:c r="O320" s="12" t="str">
        <x:f>IF(N320="","",N320/86400)</x:f>
      </x:c>
      <x:c r="P320" s="12"/>
      <x:c r="Q320" s="12"/>
      <x:c r="R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 t="str">
        <x:f>IFERROR(INDEX('秒级路线参数_可调整'!$O:$O,MATCH(E321&amp;"|"&amp;H321,'秒级路线参数_可调整'!$A:$A,0)),"")</x:f>
        <x:v>累计秒（自动）</x:v>
      </x:c>
      <x:c r="L321" s="12"/>
      <x:c r="M321" s="12"/>
      <x:c r="N321" s="12" t="str">
        <x:f>IF(OR(L321="",M321=""),"",ROUND((M321-L321)*86400,0))</x:f>
      </x:c>
      <x:c r="O321" s="12" t="str">
        <x:f>IF(N321="","",N321/86400)</x:f>
      </x:c>
      <x:c r="P321" s="12"/>
      <x:c r="Q321" s="12"/>
      <x:c r="R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 t="str">
        <x:f>IFERROR(INDEX('秒级路线参数_可调整'!$O:$O,MATCH(E322&amp;"|"&amp;H322,'秒级路线参数_可调整'!$A:$A,0)),"")</x:f>
        <x:v>累计秒（自动）</x:v>
      </x:c>
      <x:c r="L322" s="12"/>
      <x:c r="M322" s="12"/>
      <x:c r="N322" s="12" t="str">
        <x:f>IF(OR(L322="",M322=""),"",ROUND((M322-L322)*86400,0))</x:f>
      </x:c>
      <x:c r="O322" s="12" t="str">
        <x:f>IF(N322="","",N322/86400)</x:f>
      </x:c>
      <x:c r="P322" s="12"/>
      <x:c r="Q322" s="12"/>
      <x:c r="R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 t="str">
        <x:f>IFERROR(INDEX('秒级路线参数_可调整'!$O:$O,MATCH(E323&amp;"|"&amp;H323,'秒级路线参数_可调整'!$A:$A,0)),"")</x:f>
        <x:v>累计秒（自动）</x:v>
      </x:c>
      <x:c r="L323" s="12"/>
      <x:c r="M323" s="12"/>
      <x:c r="N323" s="12" t="str">
        <x:f>IF(OR(L323="",M323=""),"",ROUND((M323-L323)*86400,0))</x:f>
      </x:c>
      <x:c r="O323" s="12" t="str">
        <x:f>IF(N323="","",N323/86400)</x:f>
      </x:c>
      <x:c r="P323" s="12"/>
      <x:c r="Q323" s="12"/>
      <x:c r="R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 t="str">
        <x:f>IFERROR(INDEX('秒级路线参数_可调整'!$O:$O,MATCH(E324&amp;"|"&amp;H324,'秒级路线参数_可调整'!$A:$A,0)),"")</x:f>
        <x:v>累计秒（自动）</x:v>
      </x:c>
      <x:c r="L324" s="12"/>
      <x:c r="M324" s="12"/>
      <x:c r="N324" s="12" t="str">
        <x:f>IF(OR(L324="",M324=""),"",ROUND((M324-L324)*86400,0))</x:f>
      </x:c>
      <x:c r="O324" s="12" t="str">
        <x:f>IF(N324="","",N324/86400)</x:f>
      </x:c>
      <x:c r="P324" s="12"/>
      <x:c r="Q324" s="12"/>
      <x:c r="R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 t="str">
        <x:f>IFERROR(INDEX('秒级路线参数_可调整'!$O:$O,MATCH(E325&amp;"|"&amp;H325,'秒级路线参数_可调整'!$A:$A,0)),"")</x:f>
        <x:v>累计秒（自动）</x:v>
      </x:c>
      <x:c r="L325" s="12"/>
      <x:c r="M325" s="12"/>
      <x:c r="N325" s="12" t="str">
        <x:f>IF(OR(L325="",M325=""),"",ROUND((M325-L325)*86400,0))</x:f>
      </x:c>
      <x:c r="O325" s="12" t="str">
        <x:f>IF(N325="","",N325/86400)</x:f>
      </x:c>
      <x:c r="P325" s="12"/>
      <x:c r="Q325" s="12"/>
      <x:c r="R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 t="str">
        <x:f>IFERROR(INDEX('秒级路线参数_可调整'!$O:$O,MATCH(E326&amp;"|"&amp;H326,'秒级路线参数_可调整'!$A:$A,0)),"")</x:f>
        <x:v>累计秒（自动）</x:v>
      </x:c>
      <x:c r="L326" s="12"/>
      <x:c r="M326" s="12"/>
      <x:c r="N326" s="12" t="str">
        <x:f>IF(OR(L326="",M326=""),"",ROUND((M326-L326)*86400,0))</x:f>
      </x:c>
      <x:c r="O326" s="12" t="str">
        <x:f>IF(N326="","",N326/86400)</x:f>
      </x:c>
      <x:c r="P326" s="12"/>
      <x:c r="Q326" s="12"/>
      <x:c r="R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 t="str">
        <x:f>IFERROR(INDEX('秒级路线参数_可调整'!$O:$O,MATCH(E327&amp;"|"&amp;H327,'秒级路线参数_可调整'!$A:$A,0)),"")</x:f>
        <x:v>累计秒（自动）</x:v>
      </x:c>
      <x:c r="L327" s="12"/>
      <x:c r="M327" s="12"/>
      <x:c r="N327" s="12" t="str">
        <x:f>IF(OR(L327="",M327=""),"",ROUND((M327-L327)*86400,0))</x:f>
      </x:c>
      <x:c r="O327" s="12" t="str">
        <x:f>IF(N327="","",N327/86400)</x:f>
      </x:c>
      <x:c r="P327" s="12"/>
      <x:c r="Q327" s="12"/>
      <x:c r="R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 t="str">
        <x:f>IFERROR(INDEX('秒级路线参数_可调整'!$O:$O,MATCH(E328&amp;"|"&amp;H328,'秒级路线参数_可调整'!$A:$A,0)),"")</x:f>
        <x:v>累计秒（自动）</x:v>
      </x:c>
      <x:c r="L328" s="12"/>
      <x:c r="M328" s="12"/>
      <x:c r="N328" s="12" t="str">
        <x:f>IF(OR(L328="",M328=""),"",ROUND((M328-L328)*86400,0))</x:f>
      </x:c>
      <x:c r="O328" s="12" t="str">
        <x:f>IF(N328="","",N328/86400)</x:f>
      </x:c>
      <x:c r="P328" s="12"/>
      <x:c r="Q328" s="12"/>
      <x:c r="R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 t="str">
        <x:f>IFERROR(INDEX('秒级路线参数_可调整'!$O:$O,MATCH(E329&amp;"|"&amp;H329,'秒级路线参数_可调整'!$A:$A,0)),"")</x:f>
        <x:v>累计秒（自动）</x:v>
      </x:c>
      <x:c r="L329" s="12"/>
      <x:c r="M329" s="12"/>
      <x:c r="N329" s="12" t="str">
        <x:f>IF(OR(L329="",M329=""),"",ROUND((M329-L329)*86400,0))</x:f>
      </x:c>
      <x:c r="O329" s="12" t="str">
        <x:f>IF(N329="","",N329/86400)</x:f>
      </x:c>
      <x:c r="P329" s="12"/>
      <x:c r="Q329" s="12"/>
      <x:c r="R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 t="str">
        <x:f>IFERROR(INDEX('秒级路线参数_可调整'!$O:$O,MATCH(E330&amp;"|"&amp;H330,'秒级路线参数_可调整'!$A:$A,0)),"")</x:f>
        <x:v>累计秒（自动）</x:v>
      </x:c>
      <x:c r="L330" s="12"/>
      <x:c r="M330" s="12"/>
      <x:c r="N330" s="12" t="str">
        <x:f>IF(OR(L330="",M330=""),"",ROUND((M330-L330)*86400,0))</x:f>
      </x:c>
      <x:c r="O330" s="12" t="str">
        <x:f>IF(N330="","",N330/86400)</x:f>
      </x:c>
      <x:c r="P330" s="12"/>
      <x:c r="Q330" s="12"/>
      <x:c r="R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 t="str">
        <x:f>IFERROR(INDEX('秒级路线参数_可调整'!$O:$O,MATCH(E331&amp;"|"&amp;H331,'秒级路线参数_可调整'!$A:$A,0)),"")</x:f>
        <x:v>累计秒（自动）</x:v>
      </x:c>
      <x:c r="L331" s="12"/>
      <x:c r="M331" s="12"/>
      <x:c r="N331" s="12" t="str">
        <x:f>IF(OR(L331="",M331=""),"",ROUND((M331-L331)*86400,0))</x:f>
      </x:c>
      <x:c r="O331" s="12" t="str">
        <x:f>IF(N331="","",N331/86400)</x:f>
      </x:c>
      <x:c r="P331" s="12"/>
      <x:c r="Q331" s="12"/>
      <x:c r="R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 t="str">
        <x:f>IFERROR(INDEX('秒级路线参数_可调整'!$O:$O,MATCH(E332&amp;"|"&amp;H332,'秒级路线参数_可调整'!$A:$A,0)),"")</x:f>
        <x:v>累计秒（自动）</x:v>
      </x:c>
      <x:c r="L332" s="12"/>
      <x:c r="M332" s="12"/>
      <x:c r="N332" s="12" t="str">
        <x:f>IF(OR(L332="",M332=""),"",ROUND((M332-L332)*86400,0))</x:f>
      </x:c>
      <x:c r="O332" s="12" t="str">
        <x:f>IF(N332="","",N332/86400)</x:f>
      </x:c>
      <x:c r="P332" s="12"/>
      <x:c r="Q332" s="12"/>
      <x:c r="R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 t="str">
        <x:f>IFERROR(INDEX('秒级路线参数_可调整'!$O:$O,MATCH(E333&amp;"|"&amp;H333,'秒级路线参数_可调整'!$A:$A,0)),"")</x:f>
        <x:v>累计秒（自动）</x:v>
      </x:c>
      <x:c r="L333" s="12"/>
      <x:c r="M333" s="12"/>
      <x:c r="N333" s="12" t="str">
        <x:f>IF(OR(L333="",M333=""),"",ROUND((M333-L333)*86400,0))</x:f>
      </x:c>
      <x:c r="O333" s="12" t="str">
        <x:f>IF(N333="","",N333/86400)</x:f>
      </x:c>
      <x:c r="P333" s="12"/>
      <x:c r="Q333" s="12"/>
      <x:c r="R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 t="str">
        <x:f>IFERROR(INDEX('秒级路线参数_可调整'!$O:$O,MATCH(E334&amp;"|"&amp;H334,'秒级路线参数_可调整'!$A:$A,0)),"")</x:f>
        <x:v>累计秒（自动）</x:v>
      </x:c>
      <x:c r="L334" s="12"/>
      <x:c r="M334" s="12"/>
      <x:c r="N334" s="12" t="str">
        <x:f>IF(OR(L334="",M334=""),"",ROUND((M334-L334)*86400,0))</x:f>
      </x:c>
      <x:c r="O334" s="12" t="str">
        <x:f>IF(N334="","",N334/86400)</x:f>
      </x:c>
      <x:c r="P334" s="12"/>
      <x:c r="Q334" s="12"/>
      <x:c r="R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 t="str">
        <x:f>IFERROR(INDEX('秒级路线参数_可调整'!$O:$O,MATCH(E335&amp;"|"&amp;H335,'秒级路线参数_可调整'!$A:$A,0)),"")</x:f>
        <x:v>累计秒（自动）</x:v>
      </x:c>
      <x:c r="L335" s="12"/>
      <x:c r="M335" s="12"/>
      <x:c r="N335" s="12" t="str">
        <x:f>IF(OR(L335="",M335=""),"",ROUND((M335-L335)*86400,0))</x:f>
      </x:c>
      <x:c r="O335" s="12" t="str">
        <x:f>IF(N335="","",N335/86400)</x:f>
      </x:c>
      <x:c r="P335" s="12"/>
      <x:c r="Q335" s="12"/>
      <x:c r="R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 t="str">
        <x:f>IFERROR(INDEX('秒级路线参数_可调整'!$O:$O,MATCH(E336&amp;"|"&amp;H336,'秒级路线参数_可调整'!$A:$A,0)),"")</x:f>
        <x:v>累计秒（自动）</x:v>
      </x:c>
      <x:c r="L336" s="12"/>
      <x:c r="M336" s="12"/>
      <x:c r="N336" s="12" t="str">
        <x:f>IF(OR(L336="",M336=""),"",ROUND((M336-L336)*86400,0))</x:f>
      </x:c>
      <x:c r="O336" s="12" t="str">
        <x:f>IF(N336="","",N336/86400)</x:f>
      </x:c>
      <x:c r="P336" s="12"/>
      <x:c r="Q336" s="12"/>
      <x:c r="R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 t="str">
        <x:f>IFERROR(INDEX('秒级路线参数_可调整'!$O:$O,MATCH(E337&amp;"|"&amp;H337,'秒级路线参数_可调整'!$A:$A,0)),"")</x:f>
        <x:v>累计秒（自动）</x:v>
      </x:c>
      <x:c r="L337" s="12"/>
      <x:c r="M337" s="12"/>
      <x:c r="N337" s="12" t="str">
        <x:f>IF(OR(L337="",M337=""),"",ROUND((M337-L337)*86400,0))</x:f>
      </x:c>
      <x:c r="O337" s="12" t="str">
        <x:f>IF(N337="","",N337/86400)</x:f>
      </x:c>
      <x:c r="P337" s="12"/>
      <x:c r="Q337" s="12"/>
      <x:c r="R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 t="str">
        <x:f>IFERROR(INDEX('秒级路线参数_可调整'!$O:$O,MATCH(E338&amp;"|"&amp;H338,'秒级路线参数_可调整'!$A:$A,0)),"")</x:f>
        <x:v>累计秒（自动）</x:v>
      </x:c>
      <x:c r="L338" s="12"/>
      <x:c r="M338" s="12"/>
      <x:c r="N338" s="12" t="str">
        <x:f>IF(OR(L338="",M338=""),"",ROUND((M338-L338)*86400,0))</x:f>
      </x:c>
      <x:c r="O338" s="12" t="str">
        <x:f>IF(N338="","",N338/86400)</x:f>
      </x:c>
      <x:c r="P338" s="12"/>
      <x:c r="Q338" s="12"/>
      <x:c r="R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 t="str">
        <x:f>IFERROR(INDEX('秒级路线参数_可调整'!$O:$O,MATCH(E339&amp;"|"&amp;H339,'秒级路线参数_可调整'!$A:$A,0)),"")</x:f>
        <x:v>累计秒（自动）</x:v>
      </x:c>
      <x:c r="L339" s="12"/>
      <x:c r="M339" s="12"/>
      <x:c r="N339" s="12" t="str">
        <x:f>IF(OR(L339="",M339=""),"",ROUND((M339-L339)*86400,0))</x:f>
      </x:c>
      <x:c r="O339" s="12" t="str">
        <x:f>IF(N339="","",N339/86400)</x:f>
      </x:c>
      <x:c r="P339" s="12"/>
      <x:c r="Q339" s="12"/>
      <x:c r="R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 t="str">
        <x:f>IFERROR(INDEX('秒级路线参数_可调整'!$O:$O,MATCH(E340&amp;"|"&amp;H340,'秒级路线参数_可调整'!$A:$A,0)),"")</x:f>
        <x:v>累计秒（自动）</x:v>
      </x:c>
      <x:c r="L340" s="12"/>
      <x:c r="M340" s="12"/>
      <x:c r="N340" s="12" t="str">
        <x:f>IF(OR(L340="",M340=""),"",ROUND((M340-L340)*86400,0))</x:f>
      </x:c>
      <x:c r="O340" s="12" t="str">
        <x:f>IF(N340="","",N340/86400)</x:f>
      </x:c>
      <x:c r="P340" s="12"/>
      <x:c r="Q340" s="12"/>
      <x:c r="R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 t="str">
        <x:f>IFERROR(INDEX('秒级路线参数_可调整'!$O:$O,MATCH(E341&amp;"|"&amp;H341,'秒级路线参数_可调整'!$A:$A,0)),"")</x:f>
        <x:v>累计秒（自动）</x:v>
      </x:c>
      <x:c r="L341" s="12"/>
      <x:c r="M341" s="12"/>
      <x:c r="N341" s="12" t="str">
        <x:f>IF(OR(L341="",M341=""),"",ROUND((M341-L341)*86400,0))</x:f>
      </x:c>
      <x:c r="O341" s="12" t="str">
        <x:f>IF(N341="","",N341/86400)</x:f>
      </x:c>
      <x:c r="P341" s="12"/>
      <x:c r="Q341" s="12"/>
      <x:c r="R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 t="str">
        <x:f>IFERROR(INDEX('秒级路线参数_可调整'!$O:$O,MATCH(E342&amp;"|"&amp;H342,'秒级路线参数_可调整'!$A:$A,0)),"")</x:f>
        <x:v>累计秒（自动）</x:v>
      </x:c>
      <x:c r="L342" s="12"/>
      <x:c r="M342" s="12"/>
      <x:c r="N342" s="12" t="str">
        <x:f>IF(OR(L342="",M342=""),"",ROUND((M342-L342)*86400,0))</x:f>
      </x:c>
      <x:c r="O342" s="12" t="str">
        <x:f>IF(N342="","",N342/86400)</x:f>
      </x:c>
      <x:c r="P342" s="12"/>
      <x:c r="Q342" s="12"/>
      <x:c r="R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 t="str">
        <x:f>IFERROR(INDEX('秒级路线参数_可调整'!$O:$O,MATCH(E343&amp;"|"&amp;H343,'秒级路线参数_可调整'!$A:$A,0)),"")</x:f>
        <x:v>累计秒（自动）</x:v>
      </x:c>
      <x:c r="L343" s="12"/>
      <x:c r="M343" s="12"/>
      <x:c r="N343" s="12" t="str">
        <x:f>IF(OR(L343="",M343=""),"",ROUND((M343-L343)*86400,0))</x:f>
      </x:c>
      <x:c r="O343" s="12" t="str">
        <x:f>IF(N343="","",N343/86400)</x:f>
      </x:c>
      <x:c r="P343" s="12"/>
      <x:c r="Q343" s="12"/>
      <x:c r="R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 t="str">
        <x:f>IFERROR(INDEX('秒级路线参数_可调整'!$O:$O,MATCH(E344&amp;"|"&amp;H344,'秒级路线参数_可调整'!$A:$A,0)),"")</x:f>
        <x:v>累计秒（自动）</x:v>
      </x:c>
      <x:c r="L344" s="12"/>
      <x:c r="M344" s="12"/>
      <x:c r="N344" s="12" t="str">
        <x:f>IF(OR(L344="",M344=""),"",ROUND((M344-L344)*86400,0))</x:f>
      </x:c>
      <x:c r="O344" s="12" t="str">
        <x:f>IF(N344="","",N344/86400)</x:f>
      </x:c>
      <x:c r="P344" s="12"/>
      <x:c r="Q344" s="12"/>
      <x:c r="R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 t="str">
        <x:f>IFERROR(INDEX('秒级路线参数_可调整'!$O:$O,MATCH(E345&amp;"|"&amp;H345,'秒级路线参数_可调整'!$A:$A,0)),"")</x:f>
        <x:v>累计秒（自动）</x:v>
      </x:c>
      <x:c r="L345" s="12"/>
      <x:c r="M345" s="12"/>
      <x:c r="N345" s="12" t="str">
        <x:f>IF(OR(L345="",M345=""),"",ROUND((M345-L345)*86400,0))</x:f>
      </x:c>
      <x:c r="O345" s="12" t="str">
        <x:f>IF(N345="","",N345/86400)</x:f>
      </x:c>
      <x:c r="P345" s="12"/>
      <x:c r="Q345" s="12"/>
      <x:c r="R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 t="str">
        <x:f>IFERROR(INDEX('秒级路线参数_可调整'!$O:$O,MATCH(E346&amp;"|"&amp;H346,'秒级路线参数_可调整'!$A:$A,0)),"")</x:f>
        <x:v>累计秒（自动）</x:v>
      </x:c>
      <x:c r="L346" s="12"/>
      <x:c r="M346" s="12"/>
      <x:c r="N346" s="12" t="str">
        <x:f>IF(OR(L346="",M346=""),"",ROUND((M346-L346)*86400,0))</x:f>
      </x:c>
      <x:c r="O346" s="12" t="str">
        <x:f>IF(N346="","",N346/86400)</x:f>
      </x:c>
      <x:c r="P346" s="12"/>
      <x:c r="Q346" s="12"/>
      <x:c r="R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 t="str">
        <x:f>IFERROR(INDEX('秒级路线参数_可调整'!$O:$O,MATCH(E347&amp;"|"&amp;H347,'秒级路线参数_可调整'!$A:$A,0)),"")</x:f>
        <x:v>累计秒（自动）</x:v>
      </x:c>
      <x:c r="L347" s="12"/>
      <x:c r="M347" s="12"/>
      <x:c r="N347" s="12" t="str">
        <x:f>IF(OR(L347="",M347=""),"",ROUND((M347-L347)*86400,0))</x:f>
      </x:c>
      <x:c r="O347" s="12" t="str">
        <x:f>IF(N347="","",N347/86400)</x:f>
      </x:c>
      <x:c r="P347" s="12"/>
      <x:c r="Q347" s="12"/>
      <x:c r="R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 t="str">
        <x:f>IFERROR(INDEX('秒级路线参数_可调整'!$O:$O,MATCH(E348&amp;"|"&amp;H348,'秒级路线参数_可调整'!$A:$A,0)),"")</x:f>
        <x:v>累计秒（自动）</x:v>
      </x:c>
      <x:c r="L348" s="12"/>
      <x:c r="M348" s="12"/>
      <x:c r="N348" s="12" t="str">
        <x:f>IF(OR(L348="",M348=""),"",ROUND((M348-L348)*86400,0))</x:f>
      </x:c>
      <x:c r="O348" s="12" t="str">
        <x:f>IF(N348="","",N348/86400)</x:f>
      </x:c>
      <x:c r="P348" s="12"/>
      <x:c r="Q348" s="12"/>
      <x:c r="R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 t="str">
        <x:f>IFERROR(INDEX('秒级路线参数_可调整'!$O:$O,MATCH(E349&amp;"|"&amp;H349,'秒级路线参数_可调整'!$A:$A,0)),"")</x:f>
        <x:v>累计秒（自动）</x:v>
      </x:c>
      <x:c r="L349" s="12"/>
      <x:c r="M349" s="12"/>
      <x:c r="N349" s="12" t="str">
        <x:f>IF(OR(L349="",M349=""),"",ROUND((M349-L349)*86400,0))</x:f>
      </x:c>
      <x:c r="O349" s="12" t="str">
        <x:f>IF(N349="","",N349/86400)</x:f>
      </x:c>
      <x:c r="P349" s="12"/>
      <x:c r="Q349" s="12"/>
      <x:c r="R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 t="str">
        <x:f>IFERROR(INDEX('秒级路线参数_可调整'!$O:$O,MATCH(E350&amp;"|"&amp;H350,'秒级路线参数_可调整'!$A:$A,0)),"")</x:f>
        <x:v>累计秒（自动）</x:v>
      </x:c>
      <x:c r="L350" s="12"/>
      <x:c r="M350" s="12"/>
      <x:c r="N350" s="12" t="str">
        <x:f>IF(OR(L350="",M350=""),"",ROUND((M350-L350)*86400,0))</x:f>
      </x:c>
      <x:c r="O350" s="12" t="str">
        <x:f>IF(N350="","",N350/86400)</x:f>
      </x:c>
      <x:c r="P350" s="12"/>
      <x:c r="Q350" s="12"/>
      <x:c r="R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 t="str">
        <x:f>IFERROR(INDEX('秒级路线参数_可调整'!$O:$O,MATCH(E351&amp;"|"&amp;H351,'秒级路线参数_可调整'!$A:$A,0)),"")</x:f>
        <x:v>累计秒（自动）</x:v>
      </x:c>
      <x:c r="L351" s="12"/>
      <x:c r="M351" s="12"/>
      <x:c r="N351" s="12" t="str">
        <x:f>IF(OR(L351="",M351=""),"",ROUND((M351-L351)*86400,0))</x:f>
      </x:c>
      <x:c r="O351" s="12" t="str">
        <x:f>IF(N351="","",N351/86400)</x:f>
      </x:c>
      <x:c r="P351" s="12"/>
      <x:c r="Q351" s="12"/>
      <x:c r="R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 t="str">
        <x:f>IFERROR(INDEX('秒级路线参数_可调整'!$O:$O,MATCH(E352&amp;"|"&amp;H352,'秒级路线参数_可调整'!$A:$A,0)),"")</x:f>
        <x:v>累计秒（自动）</x:v>
      </x:c>
      <x:c r="L352" s="12"/>
      <x:c r="M352" s="12"/>
      <x:c r="N352" s="12" t="str">
        <x:f>IF(OR(L352="",M352=""),"",ROUND((M352-L352)*86400,0))</x:f>
      </x:c>
      <x:c r="O352" s="12" t="str">
        <x:f>IF(N352="","",N352/86400)</x:f>
      </x:c>
      <x:c r="P352" s="12"/>
      <x:c r="Q352" s="12"/>
      <x:c r="R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 t="str">
        <x:f>IFERROR(INDEX('秒级路线参数_可调整'!$O:$O,MATCH(E353&amp;"|"&amp;H353,'秒级路线参数_可调整'!$A:$A,0)),"")</x:f>
        <x:v>累计秒（自动）</x:v>
      </x:c>
      <x:c r="L353" s="12"/>
      <x:c r="M353" s="12"/>
      <x:c r="N353" s="12" t="str">
        <x:f>IF(OR(L353="",M353=""),"",ROUND((M353-L353)*86400,0))</x:f>
      </x:c>
      <x:c r="O353" s="12" t="str">
        <x:f>IF(N353="","",N353/86400)</x:f>
      </x:c>
      <x:c r="P353" s="12"/>
      <x:c r="Q353" s="12"/>
      <x:c r="R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 t="str">
        <x:f>IFERROR(INDEX('秒级路线参数_可调整'!$O:$O,MATCH(E354&amp;"|"&amp;H354,'秒级路线参数_可调整'!$A:$A,0)),"")</x:f>
        <x:v>累计秒（自动）</x:v>
      </x:c>
      <x:c r="L354" s="12"/>
      <x:c r="M354" s="12"/>
      <x:c r="N354" s="12" t="str">
        <x:f>IF(OR(L354="",M354=""),"",ROUND((M354-L354)*86400,0))</x:f>
      </x:c>
      <x:c r="O354" s="12" t="str">
        <x:f>IF(N354="","",N354/86400)</x:f>
      </x:c>
      <x:c r="P354" s="12"/>
      <x:c r="Q354" s="12"/>
      <x:c r="R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 t="str">
        <x:f>IFERROR(INDEX('秒级路线参数_可调整'!$O:$O,MATCH(E355&amp;"|"&amp;H355,'秒级路线参数_可调整'!$A:$A,0)),"")</x:f>
        <x:v>累计秒（自动）</x:v>
      </x:c>
      <x:c r="L355" s="12"/>
      <x:c r="M355" s="12"/>
      <x:c r="N355" s="12" t="str">
        <x:f>IF(OR(L355="",M355=""),"",ROUND((M355-L355)*86400,0))</x:f>
      </x:c>
      <x:c r="O355" s="12" t="str">
        <x:f>IF(N355="","",N355/86400)</x:f>
      </x:c>
      <x:c r="P355" s="12"/>
      <x:c r="Q355" s="12"/>
      <x:c r="R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 t="str">
        <x:f>IFERROR(INDEX('秒级路线参数_可调整'!$O:$O,MATCH(E356&amp;"|"&amp;H356,'秒级路线参数_可调整'!$A:$A,0)),"")</x:f>
        <x:v>累计秒（自动）</x:v>
      </x:c>
      <x:c r="L356" s="12"/>
      <x:c r="M356" s="12"/>
      <x:c r="N356" s="12" t="str">
        <x:f>IF(OR(L356="",M356=""),"",ROUND((M356-L356)*86400,0))</x:f>
      </x:c>
      <x:c r="O356" s="12" t="str">
        <x:f>IF(N356="","",N356/86400)</x:f>
      </x:c>
      <x:c r="P356" s="12"/>
      <x:c r="Q356" s="12"/>
      <x:c r="R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 t="str">
        <x:f>IFERROR(INDEX('秒级路线参数_可调整'!$O:$O,MATCH(E357&amp;"|"&amp;H357,'秒级路线参数_可调整'!$A:$A,0)),"")</x:f>
        <x:v>累计秒（自动）</x:v>
      </x:c>
      <x:c r="L357" s="12"/>
      <x:c r="M357" s="12"/>
      <x:c r="N357" s="12" t="str">
        <x:f>IF(OR(L357="",M357=""),"",ROUND((M357-L357)*86400,0))</x:f>
      </x:c>
      <x:c r="O357" s="12" t="str">
        <x:f>IF(N357="","",N357/86400)</x:f>
      </x:c>
      <x:c r="P357" s="12"/>
      <x:c r="Q357" s="12"/>
      <x:c r="R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 t="str">
        <x:f>IFERROR(INDEX('秒级路线参数_可调整'!$O:$O,MATCH(E358&amp;"|"&amp;H358,'秒级路线参数_可调整'!$A:$A,0)),"")</x:f>
        <x:v>累计秒（自动）</x:v>
      </x:c>
      <x:c r="L358" s="12"/>
      <x:c r="M358" s="12"/>
      <x:c r="N358" s="12" t="str">
        <x:f>IF(OR(L358="",M358=""),"",ROUND((M358-L358)*86400,0))</x:f>
      </x:c>
      <x:c r="O358" s="12" t="str">
        <x:f>IF(N358="","",N358/86400)</x:f>
      </x:c>
      <x:c r="P358" s="12"/>
      <x:c r="Q358" s="12"/>
      <x:c r="R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 t="str">
        <x:f>IFERROR(INDEX('秒级路线参数_可调整'!$O:$O,MATCH(E359&amp;"|"&amp;H359,'秒级路线参数_可调整'!$A:$A,0)),"")</x:f>
        <x:v>累计秒（自动）</x:v>
      </x:c>
      <x:c r="L359" s="12"/>
      <x:c r="M359" s="12"/>
      <x:c r="N359" s="12" t="str">
        <x:f>IF(OR(L359="",M359=""),"",ROUND((M359-L359)*86400,0))</x:f>
      </x:c>
      <x:c r="O359" s="12" t="str">
        <x:f>IF(N359="","",N359/86400)</x:f>
      </x:c>
      <x:c r="P359" s="12"/>
      <x:c r="Q359" s="12"/>
      <x:c r="R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 t="str">
        <x:f>IFERROR(INDEX('秒级路线参数_可调整'!$O:$O,MATCH(E360&amp;"|"&amp;H360,'秒级路线参数_可调整'!$A:$A,0)),"")</x:f>
        <x:v>累计秒（自动）</x:v>
      </x:c>
      <x:c r="L360" s="12"/>
      <x:c r="M360" s="12"/>
      <x:c r="N360" s="12" t="str">
        <x:f>IF(OR(L360="",M360=""),"",ROUND((M360-L360)*86400,0))</x:f>
      </x:c>
      <x:c r="O360" s="12" t="str">
        <x:f>IF(N360="","",N360/86400)</x:f>
      </x:c>
      <x:c r="P360" s="12"/>
      <x:c r="Q360" s="12"/>
      <x:c r="R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 t="str">
        <x:f>IFERROR(INDEX('秒级路线参数_可调整'!$O:$O,MATCH(E361&amp;"|"&amp;H361,'秒级路线参数_可调整'!$A:$A,0)),"")</x:f>
        <x:v>累计秒（自动）</x:v>
      </x:c>
      <x:c r="L361" s="12"/>
      <x:c r="M361" s="12"/>
      <x:c r="N361" s="12" t="str">
        <x:f>IF(OR(L361="",M361=""),"",ROUND((M361-L361)*86400,0))</x:f>
      </x:c>
      <x:c r="O361" s="12" t="str">
        <x:f>IF(N361="","",N361/86400)</x:f>
      </x:c>
      <x:c r="P361" s="12"/>
      <x:c r="Q361" s="12"/>
      <x:c r="R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 t="str">
        <x:f>IFERROR(INDEX('秒级路线参数_可调整'!$O:$O,MATCH(E362&amp;"|"&amp;H362,'秒级路线参数_可调整'!$A:$A,0)),"")</x:f>
        <x:v>累计秒（自动）</x:v>
      </x:c>
      <x:c r="L362" s="12"/>
      <x:c r="M362" s="12"/>
      <x:c r="N362" s="12" t="str">
        <x:f>IF(OR(L362="",M362=""),"",ROUND((M362-L362)*86400,0))</x:f>
      </x:c>
      <x:c r="O362" s="12" t="str">
        <x:f>IF(N362="","",N362/86400)</x:f>
      </x:c>
      <x:c r="P362" s="12"/>
      <x:c r="Q362" s="12"/>
      <x:c r="R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 t="str">
        <x:f>IFERROR(INDEX('秒级路线参数_可调整'!$O:$O,MATCH(E363&amp;"|"&amp;H363,'秒级路线参数_可调整'!$A:$A,0)),"")</x:f>
        <x:v>累计秒（自动）</x:v>
      </x:c>
      <x:c r="L363" s="12"/>
      <x:c r="M363" s="12"/>
      <x:c r="N363" s="12" t="str">
        <x:f>IF(OR(L363="",M363=""),"",ROUND((M363-L363)*86400,0))</x:f>
      </x:c>
      <x:c r="O363" s="12" t="str">
        <x:f>IF(N363="","",N363/86400)</x:f>
      </x:c>
      <x:c r="P363" s="12"/>
      <x:c r="Q363" s="12"/>
      <x:c r="R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 t="str">
        <x:f>IFERROR(INDEX('秒级路线参数_可调整'!$O:$O,MATCH(E364&amp;"|"&amp;H364,'秒级路线参数_可调整'!$A:$A,0)),"")</x:f>
        <x:v>累计秒（自动）</x:v>
      </x:c>
      <x:c r="L364" s="12"/>
      <x:c r="M364" s="12"/>
      <x:c r="N364" s="12" t="str">
        <x:f>IF(OR(L364="",M364=""),"",ROUND((M364-L364)*86400,0))</x:f>
      </x:c>
      <x:c r="O364" s="12" t="str">
        <x:f>IF(N364="","",N364/86400)</x:f>
      </x:c>
      <x:c r="P364" s="12"/>
      <x:c r="Q364" s="12"/>
      <x:c r="R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 t="str">
        <x:f>IFERROR(INDEX('秒级路线参数_可调整'!$O:$O,MATCH(E365&amp;"|"&amp;H365,'秒级路线参数_可调整'!$A:$A,0)),"")</x:f>
        <x:v>累计秒（自动）</x:v>
      </x:c>
      <x:c r="L365" s="12"/>
      <x:c r="M365" s="12"/>
      <x:c r="N365" s="12" t="str">
        <x:f>IF(OR(L365="",M365=""),"",ROUND((M365-L365)*86400,0))</x:f>
      </x:c>
      <x:c r="O365" s="12" t="str">
        <x:f>IF(N365="","",N365/86400)</x:f>
      </x:c>
      <x:c r="P365" s="12"/>
      <x:c r="Q365" s="12"/>
      <x:c r="R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 t="str">
        <x:f>IFERROR(INDEX('秒级路线参数_可调整'!$O:$O,MATCH(E366&amp;"|"&amp;H366,'秒级路线参数_可调整'!$A:$A,0)),"")</x:f>
        <x:v>累计秒（自动）</x:v>
      </x:c>
      <x:c r="L366" s="12"/>
      <x:c r="M366" s="12"/>
      <x:c r="N366" s="12" t="str">
        <x:f>IF(OR(L366="",M366=""),"",ROUND((M366-L366)*86400,0))</x:f>
      </x:c>
      <x:c r="O366" s="12" t="str">
        <x:f>IF(N366="","",N366/86400)</x:f>
      </x:c>
      <x:c r="P366" s="12"/>
      <x:c r="Q366" s="12"/>
      <x:c r="R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 t="str">
        <x:f>IFERROR(INDEX('秒级路线参数_可调整'!$O:$O,MATCH(E367&amp;"|"&amp;H367,'秒级路线参数_可调整'!$A:$A,0)),"")</x:f>
        <x:v>累计秒（自动）</x:v>
      </x:c>
      <x:c r="L367" s="12"/>
      <x:c r="M367" s="12"/>
      <x:c r="N367" s="12" t="str">
        <x:f>IF(OR(L367="",M367=""),"",ROUND((M367-L367)*86400,0))</x:f>
      </x:c>
      <x:c r="O367" s="12" t="str">
        <x:f>IF(N367="","",N367/86400)</x:f>
      </x:c>
      <x:c r="P367" s="12"/>
      <x:c r="Q367" s="12"/>
      <x:c r="R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 t="str">
        <x:f>IFERROR(INDEX('秒级路线参数_可调整'!$O:$O,MATCH(E368&amp;"|"&amp;H368,'秒级路线参数_可调整'!$A:$A,0)),"")</x:f>
        <x:v>累计秒（自动）</x:v>
      </x:c>
      <x:c r="L368" s="12"/>
      <x:c r="M368" s="12"/>
      <x:c r="N368" s="12" t="str">
        <x:f>IF(OR(L368="",M368=""),"",ROUND((M368-L368)*86400,0))</x:f>
      </x:c>
      <x:c r="O368" s="12" t="str">
        <x:f>IF(N368="","",N368/86400)</x:f>
      </x:c>
      <x:c r="P368" s="12"/>
      <x:c r="Q368" s="12"/>
      <x:c r="R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 t="str">
        <x:f>IFERROR(INDEX('秒级路线参数_可调整'!$O:$O,MATCH(E369&amp;"|"&amp;H369,'秒级路线参数_可调整'!$A:$A,0)),"")</x:f>
        <x:v>累计秒（自动）</x:v>
      </x:c>
      <x:c r="L369" s="12"/>
      <x:c r="M369" s="12"/>
      <x:c r="N369" s="12" t="str">
        <x:f>IF(OR(L369="",M369=""),"",ROUND((M369-L369)*86400,0))</x:f>
      </x:c>
      <x:c r="O369" s="12" t="str">
        <x:f>IF(N369="","",N369/86400)</x:f>
      </x:c>
      <x:c r="P369" s="12"/>
      <x:c r="Q369" s="12"/>
      <x:c r="R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 t="str">
        <x:f>IFERROR(INDEX('秒级路线参数_可调整'!$O:$O,MATCH(E370&amp;"|"&amp;H370,'秒级路线参数_可调整'!$A:$A,0)),"")</x:f>
        <x:v>累计秒（自动）</x:v>
      </x:c>
      <x:c r="L370" s="12"/>
      <x:c r="M370" s="12"/>
      <x:c r="N370" s="12" t="str">
        <x:f>IF(OR(L370="",M370=""),"",ROUND((M370-L370)*86400,0))</x:f>
      </x:c>
      <x:c r="O370" s="12" t="str">
        <x:f>IF(N370="","",N370/86400)</x:f>
      </x:c>
      <x:c r="P370" s="12"/>
      <x:c r="Q370" s="12"/>
      <x:c r="R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 t="str">
        <x:f>IFERROR(INDEX('秒级路线参数_可调整'!$O:$O,MATCH(E371&amp;"|"&amp;H371,'秒级路线参数_可调整'!$A:$A,0)),"")</x:f>
        <x:v>累计秒（自动）</x:v>
      </x:c>
      <x:c r="L371" s="12"/>
      <x:c r="M371" s="12"/>
      <x:c r="N371" s="12" t="str">
        <x:f>IF(OR(L371="",M371=""),"",ROUND((M371-L371)*86400,0))</x:f>
      </x:c>
      <x:c r="O371" s="12" t="str">
        <x:f>IF(N371="","",N371/86400)</x:f>
      </x:c>
      <x:c r="P371" s="12"/>
      <x:c r="Q371" s="12"/>
      <x:c r="R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 t="str">
        <x:f>IFERROR(INDEX('秒级路线参数_可调整'!$O:$O,MATCH(E372&amp;"|"&amp;H372,'秒级路线参数_可调整'!$A:$A,0)),"")</x:f>
        <x:v>累计秒（自动）</x:v>
      </x:c>
      <x:c r="L372" s="12"/>
      <x:c r="M372" s="12"/>
      <x:c r="N372" s="12" t="str">
        <x:f>IF(OR(L372="",M372=""),"",ROUND((M372-L372)*86400,0))</x:f>
      </x:c>
      <x:c r="O372" s="12" t="str">
        <x:f>IF(N372="","",N372/86400)</x:f>
      </x:c>
      <x:c r="P372" s="12"/>
      <x:c r="Q372" s="12"/>
      <x:c r="R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 t="str">
        <x:f>IFERROR(INDEX('秒级路线参数_可调整'!$O:$O,MATCH(E373&amp;"|"&amp;H373,'秒级路线参数_可调整'!$A:$A,0)),"")</x:f>
        <x:v>累计秒（自动）</x:v>
      </x:c>
      <x:c r="L373" s="12"/>
      <x:c r="M373" s="12"/>
      <x:c r="N373" s="12" t="str">
        <x:f>IF(OR(L373="",M373=""),"",ROUND((M373-L373)*86400,0))</x:f>
      </x:c>
      <x:c r="O373" s="12" t="str">
        <x:f>IF(N373="","",N373/86400)</x:f>
      </x:c>
      <x:c r="P373" s="12"/>
      <x:c r="Q373" s="12"/>
      <x:c r="R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 t="str">
        <x:f>IFERROR(INDEX('秒级路线参数_可调整'!$O:$O,MATCH(E374&amp;"|"&amp;H374,'秒级路线参数_可调整'!$A:$A,0)),"")</x:f>
        <x:v>累计秒（自动）</x:v>
      </x:c>
      <x:c r="L374" s="12"/>
      <x:c r="M374" s="12"/>
      <x:c r="N374" s="12" t="str">
        <x:f>IF(OR(L374="",M374=""),"",ROUND((M374-L374)*86400,0))</x:f>
      </x:c>
      <x:c r="O374" s="12" t="str">
        <x:f>IF(N374="","",N374/86400)</x:f>
      </x:c>
      <x:c r="P374" s="12"/>
      <x:c r="Q374" s="12"/>
      <x:c r="R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 t="str">
        <x:f>IFERROR(INDEX('秒级路线参数_可调整'!$O:$O,MATCH(E375&amp;"|"&amp;H375,'秒级路线参数_可调整'!$A:$A,0)),"")</x:f>
        <x:v>累计秒（自动）</x:v>
      </x:c>
      <x:c r="L375" s="12"/>
      <x:c r="M375" s="12"/>
      <x:c r="N375" s="12" t="str">
        <x:f>IF(OR(L375="",M375=""),"",ROUND((M375-L375)*86400,0))</x:f>
      </x:c>
      <x:c r="O375" s="12" t="str">
        <x:f>IF(N375="","",N375/86400)</x:f>
      </x:c>
      <x:c r="P375" s="12"/>
      <x:c r="Q375" s="12"/>
      <x:c r="R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 t="str">
        <x:f>IFERROR(INDEX('秒级路线参数_可调整'!$O:$O,MATCH(E376&amp;"|"&amp;H376,'秒级路线参数_可调整'!$A:$A,0)),"")</x:f>
        <x:v>累计秒（自动）</x:v>
      </x:c>
      <x:c r="L376" s="12"/>
      <x:c r="M376" s="12"/>
      <x:c r="N376" s="12" t="str">
        <x:f>IF(OR(L376="",M376=""),"",ROUND((M376-L376)*86400,0))</x:f>
      </x:c>
      <x:c r="O376" s="12" t="str">
        <x:f>IF(N376="","",N376/86400)</x:f>
      </x:c>
      <x:c r="P376" s="12"/>
      <x:c r="Q376" s="12"/>
      <x:c r="R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 t="str">
        <x:f>IFERROR(INDEX('秒级路线参数_可调整'!$O:$O,MATCH(E377&amp;"|"&amp;H377,'秒级路线参数_可调整'!$A:$A,0)),"")</x:f>
        <x:v>累计秒（自动）</x:v>
      </x:c>
      <x:c r="L377" s="12"/>
      <x:c r="M377" s="12"/>
      <x:c r="N377" s="12" t="str">
        <x:f>IF(OR(L377="",M377=""),"",ROUND((M377-L377)*86400,0))</x:f>
      </x:c>
      <x:c r="O377" s="12" t="str">
        <x:f>IF(N377="","",N377/86400)</x:f>
      </x:c>
      <x:c r="P377" s="12"/>
      <x:c r="Q377" s="12"/>
      <x:c r="R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 t="str">
        <x:f>IFERROR(INDEX('秒级路线参数_可调整'!$O:$O,MATCH(E378&amp;"|"&amp;H378,'秒级路线参数_可调整'!$A:$A,0)),"")</x:f>
        <x:v>累计秒（自动）</x:v>
      </x:c>
      <x:c r="L378" s="12"/>
      <x:c r="M378" s="12"/>
      <x:c r="N378" s="12" t="str">
        <x:f>IF(OR(L378="",M378=""),"",ROUND((M378-L378)*86400,0))</x:f>
      </x:c>
      <x:c r="O378" s="12" t="str">
        <x:f>IF(N378="","",N378/86400)</x:f>
      </x:c>
      <x:c r="P378" s="12"/>
      <x:c r="Q378" s="12"/>
      <x:c r="R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 t="str">
        <x:f>IFERROR(INDEX('秒级路线参数_可调整'!$O:$O,MATCH(E379&amp;"|"&amp;H379,'秒级路线参数_可调整'!$A:$A,0)),"")</x:f>
        <x:v>累计秒（自动）</x:v>
      </x:c>
      <x:c r="L379" s="12"/>
      <x:c r="M379" s="12"/>
      <x:c r="N379" s="12" t="str">
        <x:f>IF(OR(L379="",M379=""),"",ROUND((M379-L379)*86400,0))</x:f>
      </x:c>
      <x:c r="O379" s="12" t="str">
        <x:f>IF(N379="","",N379/86400)</x:f>
      </x:c>
      <x:c r="P379" s="12"/>
      <x:c r="Q379" s="12"/>
      <x:c r="R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 t="str">
        <x:f>IFERROR(INDEX('秒级路线参数_可调整'!$O:$O,MATCH(E380&amp;"|"&amp;H380,'秒级路线参数_可调整'!$A:$A,0)),"")</x:f>
        <x:v>累计秒（自动）</x:v>
      </x:c>
      <x:c r="L380" s="12"/>
      <x:c r="M380" s="12"/>
      <x:c r="N380" s="12" t="str">
        <x:f>IF(OR(L380="",M380=""),"",ROUND((M380-L380)*86400,0))</x:f>
      </x:c>
      <x:c r="O380" s="12" t="str">
        <x:f>IF(N380="","",N380/86400)</x:f>
      </x:c>
      <x:c r="P380" s="12"/>
      <x:c r="Q380" s="12"/>
      <x:c r="R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 t="str">
        <x:f>IFERROR(INDEX('秒级路线参数_可调整'!$O:$O,MATCH(E381&amp;"|"&amp;H381,'秒级路线参数_可调整'!$A:$A,0)),"")</x:f>
        <x:v>累计秒（自动）</x:v>
      </x:c>
      <x:c r="L381" s="12"/>
      <x:c r="M381" s="12"/>
      <x:c r="N381" s="12" t="str">
        <x:f>IF(OR(L381="",M381=""),"",ROUND((M381-L381)*86400,0))</x:f>
      </x:c>
      <x:c r="O381" s="12" t="str">
        <x:f>IF(N381="","",N381/86400)</x:f>
      </x:c>
      <x:c r="P381" s="12"/>
      <x:c r="Q381" s="12"/>
      <x:c r="R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 t="str">
        <x:f>IFERROR(INDEX('秒级路线参数_可调整'!$O:$O,MATCH(E382&amp;"|"&amp;H382,'秒级路线参数_可调整'!$A:$A,0)),"")</x:f>
        <x:v>累计秒（自动）</x:v>
      </x:c>
      <x:c r="L382" s="12"/>
      <x:c r="M382" s="12"/>
      <x:c r="N382" s="12" t="str">
        <x:f>IF(OR(L382="",M382=""),"",ROUND((M382-L382)*86400,0))</x:f>
      </x:c>
      <x:c r="O382" s="12" t="str">
        <x:f>IF(N382="","",N382/86400)</x:f>
      </x:c>
      <x:c r="P382" s="12"/>
      <x:c r="Q382" s="12"/>
      <x:c r="R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 t="str">
        <x:f>IFERROR(INDEX('秒级路线参数_可调整'!$O:$O,MATCH(E383&amp;"|"&amp;H383,'秒级路线参数_可调整'!$A:$A,0)),"")</x:f>
        <x:v>累计秒（自动）</x:v>
      </x:c>
      <x:c r="L383" s="12"/>
      <x:c r="M383" s="12"/>
      <x:c r="N383" s="12" t="str">
        <x:f>IF(OR(L383="",M383=""),"",ROUND((M383-L383)*86400,0))</x:f>
      </x:c>
      <x:c r="O383" s="12" t="str">
        <x:f>IF(N383="","",N383/86400)</x:f>
      </x:c>
      <x:c r="P383" s="12"/>
      <x:c r="Q383" s="12"/>
      <x:c r="R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 t="str">
        <x:f>IFERROR(INDEX('秒级路线参数_可调整'!$O:$O,MATCH(E384&amp;"|"&amp;H384,'秒级路线参数_可调整'!$A:$A,0)),"")</x:f>
        <x:v>累计秒（自动）</x:v>
      </x:c>
      <x:c r="L384" s="12"/>
      <x:c r="M384" s="12"/>
      <x:c r="N384" s="12" t="str">
        <x:f>IF(OR(L384="",M384=""),"",ROUND((M384-L384)*86400,0))</x:f>
      </x:c>
      <x:c r="O384" s="12" t="str">
        <x:f>IF(N384="","",N384/86400)</x:f>
      </x:c>
      <x:c r="P384" s="12"/>
      <x:c r="Q384" s="12"/>
      <x:c r="R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 t="str">
        <x:f>IFERROR(INDEX('秒级路线参数_可调整'!$O:$O,MATCH(E385&amp;"|"&amp;H385,'秒级路线参数_可调整'!$A:$A,0)),"")</x:f>
        <x:v>累计秒（自动）</x:v>
      </x:c>
      <x:c r="L385" s="12"/>
      <x:c r="M385" s="12"/>
      <x:c r="N385" s="12" t="str">
        <x:f>IF(OR(L385="",M385=""),"",ROUND((M385-L385)*86400,0))</x:f>
      </x:c>
      <x:c r="O385" s="12" t="str">
        <x:f>IF(N385="","",N385/86400)</x:f>
      </x:c>
      <x:c r="P385" s="12"/>
      <x:c r="Q385" s="12"/>
      <x:c r="R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 t="str">
        <x:f>IFERROR(INDEX('秒级路线参数_可调整'!$O:$O,MATCH(E386&amp;"|"&amp;H386,'秒级路线参数_可调整'!$A:$A,0)),"")</x:f>
        <x:v>累计秒（自动）</x:v>
      </x:c>
      <x:c r="L386" s="12"/>
      <x:c r="M386" s="12"/>
      <x:c r="N386" s="12" t="str">
        <x:f>IF(OR(L386="",M386=""),"",ROUND((M386-L386)*86400,0))</x:f>
      </x:c>
      <x:c r="O386" s="12" t="str">
        <x:f>IF(N386="","",N386/86400)</x:f>
      </x:c>
      <x:c r="P386" s="12"/>
      <x:c r="Q386" s="12"/>
      <x:c r="R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 t="str">
        <x:f>IFERROR(INDEX('秒级路线参数_可调整'!$O:$O,MATCH(E387&amp;"|"&amp;H387,'秒级路线参数_可调整'!$A:$A,0)),"")</x:f>
        <x:v>累计秒（自动）</x:v>
      </x:c>
      <x:c r="L387" s="12"/>
      <x:c r="M387" s="12"/>
      <x:c r="N387" s="12" t="str">
        <x:f>IF(OR(L387="",M387=""),"",ROUND((M387-L387)*86400,0))</x:f>
      </x:c>
      <x:c r="O387" s="12" t="str">
        <x:f>IF(N387="","",N387/86400)</x:f>
      </x:c>
      <x:c r="P387" s="12"/>
      <x:c r="Q387" s="12"/>
      <x:c r="R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 t="str">
        <x:f>IFERROR(INDEX('秒级路线参数_可调整'!$O:$O,MATCH(E388&amp;"|"&amp;H388,'秒级路线参数_可调整'!$A:$A,0)),"")</x:f>
        <x:v>累计秒（自动）</x:v>
      </x:c>
      <x:c r="L388" s="12"/>
      <x:c r="M388" s="12"/>
      <x:c r="N388" s="12" t="str">
        <x:f>IF(OR(L388="",M388=""),"",ROUND((M388-L388)*86400,0))</x:f>
      </x:c>
      <x:c r="O388" s="12" t="str">
        <x:f>IF(N388="","",N388/86400)</x:f>
      </x:c>
      <x:c r="P388" s="12"/>
      <x:c r="Q388" s="12"/>
      <x:c r="R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 t="str">
        <x:f>IFERROR(INDEX('秒级路线参数_可调整'!$O:$O,MATCH(E389&amp;"|"&amp;H389,'秒级路线参数_可调整'!$A:$A,0)),"")</x:f>
        <x:v>累计秒（自动）</x:v>
      </x:c>
      <x:c r="L389" s="12"/>
      <x:c r="M389" s="12"/>
      <x:c r="N389" s="12" t="str">
        <x:f>IF(OR(L389="",M389=""),"",ROUND((M389-L389)*86400,0))</x:f>
      </x:c>
      <x:c r="O389" s="12" t="str">
        <x:f>IF(N389="","",N389/86400)</x:f>
      </x:c>
      <x:c r="P389" s="12"/>
      <x:c r="Q389" s="12"/>
      <x:c r="R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 t="str">
        <x:f>IFERROR(INDEX('秒级路线参数_可调整'!$O:$O,MATCH(E390&amp;"|"&amp;H390,'秒级路线参数_可调整'!$A:$A,0)),"")</x:f>
        <x:v>累计秒（自动）</x:v>
      </x:c>
      <x:c r="L390" s="12"/>
      <x:c r="M390" s="12"/>
      <x:c r="N390" s="12" t="str">
        <x:f>IF(OR(L390="",M390=""),"",ROUND((M390-L390)*86400,0))</x:f>
      </x:c>
      <x:c r="O390" s="12" t="str">
        <x:f>IF(N390="","",N390/86400)</x:f>
      </x:c>
      <x:c r="P390" s="12"/>
      <x:c r="Q390" s="12"/>
      <x:c r="R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 t="str">
        <x:f>IFERROR(INDEX('秒级路线参数_可调整'!$O:$O,MATCH(E391&amp;"|"&amp;H391,'秒级路线参数_可调整'!$A:$A,0)),"")</x:f>
        <x:v>累计秒（自动）</x:v>
      </x:c>
      <x:c r="L391" s="12"/>
      <x:c r="M391" s="12"/>
      <x:c r="N391" s="12" t="str">
        <x:f>IF(OR(L391="",M391=""),"",ROUND((M391-L391)*86400,0))</x:f>
      </x:c>
      <x:c r="O391" s="12" t="str">
        <x:f>IF(N391="","",N391/86400)</x:f>
      </x:c>
      <x:c r="P391" s="12"/>
      <x:c r="Q391" s="12"/>
      <x:c r="R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 t="str">
        <x:f>IFERROR(INDEX('秒级路线参数_可调整'!$O:$O,MATCH(E392&amp;"|"&amp;H392,'秒级路线参数_可调整'!$A:$A,0)),"")</x:f>
        <x:v>累计秒（自动）</x:v>
      </x:c>
      <x:c r="L392" s="12"/>
      <x:c r="M392" s="12"/>
      <x:c r="N392" s="12" t="str">
        <x:f>IF(OR(L392="",M392=""),"",ROUND((M392-L392)*86400,0))</x:f>
      </x:c>
      <x:c r="O392" s="12" t="str">
        <x:f>IF(N392="","",N392/86400)</x:f>
      </x:c>
      <x:c r="P392" s="12"/>
      <x:c r="Q392" s="12"/>
      <x:c r="R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 t="str">
        <x:f>IFERROR(INDEX('秒级路线参数_可调整'!$O:$O,MATCH(E393&amp;"|"&amp;H393,'秒级路线参数_可调整'!$A:$A,0)),"")</x:f>
        <x:v>累计秒（自动）</x:v>
      </x:c>
      <x:c r="L393" s="12"/>
      <x:c r="M393" s="12"/>
      <x:c r="N393" s="12" t="str">
        <x:f>IF(OR(L393="",M393=""),"",ROUND((M393-L393)*86400,0))</x:f>
      </x:c>
      <x:c r="O393" s="12" t="str">
        <x:f>IF(N393="","",N393/86400)</x:f>
      </x:c>
      <x:c r="P393" s="12"/>
      <x:c r="Q393" s="12"/>
      <x:c r="R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 t="str">
        <x:f>IFERROR(INDEX('秒级路线参数_可调整'!$O:$O,MATCH(E394&amp;"|"&amp;H394,'秒级路线参数_可调整'!$A:$A,0)),"")</x:f>
        <x:v>累计秒（自动）</x:v>
      </x:c>
      <x:c r="L394" s="12"/>
      <x:c r="M394" s="12"/>
      <x:c r="N394" s="12" t="str">
        <x:f>IF(OR(L394="",M394=""),"",ROUND((M394-L394)*86400,0))</x:f>
      </x:c>
      <x:c r="O394" s="12" t="str">
        <x:f>IF(N394="","",N394/86400)</x:f>
      </x:c>
      <x:c r="P394" s="12"/>
      <x:c r="Q394" s="12"/>
      <x:c r="R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 t="str">
        <x:f>IFERROR(INDEX('秒级路线参数_可调整'!$O:$O,MATCH(E395&amp;"|"&amp;H395,'秒级路线参数_可调整'!$A:$A,0)),"")</x:f>
        <x:v>累计秒（自动）</x:v>
      </x:c>
      <x:c r="L395" s="12"/>
      <x:c r="M395" s="12"/>
      <x:c r="N395" s="12" t="str">
        <x:f>IF(OR(L395="",M395=""),"",ROUND((M395-L395)*86400,0))</x:f>
      </x:c>
      <x:c r="O395" s="12" t="str">
        <x:f>IF(N395="","",N395/86400)</x:f>
      </x:c>
      <x:c r="P395" s="12"/>
      <x:c r="Q395" s="12"/>
      <x:c r="R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 t="str">
        <x:f>IFERROR(INDEX('秒级路线参数_可调整'!$O:$O,MATCH(E396&amp;"|"&amp;H396,'秒级路线参数_可调整'!$A:$A,0)),"")</x:f>
        <x:v>累计秒（自动）</x:v>
      </x:c>
      <x:c r="L396" s="12"/>
      <x:c r="M396" s="12"/>
      <x:c r="N396" s="12" t="str">
        <x:f>IF(OR(L396="",M396=""),"",ROUND((M396-L396)*86400,0))</x:f>
      </x:c>
      <x:c r="O396" s="12" t="str">
        <x:f>IF(N396="","",N396/86400)</x:f>
      </x:c>
      <x:c r="P396" s="12"/>
      <x:c r="Q396" s="12"/>
      <x:c r="R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 t="str">
        <x:f>IFERROR(INDEX('秒级路线参数_可调整'!$O:$O,MATCH(E397&amp;"|"&amp;H397,'秒级路线参数_可调整'!$A:$A,0)),"")</x:f>
        <x:v>累计秒（自动）</x:v>
      </x:c>
      <x:c r="L397" s="12"/>
      <x:c r="M397" s="12"/>
      <x:c r="N397" s="12" t="str">
        <x:f>IF(OR(L397="",M397=""),"",ROUND((M397-L397)*86400,0))</x:f>
      </x:c>
      <x:c r="O397" s="12" t="str">
        <x:f>IF(N397="","",N397/86400)</x:f>
      </x:c>
      <x:c r="P397" s="12"/>
      <x:c r="Q397" s="12"/>
      <x:c r="R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 t="str">
        <x:f>IFERROR(INDEX('秒级路线参数_可调整'!$O:$O,MATCH(E398&amp;"|"&amp;H398,'秒级路线参数_可调整'!$A:$A,0)),"")</x:f>
        <x:v>累计秒（自动）</x:v>
      </x:c>
      <x:c r="L398" s="12"/>
      <x:c r="M398" s="12"/>
      <x:c r="N398" s="12" t="str">
        <x:f>IF(OR(L398="",M398=""),"",ROUND((M398-L398)*86400,0))</x:f>
      </x:c>
      <x:c r="O398" s="12" t="str">
        <x:f>IF(N398="","",N398/86400)</x:f>
      </x:c>
      <x:c r="P398" s="12"/>
      <x:c r="Q398" s="12"/>
      <x:c r="R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 t="str">
        <x:f>IFERROR(INDEX('秒级路线参数_可调整'!$O:$O,MATCH(E399&amp;"|"&amp;H399,'秒级路线参数_可调整'!$A:$A,0)),"")</x:f>
        <x:v>累计秒（自动）</x:v>
      </x:c>
      <x:c r="L399" s="12"/>
      <x:c r="M399" s="12"/>
      <x:c r="N399" s="12" t="str">
        <x:f>IF(OR(L399="",M399=""),"",ROUND((M399-L399)*86400,0))</x:f>
      </x:c>
      <x:c r="O399" s="12" t="str">
        <x:f>IF(N399="","",N399/86400)</x:f>
      </x:c>
      <x:c r="P399" s="12"/>
      <x:c r="Q399" s="12"/>
      <x:c r="R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 t="str">
        <x:f>IFERROR(INDEX('秒级路线参数_可调整'!$O:$O,MATCH(E400&amp;"|"&amp;H400,'秒级路线参数_可调整'!$A:$A,0)),"")</x:f>
        <x:v>累计秒（自动）</x:v>
      </x:c>
      <x:c r="L400" s="12"/>
      <x:c r="M400" s="12"/>
      <x:c r="N400" s="12" t="str">
        <x:f>IF(OR(L400="",M400=""),"",ROUND((M400-L400)*86400,0))</x:f>
      </x:c>
      <x:c r="O400" s="12" t="str">
        <x:f>IF(N400="","",N400/86400)</x:f>
      </x:c>
      <x:c r="P400" s="12"/>
      <x:c r="Q400" s="12"/>
      <x:c r="R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 t="str">
        <x:f>IFERROR(INDEX('秒级路线参数_可调整'!$O:$O,MATCH(E401&amp;"|"&amp;H401,'秒级路线参数_可调整'!$A:$A,0)),"")</x:f>
        <x:v>累计秒（自动）</x:v>
      </x:c>
      <x:c r="L401" s="12"/>
      <x:c r="M401" s="12"/>
      <x:c r="N401" s="12" t="str">
        <x:f>IF(OR(L401="",M401=""),"",ROUND((M401-L401)*86400,0))</x:f>
      </x:c>
      <x:c r="O401" s="12" t="str">
        <x:f>IF(N401="","",N401/86400)</x:f>
      </x:c>
      <x:c r="P401" s="12"/>
      <x:c r="Q401" s="12"/>
      <x:c r="R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 t="str">
        <x:f>IFERROR(INDEX('秒级路线参数_可调整'!$O:$O,MATCH(E402&amp;"|"&amp;H402,'秒级路线参数_可调整'!$A:$A,0)),"")</x:f>
        <x:v>累计秒（自动）</x:v>
      </x:c>
      <x:c r="L402" s="12"/>
      <x:c r="M402" s="12"/>
      <x:c r="N402" s="12" t="str">
        <x:f>IF(OR(L402="",M402=""),"",ROUND((M402-L402)*86400,0))</x:f>
      </x:c>
      <x:c r="O402" s="12" t="str">
        <x:f>IF(N402="","",N402/86400)</x:f>
      </x:c>
      <x:c r="P402" s="12"/>
      <x:c r="Q402" s="12"/>
      <x:c r="R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 t="str">
        <x:f>IFERROR(INDEX('秒级路线参数_可调整'!$O:$O,MATCH(E403&amp;"|"&amp;H403,'秒级路线参数_可调整'!$A:$A,0)),"")</x:f>
        <x:v>累计秒（自动）</x:v>
      </x:c>
      <x:c r="L403" s="12"/>
      <x:c r="M403" s="12"/>
      <x:c r="N403" s="12" t="str">
        <x:f>IF(OR(L403="",M403=""),"",ROUND((M403-L403)*86400,0))</x:f>
      </x:c>
      <x:c r="O403" s="12" t="str">
        <x:f>IF(N403="","",N403/86400)</x:f>
      </x:c>
      <x:c r="P403" s="12"/>
      <x:c r="Q403" s="12"/>
      <x:c r="R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 t="str">
        <x:f>IFERROR(INDEX('秒级路线参数_可调整'!$O:$O,MATCH(E404&amp;"|"&amp;H404,'秒级路线参数_可调整'!$A:$A,0)),"")</x:f>
        <x:v>累计秒（自动）</x:v>
      </x:c>
      <x:c r="L404" s="12"/>
      <x:c r="M404" s="12"/>
      <x:c r="N404" s="12" t="str">
        <x:f>IF(OR(L404="",M404=""),"",ROUND((M404-L404)*86400,0))</x:f>
      </x:c>
      <x:c r="O404" s="12" t="str">
        <x:f>IF(N404="","",N404/86400)</x:f>
      </x:c>
      <x:c r="P404" s="12"/>
      <x:c r="Q404" s="12"/>
      <x:c r="R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 t="str">
        <x:f>IFERROR(INDEX('秒级路线参数_可调整'!$O:$O,MATCH(E405&amp;"|"&amp;H405,'秒级路线参数_可调整'!$A:$A,0)),"")</x:f>
        <x:v>累计秒（自动）</x:v>
      </x:c>
      <x:c r="L405" s="12"/>
      <x:c r="M405" s="12"/>
      <x:c r="N405" s="12" t="str">
        <x:f>IF(OR(L405="",M405=""),"",ROUND((M405-L405)*86400,0))</x:f>
      </x:c>
      <x:c r="O405" s="12" t="str">
        <x:f>IF(N405="","",N405/86400)</x:f>
      </x:c>
      <x:c r="P405" s="12"/>
      <x:c r="Q405" s="12"/>
      <x:c r="R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 t="str">
        <x:f>IFERROR(INDEX('秒级路线参数_可调整'!$O:$O,MATCH(E406&amp;"|"&amp;H406,'秒级路线参数_可调整'!$A:$A,0)),"")</x:f>
        <x:v>累计秒（自动）</x:v>
      </x:c>
      <x:c r="L406" s="12"/>
      <x:c r="M406" s="12"/>
      <x:c r="N406" s="12" t="str">
        <x:f>IF(OR(L406="",M406=""),"",ROUND((M406-L406)*86400,0))</x:f>
      </x:c>
      <x:c r="O406" s="12" t="str">
        <x:f>IF(N406="","",N406/86400)</x:f>
      </x:c>
      <x:c r="P406" s="12"/>
      <x:c r="Q406" s="12"/>
      <x:c r="R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 t="str">
        <x:f>IFERROR(INDEX('秒级路线参数_可调整'!$O:$O,MATCH(E407&amp;"|"&amp;H407,'秒级路线参数_可调整'!$A:$A,0)),"")</x:f>
        <x:v>累计秒（自动）</x:v>
      </x:c>
      <x:c r="L407" s="12"/>
      <x:c r="M407" s="12"/>
      <x:c r="N407" s="12" t="str">
        <x:f>IF(OR(L407="",M407=""),"",ROUND((M407-L407)*86400,0))</x:f>
      </x:c>
      <x:c r="O407" s="12" t="str">
        <x:f>IF(N407="","",N407/86400)</x:f>
      </x:c>
      <x:c r="P407" s="12"/>
      <x:c r="Q407" s="12"/>
      <x:c r="R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 t="str">
        <x:f>IFERROR(INDEX('秒级路线参数_可调整'!$O:$O,MATCH(E408&amp;"|"&amp;H408,'秒级路线参数_可调整'!$A:$A,0)),"")</x:f>
        <x:v>累计秒（自动）</x:v>
      </x:c>
      <x:c r="L408" s="12"/>
      <x:c r="M408" s="12"/>
      <x:c r="N408" s="12" t="str">
        <x:f>IF(OR(L408="",M408=""),"",ROUND((M408-L408)*86400,0))</x:f>
      </x:c>
      <x:c r="O408" s="12" t="str">
        <x:f>IF(N408="","",N408/86400)</x:f>
      </x:c>
      <x:c r="P408" s="12"/>
      <x:c r="Q408" s="12"/>
      <x:c r="R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 t="str">
        <x:f>IFERROR(INDEX('秒级路线参数_可调整'!$O:$O,MATCH(E409&amp;"|"&amp;H409,'秒级路线参数_可调整'!$A:$A,0)),"")</x:f>
        <x:v>累计秒（自动）</x:v>
      </x:c>
      <x:c r="L409" s="12"/>
      <x:c r="M409" s="12"/>
      <x:c r="N409" s="12" t="str">
        <x:f>IF(OR(L409="",M409=""),"",ROUND((M409-L409)*86400,0))</x:f>
      </x:c>
      <x:c r="O409" s="12" t="str">
        <x:f>IF(N409="","",N409/86400)</x:f>
      </x:c>
      <x:c r="P409" s="12"/>
      <x:c r="Q409" s="12"/>
      <x:c r="R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 t="str">
        <x:f>IFERROR(INDEX('秒级路线参数_可调整'!$O:$O,MATCH(E410&amp;"|"&amp;H410,'秒级路线参数_可调整'!$A:$A,0)),"")</x:f>
        <x:v>累计秒（自动）</x:v>
      </x:c>
      <x:c r="L410" s="12"/>
      <x:c r="M410" s="12"/>
      <x:c r="N410" s="12" t="str">
        <x:f>IF(OR(L410="",M410=""),"",ROUND((M410-L410)*86400,0))</x:f>
      </x:c>
      <x:c r="O410" s="12" t="str">
        <x:f>IF(N410="","",N410/86400)</x:f>
      </x:c>
      <x:c r="P410" s="12"/>
      <x:c r="Q410" s="12"/>
      <x:c r="R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 t="str">
        <x:f>IFERROR(INDEX('秒级路线参数_可调整'!$O:$O,MATCH(E411&amp;"|"&amp;H411,'秒级路线参数_可调整'!$A:$A,0)),"")</x:f>
        <x:v>累计秒（自动）</x:v>
      </x:c>
      <x:c r="L411" s="12"/>
      <x:c r="M411" s="12"/>
      <x:c r="N411" s="12" t="str">
        <x:f>IF(OR(L411="",M411=""),"",ROUND((M411-L411)*86400,0))</x:f>
      </x:c>
      <x:c r="O411" s="12" t="str">
        <x:f>IF(N411="","",N411/86400)</x:f>
      </x:c>
      <x:c r="P411" s="12"/>
      <x:c r="Q411" s="12"/>
      <x:c r="R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 t="str">
        <x:f>IFERROR(INDEX('秒级路线参数_可调整'!$O:$O,MATCH(E412&amp;"|"&amp;H412,'秒级路线参数_可调整'!$A:$A,0)),"")</x:f>
        <x:v>累计秒（自动）</x:v>
      </x:c>
      <x:c r="L412" s="12"/>
      <x:c r="M412" s="12"/>
      <x:c r="N412" s="12" t="str">
        <x:f>IF(OR(L412="",M412=""),"",ROUND((M412-L412)*86400,0))</x:f>
      </x:c>
      <x:c r="O412" s="12" t="str">
        <x:f>IF(N412="","",N412/86400)</x:f>
      </x:c>
      <x:c r="P412" s="12"/>
      <x:c r="Q412" s="12"/>
      <x:c r="R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 t="str">
        <x:f>IFERROR(INDEX('秒级路线参数_可调整'!$O:$O,MATCH(E413&amp;"|"&amp;H413,'秒级路线参数_可调整'!$A:$A,0)),"")</x:f>
        <x:v>累计秒（自动）</x:v>
      </x:c>
      <x:c r="L413" s="12"/>
      <x:c r="M413" s="12"/>
      <x:c r="N413" s="12" t="str">
        <x:f>IF(OR(L413="",M413=""),"",ROUND((M413-L413)*86400,0))</x:f>
      </x:c>
      <x:c r="O413" s="12" t="str">
        <x:f>IF(N413="","",N413/86400)</x:f>
      </x:c>
      <x:c r="P413" s="12"/>
      <x:c r="Q413" s="12"/>
      <x:c r="R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 t="str">
        <x:f>IFERROR(INDEX('秒级路线参数_可调整'!$O:$O,MATCH(E414&amp;"|"&amp;H414,'秒级路线参数_可调整'!$A:$A,0)),"")</x:f>
        <x:v>累计秒（自动）</x:v>
      </x:c>
      <x:c r="L414" s="12"/>
      <x:c r="M414" s="12"/>
      <x:c r="N414" s="12" t="str">
        <x:f>IF(OR(L414="",M414=""),"",ROUND((M414-L414)*86400,0))</x:f>
      </x:c>
      <x:c r="O414" s="12" t="str">
        <x:f>IF(N414="","",N414/86400)</x:f>
      </x:c>
      <x:c r="P414" s="12"/>
      <x:c r="Q414" s="12"/>
      <x:c r="R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 t="str">
        <x:f>IFERROR(INDEX('秒级路线参数_可调整'!$O:$O,MATCH(E415&amp;"|"&amp;H415,'秒级路线参数_可调整'!$A:$A,0)),"")</x:f>
        <x:v>累计秒（自动）</x:v>
      </x:c>
      <x:c r="L415" s="12"/>
      <x:c r="M415" s="12"/>
      <x:c r="N415" s="12" t="str">
        <x:f>IF(OR(L415="",M415=""),"",ROUND((M415-L415)*86400,0))</x:f>
      </x:c>
      <x:c r="O415" s="12" t="str">
        <x:f>IF(N415="","",N415/86400)</x:f>
      </x:c>
      <x:c r="P415" s="12"/>
      <x:c r="Q415" s="12"/>
      <x:c r="R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 t="str">
        <x:f>IFERROR(INDEX('秒级路线参数_可调整'!$O:$O,MATCH(E416&amp;"|"&amp;H416,'秒级路线参数_可调整'!$A:$A,0)),"")</x:f>
        <x:v>累计秒（自动）</x:v>
      </x:c>
      <x:c r="L416" s="12"/>
      <x:c r="M416" s="12"/>
      <x:c r="N416" s="12" t="str">
        <x:f>IF(OR(L416="",M416=""),"",ROUND((M416-L416)*86400,0))</x:f>
      </x:c>
      <x:c r="O416" s="12" t="str">
        <x:f>IF(N416="","",N416/86400)</x:f>
      </x:c>
      <x:c r="P416" s="12"/>
      <x:c r="Q416" s="12"/>
      <x:c r="R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 t="str">
        <x:f>IFERROR(INDEX('秒级路线参数_可调整'!$O:$O,MATCH(E417&amp;"|"&amp;H417,'秒级路线参数_可调整'!$A:$A,0)),"")</x:f>
        <x:v>累计秒（自动）</x:v>
      </x:c>
      <x:c r="L417" s="12"/>
      <x:c r="M417" s="12"/>
      <x:c r="N417" s="12" t="str">
        <x:f>IF(OR(L417="",M417=""),"",ROUND((M417-L417)*86400,0))</x:f>
      </x:c>
      <x:c r="O417" s="12" t="str">
        <x:f>IF(N417="","",N417/86400)</x:f>
      </x:c>
      <x:c r="P417" s="12"/>
      <x:c r="Q417" s="12"/>
      <x:c r="R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 t="str">
        <x:f>IFERROR(INDEX('秒级路线参数_可调整'!$O:$O,MATCH(E418&amp;"|"&amp;H418,'秒级路线参数_可调整'!$A:$A,0)),"")</x:f>
        <x:v>累计秒（自动）</x:v>
      </x:c>
      <x:c r="L418" s="12"/>
      <x:c r="M418" s="12"/>
      <x:c r="N418" s="12" t="str">
        <x:f>IF(OR(L418="",M418=""),"",ROUND((M418-L418)*86400,0))</x:f>
      </x:c>
      <x:c r="O418" s="12" t="str">
        <x:f>IF(N418="","",N418/86400)</x:f>
      </x:c>
      <x:c r="P418" s="12"/>
      <x:c r="Q418" s="12"/>
      <x:c r="R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 t="str">
        <x:f>IFERROR(INDEX('秒级路线参数_可调整'!$O:$O,MATCH(E419&amp;"|"&amp;H419,'秒级路线参数_可调整'!$A:$A,0)),"")</x:f>
        <x:v>累计秒（自动）</x:v>
      </x:c>
      <x:c r="L419" s="12"/>
      <x:c r="M419" s="12"/>
      <x:c r="N419" s="12" t="str">
        <x:f>IF(OR(L419="",M419=""),"",ROUND((M419-L419)*86400,0))</x:f>
      </x:c>
      <x:c r="O419" s="12" t="str">
        <x:f>IF(N419="","",N419/86400)</x:f>
      </x:c>
      <x:c r="P419" s="12"/>
      <x:c r="Q419" s="12"/>
      <x:c r="R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 t="str">
        <x:f>IFERROR(INDEX('秒级路线参数_可调整'!$O:$O,MATCH(E420&amp;"|"&amp;H420,'秒级路线参数_可调整'!$A:$A,0)),"")</x:f>
        <x:v>累计秒（自动）</x:v>
      </x:c>
      <x:c r="L420" s="12"/>
      <x:c r="M420" s="12"/>
      <x:c r="N420" s="12" t="str">
        <x:f>IF(OR(L420="",M420=""),"",ROUND((M420-L420)*86400,0))</x:f>
      </x:c>
      <x:c r="O420" s="12" t="str">
        <x:f>IF(N420="","",N420/86400)</x:f>
      </x:c>
      <x:c r="P420" s="12"/>
      <x:c r="Q420" s="12"/>
      <x:c r="R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 t="str">
        <x:f>IFERROR(INDEX('秒级路线参数_可调整'!$O:$O,MATCH(E421&amp;"|"&amp;H421,'秒级路线参数_可调整'!$A:$A,0)),"")</x:f>
        <x:v>累计秒（自动）</x:v>
      </x:c>
      <x:c r="L421" s="12"/>
      <x:c r="M421" s="12"/>
      <x:c r="N421" s="12" t="str">
        <x:f>IF(OR(L421="",M421=""),"",ROUND((M421-L421)*86400,0))</x:f>
      </x:c>
      <x:c r="O421" s="12" t="str">
        <x:f>IF(N421="","",N421/86400)</x:f>
      </x:c>
      <x:c r="P421" s="12"/>
      <x:c r="Q421" s="12"/>
      <x:c r="R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 t="str">
        <x:f>IFERROR(INDEX('秒级路线参数_可调整'!$O:$O,MATCH(E422&amp;"|"&amp;H422,'秒级路线参数_可调整'!$A:$A,0)),"")</x:f>
        <x:v>累计秒（自动）</x:v>
      </x:c>
      <x:c r="L422" s="12"/>
      <x:c r="M422" s="12"/>
      <x:c r="N422" s="12" t="str">
        <x:f>IF(OR(L422="",M422=""),"",ROUND((M422-L422)*86400,0))</x:f>
      </x:c>
      <x:c r="O422" s="12" t="str">
        <x:f>IF(N422="","",N422/86400)</x:f>
      </x:c>
      <x:c r="P422" s="12"/>
      <x:c r="Q422" s="12"/>
      <x:c r="R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 t="str">
        <x:f>IFERROR(INDEX('秒级路线参数_可调整'!$O:$O,MATCH(E423&amp;"|"&amp;H423,'秒级路线参数_可调整'!$A:$A,0)),"")</x:f>
        <x:v>累计秒（自动）</x:v>
      </x:c>
      <x:c r="L423" s="12"/>
      <x:c r="M423" s="12"/>
      <x:c r="N423" s="12" t="str">
        <x:f>IF(OR(L423="",M423=""),"",ROUND((M423-L423)*86400,0))</x:f>
      </x:c>
      <x:c r="O423" s="12" t="str">
        <x:f>IF(N423="","",N423/86400)</x:f>
      </x:c>
      <x:c r="P423" s="12"/>
      <x:c r="Q423" s="12"/>
      <x:c r="R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 t="str">
        <x:f>IFERROR(INDEX('秒级路线参数_可调整'!$O:$O,MATCH(E424&amp;"|"&amp;H424,'秒级路线参数_可调整'!$A:$A,0)),"")</x:f>
        <x:v>累计秒（自动）</x:v>
      </x:c>
      <x:c r="L424" s="12"/>
      <x:c r="M424" s="12"/>
      <x:c r="N424" s="12" t="str">
        <x:f>IF(OR(L424="",M424=""),"",ROUND((M424-L424)*86400,0))</x:f>
      </x:c>
      <x:c r="O424" s="12" t="str">
        <x:f>IF(N424="","",N424/86400)</x:f>
      </x:c>
      <x:c r="P424" s="12"/>
      <x:c r="Q424" s="12"/>
      <x:c r="R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 t="str">
        <x:f>IFERROR(INDEX('秒级路线参数_可调整'!$O:$O,MATCH(E425&amp;"|"&amp;H425,'秒级路线参数_可调整'!$A:$A,0)),"")</x:f>
        <x:v>累计秒（自动）</x:v>
      </x:c>
      <x:c r="L425" s="12"/>
      <x:c r="M425" s="12"/>
      <x:c r="N425" s="12" t="str">
        <x:f>IF(OR(L425="",M425=""),"",ROUND((M425-L425)*86400,0))</x:f>
      </x:c>
      <x:c r="O425" s="12" t="str">
        <x:f>IF(N425="","",N425/86400)</x:f>
      </x:c>
      <x:c r="P425" s="12"/>
      <x:c r="Q425" s="12"/>
      <x:c r="R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 t="str">
        <x:f>IFERROR(INDEX('秒级路线参数_可调整'!$O:$O,MATCH(E426&amp;"|"&amp;H426,'秒级路线参数_可调整'!$A:$A,0)),"")</x:f>
        <x:v>累计秒（自动）</x:v>
      </x:c>
      <x:c r="L426" s="12"/>
      <x:c r="M426" s="12"/>
      <x:c r="N426" s="12" t="str">
        <x:f>IF(OR(L426="",M426=""),"",ROUND((M426-L426)*86400,0))</x:f>
      </x:c>
      <x:c r="O426" s="12" t="str">
        <x:f>IF(N426="","",N426/86400)</x:f>
      </x:c>
      <x:c r="P426" s="12"/>
      <x:c r="Q426" s="12"/>
      <x:c r="R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 t="str">
        <x:f>IFERROR(INDEX('秒级路线参数_可调整'!$O:$O,MATCH(E427&amp;"|"&amp;H427,'秒级路线参数_可调整'!$A:$A,0)),"")</x:f>
        <x:v>累计秒（自动）</x:v>
      </x:c>
      <x:c r="L427" s="12"/>
      <x:c r="M427" s="12"/>
      <x:c r="N427" s="12" t="str">
        <x:f>IF(OR(L427="",M427=""),"",ROUND((M427-L427)*86400,0))</x:f>
      </x:c>
      <x:c r="O427" s="12" t="str">
        <x:f>IF(N427="","",N427/86400)</x:f>
      </x:c>
      <x:c r="P427" s="12"/>
      <x:c r="Q427" s="12"/>
      <x:c r="R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 t="str">
        <x:f>IFERROR(INDEX('秒级路线参数_可调整'!$O:$O,MATCH(E428&amp;"|"&amp;H428,'秒级路线参数_可调整'!$A:$A,0)),"")</x:f>
        <x:v>累计秒（自动）</x:v>
      </x:c>
      <x:c r="L428" s="12"/>
      <x:c r="M428" s="12"/>
      <x:c r="N428" s="12" t="str">
        <x:f>IF(OR(L428="",M428=""),"",ROUND((M428-L428)*86400,0))</x:f>
      </x:c>
      <x:c r="O428" s="12" t="str">
        <x:f>IF(N428="","",N428/86400)</x:f>
      </x:c>
      <x:c r="P428" s="12"/>
      <x:c r="Q428" s="12"/>
      <x:c r="R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 t="str">
        <x:f>IFERROR(INDEX('秒级路线参数_可调整'!$O:$O,MATCH(E429&amp;"|"&amp;H429,'秒级路线参数_可调整'!$A:$A,0)),"")</x:f>
        <x:v>累计秒（自动）</x:v>
      </x:c>
      <x:c r="L429" s="12"/>
      <x:c r="M429" s="12"/>
      <x:c r="N429" s="12" t="str">
        <x:f>IF(OR(L429="",M429=""),"",ROUND((M429-L429)*86400,0))</x:f>
      </x:c>
      <x:c r="O429" s="12" t="str">
        <x:f>IF(N429="","",N429/86400)</x:f>
      </x:c>
      <x:c r="P429" s="12"/>
      <x:c r="Q429" s="12"/>
      <x:c r="R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 t="str">
        <x:f>IFERROR(INDEX('秒级路线参数_可调整'!$O:$O,MATCH(E430&amp;"|"&amp;H430,'秒级路线参数_可调整'!$A:$A,0)),"")</x:f>
        <x:v>累计秒（自动）</x:v>
      </x:c>
      <x:c r="L430" s="12"/>
      <x:c r="M430" s="12"/>
      <x:c r="N430" s="12" t="str">
        <x:f>IF(OR(L430="",M430=""),"",ROUND((M430-L430)*86400,0))</x:f>
      </x:c>
      <x:c r="O430" s="12" t="str">
        <x:f>IF(N430="","",N430/86400)</x:f>
      </x:c>
      <x:c r="P430" s="12"/>
      <x:c r="Q430" s="12"/>
      <x:c r="R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 t="str">
        <x:f>IFERROR(INDEX('秒级路线参数_可调整'!$O:$O,MATCH(E431&amp;"|"&amp;H431,'秒级路线参数_可调整'!$A:$A,0)),"")</x:f>
        <x:v>累计秒（自动）</x:v>
      </x:c>
      <x:c r="L431" s="12"/>
      <x:c r="M431" s="12"/>
      <x:c r="N431" s="12" t="str">
        <x:f>IF(OR(L431="",M431=""),"",ROUND((M431-L431)*86400,0))</x:f>
      </x:c>
      <x:c r="O431" s="12" t="str">
        <x:f>IF(N431="","",N431/86400)</x:f>
      </x:c>
      <x:c r="P431" s="12"/>
      <x:c r="Q431" s="12"/>
      <x:c r="R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 t="str">
        <x:f>IFERROR(INDEX('秒级路线参数_可调整'!$O:$O,MATCH(E432&amp;"|"&amp;H432,'秒级路线参数_可调整'!$A:$A,0)),"")</x:f>
        <x:v>累计秒（自动）</x:v>
      </x:c>
      <x:c r="L432" s="12"/>
      <x:c r="M432" s="12"/>
      <x:c r="N432" s="12" t="str">
        <x:f>IF(OR(L432="",M432=""),"",ROUND((M432-L432)*86400,0))</x:f>
      </x:c>
      <x:c r="O432" s="12" t="str">
        <x:f>IF(N432="","",N432/86400)</x:f>
      </x:c>
      <x:c r="P432" s="12"/>
      <x:c r="Q432" s="12"/>
      <x:c r="R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 t="str">
        <x:f>IFERROR(INDEX('秒级路线参数_可调整'!$O:$O,MATCH(E433&amp;"|"&amp;H433,'秒级路线参数_可调整'!$A:$A,0)),"")</x:f>
        <x:v>累计秒（自动）</x:v>
      </x:c>
      <x:c r="L433" s="12"/>
      <x:c r="M433" s="12"/>
      <x:c r="N433" s="12" t="str">
        <x:f>IF(OR(L433="",M433=""),"",ROUND((M433-L433)*86400,0))</x:f>
      </x:c>
      <x:c r="O433" s="12" t="str">
        <x:f>IF(N433="","",N433/86400)</x:f>
      </x:c>
      <x:c r="P433" s="12"/>
      <x:c r="Q433" s="12"/>
      <x:c r="R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 t="str">
        <x:f>IFERROR(INDEX('秒级路线参数_可调整'!$O:$O,MATCH(E434&amp;"|"&amp;H434,'秒级路线参数_可调整'!$A:$A,0)),"")</x:f>
        <x:v>累计秒（自动）</x:v>
      </x:c>
      <x:c r="L434" s="12"/>
      <x:c r="M434" s="12"/>
      <x:c r="N434" s="12" t="str">
        <x:f>IF(OR(L434="",M434=""),"",ROUND((M434-L434)*86400,0))</x:f>
      </x:c>
      <x:c r="O434" s="12" t="str">
        <x:f>IF(N434="","",N434/86400)</x:f>
      </x:c>
      <x:c r="P434" s="12"/>
      <x:c r="Q434" s="12"/>
      <x:c r="R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 t="str">
        <x:f>IFERROR(INDEX('秒级路线参数_可调整'!$O:$O,MATCH(E435&amp;"|"&amp;H435,'秒级路线参数_可调整'!$A:$A,0)),"")</x:f>
        <x:v>累计秒（自动）</x:v>
      </x:c>
      <x:c r="L435" s="12"/>
      <x:c r="M435" s="12"/>
      <x:c r="N435" s="12" t="str">
        <x:f>IF(OR(L435="",M435=""),"",ROUND((M435-L435)*86400,0))</x:f>
      </x:c>
      <x:c r="O435" s="12" t="str">
        <x:f>IF(N435="","",N435/86400)</x:f>
      </x:c>
      <x:c r="P435" s="12"/>
      <x:c r="Q435" s="12"/>
      <x:c r="R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 t="str">
        <x:f>IFERROR(INDEX('秒级路线参数_可调整'!$O:$O,MATCH(E436&amp;"|"&amp;H436,'秒级路线参数_可调整'!$A:$A,0)),"")</x:f>
        <x:v>累计秒（自动）</x:v>
      </x:c>
      <x:c r="L436" s="12"/>
      <x:c r="M436" s="12"/>
      <x:c r="N436" s="12" t="str">
        <x:f>IF(OR(L436="",M436=""),"",ROUND((M436-L436)*86400,0))</x:f>
      </x:c>
      <x:c r="O436" s="12" t="str">
        <x:f>IF(N436="","",N436/86400)</x:f>
      </x:c>
      <x:c r="P436" s="12"/>
      <x:c r="Q436" s="12"/>
      <x:c r="R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 t="str">
        <x:f>IFERROR(INDEX('秒级路线参数_可调整'!$O:$O,MATCH(E437&amp;"|"&amp;H437,'秒级路线参数_可调整'!$A:$A,0)),"")</x:f>
        <x:v>累计秒（自动）</x:v>
      </x:c>
      <x:c r="L437" s="12"/>
      <x:c r="M437" s="12"/>
      <x:c r="N437" s="12" t="str">
        <x:f>IF(OR(L437="",M437=""),"",ROUND((M437-L437)*86400,0))</x:f>
      </x:c>
      <x:c r="O437" s="12" t="str">
        <x:f>IF(N437="","",N437/86400)</x:f>
      </x:c>
      <x:c r="P437" s="12"/>
      <x:c r="Q437" s="12"/>
      <x:c r="R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 t="str">
        <x:f>IFERROR(INDEX('秒级路线参数_可调整'!$O:$O,MATCH(E438&amp;"|"&amp;H438,'秒级路线参数_可调整'!$A:$A,0)),"")</x:f>
        <x:v>累计秒（自动）</x:v>
      </x:c>
      <x:c r="L438" s="12"/>
      <x:c r="M438" s="12"/>
      <x:c r="N438" s="12" t="str">
        <x:f>IF(OR(L438="",M438=""),"",ROUND((M438-L438)*86400,0))</x:f>
      </x:c>
      <x:c r="O438" s="12" t="str">
        <x:f>IF(N438="","",N438/86400)</x:f>
      </x:c>
      <x:c r="P438" s="12"/>
      <x:c r="Q438" s="12"/>
      <x:c r="R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 t="str">
        <x:f>IFERROR(INDEX('秒级路线参数_可调整'!$O:$O,MATCH(E439&amp;"|"&amp;H439,'秒级路线参数_可调整'!$A:$A,0)),"")</x:f>
        <x:v>累计秒（自动）</x:v>
      </x:c>
      <x:c r="L439" s="12"/>
      <x:c r="M439" s="12"/>
      <x:c r="N439" s="12" t="str">
        <x:f>IF(OR(L439="",M439=""),"",ROUND((M439-L439)*86400,0))</x:f>
      </x:c>
      <x:c r="O439" s="12" t="str">
        <x:f>IF(N439="","",N439/86400)</x:f>
      </x:c>
      <x:c r="P439" s="12"/>
      <x:c r="Q439" s="12"/>
      <x:c r="R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 t="str">
        <x:f>IFERROR(INDEX('秒级路线参数_可调整'!$O:$O,MATCH(E440&amp;"|"&amp;H440,'秒级路线参数_可调整'!$A:$A,0)),"")</x:f>
        <x:v>累计秒（自动）</x:v>
      </x:c>
      <x:c r="L440" s="12"/>
      <x:c r="M440" s="12"/>
      <x:c r="N440" s="12" t="str">
        <x:f>IF(OR(L440="",M440=""),"",ROUND((M440-L440)*86400,0))</x:f>
      </x:c>
      <x:c r="O440" s="12" t="str">
        <x:f>IF(N440="","",N440/86400)</x:f>
      </x:c>
      <x:c r="P440" s="12"/>
      <x:c r="Q440" s="12"/>
      <x:c r="R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 t="str">
        <x:f>IFERROR(INDEX('秒级路线参数_可调整'!$O:$O,MATCH(E441&amp;"|"&amp;H441,'秒级路线参数_可调整'!$A:$A,0)),"")</x:f>
        <x:v>累计秒（自动）</x:v>
      </x:c>
      <x:c r="L441" s="12"/>
      <x:c r="M441" s="12"/>
      <x:c r="N441" s="12" t="str">
        <x:f>IF(OR(L441="",M441=""),"",ROUND((M441-L441)*86400,0))</x:f>
      </x:c>
      <x:c r="O441" s="12" t="str">
        <x:f>IF(N441="","",N441/86400)</x:f>
      </x:c>
      <x:c r="P441" s="12"/>
      <x:c r="Q441" s="12"/>
      <x:c r="R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 t="str">
        <x:f>IFERROR(INDEX('秒级路线参数_可调整'!$O:$O,MATCH(E442&amp;"|"&amp;H442,'秒级路线参数_可调整'!$A:$A,0)),"")</x:f>
        <x:v>累计秒（自动）</x:v>
      </x:c>
      <x:c r="L442" s="12"/>
      <x:c r="M442" s="12"/>
      <x:c r="N442" s="12" t="str">
        <x:f>IF(OR(L442="",M442=""),"",ROUND((M442-L442)*86400,0))</x:f>
      </x:c>
      <x:c r="O442" s="12" t="str">
        <x:f>IF(N442="","",N442/86400)</x:f>
      </x:c>
      <x:c r="P442" s="12"/>
      <x:c r="Q442" s="12"/>
      <x:c r="R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 t="str">
        <x:f>IFERROR(INDEX('秒级路线参数_可调整'!$O:$O,MATCH(E443&amp;"|"&amp;H443,'秒级路线参数_可调整'!$A:$A,0)),"")</x:f>
        <x:v>累计秒（自动）</x:v>
      </x:c>
      <x:c r="L443" s="12"/>
      <x:c r="M443" s="12"/>
      <x:c r="N443" s="12" t="str">
        <x:f>IF(OR(L443="",M443=""),"",ROUND((M443-L443)*86400,0))</x:f>
      </x:c>
      <x:c r="O443" s="12" t="str">
        <x:f>IF(N443="","",N443/86400)</x:f>
      </x:c>
      <x:c r="P443" s="12"/>
      <x:c r="Q443" s="12"/>
      <x:c r="R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 t="str">
        <x:f>IFERROR(INDEX('秒级路线参数_可调整'!$O:$O,MATCH(E444&amp;"|"&amp;H444,'秒级路线参数_可调整'!$A:$A,0)),"")</x:f>
        <x:v>累计秒（自动）</x:v>
      </x:c>
      <x:c r="L444" s="12"/>
      <x:c r="M444" s="12"/>
      <x:c r="N444" s="12" t="str">
        <x:f>IF(OR(L444="",M444=""),"",ROUND((M444-L444)*86400,0))</x:f>
      </x:c>
      <x:c r="O444" s="12" t="str">
        <x:f>IF(N444="","",N444/86400)</x:f>
      </x:c>
      <x:c r="P444" s="12"/>
      <x:c r="Q444" s="12"/>
      <x:c r="R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 t="str">
        <x:f>IFERROR(INDEX('秒级路线参数_可调整'!$O:$O,MATCH(E445&amp;"|"&amp;H445,'秒级路线参数_可调整'!$A:$A,0)),"")</x:f>
        <x:v>累计秒（自动）</x:v>
      </x:c>
      <x:c r="L445" s="12"/>
      <x:c r="M445" s="12"/>
      <x:c r="N445" s="12" t="str">
        <x:f>IF(OR(L445="",M445=""),"",ROUND((M445-L445)*86400,0))</x:f>
      </x:c>
      <x:c r="O445" s="12" t="str">
        <x:f>IF(N445="","",N445/86400)</x:f>
      </x:c>
      <x:c r="P445" s="12"/>
      <x:c r="Q445" s="12"/>
      <x:c r="R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 t="str">
        <x:f>IFERROR(INDEX('秒级路线参数_可调整'!$O:$O,MATCH(E446&amp;"|"&amp;H446,'秒级路线参数_可调整'!$A:$A,0)),"")</x:f>
        <x:v>累计秒（自动）</x:v>
      </x:c>
      <x:c r="L446" s="12"/>
      <x:c r="M446" s="12"/>
      <x:c r="N446" s="12" t="str">
        <x:f>IF(OR(L446="",M446=""),"",ROUND((M446-L446)*86400,0))</x:f>
      </x:c>
      <x:c r="O446" s="12" t="str">
        <x:f>IF(N446="","",N446/86400)</x:f>
      </x:c>
      <x:c r="P446" s="12"/>
      <x:c r="Q446" s="12"/>
      <x:c r="R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 t="str">
        <x:f>IFERROR(INDEX('秒级路线参数_可调整'!$O:$O,MATCH(E447&amp;"|"&amp;H447,'秒级路线参数_可调整'!$A:$A,0)),"")</x:f>
        <x:v>累计秒（自动）</x:v>
      </x:c>
      <x:c r="L447" s="12"/>
      <x:c r="M447" s="12"/>
      <x:c r="N447" s="12" t="str">
        <x:f>IF(OR(L447="",M447=""),"",ROUND((M447-L447)*86400,0))</x:f>
      </x:c>
      <x:c r="O447" s="12" t="str">
        <x:f>IF(N447="","",N447/86400)</x:f>
      </x:c>
      <x:c r="P447" s="12"/>
      <x:c r="Q447" s="12"/>
      <x:c r="R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 t="str">
        <x:f>IFERROR(INDEX('秒级路线参数_可调整'!$O:$O,MATCH(E448&amp;"|"&amp;H448,'秒级路线参数_可调整'!$A:$A,0)),"")</x:f>
        <x:v>累计秒（自动）</x:v>
      </x:c>
      <x:c r="L448" s="12"/>
      <x:c r="M448" s="12"/>
      <x:c r="N448" s="12" t="str">
        <x:f>IF(OR(L448="",M448=""),"",ROUND((M448-L448)*86400,0))</x:f>
      </x:c>
      <x:c r="O448" s="12" t="str">
        <x:f>IF(N448="","",N448/86400)</x:f>
      </x:c>
      <x:c r="P448" s="12"/>
      <x:c r="Q448" s="12"/>
      <x:c r="R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 t="str">
        <x:f>IFERROR(INDEX('秒级路线参数_可调整'!$O:$O,MATCH(E449&amp;"|"&amp;H449,'秒级路线参数_可调整'!$A:$A,0)),"")</x:f>
        <x:v>累计秒（自动）</x:v>
      </x:c>
      <x:c r="L449" s="12"/>
      <x:c r="M449" s="12"/>
      <x:c r="N449" s="12" t="str">
        <x:f>IF(OR(L449="",M449=""),"",ROUND((M449-L449)*86400,0))</x:f>
      </x:c>
      <x:c r="O449" s="12" t="str">
        <x:f>IF(N449="","",N449/86400)</x:f>
      </x:c>
      <x:c r="P449" s="12"/>
      <x:c r="Q449" s="12"/>
      <x:c r="R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 t="str">
        <x:f>IFERROR(INDEX('秒级路线参数_可调整'!$O:$O,MATCH(E450&amp;"|"&amp;H450,'秒级路线参数_可调整'!$A:$A,0)),"")</x:f>
        <x:v>累计秒（自动）</x:v>
      </x:c>
      <x:c r="L450" s="12"/>
      <x:c r="M450" s="12"/>
      <x:c r="N450" s="12" t="str">
        <x:f>IF(OR(L450="",M450=""),"",ROUND((M450-L450)*86400,0))</x:f>
      </x:c>
      <x:c r="O450" s="12" t="str">
        <x:f>IF(N450="","",N450/86400)</x:f>
      </x:c>
      <x:c r="P450" s="12"/>
      <x:c r="Q450" s="12"/>
      <x:c r="R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 t="str">
        <x:f>IFERROR(INDEX('秒级路线参数_可调整'!$O:$O,MATCH(E451&amp;"|"&amp;H451,'秒级路线参数_可调整'!$A:$A,0)),"")</x:f>
        <x:v>累计秒（自动）</x:v>
      </x:c>
      <x:c r="L451" s="12"/>
      <x:c r="M451" s="12"/>
      <x:c r="N451" s="12" t="str">
        <x:f>IF(OR(L451="",M451=""),"",ROUND((M451-L451)*86400,0))</x:f>
      </x:c>
      <x:c r="O451" s="12" t="str">
        <x:f>IF(N451="","",N451/86400)</x:f>
      </x:c>
      <x:c r="P451" s="12"/>
      <x:c r="Q451" s="12"/>
      <x:c r="R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 t="str">
        <x:f>IFERROR(INDEX('秒级路线参数_可调整'!$O:$O,MATCH(E452&amp;"|"&amp;H452,'秒级路线参数_可调整'!$A:$A,0)),"")</x:f>
        <x:v>累计秒（自动）</x:v>
      </x:c>
      <x:c r="L452" s="12"/>
      <x:c r="M452" s="12"/>
      <x:c r="N452" s="12" t="str">
        <x:f>IF(OR(L452="",M452=""),"",ROUND((M452-L452)*86400,0))</x:f>
      </x:c>
      <x:c r="O452" s="12" t="str">
        <x:f>IF(N452="","",N452/86400)</x:f>
      </x:c>
      <x:c r="P452" s="12"/>
      <x:c r="Q452" s="12"/>
      <x:c r="R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 t="str">
        <x:f>IFERROR(INDEX('秒级路线参数_可调整'!$O:$O,MATCH(E453&amp;"|"&amp;H453,'秒级路线参数_可调整'!$A:$A,0)),"")</x:f>
        <x:v>累计秒（自动）</x:v>
      </x:c>
      <x:c r="L453" s="12"/>
      <x:c r="M453" s="12"/>
      <x:c r="N453" s="12" t="str">
        <x:f>IF(OR(L453="",M453=""),"",ROUND((M453-L453)*86400,0))</x:f>
      </x:c>
      <x:c r="O453" s="12" t="str">
        <x:f>IF(N453="","",N453/86400)</x:f>
      </x:c>
      <x:c r="P453" s="12"/>
      <x:c r="Q453" s="12"/>
      <x:c r="R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 t="str">
        <x:f>IFERROR(INDEX('秒级路线参数_可调整'!$O:$O,MATCH(E454&amp;"|"&amp;H454,'秒级路线参数_可调整'!$A:$A,0)),"")</x:f>
        <x:v>累计秒（自动）</x:v>
      </x:c>
      <x:c r="L454" s="12"/>
      <x:c r="M454" s="12"/>
      <x:c r="N454" s="12" t="str">
        <x:f>IF(OR(L454="",M454=""),"",ROUND((M454-L454)*86400,0))</x:f>
      </x:c>
      <x:c r="O454" s="12" t="str">
        <x:f>IF(N454="","",N454/86400)</x:f>
      </x:c>
      <x:c r="P454" s="12"/>
      <x:c r="Q454" s="12"/>
      <x:c r="R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 t="str">
        <x:f>IFERROR(INDEX('秒级路线参数_可调整'!$O:$O,MATCH(E455&amp;"|"&amp;H455,'秒级路线参数_可调整'!$A:$A,0)),"")</x:f>
        <x:v>累计秒（自动）</x:v>
      </x:c>
      <x:c r="L455" s="12"/>
      <x:c r="M455" s="12"/>
      <x:c r="N455" s="12" t="str">
        <x:f>IF(OR(L455="",M455=""),"",ROUND((M455-L455)*86400,0))</x:f>
      </x:c>
      <x:c r="O455" s="12" t="str">
        <x:f>IF(N455="","",N455/86400)</x:f>
      </x:c>
      <x:c r="P455" s="12"/>
      <x:c r="Q455" s="12"/>
      <x:c r="R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 t="str">
        <x:f>IFERROR(INDEX('秒级路线参数_可调整'!$O:$O,MATCH(E456&amp;"|"&amp;H456,'秒级路线参数_可调整'!$A:$A,0)),"")</x:f>
        <x:v>累计秒（自动）</x:v>
      </x:c>
      <x:c r="L456" s="12"/>
      <x:c r="M456" s="12"/>
      <x:c r="N456" s="12" t="str">
        <x:f>IF(OR(L456="",M456=""),"",ROUND((M456-L456)*86400,0))</x:f>
      </x:c>
      <x:c r="O456" s="12" t="str">
        <x:f>IF(N456="","",N456/86400)</x:f>
      </x:c>
      <x:c r="P456" s="12"/>
      <x:c r="Q456" s="12"/>
      <x:c r="R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 t="str">
        <x:f>IFERROR(INDEX('秒级路线参数_可调整'!$O:$O,MATCH(E457&amp;"|"&amp;H457,'秒级路线参数_可调整'!$A:$A,0)),"")</x:f>
        <x:v>累计秒（自动）</x:v>
      </x:c>
      <x:c r="L457" s="12"/>
      <x:c r="M457" s="12"/>
      <x:c r="N457" s="12" t="str">
        <x:f>IF(OR(L457="",M457=""),"",ROUND((M457-L457)*86400,0))</x:f>
      </x:c>
      <x:c r="O457" s="12" t="str">
        <x:f>IF(N457="","",N457/86400)</x:f>
      </x:c>
      <x:c r="P457" s="12"/>
      <x:c r="Q457" s="12"/>
      <x:c r="R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 t="str">
        <x:f>IFERROR(INDEX('秒级路线参数_可调整'!$O:$O,MATCH(E458&amp;"|"&amp;H458,'秒级路线参数_可调整'!$A:$A,0)),"")</x:f>
        <x:v>累计秒（自动）</x:v>
      </x:c>
      <x:c r="L458" s="12"/>
      <x:c r="M458" s="12"/>
      <x:c r="N458" s="12" t="str">
        <x:f>IF(OR(L458="",M458=""),"",ROUND((M458-L458)*86400,0))</x:f>
      </x:c>
      <x:c r="O458" s="12" t="str">
        <x:f>IF(N458="","",N458/86400)</x:f>
      </x:c>
      <x:c r="P458" s="12"/>
      <x:c r="Q458" s="12"/>
      <x:c r="R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 t="str">
        <x:f>IFERROR(INDEX('秒级路线参数_可调整'!$O:$O,MATCH(E459&amp;"|"&amp;H459,'秒级路线参数_可调整'!$A:$A,0)),"")</x:f>
        <x:v>累计秒（自动）</x:v>
      </x:c>
      <x:c r="L459" s="12"/>
      <x:c r="M459" s="12"/>
      <x:c r="N459" s="12" t="str">
        <x:f>IF(OR(L459="",M459=""),"",ROUND((M459-L459)*86400,0))</x:f>
      </x:c>
      <x:c r="O459" s="12" t="str">
        <x:f>IF(N459="","",N459/86400)</x:f>
      </x:c>
      <x:c r="P459" s="12"/>
      <x:c r="Q459" s="12"/>
      <x:c r="R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 t="str">
        <x:f>IFERROR(INDEX('秒级路线参数_可调整'!$O:$O,MATCH(E460&amp;"|"&amp;H460,'秒级路线参数_可调整'!$A:$A,0)),"")</x:f>
        <x:v>累计秒（自动）</x:v>
      </x:c>
      <x:c r="L460" s="12"/>
      <x:c r="M460" s="12"/>
      <x:c r="N460" s="12" t="str">
        <x:f>IF(OR(L460="",M460=""),"",ROUND((M460-L460)*86400,0))</x:f>
      </x:c>
      <x:c r="O460" s="12" t="str">
        <x:f>IF(N460="","",N460/86400)</x:f>
      </x:c>
      <x:c r="P460" s="12"/>
      <x:c r="Q460" s="12"/>
      <x:c r="R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 t="str">
        <x:f>IFERROR(INDEX('秒级路线参数_可调整'!$O:$O,MATCH(E461&amp;"|"&amp;H461,'秒级路线参数_可调整'!$A:$A,0)),"")</x:f>
        <x:v>累计秒（自动）</x:v>
      </x:c>
      <x:c r="L461" s="12"/>
      <x:c r="M461" s="12"/>
      <x:c r="N461" s="12" t="str">
        <x:f>IF(OR(L461="",M461=""),"",ROUND((M461-L461)*86400,0))</x:f>
      </x:c>
      <x:c r="O461" s="12" t="str">
        <x:f>IF(N461="","",N461/86400)</x:f>
      </x:c>
      <x:c r="P461" s="12"/>
      <x:c r="Q461" s="12"/>
      <x:c r="R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 t="str">
        <x:f>IFERROR(INDEX('秒级路线参数_可调整'!$O:$O,MATCH(E462&amp;"|"&amp;H462,'秒级路线参数_可调整'!$A:$A,0)),"")</x:f>
        <x:v>累计秒（自动）</x:v>
      </x:c>
      <x:c r="L462" s="12"/>
      <x:c r="M462" s="12"/>
      <x:c r="N462" s="12" t="str">
        <x:f>IF(OR(L462="",M462=""),"",ROUND((M462-L462)*86400,0))</x:f>
      </x:c>
      <x:c r="O462" s="12" t="str">
        <x:f>IF(N462="","",N462/86400)</x:f>
      </x:c>
      <x:c r="P462" s="12"/>
      <x:c r="Q462" s="12"/>
      <x:c r="R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 t="str">
        <x:f>IFERROR(INDEX('秒级路线参数_可调整'!$O:$O,MATCH(E463&amp;"|"&amp;H463,'秒级路线参数_可调整'!$A:$A,0)),"")</x:f>
        <x:v>累计秒（自动）</x:v>
      </x:c>
      <x:c r="L463" s="12"/>
      <x:c r="M463" s="12"/>
      <x:c r="N463" s="12" t="str">
        <x:f>IF(OR(L463="",M463=""),"",ROUND((M463-L463)*86400,0))</x:f>
      </x:c>
      <x:c r="O463" s="12" t="str">
        <x:f>IF(N463="","",N463/86400)</x:f>
      </x:c>
      <x:c r="P463" s="12"/>
      <x:c r="Q463" s="12"/>
      <x:c r="R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 t="str">
        <x:f>IFERROR(INDEX('秒级路线参数_可调整'!$O:$O,MATCH(E464&amp;"|"&amp;H464,'秒级路线参数_可调整'!$A:$A,0)),"")</x:f>
        <x:v>累计秒（自动）</x:v>
      </x:c>
      <x:c r="L464" s="12"/>
      <x:c r="M464" s="12"/>
      <x:c r="N464" s="12" t="str">
        <x:f>IF(OR(L464="",M464=""),"",ROUND((M464-L464)*86400,0))</x:f>
      </x:c>
      <x:c r="O464" s="12" t="str">
        <x:f>IF(N464="","",N464/86400)</x:f>
      </x:c>
      <x:c r="P464" s="12"/>
      <x:c r="Q464" s="12"/>
      <x:c r="R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 t="str">
        <x:f>IFERROR(INDEX('秒级路线参数_可调整'!$O:$O,MATCH(E465&amp;"|"&amp;H465,'秒级路线参数_可调整'!$A:$A,0)),"")</x:f>
        <x:v>累计秒（自动）</x:v>
      </x:c>
      <x:c r="L465" s="12"/>
      <x:c r="M465" s="12"/>
      <x:c r="N465" s="12" t="str">
        <x:f>IF(OR(L465="",M465=""),"",ROUND((M465-L465)*86400,0))</x:f>
      </x:c>
      <x:c r="O465" s="12" t="str">
        <x:f>IF(N465="","",N465/86400)</x:f>
      </x:c>
      <x:c r="P465" s="12"/>
      <x:c r="Q465" s="12"/>
      <x:c r="R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 t="str">
        <x:f>IFERROR(INDEX('秒级路线参数_可调整'!$O:$O,MATCH(E466&amp;"|"&amp;H466,'秒级路线参数_可调整'!$A:$A,0)),"")</x:f>
        <x:v>累计秒（自动）</x:v>
      </x:c>
      <x:c r="L466" s="12"/>
      <x:c r="M466" s="12"/>
      <x:c r="N466" s="12" t="str">
        <x:f>IF(OR(L466="",M466=""),"",ROUND((M466-L466)*86400,0))</x:f>
      </x:c>
      <x:c r="O466" s="12" t="str">
        <x:f>IF(N466="","",N466/86400)</x:f>
      </x:c>
      <x:c r="P466" s="12"/>
      <x:c r="Q466" s="12"/>
      <x:c r="R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 t="str">
        <x:f>IFERROR(INDEX('秒级路线参数_可调整'!$O:$O,MATCH(E467&amp;"|"&amp;H467,'秒级路线参数_可调整'!$A:$A,0)),"")</x:f>
        <x:v>累计秒（自动）</x:v>
      </x:c>
      <x:c r="L467" s="12"/>
      <x:c r="M467" s="12"/>
      <x:c r="N467" s="12" t="str">
        <x:f>IF(OR(L467="",M467=""),"",ROUND((M467-L467)*86400,0))</x:f>
      </x:c>
      <x:c r="O467" s="12" t="str">
        <x:f>IF(N467="","",N467/86400)</x:f>
      </x:c>
      <x:c r="P467" s="12"/>
      <x:c r="Q467" s="12"/>
      <x:c r="R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 t="str">
        <x:f>IFERROR(INDEX('秒级路线参数_可调整'!$O:$O,MATCH(E468&amp;"|"&amp;H468,'秒级路线参数_可调整'!$A:$A,0)),"")</x:f>
        <x:v>累计秒（自动）</x:v>
      </x:c>
      <x:c r="L468" s="12"/>
      <x:c r="M468" s="12"/>
      <x:c r="N468" s="12" t="str">
        <x:f>IF(OR(L468="",M468=""),"",ROUND((M468-L468)*86400,0))</x:f>
      </x:c>
      <x:c r="O468" s="12" t="str">
        <x:f>IF(N468="","",N468/86400)</x:f>
      </x:c>
      <x:c r="P468" s="12"/>
      <x:c r="Q468" s="12"/>
      <x:c r="R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 t="str">
        <x:f>IFERROR(INDEX('秒级路线参数_可调整'!$O:$O,MATCH(E469&amp;"|"&amp;H469,'秒级路线参数_可调整'!$A:$A,0)),"")</x:f>
        <x:v>累计秒（自动）</x:v>
      </x:c>
      <x:c r="L469" s="12"/>
      <x:c r="M469" s="12"/>
      <x:c r="N469" s="12" t="str">
        <x:f>IF(OR(L469="",M469=""),"",ROUND((M469-L469)*86400,0))</x:f>
      </x:c>
      <x:c r="O469" s="12" t="str">
        <x:f>IF(N469="","",N469/86400)</x:f>
      </x:c>
      <x:c r="P469" s="12"/>
      <x:c r="Q469" s="12"/>
      <x:c r="R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 t="str">
        <x:f>IFERROR(INDEX('秒级路线参数_可调整'!$O:$O,MATCH(E470&amp;"|"&amp;H470,'秒级路线参数_可调整'!$A:$A,0)),"")</x:f>
        <x:v>累计秒（自动）</x:v>
      </x:c>
      <x:c r="L470" s="12"/>
      <x:c r="M470" s="12"/>
      <x:c r="N470" s="12" t="str">
        <x:f>IF(OR(L470="",M470=""),"",ROUND((M470-L470)*86400,0))</x:f>
      </x:c>
      <x:c r="O470" s="12" t="str">
        <x:f>IF(N470="","",N470/86400)</x:f>
      </x:c>
      <x:c r="P470" s="12"/>
      <x:c r="Q470" s="12"/>
      <x:c r="R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 t="str">
        <x:f>IFERROR(INDEX('秒级路线参数_可调整'!$O:$O,MATCH(E471&amp;"|"&amp;H471,'秒级路线参数_可调整'!$A:$A,0)),"")</x:f>
        <x:v>累计秒（自动）</x:v>
      </x:c>
      <x:c r="L471" s="12"/>
      <x:c r="M471" s="12"/>
      <x:c r="N471" s="12" t="str">
        <x:f>IF(OR(L471="",M471=""),"",ROUND((M471-L471)*86400,0))</x:f>
      </x:c>
      <x:c r="O471" s="12" t="str">
        <x:f>IF(N471="","",N471/86400)</x:f>
      </x:c>
      <x:c r="P471" s="12"/>
      <x:c r="Q471" s="12"/>
      <x:c r="R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 t="str">
        <x:f>IFERROR(INDEX('秒级路线参数_可调整'!$O:$O,MATCH(E472&amp;"|"&amp;H472,'秒级路线参数_可调整'!$A:$A,0)),"")</x:f>
        <x:v>累计秒（自动）</x:v>
      </x:c>
      <x:c r="L472" s="12"/>
      <x:c r="M472" s="12"/>
      <x:c r="N472" s="12" t="str">
        <x:f>IF(OR(L472="",M472=""),"",ROUND((M472-L472)*86400,0))</x:f>
      </x:c>
      <x:c r="O472" s="12" t="str">
        <x:f>IF(N472="","",N472/86400)</x:f>
      </x:c>
      <x:c r="P472" s="12"/>
      <x:c r="Q472" s="12"/>
      <x:c r="R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 t="str">
        <x:f>IFERROR(INDEX('秒级路线参数_可调整'!$O:$O,MATCH(E473&amp;"|"&amp;H473,'秒级路线参数_可调整'!$A:$A,0)),"")</x:f>
        <x:v>累计秒（自动）</x:v>
      </x:c>
      <x:c r="L473" s="12"/>
      <x:c r="M473" s="12"/>
      <x:c r="N473" s="12" t="str">
        <x:f>IF(OR(L473="",M473=""),"",ROUND((M473-L473)*86400,0))</x:f>
      </x:c>
      <x:c r="O473" s="12" t="str">
        <x:f>IF(N473="","",N473/86400)</x:f>
      </x:c>
      <x:c r="P473" s="12"/>
      <x:c r="Q473" s="12"/>
      <x:c r="R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 t="str">
        <x:f>IFERROR(INDEX('秒级路线参数_可调整'!$O:$O,MATCH(E474&amp;"|"&amp;H474,'秒级路线参数_可调整'!$A:$A,0)),"")</x:f>
        <x:v>累计秒（自动）</x:v>
      </x:c>
      <x:c r="L474" s="12"/>
      <x:c r="M474" s="12"/>
      <x:c r="N474" s="12" t="str">
        <x:f>IF(OR(L474="",M474=""),"",ROUND((M474-L474)*86400,0))</x:f>
      </x:c>
      <x:c r="O474" s="12" t="str">
        <x:f>IF(N474="","",N474/86400)</x:f>
      </x:c>
      <x:c r="P474" s="12"/>
      <x:c r="Q474" s="12"/>
      <x:c r="R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 t="str">
        <x:f>IFERROR(INDEX('秒级路线参数_可调整'!$O:$O,MATCH(E475&amp;"|"&amp;H475,'秒级路线参数_可调整'!$A:$A,0)),"")</x:f>
        <x:v>累计秒（自动）</x:v>
      </x:c>
      <x:c r="L475" s="12"/>
      <x:c r="M475" s="12"/>
      <x:c r="N475" s="12" t="str">
        <x:f>IF(OR(L475="",M475=""),"",ROUND((M475-L475)*86400,0))</x:f>
      </x:c>
      <x:c r="O475" s="12" t="str">
        <x:f>IF(N475="","",N475/86400)</x:f>
      </x:c>
      <x:c r="P475" s="12"/>
      <x:c r="Q475" s="12"/>
      <x:c r="R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 t="str">
        <x:f>IFERROR(INDEX('秒级路线参数_可调整'!$O:$O,MATCH(E476&amp;"|"&amp;H476,'秒级路线参数_可调整'!$A:$A,0)),"")</x:f>
        <x:v>累计秒（自动）</x:v>
      </x:c>
      <x:c r="L476" s="12"/>
      <x:c r="M476" s="12"/>
      <x:c r="N476" s="12" t="str">
        <x:f>IF(OR(L476="",M476=""),"",ROUND((M476-L476)*86400,0))</x:f>
      </x:c>
      <x:c r="O476" s="12" t="str">
        <x:f>IF(N476="","",N476/86400)</x:f>
      </x:c>
      <x:c r="P476" s="12"/>
      <x:c r="Q476" s="12"/>
      <x:c r="R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 t="str">
        <x:f>IFERROR(INDEX('秒级路线参数_可调整'!$O:$O,MATCH(E477&amp;"|"&amp;H477,'秒级路线参数_可调整'!$A:$A,0)),"")</x:f>
        <x:v>累计秒（自动）</x:v>
      </x:c>
      <x:c r="L477" s="12"/>
      <x:c r="M477" s="12"/>
      <x:c r="N477" s="12" t="str">
        <x:f>IF(OR(L477="",M477=""),"",ROUND((M477-L477)*86400,0))</x:f>
      </x:c>
      <x:c r="O477" s="12" t="str">
        <x:f>IF(N477="","",N477/86400)</x:f>
      </x:c>
      <x:c r="P477" s="12"/>
      <x:c r="Q477" s="12"/>
      <x:c r="R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 t="str">
        <x:f>IFERROR(INDEX('秒级路线参数_可调整'!$O:$O,MATCH(E478&amp;"|"&amp;H478,'秒级路线参数_可调整'!$A:$A,0)),"")</x:f>
        <x:v>累计秒（自动）</x:v>
      </x:c>
      <x:c r="L478" s="12"/>
      <x:c r="M478" s="12"/>
      <x:c r="N478" s="12" t="str">
        <x:f>IF(OR(L478="",M478=""),"",ROUND((M478-L478)*86400,0))</x:f>
      </x:c>
      <x:c r="O478" s="12" t="str">
        <x:f>IF(N478="","",N478/86400)</x:f>
      </x:c>
      <x:c r="P478" s="12"/>
      <x:c r="Q478" s="12"/>
      <x:c r="R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 t="str">
        <x:f>IFERROR(INDEX('秒级路线参数_可调整'!$O:$O,MATCH(E479&amp;"|"&amp;H479,'秒级路线参数_可调整'!$A:$A,0)),"")</x:f>
        <x:v>累计秒（自动）</x:v>
      </x:c>
      <x:c r="L479" s="12"/>
      <x:c r="M479" s="12"/>
      <x:c r="N479" s="12" t="str">
        <x:f>IF(OR(L479="",M479=""),"",ROUND((M479-L479)*86400,0))</x:f>
      </x:c>
      <x:c r="O479" s="12" t="str">
        <x:f>IF(N479="","",N479/86400)</x:f>
      </x:c>
      <x:c r="P479" s="12"/>
      <x:c r="Q479" s="12"/>
      <x:c r="R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 t="str">
        <x:f>IFERROR(INDEX('秒级路线参数_可调整'!$O:$O,MATCH(E480&amp;"|"&amp;H480,'秒级路线参数_可调整'!$A:$A,0)),"")</x:f>
        <x:v>累计秒（自动）</x:v>
      </x:c>
      <x:c r="L480" s="12"/>
      <x:c r="M480" s="12"/>
      <x:c r="N480" s="12" t="str">
        <x:f>IF(OR(L480="",M480=""),"",ROUND((M480-L480)*86400,0))</x:f>
      </x:c>
      <x:c r="O480" s="12" t="str">
        <x:f>IF(N480="","",N480/86400)</x:f>
      </x:c>
      <x:c r="P480" s="12"/>
      <x:c r="Q480" s="12"/>
      <x:c r="R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 t="str">
        <x:f>IFERROR(INDEX('秒级路线参数_可调整'!$O:$O,MATCH(E481&amp;"|"&amp;H481,'秒级路线参数_可调整'!$A:$A,0)),"")</x:f>
        <x:v>累计秒（自动）</x:v>
      </x:c>
      <x:c r="L481" s="12"/>
      <x:c r="M481" s="12"/>
      <x:c r="N481" s="12" t="str">
        <x:f>IF(OR(L481="",M481=""),"",ROUND((M481-L481)*86400,0))</x:f>
      </x:c>
      <x:c r="O481" s="12" t="str">
        <x:f>IF(N481="","",N481/86400)</x:f>
      </x:c>
      <x:c r="P481" s="12"/>
      <x:c r="Q481" s="12"/>
      <x:c r="R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 t="str">
        <x:f>IFERROR(INDEX('秒级路线参数_可调整'!$O:$O,MATCH(E482&amp;"|"&amp;H482,'秒级路线参数_可调整'!$A:$A,0)),"")</x:f>
        <x:v>累计秒（自动）</x:v>
      </x:c>
      <x:c r="L482" s="12"/>
      <x:c r="M482" s="12"/>
      <x:c r="N482" s="12" t="str">
        <x:f>IF(OR(L482="",M482=""),"",ROUND((M482-L482)*86400,0))</x:f>
      </x:c>
      <x:c r="O482" s="12" t="str">
        <x:f>IF(N482="","",N482/86400)</x:f>
      </x:c>
      <x:c r="P482" s="12"/>
      <x:c r="Q482" s="12"/>
      <x:c r="R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 t="str">
        <x:f>IFERROR(INDEX('秒级路线参数_可调整'!$O:$O,MATCH(E483&amp;"|"&amp;H483,'秒级路线参数_可调整'!$A:$A,0)),"")</x:f>
        <x:v>累计秒（自动）</x:v>
      </x:c>
      <x:c r="L483" s="12"/>
      <x:c r="M483" s="12"/>
      <x:c r="N483" s="12" t="str">
        <x:f>IF(OR(L483="",M483=""),"",ROUND((M483-L483)*86400,0))</x:f>
      </x:c>
      <x:c r="O483" s="12" t="str">
        <x:f>IF(N483="","",N483/86400)</x:f>
      </x:c>
      <x:c r="P483" s="12"/>
      <x:c r="Q483" s="12"/>
      <x:c r="R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 t="str">
        <x:f>IFERROR(INDEX('秒级路线参数_可调整'!$O:$O,MATCH(E484&amp;"|"&amp;H484,'秒级路线参数_可调整'!$A:$A,0)),"")</x:f>
        <x:v>累计秒（自动）</x:v>
      </x:c>
      <x:c r="L484" s="12"/>
      <x:c r="M484" s="12"/>
      <x:c r="N484" s="12" t="str">
        <x:f>IF(OR(L484="",M484=""),"",ROUND((M484-L484)*86400,0))</x:f>
      </x:c>
      <x:c r="O484" s="12" t="str">
        <x:f>IF(N484="","",N484/86400)</x:f>
      </x:c>
      <x:c r="P484" s="12"/>
      <x:c r="Q484" s="12"/>
      <x:c r="R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 t="str">
        <x:f>IFERROR(INDEX('秒级路线参数_可调整'!$O:$O,MATCH(E485&amp;"|"&amp;H485,'秒级路线参数_可调整'!$A:$A,0)),"")</x:f>
        <x:v>累计秒（自动）</x:v>
      </x:c>
      <x:c r="L485" s="12"/>
      <x:c r="M485" s="12"/>
      <x:c r="N485" s="12" t="str">
        <x:f>IF(OR(L485="",M485=""),"",ROUND((M485-L485)*86400,0))</x:f>
      </x:c>
      <x:c r="O485" s="12" t="str">
        <x:f>IF(N485="","",N485/86400)</x:f>
      </x:c>
      <x:c r="P485" s="12"/>
      <x:c r="Q485" s="12"/>
      <x:c r="R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 t="str">
        <x:f>IFERROR(INDEX('秒级路线参数_可调整'!$O:$O,MATCH(E486&amp;"|"&amp;H486,'秒级路线参数_可调整'!$A:$A,0)),"")</x:f>
        <x:v>累计秒（自动）</x:v>
      </x:c>
      <x:c r="L486" s="12"/>
      <x:c r="M486" s="12"/>
      <x:c r="N486" s="12" t="str">
        <x:f>IF(OR(L486="",M486=""),"",ROUND((M486-L486)*86400,0))</x:f>
      </x:c>
      <x:c r="O486" s="12" t="str">
        <x:f>IF(N486="","",N486/86400)</x:f>
      </x:c>
      <x:c r="P486" s="12"/>
      <x:c r="Q486" s="12"/>
      <x:c r="R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 t="str">
        <x:f>IFERROR(INDEX('秒级路线参数_可调整'!$O:$O,MATCH(E487&amp;"|"&amp;H487,'秒级路线参数_可调整'!$A:$A,0)),"")</x:f>
        <x:v>累计秒（自动）</x:v>
      </x:c>
      <x:c r="L487" s="12"/>
      <x:c r="M487" s="12"/>
      <x:c r="N487" s="12" t="str">
        <x:f>IF(OR(L487="",M487=""),"",ROUND((M487-L487)*86400,0))</x:f>
      </x:c>
      <x:c r="O487" s="12" t="str">
        <x:f>IF(N487="","",N487/86400)</x:f>
      </x:c>
      <x:c r="P487" s="12"/>
      <x:c r="Q487" s="12"/>
      <x:c r="R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 t="str">
        <x:f>IFERROR(INDEX('秒级路线参数_可调整'!$O:$O,MATCH(E488&amp;"|"&amp;H488,'秒级路线参数_可调整'!$A:$A,0)),"")</x:f>
        <x:v>累计秒（自动）</x:v>
      </x:c>
      <x:c r="L488" s="12"/>
      <x:c r="M488" s="12"/>
      <x:c r="N488" s="12" t="str">
        <x:f>IF(OR(L488="",M488=""),"",ROUND((M488-L488)*86400,0))</x:f>
      </x:c>
      <x:c r="O488" s="12" t="str">
        <x:f>IF(N488="","",N488/86400)</x:f>
      </x:c>
      <x:c r="P488" s="12"/>
      <x:c r="Q488" s="12"/>
      <x:c r="R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 t="str">
        <x:f>IFERROR(INDEX('秒级路线参数_可调整'!$O:$O,MATCH(E489&amp;"|"&amp;H489,'秒级路线参数_可调整'!$A:$A,0)),"")</x:f>
        <x:v>累计秒（自动）</x:v>
      </x:c>
      <x:c r="L489" s="12"/>
      <x:c r="M489" s="12"/>
      <x:c r="N489" s="12" t="str">
        <x:f>IF(OR(L489="",M489=""),"",ROUND((M489-L489)*86400,0))</x:f>
      </x:c>
      <x:c r="O489" s="12" t="str">
        <x:f>IF(N489="","",N489/86400)</x:f>
      </x:c>
      <x:c r="P489" s="12"/>
      <x:c r="Q489" s="12"/>
      <x:c r="R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 t="str">
        <x:f>IFERROR(INDEX('秒级路线参数_可调整'!$O:$O,MATCH(E490&amp;"|"&amp;H490,'秒级路线参数_可调整'!$A:$A,0)),"")</x:f>
        <x:v>累计秒（自动）</x:v>
      </x:c>
      <x:c r="L490" s="12"/>
      <x:c r="M490" s="12"/>
      <x:c r="N490" s="12" t="str">
        <x:f>IF(OR(L490="",M490=""),"",ROUND((M490-L490)*86400,0))</x:f>
      </x:c>
      <x:c r="O490" s="12" t="str">
        <x:f>IF(N490="","",N490/86400)</x:f>
      </x:c>
      <x:c r="P490" s="12"/>
      <x:c r="Q490" s="12"/>
      <x:c r="R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 t="str">
        <x:f>IFERROR(INDEX('秒级路线参数_可调整'!$O:$O,MATCH(E491&amp;"|"&amp;H491,'秒级路线参数_可调整'!$A:$A,0)),"")</x:f>
        <x:v>累计秒（自动）</x:v>
      </x:c>
      <x:c r="L491" s="12"/>
      <x:c r="M491" s="12"/>
      <x:c r="N491" s="12" t="str">
        <x:f>IF(OR(L491="",M491=""),"",ROUND((M491-L491)*86400,0))</x:f>
      </x:c>
      <x:c r="O491" s="12" t="str">
        <x:f>IF(N491="","",N491/86400)</x:f>
      </x:c>
      <x:c r="P491" s="12"/>
      <x:c r="Q491" s="12"/>
      <x:c r="R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 t="str">
        <x:f>IFERROR(INDEX('秒级路线参数_可调整'!$O:$O,MATCH(E492&amp;"|"&amp;H492,'秒级路线参数_可调整'!$A:$A,0)),"")</x:f>
        <x:v>累计秒（自动）</x:v>
      </x:c>
      <x:c r="L492" s="12"/>
      <x:c r="M492" s="12"/>
      <x:c r="N492" s="12" t="str">
        <x:f>IF(OR(L492="",M492=""),"",ROUND((M492-L492)*86400,0))</x:f>
      </x:c>
      <x:c r="O492" s="12" t="str">
        <x:f>IF(N492="","",N492/86400)</x:f>
      </x:c>
      <x:c r="P492" s="12"/>
      <x:c r="Q492" s="12"/>
      <x:c r="R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 t="str">
        <x:f>IFERROR(INDEX('秒级路线参数_可调整'!$O:$O,MATCH(E493&amp;"|"&amp;H493,'秒级路线参数_可调整'!$A:$A,0)),"")</x:f>
        <x:v>累计秒（自动）</x:v>
      </x:c>
      <x:c r="L493" s="12"/>
      <x:c r="M493" s="12"/>
      <x:c r="N493" s="12" t="str">
        <x:f>IF(OR(L493="",M493=""),"",ROUND((M493-L493)*86400,0))</x:f>
      </x:c>
      <x:c r="O493" s="12" t="str">
        <x:f>IF(N493="","",N493/86400)</x:f>
      </x:c>
      <x:c r="P493" s="12"/>
      <x:c r="Q493" s="12"/>
      <x:c r="R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 t="str">
        <x:f>IFERROR(INDEX('秒级路线参数_可调整'!$O:$O,MATCH(E494&amp;"|"&amp;H494,'秒级路线参数_可调整'!$A:$A,0)),"")</x:f>
        <x:v>累计秒（自动）</x:v>
      </x:c>
      <x:c r="L494" s="12"/>
      <x:c r="M494" s="12"/>
      <x:c r="N494" s="12" t="str">
        <x:f>IF(OR(L494="",M494=""),"",ROUND((M494-L494)*86400,0))</x:f>
      </x:c>
      <x:c r="O494" s="12" t="str">
        <x:f>IF(N494="","",N494/86400)</x:f>
      </x:c>
      <x:c r="P494" s="12"/>
      <x:c r="Q494" s="12"/>
      <x:c r="R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 t="str">
        <x:f>IFERROR(INDEX('秒级路线参数_可调整'!$O:$O,MATCH(E495&amp;"|"&amp;H495,'秒级路线参数_可调整'!$A:$A,0)),"")</x:f>
        <x:v>累计秒（自动）</x:v>
      </x:c>
      <x:c r="L495" s="12"/>
      <x:c r="M495" s="12"/>
      <x:c r="N495" s="12" t="str">
        <x:f>IF(OR(L495="",M495=""),"",ROUND((M495-L495)*86400,0))</x:f>
      </x:c>
      <x:c r="O495" s="12" t="str">
        <x:f>IF(N495="","",N495/86400)</x:f>
      </x:c>
      <x:c r="P495" s="12"/>
      <x:c r="Q495" s="12"/>
      <x:c r="R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 t="str">
        <x:f>IFERROR(INDEX('秒级路线参数_可调整'!$O:$O,MATCH(E496&amp;"|"&amp;H496,'秒级路线参数_可调整'!$A:$A,0)),"")</x:f>
        <x:v>累计秒（自动）</x:v>
      </x:c>
      <x:c r="L496" s="12"/>
      <x:c r="M496" s="12"/>
      <x:c r="N496" s="12" t="str">
        <x:f>IF(OR(L496="",M496=""),"",ROUND((M496-L496)*86400,0))</x:f>
      </x:c>
      <x:c r="O496" s="12" t="str">
        <x:f>IF(N496="","",N496/86400)</x:f>
      </x:c>
      <x:c r="P496" s="12"/>
      <x:c r="Q496" s="12"/>
      <x:c r="R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 t="str">
        <x:f>IFERROR(INDEX('秒级路线参数_可调整'!$O:$O,MATCH(E497&amp;"|"&amp;H497,'秒级路线参数_可调整'!$A:$A,0)),"")</x:f>
        <x:v>累计秒（自动）</x:v>
      </x:c>
      <x:c r="L497" s="12"/>
      <x:c r="M497" s="12"/>
      <x:c r="N497" s="12" t="str">
        <x:f>IF(OR(L497="",M497=""),"",ROUND((M497-L497)*86400,0))</x:f>
      </x:c>
      <x:c r="O497" s="12" t="str">
        <x:f>IF(N497="","",N497/86400)</x:f>
      </x:c>
      <x:c r="P497" s="12"/>
      <x:c r="Q497" s="12"/>
      <x:c r="R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 t="str">
        <x:f>IFERROR(INDEX('秒级路线参数_可调整'!$O:$O,MATCH(E498&amp;"|"&amp;H498,'秒级路线参数_可调整'!$A:$A,0)),"")</x:f>
        <x:v>累计秒（自动）</x:v>
      </x:c>
      <x:c r="L498" s="12"/>
      <x:c r="M498" s="12"/>
      <x:c r="N498" s="12" t="str">
        <x:f>IF(OR(L498="",M498=""),"",ROUND((M498-L498)*86400,0))</x:f>
      </x:c>
      <x:c r="O498" s="12" t="str">
        <x:f>IF(N498="","",N498/86400)</x:f>
      </x:c>
      <x:c r="P498" s="12"/>
      <x:c r="Q498" s="12"/>
      <x:c r="R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 t="str">
        <x:f>IFERROR(INDEX('秒级路线参数_可调整'!$O:$O,MATCH(E499&amp;"|"&amp;H499,'秒级路线参数_可调整'!$A:$A,0)),"")</x:f>
        <x:v>累计秒（自动）</x:v>
      </x:c>
      <x:c r="L499" s="12"/>
      <x:c r="M499" s="12"/>
      <x:c r="N499" s="12" t="str">
        <x:f>IF(OR(L499="",M499=""),"",ROUND((M499-L499)*86400,0))</x:f>
      </x:c>
      <x:c r="O499" s="12" t="str">
        <x:f>IF(N499="","",N499/86400)</x:f>
      </x:c>
      <x:c r="P499" s="12"/>
      <x:c r="Q499" s="12"/>
      <x:c r="R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 t="str">
        <x:f>IFERROR(INDEX('秒级路线参数_可调整'!$O:$O,MATCH(E500&amp;"|"&amp;H500,'秒级路线参数_可调整'!$A:$A,0)),"")</x:f>
        <x:v>累计秒（自动）</x:v>
      </x:c>
      <x:c r="L500" s="12"/>
      <x:c r="M500" s="12"/>
      <x:c r="N500" s="12" t="str">
        <x:f>IF(OR(L500="",M500=""),"",ROUND((M500-L500)*86400,0))</x:f>
      </x:c>
      <x:c r="O500" s="12" t="str">
        <x:f>IF(N500="","",N500/86400)</x:f>
      </x:c>
      <x:c r="P500" s="12"/>
      <x:c r="Q500" s="12"/>
      <x:c r="R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2" t="str">
        <x:f>IFERROR(INDEX('秒级路线参数_可调整'!$O:$O,MATCH(E501&amp;"|"&amp;H501,'秒级路线参数_可调整'!$A:$A,0)),"")</x:f>
        <x:v>累计秒（自动）</x:v>
      </x:c>
      <x:c r="L501" s="12"/>
      <x:c r="M501" s="12"/>
      <x:c r="N501" s="12" t="str">
        <x:f>IF(OR(L501="",M501=""),"",ROUND((M501-L501)*86400,0))</x:f>
      </x:c>
      <x:c r="O501" s="12" t="str">
        <x:f>IF(N501="","",N501/86400)</x:f>
      </x:c>
      <x:c r="P501" s="12"/>
      <x:c r="Q501" s="12"/>
      <x:c r="R501" s="12"/>
    </x:row>
  </x:sheetData>
  <x:dataValidations count="3">
    <x:dataValidation type="list" sqref="B2:B501">
      <x:formula1>"工作日,周末/节假日"</x:formula1>
    </x:dataValidation>
    <x:dataValidation type="list" sqref="C2:C501">
      <x:formula1>"环线1路,环线2路,环线3路"</x:formula1>
    </x:dataValidation>
    <x:dataValidation type="list" sqref="E2:E501">
      <x:formula1>"HX1_NORMAL,HX1_DINING,HX2_NORMAL,HX3_NORMAL,HX3_GAOCHAO"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9.5600004196167" hidden="0" customWidth="1"/>
    <x:col min="3" max="3" width="10.5" hidden="0" customWidth="1"/>
    <x:col min="4" max="4" width="6.860000133514404" hidden="0" customWidth="1"/>
    <x:col min="5" max="5" width="12.789999961853027" hidden="0" customWidth="1"/>
    <x:col min="6" max="6" width="7.809999942779541" hidden="0" customWidth="1"/>
    <x:col min="7" max="7" width="9.829999923706055" hidden="0" customWidth="1"/>
    <x:col min="8" max="8" width="7.809999942779541" hidden="0" customWidth="1"/>
    <x:col min="9" max="9" width="23.549999237060547" hidden="0" customWidth="1"/>
    <x:col min="10" max="10" width="21.670000076293945" hidden="0" customWidth="1"/>
    <x:col min="11" max="11" width="12.520000457763672" hidden="0" customWidth="1"/>
    <x:col min="12" max="12" width="7.809999942779541" hidden="0" customWidth="1"/>
    <x:col min="13" max="13" width="15.479999542236328" hidden="0" customWidth="1"/>
    <x:col min="14" max="14" width="11.710000038146973" hidden="0" customWidth="1"/>
    <x:col min="15" max="15" width="19.649999618530273" hidden="0" customWidth="1"/>
    <x:col min="16" max="16" width="13.729999542236328" hidden="0" customWidth="1"/>
    <x:col min="17" max="17" width="19.649999618530273" hidden="0" customWidth="1"/>
    <x:col min="18" max="18" width="11.710000038146973" hidden="0" customWidth="1"/>
    <x:col min="19" max="19" width="9.829999923706055" hidden="0" customWidth="1"/>
    <x:col min="20" max="20" width="13.729999542236328" hidden="0" customWidth="1"/>
    <x:col min="21" max="21" width="5.789999961853027" hidden="0" customWidth="1"/>
    <x:col min="22" max="22" width="5.789999961853027" hidden="0" customWidth="1"/>
    <x:col min="23" max="23" width="7.809999942779541" hidden="0" customWidth="1"/>
    <x:col min="24" max="24" width="45" hidden="0" customWidth="1"/>
  </x:cols>
  <x:sheetData>
    <x:row r="1" ht="28" customHeight="1">
      <x:c r="A1" s="74" t="str">
        <x:v>到站记录ID</x:v>
      </x:c>
      <x:c r="B1" s="74" t="str">
        <x:v>发车记录ID</x:v>
      </x:c>
      <x:c r="C1" s="74" t="str">
        <x:v>适用日期</x:v>
      </x:c>
      <x:c r="D1" s="74" t="str">
        <x:v>线路</x:v>
      </x:c>
      <x:c r="E1" s="74" t="str">
        <x:v>班次</x:v>
      </x:c>
      <x:c r="F1" s="74" t="str">
        <x:v>趟次序号</x:v>
      </x:c>
      <x:c r="G1" s="74" t="str">
        <x:v>原发车时间</x:v>
      </x:c>
      <x:c r="H1" s="76" t="str">
        <x:v>发车分钟</x:v>
      </x:c>
      <x:c r="I1" s="74" t="str">
        <x:v>实际发车站点</x:v>
      </x:c>
      <x:c r="J1" s="74" t="str">
        <x:v>运行路线模式</x:v>
      </x:c>
      <x:c r="K1" s="74" t="str">
        <x:v>路线键</x:v>
      </x:c>
      <x:c r="L1" s="74" t="str">
        <x:v>站点序号</x:v>
      </x:c>
      <x:c r="M1" s="74" t="str">
        <x:v>路线站点键</x:v>
      </x:c>
      <x:c r="N1" s="74" t="str">
        <x:v>站点名称</x:v>
      </x:c>
      <x:c r="O1" s="76" t="str">
        <x:v>发车后累计秒（自动）</x:v>
      </x:c>
      <x:c r="P1" s="77" t="str">
        <x:v>发车后累计时间</x:v>
      </x:c>
      <x:c r="Q1" s="79" t="str">
        <x:v>预计到达时间（自动）</x:v>
      </x:c>
      <x:c r="R1" s="74" t="str">
        <x:v>预计到达文本</x:v>
      </x:c>
      <x:c r="S1" s="74" t="str">
        <x:v>是否发车站</x:v>
      </x:c>
      <x:c r="T1" s="74" t="str">
        <x:v>是否返回发车点</x:v>
      </x:c>
      <x:c r="U1" s="74" t="str">
        <x:v>驾驶员</x:v>
      </x:c>
      <x:c r="V1" s="74" t="str">
        <x:v>车号</x:v>
      </x:c>
      <x:c r="W1" s="74" t="str">
        <x:v>预测状态</x:v>
      </x:c>
      <x:c r="X1" s="74" t="str">
        <x:v>备注</x:v>
      </x:c>
    </x:row>
    <x:row r="2">
      <x:c r="A2" s="12" t="str">
        <x:v>S0001-01</x:v>
      </x:c>
      <x:c r="B2" s="12" t="str">
        <x:v>S0001</x:v>
      </x:c>
      <x:c r="C2" s="12" t="str">
        <x:v>工作日</x:v>
      </x:c>
      <x:c r="D2" s="12" t="str">
        <x:v>环线1路</x:v>
      </x:c>
      <x:c r="E2" s="12" t="str">
        <x:v>第一班</x:v>
      </x:c>
      <x:c r="F2" s="12" t="n">
        <x:v>1</x:v>
      </x:c>
      <x:c r="G2" s="12" t="str">
        <x:v>7:30</x:v>
      </x:c>
      <x:c r="H2" s="12" t="n">
        <x:v>450</x:v>
      </x:c>
      <x:c r="I2" s="12" t="str">
        <x:v>研究生宿舍楼</x:v>
      </x:c>
      <x:c r="J2" s="12" t="str">
        <x:v>研究生宿舍楼发车</x:v>
      </x:c>
      <x:c r="K2" s="12" t="str">
        <x:v>HX1_NORMAL</x:v>
      </x:c>
      <x:c r="L2" s="12" t="n">
        <x:v>1</x:v>
      </x:c>
      <x:c r="M2" s="12" t="str">
        <x:v>HX1_NORMAL|1</x:v>
      </x:c>
      <x:c r="N2" s="12" t="str">
        <x:v>研究生宿舍楼</x:v>
      </x:c>
      <x:c r="O2" s="12" t="n">
        <x:f>IFERROR(INDEX('秒级路线参数_可调整'!$O:$O,MATCH(M2,'秒级路线参数_可调整'!$A:$A,0)),"")</x:f>
        <x:v>0</x:v>
      </x:c>
      <x:c r="P2" s="12" t="str">
        <x:f>IF(O2="","",O2/86400)</x:f>
      </x:c>
      <x:c r="Q2" s="12" t="str">
        <x:f>IF(O2="","",(H2*60+O2)/86400)</x:f>
      </x:c>
      <x:c r="R2" s="12" t="str">
        <x:f>IF(Q2="","",TEXT(Q2,"hh:mm:ss"))</x:f>
      </x:c>
      <x:c r="S2" s="12" t="str">
        <x:v>是</x:v>
      </x:c>
      <x:c r="T2" s="12" t="str">
        <x:v>否</x:v>
      </x:c>
      <x:c r="U2" s="12" t="str">
        <x:v>未提供</x:v>
      </x:c>
      <x:c r="V2" s="12" t="str">
        <x:v>未提供</x:v>
      </x:c>
      <x:c r="W2" s="12" t="str">
        <x:v>秒级预测</x:v>
      </x:c>
      <x:c r="X2" s="12" t="str">
        <x:v>基于路线秒级参数；如录入实测或手动采用秒，预计到达时间可随公式更新</x:v>
      </x:c>
    </x:row>
    <x:row r="3">
      <x:c r="A3" s="12" t="str">
        <x:v>S0001-02</x:v>
      </x:c>
      <x:c r="B3" s="12" t="str">
        <x:v>S0001</x:v>
      </x:c>
      <x:c r="C3" s="12" t="str">
        <x:v>工作日</x:v>
      </x:c>
      <x:c r="D3" s="12" t="str">
        <x:v>环线1路</x:v>
      </x:c>
      <x:c r="E3" s="12" t="str">
        <x:v>第一班</x:v>
      </x:c>
      <x:c r="F3" s="12" t="n">
        <x:v>1</x:v>
      </x:c>
      <x:c r="G3" s="12" t="str">
        <x:v>7:30</x:v>
      </x:c>
      <x:c r="H3" s="12" t="n">
        <x:v>450</x:v>
      </x:c>
      <x:c r="I3" s="12" t="str">
        <x:v>研究生宿舍楼</x:v>
      </x:c>
      <x:c r="J3" s="12" t="str">
        <x:v>研究生宿舍楼发车</x:v>
      </x:c>
      <x:c r="K3" s="12" t="str">
        <x:v>HX1_NORMAL</x:v>
      </x:c>
      <x:c r="L3" s="12" t="n">
        <x:v>2</x:v>
      </x:c>
      <x:c r="M3" s="12" t="str">
        <x:v>HX1_NORMAL|2</x:v>
      </x:c>
      <x:c r="N3" s="12" t="str">
        <x:v>东门</x:v>
      </x:c>
      <x:c r="O3" s="12" t="n">
        <x:f>IFERROR(INDEX('秒级路线参数_可调整'!$O:$O,MATCH(M3,'秒级路线参数_可调整'!$A:$A,0)),"")</x:f>
        <x:v>0</x:v>
      </x:c>
      <x:c r="P3" s="12" t="str">
        <x:f>IF(O3="","",O3/86400)</x:f>
      </x:c>
      <x:c r="Q3" s="12" t="str">
        <x:f>IF(O3="","",(H3*60+O3)/86400)</x:f>
      </x:c>
      <x:c r="R3" s="12" t="str">
        <x:f>IF(Q3="","",TEXT(Q3,"hh:mm:ss"))</x:f>
      </x:c>
      <x:c r="S3" s="12" t="str">
        <x:v>否</x:v>
      </x:c>
      <x:c r="T3" s="12" t="str">
        <x:v>否</x:v>
      </x:c>
      <x:c r="U3" s="12" t="str">
        <x:v>未提供</x:v>
      </x:c>
      <x:c r="V3" s="12" t="str">
        <x:v>未提供</x:v>
      </x:c>
      <x:c r="W3" s="12" t="str">
        <x:v>秒级预测</x:v>
      </x:c>
      <x:c r="X3" s="12" t="str">
        <x:v>基于路线秒级参数；如录入实测或手动采用秒，预计到达时间可随公式更新</x:v>
      </x:c>
    </x:row>
    <x:row r="4">
      <x:c r="A4" s="12" t="str">
        <x:v>S0001-03</x:v>
      </x:c>
      <x:c r="B4" s="12" t="str">
        <x:v>S0001</x:v>
      </x:c>
      <x:c r="C4" s="12" t="str">
        <x:v>工作日</x:v>
      </x:c>
      <x:c r="D4" s="12" t="str">
        <x:v>环线1路</x:v>
      </x:c>
      <x:c r="E4" s="12" t="str">
        <x:v>第一班</x:v>
      </x:c>
      <x:c r="F4" s="12" t="n">
        <x:v>1</x:v>
      </x:c>
      <x:c r="G4" s="12" t="str">
        <x:v>7:30</x:v>
      </x:c>
      <x:c r="H4" s="12" t="n">
        <x:v>450</x:v>
      </x:c>
      <x:c r="I4" s="12" t="str">
        <x:v>研究生宿舍楼</x:v>
      </x:c>
      <x:c r="J4" s="12" t="str">
        <x:v>研究生宿舍楼发车</x:v>
      </x:c>
      <x:c r="K4" s="12" t="str">
        <x:v>HX1_NORMAL</x:v>
      </x:c>
      <x:c r="L4" s="12" t="n">
        <x:v>3</x:v>
      </x:c>
      <x:c r="M4" s="12" t="str">
        <x:v>HX1_NORMAL|3</x:v>
      </x:c>
      <x:c r="N4" s="12" t="str">
        <x:v>2号宿舍楼</x:v>
      </x:c>
      <x:c r="O4" s="12" t="n">
        <x:f>IFERROR(INDEX('秒级路线参数_可调整'!$O:$O,MATCH(M4,'秒级路线参数_可调整'!$A:$A,0)),"")</x:f>
        <x:v>0</x:v>
      </x:c>
      <x:c r="P4" s="12" t="str">
        <x:f>IF(O4="","",O4/86400)</x:f>
      </x:c>
      <x:c r="Q4" s="12" t="str">
        <x:f>IF(O4="","",(H4*60+O4)/86400)</x:f>
      </x:c>
      <x:c r="R4" s="12" t="str">
        <x:f>IF(Q4="","",TEXT(Q4,"hh:mm:ss"))</x:f>
      </x:c>
      <x:c r="S4" s="12" t="str">
        <x:v>否</x:v>
      </x:c>
      <x:c r="T4" s="12" t="str">
        <x:v>否</x:v>
      </x:c>
      <x:c r="U4" s="12" t="str">
        <x:v>未提供</x:v>
      </x:c>
      <x:c r="V4" s="12" t="str">
        <x:v>未提供</x:v>
      </x:c>
      <x:c r="W4" s="12" t="str">
        <x:v>秒级预测</x:v>
      </x:c>
      <x:c r="X4" s="12" t="str">
        <x:v>基于路线秒级参数；如录入实测或手动采用秒，预计到达时间可随公式更新</x:v>
      </x:c>
    </x:row>
    <x:row r="5">
      <x:c r="A5" s="12" t="str">
        <x:v>S0001-04</x:v>
      </x:c>
      <x:c r="B5" s="12" t="str">
        <x:v>S0001</x:v>
      </x:c>
      <x:c r="C5" s="12" t="str">
        <x:v>工作日</x:v>
      </x:c>
      <x:c r="D5" s="12" t="str">
        <x:v>环线1路</x:v>
      </x:c>
      <x:c r="E5" s="12" t="str">
        <x:v>第一班</x:v>
      </x:c>
      <x:c r="F5" s="12" t="n">
        <x:v>1</x:v>
      </x:c>
      <x:c r="G5" s="12" t="str">
        <x:v>7:30</x:v>
      </x:c>
      <x:c r="H5" s="12" t="n">
        <x:v>450</x:v>
      </x:c>
      <x:c r="I5" s="12" t="str">
        <x:v>研究生宿舍楼</x:v>
      </x:c>
      <x:c r="J5" s="12" t="str">
        <x:v>研究生宿舍楼发车</x:v>
      </x:c>
      <x:c r="K5" s="12" t="str">
        <x:v>HX1_NORMAL</x:v>
      </x:c>
      <x:c r="L5" s="12" t="n">
        <x:v>4</x:v>
      </x:c>
      <x:c r="M5" s="12" t="str">
        <x:v>HX1_NORMAL|4</x:v>
      </x:c>
      <x:c r="N5" s="12" t="str">
        <x:v>军体活动中心</x:v>
      </x:c>
      <x:c r="O5" s="12" t="n">
        <x:f>IFERROR(INDEX('秒级路线参数_可调整'!$O:$O,MATCH(M5,'秒级路线参数_可调整'!$A:$A,0)),"")</x:f>
        <x:v>0</x:v>
      </x:c>
      <x:c r="P5" s="12" t="str">
        <x:f>IF(O5="","",O5/86400)</x:f>
      </x:c>
      <x:c r="Q5" s="12" t="str">
        <x:f>IF(O5="","",(H5*60+O5)/86400)</x:f>
      </x:c>
      <x:c r="R5" s="12" t="str">
        <x:f>IF(Q5="","",TEXT(Q5,"hh:mm:ss"))</x:f>
      </x:c>
      <x:c r="S5" s="12" t="str">
        <x:v>否</x:v>
      </x:c>
      <x:c r="T5" s="12" t="str">
        <x:v>否</x:v>
      </x:c>
      <x:c r="U5" s="12" t="str">
        <x:v>未提供</x:v>
      </x:c>
      <x:c r="V5" s="12" t="str">
        <x:v>未提供</x:v>
      </x:c>
      <x:c r="W5" s="12" t="str">
        <x:v>秒级预测</x:v>
      </x:c>
      <x:c r="X5" s="12" t="str">
        <x:v>基于路线秒级参数；如录入实测或手动采用秒，预计到达时间可随公式更新</x:v>
      </x:c>
    </x:row>
    <x:row r="6">
      <x:c r="A6" s="12" t="str">
        <x:v>S0001-05</x:v>
      </x:c>
      <x:c r="B6" s="12" t="str">
        <x:v>S0001</x:v>
      </x:c>
      <x:c r="C6" s="12" t="str">
        <x:v>工作日</x:v>
      </x:c>
      <x:c r="D6" s="12" t="str">
        <x:v>环线1路</x:v>
      </x:c>
      <x:c r="E6" s="12" t="str">
        <x:v>第一班</x:v>
      </x:c>
      <x:c r="F6" s="12" t="n">
        <x:v>1</x:v>
      </x:c>
      <x:c r="G6" s="12" t="str">
        <x:v>7:30</x:v>
      </x:c>
      <x:c r="H6" s="12" t="n">
        <x:v>450</x:v>
      </x:c>
      <x:c r="I6" s="12" t="str">
        <x:v>研究生宿舍楼</x:v>
      </x:c>
      <x:c r="J6" s="12" t="str">
        <x:v>研究生宿舍楼发车</x:v>
      </x:c>
      <x:c r="K6" s="12" t="str">
        <x:v>HX1_NORMAL</x:v>
      </x:c>
      <x:c r="L6" s="12" t="n">
        <x:v>5</x:v>
      </x:c>
      <x:c r="M6" s="12" t="str">
        <x:v>HX1_NORMAL|5</x:v>
      </x:c>
      <x:c r="N6" s="12" t="str">
        <x:v>激光所</x:v>
      </x:c>
      <x:c r="O6" s="12" t="n">
        <x:f>IFERROR(INDEX('秒级路线参数_可调整'!$O:$O,MATCH(M6,'秒级路线参数_可调整'!$A:$A,0)),"")</x:f>
        <x:v>0</x:v>
      </x:c>
      <x:c r="P6" s="12" t="str">
        <x:f>IF(O6="","",O6/86400)</x:f>
      </x:c>
      <x:c r="Q6" s="12" t="str">
        <x:f>IF(O6="","",(H6*60+O6)/86400)</x:f>
      </x:c>
      <x:c r="R6" s="12" t="str">
        <x:f>IF(Q6="","",TEXT(Q6,"hh:mm:ss"))</x:f>
      </x:c>
      <x:c r="S6" s="12" t="str">
        <x:v>否</x:v>
      </x:c>
      <x:c r="T6" s="12" t="str">
        <x:v>否</x:v>
      </x:c>
      <x:c r="U6" s="12" t="str">
        <x:v>未提供</x:v>
      </x:c>
      <x:c r="V6" s="12" t="str">
        <x:v>未提供</x:v>
      </x:c>
      <x:c r="W6" s="12" t="str">
        <x:v>秒级预测</x:v>
      </x:c>
      <x:c r="X6" s="12" t="str">
        <x:v>基于路线秒级参数；如录入实测或手动采用秒，预计到达时间可随公式更新</x:v>
      </x:c>
    </x:row>
    <x:row r="7">
      <x:c r="A7" s="12" t="str">
        <x:v>S0001-06</x:v>
      </x:c>
      <x:c r="B7" s="12" t="str">
        <x:v>S0001</x:v>
      </x:c>
      <x:c r="C7" s="12" t="str">
        <x:v>工作日</x:v>
      </x:c>
      <x:c r="D7" s="12" t="str">
        <x:v>环线1路</x:v>
      </x:c>
      <x:c r="E7" s="12" t="str">
        <x:v>第一班</x:v>
      </x:c>
      <x:c r="F7" s="12" t="n">
        <x:v>1</x:v>
      </x:c>
      <x:c r="G7" s="12" t="str">
        <x:v>7:30</x:v>
      </x:c>
      <x:c r="H7" s="12" t="n">
        <x:v>450</x:v>
      </x:c>
      <x:c r="I7" s="12" t="str">
        <x:v>研究生宿舍楼</x:v>
      </x:c>
      <x:c r="J7" s="12" t="str">
        <x:v>研究生宿舍楼发车</x:v>
      </x:c>
      <x:c r="K7" s="12" t="str">
        <x:v>HX1_NORMAL</x:v>
      </x:c>
      <x:c r="L7" s="12" t="n">
        <x:v>6</x:v>
      </x:c>
      <x:c r="M7" s="12" t="str">
        <x:v>HX1_NORMAL|6</x:v>
      </x:c>
      <x:c r="N7" s="12" t="str">
        <x:v>超算中心</x:v>
      </x:c>
      <x:c r="O7" s="12" t="n">
        <x:f>IFERROR(INDEX('秒级路线参数_可调整'!$O:$O,MATCH(M7,'秒级路线参数_可调整'!$A:$A,0)),"")</x:f>
        <x:v>0</x:v>
      </x:c>
      <x:c r="P7" s="12" t="str">
        <x:f>IF(O7="","",O7/86400)</x:f>
      </x:c>
      <x:c r="Q7" s="12" t="str">
        <x:f>IF(O7="","",(H7*60+O7)/86400)</x:f>
      </x:c>
      <x:c r="R7" s="12" t="str">
        <x:f>IF(Q7="","",TEXT(Q7,"hh:mm:ss"))</x:f>
      </x:c>
      <x:c r="S7" s="12" t="str">
        <x:v>否</x:v>
      </x:c>
      <x:c r="T7" s="12" t="str">
        <x:v>否</x:v>
      </x:c>
      <x:c r="U7" s="12" t="str">
        <x:v>未提供</x:v>
      </x:c>
      <x:c r="V7" s="12" t="str">
        <x:v>未提供</x:v>
      </x:c>
      <x:c r="W7" s="12" t="str">
        <x:v>秒级预测</x:v>
      </x:c>
      <x:c r="X7" s="12" t="str">
        <x:v>基于路线秒级参数；如录入实测或手动采用秒，预计到达时间可随公式更新</x:v>
      </x:c>
    </x:row>
    <x:row r="8">
      <x:c r="A8" s="12" t="str">
        <x:v>S0001-07</x:v>
      </x:c>
      <x:c r="B8" s="12" t="str">
        <x:v>S0001</x:v>
      </x:c>
      <x:c r="C8" s="12" t="str">
        <x:v>工作日</x:v>
      </x:c>
      <x:c r="D8" s="12" t="str">
        <x:v>环线1路</x:v>
      </x:c>
      <x:c r="E8" s="12" t="str">
        <x:v>第一班</x:v>
      </x:c>
      <x:c r="F8" s="12" t="n">
        <x:v>1</x:v>
      </x:c>
      <x:c r="G8" s="12" t="str">
        <x:v>7:30</x:v>
      </x:c>
      <x:c r="H8" s="12" t="n">
        <x:v>450</x:v>
      </x:c>
      <x:c r="I8" s="12" t="str">
        <x:v>研究生宿舍楼</x:v>
      </x:c>
      <x:c r="J8" s="12" t="str">
        <x:v>研究生宿舍楼发车</x:v>
      </x:c>
      <x:c r="K8" s="12" t="str">
        <x:v>HX1_NORMAL</x:v>
      </x:c>
      <x:c r="L8" s="12" t="n">
        <x:v>7</x:v>
      </x:c>
      <x:c r="M8" s="12" t="str">
        <x:v>HX1_NORMAL|7</x:v>
      </x:c>
      <x:c r="N8" s="12" t="str">
        <x:v>北门</x:v>
      </x:c>
      <x:c r="O8" s="12" t="n">
        <x:f>IFERROR(INDEX('秒级路线参数_可调整'!$O:$O,MATCH(M8,'秒级路线参数_可调整'!$A:$A,0)),"")</x:f>
        <x:v>0</x:v>
      </x:c>
      <x:c r="P8" s="12" t="str">
        <x:f>IF(O8="","",O8/86400)</x:f>
      </x:c>
      <x:c r="Q8" s="12" t="str">
        <x:f>IF(O8="","",(H8*60+O8)/86400)</x:f>
      </x:c>
      <x:c r="R8" s="12" t="str">
        <x:f>IF(Q8="","",TEXT(Q8,"hh:mm:ss"))</x:f>
      </x:c>
      <x:c r="S8" s="12" t="str">
        <x:v>否</x:v>
      </x:c>
      <x:c r="T8" s="12" t="str">
        <x:v>否</x:v>
      </x:c>
      <x:c r="U8" s="12" t="str">
        <x:v>未提供</x:v>
      </x:c>
      <x:c r="V8" s="12" t="str">
        <x:v>未提供</x:v>
      </x:c>
      <x:c r="W8" s="12" t="str">
        <x:v>秒级预测</x:v>
      </x:c>
      <x:c r="X8" s="12" t="str">
        <x:v>基于路线秒级参数；如录入实测或手动采用秒，预计到达时间可随公式更新</x:v>
      </x:c>
    </x:row>
    <x:row r="9">
      <x:c r="A9" s="12" t="str">
        <x:v>S0001-08</x:v>
      </x:c>
      <x:c r="B9" s="12" t="str">
        <x:v>S0001</x:v>
      </x:c>
      <x:c r="C9" s="12" t="str">
        <x:v>工作日</x:v>
      </x:c>
      <x:c r="D9" s="12" t="str">
        <x:v>环线1路</x:v>
      </x:c>
      <x:c r="E9" s="12" t="str">
        <x:v>第一班</x:v>
      </x:c>
      <x:c r="F9" s="12" t="n">
        <x:v>1</x:v>
      </x:c>
      <x:c r="G9" s="12" t="str">
        <x:v>7:30</x:v>
      </x:c>
      <x:c r="H9" s="12" t="n">
        <x:v>450</x:v>
      </x:c>
      <x:c r="I9" s="12" t="str">
        <x:v>研究生宿舍楼</x:v>
      </x:c>
      <x:c r="J9" s="12" t="str">
        <x:v>研究生宿舍楼发车</x:v>
      </x:c>
      <x:c r="K9" s="12" t="str">
        <x:v>HX1_NORMAL</x:v>
      </x:c>
      <x:c r="L9" s="12" t="n">
        <x:v>8</x:v>
      </x:c>
      <x:c r="M9" s="12" t="str">
        <x:v>HX1_NORMAL|8</x:v>
      </x:c>
      <x:c r="N9" s="12" t="str">
        <x:v>高超楼</x:v>
      </x:c>
      <x:c r="O9" s="12" t="n">
        <x:f>IFERROR(INDEX('秒级路线参数_可调整'!$O:$O,MATCH(M9,'秒级路线参数_可调整'!$A:$A,0)),"")</x:f>
        <x:v>0</x:v>
      </x:c>
      <x:c r="P9" s="12" t="str">
        <x:f>IF(O9="","",O9/86400)</x:f>
      </x:c>
      <x:c r="Q9" s="12" t="str">
        <x:f>IF(O9="","",(H9*60+O9)/86400)</x:f>
      </x:c>
      <x:c r="R9" s="12" t="str">
        <x:f>IF(Q9="","",TEXT(Q9,"hh:mm:ss"))</x:f>
      </x:c>
      <x:c r="S9" s="12" t="str">
        <x:v>否</x:v>
      </x:c>
      <x:c r="T9" s="12" t="str">
        <x:v>否</x:v>
      </x:c>
      <x:c r="U9" s="12" t="str">
        <x:v>未提供</x:v>
      </x:c>
      <x:c r="V9" s="12" t="str">
        <x:v>未提供</x:v>
      </x:c>
      <x:c r="W9" s="12" t="str">
        <x:v>秒级预测</x:v>
      </x:c>
      <x:c r="X9" s="12" t="str">
        <x:v>基于路线秒级参数；如录入实测或手动采用秒，预计到达时间可随公式更新</x:v>
      </x:c>
    </x:row>
    <x:row r="10">
      <x:c r="A10" s="12" t="str">
        <x:v>S0001-09</x:v>
      </x:c>
      <x:c r="B10" s="12" t="str">
        <x:v>S0001</x:v>
      </x:c>
      <x:c r="C10" s="12" t="str">
        <x:v>工作日</x:v>
      </x:c>
      <x:c r="D10" s="12" t="str">
        <x:v>环线1路</x:v>
      </x:c>
      <x:c r="E10" s="12" t="str">
        <x:v>第一班</x:v>
      </x:c>
      <x:c r="F10" s="12" t="n">
        <x:v>1</x:v>
      </x:c>
      <x:c r="G10" s="12" t="str">
        <x:v>7:30</x:v>
      </x:c>
      <x:c r="H10" s="12" t="n">
        <x:v>450</x:v>
      </x:c>
      <x:c r="I10" s="12" t="str">
        <x:v>研究生宿舍楼</x:v>
      </x:c>
      <x:c r="J10" s="12" t="str">
        <x:v>研究生宿舍楼发车</x:v>
      </x:c>
      <x:c r="K10" s="12" t="str">
        <x:v>HX1_NORMAL</x:v>
      </x:c>
      <x:c r="L10" s="12" t="n">
        <x:v>9</x:v>
      </x:c>
      <x:c r="M10" s="12" t="str">
        <x:v>HX1_NORMAL|9</x:v>
      </x:c>
      <x:c r="N10" s="12" t="str">
        <x:v>理学院</x:v>
      </x:c>
      <x:c r="O10" s="12" t="n">
        <x:f>IFERROR(INDEX('秒级路线参数_可调整'!$O:$O,MATCH(M10,'秒级路线参数_可调整'!$A:$A,0)),"")</x:f>
        <x:v>0</x:v>
      </x:c>
      <x:c r="P10" s="12" t="str">
        <x:f>IF(O10="","",O10/86400)</x:f>
      </x:c>
      <x:c r="Q10" s="12" t="str">
        <x:f>IF(O10="","",(H10*60+O10)/86400)</x:f>
      </x:c>
      <x:c r="R10" s="12" t="str">
        <x:f>IF(Q10="","",TEXT(Q10,"hh:mm:ss"))</x:f>
      </x:c>
      <x:c r="S10" s="12" t="str">
        <x:v>否</x:v>
      </x:c>
      <x:c r="T10" s="12" t="str">
        <x:v>否</x:v>
      </x:c>
      <x:c r="U10" s="12" t="str">
        <x:v>未提供</x:v>
      </x:c>
      <x:c r="V10" s="12" t="str">
        <x:v>未提供</x:v>
      </x:c>
      <x:c r="W10" s="12" t="str">
        <x:v>秒级预测</x:v>
      </x:c>
      <x:c r="X10" s="12" t="str">
        <x:v>基于路线秒级参数；如录入实测或手动采用秒，预计到达时间可随公式更新</x:v>
      </x:c>
    </x:row>
    <x:row r="11">
      <x:c r="A11" s="12" t="str">
        <x:v>S0001-10</x:v>
      </x:c>
      <x:c r="B11" s="12" t="str">
        <x:v>S0001</x:v>
      </x:c>
      <x:c r="C11" s="12" t="str">
        <x:v>工作日</x:v>
      </x:c>
      <x:c r="D11" s="12" t="str">
        <x:v>环线1路</x:v>
      </x:c>
      <x:c r="E11" s="12" t="str">
        <x:v>第一班</x:v>
      </x:c>
      <x:c r="F11" s="12" t="n">
        <x:v>1</x:v>
      </x:c>
      <x:c r="G11" s="12" t="str">
        <x:v>7:30</x:v>
      </x:c>
      <x:c r="H11" s="12" t="n">
        <x:v>450</x:v>
      </x:c>
      <x:c r="I11" s="12" t="str">
        <x:v>研究生宿舍楼</x:v>
      </x:c>
      <x:c r="J11" s="12" t="str">
        <x:v>研究生宿舍楼发车</x:v>
      </x:c>
      <x:c r="K11" s="12" t="str">
        <x:v>HX1_NORMAL</x:v>
      </x:c>
      <x:c r="L11" s="12" t="n">
        <x:v>10</x:v>
      </x:c>
      <x:c r="M11" s="12" t="str">
        <x:v>HX1_NORMAL|10</x:v>
      </x:c>
      <x:c r="N11" s="12" t="str">
        <x:v>二食堂</x:v>
      </x:c>
      <x:c r="O11" s="12" t="n">
        <x:f>IFERROR(INDEX('秒级路线参数_可调整'!$O:$O,MATCH(M11,'秒级路线参数_可调整'!$A:$A,0)),"")</x:f>
        <x:v>0</x:v>
      </x:c>
      <x:c r="P11" s="12" t="str">
        <x:f>IF(O11="","",O11/86400)</x:f>
      </x:c>
      <x:c r="Q11" s="12" t="str">
        <x:f>IF(O11="","",(H11*60+O11)/86400)</x:f>
      </x:c>
      <x:c r="R11" s="12" t="str">
        <x:f>IF(Q11="","",TEXT(Q11,"hh:mm:ss"))</x:f>
      </x:c>
      <x:c r="S11" s="12" t="str">
        <x:v>否</x:v>
      </x:c>
      <x:c r="T11" s="12" t="str">
        <x:v>否</x:v>
      </x:c>
      <x:c r="U11" s="12" t="str">
        <x:v>未提供</x:v>
      </x:c>
      <x:c r="V11" s="12" t="str">
        <x:v>未提供</x:v>
      </x:c>
      <x:c r="W11" s="12" t="str">
        <x:v>秒级预测</x:v>
      </x:c>
      <x:c r="X11" s="12" t="str">
        <x:v>基于路线秒级参数；如录入实测或手动采用秒，预计到达时间可随公式更新</x:v>
      </x:c>
    </x:row>
    <x:row r="12">
      <x:c r="A12" s="12" t="str">
        <x:v>S0001-11</x:v>
      </x:c>
      <x:c r="B12" s="12" t="str">
        <x:v>S0001</x:v>
      </x:c>
      <x:c r="C12" s="12" t="str">
        <x:v>工作日</x:v>
      </x:c>
      <x:c r="D12" s="12" t="str">
        <x:v>环线1路</x:v>
      </x:c>
      <x:c r="E12" s="12" t="str">
        <x:v>第一班</x:v>
      </x:c>
      <x:c r="F12" s="12" t="n">
        <x:v>1</x:v>
      </x:c>
      <x:c r="G12" s="12" t="str">
        <x:v>7:30</x:v>
      </x:c>
      <x:c r="H12" s="12" t="n">
        <x:v>450</x:v>
      </x:c>
      <x:c r="I12" s="12" t="str">
        <x:v>研究生宿舍楼</x:v>
      </x:c>
      <x:c r="J12" s="12" t="str">
        <x:v>研究生宿舍楼发车</x:v>
      </x:c>
      <x:c r="K12" s="12" t="str">
        <x:v>HX1_NORMAL</x:v>
      </x:c>
      <x:c r="L12" s="12" t="n">
        <x:v>11</x:v>
      </x:c>
      <x:c r="M12" s="12" t="str">
        <x:v>HX1_NORMAL|11</x:v>
      </x:c>
      <x:c r="N12" s="12" t="str">
        <x:v>5号宿舍楼</x:v>
      </x:c>
      <x:c r="O12" s="12" t="n">
        <x:f>IFERROR(INDEX('秒级路线参数_可调整'!$O:$O,MATCH(M12,'秒级路线参数_可调整'!$A:$A,0)),"")</x:f>
        <x:v>0</x:v>
      </x:c>
      <x:c r="P12" s="12" t="str">
        <x:f>IF(O12="","",O12/86400)</x:f>
      </x:c>
      <x:c r="Q12" s="12" t="str">
        <x:f>IF(O12="","",(H12*60+O12)/86400)</x:f>
      </x:c>
      <x:c r="R12" s="12" t="str">
        <x:f>IF(Q12="","",TEXT(Q12,"hh:mm:ss"))</x:f>
      </x:c>
      <x:c r="S12" s="12" t="str">
        <x:v>否</x:v>
      </x:c>
      <x:c r="T12" s="12" t="str">
        <x:v>否</x:v>
      </x:c>
      <x:c r="U12" s="12" t="str">
        <x:v>未提供</x:v>
      </x:c>
      <x:c r="V12" s="12" t="str">
        <x:v>未提供</x:v>
      </x:c>
      <x:c r="W12" s="12" t="str">
        <x:v>秒级预测</x:v>
      </x:c>
      <x:c r="X12" s="12" t="str">
        <x:v>基于路线秒级参数；如录入实测或手动采用秒，预计到达时间可随公式更新</x:v>
      </x:c>
    </x:row>
    <x:row r="13">
      <x:c r="A13" s="12" t="str">
        <x:v>S0001-12</x:v>
      </x:c>
      <x:c r="B13" s="12" t="str">
        <x:v>S0001</x:v>
      </x:c>
      <x:c r="C13" s="12" t="str">
        <x:v>工作日</x:v>
      </x:c>
      <x:c r="D13" s="12" t="str">
        <x:v>环线1路</x:v>
      </x:c>
      <x:c r="E13" s="12" t="str">
        <x:v>第一班</x:v>
      </x:c>
      <x:c r="F13" s="12" t="n">
        <x:v>1</x:v>
      </x:c>
      <x:c r="G13" s="12" t="str">
        <x:v>7:30</x:v>
      </x:c>
      <x:c r="H13" s="12" t="n">
        <x:v>450</x:v>
      </x:c>
      <x:c r="I13" s="12" t="str">
        <x:v>研究生宿舍楼</x:v>
      </x:c>
      <x:c r="J13" s="12" t="str">
        <x:v>研究生宿舍楼发车</x:v>
      </x:c>
      <x:c r="K13" s="12" t="str">
        <x:v>HX1_NORMAL</x:v>
      </x:c>
      <x:c r="L13" s="12" t="n">
        <x:v>12</x:v>
      </x:c>
      <x:c r="M13" s="12" t="str">
        <x:v>HX1_NORMAL|12</x:v>
      </x:c>
      <x:c r="N13" s="12" t="str">
        <x:v>305教学楼</x:v>
      </x:c>
      <x:c r="O13" s="12" t="n">
        <x:f>IFERROR(INDEX('秒级路线参数_可调整'!$O:$O,MATCH(M13,'秒级路线参数_可调整'!$A:$A,0)),"")</x:f>
        <x:v>0</x:v>
      </x:c>
      <x:c r="P13" s="12" t="str">
        <x:f>IF(O13="","",O13/86400)</x:f>
      </x:c>
      <x:c r="Q13" s="12" t="str">
        <x:f>IF(O13="","",(H13*60+O13)/86400)</x:f>
      </x:c>
      <x:c r="R13" s="12" t="str">
        <x:f>IF(Q13="","",TEXT(Q13,"hh:mm:ss"))</x:f>
      </x:c>
      <x:c r="S13" s="12" t="str">
        <x:v>否</x:v>
      </x:c>
      <x:c r="T13" s="12" t="str">
        <x:v>否</x:v>
      </x:c>
      <x:c r="U13" s="12" t="str">
        <x:v>未提供</x:v>
      </x:c>
      <x:c r="V13" s="12" t="str">
        <x:v>未提供</x:v>
      </x:c>
      <x:c r="W13" s="12" t="str">
        <x:v>秒级预测</x:v>
      </x:c>
      <x:c r="X13" s="12" t="str">
        <x:v>基于路线秒级参数；如录入实测或手动采用秒，预计到达时间可随公式更新</x:v>
      </x:c>
    </x:row>
    <x:row r="14">
      <x:c r="A14" s="12" t="str">
        <x:v>S0001-13</x:v>
      </x:c>
      <x:c r="B14" s="12" t="str">
        <x:v>S0001</x:v>
      </x:c>
      <x:c r="C14" s="12" t="str">
        <x:v>工作日</x:v>
      </x:c>
      <x:c r="D14" s="12" t="str">
        <x:v>环线1路</x:v>
      </x:c>
      <x:c r="E14" s="12" t="str">
        <x:v>第一班</x:v>
      </x:c>
      <x:c r="F14" s="12" t="n">
        <x:v>1</x:v>
      </x:c>
      <x:c r="G14" s="12" t="str">
        <x:v>7:30</x:v>
      </x:c>
      <x:c r="H14" s="12" t="n">
        <x:v>450</x:v>
      </x:c>
      <x:c r="I14" s="12" t="str">
        <x:v>研究生宿舍楼</x:v>
      </x:c>
      <x:c r="J14" s="12" t="str">
        <x:v>研究生宿舍楼发车</x:v>
      </x:c>
      <x:c r="K14" s="12" t="str">
        <x:v>HX1_NORMAL</x:v>
      </x:c>
      <x:c r="L14" s="12" t="n">
        <x:v>13</x:v>
      </x:c>
      <x:c r="M14" s="12" t="str">
        <x:v>HX1_NORMAL|13</x:v>
      </x:c>
      <x:c r="N14" s="12" t="str">
        <x:v>研究生宿舍楼</x:v>
      </x:c>
      <x:c r="O14" s="12" t="n">
        <x:f>IFERROR(INDEX('秒级路线参数_可调整'!$O:$O,MATCH(M14,'秒级路线参数_可调整'!$A:$A,0)),"")</x:f>
        <x:v>0</x:v>
      </x:c>
      <x:c r="P14" s="12" t="str">
        <x:f>IF(O14="","",O14/86400)</x:f>
      </x:c>
      <x:c r="Q14" s="12" t="str">
        <x:f>IF(O14="","",(H14*60+O14)/86400)</x:f>
      </x:c>
      <x:c r="R14" s="12" t="str">
        <x:f>IF(Q14="","",TEXT(Q14,"hh:mm:ss"))</x:f>
      </x:c>
      <x:c r="S14" s="12" t="str">
        <x:v>否</x:v>
      </x:c>
      <x:c r="T14" s="12" t="str">
        <x:v>是</x:v>
      </x:c>
      <x:c r="U14" s="12" t="str">
        <x:v>未提供</x:v>
      </x:c>
      <x:c r="V14" s="12" t="str">
        <x:v>未提供</x:v>
      </x:c>
      <x:c r="W14" s="12" t="str">
        <x:v>秒级预测</x:v>
      </x:c>
      <x:c r="X14" s="12" t="str">
        <x:v>基于路线秒级参数；如录入实测或手动采用秒，预计到达时间可随公式更新</x:v>
      </x:c>
    </x:row>
    <x:row r="15">
      <x:c r="A15" s="12" t="str">
        <x:v>S0002-01</x:v>
      </x:c>
      <x:c r="B15" s="12" t="str">
        <x:v>S0002</x:v>
      </x:c>
      <x:c r="C15" s="12" t="str">
        <x:v>工作日</x:v>
      </x:c>
      <x:c r="D15" s="12" t="str">
        <x:v>环线1路</x:v>
      </x:c>
      <x:c r="E15" s="12" t="str">
        <x:v>第一班</x:v>
      </x:c>
      <x:c r="F15" s="12" t="n">
        <x:v>2</x:v>
      </x:c>
      <x:c r="G15" s="12" t="str">
        <x:v>8:00</x:v>
      </x:c>
      <x:c r="H15" s="12" t="n">
        <x:v>480</x:v>
      </x:c>
      <x:c r="I15" s="12" t="str">
        <x:v>研究生宿舍楼</x:v>
      </x:c>
      <x:c r="J15" s="12" t="str">
        <x:v>研究生宿舍楼发车</x:v>
      </x:c>
      <x:c r="K15" s="12" t="str">
        <x:v>HX1_NORMAL</x:v>
      </x:c>
      <x:c r="L15" s="12" t="n">
        <x:v>1</x:v>
      </x:c>
      <x:c r="M15" s="12" t="str">
        <x:v>HX1_NORMAL|1</x:v>
      </x:c>
      <x:c r="N15" s="12" t="str">
        <x:v>研究生宿舍楼</x:v>
      </x:c>
      <x:c r="O15" s="12" t="n">
        <x:f>IFERROR(INDEX('秒级路线参数_可调整'!$O:$O,MATCH(M15,'秒级路线参数_可调整'!$A:$A,0)),"")</x:f>
        <x:v>0</x:v>
      </x:c>
      <x:c r="P15" s="12" t="str">
        <x:f>IF(O15="","",O15/86400)</x:f>
      </x:c>
      <x:c r="Q15" s="12" t="str">
        <x:f>IF(O15="","",(H15*60+O15)/86400)</x:f>
      </x:c>
      <x:c r="R15" s="12" t="str">
        <x:f>IF(Q15="","",TEXT(Q15,"hh:mm:ss"))</x:f>
      </x:c>
      <x:c r="S15" s="12" t="str">
        <x:v>是</x:v>
      </x:c>
      <x:c r="T15" s="12" t="str">
        <x:v>否</x:v>
      </x:c>
      <x:c r="U15" s="12" t="str">
        <x:v>未提供</x:v>
      </x:c>
      <x:c r="V15" s="12" t="str">
        <x:v>未提供</x:v>
      </x:c>
      <x:c r="W15" s="12" t="str">
        <x:v>秒级预测</x:v>
      </x:c>
      <x:c r="X15" s="12" t="str">
        <x:v>基于路线秒级参数；如录入实测或手动采用秒，预计到达时间可随公式更新</x:v>
      </x:c>
    </x:row>
    <x:row r="16">
      <x:c r="A16" s="12" t="str">
        <x:v>S0002-02</x:v>
      </x:c>
      <x:c r="B16" s="12" t="str">
        <x:v>S0002</x:v>
      </x:c>
      <x:c r="C16" s="12" t="str">
        <x:v>工作日</x:v>
      </x:c>
      <x:c r="D16" s="12" t="str">
        <x:v>环线1路</x:v>
      </x:c>
      <x:c r="E16" s="12" t="str">
        <x:v>第一班</x:v>
      </x:c>
      <x:c r="F16" s="12" t="n">
        <x:v>2</x:v>
      </x:c>
      <x:c r="G16" s="12" t="str">
        <x:v>8:00</x:v>
      </x:c>
      <x:c r="H16" s="12" t="n">
        <x:v>480</x:v>
      </x:c>
      <x:c r="I16" s="12" t="str">
        <x:v>研究生宿舍楼</x:v>
      </x:c>
      <x:c r="J16" s="12" t="str">
        <x:v>研究生宿舍楼发车</x:v>
      </x:c>
      <x:c r="K16" s="12" t="str">
        <x:v>HX1_NORMAL</x:v>
      </x:c>
      <x:c r="L16" s="12" t="n">
        <x:v>2</x:v>
      </x:c>
      <x:c r="M16" s="12" t="str">
        <x:v>HX1_NORMAL|2</x:v>
      </x:c>
      <x:c r="N16" s="12" t="str">
        <x:v>东门</x:v>
      </x:c>
      <x:c r="O16" s="12" t="n">
        <x:f>IFERROR(INDEX('秒级路线参数_可调整'!$O:$O,MATCH(M16,'秒级路线参数_可调整'!$A:$A,0)),"")</x:f>
        <x:v>0</x:v>
      </x:c>
      <x:c r="P16" s="12" t="str">
        <x:f>IF(O16="","",O16/86400)</x:f>
      </x:c>
      <x:c r="Q16" s="12" t="str">
        <x:f>IF(O16="","",(H16*60+O16)/86400)</x:f>
      </x:c>
      <x:c r="R16" s="12" t="str">
        <x:f>IF(Q16="","",TEXT(Q16,"hh:mm:ss"))</x:f>
      </x:c>
      <x:c r="S16" s="12" t="str">
        <x:v>否</x:v>
      </x:c>
      <x:c r="T16" s="12" t="str">
        <x:v>否</x:v>
      </x:c>
      <x:c r="U16" s="12" t="str">
        <x:v>未提供</x:v>
      </x:c>
      <x:c r="V16" s="12" t="str">
        <x:v>未提供</x:v>
      </x:c>
      <x:c r="W16" s="12" t="str">
        <x:v>秒级预测</x:v>
      </x:c>
      <x:c r="X16" s="12" t="str">
        <x:v>基于路线秒级参数；如录入实测或手动采用秒，预计到达时间可随公式更新</x:v>
      </x:c>
    </x:row>
    <x:row r="17">
      <x:c r="A17" s="12" t="str">
        <x:v>S0002-03</x:v>
      </x:c>
      <x:c r="B17" s="12" t="str">
        <x:v>S0002</x:v>
      </x:c>
      <x:c r="C17" s="12" t="str">
        <x:v>工作日</x:v>
      </x:c>
      <x:c r="D17" s="12" t="str">
        <x:v>环线1路</x:v>
      </x:c>
      <x:c r="E17" s="12" t="str">
        <x:v>第一班</x:v>
      </x:c>
      <x:c r="F17" s="12" t="n">
        <x:v>2</x:v>
      </x:c>
      <x:c r="G17" s="12" t="str">
        <x:v>8:00</x:v>
      </x:c>
      <x:c r="H17" s="12" t="n">
        <x:v>480</x:v>
      </x:c>
      <x:c r="I17" s="12" t="str">
        <x:v>研究生宿舍楼</x:v>
      </x:c>
      <x:c r="J17" s="12" t="str">
        <x:v>研究生宿舍楼发车</x:v>
      </x:c>
      <x:c r="K17" s="12" t="str">
        <x:v>HX1_NORMAL</x:v>
      </x:c>
      <x:c r="L17" s="12" t="n">
        <x:v>3</x:v>
      </x:c>
      <x:c r="M17" s="12" t="str">
        <x:v>HX1_NORMAL|3</x:v>
      </x:c>
      <x:c r="N17" s="12" t="str">
        <x:v>2号宿舍楼</x:v>
      </x:c>
      <x:c r="O17" s="12" t="n">
        <x:f>IFERROR(INDEX('秒级路线参数_可调整'!$O:$O,MATCH(M17,'秒级路线参数_可调整'!$A:$A,0)),"")</x:f>
        <x:v>0</x:v>
      </x:c>
      <x:c r="P17" s="12" t="str">
        <x:f>IF(O17="","",O17/86400)</x:f>
      </x:c>
      <x:c r="Q17" s="12" t="str">
        <x:f>IF(O17="","",(H17*60+O17)/86400)</x:f>
      </x:c>
      <x:c r="R17" s="12" t="str">
        <x:f>IF(Q17="","",TEXT(Q17,"hh:mm:ss"))</x:f>
      </x:c>
      <x:c r="S17" s="12" t="str">
        <x:v>否</x:v>
      </x:c>
      <x:c r="T17" s="12" t="str">
        <x:v>否</x:v>
      </x:c>
      <x:c r="U17" s="12" t="str">
        <x:v>未提供</x:v>
      </x:c>
      <x:c r="V17" s="12" t="str">
        <x:v>未提供</x:v>
      </x:c>
      <x:c r="W17" s="12" t="str">
        <x:v>秒级预测</x:v>
      </x:c>
      <x:c r="X17" s="12" t="str">
        <x:v>基于路线秒级参数；如录入实测或手动采用秒，预计到达时间可随公式更新</x:v>
      </x:c>
    </x:row>
    <x:row r="18">
      <x:c r="A18" s="12" t="str">
        <x:v>S0002-04</x:v>
      </x:c>
      <x:c r="B18" s="12" t="str">
        <x:v>S0002</x:v>
      </x:c>
      <x:c r="C18" s="12" t="str">
        <x:v>工作日</x:v>
      </x:c>
      <x:c r="D18" s="12" t="str">
        <x:v>环线1路</x:v>
      </x:c>
      <x:c r="E18" s="12" t="str">
        <x:v>第一班</x:v>
      </x:c>
      <x:c r="F18" s="12" t="n">
        <x:v>2</x:v>
      </x:c>
      <x:c r="G18" s="12" t="str">
        <x:v>8:00</x:v>
      </x:c>
      <x:c r="H18" s="12" t="n">
        <x:v>480</x:v>
      </x:c>
      <x:c r="I18" s="12" t="str">
        <x:v>研究生宿舍楼</x:v>
      </x:c>
      <x:c r="J18" s="12" t="str">
        <x:v>研究生宿舍楼发车</x:v>
      </x:c>
      <x:c r="K18" s="12" t="str">
        <x:v>HX1_NORMAL</x:v>
      </x:c>
      <x:c r="L18" s="12" t="n">
        <x:v>4</x:v>
      </x:c>
      <x:c r="M18" s="12" t="str">
        <x:v>HX1_NORMAL|4</x:v>
      </x:c>
      <x:c r="N18" s="12" t="str">
        <x:v>军体活动中心</x:v>
      </x:c>
      <x:c r="O18" s="12" t="n">
        <x:f>IFERROR(INDEX('秒级路线参数_可调整'!$O:$O,MATCH(M18,'秒级路线参数_可调整'!$A:$A,0)),"")</x:f>
        <x:v>0</x:v>
      </x:c>
      <x:c r="P18" s="12" t="str">
        <x:f>IF(O18="","",O18/86400)</x:f>
      </x:c>
      <x:c r="Q18" s="12" t="str">
        <x:f>IF(O18="","",(H18*60+O18)/86400)</x:f>
      </x:c>
      <x:c r="R18" s="12" t="str">
        <x:f>IF(Q18="","",TEXT(Q18,"hh:mm:ss"))</x:f>
      </x:c>
      <x:c r="S18" s="12" t="str">
        <x:v>否</x:v>
      </x:c>
      <x:c r="T18" s="12" t="str">
        <x:v>否</x:v>
      </x:c>
      <x:c r="U18" s="12" t="str">
        <x:v>未提供</x:v>
      </x:c>
      <x:c r="V18" s="12" t="str">
        <x:v>未提供</x:v>
      </x:c>
      <x:c r="W18" s="12" t="str">
        <x:v>秒级预测</x:v>
      </x:c>
      <x:c r="X18" s="12" t="str">
        <x:v>基于路线秒级参数；如录入实测或手动采用秒，预计到达时间可随公式更新</x:v>
      </x:c>
    </x:row>
    <x:row r="19">
      <x:c r="A19" s="12" t="str">
        <x:v>S0002-05</x:v>
      </x:c>
      <x:c r="B19" s="12" t="str">
        <x:v>S0002</x:v>
      </x:c>
      <x:c r="C19" s="12" t="str">
        <x:v>工作日</x:v>
      </x:c>
      <x:c r="D19" s="12" t="str">
        <x:v>环线1路</x:v>
      </x:c>
      <x:c r="E19" s="12" t="str">
        <x:v>第一班</x:v>
      </x:c>
      <x:c r="F19" s="12" t="n">
        <x:v>2</x:v>
      </x:c>
      <x:c r="G19" s="12" t="str">
        <x:v>8:00</x:v>
      </x:c>
      <x:c r="H19" s="12" t="n">
        <x:v>480</x:v>
      </x:c>
      <x:c r="I19" s="12" t="str">
        <x:v>研究生宿舍楼</x:v>
      </x:c>
      <x:c r="J19" s="12" t="str">
        <x:v>研究生宿舍楼发车</x:v>
      </x:c>
      <x:c r="K19" s="12" t="str">
        <x:v>HX1_NORMAL</x:v>
      </x:c>
      <x:c r="L19" s="12" t="n">
        <x:v>5</x:v>
      </x:c>
      <x:c r="M19" s="12" t="str">
        <x:v>HX1_NORMAL|5</x:v>
      </x:c>
      <x:c r="N19" s="12" t="str">
        <x:v>激光所</x:v>
      </x:c>
      <x:c r="O19" s="12" t="n">
        <x:f>IFERROR(INDEX('秒级路线参数_可调整'!$O:$O,MATCH(M19,'秒级路线参数_可调整'!$A:$A,0)),"")</x:f>
        <x:v>0</x:v>
      </x:c>
      <x:c r="P19" s="12" t="str">
        <x:f>IF(O19="","",O19/86400)</x:f>
      </x:c>
      <x:c r="Q19" s="12" t="str">
        <x:f>IF(O19="","",(H19*60+O19)/86400)</x:f>
      </x:c>
      <x:c r="R19" s="12" t="str">
        <x:f>IF(Q19="","",TEXT(Q19,"hh:mm:ss"))</x:f>
      </x:c>
      <x:c r="S19" s="12" t="str">
        <x:v>否</x:v>
      </x:c>
      <x:c r="T19" s="12" t="str">
        <x:v>否</x:v>
      </x:c>
      <x:c r="U19" s="12" t="str">
        <x:v>未提供</x:v>
      </x:c>
      <x:c r="V19" s="12" t="str">
        <x:v>未提供</x:v>
      </x:c>
      <x:c r="W19" s="12" t="str">
        <x:v>秒级预测</x:v>
      </x:c>
      <x:c r="X19" s="12" t="str">
        <x:v>基于路线秒级参数；如录入实测或手动采用秒，预计到达时间可随公式更新</x:v>
      </x:c>
    </x:row>
    <x:row r="20">
      <x:c r="A20" s="12" t="str">
        <x:v>S0002-06</x:v>
      </x:c>
      <x:c r="B20" s="12" t="str">
        <x:v>S0002</x:v>
      </x:c>
      <x:c r="C20" s="12" t="str">
        <x:v>工作日</x:v>
      </x:c>
      <x:c r="D20" s="12" t="str">
        <x:v>环线1路</x:v>
      </x:c>
      <x:c r="E20" s="12" t="str">
        <x:v>第一班</x:v>
      </x:c>
      <x:c r="F20" s="12" t="n">
        <x:v>2</x:v>
      </x:c>
      <x:c r="G20" s="12" t="str">
        <x:v>8:00</x:v>
      </x:c>
      <x:c r="H20" s="12" t="n">
        <x:v>480</x:v>
      </x:c>
      <x:c r="I20" s="12" t="str">
        <x:v>研究生宿舍楼</x:v>
      </x:c>
      <x:c r="J20" s="12" t="str">
        <x:v>研究生宿舍楼发车</x:v>
      </x:c>
      <x:c r="K20" s="12" t="str">
        <x:v>HX1_NORMAL</x:v>
      </x:c>
      <x:c r="L20" s="12" t="n">
        <x:v>6</x:v>
      </x:c>
      <x:c r="M20" s="12" t="str">
        <x:v>HX1_NORMAL|6</x:v>
      </x:c>
      <x:c r="N20" s="12" t="str">
        <x:v>超算中心</x:v>
      </x:c>
      <x:c r="O20" s="12" t="n">
        <x:f>IFERROR(INDEX('秒级路线参数_可调整'!$O:$O,MATCH(M20,'秒级路线参数_可调整'!$A:$A,0)),"")</x:f>
        <x:v>0</x:v>
      </x:c>
      <x:c r="P20" s="12" t="str">
        <x:f>IF(O20="","",O20/86400)</x:f>
      </x:c>
      <x:c r="Q20" s="12" t="str">
        <x:f>IF(O20="","",(H20*60+O20)/86400)</x:f>
      </x:c>
      <x:c r="R20" s="12" t="str">
        <x:f>IF(Q20="","",TEXT(Q20,"hh:mm:ss"))</x:f>
      </x:c>
      <x:c r="S20" s="12" t="str">
        <x:v>否</x:v>
      </x:c>
      <x:c r="T20" s="12" t="str">
        <x:v>否</x:v>
      </x:c>
      <x:c r="U20" s="12" t="str">
        <x:v>未提供</x:v>
      </x:c>
      <x:c r="V20" s="12" t="str">
        <x:v>未提供</x:v>
      </x:c>
      <x:c r="W20" s="12" t="str">
        <x:v>秒级预测</x:v>
      </x:c>
      <x:c r="X20" s="12" t="str">
        <x:v>基于路线秒级参数；如录入实测或手动采用秒，预计到达时间可随公式更新</x:v>
      </x:c>
    </x:row>
    <x:row r="21">
      <x:c r="A21" s="12" t="str">
        <x:v>S0002-07</x:v>
      </x:c>
      <x:c r="B21" s="12" t="str">
        <x:v>S0002</x:v>
      </x:c>
      <x:c r="C21" s="12" t="str">
        <x:v>工作日</x:v>
      </x:c>
      <x:c r="D21" s="12" t="str">
        <x:v>环线1路</x:v>
      </x:c>
      <x:c r="E21" s="12" t="str">
        <x:v>第一班</x:v>
      </x:c>
      <x:c r="F21" s="12" t="n">
        <x:v>2</x:v>
      </x:c>
      <x:c r="G21" s="12" t="str">
        <x:v>8:00</x:v>
      </x:c>
      <x:c r="H21" s="12" t="n">
        <x:v>480</x:v>
      </x:c>
      <x:c r="I21" s="12" t="str">
        <x:v>研究生宿舍楼</x:v>
      </x:c>
      <x:c r="J21" s="12" t="str">
        <x:v>研究生宿舍楼发车</x:v>
      </x:c>
      <x:c r="K21" s="12" t="str">
        <x:v>HX1_NORMAL</x:v>
      </x:c>
      <x:c r="L21" s="12" t="n">
        <x:v>7</x:v>
      </x:c>
      <x:c r="M21" s="12" t="str">
        <x:v>HX1_NORMAL|7</x:v>
      </x:c>
      <x:c r="N21" s="12" t="str">
        <x:v>北门</x:v>
      </x:c>
      <x:c r="O21" s="12" t="n">
        <x:f>IFERROR(INDEX('秒级路线参数_可调整'!$O:$O,MATCH(M21,'秒级路线参数_可调整'!$A:$A,0)),"")</x:f>
        <x:v>0</x:v>
      </x:c>
      <x:c r="P21" s="12" t="str">
        <x:f>IF(O21="","",O21/86400)</x:f>
      </x:c>
      <x:c r="Q21" s="12" t="str">
        <x:f>IF(O21="","",(H21*60+O21)/86400)</x:f>
      </x:c>
      <x:c r="R21" s="12" t="str">
        <x:f>IF(Q21="","",TEXT(Q21,"hh:mm:ss"))</x:f>
      </x:c>
      <x:c r="S21" s="12" t="str">
        <x:v>否</x:v>
      </x:c>
      <x:c r="T21" s="12" t="str">
        <x:v>否</x:v>
      </x:c>
      <x:c r="U21" s="12" t="str">
        <x:v>未提供</x:v>
      </x:c>
      <x:c r="V21" s="12" t="str">
        <x:v>未提供</x:v>
      </x:c>
      <x:c r="W21" s="12" t="str">
        <x:v>秒级预测</x:v>
      </x:c>
      <x:c r="X21" s="12" t="str">
        <x:v>基于路线秒级参数；如录入实测或手动采用秒，预计到达时间可随公式更新</x:v>
      </x:c>
    </x:row>
    <x:row r="22">
      <x:c r="A22" s="12" t="str">
        <x:v>S0002-08</x:v>
      </x:c>
      <x:c r="B22" s="12" t="str">
        <x:v>S0002</x:v>
      </x:c>
      <x:c r="C22" s="12" t="str">
        <x:v>工作日</x:v>
      </x:c>
      <x:c r="D22" s="12" t="str">
        <x:v>环线1路</x:v>
      </x:c>
      <x:c r="E22" s="12" t="str">
        <x:v>第一班</x:v>
      </x:c>
      <x:c r="F22" s="12" t="n">
        <x:v>2</x:v>
      </x:c>
      <x:c r="G22" s="12" t="str">
        <x:v>8:00</x:v>
      </x:c>
      <x:c r="H22" s="12" t="n">
        <x:v>480</x:v>
      </x:c>
      <x:c r="I22" s="12" t="str">
        <x:v>研究生宿舍楼</x:v>
      </x:c>
      <x:c r="J22" s="12" t="str">
        <x:v>研究生宿舍楼发车</x:v>
      </x:c>
      <x:c r="K22" s="12" t="str">
        <x:v>HX1_NORMAL</x:v>
      </x:c>
      <x:c r="L22" s="12" t="n">
        <x:v>8</x:v>
      </x:c>
      <x:c r="M22" s="12" t="str">
        <x:v>HX1_NORMAL|8</x:v>
      </x:c>
      <x:c r="N22" s="12" t="str">
        <x:v>高超楼</x:v>
      </x:c>
      <x:c r="O22" s="12" t="n">
        <x:f>IFERROR(INDEX('秒级路线参数_可调整'!$O:$O,MATCH(M22,'秒级路线参数_可调整'!$A:$A,0)),"")</x:f>
        <x:v>0</x:v>
      </x:c>
      <x:c r="P22" s="12" t="str">
        <x:f>IF(O22="","",O22/86400)</x:f>
      </x:c>
      <x:c r="Q22" s="12" t="str">
        <x:f>IF(O22="","",(H22*60+O22)/86400)</x:f>
      </x:c>
      <x:c r="R22" s="12" t="str">
        <x:f>IF(Q22="","",TEXT(Q22,"hh:mm:ss"))</x:f>
      </x:c>
      <x:c r="S22" s="12" t="str">
        <x:v>否</x:v>
      </x:c>
      <x:c r="T22" s="12" t="str">
        <x:v>否</x:v>
      </x:c>
      <x:c r="U22" s="12" t="str">
        <x:v>未提供</x:v>
      </x:c>
      <x:c r="V22" s="12" t="str">
        <x:v>未提供</x:v>
      </x:c>
      <x:c r="W22" s="12" t="str">
        <x:v>秒级预测</x:v>
      </x:c>
      <x:c r="X22" s="12" t="str">
        <x:v>基于路线秒级参数；如录入实测或手动采用秒，预计到达时间可随公式更新</x:v>
      </x:c>
    </x:row>
    <x:row r="23">
      <x:c r="A23" s="12" t="str">
        <x:v>S0002-09</x:v>
      </x:c>
      <x:c r="B23" s="12" t="str">
        <x:v>S0002</x:v>
      </x:c>
      <x:c r="C23" s="12" t="str">
        <x:v>工作日</x:v>
      </x:c>
      <x:c r="D23" s="12" t="str">
        <x:v>环线1路</x:v>
      </x:c>
      <x:c r="E23" s="12" t="str">
        <x:v>第一班</x:v>
      </x:c>
      <x:c r="F23" s="12" t="n">
        <x:v>2</x:v>
      </x:c>
      <x:c r="G23" s="12" t="str">
        <x:v>8:00</x:v>
      </x:c>
      <x:c r="H23" s="12" t="n">
        <x:v>480</x:v>
      </x:c>
      <x:c r="I23" s="12" t="str">
        <x:v>研究生宿舍楼</x:v>
      </x:c>
      <x:c r="J23" s="12" t="str">
        <x:v>研究生宿舍楼发车</x:v>
      </x:c>
      <x:c r="K23" s="12" t="str">
        <x:v>HX1_NORMAL</x:v>
      </x:c>
      <x:c r="L23" s="12" t="n">
        <x:v>9</x:v>
      </x:c>
      <x:c r="M23" s="12" t="str">
        <x:v>HX1_NORMAL|9</x:v>
      </x:c>
      <x:c r="N23" s="12" t="str">
        <x:v>理学院</x:v>
      </x:c>
      <x:c r="O23" s="12" t="n">
        <x:f>IFERROR(INDEX('秒级路线参数_可调整'!$O:$O,MATCH(M23,'秒级路线参数_可调整'!$A:$A,0)),"")</x:f>
        <x:v>0</x:v>
      </x:c>
      <x:c r="P23" s="12" t="str">
        <x:f>IF(O23="","",O23/86400)</x:f>
      </x:c>
      <x:c r="Q23" s="12" t="str">
        <x:f>IF(O23="","",(H23*60+O23)/86400)</x:f>
      </x:c>
      <x:c r="R23" s="12" t="str">
        <x:f>IF(Q23="","",TEXT(Q23,"hh:mm:ss"))</x:f>
      </x:c>
      <x:c r="S23" s="12" t="str">
        <x:v>否</x:v>
      </x:c>
      <x:c r="T23" s="12" t="str">
        <x:v>否</x:v>
      </x:c>
      <x:c r="U23" s="12" t="str">
        <x:v>未提供</x:v>
      </x:c>
      <x:c r="V23" s="12" t="str">
        <x:v>未提供</x:v>
      </x:c>
      <x:c r="W23" s="12" t="str">
        <x:v>秒级预测</x:v>
      </x:c>
      <x:c r="X23" s="12" t="str">
        <x:v>基于路线秒级参数；如录入实测或手动采用秒，预计到达时间可随公式更新</x:v>
      </x:c>
    </x:row>
    <x:row r="24">
      <x:c r="A24" s="12" t="str">
        <x:v>S0002-10</x:v>
      </x:c>
      <x:c r="B24" s="12" t="str">
        <x:v>S0002</x:v>
      </x:c>
      <x:c r="C24" s="12" t="str">
        <x:v>工作日</x:v>
      </x:c>
      <x:c r="D24" s="12" t="str">
        <x:v>环线1路</x:v>
      </x:c>
      <x:c r="E24" s="12" t="str">
        <x:v>第一班</x:v>
      </x:c>
      <x:c r="F24" s="12" t="n">
        <x:v>2</x:v>
      </x:c>
      <x:c r="G24" s="12" t="str">
        <x:v>8:00</x:v>
      </x:c>
      <x:c r="H24" s="12" t="n">
        <x:v>480</x:v>
      </x:c>
      <x:c r="I24" s="12" t="str">
        <x:v>研究生宿舍楼</x:v>
      </x:c>
      <x:c r="J24" s="12" t="str">
        <x:v>研究生宿舍楼发车</x:v>
      </x:c>
      <x:c r="K24" s="12" t="str">
        <x:v>HX1_NORMAL</x:v>
      </x:c>
      <x:c r="L24" s="12" t="n">
        <x:v>10</x:v>
      </x:c>
      <x:c r="M24" s="12" t="str">
        <x:v>HX1_NORMAL|10</x:v>
      </x:c>
      <x:c r="N24" s="12" t="str">
        <x:v>二食堂</x:v>
      </x:c>
      <x:c r="O24" s="12" t="n">
        <x:f>IFERROR(INDEX('秒级路线参数_可调整'!$O:$O,MATCH(M24,'秒级路线参数_可调整'!$A:$A,0)),"")</x:f>
        <x:v>0</x:v>
      </x:c>
      <x:c r="P24" s="12" t="str">
        <x:f>IF(O24="","",O24/86400)</x:f>
      </x:c>
      <x:c r="Q24" s="12" t="str">
        <x:f>IF(O24="","",(H24*60+O24)/86400)</x:f>
      </x:c>
      <x:c r="R24" s="12" t="str">
        <x:f>IF(Q24="","",TEXT(Q24,"hh:mm:ss"))</x:f>
      </x:c>
      <x:c r="S24" s="12" t="str">
        <x:v>否</x:v>
      </x:c>
      <x:c r="T24" s="12" t="str">
        <x:v>否</x:v>
      </x:c>
      <x:c r="U24" s="12" t="str">
        <x:v>未提供</x:v>
      </x:c>
      <x:c r="V24" s="12" t="str">
        <x:v>未提供</x:v>
      </x:c>
      <x:c r="W24" s="12" t="str">
        <x:v>秒级预测</x:v>
      </x:c>
      <x:c r="X24" s="12" t="str">
        <x:v>基于路线秒级参数；如录入实测或手动采用秒，预计到达时间可随公式更新</x:v>
      </x:c>
    </x:row>
    <x:row r="25">
      <x:c r="A25" s="12" t="str">
        <x:v>S0002-11</x:v>
      </x:c>
      <x:c r="B25" s="12" t="str">
        <x:v>S0002</x:v>
      </x:c>
      <x:c r="C25" s="12" t="str">
        <x:v>工作日</x:v>
      </x:c>
      <x:c r="D25" s="12" t="str">
        <x:v>环线1路</x:v>
      </x:c>
      <x:c r="E25" s="12" t="str">
        <x:v>第一班</x:v>
      </x:c>
      <x:c r="F25" s="12" t="n">
        <x:v>2</x:v>
      </x:c>
      <x:c r="G25" s="12" t="str">
        <x:v>8:00</x:v>
      </x:c>
      <x:c r="H25" s="12" t="n">
        <x:v>480</x:v>
      </x:c>
      <x:c r="I25" s="12" t="str">
        <x:v>研究生宿舍楼</x:v>
      </x:c>
      <x:c r="J25" s="12" t="str">
        <x:v>研究生宿舍楼发车</x:v>
      </x:c>
      <x:c r="K25" s="12" t="str">
        <x:v>HX1_NORMAL</x:v>
      </x:c>
      <x:c r="L25" s="12" t="n">
        <x:v>11</x:v>
      </x:c>
      <x:c r="M25" s="12" t="str">
        <x:v>HX1_NORMAL|11</x:v>
      </x:c>
      <x:c r="N25" s="12" t="str">
        <x:v>5号宿舍楼</x:v>
      </x:c>
      <x:c r="O25" s="12" t="n">
        <x:f>IFERROR(INDEX('秒级路线参数_可调整'!$O:$O,MATCH(M25,'秒级路线参数_可调整'!$A:$A,0)),"")</x:f>
        <x:v>0</x:v>
      </x:c>
      <x:c r="P25" s="12" t="str">
        <x:f>IF(O25="","",O25/86400)</x:f>
      </x:c>
      <x:c r="Q25" s="12" t="str">
        <x:f>IF(O25="","",(H25*60+O25)/86400)</x:f>
      </x:c>
      <x:c r="R25" s="12" t="str">
        <x:f>IF(Q25="","",TEXT(Q25,"hh:mm:ss"))</x:f>
      </x:c>
      <x:c r="S25" s="12" t="str">
        <x:v>否</x:v>
      </x:c>
      <x:c r="T25" s="12" t="str">
        <x:v>否</x:v>
      </x:c>
      <x:c r="U25" s="12" t="str">
        <x:v>未提供</x:v>
      </x:c>
      <x:c r="V25" s="12" t="str">
        <x:v>未提供</x:v>
      </x:c>
      <x:c r="W25" s="12" t="str">
        <x:v>秒级预测</x:v>
      </x:c>
      <x:c r="X25" s="12" t="str">
        <x:v>基于路线秒级参数；如录入实测或手动采用秒，预计到达时间可随公式更新</x:v>
      </x:c>
    </x:row>
    <x:row r="26">
      <x:c r="A26" s="12" t="str">
        <x:v>S0002-12</x:v>
      </x:c>
      <x:c r="B26" s="12" t="str">
        <x:v>S0002</x:v>
      </x:c>
      <x:c r="C26" s="12" t="str">
        <x:v>工作日</x:v>
      </x:c>
      <x:c r="D26" s="12" t="str">
        <x:v>环线1路</x:v>
      </x:c>
      <x:c r="E26" s="12" t="str">
        <x:v>第一班</x:v>
      </x:c>
      <x:c r="F26" s="12" t="n">
        <x:v>2</x:v>
      </x:c>
      <x:c r="G26" s="12" t="str">
        <x:v>8:00</x:v>
      </x:c>
      <x:c r="H26" s="12" t="n">
        <x:v>480</x:v>
      </x:c>
      <x:c r="I26" s="12" t="str">
        <x:v>研究生宿舍楼</x:v>
      </x:c>
      <x:c r="J26" s="12" t="str">
        <x:v>研究生宿舍楼发车</x:v>
      </x:c>
      <x:c r="K26" s="12" t="str">
        <x:v>HX1_NORMAL</x:v>
      </x:c>
      <x:c r="L26" s="12" t="n">
        <x:v>12</x:v>
      </x:c>
      <x:c r="M26" s="12" t="str">
        <x:v>HX1_NORMAL|12</x:v>
      </x:c>
      <x:c r="N26" s="12" t="str">
        <x:v>305教学楼</x:v>
      </x:c>
      <x:c r="O26" s="12" t="n">
        <x:f>IFERROR(INDEX('秒级路线参数_可调整'!$O:$O,MATCH(M26,'秒级路线参数_可调整'!$A:$A,0)),"")</x:f>
        <x:v>0</x:v>
      </x:c>
      <x:c r="P26" s="12" t="str">
        <x:f>IF(O26="","",O26/86400)</x:f>
      </x:c>
      <x:c r="Q26" s="12" t="str">
        <x:f>IF(O26="","",(H26*60+O26)/86400)</x:f>
      </x:c>
      <x:c r="R26" s="12" t="str">
        <x:f>IF(Q26="","",TEXT(Q26,"hh:mm:ss"))</x:f>
      </x:c>
      <x:c r="S26" s="12" t="str">
        <x:v>否</x:v>
      </x:c>
      <x:c r="T26" s="12" t="str">
        <x:v>否</x:v>
      </x:c>
      <x:c r="U26" s="12" t="str">
        <x:v>未提供</x:v>
      </x:c>
      <x:c r="V26" s="12" t="str">
        <x:v>未提供</x:v>
      </x:c>
      <x:c r="W26" s="12" t="str">
        <x:v>秒级预测</x:v>
      </x:c>
      <x:c r="X26" s="12" t="str">
        <x:v>基于路线秒级参数；如录入实测或手动采用秒，预计到达时间可随公式更新</x:v>
      </x:c>
    </x:row>
    <x:row r="27">
      <x:c r="A27" s="12" t="str">
        <x:v>S0002-13</x:v>
      </x:c>
      <x:c r="B27" s="12" t="str">
        <x:v>S0002</x:v>
      </x:c>
      <x:c r="C27" s="12" t="str">
        <x:v>工作日</x:v>
      </x:c>
      <x:c r="D27" s="12" t="str">
        <x:v>环线1路</x:v>
      </x:c>
      <x:c r="E27" s="12" t="str">
        <x:v>第一班</x:v>
      </x:c>
      <x:c r="F27" s="12" t="n">
        <x:v>2</x:v>
      </x:c>
      <x:c r="G27" s="12" t="str">
        <x:v>8:00</x:v>
      </x:c>
      <x:c r="H27" s="12" t="n">
        <x:v>480</x:v>
      </x:c>
      <x:c r="I27" s="12" t="str">
        <x:v>研究生宿舍楼</x:v>
      </x:c>
      <x:c r="J27" s="12" t="str">
        <x:v>研究生宿舍楼发车</x:v>
      </x:c>
      <x:c r="K27" s="12" t="str">
        <x:v>HX1_NORMAL</x:v>
      </x:c>
      <x:c r="L27" s="12" t="n">
        <x:v>13</x:v>
      </x:c>
      <x:c r="M27" s="12" t="str">
        <x:v>HX1_NORMAL|13</x:v>
      </x:c>
      <x:c r="N27" s="12" t="str">
        <x:v>研究生宿舍楼</x:v>
      </x:c>
      <x:c r="O27" s="12" t="n">
        <x:f>IFERROR(INDEX('秒级路线参数_可调整'!$O:$O,MATCH(M27,'秒级路线参数_可调整'!$A:$A,0)),"")</x:f>
        <x:v>0</x:v>
      </x:c>
      <x:c r="P27" s="12" t="str">
        <x:f>IF(O27="","",O27/86400)</x:f>
      </x:c>
      <x:c r="Q27" s="12" t="str">
        <x:f>IF(O27="","",(H27*60+O27)/86400)</x:f>
      </x:c>
      <x:c r="R27" s="12" t="str">
        <x:f>IF(Q27="","",TEXT(Q27,"hh:mm:ss"))</x:f>
      </x:c>
      <x:c r="S27" s="12" t="str">
        <x:v>否</x:v>
      </x:c>
      <x:c r="T27" s="12" t="str">
        <x:v>是</x:v>
      </x:c>
      <x:c r="U27" s="12" t="str">
        <x:v>未提供</x:v>
      </x:c>
      <x:c r="V27" s="12" t="str">
        <x:v>未提供</x:v>
      </x:c>
      <x:c r="W27" s="12" t="str">
        <x:v>秒级预测</x:v>
      </x:c>
      <x:c r="X27" s="12" t="str">
        <x:v>基于路线秒级参数；如录入实测或手动采用秒，预计到达时间可随公式更新</x:v>
      </x:c>
    </x:row>
    <x:row r="28">
      <x:c r="A28" s="12" t="str">
        <x:v>S0003-01</x:v>
      </x:c>
      <x:c r="B28" s="12" t="str">
        <x:v>S0003</x:v>
      </x:c>
      <x:c r="C28" s="12" t="str">
        <x:v>工作日</x:v>
      </x:c>
      <x:c r="D28" s="12" t="str">
        <x:v>环线1路</x:v>
      </x:c>
      <x:c r="E28" s="12" t="str">
        <x:v>第一班</x:v>
      </x:c>
      <x:c r="F28" s="12" t="n">
        <x:v>3</x:v>
      </x:c>
      <x:c r="G28" s="12" t="str">
        <x:v>8:30</x:v>
      </x:c>
      <x:c r="H28" s="12" t="n">
        <x:v>510</x:v>
      </x:c>
      <x:c r="I28" s="12" t="str">
        <x:v>研究生宿舍楼</x:v>
      </x:c>
      <x:c r="J28" s="12" t="str">
        <x:v>研究生宿舍楼发车</x:v>
      </x:c>
      <x:c r="K28" s="12" t="str">
        <x:v>HX1_NORMAL</x:v>
      </x:c>
      <x:c r="L28" s="12" t="n">
        <x:v>1</x:v>
      </x:c>
      <x:c r="M28" s="12" t="str">
        <x:v>HX1_NORMAL|1</x:v>
      </x:c>
      <x:c r="N28" s="12" t="str">
        <x:v>研究生宿舍楼</x:v>
      </x:c>
      <x:c r="O28" s="12" t="n">
        <x:f>IFERROR(INDEX('秒级路线参数_可调整'!$O:$O,MATCH(M28,'秒级路线参数_可调整'!$A:$A,0)),"")</x:f>
        <x:v>0</x:v>
      </x:c>
      <x:c r="P28" s="12" t="str">
        <x:f>IF(O28="","",O28/86400)</x:f>
      </x:c>
      <x:c r="Q28" s="12" t="str">
        <x:f>IF(O28="","",(H28*60+O28)/86400)</x:f>
      </x:c>
      <x:c r="R28" s="12" t="str">
        <x:f>IF(Q28="","",TEXT(Q28,"hh:mm:ss"))</x:f>
      </x:c>
      <x:c r="S28" s="12" t="str">
        <x:v>是</x:v>
      </x:c>
      <x:c r="T28" s="12" t="str">
        <x:v>否</x:v>
      </x:c>
      <x:c r="U28" s="12" t="str">
        <x:v>未提供</x:v>
      </x:c>
      <x:c r="V28" s="12" t="str">
        <x:v>未提供</x:v>
      </x:c>
      <x:c r="W28" s="12" t="str">
        <x:v>秒级预测</x:v>
      </x:c>
      <x:c r="X28" s="12" t="str">
        <x:v>基于路线秒级参数；如录入实测或手动采用秒，预计到达时间可随公式更新</x:v>
      </x:c>
    </x:row>
    <x:row r="29">
      <x:c r="A29" s="12" t="str">
        <x:v>S0003-02</x:v>
      </x:c>
      <x:c r="B29" s="12" t="str">
        <x:v>S0003</x:v>
      </x:c>
      <x:c r="C29" s="12" t="str">
        <x:v>工作日</x:v>
      </x:c>
      <x:c r="D29" s="12" t="str">
        <x:v>环线1路</x:v>
      </x:c>
      <x:c r="E29" s="12" t="str">
        <x:v>第一班</x:v>
      </x:c>
      <x:c r="F29" s="12" t="n">
        <x:v>3</x:v>
      </x:c>
      <x:c r="G29" s="12" t="str">
        <x:v>8:30</x:v>
      </x:c>
      <x:c r="H29" s="12" t="n">
        <x:v>510</x:v>
      </x:c>
      <x:c r="I29" s="12" t="str">
        <x:v>研究生宿舍楼</x:v>
      </x:c>
      <x:c r="J29" s="12" t="str">
        <x:v>研究生宿舍楼发车</x:v>
      </x:c>
      <x:c r="K29" s="12" t="str">
        <x:v>HX1_NORMAL</x:v>
      </x:c>
      <x:c r="L29" s="12" t="n">
        <x:v>2</x:v>
      </x:c>
      <x:c r="M29" s="12" t="str">
        <x:v>HX1_NORMAL|2</x:v>
      </x:c>
      <x:c r="N29" s="12" t="str">
        <x:v>东门</x:v>
      </x:c>
      <x:c r="O29" s="12" t="n">
        <x:f>IFERROR(INDEX('秒级路线参数_可调整'!$O:$O,MATCH(M29,'秒级路线参数_可调整'!$A:$A,0)),"")</x:f>
        <x:v>0</x:v>
      </x:c>
      <x:c r="P29" s="12" t="str">
        <x:f>IF(O29="","",O29/86400)</x:f>
      </x:c>
      <x:c r="Q29" s="12" t="str">
        <x:f>IF(O29="","",(H29*60+O29)/86400)</x:f>
      </x:c>
      <x:c r="R29" s="12" t="str">
        <x:f>IF(Q29="","",TEXT(Q29,"hh:mm:ss"))</x:f>
      </x:c>
      <x:c r="S29" s="12" t="str">
        <x:v>否</x:v>
      </x:c>
      <x:c r="T29" s="12" t="str">
        <x:v>否</x:v>
      </x:c>
      <x:c r="U29" s="12" t="str">
        <x:v>未提供</x:v>
      </x:c>
      <x:c r="V29" s="12" t="str">
        <x:v>未提供</x:v>
      </x:c>
      <x:c r="W29" s="12" t="str">
        <x:v>秒级预测</x:v>
      </x:c>
      <x:c r="X29" s="12" t="str">
        <x:v>基于路线秒级参数；如录入实测或手动采用秒，预计到达时间可随公式更新</x:v>
      </x:c>
    </x:row>
    <x:row r="30">
      <x:c r="A30" s="12" t="str">
        <x:v>S0003-03</x:v>
      </x:c>
      <x:c r="B30" s="12" t="str">
        <x:v>S0003</x:v>
      </x:c>
      <x:c r="C30" s="12" t="str">
        <x:v>工作日</x:v>
      </x:c>
      <x:c r="D30" s="12" t="str">
        <x:v>环线1路</x:v>
      </x:c>
      <x:c r="E30" s="12" t="str">
        <x:v>第一班</x:v>
      </x:c>
      <x:c r="F30" s="12" t="n">
        <x:v>3</x:v>
      </x:c>
      <x:c r="G30" s="12" t="str">
        <x:v>8:30</x:v>
      </x:c>
      <x:c r="H30" s="12" t="n">
        <x:v>510</x:v>
      </x:c>
      <x:c r="I30" s="12" t="str">
        <x:v>研究生宿舍楼</x:v>
      </x:c>
      <x:c r="J30" s="12" t="str">
        <x:v>研究生宿舍楼发车</x:v>
      </x:c>
      <x:c r="K30" s="12" t="str">
        <x:v>HX1_NORMAL</x:v>
      </x:c>
      <x:c r="L30" s="12" t="n">
        <x:v>3</x:v>
      </x:c>
      <x:c r="M30" s="12" t="str">
        <x:v>HX1_NORMAL|3</x:v>
      </x:c>
      <x:c r="N30" s="12" t="str">
        <x:v>2号宿舍楼</x:v>
      </x:c>
      <x:c r="O30" s="12" t="n">
        <x:f>IFERROR(INDEX('秒级路线参数_可调整'!$O:$O,MATCH(M30,'秒级路线参数_可调整'!$A:$A,0)),"")</x:f>
        <x:v>0</x:v>
      </x:c>
      <x:c r="P30" s="12" t="str">
        <x:f>IF(O30="","",O30/86400)</x:f>
      </x:c>
      <x:c r="Q30" s="12" t="str">
        <x:f>IF(O30="","",(H30*60+O30)/86400)</x:f>
      </x:c>
      <x:c r="R30" s="12" t="str">
        <x:f>IF(Q30="","",TEXT(Q30,"hh:mm:ss"))</x:f>
      </x:c>
      <x:c r="S30" s="12" t="str">
        <x:v>否</x:v>
      </x:c>
      <x:c r="T30" s="12" t="str">
        <x:v>否</x:v>
      </x:c>
      <x:c r="U30" s="12" t="str">
        <x:v>未提供</x:v>
      </x:c>
      <x:c r="V30" s="12" t="str">
        <x:v>未提供</x:v>
      </x:c>
      <x:c r="W30" s="12" t="str">
        <x:v>秒级预测</x:v>
      </x:c>
      <x:c r="X30" s="12" t="str">
        <x:v>基于路线秒级参数；如录入实测或手动采用秒，预计到达时间可随公式更新</x:v>
      </x:c>
    </x:row>
    <x:row r="31">
      <x:c r="A31" s="12" t="str">
        <x:v>S0003-04</x:v>
      </x:c>
      <x:c r="B31" s="12" t="str">
        <x:v>S0003</x:v>
      </x:c>
      <x:c r="C31" s="12" t="str">
        <x:v>工作日</x:v>
      </x:c>
      <x:c r="D31" s="12" t="str">
        <x:v>环线1路</x:v>
      </x:c>
      <x:c r="E31" s="12" t="str">
        <x:v>第一班</x:v>
      </x:c>
      <x:c r="F31" s="12" t="n">
        <x:v>3</x:v>
      </x:c>
      <x:c r="G31" s="12" t="str">
        <x:v>8:30</x:v>
      </x:c>
      <x:c r="H31" s="12" t="n">
        <x:v>510</x:v>
      </x:c>
      <x:c r="I31" s="12" t="str">
        <x:v>研究生宿舍楼</x:v>
      </x:c>
      <x:c r="J31" s="12" t="str">
        <x:v>研究生宿舍楼发车</x:v>
      </x:c>
      <x:c r="K31" s="12" t="str">
        <x:v>HX1_NORMAL</x:v>
      </x:c>
      <x:c r="L31" s="12" t="n">
        <x:v>4</x:v>
      </x:c>
      <x:c r="M31" s="12" t="str">
        <x:v>HX1_NORMAL|4</x:v>
      </x:c>
      <x:c r="N31" s="12" t="str">
        <x:v>军体活动中心</x:v>
      </x:c>
      <x:c r="O31" s="12" t="n">
        <x:f>IFERROR(INDEX('秒级路线参数_可调整'!$O:$O,MATCH(M31,'秒级路线参数_可调整'!$A:$A,0)),"")</x:f>
        <x:v>0</x:v>
      </x:c>
      <x:c r="P31" s="12" t="str">
        <x:f>IF(O31="","",O31/86400)</x:f>
      </x:c>
      <x:c r="Q31" s="12" t="str">
        <x:f>IF(O31="","",(H31*60+O31)/86400)</x:f>
      </x:c>
      <x:c r="R31" s="12" t="str">
        <x:f>IF(Q31="","",TEXT(Q31,"hh:mm:ss"))</x:f>
      </x:c>
      <x:c r="S31" s="12" t="str">
        <x:v>否</x:v>
      </x:c>
      <x:c r="T31" s="12" t="str">
        <x:v>否</x:v>
      </x:c>
      <x:c r="U31" s="12" t="str">
        <x:v>未提供</x:v>
      </x:c>
      <x:c r="V31" s="12" t="str">
        <x:v>未提供</x:v>
      </x:c>
      <x:c r="W31" s="12" t="str">
        <x:v>秒级预测</x:v>
      </x:c>
      <x:c r="X31" s="12" t="str">
        <x:v>基于路线秒级参数；如录入实测或手动采用秒，预计到达时间可随公式更新</x:v>
      </x:c>
    </x:row>
    <x:row r="32">
      <x:c r="A32" s="12" t="str">
        <x:v>S0003-05</x:v>
      </x:c>
      <x:c r="B32" s="12" t="str">
        <x:v>S0003</x:v>
      </x:c>
      <x:c r="C32" s="12" t="str">
        <x:v>工作日</x:v>
      </x:c>
      <x:c r="D32" s="12" t="str">
        <x:v>环线1路</x:v>
      </x:c>
      <x:c r="E32" s="12" t="str">
        <x:v>第一班</x:v>
      </x:c>
      <x:c r="F32" s="12" t="n">
        <x:v>3</x:v>
      </x:c>
      <x:c r="G32" s="12" t="str">
        <x:v>8:30</x:v>
      </x:c>
      <x:c r="H32" s="12" t="n">
        <x:v>510</x:v>
      </x:c>
      <x:c r="I32" s="12" t="str">
        <x:v>研究生宿舍楼</x:v>
      </x:c>
      <x:c r="J32" s="12" t="str">
        <x:v>研究生宿舍楼发车</x:v>
      </x:c>
      <x:c r="K32" s="12" t="str">
        <x:v>HX1_NORMAL</x:v>
      </x:c>
      <x:c r="L32" s="12" t="n">
        <x:v>5</x:v>
      </x:c>
      <x:c r="M32" s="12" t="str">
        <x:v>HX1_NORMAL|5</x:v>
      </x:c>
      <x:c r="N32" s="12" t="str">
        <x:v>激光所</x:v>
      </x:c>
      <x:c r="O32" s="12" t="n">
        <x:f>IFERROR(INDEX('秒级路线参数_可调整'!$O:$O,MATCH(M32,'秒级路线参数_可调整'!$A:$A,0)),"")</x:f>
        <x:v>0</x:v>
      </x:c>
      <x:c r="P32" s="12" t="str">
        <x:f>IF(O32="","",O32/86400)</x:f>
      </x:c>
      <x:c r="Q32" s="12" t="str">
        <x:f>IF(O32="","",(H32*60+O32)/86400)</x:f>
      </x:c>
      <x:c r="R32" s="12" t="str">
        <x:f>IF(Q32="","",TEXT(Q32,"hh:mm:ss"))</x:f>
      </x:c>
      <x:c r="S32" s="12" t="str">
        <x:v>否</x:v>
      </x:c>
      <x:c r="T32" s="12" t="str">
        <x:v>否</x:v>
      </x:c>
      <x:c r="U32" s="12" t="str">
        <x:v>未提供</x:v>
      </x:c>
      <x:c r="V32" s="12" t="str">
        <x:v>未提供</x:v>
      </x:c>
      <x:c r="W32" s="12" t="str">
        <x:v>秒级预测</x:v>
      </x:c>
      <x:c r="X32" s="12" t="str">
        <x:v>基于路线秒级参数；如录入实测或手动采用秒，预计到达时间可随公式更新</x:v>
      </x:c>
    </x:row>
    <x:row r="33">
      <x:c r="A33" s="12" t="str">
        <x:v>S0003-06</x:v>
      </x:c>
      <x:c r="B33" s="12" t="str">
        <x:v>S0003</x:v>
      </x:c>
      <x:c r="C33" s="12" t="str">
        <x:v>工作日</x:v>
      </x:c>
      <x:c r="D33" s="12" t="str">
        <x:v>环线1路</x:v>
      </x:c>
      <x:c r="E33" s="12" t="str">
        <x:v>第一班</x:v>
      </x:c>
      <x:c r="F33" s="12" t="n">
        <x:v>3</x:v>
      </x:c>
      <x:c r="G33" s="12" t="str">
        <x:v>8:30</x:v>
      </x:c>
      <x:c r="H33" s="12" t="n">
        <x:v>510</x:v>
      </x:c>
      <x:c r="I33" s="12" t="str">
        <x:v>研究生宿舍楼</x:v>
      </x:c>
      <x:c r="J33" s="12" t="str">
        <x:v>研究生宿舍楼发车</x:v>
      </x:c>
      <x:c r="K33" s="12" t="str">
        <x:v>HX1_NORMAL</x:v>
      </x:c>
      <x:c r="L33" s="12" t="n">
        <x:v>6</x:v>
      </x:c>
      <x:c r="M33" s="12" t="str">
        <x:v>HX1_NORMAL|6</x:v>
      </x:c>
      <x:c r="N33" s="12" t="str">
        <x:v>超算中心</x:v>
      </x:c>
      <x:c r="O33" s="12" t="n">
        <x:f>IFERROR(INDEX('秒级路线参数_可调整'!$O:$O,MATCH(M33,'秒级路线参数_可调整'!$A:$A,0)),"")</x:f>
        <x:v>0</x:v>
      </x:c>
      <x:c r="P33" s="12" t="str">
        <x:f>IF(O33="","",O33/86400)</x:f>
      </x:c>
      <x:c r="Q33" s="12" t="str">
        <x:f>IF(O33="","",(H33*60+O33)/86400)</x:f>
      </x:c>
      <x:c r="R33" s="12" t="str">
        <x:f>IF(Q33="","",TEXT(Q33,"hh:mm:ss"))</x:f>
      </x:c>
      <x:c r="S33" s="12" t="str">
        <x:v>否</x:v>
      </x:c>
      <x:c r="T33" s="12" t="str">
        <x:v>否</x:v>
      </x:c>
      <x:c r="U33" s="12" t="str">
        <x:v>未提供</x:v>
      </x:c>
      <x:c r="V33" s="12" t="str">
        <x:v>未提供</x:v>
      </x:c>
      <x:c r="W33" s="12" t="str">
        <x:v>秒级预测</x:v>
      </x:c>
      <x:c r="X33" s="12" t="str">
        <x:v>基于路线秒级参数；如录入实测或手动采用秒，预计到达时间可随公式更新</x:v>
      </x:c>
    </x:row>
    <x:row r="34">
      <x:c r="A34" s="12" t="str">
        <x:v>S0003-07</x:v>
      </x:c>
      <x:c r="B34" s="12" t="str">
        <x:v>S0003</x:v>
      </x:c>
      <x:c r="C34" s="12" t="str">
        <x:v>工作日</x:v>
      </x:c>
      <x:c r="D34" s="12" t="str">
        <x:v>环线1路</x:v>
      </x:c>
      <x:c r="E34" s="12" t="str">
        <x:v>第一班</x:v>
      </x:c>
      <x:c r="F34" s="12" t="n">
        <x:v>3</x:v>
      </x:c>
      <x:c r="G34" s="12" t="str">
        <x:v>8:30</x:v>
      </x:c>
      <x:c r="H34" s="12" t="n">
        <x:v>510</x:v>
      </x:c>
      <x:c r="I34" s="12" t="str">
        <x:v>研究生宿舍楼</x:v>
      </x:c>
      <x:c r="J34" s="12" t="str">
        <x:v>研究生宿舍楼发车</x:v>
      </x:c>
      <x:c r="K34" s="12" t="str">
        <x:v>HX1_NORMAL</x:v>
      </x:c>
      <x:c r="L34" s="12" t="n">
        <x:v>7</x:v>
      </x:c>
      <x:c r="M34" s="12" t="str">
        <x:v>HX1_NORMAL|7</x:v>
      </x:c>
      <x:c r="N34" s="12" t="str">
        <x:v>北门</x:v>
      </x:c>
      <x:c r="O34" s="12" t="n">
        <x:f>IFERROR(INDEX('秒级路线参数_可调整'!$O:$O,MATCH(M34,'秒级路线参数_可调整'!$A:$A,0)),"")</x:f>
        <x:v>0</x:v>
      </x:c>
      <x:c r="P34" s="12" t="str">
        <x:f>IF(O34="","",O34/86400)</x:f>
      </x:c>
      <x:c r="Q34" s="12" t="str">
        <x:f>IF(O34="","",(H34*60+O34)/86400)</x:f>
      </x:c>
      <x:c r="R34" s="12" t="str">
        <x:f>IF(Q34="","",TEXT(Q34,"hh:mm:ss"))</x:f>
      </x:c>
      <x:c r="S34" s="12" t="str">
        <x:v>否</x:v>
      </x:c>
      <x:c r="T34" s="12" t="str">
        <x:v>否</x:v>
      </x:c>
      <x:c r="U34" s="12" t="str">
        <x:v>未提供</x:v>
      </x:c>
      <x:c r="V34" s="12" t="str">
        <x:v>未提供</x:v>
      </x:c>
      <x:c r="W34" s="12" t="str">
        <x:v>秒级预测</x:v>
      </x:c>
      <x:c r="X34" s="12" t="str">
        <x:v>基于路线秒级参数；如录入实测或手动采用秒，预计到达时间可随公式更新</x:v>
      </x:c>
    </x:row>
    <x:row r="35">
      <x:c r="A35" s="12" t="str">
        <x:v>S0003-08</x:v>
      </x:c>
      <x:c r="B35" s="12" t="str">
        <x:v>S0003</x:v>
      </x:c>
      <x:c r="C35" s="12" t="str">
        <x:v>工作日</x:v>
      </x:c>
      <x:c r="D35" s="12" t="str">
        <x:v>环线1路</x:v>
      </x:c>
      <x:c r="E35" s="12" t="str">
        <x:v>第一班</x:v>
      </x:c>
      <x:c r="F35" s="12" t="n">
        <x:v>3</x:v>
      </x:c>
      <x:c r="G35" s="12" t="str">
        <x:v>8:30</x:v>
      </x:c>
      <x:c r="H35" s="12" t="n">
        <x:v>510</x:v>
      </x:c>
      <x:c r="I35" s="12" t="str">
        <x:v>研究生宿舍楼</x:v>
      </x:c>
      <x:c r="J35" s="12" t="str">
        <x:v>研究生宿舍楼发车</x:v>
      </x:c>
      <x:c r="K35" s="12" t="str">
        <x:v>HX1_NORMAL</x:v>
      </x:c>
      <x:c r="L35" s="12" t="n">
        <x:v>8</x:v>
      </x:c>
      <x:c r="M35" s="12" t="str">
        <x:v>HX1_NORMAL|8</x:v>
      </x:c>
      <x:c r="N35" s="12" t="str">
        <x:v>高超楼</x:v>
      </x:c>
      <x:c r="O35" s="12" t="n">
        <x:f>IFERROR(INDEX('秒级路线参数_可调整'!$O:$O,MATCH(M35,'秒级路线参数_可调整'!$A:$A,0)),"")</x:f>
        <x:v>0</x:v>
      </x:c>
      <x:c r="P35" s="12" t="str">
        <x:f>IF(O35="","",O35/86400)</x:f>
      </x:c>
      <x:c r="Q35" s="12" t="str">
        <x:f>IF(O35="","",(H35*60+O35)/86400)</x:f>
      </x:c>
      <x:c r="R35" s="12" t="str">
        <x:f>IF(Q35="","",TEXT(Q35,"hh:mm:ss"))</x:f>
      </x:c>
      <x:c r="S35" s="12" t="str">
        <x:v>否</x:v>
      </x:c>
      <x:c r="T35" s="12" t="str">
        <x:v>否</x:v>
      </x:c>
      <x:c r="U35" s="12" t="str">
        <x:v>未提供</x:v>
      </x:c>
      <x:c r="V35" s="12" t="str">
        <x:v>未提供</x:v>
      </x:c>
      <x:c r="W35" s="12" t="str">
        <x:v>秒级预测</x:v>
      </x:c>
      <x:c r="X35" s="12" t="str">
        <x:v>基于路线秒级参数；如录入实测或手动采用秒，预计到达时间可随公式更新</x:v>
      </x:c>
    </x:row>
    <x:row r="36">
      <x:c r="A36" s="12" t="str">
        <x:v>S0003-09</x:v>
      </x:c>
      <x:c r="B36" s="12" t="str">
        <x:v>S0003</x:v>
      </x:c>
      <x:c r="C36" s="12" t="str">
        <x:v>工作日</x:v>
      </x:c>
      <x:c r="D36" s="12" t="str">
        <x:v>环线1路</x:v>
      </x:c>
      <x:c r="E36" s="12" t="str">
        <x:v>第一班</x:v>
      </x:c>
      <x:c r="F36" s="12" t="n">
        <x:v>3</x:v>
      </x:c>
      <x:c r="G36" s="12" t="str">
        <x:v>8:30</x:v>
      </x:c>
      <x:c r="H36" s="12" t="n">
        <x:v>510</x:v>
      </x:c>
      <x:c r="I36" s="12" t="str">
        <x:v>研究生宿舍楼</x:v>
      </x:c>
      <x:c r="J36" s="12" t="str">
        <x:v>研究生宿舍楼发车</x:v>
      </x:c>
      <x:c r="K36" s="12" t="str">
        <x:v>HX1_NORMAL</x:v>
      </x:c>
      <x:c r="L36" s="12" t="n">
        <x:v>9</x:v>
      </x:c>
      <x:c r="M36" s="12" t="str">
        <x:v>HX1_NORMAL|9</x:v>
      </x:c>
      <x:c r="N36" s="12" t="str">
        <x:v>理学院</x:v>
      </x:c>
      <x:c r="O36" s="12" t="n">
        <x:f>IFERROR(INDEX('秒级路线参数_可调整'!$O:$O,MATCH(M36,'秒级路线参数_可调整'!$A:$A,0)),"")</x:f>
        <x:v>0</x:v>
      </x:c>
      <x:c r="P36" s="12" t="str">
        <x:f>IF(O36="","",O36/86400)</x:f>
      </x:c>
      <x:c r="Q36" s="12" t="str">
        <x:f>IF(O36="","",(H36*60+O36)/86400)</x:f>
      </x:c>
      <x:c r="R36" s="12" t="str">
        <x:f>IF(Q36="","",TEXT(Q36,"hh:mm:ss"))</x:f>
      </x:c>
      <x:c r="S36" s="12" t="str">
        <x:v>否</x:v>
      </x:c>
      <x:c r="T36" s="12" t="str">
        <x:v>否</x:v>
      </x:c>
      <x:c r="U36" s="12" t="str">
        <x:v>未提供</x:v>
      </x:c>
      <x:c r="V36" s="12" t="str">
        <x:v>未提供</x:v>
      </x:c>
      <x:c r="W36" s="12" t="str">
        <x:v>秒级预测</x:v>
      </x:c>
      <x:c r="X36" s="12" t="str">
        <x:v>基于路线秒级参数；如录入实测或手动采用秒，预计到达时间可随公式更新</x:v>
      </x:c>
    </x:row>
    <x:row r="37">
      <x:c r="A37" s="12" t="str">
        <x:v>S0003-10</x:v>
      </x:c>
      <x:c r="B37" s="12" t="str">
        <x:v>S0003</x:v>
      </x:c>
      <x:c r="C37" s="12" t="str">
        <x:v>工作日</x:v>
      </x:c>
      <x:c r="D37" s="12" t="str">
        <x:v>环线1路</x:v>
      </x:c>
      <x:c r="E37" s="12" t="str">
        <x:v>第一班</x:v>
      </x:c>
      <x:c r="F37" s="12" t="n">
        <x:v>3</x:v>
      </x:c>
      <x:c r="G37" s="12" t="str">
        <x:v>8:30</x:v>
      </x:c>
      <x:c r="H37" s="12" t="n">
        <x:v>510</x:v>
      </x:c>
      <x:c r="I37" s="12" t="str">
        <x:v>研究生宿舍楼</x:v>
      </x:c>
      <x:c r="J37" s="12" t="str">
        <x:v>研究生宿舍楼发车</x:v>
      </x:c>
      <x:c r="K37" s="12" t="str">
        <x:v>HX1_NORMAL</x:v>
      </x:c>
      <x:c r="L37" s="12" t="n">
        <x:v>10</x:v>
      </x:c>
      <x:c r="M37" s="12" t="str">
        <x:v>HX1_NORMAL|10</x:v>
      </x:c>
      <x:c r="N37" s="12" t="str">
        <x:v>二食堂</x:v>
      </x:c>
      <x:c r="O37" s="12" t="n">
        <x:f>IFERROR(INDEX('秒级路线参数_可调整'!$O:$O,MATCH(M37,'秒级路线参数_可调整'!$A:$A,0)),"")</x:f>
        <x:v>0</x:v>
      </x:c>
      <x:c r="P37" s="12" t="str">
        <x:f>IF(O37="","",O37/86400)</x:f>
      </x:c>
      <x:c r="Q37" s="12" t="str">
        <x:f>IF(O37="","",(H37*60+O37)/86400)</x:f>
      </x:c>
      <x:c r="R37" s="12" t="str">
        <x:f>IF(Q37="","",TEXT(Q37,"hh:mm:ss"))</x:f>
      </x:c>
      <x:c r="S37" s="12" t="str">
        <x:v>否</x:v>
      </x:c>
      <x:c r="T37" s="12" t="str">
        <x:v>否</x:v>
      </x:c>
      <x:c r="U37" s="12" t="str">
        <x:v>未提供</x:v>
      </x:c>
      <x:c r="V37" s="12" t="str">
        <x:v>未提供</x:v>
      </x:c>
      <x:c r="W37" s="12" t="str">
        <x:v>秒级预测</x:v>
      </x:c>
      <x:c r="X37" s="12" t="str">
        <x:v>基于路线秒级参数；如录入实测或手动采用秒，预计到达时间可随公式更新</x:v>
      </x:c>
    </x:row>
    <x:row r="38">
      <x:c r="A38" s="12" t="str">
        <x:v>S0003-11</x:v>
      </x:c>
      <x:c r="B38" s="12" t="str">
        <x:v>S0003</x:v>
      </x:c>
      <x:c r="C38" s="12" t="str">
        <x:v>工作日</x:v>
      </x:c>
      <x:c r="D38" s="12" t="str">
        <x:v>环线1路</x:v>
      </x:c>
      <x:c r="E38" s="12" t="str">
        <x:v>第一班</x:v>
      </x:c>
      <x:c r="F38" s="12" t="n">
        <x:v>3</x:v>
      </x:c>
      <x:c r="G38" s="12" t="str">
        <x:v>8:30</x:v>
      </x:c>
      <x:c r="H38" s="12" t="n">
        <x:v>510</x:v>
      </x:c>
      <x:c r="I38" s="12" t="str">
        <x:v>研究生宿舍楼</x:v>
      </x:c>
      <x:c r="J38" s="12" t="str">
        <x:v>研究生宿舍楼发车</x:v>
      </x:c>
      <x:c r="K38" s="12" t="str">
        <x:v>HX1_NORMAL</x:v>
      </x:c>
      <x:c r="L38" s="12" t="n">
        <x:v>11</x:v>
      </x:c>
      <x:c r="M38" s="12" t="str">
        <x:v>HX1_NORMAL|11</x:v>
      </x:c>
      <x:c r="N38" s="12" t="str">
        <x:v>5号宿舍楼</x:v>
      </x:c>
      <x:c r="O38" s="12" t="n">
        <x:f>IFERROR(INDEX('秒级路线参数_可调整'!$O:$O,MATCH(M38,'秒级路线参数_可调整'!$A:$A,0)),"")</x:f>
        <x:v>0</x:v>
      </x:c>
      <x:c r="P38" s="12" t="str">
        <x:f>IF(O38="","",O38/86400)</x:f>
      </x:c>
      <x:c r="Q38" s="12" t="str">
        <x:f>IF(O38="","",(H38*60+O38)/86400)</x:f>
      </x:c>
      <x:c r="R38" s="12" t="str">
        <x:f>IF(Q38="","",TEXT(Q38,"hh:mm:ss"))</x:f>
      </x:c>
      <x:c r="S38" s="12" t="str">
        <x:v>否</x:v>
      </x:c>
      <x:c r="T38" s="12" t="str">
        <x:v>否</x:v>
      </x:c>
      <x:c r="U38" s="12" t="str">
        <x:v>未提供</x:v>
      </x:c>
      <x:c r="V38" s="12" t="str">
        <x:v>未提供</x:v>
      </x:c>
      <x:c r="W38" s="12" t="str">
        <x:v>秒级预测</x:v>
      </x:c>
      <x:c r="X38" s="12" t="str">
        <x:v>基于路线秒级参数；如录入实测或手动采用秒，预计到达时间可随公式更新</x:v>
      </x:c>
    </x:row>
    <x:row r="39">
      <x:c r="A39" s="12" t="str">
        <x:v>S0003-12</x:v>
      </x:c>
      <x:c r="B39" s="12" t="str">
        <x:v>S0003</x:v>
      </x:c>
      <x:c r="C39" s="12" t="str">
        <x:v>工作日</x:v>
      </x:c>
      <x:c r="D39" s="12" t="str">
        <x:v>环线1路</x:v>
      </x:c>
      <x:c r="E39" s="12" t="str">
        <x:v>第一班</x:v>
      </x:c>
      <x:c r="F39" s="12" t="n">
        <x:v>3</x:v>
      </x:c>
      <x:c r="G39" s="12" t="str">
        <x:v>8:30</x:v>
      </x:c>
      <x:c r="H39" s="12" t="n">
        <x:v>510</x:v>
      </x:c>
      <x:c r="I39" s="12" t="str">
        <x:v>研究生宿舍楼</x:v>
      </x:c>
      <x:c r="J39" s="12" t="str">
        <x:v>研究生宿舍楼发车</x:v>
      </x:c>
      <x:c r="K39" s="12" t="str">
        <x:v>HX1_NORMAL</x:v>
      </x:c>
      <x:c r="L39" s="12" t="n">
        <x:v>12</x:v>
      </x:c>
      <x:c r="M39" s="12" t="str">
        <x:v>HX1_NORMAL|12</x:v>
      </x:c>
      <x:c r="N39" s="12" t="str">
        <x:v>305教学楼</x:v>
      </x:c>
      <x:c r="O39" s="12" t="n">
        <x:f>IFERROR(INDEX('秒级路线参数_可调整'!$O:$O,MATCH(M39,'秒级路线参数_可调整'!$A:$A,0)),"")</x:f>
        <x:v>0</x:v>
      </x:c>
      <x:c r="P39" s="12" t="str">
        <x:f>IF(O39="","",O39/86400)</x:f>
      </x:c>
      <x:c r="Q39" s="12" t="str">
        <x:f>IF(O39="","",(H39*60+O39)/86400)</x:f>
      </x:c>
      <x:c r="R39" s="12" t="str">
        <x:f>IF(Q39="","",TEXT(Q39,"hh:mm:ss"))</x:f>
      </x:c>
      <x:c r="S39" s="12" t="str">
        <x:v>否</x:v>
      </x:c>
      <x:c r="T39" s="12" t="str">
        <x:v>否</x:v>
      </x:c>
      <x:c r="U39" s="12" t="str">
        <x:v>未提供</x:v>
      </x:c>
      <x:c r="V39" s="12" t="str">
        <x:v>未提供</x:v>
      </x:c>
      <x:c r="W39" s="12" t="str">
        <x:v>秒级预测</x:v>
      </x:c>
      <x:c r="X39" s="12" t="str">
        <x:v>基于路线秒级参数；如录入实测或手动采用秒，预计到达时间可随公式更新</x:v>
      </x:c>
    </x:row>
    <x:row r="40">
      <x:c r="A40" s="12" t="str">
        <x:v>S0003-13</x:v>
      </x:c>
      <x:c r="B40" s="12" t="str">
        <x:v>S0003</x:v>
      </x:c>
      <x:c r="C40" s="12" t="str">
        <x:v>工作日</x:v>
      </x:c>
      <x:c r="D40" s="12" t="str">
        <x:v>环线1路</x:v>
      </x:c>
      <x:c r="E40" s="12" t="str">
        <x:v>第一班</x:v>
      </x:c>
      <x:c r="F40" s="12" t="n">
        <x:v>3</x:v>
      </x:c>
      <x:c r="G40" s="12" t="str">
        <x:v>8:30</x:v>
      </x:c>
      <x:c r="H40" s="12" t="n">
        <x:v>510</x:v>
      </x:c>
      <x:c r="I40" s="12" t="str">
        <x:v>研究生宿舍楼</x:v>
      </x:c>
      <x:c r="J40" s="12" t="str">
        <x:v>研究生宿舍楼发车</x:v>
      </x:c>
      <x:c r="K40" s="12" t="str">
        <x:v>HX1_NORMAL</x:v>
      </x:c>
      <x:c r="L40" s="12" t="n">
        <x:v>13</x:v>
      </x:c>
      <x:c r="M40" s="12" t="str">
        <x:v>HX1_NORMAL|13</x:v>
      </x:c>
      <x:c r="N40" s="12" t="str">
        <x:v>研究生宿舍楼</x:v>
      </x:c>
      <x:c r="O40" s="12" t="n">
        <x:f>IFERROR(INDEX('秒级路线参数_可调整'!$O:$O,MATCH(M40,'秒级路线参数_可调整'!$A:$A,0)),"")</x:f>
        <x:v>0</x:v>
      </x:c>
      <x:c r="P40" s="12" t="str">
        <x:f>IF(O40="","",O40/86400)</x:f>
      </x:c>
      <x:c r="Q40" s="12" t="str">
        <x:f>IF(O40="","",(H40*60+O40)/86400)</x:f>
      </x:c>
      <x:c r="R40" s="12" t="str">
        <x:f>IF(Q40="","",TEXT(Q40,"hh:mm:ss"))</x:f>
      </x:c>
      <x:c r="S40" s="12" t="str">
        <x:v>否</x:v>
      </x:c>
      <x:c r="T40" s="12" t="str">
        <x:v>是</x:v>
      </x:c>
      <x:c r="U40" s="12" t="str">
        <x:v>未提供</x:v>
      </x:c>
      <x:c r="V40" s="12" t="str">
        <x:v>未提供</x:v>
      </x:c>
      <x:c r="W40" s="12" t="str">
        <x:v>秒级预测</x:v>
      </x:c>
      <x:c r="X40" s="12" t="str">
        <x:v>基于路线秒级参数；如录入实测或手动采用秒，预计到达时间可随公式更新</x:v>
      </x:c>
    </x:row>
    <x:row r="41">
      <x:c r="A41" s="12" t="str">
        <x:v>S0004-01</x:v>
      </x:c>
      <x:c r="B41" s="12" t="str">
        <x:v>S0004</x:v>
      </x:c>
      <x:c r="C41" s="12" t="str">
        <x:v>工作日</x:v>
      </x:c>
      <x:c r="D41" s="12" t="str">
        <x:v>环线1路</x:v>
      </x:c>
      <x:c r="E41" s="12" t="str">
        <x:v>第一班</x:v>
      </x:c>
      <x:c r="F41" s="12" t="n">
        <x:v>4</x:v>
      </x:c>
      <x:c r="G41" s="12" t="str">
        <x:v>9:00</x:v>
      </x:c>
      <x:c r="H41" s="12" t="n">
        <x:v>540</x:v>
      </x:c>
      <x:c r="I41" s="12" t="str">
        <x:v>研究生宿舍楼</x:v>
      </x:c>
      <x:c r="J41" s="12" t="str">
        <x:v>研究生宿舍楼发车</x:v>
      </x:c>
      <x:c r="K41" s="12" t="str">
        <x:v>HX1_NORMAL</x:v>
      </x:c>
      <x:c r="L41" s="12" t="n">
        <x:v>1</x:v>
      </x:c>
      <x:c r="M41" s="12" t="str">
        <x:v>HX1_NORMAL|1</x:v>
      </x:c>
      <x:c r="N41" s="12" t="str">
        <x:v>研究生宿舍楼</x:v>
      </x:c>
      <x:c r="O41" s="12" t="n">
        <x:f>IFERROR(INDEX('秒级路线参数_可调整'!$O:$O,MATCH(M41,'秒级路线参数_可调整'!$A:$A,0)),"")</x:f>
        <x:v>0</x:v>
      </x:c>
      <x:c r="P41" s="12" t="str">
        <x:f>IF(O41="","",O41/86400)</x:f>
      </x:c>
      <x:c r="Q41" s="12" t="str">
        <x:f>IF(O41="","",(H41*60+O41)/86400)</x:f>
      </x:c>
      <x:c r="R41" s="12" t="str">
        <x:f>IF(Q41="","",TEXT(Q41,"hh:mm:ss"))</x:f>
      </x:c>
      <x:c r="S41" s="12" t="str">
        <x:v>是</x:v>
      </x:c>
      <x:c r="T41" s="12" t="str">
        <x:v>否</x:v>
      </x:c>
      <x:c r="U41" s="12" t="str">
        <x:v>未提供</x:v>
      </x:c>
      <x:c r="V41" s="12" t="str">
        <x:v>未提供</x:v>
      </x:c>
      <x:c r="W41" s="12" t="str">
        <x:v>秒级预测</x:v>
      </x:c>
      <x:c r="X41" s="12" t="str">
        <x:v>基于路线秒级参数；如录入实测或手动采用秒，预计到达时间可随公式更新</x:v>
      </x:c>
    </x:row>
    <x:row r="42">
      <x:c r="A42" s="12" t="str">
        <x:v>S0004-02</x:v>
      </x:c>
      <x:c r="B42" s="12" t="str">
        <x:v>S0004</x:v>
      </x:c>
      <x:c r="C42" s="12" t="str">
        <x:v>工作日</x:v>
      </x:c>
      <x:c r="D42" s="12" t="str">
        <x:v>环线1路</x:v>
      </x:c>
      <x:c r="E42" s="12" t="str">
        <x:v>第一班</x:v>
      </x:c>
      <x:c r="F42" s="12" t="n">
        <x:v>4</x:v>
      </x:c>
      <x:c r="G42" s="12" t="str">
        <x:v>9:00</x:v>
      </x:c>
      <x:c r="H42" s="12" t="n">
        <x:v>540</x:v>
      </x:c>
      <x:c r="I42" s="12" t="str">
        <x:v>研究生宿舍楼</x:v>
      </x:c>
      <x:c r="J42" s="12" t="str">
        <x:v>研究生宿舍楼发车</x:v>
      </x:c>
      <x:c r="K42" s="12" t="str">
        <x:v>HX1_NORMAL</x:v>
      </x:c>
      <x:c r="L42" s="12" t="n">
        <x:v>2</x:v>
      </x:c>
      <x:c r="M42" s="12" t="str">
        <x:v>HX1_NORMAL|2</x:v>
      </x:c>
      <x:c r="N42" s="12" t="str">
        <x:v>东门</x:v>
      </x:c>
      <x:c r="O42" s="12" t="n">
        <x:f>IFERROR(INDEX('秒级路线参数_可调整'!$O:$O,MATCH(M42,'秒级路线参数_可调整'!$A:$A,0)),"")</x:f>
        <x:v>0</x:v>
      </x:c>
      <x:c r="P42" s="12" t="str">
        <x:f>IF(O42="","",O42/86400)</x:f>
      </x:c>
      <x:c r="Q42" s="12" t="str">
        <x:f>IF(O42="","",(H42*60+O42)/86400)</x:f>
      </x:c>
      <x:c r="R42" s="12" t="str">
        <x:f>IF(Q42="","",TEXT(Q42,"hh:mm:ss"))</x:f>
      </x:c>
      <x:c r="S42" s="12" t="str">
        <x:v>否</x:v>
      </x:c>
      <x:c r="T42" s="12" t="str">
        <x:v>否</x:v>
      </x:c>
      <x:c r="U42" s="12" t="str">
        <x:v>未提供</x:v>
      </x:c>
      <x:c r="V42" s="12" t="str">
        <x:v>未提供</x:v>
      </x:c>
      <x:c r="W42" s="12" t="str">
        <x:v>秒级预测</x:v>
      </x:c>
      <x:c r="X42" s="12" t="str">
        <x:v>基于路线秒级参数；如录入实测或手动采用秒，预计到达时间可随公式更新</x:v>
      </x:c>
    </x:row>
    <x:row r="43">
      <x:c r="A43" s="12" t="str">
        <x:v>S0004-03</x:v>
      </x:c>
      <x:c r="B43" s="12" t="str">
        <x:v>S0004</x:v>
      </x:c>
      <x:c r="C43" s="12" t="str">
        <x:v>工作日</x:v>
      </x:c>
      <x:c r="D43" s="12" t="str">
        <x:v>环线1路</x:v>
      </x:c>
      <x:c r="E43" s="12" t="str">
        <x:v>第一班</x:v>
      </x:c>
      <x:c r="F43" s="12" t="n">
        <x:v>4</x:v>
      </x:c>
      <x:c r="G43" s="12" t="str">
        <x:v>9:00</x:v>
      </x:c>
      <x:c r="H43" s="12" t="n">
        <x:v>540</x:v>
      </x:c>
      <x:c r="I43" s="12" t="str">
        <x:v>研究生宿舍楼</x:v>
      </x:c>
      <x:c r="J43" s="12" t="str">
        <x:v>研究生宿舍楼发车</x:v>
      </x:c>
      <x:c r="K43" s="12" t="str">
        <x:v>HX1_NORMAL</x:v>
      </x:c>
      <x:c r="L43" s="12" t="n">
        <x:v>3</x:v>
      </x:c>
      <x:c r="M43" s="12" t="str">
        <x:v>HX1_NORMAL|3</x:v>
      </x:c>
      <x:c r="N43" s="12" t="str">
        <x:v>2号宿舍楼</x:v>
      </x:c>
      <x:c r="O43" s="12" t="n">
        <x:f>IFERROR(INDEX('秒级路线参数_可调整'!$O:$O,MATCH(M43,'秒级路线参数_可调整'!$A:$A,0)),"")</x:f>
        <x:v>0</x:v>
      </x:c>
      <x:c r="P43" s="12" t="str">
        <x:f>IF(O43="","",O43/86400)</x:f>
      </x:c>
      <x:c r="Q43" s="12" t="str">
        <x:f>IF(O43="","",(H43*60+O43)/86400)</x:f>
      </x:c>
      <x:c r="R43" s="12" t="str">
        <x:f>IF(Q43="","",TEXT(Q43,"hh:mm:ss"))</x:f>
      </x:c>
      <x:c r="S43" s="12" t="str">
        <x:v>否</x:v>
      </x:c>
      <x:c r="T43" s="12" t="str">
        <x:v>否</x:v>
      </x:c>
      <x:c r="U43" s="12" t="str">
        <x:v>未提供</x:v>
      </x:c>
      <x:c r="V43" s="12" t="str">
        <x:v>未提供</x:v>
      </x:c>
      <x:c r="W43" s="12" t="str">
        <x:v>秒级预测</x:v>
      </x:c>
      <x:c r="X43" s="12" t="str">
        <x:v>基于路线秒级参数；如录入实测或手动采用秒，预计到达时间可随公式更新</x:v>
      </x:c>
    </x:row>
    <x:row r="44">
      <x:c r="A44" s="12" t="str">
        <x:v>S0004-04</x:v>
      </x:c>
      <x:c r="B44" s="12" t="str">
        <x:v>S0004</x:v>
      </x:c>
      <x:c r="C44" s="12" t="str">
        <x:v>工作日</x:v>
      </x:c>
      <x:c r="D44" s="12" t="str">
        <x:v>环线1路</x:v>
      </x:c>
      <x:c r="E44" s="12" t="str">
        <x:v>第一班</x:v>
      </x:c>
      <x:c r="F44" s="12" t="n">
        <x:v>4</x:v>
      </x:c>
      <x:c r="G44" s="12" t="str">
        <x:v>9:00</x:v>
      </x:c>
      <x:c r="H44" s="12" t="n">
        <x:v>540</x:v>
      </x:c>
      <x:c r="I44" s="12" t="str">
        <x:v>研究生宿舍楼</x:v>
      </x:c>
      <x:c r="J44" s="12" t="str">
        <x:v>研究生宿舍楼发车</x:v>
      </x:c>
      <x:c r="K44" s="12" t="str">
        <x:v>HX1_NORMAL</x:v>
      </x:c>
      <x:c r="L44" s="12" t="n">
        <x:v>4</x:v>
      </x:c>
      <x:c r="M44" s="12" t="str">
        <x:v>HX1_NORMAL|4</x:v>
      </x:c>
      <x:c r="N44" s="12" t="str">
        <x:v>军体活动中心</x:v>
      </x:c>
      <x:c r="O44" s="12" t="n">
        <x:f>IFERROR(INDEX('秒级路线参数_可调整'!$O:$O,MATCH(M44,'秒级路线参数_可调整'!$A:$A,0)),"")</x:f>
        <x:v>0</x:v>
      </x:c>
      <x:c r="P44" s="12" t="str">
        <x:f>IF(O44="","",O44/86400)</x:f>
      </x:c>
      <x:c r="Q44" s="12" t="str">
        <x:f>IF(O44="","",(H44*60+O44)/86400)</x:f>
      </x:c>
      <x:c r="R44" s="12" t="str">
        <x:f>IF(Q44="","",TEXT(Q44,"hh:mm:ss"))</x:f>
      </x:c>
      <x:c r="S44" s="12" t="str">
        <x:v>否</x:v>
      </x:c>
      <x:c r="T44" s="12" t="str">
        <x:v>否</x:v>
      </x:c>
      <x:c r="U44" s="12" t="str">
        <x:v>未提供</x:v>
      </x:c>
      <x:c r="V44" s="12" t="str">
        <x:v>未提供</x:v>
      </x:c>
      <x:c r="W44" s="12" t="str">
        <x:v>秒级预测</x:v>
      </x:c>
      <x:c r="X44" s="12" t="str">
        <x:v>基于路线秒级参数；如录入实测或手动采用秒，预计到达时间可随公式更新</x:v>
      </x:c>
    </x:row>
    <x:row r="45">
      <x:c r="A45" s="12" t="str">
        <x:v>S0004-05</x:v>
      </x:c>
      <x:c r="B45" s="12" t="str">
        <x:v>S0004</x:v>
      </x:c>
      <x:c r="C45" s="12" t="str">
        <x:v>工作日</x:v>
      </x:c>
      <x:c r="D45" s="12" t="str">
        <x:v>环线1路</x:v>
      </x:c>
      <x:c r="E45" s="12" t="str">
        <x:v>第一班</x:v>
      </x:c>
      <x:c r="F45" s="12" t="n">
        <x:v>4</x:v>
      </x:c>
      <x:c r="G45" s="12" t="str">
        <x:v>9:00</x:v>
      </x:c>
      <x:c r="H45" s="12" t="n">
        <x:v>540</x:v>
      </x:c>
      <x:c r="I45" s="12" t="str">
        <x:v>研究生宿舍楼</x:v>
      </x:c>
      <x:c r="J45" s="12" t="str">
        <x:v>研究生宿舍楼发车</x:v>
      </x:c>
      <x:c r="K45" s="12" t="str">
        <x:v>HX1_NORMAL</x:v>
      </x:c>
      <x:c r="L45" s="12" t="n">
        <x:v>5</x:v>
      </x:c>
      <x:c r="M45" s="12" t="str">
        <x:v>HX1_NORMAL|5</x:v>
      </x:c>
      <x:c r="N45" s="12" t="str">
        <x:v>激光所</x:v>
      </x:c>
      <x:c r="O45" s="12" t="n">
        <x:f>IFERROR(INDEX('秒级路线参数_可调整'!$O:$O,MATCH(M45,'秒级路线参数_可调整'!$A:$A,0)),"")</x:f>
        <x:v>0</x:v>
      </x:c>
      <x:c r="P45" s="12" t="str">
        <x:f>IF(O45="","",O45/86400)</x:f>
      </x:c>
      <x:c r="Q45" s="12" t="str">
        <x:f>IF(O45="","",(H45*60+O45)/86400)</x:f>
      </x:c>
      <x:c r="R45" s="12" t="str">
        <x:f>IF(Q45="","",TEXT(Q45,"hh:mm:ss"))</x:f>
      </x:c>
      <x:c r="S45" s="12" t="str">
        <x:v>否</x:v>
      </x:c>
      <x:c r="T45" s="12" t="str">
        <x:v>否</x:v>
      </x:c>
      <x:c r="U45" s="12" t="str">
        <x:v>未提供</x:v>
      </x:c>
      <x:c r="V45" s="12" t="str">
        <x:v>未提供</x:v>
      </x:c>
      <x:c r="W45" s="12" t="str">
        <x:v>秒级预测</x:v>
      </x:c>
      <x:c r="X45" s="12" t="str">
        <x:v>基于路线秒级参数；如录入实测或手动采用秒，预计到达时间可随公式更新</x:v>
      </x:c>
    </x:row>
    <x:row r="46">
      <x:c r="A46" s="12" t="str">
        <x:v>S0004-06</x:v>
      </x:c>
      <x:c r="B46" s="12" t="str">
        <x:v>S0004</x:v>
      </x:c>
      <x:c r="C46" s="12" t="str">
        <x:v>工作日</x:v>
      </x:c>
      <x:c r="D46" s="12" t="str">
        <x:v>环线1路</x:v>
      </x:c>
      <x:c r="E46" s="12" t="str">
        <x:v>第一班</x:v>
      </x:c>
      <x:c r="F46" s="12" t="n">
        <x:v>4</x:v>
      </x:c>
      <x:c r="G46" s="12" t="str">
        <x:v>9:00</x:v>
      </x:c>
      <x:c r="H46" s="12" t="n">
        <x:v>540</x:v>
      </x:c>
      <x:c r="I46" s="12" t="str">
        <x:v>研究生宿舍楼</x:v>
      </x:c>
      <x:c r="J46" s="12" t="str">
        <x:v>研究生宿舍楼发车</x:v>
      </x:c>
      <x:c r="K46" s="12" t="str">
        <x:v>HX1_NORMAL</x:v>
      </x:c>
      <x:c r="L46" s="12" t="n">
        <x:v>6</x:v>
      </x:c>
      <x:c r="M46" s="12" t="str">
        <x:v>HX1_NORMAL|6</x:v>
      </x:c>
      <x:c r="N46" s="12" t="str">
        <x:v>超算中心</x:v>
      </x:c>
      <x:c r="O46" s="12" t="n">
        <x:f>IFERROR(INDEX('秒级路线参数_可调整'!$O:$O,MATCH(M46,'秒级路线参数_可调整'!$A:$A,0)),"")</x:f>
        <x:v>0</x:v>
      </x:c>
      <x:c r="P46" s="12" t="str">
        <x:f>IF(O46="","",O46/86400)</x:f>
      </x:c>
      <x:c r="Q46" s="12" t="str">
        <x:f>IF(O46="","",(H46*60+O46)/86400)</x:f>
      </x:c>
      <x:c r="R46" s="12" t="str">
        <x:f>IF(Q46="","",TEXT(Q46,"hh:mm:ss"))</x:f>
      </x:c>
      <x:c r="S46" s="12" t="str">
        <x:v>否</x:v>
      </x:c>
      <x:c r="T46" s="12" t="str">
        <x:v>否</x:v>
      </x:c>
      <x:c r="U46" s="12" t="str">
        <x:v>未提供</x:v>
      </x:c>
      <x:c r="V46" s="12" t="str">
        <x:v>未提供</x:v>
      </x:c>
      <x:c r="W46" s="12" t="str">
        <x:v>秒级预测</x:v>
      </x:c>
      <x:c r="X46" s="12" t="str">
        <x:v>基于路线秒级参数；如录入实测或手动采用秒，预计到达时间可随公式更新</x:v>
      </x:c>
    </x:row>
    <x:row r="47">
      <x:c r="A47" s="12" t="str">
        <x:v>S0004-07</x:v>
      </x:c>
      <x:c r="B47" s="12" t="str">
        <x:v>S0004</x:v>
      </x:c>
      <x:c r="C47" s="12" t="str">
        <x:v>工作日</x:v>
      </x:c>
      <x:c r="D47" s="12" t="str">
        <x:v>环线1路</x:v>
      </x:c>
      <x:c r="E47" s="12" t="str">
        <x:v>第一班</x:v>
      </x:c>
      <x:c r="F47" s="12" t="n">
        <x:v>4</x:v>
      </x:c>
      <x:c r="G47" s="12" t="str">
        <x:v>9:00</x:v>
      </x:c>
      <x:c r="H47" s="12" t="n">
        <x:v>540</x:v>
      </x:c>
      <x:c r="I47" s="12" t="str">
        <x:v>研究生宿舍楼</x:v>
      </x:c>
      <x:c r="J47" s="12" t="str">
        <x:v>研究生宿舍楼发车</x:v>
      </x:c>
      <x:c r="K47" s="12" t="str">
        <x:v>HX1_NORMAL</x:v>
      </x:c>
      <x:c r="L47" s="12" t="n">
        <x:v>7</x:v>
      </x:c>
      <x:c r="M47" s="12" t="str">
        <x:v>HX1_NORMAL|7</x:v>
      </x:c>
      <x:c r="N47" s="12" t="str">
        <x:v>北门</x:v>
      </x:c>
      <x:c r="O47" s="12" t="n">
        <x:f>IFERROR(INDEX('秒级路线参数_可调整'!$O:$O,MATCH(M47,'秒级路线参数_可调整'!$A:$A,0)),"")</x:f>
        <x:v>0</x:v>
      </x:c>
      <x:c r="P47" s="12" t="str">
        <x:f>IF(O47="","",O47/86400)</x:f>
      </x:c>
      <x:c r="Q47" s="12" t="str">
        <x:f>IF(O47="","",(H47*60+O47)/86400)</x:f>
      </x:c>
      <x:c r="R47" s="12" t="str">
        <x:f>IF(Q47="","",TEXT(Q47,"hh:mm:ss"))</x:f>
      </x:c>
      <x:c r="S47" s="12" t="str">
        <x:v>否</x:v>
      </x:c>
      <x:c r="T47" s="12" t="str">
        <x:v>否</x:v>
      </x:c>
      <x:c r="U47" s="12" t="str">
        <x:v>未提供</x:v>
      </x:c>
      <x:c r="V47" s="12" t="str">
        <x:v>未提供</x:v>
      </x:c>
      <x:c r="W47" s="12" t="str">
        <x:v>秒级预测</x:v>
      </x:c>
      <x:c r="X47" s="12" t="str">
        <x:v>基于路线秒级参数；如录入实测或手动采用秒，预计到达时间可随公式更新</x:v>
      </x:c>
    </x:row>
    <x:row r="48">
      <x:c r="A48" s="12" t="str">
        <x:v>S0004-08</x:v>
      </x:c>
      <x:c r="B48" s="12" t="str">
        <x:v>S0004</x:v>
      </x:c>
      <x:c r="C48" s="12" t="str">
        <x:v>工作日</x:v>
      </x:c>
      <x:c r="D48" s="12" t="str">
        <x:v>环线1路</x:v>
      </x:c>
      <x:c r="E48" s="12" t="str">
        <x:v>第一班</x:v>
      </x:c>
      <x:c r="F48" s="12" t="n">
        <x:v>4</x:v>
      </x:c>
      <x:c r="G48" s="12" t="str">
        <x:v>9:00</x:v>
      </x:c>
      <x:c r="H48" s="12" t="n">
        <x:v>540</x:v>
      </x:c>
      <x:c r="I48" s="12" t="str">
        <x:v>研究生宿舍楼</x:v>
      </x:c>
      <x:c r="J48" s="12" t="str">
        <x:v>研究生宿舍楼发车</x:v>
      </x:c>
      <x:c r="K48" s="12" t="str">
        <x:v>HX1_NORMAL</x:v>
      </x:c>
      <x:c r="L48" s="12" t="n">
        <x:v>8</x:v>
      </x:c>
      <x:c r="M48" s="12" t="str">
        <x:v>HX1_NORMAL|8</x:v>
      </x:c>
      <x:c r="N48" s="12" t="str">
        <x:v>高超楼</x:v>
      </x:c>
      <x:c r="O48" s="12" t="n">
        <x:f>IFERROR(INDEX('秒级路线参数_可调整'!$O:$O,MATCH(M48,'秒级路线参数_可调整'!$A:$A,0)),"")</x:f>
        <x:v>0</x:v>
      </x:c>
      <x:c r="P48" s="12" t="str">
        <x:f>IF(O48="","",O48/86400)</x:f>
      </x:c>
      <x:c r="Q48" s="12" t="str">
        <x:f>IF(O48="","",(H48*60+O48)/86400)</x:f>
      </x:c>
      <x:c r="R48" s="12" t="str">
        <x:f>IF(Q48="","",TEXT(Q48,"hh:mm:ss"))</x:f>
      </x:c>
      <x:c r="S48" s="12" t="str">
        <x:v>否</x:v>
      </x:c>
      <x:c r="T48" s="12" t="str">
        <x:v>否</x:v>
      </x:c>
      <x:c r="U48" s="12" t="str">
        <x:v>未提供</x:v>
      </x:c>
      <x:c r="V48" s="12" t="str">
        <x:v>未提供</x:v>
      </x:c>
      <x:c r="W48" s="12" t="str">
        <x:v>秒级预测</x:v>
      </x:c>
      <x:c r="X48" s="12" t="str">
        <x:v>基于路线秒级参数；如录入实测或手动采用秒，预计到达时间可随公式更新</x:v>
      </x:c>
    </x:row>
    <x:row r="49">
      <x:c r="A49" s="12" t="str">
        <x:v>S0004-09</x:v>
      </x:c>
      <x:c r="B49" s="12" t="str">
        <x:v>S0004</x:v>
      </x:c>
      <x:c r="C49" s="12" t="str">
        <x:v>工作日</x:v>
      </x:c>
      <x:c r="D49" s="12" t="str">
        <x:v>环线1路</x:v>
      </x:c>
      <x:c r="E49" s="12" t="str">
        <x:v>第一班</x:v>
      </x:c>
      <x:c r="F49" s="12" t="n">
        <x:v>4</x:v>
      </x:c>
      <x:c r="G49" s="12" t="str">
        <x:v>9:00</x:v>
      </x:c>
      <x:c r="H49" s="12" t="n">
        <x:v>540</x:v>
      </x:c>
      <x:c r="I49" s="12" t="str">
        <x:v>研究生宿舍楼</x:v>
      </x:c>
      <x:c r="J49" s="12" t="str">
        <x:v>研究生宿舍楼发车</x:v>
      </x:c>
      <x:c r="K49" s="12" t="str">
        <x:v>HX1_NORMAL</x:v>
      </x:c>
      <x:c r="L49" s="12" t="n">
        <x:v>9</x:v>
      </x:c>
      <x:c r="M49" s="12" t="str">
        <x:v>HX1_NORMAL|9</x:v>
      </x:c>
      <x:c r="N49" s="12" t="str">
        <x:v>理学院</x:v>
      </x:c>
      <x:c r="O49" s="12" t="n">
        <x:f>IFERROR(INDEX('秒级路线参数_可调整'!$O:$O,MATCH(M49,'秒级路线参数_可调整'!$A:$A,0)),"")</x:f>
        <x:v>0</x:v>
      </x:c>
      <x:c r="P49" s="12" t="str">
        <x:f>IF(O49="","",O49/86400)</x:f>
      </x:c>
      <x:c r="Q49" s="12" t="str">
        <x:f>IF(O49="","",(H49*60+O49)/86400)</x:f>
      </x:c>
      <x:c r="R49" s="12" t="str">
        <x:f>IF(Q49="","",TEXT(Q49,"hh:mm:ss"))</x:f>
      </x:c>
      <x:c r="S49" s="12" t="str">
        <x:v>否</x:v>
      </x:c>
      <x:c r="T49" s="12" t="str">
        <x:v>否</x:v>
      </x:c>
      <x:c r="U49" s="12" t="str">
        <x:v>未提供</x:v>
      </x:c>
      <x:c r="V49" s="12" t="str">
        <x:v>未提供</x:v>
      </x:c>
      <x:c r="W49" s="12" t="str">
        <x:v>秒级预测</x:v>
      </x:c>
      <x:c r="X49" s="12" t="str">
        <x:v>基于路线秒级参数；如录入实测或手动采用秒，预计到达时间可随公式更新</x:v>
      </x:c>
    </x:row>
    <x:row r="50">
      <x:c r="A50" s="12" t="str">
        <x:v>S0004-10</x:v>
      </x:c>
      <x:c r="B50" s="12" t="str">
        <x:v>S0004</x:v>
      </x:c>
      <x:c r="C50" s="12" t="str">
        <x:v>工作日</x:v>
      </x:c>
      <x:c r="D50" s="12" t="str">
        <x:v>环线1路</x:v>
      </x:c>
      <x:c r="E50" s="12" t="str">
        <x:v>第一班</x:v>
      </x:c>
      <x:c r="F50" s="12" t="n">
        <x:v>4</x:v>
      </x:c>
      <x:c r="G50" s="12" t="str">
        <x:v>9:00</x:v>
      </x:c>
      <x:c r="H50" s="12" t="n">
        <x:v>540</x:v>
      </x:c>
      <x:c r="I50" s="12" t="str">
        <x:v>研究生宿舍楼</x:v>
      </x:c>
      <x:c r="J50" s="12" t="str">
        <x:v>研究生宿舍楼发车</x:v>
      </x:c>
      <x:c r="K50" s="12" t="str">
        <x:v>HX1_NORMAL</x:v>
      </x:c>
      <x:c r="L50" s="12" t="n">
        <x:v>10</x:v>
      </x:c>
      <x:c r="M50" s="12" t="str">
        <x:v>HX1_NORMAL|10</x:v>
      </x:c>
      <x:c r="N50" s="12" t="str">
        <x:v>二食堂</x:v>
      </x:c>
      <x:c r="O50" s="12" t="n">
        <x:f>IFERROR(INDEX('秒级路线参数_可调整'!$O:$O,MATCH(M50,'秒级路线参数_可调整'!$A:$A,0)),"")</x:f>
        <x:v>0</x:v>
      </x:c>
      <x:c r="P50" s="12" t="str">
        <x:f>IF(O50="","",O50/86400)</x:f>
      </x:c>
      <x:c r="Q50" s="12" t="str">
        <x:f>IF(O50="","",(H50*60+O50)/86400)</x:f>
      </x:c>
      <x:c r="R50" s="12" t="str">
        <x:f>IF(Q50="","",TEXT(Q50,"hh:mm:ss"))</x:f>
      </x:c>
      <x:c r="S50" s="12" t="str">
        <x:v>否</x:v>
      </x:c>
      <x:c r="T50" s="12" t="str">
        <x:v>否</x:v>
      </x:c>
      <x:c r="U50" s="12" t="str">
        <x:v>未提供</x:v>
      </x:c>
      <x:c r="V50" s="12" t="str">
        <x:v>未提供</x:v>
      </x:c>
      <x:c r="W50" s="12" t="str">
        <x:v>秒级预测</x:v>
      </x:c>
      <x:c r="X50" s="12" t="str">
        <x:v>基于路线秒级参数；如录入实测或手动采用秒，预计到达时间可随公式更新</x:v>
      </x:c>
    </x:row>
    <x:row r="51">
      <x:c r="A51" s="12" t="str">
        <x:v>S0004-11</x:v>
      </x:c>
      <x:c r="B51" s="12" t="str">
        <x:v>S0004</x:v>
      </x:c>
      <x:c r="C51" s="12" t="str">
        <x:v>工作日</x:v>
      </x:c>
      <x:c r="D51" s="12" t="str">
        <x:v>环线1路</x:v>
      </x:c>
      <x:c r="E51" s="12" t="str">
        <x:v>第一班</x:v>
      </x:c>
      <x:c r="F51" s="12" t="n">
        <x:v>4</x:v>
      </x:c>
      <x:c r="G51" s="12" t="str">
        <x:v>9:00</x:v>
      </x:c>
      <x:c r="H51" s="12" t="n">
        <x:v>540</x:v>
      </x:c>
      <x:c r="I51" s="12" t="str">
        <x:v>研究生宿舍楼</x:v>
      </x:c>
      <x:c r="J51" s="12" t="str">
        <x:v>研究生宿舍楼发车</x:v>
      </x:c>
      <x:c r="K51" s="12" t="str">
        <x:v>HX1_NORMAL</x:v>
      </x:c>
      <x:c r="L51" s="12" t="n">
        <x:v>11</x:v>
      </x:c>
      <x:c r="M51" s="12" t="str">
        <x:v>HX1_NORMAL|11</x:v>
      </x:c>
      <x:c r="N51" s="12" t="str">
        <x:v>5号宿舍楼</x:v>
      </x:c>
      <x:c r="O51" s="12" t="n">
        <x:f>IFERROR(INDEX('秒级路线参数_可调整'!$O:$O,MATCH(M51,'秒级路线参数_可调整'!$A:$A,0)),"")</x:f>
        <x:v>0</x:v>
      </x:c>
      <x:c r="P51" s="12" t="str">
        <x:f>IF(O51="","",O51/86400)</x:f>
      </x:c>
      <x:c r="Q51" s="12" t="str">
        <x:f>IF(O51="","",(H51*60+O51)/86400)</x:f>
      </x:c>
      <x:c r="R51" s="12" t="str">
        <x:f>IF(Q51="","",TEXT(Q51,"hh:mm:ss"))</x:f>
      </x:c>
      <x:c r="S51" s="12" t="str">
        <x:v>否</x:v>
      </x:c>
      <x:c r="T51" s="12" t="str">
        <x:v>否</x:v>
      </x:c>
      <x:c r="U51" s="12" t="str">
        <x:v>未提供</x:v>
      </x:c>
      <x:c r="V51" s="12" t="str">
        <x:v>未提供</x:v>
      </x:c>
      <x:c r="W51" s="12" t="str">
        <x:v>秒级预测</x:v>
      </x:c>
      <x:c r="X51" s="12" t="str">
        <x:v>基于路线秒级参数；如录入实测或手动采用秒，预计到达时间可随公式更新</x:v>
      </x:c>
    </x:row>
    <x:row r="52">
      <x:c r="A52" s="12" t="str">
        <x:v>S0004-12</x:v>
      </x:c>
      <x:c r="B52" s="12" t="str">
        <x:v>S0004</x:v>
      </x:c>
      <x:c r="C52" s="12" t="str">
        <x:v>工作日</x:v>
      </x:c>
      <x:c r="D52" s="12" t="str">
        <x:v>环线1路</x:v>
      </x:c>
      <x:c r="E52" s="12" t="str">
        <x:v>第一班</x:v>
      </x:c>
      <x:c r="F52" s="12" t="n">
        <x:v>4</x:v>
      </x:c>
      <x:c r="G52" s="12" t="str">
        <x:v>9:00</x:v>
      </x:c>
      <x:c r="H52" s="12" t="n">
        <x:v>540</x:v>
      </x:c>
      <x:c r="I52" s="12" t="str">
        <x:v>研究生宿舍楼</x:v>
      </x:c>
      <x:c r="J52" s="12" t="str">
        <x:v>研究生宿舍楼发车</x:v>
      </x:c>
      <x:c r="K52" s="12" t="str">
        <x:v>HX1_NORMAL</x:v>
      </x:c>
      <x:c r="L52" s="12" t="n">
        <x:v>12</x:v>
      </x:c>
      <x:c r="M52" s="12" t="str">
        <x:v>HX1_NORMAL|12</x:v>
      </x:c>
      <x:c r="N52" s="12" t="str">
        <x:v>305教学楼</x:v>
      </x:c>
      <x:c r="O52" s="12" t="n">
        <x:f>IFERROR(INDEX('秒级路线参数_可调整'!$O:$O,MATCH(M52,'秒级路线参数_可调整'!$A:$A,0)),"")</x:f>
        <x:v>0</x:v>
      </x:c>
      <x:c r="P52" s="12" t="str">
        <x:f>IF(O52="","",O52/86400)</x:f>
      </x:c>
      <x:c r="Q52" s="12" t="str">
        <x:f>IF(O52="","",(H52*60+O52)/86400)</x:f>
      </x:c>
      <x:c r="R52" s="12" t="str">
        <x:f>IF(Q52="","",TEXT(Q52,"hh:mm:ss"))</x:f>
      </x:c>
      <x:c r="S52" s="12" t="str">
        <x:v>否</x:v>
      </x:c>
      <x:c r="T52" s="12" t="str">
        <x:v>否</x:v>
      </x:c>
      <x:c r="U52" s="12" t="str">
        <x:v>未提供</x:v>
      </x:c>
      <x:c r="V52" s="12" t="str">
        <x:v>未提供</x:v>
      </x:c>
      <x:c r="W52" s="12" t="str">
        <x:v>秒级预测</x:v>
      </x:c>
      <x:c r="X52" s="12" t="str">
        <x:v>基于路线秒级参数；如录入实测或手动采用秒，预计到达时间可随公式更新</x:v>
      </x:c>
    </x:row>
    <x:row r="53">
      <x:c r="A53" s="12" t="str">
        <x:v>S0004-13</x:v>
      </x:c>
      <x:c r="B53" s="12" t="str">
        <x:v>S0004</x:v>
      </x:c>
      <x:c r="C53" s="12" t="str">
        <x:v>工作日</x:v>
      </x:c>
      <x:c r="D53" s="12" t="str">
        <x:v>环线1路</x:v>
      </x:c>
      <x:c r="E53" s="12" t="str">
        <x:v>第一班</x:v>
      </x:c>
      <x:c r="F53" s="12" t="n">
        <x:v>4</x:v>
      </x:c>
      <x:c r="G53" s="12" t="str">
        <x:v>9:00</x:v>
      </x:c>
      <x:c r="H53" s="12" t="n">
        <x:v>540</x:v>
      </x:c>
      <x:c r="I53" s="12" t="str">
        <x:v>研究生宿舍楼</x:v>
      </x:c>
      <x:c r="J53" s="12" t="str">
        <x:v>研究生宿舍楼发车</x:v>
      </x:c>
      <x:c r="K53" s="12" t="str">
        <x:v>HX1_NORMAL</x:v>
      </x:c>
      <x:c r="L53" s="12" t="n">
        <x:v>13</x:v>
      </x:c>
      <x:c r="M53" s="12" t="str">
        <x:v>HX1_NORMAL|13</x:v>
      </x:c>
      <x:c r="N53" s="12" t="str">
        <x:v>研究生宿舍楼</x:v>
      </x:c>
      <x:c r="O53" s="12" t="n">
        <x:f>IFERROR(INDEX('秒级路线参数_可调整'!$O:$O,MATCH(M53,'秒级路线参数_可调整'!$A:$A,0)),"")</x:f>
        <x:v>0</x:v>
      </x:c>
      <x:c r="P53" s="12" t="str">
        <x:f>IF(O53="","",O53/86400)</x:f>
      </x:c>
      <x:c r="Q53" s="12" t="str">
        <x:f>IF(O53="","",(H53*60+O53)/86400)</x:f>
      </x:c>
      <x:c r="R53" s="12" t="str">
        <x:f>IF(Q53="","",TEXT(Q53,"hh:mm:ss"))</x:f>
      </x:c>
      <x:c r="S53" s="12" t="str">
        <x:v>否</x:v>
      </x:c>
      <x:c r="T53" s="12" t="str">
        <x:v>是</x:v>
      </x:c>
      <x:c r="U53" s="12" t="str">
        <x:v>未提供</x:v>
      </x:c>
      <x:c r="V53" s="12" t="str">
        <x:v>未提供</x:v>
      </x:c>
      <x:c r="W53" s="12" t="str">
        <x:v>秒级预测</x:v>
      </x:c>
      <x:c r="X53" s="12" t="str">
        <x:v>基于路线秒级参数；如录入实测或手动采用秒，预计到达时间可随公式更新</x:v>
      </x:c>
    </x:row>
    <x:row r="54">
      <x:c r="A54" s="12" t="str">
        <x:v>S0005-01</x:v>
      </x:c>
      <x:c r="B54" s="12" t="str">
        <x:v>S0005</x:v>
      </x:c>
      <x:c r="C54" s="12" t="str">
        <x:v>工作日</x:v>
      </x:c>
      <x:c r="D54" s="12" t="str">
        <x:v>环线1路</x:v>
      </x:c>
      <x:c r="E54" s="12" t="str">
        <x:v>第一班</x:v>
      </x:c>
      <x:c r="F54" s="12" t="n">
        <x:v>5</x:v>
      </x:c>
      <x:c r="G54" s="12" t="str">
        <x:v>9:36</x:v>
      </x:c>
      <x:c r="H54" s="12" t="n">
        <x:v>576</x:v>
      </x:c>
      <x:c r="I54" s="12" t="str">
        <x:v>研究生宿舍楼</x:v>
      </x:c>
      <x:c r="J54" s="12" t="str">
        <x:v>研究生宿舍楼发车</x:v>
      </x:c>
      <x:c r="K54" s="12" t="str">
        <x:v>HX1_NORMAL</x:v>
      </x:c>
      <x:c r="L54" s="12" t="n">
        <x:v>1</x:v>
      </x:c>
      <x:c r="M54" s="12" t="str">
        <x:v>HX1_NORMAL|1</x:v>
      </x:c>
      <x:c r="N54" s="12" t="str">
        <x:v>研究生宿舍楼</x:v>
      </x:c>
      <x:c r="O54" s="12" t="n">
        <x:f>IFERROR(INDEX('秒级路线参数_可调整'!$O:$O,MATCH(M54,'秒级路线参数_可调整'!$A:$A,0)),"")</x:f>
        <x:v>0</x:v>
      </x:c>
      <x:c r="P54" s="12" t="str">
        <x:f>IF(O54="","",O54/86400)</x:f>
      </x:c>
      <x:c r="Q54" s="12" t="str">
        <x:f>IF(O54="","",(H54*60+O54)/86400)</x:f>
      </x:c>
      <x:c r="R54" s="12" t="str">
        <x:f>IF(Q54="","",TEXT(Q54,"hh:mm:ss"))</x:f>
      </x:c>
      <x:c r="S54" s="12" t="str">
        <x:v>是</x:v>
      </x:c>
      <x:c r="T54" s="12" t="str">
        <x:v>否</x:v>
      </x:c>
      <x:c r="U54" s="12" t="str">
        <x:v>未提供</x:v>
      </x:c>
      <x:c r="V54" s="12" t="str">
        <x:v>未提供</x:v>
      </x:c>
      <x:c r="W54" s="12" t="str">
        <x:v>秒级预测</x:v>
      </x:c>
      <x:c r="X54" s="12" t="str">
        <x:v>基于路线秒级参数；如录入实测或手动采用秒，预计到达时间可随公式更新</x:v>
      </x:c>
    </x:row>
    <x:row r="55">
      <x:c r="A55" s="12" t="str">
        <x:v>S0005-02</x:v>
      </x:c>
      <x:c r="B55" s="12" t="str">
        <x:v>S0005</x:v>
      </x:c>
      <x:c r="C55" s="12" t="str">
        <x:v>工作日</x:v>
      </x:c>
      <x:c r="D55" s="12" t="str">
        <x:v>环线1路</x:v>
      </x:c>
      <x:c r="E55" s="12" t="str">
        <x:v>第一班</x:v>
      </x:c>
      <x:c r="F55" s="12" t="n">
        <x:v>5</x:v>
      </x:c>
      <x:c r="G55" s="12" t="str">
        <x:v>9:36</x:v>
      </x:c>
      <x:c r="H55" s="12" t="n">
        <x:v>576</x:v>
      </x:c>
      <x:c r="I55" s="12" t="str">
        <x:v>研究生宿舍楼</x:v>
      </x:c>
      <x:c r="J55" s="12" t="str">
        <x:v>研究生宿舍楼发车</x:v>
      </x:c>
      <x:c r="K55" s="12" t="str">
        <x:v>HX1_NORMAL</x:v>
      </x:c>
      <x:c r="L55" s="12" t="n">
        <x:v>2</x:v>
      </x:c>
      <x:c r="M55" s="12" t="str">
        <x:v>HX1_NORMAL|2</x:v>
      </x:c>
      <x:c r="N55" s="12" t="str">
        <x:v>东门</x:v>
      </x:c>
      <x:c r="O55" s="12" t="n">
        <x:f>IFERROR(INDEX('秒级路线参数_可调整'!$O:$O,MATCH(M55,'秒级路线参数_可调整'!$A:$A,0)),"")</x:f>
        <x:v>0</x:v>
      </x:c>
      <x:c r="P55" s="12" t="str">
        <x:f>IF(O55="","",O55/86400)</x:f>
      </x:c>
      <x:c r="Q55" s="12" t="str">
        <x:f>IF(O55="","",(H55*60+O55)/86400)</x:f>
      </x:c>
      <x:c r="R55" s="12" t="str">
        <x:f>IF(Q55="","",TEXT(Q55,"hh:mm:ss"))</x:f>
      </x:c>
      <x:c r="S55" s="12" t="str">
        <x:v>否</x:v>
      </x:c>
      <x:c r="T55" s="12" t="str">
        <x:v>否</x:v>
      </x:c>
      <x:c r="U55" s="12" t="str">
        <x:v>未提供</x:v>
      </x:c>
      <x:c r="V55" s="12" t="str">
        <x:v>未提供</x:v>
      </x:c>
      <x:c r="W55" s="12" t="str">
        <x:v>秒级预测</x:v>
      </x:c>
      <x:c r="X55" s="12" t="str">
        <x:v>基于路线秒级参数；如录入实测或手动采用秒，预计到达时间可随公式更新</x:v>
      </x:c>
    </x:row>
    <x:row r="56">
      <x:c r="A56" s="12" t="str">
        <x:v>S0005-03</x:v>
      </x:c>
      <x:c r="B56" s="12" t="str">
        <x:v>S0005</x:v>
      </x:c>
      <x:c r="C56" s="12" t="str">
        <x:v>工作日</x:v>
      </x:c>
      <x:c r="D56" s="12" t="str">
        <x:v>环线1路</x:v>
      </x:c>
      <x:c r="E56" s="12" t="str">
        <x:v>第一班</x:v>
      </x:c>
      <x:c r="F56" s="12" t="n">
        <x:v>5</x:v>
      </x:c>
      <x:c r="G56" s="12" t="str">
        <x:v>9:36</x:v>
      </x:c>
      <x:c r="H56" s="12" t="n">
        <x:v>576</x:v>
      </x:c>
      <x:c r="I56" s="12" t="str">
        <x:v>研究生宿舍楼</x:v>
      </x:c>
      <x:c r="J56" s="12" t="str">
        <x:v>研究生宿舍楼发车</x:v>
      </x:c>
      <x:c r="K56" s="12" t="str">
        <x:v>HX1_NORMAL</x:v>
      </x:c>
      <x:c r="L56" s="12" t="n">
        <x:v>3</x:v>
      </x:c>
      <x:c r="M56" s="12" t="str">
        <x:v>HX1_NORMAL|3</x:v>
      </x:c>
      <x:c r="N56" s="12" t="str">
        <x:v>2号宿舍楼</x:v>
      </x:c>
      <x:c r="O56" s="12" t="n">
        <x:f>IFERROR(INDEX('秒级路线参数_可调整'!$O:$O,MATCH(M56,'秒级路线参数_可调整'!$A:$A,0)),"")</x:f>
        <x:v>0</x:v>
      </x:c>
      <x:c r="P56" s="12" t="str">
        <x:f>IF(O56="","",O56/86400)</x:f>
      </x:c>
      <x:c r="Q56" s="12" t="str">
        <x:f>IF(O56="","",(H56*60+O56)/86400)</x:f>
      </x:c>
      <x:c r="R56" s="12" t="str">
        <x:f>IF(Q56="","",TEXT(Q56,"hh:mm:ss"))</x:f>
      </x:c>
      <x:c r="S56" s="12" t="str">
        <x:v>否</x:v>
      </x:c>
      <x:c r="T56" s="12" t="str">
        <x:v>否</x:v>
      </x:c>
      <x:c r="U56" s="12" t="str">
        <x:v>未提供</x:v>
      </x:c>
      <x:c r="V56" s="12" t="str">
        <x:v>未提供</x:v>
      </x:c>
      <x:c r="W56" s="12" t="str">
        <x:v>秒级预测</x:v>
      </x:c>
      <x:c r="X56" s="12" t="str">
        <x:v>基于路线秒级参数；如录入实测或手动采用秒，预计到达时间可随公式更新</x:v>
      </x:c>
    </x:row>
    <x:row r="57">
      <x:c r="A57" s="12" t="str">
        <x:v>S0005-04</x:v>
      </x:c>
      <x:c r="B57" s="12" t="str">
        <x:v>S0005</x:v>
      </x:c>
      <x:c r="C57" s="12" t="str">
        <x:v>工作日</x:v>
      </x:c>
      <x:c r="D57" s="12" t="str">
        <x:v>环线1路</x:v>
      </x:c>
      <x:c r="E57" s="12" t="str">
        <x:v>第一班</x:v>
      </x:c>
      <x:c r="F57" s="12" t="n">
        <x:v>5</x:v>
      </x:c>
      <x:c r="G57" s="12" t="str">
        <x:v>9:36</x:v>
      </x:c>
      <x:c r="H57" s="12" t="n">
        <x:v>576</x:v>
      </x:c>
      <x:c r="I57" s="12" t="str">
        <x:v>研究生宿舍楼</x:v>
      </x:c>
      <x:c r="J57" s="12" t="str">
        <x:v>研究生宿舍楼发车</x:v>
      </x:c>
      <x:c r="K57" s="12" t="str">
        <x:v>HX1_NORMAL</x:v>
      </x:c>
      <x:c r="L57" s="12" t="n">
        <x:v>4</x:v>
      </x:c>
      <x:c r="M57" s="12" t="str">
        <x:v>HX1_NORMAL|4</x:v>
      </x:c>
      <x:c r="N57" s="12" t="str">
        <x:v>军体活动中心</x:v>
      </x:c>
      <x:c r="O57" s="12" t="n">
        <x:f>IFERROR(INDEX('秒级路线参数_可调整'!$O:$O,MATCH(M57,'秒级路线参数_可调整'!$A:$A,0)),"")</x:f>
        <x:v>0</x:v>
      </x:c>
      <x:c r="P57" s="12" t="str">
        <x:f>IF(O57="","",O57/86400)</x:f>
      </x:c>
      <x:c r="Q57" s="12" t="str">
        <x:f>IF(O57="","",(H57*60+O57)/86400)</x:f>
      </x:c>
      <x:c r="R57" s="12" t="str">
        <x:f>IF(Q57="","",TEXT(Q57,"hh:mm:ss"))</x:f>
      </x:c>
      <x:c r="S57" s="12" t="str">
        <x:v>否</x:v>
      </x:c>
      <x:c r="T57" s="12" t="str">
        <x:v>否</x:v>
      </x:c>
      <x:c r="U57" s="12" t="str">
        <x:v>未提供</x:v>
      </x:c>
      <x:c r="V57" s="12" t="str">
        <x:v>未提供</x:v>
      </x:c>
      <x:c r="W57" s="12" t="str">
        <x:v>秒级预测</x:v>
      </x:c>
      <x:c r="X57" s="12" t="str">
        <x:v>基于路线秒级参数；如录入实测或手动采用秒，预计到达时间可随公式更新</x:v>
      </x:c>
    </x:row>
    <x:row r="58">
      <x:c r="A58" s="12" t="str">
        <x:v>S0005-05</x:v>
      </x:c>
      <x:c r="B58" s="12" t="str">
        <x:v>S0005</x:v>
      </x:c>
      <x:c r="C58" s="12" t="str">
        <x:v>工作日</x:v>
      </x:c>
      <x:c r="D58" s="12" t="str">
        <x:v>环线1路</x:v>
      </x:c>
      <x:c r="E58" s="12" t="str">
        <x:v>第一班</x:v>
      </x:c>
      <x:c r="F58" s="12" t="n">
        <x:v>5</x:v>
      </x:c>
      <x:c r="G58" s="12" t="str">
        <x:v>9:36</x:v>
      </x:c>
      <x:c r="H58" s="12" t="n">
        <x:v>576</x:v>
      </x:c>
      <x:c r="I58" s="12" t="str">
        <x:v>研究生宿舍楼</x:v>
      </x:c>
      <x:c r="J58" s="12" t="str">
        <x:v>研究生宿舍楼发车</x:v>
      </x:c>
      <x:c r="K58" s="12" t="str">
        <x:v>HX1_NORMAL</x:v>
      </x:c>
      <x:c r="L58" s="12" t="n">
        <x:v>5</x:v>
      </x:c>
      <x:c r="M58" s="12" t="str">
        <x:v>HX1_NORMAL|5</x:v>
      </x:c>
      <x:c r="N58" s="12" t="str">
        <x:v>激光所</x:v>
      </x:c>
      <x:c r="O58" s="12" t="n">
        <x:f>IFERROR(INDEX('秒级路线参数_可调整'!$O:$O,MATCH(M58,'秒级路线参数_可调整'!$A:$A,0)),"")</x:f>
        <x:v>0</x:v>
      </x:c>
      <x:c r="P58" s="12" t="str">
        <x:f>IF(O58="","",O58/86400)</x:f>
      </x:c>
      <x:c r="Q58" s="12" t="str">
        <x:f>IF(O58="","",(H58*60+O58)/86400)</x:f>
      </x:c>
      <x:c r="R58" s="12" t="str">
        <x:f>IF(Q58="","",TEXT(Q58,"hh:mm:ss"))</x:f>
      </x:c>
      <x:c r="S58" s="12" t="str">
        <x:v>否</x:v>
      </x:c>
      <x:c r="T58" s="12" t="str">
        <x:v>否</x:v>
      </x:c>
      <x:c r="U58" s="12" t="str">
        <x:v>未提供</x:v>
      </x:c>
      <x:c r="V58" s="12" t="str">
        <x:v>未提供</x:v>
      </x:c>
      <x:c r="W58" s="12" t="str">
        <x:v>秒级预测</x:v>
      </x:c>
      <x:c r="X58" s="12" t="str">
        <x:v>基于路线秒级参数；如录入实测或手动采用秒，预计到达时间可随公式更新</x:v>
      </x:c>
    </x:row>
    <x:row r="59">
      <x:c r="A59" s="12" t="str">
        <x:v>S0005-06</x:v>
      </x:c>
      <x:c r="B59" s="12" t="str">
        <x:v>S0005</x:v>
      </x:c>
      <x:c r="C59" s="12" t="str">
        <x:v>工作日</x:v>
      </x:c>
      <x:c r="D59" s="12" t="str">
        <x:v>环线1路</x:v>
      </x:c>
      <x:c r="E59" s="12" t="str">
        <x:v>第一班</x:v>
      </x:c>
      <x:c r="F59" s="12" t="n">
        <x:v>5</x:v>
      </x:c>
      <x:c r="G59" s="12" t="str">
        <x:v>9:36</x:v>
      </x:c>
      <x:c r="H59" s="12" t="n">
        <x:v>576</x:v>
      </x:c>
      <x:c r="I59" s="12" t="str">
        <x:v>研究生宿舍楼</x:v>
      </x:c>
      <x:c r="J59" s="12" t="str">
        <x:v>研究生宿舍楼发车</x:v>
      </x:c>
      <x:c r="K59" s="12" t="str">
        <x:v>HX1_NORMAL</x:v>
      </x:c>
      <x:c r="L59" s="12" t="n">
        <x:v>6</x:v>
      </x:c>
      <x:c r="M59" s="12" t="str">
        <x:v>HX1_NORMAL|6</x:v>
      </x:c>
      <x:c r="N59" s="12" t="str">
        <x:v>超算中心</x:v>
      </x:c>
      <x:c r="O59" s="12" t="n">
        <x:f>IFERROR(INDEX('秒级路线参数_可调整'!$O:$O,MATCH(M59,'秒级路线参数_可调整'!$A:$A,0)),"")</x:f>
        <x:v>0</x:v>
      </x:c>
      <x:c r="P59" s="12" t="str">
        <x:f>IF(O59="","",O59/86400)</x:f>
      </x:c>
      <x:c r="Q59" s="12" t="str">
        <x:f>IF(O59="","",(H59*60+O59)/86400)</x:f>
      </x:c>
      <x:c r="R59" s="12" t="str">
        <x:f>IF(Q59="","",TEXT(Q59,"hh:mm:ss"))</x:f>
      </x:c>
      <x:c r="S59" s="12" t="str">
        <x:v>否</x:v>
      </x:c>
      <x:c r="T59" s="12" t="str">
        <x:v>否</x:v>
      </x:c>
      <x:c r="U59" s="12" t="str">
        <x:v>未提供</x:v>
      </x:c>
      <x:c r="V59" s="12" t="str">
        <x:v>未提供</x:v>
      </x:c>
      <x:c r="W59" s="12" t="str">
        <x:v>秒级预测</x:v>
      </x:c>
      <x:c r="X59" s="12" t="str">
        <x:v>基于路线秒级参数；如录入实测或手动采用秒，预计到达时间可随公式更新</x:v>
      </x:c>
    </x:row>
    <x:row r="60">
      <x:c r="A60" s="12" t="str">
        <x:v>S0005-07</x:v>
      </x:c>
      <x:c r="B60" s="12" t="str">
        <x:v>S0005</x:v>
      </x:c>
      <x:c r="C60" s="12" t="str">
        <x:v>工作日</x:v>
      </x:c>
      <x:c r="D60" s="12" t="str">
        <x:v>环线1路</x:v>
      </x:c>
      <x:c r="E60" s="12" t="str">
        <x:v>第一班</x:v>
      </x:c>
      <x:c r="F60" s="12" t="n">
        <x:v>5</x:v>
      </x:c>
      <x:c r="G60" s="12" t="str">
        <x:v>9:36</x:v>
      </x:c>
      <x:c r="H60" s="12" t="n">
        <x:v>576</x:v>
      </x:c>
      <x:c r="I60" s="12" t="str">
        <x:v>研究生宿舍楼</x:v>
      </x:c>
      <x:c r="J60" s="12" t="str">
        <x:v>研究生宿舍楼发车</x:v>
      </x:c>
      <x:c r="K60" s="12" t="str">
        <x:v>HX1_NORMAL</x:v>
      </x:c>
      <x:c r="L60" s="12" t="n">
        <x:v>7</x:v>
      </x:c>
      <x:c r="M60" s="12" t="str">
        <x:v>HX1_NORMAL|7</x:v>
      </x:c>
      <x:c r="N60" s="12" t="str">
        <x:v>北门</x:v>
      </x:c>
      <x:c r="O60" s="12" t="n">
        <x:f>IFERROR(INDEX('秒级路线参数_可调整'!$O:$O,MATCH(M60,'秒级路线参数_可调整'!$A:$A,0)),"")</x:f>
        <x:v>0</x:v>
      </x:c>
      <x:c r="P60" s="12" t="str">
        <x:f>IF(O60="","",O60/86400)</x:f>
      </x:c>
      <x:c r="Q60" s="12" t="str">
        <x:f>IF(O60="","",(H60*60+O60)/86400)</x:f>
      </x:c>
      <x:c r="R60" s="12" t="str">
        <x:f>IF(Q60="","",TEXT(Q60,"hh:mm:ss"))</x:f>
      </x:c>
      <x:c r="S60" s="12" t="str">
        <x:v>否</x:v>
      </x:c>
      <x:c r="T60" s="12" t="str">
        <x:v>否</x:v>
      </x:c>
      <x:c r="U60" s="12" t="str">
        <x:v>未提供</x:v>
      </x:c>
      <x:c r="V60" s="12" t="str">
        <x:v>未提供</x:v>
      </x:c>
      <x:c r="W60" s="12" t="str">
        <x:v>秒级预测</x:v>
      </x:c>
      <x:c r="X60" s="12" t="str">
        <x:v>基于路线秒级参数；如录入实测或手动采用秒，预计到达时间可随公式更新</x:v>
      </x:c>
    </x:row>
    <x:row r="61">
      <x:c r="A61" s="12" t="str">
        <x:v>S0005-08</x:v>
      </x:c>
      <x:c r="B61" s="12" t="str">
        <x:v>S0005</x:v>
      </x:c>
      <x:c r="C61" s="12" t="str">
        <x:v>工作日</x:v>
      </x:c>
      <x:c r="D61" s="12" t="str">
        <x:v>环线1路</x:v>
      </x:c>
      <x:c r="E61" s="12" t="str">
        <x:v>第一班</x:v>
      </x:c>
      <x:c r="F61" s="12" t="n">
        <x:v>5</x:v>
      </x:c>
      <x:c r="G61" s="12" t="str">
        <x:v>9:36</x:v>
      </x:c>
      <x:c r="H61" s="12" t="n">
        <x:v>576</x:v>
      </x:c>
      <x:c r="I61" s="12" t="str">
        <x:v>研究生宿舍楼</x:v>
      </x:c>
      <x:c r="J61" s="12" t="str">
        <x:v>研究生宿舍楼发车</x:v>
      </x:c>
      <x:c r="K61" s="12" t="str">
        <x:v>HX1_NORMAL</x:v>
      </x:c>
      <x:c r="L61" s="12" t="n">
        <x:v>8</x:v>
      </x:c>
      <x:c r="M61" s="12" t="str">
        <x:v>HX1_NORMAL|8</x:v>
      </x:c>
      <x:c r="N61" s="12" t="str">
        <x:v>高超楼</x:v>
      </x:c>
      <x:c r="O61" s="12" t="n">
        <x:f>IFERROR(INDEX('秒级路线参数_可调整'!$O:$O,MATCH(M61,'秒级路线参数_可调整'!$A:$A,0)),"")</x:f>
        <x:v>0</x:v>
      </x:c>
      <x:c r="P61" s="12" t="str">
        <x:f>IF(O61="","",O61/86400)</x:f>
      </x:c>
      <x:c r="Q61" s="12" t="str">
        <x:f>IF(O61="","",(H61*60+O61)/86400)</x:f>
      </x:c>
      <x:c r="R61" s="12" t="str">
        <x:f>IF(Q61="","",TEXT(Q61,"hh:mm:ss"))</x:f>
      </x:c>
      <x:c r="S61" s="12" t="str">
        <x:v>否</x:v>
      </x:c>
      <x:c r="T61" s="12" t="str">
        <x:v>否</x:v>
      </x:c>
      <x:c r="U61" s="12" t="str">
        <x:v>未提供</x:v>
      </x:c>
      <x:c r="V61" s="12" t="str">
        <x:v>未提供</x:v>
      </x:c>
      <x:c r="W61" s="12" t="str">
        <x:v>秒级预测</x:v>
      </x:c>
      <x:c r="X61" s="12" t="str">
        <x:v>基于路线秒级参数；如录入实测或手动采用秒，预计到达时间可随公式更新</x:v>
      </x:c>
    </x:row>
    <x:row r="62">
      <x:c r="A62" s="12" t="str">
        <x:v>S0005-09</x:v>
      </x:c>
      <x:c r="B62" s="12" t="str">
        <x:v>S0005</x:v>
      </x:c>
      <x:c r="C62" s="12" t="str">
        <x:v>工作日</x:v>
      </x:c>
      <x:c r="D62" s="12" t="str">
        <x:v>环线1路</x:v>
      </x:c>
      <x:c r="E62" s="12" t="str">
        <x:v>第一班</x:v>
      </x:c>
      <x:c r="F62" s="12" t="n">
        <x:v>5</x:v>
      </x:c>
      <x:c r="G62" s="12" t="str">
        <x:v>9:36</x:v>
      </x:c>
      <x:c r="H62" s="12" t="n">
        <x:v>576</x:v>
      </x:c>
      <x:c r="I62" s="12" t="str">
        <x:v>研究生宿舍楼</x:v>
      </x:c>
      <x:c r="J62" s="12" t="str">
        <x:v>研究生宿舍楼发车</x:v>
      </x:c>
      <x:c r="K62" s="12" t="str">
        <x:v>HX1_NORMAL</x:v>
      </x:c>
      <x:c r="L62" s="12" t="n">
        <x:v>9</x:v>
      </x:c>
      <x:c r="M62" s="12" t="str">
        <x:v>HX1_NORMAL|9</x:v>
      </x:c>
      <x:c r="N62" s="12" t="str">
        <x:v>理学院</x:v>
      </x:c>
      <x:c r="O62" s="12" t="n">
        <x:f>IFERROR(INDEX('秒级路线参数_可调整'!$O:$O,MATCH(M62,'秒级路线参数_可调整'!$A:$A,0)),"")</x:f>
        <x:v>0</x:v>
      </x:c>
      <x:c r="P62" s="12" t="str">
        <x:f>IF(O62="","",O62/86400)</x:f>
      </x:c>
      <x:c r="Q62" s="12" t="str">
        <x:f>IF(O62="","",(H62*60+O62)/86400)</x:f>
      </x:c>
      <x:c r="R62" s="12" t="str">
        <x:f>IF(Q62="","",TEXT(Q62,"hh:mm:ss"))</x:f>
      </x:c>
      <x:c r="S62" s="12" t="str">
        <x:v>否</x:v>
      </x:c>
      <x:c r="T62" s="12" t="str">
        <x:v>否</x:v>
      </x:c>
      <x:c r="U62" s="12" t="str">
        <x:v>未提供</x:v>
      </x:c>
      <x:c r="V62" s="12" t="str">
        <x:v>未提供</x:v>
      </x:c>
      <x:c r="W62" s="12" t="str">
        <x:v>秒级预测</x:v>
      </x:c>
      <x:c r="X62" s="12" t="str">
        <x:v>基于路线秒级参数；如录入实测或手动采用秒，预计到达时间可随公式更新</x:v>
      </x:c>
    </x:row>
    <x:row r="63">
      <x:c r="A63" s="12" t="str">
        <x:v>S0005-10</x:v>
      </x:c>
      <x:c r="B63" s="12" t="str">
        <x:v>S0005</x:v>
      </x:c>
      <x:c r="C63" s="12" t="str">
        <x:v>工作日</x:v>
      </x:c>
      <x:c r="D63" s="12" t="str">
        <x:v>环线1路</x:v>
      </x:c>
      <x:c r="E63" s="12" t="str">
        <x:v>第一班</x:v>
      </x:c>
      <x:c r="F63" s="12" t="n">
        <x:v>5</x:v>
      </x:c>
      <x:c r="G63" s="12" t="str">
        <x:v>9:36</x:v>
      </x:c>
      <x:c r="H63" s="12" t="n">
        <x:v>576</x:v>
      </x:c>
      <x:c r="I63" s="12" t="str">
        <x:v>研究生宿舍楼</x:v>
      </x:c>
      <x:c r="J63" s="12" t="str">
        <x:v>研究生宿舍楼发车</x:v>
      </x:c>
      <x:c r="K63" s="12" t="str">
        <x:v>HX1_NORMAL</x:v>
      </x:c>
      <x:c r="L63" s="12" t="n">
        <x:v>10</x:v>
      </x:c>
      <x:c r="M63" s="12" t="str">
        <x:v>HX1_NORMAL|10</x:v>
      </x:c>
      <x:c r="N63" s="12" t="str">
        <x:v>二食堂</x:v>
      </x:c>
      <x:c r="O63" s="12" t="n">
        <x:f>IFERROR(INDEX('秒级路线参数_可调整'!$O:$O,MATCH(M63,'秒级路线参数_可调整'!$A:$A,0)),"")</x:f>
        <x:v>0</x:v>
      </x:c>
      <x:c r="P63" s="12" t="str">
        <x:f>IF(O63="","",O63/86400)</x:f>
      </x:c>
      <x:c r="Q63" s="12" t="str">
        <x:f>IF(O63="","",(H63*60+O63)/86400)</x:f>
      </x:c>
      <x:c r="R63" s="12" t="str">
        <x:f>IF(Q63="","",TEXT(Q63,"hh:mm:ss"))</x:f>
      </x:c>
      <x:c r="S63" s="12" t="str">
        <x:v>否</x:v>
      </x:c>
      <x:c r="T63" s="12" t="str">
        <x:v>否</x:v>
      </x:c>
      <x:c r="U63" s="12" t="str">
        <x:v>未提供</x:v>
      </x:c>
      <x:c r="V63" s="12" t="str">
        <x:v>未提供</x:v>
      </x:c>
      <x:c r="W63" s="12" t="str">
        <x:v>秒级预测</x:v>
      </x:c>
      <x:c r="X63" s="12" t="str">
        <x:v>基于路线秒级参数；如录入实测或手动采用秒，预计到达时间可随公式更新</x:v>
      </x:c>
    </x:row>
    <x:row r="64">
      <x:c r="A64" s="12" t="str">
        <x:v>S0005-11</x:v>
      </x:c>
      <x:c r="B64" s="12" t="str">
        <x:v>S0005</x:v>
      </x:c>
      <x:c r="C64" s="12" t="str">
        <x:v>工作日</x:v>
      </x:c>
      <x:c r="D64" s="12" t="str">
        <x:v>环线1路</x:v>
      </x:c>
      <x:c r="E64" s="12" t="str">
        <x:v>第一班</x:v>
      </x:c>
      <x:c r="F64" s="12" t="n">
        <x:v>5</x:v>
      </x:c>
      <x:c r="G64" s="12" t="str">
        <x:v>9:36</x:v>
      </x:c>
      <x:c r="H64" s="12" t="n">
        <x:v>576</x:v>
      </x:c>
      <x:c r="I64" s="12" t="str">
        <x:v>研究生宿舍楼</x:v>
      </x:c>
      <x:c r="J64" s="12" t="str">
        <x:v>研究生宿舍楼发车</x:v>
      </x:c>
      <x:c r="K64" s="12" t="str">
        <x:v>HX1_NORMAL</x:v>
      </x:c>
      <x:c r="L64" s="12" t="n">
        <x:v>11</x:v>
      </x:c>
      <x:c r="M64" s="12" t="str">
        <x:v>HX1_NORMAL|11</x:v>
      </x:c>
      <x:c r="N64" s="12" t="str">
        <x:v>5号宿舍楼</x:v>
      </x:c>
      <x:c r="O64" s="12" t="n">
        <x:f>IFERROR(INDEX('秒级路线参数_可调整'!$O:$O,MATCH(M64,'秒级路线参数_可调整'!$A:$A,0)),"")</x:f>
        <x:v>0</x:v>
      </x:c>
      <x:c r="P64" s="12" t="str">
        <x:f>IF(O64="","",O64/86400)</x:f>
      </x:c>
      <x:c r="Q64" s="12" t="str">
        <x:f>IF(O64="","",(H64*60+O64)/86400)</x:f>
      </x:c>
      <x:c r="R64" s="12" t="str">
        <x:f>IF(Q64="","",TEXT(Q64,"hh:mm:ss"))</x:f>
      </x:c>
      <x:c r="S64" s="12" t="str">
        <x:v>否</x:v>
      </x:c>
      <x:c r="T64" s="12" t="str">
        <x:v>否</x:v>
      </x:c>
      <x:c r="U64" s="12" t="str">
        <x:v>未提供</x:v>
      </x:c>
      <x:c r="V64" s="12" t="str">
        <x:v>未提供</x:v>
      </x:c>
      <x:c r="W64" s="12" t="str">
        <x:v>秒级预测</x:v>
      </x:c>
      <x:c r="X64" s="12" t="str">
        <x:v>基于路线秒级参数；如录入实测或手动采用秒，预计到达时间可随公式更新</x:v>
      </x:c>
    </x:row>
    <x:row r="65">
      <x:c r="A65" s="12" t="str">
        <x:v>S0005-12</x:v>
      </x:c>
      <x:c r="B65" s="12" t="str">
        <x:v>S0005</x:v>
      </x:c>
      <x:c r="C65" s="12" t="str">
        <x:v>工作日</x:v>
      </x:c>
      <x:c r="D65" s="12" t="str">
        <x:v>环线1路</x:v>
      </x:c>
      <x:c r="E65" s="12" t="str">
        <x:v>第一班</x:v>
      </x:c>
      <x:c r="F65" s="12" t="n">
        <x:v>5</x:v>
      </x:c>
      <x:c r="G65" s="12" t="str">
        <x:v>9:36</x:v>
      </x:c>
      <x:c r="H65" s="12" t="n">
        <x:v>576</x:v>
      </x:c>
      <x:c r="I65" s="12" t="str">
        <x:v>研究生宿舍楼</x:v>
      </x:c>
      <x:c r="J65" s="12" t="str">
        <x:v>研究生宿舍楼发车</x:v>
      </x:c>
      <x:c r="K65" s="12" t="str">
        <x:v>HX1_NORMAL</x:v>
      </x:c>
      <x:c r="L65" s="12" t="n">
        <x:v>12</x:v>
      </x:c>
      <x:c r="M65" s="12" t="str">
        <x:v>HX1_NORMAL|12</x:v>
      </x:c>
      <x:c r="N65" s="12" t="str">
        <x:v>305教学楼</x:v>
      </x:c>
      <x:c r="O65" s="12" t="n">
        <x:f>IFERROR(INDEX('秒级路线参数_可调整'!$O:$O,MATCH(M65,'秒级路线参数_可调整'!$A:$A,0)),"")</x:f>
        <x:v>0</x:v>
      </x:c>
      <x:c r="P65" s="12" t="str">
        <x:f>IF(O65="","",O65/86400)</x:f>
      </x:c>
      <x:c r="Q65" s="12" t="str">
        <x:f>IF(O65="","",(H65*60+O65)/86400)</x:f>
      </x:c>
      <x:c r="R65" s="12" t="str">
        <x:f>IF(Q65="","",TEXT(Q65,"hh:mm:ss"))</x:f>
      </x:c>
      <x:c r="S65" s="12" t="str">
        <x:v>否</x:v>
      </x:c>
      <x:c r="T65" s="12" t="str">
        <x:v>否</x:v>
      </x:c>
      <x:c r="U65" s="12" t="str">
        <x:v>未提供</x:v>
      </x:c>
      <x:c r="V65" s="12" t="str">
        <x:v>未提供</x:v>
      </x:c>
      <x:c r="W65" s="12" t="str">
        <x:v>秒级预测</x:v>
      </x:c>
      <x:c r="X65" s="12" t="str">
        <x:v>基于路线秒级参数；如录入实测或手动采用秒，预计到达时间可随公式更新</x:v>
      </x:c>
    </x:row>
    <x:row r="66">
      <x:c r="A66" s="12" t="str">
        <x:v>S0005-13</x:v>
      </x:c>
      <x:c r="B66" s="12" t="str">
        <x:v>S0005</x:v>
      </x:c>
      <x:c r="C66" s="12" t="str">
        <x:v>工作日</x:v>
      </x:c>
      <x:c r="D66" s="12" t="str">
        <x:v>环线1路</x:v>
      </x:c>
      <x:c r="E66" s="12" t="str">
        <x:v>第一班</x:v>
      </x:c>
      <x:c r="F66" s="12" t="n">
        <x:v>5</x:v>
      </x:c>
      <x:c r="G66" s="12" t="str">
        <x:v>9:36</x:v>
      </x:c>
      <x:c r="H66" s="12" t="n">
        <x:v>576</x:v>
      </x:c>
      <x:c r="I66" s="12" t="str">
        <x:v>研究生宿舍楼</x:v>
      </x:c>
      <x:c r="J66" s="12" t="str">
        <x:v>研究生宿舍楼发车</x:v>
      </x:c>
      <x:c r="K66" s="12" t="str">
        <x:v>HX1_NORMAL</x:v>
      </x:c>
      <x:c r="L66" s="12" t="n">
        <x:v>13</x:v>
      </x:c>
      <x:c r="M66" s="12" t="str">
        <x:v>HX1_NORMAL|13</x:v>
      </x:c>
      <x:c r="N66" s="12" t="str">
        <x:v>研究生宿舍楼</x:v>
      </x:c>
      <x:c r="O66" s="12" t="n">
        <x:f>IFERROR(INDEX('秒级路线参数_可调整'!$O:$O,MATCH(M66,'秒级路线参数_可调整'!$A:$A,0)),"")</x:f>
        <x:v>0</x:v>
      </x:c>
      <x:c r="P66" s="12" t="str">
        <x:f>IF(O66="","",O66/86400)</x:f>
      </x:c>
      <x:c r="Q66" s="12" t="str">
        <x:f>IF(O66="","",(H66*60+O66)/86400)</x:f>
      </x:c>
      <x:c r="R66" s="12" t="str">
        <x:f>IF(Q66="","",TEXT(Q66,"hh:mm:ss"))</x:f>
      </x:c>
      <x:c r="S66" s="12" t="str">
        <x:v>否</x:v>
      </x:c>
      <x:c r="T66" s="12" t="str">
        <x:v>是</x:v>
      </x:c>
      <x:c r="U66" s="12" t="str">
        <x:v>未提供</x:v>
      </x:c>
      <x:c r="V66" s="12" t="str">
        <x:v>未提供</x:v>
      </x:c>
      <x:c r="W66" s="12" t="str">
        <x:v>秒级预测</x:v>
      </x:c>
      <x:c r="X66" s="12" t="str">
        <x:v>基于路线秒级参数；如录入实测或手动采用秒，预计到达时间可随公式更新</x:v>
      </x:c>
    </x:row>
    <x:row r="67">
      <x:c r="A67" s="12" t="str">
        <x:v>S0006-01</x:v>
      </x:c>
      <x:c r="B67" s="12" t="str">
        <x:v>S0006</x:v>
      </x:c>
      <x:c r="C67" s="12" t="str">
        <x:v>工作日</x:v>
      </x:c>
      <x:c r="D67" s="12" t="str">
        <x:v>环线1路</x:v>
      </x:c>
      <x:c r="E67" s="12" t="str">
        <x:v>第一班</x:v>
      </x:c>
      <x:c r="F67" s="12" t="n">
        <x:v>6</x:v>
      </x:c>
      <x:c r="G67" s="12" t="str">
        <x:v>10:15</x:v>
      </x:c>
      <x:c r="H67" s="12" t="n">
        <x:v>615</x:v>
      </x:c>
      <x:c r="I67" s="12" t="str">
        <x:v>研究生宿舍楼</x:v>
      </x:c>
      <x:c r="J67" s="12" t="str">
        <x:v>研究生宿舍楼发车</x:v>
      </x:c>
      <x:c r="K67" s="12" t="str">
        <x:v>HX1_NORMAL</x:v>
      </x:c>
      <x:c r="L67" s="12" t="n">
        <x:v>1</x:v>
      </x:c>
      <x:c r="M67" s="12" t="str">
        <x:v>HX1_NORMAL|1</x:v>
      </x:c>
      <x:c r="N67" s="12" t="str">
        <x:v>研究生宿舍楼</x:v>
      </x:c>
      <x:c r="O67" s="12" t="n">
        <x:f>IFERROR(INDEX('秒级路线参数_可调整'!$O:$O,MATCH(M67,'秒级路线参数_可调整'!$A:$A,0)),"")</x:f>
        <x:v>0</x:v>
      </x:c>
      <x:c r="P67" s="12" t="str">
        <x:f>IF(O67="","",O67/86400)</x:f>
      </x:c>
      <x:c r="Q67" s="12" t="str">
        <x:f>IF(O67="","",(H67*60+O67)/86400)</x:f>
      </x:c>
      <x:c r="R67" s="12" t="str">
        <x:f>IF(Q67="","",TEXT(Q67,"hh:mm:ss"))</x:f>
      </x:c>
      <x:c r="S67" s="12" t="str">
        <x:v>是</x:v>
      </x:c>
      <x:c r="T67" s="12" t="str">
        <x:v>否</x:v>
      </x:c>
      <x:c r="U67" s="12" t="str">
        <x:v>未提供</x:v>
      </x:c>
      <x:c r="V67" s="12" t="str">
        <x:v>未提供</x:v>
      </x:c>
      <x:c r="W67" s="12" t="str">
        <x:v>秒级预测</x:v>
      </x:c>
      <x:c r="X67" s="12" t="str">
        <x:v>基于路线秒级参数；如录入实测或手动采用秒，预计到达时间可随公式更新</x:v>
      </x:c>
    </x:row>
    <x:row r="68">
      <x:c r="A68" s="12" t="str">
        <x:v>S0006-02</x:v>
      </x:c>
      <x:c r="B68" s="12" t="str">
        <x:v>S0006</x:v>
      </x:c>
      <x:c r="C68" s="12" t="str">
        <x:v>工作日</x:v>
      </x:c>
      <x:c r="D68" s="12" t="str">
        <x:v>环线1路</x:v>
      </x:c>
      <x:c r="E68" s="12" t="str">
        <x:v>第一班</x:v>
      </x:c>
      <x:c r="F68" s="12" t="n">
        <x:v>6</x:v>
      </x:c>
      <x:c r="G68" s="12" t="str">
        <x:v>10:15</x:v>
      </x:c>
      <x:c r="H68" s="12" t="n">
        <x:v>615</x:v>
      </x:c>
      <x:c r="I68" s="12" t="str">
        <x:v>研究生宿舍楼</x:v>
      </x:c>
      <x:c r="J68" s="12" t="str">
        <x:v>研究生宿舍楼发车</x:v>
      </x:c>
      <x:c r="K68" s="12" t="str">
        <x:v>HX1_NORMAL</x:v>
      </x:c>
      <x:c r="L68" s="12" t="n">
        <x:v>2</x:v>
      </x:c>
      <x:c r="M68" s="12" t="str">
        <x:v>HX1_NORMAL|2</x:v>
      </x:c>
      <x:c r="N68" s="12" t="str">
        <x:v>东门</x:v>
      </x:c>
      <x:c r="O68" s="12" t="n">
        <x:f>IFERROR(INDEX('秒级路线参数_可调整'!$O:$O,MATCH(M68,'秒级路线参数_可调整'!$A:$A,0)),"")</x:f>
        <x:v>0</x:v>
      </x:c>
      <x:c r="P68" s="12" t="str">
        <x:f>IF(O68="","",O68/86400)</x:f>
      </x:c>
      <x:c r="Q68" s="12" t="str">
        <x:f>IF(O68="","",(H68*60+O68)/86400)</x:f>
      </x:c>
      <x:c r="R68" s="12" t="str">
        <x:f>IF(Q68="","",TEXT(Q68,"hh:mm:ss"))</x:f>
      </x:c>
      <x:c r="S68" s="12" t="str">
        <x:v>否</x:v>
      </x:c>
      <x:c r="T68" s="12" t="str">
        <x:v>否</x:v>
      </x:c>
      <x:c r="U68" s="12" t="str">
        <x:v>未提供</x:v>
      </x:c>
      <x:c r="V68" s="12" t="str">
        <x:v>未提供</x:v>
      </x:c>
      <x:c r="W68" s="12" t="str">
        <x:v>秒级预测</x:v>
      </x:c>
      <x:c r="X68" s="12" t="str">
        <x:v>基于路线秒级参数；如录入实测或手动采用秒，预计到达时间可随公式更新</x:v>
      </x:c>
    </x:row>
    <x:row r="69">
      <x:c r="A69" s="12" t="str">
        <x:v>S0006-03</x:v>
      </x:c>
      <x:c r="B69" s="12" t="str">
        <x:v>S0006</x:v>
      </x:c>
      <x:c r="C69" s="12" t="str">
        <x:v>工作日</x:v>
      </x:c>
      <x:c r="D69" s="12" t="str">
        <x:v>环线1路</x:v>
      </x:c>
      <x:c r="E69" s="12" t="str">
        <x:v>第一班</x:v>
      </x:c>
      <x:c r="F69" s="12" t="n">
        <x:v>6</x:v>
      </x:c>
      <x:c r="G69" s="12" t="str">
        <x:v>10:15</x:v>
      </x:c>
      <x:c r="H69" s="12" t="n">
        <x:v>615</x:v>
      </x:c>
      <x:c r="I69" s="12" t="str">
        <x:v>研究生宿舍楼</x:v>
      </x:c>
      <x:c r="J69" s="12" t="str">
        <x:v>研究生宿舍楼发车</x:v>
      </x:c>
      <x:c r="K69" s="12" t="str">
        <x:v>HX1_NORMAL</x:v>
      </x:c>
      <x:c r="L69" s="12" t="n">
        <x:v>3</x:v>
      </x:c>
      <x:c r="M69" s="12" t="str">
        <x:v>HX1_NORMAL|3</x:v>
      </x:c>
      <x:c r="N69" s="12" t="str">
        <x:v>2号宿舍楼</x:v>
      </x:c>
      <x:c r="O69" s="12" t="n">
        <x:f>IFERROR(INDEX('秒级路线参数_可调整'!$O:$O,MATCH(M69,'秒级路线参数_可调整'!$A:$A,0)),"")</x:f>
        <x:v>0</x:v>
      </x:c>
      <x:c r="P69" s="12" t="str">
        <x:f>IF(O69="","",O69/86400)</x:f>
      </x:c>
      <x:c r="Q69" s="12" t="str">
        <x:f>IF(O69="","",(H69*60+O69)/86400)</x:f>
      </x:c>
      <x:c r="R69" s="12" t="str">
        <x:f>IF(Q69="","",TEXT(Q69,"hh:mm:ss"))</x:f>
      </x:c>
      <x:c r="S69" s="12" t="str">
        <x:v>否</x:v>
      </x:c>
      <x:c r="T69" s="12" t="str">
        <x:v>否</x:v>
      </x:c>
      <x:c r="U69" s="12" t="str">
        <x:v>未提供</x:v>
      </x:c>
      <x:c r="V69" s="12" t="str">
        <x:v>未提供</x:v>
      </x:c>
      <x:c r="W69" s="12" t="str">
        <x:v>秒级预测</x:v>
      </x:c>
      <x:c r="X69" s="12" t="str">
        <x:v>基于路线秒级参数；如录入实测或手动采用秒，预计到达时间可随公式更新</x:v>
      </x:c>
    </x:row>
    <x:row r="70">
      <x:c r="A70" s="12" t="str">
        <x:v>S0006-04</x:v>
      </x:c>
      <x:c r="B70" s="12" t="str">
        <x:v>S0006</x:v>
      </x:c>
      <x:c r="C70" s="12" t="str">
        <x:v>工作日</x:v>
      </x:c>
      <x:c r="D70" s="12" t="str">
        <x:v>环线1路</x:v>
      </x:c>
      <x:c r="E70" s="12" t="str">
        <x:v>第一班</x:v>
      </x:c>
      <x:c r="F70" s="12" t="n">
        <x:v>6</x:v>
      </x:c>
      <x:c r="G70" s="12" t="str">
        <x:v>10:15</x:v>
      </x:c>
      <x:c r="H70" s="12" t="n">
        <x:v>615</x:v>
      </x:c>
      <x:c r="I70" s="12" t="str">
        <x:v>研究生宿舍楼</x:v>
      </x:c>
      <x:c r="J70" s="12" t="str">
        <x:v>研究生宿舍楼发车</x:v>
      </x:c>
      <x:c r="K70" s="12" t="str">
        <x:v>HX1_NORMAL</x:v>
      </x:c>
      <x:c r="L70" s="12" t="n">
        <x:v>4</x:v>
      </x:c>
      <x:c r="M70" s="12" t="str">
        <x:v>HX1_NORMAL|4</x:v>
      </x:c>
      <x:c r="N70" s="12" t="str">
        <x:v>军体活动中心</x:v>
      </x:c>
      <x:c r="O70" s="12" t="n">
        <x:f>IFERROR(INDEX('秒级路线参数_可调整'!$O:$O,MATCH(M70,'秒级路线参数_可调整'!$A:$A,0)),"")</x:f>
        <x:v>0</x:v>
      </x:c>
      <x:c r="P70" s="12" t="str">
        <x:f>IF(O70="","",O70/86400)</x:f>
      </x:c>
      <x:c r="Q70" s="12" t="str">
        <x:f>IF(O70="","",(H70*60+O70)/86400)</x:f>
      </x:c>
      <x:c r="R70" s="12" t="str">
        <x:f>IF(Q70="","",TEXT(Q70,"hh:mm:ss"))</x:f>
      </x:c>
      <x:c r="S70" s="12" t="str">
        <x:v>否</x:v>
      </x:c>
      <x:c r="T70" s="12" t="str">
        <x:v>否</x:v>
      </x:c>
      <x:c r="U70" s="12" t="str">
        <x:v>未提供</x:v>
      </x:c>
      <x:c r="V70" s="12" t="str">
        <x:v>未提供</x:v>
      </x:c>
      <x:c r="W70" s="12" t="str">
        <x:v>秒级预测</x:v>
      </x:c>
      <x:c r="X70" s="12" t="str">
        <x:v>基于路线秒级参数；如录入实测或手动采用秒，预计到达时间可随公式更新</x:v>
      </x:c>
    </x:row>
    <x:row r="71">
      <x:c r="A71" s="12" t="str">
        <x:v>S0006-05</x:v>
      </x:c>
      <x:c r="B71" s="12" t="str">
        <x:v>S0006</x:v>
      </x:c>
      <x:c r="C71" s="12" t="str">
        <x:v>工作日</x:v>
      </x:c>
      <x:c r="D71" s="12" t="str">
        <x:v>环线1路</x:v>
      </x:c>
      <x:c r="E71" s="12" t="str">
        <x:v>第一班</x:v>
      </x:c>
      <x:c r="F71" s="12" t="n">
        <x:v>6</x:v>
      </x:c>
      <x:c r="G71" s="12" t="str">
        <x:v>10:15</x:v>
      </x:c>
      <x:c r="H71" s="12" t="n">
        <x:v>615</x:v>
      </x:c>
      <x:c r="I71" s="12" t="str">
        <x:v>研究生宿舍楼</x:v>
      </x:c>
      <x:c r="J71" s="12" t="str">
        <x:v>研究生宿舍楼发车</x:v>
      </x:c>
      <x:c r="K71" s="12" t="str">
        <x:v>HX1_NORMAL</x:v>
      </x:c>
      <x:c r="L71" s="12" t="n">
        <x:v>5</x:v>
      </x:c>
      <x:c r="M71" s="12" t="str">
        <x:v>HX1_NORMAL|5</x:v>
      </x:c>
      <x:c r="N71" s="12" t="str">
        <x:v>激光所</x:v>
      </x:c>
      <x:c r="O71" s="12" t="n">
        <x:f>IFERROR(INDEX('秒级路线参数_可调整'!$O:$O,MATCH(M71,'秒级路线参数_可调整'!$A:$A,0)),"")</x:f>
        <x:v>0</x:v>
      </x:c>
      <x:c r="P71" s="12" t="str">
        <x:f>IF(O71="","",O71/86400)</x:f>
      </x:c>
      <x:c r="Q71" s="12" t="str">
        <x:f>IF(O71="","",(H71*60+O71)/86400)</x:f>
      </x:c>
      <x:c r="R71" s="12" t="str">
        <x:f>IF(Q71="","",TEXT(Q71,"hh:mm:ss"))</x:f>
      </x:c>
      <x:c r="S71" s="12" t="str">
        <x:v>否</x:v>
      </x:c>
      <x:c r="T71" s="12" t="str">
        <x:v>否</x:v>
      </x:c>
      <x:c r="U71" s="12" t="str">
        <x:v>未提供</x:v>
      </x:c>
      <x:c r="V71" s="12" t="str">
        <x:v>未提供</x:v>
      </x:c>
      <x:c r="W71" s="12" t="str">
        <x:v>秒级预测</x:v>
      </x:c>
      <x:c r="X71" s="12" t="str">
        <x:v>基于路线秒级参数；如录入实测或手动采用秒，预计到达时间可随公式更新</x:v>
      </x:c>
    </x:row>
    <x:row r="72">
      <x:c r="A72" s="12" t="str">
        <x:v>S0006-06</x:v>
      </x:c>
      <x:c r="B72" s="12" t="str">
        <x:v>S0006</x:v>
      </x:c>
      <x:c r="C72" s="12" t="str">
        <x:v>工作日</x:v>
      </x:c>
      <x:c r="D72" s="12" t="str">
        <x:v>环线1路</x:v>
      </x:c>
      <x:c r="E72" s="12" t="str">
        <x:v>第一班</x:v>
      </x:c>
      <x:c r="F72" s="12" t="n">
        <x:v>6</x:v>
      </x:c>
      <x:c r="G72" s="12" t="str">
        <x:v>10:15</x:v>
      </x:c>
      <x:c r="H72" s="12" t="n">
        <x:v>615</x:v>
      </x:c>
      <x:c r="I72" s="12" t="str">
        <x:v>研究生宿舍楼</x:v>
      </x:c>
      <x:c r="J72" s="12" t="str">
        <x:v>研究生宿舍楼发车</x:v>
      </x:c>
      <x:c r="K72" s="12" t="str">
        <x:v>HX1_NORMAL</x:v>
      </x:c>
      <x:c r="L72" s="12" t="n">
        <x:v>6</x:v>
      </x:c>
      <x:c r="M72" s="12" t="str">
        <x:v>HX1_NORMAL|6</x:v>
      </x:c>
      <x:c r="N72" s="12" t="str">
        <x:v>超算中心</x:v>
      </x:c>
      <x:c r="O72" s="12" t="n">
        <x:f>IFERROR(INDEX('秒级路线参数_可调整'!$O:$O,MATCH(M72,'秒级路线参数_可调整'!$A:$A,0)),"")</x:f>
        <x:v>0</x:v>
      </x:c>
      <x:c r="P72" s="12" t="str">
        <x:f>IF(O72="","",O72/86400)</x:f>
      </x:c>
      <x:c r="Q72" s="12" t="str">
        <x:f>IF(O72="","",(H72*60+O72)/86400)</x:f>
      </x:c>
      <x:c r="R72" s="12" t="str">
        <x:f>IF(Q72="","",TEXT(Q72,"hh:mm:ss"))</x:f>
      </x:c>
      <x:c r="S72" s="12" t="str">
        <x:v>否</x:v>
      </x:c>
      <x:c r="T72" s="12" t="str">
        <x:v>否</x:v>
      </x:c>
      <x:c r="U72" s="12" t="str">
        <x:v>未提供</x:v>
      </x:c>
      <x:c r="V72" s="12" t="str">
        <x:v>未提供</x:v>
      </x:c>
      <x:c r="W72" s="12" t="str">
        <x:v>秒级预测</x:v>
      </x:c>
      <x:c r="X72" s="12" t="str">
        <x:v>基于路线秒级参数；如录入实测或手动采用秒，预计到达时间可随公式更新</x:v>
      </x:c>
    </x:row>
    <x:row r="73">
      <x:c r="A73" s="12" t="str">
        <x:v>S0006-07</x:v>
      </x:c>
      <x:c r="B73" s="12" t="str">
        <x:v>S0006</x:v>
      </x:c>
      <x:c r="C73" s="12" t="str">
        <x:v>工作日</x:v>
      </x:c>
      <x:c r="D73" s="12" t="str">
        <x:v>环线1路</x:v>
      </x:c>
      <x:c r="E73" s="12" t="str">
        <x:v>第一班</x:v>
      </x:c>
      <x:c r="F73" s="12" t="n">
        <x:v>6</x:v>
      </x:c>
      <x:c r="G73" s="12" t="str">
        <x:v>10:15</x:v>
      </x:c>
      <x:c r="H73" s="12" t="n">
        <x:v>615</x:v>
      </x:c>
      <x:c r="I73" s="12" t="str">
        <x:v>研究生宿舍楼</x:v>
      </x:c>
      <x:c r="J73" s="12" t="str">
        <x:v>研究生宿舍楼发车</x:v>
      </x:c>
      <x:c r="K73" s="12" t="str">
        <x:v>HX1_NORMAL</x:v>
      </x:c>
      <x:c r="L73" s="12" t="n">
        <x:v>7</x:v>
      </x:c>
      <x:c r="M73" s="12" t="str">
        <x:v>HX1_NORMAL|7</x:v>
      </x:c>
      <x:c r="N73" s="12" t="str">
        <x:v>北门</x:v>
      </x:c>
      <x:c r="O73" s="12" t="n">
        <x:f>IFERROR(INDEX('秒级路线参数_可调整'!$O:$O,MATCH(M73,'秒级路线参数_可调整'!$A:$A,0)),"")</x:f>
        <x:v>0</x:v>
      </x:c>
      <x:c r="P73" s="12" t="str">
        <x:f>IF(O73="","",O73/86400)</x:f>
      </x:c>
      <x:c r="Q73" s="12" t="str">
        <x:f>IF(O73="","",(H73*60+O73)/86400)</x:f>
      </x:c>
      <x:c r="R73" s="12" t="str">
        <x:f>IF(Q73="","",TEXT(Q73,"hh:mm:ss"))</x:f>
      </x:c>
      <x:c r="S73" s="12" t="str">
        <x:v>否</x:v>
      </x:c>
      <x:c r="T73" s="12" t="str">
        <x:v>否</x:v>
      </x:c>
      <x:c r="U73" s="12" t="str">
        <x:v>未提供</x:v>
      </x:c>
      <x:c r="V73" s="12" t="str">
        <x:v>未提供</x:v>
      </x:c>
      <x:c r="W73" s="12" t="str">
        <x:v>秒级预测</x:v>
      </x:c>
      <x:c r="X73" s="12" t="str">
        <x:v>基于路线秒级参数；如录入实测或手动采用秒，预计到达时间可随公式更新</x:v>
      </x:c>
    </x:row>
    <x:row r="74">
      <x:c r="A74" s="12" t="str">
        <x:v>S0006-08</x:v>
      </x:c>
      <x:c r="B74" s="12" t="str">
        <x:v>S0006</x:v>
      </x:c>
      <x:c r="C74" s="12" t="str">
        <x:v>工作日</x:v>
      </x:c>
      <x:c r="D74" s="12" t="str">
        <x:v>环线1路</x:v>
      </x:c>
      <x:c r="E74" s="12" t="str">
        <x:v>第一班</x:v>
      </x:c>
      <x:c r="F74" s="12" t="n">
        <x:v>6</x:v>
      </x:c>
      <x:c r="G74" s="12" t="str">
        <x:v>10:15</x:v>
      </x:c>
      <x:c r="H74" s="12" t="n">
        <x:v>615</x:v>
      </x:c>
      <x:c r="I74" s="12" t="str">
        <x:v>研究生宿舍楼</x:v>
      </x:c>
      <x:c r="J74" s="12" t="str">
        <x:v>研究生宿舍楼发车</x:v>
      </x:c>
      <x:c r="K74" s="12" t="str">
        <x:v>HX1_NORMAL</x:v>
      </x:c>
      <x:c r="L74" s="12" t="n">
        <x:v>8</x:v>
      </x:c>
      <x:c r="M74" s="12" t="str">
        <x:v>HX1_NORMAL|8</x:v>
      </x:c>
      <x:c r="N74" s="12" t="str">
        <x:v>高超楼</x:v>
      </x:c>
      <x:c r="O74" s="12" t="n">
        <x:f>IFERROR(INDEX('秒级路线参数_可调整'!$O:$O,MATCH(M74,'秒级路线参数_可调整'!$A:$A,0)),"")</x:f>
        <x:v>0</x:v>
      </x:c>
      <x:c r="P74" s="12" t="str">
        <x:f>IF(O74="","",O74/86400)</x:f>
      </x:c>
      <x:c r="Q74" s="12" t="str">
        <x:f>IF(O74="","",(H74*60+O74)/86400)</x:f>
      </x:c>
      <x:c r="R74" s="12" t="str">
        <x:f>IF(Q74="","",TEXT(Q74,"hh:mm:ss"))</x:f>
      </x:c>
      <x:c r="S74" s="12" t="str">
        <x:v>否</x:v>
      </x:c>
      <x:c r="T74" s="12" t="str">
        <x:v>否</x:v>
      </x:c>
      <x:c r="U74" s="12" t="str">
        <x:v>未提供</x:v>
      </x:c>
      <x:c r="V74" s="12" t="str">
        <x:v>未提供</x:v>
      </x:c>
      <x:c r="W74" s="12" t="str">
        <x:v>秒级预测</x:v>
      </x:c>
      <x:c r="X74" s="12" t="str">
        <x:v>基于路线秒级参数；如录入实测或手动采用秒，预计到达时间可随公式更新</x:v>
      </x:c>
    </x:row>
    <x:row r="75">
      <x:c r="A75" s="12" t="str">
        <x:v>S0006-09</x:v>
      </x:c>
      <x:c r="B75" s="12" t="str">
        <x:v>S0006</x:v>
      </x:c>
      <x:c r="C75" s="12" t="str">
        <x:v>工作日</x:v>
      </x:c>
      <x:c r="D75" s="12" t="str">
        <x:v>环线1路</x:v>
      </x:c>
      <x:c r="E75" s="12" t="str">
        <x:v>第一班</x:v>
      </x:c>
      <x:c r="F75" s="12" t="n">
        <x:v>6</x:v>
      </x:c>
      <x:c r="G75" s="12" t="str">
        <x:v>10:15</x:v>
      </x:c>
      <x:c r="H75" s="12" t="n">
        <x:v>615</x:v>
      </x:c>
      <x:c r="I75" s="12" t="str">
        <x:v>研究生宿舍楼</x:v>
      </x:c>
      <x:c r="J75" s="12" t="str">
        <x:v>研究生宿舍楼发车</x:v>
      </x:c>
      <x:c r="K75" s="12" t="str">
        <x:v>HX1_NORMAL</x:v>
      </x:c>
      <x:c r="L75" s="12" t="n">
        <x:v>9</x:v>
      </x:c>
      <x:c r="M75" s="12" t="str">
        <x:v>HX1_NORMAL|9</x:v>
      </x:c>
      <x:c r="N75" s="12" t="str">
        <x:v>理学院</x:v>
      </x:c>
      <x:c r="O75" s="12" t="n">
        <x:f>IFERROR(INDEX('秒级路线参数_可调整'!$O:$O,MATCH(M75,'秒级路线参数_可调整'!$A:$A,0)),"")</x:f>
        <x:v>0</x:v>
      </x:c>
      <x:c r="P75" s="12" t="str">
        <x:f>IF(O75="","",O75/86400)</x:f>
      </x:c>
      <x:c r="Q75" s="12" t="str">
        <x:f>IF(O75="","",(H75*60+O75)/86400)</x:f>
      </x:c>
      <x:c r="R75" s="12" t="str">
        <x:f>IF(Q75="","",TEXT(Q75,"hh:mm:ss"))</x:f>
      </x:c>
      <x:c r="S75" s="12" t="str">
        <x:v>否</x:v>
      </x:c>
      <x:c r="T75" s="12" t="str">
        <x:v>否</x:v>
      </x:c>
      <x:c r="U75" s="12" t="str">
        <x:v>未提供</x:v>
      </x:c>
      <x:c r="V75" s="12" t="str">
        <x:v>未提供</x:v>
      </x:c>
      <x:c r="W75" s="12" t="str">
        <x:v>秒级预测</x:v>
      </x:c>
      <x:c r="X75" s="12" t="str">
        <x:v>基于路线秒级参数；如录入实测或手动采用秒，预计到达时间可随公式更新</x:v>
      </x:c>
    </x:row>
    <x:row r="76">
      <x:c r="A76" s="12" t="str">
        <x:v>S0006-10</x:v>
      </x:c>
      <x:c r="B76" s="12" t="str">
        <x:v>S0006</x:v>
      </x:c>
      <x:c r="C76" s="12" t="str">
        <x:v>工作日</x:v>
      </x:c>
      <x:c r="D76" s="12" t="str">
        <x:v>环线1路</x:v>
      </x:c>
      <x:c r="E76" s="12" t="str">
        <x:v>第一班</x:v>
      </x:c>
      <x:c r="F76" s="12" t="n">
        <x:v>6</x:v>
      </x:c>
      <x:c r="G76" s="12" t="str">
        <x:v>10:15</x:v>
      </x:c>
      <x:c r="H76" s="12" t="n">
        <x:v>615</x:v>
      </x:c>
      <x:c r="I76" s="12" t="str">
        <x:v>研究生宿舍楼</x:v>
      </x:c>
      <x:c r="J76" s="12" t="str">
        <x:v>研究生宿舍楼发车</x:v>
      </x:c>
      <x:c r="K76" s="12" t="str">
        <x:v>HX1_NORMAL</x:v>
      </x:c>
      <x:c r="L76" s="12" t="n">
        <x:v>10</x:v>
      </x:c>
      <x:c r="M76" s="12" t="str">
        <x:v>HX1_NORMAL|10</x:v>
      </x:c>
      <x:c r="N76" s="12" t="str">
        <x:v>二食堂</x:v>
      </x:c>
      <x:c r="O76" s="12" t="n">
        <x:f>IFERROR(INDEX('秒级路线参数_可调整'!$O:$O,MATCH(M76,'秒级路线参数_可调整'!$A:$A,0)),"")</x:f>
        <x:v>0</x:v>
      </x:c>
      <x:c r="P76" s="12" t="str">
        <x:f>IF(O76="","",O76/86400)</x:f>
      </x:c>
      <x:c r="Q76" s="12" t="str">
        <x:f>IF(O76="","",(H76*60+O76)/86400)</x:f>
      </x:c>
      <x:c r="R76" s="12" t="str">
        <x:f>IF(Q76="","",TEXT(Q76,"hh:mm:ss"))</x:f>
      </x:c>
      <x:c r="S76" s="12" t="str">
        <x:v>否</x:v>
      </x:c>
      <x:c r="T76" s="12" t="str">
        <x:v>否</x:v>
      </x:c>
      <x:c r="U76" s="12" t="str">
        <x:v>未提供</x:v>
      </x:c>
      <x:c r="V76" s="12" t="str">
        <x:v>未提供</x:v>
      </x:c>
      <x:c r="W76" s="12" t="str">
        <x:v>秒级预测</x:v>
      </x:c>
      <x:c r="X76" s="12" t="str">
        <x:v>基于路线秒级参数；如录入实测或手动采用秒，预计到达时间可随公式更新</x:v>
      </x:c>
    </x:row>
    <x:row r="77">
      <x:c r="A77" s="12" t="str">
        <x:v>S0006-11</x:v>
      </x:c>
      <x:c r="B77" s="12" t="str">
        <x:v>S0006</x:v>
      </x:c>
      <x:c r="C77" s="12" t="str">
        <x:v>工作日</x:v>
      </x:c>
      <x:c r="D77" s="12" t="str">
        <x:v>环线1路</x:v>
      </x:c>
      <x:c r="E77" s="12" t="str">
        <x:v>第一班</x:v>
      </x:c>
      <x:c r="F77" s="12" t="n">
        <x:v>6</x:v>
      </x:c>
      <x:c r="G77" s="12" t="str">
        <x:v>10:15</x:v>
      </x:c>
      <x:c r="H77" s="12" t="n">
        <x:v>615</x:v>
      </x:c>
      <x:c r="I77" s="12" t="str">
        <x:v>研究生宿舍楼</x:v>
      </x:c>
      <x:c r="J77" s="12" t="str">
        <x:v>研究生宿舍楼发车</x:v>
      </x:c>
      <x:c r="K77" s="12" t="str">
        <x:v>HX1_NORMAL</x:v>
      </x:c>
      <x:c r="L77" s="12" t="n">
        <x:v>11</x:v>
      </x:c>
      <x:c r="M77" s="12" t="str">
        <x:v>HX1_NORMAL|11</x:v>
      </x:c>
      <x:c r="N77" s="12" t="str">
        <x:v>5号宿舍楼</x:v>
      </x:c>
      <x:c r="O77" s="12" t="n">
        <x:f>IFERROR(INDEX('秒级路线参数_可调整'!$O:$O,MATCH(M77,'秒级路线参数_可调整'!$A:$A,0)),"")</x:f>
        <x:v>0</x:v>
      </x:c>
      <x:c r="P77" s="12" t="str">
        <x:f>IF(O77="","",O77/86400)</x:f>
      </x:c>
      <x:c r="Q77" s="12" t="str">
        <x:f>IF(O77="","",(H77*60+O77)/86400)</x:f>
      </x:c>
      <x:c r="R77" s="12" t="str">
        <x:f>IF(Q77="","",TEXT(Q77,"hh:mm:ss"))</x:f>
      </x:c>
      <x:c r="S77" s="12" t="str">
        <x:v>否</x:v>
      </x:c>
      <x:c r="T77" s="12" t="str">
        <x:v>否</x:v>
      </x:c>
      <x:c r="U77" s="12" t="str">
        <x:v>未提供</x:v>
      </x:c>
      <x:c r="V77" s="12" t="str">
        <x:v>未提供</x:v>
      </x:c>
      <x:c r="W77" s="12" t="str">
        <x:v>秒级预测</x:v>
      </x:c>
      <x:c r="X77" s="12" t="str">
        <x:v>基于路线秒级参数；如录入实测或手动采用秒，预计到达时间可随公式更新</x:v>
      </x:c>
    </x:row>
    <x:row r="78">
      <x:c r="A78" s="12" t="str">
        <x:v>S0006-12</x:v>
      </x:c>
      <x:c r="B78" s="12" t="str">
        <x:v>S0006</x:v>
      </x:c>
      <x:c r="C78" s="12" t="str">
        <x:v>工作日</x:v>
      </x:c>
      <x:c r="D78" s="12" t="str">
        <x:v>环线1路</x:v>
      </x:c>
      <x:c r="E78" s="12" t="str">
        <x:v>第一班</x:v>
      </x:c>
      <x:c r="F78" s="12" t="n">
        <x:v>6</x:v>
      </x:c>
      <x:c r="G78" s="12" t="str">
        <x:v>10:15</x:v>
      </x:c>
      <x:c r="H78" s="12" t="n">
        <x:v>615</x:v>
      </x:c>
      <x:c r="I78" s="12" t="str">
        <x:v>研究生宿舍楼</x:v>
      </x:c>
      <x:c r="J78" s="12" t="str">
        <x:v>研究生宿舍楼发车</x:v>
      </x:c>
      <x:c r="K78" s="12" t="str">
        <x:v>HX1_NORMAL</x:v>
      </x:c>
      <x:c r="L78" s="12" t="n">
        <x:v>12</x:v>
      </x:c>
      <x:c r="M78" s="12" t="str">
        <x:v>HX1_NORMAL|12</x:v>
      </x:c>
      <x:c r="N78" s="12" t="str">
        <x:v>305教学楼</x:v>
      </x:c>
      <x:c r="O78" s="12" t="n">
        <x:f>IFERROR(INDEX('秒级路线参数_可调整'!$O:$O,MATCH(M78,'秒级路线参数_可调整'!$A:$A,0)),"")</x:f>
        <x:v>0</x:v>
      </x:c>
      <x:c r="P78" s="12" t="str">
        <x:f>IF(O78="","",O78/86400)</x:f>
      </x:c>
      <x:c r="Q78" s="12" t="str">
        <x:f>IF(O78="","",(H78*60+O78)/86400)</x:f>
      </x:c>
      <x:c r="R78" s="12" t="str">
        <x:f>IF(Q78="","",TEXT(Q78,"hh:mm:ss"))</x:f>
      </x:c>
      <x:c r="S78" s="12" t="str">
        <x:v>否</x:v>
      </x:c>
      <x:c r="T78" s="12" t="str">
        <x:v>否</x:v>
      </x:c>
      <x:c r="U78" s="12" t="str">
        <x:v>未提供</x:v>
      </x:c>
      <x:c r="V78" s="12" t="str">
        <x:v>未提供</x:v>
      </x:c>
      <x:c r="W78" s="12" t="str">
        <x:v>秒级预测</x:v>
      </x:c>
      <x:c r="X78" s="12" t="str">
        <x:v>基于路线秒级参数；如录入实测或手动采用秒，预计到达时间可随公式更新</x:v>
      </x:c>
    </x:row>
    <x:row r="79">
      <x:c r="A79" s="12" t="str">
        <x:v>S0006-13</x:v>
      </x:c>
      <x:c r="B79" s="12" t="str">
        <x:v>S0006</x:v>
      </x:c>
      <x:c r="C79" s="12" t="str">
        <x:v>工作日</x:v>
      </x:c>
      <x:c r="D79" s="12" t="str">
        <x:v>环线1路</x:v>
      </x:c>
      <x:c r="E79" s="12" t="str">
        <x:v>第一班</x:v>
      </x:c>
      <x:c r="F79" s="12" t="n">
        <x:v>6</x:v>
      </x:c>
      <x:c r="G79" s="12" t="str">
        <x:v>10:15</x:v>
      </x:c>
      <x:c r="H79" s="12" t="n">
        <x:v>615</x:v>
      </x:c>
      <x:c r="I79" s="12" t="str">
        <x:v>研究生宿舍楼</x:v>
      </x:c>
      <x:c r="J79" s="12" t="str">
        <x:v>研究生宿舍楼发车</x:v>
      </x:c>
      <x:c r="K79" s="12" t="str">
        <x:v>HX1_NORMAL</x:v>
      </x:c>
      <x:c r="L79" s="12" t="n">
        <x:v>13</x:v>
      </x:c>
      <x:c r="M79" s="12" t="str">
        <x:v>HX1_NORMAL|13</x:v>
      </x:c>
      <x:c r="N79" s="12" t="str">
        <x:v>研究生宿舍楼</x:v>
      </x:c>
      <x:c r="O79" s="12" t="n">
        <x:f>IFERROR(INDEX('秒级路线参数_可调整'!$O:$O,MATCH(M79,'秒级路线参数_可调整'!$A:$A,0)),"")</x:f>
        <x:v>0</x:v>
      </x:c>
      <x:c r="P79" s="12" t="str">
        <x:f>IF(O79="","",O79/86400)</x:f>
      </x:c>
      <x:c r="Q79" s="12" t="str">
        <x:f>IF(O79="","",(H79*60+O79)/86400)</x:f>
      </x:c>
      <x:c r="R79" s="12" t="str">
        <x:f>IF(Q79="","",TEXT(Q79,"hh:mm:ss"))</x:f>
      </x:c>
      <x:c r="S79" s="12" t="str">
        <x:v>否</x:v>
      </x:c>
      <x:c r="T79" s="12" t="str">
        <x:v>是</x:v>
      </x:c>
      <x:c r="U79" s="12" t="str">
        <x:v>未提供</x:v>
      </x:c>
      <x:c r="V79" s="12" t="str">
        <x:v>未提供</x:v>
      </x:c>
      <x:c r="W79" s="12" t="str">
        <x:v>秒级预测</x:v>
      </x:c>
      <x:c r="X79" s="12" t="str">
        <x:v>基于路线秒级参数；如录入实测或手动采用秒，预计到达时间可随公式更新</x:v>
      </x:c>
    </x:row>
    <x:row r="80">
      <x:c r="A80" s="12" t="str">
        <x:v>S0007-01</x:v>
      </x:c>
      <x:c r="B80" s="12" t="str">
        <x:v>S0007</x:v>
      </x:c>
      <x:c r="C80" s="12" t="str">
        <x:v>工作日</x:v>
      </x:c>
      <x:c r="D80" s="12" t="str">
        <x:v>环线1路</x:v>
      </x:c>
      <x:c r="E80" s="12" t="str">
        <x:v>第一班</x:v>
      </x:c>
      <x:c r="F80" s="12" t="n">
        <x:v>7</x:v>
      </x:c>
      <x:c r="G80" s="12" t="str">
        <x:v>11:15</x:v>
      </x:c>
      <x:c r="H80" s="12" t="n">
        <x:v>675</x:v>
      </x:c>
      <x:c r="I80" s="12" t="str">
        <x:v>研究生宿舍楼</x:v>
      </x:c>
      <x:c r="J80" s="12" t="str">
        <x:v>研究生宿舍楼发车</x:v>
      </x:c>
      <x:c r="K80" s="12" t="str">
        <x:v>HX1_NORMAL</x:v>
      </x:c>
      <x:c r="L80" s="12" t="n">
        <x:v>1</x:v>
      </x:c>
      <x:c r="M80" s="12" t="str">
        <x:v>HX1_NORMAL|1</x:v>
      </x:c>
      <x:c r="N80" s="12" t="str">
        <x:v>研究生宿舍楼</x:v>
      </x:c>
      <x:c r="O80" s="12" t="n">
        <x:f>IFERROR(INDEX('秒级路线参数_可调整'!$O:$O,MATCH(M80,'秒级路线参数_可调整'!$A:$A,0)),"")</x:f>
        <x:v>0</x:v>
      </x:c>
      <x:c r="P80" s="12" t="str">
        <x:f>IF(O80="","",O80/86400)</x:f>
      </x:c>
      <x:c r="Q80" s="12" t="str">
        <x:f>IF(O80="","",(H80*60+O80)/86400)</x:f>
      </x:c>
      <x:c r="R80" s="12" t="str">
        <x:f>IF(Q80="","",TEXT(Q80,"hh:mm:ss"))</x:f>
      </x:c>
      <x:c r="S80" s="12" t="str">
        <x:v>是</x:v>
      </x:c>
      <x:c r="T80" s="12" t="str">
        <x:v>否</x:v>
      </x:c>
      <x:c r="U80" s="12" t="str">
        <x:v>未提供</x:v>
      </x:c>
      <x:c r="V80" s="12" t="str">
        <x:v>未提供</x:v>
      </x:c>
      <x:c r="W80" s="12" t="str">
        <x:v>秒级预测</x:v>
      </x:c>
      <x:c r="X80" s="12" t="str">
        <x:v>基于路线秒级参数；如录入实测或手动采用秒，预计到达时间可随公式更新</x:v>
      </x:c>
    </x:row>
    <x:row r="81">
      <x:c r="A81" s="12" t="str">
        <x:v>S0007-02</x:v>
      </x:c>
      <x:c r="B81" s="12" t="str">
        <x:v>S0007</x:v>
      </x:c>
      <x:c r="C81" s="12" t="str">
        <x:v>工作日</x:v>
      </x:c>
      <x:c r="D81" s="12" t="str">
        <x:v>环线1路</x:v>
      </x:c>
      <x:c r="E81" s="12" t="str">
        <x:v>第一班</x:v>
      </x:c>
      <x:c r="F81" s="12" t="n">
        <x:v>7</x:v>
      </x:c>
      <x:c r="G81" s="12" t="str">
        <x:v>11:15</x:v>
      </x:c>
      <x:c r="H81" s="12" t="n">
        <x:v>675</x:v>
      </x:c>
      <x:c r="I81" s="12" t="str">
        <x:v>研究生宿舍楼</x:v>
      </x:c>
      <x:c r="J81" s="12" t="str">
        <x:v>研究生宿舍楼发车</x:v>
      </x:c>
      <x:c r="K81" s="12" t="str">
        <x:v>HX1_NORMAL</x:v>
      </x:c>
      <x:c r="L81" s="12" t="n">
        <x:v>2</x:v>
      </x:c>
      <x:c r="M81" s="12" t="str">
        <x:v>HX1_NORMAL|2</x:v>
      </x:c>
      <x:c r="N81" s="12" t="str">
        <x:v>东门</x:v>
      </x:c>
      <x:c r="O81" s="12" t="n">
        <x:f>IFERROR(INDEX('秒级路线参数_可调整'!$O:$O,MATCH(M81,'秒级路线参数_可调整'!$A:$A,0)),"")</x:f>
        <x:v>0</x:v>
      </x:c>
      <x:c r="P81" s="12" t="str">
        <x:f>IF(O81="","",O81/86400)</x:f>
      </x:c>
      <x:c r="Q81" s="12" t="str">
        <x:f>IF(O81="","",(H81*60+O81)/86400)</x:f>
      </x:c>
      <x:c r="R81" s="12" t="str">
        <x:f>IF(Q81="","",TEXT(Q81,"hh:mm:ss"))</x:f>
      </x:c>
      <x:c r="S81" s="12" t="str">
        <x:v>否</x:v>
      </x:c>
      <x:c r="T81" s="12" t="str">
        <x:v>否</x:v>
      </x:c>
      <x:c r="U81" s="12" t="str">
        <x:v>未提供</x:v>
      </x:c>
      <x:c r="V81" s="12" t="str">
        <x:v>未提供</x:v>
      </x:c>
      <x:c r="W81" s="12" t="str">
        <x:v>秒级预测</x:v>
      </x:c>
      <x:c r="X81" s="12" t="str">
        <x:v>基于路线秒级参数；如录入实测或手动采用秒，预计到达时间可随公式更新</x:v>
      </x:c>
    </x:row>
    <x:row r="82">
      <x:c r="A82" s="12" t="str">
        <x:v>S0007-03</x:v>
      </x:c>
      <x:c r="B82" s="12" t="str">
        <x:v>S0007</x:v>
      </x:c>
      <x:c r="C82" s="12" t="str">
        <x:v>工作日</x:v>
      </x:c>
      <x:c r="D82" s="12" t="str">
        <x:v>环线1路</x:v>
      </x:c>
      <x:c r="E82" s="12" t="str">
        <x:v>第一班</x:v>
      </x:c>
      <x:c r="F82" s="12" t="n">
        <x:v>7</x:v>
      </x:c>
      <x:c r="G82" s="12" t="str">
        <x:v>11:15</x:v>
      </x:c>
      <x:c r="H82" s="12" t="n">
        <x:v>675</x:v>
      </x:c>
      <x:c r="I82" s="12" t="str">
        <x:v>研究生宿舍楼</x:v>
      </x:c>
      <x:c r="J82" s="12" t="str">
        <x:v>研究生宿舍楼发车</x:v>
      </x:c>
      <x:c r="K82" s="12" t="str">
        <x:v>HX1_NORMAL</x:v>
      </x:c>
      <x:c r="L82" s="12" t="n">
        <x:v>3</x:v>
      </x:c>
      <x:c r="M82" s="12" t="str">
        <x:v>HX1_NORMAL|3</x:v>
      </x:c>
      <x:c r="N82" s="12" t="str">
        <x:v>2号宿舍楼</x:v>
      </x:c>
      <x:c r="O82" s="12" t="n">
        <x:f>IFERROR(INDEX('秒级路线参数_可调整'!$O:$O,MATCH(M82,'秒级路线参数_可调整'!$A:$A,0)),"")</x:f>
        <x:v>0</x:v>
      </x:c>
      <x:c r="P82" s="12" t="str">
        <x:f>IF(O82="","",O82/86400)</x:f>
      </x:c>
      <x:c r="Q82" s="12" t="str">
        <x:f>IF(O82="","",(H82*60+O82)/86400)</x:f>
      </x:c>
      <x:c r="R82" s="12" t="str">
        <x:f>IF(Q82="","",TEXT(Q82,"hh:mm:ss"))</x:f>
      </x:c>
      <x:c r="S82" s="12" t="str">
        <x:v>否</x:v>
      </x:c>
      <x:c r="T82" s="12" t="str">
        <x:v>否</x:v>
      </x:c>
      <x:c r="U82" s="12" t="str">
        <x:v>未提供</x:v>
      </x:c>
      <x:c r="V82" s="12" t="str">
        <x:v>未提供</x:v>
      </x:c>
      <x:c r="W82" s="12" t="str">
        <x:v>秒级预测</x:v>
      </x:c>
      <x:c r="X82" s="12" t="str">
        <x:v>基于路线秒级参数；如录入实测或手动采用秒，预计到达时间可随公式更新</x:v>
      </x:c>
    </x:row>
    <x:row r="83">
      <x:c r="A83" s="12" t="str">
        <x:v>S0007-04</x:v>
      </x:c>
      <x:c r="B83" s="12" t="str">
        <x:v>S0007</x:v>
      </x:c>
      <x:c r="C83" s="12" t="str">
        <x:v>工作日</x:v>
      </x:c>
      <x:c r="D83" s="12" t="str">
        <x:v>环线1路</x:v>
      </x:c>
      <x:c r="E83" s="12" t="str">
        <x:v>第一班</x:v>
      </x:c>
      <x:c r="F83" s="12" t="n">
        <x:v>7</x:v>
      </x:c>
      <x:c r="G83" s="12" t="str">
        <x:v>11:15</x:v>
      </x:c>
      <x:c r="H83" s="12" t="n">
        <x:v>675</x:v>
      </x:c>
      <x:c r="I83" s="12" t="str">
        <x:v>研究生宿舍楼</x:v>
      </x:c>
      <x:c r="J83" s="12" t="str">
        <x:v>研究生宿舍楼发车</x:v>
      </x:c>
      <x:c r="K83" s="12" t="str">
        <x:v>HX1_NORMAL</x:v>
      </x:c>
      <x:c r="L83" s="12" t="n">
        <x:v>4</x:v>
      </x:c>
      <x:c r="M83" s="12" t="str">
        <x:v>HX1_NORMAL|4</x:v>
      </x:c>
      <x:c r="N83" s="12" t="str">
        <x:v>军体活动中心</x:v>
      </x:c>
      <x:c r="O83" s="12" t="n">
        <x:f>IFERROR(INDEX('秒级路线参数_可调整'!$O:$O,MATCH(M83,'秒级路线参数_可调整'!$A:$A,0)),"")</x:f>
        <x:v>0</x:v>
      </x:c>
      <x:c r="P83" s="12" t="str">
        <x:f>IF(O83="","",O83/86400)</x:f>
      </x:c>
      <x:c r="Q83" s="12" t="str">
        <x:f>IF(O83="","",(H83*60+O83)/86400)</x:f>
      </x:c>
      <x:c r="R83" s="12" t="str">
        <x:f>IF(Q83="","",TEXT(Q83,"hh:mm:ss"))</x:f>
      </x:c>
      <x:c r="S83" s="12" t="str">
        <x:v>否</x:v>
      </x:c>
      <x:c r="T83" s="12" t="str">
        <x:v>否</x:v>
      </x:c>
      <x:c r="U83" s="12" t="str">
        <x:v>未提供</x:v>
      </x:c>
      <x:c r="V83" s="12" t="str">
        <x:v>未提供</x:v>
      </x:c>
      <x:c r="W83" s="12" t="str">
        <x:v>秒级预测</x:v>
      </x:c>
      <x:c r="X83" s="12" t="str">
        <x:v>基于路线秒级参数；如录入实测或手动采用秒，预计到达时间可随公式更新</x:v>
      </x:c>
    </x:row>
    <x:row r="84">
      <x:c r="A84" s="12" t="str">
        <x:v>S0007-05</x:v>
      </x:c>
      <x:c r="B84" s="12" t="str">
        <x:v>S0007</x:v>
      </x:c>
      <x:c r="C84" s="12" t="str">
        <x:v>工作日</x:v>
      </x:c>
      <x:c r="D84" s="12" t="str">
        <x:v>环线1路</x:v>
      </x:c>
      <x:c r="E84" s="12" t="str">
        <x:v>第一班</x:v>
      </x:c>
      <x:c r="F84" s="12" t="n">
        <x:v>7</x:v>
      </x:c>
      <x:c r="G84" s="12" t="str">
        <x:v>11:15</x:v>
      </x:c>
      <x:c r="H84" s="12" t="n">
        <x:v>675</x:v>
      </x:c>
      <x:c r="I84" s="12" t="str">
        <x:v>研究生宿舍楼</x:v>
      </x:c>
      <x:c r="J84" s="12" t="str">
        <x:v>研究生宿舍楼发车</x:v>
      </x:c>
      <x:c r="K84" s="12" t="str">
        <x:v>HX1_NORMAL</x:v>
      </x:c>
      <x:c r="L84" s="12" t="n">
        <x:v>5</x:v>
      </x:c>
      <x:c r="M84" s="12" t="str">
        <x:v>HX1_NORMAL|5</x:v>
      </x:c>
      <x:c r="N84" s="12" t="str">
        <x:v>激光所</x:v>
      </x:c>
      <x:c r="O84" s="12" t="n">
        <x:f>IFERROR(INDEX('秒级路线参数_可调整'!$O:$O,MATCH(M84,'秒级路线参数_可调整'!$A:$A,0)),"")</x:f>
        <x:v>0</x:v>
      </x:c>
      <x:c r="P84" s="12" t="str">
        <x:f>IF(O84="","",O84/86400)</x:f>
      </x:c>
      <x:c r="Q84" s="12" t="str">
        <x:f>IF(O84="","",(H84*60+O84)/86400)</x:f>
      </x:c>
      <x:c r="R84" s="12" t="str">
        <x:f>IF(Q84="","",TEXT(Q84,"hh:mm:ss"))</x:f>
      </x:c>
      <x:c r="S84" s="12" t="str">
        <x:v>否</x:v>
      </x:c>
      <x:c r="T84" s="12" t="str">
        <x:v>否</x:v>
      </x:c>
      <x:c r="U84" s="12" t="str">
        <x:v>未提供</x:v>
      </x:c>
      <x:c r="V84" s="12" t="str">
        <x:v>未提供</x:v>
      </x:c>
      <x:c r="W84" s="12" t="str">
        <x:v>秒级预测</x:v>
      </x:c>
      <x:c r="X84" s="12" t="str">
        <x:v>基于路线秒级参数；如录入实测或手动采用秒，预计到达时间可随公式更新</x:v>
      </x:c>
    </x:row>
    <x:row r="85">
      <x:c r="A85" s="12" t="str">
        <x:v>S0007-06</x:v>
      </x:c>
      <x:c r="B85" s="12" t="str">
        <x:v>S0007</x:v>
      </x:c>
      <x:c r="C85" s="12" t="str">
        <x:v>工作日</x:v>
      </x:c>
      <x:c r="D85" s="12" t="str">
        <x:v>环线1路</x:v>
      </x:c>
      <x:c r="E85" s="12" t="str">
        <x:v>第一班</x:v>
      </x:c>
      <x:c r="F85" s="12" t="n">
        <x:v>7</x:v>
      </x:c>
      <x:c r="G85" s="12" t="str">
        <x:v>11:15</x:v>
      </x:c>
      <x:c r="H85" s="12" t="n">
        <x:v>675</x:v>
      </x:c>
      <x:c r="I85" s="12" t="str">
        <x:v>研究生宿舍楼</x:v>
      </x:c>
      <x:c r="J85" s="12" t="str">
        <x:v>研究生宿舍楼发车</x:v>
      </x:c>
      <x:c r="K85" s="12" t="str">
        <x:v>HX1_NORMAL</x:v>
      </x:c>
      <x:c r="L85" s="12" t="n">
        <x:v>6</x:v>
      </x:c>
      <x:c r="M85" s="12" t="str">
        <x:v>HX1_NORMAL|6</x:v>
      </x:c>
      <x:c r="N85" s="12" t="str">
        <x:v>超算中心</x:v>
      </x:c>
      <x:c r="O85" s="12" t="n">
        <x:f>IFERROR(INDEX('秒级路线参数_可调整'!$O:$O,MATCH(M85,'秒级路线参数_可调整'!$A:$A,0)),"")</x:f>
        <x:v>0</x:v>
      </x:c>
      <x:c r="P85" s="12" t="str">
        <x:f>IF(O85="","",O85/86400)</x:f>
      </x:c>
      <x:c r="Q85" s="12" t="str">
        <x:f>IF(O85="","",(H85*60+O85)/86400)</x:f>
      </x:c>
      <x:c r="R85" s="12" t="str">
        <x:f>IF(Q85="","",TEXT(Q85,"hh:mm:ss"))</x:f>
      </x:c>
      <x:c r="S85" s="12" t="str">
        <x:v>否</x:v>
      </x:c>
      <x:c r="T85" s="12" t="str">
        <x:v>否</x:v>
      </x:c>
      <x:c r="U85" s="12" t="str">
        <x:v>未提供</x:v>
      </x:c>
      <x:c r="V85" s="12" t="str">
        <x:v>未提供</x:v>
      </x:c>
      <x:c r="W85" s="12" t="str">
        <x:v>秒级预测</x:v>
      </x:c>
      <x:c r="X85" s="12" t="str">
        <x:v>基于路线秒级参数；如录入实测或手动采用秒，预计到达时间可随公式更新</x:v>
      </x:c>
    </x:row>
    <x:row r="86">
      <x:c r="A86" s="12" t="str">
        <x:v>S0007-07</x:v>
      </x:c>
      <x:c r="B86" s="12" t="str">
        <x:v>S0007</x:v>
      </x:c>
      <x:c r="C86" s="12" t="str">
        <x:v>工作日</x:v>
      </x:c>
      <x:c r="D86" s="12" t="str">
        <x:v>环线1路</x:v>
      </x:c>
      <x:c r="E86" s="12" t="str">
        <x:v>第一班</x:v>
      </x:c>
      <x:c r="F86" s="12" t="n">
        <x:v>7</x:v>
      </x:c>
      <x:c r="G86" s="12" t="str">
        <x:v>11:15</x:v>
      </x:c>
      <x:c r="H86" s="12" t="n">
        <x:v>675</x:v>
      </x:c>
      <x:c r="I86" s="12" t="str">
        <x:v>研究生宿舍楼</x:v>
      </x:c>
      <x:c r="J86" s="12" t="str">
        <x:v>研究生宿舍楼发车</x:v>
      </x:c>
      <x:c r="K86" s="12" t="str">
        <x:v>HX1_NORMAL</x:v>
      </x:c>
      <x:c r="L86" s="12" t="n">
        <x:v>7</x:v>
      </x:c>
      <x:c r="M86" s="12" t="str">
        <x:v>HX1_NORMAL|7</x:v>
      </x:c>
      <x:c r="N86" s="12" t="str">
        <x:v>北门</x:v>
      </x:c>
      <x:c r="O86" s="12" t="n">
        <x:f>IFERROR(INDEX('秒级路线参数_可调整'!$O:$O,MATCH(M86,'秒级路线参数_可调整'!$A:$A,0)),"")</x:f>
        <x:v>0</x:v>
      </x:c>
      <x:c r="P86" s="12" t="str">
        <x:f>IF(O86="","",O86/86400)</x:f>
      </x:c>
      <x:c r="Q86" s="12" t="str">
        <x:f>IF(O86="","",(H86*60+O86)/86400)</x:f>
      </x:c>
      <x:c r="R86" s="12" t="str">
        <x:f>IF(Q86="","",TEXT(Q86,"hh:mm:ss"))</x:f>
      </x:c>
      <x:c r="S86" s="12" t="str">
        <x:v>否</x:v>
      </x:c>
      <x:c r="T86" s="12" t="str">
        <x:v>否</x:v>
      </x:c>
      <x:c r="U86" s="12" t="str">
        <x:v>未提供</x:v>
      </x:c>
      <x:c r="V86" s="12" t="str">
        <x:v>未提供</x:v>
      </x:c>
      <x:c r="W86" s="12" t="str">
        <x:v>秒级预测</x:v>
      </x:c>
      <x:c r="X86" s="12" t="str">
        <x:v>基于路线秒级参数；如录入实测或手动采用秒，预计到达时间可随公式更新</x:v>
      </x:c>
    </x:row>
    <x:row r="87">
      <x:c r="A87" s="12" t="str">
        <x:v>S0007-08</x:v>
      </x:c>
      <x:c r="B87" s="12" t="str">
        <x:v>S0007</x:v>
      </x:c>
      <x:c r="C87" s="12" t="str">
        <x:v>工作日</x:v>
      </x:c>
      <x:c r="D87" s="12" t="str">
        <x:v>环线1路</x:v>
      </x:c>
      <x:c r="E87" s="12" t="str">
        <x:v>第一班</x:v>
      </x:c>
      <x:c r="F87" s="12" t="n">
        <x:v>7</x:v>
      </x:c>
      <x:c r="G87" s="12" t="str">
        <x:v>11:15</x:v>
      </x:c>
      <x:c r="H87" s="12" t="n">
        <x:v>675</x:v>
      </x:c>
      <x:c r="I87" s="12" t="str">
        <x:v>研究生宿舍楼</x:v>
      </x:c>
      <x:c r="J87" s="12" t="str">
        <x:v>研究生宿舍楼发车</x:v>
      </x:c>
      <x:c r="K87" s="12" t="str">
        <x:v>HX1_NORMAL</x:v>
      </x:c>
      <x:c r="L87" s="12" t="n">
        <x:v>8</x:v>
      </x:c>
      <x:c r="M87" s="12" t="str">
        <x:v>HX1_NORMAL|8</x:v>
      </x:c>
      <x:c r="N87" s="12" t="str">
        <x:v>高超楼</x:v>
      </x:c>
      <x:c r="O87" s="12" t="n">
        <x:f>IFERROR(INDEX('秒级路线参数_可调整'!$O:$O,MATCH(M87,'秒级路线参数_可调整'!$A:$A,0)),"")</x:f>
        <x:v>0</x:v>
      </x:c>
      <x:c r="P87" s="12" t="str">
        <x:f>IF(O87="","",O87/86400)</x:f>
      </x:c>
      <x:c r="Q87" s="12" t="str">
        <x:f>IF(O87="","",(H87*60+O87)/86400)</x:f>
      </x:c>
      <x:c r="R87" s="12" t="str">
        <x:f>IF(Q87="","",TEXT(Q87,"hh:mm:ss"))</x:f>
      </x:c>
      <x:c r="S87" s="12" t="str">
        <x:v>否</x:v>
      </x:c>
      <x:c r="T87" s="12" t="str">
        <x:v>否</x:v>
      </x:c>
      <x:c r="U87" s="12" t="str">
        <x:v>未提供</x:v>
      </x:c>
      <x:c r="V87" s="12" t="str">
        <x:v>未提供</x:v>
      </x:c>
      <x:c r="W87" s="12" t="str">
        <x:v>秒级预测</x:v>
      </x:c>
      <x:c r="X87" s="12" t="str">
        <x:v>基于路线秒级参数；如录入实测或手动采用秒，预计到达时间可随公式更新</x:v>
      </x:c>
    </x:row>
    <x:row r="88">
      <x:c r="A88" s="12" t="str">
        <x:v>S0007-09</x:v>
      </x:c>
      <x:c r="B88" s="12" t="str">
        <x:v>S0007</x:v>
      </x:c>
      <x:c r="C88" s="12" t="str">
        <x:v>工作日</x:v>
      </x:c>
      <x:c r="D88" s="12" t="str">
        <x:v>环线1路</x:v>
      </x:c>
      <x:c r="E88" s="12" t="str">
        <x:v>第一班</x:v>
      </x:c>
      <x:c r="F88" s="12" t="n">
        <x:v>7</x:v>
      </x:c>
      <x:c r="G88" s="12" t="str">
        <x:v>11:15</x:v>
      </x:c>
      <x:c r="H88" s="12" t="n">
        <x:v>675</x:v>
      </x:c>
      <x:c r="I88" s="12" t="str">
        <x:v>研究生宿舍楼</x:v>
      </x:c>
      <x:c r="J88" s="12" t="str">
        <x:v>研究生宿舍楼发车</x:v>
      </x:c>
      <x:c r="K88" s="12" t="str">
        <x:v>HX1_NORMAL</x:v>
      </x:c>
      <x:c r="L88" s="12" t="n">
        <x:v>9</x:v>
      </x:c>
      <x:c r="M88" s="12" t="str">
        <x:v>HX1_NORMAL|9</x:v>
      </x:c>
      <x:c r="N88" s="12" t="str">
        <x:v>理学院</x:v>
      </x:c>
      <x:c r="O88" s="12" t="n">
        <x:f>IFERROR(INDEX('秒级路线参数_可调整'!$O:$O,MATCH(M88,'秒级路线参数_可调整'!$A:$A,0)),"")</x:f>
        <x:v>0</x:v>
      </x:c>
      <x:c r="P88" s="12" t="str">
        <x:f>IF(O88="","",O88/86400)</x:f>
      </x:c>
      <x:c r="Q88" s="12" t="str">
        <x:f>IF(O88="","",(H88*60+O88)/86400)</x:f>
      </x:c>
      <x:c r="R88" s="12" t="str">
        <x:f>IF(Q88="","",TEXT(Q88,"hh:mm:ss"))</x:f>
      </x:c>
      <x:c r="S88" s="12" t="str">
        <x:v>否</x:v>
      </x:c>
      <x:c r="T88" s="12" t="str">
        <x:v>否</x:v>
      </x:c>
      <x:c r="U88" s="12" t="str">
        <x:v>未提供</x:v>
      </x:c>
      <x:c r="V88" s="12" t="str">
        <x:v>未提供</x:v>
      </x:c>
      <x:c r="W88" s="12" t="str">
        <x:v>秒级预测</x:v>
      </x:c>
      <x:c r="X88" s="12" t="str">
        <x:v>基于路线秒级参数；如录入实测或手动采用秒，预计到达时间可随公式更新</x:v>
      </x:c>
    </x:row>
    <x:row r="89">
      <x:c r="A89" s="12" t="str">
        <x:v>S0007-10</x:v>
      </x:c>
      <x:c r="B89" s="12" t="str">
        <x:v>S0007</x:v>
      </x:c>
      <x:c r="C89" s="12" t="str">
        <x:v>工作日</x:v>
      </x:c>
      <x:c r="D89" s="12" t="str">
        <x:v>环线1路</x:v>
      </x:c>
      <x:c r="E89" s="12" t="str">
        <x:v>第一班</x:v>
      </x:c>
      <x:c r="F89" s="12" t="n">
        <x:v>7</x:v>
      </x:c>
      <x:c r="G89" s="12" t="str">
        <x:v>11:15</x:v>
      </x:c>
      <x:c r="H89" s="12" t="n">
        <x:v>675</x:v>
      </x:c>
      <x:c r="I89" s="12" t="str">
        <x:v>研究生宿舍楼</x:v>
      </x:c>
      <x:c r="J89" s="12" t="str">
        <x:v>研究生宿舍楼发车</x:v>
      </x:c>
      <x:c r="K89" s="12" t="str">
        <x:v>HX1_NORMAL</x:v>
      </x:c>
      <x:c r="L89" s="12" t="n">
        <x:v>10</x:v>
      </x:c>
      <x:c r="M89" s="12" t="str">
        <x:v>HX1_NORMAL|10</x:v>
      </x:c>
      <x:c r="N89" s="12" t="str">
        <x:v>二食堂</x:v>
      </x:c>
      <x:c r="O89" s="12" t="n">
        <x:f>IFERROR(INDEX('秒级路线参数_可调整'!$O:$O,MATCH(M89,'秒级路线参数_可调整'!$A:$A,0)),"")</x:f>
        <x:v>0</x:v>
      </x:c>
      <x:c r="P89" s="12" t="str">
        <x:f>IF(O89="","",O89/86400)</x:f>
      </x:c>
      <x:c r="Q89" s="12" t="str">
        <x:f>IF(O89="","",(H89*60+O89)/86400)</x:f>
      </x:c>
      <x:c r="R89" s="12" t="str">
        <x:f>IF(Q89="","",TEXT(Q89,"hh:mm:ss"))</x:f>
      </x:c>
      <x:c r="S89" s="12" t="str">
        <x:v>否</x:v>
      </x:c>
      <x:c r="T89" s="12" t="str">
        <x:v>否</x:v>
      </x:c>
      <x:c r="U89" s="12" t="str">
        <x:v>未提供</x:v>
      </x:c>
      <x:c r="V89" s="12" t="str">
        <x:v>未提供</x:v>
      </x:c>
      <x:c r="W89" s="12" t="str">
        <x:v>秒级预测</x:v>
      </x:c>
      <x:c r="X89" s="12" t="str">
        <x:v>基于路线秒级参数；如录入实测或手动采用秒，预计到达时间可随公式更新</x:v>
      </x:c>
    </x:row>
    <x:row r="90">
      <x:c r="A90" s="12" t="str">
        <x:v>S0007-11</x:v>
      </x:c>
      <x:c r="B90" s="12" t="str">
        <x:v>S0007</x:v>
      </x:c>
      <x:c r="C90" s="12" t="str">
        <x:v>工作日</x:v>
      </x:c>
      <x:c r="D90" s="12" t="str">
        <x:v>环线1路</x:v>
      </x:c>
      <x:c r="E90" s="12" t="str">
        <x:v>第一班</x:v>
      </x:c>
      <x:c r="F90" s="12" t="n">
        <x:v>7</x:v>
      </x:c>
      <x:c r="G90" s="12" t="str">
        <x:v>11:15</x:v>
      </x:c>
      <x:c r="H90" s="12" t="n">
        <x:v>675</x:v>
      </x:c>
      <x:c r="I90" s="12" t="str">
        <x:v>研究生宿舍楼</x:v>
      </x:c>
      <x:c r="J90" s="12" t="str">
        <x:v>研究生宿舍楼发车</x:v>
      </x:c>
      <x:c r="K90" s="12" t="str">
        <x:v>HX1_NORMAL</x:v>
      </x:c>
      <x:c r="L90" s="12" t="n">
        <x:v>11</x:v>
      </x:c>
      <x:c r="M90" s="12" t="str">
        <x:v>HX1_NORMAL|11</x:v>
      </x:c>
      <x:c r="N90" s="12" t="str">
        <x:v>5号宿舍楼</x:v>
      </x:c>
      <x:c r="O90" s="12" t="n">
        <x:f>IFERROR(INDEX('秒级路线参数_可调整'!$O:$O,MATCH(M90,'秒级路线参数_可调整'!$A:$A,0)),"")</x:f>
        <x:v>0</x:v>
      </x:c>
      <x:c r="P90" s="12" t="str">
        <x:f>IF(O90="","",O90/86400)</x:f>
      </x:c>
      <x:c r="Q90" s="12" t="str">
        <x:f>IF(O90="","",(H90*60+O90)/86400)</x:f>
      </x:c>
      <x:c r="R90" s="12" t="str">
        <x:f>IF(Q90="","",TEXT(Q90,"hh:mm:ss"))</x:f>
      </x:c>
      <x:c r="S90" s="12" t="str">
        <x:v>否</x:v>
      </x:c>
      <x:c r="T90" s="12" t="str">
        <x:v>否</x:v>
      </x:c>
      <x:c r="U90" s="12" t="str">
        <x:v>未提供</x:v>
      </x:c>
      <x:c r="V90" s="12" t="str">
        <x:v>未提供</x:v>
      </x:c>
      <x:c r="W90" s="12" t="str">
        <x:v>秒级预测</x:v>
      </x:c>
      <x:c r="X90" s="12" t="str">
        <x:v>基于路线秒级参数；如录入实测或手动采用秒，预计到达时间可随公式更新</x:v>
      </x:c>
    </x:row>
    <x:row r="91">
      <x:c r="A91" s="12" t="str">
        <x:v>S0007-12</x:v>
      </x:c>
      <x:c r="B91" s="12" t="str">
        <x:v>S0007</x:v>
      </x:c>
      <x:c r="C91" s="12" t="str">
        <x:v>工作日</x:v>
      </x:c>
      <x:c r="D91" s="12" t="str">
        <x:v>环线1路</x:v>
      </x:c>
      <x:c r="E91" s="12" t="str">
        <x:v>第一班</x:v>
      </x:c>
      <x:c r="F91" s="12" t="n">
        <x:v>7</x:v>
      </x:c>
      <x:c r="G91" s="12" t="str">
        <x:v>11:15</x:v>
      </x:c>
      <x:c r="H91" s="12" t="n">
        <x:v>675</x:v>
      </x:c>
      <x:c r="I91" s="12" t="str">
        <x:v>研究生宿舍楼</x:v>
      </x:c>
      <x:c r="J91" s="12" t="str">
        <x:v>研究生宿舍楼发车</x:v>
      </x:c>
      <x:c r="K91" s="12" t="str">
        <x:v>HX1_NORMAL</x:v>
      </x:c>
      <x:c r="L91" s="12" t="n">
        <x:v>12</x:v>
      </x:c>
      <x:c r="M91" s="12" t="str">
        <x:v>HX1_NORMAL|12</x:v>
      </x:c>
      <x:c r="N91" s="12" t="str">
        <x:v>305教学楼</x:v>
      </x:c>
      <x:c r="O91" s="12" t="n">
        <x:f>IFERROR(INDEX('秒级路线参数_可调整'!$O:$O,MATCH(M91,'秒级路线参数_可调整'!$A:$A,0)),"")</x:f>
        <x:v>0</x:v>
      </x:c>
      <x:c r="P91" s="12" t="str">
        <x:f>IF(O91="","",O91/86400)</x:f>
      </x:c>
      <x:c r="Q91" s="12" t="str">
        <x:f>IF(O91="","",(H91*60+O91)/86400)</x:f>
      </x:c>
      <x:c r="R91" s="12" t="str">
        <x:f>IF(Q91="","",TEXT(Q91,"hh:mm:ss"))</x:f>
      </x:c>
      <x:c r="S91" s="12" t="str">
        <x:v>否</x:v>
      </x:c>
      <x:c r="T91" s="12" t="str">
        <x:v>否</x:v>
      </x:c>
      <x:c r="U91" s="12" t="str">
        <x:v>未提供</x:v>
      </x:c>
      <x:c r="V91" s="12" t="str">
        <x:v>未提供</x:v>
      </x:c>
      <x:c r="W91" s="12" t="str">
        <x:v>秒级预测</x:v>
      </x:c>
      <x:c r="X91" s="12" t="str">
        <x:v>基于路线秒级参数；如录入实测或手动采用秒，预计到达时间可随公式更新</x:v>
      </x:c>
    </x:row>
    <x:row r="92">
      <x:c r="A92" s="12" t="str">
        <x:v>S0007-13</x:v>
      </x:c>
      <x:c r="B92" s="12" t="str">
        <x:v>S0007</x:v>
      </x:c>
      <x:c r="C92" s="12" t="str">
        <x:v>工作日</x:v>
      </x:c>
      <x:c r="D92" s="12" t="str">
        <x:v>环线1路</x:v>
      </x:c>
      <x:c r="E92" s="12" t="str">
        <x:v>第一班</x:v>
      </x:c>
      <x:c r="F92" s="12" t="n">
        <x:v>7</x:v>
      </x:c>
      <x:c r="G92" s="12" t="str">
        <x:v>11:15</x:v>
      </x:c>
      <x:c r="H92" s="12" t="n">
        <x:v>675</x:v>
      </x:c>
      <x:c r="I92" s="12" t="str">
        <x:v>研究生宿舍楼</x:v>
      </x:c>
      <x:c r="J92" s="12" t="str">
        <x:v>研究生宿舍楼发车</x:v>
      </x:c>
      <x:c r="K92" s="12" t="str">
        <x:v>HX1_NORMAL</x:v>
      </x:c>
      <x:c r="L92" s="12" t="n">
        <x:v>13</x:v>
      </x:c>
      <x:c r="M92" s="12" t="str">
        <x:v>HX1_NORMAL|13</x:v>
      </x:c>
      <x:c r="N92" s="12" t="str">
        <x:v>研究生宿舍楼</x:v>
      </x:c>
      <x:c r="O92" s="12" t="n">
        <x:f>IFERROR(INDEX('秒级路线参数_可调整'!$O:$O,MATCH(M92,'秒级路线参数_可调整'!$A:$A,0)),"")</x:f>
        <x:v>0</x:v>
      </x:c>
      <x:c r="P92" s="12" t="str">
        <x:f>IF(O92="","",O92/86400)</x:f>
      </x:c>
      <x:c r="Q92" s="12" t="str">
        <x:f>IF(O92="","",(H92*60+O92)/86400)</x:f>
      </x:c>
      <x:c r="R92" s="12" t="str">
        <x:f>IF(Q92="","",TEXT(Q92,"hh:mm:ss"))</x:f>
      </x:c>
      <x:c r="S92" s="12" t="str">
        <x:v>否</x:v>
      </x:c>
      <x:c r="T92" s="12" t="str">
        <x:v>是</x:v>
      </x:c>
      <x:c r="U92" s="12" t="str">
        <x:v>未提供</x:v>
      </x:c>
      <x:c r="V92" s="12" t="str">
        <x:v>未提供</x:v>
      </x:c>
      <x:c r="W92" s="12" t="str">
        <x:v>秒级预测</x:v>
      </x:c>
      <x:c r="X92" s="12" t="str">
        <x:v>基于路线秒级参数；如录入实测或手动采用秒，预计到达时间可随公式更新</x:v>
      </x:c>
    </x:row>
    <x:row r="93">
      <x:c r="A93" s="12" t="str">
        <x:v>S0008-01</x:v>
      </x:c>
      <x:c r="B93" s="12" t="str">
        <x:v>S0008</x:v>
      </x:c>
      <x:c r="C93" s="12" t="str">
        <x:v>工作日</x:v>
      </x:c>
      <x:c r="D93" s="12" t="str">
        <x:v>环线1路</x:v>
      </x:c>
      <x:c r="E93" s="12" t="str">
        <x:v>第一班</x:v>
      </x:c>
      <x:c r="F93" s="12" t="n">
        <x:v>8</x:v>
      </x:c>
      <x:c r="G93" s="12" t="str">
        <x:v>11:30</x:v>
      </x:c>
      <x:c r="H93" s="12" t="n">
        <x:v>690</x:v>
      </x:c>
      <x:c r="I93" s="12" t="str">
        <x:v>高超楼（就餐专线）</x:v>
      </x:c>
      <x:c r="J93" s="12" t="str">
        <x:v>高超楼发车（就餐专线）</x:v>
      </x:c>
      <x:c r="K93" s="12" t="str">
        <x:v>HX1_DINING</x:v>
      </x:c>
      <x:c r="L93" s="12" t="n">
        <x:v>1</x:v>
      </x:c>
      <x:c r="M93" s="12" t="str">
        <x:v>HX1_DINING|1</x:v>
      </x:c>
      <x:c r="N93" s="12" t="str">
        <x:v>高超楼</x:v>
      </x:c>
      <x:c r="O93" s="12" t="n">
        <x:f>IFERROR(INDEX('秒级路线参数_可调整'!$O:$O,MATCH(M93,'秒级路线参数_可调整'!$A:$A,0)),"")</x:f>
        <x:v>0</x:v>
      </x:c>
      <x:c r="P93" s="12" t="str">
        <x:f>IF(O93="","",O93/86400)</x:f>
      </x:c>
      <x:c r="Q93" s="12" t="str">
        <x:f>IF(O93="","",(H93*60+O93)/86400)</x:f>
      </x:c>
      <x:c r="R93" s="12" t="str">
        <x:f>IF(Q93="","",TEXT(Q93,"hh:mm:ss"))</x:f>
      </x:c>
      <x:c r="S93" s="12" t="str">
        <x:v>是</x:v>
      </x:c>
      <x:c r="T93" s="12" t="str">
        <x:v>否</x:v>
      </x:c>
      <x:c r="U93" s="12" t="str">
        <x:v>未提供</x:v>
      </x:c>
      <x:c r="V93" s="12" t="str">
        <x:v>未提供</x:v>
      </x:c>
      <x:c r="W93" s="12" t="str">
        <x:v>秒级预测</x:v>
      </x:c>
      <x:c r="X93" s="12" t="str">
        <x:v>基于路线秒级参数；如录入实测或手动采用秒，预计到达时间可随公式更新</x:v>
      </x:c>
    </x:row>
    <x:row r="94">
      <x:c r="A94" s="12" t="str">
        <x:v>S0008-02</x:v>
      </x:c>
      <x:c r="B94" s="12" t="str">
        <x:v>S0008</x:v>
      </x:c>
      <x:c r="C94" s="12" t="str">
        <x:v>工作日</x:v>
      </x:c>
      <x:c r="D94" s="12" t="str">
        <x:v>环线1路</x:v>
      </x:c>
      <x:c r="E94" s="12" t="str">
        <x:v>第一班</x:v>
      </x:c>
      <x:c r="F94" s="12" t="n">
        <x:v>8</x:v>
      </x:c>
      <x:c r="G94" s="12" t="str">
        <x:v>11:30</x:v>
      </x:c>
      <x:c r="H94" s="12" t="n">
        <x:v>690</x:v>
      </x:c>
      <x:c r="I94" s="12" t="str">
        <x:v>高超楼（就餐专线）</x:v>
      </x:c>
      <x:c r="J94" s="12" t="str">
        <x:v>高超楼发车（就餐专线）</x:v>
      </x:c>
      <x:c r="K94" s="12" t="str">
        <x:v>HX1_DINING</x:v>
      </x:c>
      <x:c r="L94" s="12" t="n">
        <x:v>2</x:v>
      </x:c>
      <x:c r="M94" s="12" t="str">
        <x:v>HX1_DINING|2</x:v>
      </x:c>
      <x:c r="N94" s="12" t="str">
        <x:v>理学院</x:v>
      </x:c>
      <x:c r="O94" s="12" t="n">
        <x:f>IFERROR(INDEX('秒级路线参数_可调整'!$O:$O,MATCH(M94,'秒级路线参数_可调整'!$A:$A,0)),"")</x:f>
        <x:v>65</x:v>
      </x:c>
      <x:c r="P94" s="12" t="n">
        <x:f>IF(O94="","",O94/86400)</x:f>
        <x:v>0.0007523148148148148</x:v>
      </x:c>
      <x:c r="Q94" s="12" t="n">
        <x:f>IF(O94="","",(H94*60+O94)/86400)</x:f>
        <x:v>0.4799189814814815</x:v>
      </x:c>
      <x:c r="R94" s="12" t="str">
        <x:f>IF(Q94="","",TEXT(Q94,"hh:mm:ss"))</x:f>
        <x:v>11:31:05</x:v>
      </x:c>
      <x:c r="S94" s="12" t="str">
        <x:v>否</x:v>
      </x:c>
      <x:c r="T94" s="12" t="str">
        <x:v>否</x:v>
      </x:c>
      <x:c r="U94" s="12" t="str">
        <x:v>未提供</x:v>
      </x:c>
      <x:c r="V94" s="12" t="str">
        <x:v>未提供</x:v>
      </x:c>
      <x:c r="W94" s="12" t="str">
        <x:v>秒级预测</x:v>
      </x:c>
      <x:c r="X94" s="12" t="str">
        <x:v>基于路线秒级参数；如录入实测或手动采用秒，预计到达时间可随公式更新</x:v>
      </x:c>
    </x:row>
    <x:row r="95">
      <x:c r="A95" s="12" t="str">
        <x:v>S0008-03</x:v>
      </x:c>
      <x:c r="B95" s="12" t="str">
        <x:v>S0008</x:v>
      </x:c>
      <x:c r="C95" s="12" t="str">
        <x:v>工作日</x:v>
      </x:c>
      <x:c r="D95" s="12" t="str">
        <x:v>环线1路</x:v>
      </x:c>
      <x:c r="E95" s="12" t="str">
        <x:v>第一班</x:v>
      </x:c>
      <x:c r="F95" s="12" t="n">
        <x:v>8</x:v>
      </x:c>
      <x:c r="G95" s="12" t="str">
        <x:v>11:30</x:v>
      </x:c>
      <x:c r="H95" s="12" t="n">
        <x:v>690</x:v>
      </x:c>
      <x:c r="I95" s="12" t="str">
        <x:v>高超楼（就餐专线）</x:v>
      </x:c>
      <x:c r="J95" s="12" t="str">
        <x:v>高超楼发车（就餐专线）</x:v>
      </x:c>
      <x:c r="K95" s="12" t="str">
        <x:v>HX1_DINING</x:v>
      </x:c>
      <x:c r="L95" s="12" t="n">
        <x:v>3</x:v>
      </x:c>
      <x:c r="M95" s="12" t="str">
        <x:v>HX1_DINING|3</x:v>
      </x:c>
      <x:c r="N95" s="12" t="str">
        <x:v>二食堂</x:v>
      </x:c>
      <x:c r="O95" s="12" t="n">
        <x:f>IFERROR(INDEX('秒级路线参数_可调整'!$O:$O,MATCH(M95,'秒级路线参数_可调整'!$A:$A,0)),"")</x:f>
        <x:v>120</x:v>
      </x:c>
      <x:c r="P95" s="12" t="n">
        <x:f>IF(O95="","",O95/86400)</x:f>
        <x:v>0.001388888888888889</x:v>
      </x:c>
      <x:c r="Q95" s="12" t="n">
        <x:f>IF(O95="","",(H95*60+O95)/86400)</x:f>
        <x:v>0.48055555555555557</x:v>
      </x:c>
      <x:c r="R95" s="12" t="str">
        <x:f>IF(Q95="","",TEXT(Q95,"hh:mm:ss"))</x:f>
        <x:v>11:32:00</x:v>
      </x:c>
      <x:c r="S95" s="12" t="str">
        <x:v>否</x:v>
      </x:c>
      <x:c r="T95" s="12" t="str">
        <x:v>否</x:v>
      </x:c>
      <x:c r="U95" s="12" t="str">
        <x:v>未提供</x:v>
      </x:c>
      <x:c r="V95" s="12" t="str">
        <x:v>未提供</x:v>
      </x:c>
      <x:c r="W95" s="12" t="str">
        <x:v>秒级预测</x:v>
      </x:c>
      <x:c r="X95" s="12" t="str">
        <x:v>基于路线秒级参数；如录入实测或手动采用秒，预计到达时间可随公式更新</x:v>
      </x:c>
    </x:row>
    <x:row r="96">
      <x:c r="A96" s="12" t="str">
        <x:v>S0008-04</x:v>
      </x:c>
      <x:c r="B96" s="12" t="str">
        <x:v>S0008</x:v>
      </x:c>
      <x:c r="C96" s="12" t="str">
        <x:v>工作日</x:v>
      </x:c>
      <x:c r="D96" s="12" t="str">
        <x:v>环线1路</x:v>
      </x:c>
      <x:c r="E96" s="12" t="str">
        <x:v>第一班</x:v>
      </x:c>
      <x:c r="F96" s="12" t="n">
        <x:v>8</x:v>
      </x:c>
      <x:c r="G96" s="12" t="str">
        <x:v>11:30</x:v>
      </x:c>
      <x:c r="H96" s="12" t="n">
        <x:v>690</x:v>
      </x:c>
      <x:c r="I96" s="12" t="str">
        <x:v>高超楼（就餐专线）</x:v>
      </x:c>
      <x:c r="J96" s="12" t="str">
        <x:v>高超楼发车（就餐专线）</x:v>
      </x:c>
      <x:c r="K96" s="12" t="str">
        <x:v>HX1_DINING</x:v>
      </x:c>
      <x:c r="L96" s="12" t="n">
        <x:v>4</x:v>
      </x:c>
      <x:c r="M96" s="12" t="str">
        <x:v>HX1_DINING|4</x:v>
      </x:c>
      <x:c r="N96" s="12" t="str">
        <x:v>一食堂</x:v>
      </x:c>
      <x:c r="O96" s="12" t="n">
        <x:f>IFERROR(INDEX('秒级路线参数_可调整'!$O:$O,MATCH(M96,'秒级路线参数_可调整'!$A:$A,0)),"")</x:f>
        <x:v>165</x:v>
      </x:c>
      <x:c r="P96" s="12" t="n">
        <x:f>IF(O96="","",O96/86400)</x:f>
        <x:v>0.0019097222222222222</x:v>
      </x:c>
      <x:c r="Q96" s="12" t="n">
        <x:f>IF(O96="","",(H96*60+O96)/86400)</x:f>
        <x:v>0.4810763888888889</x:v>
      </x:c>
      <x:c r="R96" s="12" t="str">
        <x:f>IF(Q96="","",TEXT(Q96,"hh:mm:ss"))</x:f>
        <x:v>11:32:45</x:v>
      </x:c>
      <x:c r="S96" s="12" t="str">
        <x:v>否</x:v>
      </x:c>
      <x:c r="T96" s="12" t="str">
        <x:v>否</x:v>
      </x:c>
      <x:c r="U96" s="12" t="str">
        <x:v>未提供</x:v>
      </x:c>
      <x:c r="V96" s="12" t="str">
        <x:v>未提供</x:v>
      </x:c>
      <x:c r="W96" s="12" t="str">
        <x:v>秒级预测</x:v>
      </x:c>
      <x:c r="X96" s="12" t="str">
        <x:v>基于路线秒级参数；如录入实测或手动采用秒，预计到达时间可随公式更新</x:v>
      </x:c>
    </x:row>
    <x:row r="97">
      <x:c r="A97" s="12" t="str">
        <x:v>S0008-05</x:v>
      </x:c>
      <x:c r="B97" s="12" t="str">
        <x:v>S0008</x:v>
      </x:c>
      <x:c r="C97" s="12" t="str">
        <x:v>工作日</x:v>
      </x:c>
      <x:c r="D97" s="12" t="str">
        <x:v>环线1路</x:v>
      </x:c>
      <x:c r="E97" s="12" t="str">
        <x:v>第一班</x:v>
      </x:c>
      <x:c r="F97" s="12" t="n">
        <x:v>8</x:v>
      </x:c>
      <x:c r="G97" s="12" t="str">
        <x:v>11:30</x:v>
      </x:c>
      <x:c r="H97" s="12" t="n">
        <x:v>690</x:v>
      </x:c>
      <x:c r="I97" s="12" t="str">
        <x:v>高超楼（就餐专线）</x:v>
      </x:c>
      <x:c r="J97" s="12" t="str">
        <x:v>高超楼发车（就餐专线）</x:v>
      </x:c>
      <x:c r="K97" s="12" t="str">
        <x:v>HX1_DINING</x:v>
      </x:c>
      <x:c r="L97" s="12" t="n">
        <x:v>5</x:v>
      </x:c>
      <x:c r="M97" s="12" t="str">
        <x:v>HX1_DINING|5</x:v>
      </x:c>
      <x:c r="N97" s="12" t="str">
        <x:v>305教学楼</x:v>
      </x:c>
      <x:c r="O97" s="12" t="n">
        <x:f>IFERROR(INDEX('秒级路线参数_可调整'!$O:$O,MATCH(M97,'秒级路线参数_可调整'!$A:$A,0)),"")</x:f>
        <x:v>250</x:v>
      </x:c>
      <x:c r="P97" s="12" t="n">
        <x:f>IF(O97="","",O97/86400)</x:f>
        <x:v>0.0028935185185185184</x:v>
      </x:c>
      <x:c r="Q97" s="12" t="n">
        <x:f>IF(O97="","",(H97*60+O97)/86400)</x:f>
        <x:v>0.4820601851851852</x:v>
      </x:c>
      <x:c r="R97" s="12" t="str">
        <x:f>IF(Q97="","",TEXT(Q97,"hh:mm:ss"))</x:f>
        <x:v>11:34:10</x:v>
      </x:c>
      <x:c r="S97" s="12" t="str">
        <x:v>否</x:v>
      </x:c>
      <x:c r="T97" s="12" t="str">
        <x:v>否</x:v>
      </x:c>
      <x:c r="U97" s="12" t="str">
        <x:v>未提供</x:v>
      </x:c>
      <x:c r="V97" s="12" t="str">
        <x:v>未提供</x:v>
      </x:c>
      <x:c r="W97" s="12" t="str">
        <x:v>秒级预测</x:v>
      </x:c>
      <x:c r="X97" s="12" t="str">
        <x:v>基于路线秒级参数；如录入实测或手动采用秒，预计到达时间可随公式更新</x:v>
      </x:c>
    </x:row>
    <x:row r="98">
      <x:c r="A98" s="12" t="str">
        <x:v>S0008-06</x:v>
      </x:c>
      <x:c r="B98" s="12" t="str">
        <x:v>S0008</x:v>
      </x:c>
      <x:c r="C98" s="12" t="str">
        <x:v>工作日</x:v>
      </x:c>
      <x:c r="D98" s="12" t="str">
        <x:v>环线1路</x:v>
      </x:c>
      <x:c r="E98" s="12" t="str">
        <x:v>第一班</x:v>
      </x:c>
      <x:c r="F98" s="12" t="n">
        <x:v>8</x:v>
      </x:c>
      <x:c r="G98" s="12" t="str">
        <x:v>11:30</x:v>
      </x:c>
      <x:c r="H98" s="12" t="n">
        <x:v>690</x:v>
      </x:c>
      <x:c r="I98" s="12" t="str">
        <x:v>高超楼（就餐专线）</x:v>
      </x:c>
      <x:c r="J98" s="12" t="str">
        <x:v>高超楼发车（就餐专线）</x:v>
      </x:c>
      <x:c r="K98" s="12" t="str">
        <x:v>HX1_DINING</x:v>
      </x:c>
      <x:c r="L98" s="12" t="n">
        <x:v>6</x:v>
      </x:c>
      <x:c r="M98" s="12" t="str">
        <x:v>HX1_DINING|6</x:v>
      </x:c>
      <x:c r="N98" s="12" t="str">
        <x:v>5号宿舍楼</x:v>
      </x:c>
      <x:c r="O98" s="12" t="n">
        <x:f>IFERROR(INDEX('秒级路线参数_可调整'!$O:$O,MATCH(M98,'秒级路线参数_可调整'!$A:$A,0)),"")</x:f>
        <x:v>315</x:v>
      </x:c>
      <x:c r="P98" s="12" t="n">
        <x:f>IF(O98="","",O98/86400)</x:f>
        <x:v>0.0036458333333333334</x:v>
      </x:c>
      <x:c r="Q98" s="12" t="n">
        <x:f>IF(O98="","",(H98*60+O98)/86400)</x:f>
        <x:v>0.4828125</x:v>
      </x:c>
      <x:c r="R98" s="12" t="str">
        <x:f>IF(Q98="","",TEXT(Q98,"hh:mm:ss"))</x:f>
        <x:v>11:35:15</x:v>
      </x:c>
      <x:c r="S98" s="12" t="str">
        <x:v>否</x:v>
      </x:c>
      <x:c r="T98" s="12" t="str">
        <x:v>否</x:v>
      </x:c>
      <x:c r="U98" s="12" t="str">
        <x:v>未提供</x:v>
      </x:c>
      <x:c r="V98" s="12" t="str">
        <x:v>未提供</x:v>
      </x:c>
      <x:c r="W98" s="12" t="str">
        <x:v>秒级预测</x:v>
      </x:c>
      <x:c r="X98" s="12" t="str">
        <x:v>基于路线秒级参数；如录入实测或手动采用秒，预计到达时间可随公式更新</x:v>
      </x:c>
    </x:row>
    <x:row r="99">
      <x:c r="A99" s="12" t="str">
        <x:v>S0008-07</x:v>
      </x:c>
      <x:c r="B99" s="12" t="str">
        <x:v>S0008</x:v>
      </x:c>
      <x:c r="C99" s="12" t="str">
        <x:v>工作日</x:v>
      </x:c>
      <x:c r="D99" s="12" t="str">
        <x:v>环线1路</x:v>
      </x:c>
      <x:c r="E99" s="12" t="str">
        <x:v>第一班</x:v>
      </x:c>
      <x:c r="F99" s="12" t="n">
        <x:v>8</x:v>
      </x:c>
      <x:c r="G99" s="12" t="str">
        <x:v>11:30</x:v>
      </x:c>
      <x:c r="H99" s="12" t="n">
        <x:v>690</x:v>
      </x:c>
      <x:c r="I99" s="12" t="str">
        <x:v>高超楼（就餐专线）</x:v>
      </x:c>
      <x:c r="J99" s="12" t="str">
        <x:v>高超楼发车（就餐专线）</x:v>
      </x:c>
      <x:c r="K99" s="12" t="str">
        <x:v>HX1_DINING</x:v>
      </x:c>
      <x:c r="L99" s="12" t="n">
        <x:v>7</x:v>
      </x:c>
      <x:c r="M99" s="12" t="str">
        <x:v>HX1_DINING|7</x:v>
      </x:c>
      <x:c r="N99" s="12" t="str">
        <x:v>二食堂北</x:v>
      </x:c>
      <x:c r="O99" s="12" t="n">
        <x:f>IFERROR(INDEX('秒级路线参数_可调整'!$O:$O,MATCH(M99,'秒级路线参数_可调整'!$A:$A,0)),"")</x:f>
        <x:v>420</x:v>
      </x:c>
      <x:c r="P99" s="12" t="n">
        <x:f>IF(O99="","",O99/86400)</x:f>
        <x:v>0.004861111111111111</x:v>
      </x:c>
      <x:c r="Q99" s="12" t="n">
        <x:f>IF(O99="","",(H99*60+O99)/86400)</x:f>
        <x:v>0.4840277777777778</x:v>
      </x:c>
      <x:c r="R99" s="12" t="str">
        <x:f>IF(Q99="","",TEXT(Q99,"hh:mm:ss"))</x:f>
        <x:v>11:37:00</x:v>
      </x:c>
      <x:c r="S99" s="12" t="str">
        <x:v>否</x:v>
      </x:c>
      <x:c r="T99" s="12" t="str">
        <x:v>否</x:v>
      </x:c>
      <x:c r="U99" s="12" t="str">
        <x:v>未提供</x:v>
      </x:c>
      <x:c r="V99" s="12" t="str">
        <x:v>未提供</x:v>
      </x:c>
      <x:c r="W99" s="12" t="str">
        <x:v>秒级预测</x:v>
      </x:c>
      <x:c r="X99" s="12" t="str">
        <x:v>基于路线秒级参数；如录入实测或手动采用秒，预计到达时间可随公式更新</x:v>
      </x:c>
    </x:row>
    <x:row r="100">
      <x:c r="A100" s="12" t="str">
        <x:v>S0008-08</x:v>
      </x:c>
      <x:c r="B100" s="12" t="str">
        <x:v>S0008</x:v>
      </x:c>
      <x:c r="C100" s="12" t="str">
        <x:v>工作日</x:v>
      </x:c>
      <x:c r="D100" s="12" t="str">
        <x:v>环线1路</x:v>
      </x:c>
      <x:c r="E100" s="12" t="str">
        <x:v>第一班</x:v>
      </x:c>
      <x:c r="F100" s="12" t="n">
        <x:v>8</x:v>
      </x:c>
      <x:c r="G100" s="12" t="str">
        <x:v>11:30</x:v>
      </x:c>
      <x:c r="H100" s="12" t="n">
        <x:v>690</x:v>
      </x:c>
      <x:c r="I100" s="12" t="str">
        <x:v>高超楼（就餐专线）</x:v>
      </x:c>
      <x:c r="J100" s="12" t="str">
        <x:v>高超楼发车（就餐专线）</x:v>
      </x:c>
      <x:c r="K100" s="12" t="str">
        <x:v>HX1_DINING</x:v>
      </x:c>
      <x:c r="L100" s="12" t="n">
        <x:v>8</x:v>
      </x:c>
      <x:c r="M100" s="12" t="str">
        <x:v>HX1_DINING|8</x:v>
      </x:c>
      <x:c r="N100" s="12" t="str">
        <x:v>理学院</x:v>
      </x:c>
      <x:c r="O100" s="12" t="n">
        <x:f>IFERROR(INDEX('秒级路线参数_可调整'!$O:$O,MATCH(M100,'秒级路线参数_可调整'!$A:$A,0)),"")</x:f>
        <x:v>480</x:v>
      </x:c>
      <x:c r="P100" s="12" t="n">
        <x:f>IF(O100="","",O100/86400)</x:f>
        <x:v>0.005555555555555556</x:v>
      </x:c>
      <x:c r="Q100" s="12" t="n">
        <x:f>IF(O100="","",(H100*60+O100)/86400)</x:f>
        <x:v>0.4847222222222222</x:v>
      </x:c>
      <x:c r="R100" s="12" t="str">
        <x:f>IF(Q100="","",TEXT(Q100,"hh:mm:ss"))</x:f>
        <x:v>11:38:00</x:v>
      </x:c>
      <x:c r="S100" s="12" t="str">
        <x:v>否</x:v>
      </x:c>
      <x:c r="T100" s="12" t="str">
        <x:v>否</x:v>
      </x:c>
      <x:c r="U100" s="12" t="str">
        <x:v>未提供</x:v>
      </x:c>
      <x:c r="V100" s="12" t="str">
        <x:v>未提供</x:v>
      </x:c>
      <x:c r="W100" s="12" t="str">
        <x:v>秒级预测</x:v>
      </x:c>
      <x:c r="X100" s="12" t="str">
        <x:v>基于路线秒级参数；如录入实测或手动采用秒，预计到达时间可随公式更新</x:v>
      </x:c>
    </x:row>
    <x:row r="101">
      <x:c r="A101" s="12" t="str">
        <x:v>S0008-09</x:v>
      </x:c>
      <x:c r="B101" s="12" t="str">
        <x:v>S0008</x:v>
      </x:c>
      <x:c r="C101" s="12" t="str">
        <x:v>工作日</x:v>
      </x:c>
      <x:c r="D101" s="12" t="str">
        <x:v>环线1路</x:v>
      </x:c>
      <x:c r="E101" s="12" t="str">
        <x:v>第一班</x:v>
      </x:c>
      <x:c r="F101" s="12" t="n">
        <x:v>8</x:v>
      </x:c>
      <x:c r="G101" s="12" t="str">
        <x:v>11:30</x:v>
      </x:c>
      <x:c r="H101" s="12" t="n">
        <x:v>690</x:v>
      </x:c>
      <x:c r="I101" s="12" t="str">
        <x:v>高超楼（就餐专线）</x:v>
      </x:c>
      <x:c r="J101" s="12" t="str">
        <x:v>高超楼发车（就餐专线）</x:v>
      </x:c>
      <x:c r="K101" s="12" t="str">
        <x:v>HX1_DINING</x:v>
      </x:c>
      <x:c r="L101" s="12" t="n">
        <x:v>9</x:v>
      </x:c>
      <x:c r="M101" s="12" t="str">
        <x:v>HX1_DINING|9</x:v>
      </x:c>
      <x:c r="N101" s="12" t="str">
        <x:v>高超楼</x:v>
      </x:c>
      <x:c r="O101" s="12" t="n">
        <x:f>IFERROR(INDEX('秒级路线参数_可调整'!$O:$O,MATCH(M101,'秒级路线参数_可调整'!$A:$A,0)),"")</x:f>
        <x:v>535</x:v>
      </x:c>
      <x:c r="P101" s="12" t="n">
        <x:f>IF(O101="","",O101/86400)</x:f>
        <x:v>0.00619212962962963</x:v>
      </x:c>
      <x:c r="Q101" s="12" t="n">
        <x:f>IF(O101="","",(H101*60+O101)/86400)</x:f>
        <x:v>0.4853587962962963</x:v>
      </x:c>
      <x:c r="R101" s="12" t="str">
        <x:f>IF(Q101="","",TEXT(Q101,"hh:mm:ss"))</x:f>
        <x:v>11:38:55</x:v>
      </x:c>
      <x:c r="S101" s="12" t="str">
        <x:v>否</x:v>
      </x:c>
      <x:c r="T101" s="12" t="str">
        <x:v>是</x:v>
      </x:c>
      <x:c r="U101" s="12" t="str">
        <x:v>未提供</x:v>
      </x:c>
      <x:c r="V101" s="12" t="str">
        <x:v>未提供</x:v>
      </x:c>
      <x:c r="W101" s="12" t="str">
        <x:v>秒级预测</x:v>
      </x:c>
      <x:c r="X101" s="12" t="str">
        <x:v>基于路线秒级参数；如录入实测或手动采用秒，预计到达时间可随公式更新</x:v>
      </x:c>
    </x:row>
    <x:row r="102">
      <x:c r="A102" s="12" t="str">
        <x:v>S0009-01</x:v>
      </x:c>
      <x:c r="B102" s="12" t="str">
        <x:v>S0009</x:v>
      </x:c>
      <x:c r="C102" s="12" t="str">
        <x:v>工作日</x:v>
      </x:c>
      <x:c r="D102" s="12" t="str">
        <x:v>环线1路</x:v>
      </x:c>
      <x:c r="E102" s="12" t="str">
        <x:v>第一班</x:v>
      </x:c>
      <x:c r="F102" s="12" t="n">
        <x:v>9</x:v>
      </x:c>
      <x:c r="G102" s="12" t="str">
        <x:v>11:50</x:v>
      </x:c>
      <x:c r="H102" s="12" t="n">
        <x:v>710</x:v>
      </x:c>
      <x:c r="I102" s="12" t="str">
        <x:v>高超楼（就餐专线）</x:v>
      </x:c>
      <x:c r="J102" s="12" t="str">
        <x:v>高超楼发车（就餐专线）</x:v>
      </x:c>
      <x:c r="K102" s="12" t="str">
        <x:v>HX1_DINING</x:v>
      </x:c>
      <x:c r="L102" s="12" t="n">
        <x:v>1</x:v>
      </x:c>
      <x:c r="M102" s="12" t="str">
        <x:v>HX1_DINING|1</x:v>
      </x:c>
      <x:c r="N102" s="12" t="str">
        <x:v>高超楼</x:v>
      </x:c>
      <x:c r="O102" s="12" t="n">
        <x:f>IFERROR(INDEX('秒级路线参数_可调整'!$O:$O,MATCH(M102,'秒级路线参数_可调整'!$A:$A,0)),"")</x:f>
        <x:v>0</x:v>
      </x:c>
      <x:c r="P102" s="12" t="str">
        <x:f>IF(O102="","",O102/86400)</x:f>
      </x:c>
      <x:c r="Q102" s="12" t="str">
        <x:f>IF(O102="","",(H102*60+O102)/86400)</x:f>
      </x:c>
      <x:c r="R102" s="12" t="str">
        <x:f>IF(Q102="","",TEXT(Q102,"hh:mm:ss"))</x:f>
      </x:c>
      <x:c r="S102" s="12" t="str">
        <x:v>是</x:v>
      </x:c>
      <x:c r="T102" s="12" t="str">
        <x:v>否</x:v>
      </x:c>
      <x:c r="U102" s="12" t="str">
        <x:v>未提供</x:v>
      </x:c>
      <x:c r="V102" s="12" t="str">
        <x:v>未提供</x:v>
      </x:c>
      <x:c r="W102" s="12" t="str">
        <x:v>秒级预测</x:v>
      </x:c>
      <x:c r="X102" s="12" t="str">
        <x:v>基于路线秒级参数；如录入实测或手动采用秒，预计到达时间可随公式更新</x:v>
      </x:c>
    </x:row>
    <x:row r="103">
      <x:c r="A103" s="12" t="str">
        <x:v>S0009-02</x:v>
      </x:c>
      <x:c r="B103" s="12" t="str">
        <x:v>S0009</x:v>
      </x:c>
      <x:c r="C103" s="12" t="str">
        <x:v>工作日</x:v>
      </x:c>
      <x:c r="D103" s="12" t="str">
        <x:v>环线1路</x:v>
      </x:c>
      <x:c r="E103" s="12" t="str">
        <x:v>第一班</x:v>
      </x:c>
      <x:c r="F103" s="12" t="n">
        <x:v>9</x:v>
      </x:c>
      <x:c r="G103" s="12" t="str">
        <x:v>11:50</x:v>
      </x:c>
      <x:c r="H103" s="12" t="n">
        <x:v>710</x:v>
      </x:c>
      <x:c r="I103" s="12" t="str">
        <x:v>高超楼（就餐专线）</x:v>
      </x:c>
      <x:c r="J103" s="12" t="str">
        <x:v>高超楼发车（就餐专线）</x:v>
      </x:c>
      <x:c r="K103" s="12" t="str">
        <x:v>HX1_DINING</x:v>
      </x:c>
      <x:c r="L103" s="12" t="n">
        <x:v>2</x:v>
      </x:c>
      <x:c r="M103" s="12" t="str">
        <x:v>HX1_DINING|2</x:v>
      </x:c>
      <x:c r="N103" s="12" t="str">
        <x:v>理学院</x:v>
      </x:c>
      <x:c r="O103" s="12" t="n">
        <x:f>IFERROR(INDEX('秒级路线参数_可调整'!$O:$O,MATCH(M103,'秒级路线参数_可调整'!$A:$A,0)),"")</x:f>
        <x:v>65</x:v>
      </x:c>
      <x:c r="P103" s="12" t="n">
        <x:f>IF(O103="","",O103/86400)</x:f>
        <x:v>0.0007523148148148148</x:v>
      </x:c>
      <x:c r="Q103" s="12" t="n">
        <x:f>IF(O103="","",(H103*60+O103)/86400)</x:f>
        <x:v>0.4938078703703704</x:v>
      </x:c>
      <x:c r="R103" s="12" t="str">
        <x:f>IF(Q103="","",TEXT(Q103,"hh:mm:ss"))</x:f>
        <x:v>11:51:05</x:v>
      </x:c>
      <x:c r="S103" s="12" t="str">
        <x:v>否</x:v>
      </x:c>
      <x:c r="T103" s="12" t="str">
        <x:v>否</x:v>
      </x:c>
      <x:c r="U103" s="12" t="str">
        <x:v>未提供</x:v>
      </x:c>
      <x:c r="V103" s="12" t="str">
        <x:v>未提供</x:v>
      </x:c>
      <x:c r="W103" s="12" t="str">
        <x:v>秒级预测</x:v>
      </x:c>
      <x:c r="X103" s="12" t="str">
        <x:v>基于路线秒级参数；如录入实测或手动采用秒，预计到达时间可随公式更新</x:v>
      </x:c>
    </x:row>
    <x:row r="104">
      <x:c r="A104" s="12" t="str">
        <x:v>S0009-03</x:v>
      </x:c>
      <x:c r="B104" s="12" t="str">
        <x:v>S0009</x:v>
      </x:c>
      <x:c r="C104" s="12" t="str">
        <x:v>工作日</x:v>
      </x:c>
      <x:c r="D104" s="12" t="str">
        <x:v>环线1路</x:v>
      </x:c>
      <x:c r="E104" s="12" t="str">
        <x:v>第一班</x:v>
      </x:c>
      <x:c r="F104" s="12" t="n">
        <x:v>9</x:v>
      </x:c>
      <x:c r="G104" s="12" t="str">
        <x:v>11:50</x:v>
      </x:c>
      <x:c r="H104" s="12" t="n">
        <x:v>710</x:v>
      </x:c>
      <x:c r="I104" s="12" t="str">
        <x:v>高超楼（就餐专线）</x:v>
      </x:c>
      <x:c r="J104" s="12" t="str">
        <x:v>高超楼发车（就餐专线）</x:v>
      </x:c>
      <x:c r="K104" s="12" t="str">
        <x:v>HX1_DINING</x:v>
      </x:c>
      <x:c r="L104" s="12" t="n">
        <x:v>3</x:v>
      </x:c>
      <x:c r="M104" s="12" t="str">
        <x:v>HX1_DINING|3</x:v>
      </x:c>
      <x:c r="N104" s="12" t="str">
        <x:v>二食堂</x:v>
      </x:c>
      <x:c r="O104" s="12" t="n">
        <x:f>IFERROR(INDEX('秒级路线参数_可调整'!$O:$O,MATCH(M104,'秒级路线参数_可调整'!$A:$A,0)),"")</x:f>
        <x:v>120</x:v>
      </x:c>
      <x:c r="P104" s="12" t="n">
        <x:f>IF(O104="","",O104/86400)</x:f>
        <x:v>0.001388888888888889</x:v>
      </x:c>
      <x:c r="Q104" s="12" t="n">
        <x:f>IF(O104="","",(H104*60+O104)/86400)</x:f>
        <x:v>0.49444444444444446</x:v>
      </x:c>
      <x:c r="R104" s="12" t="str">
        <x:f>IF(Q104="","",TEXT(Q104,"hh:mm:ss"))</x:f>
        <x:v>11:52:00</x:v>
      </x:c>
      <x:c r="S104" s="12" t="str">
        <x:v>否</x:v>
      </x:c>
      <x:c r="T104" s="12" t="str">
        <x:v>否</x:v>
      </x:c>
      <x:c r="U104" s="12" t="str">
        <x:v>未提供</x:v>
      </x:c>
      <x:c r="V104" s="12" t="str">
        <x:v>未提供</x:v>
      </x:c>
      <x:c r="W104" s="12" t="str">
        <x:v>秒级预测</x:v>
      </x:c>
      <x:c r="X104" s="12" t="str">
        <x:v>基于路线秒级参数；如录入实测或手动采用秒，预计到达时间可随公式更新</x:v>
      </x:c>
    </x:row>
    <x:row r="105">
      <x:c r="A105" s="12" t="str">
        <x:v>S0009-04</x:v>
      </x:c>
      <x:c r="B105" s="12" t="str">
        <x:v>S0009</x:v>
      </x:c>
      <x:c r="C105" s="12" t="str">
        <x:v>工作日</x:v>
      </x:c>
      <x:c r="D105" s="12" t="str">
        <x:v>环线1路</x:v>
      </x:c>
      <x:c r="E105" s="12" t="str">
        <x:v>第一班</x:v>
      </x:c>
      <x:c r="F105" s="12" t="n">
        <x:v>9</x:v>
      </x:c>
      <x:c r="G105" s="12" t="str">
        <x:v>11:50</x:v>
      </x:c>
      <x:c r="H105" s="12" t="n">
        <x:v>710</x:v>
      </x:c>
      <x:c r="I105" s="12" t="str">
        <x:v>高超楼（就餐专线）</x:v>
      </x:c>
      <x:c r="J105" s="12" t="str">
        <x:v>高超楼发车（就餐专线）</x:v>
      </x:c>
      <x:c r="K105" s="12" t="str">
        <x:v>HX1_DINING</x:v>
      </x:c>
      <x:c r="L105" s="12" t="n">
        <x:v>4</x:v>
      </x:c>
      <x:c r="M105" s="12" t="str">
        <x:v>HX1_DINING|4</x:v>
      </x:c>
      <x:c r="N105" s="12" t="str">
        <x:v>一食堂</x:v>
      </x:c>
      <x:c r="O105" s="12" t="n">
        <x:f>IFERROR(INDEX('秒级路线参数_可调整'!$O:$O,MATCH(M105,'秒级路线参数_可调整'!$A:$A,0)),"")</x:f>
        <x:v>165</x:v>
      </x:c>
      <x:c r="P105" s="12" t="n">
        <x:f>IF(O105="","",O105/86400)</x:f>
        <x:v>0.0019097222222222222</x:v>
      </x:c>
      <x:c r="Q105" s="12" t="n">
        <x:f>IF(O105="","",(H105*60+O105)/86400)</x:f>
        <x:v>0.49496527777777777</x:v>
      </x:c>
      <x:c r="R105" s="12" t="str">
        <x:f>IF(Q105="","",TEXT(Q105,"hh:mm:ss"))</x:f>
        <x:v>11:52:45</x:v>
      </x:c>
      <x:c r="S105" s="12" t="str">
        <x:v>否</x:v>
      </x:c>
      <x:c r="T105" s="12" t="str">
        <x:v>否</x:v>
      </x:c>
      <x:c r="U105" s="12" t="str">
        <x:v>未提供</x:v>
      </x:c>
      <x:c r="V105" s="12" t="str">
        <x:v>未提供</x:v>
      </x:c>
      <x:c r="W105" s="12" t="str">
        <x:v>秒级预测</x:v>
      </x:c>
      <x:c r="X105" s="12" t="str">
        <x:v>基于路线秒级参数；如录入实测或手动采用秒，预计到达时间可随公式更新</x:v>
      </x:c>
    </x:row>
    <x:row r="106">
      <x:c r="A106" s="12" t="str">
        <x:v>S0009-05</x:v>
      </x:c>
      <x:c r="B106" s="12" t="str">
        <x:v>S0009</x:v>
      </x:c>
      <x:c r="C106" s="12" t="str">
        <x:v>工作日</x:v>
      </x:c>
      <x:c r="D106" s="12" t="str">
        <x:v>环线1路</x:v>
      </x:c>
      <x:c r="E106" s="12" t="str">
        <x:v>第一班</x:v>
      </x:c>
      <x:c r="F106" s="12" t="n">
        <x:v>9</x:v>
      </x:c>
      <x:c r="G106" s="12" t="str">
        <x:v>11:50</x:v>
      </x:c>
      <x:c r="H106" s="12" t="n">
        <x:v>710</x:v>
      </x:c>
      <x:c r="I106" s="12" t="str">
        <x:v>高超楼（就餐专线）</x:v>
      </x:c>
      <x:c r="J106" s="12" t="str">
        <x:v>高超楼发车（就餐专线）</x:v>
      </x:c>
      <x:c r="K106" s="12" t="str">
        <x:v>HX1_DINING</x:v>
      </x:c>
      <x:c r="L106" s="12" t="n">
        <x:v>5</x:v>
      </x:c>
      <x:c r="M106" s="12" t="str">
        <x:v>HX1_DINING|5</x:v>
      </x:c>
      <x:c r="N106" s="12" t="str">
        <x:v>305教学楼</x:v>
      </x:c>
      <x:c r="O106" s="12" t="n">
        <x:f>IFERROR(INDEX('秒级路线参数_可调整'!$O:$O,MATCH(M106,'秒级路线参数_可调整'!$A:$A,0)),"")</x:f>
        <x:v>250</x:v>
      </x:c>
      <x:c r="P106" s="12" t="n">
        <x:f>IF(O106="","",O106/86400)</x:f>
        <x:v>0.0028935185185185184</x:v>
      </x:c>
      <x:c r="Q106" s="12" t="n">
        <x:f>IF(O106="","",(H106*60+O106)/86400)</x:f>
        <x:v>0.49594907407407407</x:v>
      </x:c>
      <x:c r="R106" s="12" t="str">
        <x:f>IF(Q106="","",TEXT(Q106,"hh:mm:ss"))</x:f>
        <x:v>11:54:10</x:v>
      </x:c>
      <x:c r="S106" s="12" t="str">
        <x:v>否</x:v>
      </x:c>
      <x:c r="T106" s="12" t="str">
        <x:v>否</x:v>
      </x:c>
      <x:c r="U106" s="12" t="str">
        <x:v>未提供</x:v>
      </x:c>
      <x:c r="V106" s="12" t="str">
        <x:v>未提供</x:v>
      </x:c>
      <x:c r="W106" s="12" t="str">
        <x:v>秒级预测</x:v>
      </x:c>
      <x:c r="X106" s="12" t="str">
        <x:v>基于路线秒级参数；如录入实测或手动采用秒，预计到达时间可随公式更新</x:v>
      </x:c>
    </x:row>
    <x:row r="107">
      <x:c r="A107" s="12" t="str">
        <x:v>S0009-06</x:v>
      </x:c>
      <x:c r="B107" s="12" t="str">
        <x:v>S0009</x:v>
      </x:c>
      <x:c r="C107" s="12" t="str">
        <x:v>工作日</x:v>
      </x:c>
      <x:c r="D107" s="12" t="str">
        <x:v>环线1路</x:v>
      </x:c>
      <x:c r="E107" s="12" t="str">
        <x:v>第一班</x:v>
      </x:c>
      <x:c r="F107" s="12" t="n">
        <x:v>9</x:v>
      </x:c>
      <x:c r="G107" s="12" t="str">
        <x:v>11:50</x:v>
      </x:c>
      <x:c r="H107" s="12" t="n">
        <x:v>710</x:v>
      </x:c>
      <x:c r="I107" s="12" t="str">
        <x:v>高超楼（就餐专线）</x:v>
      </x:c>
      <x:c r="J107" s="12" t="str">
        <x:v>高超楼发车（就餐专线）</x:v>
      </x:c>
      <x:c r="K107" s="12" t="str">
        <x:v>HX1_DINING</x:v>
      </x:c>
      <x:c r="L107" s="12" t="n">
        <x:v>6</x:v>
      </x:c>
      <x:c r="M107" s="12" t="str">
        <x:v>HX1_DINING|6</x:v>
      </x:c>
      <x:c r="N107" s="12" t="str">
        <x:v>5号宿舍楼</x:v>
      </x:c>
      <x:c r="O107" s="12" t="n">
        <x:f>IFERROR(INDEX('秒级路线参数_可调整'!$O:$O,MATCH(M107,'秒级路线参数_可调整'!$A:$A,0)),"")</x:f>
        <x:v>315</x:v>
      </x:c>
      <x:c r="P107" s="12" t="n">
        <x:f>IF(O107="","",O107/86400)</x:f>
        <x:v>0.0036458333333333334</x:v>
      </x:c>
      <x:c r="Q107" s="12" t="n">
        <x:f>IF(O107="","",(H107*60+O107)/86400)</x:f>
        <x:v>0.4967013888888889</x:v>
      </x:c>
      <x:c r="R107" s="12" t="str">
        <x:f>IF(Q107="","",TEXT(Q107,"hh:mm:ss"))</x:f>
        <x:v>11:55:15</x:v>
      </x:c>
      <x:c r="S107" s="12" t="str">
        <x:v>否</x:v>
      </x:c>
      <x:c r="T107" s="12" t="str">
        <x:v>否</x:v>
      </x:c>
      <x:c r="U107" s="12" t="str">
        <x:v>未提供</x:v>
      </x:c>
      <x:c r="V107" s="12" t="str">
        <x:v>未提供</x:v>
      </x:c>
      <x:c r="W107" s="12" t="str">
        <x:v>秒级预测</x:v>
      </x:c>
      <x:c r="X107" s="12" t="str">
        <x:v>基于路线秒级参数；如录入实测或手动采用秒，预计到达时间可随公式更新</x:v>
      </x:c>
    </x:row>
    <x:row r="108">
      <x:c r="A108" s="12" t="str">
        <x:v>S0009-07</x:v>
      </x:c>
      <x:c r="B108" s="12" t="str">
        <x:v>S0009</x:v>
      </x:c>
      <x:c r="C108" s="12" t="str">
        <x:v>工作日</x:v>
      </x:c>
      <x:c r="D108" s="12" t="str">
        <x:v>环线1路</x:v>
      </x:c>
      <x:c r="E108" s="12" t="str">
        <x:v>第一班</x:v>
      </x:c>
      <x:c r="F108" s="12" t="n">
        <x:v>9</x:v>
      </x:c>
      <x:c r="G108" s="12" t="str">
        <x:v>11:50</x:v>
      </x:c>
      <x:c r="H108" s="12" t="n">
        <x:v>710</x:v>
      </x:c>
      <x:c r="I108" s="12" t="str">
        <x:v>高超楼（就餐专线）</x:v>
      </x:c>
      <x:c r="J108" s="12" t="str">
        <x:v>高超楼发车（就餐专线）</x:v>
      </x:c>
      <x:c r="K108" s="12" t="str">
        <x:v>HX1_DINING</x:v>
      </x:c>
      <x:c r="L108" s="12" t="n">
        <x:v>7</x:v>
      </x:c>
      <x:c r="M108" s="12" t="str">
        <x:v>HX1_DINING|7</x:v>
      </x:c>
      <x:c r="N108" s="12" t="str">
        <x:v>二食堂北</x:v>
      </x:c>
      <x:c r="O108" s="12" t="n">
        <x:f>IFERROR(INDEX('秒级路线参数_可调整'!$O:$O,MATCH(M108,'秒级路线参数_可调整'!$A:$A,0)),"")</x:f>
        <x:v>420</x:v>
      </x:c>
      <x:c r="P108" s="12" t="n">
        <x:f>IF(O108="","",O108/86400)</x:f>
        <x:v>0.004861111111111111</x:v>
      </x:c>
      <x:c r="Q108" s="12" t="n">
        <x:f>IF(O108="","",(H108*60+O108)/86400)</x:f>
        <x:v>0.4979166666666667</x:v>
      </x:c>
      <x:c r="R108" s="12" t="str">
        <x:f>IF(Q108="","",TEXT(Q108,"hh:mm:ss"))</x:f>
        <x:v>11:57:00</x:v>
      </x:c>
      <x:c r="S108" s="12" t="str">
        <x:v>否</x:v>
      </x:c>
      <x:c r="T108" s="12" t="str">
        <x:v>否</x:v>
      </x:c>
      <x:c r="U108" s="12" t="str">
        <x:v>未提供</x:v>
      </x:c>
      <x:c r="V108" s="12" t="str">
        <x:v>未提供</x:v>
      </x:c>
      <x:c r="W108" s="12" t="str">
        <x:v>秒级预测</x:v>
      </x:c>
      <x:c r="X108" s="12" t="str">
        <x:v>基于路线秒级参数；如录入实测或手动采用秒，预计到达时间可随公式更新</x:v>
      </x:c>
    </x:row>
    <x:row r="109">
      <x:c r="A109" s="12" t="str">
        <x:v>S0009-08</x:v>
      </x:c>
      <x:c r="B109" s="12" t="str">
        <x:v>S0009</x:v>
      </x:c>
      <x:c r="C109" s="12" t="str">
        <x:v>工作日</x:v>
      </x:c>
      <x:c r="D109" s="12" t="str">
        <x:v>环线1路</x:v>
      </x:c>
      <x:c r="E109" s="12" t="str">
        <x:v>第一班</x:v>
      </x:c>
      <x:c r="F109" s="12" t="n">
        <x:v>9</x:v>
      </x:c>
      <x:c r="G109" s="12" t="str">
        <x:v>11:50</x:v>
      </x:c>
      <x:c r="H109" s="12" t="n">
        <x:v>710</x:v>
      </x:c>
      <x:c r="I109" s="12" t="str">
        <x:v>高超楼（就餐专线）</x:v>
      </x:c>
      <x:c r="J109" s="12" t="str">
        <x:v>高超楼发车（就餐专线）</x:v>
      </x:c>
      <x:c r="K109" s="12" t="str">
        <x:v>HX1_DINING</x:v>
      </x:c>
      <x:c r="L109" s="12" t="n">
        <x:v>8</x:v>
      </x:c>
      <x:c r="M109" s="12" t="str">
        <x:v>HX1_DINING|8</x:v>
      </x:c>
      <x:c r="N109" s="12" t="str">
        <x:v>理学院</x:v>
      </x:c>
      <x:c r="O109" s="12" t="n">
        <x:f>IFERROR(INDEX('秒级路线参数_可调整'!$O:$O,MATCH(M109,'秒级路线参数_可调整'!$A:$A,0)),"")</x:f>
        <x:v>480</x:v>
      </x:c>
      <x:c r="P109" s="12" t="n">
        <x:f>IF(O109="","",O109/86400)</x:f>
        <x:v>0.005555555555555556</x:v>
      </x:c>
      <x:c r="Q109" s="12" t="n">
        <x:f>IF(O109="","",(H109*60+O109)/86400)</x:f>
        <x:v>0.4986111111111111</x:v>
      </x:c>
      <x:c r="R109" s="12" t="str">
        <x:f>IF(Q109="","",TEXT(Q109,"hh:mm:ss"))</x:f>
        <x:v>11:58:00</x:v>
      </x:c>
      <x:c r="S109" s="12" t="str">
        <x:v>否</x:v>
      </x:c>
      <x:c r="T109" s="12" t="str">
        <x:v>否</x:v>
      </x:c>
      <x:c r="U109" s="12" t="str">
        <x:v>未提供</x:v>
      </x:c>
      <x:c r="V109" s="12" t="str">
        <x:v>未提供</x:v>
      </x:c>
      <x:c r="W109" s="12" t="str">
        <x:v>秒级预测</x:v>
      </x:c>
      <x:c r="X109" s="12" t="str">
        <x:v>基于路线秒级参数；如录入实测或手动采用秒，预计到达时间可随公式更新</x:v>
      </x:c>
    </x:row>
    <x:row r="110">
      <x:c r="A110" s="12" t="str">
        <x:v>S0009-09</x:v>
      </x:c>
      <x:c r="B110" s="12" t="str">
        <x:v>S0009</x:v>
      </x:c>
      <x:c r="C110" s="12" t="str">
        <x:v>工作日</x:v>
      </x:c>
      <x:c r="D110" s="12" t="str">
        <x:v>环线1路</x:v>
      </x:c>
      <x:c r="E110" s="12" t="str">
        <x:v>第一班</x:v>
      </x:c>
      <x:c r="F110" s="12" t="n">
        <x:v>9</x:v>
      </x:c>
      <x:c r="G110" s="12" t="str">
        <x:v>11:50</x:v>
      </x:c>
      <x:c r="H110" s="12" t="n">
        <x:v>710</x:v>
      </x:c>
      <x:c r="I110" s="12" t="str">
        <x:v>高超楼（就餐专线）</x:v>
      </x:c>
      <x:c r="J110" s="12" t="str">
        <x:v>高超楼发车（就餐专线）</x:v>
      </x:c>
      <x:c r="K110" s="12" t="str">
        <x:v>HX1_DINING</x:v>
      </x:c>
      <x:c r="L110" s="12" t="n">
        <x:v>9</x:v>
      </x:c>
      <x:c r="M110" s="12" t="str">
        <x:v>HX1_DINING|9</x:v>
      </x:c>
      <x:c r="N110" s="12" t="str">
        <x:v>高超楼</x:v>
      </x:c>
      <x:c r="O110" s="12" t="n">
        <x:f>IFERROR(INDEX('秒级路线参数_可调整'!$O:$O,MATCH(M110,'秒级路线参数_可调整'!$A:$A,0)),"")</x:f>
        <x:v>535</x:v>
      </x:c>
      <x:c r="P110" s="12" t="n">
        <x:f>IF(O110="","",O110/86400)</x:f>
        <x:v>0.00619212962962963</x:v>
      </x:c>
      <x:c r="Q110" s="12" t="n">
        <x:f>IF(O110="","",(H110*60+O110)/86400)</x:f>
        <x:v>0.4992476851851852</x:v>
      </x:c>
      <x:c r="R110" s="12" t="str">
        <x:f>IF(Q110="","",TEXT(Q110,"hh:mm:ss"))</x:f>
        <x:v>11:58:55</x:v>
      </x:c>
      <x:c r="S110" s="12" t="str">
        <x:v>否</x:v>
      </x:c>
      <x:c r="T110" s="12" t="str">
        <x:v>是</x:v>
      </x:c>
      <x:c r="U110" s="12" t="str">
        <x:v>未提供</x:v>
      </x:c>
      <x:c r="V110" s="12" t="str">
        <x:v>未提供</x:v>
      </x:c>
      <x:c r="W110" s="12" t="str">
        <x:v>秒级预测</x:v>
      </x:c>
      <x:c r="X110" s="12" t="str">
        <x:v>基于路线秒级参数；如录入实测或手动采用秒，预计到达时间可随公式更新</x:v>
      </x:c>
    </x:row>
    <x:row r="111">
      <x:c r="A111" s="12" t="str">
        <x:v>S0010-01</x:v>
      </x:c>
      <x:c r="B111" s="12" t="str">
        <x:v>S0010</x:v>
      </x:c>
      <x:c r="C111" s="12" t="str">
        <x:v>工作日</x:v>
      </x:c>
      <x:c r="D111" s="12" t="str">
        <x:v>环线1路</x:v>
      </x:c>
      <x:c r="E111" s="12" t="str">
        <x:v>第一班</x:v>
      </x:c>
      <x:c r="F111" s="12" t="n">
        <x:v>10</x:v>
      </x:c>
      <x:c r="G111" s="12" t="str">
        <x:v>12:10</x:v>
      </x:c>
      <x:c r="H111" s="12" t="n">
        <x:v>730</x:v>
      </x:c>
      <x:c r="I111" s="12" t="str">
        <x:v>高超楼（就餐专线）</x:v>
      </x:c>
      <x:c r="J111" s="12" t="str">
        <x:v>高超楼发车（就餐专线）</x:v>
      </x:c>
      <x:c r="K111" s="12" t="str">
        <x:v>HX1_DINING</x:v>
      </x:c>
      <x:c r="L111" s="12" t="n">
        <x:v>1</x:v>
      </x:c>
      <x:c r="M111" s="12" t="str">
        <x:v>HX1_DINING|1</x:v>
      </x:c>
      <x:c r="N111" s="12" t="str">
        <x:v>高超楼</x:v>
      </x:c>
      <x:c r="O111" s="12" t="n">
        <x:f>IFERROR(INDEX('秒级路线参数_可调整'!$O:$O,MATCH(M111,'秒级路线参数_可调整'!$A:$A,0)),"")</x:f>
        <x:v>0</x:v>
      </x:c>
      <x:c r="P111" s="12" t="str">
        <x:f>IF(O111="","",O111/86400)</x:f>
      </x:c>
      <x:c r="Q111" s="12" t="str">
        <x:f>IF(O111="","",(H111*60+O111)/86400)</x:f>
      </x:c>
      <x:c r="R111" s="12" t="str">
        <x:f>IF(Q111="","",TEXT(Q111,"hh:mm:ss"))</x:f>
      </x:c>
      <x:c r="S111" s="12" t="str">
        <x:v>是</x:v>
      </x:c>
      <x:c r="T111" s="12" t="str">
        <x:v>否</x:v>
      </x:c>
      <x:c r="U111" s="12" t="str">
        <x:v>未提供</x:v>
      </x:c>
      <x:c r="V111" s="12" t="str">
        <x:v>未提供</x:v>
      </x:c>
      <x:c r="W111" s="12" t="str">
        <x:v>秒级预测</x:v>
      </x:c>
      <x:c r="X111" s="12" t="str">
        <x:v>基于路线秒级参数；如录入实测或手动采用秒，预计到达时间可随公式更新</x:v>
      </x:c>
    </x:row>
    <x:row r="112">
      <x:c r="A112" s="12" t="str">
        <x:v>S0010-02</x:v>
      </x:c>
      <x:c r="B112" s="12" t="str">
        <x:v>S0010</x:v>
      </x:c>
      <x:c r="C112" s="12" t="str">
        <x:v>工作日</x:v>
      </x:c>
      <x:c r="D112" s="12" t="str">
        <x:v>环线1路</x:v>
      </x:c>
      <x:c r="E112" s="12" t="str">
        <x:v>第一班</x:v>
      </x:c>
      <x:c r="F112" s="12" t="n">
        <x:v>10</x:v>
      </x:c>
      <x:c r="G112" s="12" t="str">
        <x:v>12:10</x:v>
      </x:c>
      <x:c r="H112" s="12" t="n">
        <x:v>730</x:v>
      </x:c>
      <x:c r="I112" s="12" t="str">
        <x:v>高超楼（就餐专线）</x:v>
      </x:c>
      <x:c r="J112" s="12" t="str">
        <x:v>高超楼发车（就餐专线）</x:v>
      </x:c>
      <x:c r="K112" s="12" t="str">
        <x:v>HX1_DINING</x:v>
      </x:c>
      <x:c r="L112" s="12" t="n">
        <x:v>2</x:v>
      </x:c>
      <x:c r="M112" s="12" t="str">
        <x:v>HX1_DINING|2</x:v>
      </x:c>
      <x:c r="N112" s="12" t="str">
        <x:v>理学院</x:v>
      </x:c>
      <x:c r="O112" s="12" t="n">
        <x:f>IFERROR(INDEX('秒级路线参数_可调整'!$O:$O,MATCH(M112,'秒级路线参数_可调整'!$A:$A,0)),"")</x:f>
        <x:v>65</x:v>
      </x:c>
      <x:c r="P112" s="12" t="n">
        <x:f>IF(O112="","",O112/86400)</x:f>
        <x:v>0.0007523148148148148</x:v>
      </x:c>
      <x:c r="Q112" s="12" t="n">
        <x:f>IF(O112="","",(H112*60+O112)/86400)</x:f>
        <x:v>0.5076967592592593</x:v>
      </x:c>
      <x:c r="R112" s="12" t="str">
        <x:f>IF(Q112="","",TEXT(Q112,"hh:mm:ss"))</x:f>
        <x:v>12:11:05</x:v>
      </x:c>
      <x:c r="S112" s="12" t="str">
        <x:v>否</x:v>
      </x:c>
      <x:c r="T112" s="12" t="str">
        <x:v>否</x:v>
      </x:c>
      <x:c r="U112" s="12" t="str">
        <x:v>未提供</x:v>
      </x:c>
      <x:c r="V112" s="12" t="str">
        <x:v>未提供</x:v>
      </x:c>
      <x:c r="W112" s="12" t="str">
        <x:v>秒级预测</x:v>
      </x:c>
      <x:c r="X112" s="12" t="str">
        <x:v>基于路线秒级参数；如录入实测或手动采用秒，预计到达时间可随公式更新</x:v>
      </x:c>
    </x:row>
    <x:row r="113">
      <x:c r="A113" s="12" t="str">
        <x:v>S0010-03</x:v>
      </x:c>
      <x:c r="B113" s="12" t="str">
        <x:v>S0010</x:v>
      </x:c>
      <x:c r="C113" s="12" t="str">
        <x:v>工作日</x:v>
      </x:c>
      <x:c r="D113" s="12" t="str">
        <x:v>环线1路</x:v>
      </x:c>
      <x:c r="E113" s="12" t="str">
        <x:v>第一班</x:v>
      </x:c>
      <x:c r="F113" s="12" t="n">
        <x:v>10</x:v>
      </x:c>
      <x:c r="G113" s="12" t="str">
        <x:v>12:10</x:v>
      </x:c>
      <x:c r="H113" s="12" t="n">
        <x:v>730</x:v>
      </x:c>
      <x:c r="I113" s="12" t="str">
        <x:v>高超楼（就餐专线）</x:v>
      </x:c>
      <x:c r="J113" s="12" t="str">
        <x:v>高超楼发车（就餐专线）</x:v>
      </x:c>
      <x:c r="K113" s="12" t="str">
        <x:v>HX1_DINING</x:v>
      </x:c>
      <x:c r="L113" s="12" t="n">
        <x:v>3</x:v>
      </x:c>
      <x:c r="M113" s="12" t="str">
        <x:v>HX1_DINING|3</x:v>
      </x:c>
      <x:c r="N113" s="12" t="str">
        <x:v>二食堂</x:v>
      </x:c>
      <x:c r="O113" s="12" t="n">
        <x:f>IFERROR(INDEX('秒级路线参数_可调整'!$O:$O,MATCH(M113,'秒级路线参数_可调整'!$A:$A,0)),"")</x:f>
        <x:v>120</x:v>
      </x:c>
      <x:c r="P113" s="12" t="n">
        <x:f>IF(O113="","",O113/86400)</x:f>
        <x:v>0.001388888888888889</x:v>
      </x:c>
      <x:c r="Q113" s="12" t="n">
        <x:f>IF(O113="","",(H113*60+O113)/86400)</x:f>
        <x:v>0.5083333333333333</x:v>
      </x:c>
      <x:c r="R113" s="12" t="str">
        <x:f>IF(Q113="","",TEXT(Q113,"hh:mm:ss"))</x:f>
        <x:v>12:12:00</x:v>
      </x:c>
      <x:c r="S113" s="12" t="str">
        <x:v>否</x:v>
      </x:c>
      <x:c r="T113" s="12" t="str">
        <x:v>否</x:v>
      </x:c>
      <x:c r="U113" s="12" t="str">
        <x:v>未提供</x:v>
      </x:c>
      <x:c r="V113" s="12" t="str">
        <x:v>未提供</x:v>
      </x:c>
      <x:c r="W113" s="12" t="str">
        <x:v>秒级预测</x:v>
      </x:c>
      <x:c r="X113" s="12" t="str">
        <x:v>基于路线秒级参数；如录入实测或手动采用秒，预计到达时间可随公式更新</x:v>
      </x:c>
    </x:row>
    <x:row r="114">
      <x:c r="A114" s="12" t="str">
        <x:v>S0010-04</x:v>
      </x:c>
      <x:c r="B114" s="12" t="str">
        <x:v>S0010</x:v>
      </x:c>
      <x:c r="C114" s="12" t="str">
        <x:v>工作日</x:v>
      </x:c>
      <x:c r="D114" s="12" t="str">
        <x:v>环线1路</x:v>
      </x:c>
      <x:c r="E114" s="12" t="str">
        <x:v>第一班</x:v>
      </x:c>
      <x:c r="F114" s="12" t="n">
        <x:v>10</x:v>
      </x:c>
      <x:c r="G114" s="12" t="str">
        <x:v>12:10</x:v>
      </x:c>
      <x:c r="H114" s="12" t="n">
        <x:v>730</x:v>
      </x:c>
      <x:c r="I114" s="12" t="str">
        <x:v>高超楼（就餐专线）</x:v>
      </x:c>
      <x:c r="J114" s="12" t="str">
        <x:v>高超楼发车（就餐专线）</x:v>
      </x:c>
      <x:c r="K114" s="12" t="str">
        <x:v>HX1_DINING</x:v>
      </x:c>
      <x:c r="L114" s="12" t="n">
        <x:v>4</x:v>
      </x:c>
      <x:c r="M114" s="12" t="str">
        <x:v>HX1_DINING|4</x:v>
      </x:c>
      <x:c r="N114" s="12" t="str">
        <x:v>一食堂</x:v>
      </x:c>
      <x:c r="O114" s="12" t="n">
        <x:f>IFERROR(INDEX('秒级路线参数_可调整'!$O:$O,MATCH(M114,'秒级路线参数_可调整'!$A:$A,0)),"")</x:f>
        <x:v>165</x:v>
      </x:c>
      <x:c r="P114" s="12" t="n">
        <x:f>IF(O114="","",O114/86400)</x:f>
        <x:v>0.0019097222222222222</x:v>
      </x:c>
      <x:c r="Q114" s="12" t="n">
        <x:f>IF(O114="","",(H114*60+O114)/86400)</x:f>
        <x:v>0.5088541666666667</x:v>
      </x:c>
      <x:c r="R114" s="12" t="str">
        <x:f>IF(Q114="","",TEXT(Q114,"hh:mm:ss"))</x:f>
        <x:v>12:12:45</x:v>
      </x:c>
      <x:c r="S114" s="12" t="str">
        <x:v>否</x:v>
      </x:c>
      <x:c r="T114" s="12" t="str">
        <x:v>否</x:v>
      </x:c>
      <x:c r="U114" s="12" t="str">
        <x:v>未提供</x:v>
      </x:c>
      <x:c r="V114" s="12" t="str">
        <x:v>未提供</x:v>
      </x:c>
      <x:c r="W114" s="12" t="str">
        <x:v>秒级预测</x:v>
      </x:c>
      <x:c r="X114" s="12" t="str">
        <x:v>基于路线秒级参数；如录入实测或手动采用秒，预计到达时间可随公式更新</x:v>
      </x:c>
    </x:row>
    <x:row r="115">
      <x:c r="A115" s="12" t="str">
        <x:v>S0010-05</x:v>
      </x:c>
      <x:c r="B115" s="12" t="str">
        <x:v>S0010</x:v>
      </x:c>
      <x:c r="C115" s="12" t="str">
        <x:v>工作日</x:v>
      </x:c>
      <x:c r="D115" s="12" t="str">
        <x:v>环线1路</x:v>
      </x:c>
      <x:c r="E115" s="12" t="str">
        <x:v>第一班</x:v>
      </x:c>
      <x:c r="F115" s="12" t="n">
        <x:v>10</x:v>
      </x:c>
      <x:c r="G115" s="12" t="str">
        <x:v>12:10</x:v>
      </x:c>
      <x:c r="H115" s="12" t="n">
        <x:v>730</x:v>
      </x:c>
      <x:c r="I115" s="12" t="str">
        <x:v>高超楼（就餐专线）</x:v>
      </x:c>
      <x:c r="J115" s="12" t="str">
        <x:v>高超楼发车（就餐专线）</x:v>
      </x:c>
      <x:c r="K115" s="12" t="str">
        <x:v>HX1_DINING</x:v>
      </x:c>
      <x:c r="L115" s="12" t="n">
        <x:v>5</x:v>
      </x:c>
      <x:c r="M115" s="12" t="str">
        <x:v>HX1_DINING|5</x:v>
      </x:c>
      <x:c r="N115" s="12" t="str">
        <x:v>305教学楼</x:v>
      </x:c>
      <x:c r="O115" s="12" t="n">
        <x:f>IFERROR(INDEX('秒级路线参数_可调整'!$O:$O,MATCH(M115,'秒级路线参数_可调整'!$A:$A,0)),"")</x:f>
        <x:v>250</x:v>
      </x:c>
      <x:c r="P115" s="12" t="n">
        <x:f>IF(O115="","",O115/86400)</x:f>
        <x:v>0.0028935185185185184</x:v>
      </x:c>
      <x:c r="Q115" s="12" t="n">
        <x:f>IF(O115="","",(H115*60+O115)/86400)</x:f>
        <x:v>0.5098379629629629</x:v>
      </x:c>
      <x:c r="R115" s="12" t="str">
        <x:f>IF(Q115="","",TEXT(Q115,"hh:mm:ss"))</x:f>
        <x:v>12:14:10</x:v>
      </x:c>
      <x:c r="S115" s="12" t="str">
        <x:v>否</x:v>
      </x:c>
      <x:c r="T115" s="12" t="str">
        <x:v>否</x:v>
      </x:c>
      <x:c r="U115" s="12" t="str">
        <x:v>未提供</x:v>
      </x:c>
      <x:c r="V115" s="12" t="str">
        <x:v>未提供</x:v>
      </x:c>
      <x:c r="W115" s="12" t="str">
        <x:v>秒级预测</x:v>
      </x:c>
      <x:c r="X115" s="12" t="str">
        <x:v>基于路线秒级参数；如录入实测或手动采用秒，预计到达时间可随公式更新</x:v>
      </x:c>
    </x:row>
    <x:row r="116">
      <x:c r="A116" s="12" t="str">
        <x:v>S0010-06</x:v>
      </x:c>
      <x:c r="B116" s="12" t="str">
        <x:v>S0010</x:v>
      </x:c>
      <x:c r="C116" s="12" t="str">
        <x:v>工作日</x:v>
      </x:c>
      <x:c r="D116" s="12" t="str">
        <x:v>环线1路</x:v>
      </x:c>
      <x:c r="E116" s="12" t="str">
        <x:v>第一班</x:v>
      </x:c>
      <x:c r="F116" s="12" t="n">
        <x:v>10</x:v>
      </x:c>
      <x:c r="G116" s="12" t="str">
        <x:v>12:10</x:v>
      </x:c>
      <x:c r="H116" s="12" t="n">
        <x:v>730</x:v>
      </x:c>
      <x:c r="I116" s="12" t="str">
        <x:v>高超楼（就餐专线）</x:v>
      </x:c>
      <x:c r="J116" s="12" t="str">
        <x:v>高超楼发车（就餐专线）</x:v>
      </x:c>
      <x:c r="K116" s="12" t="str">
        <x:v>HX1_DINING</x:v>
      </x:c>
      <x:c r="L116" s="12" t="n">
        <x:v>6</x:v>
      </x:c>
      <x:c r="M116" s="12" t="str">
        <x:v>HX1_DINING|6</x:v>
      </x:c>
      <x:c r="N116" s="12" t="str">
        <x:v>5号宿舍楼</x:v>
      </x:c>
      <x:c r="O116" s="12" t="n">
        <x:f>IFERROR(INDEX('秒级路线参数_可调整'!$O:$O,MATCH(M116,'秒级路线参数_可调整'!$A:$A,0)),"")</x:f>
        <x:v>315</x:v>
      </x:c>
      <x:c r="P116" s="12" t="n">
        <x:f>IF(O116="","",O116/86400)</x:f>
        <x:v>0.0036458333333333334</x:v>
      </x:c>
      <x:c r="Q116" s="12" t="n">
        <x:f>IF(O116="","",(H116*60+O116)/86400)</x:f>
        <x:v>0.5105902777777778</x:v>
      </x:c>
      <x:c r="R116" s="12" t="str">
        <x:f>IF(Q116="","",TEXT(Q116,"hh:mm:ss"))</x:f>
        <x:v>12:15:15</x:v>
      </x:c>
      <x:c r="S116" s="12" t="str">
        <x:v>否</x:v>
      </x:c>
      <x:c r="T116" s="12" t="str">
        <x:v>否</x:v>
      </x:c>
      <x:c r="U116" s="12" t="str">
        <x:v>未提供</x:v>
      </x:c>
      <x:c r="V116" s="12" t="str">
        <x:v>未提供</x:v>
      </x:c>
      <x:c r="W116" s="12" t="str">
        <x:v>秒级预测</x:v>
      </x:c>
      <x:c r="X116" s="12" t="str">
        <x:v>基于路线秒级参数；如录入实测或手动采用秒，预计到达时间可随公式更新</x:v>
      </x:c>
    </x:row>
    <x:row r="117">
      <x:c r="A117" s="12" t="str">
        <x:v>S0010-07</x:v>
      </x:c>
      <x:c r="B117" s="12" t="str">
        <x:v>S0010</x:v>
      </x:c>
      <x:c r="C117" s="12" t="str">
        <x:v>工作日</x:v>
      </x:c>
      <x:c r="D117" s="12" t="str">
        <x:v>环线1路</x:v>
      </x:c>
      <x:c r="E117" s="12" t="str">
        <x:v>第一班</x:v>
      </x:c>
      <x:c r="F117" s="12" t="n">
        <x:v>10</x:v>
      </x:c>
      <x:c r="G117" s="12" t="str">
        <x:v>12:10</x:v>
      </x:c>
      <x:c r="H117" s="12" t="n">
        <x:v>730</x:v>
      </x:c>
      <x:c r="I117" s="12" t="str">
        <x:v>高超楼（就餐专线）</x:v>
      </x:c>
      <x:c r="J117" s="12" t="str">
        <x:v>高超楼发车（就餐专线）</x:v>
      </x:c>
      <x:c r="K117" s="12" t="str">
        <x:v>HX1_DINING</x:v>
      </x:c>
      <x:c r="L117" s="12" t="n">
        <x:v>7</x:v>
      </x:c>
      <x:c r="M117" s="12" t="str">
        <x:v>HX1_DINING|7</x:v>
      </x:c>
      <x:c r="N117" s="12" t="str">
        <x:v>二食堂北</x:v>
      </x:c>
      <x:c r="O117" s="12" t="n">
        <x:f>IFERROR(INDEX('秒级路线参数_可调整'!$O:$O,MATCH(M117,'秒级路线参数_可调整'!$A:$A,0)),"")</x:f>
        <x:v>420</x:v>
      </x:c>
      <x:c r="P117" s="12" t="n">
        <x:f>IF(O117="","",O117/86400)</x:f>
        <x:v>0.004861111111111111</x:v>
      </x:c>
      <x:c r="Q117" s="12" t="n">
        <x:f>IF(O117="","",(H117*60+O117)/86400)</x:f>
        <x:v>0.5118055555555555</x:v>
      </x:c>
      <x:c r="R117" s="12" t="str">
        <x:f>IF(Q117="","",TEXT(Q117,"hh:mm:ss"))</x:f>
        <x:v>12:17:00</x:v>
      </x:c>
      <x:c r="S117" s="12" t="str">
        <x:v>否</x:v>
      </x:c>
      <x:c r="T117" s="12" t="str">
        <x:v>否</x:v>
      </x:c>
      <x:c r="U117" s="12" t="str">
        <x:v>未提供</x:v>
      </x:c>
      <x:c r="V117" s="12" t="str">
        <x:v>未提供</x:v>
      </x:c>
      <x:c r="W117" s="12" t="str">
        <x:v>秒级预测</x:v>
      </x:c>
      <x:c r="X117" s="12" t="str">
        <x:v>基于路线秒级参数；如录入实测或手动采用秒，预计到达时间可随公式更新</x:v>
      </x:c>
    </x:row>
    <x:row r="118">
      <x:c r="A118" s="12" t="str">
        <x:v>S0010-08</x:v>
      </x:c>
      <x:c r="B118" s="12" t="str">
        <x:v>S0010</x:v>
      </x:c>
      <x:c r="C118" s="12" t="str">
        <x:v>工作日</x:v>
      </x:c>
      <x:c r="D118" s="12" t="str">
        <x:v>环线1路</x:v>
      </x:c>
      <x:c r="E118" s="12" t="str">
        <x:v>第一班</x:v>
      </x:c>
      <x:c r="F118" s="12" t="n">
        <x:v>10</x:v>
      </x:c>
      <x:c r="G118" s="12" t="str">
        <x:v>12:10</x:v>
      </x:c>
      <x:c r="H118" s="12" t="n">
        <x:v>730</x:v>
      </x:c>
      <x:c r="I118" s="12" t="str">
        <x:v>高超楼（就餐专线）</x:v>
      </x:c>
      <x:c r="J118" s="12" t="str">
        <x:v>高超楼发车（就餐专线）</x:v>
      </x:c>
      <x:c r="K118" s="12" t="str">
        <x:v>HX1_DINING</x:v>
      </x:c>
      <x:c r="L118" s="12" t="n">
        <x:v>8</x:v>
      </x:c>
      <x:c r="M118" s="12" t="str">
        <x:v>HX1_DINING|8</x:v>
      </x:c>
      <x:c r="N118" s="12" t="str">
        <x:v>理学院</x:v>
      </x:c>
      <x:c r="O118" s="12" t="n">
        <x:f>IFERROR(INDEX('秒级路线参数_可调整'!$O:$O,MATCH(M118,'秒级路线参数_可调整'!$A:$A,0)),"")</x:f>
        <x:v>480</x:v>
      </x:c>
      <x:c r="P118" s="12" t="n">
        <x:f>IF(O118="","",O118/86400)</x:f>
        <x:v>0.005555555555555556</x:v>
      </x:c>
      <x:c r="Q118" s="12" t="n">
        <x:f>IF(O118="","",(H118*60+O118)/86400)</x:f>
        <x:v>0.5125</x:v>
      </x:c>
      <x:c r="R118" s="12" t="str">
        <x:f>IF(Q118="","",TEXT(Q118,"hh:mm:ss"))</x:f>
        <x:v>12:18:00</x:v>
      </x:c>
      <x:c r="S118" s="12" t="str">
        <x:v>否</x:v>
      </x:c>
      <x:c r="T118" s="12" t="str">
        <x:v>否</x:v>
      </x:c>
      <x:c r="U118" s="12" t="str">
        <x:v>未提供</x:v>
      </x:c>
      <x:c r="V118" s="12" t="str">
        <x:v>未提供</x:v>
      </x:c>
      <x:c r="W118" s="12" t="str">
        <x:v>秒级预测</x:v>
      </x:c>
      <x:c r="X118" s="12" t="str">
        <x:v>基于路线秒级参数；如录入实测或手动采用秒，预计到达时间可随公式更新</x:v>
      </x:c>
    </x:row>
    <x:row r="119">
      <x:c r="A119" s="12" t="str">
        <x:v>S0010-09</x:v>
      </x:c>
      <x:c r="B119" s="12" t="str">
        <x:v>S0010</x:v>
      </x:c>
      <x:c r="C119" s="12" t="str">
        <x:v>工作日</x:v>
      </x:c>
      <x:c r="D119" s="12" t="str">
        <x:v>环线1路</x:v>
      </x:c>
      <x:c r="E119" s="12" t="str">
        <x:v>第一班</x:v>
      </x:c>
      <x:c r="F119" s="12" t="n">
        <x:v>10</x:v>
      </x:c>
      <x:c r="G119" s="12" t="str">
        <x:v>12:10</x:v>
      </x:c>
      <x:c r="H119" s="12" t="n">
        <x:v>730</x:v>
      </x:c>
      <x:c r="I119" s="12" t="str">
        <x:v>高超楼（就餐专线）</x:v>
      </x:c>
      <x:c r="J119" s="12" t="str">
        <x:v>高超楼发车（就餐专线）</x:v>
      </x:c>
      <x:c r="K119" s="12" t="str">
        <x:v>HX1_DINING</x:v>
      </x:c>
      <x:c r="L119" s="12" t="n">
        <x:v>9</x:v>
      </x:c>
      <x:c r="M119" s="12" t="str">
        <x:v>HX1_DINING|9</x:v>
      </x:c>
      <x:c r="N119" s="12" t="str">
        <x:v>高超楼</x:v>
      </x:c>
      <x:c r="O119" s="12" t="n">
        <x:f>IFERROR(INDEX('秒级路线参数_可调整'!$O:$O,MATCH(M119,'秒级路线参数_可调整'!$A:$A,0)),"")</x:f>
        <x:v>535</x:v>
      </x:c>
      <x:c r="P119" s="12" t="n">
        <x:f>IF(O119="","",O119/86400)</x:f>
        <x:v>0.00619212962962963</x:v>
      </x:c>
      <x:c r="Q119" s="12" t="n">
        <x:f>IF(O119="","",(H119*60+O119)/86400)</x:f>
        <x:v>0.5131365740740741</x:v>
      </x:c>
      <x:c r="R119" s="12" t="str">
        <x:f>IF(Q119="","",TEXT(Q119,"hh:mm:ss"))</x:f>
        <x:v>12:18:55</x:v>
      </x:c>
      <x:c r="S119" s="12" t="str">
        <x:v>否</x:v>
      </x:c>
      <x:c r="T119" s="12" t="str">
        <x:v>是</x:v>
      </x:c>
      <x:c r="U119" s="12" t="str">
        <x:v>未提供</x:v>
      </x:c>
      <x:c r="V119" s="12" t="str">
        <x:v>未提供</x:v>
      </x:c>
      <x:c r="W119" s="12" t="str">
        <x:v>秒级预测</x:v>
      </x:c>
      <x:c r="X119" s="12" t="str">
        <x:v>基于路线秒级参数；如录入实测或手动采用秒，预计到达时间可随公式更新</x:v>
      </x:c>
    </x:row>
    <x:row r="120">
      <x:c r="A120" s="12" t="str">
        <x:v>S0011-01</x:v>
      </x:c>
      <x:c r="B120" s="12" t="str">
        <x:v>S0011</x:v>
      </x:c>
      <x:c r="C120" s="12" t="str">
        <x:v>工作日</x:v>
      </x:c>
      <x:c r="D120" s="12" t="str">
        <x:v>环线1路</x:v>
      </x:c>
      <x:c r="E120" s="12" t="str">
        <x:v>第一班</x:v>
      </x:c>
      <x:c r="F120" s="12" t="n">
        <x:v>11</x:v>
      </x:c>
      <x:c r="G120" s="12" t="str">
        <x:v>12:30</x:v>
      </x:c>
      <x:c r="H120" s="12" t="n">
        <x:v>750</x:v>
      </x:c>
      <x:c r="I120" s="12" t="str">
        <x:v>高超楼（就餐专线）</x:v>
      </x:c>
      <x:c r="J120" s="12" t="str">
        <x:v>高超楼发车（就餐专线）</x:v>
      </x:c>
      <x:c r="K120" s="12" t="str">
        <x:v>HX1_DINING</x:v>
      </x:c>
      <x:c r="L120" s="12" t="n">
        <x:v>1</x:v>
      </x:c>
      <x:c r="M120" s="12" t="str">
        <x:v>HX1_DINING|1</x:v>
      </x:c>
      <x:c r="N120" s="12" t="str">
        <x:v>高超楼</x:v>
      </x:c>
      <x:c r="O120" s="12" t="n">
        <x:f>IFERROR(INDEX('秒级路线参数_可调整'!$O:$O,MATCH(M120,'秒级路线参数_可调整'!$A:$A,0)),"")</x:f>
        <x:v>0</x:v>
      </x:c>
      <x:c r="P120" s="12" t="str">
        <x:f>IF(O120="","",O120/86400)</x:f>
      </x:c>
      <x:c r="Q120" s="12" t="str">
        <x:f>IF(O120="","",(H120*60+O120)/86400)</x:f>
      </x:c>
      <x:c r="R120" s="12" t="str">
        <x:f>IF(Q120="","",TEXT(Q120,"hh:mm:ss"))</x:f>
      </x:c>
      <x:c r="S120" s="12" t="str">
        <x:v>是</x:v>
      </x:c>
      <x:c r="T120" s="12" t="str">
        <x:v>否</x:v>
      </x:c>
      <x:c r="U120" s="12" t="str">
        <x:v>未提供</x:v>
      </x:c>
      <x:c r="V120" s="12" t="str">
        <x:v>未提供</x:v>
      </x:c>
      <x:c r="W120" s="12" t="str">
        <x:v>秒级预测</x:v>
      </x:c>
      <x:c r="X120" s="12" t="str">
        <x:v>基于路线秒级参数；如录入实测或手动采用秒，预计到达时间可随公式更新</x:v>
      </x:c>
    </x:row>
    <x:row r="121">
      <x:c r="A121" s="12" t="str">
        <x:v>S0011-02</x:v>
      </x:c>
      <x:c r="B121" s="12" t="str">
        <x:v>S0011</x:v>
      </x:c>
      <x:c r="C121" s="12" t="str">
        <x:v>工作日</x:v>
      </x:c>
      <x:c r="D121" s="12" t="str">
        <x:v>环线1路</x:v>
      </x:c>
      <x:c r="E121" s="12" t="str">
        <x:v>第一班</x:v>
      </x:c>
      <x:c r="F121" s="12" t="n">
        <x:v>11</x:v>
      </x:c>
      <x:c r="G121" s="12" t="str">
        <x:v>12:30</x:v>
      </x:c>
      <x:c r="H121" s="12" t="n">
        <x:v>750</x:v>
      </x:c>
      <x:c r="I121" s="12" t="str">
        <x:v>高超楼（就餐专线）</x:v>
      </x:c>
      <x:c r="J121" s="12" t="str">
        <x:v>高超楼发车（就餐专线）</x:v>
      </x:c>
      <x:c r="K121" s="12" t="str">
        <x:v>HX1_DINING</x:v>
      </x:c>
      <x:c r="L121" s="12" t="n">
        <x:v>2</x:v>
      </x:c>
      <x:c r="M121" s="12" t="str">
        <x:v>HX1_DINING|2</x:v>
      </x:c>
      <x:c r="N121" s="12" t="str">
        <x:v>理学院</x:v>
      </x:c>
      <x:c r="O121" s="12" t="n">
        <x:f>IFERROR(INDEX('秒级路线参数_可调整'!$O:$O,MATCH(M121,'秒级路线参数_可调整'!$A:$A,0)),"")</x:f>
        <x:v>65</x:v>
      </x:c>
      <x:c r="P121" s="12" t="n">
        <x:f>IF(O121="","",O121/86400)</x:f>
        <x:v>0.0007523148148148148</x:v>
      </x:c>
      <x:c r="Q121" s="12" t="n">
        <x:f>IF(O121="","",(H121*60+O121)/86400)</x:f>
        <x:v>0.5215856481481481</x:v>
      </x:c>
      <x:c r="R121" s="12" t="str">
        <x:f>IF(Q121="","",TEXT(Q121,"hh:mm:ss"))</x:f>
        <x:v>12:31:05</x:v>
      </x:c>
      <x:c r="S121" s="12" t="str">
        <x:v>否</x:v>
      </x:c>
      <x:c r="T121" s="12" t="str">
        <x:v>否</x:v>
      </x:c>
      <x:c r="U121" s="12" t="str">
        <x:v>未提供</x:v>
      </x:c>
      <x:c r="V121" s="12" t="str">
        <x:v>未提供</x:v>
      </x:c>
      <x:c r="W121" s="12" t="str">
        <x:v>秒级预测</x:v>
      </x:c>
      <x:c r="X121" s="12" t="str">
        <x:v>基于路线秒级参数；如录入实测或手动采用秒，预计到达时间可随公式更新</x:v>
      </x:c>
    </x:row>
    <x:row r="122">
      <x:c r="A122" s="12" t="str">
        <x:v>S0011-03</x:v>
      </x:c>
      <x:c r="B122" s="12" t="str">
        <x:v>S0011</x:v>
      </x:c>
      <x:c r="C122" s="12" t="str">
        <x:v>工作日</x:v>
      </x:c>
      <x:c r="D122" s="12" t="str">
        <x:v>环线1路</x:v>
      </x:c>
      <x:c r="E122" s="12" t="str">
        <x:v>第一班</x:v>
      </x:c>
      <x:c r="F122" s="12" t="n">
        <x:v>11</x:v>
      </x:c>
      <x:c r="G122" s="12" t="str">
        <x:v>12:30</x:v>
      </x:c>
      <x:c r="H122" s="12" t="n">
        <x:v>750</x:v>
      </x:c>
      <x:c r="I122" s="12" t="str">
        <x:v>高超楼（就餐专线）</x:v>
      </x:c>
      <x:c r="J122" s="12" t="str">
        <x:v>高超楼发车（就餐专线）</x:v>
      </x:c>
      <x:c r="K122" s="12" t="str">
        <x:v>HX1_DINING</x:v>
      </x:c>
      <x:c r="L122" s="12" t="n">
        <x:v>3</x:v>
      </x:c>
      <x:c r="M122" s="12" t="str">
        <x:v>HX1_DINING|3</x:v>
      </x:c>
      <x:c r="N122" s="12" t="str">
        <x:v>二食堂</x:v>
      </x:c>
      <x:c r="O122" s="12" t="n">
        <x:f>IFERROR(INDEX('秒级路线参数_可调整'!$O:$O,MATCH(M122,'秒级路线参数_可调整'!$A:$A,0)),"")</x:f>
        <x:v>120</x:v>
      </x:c>
      <x:c r="P122" s="12" t="n">
        <x:f>IF(O122="","",O122/86400)</x:f>
        <x:v>0.001388888888888889</x:v>
      </x:c>
      <x:c r="Q122" s="12" t="n">
        <x:f>IF(O122="","",(H122*60+O122)/86400)</x:f>
        <x:v>0.5222222222222223</x:v>
      </x:c>
      <x:c r="R122" s="12" t="str">
        <x:f>IF(Q122="","",TEXT(Q122,"hh:mm:ss"))</x:f>
        <x:v>12:32:00</x:v>
      </x:c>
      <x:c r="S122" s="12" t="str">
        <x:v>否</x:v>
      </x:c>
      <x:c r="T122" s="12" t="str">
        <x:v>否</x:v>
      </x:c>
      <x:c r="U122" s="12" t="str">
        <x:v>未提供</x:v>
      </x:c>
      <x:c r="V122" s="12" t="str">
        <x:v>未提供</x:v>
      </x:c>
      <x:c r="W122" s="12" t="str">
        <x:v>秒级预测</x:v>
      </x:c>
      <x:c r="X122" s="12" t="str">
        <x:v>基于路线秒级参数；如录入实测或手动采用秒，预计到达时间可随公式更新</x:v>
      </x:c>
    </x:row>
    <x:row r="123">
      <x:c r="A123" s="12" t="str">
        <x:v>S0011-04</x:v>
      </x:c>
      <x:c r="B123" s="12" t="str">
        <x:v>S0011</x:v>
      </x:c>
      <x:c r="C123" s="12" t="str">
        <x:v>工作日</x:v>
      </x:c>
      <x:c r="D123" s="12" t="str">
        <x:v>环线1路</x:v>
      </x:c>
      <x:c r="E123" s="12" t="str">
        <x:v>第一班</x:v>
      </x:c>
      <x:c r="F123" s="12" t="n">
        <x:v>11</x:v>
      </x:c>
      <x:c r="G123" s="12" t="str">
        <x:v>12:30</x:v>
      </x:c>
      <x:c r="H123" s="12" t="n">
        <x:v>750</x:v>
      </x:c>
      <x:c r="I123" s="12" t="str">
        <x:v>高超楼（就餐专线）</x:v>
      </x:c>
      <x:c r="J123" s="12" t="str">
        <x:v>高超楼发车（就餐专线）</x:v>
      </x:c>
      <x:c r="K123" s="12" t="str">
        <x:v>HX1_DINING</x:v>
      </x:c>
      <x:c r="L123" s="12" t="n">
        <x:v>4</x:v>
      </x:c>
      <x:c r="M123" s="12" t="str">
        <x:v>HX1_DINING|4</x:v>
      </x:c>
      <x:c r="N123" s="12" t="str">
        <x:v>一食堂</x:v>
      </x:c>
      <x:c r="O123" s="12" t="n">
        <x:f>IFERROR(INDEX('秒级路线参数_可调整'!$O:$O,MATCH(M123,'秒级路线参数_可调整'!$A:$A,0)),"")</x:f>
        <x:v>165</x:v>
      </x:c>
      <x:c r="P123" s="12" t="n">
        <x:f>IF(O123="","",O123/86400)</x:f>
        <x:v>0.0019097222222222222</x:v>
      </x:c>
      <x:c r="Q123" s="12" t="n">
        <x:f>IF(O123="","",(H123*60+O123)/86400)</x:f>
        <x:v>0.5227430555555556</x:v>
      </x:c>
      <x:c r="R123" s="12" t="str">
        <x:f>IF(Q123="","",TEXT(Q123,"hh:mm:ss"))</x:f>
        <x:v>12:32:45</x:v>
      </x:c>
      <x:c r="S123" s="12" t="str">
        <x:v>否</x:v>
      </x:c>
      <x:c r="T123" s="12" t="str">
        <x:v>否</x:v>
      </x:c>
      <x:c r="U123" s="12" t="str">
        <x:v>未提供</x:v>
      </x:c>
      <x:c r="V123" s="12" t="str">
        <x:v>未提供</x:v>
      </x:c>
      <x:c r="W123" s="12" t="str">
        <x:v>秒级预测</x:v>
      </x:c>
      <x:c r="X123" s="12" t="str">
        <x:v>基于路线秒级参数；如录入实测或手动采用秒，预计到达时间可随公式更新</x:v>
      </x:c>
    </x:row>
    <x:row r="124">
      <x:c r="A124" s="12" t="str">
        <x:v>S0011-05</x:v>
      </x:c>
      <x:c r="B124" s="12" t="str">
        <x:v>S0011</x:v>
      </x:c>
      <x:c r="C124" s="12" t="str">
        <x:v>工作日</x:v>
      </x:c>
      <x:c r="D124" s="12" t="str">
        <x:v>环线1路</x:v>
      </x:c>
      <x:c r="E124" s="12" t="str">
        <x:v>第一班</x:v>
      </x:c>
      <x:c r="F124" s="12" t="n">
        <x:v>11</x:v>
      </x:c>
      <x:c r="G124" s="12" t="str">
        <x:v>12:30</x:v>
      </x:c>
      <x:c r="H124" s="12" t="n">
        <x:v>750</x:v>
      </x:c>
      <x:c r="I124" s="12" t="str">
        <x:v>高超楼（就餐专线）</x:v>
      </x:c>
      <x:c r="J124" s="12" t="str">
        <x:v>高超楼发车（就餐专线）</x:v>
      </x:c>
      <x:c r="K124" s="12" t="str">
        <x:v>HX1_DINING</x:v>
      </x:c>
      <x:c r="L124" s="12" t="n">
        <x:v>5</x:v>
      </x:c>
      <x:c r="M124" s="12" t="str">
        <x:v>HX1_DINING|5</x:v>
      </x:c>
      <x:c r="N124" s="12" t="str">
        <x:v>305教学楼</x:v>
      </x:c>
      <x:c r="O124" s="12" t="n">
        <x:f>IFERROR(INDEX('秒级路线参数_可调整'!$O:$O,MATCH(M124,'秒级路线参数_可调整'!$A:$A,0)),"")</x:f>
        <x:v>250</x:v>
      </x:c>
      <x:c r="P124" s="12" t="n">
        <x:f>IF(O124="","",O124/86400)</x:f>
        <x:v>0.0028935185185185184</x:v>
      </x:c>
      <x:c r="Q124" s="12" t="n">
        <x:f>IF(O124="","",(H124*60+O124)/86400)</x:f>
        <x:v>0.5237268518518519</x:v>
      </x:c>
      <x:c r="R124" s="12" t="str">
        <x:f>IF(Q124="","",TEXT(Q124,"hh:mm:ss"))</x:f>
        <x:v>12:34:10</x:v>
      </x:c>
      <x:c r="S124" s="12" t="str">
        <x:v>否</x:v>
      </x:c>
      <x:c r="T124" s="12" t="str">
        <x:v>否</x:v>
      </x:c>
      <x:c r="U124" s="12" t="str">
        <x:v>未提供</x:v>
      </x:c>
      <x:c r="V124" s="12" t="str">
        <x:v>未提供</x:v>
      </x:c>
      <x:c r="W124" s="12" t="str">
        <x:v>秒级预测</x:v>
      </x:c>
      <x:c r="X124" s="12" t="str">
        <x:v>基于路线秒级参数；如录入实测或手动采用秒，预计到达时间可随公式更新</x:v>
      </x:c>
    </x:row>
    <x:row r="125">
      <x:c r="A125" s="12" t="str">
        <x:v>S0011-06</x:v>
      </x:c>
      <x:c r="B125" s="12" t="str">
        <x:v>S0011</x:v>
      </x:c>
      <x:c r="C125" s="12" t="str">
        <x:v>工作日</x:v>
      </x:c>
      <x:c r="D125" s="12" t="str">
        <x:v>环线1路</x:v>
      </x:c>
      <x:c r="E125" s="12" t="str">
        <x:v>第一班</x:v>
      </x:c>
      <x:c r="F125" s="12" t="n">
        <x:v>11</x:v>
      </x:c>
      <x:c r="G125" s="12" t="str">
        <x:v>12:30</x:v>
      </x:c>
      <x:c r="H125" s="12" t="n">
        <x:v>750</x:v>
      </x:c>
      <x:c r="I125" s="12" t="str">
        <x:v>高超楼（就餐专线）</x:v>
      </x:c>
      <x:c r="J125" s="12" t="str">
        <x:v>高超楼发车（就餐专线）</x:v>
      </x:c>
      <x:c r="K125" s="12" t="str">
        <x:v>HX1_DINING</x:v>
      </x:c>
      <x:c r="L125" s="12" t="n">
        <x:v>6</x:v>
      </x:c>
      <x:c r="M125" s="12" t="str">
        <x:v>HX1_DINING|6</x:v>
      </x:c>
      <x:c r="N125" s="12" t="str">
        <x:v>5号宿舍楼</x:v>
      </x:c>
      <x:c r="O125" s="12" t="n">
        <x:f>IFERROR(INDEX('秒级路线参数_可调整'!$O:$O,MATCH(M125,'秒级路线参数_可调整'!$A:$A,0)),"")</x:f>
        <x:v>315</x:v>
      </x:c>
      <x:c r="P125" s="12" t="n">
        <x:f>IF(O125="","",O125/86400)</x:f>
        <x:v>0.0036458333333333334</x:v>
      </x:c>
      <x:c r="Q125" s="12" t="n">
        <x:f>IF(O125="","",(H125*60+O125)/86400)</x:f>
        <x:v>0.5244791666666667</x:v>
      </x:c>
      <x:c r="R125" s="12" t="str">
        <x:f>IF(Q125="","",TEXT(Q125,"hh:mm:ss"))</x:f>
        <x:v>12:35:15</x:v>
      </x:c>
      <x:c r="S125" s="12" t="str">
        <x:v>否</x:v>
      </x:c>
      <x:c r="T125" s="12" t="str">
        <x:v>否</x:v>
      </x:c>
      <x:c r="U125" s="12" t="str">
        <x:v>未提供</x:v>
      </x:c>
      <x:c r="V125" s="12" t="str">
        <x:v>未提供</x:v>
      </x:c>
      <x:c r="W125" s="12" t="str">
        <x:v>秒级预测</x:v>
      </x:c>
      <x:c r="X125" s="12" t="str">
        <x:v>基于路线秒级参数；如录入实测或手动采用秒，预计到达时间可随公式更新</x:v>
      </x:c>
    </x:row>
    <x:row r="126">
      <x:c r="A126" s="12" t="str">
        <x:v>S0011-07</x:v>
      </x:c>
      <x:c r="B126" s="12" t="str">
        <x:v>S0011</x:v>
      </x:c>
      <x:c r="C126" s="12" t="str">
        <x:v>工作日</x:v>
      </x:c>
      <x:c r="D126" s="12" t="str">
        <x:v>环线1路</x:v>
      </x:c>
      <x:c r="E126" s="12" t="str">
        <x:v>第一班</x:v>
      </x:c>
      <x:c r="F126" s="12" t="n">
        <x:v>11</x:v>
      </x:c>
      <x:c r="G126" s="12" t="str">
        <x:v>12:30</x:v>
      </x:c>
      <x:c r="H126" s="12" t="n">
        <x:v>750</x:v>
      </x:c>
      <x:c r="I126" s="12" t="str">
        <x:v>高超楼（就餐专线）</x:v>
      </x:c>
      <x:c r="J126" s="12" t="str">
        <x:v>高超楼发车（就餐专线）</x:v>
      </x:c>
      <x:c r="K126" s="12" t="str">
        <x:v>HX1_DINING</x:v>
      </x:c>
      <x:c r="L126" s="12" t="n">
        <x:v>7</x:v>
      </x:c>
      <x:c r="M126" s="12" t="str">
        <x:v>HX1_DINING|7</x:v>
      </x:c>
      <x:c r="N126" s="12" t="str">
        <x:v>二食堂北</x:v>
      </x:c>
      <x:c r="O126" s="12" t="n">
        <x:f>IFERROR(INDEX('秒级路线参数_可调整'!$O:$O,MATCH(M126,'秒级路线参数_可调整'!$A:$A,0)),"")</x:f>
        <x:v>420</x:v>
      </x:c>
      <x:c r="P126" s="12" t="n">
        <x:f>IF(O126="","",O126/86400)</x:f>
        <x:v>0.004861111111111111</x:v>
      </x:c>
      <x:c r="Q126" s="12" t="n">
        <x:f>IF(O126="","",(H126*60+O126)/86400)</x:f>
        <x:v>0.5256944444444445</x:v>
      </x:c>
      <x:c r="R126" s="12" t="str">
        <x:f>IF(Q126="","",TEXT(Q126,"hh:mm:ss"))</x:f>
        <x:v>12:37:00</x:v>
      </x:c>
      <x:c r="S126" s="12" t="str">
        <x:v>否</x:v>
      </x:c>
      <x:c r="T126" s="12" t="str">
        <x:v>否</x:v>
      </x:c>
      <x:c r="U126" s="12" t="str">
        <x:v>未提供</x:v>
      </x:c>
      <x:c r="V126" s="12" t="str">
        <x:v>未提供</x:v>
      </x:c>
      <x:c r="W126" s="12" t="str">
        <x:v>秒级预测</x:v>
      </x:c>
      <x:c r="X126" s="12" t="str">
        <x:v>基于路线秒级参数；如录入实测或手动采用秒，预计到达时间可随公式更新</x:v>
      </x:c>
    </x:row>
    <x:row r="127">
      <x:c r="A127" s="12" t="str">
        <x:v>S0011-08</x:v>
      </x:c>
      <x:c r="B127" s="12" t="str">
        <x:v>S0011</x:v>
      </x:c>
      <x:c r="C127" s="12" t="str">
        <x:v>工作日</x:v>
      </x:c>
      <x:c r="D127" s="12" t="str">
        <x:v>环线1路</x:v>
      </x:c>
      <x:c r="E127" s="12" t="str">
        <x:v>第一班</x:v>
      </x:c>
      <x:c r="F127" s="12" t="n">
        <x:v>11</x:v>
      </x:c>
      <x:c r="G127" s="12" t="str">
        <x:v>12:30</x:v>
      </x:c>
      <x:c r="H127" s="12" t="n">
        <x:v>750</x:v>
      </x:c>
      <x:c r="I127" s="12" t="str">
        <x:v>高超楼（就餐专线）</x:v>
      </x:c>
      <x:c r="J127" s="12" t="str">
        <x:v>高超楼发车（就餐专线）</x:v>
      </x:c>
      <x:c r="K127" s="12" t="str">
        <x:v>HX1_DINING</x:v>
      </x:c>
      <x:c r="L127" s="12" t="n">
        <x:v>8</x:v>
      </x:c>
      <x:c r="M127" s="12" t="str">
        <x:v>HX1_DINING|8</x:v>
      </x:c>
      <x:c r="N127" s="12" t="str">
        <x:v>理学院</x:v>
      </x:c>
      <x:c r="O127" s="12" t="n">
        <x:f>IFERROR(INDEX('秒级路线参数_可调整'!$O:$O,MATCH(M127,'秒级路线参数_可调整'!$A:$A,0)),"")</x:f>
        <x:v>480</x:v>
      </x:c>
      <x:c r="P127" s="12" t="n">
        <x:f>IF(O127="","",O127/86400)</x:f>
        <x:v>0.005555555555555556</x:v>
      </x:c>
      <x:c r="Q127" s="12" t="n">
        <x:f>IF(O127="","",(H127*60+O127)/86400)</x:f>
        <x:v>0.5263888888888889</x:v>
      </x:c>
      <x:c r="R127" s="12" t="str">
        <x:f>IF(Q127="","",TEXT(Q127,"hh:mm:ss"))</x:f>
        <x:v>12:38:00</x:v>
      </x:c>
      <x:c r="S127" s="12" t="str">
        <x:v>否</x:v>
      </x:c>
      <x:c r="T127" s="12" t="str">
        <x:v>否</x:v>
      </x:c>
      <x:c r="U127" s="12" t="str">
        <x:v>未提供</x:v>
      </x:c>
      <x:c r="V127" s="12" t="str">
        <x:v>未提供</x:v>
      </x:c>
      <x:c r="W127" s="12" t="str">
        <x:v>秒级预测</x:v>
      </x:c>
      <x:c r="X127" s="12" t="str">
        <x:v>基于路线秒级参数；如录入实测或手动采用秒，预计到达时间可随公式更新</x:v>
      </x:c>
    </x:row>
    <x:row r="128">
      <x:c r="A128" s="12" t="str">
        <x:v>S0011-09</x:v>
      </x:c>
      <x:c r="B128" s="12" t="str">
        <x:v>S0011</x:v>
      </x:c>
      <x:c r="C128" s="12" t="str">
        <x:v>工作日</x:v>
      </x:c>
      <x:c r="D128" s="12" t="str">
        <x:v>环线1路</x:v>
      </x:c>
      <x:c r="E128" s="12" t="str">
        <x:v>第一班</x:v>
      </x:c>
      <x:c r="F128" s="12" t="n">
        <x:v>11</x:v>
      </x:c>
      <x:c r="G128" s="12" t="str">
        <x:v>12:30</x:v>
      </x:c>
      <x:c r="H128" s="12" t="n">
        <x:v>750</x:v>
      </x:c>
      <x:c r="I128" s="12" t="str">
        <x:v>高超楼（就餐专线）</x:v>
      </x:c>
      <x:c r="J128" s="12" t="str">
        <x:v>高超楼发车（就餐专线）</x:v>
      </x:c>
      <x:c r="K128" s="12" t="str">
        <x:v>HX1_DINING</x:v>
      </x:c>
      <x:c r="L128" s="12" t="n">
        <x:v>9</x:v>
      </x:c>
      <x:c r="M128" s="12" t="str">
        <x:v>HX1_DINING|9</x:v>
      </x:c>
      <x:c r="N128" s="12" t="str">
        <x:v>高超楼</x:v>
      </x:c>
      <x:c r="O128" s="12" t="n">
        <x:f>IFERROR(INDEX('秒级路线参数_可调整'!$O:$O,MATCH(M128,'秒级路线参数_可调整'!$A:$A,0)),"")</x:f>
        <x:v>535</x:v>
      </x:c>
      <x:c r="P128" s="12" t="n">
        <x:f>IF(O128="","",O128/86400)</x:f>
        <x:v>0.00619212962962963</x:v>
      </x:c>
      <x:c r="Q128" s="12" t="n">
        <x:f>IF(O128="","",(H128*60+O128)/86400)</x:f>
        <x:v>0.5270254629629629</x:v>
      </x:c>
      <x:c r="R128" s="12" t="str">
        <x:f>IF(Q128="","",TEXT(Q128,"hh:mm:ss"))</x:f>
        <x:v>12:38:55</x:v>
      </x:c>
      <x:c r="S128" s="12" t="str">
        <x:v>否</x:v>
      </x:c>
      <x:c r="T128" s="12" t="str">
        <x:v>是</x:v>
      </x:c>
      <x:c r="U128" s="12" t="str">
        <x:v>未提供</x:v>
      </x:c>
      <x:c r="V128" s="12" t="str">
        <x:v>未提供</x:v>
      </x:c>
      <x:c r="W128" s="12" t="str">
        <x:v>秒级预测</x:v>
      </x:c>
      <x:c r="X128" s="12" t="str">
        <x:v>基于路线秒级参数；如录入实测或手动采用秒，预计到达时间可随公式更新</x:v>
      </x:c>
    </x:row>
    <x:row r="129">
      <x:c r="A129" s="12" t="str">
        <x:v>S0012-01</x:v>
      </x:c>
      <x:c r="B129" s="12" t="str">
        <x:v>S0012</x:v>
      </x:c>
      <x:c r="C129" s="12" t="str">
        <x:v>工作日</x:v>
      </x:c>
      <x:c r="D129" s="12" t="str">
        <x:v>环线1路</x:v>
      </x:c>
      <x:c r="E129" s="12" t="str">
        <x:v>第三班</x:v>
      </x:c>
      <x:c r="F129" s="12" t="n">
        <x:v>1</x:v>
      </x:c>
      <x:c r="G129" s="12" t="str">
        <x:v>7:50</x:v>
      </x:c>
      <x:c r="H129" s="12" t="n">
        <x:v>470</x:v>
      </x:c>
      <x:c r="I129" s="12" t="str">
        <x:v>研究生宿舍楼</x:v>
      </x:c>
      <x:c r="J129" s="12" t="str">
        <x:v>研究生宿舍楼发车</x:v>
      </x:c>
      <x:c r="K129" s="12" t="str">
        <x:v>HX1_NORMAL</x:v>
      </x:c>
      <x:c r="L129" s="12" t="n">
        <x:v>1</x:v>
      </x:c>
      <x:c r="M129" s="12" t="str">
        <x:v>HX1_NORMAL|1</x:v>
      </x:c>
      <x:c r="N129" s="12" t="str">
        <x:v>研究生宿舍楼</x:v>
      </x:c>
      <x:c r="O129" s="12" t="n">
        <x:f>IFERROR(INDEX('秒级路线参数_可调整'!$O:$O,MATCH(M129,'秒级路线参数_可调整'!$A:$A,0)),"")</x:f>
        <x:v>0</x:v>
      </x:c>
      <x:c r="P129" s="12" t="str">
        <x:f>IF(O129="","",O129/86400)</x:f>
      </x:c>
      <x:c r="Q129" s="12" t="str">
        <x:f>IF(O129="","",(H129*60+O129)/86400)</x:f>
      </x:c>
      <x:c r="R129" s="12" t="str">
        <x:f>IF(Q129="","",TEXT(Q129,"hh:mm:ss"))</x:f>
      </x:c>
      <x:c r="S129" s="12" t="str">
        <x:v>是</x:v>
      </x:c>
      <x:c r="T129" s="12" t="str">
        <x:v>否</x:v>
      </x:c>
      <x:c r="U129" s="12" t="str">
        <x:v>未提供</x:v>
      </x:c>
      <x:c r="V129" s="12" t="str">
        <x:v>未提供</x:v>
      </x:c>
      <x:c r="W129" s="12" t="str">
        <x:v>秒级预测</x:v>
      </x:c>
      <x:c r="X129" s="12" t="str">
        <x:v>基于路线秒级参数；如录入实测或手动采用秒，预计到达时间可随公式更新</x:v>
      </x:c>
    </x:row>
    <x:row r="130">
      <x:c r="A130" s="12" t="str">
        <x:v>S0012-02</x:v>
      </x:c>
      <x:c r="B130" s="12" t="str">
        <x:v>S0012</x:v>
      </x:c>
      <x:c r="C130" s="12" t="str">
        <x:v>工作日</x:v>
      </x:c>
      <x:c r="D130" s="12" t="str">
        <x:v>环线1路</x:v>
      </x:c>
      <x:c r="E130" s="12" t="str">
        <x:v>第三班</x:v>
      </x:c>
      <x:c r="F130" s="12" t="n">
        <x:v>1</x:v>
      </x:c>
      <x:c r="G130" s="12" t="str">
        <x:v>7:50</x:v>
      </x:c>
      <x:c r="H130" s="12" t="n">
        <x:v>470</x:v>
      </x:c>
      <x:c r="I130" s="12" t="str">
        <x:v>研究生宿舍楼</x:v>
      </x:c>
      <x:c r="J130" s="12" t="str">
        <x:v>研究生宿舍楼发车</x:v>
      </x:c>
      <x:c r="K130" s="12" t="str">
        <x:v>HX1_NORMAL</x:v>
      </x:c>
      <x:c r="L130" s="12" t="n">
        <x:v>2</x:v>
      </x:c>
      <x:c r="M130" s="12" t="str">
        <x:v>HX1_NORMAL|2</x:v>
      </x:c>
      <x:c r="N130" s="12" t="str">
        <x:v>东门</x:v>
      </x:c>
      <x:c r="O130" s="12" t="n">
        <x:f>IFERROR(INDEX('秒级路线参数_可调整'!$O:$O,MATCH(M130,'秒级路线参数_可调整'!$A:$A,0)),"")</x:f>
        <x:v>0</x:v>
      </x:c>
      <x:c r="P130" s="12" t="str">
        <x:f>IF(O130="","",O130/86400)</x:f>
      </x:c>
      <x:c r="Q130" s="12" t="str">
        <x:f>IF(O130="","",(H130*60+O130)/86400)</x:f>
      </x:c>
      <x:c r="R130" s="12" t="str">
        <x:f>IF(Q130="","",TEXT(Q130,"hh:mm:ss"))</x:f>
      </x:c>
      <x:c r="S130" s="12" t="str">
        <x:v>否</x:v>
      </x:c>
      <x:c r="T130" s="12" t="str">
        <x:v>否</x:v>
      </x:c>
      <x:c r="U130" s="12" t="str">
        <x:v>未提供</x:v>
      </x:c>
      <x:c r="V130" s="12" t="str">
        <x:v>未提供</x:v>
      </x:c>
      <x:c r="W130" s="12" t="str">
        <x:v>秒级预测</x:v>
      </x:c>
      <x:c r="X130" s="12" t="str">
        <x:v>基于路线秒级参数；如录入实测或手动采用秒，预计到达时间可随公式更新</x:v>
      </x:c>
    </x:row>
    <x:row r="131">
      <x:c r="A131" s="12" t="str">
        <x:v>S0012-03</x:v>
      </x:c>
      <x:c r="B131" s="12" t="str">
        <x:v>S0012</x:v>
      </x:c>
      <x:c r="C131" s="12" t="str">
        <x:v>工作日</x:v>
      </x:c>
      <x:c r="D131" s="12" t="str">
        <x:v>环线1路</x:v>
      </x:c>
      <x:c r="E131" s="12" t="str">
        <x:v>第三班</x:v>
      </x:c>
      <x:c r="F131" s="12" t="n">
        <x:v>1</x:v>
      </x:c>
      <x:c r="G131" s="12" t="str">
        <x:v>7:50</x:v>
      </x:c>
      <x:c r="H131" s="12" t="n">
        <x:v>470</x:v>
      </x:c>
      <x:c r="I131" s="12" t="str">
        <x:v>研究生宿舍楼</x:v>
      </x:c>
      <x:c r="J131" s="12" t="str">
        <x:v>研究生宿舍楼发车</x:v>
      </x:c>
      <x:c r="K131" s="12" t="str">
        <x:v>HX1_NORMAL</x:v>
      </x:c>
      <x:c r="L131" s="12" t="n">
        <x:v>3</x:v>
      </x:c>
      <x:c r="M131" s="12" t="str">
        <x:v>HX1_NORMAL|3</x:v>
      </x:c>
      <x:c r="N131" s="12" t="str">
        <x:v>2号宿舍楼</x:v>
      </x:c>
      <x:c r="O131" s="12" t="n">
        <x:f>IFERROR(INDEX('秒级路线参数_可调整'!$O:$O,MATCH(M131,'秒级路线参数_可调整'!$A:$A,0)),"")</x:f>
        <x:v>0</x:v>
      </x:c>
      <x:c r="P131" s="12" t="str">
        <x:f>IF(O131="","",O131/86400)</x:f>
      </x:c>
      <x:c r="Q131" s="12" t="str">
        <x:f>IF(O131="","",(H131*60+O131)/86400)</x:f>
      </x:c>
      <x:c r="R131" s="12" t="str">
        <x:f>IF(Q131="","",TEXT(Q131,"hh:mm:ss"))</x:f>
      </x:c>
      <x:c r="S131" s="12" t="str">
        <x:v>否</x:v>
      </x:c>
      <x:c r="T131" s="12" t="str">
        <x:v>否</x:v>
      </x:c>
      <x:c r="U131" s="12" t="str">
        <x:v>未提供</x:v>
      </x:c>
      <x:c r="V131" s="12" t="str">
        <x:v>未提供</x:v>
      </x:c>
      <x:c r="W131" s="12" t="str">
        <x:v>秒级预测</x:v>
      </x:c>
      <x:c r="X131" s="12" t="str">
        <x:v>基于路线秒级参数；如录入实测或手动采用秒，预计到达时间可随公式更新</x:v>
      </x:c>
    </x:row>
    <x:row r="132">
      <x:c r="A132" s="12" t="str">
        <x:v>S0012-04</x:v>
      </x:c>
      <x:c r="B132" s="12" t="str">
        <x:v>S0012</x:v>
      </x:c>
      <x:c r="C132" s="12" t="str">
        <x:v>工作日</x:v>
      </x:c>
      <x:c r="D132" s="12" t="str">
        <x:v>环线1路</x:v>
      </x:c>
      <x:c r="E132" s="12" t="str">
        <x:v>第三班</x:v>
      </x:c>
      <x:c r="F132" s="12" t="n">
        <x:v>1</x:v>
      </x:c>
      <x:c r="G132" s="12" t="str">
        <x:v>7:50</x:v>
      </x:c>
      <x:c r="H132" s="12" t="n">
        <x:v>470</x:v>
      </x:c>
      <x:c r="I132" s="12" t="str">
        <x:v>研究生宿舍楼</x:v>
      </x:c>
      <x:c r="J132" s="12" t="str">
        <x:v>研究生宿舍楼发车</x:v>
      </x:c>
      <x:c r="K132" s="12" t="str">
        <x:v>HX1_NORMAL</x:v>
      </x:c>
      <x:c r="L132" s="12" t="n">
        <x:v>4</x:v>
      </x:c>
      <x:c r="M132" s="12" t="str">
        <x:v>HX1_NORMAL|4</x:v>
      </x:c>
      <x:c r="N132" s="12" t="str">
        <x:v>军体活动中心</x:v>
      </x:c>
      <x:c r="O132" s="12" t="n">
        <x:f>IFERROR(INDEX('秒级路线参数_可调整'!$O:$O,MATCH(M132,'秒级路线参数_可调整'!$A:$A,0)),"")</x:f>
        <x:v>0</x:v>
      </x:c>
      <x:c r="P132" s="12" t="str">
        <x:f>IF(O132="","",O132/86400)</x:f>
      </x:c>
      <x:c r="Q132" s="12" t="str">
        <x:f>IF(O132="","",(H132*60+O132)/86400)</x:f>
      </x:c>
      <x:c r="R132" s="12" t="str">
        <x:f>IF(Q132="","",TEXT(Q132,"hh:mm:ss"))</x:f>
      </x:c>
      <x:c r="S132" s="12" t="str">
        <x:v>否</x:v>
      </x:c>
      <x:c r="T132" s="12" t="str">
        <x:v>否</x:v>
      </x:c>
      <x:c r="U132" s="12" t="str">
        <x:v>未提供</x:v>
      </x:c>
      <x:c r="V132" s="12" t="str">
        <x:v>未提供</x:v>
      </x:c>
      <x:c r="W132" s="12" t="str">
        <x:v>秒级预测</x:v>
      </x:c>
      <x:c r="X132" s="12" t="str">
        <x:v>基于路线秒级参数；如录入实测或手动采用秒，预计到达时间可随公式更新</x:v>
      </x:c>
    </x:row>
    <x:row r="133">
      <x:c r="A133" s="12" t="str">
        <x:v>S0012-05</x:v>
      </x:c>
      <x:c r="B133" s="12" t="str">
        <x:v>S0012</x:v>
      </x:c>
      <x:c r="C133" s="12" t="str">
        <x:v>工作日</x:v>
      </x:c>
      <x:c r="D133" s="12" t="str">
        <x:v>环线1路</x:v>
      </x:c>
      <x:c r="E133" s="12" t="str">
        <x:v>第三班</x:v>
      </x:c>
      <x:c r="F133" s="12" t="n">
        <x:v>1</x:v>
      </x:c>
      <x:c r="G133" s="12" t="str">
        <x:v>7:50</x:v>
      </x:c>
      <x:c r="H133" s="12" t="n">
        <x:v>470</x:v>
      </x:c>
      <x:c r="I133" s="12" t="str">
        <x:v>研究生宿舍楼</x:v>
      </x:c>
      <x:c r="J133" s="12" t="str">
        <x:v>研究生宿舍楼发车</x:v>
      </x:c>
      <x:c r="K133" s="12" t="str">
        <x:v>HX1_NORMAL</x:v>
      </x:c>
      <x:c r="L133" s="12" t="n">
        <x:v>5</x:v>
      </x:c>
      <x:c r="M133" s="12" t="str">
        <x:v>HX1_NORMAL|5</x:v>
      </x:c>
      <x:c r="N133" s="12" t="str">
        <x:v>激光所</x:v>
      </x:c>
      <x:c r="O133" s="12" t="n">
        <x:f>IFERROR(INDEX('秒级路线参数_可调整'!$O:$O,MATCH(M133,'秒级路线参数_可调整'!$A:$A,0)),"")</x:f>
        <x:v>0</x:v>
      </x:c>
      <x:c r="P133" s="12" t="str">
        <x:f>IF(O133="","",O133/86400)</x:f>
      </x:c>
      <x:c r="Q133" s="12" t="str">
        <x:f>IF(O133="","",(H133*60+O133)/86400)</x:f>
      </x:c>
      <x:c r="R133" s="12" t="str">
        <x:f>IF(Q133="","",TEXT(Q133,"hh:mm:ss"))</x:f>
      </x:c>
      <x:c r="S133" s="12" t="str">
        <x:v>否</x:v>
      </x:c>
      <x:c r="T133" s="12" t="str">
        <x:v>否</x:v>
      </x:c>
      <x:c r="U133" s="12" t="str">
        <x:v>未提供</x:v>
      </x:c>
      <x:c r="V133" s="12" t="str">
        <x:v>未提供</x:v>
      </x:c>
      <x:c r="W133" s="12" t="str">
        <x:v>秒级预测</x:v>
      </x:c>
      <x:c r="X133" s="12" t="str">
        <x:v>基于路线秒级参数；如录入实测或手动采用秒，预计到达时间可随公式更新</x:v>
      </x:c>
    </x:row>
    <x:row r="134">
      <x:c r="A134" s="12" t="str">
        <x:v>S0012-06</x:v>
      </x:c>
      <x:c r="B134" s="12" t="str">
        <x:v>S0012</x:v>
      </x:c>
      <x:c r="C134" s="12" t="str">
        <x:v>工作日</x:v>
      </x:c>
      <x:c r="D134" s="12" t="str">
        <x:v>环线1路</x:v>
      </x:c>
      <x:c r="E134" s="12" t="str">
        <x:v>第三班</x:v>
      </x:c>
      <x:c r="F134" s="12" t="n">
        <x:v>1</x:v>
      </x:c>
      <x:c r="G134" s="12" t="str">
        <x:v>7:50</x:v>
      </x:c>
      <x:c r="H134" s="12" t="n">
        <x:v>470</x:v>
      </x:c>
      <x:c r="I134" s="12" t="str">
        <x:v>研究生宿舍楼</x:v>
      </x:c>
      <x:c r="J134" s="12" t="str">
        <x:v>研究生宿舍楼发车</x:v>
      </x:c>
      <x:c r="K134" s="12" t="str">
        <x:v>HX1_NORMAL</x:v>
      </x:c>
      <x:c r="L134" s="12" t="n">
        <x:v>6</x:v>
      </x:c>
      <x:c r="M134" s="12" t="str">
        <x:v>HX1_NORMAL|6</x:v>
      </x:c>
      <x:c r="N134" s="12" t="str">
        <x:v>超算中心</x:v>
      </x:c>
      <x:c r="O134" s="12" t="n">
        <x:f>IFERROR(INDEX('秒级路线参数_可调整'!$O:$O,MATCH(M134,'秒级路线参数_可调整'!$A:$A,0)),"")</x:f>
        <x:v>0</x:v>
      </x:c>
      <x:c r="P134" s="12" t="str">
        <x:f>IF(O134="","",O134/86400)</x:f>
      </x:c>
      <x:c r="Q134" s="12" t="str">
        <x:f>IF(O134="","",(H134*60+O134)/86400)</x:f>
      </x:c>
      <x:c r="R134" s="12" t="str">
        <x:f>IF(Q134="","",TEXT(Q134,"hh:mm:ss"))</x:f>
      </x:c>
      <x:c r="S134" s="12" t="str">
        <x:v>否</x:v>
      </x:c>
      <x:c r="T134" s="12" t="str">
        <x:v>否</x:v>
      </x:c>
      <x:c r="U134" s="12" t="str">
        <x:v>未提供</x:v>
      </x:c>
      <x:c r="V134" s="12" t="str">
        <x:v>未提供</x:v>
      </x:c>
      <x:c r="W134" s="12" t="str">
        <x:v>秒级预测</x:v>
      </x:c>
      <x:c r="X134" s="12" t="str">
        <x:v>基于路线秒级参数；如录入实测或手动采用秒，预计到达时间可随公式更新</x:v>
      </x:c>
    </x:row>
    <x:row r="135">
      <x:c r="A135" s="12" t="str">
        <x:v>S0012-07</x:v>
      </x:c>
      <x:c r="B135" s="12" t="str">
        <x:v>S0012</x:v>
      </x:c>
      <x:c r="C135" s="12" t="str">
        <x:v>工作日</x:v>
      </x:c>
      <x:c r="D135" s="12" t="str">
        <x:v>环线1路</x:v>
      </x:c>
      <x:c r="E135" s="12" t="str">
        <x:v>第三班</x:v>
      </x:c>
      <x:c r="F135" s="12" t="n">
        <x:v>1</x:v>
      </x:c>
      <x:c r="G135" s="12" t="str">
        <x:v>7:50</x:v>
      </x:c>
      <x:c r="H135" s="12" t="n">
        <x:v>470</x:v>
      </x:c>
      <x:c r="I135" s="12" t="str">
        <x:v>研究生宿舍楼</x:v>
      </x:c>
      <x:c r="J135" s="12" t="str">
        <x:v>研究生宿舍楼发车</x:v>
      </x:c>
      <x:c r="K135" s="12" t="str">
        <x:v>HX1_NORMAL</x:v>
      </x:c>
      <x:c r="L135" s="12" t="n">
        <x:v>7</x:v>
      </x:c>
      <x:c r="M135" s="12" t="str">
        <x:v>HX1_NORMAL|7</x:v>
      </x:c>
      <x:c r="N135" s="12" t="str">
        <x:v>北门</x:v>
      </x:c>
      <x:c r="O135" s="12" t="n">
        <x:f>IFERROR(INDEX('秒级路线参数_可调整'!$O:$O,MATCH(M135,'秒级路线参数_可调整'!$A:$A,0)),"")</x:f>
        <x:v>0</x:v>
      </x:c>
      <x:c r="P135" s="12" t="str">
        <x:f>IF(O135="","",O135/86400)</x:f>
      </x:c>
      <x:c r="Q135" s="12" t="str">
        <x:f>IF(O135="","",(H135*60+O135)/86400)</x:f>
      </x:c>
      <x:c r="R135" s="12" t="str">
        <x:f>IF(Q135="","",TEXT(Q135,"hh:mm:ss"))</x:f>
      </x:c>
      <x:c r="S135" s="12" t="str">
        <x:v>否</x:v>
      </x:c>
      <x:c r="T135" s="12" t="str">
        <x:v>否</x:v>
      </x:c>
      <x:c r="U135" s="12" t="str">
        <x:v>未提供</x:v>
      </x:c>
      <x:c r="V135" s="12" t="str">
        <x:v>未提供</x:v>
      </x:c>
      <x:c r="W135" s="12" t="str">
        <x:v>秒级预测</x:v>
      </x:c>
      <x:c r="X135" s="12" t="str">
        <x:v>基于路线秒级参数；如录入实测或手动采用秒，预计到达时间可随公式更新</x:v>
      </x:c>
    </x:row>
    <x:row r="136">
      <x:c r="A136" s="12" t="str">
        <x:v>S0012-08</x:v>
      </x:c>
      <x:c r="B136" s="12" t="str">
        <x:v>S0012</x:v>
      </x:c>
      <x:c r="C136" s="12" t="str">
        <x:v>工作日</x:v>
      </x:c>
      <x:c r="D136" s="12" t="str">
        <x:v>环线1路</x:v>
      </x:c>
      <x:c r="E136" s="12" t="str">
        <x:v>第三班</x:v>
      </x:c>
      <x:c r="F136" s="12" t="n">
        <x:v>1</x:v>
      </x:c>
      <x:c r="G136" s="12" t="str">
        <x:v>7:50</x:v>
      </x:c>
      <x:c r="H136" s="12" t="n">
        <x:v>470</x:v>
      </x:c>
      <x:c r="I136" s="12" t="str">
        <x:v>研究生宿舍楼</x:v>
      </x:c>
      <x:c r="J136" s="12" t="str">
        <x:v>研究生宿舍楼发车</x:v>
      </x:c>
      <x:c r="K136" s="12" t="str">
        <x:v>HX1_NORMAL</x:v>
      </x:c>
      <x:c r="L136" s="12" t="n">
        <x:v>8</x:v>
      </x:c>
      <x:c r="M136" s="12" t="str">
        <x:v>HX1_NORMAL|8</x:v>
      </x:c>
      <x:c r="N136" s="12" t="str">
        <x:v>高超楼</x:v>
      </x:c>
      <x:c r="O136" s="12" t="n">
        <x:f>IFERROR(INDEX('秒级路线参数_可调整'!$O:$O,MATCH(M136,'秒级路线参数_可调整'!$A:$A,0)),"")</x:f>
        <x:v>0</x:v>
      </x:c>
      <x:c r="P136" s="12" t="str">
        <x:f>IF(O136="","",O136/86400)</x:f>
      </x:c>
      <x:c r="Q136" s="12" t="str">
        <x:f>IF(O136="","",(H136*60+O136)/86400)</x:f>
      </x:c>
      <x:c r="R136" s="12" t="str">
        <x:f>IF(Q136="","",TEXT(Q136,"hh:mm:ss"))</x:f>
      </x:c>
      <x:c r="S136" s="12" t="str">
        <x:v>否</x:v>
      </x:c>
      <x:c r="T136" s="12" t="str">
        <x:v>否</x:v>
      </x:c>
      <x:c r="U136" s="12" t="str">
        <x:v>未提供</x:v>
      </x:c>
      <x:c r="V136" s="12" t="str">
        <x:v>未提供</x:v>
      </x:c>
      <x:c r="W136" s="12" t="str">
        <x:v>秒级预测</x:v>
      </x:c>
      <x:c r="X136" s="12" t="str">
        <x:v>基于路线秒级参数；如录入实测或手动采用秒，预计到达时间可随公式更新</x:v>
      </x:c>
    </x:row>
    <x:row r="137">
      <x:c r="A137" s="12" t="str">
        <x:v>S0012-09</x:v>
      </x:c>
      <x:c r="B137" s="12" t="str">
        <x:v>S0012</x:v>
      </x:c>
      <x:c r="C137" s="12" t="str">
        <x:v>工作日</x:v>
      </x:c>
      <x:c r="D137" s="12" t="str">
        <x:v>环线1路</x:v>
      </x:c>
      <x:c r="E137" s="12" t="str">
        <x:v>第三班</x:v>
      </x:c>
      <x:c r="F137" s="12" t="n">
        <x:v>1</x:v>
      </x:c>
      <x:c r="G137" s="12" t="str">
        <x:v>7:50</x:v>
      </x:c>
      <x:c r="H137" s="12" t="n">
        <x:v>470</x:v>
      </x:c>
      <x:c r="I137" s="12" t="str">
        <x:v>研究生宿舍楼</x:v>
      </x:c>
      <x:c r="J137" s="12" t="str">
        <x:v>研究生宿舍楼发车</x:v>
      </x:c>
      <x:c r="K137" s="12" t="str">
        <x:v>HX1_NORMAL</x:v>
      </x:c>
      <x:c r="L137" s="12" t="n">
        <x:v>9</x:v>
      </x:c>
      <x:c r="M137" s="12" t="str">
        <x:v>HX1_NORMAL|9</x:v>
      </x:c>
      <x:c r="N137" s="12" t="str">
        <x:v>理学院</x:v>
      </x:c>
      <x:c r="O137" s="12" t="n">
        <x:f>IFERROR(INDEX('秒级路线参数_可调整'!$O:$O,MATCH(M137,'秒级路线参数_可调整'!$A:$A,0)),"")</x:f>
        <x:v>0</x:v>
      </x:c>
      <x:c r="P137" s="12" t="str">
        <x:f>IF(O137="","",O137/86400)</x:f>
      </x:c>
      <x:c r="Q137" s="12" t="str">
        <x:f>IF(O137="","",(H137*60+O137)/86400)</x:f>
      </x:c>
      <x:c r="R137" s="12" t="str">
        <x:f>IF(Q137="","",TEXT(Q137,"hh:mm:ss"))</x:f>
      </x:c>
      <x:c r="S137" s="12" t="str">
        <x:v>否</x:v>
      </x:c>
      <x:c r="T137" s="12" t="str">
        <x:v>否</x:v>
      </x:c>
      <x:c r="U137" s="12" t="str">
        <x:v>未提供</x:v>
      </x:c>
      <x:c r="V137" s="12" t="str">
        <x:v>未提供</x:v>
      </x:c>
      <x:c r="W137" s="12" t="str">
        <x:v>秒级预测</x:v>
      </x:c>
      <x:c r="X137" s="12" t="str">
        <x:v>基于路线秒级参数；如录入实测或手动采用秒，预计到达时间可随公式更新</x:v>
      </x:c>
    </x:row>
    <x:row r="138">
      <x:c r="A138" s="12" t="str">
        <x:v>S0012-10</x:v>
      </x:c>
      <x:c r="B138" s="12" t="str">
        <x:v>S0012</x:v>
      </x:c>
      <x:c r="C138" s="12" t="str">
        <x:v>工作日</x:v>
      </x:c>
      <x:c r="D138" s="12" t="str">
        <x:v>环线1路</x:v>
      </x:c>
      <x:c r="E138" s="12" t="str">
        <x:v>第三班</x:v>
      </x:c>
      <x:c r="F138" s="12" t="n">
        <x:v>1</x:v>
      </x:c>
      <x:c r="G138" s="12" t="str">
        <x:v>7:50</x:v>
      </x:c>
      <x:c r="H138" s="12" t="n">
        <x:v>470</x:v>
      </x:c>
      <x:c r="I138" s="12" t="str">
        <x:v>研究生宿舍楼</x:v>
      </x:c>
      <x:c r="J138" s="12" t="str">
        <x:v>研究生宿舍楼发车</x:v>
      </x:c>
      <x:c r="K138" s="12" t="str">
        <x:v>HX1_NORMAL</x:v>
      </x:c>
      <x:c r="L138" s="12" t="n">
        <x:v>10</x:v>
      </x:c>
      <x:c r="M138" s="12" t="str">
        <x:v>HX1_NORMAL|10</x:v>
      </x:c>
      <x:c r="N138" s="12" t="str">
        <x:v>二食堂</x:v>
      </x:c>
      <x:c r="O138" s="12" t="n">
        <x:f>IFERROR(INDEX('秒级路线参数_可调整'!$O:$O,MATCH(M138,'秒级路线参数_可调整'!$A:$A,0)),"")</x:f>
        <x:v>0</x:v>
      </x:c>
      <x:c r="P138" s="12" t="str">
        <x:f>IF(O138="","",O138/86400)</x:f>
      </x:c>
      <x:c r="Q138" s="12" t="str">
        <x:f>IF(O138="","",(H138*60+O138)/86400)</x:f>
      </x:c>
      <x:c r="R138" s="12" t="str">
        <x:f>IF(Q138="","",TEXT(Q138,"hh:mm:ss"))</x:f>
      </x:c>
      <x:c r="S138" s="12" t="str">
        <x:v>否</x:v>
      </x:c>
      <x:c r="T138" s="12" t="str">
        <x:v>否</x:v>
      </x:c>
      <x:c r="U138" s="12" t="str">
        <x:v>未提供</x:v>
      </x:c>
      <x:c r="V138" s="12" t="str">
        <x:v>未提供</x:v>
      </x:c>
      <x:c r="W138" s="12" t="str">
        <x:v>秒级预测</x:v>
      </x:c>
      <x:c r="X138" s="12" t="str">
        <x:v>基于路线秒级参数；如录入实测或手动采用秒，预计到达时间可随公式更新</x:v>
      </x:c>
    </x:row>
    <x:row r="139">
      <x:c r="A139" s="12" t="str">
        <x:v>S0012-11</x:v>
      </x:c>
      <x:c r="B139" s="12" t="str">
        <x:v>S0012</x:v>
      </x:c>
      <x:c r="C139" s="12" t="str">
        <x:v>工作日</x:v>
      </x:c>
      <x:c r="D139" s="12" t="str">
        <x:v>环线1路</x:v>
      </x:c>
      <x:c r="E139" s="12" t="str">
        <x:v>第三班</x:v>
      </x:c>
      <x:c r="F139" s="12" t="n">
        <x:v>1</x:v>
      </x:c>
      <x:c r="G139" s="12" t="str">
        <x:v>7:50</x:v>
      </x:c>
      <x:c r="H139" s="12" t="n">
        <x:v>470</x:v>
      </x:c>
      <x:c r="I139" s="12" t="str">
        <x:v>研究生宿舍楼</x:v>
      </x:c>
      <x:c r="J139" s="12" t="str">
        <x:v>研究生宿舍楼发车</x:v>
      </x:c>
      <x:c r="K139" s="12" t="str">
        <x:v>HX1_NORMAL</x:v>
      </x:c>
      <x:c r="L139" s="12" t="n">
        <x:v>11</x:v>
      </x:c>
      <x:c r="M139" s="12" t="str">
        <x:v>HX1_NORMAL|11</x:v>
      </x:c>
      <x:c r="N139" s="12" t="str">
        <x:v>5号宿舍楼</x:v>
      </x:c>
      <x:c r="O139" s="12" t="n">
        <x:f>IFERROR(INDEX('秒级路线参数_可调整'!$O:$O,MATCH(M139,'秒级路线参数_可调整'!$A:$A,0)),"")</x:f>
        <x:v>0</x:v>
      </x:c>
      <x:c r="P139" s="12" t="str">
        <x:f>IF(O139="","",O139/86400)</x:f>
      </x:c>
      <x:c r="Q139" s="12" t="str">
        <x:f>IF(O139="","",(H139*60+O139)/86400)</x:f>
      </x:c>
      <x:c r="R139" s="12" t="str">
        <x:f>IF(Q139="","",TEXT(Q139,"hh:mm:ss"))</x:f>
      </x:c>
      <x:c r="S139" s="12" t="str">
        <x:v>否</x:v>
      </x:c>
      <x:c r="T139" s="12" t="str">
        <x:v>否</x:v>
      </x:c>
      <x:c r="U139" s="12" t="str">
        <x:v>未提供</x:v>
      </x:c>
      <x:c r="V139" s="12" t="str">
        <x:v>未提供</x:v>
      </x:c>
      <x:c r="W139" s="12" t="str">
        <x:v>秒级预测</x:v>
      </x:c>
      <x:c r="X139" s="12" t="str">
        <x:v>基于路线秒级参数；如录入实测或手动采用秒，预计到达时间可随公式更新</x:v>
      </x:c>
    </x:row>
    <x:row r="140">
      <x:c r="A140" s="12" t="str">
        <x:v>S0012-12</x:v>
      </x:c>
      <x:c r="B140" s="12" t="str">
        <x:v>S0012</x:v>
      </x:c>
      <x:c r="C140" s="12" t="str">
        <x:v>工作日</x:v>
      </x:c>
      <x:c r="D140" s="12" t="str">
        <x:v>环线1路</x:v>
      </x:c>
      <x:c r="E140" s="12" t="str">
        <x:v>第三班</x:v>
      </x:c>
      <x:c r="F140" s="12" t="n">
        <x:v>1</x:v>
      </x:c>
      <x:c r="G140" s="12" t="str">
        <x:v>7:50</x:v>
      </x:c>
      <x:c r="H140" s="12" t="n">
        <x:v>470</x:v>
      </x:c>
      <x:c r="I140" s="12" t="str">
        <x:v>研究生宿舍楼</x:v>
      </x:c>
      <x:c r="J140" s="12" t="str">
        <x:v>研究生宿舍楼发车</x:v>
      </x:c>
      <x:c r="K140" s="12" t="str">
        <x:v>HX1_NORMAL</x:v>
      </x:c>
      <x:c r="L140" s="12" t="n">
        <x:v>12</x:v>
      </x:c>
      <x:c r="M140" s="12" t="str">
        <x:v>HX1_NORMAL|12</x:v>
      </x:c>
      <x:c r="N140" s="12" t="str">
        <x:v>305教学楼</x:v>
      </x:c>
      <x:c r="O140" s="12" t="n">
        <x:f>IFERROR(INDEX('秒级路线参数_可调整'!$O:$O,MATCH(M140,'秒级路线参数_可调整'!$A:$A,0)),"")</x:f>
        <x:v>0</x:v>
      </x:c>
      <x:c r="P140" s="12" t="str">
        <x:f>IF(O140="","",O140/86400)</x:f>
      </x:c>
      <x:c r="Q140" s="12" t="str">
        <x:f>IF(O140="","",(H140*60+O140)/86400)</x:f>
      </x:c>
      <x:c r="R140" s="12" t="str">
        <x:f>IF(Q140="","",TEXT(Q140,"hh:mm:ss"))</x:f>
      </x:c>
      <x:c r="S140" s="12" t="str">
        <x:v>否</x:v>
      </x:c>
      <x:c r="T140" s="12" t="str">
        <x:v>否</x:v>
      </x:c>
      <x:c r="U140" s="12" t="str">
        <x:v>未提供</x:v>
      </x:c>
      <x:c r="V140" s="12" t="str">
        <x:v>未提供</x:v>
      </x:c>
      <x:c r="W140" s="12" t="str">
        <x:v>秒级预测</x:v>
      </x:c>
      <x:c r="X140" s="12" t="str">
        <x:v>基于路线秒级参数；如录入实测或手动采用秒，预计到达时间可随公式更新</x:v>
      </x:c>
    </x:row>
    <x:row r="141">
      <x:c r="A141" s="12" t="str">
        <x:v>S0012-13</x:v>
      </x:c>
      <x:c r="B141" s="12" t="str">
        <x:v>S0012</x:v>
      </x:c>
      <x:c r="C141" s="12" t="str">
        <x:v>工作日</x:v>
      </x:c>
      <x:c r="D141" s="12" t="str">
        <x:v>环线1路</x:v>
      </x:c>
      <x:c r="E141" s="12" t="str">
        <x:v>第三班</x:v>
      </x:c>
      <x:c r="F141" s="12" t="n">
        <x:v>1</x:v>
      </x:c>
      <x:c r="G141" s="12" t="str">
        <x:v>7:50</x:v>
      </x:c>
      <x:c r="H141" s="12" t="n">
        <x:v>470</x:v>
      </x:c>
      <x:c r="I141" s="12" t="str">
        <x:v>研究生宿舍楼</x:v>
      </x:c>
      <x:c r="J141" s="12" t="str">
        <x:v>研究生宿舍楼发车</x:v>
      </x:c>
      <x:c r="K141" s="12" t="str">
        <x:v>HX1_NORMAL</x:v>
      </x:c>
      <x:c r="L141" s="12" t="n">
        <x:v>13</x:v>
      </x:c>
      <x:c r="M141" s="12" t="str">
        <x:v>HX1_NORMAL|13</x:v>
      </x:c>
      <x:c r="N141" s="12" t="str">
        <x:v>研究生宿舍楼</x:v>
      </x:c>
      <x:c r="O141" s="12" t="n">
        <x:f>IFERROR(INDEX('秒级路线参数_可调整'!$O:$O,MATCH(M141,'秒级路线参数_可调整'!$A:$A,0)),"")</x:f>
        <x:v>0</x:v>
      </x:c>
      <x:c r="P141" s="12" t="str">
        <x:f>IF(O141="","",O141/86400)</x:f>
      </x:c>
      <x:c r="Q141" s="12" t="str">
        <x:f>IF(O141="","",(H141*60+O141)/86400)</x:f>
      </x:c>
      <x:c r="R141" s="12" t="str">
        <x:f>IF(Q141="","",TEXT(Q141,"hh:mm:ss"))</x:f>
      </x:c>
      <x:c r="S141" s="12" t="str">
        <x:v>否</x:v>
      </x:c>
      <x:c r="T141" s="12" t="str">
        <x:v>是</x:v>
      </x:c>
      <x:c r="U141" s="12" t="str">
        <x:v>未提供</x:v>
      </x:c>
      <x:c r="V141" s="12" t="str">
        <x:v>未提供</x:v>
      </x:c>
      <x:c r="W141" s="12" t="str">
        <x:v>秒级预测</x:v>
      </x:c>
      <x:c r="X141" s="12" t="str">
        <x:v>基于路线秒级参数；如录入实测或手动采用秒，预计到达时间可随公式更新</x:v>
      </x:c>
    </x:row>
    <x:row r="142">
      <x:c r="A142" s="12" t="str">
        <x:v>S0013-01</x:v>
      </x:c>
      <x:c r="B142" s="12" t="str">
        <x:v>S0013</x:v>
      </x:c>
      <x:c r="C142" s="12" t="str">
        <x:v>工作日</x:v>
      </x:c>
      <x:c r="D142" s="12" t="str">
        <x:v>环线1路</x:v>
      </x:c>
      <x:c r="E142" s="12" t="str">
        <x:v>第三班</x:v>
      </x:c>
      <x:c r="F142" s="12" t="n">
        <x:v>2</x:v>
      </x:c>
      <x:c r="G142" s="12" t="str">
        <x:v>8:20</x:v>
      </x:c>
      <x:c r="H142" s="12" t="n">
        <x:v>500</x:v>
      </x:c>
      <x:c r="I142" s="12" t="str">
        <x:v>研究生宿舍楼</x:v>
      </x:c>
      <x:c r="J142" s="12" t="str">
        <x:v>研究生宿舍楼发车</x:v>
      </x:c>
      <x:c r="K142" s="12" t="str">
        <x:v>HX1_NORMAL</x:v>
      </x:c>
      <x:c r="L142" s="12" t="n">
        <x:v>1</x:v>
      </x:c>
      <x:c r="M142" s="12" t="str">
        <x:v>HX1_NORMAL|1</x:v>
      </x:c>
      <x:c r="N142" s="12" t="str">
        <x:v>研究生宿舍楼</x:v>
      </x:c>
      <x:c r="O142" s="12" t="n">
        <x:f>IFERROR(INDEX('秒级路线参数_可调整'!$O:$O,MATCH(M142,'秒级路线参数_可调整'!$A:$A,0)),"")</x:f>
        <x:v>0</x:v>
      </x:c>
      <x:c r="P142" s="12" t="str">
        <x:f>IF(O142="","",O142/86400)</x:f>
      </x:c>
      <x:c r="Q142" s="12" t="str">
        <x:f>IF(O142="","",(H142*60+O142)/86400)</x:f>
      </x:c>
      <x:c r="R142" s="12" t="str">
        <x:f>IF(Q142="","",TEXT(Q142,"hh:mm:ss"))</x:f>
      </x:c>
      <x:c r="S142" s="12" t="str">
        <x:v>是</x:v>
      </x:c>
      <x:c r="T142" s="12" t="str">
        <x:v>否</x:v>
      </x:c>
      <x:c r="U142" s="12" t="str">
        <x:v>未提供</x:v>
      </x:c>
      <x:c r="V142" s="12" t="str">
        <x:v>未提供</x:v>
      </x:c>
      <x:c r="W142" s="12" t="str">
        <x:v>秒级预测</x:v>
      </x:c>
      <x:c r="X142" s="12" t="str">
        <x:v>基于路线秒级参数；如录入实测或手动采用秒，预计到达时间可随公式更新</x:v>
      </x:c>
    </x:row>
    <x:row r="143">
      <x:c r="A143" s="12" t="str">
        <x:v>S0013-02</x:v>
      </x:c>
      <x:c r="B143" s="12" t="str">
        <x:v>S0013</x:v>
      </x:c>
      <x:c r="C143" s="12" t="str">
        <x:v>工作日</x:v>
      </x:c>
      <x:c r="D143" s="12" t="str">
        <x:v>环线1路</x:v>
      </x:c>
      <x:c r="E143" s="12" t="str">
        <x:v>第三班</x:v>
      </x:c>
      <x:c r="F143" s="12" t="n">
        <x:v>2</x:v>
      </x:c>
      <x:c r="G143" s="12" t="str">
        <x:v>8:20</x:v>
      </x:c>
      <x:c r="H143" s="12" t="n">
        <x:v>500</x:v>
      </x:c>
      <x:c r="I143" s="12" t="str">
        <x:v>研究生宿舍楼</x:v>
      </x:c>
      <x:c r="J143" s="12" t="str">
        <x:v>研究生宿舍楼发车</x:v>
      </x:c>
      <x:c r="K143" s="12" t="str">
        <x:v>HX1_NORMAL</x:v>
      </x:c>
      <x:c r="L143" s="12" t="n">
        <x:v>2</x:v>
      </x:c>
      <x:c r="M143" s="12" t="str">
        <x:v>HX1_NORMAL|2</x:v>
      </x:c>
      <x:c r="N143" s="12" t="str">
        <x:v>东门</x:v>
      </x:c>
      <x:c r="O143" s="12" t="n">
        <x:f>IFERROR(INDEX('秒级路线参数_可调整'!$O:$O,MATCH(M143,'秒级路线参数_可调整'!$A:$A,0)),"")</x:f>
        <x:v>0</x:v>
      </x:c>
      <x:c r="P143" s="12" t="str">
        <x:f>IF(O143="","",O143/86400)</x:f>
      </x:c>
      <x:c r="Q143" s="12" t="str">
        <x:f>IF(O143="","",(H143*60+O143)/86400)</x:f>
      </x:c>
      <x:c r="R143" s="12" t="str">
        <x:f>IF(Q143="","",TEXT(Q143,"hh:mm:ss"))</x:f>
      </x:c>
      <x:c r="S143" s="12" t="str">
        <x:v>否</x:v>
      </x:c>
      <x:c r="T143" s="12" t="str">
        <x:v>否</x:v>
      </x:c>
      <x:c r="U143" s="12" t="str">
        <x:v>未提供</x:v>
      </x:c>
      <x:c r="V143" s="12" t="str">
        <x:v>未提供</x:v>
      </x:c>
      <x:c r="W143" s="12" t="str">
        <x:v>秒级预测</x:v>
      </x:c>
      <x:c r="X143" s="12" t="str">
        <x:v>基于路线秒级参数；如录入实测或手动采用秒，预计到达时间可随公式更新</x:v>
      </x:c>
    </x:row>
    <x:row r="144">
      <x:c r="A144" s="12" t="str">
        <x:v>S0013-03</x:v>
      </x:c>
      <x:c r="B144" s="12" t="str">
        <x:v>S0013</x:v>
      </x:c>
      <x:c r="C144" s="12" t="str">
        <x:v>工作日</x:v>
      </x:c>
      <x:c r="D144" s="12" t="str">
        <x:v>环线1路</x:v>
      </x:c>
      <x:c r="E144" s="12" t="str">
        <x:v>第三班</x:v>
      </x:c>
      <x:c r="F144" s="12" t="n">
        <x:v>2</x:v>
      </x:c>
      <x:c r="G144" s="12" t="str">
        <x:v>8:20</x:v>
      </x:c>
      <x:c r="H144" s="12" t="n">
        <x:v>500</x:v>
      </x:c>
      <x:c r="I144" s="12" t="str">
        <x:v>研究生宿舍楼</x:v>
      </x:c>
      <x:c r="J144" s="12" t="str">
        <x:v>研究生宿舍楼发车</x:v>
      </x:c>
      <x:c r="K144" s="12" t="str">
        <x:v>HX1_NORMAL</x:v>
      </x:c>
      <x:c r="L144" s="12" t="n">
        <x:v>3</x:v>
      </x:c>
      <x:c r="M144" s="12" t="str">
        <x:v>HX1_NORMAL|3</x:v>
      </x:c>
      <x:c r="N144" s="12" t="str">
        <x:v>2号宿舍楼</x:v>
      </x:c>
      <x:c r="O144" s="12" t="n">
        <x:f>IFERROR(INDEX('秒级路线参数_可调整'!$O:$O,MATCH(M144,'秒级路线参数_可调整'!$A:$A,0)),"")</x:f>
        <x:v>0</x:v>
      </x:c>
      <x:c r="P144" s="12" t="str">
        <x:f>IF(O144="","",O144/86400)</x:f>
      </x:c>
      <x:c r="Q144" s="12" t="str">
        <x:f>IF(O144="","",(H144*60+O144)/86400)</x:f>
      </x:c>
      <x:c r="R144" s="12" t="str">
        <x:f>IF(Q144="","",TEXT(Q144,"hh:mm:ss"))</x:f>
      </x:c>
      <x:c r="S144" s="12" t="str">
        <x:v>否</x:v>
      </x:c>
      <x:c r="T144" s="12" t="str">
        <x:v>否</x:v>
      </x:c>
      <x:c r="U144" s="12" t="str">
        <x:v>未提供</x:v>
      </x:c>
      <x:c r="V144" s="12" t="str">
        <x:v>未提供</x:v>
      </x:c>
      <x:c r="W144" s="12" t="str">
        <x:v>秒级预测</x:v>
      </x:c>
      <x:c r="X144" s="12" t="str">
        <x:v>基于路线秒级参数；如录入实测或手动采用秒，预计到达时间可随公式更新</x:v>
      </x:c>
    </x:row>
    <x:row r="145">
      <x:c r="A145" s="12" t="str">
        <x:v>S0013-04</x:v>
      </x:c>
      <x:c r="B145" s="12" t="str">
        <x:v>S0013</x:v>
      </x:c>
      <x:c r="C145" s="12" t="str">
        <x:v>工作日</x:v>
      </x:c>
      <x:c r="D145" s="12" t="str">
        <x:v>环线1路</x:v>
      </x:c>
      <x:c r="E145" s="12" t="str">
        <x:v>第三班</x:v>
      </x:c>
      <x:c r="F145" s="12" t="n">
        <x:v>2</x:v>
      </x:c>
      <x:c r="G145" s="12" t="str">
        <x:v>8:20</x:v>
      </x:c>
      <x:c r="H145" s="12" t="n">
        <x:v>500</x:v>
      </x:c>
      <x:c r="I145" s="12" t="str">
        <x:v>研究生宿舍楼</x:v>
      </x:c>
      <x:c r="J145" s="12" t="str">
        <x:v>研究生宿舍楼发车</x:v>
      </x:c>
      <x:c r="K145" s="12" t="str">
        <x:v>HX1_NORMAL</x:v>
      </x:c>
      <x:c r="L145" s="12" t="n">
        <x:v>4</x:v>
      </x:c>
      <x:c r="M145" s="12" t="str">
        <x:v>HX1_NORMAL|4</x:v>
      </x:c>
      <x:c r="N145" s="12" t="str">
        <x:v>军体活动中心</x:v>
      </x:c>
      <x:c r="O145" s="12" t="n">
        <x:f>IFERROR(INDEX('秒级路线参数_可调整'!$O:$O,MATCH(M145,'秒级路线参数_可调整'!$A:$A,0)),"")</x:f>
        <x:v>0</x:v>
      </x:c>
      <x:c r="P145" s="12" t="str">
        <x:f>IF(O145="","",O145/86400)</x:f>
      </x:c>
      <x:c r="Q145" s="12" t="str">
        <x:f>IF(O145="","",(H145*60+O145)/86400)</x:f>
      </x:c>
      <x:c r="R145" s="12" t="str">
        <x:f>IF(Q145="","",TEXT(Q145,"hh:mm:ss"))</x:f>
      </x:c>
      <x:c r="S145" s="12" t="str">
        <x:v>否</x:v>
      </x:c>
      <x:c r="T145" s="12" t="str">
        <x:v>否</x:v>
      </x:c>
      <x:c r="U145" s="12" t="str">
        <x:v>未提供</x:v>
      </x:c>
      <x:c r="V145" s="12" t="str">
        <x:v>未提供</x:v>
      </x:c>
      <x:c r="W145" s="12" t="str">
        <x:v>秒级预测</x:v>
      </x:c>
      <x:c r="X145" s="12" t="str">
        <x:v>基于路线秒级参数；如录入实测或手动采用秒，预计到达时间可随公式更新</x:v>
      </x:c>
    </x:row>
    <x:row r="146">
      <x:c r="A146" s="12" t="str">
        <x:v>S0013-05</x:v>
      </x:c>
      <x:c r="B146" s="12" t="str">
        <x:v>S0013</x:v>
      </x:c>
      <x:c r="C146" s="12" t="str">
        <x:v>工作日</x:v>
      </x:c>
      <x:c r="D146" s="12" t="str">
        <x:v>环线1路</x:v>
      </x:c>
      <x:c r="E146" s="12" t="str">
        <x:v>第三班</x:v>
      </x:c>
      <x:c r="F146" s="12" t="n">
        <x:v>2</x:v>
      </x:c>
      <x:c r="G146" s="12" t="str">
        <x:v>8:20</x:v>
      </x:c>
      <x:c r="H146" s="12" t="n">
        <x:v>500</x:v>
      </x:c>
      <x:c r="I146" s="12" t="str">
        <x:v>研究生宿舍楼</x:v>
      </x:c>
      <x:c r="J146" s="12" t="str">
        <x:v>研究生宿舍楼发车</x:v>
      </x:c>
      <x:c r="K146" s="12" t="str">
        <x:v>HX1_NORMAL</x:v>
      </x:c>
      <x:c r="L146" s="12" t="n">
        <x:v>5</x:v>
      </x:c>
      <x:c r="M146" s="12" t="str">
        <x:v>HX1_NORMAL|5</x:v>
      </x:c>
      <x:c r="N146" s="12" t="str">
        <x:v>激光所</x:v>
      </x:c>
      <x:c r="O146" s="12" t="n">
        <x:f>IFERROR(INDEX('秒级路线参数_可调整'!$O:$O,MATCH(M146,'秒级路线参数_可调整'!$A:$A,0)),"")</x:f>
        <x:v>0</x:v>
      </x:c>
      <x:c r="P146" s="12" t="str">
        <x:f>IF(O146="","",O146/86400)</x:f>
      </x:c>
      <x:c r="Q146" s="12" t="str">
        <x:f>IF(O146="","",(H146*60+O146)/86400)</x:f>
      </x:c>
      <x:c r="R146" s="12" t="str">
        <x:f>IF(Q146="","",TEXT(Q146,"hh:mm:ss"))</x:f>
      </x:c>
      <x:c r="S146" s="12" t="str">
        <x:v>否</x:v>
      </x:c>
      <x:c r="T146" s="12" t="str">
        <x:v>否</x:v>
      </x:c>
      <x:c r="U146" s="12" t="str">
        <x:v>未提供</x:v>
      </x:c>
      <x:c r="V146" s="12" t="str">
        <x:v>未提供</x:v>
      </x:c>
      <x:c r="W146" s="12" t="str">
        <x:v>秒级预测</x:v>
      </x:c>
      <x:c r="X146" s="12" t="str">
        <x:v>基于路线秒级参数；如录入实测或手动采用秒，预计到达时间可随公式更新</x:v>
      </x:c>
    </x:row>
    <x:row r="147">
      <x:c r="A147" s="12" t="str">
        <x:v>S0013-06</x:v>
      </x:c>
      <x:c r="B147" s="12" t="str">
        <x:v>S0013</x:v>
      </x:c>
      <x:c r="C147" s="12" t="str">
        <x:v>工作日</x:v>
      </x:c>
      <x:c r="D147" s="12" t="str">
        <x:v>环线1路</x:v>
      </x:c>
      <x:c r="E147" s="12" t="str">
        <x:v>第三班</x:v>
      </x:c>
      <x:c r="F147" s="12" t="n">
        <x:v>2</x:v>
      </x:c>
      <x:c r="G147" s="12" t="str">
        <x:v>8:20</x:v>
      </x:c>
      <x:c r="H147" s="12" t="n">
        <x:v>500</x:v>
      </x:c>
      <x:c r="I147" s="12" t="str">
        <x:v>研究生宿舍楼</x:v>
      </x:c>
      <x:c r="J147" s="12" t="str">
        <x:v>研究生宿舍楼发车</x:v>
      </x:c>
      <x:c r="K147" s="12" t="str">
        <x:v>HX1_NORMAL</x:v>
      </x:c>
      <x:c r="L147" s="12" t="n">
        <x:v>6</x:v>
      </x:c>
      <x:c r="M147" s="12" t="str">
        <x:v>HX1_NORMAL|6</x:v>
      </x:c>
      <x:c r="N147" s="12" t="str">
        <x:v>超算中心</x:v>
      </x:c>
      <x:c r="O147" s="12" t="n">
        <x:f>IFERROR(INDEX('秒级路线参数_可调整'!$O:$O,MATCH(M147,'秒级路线参数_可调整'!$A:$A,0)),"")</x:f>
        <x:v>0</x:v>
      </x:c>
      <x:c r="P147" s="12" t="str">
        <x:f>IF(O147="","",O147/86400)</x:f>
      </x:c>
      <x:c r="Q147" s="12" t="str">
        <x:f>IF(O147="","",(H147*60+O147)/86400)</x:f>
      </x:c>
      <x:c r="R147" s="12" t="str">
        <x:f>IF(Q147="","",TEXT(Q147,"hh:mm:ss"))</x:f>
      </x:c>
      <x:c r="S147" s="12" t="str">
        <x:v>否</x:v>
      </x:c>
      <x:c r="T147" s="12" t="str">
        <x:v>否</x:v>
      </x:c>
      <x:c r="U147" s="12" t="str">
        <x:v>未提供</x:v>
      </x:c>
      <x:c r="V147" s="12" t="str">
        <x:v>未提供</x:v>
      </x:c>
      <x:c r="W147" s="12" t="str">
        <x:v>秒级预测</x:v>
      </x:c>
      <x:c r="X147" s="12" t="str">
        <x:v>基于路线秒级参数；如录入实测或手动采用秒，预计到达时间可随公式更新</x:v>
      </x:c>
    </x:row>
    <x:row r="148">
      <x:c r="A148" s="12" t="str">
        <x:v>S0013-07</x:v>
      </x:c>
      <x:c r="B148" s="12" t="str">
        <x:v>S0013</x:v>
      </x:c>
      <x:c r="C148" s="12" t="str">
        <x:v>工作日</x:v>
      </x:c>
      <x:c r="D148" s="12" t="str">
        <x:v>环线1路</x:v>
      </x:c>
      <x:c r="E148" s="12" t="str">
        <x:v>第三班</x:v>
      </x:c>
      <x:c r="F148" s="12" t="n">
        <x:v>2</x:v>
      </x:c>
      <x:c r="G148" s="12" t="str">
        <x:v>8:20</x:v>
      </x:c>
      <x:c r="H148" s="12" t="n">
        <x:v>500</x:v>
      </x:c>
      <x:c r="I148" s="12" t="str">
        <x:v>研究生宿舍楼</x:v>
      </x:c>
      <x:c r="J148" s="12" t="str">
        <x:v>研究生宿舍楼发车</x:v>
      </x:c>
      <x:c r="K148" s="12" t="str">
        <x:v>HX1_NORMAL</x:v>
      </x:c>
      <x:c r="L148" s="12" t="n">
        <x:v>7</x:v>
      </x:c>
      <x:c r="M148" s="12" t="str">
        <x:v>HX1_NORMAL|7</x:v>
      </x:c>
      <x:c r="N148" s="12" t="str">
        <x:v>北门</x:v>
      </x:c>
      <x:c r="O148" s="12" t="n">
        <x:f>IFERROR(INDEX('秒级路线参数_可调整'!$O:$O,MATCH(M148,'秒级路线参数_可调整'!$A:$A,0)),"")</x:f>
        <x:v>0</x:v>
      </x:c>
      <x:c r="P148" s="12" t="str">
        <x:f>IF(O148="","",O148/86400)</x:f>
      </x:c>
      <x:c r="Q148" s="12" t="str">
        <x:f>IF(O148="","",(H148*60+O148)/86400)</x:f>
      </x:c>
      <x:c r="R148" s="12" t="str">
        <x:f>IF(Q148="","",TEXT(Q148,"hh:mm:ss"))</x:f>
      </x:c>
      <x:c r="S148" s="12" t="str">
        <x:v>否</x:v>
      </x:c>
      <x:c r="T148" s="12" t="str">
        <x:v>否</x:v>
      </x:c>
      <x:c r="U148" s="12" t="str">
        <x:v>未提供</x:v>
      </x:c>
      <x:c r="V148" s="12" t="str">
        <x:v>未提供</x:v>
      </x:c>
      <x:c r="W148" s="12" t="str">
        <x:v>秒级预测</x:v>
      </x:c>
      <x:c r="X148" s="12" t="str">
        <x:v>基于路线秒级参数；如录入实测或手动采用秒，预计到达时间可随公式更新</x:v>
      </x:c>
    </x:row>
    <x:row r="149">
      <x:c r="A149" s="12" t="str">
        <x:v>S0013-08</x:v>
      </x:c>
      <x:c r="B149" s="12" t="str">
        <x:v>S0013</x:v>
      </x:c>
      <x:c r="C149" s="12" t="str">
        <x:v>工作日</x:v>
      </x:c>
      <x:c r="D149" s="12" t="str">
        <x:v>环线1路</x:v>
      </x:c>
      <x:c r="E149" s="12" t="str">
        <x:v>第三班</x:v>
      </x:c>
      <x:c r="F149" s="12" t="n">
        <x:v>2</x:v>
      </x:c>
      <x:c r="G149" s="12" t="str">
        <x:v>8:20</x:v>
      </x:c>
      <x:c r="H149" s="12" t="n">
        <x:v>500</x:v>
      </x:c>
      <x:c r="I149" s="12" t="str">
        <x:v>研究生宿舍楼</x:v>
      </x:c>
      <x:c r="J149" s="12" t="str">
        <x:v>研究生宿舍楼发车</x:v>
      </x:c>
      <x:c r="K149" s="12" t="str">
        <x:v>HX1_NORMAL</x:v>
      </x:c>
      <x:c r="L149" s="12" t="n">
        <x:v>8</x:v>
      </x:c>
      <x:c r="M149" s="12" t="str">
        <x:v>HX1_NORMAL|8</x:v>
      </x:c>
      <x:c r="N149" s="12" t="str">
        <x:v>高超楼</x:v>
      </x:c>
      <x:c r="O149" s="12" t="n">
        <x:f>IFERROR(INDEX('秒级路线参数_可调整'!$O:$O,MATCH(M149,'秒级路线参数_可调整'!$A:$A,0)),"")</x:f>
        <x:v>0</x:v>
      </x:c>
      <x:c r="P149" s="12" t="str">
        <x:f>IF(O149="","",O149/86400)</x:f>
      </x:c>
      <x:c r="Q149" s="12" t="str">
        <x:f>IF(O149="","",(H149*60+O149)/86400)</x:f>
      </x:c>
      <x:c r="R149" s="12" t="str">
        <x:f>IF(Q149="","",TEXT(Q149,"hh:mm:ss"))</x:f>
      </x:c>
      <x:c r="S149" s="12" t="str">
        <x:v>否</x:v>
      </x:c>
      <x:c r="T149" s="12" t="str">
        <x:v>否</x:v>
      </x:c>
      <x:c r="U149" s="12" t="str">
        <x:v>未提供</x:v>
      </x:c>
      <x:c r="V149" s="12" t="str">
        <x:v>未提供</x:v>
      </x:c>
      <x:c r="W149" s="12" t="str">
        <x:v>秒级预测</x:v>
      </x:c>
      <x:c r="X149" s="12" t="str">
        <x:v>基于路线秒级参数；如录入实测或手动采用秒，预计到达时间可随公式更新</x:v>
      </x:c>
    </x:row>
    <x:row r="150">
      <x:c r="A150" s="12" t="str">
        <x:v>S0013-09</x:v>
      </x:c>
      <x:c r="B150" s="12" t="str">
        <x:v>S0013</x:v>
      </x:c>
      <x:c r="C150" s="12" t="str">
        <x:v>工作日</x:v>
      </x:c>
      <x:c r="D150" s="12" t="str">
        <x:v>环线1路</x:v>
      </x:c>
      <x:c r="E150" s="12" t="str">
        <x:v>第三班</x:v>
      </x:c>
      <x:c r="F150" s="12" t="n">
        <x:v>2</x:v>
      </x:c>
      <x:c r="G150" s="12" t="str">
        <x:v>8:20</x:v>
      </x:c>
      <x:c r="H150" s="12" t="n">
        <x:v>500</x:v>
      </x:c>
      <x:c r="I150" s="12" t="str">
        <x:v>研究生宿舍楼</x:v>
      </x:c>
      <x:c r="J150" s="12" t="str">
        <x:v>研究生宿舍楼发车</x:v>
      </x:c>
      <x:c r="K150" s="12" t="str">
        <x:v>HX1_NORMAL</x:v>
      </x:c>
      <x:c r="L150" s="12" t="n">
        <x:v>9</x:v>
      </x:c>
      <x:c r="M150" s="12" t="str">
        <x:v>HX1_NORMAL|9</x:v>
      </x:c>
      <x:c r="N150" s="12" t="str">
        <x:v>理学院</x:v>
      </x:c>
      <x:c r="O150" s="12" t="n">
        <x:f>IFERROR(INDEX('秒级路线参数_可调整'!$O:$O,MATCH(M150,'秒级路线参数_可调整'!$A:$A,0)),"")</x:f>
        <x:v>0</x:v>
      </x:c>
      <x:c r="P150" s="12" t="str">
        <x:f>IF(O150="","",O150/86400)</x:f>
      </x:c>
      <x:c r="Q150" s="12" t="str">
        <x:f>IF(O150="","",(H150*60+O150)/86400)</x:f>
      </x:c>
      <x:c r="R150" s="12" t="str">
        <x:f>IF(Q150="","",TEXT(Q150,"hh:mm:ss"))</x:f>
      </x:c>
      <x:c r="S150" s="12" t="str">
        <x:v>否</x:v>
      </x:c>
      <x:c r="T150" s="12" t="str">
        <x:v>否</x:v>
      </x:c>
      <x:c r="U150" s="12" t="str">
        <x:v>未提供</x:v>
      </x:c>
      <x:c r="V150" s="12" t="str">
        <x:v>未提供</x:v>
      </x:c>
      <x:c r="W150" s="12" t="str">
        <x:v>秒级预测</x:v>
      </x:c>
      <x:c r="X150" s="12" t="str">
        <x:v>基于路线秒级参数；如录入实测或手动采用秒，预计到达时间可随公式更新</x:v>
      </x:c>
    </x:row>
    <x:row r="151">
      <x:c r="A151" s="12" t="str">
        <x:v>S0013-10</x:v>
      </x:c>
      <x:c r="B151" s="12" t="str">
        <x:v>S0013</x:v>
      </x:c>
      <x:c r="C151" s="12" t="str">
        <x:v>工作日</x:v>
      </x:c>
      <x:c r="D151" s="12" t="str">
        <x:v>环线1路</x:v>
      </x:c>
      <x:c r="E151" s="12" t="str">
        <x:v>第三班</x:v>
      </x:c>
      <x:c r="F151" s="12" t="n">
        <x:v>2</x:v>
      </x:c>
      <x:c r="G151" s="12" t="str">
        <x:v>8:20</x:v>
      </x:c>
      <x:c r="H151" s="12" t="n">
        <x:v>500</x:v>
      </x:c>
      <x:c r="I151" s="12" t="str">
        <x:v>研究生宿舍楼</x:v>
      </x:c>
      <x:c r="J151" s="12" t="str">
        <x:v>研究生宿舍楼发车</x:v>
      </x:c>
      <x:c r="K151" s="12" t="str">
        <x:v>HX1_NORMAL</x:v>
      </x:c>
      <x:c r="L151" s="12" t="n">
        <x:v>10</x:v>
      </x:c>
      <x:c r="M151" s="12" t="str">
        <x:v>HX1_NORMAL|10</x:v>
      </x:c>
      <x:c r="N151" s="12" t="str">
        <x:v>二食堂</x:v>
      </x:c>
      <x:c r="O151" s="12" t="n">
        <x:f>IFERROR(INDEX('秒级路线参数_可调整'!$O:$O,MATCH(M151,'秒级路线参数_可调整'!$A:$A,0)),"")</x:f>
        <x:v>0</x:v>
      </x:c>
      <x:c r="P151" s="12" t="str">
        <x:f>IF(O151="","",O151/86400)</x:f>
      </x:c>
      <x:c r="Q151" s="12" t="str">
        <x:f>IF(O151="","",(H151*60+O151)/86400)</x:f>
      </x:c>
      <x:c r="R151" s="12" t="str">
        <x:f>IF(Q151="","",TEXT(Q151,"hh:mm:ss"))</x:f>
      </x:c>
      <x:c r="S151" s="12" t="str">
        <x:v>否</x:v>
      </x:c>
      <x:c r="T151" s="12" t="str">
        <x:v>否</x:v>
      </x:c>
      <x:c r="U151" s="12" t="str">
        <x:v>未提供</x:v>
      </x:c>
      <x:c r="V151" s="12" t="str">
        <x:v>未提供</x:v>
      </x:c>
      <x:c r="W151" s="12" t="str">
        <x:v>秒级预测</x:v>
      </x:c>
      <x:c r="X151" s="12" t="str">
        <x:v>基于路线秒级参数；如录入实测或手动采用秒，预计到达时间可随公式更新</x:v>
      </x:c>
    </x:row>
    <x:row r="152">
      <x:c r="A152" s="12" t="str">
        <x:v>S0013-11</x:v>
      </x:c>
      <x:c r="B152" s="12" t="str">
        <x:v>S0013</x:v>
      </x:c>
      <x:c r="C152" s="12" t="str">
        <x:v>工作日</x:v>
      </x:c>
      <x:c r="D152" s="12" t="str">
        <x:v>环线1路</x:v>
      </x:c>
      <x:c r="E152" s="12" t="str">
        <x:v>第三班</x:v>
      </x:c>
      <x:c r="F152" s="12" t="n">
        <x:v>2</x:v>
      </x:c>
      <x:c r="G152" s="12" t="str">
        <x:v>8:20</x:v>
      </x:c>
      <x:c r="H152" s="12" t="n">
        <x:v>500</x:v>
      </x:c>
      <x:c r="I152" s="12" t="str">
        <x:v>研究生宿舍楼</x:v>
      </x:c>
      <x:c r="J152" s="12" t="str">
        <x:v>研究生宿舍楼发车</x:v>
      </x:c>
      <x:c r="K152" s="12" t="str">
        <x:v>HX1_NORMAL</x:v>
      </x:c>
      <x:c r="L152" s="12" t="n">
        <x:v>11</x:v>
      </x:c>
      <x:c r="M152" s="12" t="str">
        <x:v>HX1_NORMAL|11</x:v>
      </x:c>
      <x:c r="N152" s="12" t="str">
        <x:v>5号宿舍楼</x:v>
      </x:c>
      <x:c r="O152" s="12" t="n">
        <x:f>IFERROR(INDEX('秒级路线参数_可调整'!$O:$O,MATCH(M152,'秒级路线参数_可调整'!$A:$A,0)),"")</x:f>
        <x:v>0</x:v>
      </x:c>
      <x:c r="P152" s="12" t="str">
        <x:f>IF(O152="","",O152/86400)</x:f>
      </x:c>
      <x:c r="Q152" s="12" t="str">
        <x:f>IF(O152="","",(H152*60+O152)/86400)</x:f>
      </x:c>
      <x:c r="R152" s="12" t="str">
        <x:f>IF(Q152="","",TEXT(Q152,"hh:mm:ss"))</x:f>
      </x:c>
      <x:c r="S152" s="12" t="str">
        <x:v>否</x:v>
      </x:c>
      <x:c r="T152" s="12" t="str">
        <x:v>否</x:v>
      </x:c>
      <x:c r="U152" s="12" t="str">
        <x:v>未提供</x:v>
      </x:c>
      <x:c r="V152" s="12" t="str">
        <x:v>未提供</x:v>
      </x:c>
      <x:c r="W152" s="12" t="str">
        <x:v>秒级预测</x:v>
      </x:c>
      <x:c r="X152" s="12" t="str">
        <x:v>基于路线秒级参数；如录入实测或手动采用秒，预计到达时间可随公式更新</x:v>
      </x:c>
    </x:row>
    <x:row r="153">
      <x:c r="A153" s="12" t="str">
        <x:v>S0013-12</x:v>
      </x:c>
      <x:c r="B153" s="12" t="str">
        <x:v>S0013</x:v>
      </x:c>
      <x:c r="C153" s="12" t="str">
        <x:v>工作日</x:v>
      </x:c>
      <x:c r="D153" s="12" t="str">
        <x:v>环线1路</x:v>
      </x:c>
      <x:c r="E153" s="12" t="str">
        <x:v>第三班</x:v>
      </x:c>
      <x:c r="F153" s="12" t="n">
        <x:v>2</x:v>
      </x:c>
      <x:c r="G153" s="12" t="str">
        <x:v>8:20</x:v>
      </x:c>
      <x:c r="H153" s="12" t="n">
        <x:v>500</x:v>
      </x:c>
      <x:c r="I153" s="12" t="str">
        <x:v>研究生宿舍楼</x:v>
      </x:c>
      <x:c r="J153" s="12" t="str">
        <x:v>研究生宿舍楼发车</x:v>
      </x:c>
      <x:c r="K153" s="12" t="str">
        <x:v>HX1_NORMAL</x:v>
      </x:c>
      <x:c r="L153" s="12" t="n">
        <x:v>12</x:v>
      </x:c>
      <x:c r="M153" s="12" t="str">
        <x:v>HX1_NORMAL|12</x:v>
      </x:c>
      <x:c r="N153" s="12" t="str">
        <x:v>305教学楼</x:v>
      </x:c>
      <x:c r="O153" s="12" t="n">
        <x:f>IFERROR(INDEX('秒级路线参数_可调整'!$O:$O,MATCH(M153,'秒级路线参数_可调整'!$A:$A,0)),"")</x:f>
        <x:v>0</x:v>
      </x:c>
      <x:c r="P153" s="12" t="str">
        <x:f>IF(O153="","",O153/86400)</x:f>
      </x:c>
      <x:c r="Q153" s="12" t="str">
        <x:f>IF(O153="","",(H153*60+O153)/86400)</x:f>
      </x:c>
      <x:c r="R153" s="12" t="str">
        <x:f>IF(Q153="","",TEXT(Q153,"hh:mm:ss"))</x:f>
      </x:c>
      <x:c r="S153" s="12" t="str">
        <x:v>否</x:v>
      </x:c>
      <x:c r="T153" s="12" t="str">
        <x:v>否</x:v>
      </x:c>
      <x:c r="U153" s="12" t="str">
        <x:v>未提供</x:v>
      </x:c>
      <x:c r="V153" s="12" t="str">
        <x:v>未提供</x:v>
      </x:c>
      <x:c r="W153" s="12" t="str">
        <x:v>秒级预测</x:v>
      </x:c>
      <x:c r="X153" s="12" t="str">
        <x:v>基于路线秒级参数；如录入实测或手动采用秒，预计到达时间可随公式更新</x:v>
      </x:c>
    </x:row>
    <x:row r="154">
      <x:c r="A154" s="12" t="str">
        <x:v>S0013-13</x:v>
      </x:c>
      <x:c r="B154" s="12" t="str">
        <x:v>S0013</x:v>
      </x:c>
      <x:c r="C154" s="12" t="str">
        <x:v>工作日</x:v>
      </x:c>
      <x:c r="D154" s="12" t="str">
        <x:v>环线1路</x:v>
      </x:c>
      <x:c r="E154" s="12" t="str">
        <x:v>第三班</x:v>
      </x:c>
      <x:c r="F154" s="12" t="n">
        <x:v>2</x:v>
      </x:c>
      <x:c r="G154" s="12" t="str">
        <x:v>8:20</x:v>
      </x:c>
      <x:c r="H154" s="12" t="n">
        <x:v>500</x:v>
      </x:c>
      <x:c r="I154" s="12" t="str">
        <x:v>研究生宿舍楼</x:v>
      </x:c>
      <x:c r="J154" s="12" t="str">
        <x:v>研究生宿舍楼发车</x:v>
      </x:c>
      <x:c r="K154" s="12" t="str">
        <x:v>HX1_NORMAL</x:v>
      </x:c>
      <x:c r="L154" s="12" t="n">
        <x:v>13</x:v>
      </x:c>
      <x:c r="M154" s="12" t="str">
        <x:v>HX1_NORMAL|13</x:v>
      </x:c>
      <x:c r="N154" s="12" t="str">
        <x:v>研究生宿舍楼</x:v>
      </x:c>
      <x:c r="O154" s="12" t="n">
        <x:f>IFERROR(INDEX('秒级路线参数_可调整'!$O:$O,MATCH(M154,'秒级路线参数_可调整'!$A:$A,0)),"")</x:f>
        <x:v>0</x:v>
      </x:c>
      <x:c r="P154" s="12" t="str">
        <x:f>IF(O154="","",O154/86400)</x:f>
      </x:c>
      <x:c r="Q154" s="12" t="str">
        <x:f>IF(O154="","",(H154*60+O154)/86400)</x:f>
      </x:c>
      <x:c r="R154" s="12" t="str">
        <x:f>IF(Q154="","",TEXT(Q154,"hh:mm:ss"))</x:f>
      </x:c>
      <x:c r="S154" s="12" t="str">
        <x:v>否</x:v>
      </x:c>
      <x:c r="T154" s="12" t="str">
        <x:v>是</x:v>
      </x:c>
      <x:c r="U154" s="12" t="str">
        <x:v>未提供</x:v>
      </x:c>
      <x:c r="V154" s="12" t="str">
        <x:v>未提供</x:v>
      </x:c>
      <x:c r="W154" s="12" t="str">
        <x:v>秒级预测</x:v>
      </x:c>
      <x:c r="X154" s="12" t="str">
        <x:v>基于路线秒级参数；如录入实测或手动采用秒，预计到达时间可随公式更新</x:v>
      </x:c>
    </x:row>
    <x:row r="155">
      <x:c r="A155" s="12" t="str">
        <x:v>S0014-01</x:v>
      </x:c>
      <x:c r="B155" s="12" t="str">
        <x:v>S0014</x:v>
      </x:c>
      <x:c r="C155" s="12" t="str">
        <x:v>工作日</x:v>
      </x:c>
      <x:c r="D155" s="12" t="str">
        <x:v>环线1路</x:v>
      </x:c>
      <x:c r="E155" s="12" t="str">
        <x:v>第三班</x:v>
      </x:c>
      <x:c r="F155" s="12" t="n">
        <x:v>3</x:v>
      </x:c>
      <x:c r="G155" s="12" t="str">
        <x:v>8:50</x:v>
      </x:c>
      <x:c r="H155" s="12" t="n">
        <x:v>530</x:v>
      </x:c>
      <x:c r="I155" s="12" t="str">
        <x:v>研究生宿舍楼</x:v>
      </x:c>
      <x:c r="J155" s="12" t="str">
        <x:v>研究生宿舍楼发车</x:v>
      </x:c>
      <x:c r="K155" s="12" t="str">
        <x:v>HX1_NORMAL</x:v>
      </x:c>
      <x:c r="L155" s="12" t="n">
        <x:v>1</x:v>
      </x:c>
      <x:c r="M155" s="12" t="str">
        <x:v>HX1_NORMAL|1</x:v>
      </x:c>
      <x:c r="N155" s="12" t="str">
        <x:v>研究生宿舍楼</x:v>
      </x:c>
      <x:c r="O155" s="12" t="n">
        <x:f>IFERROR(INDEX('秒级路线参数_可调整'!$O:$O,MATCH(M155,'秒级路线参数_可调整'!$A:$A,0)),"")</x:f>
        <x:v>0</x:v>
      </x:c>
      <x:c r="P155" s="12" t="str">
        <x:f>IF(O155="","",O155/86400)</x:f>
      </x:c>
      <x:c r="Q155" s="12" t="str">
        <x:f>IF(O155="","",(H155*60+O155)/86400)</x:f>
      </x:c>
      <x:c r="R155" s="12" t="str">
        <x:f>IF(Q155="","",TEXT(Q155,"hh:mm:ss"))</x:f>
      </x:c>
      <x:c r="S155" s="12" t="str">
        <x:v>是</x:v>
      </x:c>
      <x:c r="T155" s="12" t="str">
        <x:v>否</x:v>
      </x:c>
      <x:c r="U155" s="12" t="str">
        <x:v>未提供</x:v>
      </x:c>
      <x:c r="V155" s="12" t="str">
        <x:v>未提供</x:v>
      </x:c>
      <x:c r="W155" s="12" t="str">
        <x:v>秒级预测</x:v>
      </x:c>
      <x:c r="X155" s="12" t="str">
        <x:v>基于路线秒级参数；如录入实测或手动采用秒，预计到达时间可随公式更新</x:v>
      </x:c>
    </x:row>
    <x:row r="156">
      <x:c r="A156" s="12" t="str">
        <x:v>S0014-02</x:v>
      </x:c>
      <x:c r="B156" s="12" t="str">
        <x:v>S0014</x:v>
      </x:c>
      <x:c r="C156" s="12" t="str">
        <x:v>工作日</x:v>
      </x:c>
      <x:c r="D156" s="12" t="str">
        <x:v>环线1路</x:v>
      </x:c>
      <x:c r="E156" s="12" t="str">
        <x:v>第三班</x:v>
      </x:c>
      <x:c r="F156" s="12" t="n">
        <x:v>3</x:v>
      </x:c>
      <x:c r="G156" s="12" t="str">
        <x:v>8:50</x:v>
      </x:c>
      <x:c r="H156" s="12" t="n">
        <x:v>530</x:v>
      </x:c>
      <x:c r="I156" s="12" t="str">
        <x:v>研究生宿舍楼</x:v>
      </x:c>
      <x:c r="J156" s="12" t="str">
        <x:v>研究生宿舍楼发车</x:v>
      </x:c>
      <x:c r="K156" s="12" t="str">
        <x:v>HX1_NORMAL</x:v>
      </x:c>
      <x:c r="L156" s="12" t="n">
        <x:v>2</x:v>
      </x:c>
      <x:c r="M156" s="12" t="str">
        <x:v>HX1_NORMAL|2</x:v>
      </x:c>
      <x:c r="N156" s="12" t="str">
        <x:v>东门</x:v>
      </x:c>
      <x:c r="O156" s="12" t="n">
        <x:f>IFERROR(INDEX('秒级路线参数_可调整'!$O:$O,MATCH(M156,'秒级路线参数_可调整'!$A:$A,0)),"")</x:f>
        <x:v>0</x:v>
      </x:c>
      <x:c r="P156" s="12" t="str">
        <x:f>IF(O156="","",O156/86400)</x:f>
      </x:c>
      <x:c r="Q156" s="12" t="str">
        <x:f>IF(O156="","",(H156*60+O156)/86400)</x:f>
      </x:c>
      <x:c r="R156" s="12" t="str">
        <x:f>IF(Q156="","",TEXT(Q156,"hh:mm:ss"))</x:f>
      </x:c>
      <x:c r="S156" s="12" t="str">
        <x:v>否</x:v>
      </x:c>
      <x:c r="T156" s="12" t="str">
        <x:v>否</x:v>
      </x:c>
      <x:c r="U156" s="12" t="str">
        <x:v>未提供</x:v>
      </x:c>
      <x:c r="V156" s="12" t="str">
        <x:v>未提供</x:v>
      </x:c>
      <x:c r="W156" s="12" t="str">
        <x:v>秒级预测</x:v>
      </x:c>
      <x:c r="X156" s="12" t="str">
        <x:v>基于路线秒级参数；如录入实测或手动采用秒，预计到达时间可随公式更新</x:v>
      </x:c>
    </x:row>
    <x:row r="157">
      <x:c r="A157" s="12" t="str">
        <x:v>S0014-03</x:v>
      </x:c>
      <x:c r="B157" s="12" t="str">
        <x:v>S0014</x:v>
      </x:c>
      <x:c r="C157" s="12" t="str">
        <x:v>工作日</x:v>
      </x:c>
      <x:c r="D157" s="12" t="str">
        <x:v>环线1路</x:v>
      </x:c>
      <x:c r="E157" s="12" t="str">
        <x:v>第三班</x:v>
      </x:c>
      <x:c r="F157" s="12" t="n">
        <x:v>3</x:v>
      </x:c>
      <x:c r="G157" s="12" t="str">
        <x:v>8:50</x:v>
      </x:c>
      <x:c r="H157" s="12" t="n">
        <x:v>530</x:v>
      </x:c>
      <x:c r="I157" s="12" t="str">
        <x:v>研究生宿舍楼</x:v>
      </x:c>
      <x:c r="J157" s="12" t="str">
        <x:v>研究生宿舍楼发车</x:v>
      </x:c>
      <x:c r="K157" s="12" t="str">
        <x:v>HX1_NORMAL</x:v>
      </x:c>
      <x:c r="L157" s="12" t="n">
        <x:v>3</x:v>
      </x:c>
      <x:c r="M157" s="12" t="str">
        <x:v>HX1_NORMAL|3</x:v>
      </x:c>
      <x:c r="N157" s="12" t="str">
        <x:v>2号宿舍楼</x:v>
      </x:c>
      <x:c r="O157" s="12" t="n">
        <x:f>IFERROR(INDEX('秒级路线参数_可调整'!$O:$O,MATCH(M157,'秒级路线参数_可调整'!$A:$A,0)),"")</x:f>
        <x:v>0</x:v>
      </x:c>
      <x:c r="P157" s="12" t="str">
        <x:f>IF(O157="","",O157/86400)</x:f>
      </x:c>
      <x:c r="Q157" s="12" t="str">
        <x:f>IF(O157="","",(H157*60+O157)/86400)</x:f>
      </x:c>
      <x:c r="R157" s="12" t="str">
        <x:f>IF(Q157="","",TEXT(Q157,"hh:mm:ss"))</x:f>
      </x:c>
      <x:c r="S157" s="12" t="str">
        <x:v>否</x:v>
      </x:c>
      <x:c r="T157" s="12" t="str">
        <x:v>否</x:v>
      </x:c>
      <x:c r="U157" s="12" t="str">
        <x:v>未提供</x:v>
      </x:c>
      <x:c r="V157" s="12" t="str">
        <x:v>未提供</x:v>
      </x:c>
      <x:c r="W157" s="12" t="str">
        <x:v>秒级预测</x:v>
      </x:c>
      <x:c r="X157" s="12" t="str">
        <x:v>基于路线秒级参数；如录入实测或手动采用秒，预计到达时间可随公式更新</x:v>
      </x:c>
    </x:row>
    <x:row r="158">
      <x:c r="A158" s="12" t="str">
        <x:v>S0014-04</x:v>
      </x:c>
      <x:c r="B158" s="12" t="str">
        <x:v>S0014</x:v>
      </x:c>
      <x:c r="C158" s="12" t="str">
        <x:v>工作日</x:v>
      </x:c>
      <x:c r="D158" s="12" t="str">
        <x:v>环线1路</x:v>
      </x:c>
      <x:c r="E158" s="12" t="str">
        <x:v>第三班</x:v>
      </x:c>
      <x:c r="F158" s="12" t="n">
        <x:v>3</x:v>
      </x:c>
      <x:c r="G158" s="12" t="str">
        <x:v>8:50</x:v>
      </x:c>
      <x:c r="H158" s="12" t="n">
        <x:v>530</x:v>
      </x:c>
      <x:c r="I158" s="12" t="str">
        <x:v>研究生宿舍楼</x:v>
      </x:c>
      <x:c r="J158" s="12" t="str">
        <x:v>研究生宿舍楼发车</x:v>
      </x:c>
      <x:c r="K158" s="12" t="str">
        <x:v>HX1_NORMAL</x:v>
      </x:c>
      <x:c r="L158" s="12" t="n">
        <x:v>4</x:v>
      </x:c>
      <x:c r="M158" s="12" t="str">
        <x:v>HX1_NORMAL|4</x:v>
      </x:c>
      <x:c r="N158" s="12" t="str">
        <x:v>军体活动中心</x:v>
      </x:c>
      <x:c r="O158" s="12" t="n">
        <x:f>IFERROR(INDEX('秒级路线参数_可调整'!$O:$O,MATCH(M158,'秒级路线参数_可调整'!$A:$A,0)),"")</x:f>
        <x:v>0</x:v>
      </x:c>
      <x:c r="P158" s="12" t="str">
        <x:f>IF(O158="","",O158/86400)</x:f>
      </x:c>
      <x:c r="Q158" s="12" t="str">
        <x:f>IF(O158="","",(H158*60+O158)/86400)</x:f>
      </x:c>
      <x:c r="R158" s="12" t="str">
        <x:f>IF(Q158="","",TEXT(Q158,"hh:mm:ss"))</x:f>
      </x:c>
      <x:c r="S158" s="12" t="str">
        <x:v>否</x:v>
      </x:c>
      <x:c r="T158" s="12" t="str">
        <x:v>否</x:v>
      </x:c>
      <x:c r="U158" s="12" t="str">
        <x:v>未提供</x:v>
      </x:c>
      <x:c r="V158" s="12" t="str">
        <x:v>未提供</x:v>
      </x:c>
      <x:c r="W158" s="12" t="str">
        <x:v>秒级预测</x:v>
      </x:c>
      <x:c r="X158" s="12" t="str">
        <x:v>基于路线秒级参数；如录入实测或手动采用秒，预计到达时间可随公式更新</x:v>
      </x:c>
    </x:row>
    <x:row r="159">
      <x:c r="A159" s="12" t="str">
        <x:v>S0014-05</x:v>
      </x:c>
      <x:c r="B159" s="12" t="str">
        <x:v>S0014</x:v>
      </x:c>
      <x:c r="C159" s="12" t="str">
        <x:v>工作日</x:v>
      </x:c>
      <x:c r="D159" s="12" t="str">
        <x:v>环线1路</x:v>
      </x:c>
      <x:c r="E159" s="12" t="str">
        <x:v>第三班</x:v>
      </x:c>
      <x:c r="F159" s="12" t="n">
        <x:v>3</x:v>
      </x:c>
      <x:c r="G159" s="12" t="str">
        <x:v>8:50</x:v>
      </x:c>
      <x:c r="H159" s="12" t="n">
        <x:v>530</x:v>
      </x:c>
      <x:c r="I159" s="12" t="str">
        <x:v>研究生宿舍楼</x:v>
      </x:c>
      <x:c r="J159" s="12" t="str">
        <x:v>研究生宿舍楼发车</x:v>
      </x:c>
      <x:c r="K159" s="12" t="str">
        <x:v>HX1_NORMAL</x:v>
      </x:c>
      <x:c r="L159" s="12" t="n">
        <x:v>5</x:v>
      </x:c>
      <x:c r="M159" s="12" t="str">
        <x:v>HX1_NORMAL|5</x:v>
      </x:c>
      <x:c r="N159" s="12" t="str">
        <x:v>激光所</x:v>
      </x:c>
      <x:c r="O159" s="12" t="n">
        <x:f>IFERROR(INDEX('秒级路线参数_可调整'!$O:$O,MATCH(M159,'秒级路线参数_可调整'!$A:$A,0)),"")</x:f>
        <x:v>0</x:v>
      </x:c>
      <x:c r="P159" s="12" t="str">
        <x:f>IF(O159="","",O159/86400)</x:f>
      </x:c>
      <x:c r="Q159" s="12" t="str">
        <x:f>IF(O159="","",(H159*60+O159)/86400)</x:f>
      </x:c>
      <x:c r="R159" s="12" t="str">
        <x:f>IF(Q159="","",TEXT(Q159,"hh:mm:ss"))</x:f>
      </x:c>
      <x:c r="S159" s="12" t="str">
        <x:v>否</x:v>
      </x:c>
      <x:c r="T159" s="12" t="str">
        <x:v>否</x:v>
      </x:c>
      <x:c r="U159" s="12" t="str">
        <x:v>未提供</x:v>
      </x:c>
      <x:c r="V159" s="12" t="str">
        <x:v>未提供</x:v>
      </x:c>
      <x:c r="W159" s="12" t="str">
        <x:v>秒级预测</x:v>
      </x:c>
      <x:c r="X159" s="12" t="str">
        <x:v>基于路线秒级参数；如录入实测或手动采用秒，预计到达时间可随公式更新</x:v>
      </x:c>
    </x:row>
    <x:row r="160">
      <x:c r="A160" s="12" t="str">
        <x:v>S0014-06</x:v>
      </x:c>
      <x:c r="B160" s="12" t="str">
        <x:v>S0014</x:v>
      </x:c>
      <x:c r="C160" s="12" t="str">
        <x:v>工作日</x:v>
      </x:c>
      <x:c r="D160" s="12" t="str">
        <x:v>环线1路</x:v>
      </x:c>
      <x:c r="E160" s="12" t="str">
        <x:v>第三班</x:v>
      </x:c>
      <x:c r="F160" s="12" t="n">
        <x:v>3</x:v>
      </x:c>
      <x:c r="G160" s="12" t="str">
        <x:v>8:50</x:v>
      </x:c>
      <x:c r="H160" s="12" t="n">
        <x:v>530</x:v>
      </x:c>
      <x:c r="I160" s="12" t="str">
        <x:v>研究生宿舍楼</x:v>
      </x:c>
      <x:c r="J160" s="12" t="str">
        <x:v>研究生宿舍楼发车</x:v>
      </x:c>
      <x:c r="K160" s="12" t="str">
        <x:v>HX1_NORMAL</x:v>
      </x:c>
      <x:c r="L160" s="12" t="n">
        <x:v>6</x:v>
      </x:c>
      <x:c r="M160" s="12" t="str">
        <x:v>HX1_NORMAL|6</x:v>
      </x:c>
      <x:c r="N160" s="12" t="str">
        <x:v>超算中心</x:v>
      </x:c>
      <x:c r="O160" s="12" t="n">
        <x:f>IFERROR(INDEX('秒级路线参数_可调整'!$O:$O,MATCH(M160,'秒级路线参数_可调整'!$A:$A,0)),"")</x:f>
        <x:v>0</x:v>
      </x:c>
      <x:c r="P160" s="12" t="str">
        <x:f>IF(O160="","",O160/86400)</x:f>
      </x:c>
      <x:c r="Q160" s="12" t="str">
        <x:f>IF(O160="","",(H160*60+O160)/86400)</x:f>
      </x:c>
      <x:c r="R160" s="12" t="str">
        <x:f>IF(Q160="","",TEXT(Q160,"hh:mm:ss"))</x:f>
      </x:c>
      <x:c r="S160" s="12" t="str">
        <x:v>否</x:v>
      </x:c>
      <x:c r="T160" s="12" t="str">
        <x:v>否</x:v>
      </x:c>
      <x:c r="U160" s="12" t="str">
        <x:v>未提供</x:v>
      </x:c>
      <x:c r="V160" s="12" t="str">
        <x:v>未提供</x:v>
      </x:c>
      <x:c r="W160" s="12" t="str">
        <x:v>秒级预测</x:v>
      </x:c>
      <x:c r="X160" s="12" t="str">
        <x:v>基于路线秒级参数；如录入实测或手动采用秒，预计到达时间可随公式更新</x:v>
      </x:c>
    </x:row>
    <x:row r="161">
      <x:c r="A161" s="12" t="str">
        <x:v>S0014-07</x:v>
      </x:c>
      <x:c r="B161" s="12" t="str">
        <x:v>S0014</x:v>
      </x:c>
      <x:c r="C161" s="12" t="str">
        <x:v>工作日</x:v>
      </x:c>
      <x:c r="D161" s="12" t="str">
        <x:v>环线1路</x:v>
      </x:c>
      <x:c r="E161" s="12" t="str">
        <x:v>第三班</x:v>
      </x:c>
      <x:c r="F161" s="12" t="n">
        <x:v>3</x:v>
      </x:c>
      <x:c r="G161" s="12" t="str">
        <x:v>8:50</x:v>
      </x:c>
      <x:c r="H161" s="12" t="n">
        <x:v>530</x:v>
      </x:c>
      <x:c r="I161" s="12" t="str">
        <x:v>研究生宿舍楼</x:v>
      </x:c>
      <x:c r="J161" s="12" t="str">
        <x:v>研究生宿舍楼发车</x:v>
      </x:c>
      <x:c r="K161" s="12" t="str">
        <x:v>HX1_NORMAL</x:v>
      </x:c>
      <x:c r="L161" s="12" t="n">
        <x:v>7</x:v>
      </x:c>
      <x:c r="M161" s="12" t="str">
        <x:v>HX1_NORMAL|7</x:v>
      </x:c>
      <x:c r="N161" s="12" t="str">
        <x:v>北门</x:v>
      </x:c>
      <x:c r="O161" s="12" t="n">
        <x:f>IFERROR(INDEX('秒级路线参数_可调整'!$O:$O,MATCH(M161,'秒级路线参数_可调整'!$A:$A,0)),"")</x:f>
        <x:v>0</x:v>
      </x:c>
      <x:c r="P161" s="12" t="str">
        <x:f>IF(O161="","",O161/86400)</x:f>
      </x:c>
      <x:c r="Q161" s="12" t="str">
        <x:f>IF(O161="","",(H161*60+O161)/86400)</x:f>
      </x:c>
      <x:c r="R161" s="12" t="str">
        <x:f>IF(Q161="","",TEXT(Q161,"hh:mm:ss"))</x:f>
      </x:c>
      <x:c r="S161" s="12" t="str">
        <x:v>否</x:v>
      </x:c>
      <x:c r="T161" s="12" t="str">
        <x:v>否</x:v>
      </x:c>
      <x:c r="U161" s="12" t="str">
        <x:v>未提供</x:v>
      </x:c>
      <x:c r="V161" s="12" t="str">
        <x:v>未提供</x:v>
      </x:c>
      <x:c r="W161" s="12" t="str">
        <x:v>秒级预测</x:v>
      </x:c>
      <x:c r="X161" s="12" t="str">
        <x:v>基于路线秒级参数；如录入实测或手动采用秒，预计到达时间可随公式更新</x:v>
      </x:c>
    </x:row>
    <x:row r="162">
      <x:c r="A162" s="12" t="str">
        <x:v>S0014-08</x:v>
      </x:c>
      <x:c r="B162" s="12" t="str">
        <x:v>S0014</x:v>
      </x:c>
      <x:c r="C162" s="12" t="str">
        <x:v>工作日</x:v>
      </x:c>
      <x:c r="D162" s="12" t="str">
        <x:v>环线1路</x:v>
      </x:c>
      <x:c r="E162" s="12" t="str">
        <x:v>第三班</x:v>
      </x:c>
      <x:c r="F162" s="12" t="n">
        <x:v>3</x:v>
      </x:c>
      <x:c r="G162" s="12" t="str">
        <x:v>8:50</x:v>
      </x:c>
      <x:c r="H162" s="12" t="n">
        <x:v>530</x:v>
      </x:c>
      <x:c r="I162" s="12" t="str">
        <x:v>研究生宿舍楼</x:v>
      </x:c>
      <x:c r="J162" s="12" t="str">
        <x:v>研究生宿舍楼发车</x:v>
      </x:c>
      <x:c r="K162" s="12" t="str">
        <x:v>HX1_NORMAL</x:v>
      </x:c>
      <x:c r="L162" s="12" t="n">
        <x:v>8</x:v>
      </x:c>
      <x:c r="M162" s="12" t="str">
        <x:v>HX1_NORMAL|8</x:v>
      </x:c>
      <x:c r="N162" s="12" t="str">
        <x:v>高超楼</x:v>
      </x:c>
      <x:c r="O162" s="12" t="n">
        <x:f>IFERROR(INDEX('秒级路线参数_可调整'!$O:$O,MATCH(M162,'秒级路线参数_可调整'!$A:$A,0)),"")</x:f>
        <x:v>0</x:v>
      </x:c>
      <x:c r="P162" s="12" t="str">
        <x:f>IF(O162="","",O162/86400)</x:f>
      </x:c>
      <x:c r="Q162" s="12" t="str">
        <x:f>IF(O162="","",(H162*60+O162)/86400)</x:f>
      </x:c>
      <x:c r="R162" s="12" t="str">
        <x:f>IF(Q162="","",TEXT(Q162,"hh:mm:ss"))</x:f>
      </x:c>
      <x:c r="S162" s="12" t="str">
        <x:v>否</x:v>
      </x:c>
      <x:c r="T162" s="12" t="str">
        <x:v>否</x:v>
      </x:c>
      <x:c r="U162" s="12" t="str">
        <x:v>未提供</x:v>
      </x:c>
      <x:c r="V162" s="12" t="str">
        <x:v>未提供</x:v>
      </x:c>
      <x:c r="W162" s="12" t="str">
        <x:v>秒级预测</x:v>
      </x:c>
      <x:c r="X162" s="12" t="str">
        <x:v>基于路线秒级参数；如录入实测或手动采用秒，预计到达时间可随公式更新</x:v>
      </x:c>
    </x:row>
    <x:row r="163">
      <x:c r="A163" s="12" t="str">
        <x:v>S0014-09</x:v>
      </x:c>
      <x:c r="B163" s="12" t="str">
        <x:v>S0014</x:v>
      </x:c>
      <x:c r="C163" s="12" t="str">
        <x:v>工作日</x:v>
      </x:c>
      <x:c r="D163" s="12" t="str">
        <x:v>环线1路</x:v>
      </x:c>
      <x:c r="E163" s="12" t="str">
        <x:v>第三班</x:v>
      </x:c>
      <x:c r="F163" s="12" t="n">
        <x:v>3</x:v>
      </x:c>
      <x:c r="G163" s="12" t="str">
        <x:v>8:50</x:v>
      </x:c>
      <x:c r="H163" s="12" t="n">
        <x:v>530</x:v>
      </x:c>
      <x:c r="I163" s="12" t="str">
        <x:v>研究生宿舍楼</x:v>
      </x:c>
      <x:c r="J163" s="12" t="str">
        <x:v>研究生宿舍楼发车</x:v>
      </x:c>
      <x:c r="K163" s="12" t="str">
        <x:v>HX1_NORMAL</x:v>
      </x:c>
      <x:c r="L163" s="12" t="n">
        <x:v>9</x:v>
      </x:c>
      <x:c r="M163" s="12" t="str">
        <x:v>HX1_NORMAL|9</x:v>
      </x:c>
      <x:c r="N163" s="12" t="str">
        <x:v>理学院</x:v>
      </x:c>
      <x:c r="O163" s="12" t="n">
        <x:f>IFERROR(INDEX('秒级路线参数_可调整'!$O:$O,MATCH(M163,'秒级路线参数_可调整'!$A:$A,0)),"")</x:f>
        <x:v>0</x:v>
      </x:c>
      <x:c r="P163" s="12" t="str">
        <x:f>IF(O163="","",O163/86400)</x:f>
      </x:c>
      <x:c r="Q163" s="12" t="str">
        <x:f>IF(O163="","",(H163*60+O163)/86400)</x:f>
      </x:c>
      <x:c r="R163" s="12" t="str">
        <x:f>IF(Q163="","",TEXT(Q163,"hh:mm:ss"))</x:f>
      </x:c>
      <x:c r="S163" s="12" t="str">
        <x:v>否</x:v>
      </x:c>
      <x:c r="T163" s="12" t="str">
        <x:v>否</x:v>
      </x:c>
      <x:c r="U163" s="12" t="str">
        <x:v>未提供</x:v>
      </x:c>
      <x:c r="V163" s="12" t="str">
        <x:v>未提供</x:v>
      </x:c>
      <x:c r="W163" s="12" t="str">
        <x:v>秒级预测</x:v>
      </x:c>
      <x:c r="X163" s="12" t="str">
        <x:v>基于路线秒级参数；如录入实测或手动采用秒，预计到达时间可随公式更新</x:v>
      </x:c>
    </x:row>
    <x:row r="164">
      <x:c r="A164" s="12" t="str">
        <x:v>S0014-10</x:v>
      </x:c>
      <x:c r="B164" s="12" t="str">
        <x:v>S0014</x:v>
      </x:c>
      <x:c r="C164" s="12" t="str">
        <x:v>工作日</x:v>
      </x:c>
      <x:c r="D164" s="12" t="str">
        <x:v>环线1路</x:v>
      </x:c>
      <x:c r="E164" s="12" t="str">
        <x:v>第三班</x:v>
      </x:c>
      <x:c r="F164" s="12" t="n">
        <x:v>3</x:v>
      </x:c>
      <x:c r="G164" s="12" t="str">
        <x:v>8:50</x:v>
      </x:c>
      <x:c r="H164" s="12" t="n">
        <x:v>530</x:v>
      </x:c>
      <x:c r="I164" s="12" t="str">
        <x:v>研究生宿舍楼</x:v>
      </x:c>
      <x:c r="J164" s="12" t="str">
        <x:v>研究生宿舍楼发车</x:v>
      </x:c>
      <x:c r="K164" s="12" t="str">
        <x:v>HX1_NORMAL</x:v>
      </x:c>
      <x:c r="L164" s="12" t="n">
        <x:v>10</x:v>
      </x:c>
      <x:c r="M164" s="12" t="str">
        <x:v>HX1_NORMAL|10</x:v>
      </x:c>
      <x:c r="N164" s="12" t="str">
        <x:v>二食堂</x:v>
      </x:c>
      <x:c r="O164" s="12" t="n">
        <x:f>IFERROR(INDEX('秒级路线参数_可调整'!$O:$O,MATCH(M164,'秒级路线参数_可调整'!$A:$A,0)),"")</x:f>
        <x:v>0</x:v>
      </x:c>
      <x:c r="P164" s="12" t="str">
        <x:f>IF(O164="","",O164/86400)</x:f>
      </x:c>
      <x:c r="Q164" s="12" t="str">
        <x:f>IF(O164="","",(H164*60+O164)/86400)</x:f>
      </x:c>
      <x:c r="R164" s="12" t="str">
        <x:f>IF(Q164="","",TEXT(Q164,"hh:mm:ss"))</x:f>
      </x:c>
      <x:c r="S164" s="12" t="str">
        <x:v>否</x:v>
      </x:c>
      <x:c r="T164" s="12" t="str">
        <x:v>否</x:v>
      </x:c>
      <x:c r="U164" s="12" t="str">
        <x:v>未提供</x:v>
      </x:c>
      <x:c r="V164" s="12" t="str">
        <x:v>未提供</x:v>
      </x:c>
      <x:c r="W164" s="12" t="str">
        <x:v>秒级预测</x:v>
      </x:c>
      <x:c r="X164" s="12" t="str">
        <x:v>基于路线秒级参数；如录入实测或手动采用秒，预计到达时间可随公式更新</x:v>
      </x:c>
    </x:row>
    <x:row r="165">
      <x:c r="A165" s="12" t="str">
        <x:v>S0014-11</x:v>
      </x:c>
      <x:c r="B165" s="12" t="str">
        <x:v>S0014</x:v>
      </x:c>
      <x:c r="C165" s="12" t="str">
        <x:v>工作日</x:v>
      </x:c>
      <x:c r="D165" s="12" t="str">
        <x:v>环线1路</x:v>
      </x:c>
      <x:c r="E165" s="12" t="str">
        <x:v>第三班</x:v>
      </x:c>
      <x:c r="F165" s="12" t="n">
        <x:v>3</x:v>
      </x:c>
      <x:c r="G165" s="12" t="str">
        <x:v>8:50</x:v>
      </x:c>
      <x:c r="H165" s="12" t="n">
        <x:v>530</x:v>
      </x:c>
      <x:c r="I165" s="12" t="str">
        <x:v>研究生宿舍楼</x:v>
      </x:c>
      <x:c r="J165" s="12" t="str">
        <x:v>研究生宿舍楼发车</x:v>
      </x:c>
      <x:c r="K165" s="12" t="str">
        <x:v>HX1_NORMAL</x:v>
      </x:c>
      <x:c r="L165" s="12" t="n">
        <x:v>11</x:v>
      </x:c>
      <x:c r="M165" s="12" t="str">
        <x:v>HX1_NORMAL|11</x:v>
      </x:c>
      <x:c r="N165" s="12" t="str">
        <x:v>5号宿舍楼</x:v>
      </x:c>
      <x:c r="O165" s="12" t="n">
        <x:f>IFERROR(INDEX('秒级路线参数_可调整'!$O:$O,MATCH(M165,'秒级路线参数_可调整'!$A:$A,0)),"")</x:f>
        <x:v>0</x:v>
      </x:c>
      <x:c r="P165" s="12" t="str">
        <x:f>IF(O165="","",O165/86400)</x:f>
      </x:c>
      <x:c r="Q165" s="12" t="str">
        <x:f>IF(O165="","",(H165*60+O165)/86400)</x:f>
      </x:c>
      <x:c r="R165" s="12" t="str">
        <x:f>IF(Q165="","",TEXT(Q165,"hh:mm:ss"))</x:f>
      </x:c>
      <x:c r="S165" s="12" t="str">
        <x:v>否</x:v>
      </x:c>
      <x:c r="T165" s="12" t="str">
        <x:v>否</x:v>
      </x:c>
      <x:c r="U165" s="12" t="str">
        <x:v>未提供</x:v>
      </x:c>
      <x:c r="V165" s="12" t="str">
        <x:v>未提供</x:v>
      </x:c>
      <x:c r="W165" s="12" t="str">
        <x:v>秒级预测</x:v>
      </x:c>
      <x:c r="X165" s="12" t="str">
        <x:v>基于路线秒级参数；如录入实测或手动采用秒，预计到达时间可随公式更新</x:v>
      </x:c>
    </x:row>
    <x:row r="166">
      <x:c r="A166" s="12" t="str">
        <x:v>S0014-12</x:v>
      </x:c>
      <x:c r="B166" s="12" t="str">
        <x:v>S0014</x:v>
      </x:c>
      <x:c r="C166" s="12" t="str">
        <x:v>工作日</x:v>
      </x:c>
      <x:c r="D166" s="12" t="str">
        <x:v>环线1路</x:v>
      </x:c>
      <x:c r="E166" s="12" t="str">
        <x:v>第三班</x:v>
      </x:c>
      <x:c r="F166" s="12" t="n">
        <x:v>3</x:v>
      </x:c>
      <x:c r="G166" s="12" t="str">
        <x:v>8:50</x:v>
      </x:c>
      <x:c r="H166" s="12" t="n">
        <x:v>530</x:v>
      </x:c>
      <x:c r="I166" s="12" t="str">
        <x:v>研究生宿舍楼</x:v>
      </x:c>
      <x:c r="J166" s="12" t="str">
        <x:v>研究生宿舍楼发车</x:v>
      </x:c>
      <x:c r="K166" s="12" t="str">
        <x:v>HX1_NORMAL</x:v>
      </x:c>
      <x:c r="L166" s="12" t="n">
        <x:v>12</x:v>
      </x:c>
      <x:c r="M166" s="12" t="str">
        <x:v>HX1_NORMAL|12</x:v>
      </x:c>
      <x:c r="N166" s="12" t="str">
        <x:v>305教学楼</x:v>
      </x:c>
      <x:c r="O166" s="12" t="n">
        <x:f>IFERROR(INDEX('秒级路线参数_可调整'!$O:$O,MATCH(M166,'秒级路线参数_可调整'!$A:$A,0)),"")</x:f>
        <x:v>0</x:v>
      </x:c>
      <x:c r="P166" s="12" t="str">
        <x:f>IF(O166="","",O166/86400)</x:f>
      </x:c>
      <x:c r="Q166" s="12" t="str">
        <x:f>IF(O166="","",(H166*60+O166)/86400)</x:f>
      </x:c>
      <x:c r="R166" s="12" t="str">
        <x:f>IF(Q166="","",TEXT(Q166,"hh:mm:ss"))</x:f>
      </x:c>
      <x:c r="S166" s="12" t="str">
        <x:v>否</x:v>
      </x:c>
      <x:c r="T166" s="12" t="str">
        <x:v>否</x:v>
      </x:c>
      <x:c r="U166" s="12" t="str">
        <x:v>未提供</x:v>
      </x:c>
      <x:c r="V166" s="12" t="str">
        <x:v>未提供</x:v>
      </x:c>
      <x:c r="W166" s="12" t="str">
        <x:v>秒级预测</x:v>
      </x:c>
      <x:c r="X166" s="12" t="str">
        <x:v>基于路线秒级参数；如录入实测或手动采用秒，预计到达时间可随公式更新</x:v>
      </x:c>
    </x:row>
    <x:row r="167">
      <x:c r="A167" s="12" t="str">
        <x:v>S0014-13</x:v>
      </x:c>
      <x:c r="B167" s="12" t="str">
        <x:v>S0014</x:v>
      </x:c>
      <x:c r="C167" s="12" t="str">
        <x:v>工作日</x:v>
      </x:c>
      <x:c r="D167" s="12" t="str">
        <x:v>环线1路</x:v>
      </x:c>
      <x:c r="E167" s="12" t="str">
        <x:v>第三班</x:v>
      </x:c>
      <x:c r="F167" s="12" t="n">
        <x:v>3</x:v>
      </x:c>
      <x:c r="G167" s="12" t="str">
        <x:v>8:50</x:v>
      </x:c>
      <x:c r="H167" s="12" t="n">
        <x:v>530</x:v>
      </x:c>
      <x:c r="I167" s="12" t="str">
        <x:v>研究生宿舍楼</x:v>
      </x:c>
      <x:c r="J167" s="12" t="str">
        <x:v>研究生宿舍楼发车</x:v>
      </x:c>
      <x:c r="K167" s="12" t="str">
        <x:v>HX1_NORMAL</x:v>
      </x:c>
      <x:c r="L167" s="12" t="n">
        <x:v>13</x:v>
      </x:c>
      <x:c r="M167" s="12" t="str">
        <x:v>HX1_NORMAL|13</x:v>
      </x:c>
      <x:c r="N167" s="12" t="str">
        <x:v>研究生宿舍楼</x:v>
      </x:c>
      <x:c r="O167" s="12" t="n">
        <x:f>IFERROR(INDEX('秒级路线参数_可调整'!$O:$O,MATCH(M167,'秒级路线参数_可调整'!$A:$A,0)),"")</x:f>
        <x:v>0</x:v>
      </x:c>
      <x:c r="P167" s="12" t="str">
        <x:f>IF(O167="","",O167/86400)</x:f>
      </x:c>
      <x:c r="Q167" s="12" t="str">
        <x:f>IF(O167="","",(H167*60+O167)/86400)</x:f>
      </x:c>
      <x:c r="R167" s="12" t="str">
        <x:f>IF(Q167="","",TEXT(Q167,"hh:mm:ss"))</x:f>
      </x:c>
      <x:c r="S167" s="12" t="str">
        <x:v>否</x:v>
      </x:c>
      <x:c r="T167" s="12" t="str">
        <x:v>是</x:v>
      </x:c>
      <x:c r="U167" s="12" t="str">
        <x:v>未提供</x:v>
      </x:c>
      <x:c r="V167" s="12" t="str">
        <x:v>未提供</x:v>
      </x:c>
      <x:c r="W167" s="12" t="str">
        <x:v>秒级预测</x:v>
      </x:c>
      <x:c r="X167" s="12" t="str">
        <x:v>基于路线秒级参数；如录入实测或手动采用秒，预计到达时间可随公式更新</x:v>
      </x:c>
    </x:row>
    <x:row r="168">
      <x:c r="A168" s="12" t="str">
        <x:v>S0015-01</x:v>
      </x:c>
      <x:c r="B168" s="12" t="str">
        <x:v>S0015</x:v>
      </x:c>
      <x:c r="C168" s="12" t="str">
        <x:v>工作日</x:v>
      </x:c>
      <x:c r="D168" s="12" t="str">
        <x:v>环线1路</x:v>
      </x:c>
      <x:c r="E168" s="12" t="str">
        <x:v>第三班</x:v>
      </x:c>
      <x:c r="F168" s="12" t="n">
        <x:v>4</x:v>
      </x:c>
      <x:c r="G168" s="12" t="str">
        <x:v>9:24</x:v>
      </x:c>
      <x:c r="H168" s="12" t="n">
        <x:v>564</x:v>
      </x:c>
      <x:c r="I168" s="12" t="str">
        <x:v>研究生宿舍楼</x:v>
      </x:c>
      <x:c r="J168" s="12" t="str">
        <x:v>研究生宿舍楼发车</x:v>
      </x:c>
      <x:c r="K168" s="12" t="str">
        <x:v>HX1_NORMAL</x:v>
      </x:c>
      <x:c r="L168" s="12" t="n">
        <x:v>1</x:v>
      </x:c>
      <x:c r="M168" s="12" t="str">
        <x:v>HX1_NORMAL|1</x:v>
      </x:c>
      <x:c r="N168" s="12" t="str">
        <x:v>研究生宿舍楼</x:v>
      </x:c>
      <x:c r="O168" s="12" t="n">
        <x:f>IFERROR(INDEX('秒级路线参数_可调整'!$O:$O,MATCH(M168,'秒级路线参数_可调整'!$A:$A,0)),"")</x:f>
        <x:v>0</x:v>
      </x:c>
      <x:c r="P168" s="12" t="str">
        <x:f>IF(O168="","",O168/86400)</x:f>
      </x:c>
      <x:c r="Q168" s="12" t="str">
        <x:f>IF(O168="","",(H168*60+O168)/86400)</x:f>
      </x:c>
      <x:c r="R168" s="12" t="str">
        <x:f>IF(Q168="","",TEXT(Q168,"hh:mm:ss"))</x:f>
      </x:c>
      <x:c r="S168" s="12" t="str">
        <x:v>是</x:v>
      </x:c>
      <x:c r="T168" s="12" t="str">
        <x:v>否</x:v>
      </x:c>
      <x:c r="U168" s="12" t="str">
        <x:v>未提供</x:v>
      </x:c>
      <x:c r="V168" s="12" t="str">
        <x:v>未提供</x:v>
      </x:c>
      <x:c r="W168" s="12" t="str">
        <x:v>秒级预测</x:v>
      </x:c>
      <x:c r="X168" s="12" t="str">
        <x:v>基于路线秒级参数；如录入实测或手动采用秒，预计到达时间可随公式更新</x:v>
      </x:c>
    </x:row>
    <x:row r="169">
      <x:c r="A169" s="12" t="str">
        <x:v>S0015-02</x:v>
      </x:c>
      <x:c r="B169" s="12" t="str">
        <x:v>S0015</x:v>
      </x:c>
      <x:c r="C169" s="12" t="str">
        <x:v>工作日</x:v>
      </x:c>
      <x:c r="D169" s="12" t="str">
        <x:v>环线1路</x:v>
      </x:c>
      <x:c r="E169" s="12" t="str">
        <x:v>第三班</x:v>
      </x:c>
      <x:c r="F169" s="12" t="n">
        <x:v>4</x:v>
      </x:c>
      <x:c r="G169" s="12" t="str">
        <x:v>9:24</x:v>
      </x:c>
      <x:c r="H169" s="12" t="n">
        <x:v>564</x:v>
      </x:c>
      <x:c r="I169" s="12" t="str">
        <x:v>研究生宿舍楼</x:v>
      </x:c>
      <x:c r="J169" s="12" t="str">
        <x:v>研究生宿舍楼发车</x:v>
      </x:c>
      <x:c r="K169" s="12" t="str">
        <x:v>HX1_NORMAL</x:v>
      </x:c>
      <x:c r="L169" s="12" t="n">
        <x:v>2</x:v>
      </x:c>
      <x:c r="M169" s="12" t="str">
        <x:v>HX1_NORMAL|2</x:v>
      </x:c>
      <x:c r="N169" s="12" t="str">
        <x:v>东门</x:v>
      </x:c>
      <x:c r="O169" s="12" t="n">
        <x:f>IFERROR(INDEX('秒级路线参数_可调整'!$O:$O,MATCH(M169,'秒级路线参数_可调整'!$A:$A,0)),"")</x:f>
        <x:v>0</x:v>
      </x:c>
      <x:c r="P169" s="12" t="str">
        <x:f>IF(O169="","",O169/86400)</x:f>
      </x:c>
      <x:c r="Q169" s="12" t="str">
        <x:f>IF(O169="","",(H169*60+O169)/86400)</x:f>
      </x:c>
      <x:c r="R169" s="12" t="str">
        <x:f>IF(Q169="","",TEXT(Q169,"hh:mm:ss"))</x:f>
      </x:c>
      <x:c r="S169" s="12" t="str">
        <x:v>否</x:v>
      </x:c>
      <x:c r="T169" s="12" t="str">
        <x:v>否</x:v>
      </x:c>
      <x:c r="U169" s="12" t="str">
        <x:v>未提供</x:v>
      </x:c>
      <x:c r="V169" s="12" t="str">
        <x:v>未提供</x:v>
      </x:c>
      <x:c r="W169" s="12" t="str">
        <x:v>秒级预测</x:v>
      </x:c>
      <x:c r="X169" s="12" t="str">
        <x:v>基于路线秒级参数；如录入实测或手动采用秒，预计到达时间可随公式更新</x:v>
      </x:c>
    </x:row>
    <x:row r="170">
      <x:c r="A170" s="12" t="str">
        <x:v>S0015-03</x:v>
      </x:c>
      <x:c r="B170" s="12" t="str">
        <x:v>S0015</x:v>
      </x:c>
      <x:c r="C170" s="12" t="str">
        <x:v>工作日</x:v>
      </x:c>
      <x:c r="D170" s="12" t="str">
        <x:v>环线1路</x:v>
      </x:c>
      <x:c r="E170" s="12" t="str">
        <x:v>第三班</x:v>
      </x:c>
      <x:c r="F170" s="12" t="n">
        <x:v>4</x:v>
      </x:c>
      <x:c r="G170" s="12" t="str">
        <x:v>9:24</x:v>
      </x:c>
      <x:c r="H170" s="12" t="n">
        <x:v>564</x:v>
      </x:c>
      <x:c r="I170" s="12" t="str">
        <x:v>研究生宿舍楼</x:v>
      </x:c>
      <x:c r="J170" s="12" t="str">
        <x:v>研究生宿舍楼发车</x:v>
      </x:c>
      <x:c r="K170" s="12" t="str">
        <x:v>HX1_NORMAL</x:v>
      </x:c>
      <x:c r="L170" s="12" t="n">
        <x:v>3</x:v>
      </x:c>
      <x:c r="M170" s="12" t="str">
        <x:v>HX1_NORMAL|3</x:v>
      </x:c>
      <x:c r="N170" s="12" t="str">
        <x:v>2号宿舍楼</x:v>
      </x:c>
      <x:c r="O170" s="12" t="n">
        <x:f>IFERROR(INDEX('秒级路线参数_可调整'!$O:$O,MATCH(M170,'秒级路线参数_可调整'!$A:$A,0)),"")</x:f>
        <x:v>0</x:v>
      </x:c>
      <x:c r="P170" s="12" t="str">
        <x:f>IF(O170="","",O170/86400)</x:f>
      </x:c>
      <x:c r="Q170" s="12" t="str">
        <x:f>IF(O170="","",(H170*60+O170)/86400)</x:f>
      </x:c>
      <x:c r="R170" s="12" t="str">
        <x:f>IF(Q170="","",TEXT(Q170,"hh:mm:ss"))</x:f>
      </x:c>
      <x:c r="S170" s="12" t="str">
        <x:v>否</x:v>
      </x:c>
      <x:c r="T170" s="12" t="str">
        <x:v>否</x:v>
      </x:c>
      <x:c r="U170" s="12" t="str">
        <x:v>未提供</x:v>
      </x:c>
      <x:c r="V170" s="12" t="str">
        <x:v>未提供</x:v>
      </x:c>
      <x:c r="W170" s="12" t="str">
        <x:v>秒级预测</x:v>
      </x:c>
      <x:c r="X170" s="12" t="str">
        <x:v>基于路线秒级参数；如录入实测或手动采用秒，预计到达时间可随公式更新</x:v>
      </x:c>
    </x:row>
    <x:row r="171">
      <x:c r="A171" s="12" t="str">
        <x:v>S0015-04</x:v>
      </x:c>
      <x:c r="B171" s="12" t="str">
        <x:v>S0015</x:v>
      </x:c>
      <x:c r="C171" s="12" t="str">
        <x:v>工作日</x:v>
      </x:c>
      <x:c r="D171" s="12" t="str">
        <x:v>环线1路</x:v>
      </x:c>
      <x:c r="E171" s="12" t="str">
        <x:v>第三班</x:v>
      </x:c>
      <x:c r="F171" s="12" t="n">
        <x:v>4</x:v>
      </x:c>
      <x:c r="G171" s="12" t="str">
        <x:v>9:24</x:v>
      </x:c>
      <x:c r="H171" s="12" t="n">
        <x:v>564</x:v>
      </x:c>
      <x:c r="I171" s="12" t="str">
        <x:v>研究生宿舍楼</x:v>
      </x:c>
      <x:c r="J171" s="12" t="str">
        <x:v>研究生宿舍楼发车</x:v>
      </x:c>
      <x:c r="K171" s="12" t="str">
        <x:v>HX1_NORMAL</x:v>
      </x:c>
      <x:c r="L171" s="12" t="n">
        <x:v>4</x:v>
      </x:c>
      <x:c r="M171" s="12" t="str">
        <x:v>HX1_NORMAL|4</x:v>
      </x:c>
      <x:c r="N171" s="12" t="str">
        <x:v>军体活动中心</x:v>
      </x:c>
      <x:c r="O171" s="12" t="n">
        <x:f>IFERROR(INDEX('秒级路线参数_可调整'!$O:$O,MATCH(M171,'秒级路线参数_可调整'!$A:$A,0)),"")</x:f>
        <x:v>0</x:v>
      </x:c>
      <x:c r="P171" s="12" t="str">
        <x:f>IF(O171="","",O171/86400)</x:f>
      </x:c>
      <x:c r="Q171" s="12" t="str">
        <x:f>IF(O171="","",(H171*60+O171)/86400)</x:f>
      </x:c>
      <x:c r="R171" s="12" t="str">
        <x:f>IF(Q171="","",TEXT(Q171,"hh:mm:ss"))</x:f>
      </x:c>
      <x:c r="S171" s="12" t="str">
        <x:v>否</x:v>
      </x:c>
      <x:c r="T171" s="12" t="str">
        <x:v>否</x:v>
      </x:c>
      <x:c r="U171" s="12" t="str">
        <x:v>未提供</x:v>
      </x:c>
      <x:c r="V171" s="12" t="str">
        <x:v>未提供</x:v>
      </x:c>
      <x:c r="W171" s="12" t="str">
        <x:v>秒级预测</x:v>
      </x:c>
      <x:c r="X171" s="12" t="str">
        <x:v>基于路线秒级参数；如录入实测或手动采用秒，预计到达时间可随公式更新</x:v>
      </x:c>
    </x:row>
    <x:row r="172">
      <x:c r="A172" s="12" t="str">
        <x:v>S0015-05</x:v>
      </x:c>
      <x:c r="B172" s="12" t="str">
        <x:v>S0015</x:v>
      </x:c>
      <x:c r="C172" s="12" t="str">
        <x:v>工作日</x:v>
      </x:c>
      <x:c r="D172" s="12" t="str">
        <x:v>环线1路</x:v>
      </x:c>
      <x:c r="E172" s="12" t="str">
        <x:v>第三班</x:v>
      </x:c>
      <x:c r="F172" s="12" t="n">
        <x:v>4</x:v>
      </x:c>
      <x:c r="G172" s="12" t="str">
        <x:v>9:24</x:v>
      </x:c>
      <x:c r="H172" s="12" t="n">
        <x:v>564</x:v>
      </x:c>
      <x:c r="I172" s="12" t="str">
        <x:v>研究生宿舍楼</x:v>
      </x:c>
      <x:c r="J172" s="12" t="str">
        <x:v>研究生宿舍楼发车</x:v>
      </x:c>
      <x:c r="K172" s="12" t="str">
        <x:v>HX1_NORMAL</x:v>
      </x:c>
      <x:c r="L172" s="12" t="n">
        <x:v>5</x:v>
      </x:c>
      <x:c r="M172" s="12" t="str">
        <x:v>HX1_NORMAL|5</x:v>
      </x:c>
      <x:c r="N172" s="12" t="str">
        <x:v>激光所</x:v>
      </x:c>
      <x:c r="O172" s="12" t="n">
        <x:f>IFERROR(INDEX('秒级路线参数_可调整'!$O:$O,MATCH(M172,'秒级路线参数_可调整'!$A:$A,0)),"")</x:f>
        <x:v>0</x:v>
      </x:c>
      <x:c r="P172" s="12" t="str">
        <x:f>IF(O172="","",O172/86400)</x:f>
      </x:c>
      <x:c r="Q172" s="12" t="str">
        <x:f>IF(O172="","",(H172*60+O172)/86400)</x:f>
      </x:c>
      <x:c r="R172" s="12" t="str">
        <x:f>IF(Q172="","",TEXT(Q172,"hh:mm:ss"))</x:f>
      </x:c>
      <x:c r="S172" s="12" t="str">
        <x:v>否</x:v>
      </x:c>
      <x:c r="T172" s="12" t="str">
        <x:v>否</x:v>
      </x:c>
      <x:c r="U172" s="12" t="str">
        <x:v>未提供</x:v>
      </x:c>
      <x:c r="V172" s="12" t="str">
        <x:v>未提供</x:v>
      </x:c>
      <x:c r="W172" s="12" t="str">
        <x:v>秒级预测</x:v>
      </x:c>
      <x:c r="X172" s="12" t="str">
        <x:v>基于路线秒级参数；如录入实测或手动采用秒，预计到达时间可随公式更新</x:v>
      </x:c>
    </x:row>
    <x:row r="173">
      <x:c r="A173" s="12" t="str">
        <x:v>S0015-06</x:v>
      </x:c>
      <x:c r="B173" s="12" t="str">
        <x:v>S0015</x:v>
      </x:c>
      <x:c r="C173" s="12" t="str">
        <x:v>工作日</x:v>
      </x:c>
      <x:c r="D173" s="12" t="str">
        <x:v>环线1路</x:v>
      </x:c>
      <x:c r="E173" s="12" t="str">
        <x:v>第三班</x:v>
      </x:c>
      <x:c r="F173" s="12" t="n">
        <x:v>4</x:v>
      </x:c>
      <x:c r="G173" s="12" t="str">
        <x:v>9:24</x:v>
      </x:c>
      <x:c r="H173" s="12" t="n">
        <x:v>564</x:v>
      </x:c>
      <x:c r="I173" s="12" t="str">
        <x:v>研究生宿舍楼</x:v>
      </x:c>
      <x:c r="J173" s="12" t="str">
        <x:v>研究生宿舍楼发车</x:v>
      </x:c>
      <x:c r="K173" s="12" t="str">
        <x:v>HX1_NORMAL</x:v>
      </x:c>
      <x:c r="L173" s="12" t="n">
        <x:v>6</x:v>
      </x:c>
      <x:c r="M173" s="12" t="str">
        <x:v>HX1_NORMAL|6</x:v>
      </x:c>
      <x:c r="N173" s="12" t="str">
        <x:v>超算中心</x:v>
      </x:c>
      <x:c r="O173" s="12" t="n">
        <x:f>IFERROR(INDEX('秒级路线参数_可调整'!$O:$O,MATCH(M173,'秒级路线参数_可调整'!$A:$A,0)),"")</x:f>
        <x:v>0</x:v>
      </x:c>
      <x:c r="P173" s="12" t="str">
        <x:f>IF(O173="","",O173/86400)</x:f>
      </x:c>
      <x:c r="Q173" s="12" t="str">
        <x:f>IF(O173="","",(H173*60+O173)/86400)</x:f>
      </x:c>
      <x:c r="R173" s="12" t="str">
        <x:f>IF(Q173="","",TEXT(Q173,"hh:mm:ss"))</x:f>
      </x:c>
      <x:c r="S173" s="12" t="str">
        <x:v>否</x:v>
      </x:c>
      <x:c r="T173" s="12" t="str">
        <x:v>否</x:v>
      </x:c>
      <x:c r="U173" s="12" t="str">
        <x:v>未提供</x:v>
      </x:c>
      <x:c r="V173" s="12" t="str">
        <x:v>未提供</x:v>
      </x:c>
      <x:c r="W173" s="12" t="str">
        <x:v>秒级预测</x:v>
      </x:c>
      <x:c r="X173" s="12" t="str">
        <x:v>基于路线秒级参数；如录入实测或手动采用秒，预计到达时间可随公式更新</x:v>
      </x:c>
    </x:row>
    <x:row r="174">
      <x:c r="A174" s="12" t="str">
        <x:v>S0015-07</x:v>
      </x:c>
      <x:c r="B174" s="12" t="str">
        <x:v>S0015</x:v>
      </x:c>
      <x:c r="C174" s="12" t="str">
        <x:v>工作日</x:v>
      </x:c>
      <x:c r="D174" s="12" t="str">
        <x:v>环线1路</x:v>
      </x:c>
      <x:c r="E174" s="12" t="str">
        <x:v>第三班</x:v>
      </x:c>
      <x:c r="F174" s="12" t="n">
        <x:v>4</x:v>
      </x:c>
      <x:c r="G174" s="12" t="str">
        <x:v>9:24</x:v>
      </x:c>
      <x:c r="H174" s="12" t="n">
        <x:v>564</x:v>
      </x:c>
      <x:c r="I174" s="12" t="str">
        <x:v>研究生宿舍楼</x:v>
      </x:c>
      <x:c r="J174" s="12" t="str">
        <x:v>研究生宿舍楼发车</x:v>
      </x:c>
      <x:c r="K174" s="12" t="str">
        <x:v>HX1_NORMAL</x:v>
      </x:c>
      <x:c r="L174" s="12" t="n">
        <x:v>7</x:v>
      </x:c>
      <x:c r="M174" s="12" t="str">
        <x:v>HX1_NORMAL|7</x:v>
      </x:c>
      <x:c r="N174" s="12" t="str">
        <x:v>北门</x:v>
      </x:c>
      <x:c r="O174" s="12" t="n">
        <x:f>IFERROR(INDEX('秒级路线参数_可调整'!$O:$O,MATCH(M174,'秒级路线参数_可调整'!$A:$A,0)),"")</x:f>
        <x:v>0</x:v>
      </x:c>
      <x:c r="P174" s="12" t="str">
        <x:f>IF(O174="","",O174/86400)</x:f>
      </x:c>
      <x:c r="Q174" s="12" t="str">
        <x:f>IF(O174="","",(H174*60+O174)/86400)</x:f>
      </x:c>
      <x:c r="R174" s="12" t="str">
        <x:f>IF(Q174="","",TEXT(Q174,"hh:mm:ss"))</x:f>
      </x:c>
      <x:c r="S174" s="12" t="str">
        <x:v>否</x:v>
      </x:c>
      <x:c r="T174" s="12" t="str">
        <x:v>否</x:v>
      </x:c>
      <x:c r="U174" s="12" t="str">
        <x:v>未提供</x:v>
      </x:c>
      <x:c r="V174" s="12" t="str">
        <x:v>未提供</x:v>
      </x:c>
      <x:c r="W174" s="12" t="str">
        <x:v>秒级预测</x:v>
      </x:c>
      <x:c r="X174" s="12" t="str">
        <x:v>基于路线秒级参数；如录入实测或手动采用秒，预计到达时间可随公式更新</x:v>
      </x:c>
    </x:row>
    <x:row r="175">
      <x:c r="A175" s="12" t="str">
        <x:v>S0015-08</x:v>
      </x:c>
      <x:c r="B175" s="12" t="str">
        <x:v>S0015</x:v>
      </x:c>
      <x:c r="C175" s="12" t="str">
        <x:v>工作日</x:v>
      </x:c>
      <x:c r="D175" s="12" t="str">
        <x:v>环线1路</x:v>
      </x:c>
      <x:c r="E175" s="12" t="str">
        <x:v>第三班</x:v>
      </x:c>
      <x:c r="F175" s="12" t="n">
        <x:v>4</x:v>
      </x:c>
      <x:c r="G175" s="12" t="str">
        <x:v>9:24</x:v>
      </x:c>
      <x:c r="H175" s="12" t="n">
        <x:v>564</x:v>
      </x:c>
      <x:c r="I175" s="12" t="str">
        <x:v>研究生宿舍楼</x:v>
      </x:c>
      <x:c r="J175" s="12" t="str">
        <x:v>研究生宿舍楼发车</x:v>
      </x:c>
      <x:c r="K175" s="12" t="str">
        <x:v>HX1_NORMAL</x:v>
      </x:c>
      <x:c r="L175" s="12" t="n">
        <x:v>8</x:v>
      </x:c>
      <x:c r="M175" s="12" t="str">
        <x:v>HX1_NORMAL|8</x:v>
      </x:c>
      <x:c r="N175" s="12" t="str">
        <x:v>高超楼</x:v>
      </x:c>
      <x:c r="O175" s="12" t="n">
        <x:f>IFERROR(INDEX('秒级路线参数_可调整'!$O:$O,MATCH(M175,'秒级路线参数_可调整'!$A:$A,0)),"")</x:f>
        <x:v>0</x:v>
      </x:c>
      <x:c r="P175" s="12" t="str">
        <x:f>IF(O175="","",O175/86400)</x:f>
      </x:c>
      <x:c r="Q175" s="12" t="str">
        <x:f>IF(O175="","",(H175*60+O175)/86400)</x:f>
      </x:c>
      <x:c r="R175" s="12" t="str">
        <x:f>IF(Q175="","",TEXT(Q175,"hh:mm:ss"))</x:f>
      </x:c>
      <x:c r="S175" s="12" t="str">
        <x:v>否</x:v>
      </x:c>
      <x:c r="T175" s="12" t="str">
        <x:v>否</x:v>
      </x:c>
      <x:c r="U175" s="12" t="str">
        <x:v>未提供</x:v>
      </x:c>
      <x:c r="V175" s="12" t="str">
        <x:v>未提供</x:v>
      </x:c>
      <x:c r="W175" s="12" t="str">
        <x:v>秒级预测</x:v>
      </x:c>
      <x:c r="X175" s="12" t="str">
        <x:v>基于路线秒级参数；如录入实测或手动采用秒，预计到达时间可随公式更新</x:v>
      </x:c>
    </x:row>
    <x:row r="176">
      <x:c r="A176" s="12" t="str">
        <x:v>S0015-09</x:v>
      </x:c>
      <x:c r="B176" s="12" t="str">
        <x:v>S0015</x:v>
      </x:c>
      <x:c r="C176" s="12" t="str">
        <x:v>工作日</x:v>
      </x:c>
      <x:c r="D176" s="12" t="str">
        <x:v>环线1路</x:v>
      </x:c>
      <x:c r="E176" s="12" t="str">
        <x:v>第三班</x:v>
      </x:c>
      <x:c r="F176" s="12" t="n">
        <x:v>4</x:v>
      </x:c>
      <x:c r="G176" s="12" t="str">
        <x:v>9:24</x:v>
      </x:c>
      <x:c r="H176" s="12" t="n">
        <x:v>564</x:v>
      </x:c>
      <x:c r="I176" s="12" t="str">
        <x:v>研究生宿舍楼</x:v>
      </x:c>
      <x:c r="J176" s="12" t="str">
        <x:v>研究生宿舍楼发车</x:v>
      </x:c>
      <x:c r="K176" s="12" t="str">
        <x:v>HX1_NORMAL</x:v>
      </x:c>
      <x:c r="L176" s="12" t="n">
        <x:v>9</x:v>
      </x:c>
      <x:c r="M176" s="12" t="str">
        <x:v>HX1_NORMAL|9</x:v>
      </x:c>
      <x:c r="N176" s="12" t="str">
        <x:v>理学院</x:v>
      </x:c>
      <x:c r="O176" s="12" t="n">
        <x:f>IFERROR(INDEX('秒级路线参数_可调整'!$O:$O,MATCH(M176,'秒级路线参数_可调整'!$A:$A,0)),"")</x:f>
        <x:v>0</x:v>
      </x:c>
      <x:c r="P176" s="12" t="str">
        <x:f>IF(O176="","",O176/86400)</x:f>
      </x:c>
      <x:c r="Q176" s="12" t="str">
        <x:f>IF(O176="","",(H176*60+O176)/86400)</x:f>
      </x:c>
      <x:c r="R176" s="12" t="str">
        <x:f>IF(Q176="","",TEXT(Q176,"hh:mm:ss"))</x:f>
      </x:c>
      <x:c r="S176" s="12" t="str">
        <x:v>否</x:v>
      </x:c>
      <x:c r="T176" s="12" t="str">
        <x:v>否</x:v>
      </x:c>
      <x:c r="U176" s="12" t="str">
        <x:v>未提供</x:v>
      </x:c>
      <x:c r="V176" s="12" t="str">
        <x:v>未提供</x:v>
      </x:c>
      <x:c r="W176" s="12" t="str">
        <x:v>秒级预测</x:v>
      </x:c>
      <x:c r="X176" s="12" t="str">
        <x:v>基于路线秒级参数；如录入实测或手动采用秒，预计到达时间可随公式更新</x:v>
      </x:c>
    </x:row>
    <x:row r="177">
      <x:c r="A177" s="12" t="str">
        <x:v>S0015-10</x:v>
      </x:c>
      <x:c r="B177" s="12" t="str">
        <x:v>S0015</x:v>
      </x:c>
      <x:c r="C177" s="12" t="str">
        <x:v>工作日</x:v>
      </x:c>
      <x:c r="D177" s="12" t="str">
        <x:v>环线1路</x:v>
      </x:c>
      <x:c r="E177" s="12" t="str">
        <x:v>第三班</x:v>
      </x:c>
      <x:c r="F177" s="12" t="n">
        <x:v>4</x:v>
      </x:c>
      <x:c r="G177" s="12" t="str">
        <x:v>9:24</x:v>
      </x:c>
      <x:c r="H177" s="12" t="n">
        <x:v>564</x:v>
      </x:c>
      <x:c r="I177" s="12" t="str">
        <x:v>研究生宿舍楼</x:v>
      </x:c>
      <x:c r="J177" s="12" t="str">
        <x:v>研究生宿舍楼发车</x:v>
      </x:c>
      <x:c r="K177" s="12" t="str">
        <x:v>HX1_NORMAL</x:v>
      </x:c>
      <x:c r="L177" s="12" t="n">
        <x:v>10</x:v>
      </x:c>
      <x:c r="M177" s="12" t="str">
        <x:v>HX1_NORMAL|10</x:v>
      </x:c>
      <x:c r="N177" s="12" t="str">
        <x:v>二食堂</x:v>
      </x:c>
      <x:c r="O177" s="12" t="n">
        <x:f>IFERROR(INDEX('秒级路线参数_可调整'!$O:$O,MATCH(M177,'秒级路线参数_可调整'!$A:$A,0)),"")</x:f>
        <x:v>0</x:v>
      </x:c>
      <x:c r="P177" s="12" t="str">
        <x:f>IF(O177="","",O177/86400)</x:f>
      </x:c>
      <x:c r="Q177" s="12" t="str">
        <x:f>IF(O177="","",(H177*60+O177)/86400)</x:f>
      </x:c>
      <x:c r="R177" s="12" t="str">
        <x:f>IF(Q177="","",TEXT(Q177,"hh:mm:ss"))</x:f>
      </x:c>
      <x:c r="S177" s="12" t="str">
        <x:v>否</x:v>
      </x:c>
      <x:c r="T177" s="12" t="str">
        <x:v>否</x:v>
      </x:c>
      <x:c r="U177" s="12" t="str">
        <x:v>未提供</x:v>
      </x:c>
      <x:c r="V177" s="12" t="str">
        <x:v>未提供</x:v>
      </x:c>
      <x:c r="W177" s="12" t="str">
        <x:v>秒级预测</x:v>
      </x:c>
      <x:c r="X177" s="12" t="str">
        <x:v>基于路线秒级参数；如录入实测或手动采用秒，预计到达时间可随公式更新</x:v>
      </x:c>
    </x:row>
    <x:row r="178">
      <x:c r="A178" s="12" t="str">
        <x:v>S0015-11</x:v>
      </x:c>
      <x:c r="B178" s="12" t="str">
        <x:v>S0015</x:v>
      </x:c>
      <x:c r="C178" s="12" t="str">
        <x:v>工作日</x:v>
      </x:c>
      <x:c r="D178" s="12" t="str">
        <x:v>环线1路</x:v>
      </x:c>
      <x:c r="E178" s="12" t="str">
        <x:v>第三班</x:v>
      </x:c>
      <x:c r="F178" s="12" t="n">
        <x:v>4</x:v>
      </x:c>
      <x:c r="G178" s="12" t="str">
        <x:v>9:24</x:v>
      </x:c>
      <x:c r="H178" s="12" t="n">
        <x:v>564</x:v>
      </x:c>
      <x:c r="I178" s="12" t="str">
        <x:v>研究生宿舍楼</x:v>
      </x:c>
      <x:c r="J178" s="12" t="str">
        <x:v>研究生宿舍楼发车</x:v>
      </x:c>
      <x:c r="K178" s="12" t="str">
        <x:v>HX1_NORMAL</x:v>
      </x:c>
      <x:c r="L178" s="12" t="n">
        <x:v>11</x:v>
      </x:c>
      <x:c r="M178" s="12" t="str">
        <x:v>HX1_NORMAL|11</x:v>
      </x:c>
      <x:c r="N178" s="12" t="str">
        <x:v>5号宿舍楼</x:v>
      </x:c>
      <x:c r="O178" s="12" t="n">
        <x:f>IFERROR(INDEX('秒级路线参数_可调整'!$O:$O,MATCH(M178,'秒级路线参数_可调整'!$A:$A,0)),"")</x:f>
        <x:v>0</x:v>
      </x:c>
      <x:c r="P178" s="12" t="str">
        <x:f>IF(O178="","",O178/86400)</x:f>
      </x:c>
      <x:c r="Q178" s="12" t="str">
        <x:f>IF(O178="","",(H178*60+O178)/86400)</x:f>
      </x:c>
      <x:c r="R178" s="12" t="str">
        <x:f>IF(Q178="","",TEXT(Q178,"hh:mm:ss"))</x:f>
      </x:c>
      <x:c r="S178" s="12" t="str">
        <x:v>否</x:v>
      </x:c>
      <x:c r="T178" s="12" t="str">
        <x:v>否</x:v>
      </x:c>
      <x:c r="U178" s="12" t="str">
        <x:v>未提供</x:v>
      </x:c>
      <x:c r="V178" s="12" t="str">
        <x:v>未提供</x:v>
      </x:c>
      <x:c r="W178" s="12" t="str">
        <x:v>秒级预测</x:v>
      </x:c>
      <x:c r="X178" s="12" t="str">
        <x:v>基于路线秒级参数；如录入实测或手动采用秒，预计到达时间可随公式更新</x:v>
      </x:c>
    </x:row>
    <x:row r="179">
      <x:c r="A179" s="12" t="str">
        <x:v>S0015-12</x:v>
      </x:c>
      <x:c r="B179" s="12" t="str">
        <x:v>S0015</x:v>
      </x:c>
      <x:c r="C179" s="12" t="str">
        <x:v>工作日</x:v>
      </x:c>
      <x:c r="D179" s="12" t="str">
        <x:v>环线1路</x:v>
      </x:c>
      <x:c r="E179" s="12" t="str">
        <x:v>第三班</x:v>
      </x:c>
      <x:c r="F179" s="12" t="n">
        <x:v>4</x:v>
      </x:c>
      <x:c r="G179" s="12" t="str">
        <x:v>9:24</x:v>
      </x:c>
      <x:c r="H179" s="12" t="n">
        <x:v>564</x:v>
      </x:c>
      <x:c r="I179" s="12" t="str">
        <x:v>研究生宿舍楼</x:v>
      </x:c>
      <x:c r="J179" s="12" t="str">
        <x:v>研究生宿舍楼发车</x:v>
      </x:c>
      <x:c r="K179" s="12" t="str">
        <x:v>HX1_NORMAL</x:v>
      </x:c>
      <x:c r="L179" s="12" t="n">
        <x:v>12</x:v>
      </x:c>
      <x:c r="M179" s="12" t="str">
        <x:v>HX1_NORMAL|12</x:v>
      </x:c>
      <x:c r="N179" s="12" t="str">
        <x:v>305教学楼</x:v>
      </x:c>
      <x:c r="O179" s="12" t="n">
        <x:f>IFERROR(INDEX('秒级路线参数_可调整'!$O:$O,MATCH(M179,'秒级路线参数_可调整'!$A:$A,0)),"")</x:f>
        <x:v>0</x:v>
      </x:c>
      <x:c r="P179" s="12" t="str">
        <x:f>IF(O179="","",O179/86400)</x:f>
      </x:c>
      <x:c r="Q179" s="12" t="str">
        <x:f>IF(O179="","",(H179*60+O179)/86400)</x:f>
      </x:c>
      <x:c r="R179" s="12" t="str">
        <x:f>IF(Q179="","",TEXT(Q179,"hh:mm:ss"))</x:f>
      </x:c>
      <x:c r="S179" s="12" t="str">
        <x:v>否</x:v>
      </x:c>
      <x:c r="T179" s="12" t="str">
        <x:v>否</x:v>
      </x:c>
      <x:c r="U179" s="12" t="str">
        <x:v>未提供</x:v>
      </x:c>
      <x:c r="V179" s="12" t="str">
        <x:v>未提供</x:v>
      </x:c>
      <x:c r="W179" s="12" t="str">
        <x:v>秒级预测</x:v>
      </x:c>
      <x:c r="X179" s="12" t="str">
        <x:v>基于路线秒级参数；如录入实测或手动采用秒，预计到达时间可随公式更新</x:v>
      </x:c>
    </x:row>
    <x:row r="180">
      <x:c r="A180" s="12" t="str">
        <x:v>S0015-13</x:v>
      </x:c>
      <x:c r="B180" s="12" t="str">
        <x:v>S0015</x:v>
      </x:c>
      <x:c r="C180" s="12" t="str">
        <x:v>工作日</x:v>
      </x:c>
      <x:c r="D180" s="12" t="str">
        <x:v>环线1路</x:v>
      </x:c>
      <x:c r="E180" s="12" t="str">
        <x:v>第三班</x:v>
      </x:c>
      <x:c r="F180" s="12" t="n">
        <x:v>4</x:v>
      </x:c>
      <x:c r="G180" s="12" t="str">
        <x:v>9:24</x:v>
      </x:c>
      <x:c r="H180" s="12" t="n">
        <x:v>564</x:v>
      </x:c>
      <x:c r="I180" s="12" t="str">
        <x:v>研究生宿舍楼</x:v>
      </x:c>
      <x:c r="J180" s="12" t="str">
        <x:v>研究生宿舍楼发车</x:v>
      </x:c>
      <x:c r="K180" s="12" t="str">
        <x:v>HX1_NORMAL</x:v>
      </x:c>
      <x:c r="L180" s="12" t="n">
        <x:v>13</x:v>
      </x:c>
      <x:c r="M180" s="12" t="str">
        <x:v>HX1_NORMAL|13</x:v>
      </x:c>
      <x:c r="N180" s="12" t="str">
        <x:v>研究生宿舍楼</x:v>
      </x:c>
      <x:c r="O180" s="12" t="n">
        <x:f>IFERROR(INDEX('秒级路线参数_可调整'!$O:$O,MATCH(M180,'秒级路线参数_可调整'!$A:$A,0)),"")</x:f>
        <x:v>0</x:v>
      </x:c>
      <x:c r="P180" s="12" t="str">
        <x:f>IF(O180="","",O180/86400)</x:f>
      </x:c>
      <x:c r="Q180" s="12" t="str">
        <x:f>IF(O180="","",(H180*60+O180)/86400)</x:f>
      </x:c>
      <x:c r="R180" s="12" t="str">
        <x:f>IF(Q180="","",TEXT(Q180,"hh:mm:ss"))</x:f>
      </x:c>
      <x:c r="S180" s="12" t="str">
        <x:v>否</x:v>
      </x:c>
      <x:c r="T180" s="12" t="str">
        <x:v>是</x:v>
      </x:c>
      <x:c r="U180" s="12" t="str">
        <x:v>未提供</x:v>
      </x:c>
      <x:c r="V180" s="12" t="str">
        <x:v>未提供</x:v>
      </x:c>
      <x:c r="W180" s="12" t="str">
        <x:v>秒级预测</x:v>
      </x:c>
      <x:c r="X180" s="12" t="str">
        <x:v>基于路线秒级参数；如录入实测或手动采用秒，预计到达时间可随公式更新</x:v>
      </x:c>
    </x:row>
    <x:row r="181">
      <x:c r="A181" s="12" t="str">
        <x:v>S0016-01</x:v>
      </x:c>
      <x:c r="B181" s="12" t="str">
        <x:v>S0016</x:v>
      </x:c>
      <x:c r="C181" s="12" t="str">
        <x:v>工作日</x:v>
      </x:c>
      <x:c r="D181" s="12" t="str">
        <x:v>环线1路</x:v>
      </x:c>
      <x:c r="E181" s="12" t="str">
        <x:v>第三班</x:v>
      </x:c>
      <x:c r="F181" s="12" t="n">
        <x:v>5</x:v>
      </x:c>
      <x:c r="G181" s="12" t="str">
        <x:v>10:00</x:v>
      </x:c>
      <x:c r="H181" s="12" t="n">
        <x:v>600</x:v>
      </x:c>
      <x:c r="I181" s="12" t="str">
        <x:v>研究生宿舍楼</x:v>
      </x:c>
      <x:c r="J181" s="12" t="str">
        <x:v>研究生宿舍楼发车</x:v>
      </x:c>
      <x:c r="K181" s="12" t="str">
        <x:v>HX1_NORMAL</x:v>
      </x:c>
      <x:c r="L181" s="12" t="n">
        <x:v>1</x:v>
      </x:c>
      <x:c r="M181" s="12" t="str">
        <x:v>HX1_NORMAL|1</x:v>
      </x:c>
      <x:c r="N181" s="12" t="str">
        <x:v>研究生宿舍楼</x:v>
      </x:c>
      <x:c r="O181" s="12" t="n">
        <x:f>IFERROR(INDEX('秒级路线参数_可调整'!$O:$O,MATCH(M181,'秒级路线参数_可调整'!$A:$A,0)),"")</x:f>
        <x:v>0</x:v>
      </x:c>
      <x:c r="P181" s="12" t="str">
        <x:f>IF(O181="","",O181/86400)</x:f>
      </x:c>
      <x:c r="Q181" s="12" t="str">
        <x:f>IF(O181="","",(H181*60+O181)/86400)</x:f>
      </x:c>
      <x:c r="R181" s="12" t="str">
        <x:f>IF(Q181="","",TEXT(Q181,"hh:mm:ss"))</x:f>
      </x:c>
      <x:c r="S181" s="12" t="str">
        <x:v>是</x:v>
      </x:c>
      <x:c r="T181" s="12" t="str">
        <x:v>否</x:v>
      </x:c>
      <x:c r="U181" s="12" t="str">
        <x:v>未提供</x:v>
      </x:c>
      <x:c r="V181" s="12" t="str">
        <x:v>未提供</x:v>
      </x:c>
      <x:c r="W181" s="12" t="str">
        <x:v>秒级预测</x:v>
      </x:c>
      <x:c r="X181" s="12" t="str">
        <x:v>基于路线秒级参数；如录入实测或手动采用秒，预计到达时间可随公式更新</x:v>
      </x:c>
    </x:row>
    <x:row r="182">
      <x:c r="A182" s="12" t="str">
        <x:v>S0016-02</x:v>
      </x:c>
      <x:c r="B182" s="12" t="str">
        <x:v>S0016</x:v>
      </x:c>
      <x:c r="C182" s="12" t="str">
        <x:v>工作日</x:v>
      </x:c>
      <x:c r="D182" s="12" t="str">
        <x:v>环线1路</x:v>
      </x:c>
      <x:c r="E182" s="12" t="str">
        <x:v>第三班</x:v>
      </x:c>
      <x:c r="F182" s="12" t="n">
        <x:v>5</x:v>
      </x:c>
      <x:c r="G182" s="12" t="str">
        <x:v>10:00</x:v>
      </x:c>
      <x:c r="H182" s="12" t="n">
        <x:v>600</x:v>
      </x:c>
      <x:c r="I182" s="12" t="str">
        <x:v>研究生宿舍楼</x:v>
      </x:c>
      <x:c r="J182" s="12" t="str">
        <x:v>研究生宿舍楼发车</x:v>
      </x:c>
      <x:c r="K182" s="12" t="str">
        <x:v>HX1_NORMAL</x:v>
      </x:c>
      <x:c r="L182" s="12" t="n">
        <x:v>2</x:v>
      </x:c>
      <x:c r="M182" s="12" t="str">
        <x:v>HX1_NORMAL|2</x:v>
      </x:c>
      <x:c r="N182" s="12" t="str">
        <x:v>东门</x:v>
      </x:c>
      <x:c r="O182" s="12" t="n">
        <x:f>IFERROR(INDEX('秒级路线参数_可调整'!$O:$O,MATCH(M182,'秒级路线参数_可调整'!$A:$A,0)),"")</x:f>
        <x:v>0</x:v>
      </x:c>
      <x:c r="P182" s="12" t="str">
        <x:f>IF(O182="","",O182/86400)</x:f>
      </x:c>
      <x:c r="Q182" s="12" t="str">
        <x:f>IF(O182="","",(H182*60+O182)/86400)</x:f>
      </x:c>
      <x:c r="R182" s="12" t="str">
        <x:f>IF(Q182="","",TEXT(Q182,"hh:mm:ss"))</x:f>
      </x:c>
      <x:c r="S182" s="12" t="str">
        <x:v>否</x:v>
      </x:c>
      <x:c r="T182" s="12" t="str">
        <x:v>否</x:v>
      </x:c>
      <x:c r="U182" s="12" t="str">
        <x:v>未提供</x:v>
      </x:c>
      <x:c r="V182" s="12" t="str">
        <x:v>未提供</x:v>
      </x:c>
      <x:c r="W182" s="12" t="str">
        <x:v>秒级预测</x:v>
      </x:c>
      <x:c r="X182" s="12" t="str">
        <x:v>基于路线秒级参数；如录入实测或手动采用秒，预计到达时间可随公式更新</x:v>
      </x:c>
    </x:row>
    <x:row r="183">
      <x:c r="A183" s="12" t="str">
        <x:v>S0016-03</x:v>
      </x:c>
      <x:c r="B183" s="12" t="str">
        <x:v>S0016</x:v>
      </x:c>
      <x:c r="C183" s="12" t="str">
        <x:v>工作日</x:v>
      </x:c>
      <x:c r="D183" s="12" t="str">
        <x:v>环线1路</x:v>
      </x:c>
      <x:c r="E183" s="12" t="str">
        <x:v>第三班</x:v>
      </x:c>
      <x:c r="F183" s="12" t="n">
        <x:v>5</x:v>
      </x:c>
      <x:c r="G183" s="12" t="str">
        <x:v>10:00</x:v>
      </x:c>
      <x:c r="H183" s="12" t="n">
        <x:v>600</x:v>
      </x:c>
      <x:c r="I183" s="12" t="str">
        <x:v>研究生宿舍楼</x:v>
      </x:c>
      <x:c r="J183" s="12" t="str">
        <x:v>研究生宿舍楼发车</x:v>
      </x:c>
      <x:c r="K183" s="12" t="str">
        <x:v>HX1_NORMAL</x:v>
      </x:c>
      <x:c r="L183" s="12" t="n">
        <x:v>3</x:v>
      </x:c>
      <x:c r="M183" s="12" t="str">
        <x:v>HX1_NORMAL|3</x:v>
      </x:c>
      <x:c r="N183" s="12" t="str">
        <x:v>2号宿舍楼</x:v>
      </x:c>
      <x:c r="O183" s="12" t="n">
        <x:f>IFERROR(INDEX('秒级路线参数_可调整'!$O:$O,MATCH(M183,'秒级路线参数_可调整'!$A:$A,0)),"")</x:f>
        <x:v>0</x:v>
      </x:c>
      <x:c r="P183" s="12" t="str">
        <x:f>IF(O183="","",O183/86400)</x:f>
      </x:c>
      <x:c r="Q183" s="12" t="str">
        <x:f>IF(O183="","",(H183*60+O183)/86400)</x:f>
      </x:c>
      <x:c r="R183" s="12" t="str">
        <x:f>IF(Q183="","",TEXT(Q183,"hh:mm:ss"))</x:f>
      </x:c>
      <x:c r="S183" s="12" t="str">
        <x:v>否</x:v>
      </x:c>
      <x:c r="T183" s="12" t="str">
        <x:v>否</x:v>
      </x:c>
      <x:c r="U183" s="12" t="str">
        <x:v>未提供</x:v>
      </x:c>
      <x:c r="V183" s="12" t="str">
        <x:v>未提供</x:v>
      </x:c>
      <x:c r="W183" s="12" t="str">
        <x:v>秒级预测</x:v>
      </x:c>
      <x:c r="X183" s="12" t="str">
        <x:v>基于路线秒级参数；如录入实测或手动采用秒，预计到达时间可随公式更新</x:v>
      </x:c>
    </x:row>
    <x:row r="184">
      <x:c r="A184" s="12" t="str">
        <x:v>S0016-04</x:v>
      </x:c>
      <x:c r="B184" s="12" t="str">
        <x:v>S0016</x:v>
      </x:c>
      <x:c r="C184" s="12" t="str">
        <x:v>工作日</x:v>
      </x:c>
      <x:c r="D184" s="12" t="str">
        <x:v>环线1路</x:v>
      </x:c>
      <x:c r="E184" s="12" t="str">
        <x:v>第三班</x:v>
      </x:c>
      <x:c r="F184" s="12" t="n">
        <x:v>5</x:v>
      </x:c>
      <x:c r="G184" s="12" t="str">
        <x:v>10:00</x:v>
      </x:c>
      <x:c r="H184" s="12" t="n">
        <x:v>600</x:v>
      </x:c>
      <x:c r="I184" s="12" t="str">
        <x:v>研究生宿舍楼</x:v>
      </x:c>
      <x:c r="J184" s="12" t="str">
        <x:v>研究生宿舍楼发车</x:v>
      </x:c>
      <x:c r="K184" s="12" t="str">
        <x:v>HX1_NORMAL</x:v>
      </x:c>
      <x:c r="L184" s="12" t="n">
        <x:v>4</x:v>
      </x:c>
      <x:c r="M184" s="12" t="str">
        <x:v>HX1_NORMAL|4</x:v>
      </x:c>
      <x:c r="N184" s="12" t="str">
        <x:v>军体活动中心</x:v>
      </x:c>
      <x:c r="O184" s="12" t="n">
        <x:f>IFERROR(INDEX('秒级路线参数_可调整'!$O:$O,MATCH(M184,'秒级路线参数_可调整'!$A:$A,0)),"")</x:f>
        <x:v>0</x:v>
      </x:c>
      <x:c r="P184" s="12" t="str">
        <x:f>IF(O184="","",O184/86400)</x:f>
      </x:c>
      <x:c r="Q184" s="12" t="str">
        <x:f>IF(O184="","",(H184*60+O184)/86400)</x:f>
      </x:c>
      <x:c r="R184" s="12" t="str">
        <x:f>IF(Q184="","",TEXT(Q184,"hh:mm:ss"))</x:f>
      </x:c>
      <x:c r="S184" s="12" t="str">
        <x:v>否</x:v>
      </x:c>
      <x:c r="T184" s="12" t="str">
        <x:v>否</x:v>
      </x:c>
      <x:c r="U184" s="12" t="str">
        <x:v>未提供</x:v>
      </x:c>
      <x:c r="V184" s="12" t="str">
        <x:v>未提供</x:v>
      </x:c>
      <x:c r="W184" s="12" t="str">
        <x:v>秒级预测</x:v>
      </x:c>
      <x:c r="X184" s="12" t="str">
        <x:v>基于路线秒级参数；如录入实测或手动采用秒，预计到达时间可随公式更新</x:v>
      </x:c>
    </x:row>
    <x:row r="185">
      <x:c r="A185" s="12" t="str">
        <x:v>S0016-05</x:v>
      </x:c>
      <x:c r="B185" s="12" t="str">
        <x:v>S0016</x:v>
      </x:c>
      <x:c r="C185" s="12" t="str">
        <x:v>工作日</x:v>
      </x:c>
      <x:c r="D185" s="12" t="str">
        <x:v>环线1路</x:v>
      </x:c>
      <x:c r="E185" s="12" t="str">
        <x:v>第三班</x:v>
      </x:c>
      <x:c r="F185" s="12" t="n">
        <x:v>5</x:v>
      </x:c>
      <x:c r="G185" s="12" t="str">
        <x:v>10:00</x:v>
      </x:c>
      <x:c r="H185" s="12" t="n">
        <x:v>600</x:v>
      </x:c>
      <x:c r="I185" s="12" t="str">
        <x:v>研究生宿舍楼</x:v>
      </x:c>
      <x:c r="J185" s="12" t="str">
        <x:v>研究生宿舍楼发车</x:v>
      </x:c>
      <x:c r="K185" s="12" t="str">
        <x:v>HX1_NORMAL</x:v>
      </x:c>
      <x:c r="L185" s="12" t="n">
        <x:v>5</x:v>
      </x:c>
      <x:c r="M185" s="12" t="str">
        <x:v>HX1_NORMAL|5</x:v>
      </x:c>
      <x:c r="N185" s="12" t="str">
        <x:v>激光所</x:v>
      </x:c>
      <x:c r="O185" s="12" t="n">
        <x:f>IFERROR(INDEX('秒级路线参数_可调整'!$O:$O,MATCH(M185,'秒级路线参数_可调整'!$A:$A,0)),"")</x:f>
        <x:v>0</x:v>
      </x:c>
      <x:c r="P185" s="12" t="str">
        <x:f>IF(O185="","",O185/86400)</x:f>
      </x:c>
      <x:c r="Q185" s="12" t="str">
        <x:f>IF(O185="","",(H185*60+O185)/86400)</x:f>
      </x:c>
      <x:c r="R185" s="12" t="str">
        <x:f>IF(Q185="","",TEXT(Q185,"hh:mm:ss"))</x:f>
      </x:c>
      <x:c r="S185" s="12" t="str">
        <x:v>否</x:v>
      </x:c>
      <x:c r="T185" s="12" t="str">
        <x:v>否</x:v>
      </x:c>
      <x:c r="U185" s="12" t="str">
        <x:v>未提供</x:v>
      </x:c>
      <x:c r="V185" s="12" t="str">
        <x:v>未提供</x:v>
      </x:c>
      <x:c r="W185" s="12" t="str">
        <x:v>秒级预测</x:v>
      </x:c>
      <x:c r="X185" s="12" t="str">
        <x:v>基于路线秒级参数；如录入实测或手动采用秒，预计到达时间可随公式更新</x:v>
      </x:c>
    </x:row>
    <x:row r="186">
      <x:c r="A186" s="12" t="str">
        <x:v>S0016-06</x:v>
      </x:c>
      <x:c r="B186" s="12" t="str">
        <x:v>S0016</x:v>
      </x:c>
      <x:c r="C186" s="12" t="str">
        <x:v>工作日</x:v>
      </x:c>
      <x:c r="D186" s="12" t="str">
        <x:v>环线1路</x:v>
      </x:c>
      <x:c r="E186" s="12" t="str">
        <x:v>第三班</x:v>
      </x:c>
      <x:c r="F186" s="12" t="n">
        <x:v>5</x:v>
      </x:c>
      <x:c r="G186" s="12" t="str">
        <x:v>10:00</x:v>
      </x:c>
      <x:c r="H186" s="12" t="n">
        <x:v>600</x:v>
      </x:c>
      <x:c r="I186" s="12" t="str">
        <x:v>研究生宿舍楼</x:v>
      </x:c>
      <x:c r="J186" s="12" t="str">
        <x:v>研究生宿舍楼发车</x:v>
      </x:c>
      <x:c r="K186" s="12" t="str">
        <x:v>HX1_NORMAL</x:v>
      </x:c>
      <x:c r="L186" s="12" t="n">
        <x:v>6</x:v>
      </x:c>
      <x:c r="M186" s="12" t="str">
        <x:v>HX1_NORMAL|6</x:v>
      </x:c>
      <x:c r="N186" s="12" t="str">
        <x:v>超算中心</x:v>
      </x:c>
      <x:c r="O186" s="12" t="n">
        <x:f>IFERROR(INDEX('秒级路线参数_可调整'!$O:$O,MATCH(M186,'秒级路线参数_可调整'!$A:$A,0)),"")</x:f>
        <x:v>0</x:v>
      </x:c>
      <x:c r="P186" s="12" t="str">
        <x:f>IF(O186="","",O186/86400)</x:f>
      </x:c>
      <x:c r="Q186" s="12" t="str">
        <x:f>IF(O186="","",(H186*60+O186)/86400)</x:f>
      </x:c>
      <x:c r="R186" s="12" t="str">
        <x:f>IF(Q186="","",TEXT(Q186,"hh:mm:ss"))</x:f>
      </x:c>
      <x:c r="S186" s="12" t="str">
        <x:v>否</x:v>
      </x:c>
      <x:c r="T186" s="12" t="str">
        <x:v>否</x:v>
      </x:c>
      <x:c r="U186" s="12" t="str">
        <x:v>未提供</x:v>
      </x:c>
      <x:c r="V186" s="12" t="str">
        <x:v>未提供</x:v>
      </x:c>
      <x:c r="W186" s="12" t="str">
        <x:v>秒级预测</x:v>
      </x:c>
      <x:c r="X186" s="12" t="str">
        <x:v>基于路线秒级参数；如录入实测或手动采用秒，预计到达时间可随公式更新</x:v>
      </x:c>
    </x:row>
    <x:row r="187">
      <x:c r="A187" s="12" t="str">
        <x:v>S0016-07</x:v>
      </x:c>
      <x:c r="B187" s="12" t="str">
        <x:v>S0016</x:v>
      </x:c>
      <x:c r="C187" s="12" t="str">
        <x:v>工作日</x:v>
      </x:c>
      <x:c r="D187" s="12" t="str">
        <x:v>环线1路</x:v>
      </x:c>
      <x:c r="E187" s="12" t="str">
        <x:v>第三班</x:v>
      </x:c>
      <x:c r="F187" s="12" t="n">
        <x:v>5</x:v>
      </x:c>
      <x:c r="G187" s="12" t="str">
        <x:v>10:00</x:v>
      </x:c>
      <x:c r="H187" s="12" t="n">
        <x:v>600</x:v>
      </x:c>
      <x:c r="I187" s="12" t="str">
        <x:v>研究生宿舍楼</x:v>
      </x:c>
      <x:c r="J187" s="12" t="str">
        <x:v>研究生宿舍楼发车</x:v>
      </x:c>
      <x:c r="K187" s="12" t="str">
        <x:v>HX1_NORMAL</x:v>
      </x:c>
      <x:c r="L187" s="12" t="n">
        <x:v>7</x:v>
      </x:c>
      <x:c r="M187" s="12" t="str">
        <x:v>HX1_NORMAL|7</x:v>
      </x:c>
      <x:c r="N187" s="12" t="str">
        <x:v>北门</x:v>
      </x:c>
      <x:c r="O187" s="12" t="n">
        <x:f>IFERROR(INDEX('秒级路线参数_可调整'!$O:$O,MATCH(M187,'秒级路线参数_可调整'!$A:$A,0)),"")</x:f>
        <x:v>0</x:v>
      </x:c>
      <x:c r="P187" s="12" t="str">
        <x:f>IF(O187="","",O187/86400)</x:f>
      </x:c>
      <x:c r="Q187" s="12" t="str">
        <x:f>IF(O187="","",(H187*60+O187)/86400)</x:f>
      </x:c>
      <x:c r="R187" s="12" t="str">
        <x:f>IF(Q187="","",TEXT(Q187,"hh:mm:ss"))</x:f>
      </x:c>
      <x:c r="S187" s="12" t="str">
        <x:v>否</x:v>
      </x:c>
      <x:c r="T187" s="12" t="str">
        <x:v>否</x:v>
      </x:c>
      <x:c r="U187" s="12" t="str">
        <x:v>未提供</x:v>
      </x:c>
      <x:c r="V187" s="12" t="str">
        <x:v>未提供</x:v>
      </x:c>
      <x:c r="W187" s="12" t="str">
        <x:v>秒级预测</x:v>
      </x:c>
      <x:c r="X187" s="12" t="str">
        <x:v>基于路线秒级参数；如录入实测或手动采用秒，预计到达时间可随公式更新</x:v>
      </x:c>
    </x:row>
    <x:row r="188">
      <x:c r="A188" s="12" t="str">
        <x:v>S0016-08</x:v>
      </x:c>
      <x:c r="B188" s="12" t="str">
        <x:v>S0016</x:v>
      </x:c>
      <x:c r="C188" s="12" t="str">
        <x:v>工作日</x:v>
      </x:c>
      <x:c r="D188" s="12" t="str">
        <x:v>环线1路</x:v>
      </x:c>
      <x:c r="E188" s="12" t="str">
        <x:v>第三班</x:v>
      </x:c>
      <x:c r="F188" s="12" t="n">
        <x:v>5</x:v>
      </x:c>
      <x:c r="G188" s="12" t="str">
        <x:v>10:00</x:v>
      </x:c>
      <x:c r="H188" s="12" t="n">
        <x:v>600</x:v>
      </x:c>
      <x:c r="I188" s="12" t="str">
        <x:v>研究生宿舍楼</x:v>
      </x:c>
      <x:c r="J188" s="12" t="str">
        <x:v>研究生宿舍楼发车</x:v>
      </x:c>
      <x:c r="K188" s="12" t="str">
        <x:v>HX1_NORMAL</x:v>
      </x:c>
      <x:c r="L188" s="12" t="n">
        <x:v>8</x:v>
      </x:c>
      <x:c r="M188" s="12" t="str">
        <x:v>HX1_NORMAL|8</x:v>
      </x:c>
      <x:c r="N188" s="12" t="str">
        <x:v>高超楼</x:v>
      </x:c>
      <x:c r="O188" s="12" t="n">
        <x:f>IFERROR(INDEX('秒级路线参数_可调整'!$O:$O,MATCH(M188,'秒级路线参数_可调整'!$A:$A,0)),"")</x:f>
        <x:v>0</x:v>
      </x:c>
      <x:c r="P188" s="12" t="str">
        <x:f>IF(O188="","",O188/86400)</x:f>
      </x:c>
      <x:c r="Q188" s="12" t="str">
        <x:f>IF(O188="","",(H188*60+O188)/86400)</x:f>
      </x:c>
      <x:c r="R188" s="12" t="str">
        <x:f>IF(Q188="","",TEXT(Q188,"hh:mm:ss"))</x:f>
      </x:c>
      <x:c r="S188" s="12" t="str">
        <x:v>否</x:v>
      </x:c>
      <x:c r="T188" s="12" t="str">
        <x:v>否</x:v>
      </x:c>
      <x:c r="U188" s="12" t="str">
        <x:v>未提供</x:v>
      </x:c>
      <x:c r="V188" s="12" t="str">
        <x:v>未提供</x:v>
      </x:c>
      <x:c r="W188" s="12" t="str">
        <x:v>秒级预测</x:v>
      </x:c>
      <x:c r="X188" s="12" t="str">
        <x:v>基于路线秒级参数；如录入实测或手动采用秒，预计到达时间可随公式更新</x:v>
      </x:c>
    </x:row>
    <x:row r="189">
      <x:c r="A189" s="12" t="str">
        <x:v>S0016-09</x:v>
      </x:c>
      <x:c r="B189" s="12" t="str">
        <x:v>S0016</x:v>
      </x:c>
      <x:c r="C189" s="12" t="str">
        <x:v>工作日</x:v>
      </x:c>
      <x:c r="D189" s="12" t="str">
        <x:v>环线1路</x:v>
      </x:c>
      <x:c r="E189" s="12" t="str">
        <x:v>第三班</x:v>
      </x:c>
      <x:c r="F189" s="12" t="n">
        <x:v>5</x:v>
      </x:c>
      <x:c r="G189" s="12" t="str">
        <x:v>10:00</x:v>
      </x:c>
      <x:c r="H189" s="12" t="n">
        <x:v>600</x:v>
      </x:c>
      <x:c r="I189" s="12" t="str">
        <x:v>研究生宿舍楼</x:v>
      </x:c>
      <x:c r="J189" s="12" t="str">
        <x:v>研究生宿舍楼发车</x:v>
      </x:c>
      <x:c r="K189" s="12" t="str">
        <x:v>HX1_NORMAL</x:v>
      </x:c>
      <x:c r="L189" s="12" t="n">
        <x:v>9</x:v>
      </x:c>
      <x:c r="M189" s="12" t="str">
        <x:v>HX1_NORMAL|9</x:v>
      </x:c>
      <x:c r="N189" s="12" t="str">
        <x:v>理学院</x:v>
      </x:c>
      <x:c r="O189" s="12" t="n">
        <x:f>IFERROR(INDEX('秒级路线参数_可调整'!$O:$O,MATCH(M189,'秒级路线参数_可调整'!$A:$A,0)),"")</x:f>
        <x:v>0</x:v>
      </x:c>
      <x:c r="P189" s="12" t="str">
        <x:f>IF(O189="","",O189/86400)</x:f>
      </x:c>
      <x:c r="Q189" s="12" t="str">
        <x:f>IF(O189="","",(H189*60+O189)/86400)</x:f>
      </x:c>
      <x:c r="R189" s="12" t="str">
        <x:f>IF(Q189="","",TEXT(Q189,"hh:mm:ss"))</x:f>
      </x:c>
      <x:c r="S189" s="12" t="str">
        <x:v>否</x:v>
      </x:c>
      <x:c r="T189" s="12" t="str">
        <x:v>否</x:v>
      </x:c>
      <x:c r="U189" s="12" t="str">
        <x:v>未提供</x:v>
      </x:c>
      <x:c r="V189" s="12" t="str">
        <x:v>未提供</x:v>
      </x:c>
      <x:c r="W189" s="12" t="str">
        <x:v>秒级预测</x:v>
      </x:c>
      <x:c r="X189" s="12" t="str">
        <x:v>基于路线秒级参数；如录入实测或手动采用秒，预计到达时间可随公式更新</x:v>
      </x:c>
    </x:row>
    <x:row r="190">
      <x:c r="A190" s="12" t="str">
        <x:v>S0016-10</x:v>
      </x:c>
      <x:c r="B190" s="12" t="str">
        <x:v>S0016</x:v>
      </x:c>
      <x:c r="C190" s="12" t="str">
        <x:v>工作日</x:v>
      </x:c>
      <x:c r="D190" s="12" t="str">
        <x:v>环线1路</x:v>
      </x:c>
      <x:c r="E190" s="12" t="str">
        <x:v>第三班</x:v>
      </x:c>
      <x:c r="F190" s="12" t="n">
        <x:v>5</x:v>
      </x:c>
      <x:c r="G190" s="12" t="str">
        <x:v>10:00</x:v>
      </x:c>
      <x:c r="H190" s="12" t="n">
        <x:v>600</x:v>
      </x:c>
      <x:c r="I190" s="12" t="str">
        <x:v>研究生宿舍楼</x:v>
      </x:c>
      <x:c r="J190" s="12" t="str">
        <x:v>研究生宿舍楼发车</x:v>
      </x:c>
      <x:c r="K190" s="12" t="str">
        <x:v>HX1_NORMAL</x:v>
      </x:c>
      <x:c r="L190" s="12" t="n">
        <x:v>10</x:v>
      </x:c>
      <x:c r="M190" s="12" t="str">
        <x:v>HX1_NORMAL|10</x:v>
      </x:c>
      <x:c r="N190" s="12" t="str">
        <x:v>二食堂</x:v>
      </x:c>
      <x:c r="O190" s="12" t="n">
        <x:f>IFERROR(INDEX('秒级路线参数_可调整'!$O:$O,MATCH(M190,'秒级路线参数_可调整'!$A:$A,0)),"")</x:f>
        <x:v>0</x:v>
      </x:c>
      <x:c r="P190" s="12" t="str">
        <x:f>IF(O190="","",O190/86400)</x:f>
      </x:c>
      <x:c r="Q190" s="12" t="str">
        <x:f>IF(O190="","",(H190*60+O190)/86400)</x:f>
      </x:c>
      <x:c r="R190" s="12" t="str">
        <x:f>IF(Q190="","",TEXT(Q190,"hh:mm:ss"))</x:f>
      </x:c>
      <x:c r="S190" s="12" t="str">
        <x:v>否</x:v>
      </x:c>
      <x:c r="T190" s="12" t="str">
        <x:v>否</x:v>
      </x:c>
      <x:c r="U190" s="12" t="str">
        <x:v>未提供</x:v>
      </x:c>
      <x:c r="V190" s="12" t="str">
        <x:v>未提供</x:v>
      </x:c>
      <x:c r="W190" s="12" t="str">
        <x:v>秒级预测</x:v>
      </x:c>
      <x:c r="X190" s="12" t="str">
        <x:v>基于路线秒级参数；如录入实测或手动采用秒，预计到达时间可随公式更新</x:v>
      </x:c>
    </x:row>
    <x:row r="191">
      <x:c r="A191" s="12" t="str">
        <x:v>S0016-11</x:v>
      </x:c>
      <x:c r="B191" s="12" t="str">
        <x:v>S0016</x:v>
      </x:c>
      <x:c r="C191" s="12" t="str">
        <x:v>工作日</x:v>
      </x:c>
      <x:c r="D191" s="12" t="str">
        <x:v>环线1路</x:v>
      </x:c>
      <x:c r="E191" s="12" t="str">
        <x:v>第三班</x:v>
      </x:c>
      <x:c r="F191" s="12" t="n">
        <x:v>5</x:v>
      </x:c>
      <x:c r="G191" s="12" t="str">
        <x:v>10:00</x:v>
      </x:c>
      <x:c r="H191" s="12" t="n">
        <x:v>600</x:v>
      </x:c>
      <x:c r="I191" s="12" t="str">
        <x:v>研究生宿舍楼</x:v>
      </x:c>
      <x:c r="J191" s="12" t="str">
        <x:v>研究生宿舍楼发车</x:v>
      </x:c>
      <x:c r="K191" s="12" t="str">
        <x:v>HX1_NORMAL</x:v>
      </x:c>
      <x:c r="L191" s="12" t="n">
        <x:v>11</x:v>
      </x:c>
      <x:c r="M191" s="12" t="str">
        <x:v>HX1_NORMAL|11</x:v>
      </x:c>
      <x:c r="N191" s="12" t="str">
        <x:v>5号宿舍楼</x:v>
      </x:c>
      <x:c r="O191" s="12" t="n">
        <x:f>IFERROR(INDEX('秒级路线参数_可调整'!$O:$O,MATCH(M191,'秒级路线参数_可调整'!$A:$A,0)),"")</x:f>
        <x:v>0</x:v>
      </x:c>
      <x:c r="P191" s="12" t="str">
        <x:f>IF(O191="","",O191/86400)</x:f>
      </x:c>
      <x:c r="Q191" s="12" t="str">
        <x:f>IF(O191="","",(H191*60+O191)/86400)</x:f>
      </x:c>
      <x:c r="R191" s="12" t="str">
        <x:f>IF(Q191="","",TEXT(Q191,"hh:mm:ss"))</x:f>
      </x:c>
      <x:c r="S191" s="12" t="str">
        <x:v>否</x:v>
      </x:c>
      <x:c r="T191" s="12" t="str">
        <x:v>否</x:v>
      </x:c>
      <x:c r="U191" s="12" t="str">
        <x:v>未提供</x:v>
      </x:c>
      <x:c r="V191" s="12" t="str">
        <x:v>未提供</x:v>
      </x:c>
      <x:c r="W191" s="12" t="str">
        <x:v>秒级预测</x:v>
      </x:c>
      <x:c r="X191" s="12" t="str">
        <x:v>基于路线秒级参数；如录入实测或手动采用秒，预计到达时间可随公式更新</x:v>
      </x:c>
    </x:row>
    <x:row r="192">
      <x:c r="A192" s="12" t="str">
        <x:v>S0016-12</x:v>
      </x:c>
      <x:c r="B192" s="12" t="str">
        <x:v>S0016</x:v>
      </x:c>
      <x:c r="C192" s="12" t="str">
        <x:v>工作日</x:v>
      </x:c>
      <x:c r="D192" s="12" t="str">
        <x:v>环线1路</x:v>
      </x:c>
      <x:c r="E192" s="12" t="str">
        <x:v>第三班</x:v>
      </x:c>
      <x:c r="F192" s="12" t="n">
        <x:v>5</x:v>
      </x:c>
      <x:c r="G192" s="12" t="str">
        <x:v>10:00</x:v>
      </x:c>
      <x:c r="H192" s="12" t="n">
        <x:v>600</x:v>
      </x:c>
      <x:c r="I192" s="12" t="str">
        <x:v>研究生宿舍楼</x:v>
      </x:c>
      <x:c r="J192" s="12" t="str">
        <x:v>研究生宿舍楼发车</x:v>
      </x:c>
      <x:c r="K192" s="12" t="str">
        <x:v>HX1_NORMAL</x:v>
      </x:c>
      <x:c r="L192" s="12" t="n">
        <x:v>12</x:v>
      </x:c>
      <x:c r="M192" s="12" t="str">
        <x:v>HX1_NORMAL|12</x:v>
      </x:c>
      <x:c r="N192" s="12" t="str">
        <x:v>305教学楼</x:v>
      </x:c>
      <x:c r="O192" s="12" t="n">
        <x:f>IFERROR(INDEX('秒级路线参数_可调整'!$O:$O,MATCH(M192,'秒级路线参数_可调整'!$A:$A,0)),"")</x:f>
        <x:v>0</x:v>
      </x:c>
      <x:c r="P192" s="12" t="str">
        <x:f>IF(O192="","",O192/86400)</x:f>
      </x:c>
      <x:c r="Q192" s="12" t="str">
        <x:f>IF(O192="","",(H192*60+O192)/86400)</x:f>
      </x:c>
      <x:c r="R192" s="12" t="str">
        <x:f>IF(Q192="","",TEXT(Q192,"hh:mm:ss"))</x:f>
      </x:c>
      <x:c r="S192" s="12" t="str">
        <x:v>否</x:v>
      </x:c>
      <x:c r="T192" s="12" t="str">
        <x:v>否</x:v>
      </x:c>
      <x:c r="U192" s="12" t="str">
        <x:v>未提供</x:v>
      </x:c>
      <x:c r="V192" s="12" t="str">
        <x:v>未提供</x:v>
      </x:c>
      <x:c r="W192" s="12" t="str">
        <x:v>秒级预测</x:v>
      </x:c>
      <x:c r="X192" s="12" t="str">
        <x:v>基于路线秒级参数；如录入实测或手动采用秒，预计到达时间可随公式更新</x:v>
      </x:c>
    </x:row>
    <x:row r="193">
      <x:c r="A193" s="12" t="str">
        <x:v>S0016-13</x:v>
      </x:c>
      <x:c r="B193" s="12" t="str">
        <x:v>S0016</x:v>
      </x:c>
      <x:c r="C193" s="12" t="str">
        <x:v>工作日</x:v>
      </x:c>
      <x:c r="D193" s="12" t="str">
        <x:v>环线1路</x:v>
      </x:c>
      <x:c r="E193" s="12" t="str">
        <x:v>第三班</x:v>
      </x:c>
      <x:c r="F193" s="12" t="n">
        <x:v>5</x:v>
      </x:c>
      <x:c r="G193" s="12" t="str">
        <x:v>10:00</x:v>
      </x:c>
      <x:c r="H193" s="12" t="n">
        <x:v>600</x:v>
      </x:c>
      <x:c r="I193" s="12" t="str">
        <x:v>研究生宿舍楼</x:v>
      </x:c>
      <x:c r="J193" s="12" t="str">
        <x:v>研究生宿舍楼发车</x:v>
      </x:c>
      <x:c r="K193" s="12" t="str">
        <x:v>HX1_NORMAL</x:v>
      </x:c>
      <x:c r="L193" s="12" t="n">
        <x:v>13</x:v>
      </x:c>
      <x:c r="M193" s="12" t="str">
        <x:v>HX1_NORMAL|13</x:v>
      </x:c>
      <x:c r="N193" s="12" t="str">
        <x:v>研究生宿舍楼</x:v>
      </x:c>
      <x:c r="O193" s="12" t="n">
        <x:f>IFERROR(INDEX('秒级路线参数_可调整'!$O:$O,MATCH(M193,'秒级路线参数_可调整'!$A:$A,0)),"")</x:f>
        <x:v>0</x:v>
      </x:c>
      <x:c r="P193" s="12" t="str">
        <x:f>IF(O193="","",O193/86400)</x:f>
      </x:c>
      <x:c r="Q193" s="12" t="str">
        <x:f>IF(O193="","",(H193*60+O193)/86400)</x:f>
      </x:c>
      <x:c r="R193" s="12" t="str">
        <x:f>IF(Q193="","",TEXT(Q193,"hh:mm:ss"))</x:f>
      </x:c>
      <x:c r="S193" s="12" t="str">
        <x:v>否</x:v>
      </x:c>
      <x:c r="T193" s="12" t="str">
        <x:v>是</x:v>
      </x:c>
      <x:c r="U193" s="12" t="str">
        <x:v>未提供</x:v>
      </x:c>
      <x:c r="V193" s="12" t="str">
        <x:v>未提供</x:v>
      </x:c>
      <x:c r="W193" s="12" t="str">
        <x:v>秒级预测</x:v>
      </x:c>
      <x:c r="X193" s="12" t="str">
        <x:v>基于路线秒级参数；如录入实测或手动采用秒，预计到达时间可随公式更新</x:v>
      </x:c>
    </x:row>
    <x:row r="194">
      <x:c r="A194" s="12" t="str">
        <x:v>S0017-01</x:v>
      </x:c>
      <x:c r="B194" s="12" t="str">
        <x:v>S0017</x:v>
      </x:c>
      <x:c r="C194" s="12" t="str">
        <x:v>工作日</x:v>
      </x:c>
      <x:c r="D194" s="12" t="str">
        <x:v>环线1路</x:v>
      </x:c>
      <x:c r="E194" s="12" t="str">
        <x:v>第三班</x:v>
      </x:c>
      <x:c r="F194" s="12" t="n">
        <x:v>6</x:v>
      </x:c>
      <x:c r="G194" s="12" t="str">
        <x:v>10:45</x:v>
      </x:c>
      <x:c r="H194" s="12" t="n">
        <x:v>645</x:v>
      </x:c>
      <x:c r="I194" s="12" t="str">
        <x:v>研究生宿舍楼</x:v>
      </x:c>
      <x:c r="J194" s="12" t="str">
        <x:v>研究生宿舍楼发车</x:v>
      </x:c>
      <x:c r="K194" s="12" t="str">
        <x:v>HX1_NORMAL</x:v>
      </x:c>
      <x:c r="L194" s="12" t="n">
        <x:v>1</x:v>
      </x:c>
      <x:c r="M194" s="12" t="str">
        <x:v>HX1_NORMAL|1</x:v>
      </x:c>
      <x:c r="N194" s="12" t="str">
        <x:v>研究生宿舍楼</x:v>
      </x:c>
      <x:c r="O194" s="12" t="n">
        <x:f>IFERROR(INDEX('秒级路线参数_可调整'!$O:$O,MATCH(M194,'秒级路线参数_可调整'!$A:$A,0)),"")</x:f>
        <x:v>0</x:v>
      </x:c>
      <x:c r="P194" s="12" t="str">
        <x:f>IF(O194="","",O194/86400)</x:f>
      </x:c>
      <x:c r="Q194" s="12" t="str">
        <x:f>IF(O194="","",(H194*60+O194)/86400)</x:f>
      </x:c>
      <x:c r="R194" s="12" t="str">
        <x:f>IF(Q194="","",TEXT(Q194,"hh:mm:ss"))</x:f>
      </x:c>
      <x:c r="S194" s="12" t="str">
        <x:v>是</x:v>
      </x:c>
      <x:c r="T194" s="12" t="str">
        <x:v>否</x:v>
      </x:c>
      <x:c r="U194" s="12" t="str">
        <x:v>未提供</x:v>
      </x:c>
      <x:c r="V194" s="12" t="str">
        <x:v>未提供</x:v>
      </x:c>
      <x:c r="W194" s="12" t="str">
        <x:v>秒级预测</x:v>
      </x:c>
      <x:c r="X194" s="12" t="str">
        <x:v>基于路线秒级参数；如录入实测或手动采用秒，预计到达时间可随公式更新</x:v>
      </x:c>
    </x:row>
    <x:row r="195">
      <x:c r="A195" s="12" t="str">
        <x:v>S0017-02</x:v>
      </x:c>
      <x:c r="B195" s="12" t="str">
        <x:v>S0017</x:v>
      </x:c>
      <x:c r="C195" s="12" t="str">
        <x:v>工作日</x:v>
      </x:c>
      <x:c r="D195" s="12" t="str">
        <x:v>环线1路</x:v>
      </x:c>
      <x:c r="E195" s="12" t="str">
        <x:v>第三班</x:v>
      </x:c>
      <x:c r="F195" s="12" t="n">
        <x:v>6</x:v>
      </x:c>
      <x:c r="G195" s="12" t="str">
        <x:v>10:45</x:v>
      </x:c>
      <x:c r="H195" s="12" t="n">
        <x:v>645</x:v>
      </x:c>
      <x:c r="I195" s="12" t="str">
        <x:v>研究生宿舍楼</x:v>
      </x:c>
      <x:c r="J195" s="12" t="str">
        <x:v>研究生宿舍楼发车</x:v>
      </x:c>
      <x:c r="K195" s="12" t="str">
        <x:v>HX1_NORMAL</x:v>
      </x:c>
      <x:c r="L195" s="12" t="n">
        <x:v>2</x:v>
      </x:c>
      <x:c r="M195" s="12" t="str">
        <x:v>HX1_NORMAL|2</x:v>
      </x:c>
      <x:c r="N195" s="12" t="str">
        <x:v>东门</x:v>
      </x:c>
      <x:c r="O195" s="12" t="n">
        <x:f>IFERROR(INDEX('秒级路线参数_可调整'!$O:$O,MATCH(M195,'秒级路线参数_可调整'!$A:$A,0)),"")</x:f>
        <x:v>0</x:v>
      </x:c>
      <x:c r="P195" s="12" t="str">
        <x:f>IF(O195="","",O195/86400)</x:f>
      </x:c>
      <x:c r="Q195" s="12" t="str">
        <x:f>IF(O195="","",(H195*60+O195)/86400)</x:f>
      </x:c>
      <x:c r="R195" s="12" t="str">
        <x:f>IF(Q195="","",TEXT(Q195,"hh:mm:ss"))</x:f>
      </x:c>
      <x:c r="S195" s="12" t="str">
        <x:v>否</x:v>
      </x:c>
      <x:c r="T195" s="12" t="str">
        <x:v>否</x:v>
      </x:c>
      <x:c r="U195" s="12" t="str">
        <x:v>未提供</x:v>
      </x:c>
      <x:c r="V195" s="12" t="str">
        <x:v>未提供</x:v>
      </x:c>
      <x:c r="W195" s="12" t="str">
        <x:v>秒级预测</x:v>
      </x:c>
      <x:c r="X195" s="12" t="str">
        <x:v>基于路线秒级参数；如录入实测或手动采用秒，预计到达时间可随公式更新</x:v>
      </x:c>
    </x:row>
    <x:row r="196">
      <x:c r="A196" s="12" t="str">
        <x:v>S0017-03</x:v>
      </x:c>
      <x:c r="B196" s="12" t="str">
        <x:v>S0017</x:v>
      </x:c>
      <x:c r="C196" s="12" t="str">
        <x:v>工作日</x:v>
      </x:c>
      <x:c r="D196" s="12" t="str">
        <x:v>环线1路</x:v>
      </x:c>
      <x:c r="E196" s="12" t="str">
        <x:v>第三班</x:v>
      </x:c>
      <x:c r="F196" s="12" t="n">
        <x:v>6</x:v>
      </x:c>
      <x:c r="G196" s="12" t="str">
        <x:v>10:45</x:v>
      </x:c>
      <x:c r="H196" s="12" t="n">
        <x:v>645</x:v>
      </x:c>
      <x:c r="I196" s="12" t="str">
        <x:v>研究生宿舍楼</x:v>
      </x:c>
      <x:c r="J196" s="12" t="str">
        <x:v>研究生宿舍楼发车</x:v>
      </x:c>
      <x:c r="K196" s="12" t="str">
        <x:v>HX1_NORMAL</x:v>
      </x:c>
      <x:c r="L196" s="12" t="n">
        <x:v>3</x:v>
      </x:c>
      <x:c r="M196" s="12" t="str">
        <x:v>HX1_NORMAL|3</x:v>
      </x:c>
      <x:c r="N196" s="12" t="str">
        <x:v>2号宿舍楼</x:v>
      </x:c>
      <x:c r="O196" s="12" t="n">
        <x:f>IFERROR(INDEX('秒级路线参数_可调整'!$O:$O,MATCH(M196,'秒级路线参数_可调整'!$A:$A,0)),"")</x:f>
        <x:v>0</x:v>
      </x:c>
      <x:c r="P196" s="12" t="str">
        <x:f>IF(O196="","",O196/86400)</x:f>
      </x:c>
      <x:c r="Q196" s="12" t="str">
        <x:f>IF(O196="","",(H196*60+O196)/86400)</x:f>
      </x:c>
      <x:c r="R196" s="12" t="str">
        <x:f>IF(Q196="","",TEXT(Q196,"hh:mm:ss"))</x:f>
      </x:c>
      <x:c r="S196" s="12" t="str">
        <x:v>否</x:v>
      </x:c>
      <x:c r="T196" s="12" t="str">
        <x:v>否</x:v>
      </x:c>
      <x:c r="U196" s="12" t="str">
        <x:v>未提供</x:v>
      </x:c>
      <x:c r="V196" s="12" t="str">
        <x:v>未提供</x:v>
      </x:c>
      <x:c r="W196" s="12" t="str">
        <x:v>秒级预测</x:v>
      </x:c>
      <x:c r="X196" s="12" t="str">
        <x:v>基于路线秒级参数；如录入实测或手动采用秒，预计到达时间可随公式更新</x:v>
      </x:c>
    </x:row>
    <x:row r="197">
      <x:c r="A197" s="12" t="str">
        <x:v>S0017-04</x:v>
      </x:c>
      <x:c r="B197" s="12" t="str">
        <x:v>S0017</x:v>
      </x:c>
      <x:c r="C197" s="12" t="str">
        <x:v>工作日</x:v>
      </x:c>
      <x:c r="D197" s="12" t="str">
        <x:v>环线1路</x:v>
      </x:c>
      <x:c r="E197" s="12" t="str">
        <x:v>第三班</x:v>
      </x:c>
      <x:c r="F197" s="12" t="n">
        <x:v>6</x:v>
      </x:c>
      <x:c r="G197" s="12" t="str">
        <x:v>10:45</x:v>
      </x:c>
      <x:c r="H197" s="12" t="n">
        <x:v>645</x:v>
      </x:c>
      <x:c r="I197" s="12" t="str">
        <x:v>研究生宿舍楼</x:v>
      </x:c>
      <x:c r="J197" s="12" t="str">
        <x:v>研究生宿舍楼发车</x:v>
      </x:c>
      <x:c r="K197" s="12" t="str">
        <x:v>HX1_NORMAL</x:v>
      </x:c>
      <x:c r="L197" s="12" t="n">
        <x:v>4</x:v>
      </x:c>
      <x:c r="M197" s="12" t="str">
        <x:v>HX1_NORMAL|4</x:v>
      </x:c>
      <x:c r="N197" s="12" t="str">
        <x:v>军体活动中心</x:v>
      </x:c>
      <x:c r="O197" s="12" t="n">
        <x:f>IFERROR(INDEX('秒级路线参数_可调整'!$O:$O,MATCH(M197,'秒级路线参数_可调整'!$A:$A,0)),"")</x:f>
        <x:v>0</x:v>
      </x:c>
      <x:c r="P197" s="12" t="str">
        <x:f>IF(O197="","",O197/86400)</x:f>
      </x:c>
      <x:c r="Q197" s="12" t="str">
        <x:f>IF(O197="","",(H197*60+O197)/86400)</x:f>
      </x:c>
      <x:c r="R197" s="12" t="str">
        <x:f>IF(Q197="","",TEXT(Q197,"hh:mm:ss"))</x:f>
      </x:c>
      <x:c r="S197" s="12" t="str">
        <x:v>否</x:v>
      </x:c>
      <x:c r="T197" s="12" t="str">
        <x:v>否</x:v>
      </x:c>
      <x:c r="U197" s="12" t="str">
        <x:v>未提供</x:v>
      </x:c>
      <x:c r="V197" s="12" t="str">
        <x:v>未提供</x:v>
      </x:c>
      <x:c r="W197" s="12" t="str">
        <x:v>秒级预测</x:v>
      </x:c>
      <x:c r="X197" s="12" t="str">
        <x:v>基于路线秒级参数；如录入实测或手动采用秒，预计到达时间可随公式更新</x:v>
      </x:c>
    </x:row>
    <x:row r="198">
      <x:c r="A198" s="12" t="str">
        <x:v>S0017-05</x:v>
      </x:c>
      <x:c r="B198" s="12" t="str">
        <x:v>S0017</x:v>
      </x:c>
      <x:c r="C198" s="12" t="str">
        <x:v>工作日</x:v>
      </x:c>
      <x:c r="D198" s="12" t="str">
        <x:v>环线1路</x:v>
      </x:c>
      <x:c r="E198" s="12" t="str">
        <x:v>第三班</x:v>
      </x:c>
      <x:c r="F198" s="12" t="n">
        <x:v>6</x:v>
      </x:c>
      <x:c r="G198" s="12" t="str">
        <x:v>10:45</x:v>
      </x:c>
      <x:c r="H198" s="12" t="n">
        <x:v>645</x:v>
      </x:c>
      <x:c r="I198" s="12" t="str">
        <x:v>研究生宿舍楼</x:v>
      </x:c>
      <x:c r="J198" s="12" t="str">
        <x:v>研究生宿舍楼发车</x:v>
      </x:c>
      <x:c r="K198" s="12" t="str">
        <x:v>HX1_NORMAL</x:v>
      </x:c>
      <x:c r="L198" s="12" t="n">
        <x:v>5</x:v>
      </x:c>
      <x:c r="M198" s="12" t="str">
        <x:v>HX1_NORMAL|5</x:v>
      </x:c>
      <x:c r="N198" s="12" t="str">
        <x:v>激光所</x:v>
      </x:c>
      <x:c r="O198" s="12" t="n">
        <x:f>IFERROR(INDEX('秒级路线参数_可调整'!$O:$O,MATCH(M198,'秒级路线参数_可调整'!$A:$A,0)),"")</x:f>
        <x:v>0</x:v>
      </x:c>
      <x:c r="P198" s="12" t="str">
        <x:f>IF(O198="","",O198/86400)</x:f>
      </x:c>
      <x:c r="Q198" s="12" t="str">
        <x:f>IF(O198="","",(H198*60+O198)/86400)</x:f>
      </x:c>
      <x:c r="R198" s="12" t="str">
        <x:f>IF(Q198="","",TEXT(Q198,"hh:mm:ss"))</x:f>
      </x:c>
      <x:c r="S198" s="12" t="str">
        <x:v>否</x:v>
      </x:c>
      <x:c r="T198" s="12" t="str">
        <x:v>否</x:v>
      </x:c>
      <x:c r="U198" s="12" t="str">
        <x:v>未提供</x:v>
      </x:c>
      <x:c r="V198" s="12" t="str">
        <x:v>未提供</x:v>
      </x:c>
      <x:c r="W198" s="12" t="str">
        <x:v>秒级预测</x:v>
      </x:c>
      <x:c r="X198" s="12" t="str">
        <x:v>基于路线秒级参数；如录入实测或手动采用秒，预计到达时间可随公式更新</x:v>
      </x:c>
    </x:row>
    <x:row r="199">
      <x:c r="A199" s="12" t="str">
        <x:v>S0017-06</x:v>
      </x:c>
      <x:c r="B199" s="12" t="str">
        <x:v>S0017</x:v>
      </x:c>
      <x:c r="C199" s="12" t="str">
        <x:v>工作日</x:v>
      </x:c>
      <x:c r="D199" s="12" t="str">
        <x:v>环线1路</x:v>
      </x:c>
      <x:c r="E199" s="12" t="str">
        <x:v>第三班</x:v>
      </x:c>
      <x:c r="F199" s="12" t="n">
        <x:v>6</x:v>
      </x:c>
      <x:c r="G199" s="12" t="str">
        <x:v>10:45</x:v>
      </x:c>
      <x:c r="H199" s="12" t="n">
        <x:v>645</x:v>
      </x:c>
      <x:c r="I199" s="12" t="str">
        <x:v>研究生宿舍楼</x:v>
      </x:c>
      <x:c r="J199" s="12" t="str">
        <x:v>研究生宿舍楼发车</x:v>
      </x:c>
      <x:c r="K199" s="12" t="str">
        <x:v>HX1_NORMAL</x:v>
      </x:c>
      <x:c r="L199" s="12" t="n">
        <x:v>6</x:v>
      </x:c>
      <x:c r="M199" s="12" t="str">
        <x:v>HX1_NORMAL|6</x:v>
      </x:c>
      <x:c r="N199" s="12" t="str">
        <x:v>超算中心</x:v>
      </x:c>
      <x:c r="O199" s="12" t="n">
        <x:f>IFERROR(INDEX('秒级路线参数_可调整'!$O:$O,MATCH(M199,'秒级路线参数_可调整'!$A:$A,0)),"")</x:f>
        <x:v>0</x:v>
      </x:c>
      <x:c r="P199" s="12" t="str">
        <x:f>IF(O199="","",O199/86400)</x:f>
      </x:c>
      <x:c r="Q199" s="12" t="str">
        <x:f>IF(O199="","",(H199*60+O199)/86400)</x:f>
      </x:c>
      <x:c r="R199" s="12" t="str">
        <x:f>IF(Q199="","",TEXT(Q199,"hh:mm:ss"))</x:f>
      </x:c>
      <x:c r="S199" s="12" t="str">
        <x:v>否</x:v>
      </x:c>
      <x:c r="T199" s="12" t="str">
        <x:v>否</x:v>
      </x:c>
      <x:c r="U199" s="12" t="str">
        <x:v>未提供</x:v>
      </x:c>
      <x:c r="V199" s="12" t="str">
        <x:v>未提供</x:v>
      </x:c>
      <x:c r="W199" s="12" t="str">
        <x:v>秒级预测</x:v>
      </x:c>
      <x:c r="X199" s="12" t="str">
        <x:v>基于路线秒级参数；如录入实测或手动采用秒，预计到达时间可随公式更新</x:v>
      </x:c>
    </x:row>
    <x:row r="200">
      <x:c r="A200" s="12" t="str">
        <x:v>S0017-07</x:v>
      </x:c>
      <x:c r="B200" s="12" t="str">
        <x:v>S0017</x:v>
      </x:c>
      <x:c r="C200" s="12" t="str">
        <x:v>工作日</x:v>
      </x:c>
      <x:c r="D200" s="12" t="str">
        <x:v>环线1路</x:v>
      </x:c>
      <x:c r="E200" s="12" t="str">
        <x:v>第三班</x:v>
      </x:c>
      <x:c r="F200" s="12" t="n">
        <x:v>6</x:v>
      </x:c>
      <x:c r="G200" s="12" t="str">
        <x:v>10:45</x:v>
      </x:c>
      <x:c r="H200" s="12" t="n">
        <x:v>645</x:v>
      </x:c>
      <x:c r="I200" s="12" t="str">
        <x:v>研究生宿舍楼</x:v>
      </x:c>
      <x:c r="J200" s="12" t="str">
        <x:v>研究生宿舍楼发车</x:v>
      </x:c>
      <x:c r="K200" s="12" t="str">
        <x:v>HX1_NORMAL</x:v>
      </x:c>
      <x:c r="L200" s="12" t="n">
        <x:v>7</x:v>
      </x:c>
      <x:c r="M200" s="12" t="str">
        <x:v>HX1_NORMAL|7</x:v>
      </x:c>
      <x:c r="N200" s="12" t="str">
        <x:v>北门</x:v>
      </x:c>
      <x:c r="O200" s="12" t="n">
        <x:f>IFERROR(INDEX('秒级路线参数_可调整'!$O:$O,MATCH(M200,'秒级路线参数_可调整'!$A:$A,0)),"")</x:f>
        <x:v>0</x:v>
      </x:c>
      <x:c r="P200" s="12" t="str">
        <x:f>IF(O200="","",O200/86400)</x:f>
      </x:c>
      <x:c r="Q200" s="12" t="str">
        <x:f>IF(O200="","",(H200*60+O200)/86400)</x:f>
      </x:c>
      <x:c r="R200" s="12" t="str">
        <x:f>IF(Q200="","",TEXT(Q200,"hh:mm:ss"))</x:f>
      </x:c>
      <x:c r="S200" s="12" t="str">
        <x:v>否</x:v>
      </x:c>
      <x:c r="T200" s="12" t="str">
        <x:v>否</x:v>
      </x:c>
      <x:c r="U200" s="12" t="str">
        <x:v>未提供</x:v>
      </x:c>
      <x:c r="V200" s="12" t="str">
        <x:v>未提供</x:v>
      </x:c>
      <x:c r="W200" s="12" t="str">
        <x:v>秒级预测</x:v>
      </x:c>
      <x:c r="X200" s="12" t="str">
        <x:v>基于路线秒级参数；如录入实测或手动采用秒，预计到达时间可随公式更新</x:v>
      </x:c>
    </x:row>
    <x:row r="201">
      <x:c r="A201" s="12" t="str">
        <x:v>S0017-08</x:v>
      </x:c>
      <x:c r="B201" s="12" t="str">
        <x:v>S0017</x:v>
      </x:c>
      <x:c r="C201" s="12" t="str">
        <x:v>工作日</x:v>
      </x:c>
      <x:c r="D201" s="12" t="str">
        <x:v>环线1路</x:v>
      </x:c>
      <x:c r="E201" s="12" t="str">
        <x:v>第三班</x:v>
      </x:c>
      <x:c r="F201" s="12" t="n">
        <x:v>6</x:v>
      </x:c>
      <x:c r="G201" s="12" t="str">
        <x:v>10:45</x:v>
      </x:c>
      <x:c r="H201" s="12" t="n">
        <x:v>645</x:v>
      </x:c>
      <x:c r="I201" s="12" t="str">
        <x:v>研究生宿舍楼</x:v>
      </x:c>
      <x:c r="J201" s="12" t="str">
        <x:v>研究生宿舍楼发车</x:v>
      </x:c>
      <x:c r="K201" s="12" t="str">
        <x:v>HX1_NORMAL</x:v>
      </x:c>
      <x:c r="L201" s="12" t="n">
        <x:v>8</x:v>
      </x:c>
      <x:c r="M201" s="12" t="str">
        <x:v>HX1_NORMAL|8</x:v>
      </x:c>
      <x:c r="N201" s="12" t="str">
        <x:v>高超楼</x:v>
      </x:c>
      <x:c r="O201" s="12" t="n">
        <x:f>IFERROR(INDEX('秒级路线参数_可调整'!$O:$O,MATCH(M201,'秒级路线参数_可调整'!$A:$A,0)),"")</x:f>
        <x:v>0</x:v>
      </x:c>
      <x:c r="P201" s="12" t="str">
        <x:f>IF(O201="","",O201/86400)</x:f>
      </x:c>
      <x:c r="Q201" s="12" t="str">
        <x:f>IF(O201="","",(H201*60+O201)/86400)</x:f>
      </x:c>
      <x:c r="R201" s="12" t="str">
        <x:f>IF(Q201="","",TEXT(Q201,"hh:mm:ss"))</x:f>
      </x:c>
      <x:c r="S201" s="12" t="str">
        <x:v>否</x:v>
      </x:c>
      <x:c r="T201" s="12" t="str">
        <x:v>否</x:v>
      </x:c>
      <x:c r="U201" s="12" t="str">
        <x:v>未提供</x:v>
      </x:c>
      <x:c r="V201" s="12" t="str">
        <x:v>未提供</x:v>
      </x:c>
      <x:c r="W201" s="12" t="str">
        <x:v>秒级预测</x:v>
      </x:c>
      <x:c r="X201" s="12" t="str">
        <x:v>基于路线秒级参数；如录入实测或手动采用秒，预计到达时间可随公式更新</x:v>
      </x:c>
    </x:row>
    <x:row r="202">
      <x:c r="A202" s="12" t="str">
        <x:v>S0017-09</x:v>
      </x:c>
      <x:c r="B202" s="12" t="str">
        <x:v>S0017</x:v>
      </x:c>
      <x:c r="C202" s="12" t="str">
        <x:v>工作日</x:v>
      </x:c>
      <x:c r="D202" s="12" t="str">
        <x:v>环线1路</x:v>
      </x:c>
      <x:c r="E202" s="12" t="str">
        <x:v>第三班</x:v>
      </x:c>
      <x:c r="F202" s="12" t="n">
        <x:v>6</x:v>
      </x:c>
      <x:c r="G202" s="12" t="str">
        <x:v>10:45</x:v>
      </x:c>
      <x:c r="H202" s="12" t="n">
        <x:v>645</x:v>
      </x:c>
      <x:c r="I202" s="12" t="str">
        <x:v>研究生宿舍楼</x:v>
      </x:c>
      <x:c r="J202" s="12" t="str">
        <x:v>研究生宿舍楼发车</x:v>
      </x:c>
      <x:c r="K202" s="12" t="str">
        <x:v>HX1_NORMAL</x:v>
      </x:c>
      <x:c r="L202" s="12" t="n">
        <x:v>9</x:v>
      </x:c>
      <x:c r="M202" s="12" t="str">
        <x:v>HX1_NORMAL|9</x:v>
      </x:c>
      <x:c r="N202" s="12" t="str">
        <x:v>理学院</x:v>
      </x:c>
      <x:c r="O202" s="12" t="n">
        <x:f>IFERROR(INDEX('秒级路线参数_可调整'!$O:$O,MATCH(M202,'秒级路线参数_可调整'!$A:$A,0)),"")</x:f>
        <x:v>0</x:v>
      </x:c>
      <x:c r="P202" s="12" t="str">
        <x:f>IF(O202="","",O202/86400)</x:f>
      </x:c>
      <x:c r="Q202" s="12" t="str">
        <x:f>IF(O202="","",(H202*60+O202)/86400)</x:f>
      </x:c>
      <x:c r="R202" s="12" t="str">
        <x:f>IF(Q202="","",TEXT(Q202,"hh:mm:ss"))</x:f>
      </x:c>
      <x:c r="S202" s="12" t="str">
        <x:v>否</x:v>
      </x:c>
      <x:c r="T202" s="12" t="str">
        <x:v>否</x:v>
      </x:c>
      <x:c r="U202" s="12" t="str">
        <x:v>未提供</x:v>
      </x:c>
      <x:c r="V202" s="12" t="str">
        <x:v>未提供</x:v>
      </x:c>
      <x:c r="W202" s="12" t="str">
        <x:v>秒级预测</x:v>
      </x:c>
      <x:c r="X202" s="12" t="str">
        <x:v>基于路线秒级参数；如录入实测或手动采用秒，预计到达时间可随公式更新</x:v>
      </x:c>
    </x:row>
    <x:row r="203">
      <x:c r="A203" s="12" t="str">
        <x:v>S0017-10</x:v>
      </x:c>
      <x:c r="B203" s="12" t="str">
        <x:v>S0017</x:v>
      </x:c>
      <x:c r="C203" s="12" t="str">
        <x:v>工作日</x:v>
      </x:c>
      <x:c r="D203" s="12" t="str">
        <x:v>环线1路</x:v>
      </x:c>
      <x:c r="E203" s="12" t="str">
        <x:v>第三班</x:v>
      </x:c>
      <x:c r="F203" s="12" t="n">
        <x:v>6</x:v>
      </x:c>
      <x:c r="G203" s="12" t="str">
        <x:v>10:45</x:v>
      </x:c>
      <x:c r="H203" s="12" t="n">
        <x:v>645</x:v>
      </x:c>
      <x:c r="I203" s="12" t="str">
        <x:v>研究生宿舍楼</x:v>
      </x:c>
      <x:c r="J203" s="12" t="str">
        <x:v>研究生宿舍楼发车</x:v>
      </x:c>
      <x:c r="K203" s="12" t="str">
        <x:v>HX1_NORMAL</x:v>
      </x:c>
      <x:c r="L203" s="12" t="n">
        <x:v>10</x:v>
      </x:c>
      <x:c r="M203" s="12" t="str">
        <x:v>HX1_NORMAL|10</x:v>
      </x:c>
      <x:c r="N203" s="12" t="str">
        <x:v>二食堂</x:v>
      </x:c>
      <x:c r="O203" s="12" t="n">
        <x:f>IFERROR(INDEX('秒级路线参数_可调整'!$O:$O,MATCH(M203,'秒级路线参数_可调整'!$A:$A,0)),"")</x:f>
        <x:v>0</x:v>
      </x:c>
      <x:c r="P203" s="12" t="str">
        <x:f>IF(O203="","",O203/86400)</x:f>
      </x:c>
      <x:c r="Q203" s="12" t="str">
        <x:f>IF(O203="","",(H203*60+O203)/86400)</x:f>
      </x:c>
      <x:c r="R203" s="12" t="str">
        <x:f>IF(Q203="","",TEXT(Q203,"hh:mm:ss"))</x:f>
      </x:c>
      <x:c r="S203" s="12" t="str">
        <x:v>否</x:v>
      </x:c>
      <x:c r="T203" s="12" t="str">
        <x:v>否</x:v>
      </x:c>
      <x:c r="U203" s="12" t="str">
        <x:v>未提供</x:v>
      </x:c>
      <x:c r="V203" s="12" t="str">
        <x:v>未提供</x:v>
      </x:c>
      <x:c r="W203" s="12" t="str">
        <x:v>秒级预测</x:v>
      </x:c>
      <x:c r="X203" s="12" t="str">
        <x:v>基于路线秒级参数；如录入实测或手动采用秒，预计到达时间可随公式更新</x:v>
      </x:c>
    </x:row>
    <x:row r="204">
      <x:c r="A204" s="12" t="str">
        <x:v>S0017-11</x:v>
      </x:c>
      <x:c r="B204" s="12" t="str">
        <x:v>S0017</x:v>
      </x:c>
      <x:c r="C204" s="12" t="str">
        <x:v>工作日</x:v>
      </x:c>
      <x:c r="D204" s="12" t="str">
        <x:v>环线1路</x:v>
      </x:c>
      <x:c r="E204" s="12" t="str">
        <x:v>第三班</x:v>
      </x:c>
      <x:c r="F204" s="12" t="n">
        <x:v>6</x:v>
      </x:c>
      <x:c r="G204" s="12" t="str">
        <x:v>10:45</x:v>
      </x:c>
      <x:c r="H204" s="12" t="n">
        <x:v>645</x:v>
      </x:c>
      <x:c r="I204" s="12" t="str">
        <x:v>研究生宿舍楼</x:v>
      </x:c>
      <x:c r="J204" s="12" t="str">
        <x:v>研究生宿舍楼发车</x:v>
      </x:c>
      <x:c r="K204" s="12" t="str">
        <x:v>HX1_NORMAL</x:v>
      </x:c>
      <x:c r="L204" s="12" t="n">
        <x:v>11</x:v>
      </x:c>
      <x:c r="M204" s="12" t="str">
        <x:v>HX1_NORMAL|11</x:v>
      </x:c>
      <x:c r="N204" s="12" t="str">
        <x:v>5号宿舍楼</x:v>
      </x:c>
      <x:c r="O204" s="12" t="n">
        <x:f>IFERROR(INDEX('秒级路线参数_可调整'!$O:$O,MATCH(M204,'秒级路线参数_可调整'!$A:$A,0)),"")</x:f>
        <x:v>0</x:v>
      </x:c>
      <x:c r="P204" s="12" t="str">
        <x:f>IF(O204="","",O204/86400)</x:f>
      </x:c>
      <x:c r="Q204" s="12" t="str">
        <x:f>IF(O204="","",(H204*60+O204)/86400)</x:f>
      </x:c>
      <x:c r="R204" s="12" t="str">
        <x:f>IF(Q204="","",TEXT(Q204,"hh:mm:ss"))</x:f>
      </x:c>
      <x:c r="S204" s="12" t="str">
        <x:v>否</x:v>
      </x:c>
      <x:c r="T204" s="12" t="str">
        <x:v>否</x:v>
      </x:c>
      <x:c r="U204" s="12" t="str">
        <x:v>未提供</x:v>
      </x:c>
      <x:c r="V204" s="12" t="str">
        <x:v>未提供</x:v>
      </x:c>
      <x:c r="W204" s="12" t="str">
        <x:v>秒级预测</x:v>
      </x:c>
      <x:c r="X204" s="12" t="str">
        <x:v>基于路线秒级参数；如录入实测或手动采用秒，预计到达时间可随公式更新</x:v>
      </x:c>
    </x:row>
    <x:row r="205">
      <x:c r="A205" s="12" t="str">
        <x:v>S0017-12</x:v>
      </x:c>
      <x:c r="B205" s="12" t="str">
        <x:v>S0017</x:v>
      </x:c>
      <x:c r="C205" s="12" t="str">
        <x:v>工作日</x:v>
      </x:c>
      <x:c r="D205" s="12" t="str">
        <x:v>环线1路</x:v>
      </x:c>
      <x:c r="E205" s="12" t="str">
        <x:v>第三班</x:v>
      </x:c>
      <x:c r="F205" s="12" t="n">
        <x:v>6</x:v>
      </x:c>
      <x:c r="G205" s="12" t="str">
        <x:v>10:45</x:v>
      </x:c>
      <x:c r="H205" s="12" t="n">
        <x:v>645</x:v>
      </x:c>
      <x:c r="I205" s="12" t="str">
        <x:v>研究生宿舍楼</x:v>
      </x:c>
      <x:c r="J205" s="12" t="str">
        <x:v>研究生宿舍楼发车</x:v>
      </x:c>
      <x:c r="K205" s="12" t="str">
        <x:v>HX1_NORMAL</x:v>
      </x:c>
      <x:c r="L205" s="12" t="n">
        <x:v>12</x:v>
      </x:c>
      <x:c r="M205" s="12" t="str">
        <x:v>HX1_NORMAL|12</x:v>
      </x:c>
      <x:c r="N205" s="12" t="str">
        <x:v>305教学楼</x:v>
      </x:c>
      <x:c r="O205" s="12" t="n">
        <x:f>IFERROR(INDEX('秒级路线参数_可调整'!$O:$O,MATCH(M205,'秒级路线参数_可调整'!$A:$A,0)),"")</x:f>
        <x:v>0</x:v>
      </x:c>
      <x:c r="P205" s="12" t="str">
        <x:f>IF(O205="","",O205/86400)</x:f>
      </x:c>
      <x:c r="Q205" s="12" t="str">
        <x:f>IF(O205="","",(H205*60+O205)/86400)</x:f>
      </x:c>
      <x:c r="R205" s="12" t="str">
        <x:f>IF(Q205="","",TEXT(Q205,"hh:mm:ss"))</x:f>
      </x:c>
      <x:c r="S205" s="12" t="str">
        <x:v>否</x:v>
      </x:c>
      <x:c r="T205" s="12" t="str">
        <x:v>否</x:v>
      </x:c>
      <x:c r="U205" s="12" t="str">
        <x:v>未提供</x:v>
      </x:c>
      <x:c r="V205" s="12" t="str">
        <x:v>未提供</x:v>
      </x:c>
      <x:c r="W205" s="12" t="str">
        <x:v>秒级预测</x:v>
      </x:c>
      <x:c r="X205" s="12" t="str">
        <x:v>基于路线秒级参数；如录入实测或手动采用秒，预计到达时间可随公式更新</x:v>
      </x:c>
    </x:row>
    <x:row r="206">
      <x:c r="A206" s="12" t="str">
        <x:v>S0017-13</x:v>
      </x:c>
      <x:c r="B206" s="12" t="str">
        <x:v>S0017</x:v>
      </x:c>
      <x:c r="C206" s="12" t="str">
        <x:v>工作日</x:v>
      </x:c>
      <x:c r="D206" s="12" t="str">
        <x:v>环线1路</x:v>
      </x:c>
      <x:c r="E206" s="12" t="str">
        <x:v>第三班</x:v>
      </x:c>
      <x:c r="F206" s="12" t="n">
        <x:v>6</x:v>
      </x:c>
      <x:c r="G206" s="12" t="str">
        <x:v>10:45</x:v>
      </x:c>
      <x:c r="H206" s="12" t="n">
        <x:v>645</x:v>
      </x:c>
      <x:c r="I206" s="12" t="str">
        <x:v>研究生宿舍楼</x:v>
      </x:c>
      <x:c r="J206" s="12" t="str">
        <x:v>研究生宿舍楼发车</x:v>
      </x:c>
      <x:c r="K206" s="12" t="str">
        <x:v>HX1_NORMAL</x:v>
      </x:c>
      <x:c r="L206" s="12" t="n">
        <x:v>13</x:v>
      </x:c>
      <x:c r="M206" s="12" t="str">
        <x:v>HX1_NORMAL|13</x:v>
      </x:c>
      <x:c r="N206" s="12" t="str">
        <x:v>研究生宿舍楼</x:v>
      </x:c>
      <x:c r="O206" s="12" t="n">
        <x:f>IFERROR(INDEX('秒级路线参数_可调整'!$O:$O,MATCH(M206,'秒级路线参数_可调整'!$A:$A,0)),"")</x:f>
        <x:v>0</x:v>
      </x:c>
      <x:c r="P206" s="12" t="str">
        <x:f>IF(O206="","",O206/86400)</x:f>
      </x:c>
      <x:c r="Q206" s="12" t="str">
        <x:f>IF(O206="","",(H206*60+O206)/86400)</x:f>
      </x:c>
      <x:c r="R206" s="12" t="str">
        <x:f>IF(Q206="","",TEXT(Q206,"hh:mm:ss"))</x:f>
      </x:c>
      <x:c r="S206" s="12" t="str">
        <x:v>否</x:v>
      </x:c>
      <x:c r="T206" s="12" t="str">
        <x:v>是</x:v>
      </x:c>
      <x:c r="U206" s="12" t="str">
        <x:v>未提供</x:v>
      </x:c>
      <x:c r="V206" s="12" t="str">
        <x:v>未提供</x:v>
      </x:c>
      <x:c r="W206" s="12" t="str">
        <x:v>秒级预测</x:v>
      </x:c>
      <x:c r="X206" s="12" t="str">
        <x:v>基于路线秒级参数；如录入实测或手动采用秒，预计到达时间可随公式更新</x:v>
      </x:c>
    </x:row>
    <x:row r="207">
      <x:c r="A207" s="12" t="str">
        <x:v>S0018-01</x:v>
      </x:c>
      <x:c r="B207" s="12" t="str">
        <x:v>S0018</x:v>
      </x:c>
      <x:c r="C207" s="12" t="str">
        <x:v>工作日</x:v>
      </x:c>
      <x:c r="D207" s="12" t="str">
        <x:v>环线1路</x:v>
      </x:c>
      <x:c r="E207" s="12" t="str">
        <x:v>第三班</x:v>
      </x:c>
      <x:c r="F207" s="12" t="n">
        <x:v>7</x:v>
      </x:c>
      <x:c r="G207" s="12" t="str">
        <x:v>11:30</x:v>
      </x:c>
      <x:c r="H207" s="12" t="n">
        <x:v>690</x:v>
      </x:c>
      <x:c r="I207" s="12" t="str">
        <x:v>研究生宿舍楼</x:v>
      </x:c>
      <x:c r="J207" s="12" t="str">
        <x:v>研究生宿舍楼发车</x:v>
      </x:c>
      <x:c r="K207" s="12" t="str">
        <x:v>HX1_NORMAL</x:v>
      </x:c>
      <x:c r="L207" s="12" t="n">
        <x:v>1</x:v>
      </x:c>
      <x:c r="M207" s="12" t="str">
        <x:v>HX1_NORMAL|1</x:v>
      </x:c>
      <x:c r="N207" s="12" t="str">
        <x:v>研究生宿舍楼</x:v>
      </x:c>
      <x:c r="O207" s="12" t="n">
        <x:f>IFERROR(INDEX('秒级路线参数_可调整'!$O:$O,MATCH(M207,'秒级路线参数_可调整'!$A:$A,0)),"")</x:f>
        <x:v>0</x:v>
      </x:c>
      <x:c r="P207" s="12" t="str">
        <x:f>IF(O207="","",O207/86400)</x:f>
      </x:c>
      <x:c r="Q207" s="12" t="str">
        <x:f>IF(O207="","",(H207*60+O207)/86400)</x:f>
      </x:c>
      <x:c r="R207" s="12" t="str">
        <x:f>IF(Q207="","",TEXT(Q207,"hh:mm:ss"))</x:f>
      </x:c>
      <x:c r="S207" s="12" t="str">
        <x:v>是</x:v>
      </x:c>
      <x:c r="T207" s="12" t="str">
        <x:v>否</x:v>
      </x:c>
      <x:c r="U207" s="12" t="str">
        <x:v>未提供</x:v>
      </x:c>
      <x:c r="V207" s="12" t="str">
        <x:v>未提供</x:v>
      </x:c>
      <x:c r="W207" s="12" t="str">
        <x:v>秒级预测</x:v>
      </x:c>
      <x:c r="X207" s="12" t="str">
        <x:v>基于路线秒级参数；如录入实测或手动采用秒，预计到达时间可随公式更新</x:v>
      </x:c>
    </x:row>
    <x:row r="208">
      <x:c r="A208" s="12" t="str">
        <x:v>S0018-02</x:v>
      </x:c>
      <x:c r="B208" s="12" t="str">
        <x:v>S0018</x:v>
      </x:c>
      <x:c r="C208" s="12" t="str">
        <x:v>工作日</x:v>
      </x:c>
      <x:c r="D208" s="12" t="str">
        <x:v>环线1路</x:v>
      </x:c>
      <x:c r="E208" s="12" t="str">
        <x:v>第三班</x:v>
      </x:c>
      <x:c r="F208" s="12" t="n">
        <x:v>7</x:v>
      </x:c>
      <x:c r="G208" s="12" t="str">
        <x:v>11:30</x:v>
      </x:c>
      <x:c r="H208" s="12" t="n">
        <x:v>690</x:v>
      </x:c>
      <x:c r="I208" s="12" t="str">
        <x:v>研究生宿舍楼</x:v>
      </x:c>
      <x:c r="J208" s="12" t="str">
        <x:v>研究生宿舍楼发车</x:v>
      </x:c>
      <x:c r="K208" s="12" t="str">
        <x:v>HX1_NORMAL</x:v>
      </x:c>
      <x:c r="L208" s="12" t="n">
        <x:v>2</x:v>
      </x:c>
      <x:c r="M208" s="12" t="str">
        <x:v>HX1_NORMAL|2</x:v>
      </x:c>
      <x:c r="N208" s="12" t="str">
        <x:v>东门</x:v>
      </x:c>
      <x:c r="O208" s="12" t="n">
        <x:f>IFERROR(INDEX('秒级路线参数_可调整'!$O:$O,MATCH(M208,'秒级路线参数_可调整'!$A:$A,0)),"")</x:f>
        <x:v>0</x:v>
      </x:c>
      <x:c r="P208" s="12" t="str">
        <x:f>IF(O208="","",O208/86400)</x:f>
      </x:c>
      <x:c r="Q208" s="12" t="str">
        <x:f>IF(O208="","",(H208*60+O208)/86400)</x:f>
      </x:c>
      <x:c r="R208" s="12" t="str">
        <x:f>IF(Q208="","",TEXT(Q208,"hh:mm:ss"))</x:f>
      </x:c>
      <x:c r="S208" s="12" t="str">
        <x:v>否</x:v>
      </x:c>
      <x:c r="T208" s="12" t="str">
        <x:v>否</x:v>
      </x:c>
      <x:c r="U208" s="12" t="str">
        <x:v>未提供</x:v>
      </x:c>
      <x:c r="V208" s="12" t="str">
        <x:v>未提供</x:v>
      </x:c>
      <x:c r="W208" s="12" t="str">
        <x:v>秒级预测</x:v>
      </x:c>
      <x:c r="X208" s="12" t="str">
        <x:v>基于路线秒级参数；如录入实测或手动采用秒，预计到达时间可随公式更新</x:v>
      </x:c>
    </x:row>
    <x:row r="209">
      <x:c r="A209" s="12" t="str">
        <x:v>S0018-03</x:v>
      </x:c>
      <x:c r="B209" s="12" t="str">
        <x:v>S0018</x:v>
      </x:c>
      <x:c r="C209" s="12" t="str">
        <x:v>工作日</x:v>
      </x:c>
      <x:c r="D209" s="12" t="str">
        <x:v>环线1路</x:v>
      </x:c>
      <x:c r="E209" s="12" t="str">
        <x:v>第三班</x:v>
      </x:c>
      <x:c r="F209" s="12" t="n">
        <x:v>7</x:v>
      </x:c>
      <x:c r="G209" s="12" t="str">
        <x:v>11:30</x:v>
      </x:c>
      <x:c r="H209" s="12" t="n">
        <x:v>690</x:v>
      </x:c>
      <x:c r="I209" s="12" t="str">
        <x:v>研究生宿舍楼</x:v>
      </x:c>
      <x:c r="J209" s="12" t="str">
        <x:v>研究生宿舍楼发车</x:v>
      </x:c>
      <x:c r="K209" s="12" t="str">
        <x:v>HX1_NORMAL</x:v>
      </x:c>
      <x:c r="L209" s="12" t="n">
        <x:v>3</x:v>
      </x:c>
      <x:c r="M209" s="12" t="str">
        <x:v>HX1_NORMAL|3</x:v>
      </x:c>
      <x:c r="N209" s="12" t="str">
        <x:v>2号宿舍楼</x:v>
      </x:c>
      <x:c r="O209" s="12" t="n">
        <x:f>IFERROR(INDEX('秒级路线参数_可调整'!$O:$O,MATCH(M209,'秒级路线参数_可调整'!$A:$A,0)),"")</x:f>
        <x:v>0</x:v>
      </x:c>
      <x:c r="P209" s="12" t="str">
        <x:f>IF(O209="","",O209/86400)</x:f>
      </x:c>
      <x:c r="Q209" s="12" t="str">
        <x:f>IF(O209="","",(H209*60+O209)/86400)</x:f>
      </x:c>
      <x:c r="R209" s="12" t="str">
        <x:f>IF(Q209="","",TEXT(Q209,"hh:mm:ss"))</x:f>
      </x:c>
      <x:c r="S209" s="12" t="str">
        <x:v>否</x:v>
      </x:c>
      <x:c r="T209" s="12" t="str">
        <x:v>否</x:v>
      </x:c>
      <x:c r="U209" s="12" t="str">
        <x:v>未提供</x:v>
      </x:c>
      <x:c r="V209" s="12" t="str">
        <x:v>未提供</x:v>
      </x:c>
      <x:c r="W209" s="12" t="str">
        <x:v>秒级预测</x:v>
      </x:c>
      <x:c r="X209" s="12" t="str">
        <x:v>基于路线秒级参数；如录入实测或手动采用秒，预计到达时间可随公式更新</x:v>
      </x:c>
    </x:row>
    <x:row r="210">
      <x:c r="A210" s="12" t="str">
        <x:v>S0018-04</x:v>
      </x:c>
      <x:c r="B210" s="12" t="str">
        <x:v>S0018</x:v>
      </x:c>
      <x:c r="C210" s="12" t="str">
        <x:v>工作日</x:v>
      </x:c>
      <x:c r="D210" s="12" t="str">
        <x:v>环线1路</x:v>
      </x:c>
      <x:c r="E210" s="12" t="str">
        <x:v>第三班</x:v>
      </x:c>
      <x:c r="F210" s="12" t="n">
        <x:v>7</x:v>
      </x:c>
      <x:c r="G210" s="12" t="str">
        <x:v>11:30</x:v>
      </x:c>
      <x:c r="H210" s="12" t="n">
        <x:v>690</x:v>
      </x:c>
      <x:c r="I210" s="12" t="str">
        <x:v>研究生宿舍楼</x:v>
      </x:c>
      <x:c r="J210" s="12" t="str">
        <x:v>研究生宿舍楼发车</x:v>
      </x:c>
      <x:c r="K210" s="12" t="str">
        <x:v>HX1_NORMAL</x:v>
      </x:c>
      <x:c r="L210" s="12" t="n">
        <x:v>4</x:v>
      </x:c>
      <x:c r="M210" s="12" t="str">
        <x:v>HX1_NORMAL|4</x:v>
      </x:c>
      <x:c r="N210" s="12" t="str">
        <x:v>军体活动中心</x:v>
      </x:c>
      <x:c r="O210" s="12" t="n">
        <x:f>IFERROR(INDEX('秒级路线参数_可调整'!$O:$O,MATCH(M210,'秒级路线参数_可调整'!$A:$A,0)),"")</x:f>
        <x:v>0</x:v>
      </x:c>
      <x:c r="P210" s="12" t="str">
        <x:f>IF(O210="","",O210/86400)</x:f>
      </x:c>
      <x:c r="Q210" s="12" t="str">
        <x:f>IF(O210="","",(H210*60+O210)/86400)</x:f>
      </x:c>
      <x:c r="R210" s="12" t="str">
        <x:f>IF(Q210="","",TEXT(Q210,"hh:mm:ss"))</x:f>
      </x:c>
      <x:c r="S210" s="12" t="str">
        <x:v>否</x:v>
      </x:c>
      <x:c r="T210" s="12" t="str">
        <x:v>否</x:v>
      </x:c>
      <x:c r="U210" s="12" t="str">
        <x:v>未提供</x:v>
      </x:c>
      <x:c r="V210" s="12" t="str">
        <x:v>未提供</x:v>
      </x:c>
      <x:c r="W210" s="12" t="str">
        <x:v>秒级预测</x:v>
      </x:c>
      <x:c r="X210" s="12" t="str">
        <x:v>基于路线秒级参数；如录入实测或手动采用秒，预计到达时间可随公式更新</x:v>
      </x:c>
    </x:row>
    <x:row r="211">
      <x:c r="A211" s="12" t="str">
        <x:v>S0018-05</x:v>
      </x:c>
      <x:c r="B211" s="12" t="str">
        <x:v>S0018</x:v>
      </x:c>
      <x:c r="C211" s="12" t="str">
        <x:v>工作日</x:v>
      </x:c>
      <x:c r="D211" s="12" t="str">
        <x:v>环线1路</x:v>
      </x:c>
      <x:c r="E211" s="12" t="str">
        <x:v>第三班</x:v>
      </x:c>
      <x:c r="F211" s="12" t="n">
        <x:v>7</x:v>
      </x:c>
      <x:c r="G211" s="12" t="str">
        <x:v>11:30</x:v>
      </x:c>
      <x:c r="H211" s="12" t="n">
        <x:v>690</x:v>
      </x:c>
      <x:c r="I211" s="12" t="str">
        <x:v>研究生宿舍楼</x:v>
      </x:c>
      <x:c r="J211" s="12" t="str">
        <x:v>研究生宿舍楼发车</x:v>
      </x:c>
      <x:c r="K211" s="12" t="str">
        <x:v>HX1_NORMAL</x:v>
      </x:c>
      <x:c r="L211" s="12" t="n">
        <x:v>5</x:v>
      </x:c>
      <x:c r="M211" s="12" t="str">
        <x:v>HX1_NORMAL|5</x:v>
      </x:c>
      <x:c r="N211" s="12" t="str">
        <x:v>激光所</x:v>
      </x:c>
      <x:c r="O211" s="12" t="n">
        <x:f>IFERROR(INDEX('秒级路线参数_可调整'!$O:$O,MATCH(M211,'秒级路线参数_可调整'!$A:$A,0)),"")</x:f>
        <x:v>0</x:v>
      </x:c>
      <x:c r="P211" s="12" t="str">
        <x:f>IF(O211="","",O211/86400)</x:f>
      </x:c>
      <x:c r="Q211" s="12" t="str">
        <x:f>IF(O211="","",(H211*60+O211)/86400)</x:f>
      </x:c>
      <x:c r="R211" s="12" t="str">
        <x:f>IF(Q211="","",TEXT(Q211,"hh:mm:ss"))</x:f>
      </x:c>
      <x:c r="S211" s="12" t="str">
        <x:v>否</x:v>
      </x:c>
      <x:c r="T211" s="12" t="str">
        <x:v>否</x:v>
      </x:c>
      <x:c r="U211" s="12" t="str">
        <x:v>未提供</x:v>
      </x:c>
      <x:c r="V211" s="12" t="str">
        <x:v>未提供</x:v>
      </x:c>
      <x:c r="W211" s="12" t="str">
        <x:v>秒级预测</x:v>
      </x:c>
      <x:c r="X211" s="12" t="str">
        <x:v>基于路线秒级参数；如录入实测或手动采用秒，预计到达时间可随公式更新</x:v>
      </x:c>
    </x:row>
    <x:row r="212">
      <x:c r="A212" s="12" t="str">
        <x:v>S0018-06</x:v>
      </x:c>
      <x:c r="B212" s="12" t="str">
        <x:v>S0018</x:v>
      </x:c>
      <x:c r="C212" s="12" t="str">
        <x:v>工作日</x:v>
      </x:c>
      <x:c r="D212" s="12" t="str">
        <x:v>环线1路</x:v>
      </x:c>
      <x:c r="E212" s="12" t="str">
        <x:v>第三班</x:v>
      </x:c>
      <x:c r="F212" s="12" t="n">
        <x:v>7</x:v>
      </x:c>
      <x:c r="G212" s="12" t="str">
        <x:v>11:30</x:v>
      </x:c>
      <x:c r="H212" s="12" t="n">
        <x:v>690</x:v>
      </x:c>
      <x:c r="I212" s="12" t="str">
        <x:v>研究生宿舍楼</x:v>
      </x:c>
      <x:c r="J212" s="12" t="str">
        <x:v>研究生宿舍楼发车</x:v>
      </x:c>
      <x:c r="K212" s="12" t="str">
        <x:v>HX1_NORMAL</x:v>
      </x:c>
      <x:c r="L212" s="12" t="n">
        <x:v>6</x:v>
      </x:c>
      <x:c r="M212" s="12" t="str">
        <x:v>HX1_NORMAL|6</x:v>
      </x:c>
      <x:c r="N212" s="12" t="str">
        <x:v>超算中心</x:v>
      </x:c>
      <x:c r="O212" s="12" t="n">
        <x:f>IFERROR(INDEX('秒级路线参数_可调整'!$O:$O,MATCH(M212,'秒级路线参数_可调整'!$A:$A,0)),"")</x:f>
        <x:v>0</x:v>
      </x:c>
      <x:c r="P212" s="12" t="str">
        <x:f>IF(O212="","",O212/86400)</x:f>
      </x:c>
      <x:c r="Q212" s="12" t="str">
        <x:f>IF(O212="","",(H212*60+O212)/86400)</x:f>
      </x:c>
      <x:c r="R212" s="12" t="str">
        <x:f>IF(Q212="","",TEXT(Q212,"hh:mm:ss"))</x:f>
      </x:c>
      <x:c r="S212" s="12" t="str">
        <x:v>否</x:v>
      </x:c>
      <x:c r="T212" s="12" t="str">
        <x:v>否</x:v>
      </x:c>
      <x:c r="U212" s="12" t="str">
        <x:v>未提供</x:v>
      </x:c>
      <x:c r="V212" s="12" t="str">
        <x:v>未提供</x:v>
      </x:c>
      <x:c r="W212" s="12" t="str">
        <x:v>秒级预测</x:v>
      </x:c>
      <x:c r="X212" s="12" t="str">
        <x:v>基于路线秒级参数；如录入实测或手动采用秒，预计到达时间可随公式更新</x:v>
      </x:c>
    </x:row>
    <x:row r="213">
      <x:c r="A213" s="12" t="str">
        <x:v>S0018-07</x:v>
      </x:c>
      <x:c r="B213" s="12" t="str">
        <x:v>S0018</x:v>
      </x:c>
      <x:c r="C213" s="12" t="str">
        <x:v>工作日</x:v>
      </x:c>
      <x:c r="D213" s="12" t="str">
        <x:v>环线1路</x:v>
      </x:c>
      <x:c r="E213" s="12" t="str">
        <x:v>第三班</x:v>
      </x:c>
      <x:c r="F213" s="12" t="n">
        <x:v>7</x:v>
      </x:c>
      <x:c r="G213" s="12" t="str">
        <x:v>11:30</x:v>
      </x:c>
      <x:c r="H213" s="12" t="n">
        <x:v>690</x:v>
      </x:c>
      <x:c r="I213" s="12" t="str">
        <x:v>研究生宿舍楼</x:v>
      </x:c>
      <x:c r="J213" s="12" t="str">
        <x:v>研究生宿舍楼发车</x:v>
      </x:c>
      <x:c r="K213" s="12" t="str">
        <x:v>HX1_NORMAL</x:v>
      </x:c>
      <x:c r="L213" s="12" t="n">
        <x:v>7</x:v>
      </x:c>
      <x:c r="M213" s="12" t="str">
        <x:v>HX1_NORMAL|7</x:v>
      </x:c>
      <x:c r="N213" s="12" t="str">
        <x:v>北门</x:v>
      </x:c>
      <x:c r="O213" s="12" t="n">
        <x:f>IFERROR(INDEX('秒级路线参数_可调整'!$O:$O,MATCH(M213,'秒级路线参数_可调整'!$A:$A,0)),"")</x:f>
        <x:v>0</x:v>
      </x:c>
      <x:c r="P213" s="12" t="str">
        <x:f>IF(O213="","",O213/86400)</x:f>
      </x:c>
      <x:c r="Q213" s="12" t="str">
        <x:f>IF(O213="","",(H213*60+O213)/86400)</x:f>
      </x:c>
      <x:c r="R213" s="12" t="str">
        <x:f>IF(Q213="","",TEXT(Q213,"hh:mm:ss"))</x:f>
      </x:c>
      <x:c r="S213" s="12" t="str">
        <x:v>否</x:v>
      </x:c>
      <x:c r="T213" s="12" t="str">
        <x:v>否</x:v>
      </x:c>
      <x:c r="U213" s="12" t="str">
        <x:v>未提供</x:v>
      </x:c>
      <x:c r="V213" s="12" t="str">
        <x:v>未提供</x:v>
      </x:c>
      <x:c r="W213" s="12" t="str">
        <x:v>秒级预测</x:v>
      </x:c>
      <x:c r="X213" s="12" t="str">
        <x:v>基于路线秒级参数；如录入实测或手动采用秒，预计到达时间可随公式更新</x:v>
      </x:c>
    </x:row>
    <x:row r="214">
      <x:c r="A214" s="12" t="str">
        <x:v>S0018-08</x:v>
      </x:c>
      <x:c r="B214" s="12" t="str">
        <x:v>S0018</x:v>
      </x:c>
      <x:c r="C214" s="12" t="str">
        <x:v>工作日</x:v>
      </x:c>
      <x:c r="D214" s="12" t="str">
        <x:v>环线1路</x:v>
      </x:c>
      <x:c r="E214" s="12" t="str">
        <x:v>第三班</x:v>
      </x:c>
      <x:c r="F214" s="12" t="n">
        <x:v>7</x:v>
      </x:c>
      <x:c r="G214" s="12" t="str">
        <x:v>11:30</x:v>
      </x:c>
      <x:c r="H214" s="12" t="n">
        <x:v>690</x:v>
      </x:c>
      <x:c r="I214" s="12" t="str">
        <x:v>研究生宿舍楼</x:v>
      </x:c>
      <x:c r="J214" s="12" t="str">
        <x:v>研究生宿舍楼发车</x:v>
      </x:c>
      <x:c r="K214" s="12" t="str">
        <x:v>HX1_NORMAL</x:v>
      </x:c>
      <x:c r="L214" s="12" t="n">
        <x:v>8</x:v>
      </x:c>
      <x:c r="M214" s="12" t="str">
        <x:v>HX1_NORMAL|8</x:v>
      </x:c>
      <x:c r="N214" s="12" t="str">
        <x:v>高超楼</x:v>
      </x:c>
      <x:c r="O214" s="12" t="n">
        <x:f>IFERROR(INDEX('秒级路线参数_可调整'!$O:$O,MATCH(M214,'秒级路线参数_可调整'!$A:$A,0)),"")</x:f>
        <x:v>0</x:v>
      </x:c>
      <x:c r="P214" s="12" t="str">
        <x:f>IF(O214="","",O214/86400)</x:f>
      </x:c>
      <x:c r="Q214" s="12" t="str">
        <x:f>IF(O214="","",(H214*60+O214)/86400)</x:f>
      </x:c>
      <x:c r="R214" s="12" t="str">
        <x:f>IF(Q214="","",TEXT(Q214,"hh:mm:ss"))</x:f>
      </x:c>
      <x:c r="S214" s="12" t="str">
        <x:v>否</x:v>
      </x:c>
      <x:c r="T214" s="12" t="str">
        <x:v>否</x:v>
      </x:c>
      <x:c r="U214" s="12" t="str">
        <x:v>未提供</x:v>
      </x:c>
      <x:c r="V214" s="12" t="str">
        <x:v>未提供</x:v>
      </x:c>
      <x:c r="W214" s="12" t="str">
        <x:v>秒级预测</x:v>
      </x:c>
      <x:c r="X214" s="12" t="str">
        <x:v>基于路线秒级参数；如录入实测或手动采用秒，预计到达时间可随公式更新</x:v>
      </x:c>
    </x:row>
    <x:row r="215">
      <x:c r="A215" s="12" t="str">
        <x:v>S0018-09</x:v>
      </x:c>
      <x:c r="B215" s="12" t="str">
        <x:v>S0018</x:v>
      </x:c>
      <x:c r="C215" s="12" t="str">
        <x:v>工作日</x:v>
      </x:c>
      <x:c r="D215" s="12" t="str">
        <x:v>环线1路</x:v>
      </x:c>
      <x:c r="E215" s="12" t="str">
        <x:v>第三班</x:v>
      </x:c>
      <x:c r="F215" s="12" t="n">
        <x:v>7</x:v>
      </x:c>
      <x:c r="G215" s="12" t="str">
        <x:v>11:30</x:v>
      </x:c>
      <x:c r="H215" s="12" t="n">
        <x:v>690</x:v>
      </x:c>
      <x:c r="I215" s="12" t="str">
        <x:v>研究生宿舍楼</x:v>
      </x:c>
      <x:c r="J215" s="12" t="str">
        <x:v>研究生宿舍楼发车</x:v>
      </x:c>
      <x:c r="K215" s="12" t="str">
        <x:v>HX1_NORMAL</x:v>
      </x:c>
      <x:c r="L215" s="12" t="n">
        <x:v>9</x:v>
      </x:c>
      <x:c r="M215" s="12" t="str">
        <x:v>HX1_NORMAL|9</x:v>
      </x:c>
      <x:c r="N215" s="12" t="str">
        <x:v>理学院</x:v>
      </x:c>
      <x:c r="O215" s="12" t="n">
        <x:f>IFERROR(INDEX('秒级路线参数_可调整'!$O:$O,MATCH(M215,'秒级路线参数_可调整'!$A:$A,0)),"")</x:f>
        <x:v>0</x:v>
      </x:c>
      <x:c r="P215" s="12" t="str">
        <x:f>IF(O215="","",O215/86400)</x:f>
      </x:c>
      <x:c r="Q215" s="12" t="str">
        <x:f>IF(O215="","",(H215*60+O215)/86400)</x:f>
      </x:c>
      <x:c r="R215" s="12" t="str">
        <x:f>IF(Q215="","",TEXT(Q215,"hh:mm:ss"))</x:f>
      </x:c>
      <x:c r="S215" s="12" t="str">
        <x:v>否</x:v>
      </x:c>
      <x:c r="T215" s="12" t="str">
        <x:v>否</x:v>
      </x:c>
      <x:c r="U215" s="12" t="str">
        <x:v>未提供</x:v>
      </x:c>
      <x:c r="V215" s="12" t="str">
        <x:v>未提供</x:v>
      </x:c>
      <x:c r="W215" s="12" t="str">
        <x:v>秒级预测</x:v>
      </x:c>
      <x:c r="X215" s="12" t="str">
        <x:v>基于路线秒级参数；如录入实测或手动采用秒，预计到达时间可随公式更新</x:v>
      </x:c>
    </x:row>
    <x:row r="216">
      <x:c r="A216" s="12" t="str">
        <x:v>S0018-10</x:v>
      </x:c>
      <x:c r="B216" s="12" t="str">
        <x:v>S0018</x:v>
      </x:c>
      <x:c r="C216" s="12" t="str">
        <x:v>工作日</x:v>
      </x:c>
      <x:c r="D216" s="12" t="str">
        <x:v>环线1路</x:v>
      </x:c>
      <x:c r="E216" s="12" t="str">
        <x:v>第三班</x:v>
      </x:c>
      <x:c r="F216" s="12" t="n">
        <x:v>7</x:v>
      </x:c>
      <x:c r="G216" s="12" t="str">
        <x:v>11:30</x:v>
      </x:c>
      <x:c r="H216" s="12" t="n">
        <x:v>690</x:v>
      </x:c>
      <x:c r="I216" s="12" t="str">
        <x:v>研究生宿舍楼</x:v>
      </x:c>
      <x:c r="J216" s="12" t="str">
        <x:v>研究生宿舍楼发车</x:v>
      </x:c>
      <x:c r="K216" s="12" t="str">
        <x:v>HX1_NORMAL</x:v>
      </x:c>
      <x:c r="L216" s="12" t="n">
        <x:v>10</x:v>
      </x:c>
      <x:c r="M216" s="12" t="str">
        <x:v>HX1_NORMAL|10</x:v>
      </x:c>
      <x:c r="N216" s="12" t="str">
        <x:v>二食堂</x:v>
      </x:c>
      <x:c r="O216" s="12" t="n">
        <x:f>IFERROR(INDEX('秒级路线参数_可调整'!$O:$O,MATCH(M216,'秒级路线参数_可调整'!$A:$A,0)),"")</x:f>
        <x:v>0</x:v>
      </x:c>
      <x:c r="P216" s="12" t="str">
        <x:f>IF(O216="","",O216/86400)</x:f>
      </x:c>
      <x:c r="Q216" s="12" t="str">
        <x:f>IF(O216="","",(H216*60+O216)/86400)</x:f>
      </x:c>
      <x:c r="R216" s="12" t="str">
        <x:f>IF(Q216="","",TEXT(Q216,"hh:mm:ss"))</x:f>
      </x:c>
      <x:c r="S216" s="12" t="str">
        <x:v>否</x:v>
      </x:c>
      <x:c r="T216" s="12" t="str">
        <x:v>否</x:v>
      </x:c>
      <x:c r="U216" s="12" t="str">
        <x:v>未提供</x:v>
      </x:c>
      <x:c r="V216" s="12" t="str">
        <x:v>未提供</x:v>
      </x:c>
      <x:c r="W216" s="12" t="str">
        <x:v>秒级预测</x:v>
      </x:c>
      <x:c r="X216" s="12" t="str">
        <x:v>基于路线秒级参数；如录入实测或手动采用秒，预计到达时间可随公式更新</x:v>
      </x:c>
    </x:row>
    <x:row r="217">
      <x:c r="A217" s="12" t="str">
        <x:v>S0018-11</x:v>
      </x:c>
      <x:c r="B217" s="12" t="str">
        <x:v>S0018</x:v>
      </x:c>
      <x:c r="C217" s="12" t="str">
        <x:v>工作日</x:v>
      </x:c>
      <x:c r="D217" s="12" t="str">
        <x:v>环线1路</x:v>
      </x:c>
      <x:c r="E217" s="12" t="str">
        <x:v>第三班</x:v>
      </x:c>
      <x:c r="F217" s="12" t="n">
        <x:v>7</x:v>
      </x:c>
      <x:c r="G217" s="12" t="str">
        <x:v>11:30</x:v>
      </x:c>
      <x:c r="H217" s="12" t="n">
        <x:v>690</x:v>
      </x:c>
      <x:c r="I217" s="12" t="str">
        <x:v>研究生宿舍楼</x:v>
      </x:c>
      <x:c r="J217" s="12" t="str">
        <x:v>研究生宿舍楼发车</x:v>
      </x:c>
      <x:c r="K217" s="12" t="str">
        <x:v>HX1_NORMAL</x:v>
      </x:c>
      <x:c r="L217" s="12" t="n">
        <x:v>11</x:v>
      </x:c>
      <x:c r="M217" s="12" t="str">
        <x:v>HX1_NORMAL|11</x:v>
      </x:c>
      <x:c r="N217" s="12" t="str">
        <x:v>5号宿舍楼</x:v>
      </x:c>
      <x:c r="O217" s="12" t="n">
        <x:f>IFERROR(INDEX('秒级路线参数_可调整'!$O:$O,MATCH(M217,'秒级路线参数_可调整'!$A:$A,0)),"")</x:f>
        <x:v>0</x:v>
      </x:c>
      <x:c r="P217" s="12" t="str">
        <x:f>IF(O217="","",O217/86400)</x:f>
      </x:c>
      <x:c r="Q217" s="12" t="str">
        <x:f>IF(O217="","",(H217*60+O217)/86400)</x:f>
      </x:c>
      <x:c r="R217" s="12" t="str">
        <x:f>IF(Q217="","",TEXT(Q217,"hh:mm:ss"))</x:f>
      </x:c>
      <x:c r="S217" s="12" t="str">
        <x:v>否</x:v>
      </x:c>
      <x:c r="T217" s="12" t="str">
        <x:v>否</x:v>
      </x:c>
      <x:c r="U217" s="12" t="str">
        <x:v>未提供</x:v>
      </x:c>
      <x:c r="V217" s="12" t="str">
        <x:v>未提供</x:v>
      </x:c>
      <x:c r="W217" s="12" t="str">
        <x:v>秒级预测</x:v>
      </x:c>
      <x:c r="X217" s="12" t="str">
        <x:v>基于路线秒级参数；如录入实测或手动采用秒，预计到达时间可随公式更新</x:v>
      </x:c>
    </x:row>
    <x:row r="218">
      <x:c r="A218" s="12" t="str">
        <x:v>S0018-12</x:v>
      </x:c>
      <x:c r="B218" s="12" t="str">
        <x:v>S0018</x:v>
      </x:c>
      <x:c r="C218" s="12" t="str">
        <x:v>工作日</x:v>
      </x:c>
      <x:c r="D218" s="12" t="str">
        <x:v>环线1路</x:v>
      </x:c>
      <x:c r="E218" s="12" t="str">
        <x:v>第三班</x:v>
      </x:c>
      <x:c r="F218" s="12" t="n">
        <x:v>7</x:v>
      </x:c>
      <x:c r="G218" s="12" t="str">
        <x:v>11:30</x:v>
      </x:c>
      <x:c r="H218" s="12" t="n">
        <x:v>690</x:v>
      </x:c>
      <x:c r="I218" s="12" t="str">
        <x:v>研究生宿舍楼</x:v>
      </x:c>
      <x:c r="J218" s="12" t="str">
        <x:v>研究生宿舍楼发车</x:v>
      </x:c>
      <x:c r="K218" s="12" t="str">
        <x:v>HX1_NORMAL</x:v>
      </x:c>
      <x:c r="L218" s="12" t="n">
        <x:v>12</x:v>
      </x:c>
      <x:c r="M218" s="12" t="str">
        <x:v>HX1_NORMAL|12</x:v>
      </x:c>
      <x:c r="N218" s="12" t="str">
        <x:v>305教学楼</x:v>
      </x:c>
      <x:c r="O218" s="12" t="n">
        <x:f>IFERROR(INDEX('秒级路线参数_可调整'!$O:$O,MATCH(M218,'秒级路线参数_可调整'!$A:$A,0)),"")</x:f>
        <x:v>0</x:v>
      </x:c>
      <x:c r="P218" s="12" t="str">
        <x:f>IF(O218="","",O218/86400)</x:f>
      </x:c>
      <x:c r="Q218" s="12" t="str">
        <x:f>IF(O218="","",(H218*60+O218)/86400)</x:f>
      </x:c>
      <x:c r="R218" s="12" t="str">
        <x:f>IF(Q218="","",TEXT(Q218,"hh:mm:ss"))</x:f>
      </x:c>
      <x:c r="S218" s="12" t="str">
        <x:v>否</x:v>
      </x:c>
      <x:c r="T218" s="12" t="str">
        <x:v>否</x:v>
      </x:c>
      <x:c r="U218" s="12" t="str">
        <x:v>未提供</x:v>
      </x:c>
      <x:c r="V218" s="12" t="str">
        <x:v>未提供</x:v>
      </x:c>
      <x:c r="W218" s="12" t="str">
        <x:v>秒级预测</x:v>
      </x:c>
      <x:c r="X218" s="12" t="str">
        <x:v>基于路线秒级参数；如录入实测或手动采用秒，预计到达时间可随公式更新</x:v>
      </x:c>
    </x:row>
    <x:row r="219">
      <x:c r="A219" s="12" t="str">
        <x:v>S0018-13</x:v>
      </x:c>
      <x:c r="B219" s="12" t="str">
        <x:v>S0018</x:v>
      </x:c>
      <x:c r="C219" s="12" t="str">
        <x:v>工作日</x:v>
      </x:c>
      <x:c r="D219" s="12" t="str">
        <x:v>环线1路</x:v>
      </x:c>
      <x:c r="E219" s="12" t="str">
        <x:v>第三班</x:v>
      </x:c>
      <x:c r="F219" s="12" t="n">
        <x:v>7</x:v>
      </x:c>
      <x:c r="G219" s="12" t="str">
        <x:v>11:30</x:v>
      </x:c>
      <x:c r="H219" s="12" t="n">
        <x:v>690</x:v>
      </x:c>
      <x:c r="I219" s="12" t="str">
        <x:v>研究生宿舍楼</x:v>
      </x:c>
      <x:c r="J219" s="12" t="str">
        <x:v>研究生宿舍楼发车</x:v>
      </x:c>
      <x:c r="K219" s="12" t="str">
        <x:v>HX1_NORMAL</x:v>
      </x:c>
      <x:c r="L219" s="12" t="n">
        <x:v>13</x:v>
      </x:c>
      <x:c r="M219" s="12" t="str">
        <x:v>HX1_NORMAL|13</x:v>
      </x:c>
      <x:c r="N219" s="12" t="str">
        <x:v>研究生宿舍楼</x:v>
      </x:c>
      <x:c r="O219" s="12" t="n">
        <x:f>IFERROR(INDEX('秒级路线参数_可调整'!$O:$O,MATCH(M219,'秒级路线参数_可调整'!$A:$A,0)),"")</x:f>
        <x:v>0</x:v>
      </x:c>
      <x:c r="P219" s="12" t="str">
        <x:f>IF(O219="","",O219/86400)</x:f>
      </x:c>
      <x:c r="Q219" s="12" t="str">
        <x:f>IF(O219="","",(H219*60+O219)/86400)</x:f>
      </x:c>
      <x:c r="R219" s="12" t="str">
        <x:f>IF(Q219="","",TEXT(Q219,"hh:mm:ss"))</x:f>
      </x:c>
      <x:c r="S219" s="12" t="str">
        <x:v>否</x:v>
      </x:c>
      <x:c r="T219" s="12" t="str">
        <x:v>是</x:v>
      </x:c>
      <x:c r="U219" s="12" t="str">
        <x:v>未提供</x:v>
      </x:c>
      <x:c r="V219" s="12" t="str">
        <x:v>未提供</x:v>
      </x:c>
      <x:c r="W219" s="12" t="str">
        <x:v>秒级预测</x:v>
      </x:c>
      <x:c r="X219" s="12" t="str">
        <x:v>基于路线秒级参数；如录入实测或手动采用秒，预计到达时间可随公式更新</x:v>
      </x:c>
    </x:row>
    <x:row r="220">
      <x:c r="A220" s="12" t="str">
        <x:v>S0019-01</x:v>
      </x:c>
      <x:c r="B220" s="12" t="str">
        <x:v>S0019</x:v>
      </x:c>
      <x:c r="C220" s="12" t="str">
        <x:v>工作日</x:v>
      </x:c>
      <x:c r="D220" s="12" t="str">
        <x:v>环线1路</x:v>
      </x:c>
      <x:c r="E220" s="12" t="str">
        <x:v>第三班</x:v>
      </x:c>
      <x:c r="F220" s="12" t="n">
        <x:v>8</x:v>
      </x:c>
      <x:c r="G220" s="12" t="str">
        <x:v>11:50</x:v>
      </x:c>
      <x:c r="H220" s="12" t="n">
        <x:v>710</x:v>
      </x:c>
      <x:c r="I220" s="12" t="str">
        <x:v>研究生宿舍楼</x:v>
      </x:c>
      <x:c r="J220" s="12" t="str">
        <x:v>研究生宿舍楼发车</x:v>
      </x:c>
      <x:c r="K220" s="12" t="str">
        <x:v>HX1_NORMAL</x:v>
      </x:c>
      <x:c r="L220" s="12" t="n">
        <x:v>1</x:v>
      </x:c>
      <x:c r="M220" s="12" t="str">
        <x:v>HX1_NORMAL|1</x:v>
      </x:c>
      <x:c r="N220" s="12" t="str">
        <x:v>研究生宿舍楼</x:v>
      </x:c>
      <x:c r="O220" s="12" t="n">
        <x:f>IFERROR(INDEX('秒级路线参数_可调整'!$O:$O,MATCH(M220,'秒级路线参数_可调整'!$A:$A,0)),"")</x:f>
        <x:v>0</x:v>
      </x:c>
      <x:c r="P220" s="12" t="str">
        <x:f>IF(O220="","",O220/86400)</x:f>
      </x:c>
      <x:c r="Q220" s="12" t="str">
        <x:f>IF(O220="","",(H220*60+O220)/86400)</x:f>
      </x:c>
      <x:c r="R220" s="12" t="str">
        <x:f>IF(Q220="","",TEXT(Q220,"hh:mm:ss"))</x:f>
      </x:c>
      <x:c r="S220" s="12" t="str">
        <x:v>是</x:v>
      </x:c>
      <x:c r="T220" s="12" t="str">
        <x:v>否</x:v>
      </x:c>
      <x:c r="U220" s="12" t="str">
        <x:v>未提供</x:v>
      </x:c>
      <x:c r="V220" s="12" t="str">
        <x:v>未提供</x:v>
      </x:c>
      <x:c r="W220" s="12" t="str">
        <x:v>秒级预测</x:v>
      </x:c>
      <x:c r="X220" s="12" t="str">
        <x:v>基于路线秒级参数；如录入实测或手动采用秒，预计到达时间可随公式更新</x:v>
      </x:c>
    </x:row>
    <x:row r="221">
      <x:c r="A221" s="12" t="str">
        <x:v>S0019-02</x:v>
      </x:c>
      <x:c r="B221" s="12" t="str">
        <x:v>S0019</x:v>
      </x:c>
      <x:c r="C221" s="12" t="str">
        <x:v>工作日</x:v>
      </x:c>
      <x:c r="D221" s="12" t="str">
        <x:v>环线1路</x:v>
      </x:c>
      <x:c r="E221" s="12" t="str">
        <x:v>第三班</x:v>
      </x:c>
      <x:c r="F221" s="12" t="n">
        <x:v>8</x:v>
      </x:c>
      <x:c r="G221" s="12" t="str">
        <x:v>11:50</x:v>
      </x:c>
      <x:c r="H221" s="12" t="n">
        <x:v>710</x:v>
      </x:c>
      <x:c r="I221" s="12" t="str">
        <x:v>研究生宿舍楼</x:v>
      </x:c>
      <x:c r="J221" s="12" t="str">
        <x:v>研究生宿舍楼发车</x:v>
      </x:c>
      <x:c r="K221" s="12" t="str">
        <x:v>HX1_NORMAL</x:v>
      </x:c>
      <x:c r="L221" s="12" t="n">
        <x:v>2</x:v>
      </x:c>
      <x:c r="M221" s="12" t="str">
        <x:v>HX1_NORMAL|2</x:v>
      </x:c>
      <x:c r="N221" s="12" t="str">
        <x:v>东门</x:v>
      </x:c>
      <x:c r="O221" s="12" t="n">
        <x:f>IFERROR(INDEX('秒级路线参数_可调整'!$O:$O,MATCH(M221,'秒级路线参数_可调整'!$A:$A,0)),"")</x:f>
        <x:v>0</x:v>
      </x:c>
      <x:c r="P221" s="12" t="str">
        <x:f>IF(O221="","",O221/86400)</x:f>
      </x:c>
      <x:c r="Q221" s="12" t="str">
        <x:f>IF(O221="","",(H221*60+O221)/86400)</x:f>
      </x:c>
      <x:c r="R221" s="12" t="str">
        <x:f>IF(Q221="","",TEXT(Q221,"hh:mm:ss"))</x:f>
      </x:c>
      <x:c r="S221" s="12" t="str">
        <x:v>否</x:v>
      </x:c>
      <x:c r="T221" s="12" t="str">
        <x:v>否</x:v>
      </x:c>
      <x:c r="U221" s="12" t="str">
        <x:v>未提供</x:v>
      </x:c>
      <x:c r="V221" s="12" t="str">
        <x:v>未提供</x:v>
      </x:c>
      <x:c r="W221" s="12" t="str">
        <x:v>秒级预测</x:v>
      </x:c>
      <x:c r="X221" s="12" t="str">
        <x:v>基于路线秒级参数；如录入实测或手动采用秒，预计到达时间可随公式更新</x:v>
      </x:c>
    </x:row>
    <x:row r="222">
      <x:c r="A222" s="12" t="str">
        <x:v>S0019-03</x:v>
      </x:c>
      <x:c r="B222" s="12" t="str">
        <x:v>S0019</x:v>
      </x:c>
      <x:c r="C222" s="12" t="str">
        <x:v>工作日</x:v>
      </x:c>
      <x:c r="D222" s="12" t="str">
        <x:v>环线1路</x:v>
      </x:c>
      <x:c r="E222" s="12" t="str">
        <x:v>第三班</x:v>
      </x:c>
      <x:c r="F222" s="12" t="n">
        <x:v>8</x:v>
      </x:c>
      <x:c r="G222" s="12" t="str">
        <x:v>11:50</x:v>
      </x:c>
      <x:c r="H222" s="12" t="n">
        <x:v>710</x:v>
      </x:c>
      <x:c r="I222" s="12" t="str">
        <x:v>研究生宿舍楼</x:v>
      </x:c>
      <x:c r="J222" s="12" t="str">
        <x:v>研究生宿舍楼发车</x:v>
      </x:c>
      <x:c r="K222" s="12" t="str">
        <x:v>HX1_NORMAL</x:v>
      </x:c>
      <x:c r="L222" s="12" t="n">
        <x:v>3</x:v>
      </x:c>
      <x:c r="M222" s="12" t="str">
        <x:v>HX1_NORMAL|3</x:v>
      </x:c>
      <x:c r="N222" s="12" t="str">
        <x:v>2号宿舍楼</x:v>
      </x:c>
      <x:c r="O222" s="12" t="n">
        <x:f>IFERROR(INDEX('秒级路线参数_可调整'!$O:$O,MATCH(M222,'秒级路线参数_可调整'!$A:$A,0)),"")</x:f>
        <x:v>0</x:v>
      </x:c>
      <x:c r="P222" s="12" t="str">
        <x:f>IF(O222="","",O222/86400)</x:f>
      </x:c>
      <x:c r="Q222" s="12" t="str">
        <x:f>IF(O222="","",(H222*60+O222)/86400)</x:f>
      </x:c>
      <x:c r="R222" s="12" t="str">
        <x:f>IF(Q222="","",TEXT(Q222,"hh:mm:ss"))</x:f>
      </x:c>
      <x:c r="S222" s="12" t="str">
        <x:v>否</x:v>
      </x:c>
      <x:c r="T222" s="12" t="str">
        <x:v>否</x:v>
      </x:c>
      <x:c r="U222" s="12" t="str">
        <x:v>未提供</x:v>
      </x:c>
      <x:c r="V222" s="12" t="str">
        <x:v>未提供</x:v>
      </x:c>
      <x:c r="W222" s="12" t="str">
        <x:v>秒级预测</x:v>
      </x:c>
      <x:c r="X222" s="12" t="str">
        <x:v>基于路线秒级参数；如录入实测或手动采用秒，预计到达时间可随公式更新</x:v>
      </x:c>
    </x:row>
    <x:row r="223">
      <x:c r="A223" s="12" t="str">
        <x:v>S0019-04</x:v>
      </x:c>
      <x:c r="B223" s="12" t="str">
        <x:v>S0019</x:v>
      </x:c>
      <x:c r="C223" s="12" t="str">
        <x:v>工作日</x:v>
      </x:c>
      <x:c r="D223" s="12" t="str">
        <x:v>环线1路</x:v>
      </x:c>
      <x:c r="E223" s="12" t="str">
        <x:v>第三班</x:v>
      </x:c>
      <x:c r="F223" s="12" t="n">
        <x:v>8</x:v>
      </x:c>
      <x:c r="G223" s="12" t="str">
        <x:v>11:50</x:v>
      </x:c>
      <x:c r="H223" s="12" t="n">
        <x:v>710</x:v>
      </x:c>
      <x:c r="I223" s="12" t="str">
        <x:v>研究生宿舍楼</x:v>
      </x:c>
      <x:c r="J223" s="12" t="str">
        <x:v>研究生宿舍楼发车</x:v>
      </x:c>
      <x:c r="K223" s="12" t="str">
        <x:v>HX1_NORMAL</x:v>
      </x:c>
      <x:c r="L223" s="12" t="n">
        <x:v>4</x:v>
      </x:c>
      <x:c r="M223" s="12" t="str">
        <x:v>HX1_NORMAL|4</x:v>
      </x:c>
      <x:c r="N223" s="12" t="str">
        <x:v>军体活动中心</x:v>
      </x:c>
      <x:c r="O223" s="12" t="n">
        <x:f>IFERROR(INDEX('秒级路线参数_可调整'!$O:$O,MATCH(M223,'秒级路线参数_可调整'!$A:$A,0)),"")</x:f>
        <x:v>0</x:v>
      </x:c>
      <x:c r="P223" s="12" t="str">
        <x:f>IF(O223="","",O223/86400)</x:f>
      </x:c>
      <x:c r="Q223" s="12" t="str">
        <x:f>IF(O223="","",(H223*60+O223)/86400)</x:f>
      </x:c>
      <x:c r="R223" s="12" t="str">
        <x:f>IF(Q223="","",TEXT(Q223,"hh:mm:ss"))</x:f>
      </x:c>
      <x:c r="S223" s="12" t="str">
        <x:v>否</x:v>
      </x:c>
      <x:c r="T223" s="12" t="str">
        <x:v>否</x:v>
      </x:c>
      <x:c r="U223" s="12" t="str">
        <x:v>未提供</x:v>
      </x:c>
      <x:c r="V223" s="12" t="str">
        <x:v>未提供</x:v>
      </x:c>
      <x:c r="W223" s="12" t="str">
        <x:v>秒级预测</x:v>
      </x:c>
      <x:c r="X223" s="12" t="str">
        <x:v>基于路线秒级参数；如录入实测或手动采用秒，预计到达时间可随公式更新</x:v>
      </x:c>
    </x:row>
    <x:row r="224">
      <x:c r="A224" s="12" t="str">
        <x:v>S0019-05</x:v>
      </x:c>
      <x:c r="B224" s="12" t="str">
        <x:v>S0019</x:v>
      </x:c>
      <x:c r="C224" s="12" t="str">
        <x:v>工作日</x:v>
      </x:c>
      <x:c r="D224" s="12" t="str">
        <x:v>环线1路</x:v>
      </x:c>
      <x:c r="E224" s="12" t="str">
        <x:v>第三班</x:v>
      </x:c>
      <x:c r="F224" s="12" t="n">
        <x:v>8</x:v>
      </x:c>
      <x:c r="G224" s="12" t="str">
        <x:v>11:50</x:v>
      </x:c>
      <x:c r="H224" s="12" t="n">
        <x:v>710</x:v>
      </x:c>
      <x:c r="I224" s="12" t="str">
        <x:v>研究生宿舍楼</x:v>
      </x:c>
      <x:c r="J224" s="12" t="str">
        <x:v>研究生宿舍楼发车</x:v>
      </x:c>
      <x:c r="K224" s="12" t="str">
        <x:v>HX1_NORMAL</x:v>
      </x:c>
      <x:c r="L224" s="12" t="n">
        <x:v>5</x:v>
      </x:c>
      <x:c r="M224" s="12" t="str">
        <x:v>HX1_NORMAL|5</x:v>
      </x:c>
      <x:c r="N224" s="12" t="str">
        <x:v>激光所</x:v>
      </x:c>
      <x:c r="O224" s="12" t="n">
        <x:f>IFERROR(INDEX('秒级路线参数_可调整'!$O:$O,MATCH(M224,'秒级路线参数_可调整'!$A:$A,0)),"")</x:f>
        <x:v>0</x:v>
      </x:c>
      <x:c r="P224" s="12" t="str">
        <x:f>IF(O224="","",O224/86400)</x:f>
      </x:c>
      <x:c r="Q224" s="12" t="str">
        <x:f>IF(O224="","",(H224*60+O224)/86400)</x:f>
      </x:c>
      <x:c r="R224" s="12" t="str">
        <x:f>IF(Q224="","",TEXT(Q224,"hh:mm:ss"))</x:f>
      </x:c>
      <x:c r="S224" s="12" t="str">
        <x:v>否</x:v>
      </x:c>
      <x:c r="T224" s="12" t="str">
        <x:v>否</x:v>
      </x:c>
      <x:c r="U224" s="12" t="str">
        <x:v>未提供</x:v>
      </x:c>
      <x:c r="V224" s="12" t="str">
        <x:v>未提供</x:v>
      </x:c>
      <x:c r="W224" s="12" t="str">
        <x:v>秒级预测</x:v>
      </x:c>
      <x:c r="X224" s="12" t="str">
        <x:v>基于路线秒级参数；如录入实测或手动采用秒，预计到达时间可随公式更新</x:v>
      </x:c>
    </x:row>
    <x:row r="225">
      <x:c r="A225" s="12" t="str">
        <x:v>S0019-06</x:v>
      </x:c>
      <x:c r="B225" s="12" t="str">
        <x:v>S0019</x:v>
      </x:c>
      <x:c r="C225" s="12" t="str">
        <x:v>工作日</x:v>
      </x:c>
      <x:c r="D225" s="12" t="str">
        <x:v>环线1路</x:v>
      </x:c>
      <x:c r="E225" s="12" t="str">
        <x:v>第三班</x:v>
      </x:c>
      <x:c r="F225" s="12" t="n">
        <x:v>8</x:v>
      </x:c>
      <x:c r="G225" s="12" t="str">
        <x:v>11:50</x:v>
      </x:c>
      <x:c r="H225" s="12" t="n">
        <x:v>710</x:v>
      </x:c>
      <x:c r="I225" s="12" t="str">
        <x:v>研究生宿舍楼</x:v>
      </x:c>
      <x:c r="J225" s="12" t="str">
        <x:v>研究生宿舍楼发车</x:v>
      </x:c>
      <x:c r="K225" s="12" t="str">
        <x:v>HX1_NORMAL</x:v>
      </x:c>
      <x:c r="L225" s="12" t="n">
        <x:v>6</x:v>
      </x:c>
      <x:c r="M225" s="12" t="str">
        <x:v>HX1_NORMAL|6</x:v>
      </x:c>
      <x:c r="N225" s="12" t="str">
        <x:v>超算中心</x:v>
      </x:c>
      <x:c r="O225" s="12" t="n">
        <x:f>IFERROR(INDEX('秒级路线参数_可调整'!$O:$O,MATCH(M225,'秒级路线参数_可调整'!$A:$A,0)),"")</x:f>
        <x:v>0</x:v>
      </x:c>
      <x:c r="P225" s="12" t="str">
        <x:f>IF(O225="","",O225/86400)</x:f>
      </x:c>
      <x:c r="Q225" s="12" t="str">
        <x:f>IF(O225="","",(H225*60+O225)/86400)</x:f>
      </x:c>
      <x:c r="R225" s="12" t="str">
        <x:f>IF(Q225="","",TEXT(Q225,"hh:mm:ss"))</x:f>
      </x:c>
      <x:c r="S225" s="12" t="str">
        <x:v>否</x:v>
      </x:c>
      <x:c r="T225" s="12" t="str">
        <x:v>否</x:v>
      </x:c>
      <x:c r="U225" s="12" t="str">
        <x:v>未提供</x:v>
      </x:c>
      <x:c r="V225" s="12" t="str">
        <x:v>未提供</x:v>
      </x:c>
      <x:c r="W225" s="12" t="str">
        <x:v>秒级预测</x:v>
      </x:c>
      <x:c r="X225" s="12" t="str">
        <x:v>基于路线秒级参数；如录入实测或手动采用秒，预计到达时间可随公式更新</x:v>
      </x:c>
    </x:row>
    <x:row r="226">
      <x:c r="A226" s="12" t="str">
        <x:v>S0019-07</x:v>
      </x:c>
      <x:c r="B226" s="12" t="str">
        <x:v>S0019</x:v>
      </x:c>
      <x:c r="C226" s="12" t="str">
        <x:v>工作日</x:v>
      </x:c>
      <x:c r="D226" s="12" t="str">
        <x:v>环线1路</x:v>
      </x:c>
      <x:c r="E226" s="12" t="str">
        <x:v>第三班</x:v>
      </x:c>
      <x:c r="F226" s="12" t="n">
        <x:v>8</x:v>
      </x:c>
      <x:c r="G226" s="12" t="str">
        <x:v>11:50</x:v>
      </x:c>
      <x:c r="H226" s="12" t="n">
        <x:v>710</x:v>
      </x:c>
      <x:c r="I226" s="12" t="str">
        <x:v>研究生宿舍楼</x:v>
      </x:c>
      <x:c r="J226" s="12" t="str">
        <x:v>研究生宿舍楼发车</x:v>
      </x:c>
      <x:c r="K226" s="12" t="str">
        <x:v>HX1_NORMAL</x:v>
      </x:c>
      <x:c r="L226" s="12" t="n">
        <x:v>7</x:v>
      </x:c>
      <x:c r="M226" s="12" t="str">
        <x:v>HX1_NORMAL|7</x:v>
      </x:c>
      <x:c r="N226" s="12" t="str">
        <x:v>北门</x:v>
      </x:c>
      <x:c r="O226" s="12" t="n">
        <x:f>IFERROR(INDEX('秒级路线参数_可调整'!$O:$O,MATCH(M226,'秒级路线参数_可调整'!$A:$A,0)),"")</x:f>
        <x:v>0</x:v>
      </x:c>
      <x:c r="P226" s="12" t="str">
        <x:f>IF(O226="","",O226/86400)</x:f>
      </x:c>
      <x:c r="Q226" s="12" t="str">
        <x:f>IF(O226="","",(H226*60+O226)/86400)</x:f>
      </x:c>
      <x:c r="R226" s="12" t="str">
        <x:f>IF(Q226="","",TEXT(Q226,"hh:mm:ss"))</x:f>
      </x:c>
      <x:c r="S226" s="12" t="str">
        <x:v>否</x:v>
      </x:c>
      <x:c r="T226" s="12" t="str">
        <x:v>否</x:v>
      </x:c>
      <x:c r="U226" s="12" t="str">
        <x:v>未提供</x:v>
      </x:c>
      <x:c r="V226" s="12" t="str">
        <x:v>未提供</x:v>
      </x:c>
      <x:c r="W226" s="12" t="str">
        <x:v>秒级预测</x:v>
      </x:c>
      <x:c r="X226" s="12" t="str">
        <x:v>基于路线秒级参数；如录入实测或手动采用秒，预计到达时间可随公式更新</x:v>
      </x:c>
    </x:row>
    <x:row r="227">
      <x:c r="A227" s="12" t="str">
        <x:v>S0019-08</x:v>
      </x:c>
      <x:c r="B227" s="12" t="str">
        <x:v>S0019</x:v>
      </x:c>
      <x:c r="C227" s="12" t="str">
        <x:v>工作日</x:v>
      </x:c>
      <x:c r="D227" s="12" t="str">
        <x:v>环线1路</x:v>
      </x:c>
      <x:c r="E227" s="12" t="str">
        <x:v>第三班</x:v>
      </x:c>
      <x:c r="F227" s="12" t="n">
        <x:v>8</x:v>
      </x:c>
      <x:c r="G227" s="12" t="str">
        <x:v>11:50</x:v>
      </x:c>
      <x:c r="H227" s="12" t="n">
        <x:v>710</x:v>
      </x:c>
      <x:c r="I227" s="12" t="str">
        <x:v>研究生宿舍楼</x:v>
      </x:c>
      <x:c r="J227" s="12" t="str">
        <x:v>研究生宿舍楼发车</x:v>
      </x:c>
      <x:c r="K227" s="12" t="str">
        <x:v>HX1_NORMAL</x:v>
      </x:c>
      <x:c r="L227" s="12" t="n">
        <x:v>8</x:v>
      </x:c>
      <x:c r="M227" s="12" t="str">
        <x:v>HX1_NORMAL|8</x:v>
      </x:c>
      <x:c r="N227" s="12" t="str">
        <x:v>高超楼</x:v>
      </x:c>
      <x:c r="O227" s="12" t="n">
        <x:f>IFERROR(INDEX('秒级路线参数_可调整'!$O:$O,MATCH(M227,'秒级路线参数_可调整'!$A:$A,0)),"")</x:f>
        <x:v>0</x:v>
      </x:c>
      <x:c r="P227" s="12" t="str">
        <x:f>IF(O227="","",O227/86400)</x:f>
      </x:c>
      <x:c r="Q227" s="12" t="str">
        <x:f>IF(O227="","",(H227*60+O227)/86400)</x:f>
      </x:c>
      <x:c r="R227" s="12" t="str">
        <x:f>IF(Q227="","",TEXT(Q227,"hh:mm:ss"))</x:f>
      </x:c>
      <x:c r="S227" s="12" t="str">
        <x:v>否</x:v>
      </x:c>
      <x:c r="T227" s="12" t="str">
        <x:v>否</x:v>
      </x:c>
      <x:c r="U227" s="12" t="str">
        <x:v>未提供</x:v>
      </x:c>
      <x:c r="V227" s="12" t="str">
        <x:v>未提供</x:v>
      </x:c>
      <x:c r="W227" s="12" t="str">
        <x:v>秒级预测</x:v>
      </x:c>
      <x:c r="X227" s="12" t="str">
        <x:v>基于路线秒级参数；如录入实测或手动采用秒，预计到达时间可随公式更新</x:v>
      </x:c>
    </x:row>
    <x:row r="228">
      <x:c r="A228" s="12" t="str">
        <x:v>S0019-09</x:v>
      </x:c>
      <x:c r="B228" s="12" t="str">
        <x:v>S0019</x:v>
      </x:c>
      <x:c r="C228" s="12" t="str">
        <x:v>工作日</x:v>
      </x:c>
      <x:c r="D228" s="12" t="str">
        <x:v>环线1路</x:v>
      </x:c>
      <x:c r="E228" s="12" t="str">
        <x:v>第三班</x:v>
      </x:c>
      <x:c r="F228" s="12" t="n">
        <x:v>8</x:v>
      </x:c>
      <x:c r="G228" s="12" t="str">
        <x:v>11:50</x:v>
      </x:c>
      <x:c r="H228" s="12" t="n">
        <x:v>710</x:v>
      </x:c>
      <x:c r="I228" s="12" t="str">
        <x:v>研究生宿舍楼</x:v>
      </x:c>
      <x:c r="J228" s="12" t="str">
        <x:v>研究生宿舍楼发车</x:v>
      </x:c>
      <x:c r="K228" s="12" t="str">
        <x:v>HX1_NORMAL</x:v>
      </x:c>
      <x:c r="L228" s="12" t="n">
        <x:v>9</x:v>
      </x:c>
      <x:c r="M228" s="12" t="str">
        <x:v>HX1_NORMAL|9</x:v>
      </x:c>
      <x:c r="N228" s="12" t="str">
        <x:v>理学院</x:v>
      </x:c>
      <x:c r="O228" s="12" t="n">
        <x:f>IFERROR(INDEX('秒级路线参数_可调整'!$O:$O,MATCH(M228,'秒级路线参数_可调整'!$A:$A,0)),"")</x:f>
        <x:v>0</x:v>
      </x:c>
      <x:c r="P228" s="12" t="str">
        <x:f>IF(O228="","",O228/86400)</x:f>
      </x:c>
      <x:c r="Q228" s="12" t="str">
        <x:f>IF(O228="","",(H228*60+O228)/86400)</x:f>
      </x:c>
      <x:c r="R228" s="12" t="str">
        <x:f>IF(Q228="","",TEXT(Q228,"hh:mm:ss"))</x:f>
      </x:c>
      <x:c r="S228" s="12" t="str">
        <x:v>否</x:v>
      </x:c>
      <x:c r="T228" s="12" t="str">
        <x:v>否</x:v>
      </x:c>
      <x:c r="U228" s="12" t="str">
        <x:v>未提供</x:v>
      </x:c>
      <x:c r="V228" s="12" t="str">
        <x:v>未提供</x:v>
      </x:c>
      <x:c r="W228" s="12" t="str">
        <x:v>秒级预测</x:v>
      </x:c>
      <x:c r="X228" s="12" t="str">
        <x:v>基于路线秒级参数；如录入实测或手动采用秒，预计到达时间可随公式更新</x:v>
      </x:c>
    </x:row>
    <x:row r="229">
      <x:c r="A229" s="12" t="str">
        <x:v>S0019-10</x:v>
      </x:c>
      <x:c r="B229" s="12" t="str">
        <x:v>S0019</x:v>
      </x:c>
      <x:c r="C229" s="12" t="str">
        <x:v>工作日</x:v>
      </x:c>
      <x:c r="D229" s="12" t="str">
        <x:v>环线1路</x:v>
      </x:c>
      <x:c r="E229" s="12" t="str">
        <x:v>第三班</x:v>
      </x:c>
      <x:c r="F229" s="12" t="n">
        <x:v>8</x:v>
      </x:c>
      <x:c r="G229" s="12" t="str">
        <x:v>11:50</x:v>
      </x:c>
      <x:c r="H229" s="12" t="n">
        <x:v>710</x:v>
      </x:c>
      <x:c r="I229" s="12" t="str">
        <x:v>研究生宿舍楼</x:v>
      </x:c>
      <x:c r="J229" s="12" t="str">
        <x:v>研究生宿舍楼发车</x:v>
      </x:c>
      <x:c r="K229" s="12" t="str">
        <x:v>HX1_NORMAL</x:v>
      </x:c>
      <x:c r="L229" s="12" t="n">
        <x:v>10</x:v>
      </x:c>
      <x:c r="M229" s="12" t="str">
        <x:v>HX1_NORMAL|10</x:v>
      </x:c>
      <x:c r="N229" s="12" t="str">
        <x:v>二食堂</x:v>
      </x:c>
      <x:c r="O229" s="12" t="n">
        <x:f>IFERROR(INDEX('秒级路线参数_可调整'!$O:$O,MATCH(M229,'秒级路线参数_可调整'!$A:$A,0)),"")</x:f>
        <x:v>0</x:v>
      </x:c>
      <x:c r="P229" s="12" t="str">
        <x:f>IF(O229="","",O229/86400)</x:f>
      </x:c>
      <x:c r="Q229" s="12" t="str">
        <x:f>IF(O229="","",(H229*60+O229)/86400)</x:f>
      </x:c>
      <x:c r="R229" s="12" t="str">
        <x:f>IF(Q229="","",TEXT(Q229,"hh:mm:ss"))</x:f>
      </x:c>
      <x:c r="S229" s="12" t="str">
        <x:v>否</x:v>
      </x:c>
      <x:c r="T229" s="12" t="str">
        <x:v>否</x:v>
      </x:c>
      <x:c r="U229" s="12" t="str">
        <x:v>未提供</x:v>
      </x:c>
      <x:c r="V229" s="12" t="str">
        <x:v>未提供</x:v>
      </x:c>
      <x:c r="W229" s="12" t="str">
        <x:v>秒级预测</x:v>
      </x:c>
      <x:c r="X229" s="12" t="str">
        <x:v>基于路线秒级参数；如录入实测或手动采用秒，预计到达时间可随公式更新</x:v>
      </x:c>
    </x:row>
    <x:row r="230">
      <x:c r="A230" s="12" t="str">
        <x:v>S0019-11</x:v>
      </x:c>
      <x:c r="B230" s="12" t="str">
        <x:v>S0019</x:v>
      </x:c>
      <x:c r="C230" s="12" t="str">
        <x:v>工作日</x:v>
      </x:c>
      <x:c r="D230" s="12" t="str">
        <x:v>环线1路</x:v>
      </x:c>
      <x:c r="E230" s="12" t="str">
        <x:v>第三班</x:v>
      </x:c>
      <x:c r="F230" s="12" t="n">
        <x:v>8</x:v>
      </x:c>
      <x:c r="G230" s="12" t="str">
        <x:v>11:50</x:v>
      </x:c>
      <x:c r="H230" s="12" t="n">
        <x:v>710</x:v>
      </x:c>
      <x:c r="I230" s="12" t="str">
        <x:v>研究生宿舍楼</x:v>
      </x:c>
      <x:c r="J230" s="12" t="str">
        <x:v>研究生宿舍楼发车</x:v>
      </x:c>
      <x:c r="K230" s="12" t="str">
        <x:v>HX1_NORMAL</x:v>
      </x:c>
      <x:c r="L230" s="12" t="n">
        <x:v>11</x:v>
      </x:c>
      <x:c r="M230" s="12" t="str">
        <x:v>HX1_NORMAL|11</x:v>
      </x:c>
      <x:c r="N230" s="12" t="str">
        <x:v>5号宿舍楼</x:v>
      </x:c>
      <x:c r="O230" s="12" t="n">
        <x:f>IFERROR(INDEX('秒级路线参数_可调整'!$O:$O,MATCH(M230,'秒级路线参数_可调整'!$A:$A,0)),"")</x:f>
        <x:v>0</x:v>
      </x:c>
      <x:c r="P230" s="12" t="str">
        <x:f>IF(O230="","",O230/86400)</x:f>
      </x:c>
      <x:c r="Q230" s="12" t="str">
        <x:f>IF(O230="","",(H230*60+O230)/86400)</x:f>
      </x:c>
      <x:c r="R230" s="12" t="str">
        <x:f>IF(Q230="","",TEXT(Q230,"hh:mm:ss"))</x:f>
      </x:c>
      <x:c r="S230" s="12" t="str">
        <x:v>否</x:v>
      </x:c>
      <x:c r="T230" s="12" t="str">
        <x:v>否</x:v>
      </x:c>
      <x:c r="U230" s="12" t="str">
        <x:v>未提供</x:v>
      </x:c>
      <x:c r="V230" s="12" t="str">
        <x:v>未提供</x:v>
      </x:c>
      <x:c r="W230" s="12" t="str">
        <x:v>秒级预测</x:v>
      </x:c>
      <x:c r="X230" s="12" t="str">
        <x:v>基于路线秒级参数；如录入实测或手动采用秒，预计到达时间可随公式更新</x:v>
      </x:c>
    </x:row>
    <x:row r="231">
      <x:c r="A231" s="12" t="str">
        <x:v>S0019-12</x:v>
      </x:c>
      <x:c r="B231" s="12" t="str">
        <x:v>S0019</x:v>
      </x:c>
      <x:c r="C231" s="12" t="str">
        <x:v>工作日</x:v>
      </x:c>
      <x:c r="D231" s="12" t="str">
        <x:v>环线1路</x:v>
      </x:c>
      <x:c r="E231" s="12" t="str">
        <x:v>第三班</x:v>
      </x:c>
      <x:c r="F231" s="12" t="n">
        <x:v>8</x:v>
      </x:c>
      <x:c r="G231" s="12" t="str">
        <x:v>11:50</x:v>
      </x:c>
      <x:c r="H231" s="12" t="n">
        <x:v>710</x:v>
      </x:c>
      <x:c r="I231" s="12" t="str">
        <x:v>研究生宿舍楼</x:v>
      </x:c>
      <x:c r="J231" s="12" t="str">
        <x:v>研究生宿舍楼发车</x:v>
      </x:c>
      <x:c r="K231" s="12" t="str">
        <x:v>HX1_NORMAL</x:v>
      </x:c>
      <x:c r="L231" s="12" t="n">
        <x:v>12</x:v>
      </x:c>
      <x:c r="M231" s="12" t="str">
        <x:v>HX1_NORMAL|12</x:v>
      </x:c>
      <x:c r="N231" s="12" t="str">
        <x:v>305教学楼</x:v>
      </x:c>
      <x:c r="O231" s="12" t="n">
        <x:f>IFERROR(INDEX('秒级路线参数_可调整'!$O:$O,MATCH(M231,'秒级路线参数_可调整'!$A:$A,0)),"")</x:f>
        <x:v>0</x:v>
      </x:c>
      <x:c r="P231" s="12" t="str">
        <x:f>IF(O231="","",O231/86400)</x:f>
      </x:c>
      <x:c r="Q231" s="12" t="str">
        <x:f>IF(O231="","",(H231*60+O231)/86400)</x:f>
      </x:c>
      <x:c r="R231" s="12" t="str">
        <x:f>IF(Q231="","",TEXT(Q231,"hh:mm:ss"))</x:f>
      </x:c>
      <x:c r="S231" s="12" t="str">
        <x:v>否</x:v>
      </x:c>
      <x:c r="T231" s="12" t="str">
        <x:v>否</x:v>
      </x:c>
      <x:c r="U231" s="12" t="str">
        <x:v>未提供</x:v>
      </x:c>
      <x:c r="V231" s="12" t="str">
        <x:v>未提供</x:v>
      </x:c>
      <x:c r="W231" s="12" t="str">
        <x:v>秒级预测</x:v>
      </x:c>
      <x:c r="X231" s="12" t="str">
        <x:v>基于路线秒级参数；如录入实测或手动采用秒，预计到达时间可随公式更新</x:v>
      </x:c>
    </x:row>
    <x:row r="232">
      <x:c r="A232" s="12" t="str">
        <x:v>S0019-13</x:v>
      </x:c>
      <x:c r="B232" s="12" t="str">
        <x:v>S0019</x:v>
      </x:c>
      <x:c r="C232" s="12" t="str">
        <x:v>工作日</x:v>
      </x:c>
      <x:c r="D232" s="12" t="str">
        <x:v>环线1路</x:v>
      </x:c>
      <x:c r="E232" s="12" t="str">
        <x:v>第三班</x:v>
      </x:c>
      <x:c r="F232" s="12" t="n">
        <x:v>8</x:v>
      </x:c>
      <x:c r="G232" s="12" t="str">
        <x:v>11:50</x:v>
      </x:c>
      <x:c r="H232" s="12" t="n">
        <x:v>710</x:v>
      </x:c>
      <x:c r="I232" s="12" t="str">
        <x:v>研究生宿舍楼</x:v>
      </x:c>
      <x:c r="J232" s="12" t="str">
        <x:v>研究生宿舍楼发车</x:v>
      </x:c>
      <x:c r="K232" s="12" t="str">
        <x:v>HX1_NORMAL</x:v>
      </x:c>
      <x:c r="L232" s="12" t="n">
        <x:v>13</x:v>
      </x:c>
      <x:c r="M232" s="12" t="str">
        <x:v>HX1_NORMAL|13</x:v>
      </x:c>
      <x:c r="N232" s="12" t="str">
        <x:v>研究生宿舍楼</x:v>
      </x:c>
      <x:c r="O232" s="12" t="n">
        <x:f>IFERROR(INDEX('秒级路线参数_可调整'!$O:$O,MATCH(M232,'秒级路线参数_可调整'!$A:$A,0)),"")</x:f>
        <x:v>0</x:v>
      </x:c>
      <x:c r="P232" s="12" t="str">
        <x:f>IF(O232="","",O232/86400)</x:f>
      </x:c>
      <x:c r="Q232" s="12" t="str">
        <x:f>IF(O232="","",(H232*60+O232)/86400)</x:f>
      </x:c>
      <x:c r="R232" s="12" t="str">
        <x:f>IF(Q232="","",TEXT(Q232,"hh:mm:ss"))</x:f>
      </x:c>
      <x:c r="S232" s="12" t="str">
        <x:v>否</x:v>
      </x:c>
      <x:c r="T232" s="12" t="str">
        <x:v>是</x:v>
      </x:c>
      <x:c r="U232" s="12" t="str">
        <x:v>未提供</x:v>
      </x:c>
      <x:c r="V232" s="12" t="str">
        <x:v>未提供</x:v>
      </x:c>
      <x:c r="W232" s="12" t="str">
        <x:v>秒级预测</x:v>
      </x:c>
      <x:c r="X232" s="12" t="str">
        <x:v>基于路线秒级参数；如录入实测或手动采用秒，预计到达时间可随公式更新</x:v>
      </x:c>
    </x:row>
    <x:row r="233">
      <x:c r="A233" s="12" t="str">
        <x:v>S0020-01</x:v>
      </x:c>
      <x:c r="B233" s="12" t="str">
        <x:v>S0020</x:v>
      </x:c>
      <x:c r="C233" s="12" t="str">
        <x:v>工作日</x:v>
      </x:c>
      <x:c r="D233" s="12" t="str">
        <x:v>环线1路</x:v>
      </x:c>
      <x:c r="E233" s="12" t="str">
        <x:v>第三班</x:v>
      </x:c>
      <x:c r="F233" s="12" t="n">
        <x:v>9</x:v>
      </x:c>
      <x:c r="G233" s="12" t="str">
        <x:v>12:25</x:v>
      </x:c>
      <x:c r="H233" s="12" t="n">
        <x:v>745</x:v>
      </x:c>
      <x:c r="I233" s="12" t="str">
        <x:v>研究生宿舍楼</x:v>
      </x:c>
      <x:c r="J233" s="12" t="str">
        <x:v>研究生宿舍楼发车</x:v>
      </x:c>
      <x:c r="K233" s="12" t="str">
        <x:v>HX1_NORMAL</x:v>
      </x:c>
      <x:c r="L233" s="12" t="n">
        <x:v>1</x:v>
      </x:c>
      <x:c r="M233" s="12" t="str">
        <x:v>HX1_NORMAL|1</x:v>
      </x:c>
      <x:c r="N233" s="12" t="str">
        <x:v>研究生宿舍楼</x:v>
      </x:c>
      <x:c r="O233" s="12" t="n">
        <x:f>IFERROR(INDEX('秒级路线参数_可调整'!$O:$O,MATCH(M233,'秒级路线参数_可调整'!$A:$A,0)),"")</x:f>
        <x:v>0</x:v>
      </x:c>
      <x:c r="P233" s="12" t="str">
        <x:f>IF(O233="","",O233/86400)</x:f>
      </x:c>
      <x:c r="Q233" s="12" t="str">
        <x:f>IF(O233="","",(H233*60+O233)/86400)</x:f>
      </x:c>
      <x:c r="R233" s="12" t="str">
        <x:f>IF(Q233="","",TEXT(Q233,"hh:mm:ss"))</x:f>
      </x:c>
      <x:c r="S233" s="12" t="str">
        <x:v>是</x:v>
      </x:c>
      <x:c r="T233" s="12" t="str">
        <x:v>否</x:v>
      </x:c>
      <x:c r="U233" s="12" t="str">
        <x:v>未提供</x:v>
      </x:c>
      <x:c r="V233" s="12" t="str">
        <x:v>未提供</x:v>
      </x:c>
      <x:c r="W233" s="12" t="str">
        <x:v>秒级预测</x:v>
      </x:c>
      <x:c r="X233" s="12" t="str">
        <x:v>基于路线秒级参数；如录入实测或手动采用秒，预计到达时间可随公式更新</x:v>
      </x:c>
    </x:row>
    <x:row r="234">
      <x:c r="A234" s="12" t="str">
        <x:v>S0020-02</x:v>
      </x:c>
      <x:c r="B234" s="12" t="str">
        <x:v>S0020</x:v>
      </x:c>
      <x:c r="C234" s="12" t="str">
        <x:v>工作日</x:v>
      </x:c>
      <x:c r="D234" s="12" t="str">
        <x:v>环线1路</x:v>
      </x:c>
      <x:c r="E234" s="12" t="str">
        <x:v>第三班</x:v>
      </x:c>
      <x:c r="F234" s="12" t="n">
        <x:v>9</x:v>
      </x:c>
      <x:c r="G234" s="12" t="str">
        <x:v>12:25</x:v>
      </x:c>
      <x:c r="H234" s="12" t="n">
        <x:v>745</x:v>
      </x:c>
      <x:c r="I234" s="12" t="str">
        <x:v>研究生宿舍楼</x:v>
      </x:c>
      <x:c r="J234" s="12" t="str">
        <x:v>研究生宿舍楼发车</x:v>
      </x:c>
      <x:c r="K234" s="12" t="str">
        <x:v>HX1_NORMAL</x:v>
      </x:c>
      <x:c r="L234" s="12" t="n">
        <x:v>2</x:v>
      </x:c>
      <x:c r="M234" s="12" t="str">
        <x:v>HX1_NORMAL|2</x:v>
      </x:c>
      <x:c r="N234" s="12" t="str">
        <x:v>东门</x:v>
      </x:c>
      <x:c r="O234" s="12" t="n">
        <x:f>IFERROR(INDEX('秒级路线参数_可调整'!$O:$O,MATCH(M234,'秒级路线参数_可调整'!$A:$A,0)),"")</x:f>
        <x:v>0</x:v>
      </x:c>
      <x:c r="P234" s="12" t="str">
        <x:f>IF(O234="","",O234/86400)</x:f>
      </x:c>
      <x:c r="Q234" s="12" t="str">
        <x:f>IF(O234="","",(H234*60+O234)/86400)</x:f>
      </x:c>
      <x:c r="R234" s="12" t="str">
        <x:f>IF(Q234="","",TEXT(Q234,"hh:mm:ss"))</x:f>
      </x:c>
      <x:c r="S234" s="12" t="str">
        <x:v>否</x:v>
      </x:c>
      <x:c r="T234" s="12" t="str">
        <x:v>否</x:v>
      </x:c>
      <x:c r="U234" s="12" t="str">
        <x:v>未提供</x:v>
      </x:c>
      <x:c r="V234" s="12" t="str">
        <x:v>未提供</x:v>
      </x:c>
      <x:c r="W234" s="12" t="str">
        <x:v>秒级预测</x:v>
      </x:c>
      <x:c r="X234" s="12" t="str">
        <x:v>基于路线秒级参数；如录入实测或手动采用秒，预计到达时间可随公式更新</x:v>
      </x:c>
    </x:row>
    <x:row r="235">
      <x:c r="A235" s="12" t="str">
        <x:v>S0020-03</x:v>
      </x:c>
      <x:c r="B235" s="12" t="str">
        <x:v>S0020</x:v>
      </x:c>
      <x:c r="C235" s="12" t="str">
        <x:v>工作日</x:v>
      </x:c>
      <x:c r="D235" s="12" t="str">
        <x:v>环线1路</x:v>
      </x:c>
      <x:c r="E235" s="12" t="str">
        <x:v>第三班</x:v>
      </x:c>
      <x:c r="F235" s="12" t="n">
        <x:v>9</x:v>
      </x:c>
      <x:c r="G235" s="12" t="str">
        <x:v>12:25</x:v>
      </x:c>
      <x:c r="H235" s="12" t="n">
        <x:v>745</x:v>
      </x:c>
      <x:c r="I235" s="12" t="str">
        <x:v>研究生宿舍楼</x:v>
      </x:c>
      <x:c r="J235" s="12" t="str">
        <x:v>研究生宿舍楼发车</x:v>
      </x:c>
      <x:c r="K235" s="12" t="str">
        <x:v>HX1_NORMAL</x:v>
      </x:c>
      <x:c r="L235" s="12" t="n">
        <x:v>3</x:v>
      </x:c>
      <x:c r="M235" s="12" t="str">
        <x:v>HX1_NORMAL|3</x:v>
      </x:c>
      <x:c r="N235" s="12" t="str">
        <x:v>2号宿舍楼</x:v>
      </x:c>
      <x:c r="O235" s="12" t="n">
        <x:f>IFERROR(INDEX('秒级路线参数_可调整'!$O:$O,MATCH(M235,'秒级路线参数_可调整'!$A:$A,0)),"")</x:f>
        <x:v>0</x:v>
      </x:c>
      <x:c r="P235" s="12" t="str">
        <x:f>IF(O235="","",O235/86400)</x:f>
      </x:c>
      <x:c r="Q235" s="12" t="str">
        <x:f>IF(O235="","",(H235*60+O235)/86400)</x:f>
      </x:c>
      <x:c r="R235" s="12" t="str">
        <x:f>IF(Q235="","",TEXT(Q235,"hh:mm:ss"))</x:f>
      </x:c>
      <x:c r="S235" s="12" t="str">
        <x:v>否</x:v>
      </x:c>
      <x:c r="T235" s="12" t="str">
        <x:v>否</x:v>
      </x:c>
      <x:c r="U235" s="12" t="str">
        <x:v>未提供</x:v>
      </x:c>
      <x:c r="V235" s="12" t="str">
        <x:v>未提供</x:v>
      </x:c>
      <x:c r="W235" s="12" t="str">
        <x:v>秒级预测</x:v>
      </x:c>
      <x:c r="X235" s="12" t="str">
        <x:v>基于路线秒级参数；如录入实测或手动采用秒，预计到达时间可随公式更新</x:v>
      </x:c>
    </x:row>
    <x:row r="236">
      <x:c r="A236" s="12" t="str">
        <x:v>S0020-04</x:v>
      </x:c>
      <x:c r="B236" s="12" t="str">
        <x:v>S0020</x:v>
      </x:c>
      <x:c r="C236" s="12" t="str">
        <x:v>工作日</x:v>
      </x:c>
      <x:c r="D236" s="12" t="str">
        <x:v>环线1路</x:v>
      </x:c>
      <x:c r="E236" s="12" t="str">
        <x:v>第三班</x:v>
      </x:c>
      <x:c r="F236" s="12" t="n">
        <x:v>9</x:v>
      </x:c>
      <x:c r="G236" s="12" t="str">
        <x:v>12:25</x:v>
      </x:c>
      <x:c r="H236" s="12" t="n">
        <x:v>745</x:v>
      </x:c>
      <x:c r="I236" s="12" t="str">
        <x:v>研究生宿舍楼</x:v>
      </x:c>
      <x:c r="J236" s="12" t="str">
        <x:v>研究生宿舍楼发车</x:v>
      </x:c>
      <x:c r="K236" s="12" t="str">
        <x:v>HX1_NORMAL</x:v>
      </x:c>
      <x:c r="L236" s="12" t="n">
        <x:v>4</x:v>
      </x:c>
      <x:c r="M236" s="12" t="str">
        <x:v>HX1_NORMAL|4</x:v>
      </x:c>
      <x:c r="N236" s="12" t="str">
        <x:v>军体活动中心</x:v>
      </x:c>
      <x:c r="O236" s="12" t="n">
        <x:f>IFERROR(INDEX('秒级路线参数_可调整'!$O:$O,MATCH(M236,'秒级路线参数_可调整'!$A:$A,0)),"")</x:f>
        <x:v>0</x:v>
      </x:c>
      <x:c r="P236" s="12" t="str">
        <x:f>IF(O236="","",O236/86400)</x:f>
      </x:c>
      <x:c r="Q236" s="12" t="str">
        <x:f>IF(O236="","",(H236*60+O236)/86400)</x:f>
      </x:c>
      <x:c r="R236" s="12" t="str">
        <x:f>IF(Q236="","",TEXT(Q236,"hh:mm:ss"))</x:f>
      </x:c>
      <x:c r="S236" s="12" t="str">
        <x:v>否</x:v>
      </x:c>
      <x:c r="T236" s="12" t="str">
        <x:v>否</x:v>
      </x:c>
      <x:c r="U236" s="12" t="str">
        <x:v>未提供</x:v>
      </x:c>
      <x:c r="V236" s="12" t="str">
        <x:v>未提供</x:v>
      </x:c>
      <x:c r="W236" s="12" t="str">
        <x:v>秒级预测</x:v>
      </x:c>
      <x:c r="X236" s="12" t="str">
        <x:v>基于路线秒级参数；如录入实测或手动采用秒，预计到达时间可随公式更新</x:v>
      </x:c>
    </x:row>
    <x:row r="237">
      <x:c r="A237" s="12" t="str">
        <x:v>S0020-05</x:v>
      </x:c>
      <x:c r="B237" s="12" t="str">
        <x:v>S0020</x:v>
      </x:c>
      <x:c r="C237" s="12" t="str">
        <x:v>工作日</x:v>
      </x:c>
      <x:c r="D237" s="12" t="str">
        <x:v>环线1路</x:v>
      </x:c>
      <x:c r="E237" s="12" t="str">
        <x:v>第三班</x:v>
      </x:c>
      <x:c r="F237" s="12" t="n">
        <x:v>9</x:v>
      </x:c>
      <x:c r="G237" s="12" t="str">
        <x:v>12:25</x:v>
      </x:c>
      <x:c r="H237" s="12" t="n">
        <x:v>745</x:v>
      </x:c>
      <x:c r="I237" s="12" t="str">
        <x:v>研究生宿舍楼</x:v>
      </x:c>
      <x:c r="J237" s="12" t="str">
        <x:v>研究生宿舍楼发车</x:v>
      </x:c>
      <x:c r="K237" s="12" t="str">
        <x:v>HX1_NORMAL</x:v>
      </x:c>
      <x:c r="L237" s="12" t="n">
        <x:v>5</x:v>
      </x:c>
      <x:c r="M237" s="12" t="str">
        <x:v>HX1_NORMAL|5</x:v>
      </x:c>
      <x:c r="N237" s="12" t="str">
        <x:v>激光所</x:v>
      </x:c>
      <x:c r="O237" s="12" t="n">
        <x:f>IFERROR(INDEX('秒级路线参数_可调整'!$O:$O,MATCH(M237,'秒级路线参数_可调整'!$A:$A,0)),"")</x:f>
        <x:v>0</x:v>
      </x:c>
      <x:c r="P237" s="12" t="str">
        <x:f>IF(O237="","",O237/86400)</x:f>
      </x:c>
      <x:c r="Q237" s="12" t="str">
        <x:f>IF(O237="","",(H237*60+O237)/86400)</x:f>
      </x:c>
      <x:c r="R237" s="12" t="str">
        <x:f>IF(Q237="","",TEXT(Q237,"hh:mm:ss"))</x:f>
      </x:c>
      <x:c r="S237" s="12" t="str">
        <x:v>否</x:v>
      </x:c>
      <x:c r="T237" s="12" t="str">
        <x:v>否</x:v>
      </x:c>
      <x:c r="U237" s="12" t="str">
        <x:v>未提供</x:v>
      </x:c>
      <x:c r="V237" s="12" t="str">
        <x:v>未提供</x:v>
      </x:c>
      <x:c r="W237" s="12" t="str">
        <x:v>秒级预测</x:v>
      </x:c>
      <x:c r="X237" s="12" t="str">
        <x:v>基于路线秒级参数；如录入实测或手动采用秒，预计到达时间可随公式更新</x:v>
      </x:c>
    </x:row>
    <x:row r="238">
      <x:c r="A238" s="12" t="str">
        <x:v>S0020-06</x:v>
      </x:c>
      <x:c r="B238" s="12" t="str">
        <x:v>S0020</x:v>
      </x:c>
      <x:c r="C238" s="12" t="str">
        <x:v>工作日</x:v>
      </x:c>
      <x:c r="D238" s="12" t="str">
        <x:v>环线1路</x:v>
      </x:c>
      <x:c r="E238" s="12" t="str">
        <x:v>第三班</x:v>
      </x:c>
      <x:c r="F238" s="12" t="n">
        <x:v>9</x:v>
      </x:c>
      <x:c r="G238" s="12" t="str">
        <x:v>12:25</x:v>
      </x:c>
      <x:c r="H238" s="12" t="n">
        <x:v>745</x:v>
      </x:c>
      <x:c r="I238" s="12" t="str">
        <x:v>研究生宿舍楼</x:v>
      </x:c>
      <x:c r="J238" s="12" t="str">
        <x:v>研究生宿舍楼发车</x:v>
      </x:c>
      <x:c r="K238" s="12" t="str">
        <x:v>HX1_NORMAL</x:v>
      </x:c>
      <x:c r="L238" s="12" t="n">
        <x:v>6</x:v>
      </x:c>
      <x:c r="M238" s="12" t="str">
        <x:v>HX1_NORMAL|6</x:v>
      </x:c>
      <x:c r="N238" s="12" t="str">
        <x:v>超算中心</x:v>
      </x:c>
      <x:c r="O238" s="12" t="n">
        <x:f>IFERROR(INDEX('秒级路线参数_可调整'!$O:$O,MATCH(M238,'秒级路线参数_可调整'!$A:$A,0)),"")</x:f>
        <x:v>0</x:v>
      </x:c>
      <x:c r="P238" s="12" t="str">
        <x:f>IF(O238="","",O238/86400)</x:f>
      </x:c>
      <x:c r="Q238" s="12" t="str">
        <x:f>IF(O238="","",(H238*60+O238)/86400)</x:f>
      </x:c>
      <x:c r="R238" s="12" t="str">
        <x:f>IF(Q238="","",TEXT(Q238,"hh:mm:ss"))</x:f>
      </x:c>
      <x:c r="S238" s="12" t="str">
        <x:v>否</x:v>
      </x:c>
      <x:c r="T238" s="12" t="str">
        <x:v>否</x:v>
      </x:c>
      <x:c r="U238" s="12" t="str">
        <x:v>未提供</x:v>
      </x:c>
      <x:c r="V238" s="12" t="str">
        <x:v>未提供</x:v>
      </x:c>
      <x:c r="W238" s="12" t="str">
        <x:v>秒级预测</x:v>
      </x:c>
      <x:c r="X238" s="12" t="str">
        <x:v>基于路线秒级参数；如录入实测或手动采用秒，预计到达时间可随公式更新</x:v>
      </x:c>
    </x:row>
    <x:row r="239">
      <x:c r="A239" s="12" t="str">
        <x:v>S0020-07</x:v>
      </x:c>
      <x:c r="B239" s="12" t="str">
        <x:v>S0020</x:v>
      </x:c>
      <x:c r="C239" s="12" t="str">
        <x:v>工作日</x:v>
      </x:c>
      <x:c r="D239" s="12" t="str">
        <x:v>环线1路</x:v>
      </x:c>
      <x:c r="E239" s="12" t="str">
        <x:v>第三班</x:v>
      </x:c>
      <x:c r="F239" s="12" t="n">
        <x:v>9</x:v>
      </x:c>
      <x:c r="G239" s="12" t="str">
        <x:v>12:25</x:v>
      </x:c>
      <x:c r="H239" s="12" t="n">
        <x:v>745</x:v>
      </x:c>
      <x:c r="I239" s="12" t="str">
        <x:v>研究生宿舍楼</x:v>
      </x:c>
      <x:c r="J239" s="12" t="str">
        <x:v>研究生宿舍楼发车</x:v>
      </x:c>
      <x:c r="K239" s="12" t="str">
        <x:v>HX1_NORMAL</x:v>
      </x:c>
      <x:c r="L239" s="12" t="n">
        <x:v>7</x:v>
      </x:c>
      <x:c r="M239" s="12" t="str">
        <x:v>HX1_NORMAL|7</x:v>
      </x:c>
      <x:c r="N239" s="12" t="str">
        <x:v>北门</x:v>
      </x:c>
      <x:c r="O239" s="12" t="n">
        <x:f>IFERROR(INDEX('秒级路线参数_可调整'!$O:$O,MATCH(M239,'秒级路线参数_可调整'!$A:$A,0)),"")</x:f>
        <x:v>0</x:v>
      </x:c>
      <x:c r="P239" s="12" t="str">
        <x:f>IF(O239="","",O239/86400)</x:f>
      </x:c>
      <x:c r="Q239" s="12" t="str">
        <x:f>IF(O239="","",(H239*60+O239)/86400)</x:f>
      </x:c>
      <x:c r="R239" s="12" t="str">
        <x:f>IF(Q239="","",TEXT(Q239,"hh:mm:ss"))</x:f>
      </x:c>
      <x:c r="S239" s="12" t="str">
        <x:v>否</x:v>
      </x:c>
      <x:c r="T239" s="12" t="str">
        <x:v>否</x:v>
      </x:c>
      <x:c r="U239" s="12" t="str">
        <x:v>未提供</x:v>
      </x:c>
      <x:c r="V239" s="12" t="str">
        <x:v>未提供</x:v>
      </x:c>
      <x:c r="W239" s="12" t="str">
        <x:v>秒级预测</x:v>
      </x:c>
      <x:c r="X239" s="12" t="str">
        <x:v>基于路线秒级参数；如录入实测或手动采用秒，预计到达时间可随公式更新</x:v>
      </x:c>
    </x:row>
    <x:row r="240">
      <x:c r="A240" s="12" t="str">
        <x:v>S0020-08</x:v>
      </x:c>
      <x:c r="B240" s="12" t="str">
        <x:v>S0020</x:v>
      </x:c>
      <x:c r="C240" s="12" t="str">
        <x:v>工作日</x:v>
      </x:c>
      <x:c r="D240" s="12" t="str">
        <x:v>环线1路</x:v>
      </x:c>
      <x:c r="E240" s="12" t="str">
        <x:v>第三班</x:v>
      </x:c>
      <x:c r="F240" s="12" t="n">
        <x:v>9</x:v>
      </x:c>
      <x:c r="G240" s="12" t="str">
        <x:v>12:25</x:v>
      </x:c>
      <x:c r="H240" s="12" t="n">
        <x:v>745</x:v>
      </x:c>
      <x:c r="I240" s="12" t="str">
        <x:v>研究生宿舍楼</x:v>
      </x:c>
      <x:c r="J240" s="12" t="str">
        <x:v>研究生宿舍楼发车</x:v>
      </x:c>
      <x:c r="K240" s="12" t="str">
        <x:v>HX1_NORMAL</x:v>
      </x:c>
      <x:c r="L240" s="12" t="n">
        <x:v>8</x:v>
      </x:c>
      <x:c r="M240" s="12" t="str">
        <x:v>HX1_NORMAL|8</x:v>
      </x:c>
      <x:c r="N240" s="12" t="str">
        <x:v>高超楼</x:v>
      </x:c>
      <x:c r="O240" s="12" t="n">
        <x:f>IFERROR(INDEX('秒级路线参数_可调整'!$O:$O,MATCH(M240,'秒级路线参数_可调整'!$A:$A,0)),"")</x:f>
        <x:v>0</x:v>
      </x:c>
      <x:c r="P240" s="12" t="str">
        <x:f>IF(O240="","",O240/86400)</x:f>
      </x:c>
      <x:c r="Q240" s="12" t="str">
        <x:f>IF(O240="","",(H240*60+O240)/86400)</x:f>
      </x:c>
      <x:c r="R240" s="12" t="str">
        <x:f>IF(Q240="","",TEXT(Q240,"hh:mm:ss"))</x:f>
      </x:c>
      <x:c r="S240" s="12" t="str">
        <x:v>否</x:v>
      </x:c>
      <x:c r="T240" s="12" t="str">
        <x:v>否</x:v>
      </x:c>
      <x:c r="U240" s="12" t="str">
        <x:v>未提供</x:v>
      </x:c>
      <x:c r="V240" s="12" t="str">
        <x:v>未提供</x:v>
      </x:c>
      <x:c r="W240" s="12" t="str">
        <x:v>秒级预测</x:v>
      </x:c>
      <x:c r="X240" s="12" t="str">
        <x:v>基于路线秒级参数；如录入实测或手动采用秒，预计到达时间可随公式更新</x:v>
      </x:c>
    </x:row>
    <x:row r="241">
      <x:c r="A241" s="12" t="str">
        <x:v>S0020-09</x:v>
      </x:c>
      <x:c r="B241" s="12" t="str">
        <x:v>S0020</x:v>
      </x:c>
      <x:c r="C241" s="12" t="str">
        <x:v>工作日</x:v>
      </x:c>
      <x:c r="D241" s="12" t="str">
        <x:v>环线1路</x:v>
      </x:c>
      <x:c r="E241" s="12" t="str">
        <x:v>第三班</x:v>
      </x:c>
      <x:c r="F241" s="12" t="n">
        <x:v>9</x:v>
      </x:c>
      <x:c r="G241" s="12" t="str">
        <x:v>12:25</x:v>
      </x:c>
      <x:c r="H241" s="12" t="n">
        <x:v>745</x:v>
      </x:c>
      <x:c r="I241" s="12" t="str">
        <x:v>研究生宿舍楼</x:v>
      </x:c>
      <x:c r="J241" s="12" t="str">
        <x:v>研究生宿舍楼发车</x:v>
      </x:c>
      <x:c r="K241" s="12" t="str">
        <x:v>HX1_NORMAL</x:v>
      </x:c>
      <x:c r="L241" s="12" t="n">
        <x:v>9</x:v>
      </x:c>
      <x:c r="M241" s="12" t="str">
        <x:v>HX1_NORMAL|9</x:v>
      </x:c>
      <x:c r="N241" s="12" t="str">
        <x:v>理学院</x:v>
      </x:c>
      <x:c r="O241" s="12" t="n">
        <x:f>IFERROR(INDEX('秒级路线参数_可调整'!$O:$O,MATCH(M241,'秒级路线参数_可调整'!$A:$A,0)),"")</x:f>
        <x:v>0</x:v>
      </x:c>
      <x:c r="P241" s="12" t="str">
        <x:f>IF(O241="","",O241/86400)</x:f>
      </x:c>
      <x:c r="Q241" s="12" t="str">
        <x:f>IF(O241="","",(H241*60+O241)/86400)</x:f>
      </x:c>
      <x:c r="R241" s="12" t="str">
        <x:f>IF(Q241="","",TEXT(Q241,"hh:mm:ss"))</x:f>
      </x:c>
      <x:c r="S241" s="12" t="str">
        <x:v>否</x:v>
      </x:c>
      <x:c r="T241" s="12" t="str">
        <x:v>否</x:v>
      </x:c>
      <x:c r="U241" s="12" t="str">
        <x:v>未提供</x:v>
      </x:c>
      <x:c r="V241" s="12" t="str">
        <x:v>未提供</x:v>
      </x:c>
      <x:c r="W241" s="12" t="str">
        <x:v>秒级预测</x:v>
      </x:c>
      <x:c r="X241" s="12" t="str">
        <x:v>基于路线秒级参数；如录入实测或手动采用秒，预计到达时间可随公式更新</x:v>
      </x:c>
    </x:row>
    <x:row r="242">
      <x:c r="A242" s="12" t="str">
        <x:v>S0020-10</x:v>
      </x:c>
      <x:c r="B242" s="12" t="str">
        <x:v>S0020</x:v>
      </x:c>
      <x:c r="C242" s="12" t="str">
        <x:v>工作日</x:v>
      </x:c>
      <x:c r="D242" s="12" t="str">
        <x:v>环线1路</x:v>
      </x:c>
      <x:c r="E242" s="12" t="str">
        <x:v>第三班</x:v>
      </x:c>
      <x:c r="F242" s="12" t="n">
        <x:v>9</x:v>
      </x:c>
      <x:c r="G242" s="12" t="str">
        <x:v>12:25</x:v>
      </x:c>
      <x:c r="H242" s="12" t="n">
        <x:v>745</x:v>
      </x:c>
      <x:c r="I242" s="12" t="str">
        <x:v>研究生宿舍楼</x:v>
      </x:c>
      <x:c r="J242" s="12" t="str">
        <x:v>研究生宿舍楼发车</x:v>
      </x:c>
      <x:c r="K242" s="12" t="str">
        <x:v>HX1_NORMAL</x:v>
      </x:c>
      <x:c r="L242" s="12" t="n">
        <x:v>10</x:v>
      </x:c>
      <x:c r="M242" s="12" t="str">
        <x:v>HX1_NORMAL|10</x:v>
      </x:c>
      <x:c r="N242" s="12" t="str">
        <x:v>二食堂</x:v>
      </x:c>
      <x:c r="O242" s="12" t="n">
        <x:f>IFERROR(INDEX('秒级路线参数_可调整'!$O:$O,MATCH(M242,'秒级路线参数_可调整'!$A:$A,0)),"")</x:f>
        <x:v>0</x:v>
      </x:c>
      <x:c r="P242" s="12" t="str">
        <x:f>IF(O242="","",O242/86400)</x:f>
      </x:c>
      <x:c r="Q242" s="12" t="str">
        <x:f>IF(O242="","",(H242*60+O242)/86400)</x:f>
      </x:c>
      <x:c r="R242" s="12" t="str">
        <x:f>IF(Q242="","",TEXT(Q242,"hh:mm:ss"))</x:f>
      </x:c>
      <x:c r="S242" s="12" t="str">
        <x:v>否</x:v>
      </x:c>
      <x:c r="T242" s="12" t="str">
        <x:v>否</x:v>
      </x:c>
      <x:c r="U242" s="12" t="str">
        <x:v>未提供</x:v>
      </x:c>
      <x:c r="V242" s="12" t="str">
        <x:v>未提供</x:v>
      </x:c>
      <x:c r="W242" s="12" t="str">
        <x:v>秒级预测</x:v>
      </x:c>
      <x:c r="X242" s="12" t="str">
        <x:v>基于路线秒级参数；如录入实测或手动采用秒，预计到达时间可随公式更新</x:v>
      </x:c>
    </x:row>
    <x:row r="243">
      <x:c r="A243" s="12" t="str">
        <x:v>S0020-11</x:v>
      </x:c>
      <x:c r="B243" s="12" t="str">
        <x:v>S0020</x:v>
      </x:c>
      <x:c r="C243" s="12" t="str">
        <x:v>工作日</x:v>
      </x:c>
      <x:c r="D243" s="12" t="str">
        <x:v>环线1路</x:v>
      </x:c>
      <x:c r="E243" s="12" t="str">
        <x:v>第三班</x:v>
      </x:c>
      <x:c r="F243" s="12" t="n">
        <x:v>9</x:v>
      </x:c>
      <x:c r="G243" s="12" t="str">
        <x:v>12:25</x:v>
      </x:c>
      <x:c r="H243" s="12" t="n">
        <x:v>745</x:v>
      </x:c>
      <x:c r="I243" s="12" t="str">
        <x:v>研究生宿舍楼</x:v>
      </x:c>
      <x:c r="J243" s="12" t="str">
        <x:v>研究生宿舍楼发车</x:v>
      </x:c>
      <x:c r="K243" s="12" t="str">
        <x:v>HX1_NORMAL</x:v>
      </x:c>
      <x:c r="L243" s="12" t="n">
        <x:v>11</x:v>
      </x:c>
      <x:c r="M243" s="12" t="str">
        <x:v>HX1_NORMAL|11</x:v>
      </x:c>
      <x:c r="N243" s="12" t="str">
        <x:v>5号宿舍楼</x:v>
      </x:c>
      <x:c r="O243" s="12" t="n">
        <x:f>IFERROR(INDEX('秒级路线参数_可调整'!$O:$O,MATCH(M243,'秒级路线参数_可调整'!$A:$A,0)),"")</x:f>
        <x:v>0</x:v>
      </x:c>
      <x:c r="P243" s="12" t="str">
        <x:f>IF(O243="","",O243/86400)</x:f>
      </x:c>
      <x:c r="Q243" s="12" t="str">
        <x:f>IF(O243="","",(H243*60+O243)/86400)</x:f>
      </x:c>
      <x:c r="R243" s="12" t="str">
        <x:f>IF(Q243="","",TEXT(Q243,"hh:mm:ss"))</x:f>
      </x:c>
      <x:c r="S243" s="12" t="str">
        <x:v>否</x:v>
      </x:c>
      <x:c r="T243" s="12" t="str">
        <x:v>否</x:v>
      </x:c>
      <x:c r="U243" s="12" t="str">
        <x:v>未提供</x:v>
      </x:c>
      <x:c r="V243" s="12" t="str">
        <x:v>未提供</x:v>
      </x:c>
      <x:c r="W243" s="12" t="str">
        <x:v>秒级预测</x:v>
      </x:c>
      <x:c r="X243" s="12" t="str">
        <x:v>基于路线秒级参数；如录入实测或手动采用秒，预计到达时间可随公式更新</x:v>
      </x:c>
    </x:row>
    <x:row r="244">
      <x:c r="A244" s="12" t="str">
        <x:v>S0020-12</x:v>
      </x:c>
      <x:c r="B244" s="12" t="str">
        <x:v>S0020</x:v>
      </x:c>
      <x:c r="C244" s="12" t="str">
        <x:v>工作日</x:v>
      </x:c>
      <x:c r="D244" s="12" t="str">
        <x:v>环线1路</x:v>
      </x:c>
      <x:c r="E244" s="12" t="str">
        <x:v>第三班</x:v>
      </x:c>
      <x:c r="F244" s="12" t="n">
        <x:v>9</x:v>
      </x:c>
      <x:c r="G244" s="12" t="str">
        <x:v>12:25</x:v>
      </x:c>
      <x:c r="H244" s="12" t="n">
        <x:v>745</x:v>
      </x:c>
      <x:c r="I244" s="12" t="str">
        <x:v>研究生宿舍楼</x:v>
      </x:c>
      <x:c r="J244" s="12" t="str">
        <x:v>研究生宿舍楼发车</x:v>
      </x:c>
      <x:c r="K244" s="12" t="str">
        <x:v>HX1_NORMAL</x:v>
      </x:c>
      <x:c r="L244" s="12" t="n">
        <x:v>12</x:v>
      </x:c>
      <x:c r="M244" s="12" t="str">
        <x:v>HX1_NORMAL|12</x:v>
      </x:c>
      <x:c r="N244" s="12" t="str">
        <x:v>305教学楼</x:v>
      </x:c>
      <x:c r="O244" s="12" t="n">
        <x:f>IFERROR(INDEX('秒级路线参数_可调整'!$O:$O,MATCH(M244,'秒级路线参数_可调整'!$A:$A,0)),"")</x:f>
        <x:v>0</x:v>
      </x:c>
      <x:c r="P244" s="12" t="str">
        <x:f>IF(O244="","",O244/86400)</x:f>
      </x:c>
      <x:c r="Q244" s="12" t="str">
        <x:f>IF(O244="","",(H244*60+O244)/86400)</x:f>
      </x:c>
      <x:c r="R244" s="12" t="str">
        <x:f>IF(Q244="","",TEXT(Q244,"hh:mm:ss"))</x:f>
      </x:c>
      <x:c r="S244" s="12" t="str">
        <x:v>否</x:v>
      </x:c>
      <x:c r="T244" s="12" t="str">
        <x:v>否</x:v>
      </x:c>
      <x:c r="U244" s="12" t="str">
        <x:v>未提供</x:v>
      </x:c>
      <x:c r="V244" s="12" t="str">
        <x:v>未提供</x:v>
      </x:c>
      <x:c r="W244" s="12" t="str">
        <x:v>秒级预测</x:v>
      </x:c>
      <x:c r="X244" s="12" t="str">
        <x:v>基于路线秒级参数；如录入实测或手动采用秒，预计到达时间可随公式更新</x:v>
      </x:c>
    </x:row>
    <x:row r="245">
      <x:c r="A245" s="12" t="str">
        <x:v>S0020-13</x:v>
      </x:c>
      <x:c r="B245" s="12" t="str">
        <x:v>S0020</x:v>
      </x:c>
      <x:c r="C245" s="12" t="str">
        <x:v>工作日</x:v>
      </x:c>
      <x:c r="D245" s="12" t="str">
        <x:v>环线1路</x:v>
      </x:c>
      <x:c r="E245" s="12" t="str">
        <x:v>第三班</x:v>
      </x:c>
      <x:c r="F245" s="12" t="n">
        <x:v>9</x:v>
      </x:c>
      <x:c r="G245" s="12" t="str">
        <x:v>12:25</x:v>
      </x:c>
      <x:c r="H245" s="12" t="n">
        <x:v>745</x:v>
      </x:c>
      <x:c r="I245" s="12" t="str">
        <x:v>研究生宿舍楼</x:v>
      </x:c>
      <x:c r="J245" s="12" t="str">
        <x:v>研究生宿舍楼发车</x:v>
      </x:c>
      <x:c r="K245" s="12" t="str">
        <x:v>HX1_NORMAL</x:v>
      </x:c>
      <x:c r="L245" s="12" t="n">
        <x:v>13</x:v>
      </x:c>
      <x:c r="M245" s="12" t="str">
        <x:v>HX1_NORMAL|13</x:v>
      </x:c>
      <x:c r="N245" s="12" t="str">
        <x:v>研究生宿舍楼</x:v>
      </x:c>
      <x:c r="O245" s="12" t="n">
        <x:f>IFERROR(INDEX('秒级路线参数_可调整'!$O:$O,MATCH(M245,'秒级路线参数_可调整'!$A:$A,0)),"")</x:f>
        <x:v>0</x:v>
      </x:c>
      <x:c r="P245" s="12" t="str">
        <x:f>IF(O245="","",O245/86400)</x:f>
      </x:c>
      <x:c r="Q245" s="12" t="str">
        <x:f>IF(O245="","",(H245*60+O245)/86400)</x:f>
      </x:c>
      <x:c r="R245" s="12" t="str">
        <x:f>IF(Q245="","",TEXT(Q245,"hh:mm:ss"))</x:f>
      </x:c>
      <x:c r="S245" s="12" t="str">
        <x:v>否</x:v>
      </x:c>
      <x:c r="T245" s="12" t="str">
        <x:v>是</x:v>
      </x:c>
      <x:c r="U245" s="12" t="str">
        <x:v>未提供</x:v>
      </x:c>
      <x:c r="V245" s="12" t="str">
        <x:v>未提供</x:v>
      </x:c>
      <x:c r="W245" s="12" t="str">
        <x:v>秒级预测</x:v>
      </x:c>
      <x:c r="X245" s="12" t="str">
        <x:v>基于路线秒级参数；如录入实测或手动采用秒，预计到达时间可随公式更新</x:v>
      </x:c>
    </x:row>
    <x:row r="246">
      <x:c r="A246" s="12" t="str">
        <x:v>S0021-01</x:v>
      </x:c>
      <x:c r="B246" s="12" t="str">
        <x:v>S0021</x:v>
      </x:c>
      <x:c r="C246" s="12" t="str">
        <x:v>工作日</x:v>
      </x:c>
      <x:c r="D246" s="12" t="str">
        <x:v>环线1路</x:v>
      </x:c>
      <x:c r="E246" s="12" t="str">
        <x:v>第三班</x:v>
      </x:c>
      <x:c r="F246" s="12" t="n">
        <x:v>10</x:v>
      </x:c>
      <x:c r="G246" s="12" t="str">
        <x:v>14:00</x:v>
      </x:c>
      <x:c r="H246" s="12" t="n">
        <x:v>840</x:v>
      </x:c>
      <x:c r="I246" s="12" t="str">
        <x:v>研究生宿舍楼</x:v>
      </x:c>
      <x:c r="J246" s="12" t="str">
        <x:v>研究生宿舍楼发车</x:v>
      </x:c>
      <x:c r="K246" s="12" t="str">
        <x:v>HX1_NORMAL</x:v>
      </x:c>
      <x:c r="L246" s="12" t="n">
        <x:v>1</x:v>
      </x:c>
      <x:c r="M246" s="12" t="str">
        <x:v>HX1_NORMAL|1</x:v>
      </x:c>
      <x:c r="N246" s="12" t="str">
        <x:v>研究生宿舍楼</x:v>
      </x:c>
      <x:c r="O246" s="12" t="n">
        <x:f>IFERROR(INDEX('秒级路线参数_可调整'!$O:$O,MATCH(M246,'秒级路线参数_可调整'!$A:$A,0)),"")</x:f>
        <x:v>0</x:v>
      </x:c>
      <x:c r="P246" s="12" t="str">
        <x:f>IF(O246="","",O246/86400)</x:f>
      </x:c>
      <x:c r="Q246" s="12" t="str">
        <x:f>IF(O246="","",(H246*60+O246)/86400)</x:f>
      </x:c>
      <x:c r="R246" s="12" t="str">
        <x:f>IF(Q246="","",TEXT(Q246,"hh:mm:ss"))</x:f>
      </x:c>
      <x:c r="S246" s="12" t="str">
        <x:v>是</x:v>
      </x:c>
      <x:c r="T246" s="12" t="str">
        <x:v>否</x:v>
      </x:c>
      <x:c r="U246" s="12" t="str">
        <x:v>未提供</x:v>
      </x:c>
      <x:c r="V246" s="12" t="str">
        <x:v>未提供</x:v>
      </x:c>
      <x:c r="W246" s="12" t="str">
        <x:v>秒级预测</x:v>
      </x:c>
      <x:c r="X246" s="12" t="str">
        <x:v>基于路线秒级参数；如录入实测或手动采用秒，预计到达时间可随公式更新</x:v>
      </x:c>
    </x:row>
    <x:row r="247">
      <x:c r="A247" s="12" t="str">
        <x:v>S0021-02</x:v>
      </x:c>
      <x:c r="B247" s="12" t="str">
        <x:v>S0021</x:v>
      </x:c>
      <x:c r="C247" s="12" t="str">
        <x:v>工作日</x:v>
      </x:c>
      <x:c r="D247" s="12" t="str">
        <x:v>环线1路</x:v>
      </x:c>
      <x:c r="E247" s="12" t="str">
        <x:v>第三班</x:v>
      </x:c>
      <x:c r="F247" s="12" t="n">
        <x:v>10</x:v>
      </x:c>
      <x:c r="G247" s="12" t="str">
        <x:v>14:00</x:v>
      </x:c>
      <x:c r="H247" s="12" t="n">
        <x:v>840</x:v>
      </x:c>
      <x:c r="I247" s="12" t="str">
        <x:v>研究生宿舍楼</x:v>
      </x:c>
      <x:c r="J247" s="12" t="str">
        <x:v>研究生宿舍楼发车</x:v>
      </x:c>
      <x:c r="K247" s="12" t="str">
        <x:v>HX1_NORMAL</x:v>
      </x:c>
      <x:c r="L247" s="12" t="n">
        <x:v>2</x:v>
      </x:c>
      <x:c r="M247" s="12" t="str">
        <x:v>HX1_NORMAL|2</x:v>
      </x:c>
      <x:c r="N247" s="12" t="str">
        <x:v>东门</x:v>
      </x:c>
      <x:c r="O247" s="12" t="n">
        <x:f>IFERROR(INDEX('秒级路线参数_可调整'!$O:$O,MATCH(M247,'秒级路线参数_可调整'!$A:$A,0)),"")</x:f>
        <x:v>0</x:v>
      </x:c>
      <x:c r="P247" s="12" t="str">
        <x:f>IF(O247="","",O247/86400)</x:f>
      </x:c>
      <x:c r="Q247" s="12" t="str">
        <x:f>IF(O247="","",(H247*60+O247)/86400)</x:f>
      </x:c>
      <x:c r="R247" s="12" t="str">
        <x:f>IF(Q247="","",TEXT(Q247,"hh:mm:ss"))</x:f>
      </x:c>
      <x:c r="S247" s="12" t="str">
        <x:v>否</x:v>
      </x:c>
      <x:c r="T247" s="12" t="str">
        <x:v>否</x:v>
      </x:c>
      <x:c r="U247" s="12" t="str">
        <x:v>未提供</x:v>
      </x:c>
      <x:c r="V247" s="12" t="str">
        <x:v>未提供</x:v>
      </x:c>
      <x:c r="W247" s="12" t="str">
        <x:v>秒级预测</x:v>
      </x:c>
      <x:c r="X247" s="12" t="str">
        <x:v>基于路线秒级参数；如录入实测或手动采用秒，预计到达时间可随公式更新</x:v>
      </x:c>
    </x:row>
    <x:row r="248">
      <x:c r="A248" s="12" t="str">
        <x:v>S0021-03</x:v>
      </x:c>
      <x:c r="B248" s="12" t="str">
        <x:v>S0021</x:v>
      </x:c>
      <x:c r="C248" s="12" t="str">
        <x:v>工作日</x:v>
      </x:c>
      <x:c r="D248" s="12" t="str">
        <x:v>环线1路</x:v>
      </x:c>
      <x:c r="E248" s="12" t="str">
        <x:v>第三班</x:v>
      </x:c>
      <x:c r="F248" s="12" t="n">
        <x:v>10</x:v>
      </x:c>
      <x:c r="G248" s="12" t="str">
        <x:v>14:00</x:v>
      </x:c>
      <x:c r="H248" s="12" t="n">
        <x:v>840</x:v>
      </x:c>
      <x:c r="I248" s="12" t="str">
        <x:v>研究生宿舍楼</x:v>
      </x:c>
      <x:c r="J248" s="12" t="str">
        <x:v>研究生宿舍楼发车</x:v>
      </x:c>
      <x:c r="K248" s="12" t="str">
        <x:v>HX1_NORMAL</x:v>
      </x:c>
      <x:c r="L248" s="12" t="n">
        <x:v>3</x:v>
      </x:c>
      <x:c r="M248" s="12" t="str">
        <x:v>HX1_NORMAL|3</x:v>
      </x:c>
      <x:c r="N248" s="12" t="str">
        <x:v>2号宿舍楼</x:v>
      </x:c>
      <x:c r="O248" s="12" t="n">
        <x:f>IFERROR(INDEX('秒级路线参数_可调整'!$O:$O,MATCH(M248,'秒级路线参数_可调整'!$A:$A,0)),"")</x:f>
        <x:v>0</x:v>
      </x:c>
      <x:c r="P248" s="12" t="str">
        <x:f>IF(O248="","",O248/86400)</x:f>
      </x:c>
      <x:c r="Q248" s="12" t="str">
        <x:f>IF(O248="","",(H248*60+O248)/86400)</x:f>
      </x:c>
      <x:c r="R248" s="12" t="str">
        <x:f>IF(Q248="","",TEXT(Q248,"hh:mm:ss"))</x:f>
      </x:c>
      <x:c r="S248" s="12" t="str">
        <x:v>否</x:v>
      </x:c>
      <x:c r="T248" s="12" t="str">
        <x:v>否</x:v>
      </x:c>
      <x:c r="U248" s="12" t="str">
        <x:v>未提供</x:v>
      </x:c>
      <x:c r="V248" s="12" t="str">
        <x:v>未提供</x:v>
      </x:c>
      <x:c r="W248" s="12" t="str">
        <x:v>秒级预测</x:v>
      </x:c>
      <x:c r="X248" s="12" t="str">
        <x:v>基于路线秒级参数；如录入实测或手动采用秒，预计到达时间可随公式更新</x:v>
      </x:c>
    </x:row>
    <x:row r="249">
      <x:c r="A249" s="12" t="str">
        <x:v>S0021-04</x:v>
      </x:c>
      <x:c r="B249" s="12" t="str">
        <x:v>S0021</x:v>
      </x:c>
      <x:c r="C249" s="12" t="str">
        <x:v>工作日</x:v>
      </x:c>
      <x:c r="D249" s="12" t="str">
        <x:v>环线1路</x:v>
      </x:c>
      <x:c r="E249" s="12" t="str">
        <x:v>第三班</x:v>
      </x:c>
      <x:c r="F249" s="12" t="n">
        <x:v>10</x:v>
      </x:c>
      <x:c r="G249" s="12" t="str">
        <x:v>14:00</x:v>
      </x:c>
      <x:c r="H249" s="12" t="n">
        <x:v>840</x:v>
      </x:c>
      <x:c r="I249" s="12" t="str">
        <x:v>研究生宿舍楼</x:v>
      </x:c>
      <x:c r="J249" s="12" t="str">
        <x:v>研究生宿舍楼发车</x:v>
      </x:c>
      <x:c r="K249" s="12" t="str">
        <x:v>HX1_NORMAL</x:v>
      </x:c>
      <x:c r="L249" s="12" t="n">
        <x:v>4</x:v>
      </x:c>
      <x:c r="M249" s="12" t="str">
        <x:v>HX1_NORMAL|4</x:v>
      </x:c>
      <x:c r="N249" s="12" t="str">
        <x:v>军体活动中心</x:v>
      </x:c>
      <x:c r="O249" s="12" t="n">
        <x:f>IFERROR(INDEX('秒级路线参数_可调整'!$O:$O,MATCH(M249,'秒级路线参数_可调整'!$A:$A,0)),"")</x:f>
        <x:v>0</x:v>
      </x:c>
      <x:c r="P249" s="12" t="str">
        <x:f>IF(O249="","",O249/86400)</x:f>
      </x:c>
      <x:c r="Q249" s="12" t="str">
        <x:f>IF(O249="","",(H249*60+O249)/86400)</x:f>
      </x:c>
      <x:c r="R249" s="12" t="str">
        <x:f>IF(Q249="","",TEXT(Q249,"hh:mm:ss"))</x:f>
      </x:c>
      <x:c r="S249" s="12" t="str">
        <x:v>否</x:v>
      </x:c>
      <x:c r="T249" s="12" t="str">
        <x:v>否</x:v>
      </x:c>
      <x:c r="U249" s="12" t="str">
        <x:v>未提供</x:v>
      </x:c>
      <x:c r="V249" s="12" t="str">
        <x:v>未提供</x:v>
      </x:c>
      <x:c r="W249" s="12" t="str">
        <x:v>秒级预测</x:v>
      </x:c>
      <x:c r="X249" s="12" t="str">
        <x:v>基于路线秒级参数；如录入实测或手动采用秒，预计到达时间可随公式更新</x:v>
      </x:c>
    </x:row>
    <x:row r="250">
      <x:c r="A250" s="12" t="str">
        <x:v>S0021-05</x:v>
      </x:c>
      <x:c r="B250" s="12" t="str">
        <x:v>S0021</x:v>
      </x:c>
      <x:c r="C250" s="12" t="str">
        <x:v>工作日</x:v>
      </x:c>
      <x:c r="D250" s="12" t="str">
        <x:v>环线1路</x:v>
      </x:c>
      <x:c r="E250" s="12" t="str">
        <x:v>第三班</x:v>
      </x:c>
      <x:c r="F250" s="12" t="n">
        <x:v>10</x:v>
      </x:c>
      <x:c r="G250" s="12" t="str">
        <x:v>14:00</x:v>
      </x:c>
      <x:c r="H250" s="12" t="n">
        <x:v>840</x:v>
      </x:c>
      <x:c r="I250" s="12" t="str">
        <x:v>研究生宿舍楼</x:v>
      </x:c>
      <x:c r="J250" s="12" t="str">
        <x:v>研究生宿舍楼发车</x:v>
      </x:c>
      <x:c r="K250" s="12" t="str">
        <x:v>HX1_NORMAL</x:v>
      </x:c>
      <x:c r="L250" s="12" t="n">
        <x:v>5</x:v>
      </x:c>
      <x:c r="M250" s="12" t="str">
        <x:v>HX1_NORMAL|5</x:v>
      </x:c>
      <x:c r="N250" s="12" t="str">
        <x:v>激光所</x:v>
      </x:c>
      <x:c r="O250" s="12" t="n">
        <x:f>IFERROR(INDEX('秒级路线参数_可调整'!$O:$O,MATCH(M250,'秒级路线参数_可调整'!$A:$A,0)),"")</x:f>
        <x:v>0</x:v>
      </x:c>
      <x:c r="P250" s="12" t="str">
        <x:f>IF(O250="","",O250/86400)</x:f>
      </x:c>
      <x:c r="Q250" s="12" t="str">
        <x:f>IF(O250="","",(H250*60+O250)/86400)</x:f>
      </x:c>
      <x:c r="R250" s="12" t="str">
        <x:f>IF(Q250="","",TEXT(Q250,"hh:mm:ss"))</x:f>
      </x:c>
      <x:c r="S250" s="12" t="str">
        <x:v>否</x:v>
      </x:c>
      <x:c r="T250" s="12" t="str">
        <x:v>否</x:v>
      </x:c>
      <x:c r="U250" s="12" t="str">
        <x:v>未提供</x:v>
      </x:c>
      <x:c r="V250" s="12" t="str">
        <x:v>未提供</x:v>
      </x:c>
      <x:c r="W250" s="12" t="str">
        <x:v>秒级预测</x:v>
      </x:c>
      <x:c r="X250" s="12" t="str">
        <x:v>基于路线秒级参数；如录入实测或手动采用秒，预计到达时间可随公式更新</x:v>
      </x:c>
    </x:row>
    <x:row r="251">
      <x:c r="A251" s="12" t="str">
        <x:v>S0021-06</x:v>
      </x:c>
      <x:c r="B251" s="12" t="str">
        <x:v>S0021</x:v>
      </x:c>
      <x:c r="C251" s="12" t="str">
        <x:v>工作日</x:v>
      </x:c>
      <x:c r="D251" s="12" t="str">
        <x:v>环线1路</x:v>
      </x:c>
      <x:c r="E251" s="12" t="str">
        <x:v>第三班</x:v>
      </x:c>
      <x:c r="F251" s="12" t="n">
        <x:v>10</x:v>
      </x:c>
      <x:c r="G251" s="12" t="str">
        <x:v>14:00</x:v>
      </x:c>
      <x:c r="H251" s="12" t="n">
        <x:v>840</x:v>
      </x:c>
      <x:c r="I251" s="12" t="str">
        <x:v>研究生宿舍楼</x:v>
      </x:c>
      <x:c r="J251" s="12" t="str">
        <x:v>研究生宿舍楼发车</x:v>
      </x:c>
      <x:c r="K251" s="12" t="str">
        <x:v>HX1_NORMAL</x:v>
      </x:c>
      <x:c r="L251" s="12" t="n">
        <x:v>6</x:v>
      </x:c>
      <x:c r="M251" s="12" t="str">
        <x:v>HX1_NORMAL|6</x:v>
      </x:c>
      <x:c r="N251" s="12" t="str">
        <x:v>超算中心</x:v>
      </x:c>
      <x:c r="O251" s="12" t="n">
        <x:f>IFERROR(INDEX('秒级路线参数_可调整'!$O:$O,MATCH(M251,'秒级路线参数_可调整'!$A:$A,0)),"")</x:f>
        <x:v>0</x:v>
      </x:c>
      <x:c r="P251" s="12" t="str">
        <x:f>IF(O251="","",O251/86400)</x:f>
      </x:c>
      <x:c r="Q251" s="12" t="str">
        <x:f>IF(O251="","",(H251*60+O251)/86400)</x:f>
      </x:c>
      <x:c r="R251" s="12" t="str">
        <x:f>IF(Q251="","",TEXT(Q251,"hh:mm:ss"))</x:f>
      </x:c>
      <x:c r="S251" s="12" t="str">
        <x:v>否</x:v>
      </x:c>
      <x:c r="T251" s="12" t="str">
        <x:v>否</x:v>
      </x:c>
      <x:c r="U251" s="12" t="str">
        <x:v>未提供</x:v>
      </x:c>
      <x:c r="V251" s="12" t="str">
        <x:v>未提供</x:v>
      </x:c>
      <x:c r="W251" s="12" t="str">
        <x:v>秒级预测</x:v>
      </x:c>
      <x:c r="X251" s="12" t="str">
        <x:v>基于路线秒级参数；如录入实测或手动采用秒，预计到达时间可随公式更新</x:v>
      </x:c>
    </x:row>
    <x:row r="252">
      <x:c r="A252" s="12" t="str">
        <x:v>S0021-07</x:v>
      </x:c>
      <x:c r="B252" s="12" t="str">
        <x:v>S0021</x:v>
      </x:c>
      <x:c r="C252" s="12" t="str">
        <x:v>工作日</x:v>
      </x:c>
      <x:c r="D252" s="12" t="str">
        <x:v>环线1路</x:v>
      </x:c>
      <x:c r="E252" s="12" t="str">
        <x:v>第三班</x:v>
      </x:c>
      <x:c r="F252" s="12" t="n">
        <x:v>10</x:v>
      </x:c>
      <x:c r="G252" s="12" t="str">
        <x:v>14:00</x:v>
      </x:c>
      <x:c r="H252" s="12" t="n">
        <x:v>840</x:v>
      </x:c>
      <x:c r="I252" s="12" t="str">
        <x:v>研究生宿舍楼</x:v>
      </x:c>
      <x:c r="J252" s="12" t="str">
        <x:v>研究生宿舍楼发车</x:v>
      </x:c>
      <x:c r="K252" s="12" t="str">
        <x:v>HX1_NORMAL</x:v>
      </x:c>
      <x:c r="L252" s="12" t="n">
        <x:v>7</x:v>
      </x:c>
      <x:c r="M252" s="12" t="str">
        <x:v>HX1_NORMAL|7</x:v>
      </x:c>
      <x:c r="N252" s="12" t="str">
        <x:v>北门</x:v>
      </x:c>
      <x:c r="O252" s="12" t="n">
        <x:f>IFERROR(INDEX('秒级路线参数_可调整'!$O:$O,MATCH(M252,'秒级路线参数_可调整'!$A:$A,0)),"")</x:f>
        <x:v>0</x:v>
      </x:c>
      <x:c r="P252" s="12" t="str">
        <x:f>IF(O252="","",O252/86400)</x:f>
      </x:c>
      <x:c r="Q252" s="12" t="str">
        <x:f>IF(O252="","",(H252*60+O252)/86400)</x:f>
      </x:c>
      <x:c r="R252" s="12" t="str">
        <x:f>IF(Q252="","",TEXT(Q252,"hh:mm:ss"))</x:f>
      </x:c>
      <x:c r="S252" s="12" t="str">
        <x:v>否</x:v>
      </x:c>
      <x:c r="T252" s="12" t="str">
        <x:v>否</x:v>
      </x:c>
      <x:c r="U252" s="12" t="str">
        <x:v>未提供</x:v>
      </x:c>
      <x:c r="V252" s="12" t="str">
        <x:v>未提供</x:v>
      </x:c>
      <x:c r="W252" s="12" t="str">
        <x:v>秒级预测</x:v>
      </x:c>
      <x:c r="X252" s="12" t="str">
        <x:v>基于路线秒级参数；如录入实测或手动采用秒，预计到达时间可随公式更新</x:v>
      </x:c>
    </x:row>
    <x:row r="253">
      <x:c r="A253" s="12" t="str">
        <x:v>S0021-08</x:v>
      </x:c>
      <x:c r="B253" s="12" t="str">
        <x:v>S0021</x:v>
      </x:c>
      <x:c r="C253" s="12" t="str">
        <x:v>工作日</x:v>
      </x:c>
      <x:c r="D253" s="12" t="str">
        <x:v>环线1路</x:v>
      </x:c>
      <x:c r="E253" s="12" t="str">
        <x:v>第三班</x:v>
      </x:c>
      <x:c r="F253" s="12" t="n">
        <x:v>10</x:v>
      </x:c>
      <x:c r="G253" s="12" t="str">
        <x:v>14:00</x:v>
      </x:c>
      <x:c r="H253" s="12" t="n">
        <x:v>840</x:v>
      </x:c>
      <x:c r="I253" s="12" t="str">
        <x:v>研究生宿舍楼</x:v>
      </x:c>
      <x:c r="J253" s="12" t="str">
        <x:v>研究生宿舍楼发车</x:v>
      </x:c>
      <x:c r="K253" s="12" t="str">
        <x:v>HX1_NORMAL</x:v>
      </x:c>
      <x:c r="L253" s="12" t="n">
        <x:v>8</x:v>
      </x:c>
      <x:c r="M253" s="12" t="str">
        <x:v>HX1_NORMAL|8</x:v>
      </x:c>
      <x:c r="N253" s="12" t="str">
        <x:v>高超楼</x:v>
      </x:c>
      <x:c r="O253" s="12" t="n">
        <x:f>IFERROR(INDEX('秒级路线参数_可调整'!$O:$O,MATCH(M253,'秒级路线参数_可调整'!$A:$A,0)),"")</x:f>
        <x:v>0</x:v>
      </x:c>
      <x:c r="P253" s="12" t="str">
        <x:f>IF(O253="","",O253/86400)</x:f>
      </x:c>
      <x:c r="Q253" s="12" t="str">
        <x:f>IF(O253="","",(H253*60+O253)/86400)</x:f>
      </x:c>
      <x:c r="R253" s="12" t="str">
        <x:f>IF(Q253="","",TEXT(Q253,"hh:mm:ss"))</x:f>
      </x:c>
      <x:c r="S253" s="12" t="str">
        <x:v>否</x:v>
      </x:c>
      <x:c r="T253" s="12" t="str">
        <x:v>否</x:v>
      </x:c>
      <x:c r="U253" s="12" t="str">
        <x:v>未提供</x:v>
      </x:c>
      <x:c r="V253" s="12" t="str">
        <x:v>未提供</x:v>
      </x:c>
      <x:c r="W253" s="12" t="str">
        <x:v>秒级预测</x:v>
      </x:c>
      <x:c r="X253" s="12" t="str">
        <x:v>基于路线秒级参数；如录入实测或手动采用秒，预计到达时间可随公式更新</x:v>
      </x:c>
    </x:row>
    <x:row r="254">
      <x:c r="A254" s="12" t="str">
        <x:v>S0021-09</x:v>
      </x:c>
      <x:c r="B254" s="12" t="str">
        <x:v>S0021</x:v>
      </x:c>
      <x:c r="C254" s="12" t="str">
        <x:v>工作日</x:v>
      </x:c>
      <x:c r="D254" s="12" t="str">
        <x:v>环线1路</x:v>
      </x:c>
      <x:c r="E254" s="12" t="str">
        <x:v>第三班</x:v>
      </x:c>
      <x:c r="F254" s="12" t="n">
        <x:v>10</x:v>
      </x:c>
      <x:c r="G254" s="12" t="str">
        <x:v>14:00</x:v>
      </x:c>
      <x:c r="H254" s="12" t="n">
        <x:v>840</x:v>
      </x:c>
      <x:c r="I254" s="12" t="str">
        <x:v>研究生宿舍楼</x:v>
      </x:c>
      <x:c r="J254" s="12" t="str">
        <x:v>研究生宿舍楼发车</x:v>
      </x:c>
      <x:c r="K254" s="12" t="str">
        <x:v>HX1_NORMAL</x:v>
      </x:c>
      <x:c r="L254" s="12" t="n">
        <x:v>9</x:v>
      </x:c>
      <x:c r="M254" s="12" t="str">
        <x:v>HX1_NORMAL|9</x:v>
      </x:c>
      <x:c r="N254" s="12" t="str">
        <x:v>理学院</x:v>
      </x:c>
      <x:c r="O254" s="12" t="n">
        <x:f>IFERROR(INDEX('秒级路线参数_可调整'!$O:$O,MATCH(M254,'秒级路线参数_可调整'!$A:$A,0)),"")</x:f>
        <x:v>0</x:v>
      </x:c>
      <x:c r="P254" s="12" t="str">
        <x:f>IF(O254="","",O254/86400)</x:f>
      </x:c>
      <x:c r="Q254" s="12" t="str">
        <x:f>IF(O254="","",(H254*60+O254)/86400)</x:f>
      </x:c>
      <x:c r="R254" s="12" t="str">
        <x:f>IF(Q254="","",TEXT(Q254,"hh:mm:ss"))</x:f>
      </x:c>
      <x:c r="S254" s="12" t="str">
        <x:v>否</x:v>
      </x:c>
      <x:c r="T254" s="12" t="str">
        <x:v>否</x:v>
      </x:c>
      <x:c r="U254" s="12" t="str">
        <x:v>未提供</x:v>
      </x:c>
      <x:c r="V254" s="12" t="str">
        <x:v>未提供</x:v>
      </x:c>
      <x:c r="W254" s="12" t="str">
        <x:v>秒级预测</x:v>
      </x:c>
      <x:c r="X254" s="12" t="str">
        <x:v>基于路线秒级参数；如录入实测或手动采用秒，预计到达时间可随公式更新</x:v>
      </x:c>
    </x:row>
    <x:row r="255">
      <x:c r="A255" s="12" t="str">
        <x:v>S0021-10</x:v>
      </x:c>
      <x:c r="B255" s="12" t="str">
        <x:v>S0021</x:v>
      </x:c>
      <x:c r="C255" s="12" t="str">
        <x:v>工作日</x:v>
      </x:c>
      <x:c r="D255" s="12" t="str">
        <x:v>环线1路</x:v>
      </x:c>
      <x:c r="E255" s="12" t="str">
        <x:v>第三班</x:v>
      </x:c>
      <x:c r="F255" s="12" t="n">
        <x:v>10</x:v>
      </x:c>
      <x:c r="G255" s="12" t="str">
        <x:v>14:00</x:v>
      </x:c>
      <x:c r="H255" s="12" t="n">
        <x:v>840</x:v>
      </x:c>
      <x:c r="I255" s="12" t="str">
        <x:v>研究生宿舍楼</x:v>
      </x:c>
      <x:c r="J255" s="12" t="str">
        <x:v>研究生宿舍楼发车</x:v>
      </x:c>
      <x:c r="K255" s="12" t="str">
        <x:v>HX1_NORMAL</x:v>
      </x:c>
      <x:c r="L255" s="12" t="n">
        <x:v>10</x:v>
      </x:c>
      <x:c r="M255" s="12" t="str">
        <x:v>HX1_NORMAL|10</x:v>
      </x:c>
      <x:c r="N255" s="12" t="str">
        <x:v>二食堂</x:v>
      </x:c>
      <x:c r="O255" s="12" t="n">
        <x:f>IFERROR(INDEX('秒级路线参数_可调整'!$O:$O,MATCH(M255,'秒级路线参数_可调整'!$A:$A,0)),"")</x:f>
        <x:v>0</x:v>
      </x:c>
      <x:c r="P255" s="12" t="str">
        <x:f>IF(O255="","",O255/86400)</x:f>
      </x:c>
      <x:c r="Q255" s="12" t="str">
        <x:f>IF(O255="","",(H255*60+O255)/86400)</x:f>
      </x:c>
      <x:c r="R255" s="12" t="str">
        <x:f>IF(Q255="","",TEXT(Q255,"hh:mm:ss"))</x:f>
      </x:c>
      <x:c r="S255" s="12" t="str">
        <x:v>否</x:v>
      </x:c>
      <x:c r="T255" s="12" t="str">
        <x:v>否</x:v>
      </x:c>
      <x:c r="U255" s="12" t="str">
        <x:v>未提供</x:v>
      </x:c>
      <x:c r="V255" s="12" t="str">
        <x:v>未提供</x:v>
      </x:c>
      <x:c r="W255" s="12" t="str">
        <x:v>秒级预测</x:v>
      </x:c>
      <x:c r="X255" s="12" t="str">
        <x:v>基于路线秒级参数；如录入实测或手动采用秒，预计到达时间可随公式更新</x:v>
      </x:c>
    </x:row>
    <x:row r="256">
      <x:c r="A256" s="12" t="str">
        <x:v>S0021-11</x:v>
      </x:c>
      <x:c r="B256" s="12" t="str">
        <x:v>S0021</x:v>
      </x:c>
      <x:c r="C256" s="12" t="str">
        <x:v>工作日</x:v>
      </x:c>
      <x:c r="D256" s="12" t="str">
        <x:v>环线1路</x:v>
      </x:c>
      <x:c r="E256" s="12" t="str">
        <x:v>第三班</x:v>
      </x:c>
      <x:c r="F256" s="12" t="n">
        <x:v>10</x:v>
      </x:c>
      <x:c r="G256" s="12" t="str">
        <x:v>14:00</x:v>
      </x:c>
      <x:c r="H256" s="12" t="n">
        <x:v>840</x:v>
      </x:c>
      <x:c r="I256" s="12" t="str">
        <x:v>研究生宿舍楼</x:v>
      </x:c>
      <x:c r="J256" s="12" t="str">
        <x:v>研究生宿舍楼发车</x:v>
      </x:c>
      <x:c r="K256" s="12" t="str">
        <x:v>HX1_NORMAL</x:v>
      </x:c>
      <x:c r="L256" s="12" t="n">
        <x:v>11</x:v>
      </x:c>
      <x:c r="M256" s="12" t="str">
        <x:v>HX1_NORMAL|11</x:v>
      </x:c>
      <x:c r="N256" s="12" t="str">
        <x:v>5号宿舍楼</x:v>
      </x:c>
      <x:c r="O256" s="12" t="n">
        <x:f>IFERROR(INDEX('秒级路线参数_可调整'!$O:$O,MATCH(M256,'秒级路线参数_可调整'!$A:$A,0)),"")</x:f>
        <x:v>0</x:v>
      </x:c>
      <x:c r="P256" s="12" t="str">
        <x:f>IF(O256="","",O256/86400)</x:f>
      </x:c>
      <x:c r="Q256" s="12" t="str">
        <x:f>IF(O256="","",(H256*60+O256)/86400)</x:f>
      </x:c>
      <x:c r="R256" s="12" t="str">
        <x:f>IF(Q256="","",TEXT(Q256,"hh:mm:ss"))</x:f>
      </x:c>
      <x:c r="S256" s="12" t="str">
        <x:v>否</x:v>
      </x:c>
      <x:c r="T256" s="12" t="str">
        <x:v>否</x:v>
      </x:c>
      <x:c r="U256" s="12" t="str">
        <x:v>未提供</x:v>
      </x:c>
      <x:c r="V256" s="12" t="str">
        <x:v>未提供</x:v>
      </x:c>
      <x:c r="W256" s="12" t="str">
        <x:v>秒级预测</x:v>
      </x:c>
      <x:c r="X256" s="12" t="str">
        <x:v>基于路线秒级参数；如录入实测或手动采用秒，预计到达时间可随公式更新</x:v>
      </x:c>
    </x:row>
    <x:row r="257">
      <x:c r="A257" s="12" t="str">
        <x:v>S0021-12</x:v>
      </x:c>
      <x:c r="B257" s="12" t="str">
        <x:v>S0021</x:v>
      </x:c>
      <x:c r="C257" s="12" t="str">
        <x:v>工作日</x:v>
      </x:c>
      <x:c r="D257" s="12" t="str">
        <x:v>环线1路</x:v>
      </x:c>
      <x:c r="E257" s="12" t="str">
        <x:v>第三班</x:v>
      </x:c>
      <x:c r="F257" s="12" t="n">
        <x:v>10</x:v>
      </x:c>
      <x:c r="G257" s="12" t="str">
        <x:v>14:00</x:v>
      </x:c>
      <x:c r="H257" s="12" t="n">
        <x:v>840</x:v>
      </x:c>
      <x:c r="I257" s="12" t="str">
        <x:v>研究生宿舍楼</x:v>
      </x:c>
      <x:c r="J257" s="12" t="str">
        <x:v>研究生宿舍楼发车</x:v>
      </x:c>
      <x:c r="K257" s="12" t="str">
        <x:v>HX1_NORMAL</x:v>
      </x:c>
      <x:c r="L257" s="12" t="n">
        <x:v>12</x:v>
      </x:c>
      <x:c r="M257" s="12" t="str">
        <x:v>HX1_NORMAL|12</x:v>
      </x:c>
      <x:c r="N257" s="12" t="str">
        <x:v>305教学楼</x:v>
      </x:c>
      <x:c r="O257" s="12" t="n">
        <x:f>IFERROR(INDEX('秒级路线参数_可调整'!$O:$O,MATCH(M257,'秒级路线参数_可调整'!$A:$A,0)),"")</x:f>
        <x:v>0</x:v>
      </x:c>
      <x:c r="P257" s="12" t="str">
        <x:f>IF(O257="","",O257/86400)</x:f>
      </x:c>
      <x:c r="Q257" s="12" t="str">
        <x:f>IF(O257="","",(H257*60+O257)/86400)</x:f>
      </x:c>
      <x:c r="R257" s="12" t="str">
        <x:f>IF(Q257="","",TEXT(Q257,"hh:mm:ss"))</x:f>
      </x:c>
      <x:c r="S257" s="12" t="str">
        <x:v>否</x:v>
      </x:c>
      <x:c r="T257" s="12" t="str">
        <x:v>否</x:v>
      </x:c>
      <x:c r="U257" s="12" t="str">
        <x:v>未提供</x:v>
      </x:c>
      <x:c r="V257" s="12" t="str">
        <x:v>未提供</x:v>
      </x:c>
      <x:c r="W257" s="12" t="str">
        <x:v>秒级预测</x:v>
      </x:c>
      <x:c r="X257" s="12" t="str">
        <x:v>基于路线秒级参数；如录入实测或手动采用秒，预计到达时间可随公式更新</x:v>
      </x:c>
    </x:row>
    <x:row r="258">
      <x:c r="A258" s="12" t="str">
        <x:v>S0021-13</x:v>
      </x:c>
      <x:c r="B258" s="12" t="str">
        <x:v>S0021</x:v>
      </x:c>
      <x:c r="C258" s="12" t="str">
        <x:v>工作日</x:v>
      </x:c>
      <x:c r="D258" s="12" t="str">
        <x:v>环线1路</x:v>
      </x:c>
      <x:c r="E258" s="12" t="str">
        <x:v>第三班</x:v>
      </x:c>
      <x:c r="F258" s="12" t="n">
        <x:v>10</x:v>
      </x:c>
      <x:c r="G258" s="12" t="str">
        <x:v>14:00</x:v>
      </x:c>
      <x:c r="H258" s="12" t="n">
        <x:v>840</x:v>
      </x:c>
      <x:c r="I258" s="12" t="str">
        <x:v>研究生宿舍楼</x:v>
      </x:c>
      <x:c r="J258" s="12" t="str">
        <x:v>研究生宿舍楼发车</x:v>
      </x:c>
      <x:c r="K258" s="12" t="str">
        <x:v>HX1_NORMAL</x:v>
      </x:c>
      <x:c r="L258" s="12" t="n">
        <x:v>13</x:v>
      </x:c>
      <x:c r="M258" s="12" t="str">
        <x:v>HX1_NORMAL|13</x:v>
      </x:c>
      <x:c r="N258" s="12" t="str">
        <x:v>研究生宿舍楼</x:v>
      </x:c>
      <x:c r="O258" s="12" t="n">
        <x:f>IFERROR(INDEX('秒级路线参数_可调整'!$O:$O,MATCH(M258,'秒级路线参数_可调整'!$A:$A,0)),"")</x:f>
        <x:v>0</x:v>
      </x:c>
      <x:c r="P258" s="12" t="str">
        <x:f>IF(O258="","",O258/86400)</x:f>
      </x:c>
      <x:c r="Q258" s="12" t="str">
        <x:f>IF(O258="","",(H258*60+O258)/86400)</x:f>
      </x:c>
      <x:c r="R258" s="12" t="str">
        <x:f>IF(Q258="","",TEXT(Q258,"hh:mm:ss"))</x:f>
      </x:c>
      <x:c r="S258" s="12" t="str">
        <x:v>否</x:v>
      </x:c>
      <x:c r="T258" s="12" t="str">
        <x:v>是</x:v>
      </x:c>
      <x:c r="U258" s="12" t="str">
        <x:v>未提供</x:v>
      </x:c>
      <x:c r="V258" s="12" t="str">
        <x:v>未提供</x:v>
      </x:c>
      <x:c r="W258" s="12" t="str">
        <x:v>秒级预测</x:v>
      </x:c>
      <x:c r="X258" s="12" t="str">
        <x:v>基于路线秒级参数；如录入实测或手动采用秒，预计到达时间可随公式更新</x:v>
      </x:c>
    </x:row>
    <x:row r="259">
      <x:c r="A259" s="12" t="str">
        <x:v>S0022-01</x:v>
      </x:c>
      <x:c r="B259" s="12" t="str">
        <x:v>S0022</x:v>
      </x:c>
      <x:c r="C259" s="12" t="str">
        <x:v>工作日</x:v>
      </x:c>
      <x:c r="D259" s="12" t="str">
        <x:v>环线1路</x:v>
      </x:c>
      <x:c r="E259" s="12" t="str">
        <x:v>第三班</x:v>
      </x:c>
      <x:c r="F259" s="12" t="n">
        <x:v>11</x:v>
      </x:c>
      <x:c r="G259" s="12" t="str">
        <x:v>14:36</x:v>
      </x:c>
      <x:c r="H259" s="12" t="n">
        <x:v>876</x:v>
      </x:c>
      <x:c r="I259" s="12" t="str">
        <x:v>研究生宿舍楼</x:v>
      </x:c>
      <x:c r="J259" s="12" t="str">
        <x:v>研究生宿舍楼发车</x:v>
      </x:c>
      <x:c r="K259" s="12" t="str">
        <x:v>HX1_NORMAL</x:v>
      </x:c>
      <x:c r="L259" s="12" t="n">
        <x:v>1</x:v>
      </x:c>
      <x:c r="M259" s="12" t="str">
        <x:v>HX1_NORMAL|1</x:v>
      </x:c>
      <x:c r="N259" s="12" t="str">
        <x:v>研究生宿舍楼</x:v>
      </x:c>
      <x:c r="O259" s="12" t="n">
        <x:f>IFERROR(INDEX('秒级路线参数_可调整'!$O:$O,MATCH(M259,'秒级路线参数_可调整'!$A:$A,0)),"")</x:f>
        <x:v>0</x:v>
      </x:c>
      <x:c r="P259" s="12" t="str">
        <x:f>IF(O259="","",O259/86400)</x:f>
      </x:c>
      <x:c r="Q259" s="12" t="str">
        <x:f>IF(O259="","",(H259*60+O259)/86400)</x:f>
      </x:c>
      <x:c r="R259" s="12" t="str">
        <x:f>IF(Q259="","",TEXT(Q259,"hh:mm:ss"))</x:f>
      </x:c>
      <x:c r="S259" s="12" t="str">
        <x:v>是</x:v>
      </x:c>
      <x:c r="T259" s="12" t="str">
        <x:v>否</x:v>
      </x:c>
      <x:c r="U259" s="12" t="str">
        <x:v>未提供</x:v>
      </x:c>
      <x:c r="V259" s="12" t="str">
        <x:v>未提供</x:v>
      </x:c>
      <x:c r="W259" s="12" t="str">
        <x:v>秒级预测</x:v>
      </x:c>
      <x:c r="X259" s="12" t="str">
        <x:v>基于路线秒级参数；如录入实测或手动采用秒，预计到达时间可随公式更新</x:v>
      </x:c>
    </x:row>
    <x:row r="260">
      <x:c r="A260" s="12" t="str">
        <x:v>S0022-02</x:v>
      </x:c>
      <x:c r="B260" s="12" t="str">
        <x:v>S0022</x:v>
      </x:c>
      <x:c r="C260" s="12" t="str">
        <x:v>工作日</x:v>
      </x:c>
      <x:c r="D260" s="12" t="str">
        <x:v>环线1路</x:v>
      </x:c>
      <x:c r="E260" s="12" t="str">
        <x:v>第三班</x:v>
      </x:c>
      <x:c r="F260" s="12" t="n">
        <x:v>11</x:v>
      </x:c>
      <x:c r="G260" s="12" t="str">
        <x:v>14:36</x:v>
      </x:c>
      <x:c r="H260" s="12" t="n">
        <x:v>876</x:v>
      </x:c>
      <x:c r="I260" s="12" t="str">
        <x:v>研究生宿舍楼</x:v>
      </x:c>
      <x:c r="J260" s="12" t="str">
        <x:v>研究生宿舍楼发车</x:v>
      </x:c>
      <x:c r="K260" s="12" t="str">
        <x:v>HX1_NORMAL</x:v>
      </x:c>
      <x:c r="L260" s="12" t="n">
        <x:v>2</x:v>
      </x:c>
      <x:c r="M260" s="12" t="str">
        <x:v>HX1_NORMAL|2</x:v>
      </x:c>
      <x:c r="N260" s="12" t="str">
        <x:v>东门</x:v>
      </x:c>
      <x:c r="O260" s="12" t="n">
        <x:f>IFERROR(INDEX('秒级路线参数_可调整'!$O:$O,MATCH(M260,'秒级路线参数_可调整'!$A:$A,0)),"")</x:f>
        <x:v>0</x:v>
      </x:c>
      <x:c r="P260" s="12" t="str">
        <x:f>IF(O260="","",O260/86400)</x:f>
      </x:c>
      <x:c r="Q260" s="12" t="str">
        <x:f>IF(O260="","",(H260*60+O260)/86400)</x:f>
      </x:c>
      <x:c r="R260" s="12" t="str">
        <x:f>IF(Q260="","",TEXT(Q260,"hh:mm:ss"))</x:f>
      </x:c>
      <x:c r="S260" s="12" t="str">
        <x:v>否</x:v>
      </x:c>
      <x:c r="T260" s="12" t="str">
        <x:v>否</x:v>
      </x:c>
      <x:c r="U260" s="12" t="str">
        <x:v>未提供</x:v>
      </x:c>
      <x:c r="V260" s="12" t="str">
        <x:v>未提供</x:v>
      </x:c>
      <x:c r="W260" s="12" t="str">
        <x:v>秒级预测</x:v>
      </x:c>
      <x:c r="X260" s="12" t="str">
        <x:v>基于路线秒级参数；如录入实测或手动采用秒，预计到达时间可随公式更新</x:v>
      </x:c>
    </x:row>
    <x:row r="261">
      <x:c r="A261" s="12" t="str">
        <x:v>S0022-03</x:v>
      </x:c>
      <x:c r="B261" s="12" t="str">
        <x:v>S0022</x:v>
      </x:c>
      <x:c r="C261" s="12" t="str">
        <x:v>工作日</x:v>
      </x:c>
      <x:c r="D261" s="12" t="str">
        <x:v>环线1路</x:v>
      </x:c>
      <x:c r="E261" s="12" t="str">
        <x:v>第三班</x:v>
      </x:c>
      <x:c r="F261" s="12" t="n">
        <x:v>11</x:v>
      </x:c>
      <x:c r="G261" s="12" t="str">
        <x:v>14:36</x:v>
      </x:c>
      <x:c r="H261" s="12" t="n">
        <x:v>876</x:v>
      </x:c>
      <x:c r="I261" s="12" t="str">
        <x:v>研究生宿舍楼</x:v>
      </x:c>
      <x:c r="J261" s="12" t="str">
        <x:v>研究生宿舍楼发车</x:v>
      </x:c>
      <x:c r="K261" s="12" t="str">
        <x:v>HX1_NORMAL</x:v>
      </x:c>
      <x:c r="L261" s="12" t="n">
        <x:v>3</x:v>
      </x:c>
      <x:c r="M261" s="12" t="str">
        <x:v>HX1_NORMAL|3</x:v>
      </x:c>
      <x:c r="N261" s="12" t="str">
        <x:v>2号宿舍楼</x:v>
      </x:c>
      <x:c r="O261" s="12" t="n">
        <x:f>IFERROR(INDEX('秒级路线参数_可调整'!$O:$O,MATCH(M261,'秒级路线参数_可调整'!$A:$A,0)),"")</x:f>
        <x:v>0</x:v>
      </x:c>
      <x:c r="P261" s="12" t="str">
        <x:f>IF(O261="","",O261/86400)</x:f>
      </x:c>
      <x:c r="Q261" s="12" t="str">
        <x:f>IF(O261="","",(H261*60+O261)/86400)</x:f>
      </x:c>
      <x:c r="R261" s="12" t="str">
        <x:f>IF(Q261="","",TEXT(Q261,"hh:mm:ss"))</x:f>
      </x:c>
      <x:c r="S261" s="12" t="str">
        <x:v>否</x:v>
      </x:c>
      <x:c r="T261" s="12" t="str">
        <x:v>否</x:v>
      </x:c>
      <x:c r="U261" s="12" t="str">
        <x:v>未提供</x:v>
      </x:c>
      <x:c r="V261" s="12" t="str">
        <x:v>未提供</x:v>
      </x:c>
      <x:c r="W261" s="12" t="str">
        <x:v>秒级预测</x:v>
      </x:c>
      <x:c r="X261" s="12" t="str">
        <x:v>基于路线秒级参数；如录入实测或手动采用秒，预计到达时间可随公式更新</x:v>
      </x:c>
    </x:row>
    <x:row r="262">
      <x:c r="A262" s="12" t="str">
        <x:v>S0022-04</x:v>
      </x:c>
      <x:c r="B262" s="12" t="str">
        <x:v>S0022</x:v>
      </x:c>
      <x:c r="C262" s="12" t="str">
        <x:v>工作日</x:v>
      </x:c>
      <x:c r="D262" s="12" t="str">
        <x:v>环线1路</x:v>
      </x:c>
      <x:c r="E262" s="12" t="str">
        <x:v>第三班</x:v>
      </x:c>
      <x:c r="F262" s="12" t="n">
        <x:v>11</x:v>
      </x:c>
      <x:c r="G262" s="12" t="str">
        <x:v>14:36</x:v>
      </x:c>
      <x:c r="H262" s="12" t="n">
        <x:v>876</x:v>
      </x:c>
      <x:c r="I262" s="12" t="str">
        <x:v>研究生宿舍楼</x:v>
      </x:c>
      <x:c r="J262" s="12" t="str">
        <x:v>研究生宿舍楼发车</x:v>
      </x:c>
      <x:c r="K262" s="12" t="str">
        <x:v>HX1_NORMAL</x:v>
      </x:c>
      <x:c r="L262" s="12" t="n">
        <x:v>4</x:v>
      </x:c>
      <x:c r="M262" s="12" t="str">
        <x:v>HX1_NORMAL|4</x:v>
      </x:c>
      <x:c r="N262" s="12" t="str">
        <x:v>军体活动中心</x:v>
      </x:c>
      <x:c r="O262" s="12" t="n">
        <x:f>IFERROR(INDEX('秒级路线参数_可调整'!$O:$O,MATCH(M262,'秒级路线参数_可调整'!$A:$A,0)),"")</x:f>
        <x:v>0</x:v>
      </x:c>
      <x:c r="P262" s="12" t="str">
        <x:f>IF(O262="","",O262/86400)</x:f>
      </x:c>
      <x:c r="Q262" s="12" t="str">
        <x:f>IF(O262="","",(H262*60+O262)/86400)</x:f>
      </x:c>
      <x:c r="R262" s="12" t="str">
        <x:f>IF(Q262="","",TEXT(Q262,"hh:mm:ss"))</x:f>
      </x:c>
      <x:c r="S262" s="12" t="str">
        <x:v>否</x:v>
      </x:c>
      <x:c r="T262" s="12" t="str">
        <x:v>否</x:v>
      </x:c>
      <x:c r="U262" s="12" t="str">
        <x:v>未提供</x:v>
      </x:c>
      <x:c r="V262" s="12" t="str">
        <x:v>未提供</x:v>
      </x:c>
      <x:c r="W262" s="12" t="str">
        <x:v>秒级预测</x:v>
      </x:c>
      <x:c r="X262" s="12" t="str">
        <x:v>基于路线秒级参数；如录入实测或手动采用秒，预计到达时间可随公式更新</x:v>
      </x:c>
    </x:row>
    <x:row r="263">
      <x:c r="A263" s="12" t="str">
        <x:v>S0022-05</x:v>
      </x:c>
      <x:c r="B263" s="12" t="str">
        <x:v>S0022</x:v>
      </x:c>
      <x:c r="C263" s="12" t="str">
        <x:v>工作日</x:v>
      </x:c>
      <x:c r="D263" s="12" t="str">
        <x:v>环线1路</x:v>
      </x:c>
      <x:c r="E263" s="12" t="str">
        <x:v>第三班</x:v>
      </x:c>
      <x:c r="F263" s="12" t="n">
        <x:v>11</x:v>
      </x:c>
      <x:c r="G263" s="12" t="str">
        <x:v>14:36</x:v>
      </x:c>
      <x:c r="H263" s="12" t="n">
        <x:v>876</x:v>
      </x:c>
      <x:c r="I263" s="12" t="str">
        <x:v>研究生宿舍楼</x:v>
      </x:c>
      <x:c r="J263" s="12" t="str">
        <x:v>研究生宿舍楼发车</x:v>
      </x:c>
      <x:c r="K263" s="12" t="str">
        <x:v>HX1_NORMAL</x:v>
      </x:c>
      <x:c r="L263" s="12" t="n">
        <x:v>5</x:v>
      </x:c>
      <x:c r="M263" s="12" t="str">
        <x:v>HX1_NORMAL|5</x:v>
      </x:c>
      <x:c r="N263" s="12" t="str">
        <x:v>激光所</x:v>
      </x:c>
      <x:c r="O263" s="12" t="n">
        <x:f>IFERROR(INDEX('秒级路线参数_可调整'!$O:$O,MATCH(M263,'秒级路线参数_可调整'!$A:$A,0)),"")</x:f>
        <x:v>0</x:v>
      </x:c>
      <x:c r="P263" s="12" t="str">
        <x:f>IF(O263="","",O263/86400)</x:f>
      </x:c>
      <x:c r="Q263" s="12" t="str">
        <x:f>IF(O263="","",(H263*60+O263)/86400)</x:f>
      </x:c>
      <x:c r="R263" s="12" t="str">
        <x:f>IF(Q263="","",TEXT(Q263,"hh:mm:ss"))</x:f>
      </x:c>
      <x:c r="S263" s="12" t="str">
        <x:v>否</x:v>
      </x:c>
      <x:c r="T263" s="12" t="str">
        <x:v>否</x:v>
      </x:c>
      <x:c r="U263" s="12" t="str">
        <x:v>未提供</x:v>
      </x:c>
      <x:c r="V263" s="12" t="str">
        <x:v>未提供</x:v>
      </x:c>
      <x:c r="W263" s="12" t="str">
        <x:v>秒级预测</x:v>
      </x:c>
      <x:c r="X263" s="12" t="str">
        <x:v>基于路线秒级参数；如录入实测或手动采用秒，预计到达时间可随公式更新</x:v>
      </x:c>
    </x:row>
    <x:row r="264">
      <x:c r="A264" s="12" t="str">
        <x:v>S0022-06</x:v>
      </x:c>
      <x:c r="B264" s="12" t="str">
        <x:v>S0022</x:v>
      </x:c>
      <x:c r="C264" s="12" t="str">
        <x:v>工作日</x:v>
      </x:c>
      <x:c r="D264" s="12" t="str">
        <x:v>环线1路</x:v>
      </x:c>
      <x:c r="E264" s="12" t="str">
        <x:v>第三班</x:v>
      </x:c>
      <x:c r="F264" s="12" t="n">
        <x:v>11</x:v>
      </x:c>
      <x:c r="G264" s="12" t="str">
        <x:v>14:36</x:v>
      </x:c>
      <x:c r="H264" s="12" t="n">
        <x:v>876</x:v>
      </x:c>
      <x:c r="I264" s="12" t="str">
        <x:v>研究生宿舍楼</x:v>
      </x:c>
      <x:c r="J264" s="12" t="str">
        <x:v>研究生宿舍楼发车</x:v>
      </x:c>
      <x:c r="K264" s="12" t="str">
        <x:v>HX1_NORMAL</x:v>
      </x:c>
      <x:c r="L264" s="12" t="n">
        <x:v>6</x:v>
      </x:c>
      <x:c r="M264" s="12" t="str">
        <x:v>HX1_NORMAL|6</x:v>
      </x:c>
      <x:c r="N264" s="12" t="str">
        <x:v>超算中心</x:v>
      </x:c>
      <x:c r="O264" s="12" t="n">
        <x:f>IFERROR(INDEX('秒级路线参数_可调整'!$O:$O,MATCH(M264,'秒级路线参数_可调整'!$A:$A,0)),"")</x:f>
        <x:v>0</x:v>
      </x:c>
      <x:c r="P264" s="12" t="str">
        <x:f>IF(O264="","",O264/86400)</x:f>
      </x:c>
      <x:c r="Q264" s="12" t="str">
        <x:f>IF(O264="","",(H264*60+O264)/86400)</x:f>
      </x:c>
      <x:c r="R264" s="12" t="str">
        <x:f>IF(Q264="","",TEXT(Q264,"hh:mm:ss"))</x:f>
      </x:c>
      <x:c r="S264" s="12" t="str">
        <x:v>否</x:v>
      </x:c>
      <x:c r="T264" s="12" t="str">
        <x:v>否</x:v>
      </x:c>
      <x:c r="U264" s="12" t="str">
        <x:v>未提供</x:v>
      </x:c>
      <x:c r="V264" s="12" t="str">
        <x:v>未提供</x:v>
      </x:c>
      <x:c r="W264" s="12" t="str">
        <x:v>秒级预测</x:v>
      </x:c>
      <x:c r="X264" s="12" t="str">
        <x:v>基于路线秒级参数；如录入实测或手动采用秒，预计到达时间可随公式更新</x:v>
      </x:c>
    </x:row>
    <x:row r="265">
      <x:c r="A265" s="12" t="str">
        <x:v>S0022-07</x:v>
      </x:c>
      <x:c r="B265" s="12" t="str">
        <x:v>S0022</x:v>
      </x:c>
      <x:c r="C265" s="12" t="str">
        <x:v>工作日</x:v>
      </x:c>
      <x:c r="D265" s="12" t="str">
        <x:v>环线1路</x:v>
      </x:c>
      <x:c r="E265" s="12" t="str">
        <x:v>第三班</x:v>
      </x:c>
      <x:c r="F265" s="12" t="n">
        <x:v>11</x:v>
      </x:c>
      <x:c r="G265" s="12" t="str">
        <x:v>14:36</x:v>
      </x:c>
      <x:c r="H265" s="12" t="n">
        <x:v>876</x:v>
      </x:c>
      <x:c r="I265" s="12" t="str">
        <x:v>研究生宿舍楼</x:v>
      </x:c>
      <x:c r="J265" s="12" t="str">
        <x:v>研究生宿舍楼发车</x:v>
      </x:c>
      <x:c r="K265" s="12" t="str">
        <x:v>HX1_NORMAL</x:v>
      </x:c>
      <x:c r="L265" s="12" t="n">
        <x:v>7</x:v>
      </x:c>
      <x:c r="M265" s="12" t="str">
        <x:v>HX1_NORMAL|7</x:v>
      </x:c>
      <x:c r="N265" s="12" t="str">
        <x:v>北门</x:v>
      </x:c>
      <x:c r="O265" s="12" t="n">
        <x:f>IFERROR(INDEX('秒级路线参数_可调整'!$O:$O,MATCH(M265,'秒级路线参数_可调整'!$A:$A,0)),"")</x:f>
        <x:v>0</x:v>
      </x:c>
      <x:c r="P265" s="12" t="str">
        <x:f>IF(O265="","",O265/86400)</x:f>
      </x:c>
      <x:c r="Q265" s="12" t="str">
        <x:f>IF(O265="","",(H265*60+O265)/86400)</x:f>
      </x:c>
      <x:c r="R265" s="12" t="str">
        <x:f>IF(Q265="","",TEXT(Q265,"hh:mm:ss"))</x:f>
      </x:c>
      <x:c r="S265" s="12" t="str">
        <x:v>否</x:v>
      </x:c>
      <x:c r="T265" s="12" t="str">
        <x:v>否</x:v>
      </x:c>
      <x:c r="U265" s="12" t="str">
        <x:v>未提供</x:v>
      </x:c>
      <x:c r="V265" s="12" t="str">
        <x:v>未提供</x:v>
      </x:c>
      <x:c r="W265" s="12" t="str">
        <x:v>秒级预测</x:v>
      </x:c>
      <x:c r="X265" s="12" t="str">
        <x:v>基于路线秒级参数；如录入实测或手动采用秒，预计到达时间可随公式更新</x:v>
      </x:c>
    </x:row>
    <x:row r="266">
      <x:c r="A266" s="12" t="str">
        <x:v>S0022-08</x:v>
      </x:c>
      <x:c r="B266" s="12" t="str">
        <x:v>S0022</x:v>
      </x:c>
      <x:c r="C266" s="12" t="str">
        <x:v>工作日</x:v>
      </x:c>
      <x:c r="D266" s="12" t="str">
        <x:v>环线1路</x:v>
      </x:c>
      <x:c r="E266" s="12" t="str">
        <x:v>第三班</x:v>
      </x:c>
      <x:c r="F266" s="12" t="n">
        <x:v>11</x:v>
      </x:c>
      <x:c r="G266" s="12" t="str">
        <x:v>14:36</x:v>
      </x:c>
      <x:c r="H266" s="12" t="n">
        <x:v>876</x:v>
      </x:c>
      <x:c r="I266" s="12" t="str">
        <x:v>研究生宿舍楼</x:v>
      </x:c>
      <x:c r="J266" s="12" t="str">
        <x:v>研究生宿舍楼发车</x:v>
      </x:c>
      <x:c r="K266" s="12" t="str">
        <x:v>HX1_NORMAL</x:v>
      </x:c>
      <x:c r="L266" s="12" t="n">
        <x:v>8</x:v>
      </x:c>
      <x:c r="M266" s="12" t="str">
        <x:v>HX1_NORMAL|8</x:v>
      </x:c>
      <x:c r="N266" s="12" t="str">
        <x:v>高超楼</x:v>
      </x:c>
      <x:c r="O266" s="12" t="n">
        <x:f>IFERROR(INDEX('秒级路线参数_可调整'!$O:$O,MATCH(M266,'秒级路线参数_可调整'!$A:$A,0)),"")</x:f>
        <x:v>0</x:v>
      </x:c>
      <x:c r="P266" s="12" t="str">
        <x:f>IF(O266="","",O266/86400)</x:f>
      </x:c>
      <x:c r="Q266" s="12" t="str">
        <x:f>IF(O266="","",(H266*60+O266)/86400)</x:f>
      </x:c>
      <x:c r="R266" s="12" t="str">
        <x:f>IF(Q266="","",TEXT(Q266,"hh:mm:ss"))</x:f>
      </x:c>
      <x:c r="S266" s="12" t="str">
        <x:v>否</x:v>
      </x:c>
      <x:c r="T266" s="12" t="str">
        <x:v>否</x:v>
      </x:c>
      <x:c r="U266" s="12" t="str">
        <x:v>未提供</x:v>
      </x:c>
      <x:c r="V266" s="12" t="str">
        <x:v>未提供</x:v>
      </x:c>
      <x:c r="W266" s="12" t="str">
        <x:v>秒级预测</x:v>
      </x:c>
      <x:c r="X266" s="12" t="str">
        <x:v>基于路线秒级参数；如录入实测或手动采用秒，预计到达时间可随公式更新</x:v>
      </x:c>
    </x:row>
    <x:row r="267">
      <x:c r="A267" s="12" t="str">
        <x:v>S0022-09</x:v>
      </x:c>
      <x:c r="B267" s="12" t="str">
        <x:v>S0022</x:v>
      </x:c>
      <x:c r="C267" s="12" t="str">
        <x:v>工作日</x:v>
      </x:c>
      <x:c r="D267" s="12" t="str">
        <x:v>环线1路</x:v>
      </x:c>
      <x:c r="E267" s="12" t="str">
        <x:v>第三班</x:v>
      </x:c>
      <x:c r="F267" s="12" t="n">
        <x:v>11</x:v>
      </x:c>
      <x:c r="G267" s="12" t="str">
        <x:v>14:36</x:v>
      </x:c>
      <x:c r="H267" s="12" t="n">
        <x:v>876</x:v>
      </x:c>
      <x:c r="I267" s="12" t="str">
        <x:v>研究生宿舍楼</x:v>
      </x:c>
      <x:c r="J267" s="12" t="str">
        <x:v>研究生宿舍楼发车</x:v>
      </x:c>
      <x:c r="K267" s="12" t="str">
        <x:v>HX1_NORMAL</x:v>
      </x:c>
      <x:c r="L267" s="12" t="n">
        <x:v>9</x:v>
      </x:c>
      <x:c r="M267" s="12" t="str">
        <x:v>HX1_NORMAL|9</x:v>
      </x:c>
      <x:c r="N267" s="12" t="str">
        <x:v>理学院</x:v>
      </x:c>
      <x:c r="O267" s="12" t="n">
        <x:f>IFERROR(INDEX('秒级路线参数_可调整'!$O:$O,MATCH(M267,'秒级路线参数_可调整'!$A:$A,0)),"")</x:f>
        <x:v>0</x:v>
      </x:c>
      <x:c r="P267" s="12" t="str">
        <x:f>IF(O267="","",O267/86400)</x:f>
      </x:c>
      <x:c r="Q267" s="12" t="str">
        <x:f>IF(O267="","",(H267*60+O267)/86400)</x:f>
      </x:c>
      <x:c r="R267" s="12" t="str">
        <x:f>IF(Q267="","",TEXT(Q267,"hh:mm:ss"))</x:f>
      </x:c>
      <x:c r="S267" s="12" t="str">
        <x:v>否</x:v>
      </x:c>
      <x:c r="T267" s="12" t="str">
        <x:v>否</x:v>
      </x:c>
      <x:c r="U267" s="12" t="str">
        <x:v>未提供</x:v>
      </x:c>
      <x:c r="V267" s="12" t="str">
        <x:v>未提供</x:v>
      </x:c>
      <x:c r="W267" s="12" t="str">
        <x:v>秒级预测</x:v>
      </x:c>
      <x:c r="X267" s="12" t="str">
        <x:v>基于路线秒级参数；如录入实测或手动采用秒，预计到达时间可随公式更新</x:v>
      </x:c>
    </x:row>
    <x:row r="268">
      <x:c r="A268" s="12" t="str">
        <x:v>S0022-10</x:v>
      </x:c>
      <x:c r="B268" s="12" t="str">
        <x:v>S0022</x:v>
      </x:c>
      <x:c r="C268" s="12" t="str">
        <x:v>工作日</x:v>
      </x:c>
      <x:c r="D268" s="12" t="str">
        <x:v>环线1路</x:v>
      </x:c>
      <x:c r="E268" s="12" t="str">
        <x:v>第三班</x:v>
      </x:c>
      <x:c r="F268" s="12" t="n">
        <x:v>11</x:v>
      </x:c>
      <x:c r="G268" s="12" t="str">
        <x:v>14:36</x:v>
      </x:c>
      <x:c r="H268" s="12" t="n">
        <x:v>876</x:v>
      </x:c>
      <x:c r="I268" s="12" t="str">
        <x:v>研究生宿舍楼</x:v>
      </x:c>
      <x:c r="J268" s="12" t="str">
        <x:v>研究生宿舍楼发车</x:v>
      </x:c>
      <x:c r="K268" s="12" t="str">
        <x:v>HX1_NORMAL</x:v>
      </x:c>
      <x:c r="L268" s="12" t="n">
        <x:v>10</x:v>
      </x:c>
      <x:c r="M268" s="12" t="str">
        <x:v>HX1_NORMAL|10</x:v>
      </x:c>
      <x:c r="N268" s="12" t="str">
        <x:v>二食堂</x:v>
      </x:c>
      <x:c r="O268" s="12" t="n">
        <x:f>IFERROR(INDEX('秒级路线参数_可调整'!$O:$O,MATCH(M268,'秒级路线参数_可调整'!$A:$A,0)),"")</x:f>
        <x:v>0</x:v>
      </x:c>
      <x:c r="P268" s="12" t="str">
        <x:f>IF(O268="","",O268/86400)</x:f>
      </x:c>
      <x:c r="Q268" s="12" t="str">
        <x:f>IF(O268="","",(H268*60+O268)/86400)</x:f>
      </x:c>
      <x:c r="R268" s="12" t="str">
        <x:f>IF(Q268="","",TEXT(Q268,"hh:mm:ss"))</x:f>
      </x:c>
      <x:c r="S268" s="12" t="str">
        <x:v>否</x:v>
      </x:c>
      <x:c r="T268" s="12" t="str">
        <x:v>否</x:v>
      </x:c>
      <x:c r="U268" s="12" t="str">
        <x:v>未提供</x:v>
      </x:c>
      <x:c r="V268" s="12" t="str">
        <x:v>未提供</x:v>
      </x:c>
      <x:c r="W268" s="12" t="str">
        <x:v>秒级预测</x:v>
      </x:c>
      <x:c r="X268" s="12" t="str">
        <x:v>基于路线秒级参数；如录入实测或手动采用秒，预计到达时间可随公式更新</x:v>
      </x:c>
    </x:row>
    <x:row r="269">
      <x:c r="A269" s="12" t="str">
        <x:v>S0022-11</x:v>
      </x:c>
      <x:c r="B269" s="12" t="str">
        <x:v>S0022</x:v>
      </x:c>
      <x:c r="C269" s="12" t="str">
        <x:v>工作日</x:v>
      </x:c>
      <x:c r="D269" s="12" t="str">
        <x:v>环线1路</x:v>
      </x:c>
      <x:c r="E269" s="12" t="str">
        <x:v>第三班</x:v>
      </x:c>
      <x:c r="F269" s="12" t="n">
        <x:v>11</x:v>
      </x:c>
      <x:c r="G269" s="12" t="str">
        <x:v>14:36</x:v>
      </x:c>
      <x:c r="H269" s="12" t="n">
        <x:v>876</x:v>
      </x:c>
      <x:c r="I269" s="12" t="str">
        <x:v>研究生宿舍楼</x:v>
      </x:c>
      <x:c r="J269" s="12" t="str">
        <x:v>研究生宿舍楼发车</x:v>
      </x:c>
      <x:c r="K269" s="12" t="str">
        <x:v>HX1_NORMAL</x:v>
      </x:c>
      <x:c r="L269" s="12" t="n">
        <x:v>11</x:v>
      </x:c>
      <x:c r="M269" s="12" t="str">
        <x:v>HX1_NORMAL|11</x:v>
      </x:c>
      <x:c r="N269" s="12" t="str">
        <x:v>5号宿舍楼</x:v>
      </x:c>
      <x:c r="O269" s="12" t="n">
        <x:f>IFERROR(INDEX('秒级路线参数_可调整'!$O:$O,MATCH(M269,'秒级路线参数_可调整'!$A:$A,0)),"")</x:f>
        <x:v>0</x:v>
      </x:c>
      <x:c r="P269" s="12" t="str">
        <x:f>IF(O269="","",O269/86400)</x:f>
      </x:c>
      <x:c r="Q269" s="12" t="str">
        <x:f>IF(O269="","",(H269*60+O269)/86400)</x:f>
      </x:c>
      <x:c r="R269" s="12" t="str">
        <x:f>IF(Q269="","",TEXT(Q269,"hh:mm:ss"))</x:f>
      </x:c>
      <x:c r="S269" s="12" t="str">
        <x:v>否</x:v>
      </x:c>
      <x:c r="T269" s="12" t="str">
        <x:v>否</x:v>
      </x:c>
      <x:c r="U269" s="12" t="str">
        <x:v>未提供</x:v>
      </x:c>
      <x:c r="V269" s="12" t="str">
        <x:v>未提供</x:v>
      </x:c>
      <x:c r="W269" s="12" t="str">
        <x:v>秒级预测</x:v>
      </x:c>
      <x:c r="X269" s="12" t="str">
        <x:v>基于路线秒级参数；如录入实测或手动采用秒，预计到达时间可随公式更新</x:v>
      </x:c>
    </x:row>
    <x:row r="270">
      <x:c r="A270" s="12" t="str">
        <x:v>S0022-12</x:v>
      </x:c>
      <x:c r="B270" s="12" t="str">
        <x:v>S0022</x:v>
      </x:c>
      <x:c r="C270" s="12" t="str">
        <x:v>工作日</x:v>
      </x:c>
      <x:c r="D270" s="12" t="str">
        <x:v>环线1路</x:v>
      </x:c>
      <x:c r="E270" s="12" t="str">
        <x:v>第三班</x:v>
      </x:c>
      <x:c r="F270" s="12" t="n">
        <x:v>11</x:v>
      </x:c>
      <x:c r="G270" s="12" t="str">
        <x:v>14:36</x:v>
      </x:c>
      <x:c r="H270" s="12" t="n">
        <x:v>876</x:v>
      </x:c>
      <x:c r="I270" s="12" t="str">
        <x:v>研究生宿舍楼</x:v>
      </x:c>
      <x:c r="J270" s="12" t="str">
        <x:v>研究生宿舍楼发车</x:v>
      </x:c>
      <x:c r="K270" s="12" t="str">
        <x:v>HX1_NORMAL</x:v>
      </x:c>
      <x:c r="L270" s="12" t="n">
        <x:v>12</x:v>
      </x:c>
      <x:c r="M270" s="12" t="str">
        <x:v>HX1_NORMAL|12</x:v>
      </x:c>
      <x:c r="N270" s="12" t="str">
        <x:v>305教学楼</x:v>
      </x:c>
      <x:c r="O270" s="12" t="n">
        <x:f>IFERROR(INDEX('秒级路线参数_可调整'!$O:$O,MATCH(M270,'秒级路线参数_可调整'!$A:$A,0)),"")</x:f>
        <x:v>0</x:v>
      </x:c>
      <x:c r="P270" s="12" t="str">
        <x:f>IF(O270="","",O270/86400)</x:f>
      </x:c>
      <x:c r="Q270" s="12" t="str">
        <x:f>IF(O270="","",(H270*60+O270)/86400)</x:f>
      </x:c>
      <x:c r="R270" s="12" t="str">
        <x:f>IF(Q270="","",TEXT(Q270,"hh:mm:ss"))</x:f>
      </x:c>
      <x:c r="S270" s="12" t="str">
        <x:v>否</x:v>
      </x:c>
      <x:c r="T270" s="12" t="str">
        <x:v>否</x:v>
      </x:c>
      <x:c r="U270" s="12" t="str">
        <x:v>未提供</x:v>
      </x:c>
      <x:c r="V270" s="12" t="str">
        <x:v>未提供</x:v>
      </x:c>
      <x:c r="W270" s="12" t="str">
        <x:v>秒级预测</x:v>
      </x:c>
      <x:c r="X270" s="12" t="str">
        <x:v>基于路线秒级参数；如录入实测或手动采用秒，预计到达时间可随公式更新</x:v>
      </x:c>
    </x:row>
    <x:row r="271">
      <x:c r="A271" s="12" t="str">
        <x:v>S0022-13</x:v>
      </x:c>
      <x:c r="B271" s="12" t="str">
        <x:v>S0022</x:v>
      </x:c>
      <x:c r="C271" s="12" t="str">
        <x:v>工作日</x:v>
      </x:c>
      <x:c r="D271" s="12" t="str">
        <x:v>环线1路</x:v>
      </x:c>
      <x:c r="E271" s="12" t="str">
        <x:v>第三班</x:v>
      </x:c>
      <x:c r="F271" s="12" t="n">
        <x:v>11</x:v>
      </x:c>
      <x:c r="G271" s="12" t="str">
        <x:v>14:36</x:v>
      </x:c>
      <x:c r="H271" s="12" t="n">
        <x:v>876</x:v>
      </x:c>
      <x:c r="I271" s="12" t="str">
        <x:v>研究生宿舍楼</x:v>
      </x:c>
      <x:c r="J271" s="12" t="str">
        <x:v>研究生宿舍楼发车</x:v>
      </x:c>
      <x:c r="K271" s="12" t="str">
        <x:v>HX1_NORMAL</x:v>
      </x:c>
      <x:c r="L271" s="12" t="n">
        <x:v>13</x:v>
      </x:c>
      <x:c r="M271" s="12" t="str">
        <x:v>HX1_NORMAL|13</x:v>
      </x:c>
      <x:c r="N271" s="12" t="str">
        <x:v>研究生宿舍楼</x:v>
      </x:c>
      <x:c r="O271" s="12" t="n">
        <x:f>IFERROR(INDEX('秒级路线参数_可调整'!$O:$O,MATCH(M271,'秒级路线参数_可调整'!$A:$A,0)),"")</x:f>
        <x:v>0</x:v>
      </x:c>
      <x:c r="P271" s="12" t="str">
        <x:f>IF(O271="","",O271/86400)</x:f>
      </x:c>
      <x:c r="Q271" s="12" t="str">
        <x:f>IF(O271="","",(H271*60+O271)/86400)</x:f>
      </x:c>
      <x:c r="R271" s="12" t="str">
        <x:f>IF(Q271="","",TEXT(Q271,"hh:mm:ss"))</x:f>
      </x:c>
      <x:c r="S271" s="12" t="str">
        <x:v>否</x:v>
      </x:c>
      <x:c r="T271" s="12" t="str">
        <x:v>是</x:v>
      </x:c>
      <x:c r="U271" s="12" t="str">
        <x:v>未提供</x:v>
      </x:c>
      <x:c r="V271" s="12" t="str">
        <x:v>未提供</x:v>
      </x:c>
      <x:c r="W271" s="12" t="str">
        <x:v>秒级预测</x:v>
      </x:c>
      <x:c r="X271" s="12" t="str">
        <x:v>基于路线秒级参数；如录入实测或手动采用秒，预计到达时间可随公式更新</x:v>
      </x:c>
    </x:row>
    <x:row r="272">
      <x:c r="A272" s="12" t="str">
        <x:v>S0023-01</x:v>
      </x:c>
      <x:c r="B272" s="12" t="str">
        <x:v>S0023</x:v>
      </x:c>
      <x:c r="C272" s="12" t="str">
        <x:v>工作日</x:v>
      </x:c>
      <x:c r="D272" s="12" t="str">
        <x:v>环线1路</x:v>
      </x:c>
      <x:c r="E272" s="12" t="str">
        <x:v>第三班</x:v>
      </x:c>
      <x:c r="F272" s="12" t="n">
        <x:v>12</x:v>
      </x:c>
      <x:c r="G272" s="12" t="str">
        <x:v>15:20</x:v>
      </x:c>
      <x:c r="H272" s="12" t="n">
        <x:v>920</x:v>
      </x:c>
      <x:c r="I272" s="12" t="str">
        <x:v>研究生宿舍楼</x:v>
      </x:c>
      <x:c r="J272" s="12" t="str">
        <x:v>研究生宿舍楼发车</x:v>
      </x:c>
      <x:c r="K272" s="12" t="str">
        <x:v>HX1_NORMAL</x:v>
      </x:c>
      <x:c r="L272" s="12" t="n">
        <x:v>1</x:v>
      </x:c>
      <x:c r="M272" s="12" t="str">
        <x:v>HX1_NORMAL|1</x:v>
      </x:c>
      <x:c r="N272" s="12" t="str">
        <x:v>研究生宿舍楼</x:v>
      </x:c>
      <x:c r="O272" s="12" t="n">
        <x:f>IFERROR(INDEX('秒级路线参数_可调整'!$O:$O,MATCH(M272,'秒级路线参数_可调整'!$A:$A,0)),"")</x:f>
        <x:v>0</x:v>
      </x:c>
      <x:c r="P272" s="12" t="str">
        <x:f>IF(O272="","",O272/86400)</x:f>
      </x:c>
      <x:c r="Q272" s="12" t="str">
        <x:f>IF(O272="","",(H272*60+O272)/86400)</x:f>
      </x:c>
      <x:c r="R272" s="12" t="str">
        <x:f>IF(Q272="","",TEXT(Q272,"hh:mm:ss"))</x:f>
      </x:c>
      <x:c r="S272" s="12" t="str">
        <x:v>是</x:v>
      </x:c>
      <x:c r="T272" s="12" t="str">
        <x:v>否</x:v>
      </x:c>
      <x:c r="U272" s="12" t="str">
        <x:v>未提供</x:v>
      </x:c>
      <x:c r="V272" s="12" t="str">
        <x:v>未提供</x:v>
      </x:c>
      <x:c r="W272" s="12" t="str">
        <x:v>秒级预测</x:v>
      </x:c>
      <x:c r="X272" s="12" t="str">
        <x:v>基于路线秒级参数；如录入实测或手动采用秒，预计到达时间可随公式更新</x:v>
      </x:c>
    </x:row>
    <x:row r="273">
      <x:c r="A273" s="12" t="str">
        <x:v>S0023-02</x:v>
      </x:c>
      <x:c r="B273" s="12" t="str">
        <x:v>S0023</x:v>
      </x:c>
      <x:c r="C273" s="12" t="str">
        <x:v>工作日</x:v>
      </x:c>
      <x:c r="D273" s="12" t="str">
        <x:v>环线1路</x:v>
      </x:c>
      <x:c r="E273" s="12" t="str">
        <x:v>第三班</x:v>
      </x:c>
      <x:c r="F273" s="12" t="n">
        <x:v>12</x:v>
      </x:c>
      <x:c r="G273" s="12" t="str">
        <x:v>15:20</x:v>
      </x:c>
      <x:c r="H273" s="12" t="n">
        <x:v>920</x:v>
      </x:c>
      <x:c r="I273" s="12" t="str">
        <x:v>研究生宿舍楼</x:v>
      </x:c>
      <x:c r="J273" s="12" t="str">
        <x:v>研究生宿舍楼发车</x:v>
      </x:c>
      <x:c r="K273" s="12" t="str">
        <x:v>HX1_NORMAL</x:v>
      </x:c>
      <x:c r="L273" s="12" t="n">
        <x:v>2</x:v>
      </x:c>
      <x:c r="M273" s="12" t="str">
        <x:v>HX1_NORMAL|2</x:v>
      </x:c>
      <x:c r="N273" s="12" t="str">
        <x:v>东门</x:v>
      </x:c>
      <x:c r="O273" s="12" t="n">
        <x:f>IFERROR(INDEX('秒级路线参数_可调整'!$O:$O,MATCH(M273,'秒级路线参数_可调整'!$A:$A,0)),"")</x:f>
        <x:v>0</x:v>
      </x:c>
      <x:c r="P273" s="12" t="str">
        <x:f>IF(O273="","",O273/86400)</x:f>
      </x:c>
      <x:c r="Q273" s="12" t="str">
        <x:f>IF(O273="","",(H273*60+O273)/86400)</x:f>
      </x:c>
      <x:c r="R273" s="12" t="str">
        <x:f>IF(Q273="","",TEXT(Q273,"hh:mm:ss"))</x:f>
      </x:c>
      <x:c r="S273" s="12" t="str">
        <x:v>否</x:v>
      </x:c>
      <x:c r="T273" s="12" t="str">
        <x:v>否</x:v>
      </x:c>
      <x:c r="U273" s="12" t="str">
        <x:v>未提供</x:v>
      </x:c>
      <x:c r="V273" s="12" t="str">
        <x:v>未提供</x:v>
      </x:c>
      <x:c r="W273" s="12" t="str">
        <x:v>秒级预测</x:v>
      </x:c>
      <x:c r="X273" s="12" t="str">
        <x:v>基于路线秒级参数；如录入实测或手动采用秒，预计到达时间可随公式更新</x:v>
      </x:c>
    </x:row>
    <x:row r="274">
      <x:c r="A274" s="12" t="str">
        <x:v>S0023-03</x:v>
      </x:c>
      <x:c r="B274" s="12" t="str">
        <x:v>S0023</x:v>
      </x:c>
      <x:c r="C274" s="12" t="str">
        <x:v>工作日</x:v>
      </x:c>
      <x:c r="D274" s="12" t="str">
        <x:v>环线1路</x:v>
      </x:c>
      <x:c r="E274" s="12" t="str">
        <x:v>第三班</x:v>
      </x:c>
      <x:c r="F274" s="12" t="n">
        <x:v>12</x:v>
      </x:c>
      <x:c r="G274" s="12" t="str">
        <x:v>15:20</x:v>
      </x:c>
      <x:c r="H274" s="12" t="n">
        <x:v>920</x:v>
      </x:c>
      <x:c r="I274" s="12" t="str">
        <x:v>研究生宿舍楼</x:v>
      </x:c>
      <x:c r="J274" s="12" t="str">
        <x:v>研究生宿舍楼发车</x:v>
      </x:c>
      <x:c r="K274" s="12" t="str">
        <x:v>HX1_NORMAL</x:v>
      </x:c>
      <x:c r="L274" s="12" t="n">
        <x:v>3</x:v>
      </x:c>
      <x:c r="M274" s="12" t="str">
        <x:v>HX1_NORMAL|3</x:v>
      </x:c>
      <x:c r="N274" s="12" t="str">
        <x:v>2号宿舍楼</x:v>
      </x:c>
      <x:c r="O274" s="12" t="n">
        <x:f>IFERROR(INDEX('秒级路线参数_可调整'!$O:$O,MATCH(M274,'秒级路线参数_可调整'!$A:$A,0)),"")</x:f>
        <x:v>0</x:v>
      </x:c>
      <x:c r="P274" s="12" t="str">
        <x:f>IF(O274="","",O274/86400)</x:f>
      </x:c>
      <x:c r="Q274" s="12" t="str">
        <x:f>IF(O274="","",(H274*60+O274)/86400)</x:f>
      </x:c>
      <x:c r="R274" s="12" t="str">
        <x:f>IF(Q274="","",TEXT(Q274,"hh:mm:ss"))</x:f>
      </x:c>
      <x:c r="S274" s="12" t="str">
        <x:v>否</x:v>
      </x:c>
      <x:c r="T274" s="12" t="str">
        <x:v>否</x:v>
      </x:c>
      <x:c r="U274" s="12" t="str">
        <x:v>未提供</x:v>
      </x:c>
      <x:c r="V274" s="12" t="str">
        <x:v>未提供</x:v>
      </x:c>
      <x:c r="W274" s="12" t="str">
        <x:v>秒级预测</x:v>
      </x:c>
      <x:c r="X274" s="12" t="str">
        <x:v>基于路线秒级参数；如录入实测或手动采用秒，预计到达时间可随公式更新</x:v>
      </x:c>
    </x:row>
    <x:row r="275">
      <x:c r="A275" s="12" t="str">
        <x:v>S0023-04</x:v>
      </x:c>
      <x:c r="B275" s="12" t="str">
        <x:v>S0023</x:v>
      </x:c>
      <x:c r="C275" s="12" t="str">
        <x:v>工作日</x:v>
      </x:c>
      <x:c r="D275" s="12" t="str">
        <x:v>环线1路</x:v>
      </x:c>
      <x:c r="E275" s="12" t="str">
        <x:v>第三班</x:v>
      </x:c>
      <x:c r="F275" s="12" t="n">
        <x:v>12</x:v>
      </x:c>
      <x:c r="G275" s="12" t="str">
        <x:v>15:20</x:v>
      </x:c>
      <x:c r="H275" s="12" t="n">
        <x:v>920</x:v>
      </x:c>
      <x:c r="I275" s="12" t="str">
        <x:v>研究生宿舍楼</x:v>
      </x:c>
      <x:c r="J275" s="12" t="str">
        <x:v>研究生宿舍楼发车</x:v>
      </x:c>
      <x:c r="K275" s="12" t="str">
        <x:v>HX1_NORMAL</x:v>
      </x:c>
      <x:c r="L275" s="12" t="n">
        <x:v>4</x:v>
      </x:c>
      <x:c r="M275" s="12" t="str">
        <x:v>HX1_NORMAL|4</x:v>
      </x:c>
      <x:c r="N275" s="12" t="str">
        <x:v>军体活动中心</x:v>
      </x:c>
      <x:c r="O275" s="12" t="n">
        <x:f>IFERROR(INDEX('秒级路线参数_可调整'!$O:$O,MATCH(M275,'秒级路线参数_可调整'!$A:$A,0)),"")</x:f>
        <x:v>0</x:v>
      </x:c>
      <x:c r="P275" s="12" t="str">
        <x:f>IF(O275="","",O275/86400)</x:f>
      </x:c>
      <x:c r="Q275" s="12" t="str">
        <x:f>IF(O275="","",(H275*60+O275)/86400)</x:f>
      </x:c>
      <x:c r="R275" s="12" t="str">
        <x:f>IF(Q275="","",TEXT(Q275,"hh:mm:ss"))</x:f>
      </x:c>
      <x:c r="S275" s="12" t="str">
        <x:v>否</x:v>
      </x:c>
      <x:c r="T275" s="12" t="str">
        <x:v>否</x:v>
      </x:c>
      <x:c r="U275" s="12" t="str">
        <x:v>未提供</x:v>
      </x:c>
      <x:c r="V275" s="12" t="str">
        <x:v>未提供</x:v>
      </x:c>
      <x:c r="W275" s="12" t="str">
        <x:v>秒级预测</x:v>
      </x:c>
      <x:c r="X275" s="12" t="str">
        <x:v>基于路线秒级参数；如录入实测或手动采用秒，预计到达时间可随公式更新</x:v>
      </x:c>
    </x:row>
    <x:row r="276">
      <x:c r="A276" s="12" t="str">
        <x:v>S0023-05</x:v>
      </x:c>
      <x:c r="B276" s="12" t="str">
        <x:v>S0023</x:v>
      </x:c>
      <x:c r="C276" s="12" t="str">
        <x:v>工作日</x:v>
      </x:c>
      <x:c r="D276" s="12" t="str">
        <x:v>环线1路</x:v>
      </x:c>
      <x:c r="E276" s="12" t="str">
        <x:v>第三班</x:v>
      </x:c>
      <x:c r="F276" s="12" t="n">
        <x:v>12</x:v>
      </x:c>
      <x:c r="G276" s="12" t="str">
        <x:v>15:20</x:v>
      </x:c>
      <x:c r="H276" s="12" t="n">
        <x:v>920</x:v>
      </x:c>
      <x:c r="I276" s="12" t="str">
        <x:v>研究生宿舍楼</x:v>
      </x:c>
      <x:c r="J276" s="12" t="str">
        <x:v>研究生宿舍楼发车</x:v>
      </x:c>
      <x:c r="K276" s="12" t="str">
        <x:v>HX1_NORMAL</x:v>
      </x:c>
      <x:c r="L276" s="12" t="n">
        <x:v>5</x:v>
      </x:c>
      <x:c r="M276" s="12" t="str">
        <x:v>HX1_NORMAL|5</x:v>
      </x:c>
      <x:c r="N276" s="12" t="str">
        <x:v>激光所</x:v>
      </x:c>
      <x:c r="O276" s="12" t="n">
        <x:f>IFERROR(INDEX('秒级路线参数_可调整'!$O:$O,MATCH(M276,'秒级路线参数_可调整'!$A:$A,0)),"")</x:f>
        <x:v>0</x:v>
      </x:c>
      <x:c r="P276" s="12" t="str">
        <x:f>IF(O276="","",O276/86400)</x:f>
      </x:c>
      <x:c r="Q276" s="12" t="str">
        <x:f>IF(O276="","",(H276*60+O276)/86400)</x:f>
      </x:c>
      <x:c r="R276" s="12" t="str">
        <x:f>IF(Q276="","",TEXT(Q276,"hh:mm:ss"))</x:f>
      </x:c>
      <x:c r="S276" s="12" t="str">
        <x:v>否</x:v>
      </x:c>
      <x:c r="T276" s="12" t="str">
        <x:v>否</x:v>
      </x:c>
      <x:c r="U276" s="12" t="str">
        <x:v>未提供</x:v>
      </x:c>
      <x:c r="V276" s="12" t="str">
        <x:v>未提供</x:v>
      </x:c>
      <x:c r="W276" s="12" t="str">
        <x:v>秒级预测</x:v>
      </x:c>
      <x:c r="X276" s="12" t="str">
        <x:v>基于路线秒级参数；如录入实测或手动采用秒，预计到达时间可随公式更新</x:v>
      </x:c>
    </x:row>
    <x:row r="277">
      <x:c r="A277" s="12" t="str">
        <x:v>S0023-06</x:v>
      </x:c>
      <x:c r="B277" s="12" t="str">
        <x:v>S0023</x:v>
      </x:c>
      <x:c r="C277" s="12" t="str">
        <x:v>工作日</x:v>
      </x:c>
      <x:c r="D277" s="12" t="str">
        <x:v>环线1路</x:v>
      </x:c>
      <x:c r="E277" s="12" t="str">
        <x:v>第三班</x:v>
      </x:c>
      <x:c r="F277" s="12" t="n">
        <x:v>12</x:v>
      </x:c>
      <x:c r="G277" s="12" t="str">
        <x:v>15:20</x:v>
      </x:c>
      <x:c r="H277" s="12" t="n">
        <x:v>920</x:v>
      </x:c>
      <x:c r="I277" s="12" t="str">
        <x:v>研究生宿舍楼</x:v>
      </x:c>
      <x:c r="J277" s="12" t="str">
        <x:v>研究生宿舍楼发车</x:v>
      </x:c>
      <x:c r="K277" s="12" t="str">
        <x:v>HX1_NORMAL</x:v>
      </x:c>
      <x:c r="L277" s="12" t="n">
        <x:v>6</x:v>
      </x:c>
      <x:c r="M277" s="12" t="str">
        <x:v>HX1_NORMAL|6</x:v>
      </x:c>
      <x:c r="N277" s="12" t="str">
        <x:v>超算中心</x:v>
      </x:c>
      <x:c r="O277" s="12" t="n">
        <x:f>IFERROR(INDEX('秒级路线参数_可调整'!$O:$O,MATCH(M277,'秒级路线参数_可调整'!$A:$A,0)),"")</x:f>
        <x:v>0</x:v>
      </x:c>
      <x:c r="P277" s="12" t="str">
        <x:f>IF(O277="","",O277/86400)</x:f>
      </x:c>
      <x:c r="Q277" s="12" t="str">
        <x:f>IF(O277="","",(H277*60+O277)/86400)</x:f>
      </x:c>
      <x:c r="R277" s="12" t="str">
        <x:f>IF(Q277="","",TEXT(Q277,"hh:mm:ss"))</x:f>
      </x:c>
      <x:c r="S277" s="12" t="str">
        <x:v>否</x:v>
      </x:c>
      <x:c r="T277" s="12" t="str">
        <x:v>否</x:v>
      </x:c>
      <x:c r="U277" s="12" t="str">
        <x:v>未提供</x:v>
      </x:c>
      <x:c r="V277" s="12" t="str">
        <x:v>未提供</x:v>
      </x:c>
      <x:c r="W277" s="12" t="str">
        <x:v>秒级预测</x:v>
      </x:c>
      <x:c r="X277" s="12" t="str">
        <x:v>基于路线秒级参数；如录入实测或手动采用秒，预计到达时间可随公式更新</x:v>
      </x:c>
    </x:row>
    <x:row r="278">
      <x:c r="A278" s="12" t="str">
        <x:v>S0023-07</x:v>
      </x:c>
      <x:c r="B278" s="12" t="str">
        <x:v>S0023</x:v>
      </x:c>
      <x:c r="C278" s="12" t="str">
        <x:v>工作日</x:v>
      </x:c>
      <x:c r="D278" s="12" t="str">
        <x:v>环线1路</x:v>
      </x:c>
      <x:c r="E278" s="12" t="str">
        <x:v>第三班</x:v>
      </x:c>
      <x:c r="F278" s="12" t="n">
        <x:v>12</x:v>
      </x:c>
      <x:c r="G278" s="12" t="str">
        <x:v>15:20</x:v>
      </x:c>
      <x:c r="H278" s="12" t="n">
        <x:v>920</x:v>
      </x:c>
      <x:c r="I278" s="12" t="str">
        <x:v>研究生宿舍楼</x:v>
      </x:c>
      <x:c r="J278" s="12" t="str">
        <x:v>研究生宿舍楼发车</x:v>
      </x:c>
      <x:c r="K278" s="12" t="str">
        <x:v>HX1_NORMAL</x:v>
      </x:c>
      <x:c r="L278" s="12" t="n">
        <x:v>7</x:v>
      </x:c>
      <x:c r="M278" s="12" t="str">
        <x:v>HX1_NORMAL|7</x:v>
      </x:c>
      <x:c r="N278" s="12" t="str">
        <x:v>北门</x:v>
      </x:c>
      <x:c r="O278" s="12" t="n">
        <x:f>IFERROR(INDEX('秒级路线参数_可调整'!$O:$O,MATCH(M278,'秒级路线参数_可调整'!$A:$A,0)),"")</x:f>
        <x:v>0</x:v>
      </x:c>
      <x:c r="P278" s="12" t="str">
        <x:f>IF(O278="","",O278/86400)</x:f>
      </x:c>
      <x:c r="Q278" s="12" t="str">
        <x:f>IF(O278="","",(H278*60+O278)/86400)</x:f>
      </x:c>
      <x:c r="R278" s="12" t="str">
        <x:f>IF(Q278="","",TEXT(Q278,"hh:mm:ss"))</x:f>
      </x:c>
      <x:c r="S278" s="12" t="str">
        <x:v>否</x:v>
      </x:c>
      <x:c r="T278" s="12" t="str">
        <x:v>否</x:v>
      </x:c>
      <x:c r="U278" s="12" t="str">
        <x:v>未提供</x:v>
      </x:c>
      <x:c r="V278" s="12" t="str">
        <x:v>未提供</x:v>
      </x:c>
      <x:c r="W278" s="12" t="str">
        <x:v>秒级预测</x:v>
      </x:c>
      <x:c r="X278" s="12" t="str">
        <x:v>基于路线秒级参数；如录入实测或手动采用秒，预计到达时间可随公式更新</x:v>
      </x:c>
    </x:row>
    <x:row r="279">
      <x:c r="A279" s="12" t="str">
        <x:v>S0023-08</x:v>
      </x:c>
      <x:c r="B279" s="12" t="str">
        <x:v>S0023</x:v>
      </x:c>
      <x:c r="C279" s="12" t="str">
        <x:v>工作日</x:v>
      </x:c>
      <x:c r="D279" s="12" t="str">
        <x:v>环线1路</x:v>
      </x:c>
      <x:c r="E279" s="12" t="str">
        <x:v>第三班</x:v>
      </x:c>
      <x:c r="F279" s="12" t="n">
        <x:v>12</x:v>
      </x:c>
      <x:c r="G279" s="12" t="str">
        <x:v>15:20</x:v>
      </x:c>
      <x:c r="H279" s="12" t="n">
        <x:v>920</x:v>
      </x:c>
      <x:c r="I279" s="12" t="str">
        <x:v>研究生宿舍楼</x:v>
      </x:c>
      <x:c r="J279" s="12" t="str">
        <x:v>研究生宿舍楼发车</x:v>
      </x:c>
      <x:c r="K279" s="12" t="str">
        <x:v>HX1_NORMAL</x:v>
      </x:c>
      <x:c r="L279" s="12" t="n">
        <x:v>8</x:v>
      </x:c>
      <x:c r="M279" s="12" t="str">
        <x:v>HX1_NORMAL|8</x:v>
      </x:c>
      <x:c r="N279" s="12" t="str">
        <x:v>高超楼</x:v>
      </x:c>
      <x:c r="O279" s="12" t="n">
        <x:f>IFERROR(INDEX('秒级路线参数_可调整'!$O:$O,MATCH(M279,'秒级路线参数_可调整'!$A:$A,0)),"")</x:f>
        <x:v>0</x:v>
      </x:c>
      <x:c r="P279" s="12" t="str">
        <x:f>IF(O279="","",O279/86400)</x:f>
      </x:c>
      <x:c r="Q279" s="12" t="str">
        <x:f>IF(O279="","",(H279*60+O279)/86400)</x:f>
      </x:c>
      <x:c r="R279" s="12" t="str">
        <x:f>IF(Q279="","",TEXT(Q279,"hh:mm:ss"))</x:f>
      </x:c>
      <x:c r="S279" s="12" t="str">
        <x:v>否</x:v>
      </x:c>
      <x:c r="T279" s="12" t="str">
        <x:v>否</x:v>
      </x:c>
      <x:c r="U279" s="12" t="str">
        <x:v>未提供</x:v>
      </x:c>
      <x:c r="V279" s="12" t="str">
        <x:v>未提供</x:v>
      </x:c>
      <x:c r="W279" s="12" t="str">
        <x:v>秒级预测</x:v>
      </x:c>
      <x:c r="X279" s="12" t="str">
        <x:v>基于路线秒级参数；如录入实测或手动采用秒，预计到达时间可随公式更新</x:v>
      </x:c>
    </x:row>
    <x:row r="280">
      <x:c r="A280" s="12" t="str">
        <x:v>S0023-09</x:v>
      </x:c>
      <x:c r="B280" s="12" t="str">
        <x:v>S0023</x:v>
      </x:c>
      <x:c r="C280" s="12" t="str">
        <x:v>工作日</x:v>
      </x:c>
      <x:c r="D280" s="12" t="str">
        <x:v>环线1路</x:v>
      </x:c>
      <x:c r="E280" s="12" t="str">
        <x:v>第三班</x:v>
      </x:c>
      <x:c r="F280" s="12" t="n">
        <x:v>12</x:v>
      </x:c>
      <x:c r="G280" s="12" t="str">
        <x:v>15:20</x:v>
      </x:c>
      <x:c r="H280" s="12" t="n">
        <x:v>920</x:v>
      </x:c>
      <x:c r="I280" s="12" t="str">
        <x:v>研究生宿舍楼</x:v>
      </x:c>
      <x:c r="J280" s="12" t="str">
        <x:v>研究生宿舍楼发车</x:v>
      </x:c>
      <x:c r="K280" s="12" t="str">
        <x:v>HX1_NORMAL</x:v>
      </x:c>
      <x:c r="L280" s="12" t="n">
        <x:v>9</x:v>
      </x:c>
      <x:c r="M280" s="12" t="str">
        <x:v>HX1_NORMAL|9</x:v>
      </x:c>
      <x:c r="N280" s="12" t="str">
        <x:v>理学院</x:v>
      </x:c>
      <x:c r="O280" s="12" t="n">
        <x:f>IFERROR(INDEX('秒级路线参数_可调整'!$O:$O,MATCH(M280,'秒级路线参数_可调整'!$A:$A,0)),"")</x:f>
        <x:v>0</x:v>
      </x:c>
      <x:c r="P280" s="12" t="str">
        <x:f>IF(O280="","",O280/86400)</x:f>
      </x:c>
      <x:c r="Q280" s="12" t="str">
        <x:f>IF(O280="","",(H280*60+O280)/86400)</x:f>
      </x:c>
      <x:c r="R280" s="12" t="str">
        <x:f>IF(Q280="","",TEXT(Q280,"hh:mm:ss"))</x:f>
      </x:c>
      <x:c r="S280" s="12" t="str">
        <x:v>否</x:v>
      </x:c>
      <x:c r="T280" s="12" t="str">
        <x:v>否</x:v>
      </x:c>
      <x:c r="U280" s="12" t="str">
        <x:v>未提供</x:v>
      </x:c>
      <x:c r="V280" s="12" t="str">
        <x:v>未提供</x:v>
      </x:c>
      <x:c r="W280" s="12" t="str">
        <x:v>秒级预测</x:v>
      </x:c>
      <x:c r="X280" s="12" t="str">
        <x:v>基于路线秒级参数；如录入实测或手动采用秒，预计到达时间可随公式更新</x:v>
      </x:c>
    </x:row>
    <x:row r="281">
      <x:c r="A281" s="12" t="str">
        <x:v>S0023-10</x:v>
      </x:c>
      <x:c r="B281" s="12" t="str">
        <x:v>S0023</x:v>
      </x:c>
      <x:c r="C281" s="12" t="str">
        <x:v>工作日</x:v>
      </x:c>
      <x:c r="D281" s="12" t="str">
        <x:v>环线1路</x:v>
      </x:c>
      <x:c r="E281" s="12" t="str">
        <x:v>第三班</x:v>
      </x:c>
      <x:c r="F281" s="12" t="n">
        <x:v>12</x:v>
      </x:c>
      <x:c r="G281" s="12" t="str">
        <x:v>15:20</x:v>
      </x:c>
      <x:c r="H281" s="12" t="n">
        <x:v>920</x:v>
      </x:c>
      <x:c r="I281" s="12" t="str">
        <x:v>研究生宿舍楼</x:v>
      </x:c>
      <x:c r="J281" s="12" t="str">
        <x:v>研究生宿舍楼发车</x:v>
      </x:c>
      <x:c r="K281" s="12" t="str">
        <x:v>HX1_NORMAL</x:v>
      </x:c>
      <x:c r="L281" s="12" t="n">
        <x:v>10</x:v>
      </x:c>
      <x:c r="M281" s="12" t="str">
        <x:v>HX1_NORMAL|10</x:v>
      </x:c>
      <x:c r="N281" s="12" t="str">
        <x:v>二食堂</x:v>
      </x:c>
      <x:c r="O281" s="12" t="n">
        <x:f>IFERROR(INDEX('秒级路线参数_可调整'!$O:$O,MATCH(M281,'秒级路线参数_可调整'!$A:$A,0)),"")</x:f>
        <x:v>0</x:v>
      </x:c>
      <x:c r="P281" s="12" t="str">
        <x:f>IF(O281="","",O281/86400)</x:f>
      </x:c>
      <x:c r="Q281" s="12" t="str">
        <x:f>IF(O281="","",(H281*60+O281)/86400)</x:f>
      </x:c>
      <x:c r="R281" s="12" t="str">
        <x:f>IF(Q281="","",TEXT(Q281,"hh:mm:ss"))</x:f>
      </x:c>
      <x:c r="S281" s="12" t="str">
        <x:v>否</x:v>
      </x:c>
      <x:c r="T281" s="12" t="str">
        <x:v>否</x:v>
      </x:c>
      <x:c r="U281" s="12" t="str">
        <x:v>未提供</x:v>
      </x:c>
      <x:c r="V281" s="12" t="str">
        <x:v>未提供</x:v>
      </x:c>
      <x:c r="W281" s="12" t="str">
        <x:v>秒级预测</x:v>
      </x:c>
      <x:c r="X281" s="12" t="str">
        <x:v>基于路线秒级参数；如录入实测或手动采用秒，预计到达时间可随公式更新</x:v>
      </x:c>
    </x:row>
    <x:row r="282">
      <x:c r="A282" s="12" t="str">
        <x:v>S0023-11</x:v>
      </x:c>
      <x:c r="B282" s="12" t="str">
        <x:v>S0023</x:v>
      </x:c>
      <x:c r="C282" s="12" t="str">
        <x:v>工作日</x:v>
      </x:c>
      <x:c r="D282" s="12" t="str">
        <x:v>环线1路</x:v>
      </x:c>
      <x:c r="E282" s="12" t="str">
        <x:v>第三班</x:v>
      </x:c>
      <x:c r="F282" s="12" t="n">
        <x:v>12</x:v>
      </x:c>
      <x:c r="G282" s="12" t="str">
        <x:v>15:20</x:v>
      </x:c>
      <x:c r="H282" s="12" t="n">
        <x:v>920</x:v>
      </x:c>
      <x:c r="I282" s="12" t="str">
        <x:v>研究生宿舍楼</x:v>
      </x:c>
      <x:c r="J282" s="12" t="str">
        <x:v>研究生宿舍楼发车</x:v>
      </x:c>
      <x:c r="K282" s="12" t="str">
        <x:v>HX1_NORMAL</x:v>
      </x:c>
      <x:c r="L282" s="12" t="n">
        <x:v>11</x:v>
      </x:c>
      <x:c r="M282" s="12" t="str">
        <x:v>HX1_NORMAL|11</x:v>
      </x:c>
      <x:c r="N282" s="12" t="str">
        <x:v>5号宿舍楼</x:v>
      </x:c>
      <x:c r="O282" s="12" t="n">
        <x:f>IFERROR(INDEX('秒级路线参数_可调整'!$O:$O,MATCH(M282,'秒级路线参数_可调整'!$A:$A,0)),"")</x:f>
        <x:v>0</x:v>
      </x:c>
      <x:c r="P282" s="12" t="str">
        <x:f>IF(O282="","",O282/86400)</x:f>
      </x:c>
      <x:c r="Q282" s="12" t="str">
        <x:f>IF(O282="","",(H282*60+O282)/86400)</x:f>
      </x:c>
      <x:c r="R282" s="12" t="str">
        <x:f>IF(Q282="","",TEXT(Q282,"hh:mm:ss"))</x:f>
      </x:c>
      <x:c r="S282" s="12" t="str">
        <x:v>否</x:v>
      </x:c>
      <x:c r="T282" s="12" t="str">
        <x:v>否</x:v>
      </x:c>
      <x:c r="U282" s="12" t="str">
        <x:v>未提供</x:v>
      </x:c>
      <x:c r="V282" s="12" t="str">
        <x:v>未提供</x:v>
      </x:c>
      <x:c r="W282" s="12" t="str">
        <x:v>秒级预测</x:v>
      </x:c>
      <x:c r="X282" s="12" t="str">
        <x:v>基于路线秒级参数；如录入实测或手动采用秒，预计到达时间可随公式更新</x:v>
      </x:c>
    </x:row>
    <x:row r="283">
      <x:c r="A283" s="12" t="str">
        <x:v>S0023-12</x:v>
      </x:c>
      <x:c r="B283" s="12" t="str">
        <x:v>S0023</x:v>
      </x:c>
      <x:c r="C283" s="12" t="str">
        <x:v>工作日</x:v>
      </x:c>
      <x:c r="D283" s="12" t="str">
        <x:v>环线1路</x:v>
      </x:c>
      <x:c r="E283" s="12" t="str">
        <x:v>第三班</x:v>
      </x:c>
      <x:c r="F283" s="12" t="n">
        <x:v>12</x:v>
      </x:c>
      <x:c r="G283" s="12" t="str">
        <x:v>15:20</x:v>
      </x:c>
      <x:c r="H283" s="12" t="n">
        <x:v>920</x:v>
      </x:c>
      <x:c r="I283" s="12" t="str">
        <x:v>研究生宿舍楼</x:v>
      </x:c>
      <x:c r="J283" s="12" t="str">
        <x:v>研究生宿舍楼发车</x:v>
      </x:c>
      <x:c r="K283" s="12" t="str">
        <x:v>HX1_NORMAL</x:v>
      </x:c>
      <x:c r="L283" s="12" t="n">
        <x:v>12</x:v>
      </x:c>
      <x:c r="M283" s="12" t="str">
        <x:v>HX1_NORMAL|12</x:v>
      </x:c>
      <x:c r="N283" s="12" t="str">
        <x:v>305教学楼</x:v>
      </x:c>
      <x:c r="O283" s="12" t="n">
        <x:f>IFERROR(INDEX('秒级路线参数_可调整'!$O:$O,MATCH(M283,'秒级路线参数_可调整'!$A:$A,0)),"")</x:f>
        <x:v>0</x:v>
      </x:c>
      <x:c r="P283" s="12" t="str">
        <x:f>IF(O283="","",O283/86400)</x:f>
      </x:c>
      <x:c r="Q283" s="12" t="str">
        <x:f>IF(O283="","",(H283*60+O283)/86400)</x:f>
      </x:c>
      <x:c r="R283" s="12" t="str">
        <x:f>IF(Q283="","",TEXT(Q283,"hh:mm:ss"))</x:f>
      </x:c>
      <x:c r="S283" s="12" t="str">
        <x:v>否</x:v>
      </x:c>
      <x:c r="T283" s="12" t="str">
        <x:v>否</x:v>
      </x:c>
      <x:c r="U283" s="12" t="str">
        <x:v>未提供</x:v>
      </x:c>
      <x:c r="V283" s="12" t="str">
        <x:v>未提供</x:v>
      </x:c>
      <x:c r="W283" s="12" t="str">
        <x:v>秒级预测</x:v>
      </x:c>
      <x:c r="X283" s="12" t="str">
        <x:v>基于路线秒级参数；如录入实测或手动采用秒，预计到达时间可随公式更新</x:v>
      </x:c>
    </x:row>
    <x:row r="284">
      <x:c r="A284" s="12" t="str">
        <x:v>S0023-13</x:v>
      </x:c>
      <x:c r="B284" s="12" t="str">
        <x:v>S0023</x:v>
      </x:c>
      <x:c r="C284" s="12" t="str">
        <x:v>工作日</x:v>
      </x:c>
      <x:c r="D284" s="12" t="str">
        <x:v>环线1路</x:v>
      </x:c>
      <x:c r="E284" s="12" t="str">
        <x:v>第三班</x:v>
      </x:c>
      <x:c r="F284" s="12" t="n">
        <x:v>12</x:v>
      </x:c>
      <x:c r="G284" s="12" t="str">
        <x:v>15:20</x:v>
      </x:c>
      <x:c r="H284" s="12" t="n">
        <x:v>920</x:v>
      </x:c>
      <x:c r="I284" s="12" t="str">
        <x:v>研究生宿舍楼</x:v>
      </x:c>
      <x:c r="J284" s="12" t="str">
        <x:v>研究生宿舍楼发车</x:v>
      </x:c>
      <x:c r="K284" s="12" t="str">
        <x:v>HX1_NORMAL</x:v>
      </x:c>
      <x:c r="L284" s="12" t="n">
        <x:v>13</x:v>
      </x:c>
      <x:c r="M284" s="12" t="str">
        <x:v>HX1_NORMAL|13</x:v>
      </x:c>
      <x:c r="N284" s="12" t="str">
        <x:v>研究生宿舍楼</x:v>
      </x:c>
      <x:c r="O284" s="12" t="n">
        <x:f>IFERROR(INDEX('秒级路线参数_可调整'!$O:$O,MATCH(M284,'秒级路线参数_可调整'!$A:$A,0)),"")</x:f>
        <x:v>0</x:v>
      </x:c>
      <x:c r="P284" s="12" t="str">
        <x:f>IF(O284="","",O284/86400)</x:f>
      </x:c>
      <x:c r="Q284" s="12" t="str">
        <x:f>IF(O284="","",(H284*60+O284)/86400)</x:f>
      </x:c>
      <x:c r="R284" s="12" t="str">
        <x:f>IF(Q284="","",TEXT(Q284,"hh:mm:ss"))</x:f>
      </x:c>
      <x:c r="S284" s="12" t="str">
        <x:v>否</x:v>
      </x:c>
      <x:c r="T284" s="12" t="str">
        <x:v>是</x:v>
      </x:c>
      <x:c r="U284" s="12" t="str">
        <x:v>未提供</x:v>
      </x:c>
      <x:c r="V284" s="12" t="str">
        <x:v>未提供</x:v>
      </x:c>
      <x:c r="W284" s="12" t="str">
        <x:v>秒级预测</x:v>
      </x:c>
      <x:c r="X284" s="12" t="str">
        <x:v>基于路线秒级参数；如录入实测或手动采用秒，预计到达时间可随公式更新</x:v>
      </x:c>
    </x:row>
    <x:row r="285">
      <x:c r="A285" s="12" t="str">
        <x:v>S0024-01</x:v>
      </x:c>
      <x:c r="B285" s="12" t="str">
        <x:v>S0024</x:v>
      </x:c>
      <x:c r="C285" s="12" t="str">
        <x:v>工作日</x:v>
      </x:c>
      <x:c r="D285" s="12" t="str">
        <x:v>环线1路</x:v>
      </x:c>
      <x:c r="E285" s="12" t="str">
        <x:v>第三班</x:v>
      </x:c>
      <x:c r="F285" s="12" t="n">
        <x:v>13</x:v>
      </x:c>
      <x:c r="G285" s="12" t="str">
        <x:v>16:30</x:v>
      </x:c>
      <x:c r="H285" s="12" t="n">
        <x:v>990</x:v>
      </x:c>
      <x:c r="I285" s="12" t="str">
        <x:v>研究生宿舍楼</x:v>
      </x:c>
      <x:c r="J285" s="12" t="str">
        <x:v>研究生宿舍楼发车</x:v>
      </x:c>
      <x:c r="K285" s="12" t="str">
        <x:v>HX1_NORMAL</x:v>
      </x:c>
      <x:c r="L285" s="12" t="n">
        <x:v>1</x:v>
      </x:c>
      <x:c r="M285" s="12" t="str">
        <x:v>HX1_NORMAL|1</x:v>
      </x:c>
      <x:c r="N285" s="12" t="str">
        <x:v>研究生宿舍楼</x:v>
      </x:c>
      <x:c r="O285" s="12" t="n">
        <x:f>IFERROR(INDEX('秒级路线参数_可调整'!$O:$O,MATCH(M285,'秒级路线参数_可调整'!$A:$A,0)),"")</x:f>
        <x:v>0</x:v>
      </x:c>
      <x:c r="P285" s="12" t="str">
        <x:f>IF(O285="","",O285/86400)</x:f>
      </x:c>
      <x:c r="Q285" s="12" t="str">
        <x:f>IF(O285="","",(H285*60+O285)/86400)</x:f>
      </x:c>
      <x:c r="R285" s="12" t="str">
        <x:f>IF(Q285="","",TEXT(Q285,"hh:mm:ss"))</x:f>
      </x:c>
      <x:c r="S285" s="12" t="str">
        <x:v>是</x:v>
      </x:c>
      <x:c r="T285" s="12" t="str">
        <x:v>否</x:v>
      </x:c>
      <x:c r="U285" s="12" t="str">
        <x:v>未提供</x:v>
      </x:c>
      <x:c r="V285" s="12" t="str">
        <x:v>未提供</x:v>
      </x:c>
      <x:c r="W285" s="12" t="str">
        <x:v>秒级预测</x:v>
      </x:c>
      <x:c r="X285" s="12" t="str">
        <x:v>基于路线秒级参数；如录入实测或手动采用秒，预计到达时间可随公式更新</x:v>
      </x:c>
    </x:row>
    <x:row r="286">
      <x:c r="A286" s="12" t="str">
        <x:v>S0024-02</x:v>
      </x:c>
      <x:c r="B286" s="12" t="str">
        <x:v>S0024</x:v>
      </x:c>
      <x:c r="C286" s="12" t="str">
        <x:v>工作日</x:v>
      </x:c>
      <x:c r="D286" s="12" t="str">
        <x:v>环线1路</x:v>
      </x:c>
      <x:c r="E286" s="12" t="str">
        <x:v>第三班</x:v>
      </x:c>
      <x:c r="F286" s="12" t="n">
        <x:v>13</x:v>
      </x:c>
      <x:c r="G286" s="12" t="str">
        <x:v>16:30</x:v>
      </x:c>
      <x:c r="H286" s="12" t="n">
        <x:v>990</x:v>
      </x:c>
      <x:c r="I286" s="12" t="str">
        <x:v>研究生宿舍楼</x:v>
      </x:c>
      <x:c r="J286" s="12" t="str">
        <x:v>研究生宿舍楼发车</x:v>
      </x:c>
      <x:c r="K286" s="12" t="str">
        <x:v>HX1_NORMAL</x:v>
      </x:c>
      <x:c r="L286" s="12" t="n">
        <x:v>2</x:v>
      </x:c>
      <x:c r="M286" s="12" t="str">
        <x:v>HX1_NORMAL|2</x:v>
      </x:c>
      <x:c r="N286" s="12" t="str">
        <x:v>东门</x:v>
      </x:c>
      <x:c r="O286" s="12" t="n">
        <x:f>IFERROR(INDEX('秒级路线参数_可调整'!$O:$O,MATCH(M286,'秒级路线参数_可调整'!$A:$A,0)),"")</x:f>
        <x:v>0</x:v>
      </x:c>
      <x:c r="P286" s="12" t="str">
        <x:f>IF(O286="","",O286/86400)</x:f>
      </x:c>
      <x:c r="Q286" s="12" t="str">
        <x:f>IF(O286="","",(H286*60+O286)/86400)</x:f>
      </x:c>
      <x:c r="R286" s="12" t="str">
        <x:f>IF(Q286="","",TEXT(Q286,"hh:mm:ss"))</x:f>
      </x:c>
      <x:c r="S286" s="12" t="str">
        <x:v>否</x:v>
      </x:c>
      <x:c r="T286" s="12" t="str">
        <x:v>否</x:v>
      </x:c>
      <x:c r="U286" s="12" t="str">
        <x:v>未提供</x:v>
      </x:c>
      <x:c r="V286" s="12" t="str">
        <x:v>未提供</x:v>
      </x:c>
      <x:c r="W286" s="12" t="str">
        <x:v>秒级预测</x:v>
      </x:c>
      <x:c r="X286" s="12" t="str">
        <x:v>基于路线秒级参数；如录入实测或手动采用秒，预计到达时间可随公式更新</x:v>
      </x:c>
    </x:row>
    <x:row r="287">
      <x:c r="A287" s="12" t="str">
        <x:v>S0024-03</x:v>
      </x:c>
      <x:c r="B287" s="12" t="str">
        <x:v>S0024</x:v>
      </x:c>
      <x:c r="C287" s="12" t="str">
        <x:v>工作日</x:v>
      </x:c>
      <x:c r="D287" s="12" t="str">
        <x:v>环线1路</x:v>
      </x:c>
      <x:c r="E287" s="12" t="str">
        <x:v>第三班</x:v>
      </x:c>
      <x:c r="F287" s="12" t="n">
        <x:v>13</x:v>
      </x:c>
      <x:c r="G287" s="12" t="str">
        <x:v>16:30</x:v>
      </x:c>
      <x:c r="H287" s="12" t="n">
        <x:v>990</x:v>
      </x:c>
      <x:c r="I287" s="12" t="str">
        <x:v>研究生宿舍楼</x:v>
      </x:c>
      <x:c r="J287" s="12" t="str">
        <x:v>研究生宿舍楼发车</x:v>
      </x:c>
      <x:c r="K287" s="12" t="str">
        <x:v>HX1_NORMAL</x:v>
      </x:c>
      <x:c r="L287" s="12" t="n">
        <x:v>3</x:v>
      </x:c>
      <x:c r="M287" s="12" t="str">
        <x:v>HX1_NORMAL|3</x:v>
      </x:c>
      <x:c r="N287" s="12" t="str">
        <x:v>2号宿舍楼</x:v>
      </x:c>
      <x:c r="O287" s="12" t="n">
        <x:f>IFERROR(INDEX('秒级路线参数_可调整'!$O:$O,MATCH(M287,'秒级路线参数_可调整'!$A:$A,0)),"")</x:f>
        <x:v>0</x:v>
      </x:c>
      <x:c r="P287" s="12" t="str">
        <x:f>IF(O287="","",O287/86400)</x:f>
      </x:c>
      <x:c r="Q287" s="12" t="str">
        <x:f>IF(O287="","",(H287*60+O287)/86400)</x:f>
      </x:c>
      <x:c r="R287" s="12" t="str">
        <x:f>IF(Q287="","",TEXT(Q287,"hh:mm:ss"))</x:f>
      </x:c>
      <x:c r="S287" s="12" t="str">
        <x:v>否</x:v>
      </x:c>
      <x:c r="T287" s="12" t="str">
        <x:v>否</x:v>
      </x:c>
      <x:c r="U287" s="12" t="str">
        <x:v>未提供</x:v>
      </x:c>
      <x:c r="V287" s="12" t="str">
        <x:v>未提供</x:v>
      </x:c>
      <x:c r="W287" s="12" t="str">
        <x:v>秒级预测</x:v>
      </x:c>
      <x:c r="X287" s="12" t="str">
        <x:v>基于路线秒级参数；如录入实测或手动采用秒，预计到达时间可随公式更新</x:v>
      </x:c>
    </x:row>
    <x:row r="288">
      <x:c r="A288" s="12" t="str">
        <x:v>S0024-04</x:v>
      </x:c>
      <x:c r="B288" s="12" t="str">
        <x:v>S0024</x:v>
      </x:c>
      <x:c r="C288" s="12" t="str">
        <x:v>工作日</x:v>
      </x:c>
      <x:c r="D288" s="12" t="str">
        <x:v>环线1路</x:v>
      </x:c>
      <x:c r="E288" s="12" t="str">
        <x:v>第三班</x:v>
      </x:c>
      <x:c r="F288" s="12" t="n">
        <x:v>13</x:v>
      </x:c>
      <x:c r="G288" s="12" t="str">
        <x:v>16:30</x:v>
      </x:c>
      <x:c r="H288" s="12" t="n">
        <x:v>990</x:v>
      </x:c>
      <x:c r="I288" s="12" t="str">
        <x:v>研究生宿舍楼</x:v>
      </x:c>
      <x:c r="J288" s="12" t="str">
        <x:v>研究生宿舍楼发车</x:v>
      </x:c>
      <x:c r="K288" s="12" t="str">
        <x:v>HX1_NORMAL</x:v>
      </x:c>
      <x:c r="L288" s="12" t="n">
        <x:v>4</x:v>
      </x:c>
      <x:c r="M288" s="12" t="str">
        <x:v>HX1_NORMAL|4</x:v>
      </x:c>
      <x:c r="N288" s="12" t="str">
        <x:v>军体活动中心</x:v>
      </x:c>
      <x:c r="O288" s="12" t="n">
        <x:f>IFERROR(INDEX('秒级路线参数_可调整'!$O:$O,MATCH(M288,'秒级路线参数_可调整'!$A:$A,0)),"")</x:f>
        <x:v>0</x:v>
      </x:c>
      <x:c r="P288" s="12" t="str">
        <x:f>IF(O288="","",O288/86400)</x:f>
      </x:c>
      <x:c r="Q288" s="12" t="str">
        <x:f>IF(O288="","",(H288*60+O288)/86400)</x:f>
      </x:c>
      <x:c r="R288" s="12" t="str">
        <x:f>IF(Q288="","",TEXT(Q288,"hh:mm:ss"))</x:f>
      </x:c>
      <x:c r="S288" s="12" t="str">
        <x:v>否</x:v>
      </x:c>
      <x:c r="T288" s="12" t="str">
        <x:v>否</x:v>
      </x:c>
      <x:c r="U288" s="12" t="str">
        <x:v>未提供</x:v>
      </x:c>
      <x:c r="V288" s="12" t="str">
        <x:v>未提供</x:v>
      </x:c>
      <x:c r="W288" s="12" t="str">
        <x:v>秒级预测</x:v>
      </x:c>
      <x:c r="X288" s="12" t="str">
        <x:v>基于路线秒级参数；如录入实测或手动采用秒，预计到达时间可随公式更新</x:v>
      </x:c>
    </x:row>
    <x:row r="289">
      <x:c r="A289" s="12" t="str">
        <x:v>S0024-05</x:v>
      </x:c>
      <x:c r="B289" s="12" t="str">
        <x:v>S0024</x:v>
      </x:c>
      <x:c r="C289" s="12" t="str">
        <x:v>工作日</x:v>
      </x:c>
      <x:c r="D289" s="12" t="str">
        <x:v>环线1路</x:v>
      </x:c>
      <x:c r="E289" s="12" t="str">
        <x:v>第三班</x:v>
      </x:c>
      <x:c r="F289" s="12" t="n">
        <x:v>13</x:v>
      </x:c>
      <x:c r="G289" s="12" t="str">
        <x:v>16:30</x:v>
      </x:c>
      <x:c r="H289" s="12" t="n">
        <x:v>990</x:v>
      </x:c>
      <x:c r="I289" s="12" t="str">
        <x:v>研究生宿舍楼</x:v>
      </x:c>
      <x:c r="J289" s="12" t="str">
        <x:v>研究生宿舍楼发车</x:v>
      </x:c>
      <x:c r="K289" s="12" t="str">
        <x:v>HX1_NORMAL</x:v>
      </x:c>
      <x:c r="L289" s="12" t="n">
        <x:v>5</x:v>
      </x:c>
      <x:c r="M289" s="12" t="str">
        <x:v>HX1_NORMAL|5</x:v>
      </x:c>
      <x:c r="N289" s="12" t="str">
        <x:v>激光所</x:v>
      </x:c>
      <x:c r="O289" s="12" t="n">
        <x:f>IFERROR(INDEX('秒级路线参数_可调整'!$O:$O,MATCH(M289,'秒级路线参数_可调整'!$A:$A,0)),"")</x:f>
        <x:v>0</x:v>
      </x:c>
      <x:c r="P289" s="12" t="str">
        <x:f>IF(O289="","",O289/86400)</x:f>
      </x:c>
      <x:c r="Q289" s="12" t="str">
        <x:f>IF(O289="","",(H289*60+O289)/86400)</x:f>
      </x:c>
      <x:c r="R289" s="12" t="str">
        <x:f>IF(Q289="","",TEXT(Q289,"hh:mm:ss"))</x:f>
      </x:c>
      <x:c r="S289" s="12" t="str">
        <x:v>否</x:v>
      </x:c>
      <x:c r="T289" s="12" t="str">
        <x:v>否</x:v>
      </x:c>
      <x:c r="U289" s="12" t="str">
        <x:v>未提供</x:v>
      </x:c>
      <x:c r="V289" s="12" t="str">
        <x:v>未提供</x:v>
      </x:c>
      <x:c r="W289" s="12" t="str">
        <x:v>秒级预测</x:v>
      </x:c>
      <x:c r="X289" s="12" t="str">
        <x:v>基于路线秒级参数；如录入实测或手动采用秒，预计到达时间可随公式更新</x:v>
      </x:c>
    </x:row>
    <x:row r="290">
      <x:c r="A290" s="12" t="str">
        <x:v>S0024-06</x:v>
      </x:c>
      <x:c r="B290" s="12" t="str">
        <x:v>S0024</x:v>
      </x:c>
      <x:c r="C290" s="12" t="str">
        <x:v>工作日</x:v>
      </x:c>
      <x:c r="D290" s="12" t="str">
        <x:v>环线1路</x:v>
      </x:c>
      <x:c r="E290" s="12" t="str">
        <x:v>第三班</x:v>
      </x:c>
      <x:c r="F290" s="12" t="n">
        <x:v>13</x:v>
      </x:c>
      <x:c r="G290" s="12" t="str">
        <x:v>16:30</x:v>
      </x:c>
      <x:c r="H290" s="12" t="n">
        <x:v>990</x:v>
      </x:c>
      <x:c r="I290" s="12" t="str">
        <x:v>研究生宿舍楼</x:v>
      </x:c>
      <x:c r="J290" s="12" t="str">
        <x:v>研究生宿舍楼发车</x:v>
      </x:c>
      <x:c r="K290" s="12" t="str">
        <x:v>HX1_NORMAL</x:v>
      </x:c>
      <x:c r="L290" s="12" t="n">
        <x:v>6</x:v>
      </x:c>
      <x:c r="M290" s="12" t="str">
        <x:v>HX1_NORMAL|6</x:v>
      </x:c>
      <x:c r="N290" s="12" t="str">
        <x:v>超算中心</x:v>
      </x:c>
      <x:c r="O290" s="12" t="n">
        <x:f>IFERROR(INDEX('秒级路线参数_可调整'!$O:$O,MATCH(M290,'秒级路线参数_可调整'!$A:$A,0)),"")</x:f>
        <x:v>0</x:v>
      </x:c>
      <x:c r="P290" s="12" t="str">
        <x:f>IF(O290="","",O290/86400)</x:f>
      </x:c>
      <x:c r="Q290" s="12" t="str">
        <x:f>IF(O290="","",(H290*60+O290)/86400)</x:f>
      </x:c>
      <x:c r="R290" s="12" t="str">
        <x:f>IF(Q290="","",TEXT(Q290,"hh:mm:ss"))</x:f>
      </x:c>
      <x:c r="S290" s="12" t="str">
        <x:v>否</x:v>
      </x:c>
      <x:c r="T290" s="12" t="str">
        <x:v>否</x:v>
      </x:c>
      <x:c r="U290" s="12" t="str">
        <x:v>未提供</x:v>
      </x:c>
      <x:c r="V290" s="12" t="str">
        <x:v>未提供</x:v>
      </x:c>
      <x:c r="W290" s="12" t="str">
        <x:v>秒级预测</x:v>
      </x:c>
      <x:c r="X290" s="12" t="str">
        <x:v>基于路线秒级参数；如录入实测或手动采用秒，预计到达时间可随公式更新</x:v>
      </x:c>
    </x:row>
    <x:row r="291">
      <x:c r="A291" s="12" t="str">
        <x:v>S0024-07</x:v>
      </x:c>
      <x:c r="B291" s="12" t="str">
        <x:v>S0024</x:v>
      </x:c>
      <x:c r="C291" s="12" t="str">
        <x:v>工作日</x:v>
      </x:c>
      <x:c r="D291" s="12" t="str">
        <x:v>环线1路</x:v>
      </x:c>
      <x:c r="E291" s="12" t="str">
        <x:v>第三班</x:v>
      </x:c>
      <x:c r="F291" s="12" t="n">
        <x:v>13</x:v>
      </x:c>
      <x:c r="G291" s="12" t="str">
        <x:v>16:30</x:v>
      </x:c>
      <x:c r="H291" s="12" t="n">
        <x:v>990</x:v>
      </x:c>
      <x:c r="I291" s="12" t="str">
        <x:v>研究生宿舍楼</x:v>
      </x:c>
      <x:c r="J291" s="12" t="str">
        <x:v>研究生宿舍楼发车</x:v>
      </x:c>
      <x:c r="K291" s="12" t="str">
        <x:v>HX1_NORMAL</x:v>
      </x:c>
      <x:c r="L291" s="12" t="n">
        <x:v>7</x:v>
      </x:c>
      <x:c r="M291" s="12" t="str">
        <x:v>HX1_NORMAL|7</x:v>
      </x:c>
      <x:c r="N291" s="12" t="str">
        <x:v>北门</x:v>
      </x:c>
      <x:c r="O291" s="12" t="n">
        <x:f>IFERROR(INDEX('秒级路线参数_可调整'!$O:$O,MATCH(M291,'秒级路线参数_可调整'!$A:$A,0)),"")</x:f>
        <x:v>0</x:v>
      </x:c>
      <x:c r="P291" s="12" t="str">
        <x:f>IF(O291="","",O291/86400)</x:f>
      </x:c>
      <x:c r="Q291" s="12" t="str">
        <x:f>IF(O291="","",(H291*60+O291)/86400)</x:f>
      </x:c>
      <x:c r="R291" s="12" t="str">
        <x:f>IF(Q291="","",TEXT(Q291,"hh:mm:ss"))</x:f>
      </x:c>
      <x:c r="S291" s="12" t="str">
        <x:v>否</x:v>
      </x:c>
      <x:c r="T291" s="12" t="str">
        <x:v>否</x:v>
      </x:c>
      <x:c r="U291" s="12" t="str">
        <x:v>未提供</x:v>
      </x:c>
      <x:c r="V291" s="12" t="str">
        <x:v>未提供</x:v>
      </x:c>
      <x:c r="W291" s="12" t="str">
        <x:v>秒级预测</x:v>
      </x:c>
      <x:c r="X291" s="12" t="str">
        <x:v>基于路线秒级参数；如录入实测或手动采用秒，预计到达时间可随公式更新</x:v>
      </x:c>
    </x:row>
    <x:row r="292">
      <x:c r="A292" s="12" t="str">
        <x:v>S0024-08</x:v>
      </x:c>
      <x:c r="B292" s="12" t="str">
        <x:v>S0024</x:v>
      </x:c>
      <x:c r="C292" s="12" t="str">
        <x:v>工作日</x:v>
      </x:c>
      <x:c r="D292" s="12" t="str">
        <x:v>环线1路</x:v>
      </x:c>
      <x:c r="E292" s="12" t="str">
        <x:v>第三班</x:v>
      </x:c>
      <x:c r="F292" s="12" t="n">
        <x:v>13</x:v>
      </x:c>
      <x:c r="G292" s="12" t="str">
        <x:v>16:30</x:v>
      </x:c>
      <x:c r="H292" s="12" t="n">
        <x:v>990</x:v>
      </x:c>
      <x:c r="I292" s="12" t="str">
        <x:v>研究生宿舍楼</x:v>
      </x:c>
      <x:c r="J292" s="12" t="str">
        <x:v>研究生宿舍楼发车</x:v>
      </x:c>
      <x:c r="K292" s="12" t="str">
        <x:v>HX1_NORMAL</x:v>
      </x:c>
      <x:c r="L292" s="12" t="n">
        <x:v>8</x:v>
      </x:c>
      <x:c r="M292" s="12" t="str">
        <x:v>HX1_NORMAL|8</x:v>
      </x:c>
      <x:c r="N292" s="12" t="str">
        <x:v>高超楼</x:v>
      </x:c>
      <x:c r="O292" s="12" t="n">
        <x:f>IFERROR(INDEX('秒级路线参数_可调整'!$O:$O,MATCH(M292,'秒级路线参数_可调整'!$A:$A,0)),"")</x:f>
        <x:v>0</x:v>
      </x:c>
      <x:c r="P292" s="12" t="str">
        <x:f>IF(O292="","",O292/86400)</x:f>
      </x:c>
      <x:c r="Q292" s="12" t="str">
        <x:f>IF(O292="","",(H292*60+O292)/86400)</x:f>
      </x:c>
      <x:c r="R292" s="12" t="str">
        <x:f>IF(Q292="","",TEXT(Q292,"hh:mm:ss"))</x:f>
      </x:c>
      <x:c r="S292" s="12" t="str">
        <x:v>否</x:v>
      </x:c>
      <x:c r="T292" s="12" t="str">
        <x:v>否</x:v>
      </x:c>
      <x:c r="U292" s="12" t="str">
        <x:v>未提供</x:v>
      </x:c>
      <x:c r="V292" s="12" t="str">
        <x:v>未提供</x:v>
      </x:c>
      <x:c r="W292" s="12" t="str">
        <x:v>秒级预测</x:v>
      </x:c>
      <x:c r="X292" s="12" t="str">
        <x:v>基于路线秒级参数；如录入实测或手动采用秒，预计到达时间可随公式更新</x:v>
      </x:c>
    </x:row>
    <x:row r="293">
      <x:c r="A293" s="12" t="str">
        <x:v>S0024-09</x:v>
      </x:c>
      <x:c r="B293" s="12" t="str">
        <x:v>S0024</x:v>
      </x:c>
      <x:c r="C293" s="12" t="str">
        <x:v>工作日</x:v>
      </x:c>
      <x:c r="D293" s="12" t="str">
        <x:v>环线1路</x:v>
      </x:c>
      <x:c r="E293" s="12" t="str">
        <x:v>第三班</x:v>
      </x:c>
      <x:c r="F293" s="12" t="n">
        <x:v>13</x:v>
      </x:c>
      <x:c r="G293" s="12" t="str">
        <x:v>16:30</x:v>
      </x:c>
      <x:c r="H293" s="12" t="n">
        <x:v>990</x:v>
      </x:c>
      <x:c r="I293" s="12" t="str">
        <x:v>研究生宿舍楼</x:v>
      </x:c>
      <x:c r="J293" s="12" t="str">
        <x:v>研究生宿舍楼发车</x:v>
      </x:c>
      <x:c r="K293" s="12" t="str">
        <x:v>HX1_NORMAL</x:v>
      </x:c>
      <x:c r="L293" s="12" t="n">
        <x:v>9</x:v>
      </x:c>
      <x:c r="M293" s="12" t="str">
        <x:v>HX1_NORMAL|9</x:v>
      </x:c>
      <x:c r="N293" s="12" t="str">
        <x:v>理学院</x:v>
      </x:c>
      <x:c r="O293" s="12" t="n">
        <x:f>IFERROR(INDEX('秒级路线参数_可调整'!$O:$O,MATCH(M293,'秒级路线参数_可调整'!$A:$A,0)),"")</x:f>
        <x:v>0</x:v>
      </x:c>
      <x:c r="P293" s="12" t="str">
        <x:f>IF(O293="","",O293/86400)</x:f>
      </x:c>
      <x:c r="Q293" s="12" t="str">
        <x:f>IF(O293="","",(H293*60+O293)/86400)</x:f>
      </x:c>
      <x:c r="R293" s="12" t="str">
        <x:f>IF(Q293="","",TEXT(Q293,"hh:mm:ss"))</x:f>
      </x:c>
      <x:c r="S293" s="12" t="str">
        <x:v>否</x:v>
      </x:c>
      <x:c r="T293" s="12" t="str">
        <x:v>否</x:v>
      </x:c>
      <x:c r="U293" s="12" t="str">
        <x:v>未提供</x:v>
      </x:c>
      <x:c r="V293" s="12" t="str">
        <x:v>未提供</x:v>
      </x:c>
      <x:c r="W293" s="12" t="str">
        <x:v>秒级预测</x:v>
      </x:c>
      <x:c r="X293" s="12" t="str">
        <x:v>基于路线秒级参数；如录入实测或手动采用秒，预计到达时间可随公式更新</x:v>
      </x:c>
    </x:row>
    <x:row r="294">
      <x:c r="A294" s="12" t="str">
        <x:v>S0024-10</x:v>
      </x:c>
      <x:c r="B294" s="12" t="str">
        <x:v>S0024</x:v>
      </x:c>
      <x:c r="C294" s="12" t="str">
        <x:v>工作日</x:v>
      </x:c>
      <x:c r="D294" s="12" t="str">
        <x:v>环线1路</x:v>
      </x:c>
      <x:c r="E294" s="12" t="str">
        <x:v>第三班</x:v>
      </x:c>
      <x:c r="F294" s="12" t="n">
        <x:v>13</x:v>
      </x:c>
      <x:c r="G294" s="12" t="str">
        <x:v>16:30</x:v>
      </x:c>
      <x:c r="H294" s="12" t="n">
        <x:v>990</x:v>
      </x:c>
      <x:c r="I294" s="12" t="str">
        <x:v>研究生宿舍楼</x:v>
      </x:c>
      <x:c r="J294" s="12" t="str">
        <x:v>研究生宿舍楼发车</x:v>
      </x:c>
      <x:c r="K294" s="12" t="str">
        <x:v>HX1_NORMAL</x:v>
      </x:c>
      <x:c r="L294" s="12" t="n">
        <x:v>10</x:v>
      </x:c>
      <x:c r="M294" s="12" t="str">
        <x:v>HX1_NORMAL|10</x:v>
      </x:c>
      <x:c r="N294" s="12" t="str">
        <x:v>二食堂</x:v>
      </x:c>
      <x:c r="O294" s="12" t="n">
        <x:f>IFERROR(INDEX('秒级路线参数_可调整'!$O:$O,MATCH(M294,'秒级路线参数_可调整'!$A:$A,0)),"")</x:f>
        <x:v>0</x:v>
      </x:c>
      <x:c r="P294" s="12" t="str">
        <x:f>IF(O294="","",O294/86400)</x:f>
      </x:c>
      <x:c r="Q294" s="12" t="str">
        <x:f>IF(O294="","",(H294*60+O294)/86400)</x:f>
      </x:c>
      <x:c r="R294" s="12" t="str">
        <x:f>IF(Q294="","",TEXT(Q294,"hh:mm:ss"))</x:f>
      </x:c>
      <x:c r="S294" s="12" t="str">
        <x:v>否</x:v>
      </x:c>
      <x:c r="T294" s="12" t="str">
        <x:v>否</x:v>
      </x:c>
      <x:c r="U294" s="12" t="str">
        <x:v>未提供</x:v>
      </x:c>
      <x:c r="V294" s="12" t="str">
        <x:v>未提供</x:v>
      </x:c>
      <x:c r="W294" s="12" t="str">
        <x:v>秒级预测</x:v>
      </x:c>
      <x:c r="X294" s="12" t="str">
        <x:v>基于路线秒级参数；如录入实测或手动采用秒，预计到达时间可随公式更新</x:v>
      </x:c>
    </x:row>
    <x:row r="295">
      <x:c r="A295" s="12" t="str">
        <x:v>S0024-11</x:v>
      </x:c>
      <x:c r="B295" s="12" t="str">
        <x:v>S0024</x:v>
      </x:c>
      <x:c r="C295" s="12" t="str">
        <x:v>工作日</x:v>
      </x:c>
      <x:c r="D295" s="12" t="str">
        <x:v>环线1路</x:v>
      </x:c>
      <x:c r="E295" s="12" t="str">
        <x:v>第三班</x:v>
      </x:c>
      <x:c r="F295" s="12" t="n">
        <x:v>13</x:v>
      </x:c>
      <x:c r="G295" s="12" t="str">
        <x:v>16:30</x:v>
      </x:c>
      <x:c r="H295" s="12" t="n">
        <x:v>990</x:v>
      </x:c>
      <x:c r="I295" s="12" t="str">
        <x:v>研究生宿舍楼</x:v>
      </x:c>
      <x:c r="J295" s="12" t="str">
        <x:v>研究生宿舍楼发车</x:v>
      </x:c>
      <x:c r="K295" s="12" t="str">
        <x:v>HX1_NORMAL</x:v>
      </x:c>
      <x:c r="L295" s="12" t="n">
        <x:v>11</x:v>
      </x:c>
      <x:c r="M295" s="12" t="str">
        <x:v>HX1_NORMAL|11</x:v>
      </x:c>
      <x:c r="N295" s="12" t="str">
        <x:v>5号宿舍楼</x:v>
      </x:c>
      <x:c r="O295" s="12" t="n">
        <x:f>IFERROR(INDEX('秒级路线参数_可调整'!$O:$O,MATCH(M295,'秒级路线参数_可调整'!$A:$A,0)),"")</x:f>
        <x:v>0</x:v>
      </x:c>
      <x:c r="P295" s="12" t="str">
        <x:f>IF(O295="","",O295/86400)</x:f>
      </x:c>
      <x:c r="Q295" s="12" t="str">
        <x:f>IF(O295="","",(H295*60+O295)/86400)</x:f>
      </x:c>
      <x:c r="R295" s="12" t="str">
        <x:f>IF(Q295="","",TEXT(Q295,"hh:mm:ss"))</x:f>
      </x:c>
      <x:c r="S295" s="12" t="str">
        <x:v>否</x:v>
      </x:c>
      <x:c r="T295" s="12" t="str">
        <x:v>否</x:v>
      </x:c>
      <x:c r="U295" s="12" t="str">
        <x:v>未提供</x:v>
      </x:c>
      <x:c r="V295" s="12" t="str">
        <x:v>未提供</x:v>
      </x:c>
      <x:c r="W295" s="12" t="str">
        <x:v>秒级预测</x:v>
      </x:c>
      <x:c r="X295" s="12" t="str">
        <x:v>基于路线秒级参数；如录入实测或手动采用秒，预计到达时间可随公式更新</x:v>
      </x:c>
    </x:row>
    <x:row r="296">
      <x:c r="A296" s="12" t="str">
        <x:v>S0024-12</x:v>
      </x:c>
      <x:c r="B296" s="12" t="str">
        <x:v>S0024</x:v>
      </x:c>
      <x:c r="C296" s="12" t="str">
        <x:v>工作日</x:v>
      </x:c>
      <x:c r="D296" s="12" t="str">
        <x:v>环线1路</x:v>
      </x:c>
      <x:c r="E296" s="12" t="str">
        <x:v>第三班</x:v>
      </x:c>
      <x:c r="F296" s="12" t="n">
        <x:v>13</x:v>
      </x:c>
      <x:c r="G296" s="12" t="str">
        <x:v>16:30</x:v>
      </x:c>
      <x:c r="H296" s="12" t="n">
        <x:v>990</x:v>
      </x:c>
      <x:c r="I296" s="12" t="str">
        <x:v>研究生宿舍楼</x:v>
      </x:c>
      <x:c r="J296" s="12" t="str">
        <x:v>研究生宿舍楼发车</x:v>
      </x:c>
      <x:c r="K296" s="12" t="str">
        <x:v>HX1_NORMAL</x:v>
      </x:c>
      <x:c r="L296" s="12" t="n">
        <x:v>12</x:v>
      </x:c>
      <x:c r="M296" s="12" t="str">
        <x:v>HX1_NORMAL|12</x:v>
      </x:c>
      <x:c r="N296" s="12" t="str">
        <x:v>305教学楼</x:v>
      </x:c>
      <x:c r="O296" s="12" t="n">
        <x:f>IFERROR(INDEX('秒级路线参数_可调整'!$O:$O,MATCH(M296,'秒级路线参数_可调整'!$A:$A,0)),"")</x:f>
        <x:v>0</x:v>
      </x:c>
      <x:c r="P296" s="12" t="str">
        <x:f>IF(O296="","",O296/86400)</x:f>
      </x:c>
      <x:c r="Q296" s="12" t="str">
        <x:f>IF(O296="","",(H296*60+O296)/86400)</x:f>
      </x:c>
      <x:c r="R296" s="12" t="str">
        <x:f>IF(Q296="","",TEXT(Q296,"hh:mm:ss"))</x:f>
      </x:c>
      <x:c r="S296" s="12" t="str">
        <x:v>否</x:v>
      </x:c>
      <x:c r="T296" s="12" t="str">
        <x:v>否</x:v>
      </x:c>
      <x:c r="U296" s="12" t="str">
        <x:v>未提供</x:v>
      </x:c>
      <x:c r="V296" s="12" t="str">
        <x:v>未提供</x:v>
      </x:c>
      <x:c r="W296" s="12" t="str">
        <x:v>秒级预测</x:v>
      </x:c>
      <x:c r="X296" s="12" t="str">
        <x:v>基于路线秒级参数；如录入实测或手动采用秒，预计到达时间可随公式更新</x:v>
      </x:c>
    </x:row>
    <x:row r="297">
      <x:c r="A297" s="12" t="str">
        <x:v>S0024-13</x:v>
      </x:c>
      <x:c r="B297" s="12" t="str">
        <x:v>S0024</x:v>
      </x:c>
      <x:c r="C297" s="12" t="str">
        <x:v>工作日</x:v>
      </x:c>
      <x:c r="D297" s="12" t="str">
        <x:v>环线1路</x:v>
      </x:c>
      <x:c r="E297" s="12" t="str">
        <x:v>第三班</x:v>
      </x:c>
      <x:c r="F297" s="12" t="n">
        <x:v>13</x:v>
      </x:c>
      <x:c r="G297" s="12" t="str">
        <x:v>16:30</x:v>
      </x:c>
      <x:c r="H297" s="12" t="n">
        <x:v>990</x:v>
      </x:c>
      <x:c r="I297" s="12" t="str">
        <x:v>研究生宿舍楼</x:v>
      </x:c>
      <x:c r="J297" s="12" t="str">
        <x:v>研究生宿舍楼发车</x:v>
      </x:c>
      <x:c r="K297" s="12" t="str">
        <x:v>HX1_NORMAL</x:v>
      </x:c>
      <x:c r="L297" s="12" t="n">
        <x:v>13</x:v>
      </x:c>
      <x:c r="M297" s="12" t="str">
        <x:v>HX1_NORMAL|13</x:v>
      </x:c>
      <x:c r="N297" s="12" t="str">
        <x:v>研究生宿舍楼</x:v>
      </x:c>
      <x:c r="O297" s="12" t="n">
        <x:f>IFERROR(INDEX('秒级路线参数_可调整'!$O:$O,MATCH(M297,'秒级路线参数_可调整'!$A:$A,0)),"")</x:f>
        <x:v>0</x:v>
      </x:c>
      <x:c r="P297" s="12" t="str">
        <x:f>IF(O297="","",O297/86400)</x:f>
      </x:c>
      <x:c r="Q297" s="12" t="str">
        <x:f>IF(O297="","",(H297*60+O297)/86400)</x:f>
      </x:c>
      <x:c r="R297" s="12" t="str">
        <x:f>IF(Q297="","",TEXT(Q297,"hh:mm:ss"))</x:f>
      </x:c>
      <x:c r="S297" s="12" t="str">
        <x:v>否</x:v>
      </x:c>
      <x:c r="T297" s="12" t="str">
        <x:v>是</x:v>
      </x:c>
      <x:c r="U297" s="12" t="str">
        <x:v>未提供</x:v>
      </x:c>
      <x:c r="V297" s="12" t="str">
        <x:v>未提供</x:v>
      </x:c>
      <x:c r="W297" s="12" t="str">
        <x:v>秒级预测</x:v>
      </x:c>
      <x:c r="X297" s="12" t="str">
        <x:v>基于路线秒级参数；如录入实测或手动采用秒，预计到达时间可随公式更新</x:v>
      </x:c>
    </x:row>
    <x:row r="298">
      <x:c r="A298" s="12" t="str">
        <x:v>S0025-01</x:v>
      </x:c>
      <x:c r="B298" s="12" t="str">
        <x:v>S0025</x:v>
      </x:c>
      <x:c r="C298" s="12" t="str">
        <x:v>工作日</x:v>
      </x:c>
      <x:c r="D298" s="12" t="str">
        <x:v>环线1路</x:v>
      </x:c>
      <x:c r="E298" s="12" t="str">
        <x:v>第三班</x:v>
      </x:c>
      <x:c r="F298" s="12" t="n">
        <x:v>14</x:v>
      </x:c>
      <x:c r="G298" s="12" t="str">
        <x:v>17:15</x:v>
      </x:c>
      <x:c r="H298" s="12" t="n">
        <x:v>1035</x:v>
      </x:c>
      <x:c r="I298" s="12" t="str">
        <x:v>研究生宿舍楼</x:v>
      </x:c>
      <x:c r="J298" s="12" t="str">
        <x:v>研究生宿舍楼发车</x:v>
      </x:c>
      <x:c r="K298" s="12" t="str">
        <x:v>HX1_NORMAL</x:v>
      </x:c>
      <x:c r="L298" s="12" t="n">
        <x:v>1</x:v>
      </x:c>
      <x:c r="M298" s="12" t="str">
        <x:v>HX1_NORMAL|1</x:v>
      </x:c>
      <x:c r="N298" s="12" t="str">
        <x:v>研究生宿舍楼</x:v>
      </x:c>
      <x:c r="O298" s="12" t="n">
        <x:f>IFERROR(INDEX('秒级路线参数_可调整'!$O:$O,MATCH(M298,'秒级路线参数_可调整'!$A:$A,0)),"")</x:f>
        <x:v>0</x:v>
      </x:c>
      <x:c r="P298" s="12" t="str">
        <x:f>IF(O298="","",O298/86400)</x:f>
      </x:c>
      <x:c r="Q298" s="12" t="str">
        <x:f>IF(O298="","",(H298*60+O298)/86400)</x:f>
      </x:c>
      <x:c r="R298" s="12" t="str">
        <x:f>IF(Q298="","",TEXT(Q298,"hh:mm:ss"))</x:f>
      </x:c>
      <x:c r="S298" s="12" t="str">
        <x:v>是</x:v>
      </x:c>
      <x:c r="T298" s="12" t="str">
        <x:v>否</x:v>
      </x:c>
      <x:c r="U298" s="12" t="str">
        <x:v>未提供</x:v>
      </x:c>
      <x:c r="V298" s="12" t="str">
        <x:v>未提供</x:v>
      </x:c>
      <x:c r="W298" s="12" t="str">
        <x:v>秒级预测</x:v>
      </x:c>
      <x:c r="X298" s="12" t="str">
        <x:v>基于路线秒级参数；如录入实测或手动采用秒，预计到达时间可随公式更新</x:v>
      </x:c>
    </x:row>
    <x:row r="299">
      <x:c r="A299" s="12" t="str">
        <x:v>S0025-02</x:v>
      </x:c>
      <x:c r="B299" s="12" t="str">
        <x:v>S0025</x:v>
      </x:c>
      <x:c r="C299" s="12" t="str">
        <x:v>工作日</x:v>
      </x:c>
      <x:c r="D299" s="12" t="str">
        <x:v>环线1路</x:v>
      </x:c>
      <x:c r="E299" s="12" t="str">
        <x:v>第三班</x:v>
      </x:c>
      <x:c r="F299" s="12" t="n">
        <x:v>14</x:v>
      </x:c>
      <x:c r="G299" s="12" t="str">
        <x:v>17:15</x:v>
      </x:c>
      <x:c r="H299" s="12" t="n">
        <x:v>1035</x:v>
      </x:c>
      <x:c r="I299" s="12" t="str">
        <x:v>研究生宿舍楼</x:v>
      </x:c>
      <x:c r="J299" s="12" t="str">
        <x:v>研究生宿舍楼发车</x:v>
      </x:c>
      <x:c r="K299" s="12" t="str">
        <x:v>HX1_NORMAL</x:v>
      </x:c>
      <x:c r="L299" s="12" t="n">
        <x:v>2</x:v>
      </x:c>
      <x:c r="M299" s="12" t="str">
        <x:v>HX1_NORMAL|2</x:v>
      </x:c>
      <x:c r="N299" s="12" t="str">
        <x:v>东门</x:v>
      </x:c>
      <x:c r="O299" s="12" t="n">
        <x:f>IFERROR(INDEX('秒级路线参数_可调整'!$O:$O,MATCH(M299,'秒级路线参数_可调整'!$A:$A,0)),"")</x:f>
        <x:v>0</x:v>
      </x:c>
      <x:c r="P299" s="12" t="str">
        <x:f>IF(O299="","",O299/86400)</x:f>
      </x:c>
      <x:c r="Q299" s="12" t="str">
        <x:f>IF(O299="","",(H299*60+O299)/86400)</x:f>
      </x:c>
      <x:c r="R299" s="12" t="str">
        <x:f>IF(Q299="","",TEXT(Q299,"hh:mm:ss"))</x:f>
      </x:c>
      <x:c r="S299" s="12" t="str">
        <x:v>否</x:v>
      </x:c>
      <x:c r="T299" s="12" t="str">
        <x:v>否</x:v>
      </x:c>
      <x:c r="U299" s="12" t="str">
        <x:v>未提供</x:v>
      </x:c>
      <x:c r="V299" s="12" t="str">
        <x:v>未提供</x:v>
      </x:c>
      <x:c r="W299" s="12" t="str">
        <x:v>秒级预测</x:v>
      </x:c>
      <x:c r="X299" s="12" t="str">
        <x:v>基于路线秒级参数；如录入实测或手动采用秒，预计到达时间可随公式更新</x:v>
      </x:c>
    </x:row>
    <x:row r="300">
      <x:c r="A300" s="12" t="str">
        <x:v>S0025-03</x:v>
      </x:c>
      <x:c r="B300" s="12" t="str">
        <x:v>S0025</x:v>
      </x:c>
      <x:c r="C300" s="12" t="str">
        <x:v>工作日</x:v>
      </x:c>
      <x:c r="D300" s="12" t="str">
        <x:v>环线1路</x:v>
      </x:c>
      <x:c r="E300" s="12" t="str">
        <x:v>第三班</x:v>
      </x:c>
      <x:c r="F300" s="12" t="n">
        <x:v>14</x:v>
      </x:c>
      <x:c r="G300" s="12" t="str">
        <x:v>17:15</x:v>
      </x:c>
      <x:c r="H300" s="12" t="n">
        <x:v>1035</x:v>
      </x:c>
      <x:c r="I300" s="12" t="str">
        <x:v>研究生宿舍楼</x:v>
      </x:c>
      <x:c r="J300" s="12" t="str">
        <x:v>研究生宿舍楼发车</x:v>
      </x:c>
      <x:c r="K300" s="12" t="str">
        <x:v>HX1_NORMAL</x:v>
      </x:c>
      <x:c r="L300" s="12" t="n">
        <x:v>3</x:v>
      </x:c>
      <x:c r="M300" s="12" t="str">
        <x:v>HX1_NORMAL|3</x:v>
      </x:c>
      <x:c r="N300" s="12" t="str">
        <x:v>2号宿舍楼</x:v>
      </x:c>
      <x:c r="O300" s="12" t="n">
        <x:f>IFERROR(INDEX('秒级路线参数_可调整'!$O:$O,MATCH(M300,'秒级路线参数_可调整'!$A:$A,0)),"")</x:f>
        <x:v>0</x:v>
      </x:c>
      <x:c r="P300" s="12" t="str">
        <x:f>IF(O300="","",O300/86400)</x:f>
      </x:c>
      <x:c r="Q300" s="12" t="str">
        <x:f>IF(O300="","",(H300*60+O300)/86400)</x:f>
      </x:c>
      <x:c r="R300" s="12" t="str">
        <x:f>IF(Q300="","",TEXT(Q300,"hh:mm:ss"))</x:f>
      </x:c>
      <x:c r="S300" s="12" t="str">
        <x:v>否</x:v>
      </x:c>
      <x:c r="T300" s="12" t="str">
        <x:v>否</x:v>
      </x:c>
      <x:c r="U300" s="12" t="str">
        <x:v>未提供</x:v>
      </x:c>
      <x:c r="V300" s="12" t="str">
        <x:v>未提供</x:v>
      </x:c>
      <x:c r="W300" s="12" t="str">
        <x:v>秒级预测</x:v>
      </x:c>
      <x:c r="X300" s="12" t="str">
        <x:v>基于路线秒级参数；如录入实测或手动采用秒，预计到达时间可随公式更新</x:v>
      </x:c>
    </x:row>
    <x:row r="301">
      <x:c r="A301" s="12" t="str">
        <x:v>S0025-04</x:v>
      </x:c>
      <x:c r="B301" s="12" t="str">
        <x:v>S0025</x:v>
      </x:c>
      <x:c r="C301" s="12" t="str">
        <x:v>工作日</x:v>
      </x:c>
      <x:c r="D301" s="12" t="str">
        <x:v>环线1路</x:v>
      </x:c>
      <x:c r="E301" s="12" t="str">
        <x:v>第三班</x:v>
      </x:c>
      <x:c r="F301" s="12" t="n">
        <x:v>14</x:v>
      </x:c>
      <x:c r="G301" s="12" t="str">
        <x:v>17:15</x:v>
      </x:c>
      <x:c r="H301" s="12" t="n">
        <x:v>1035</x:v>
      </x:c>
      <x:c r="I301" s="12" t="str">
        <x:v>研究生宿舍楼</x:v>
      </x:c>
      <x:c r="J301" s="12" t="str">
        <x:v>研究生宿舍楼发车</x:v>
      </x:c>
      <x:c r="K301" s="12" t="str">
        <x:v>HX1_NORMAL</x:v>
      </x:c>
      <x:c r="L301" s="12" t="n">
        <x:v>4</x:v>
      </x:c>
      <x:c r="M301" s="12" t="str">
        <x:v>HX1_NORMAL|4</x:v>
      </x:c>
      <x:c r="N301" s="12" t="str">
        <x:v>军体活动中心</x:v>
      </x:c>
      <x:c r="O301" s="12" t="n">
        <x:f>IFERROR(INDEX('秒级路线参数_可调整'!$O:$O,MATCH(M301,'秒级路线参数_可调整'!$A:$A,0)),"")</x:f>
        <x:v>0</x:v>
      </x:c>
      <x:c r="P301" s="12" t="str">
        <x:f>IF(O301="","",O301/86400)</x:f>
      </x:c>
      <x:c r="Q301" s="12" t="str">
        <x:f>IF(O301="","",(H301*60+O301)/86400)</x:f>
      </x:c>
      <x:c r="R301" s="12" t="str">
        <x:f>IF(Q301="","",TEXT(Q301,"hh:mm:ss"))</x:f>
      </x:c>
      <x:c r="S301" s="12" t="str">
        <x:v>否</x:v>
      </x:c>
      <x:c r="T301" s="12" t="str">
        <x:v>否</x:v>
      </x:c>
      <x:c r="U301" s="12" t="str">
        <x:v>未提供</x:v>
      </x:c>
      <x:c r="V301" s="12" t="str">
        <x:v>未提供</x:v>
      </x:c>
      <x:c r="W301" s="12" t="str">
        <x:v>秒级预测</x:v>
      </x:c>
      <x:c r="X301" s="12" t="str">
        <x:v>基于路线秒级参数；如录入实测或手动采用秒，预计到达时间可随公式更新</x:v>
      </x:c>
    </x:row>
    <x:row r="302">
      <x:c r="A302" s="12" t="str">
        <x:v>S0025-05</x:v>
      </x:c>
      <x:c r="B302" s="12" t="str">
        <x:v>S0025</x:v>
      </x:c>
      <x:c r="C302" s="12" t="str">
        <x:v>工作日</x:v>
      </x:c>
      <x:c r="D302" s="12" t="str">
        <x:v>环线1路</x:v>
      </x:c>
      <x:c r="E302" s="12" t="str">
        <x:v>第三班</x:v>
      </x:c>
      <x:c r="F302" s="12" t="n">
        <x:v>14</x:v>
      </x:c>
      <x:c r="G302" s="12" t="str">
        <x:v>17:15</x:v>
      </x:c>
      <x:c r="H302" s="12" t="n">
        <x:v>1035</x:v>
      </x:c>
      <x:c r="I302" s="12" t="str">
        <x:v>研究生宿舍楼</x:v>
      </x:c>
      <x:c r="J302" s="12" t="str">
        <x:v>研究生宿舍楼发车</x:v>
      </x:c>
      <x:c r="K302" s="12" t="str">
        <x:v>HX1_NORMAL</x:v>
      </x:c>
      <x:c r="L302" s="12" t="n">
        <x:v>5</x:v>
      </x:c>
      <x:c r="M302" s="12" t="str">
        <x:v>HX1_NORMAL|5</x:v>
      </x:c>
      <x:c r="N302" s="12" t="str">
        <x:v>激光所</x:v>
      </x:c>
      <x:c r="O302" s="12" t="n">
        <x:f>IFERROR(INDEX('秒级路线参数_可调整'!$O:$O,MATCH(M302,'秒级路线参数_可调整'!$A:$A,0)),"")</x:f>
        <x:v>0</x:v>
      </x:c>
      <x:c r="P302" s="12" t="str">
        <x:f>IF(O302="","",O302/86400)</x:f>
      </x:c>
      <x:c r="Q302" s="12" t="str">
        <x:f>IF(O302="","",(H302*60+O302)/86400)</x:f>
      </x:c>
      <x:c r="R302" s="12" t="str">
        <x:f>IF(Q302="","",TEXT(Q302,"hh:mm:ss"))</x:f>
      </x:c>
      <x:c r="S302" s="12" t="str">
        <x:v>否</x:v>
      </x:c>
      <x:c r="T302" s="12" t="str">
        <x:v>否</x:v>
      </x:c>
      <x:c r="U302" s="12" t="str">
        <x:v>未提供</x:v>
      </x:c>
      <x:c r="V302" s="12" t="str">
        <x:v>未提供</x:v>
      </x:c>
      <x:c r="W302" s="12" t="str">
        <x:v>秒级预测</x:v>
      </x:c>
      <x:c r="X302" s="12" t="str">
        <x:v>基于路线秒级参数；如录入实测或手动采用秒，预计到达时间可随公式更新</x:v>
      </x:c>
    </x:row>
    <x:row r="303">
      <x:c r="A303" s="12" t="str">
        <x:v>S0025-06</x:v>
      </x:c>
      <x:c r="B303" s="12" t="str">
        <x:v>S0025</x:v>
      </x:c>
      <x:c r="C303" s="12" t="str">
        <x:v>工作日</x:v>
      </x:c>
      <x:c r="D303" s="12" t="str">
        <x:v>环线1路</x:v>
      </x:c>
      <x:c r="E303" s="12" t="str">
        <x:v>第三班</x:v>
      </x:c>
      <x:c r="F303" s="12" t="n">
        <x:v>14</x:v>
      </x:c>
      <x:c r="G303" s="12" t="str">
        <x:v>17:15</x:v>
      </x:c>
      <x:c r="H303" s="12" t="n">
        <x:v>1035</x:v>
      </x:c>
      <x:c r="I303" s="12" t="str">
        <x:v>研究生宿舍楼</x:v>
      </x:c>
      <x:c r="J303" s="12" t="str">
        <x:v>研究生宿舍楼发车</x:v>
      </x:c>
      <x:c r="K303" s="12" t="str">
        <x:v>HX1_NORMAL</x:v>
      </x:c>
      <x:c r="L303" s="12" t="n">
        <x:v>6</x:v>
      </x:c>
      <x:c r="M303" s="12" t="str">
        <x:v>HX1_NORMAL|6</x:v>
      </x:c>
      <x:c r="N303" s="12" t="str">
        <x:v>超算中心</x:v>
      </x:c>
      <x:c r="O303" s="12" t="n">
        <x:f>IFERROR(INDEX('秒级路线参数_可调整'!$O:$O,MATCH(M303,'秒级路线参数_可调整'!$A:$A,0)),"")</x:f>
        <x:v>0</x:v>
      </x:c>
      <x:c r="P303" s="12" t="str">
        <x:f>IF(O303="","",O303/86400)</x:f>
      </x:c>
      <x:c r="Q303" s="12" t="str">
        <x:f>IF(O303="","",(H303*60+O303)/86400)</x:f>
      </x:c>
      <x:c r="R303" s="12" t="str">
        <x:f>IF(Q303="","",TEXT(Q303,"hh:mm:ss"))</x:f>
      </x:c>
      <x:c r="S303" s="12" t="str">
        <x:v>否</x:v>
      </x:c>
      <x:c r="T303" s="12" t="str">
        <x:v>否</x:v>
      </x:c>
      <x:c r="U303" s="12" t="str">
        <x:v>未提供</x:v>
      </x:c>
      <x:c r="V303" s="12" t="str">
        <x:v>未提供</x:v>
      </x:c>
      <x:c r="W303" s="12" t="str">
        <x:v>秒级预测</x:v>
      </x:c>
      <x:c r="X303" s="12" t="str">
        <x:v>基于路线秒级参数；如录入实测或手动采用秒，预计到达时间可随公式更新</x:v>
      </x:c>
    </x:row>
    <x:row r="304">
      <x:c r="A304" s="12" t="str">
        <x:v>S0025-07</x:v>
      </x:c>
      <x:c r="B304" s="12" t="str">
        <x:v>S0025</x:v>
      </x:c>
      <x:c r="C304" s="12" t="str">
        <x:v>工作日</x:v>
      </x:c>
      <x:c r="D304" s="12" t="str">
        <x:v>环线1路</x:v>
      </x:c>
      <x:c r="E304" s="12" t="str">
        <x:v>第三班</x:v>
      </x:c>
      <x:c r="F304" s="12" t="n">
        <x:v>14</x:v>
      </x:c>
      <x:c r="G304" s="12" t="str">
        <x:v>17:15</x:v>
      </x:c>
      <x:c r="H304" s="12" t="n">
        <x:v>1035</x:v>
      </x:c>
      <x:c r="I304" s="12" t="str">
        <x:v>研究生宿舍楼</x:v>
      </x:c>
      <x:c r="J304" s="12" t="str">
        <x:v>研究生宿舍楼发车</x:v>
      </x:c>
      <x:c r="K304" s="12" t="str">
        <x:v>HX1_NORMAL</x:v>
      </x:c>
      <x:c r="L304" s="12" t="n">
        <x:v>7</x:v>
      </x:c>
      <x:c r="M304" s="12" t="str">
        <x:v>HX1_NORMAL|7</x:v>
      </x:c>
      <x:c r="N304" s="12" t="str">
        <x:v>北门</x:v>
      </x:c>
      <x:c r="O304" s="12" t="n">
        <x:f>IFERROR(INDEX('秒级路线参数_可调整'!$O:$O,MATCH(M304,'秒级路线参数_可调整'!$A:$A,0)),"")</x:f>
        <x:v>0</x:v>
      </x:c>
      <x:c r="P304" s="12" t="str">
        <x:f>IF(O304="","",O304/86400)</x:f>
      </x:c>
      <x:c r="Q304" s="12" t="str">
        <x:f>IF(O304="","",(H304*60+O304)/86400)</x:f>
      </x:c>
      <x:c r="R304" s="12" t="str">
        <x:f>IF(Q304="","",TEXT(Q304,"hh:mm:ss"))</x:f>
      </x:c>
      <x:c r="S304" s="12" t="str">
        <x:v>否</x:v>
      </x:c>
      <x:c r="T304" s="12" t="str">
        <x:v>否</x:v>
      </x:c>
      <x:c r="U304" s="12" t="str">
        <x:v>未提供</x:v>
      </x:c>
      <x:c r="V304" s="12" t="str">
        <x:v>未提供</x:v>
      </x:c>
      <x:c r="W304" s="12" t="str">
        <x:v>秒级预测</x:v>
      </x:c>
      <x:c r="X304" s="12" t="str">
        <x:v>基于路线秒级参数；如录入实测或手动采用秒，预计到达时间可随公式更新</x:v>
      </x:c>
    </x:row>
    <x:row r="305">
      <x:c r="A305" s="12" t="str">
        <x:v>S0025-08</x:v>
      </x:c>
      <x:c r="B305" s="12" t="str">
        <x:v>S0025</x:v>
      </x:c>
      <x:c r="C305" s="12" t="str">
        <x:v>工作日</x:v>
      </x:c>
      <x:c r="D305" s="12" t="str">
        <x:v>环线1路</x:v>
      </x:c>
      <x:c r="E305" s="12" t="str">
        <x:v>第三班</x:v>
      </x:c>
      <x:c r="F305" s="12" t="n">
        <x:v>14</x:v>
      </x:c>
      <x:c r="G305" s="12" t="str">
        <x:v>17:15</x:v>
      </x:c>
      <x:c r="H305" s="12" t="n">
        <x:v>1035</x:v>
      </x:c>
      <x:c r="I305" s="12" t="str">
        <x:v>研究生宿舍楼</x:v>
      </x:c>
      <x:c r="J305" s="12" t="str">
        <x:v>研究生宿舍楼发车</x:v>
      </x:c>
      <x:c r="K305" s="12" t="str">
        <x:v>HX1_NORMAL</x:v>
      </x:c>
      <x:c r="L305" s="12" t="n">
        <x:v>8</x:v>
      </x:c>
      <x:c r="M305" s="12" t="str">
        <x:v>HX1_NORMAL|8</x:v>
      </x:c>
      <x:c r="N305" s="12" t="str">
        <x:v>高超楼</x:v>
      </x:c>
      <x:c r="O305" s="12" t="n">
        <x:f>IFERROR(INDEX('秒级路线参数_可调整'!$O:$O,MATCH(M305,'秒级路线参数_可调整'!$A:$A,0)),"")</x:f>
        <x:v>0</x:v>
      </x:c>
      <x:c r="P305" s="12" t="str">
        <x:f>IF(O305="","",O305/86400)</x:f>
      </x:c>
      <x:c r="Q305" s="12" t="str">
        <x:f>IF(O305="","",(H305*60+O305)/86400)</x:f>
      </x:c>
      <x:c r="R305" s="12" t="str">
        <x:f>IF(Q305="","",TEXT(Q305,"hh:mm:ss"))</x:f>
      </x:c>
      <x:c r="S305" s="12" t="str">
        <x:v>否</x:v>
      </x:c>
      <x:c r="T305" s="12" t="str">
        <x:v>否</x:v>
      </x:c>
      <x:c r="U305" s="12" t="str">
        <x:v>未提供</x:v>
      </x:c>
      <x:c r="V305" s="12" t="str">
        <x:v>未提供</x:v>
      </x:c>
      <x:c r="W305" s="12" t="str">
        <x:v>秒级预测</x:v>
      </x:c>
      <x:c r="X305" s="12" t="str">
        <x:v>基于路线秒级参数；如录入实测或手动采用秒，预计到达时间可随公式更新</x:v>
      </x:c>
    </x:row>
    <x:row r="306">
      <x:c r="A306" s="12" t="str">
        <x:v>S0025-09</x:v>
      </x:c>
      <x:c r="B306" s="12" t="str">
        <x:v>S0025</x:v>
      </x:c>
      <x:c r="C306" s="12" t="str">
        <x:v>工作日</x:v>
      </x:c>
      <x:c r="D306" s="12" t="str">
        <x:v>环线1路</x:v>
      </x:c>
      <x:c r="E306" s="12" t="str">
        <x:v>第三班</x:v>
      </x:c>
      <x:c r="F306" s="12" t="n">
        <x:v>14</x:v>
      </x:c>
      <x:c r="G306" s="12" t="str">
        <x:v>17:15</x:v>
      </x:c>
      <x:c r="H306" s="12" t="n">
        <x:v>1035</x:v>
      </x:c>
      <x:c r="I306" s="12" t="str">
        <x:v>研究生宿舍楼</x:v>
      </x:c>
      <x:c r="J306" s="12" t="str">
        <x:v>研究生宿舍楼发车</x:v>
      </x:c>
      <x:c r="K306" s="12" t="str">
        <x:v>HX1_NORMAL</x:v>
      </x:c>
      <x:c r="L306" s="12" t="n">
        <x:v>9</x:v>
      </x:c>
      <x:c r="M306" s="12" t="str">
        <x:v>HX1_NORMAL|9</x:v>
      </x:c>
      <x:c r="N306" s="12" t="str">
        <x:v>理学院</x:v>
      </x:c>
      <x:c r="O306" s="12" t="n">
        <x:f>IFERROR(INDEX('秒级路线参数_可调整'!$O:$O,MATCH(M306,'秒级路线参数_可调整'!$A:$A,0)),"")</x:f>
        <x:v>0</x:v>
      </x:c>
      <x:c r="P306" s="12" t="str">
        <x:f>IF(O306="","",O306/86400)</x:f>
      </x:c>
      <x:c r="Q306" s="12" t="str">
        <x:f>IF(O306="","",(H306*60+O306)/86400)</x:f>
      </x:c>
      <x:c r="R306" s="12" t="str">
        <x:f>IF(Q306="","",TEXT(Q306,"hh:mm:ss"))</x:f>
      </x:c>
      <x:c r="S306" s="12" t="str">
        <x:v>否</x:v>
      </x:c>
      <x:c r="T306" s="12" t="str">
        <x:v>否</x:v>
      </x:c>
      <x:c r="U306" s="12" t="str">
        <x:v>未提供</x:v>
      </x:c>
      <x:c r="V306" s="12" t="str">
        <x:v>未提供</x:v>
      </x:c>
      <x:c r="W306" s="12" t="str">
        <x:v>秒级预测</x:v>
      </x:c>
      <x:c r="X306" s="12" t="str">
        <x:v>基于路线秒级参数；如录入实测或手动采用秒，预计到达时间可随公式更新</x:v>
      </x:c>
    </x:row>
    <x:row r="307">
      <x:c r="A307" s="12" t="str">
        <x:v>S0025-10</x:v>
      </x:c>
      <x:c r="B307" s="12" t="str">
        <x:v>S0025</x:v>
      </x:c>
      <x:c r="C307" s="12" t="str">
        <x:v>工作日</x:v>
      </x:c>
      <x:c r="D307" s="12" t="str">
        <x:v>环线1路</x:v>
      </x:c>
      <x:c r="E307" s="12" t="str">
        <x:v>第三班</x:v>
      </x:c>
      <x:c r="F307" s="12" t="n">
        <x:v>14</x:v>
      </x:c>
      <x:c r="G307" s="12" t="str">
        <x:v>17:15</x:v>
      </x:c>
      <x:c r="H307" s="12" t="n">
        <x:v>1035</x:v>
      </x:c>
      <x:c r="I307" s="12" t="str">
        <x:v>研究生宿舍楼</x:v>
      </x:c>
      <x:c r="J307" s="12" t="str">
        <x:v>研究生宿舍楼发车</x:v>
      </x:c>
      <x:c r="K307" s="12" t="str">
        <x:v>HX1_NORMAL</x:v>
      </x:c>
      <x:c r="L307" s="12" t="n">
        <x:v>10</x:v>
      </x:c>
      <x:c r="M307" s="12" t="str">
        <x:v>HX1_NORMAL|10</x:v>
      </x:c>
      <x:c r="N307" s="12" t="str">
        <x:v>二食堂</x:v>
      </x:c>
      <x:c r="O307" s="12" t="n">
        <x:f>IFERROR(INDEX('秒级路线参数_可调整'!$O:$O,MATCH(M307,'秒级路线参数_可调整'!$A:$A,0)),"")</x:f>
        <x:v>0</x:v>
      </x:c>
      <x:c r="P307" s="12" t="str">
        <x:f>IF(O307="","",O307/86400)</x:f>
      </x:c>
      <x:c r="Q307" s="12" t="str">
        <x:f>IF(O307="","",(H307*60+O307)/86400)</x:f>
      </x:c>
      <x:c r="R307" s="12" t="str">
        <x:f>IF(Q307="","",TEXT(Q307,"hh:mm:ss"))</x:f>
      </x:c>
      <x:c r="S307" s="12" t="str">
        <x:v>否</x:v>
      </x:c>
      <x:c r="T307" s="12" t="str">
        <x:v>否</x:v>
      </x:c>
      <x:c r="U307" s="12" t="str">
        <x:v>未提供</x:v>
      </x:c>
      <x:c r="V307" s="12" t="str">
        <x:v>未提供</x:v>
      </x:c>
      <x:c r="W307" s="12" t="str">
        <x:v>秒级预测</x:v>
      </x:c>
      <x:c r="X307" s="12" t="str">
        <x:v>基于路线秒级参数；如录入实测或手动采用秒，预计到达时间可随公式更新</x:v>
      </x:c>
    </x:row>
    <x:row r="308">
      <x:c r="A308" s="12" t="str">
        <x:v>S0025-11</x:v>
      </x:c>
      <x:c r="B308" s="12" t="str">
        <x:v>S0025</x:v>
      </x:c>
      <x:c r="C308" s="12" t="str">
        <x:v>工作日</x:v>
      </x:c>
      <x:c r="D308" s="12" t="str">
        <x:v>环线1路</x:v>
      </x:c>
      <x:c r="E308" s="12" t="str">
        <x:v>第三班</x:v>
      </x:c>
      <x:c r="F308" s="12" t="n">
        <x:v>14</x:v>
      </x:c>
      <x:c r="G308" s="12" t="str">
        <x:v>17:15</x:v>
      </x:c>
      <x:c r="H308" s="12" t="n">
        <x:v>1035</x:v>
      </x:c>
      <x:c r="I308" s="12" t="str">
        <x:v>研究生宿舍楼</x:v>
      </x:c>
      <x:c r="J308" s="12" t="str">
        <x:v>研究生宿舍楼发车</x:v>
      </x:c>
      <x:c r="K308" s="12" t="str">
        <x:v>HX1_NORMAL</x:v>
      </x:c>
      <x:c r="L308" s="12" t="n">
        <x:v>11</x:v>
      </x:c>
      <x:c r="M308" s="12" t="str">
        <x:v>HX1_NORMAL|11</x:v>
      </x:c>
      <x:c r="N308" s="12" t="str">
        <x:v>5号宿舍楼</x:v>
      </x:c>
      <x:c r="O308" s="12" t="n">
        <x:f>IFERROR(INDEX('秒级路线参数_可调整'!$O:$O,MATCH(M308,'秒级路线参数_可调整'!$A:$A,0)),"")</x:f>
        <x:v>0</x:v>
      </x:c>
      <x:c r="P308" s="12" t="str">
        <x:f>IF(O308="","",O308/86400)</x:f>
      </x:c>
      <x:c r="Q308" s="12" t="str">
        <x:f>IF(O308="","",(H308*60+O308)/86400)</x:f>
      </x:c>
      <x:c r="R308" s="12" t="str">
        <x:f>IF(Q308="","",TEXT(Q308,"hh:mm:ss"))</x:f>
      </x:c>
      <x:c r="S308" s="12" t="str">
        <x:v>否</x:v>
      </x:c>
      <x:c r="T308" s="12" t="str">
        <x:v>否</x:v>
      </x:c>
      <x:c r="U308" s="12" t="str">
        <x:v>未提供</x:v>
      </x:c>
      <x:c r="V308" s="12" t="str">
        <x:v>未提供</x:v>
      </x:c>
      <x:c r="W308" s="12" t="str">
        <x:v>秒级预测</x:v>
      </x:c>
      <x:c r="X308" s="12" t="str">
        <x:v>基于路线秒级参数；如录入实测或手动采用秒，预计到达时间可随公式更新</x:v>
      </x:c>
    </x:row>
    <x:row r="309">
      <x:c r="A309" s="12" t="str">
        <x:v>S0025-12</x:v>
      </x:c>
      <x:c r="B309" s="12" t="str">
        <x:v>S0025</x:v>
      </x:c>
      <x:c r="C309" s="12" t="str">
        <x:v>工作日</x:v>
      </x:c>
      <x:c r="D309" s="12" t="str">
        <x:v>环线1路</x:v>
      </x:c>
      <x:c r="E309" s="12" t="str">
        <x:v>第三班</x:v>
      </x:c>
      <x:c r="F309" s="12" t="n">
        <x:v>14</x:v>
      </x:c>
      <x:c r="G309" s="12" t="str">
        <x:v>17:15</x:v>
      </x:c>
      <x:c r="H309" s="12" t="n">
        <x:v>1035</x:v>
      </x:c>
      <x:c r="I309" s="12" t="str">
        <x:v>研究生宿舍楼</x:v>
      </x:c>
      <x:c r="J309" s="12" t="str">
        <x:v>研究生宿舍楼发车</x:v>
      </x:c>
      <x:c r="K309" s="12" t="str">
        <x:v>HX1_NORMAL</x:v>
      </x:c>
      <x:c r="L309" s="12" t="n">
        <x:v>12</x:v>
      </x:c>
      <x:c r="M309" s="12" t="str">
        <x:v>HX1_NORMAL|12</x:v>
      </x:c>
      <x:c r="N309" s="12" t="str">
        <x:v>305教学楼</x:v>
      </x:c>
      <x:c r="O309" s="12" t="n">
        <x:f>IFERROR(INDEX('秒级路线参数_可调整'!$O:$O,MATCH(M309,'秒级路线参数_可调整'!$A:$A,0)),"")</x:f>
        <x:v>0</x:v>
      </x:c>
      <x:c r="P309" s="12" t="str">
        <x:f>IF(O309="","",O309/86400)</x:f>
      </x:c>
      <x:c r="Q309" s="12" t="str">
        <x:f>IF(O309="","",(H309*60+O309)/86400)</x:f>
      </x:c>
      <x:c r="R309" s="12" t="str">
        <x:f>IF(Q309="","",TEXT(Q309,"hh:mm:ss"))</x:f>
      </x:c>
      <x:c r="S309" s="12" t="str">
        <x:v>否</x:v>
      </x:c>
      <x:c r="T309" s="12" t="str">
        <x:v>否</x:v>
      </x:c>
      <x:c r="U309" s="12" t="str">
        <x:v>未提供</x:v>
      </x:c>
      <x:c r="V309" s="12" t="str">
        <x:v>未提供</x:v>
      </x:c>
      <x:c r="W309" s="12" t="str">
        <x:v>秒级预测</x:v>
      </x:c>
      <x:c r="X309" s="12" t="str">
        <x:v>基于路线秒级参数；如录入实测或手动采用秒，预计到达时间可随公式更新</x:v>
      </x:c>
    </x:row>
    <x:row r="310">
      <x:c r="A310" s="12" t="str">
        <x:v>S0025-13</x:v>
      </x:c>
      <x:c r="B310" s="12" t="str">
        <x:v>S0025</x:v>
      </x:c>
      <x:c r="C310" s="12" t="str">
        <x:v>工作日</x:v>
      </x:c>
      <x:c r="D310" s="12" t="str">
        <x:v>环线1路</x:v>
      </x:c>
      <x:c r="E310" s="12" t="str">
        <x:v>第三班</x:v>
      </x:c>
      <x:c r="F310" s="12" t="n">
        <x:v>14</x:v>
      </x:c>
      <x:c r="G310" s="12" t="str">
        <x:v>17:15</x:v>
      </x:c>
      <x:c r="H310" s="12" t="n">
        <x:v>1035</x:v>
      </x:c>
      <x:c r="I310" s="12" t="str">
        <x:v>研究生宿舍楼</x:v>
      </x:c>
      <x:c r="J310" s="12" t="str">
        <x:v>研究生宿舍楼发车</x:v>
      </x:c>
      <x:c r="K310" s="12" t="str">
        <x:v>HX1_NORMAL</x:v>
      </x:c>
      <x:c r="L310" s="12" t="n">
        <x:v>13</x:v>
      </x:c>
      <x:c r="M310" s="12" t="str">
        <x:v>HX1_NORMAL|13</x:v>
      </x:c>
      <x:c r="N310" s="12" t="str">
        <x:v>研究生宿舍楼</x:v>
      </x:c>
      <x:c r="O310" s="12" t="n">
        <x:f>IFERROR(INDEX('秒级路线参数_可调整'!$O:$O,MATCH(M310,'秒级路线参数_可调整'!$A:$A,0)),"")</x:f>
        <x:v>0</x:v>
      </x:c>
      <x:c r="P310" s="12" t="str">
        <x:f>IF(O310="","",O310/86400)</x:f>
      </x:c>
      <x:c r="Q310" s="12" t="str">
        <x:f>IF(O310="","",(H310*60+O310)/86400)</x:f>
      </x:c>
      <x:c r="R310" s="12" t="str">
        <x:f>IF(Q310="","",TEXT(Q310,"hh:mm:ss"))</x:f>
      </x:c>
      <x:c r="S310" s="12" t="str">
        <x:v>否</x:v>
      </x:c>
      <x:c r="T310" s="12" t="str">
        <x:v>是</x:v>
      </x:c>
      <x:c r="U310" s="12" t="str">
        <x:v>未提供</x:v>
      </x:c>
      <x:c r="V310" s="12" t="str">
        <x:v>未提供</x:v>
      </x:c>
      <x:c r="W310" s="12" t="str">
        <x:v>秒级预测</x:v>
      </x:c>
      <x:c r="X310" s="12" t="str">
        <x:v>基于路线秒级参数；如录入实测或手动采用秒，预计到达时间可随公式更新</x:v>
      </x:c>
    </x:row>
    <x:row r="311">
      <x:c r="A311" s="12" t="str">
        <x:v>S0026-01</x:v>
      </x:c>
      <x:c r="B311" s="12" t="str">
        <x:v>S0026</x:v>
      </x:c>
      <x:c r="C311" s="12" t="str">
        <x:v>工作日</x:v>
      </x:c>
      <x:c r="D311" s="12" t="str">
        <x:v>环线1路</x:v>
      </x:c>
      <x:c r="E311" s="12" t="str">
        <x:v>第三班</x:v>
      </x:c>
      <x:c r="F311" s="12" t="n">
        <x:v>15</x:v>
      </x:c>
      <x:c r="G311" s="12" t="str">
        <x:v>18:00</x:v>
      </x:c>
      <x:c r="H311" s="12" t="n">
        <x:v>1080</x:v>
      </x:c>
      <x:c r="I311" s="12" t="str">
        <x:v>研究生宿舍楼</x:v>
      </x:c>
      <x:c r="J311" s="12" t="str">
        <x:v>研究生宿舍楼发车</x:v>
      </x:c>
      <x:c r="K311" s="12" t="str">
        <x:v>HX1_NORMAL</x:v>
      </x:c>
      <x:c r="L311" s="12" t="n">
        <x:v>1</x:v>
      </x:c>
      <x:c r="M311" s="12" t="str">
        <x:v>HX1_NORMAL|1</x:v>
      </x:c>
      <x:c r="N311" s="12" t="str">
        <x:v>研究生宿舍楼</x:v>
      </x:c>
      <x:c r="O311" s="12" t="n">
        <x:f>IFERROR(INDEX('秒级路线参数_可调整'!$O:$O,MATCH(M311,'秒级路线参数_可调整'!$A:$A,0)),"")</x:f>
        <x:v>0</x:v>
      </x:c>
      <x:c r="P311" s="12" t="str">
        <x:f>IF(O311="","",O311/86400)</x:f>
      </x:c>
      <x:c r="Q311" s="12" t="str">
        <x:f>IF(O311="","",(H311*60+O311)/86400)</x:f>
      </x:c>
      <x:c r="R311" s="12" t="str">
        <x:f>IF(Q311="","",TEXT(Q311,"hh:mm:ss"))</x:f>
      </x:c>
      <x:c r="S311" s="12" t="str">
        <x:v>是</x:v>
      </x:c>
      <x:c r="T311" s="12" t="str">
        <x:v>否</x:v>
      </x:c>
      <x:c r="U311" s="12" t="str">
        <x:v>未提供</x:v>
      </x:c>
      <x:c r="V311" s="12" t="str">
        <x:v>未提供</x:v>
      </x:c>
      <x:c r="W311" s="12" t="str">
        <x:v>秒级预测</x:v>
      </x:c>
      <x:c r="X311" s="12" t="str">
        <x:v>基于路线秒级参数；如录入实测或手动采用秒，预计到达时间可随公式更新</x:v>
      </x:c>
    </x:row>
    <x:row r="312">
      <x:c r="A312" s="12" t="str">
        <x:v>S0026-02</x:v>
      </x:c>
      <x:c r="B312" s="12" t="str">
        <x:v>S0026</x:v>
      </x:c>
      <x:c r="C312" s="12" t="str">
        <x:v>工作日</x:v>
      </x:c>
      <x:c r="D312" s="12" t="str">
        <x:v>环线1路</x:v>
      </x:c>
      <x:c r="E312" s="12" t="str">
        <x:v>第三班</x:v>
      </x:c>
      <x:c r="F312" s="12" t="n">
        <x:v>15</x:v>
      </x:c>
      <x:c r="G312" s="12" t="str">
        <x:v>18:00</x:v>
      </x:c>
      <x:c r="H312" s="12" t="n">
        <x:v>1080</x:v>
      </x:c>
      <x:c r="I312" s="12" t="str">
        <x:v>研究生宿舍楼</x:v>
      </x:c>
      <x:c r="J312" s="12" t="str">
        <x:v>研究生宿舍楼发车</x:v>
      </x:c>
      <x:c r="K312" s="12" t="str">
        <x:v>HX1_NORMAL</x:v>
      </x:c>
      <x:c r="L312" s="12" t="n">
        <x:v>2</x:v>
      </x:c>
      <x:c r="M312" s="12" t="str">
        <x:v>HX1_NORMAL|2</x:v>
      </x:c>
      <x:c r="N312" s="12" t="str">
        <x:v>东门</x:v>
      </x:c>
      <x:c r="O312" s="12" t="n">
        <x:f>IFERROR(INDEX('秒级路线参数_可调整'!$O:$O,MATCH(M312,'秒级路线参数_可调整'!$A:$A,0)),"")</x:f>
        <x:v>0</x:v>
      </x:c>
      <x:c r="P312" s="12" t="str">
        <x:f>IF(O312="","",O312/86400)</x:f>
      </x:c>
      <x:c r="Q312" s="12" t="str">
        <x:f>IF(O312="","",(H312*60+O312)/86400)</x:f>
      </x:c>
      <x:c r="R312" s="12" t="str">
        <x:f>IF(Q312="","",TEXT(Q312,"hh:mm:ss"))</x:f>
      </x:c>
      <x:c r="S312" s="12" t="str">
        <x:v>否</x:v>
      </x:c>
      <x:c r="T312" s="12" t="str">
        <x:v>否</x:v>
      </x:c>
      <x:c r="U312" s="12" t="str">
        <x:v>未提供</x:v>
      </x:c>
      <x:c r="V312" s="12" t="str">
        <x:v>未提供</x:v>
      </x:c>
      <x:c r="W312" s="12" t="str">
        <x:v>秒级预测</x:v>
      </x:c>
      <x:c r="X312" s="12" t="str">
        <x:v>基于路线秒级参数；如录入实测或手动采用秒，预计到达时间可随公式更新</x:v>
      </x:c>
    </x:row>
    <x:row r="313">
      <x:c r="A313" s="12" t="str">
        <x:v>S0026-03</x:v>
      </x:c>
      <x:c r="B313" s="12" t="str">
        <x:v>S0026</x:v>
      </x:c>
      <x:c r="C313" s="12" t="str">
        <x:v>工作日</x:v>
      </x:c>
      <x:c r="D313" s="12" t="str">
        <x:v>环线1路</x:v>
      </x:c>
      <x:c r="E313" s="12" t="str">
        <x:v>第三班</x:v>
      </x:c>
      <x:c r="F313" s="12" t="n">
        <x:v>15</x:v>
      </x:c>
      <x:c r="G313" s="12" t="str">
        <x:v>18:00</x:v>
      </x:c>
      <x:c r="H313" s="12" t="n">
        <x:v>1080</x:v>
      </x:c>
      <x:c r="I313" s="12" t="str">
        <x:v>研究生宿舍楼</x:v>
      </x:c>
      <x:c r="J313" s="12" t="str">
        <x:v>研究生宿舍楼发车</x:v>
      </x:c>
      <x:c r="K313" s="12" t="str">
        <x:v>HX1_NORMAL</x:v>
      </x:c>
      <x:c r="L313" s="12" t="n">
        <x:v>3</x:v>
      </x:c>
      <x:c r="M313" s="12" t="str">
        <x:v>HX1_NORMAL|3</x:v>
      </x:c>
      <x:c r="N313" s="12" t="str">
        <x:v>2号宿舍楼</x:v>
      </x:c>
      <x:c r="O313" s="12" t="n">
        <x:f>IFERROR(INDEX('秒级路线参数_可调整'!$O:$O,MATCH(M313,'秒级路线参数_可调整'!$A:$A,0)),"")</x:f>
        <x:v>0</x:v>
      </x:c>
      <x:c r="P313" s="12" t="str">
        <x:f>IF(O313="","",O313/86400)</x:f>
      </x:c>
      <x:c r="Q313" s="12" t="str">
        <x:f>IF(O313="","",(H313*60+O313)/86400)</x:f>
      </x:c>
      <x:c r="R313" s="12" t="str">
        <x:f>IF(Q313="","",TEXT(Q313,"hh:mm:ss"))</x:f>
      </x:c>
      <x:c r="S313" s="12" t="str">
        <x:v>否</x:v>
      </x:c>
      <x:c r="T313" s="12" t="str">
        <x:v>否</x:v>
      </x:c>
      <x:c r="U313" s="12" t="str">
        <x:v>未提供</x:v>
      </x:c>
      <x:c r="V313" s="12" t="str">
        <x:v>未提供</x:v>
      </x:c>
      <x:c r="W313" s="12" t="str">
        <x:v>秒级预测</x:v>
      </x:c>
      <x:c r="X313" s="12" t="str">
        <x:v>基于路线秒级参数；如录入实测或手动采用秒，预计到达时间可随公式更新</x:v>
      </x:c>
    </x:row>
    <x:row r="314">
      <x:c r="A314" s="12" t="str">
        <x:v>S0026-04</x:v>
      </x:c>
      <x:c r="B314" s="12" t="str">
        <x:v>S0026</x:v>
      </x:c>
      <x:c r="C314" s="12" t="str">
        <x:v>工作日</x:v>
      </x:c>
      <x:c r="D314" s="12" t="str">
        <x:v>环线1路</x:v>
      </x:c>
      <x:c r="E314" s="12" t="str">
        <x:v>第三班</x:v>
      </x:c>
      <x:c r="F314" s="12" t="n">
        <x:v>15</x:v>
      </x:c>
      <x:c r="G314" s="12" t="str">
        <x:v>18:00</x:v>
      </x:c>
      <x:c r="H314" s="12" t="n">
        <x:v>1080</x:v>
      </x:c>
      <x:c r="I314" s="12" t="str">
        <x:v>研究生宿舍楼</x:v>
      </x:c>
      <x:c r="J314" s="12" t="str">
        <x:v>研究生宿舍楼发车</x:v>
      </x:c>
      <x:c r="K314" s="12" t="str">
        <x:v>HX1_NORMAL</x:v>
      </x:c>
      <x:c r="L314" s="12" t="n">
        <x:v>4</x:v>
      </x:c>
      <x:c r="M314" s="12" t="str">
        <x:v>HX1_NORMAL|4</x:v>
      </x:c>
      <x:c r="N314" s="12" t="str">
        <x:v>军体活动中心</x:v>
      </x:c>
      <x:c r="O314" s="12" t="n">
        <x:f>IFERROR(INDEX('秒级路线参数_可调整'!$O:$O,MATCH(M314,'秒级路线参数_可调整'!$A:$A,0)),"")</x:f>
        <x:v>0</x:v>
      </x:c>
      <x:c r="P314" s="12" t="str">
        <x:f>IF(O314="","",O314/86400)</x:f>
      </x:c>
      <x:c r="Q314" s="12" t="str">
        <x:f>IF(O314="","",(H314*60+O314)/86400)</x:f>
      </x:c>
      <x:c r="R314" s="12" t="str">
        <x:f>IF(Q314="","",TEXT(Q314,"hh:mm:ss"))</x:f>
      </x:c>
      <x:c r="S314" s="12" t="str">
        <x:v>否</x:v>
      </x:c>
      <x:c r="T314" s="12" t="str">
        <x:v>否</x:v>
      </x:c>
      <x:c r="U314" s="12" t="str">
        <x:v>未提供</x:v>
      </x:c>
      <x:c r="V314" s="12" t="str">
        <x:v>未提供</x:v>
      </x:c>
      <x:c r="W314" s="12" t="str">
        <x:v>秒级预测</x:v>
      </x:c>
      <x:c r="X314" s="12" t="str">
        <x:v>基于路线秒级参数；如录入实测或手动采用秒，预计到达时间可随公式更新</x:v>
      </x:c>
    </x:row>
    <x:row r="315">
      <x:c r="A315" s="12" t="str">
        <x:v>S0026-05</x:v>
      </x:c>
      <x:c r="B315" s="12" t="str">
        <x:v>S0026</x:v>
      </x:c>
      <x:c r="C315" s="12" t="str">
        <x:v>工作日</x:v>
      </x:c>
      <x:c r="D315" s="12" t="str">
        <x:v>环线1路</x:v>
      </x:c>
      <x:c r="E315" s="12" t="str">
        <x:v>第三班</x:v>
      </x:c>
      <x:c r="F315" s="12" t="n">
        <x:v>15</x:v>
      </x:c>
      <x:c r="G315" s="12" t="str">
        <x:v>18:00</x:v>
      </x:c>
      <x:c r="H315" s="12" t="n">
        <x:v>1080</x:v>
      </x:c>
      <x:c r="I315" s="12" t="str">
        <x:v>研究生宿舍楼</x:v>
      </x:c>
      <x:c r="J315" s="12" t="str">
        <x:v>研究生宿舍楼发车</x:v>
      </x:c>
      <x:c r="K315" s="12" t="str">
        <x:v>HX1_NORMAL</x:v>
      </x:c>
      <x:c r="L315" s="12" t="n">
        <x:v>5</x:v>
      </x:c>
      <x:c r="M315" s="12" t="str">
        <x:v>HX1_NORMAL|5</x:v>
      </x:c>
      <x:c r="N315" s="12" t="str">
        <x:v>激光所</x:v>
      </x:c>
      <x:c r="O315" s="12" t="n">
        <x:f>IFERROR(INDEX('秒级路线参数_可调整'!$O:$O,MATCH(M315,'秒级路线参数_可调整'!$A:$A,0)),"")</x:f>
        <x:v>0</x:v>
      </x:c>
      <x:c r="P315" s="12" t="str">
        <x:f>IF(O315="","",O315/86400)</x:f>
      </x:c>
      <x:c r="Q315" s="12" t="str">
        <x:f>IF(O315="","",(H315*60+O315)/86400)</x:f>
      </x:c>
      <x:c r="R315" s="12" t="str">
        <x:f>IF(Q315="","",TEXT(Q315,"hh:mm:ss"))</x:f>
      </x:c>
      <x:c r="S315" s="12" t="str">
        <x:v>否</x:v>
      </x:c>
      <x:c r="T315" s="12" t="str">
        <x:v>否</x:v>
      </x:c>
      <x:c r="U315" s="12" t="str">
        <x:v>未提供</x:v>
      </x:c>
      <x:c r="V315" s="12" t="str">
        <x:v>未提供</x:v>
      </x:c>
      <x:c r="W315" s="12" t="str">
        <x:v>秒级预测</x:v>
      </x:c>
      <x:c r="X315" s="12" t="str">
        <x:v>基于路线秒级参数；如录入实测或手动采用秒，预计到达时间可随公式更新</x:v>
      </x:c>
    </x:row>
    <x:row r="316">
      <x:c r="A316" s="12" t="str">
        <x:v>S0026-06</x:v>
      </x:c>
      <x:c r="B316" s="12" t="str">
        <x:v>S0026</x:v>
      </x:c>
      <x:c r="C316" s="12" t="str">
        <x:v>工作日</x:v>
      </x:c>
      <x:c r="D316" s="12" t="str">
        <x:v>环线1路</x:v>
      </x:c>
      <x:c r="E316" s="12" t="str">
        <x:v>第三班</x:v>
      </x:c>
      <x:c r="F316" s="12" t="n">
        <x:v>15</x:v>
      </x:c>
      <x:c r="G316" s="12" t="str">
        <x:v>18:00</x:v>
      </x:c>
      <x:c r="H316" s="12" t="n">
        <x:v>1080</x:v>
      </x:c>
      <x:c r="I316" s="12" t="str">
        <x:v>研究生宿舍楼</x:v>
      </x:c>
      <x:c r="J316" s="12" t="str">
        <x:v>研究生宿舍楼发车</x:v>
      </x:c>
      <x:c r="K316" s="12" t="str">
        <x:v>HX1_NORMAL</x:v>
      </x:c>
      <x:c r="L316" s="12" t="n">
        <x:v>6</x:v>
      </x:c>
      <x:c r="M316" s="12" t="str">
        <x:v>HX1_NORMAL|6</x:v>
      </x:c>
      <x:c r="N316" s="12" t="str">
        <x:v>超算中心</x:v>
      </x:c>
      <x:c r="O316" s="12" t="n">
        <x:f>IFERROR(INDEX('秒级路线参数_可调整'!$O:$O,MATCH(M316,'秒级路线参数_可调整'!$A:$A,0)),"")</x:f>
        <x:v>0</x:v>
      </x:c>
      <x:c r="P316" s="12" t="str">
        <x:f>IF(O316="","",O316/86400)</x:f>
      </x:c>
      <x:c r="Q316" s="12" t="str">
        <x:f>IF(O316="","",(H316*60+O316)/86400)</x:f>
      </x:c>
      <x:c r="R316" s="12" t="str">
        <x:f>IF(Q316="","",TEXT(Q316,"hh:mm:ss"))</x:f>
      </x:c>
      <x:c r="S316" s="12" t="str">
        <x:v>否</x:v>
      </x:c>
      <x:c r="T316" s="12" t="str">
        <x:v>否</x:v>
      </x:c>
      <x:c r="U316" s="12" t="str">
        <x:v>未提供</x:v>
      </x:c>
      <x:c r="V316" s="12" t="str">
        <x:v>未提供</x:v>
      </x:c>
      <x:c r="W316" s="12" t="str">
        <x:v>秒级预测</x:v>
      </x:c>
      <x:c r="X316" s="12" t="str">
        <x:v>基于路线秒级参数；如录入实测或手动采用秒，预计到达时间可随公式更新</x:v>
      </x:c>
    </x:row>
    <x:row r="317">
      <x:c r="A317" s="12" t="str">
        <x:v>S0026-07</x:v>
      </x:c>
      <x:c r="B317" s="12" t="str">
        <x:v>S0026</x:v>
      </x:c>
      <x:c r="C317" s="12" t="str">
        <x:v>工作日</x:v>
      </x:c>
      <x:c r="D317" s="12" t="str">
        <x:v>环线1路</x:v>
      </x:c>
      <x:c r="E317" s="12" t="str">
        <x:v>第三班</x:v>
      </x:c>
      <x:c r="F317" s="12" t="n">
        <x:v>15</x:v>
      </x:c>
      <x:c r="G317" s="12" t="str">
        <x:v>18:00</x:v>
      </x:c>
      <x:c r="H317" s="12" t="n">
        <x:v>1080</x:v>
      </x:c>
      <x:c r="I317" s="12" t="str">
        <x:v>研究生宿舍楼</x:v>
      </x:c>
      <x:c r="J317" s="12" t="str">
        <x:v>研究生宿舍楼发车</x:v>
      </x:c>
      <x:c r="K317" s="12" t="str">
        <x:v>HX1_NORMAL</x:v>
      </x:c>
      <x:c r="L317" s="12" t="n">
        <x:v>7</x:v>
      </x:c>
      <x:c r="M317" s="12" t="str">
        <x:v>HX1_NORMAL|7</x:v>
      </x:c>
      <x:c r="N317" s="12" t="str">
        <x:v>北门</x:v>
      </x:c>
      <x:c r="O317" s="12" t="n">
        <x:f>IFERROR(INDEX('秒级路线参数_可调整'!$O:$O,MATCH(M317,'秒级路线参数_可调整'!$A:$A,0)),"")</x:f>
        <x:v>0</x:v>
      </x:c>
      <x:c r="P317" s="12" t="str">
        <x:f>IF(O317="","",O317/86400)</x:f>
      </x:c>
      <x:c r="Q317" s="12" t="str">
        <x:f>IF(O317="","",(H317*60+O317)/86400)</x:f>
      </x:c>
      <x:c r="R317" s="12" t="str">
        <x:f>IF(Q317="","",TEXT(Q317,"hh:mm:ss"))</x:f>
      </x:c>
      <x:c r="S317" s="12" t="str">
        <x:v>否</x:v>
      </x:c>
      <x:c r="T317" s="12" t="str">
        <x:v>否</x:v>
      </x:c>
      <x:c r="U317" s="12" t="str">
        <x:v>未提供</x:v>
      </x:c>
      <x:c r="V317" s="12" t="str">
        <x:v>未提供</x:v>
      </x:c>
      <x:c r="W317" s="12" t="str">
        <x:v>秒级预测</x:v>
      </x:c>
      <x:c r="X317" s="12" t="str">
        <x:v>基于路线秒级参数；如录入实测或手动采用秒，预计到达时间可随公式更新</x:v>
      </x:c>
    </x:row>
    <x:row r="318">
      <x:c r="A318" s="12" t="str">
        <x:v>S0026-08</x:v>
      </x:c>
      <x:c r="B318" s="12" t="str">
        <x:v>S0026</x:v>
      </x:c>
      <x:c r="C318" s="12" t="str">
        <x:v>工作日</x:v>
      </x:c>
      <x:c r="D318" s="12" t="str">
        <x:v>环线1路</x:v>
      </x:c>
      <x:c r="E318" s="12" t="str">
        <x:v>第三班</x:v>
      </x:c>
      <x:c r="F318" s="12" t="n">
        <x:v>15</x:v>
      </x:c>
      <x:c r="G318" s="12" t="str">
        <x:v>18:00</x:v>
      </x:c>
      <x:c r="H318" s="12" t="n">
        <x:v>1080</x:v>
      </x:c>
      <x:c r="I318" s="12" t="str">
        <x:v>研究生宿舍楼</x:v>
      </x:c>
      <x:c r="J318" s="12" t="str">
        <x:v>研究生宿舍楼发车</x:v>
      </x:c>
      <x:c r="K318" s="12" t="str">
        <x:v>HX1_NORMAL</x:v>
      </x:c>
      <x:c r="L318" s="12" t="n">
        <x:v>8</x:v>
      </x:c>
      <x:c r="M318" s="12" t="str">
        <x:v>HX1_NORMAL|8</x:v>
      </x:c>
      <x:c r="N318" s="12" t="str">
        <x:v>高超楼</x:v>
      </x:c>
      <x:c r="O318" s="12" t="n">
        <x:f>IFERROR(INDEX('秒级路线参数_可调整'!$O:$O,MATCH(M318,'秒级路线参数_可调整'!$A:$A,0)),"")</x:f>
        <x:v>0</x:v>
      </x:c>
      <x:c r="P318" s="12" t="str">
        <x:f>IF(O318="","",O318/86400)</x:f>
      </x:c>
      <x:c r="Q318" s="12" t="str">
        <x:f>IF(O318="","",(H318*60+O318)/86400)</x:f>
      </x:c>
      <x:c r="R318" s="12" t="str">
        <x:f>IF(Q318="","",TEXT(Q318,"hh:mm:ss"))</x:f>
      </x:c>
      <x:c r="S318" s="12" t="str">
        <x:v>否</x:v>
      </x:c>
      <x:c r="T318" s="12" t="str">
        <x:v>否</x:v>
      </x:c>
      <x:c r="U318" s="12" t="str">
        <x:v>未提供</x:v>
      </x:c>
      <x:c r="V318" s="12" t="str">
        <x:v>未提供</x:v>
      </x:c>
      <x:c r="W318" s="12" t="str">
        <x:v>秒级预测</x:v>
      </x:c>
      <x:c r="X318" s="12" t="str">
        <x:v>基于路线秒级参数；如录入实测或手动采用秒，预计到达时间可随公式更新</x:v>
      </x:c>
    </x:row>
    <x:row r="319">
      <x:c r="A319" s="12" t="str">
        <x:v>S0026-09</x:v>
      </x:c>
      <x:c r="B319" s="12" t="str">
        <x:v>S0026</x:v>
      </x:c>
      <x:c r="C319" s="12" t="str">
        <x:v>工作日</x:v>
      </x:c>
      <x:c r="D319" s="12" t="str">
        <x:v>环线1路</x:v>
      </x:c>
      <x:c r="E319" s="12" t="str">
        <x:v>第三班</x:v>
      </x:c>
      <x:c r="F319" s="12" t="n">
        <x:v>15</x:v>
      </x:c>
      <x:c r="G319" s="12" t="str">
        <x:v>18:00</x:v>
      </x:c>
      <x:c r="H319" s="12" t="n">
        <x:v>1080</x:v>
      </x:c>
      <x:c r="I319" s="12" t="str">
        <x:v>研究生宿舍楼</x:v>
      </x:c>
      <x:c r="J319" s="12" t="str">
        <x:v>研究生宿舍楼发车</x:v>
      </x:c>
      <x:c r="K319" s="12" t="str">
        <x:v>HX1_NORMAL</x:v>
      </x:c>
      <x:c r="L319" s="12" t="n">
        <x:v>9</x:v>
      </x:c>
      <x:c r="M319" s="12" t="str">
        <x:v>HX1_NORMAL|9</x:v>
      </x:c>
      <x:c r="N319" s="12" t="str">
        <x:v>理学院</x:v>
      </x:c>
      <x:c r="O319" s="12" t="n">
        <x:f>IFERROR(INDEX('秒级路线参数_可调整'!$O:$O,MATCH(M319,'秒级路线参数_可调整'!$A:$A,0)),"")</x:f>
        <x:v>0</x:v>
      </x:c>
      <x:c r="P319" s="12" t="str">
        <x:f>IF(O319="","",O319/86400)</x:f>
      </x:c>
      <x:c r="Q319" s="12" t="str">
        <x:f>IF(O319="","",(H319*60+O319)/86400)</x:f>
      </x:c>
      <x:c r="R319" s="12" t="str">
        <x:f>IF(Q319="","",TEXT(Q319,"hh:mm:ss"))</x:f>
      </x:c>
      <x:c r="S319" s="12" t="str">
        <x:v>否</x:v>
      </x:c>
      <x:c r="T319" s="12" t="str">
        <x:v>否</x:v>
      </x:c>
      <x:c r="U319" s="12" t="str">
        <x:v>未提供</x:v>
      </x:c>
      <x:c r="V319" s="12" t="str">
        <x:v>未提供</x:v>
      </x:c>
      <x:c r="W319" s="12" t="str">
        <x:v>秒级预测</x:v>
      </x:c>
      <x:c r="X319" s="12" t="str">
        <x:v>基于路线秒级参数；如录入实测或手动采用秒，预计到达时间可随公式更新</x:v>
      </x:c>
    </x:row>
    <x:row r="320">
      <x:c r="A320" s="12" t="str">
        <x:v>S0026-10</x:v>
      </x:c>
      <x:c r="B320" s="12" t="str">
        <x:v>S0026</x:v>
      </x:c>
      <x:c r="C320" s="12" t="str">
        <x:v>工作日</x:v>
      </x:c>
      <x:c r="D320" s="12" t="str">
        <x:v>环线1路</x:v>
      </x:c>
      <x:c r="E320" s="12" t="str">
        <x:v>第三班</x:v>
      </x:c>
      <x:c r="F320" s="12" t="n">
        <x:v>15</x:v>
      </x:c>
      <x:c r="G320" s="12" t="str">
        <x:v>18:00</x:v>
      </x:c>
      <x:c r="H320" s="12" t="n">
        <x:v>1080</x:v>
      </x:c>
      <x:c r="I320" s="12" t="str">
        <x:v>研究生宿舍楼</x:v>
      </x:c>
      <x:c r="J320" s="12" t="str">
        <x:v>研究生宿舍楼发车</x:v>
      </x:c>
      <x:c r="K320" s="12" t="str">
        <x:v>HX1_NORMAL</x:v>
      </x:c>
      <x:c r="L320" s="12" t="n">
        <x:v>10</x:v>
      </x:c>
      <x:c r="M320" s="12" t="str">
        <x:v>HX1_NORMAL|10</x:v>
      </x:c>
      <x:c r="N320" s="12" t="str">
        <x:v>二食堂</x:v>
      </x:c>
      <x:c r="O320" s="12" t="n">
        <x:f>IFERROR(INDEX('秒级路线参数_可调整'!$O:$O,MATCH(M320,'秒级路线参数_可调整'!$A:$A,0)),"")</x:f>
        <x:v>0</x:v>
      </x:c>
      <x:c r="P320" s="12" t="str">
        <x:f>IF(O320="","",O320/86400)</x:f>
      </x:c>
      <x:c r="Q320" s="12" t="str">
        <x:f>IF(O320="","",(H320*60+O320)/86400)</x:f>
      </x:c>
      <x:c r="R320" s="12" t="str">
        <x:f>IF(Q320="","",TEXT(Q320,"hh:mm:ss"))</x:f>
      </x:c>
      <x:c r="S320" s="12" t="str">
        <x:v>否</x:v>
      </x:c>
      <x:c r="T320" s="12" t="str">
        <x:v>否</x:v>
      </x:c>
      <x:c r="U320" s="12" t="str">
        <x:v>未提供</x:v>
      </x:c>
      <x:c r="V320" s="12" t="str">
        <x:v>未提供</x:v>
      </x:c>
      <x:c r="W320" s="12" t="str">
        <x:v>秒级预测</x:v>
      </x:c>
      <x:c r="X320" s="12" t="str">
        <x:v>基于路线秒级参数；如录入实测或手动采用秒，预计到达时间可随公式更新</x:v>
      </x:c>
    </x:row>
    <x:row r="321">
      <x:c r="A321" s="12" t="str">
        <x:v>S0026-11</x:v>
      </x:c>
      <x:c r="B321" s="12" t="str">
        <x:v>S0026</x:v>
      </x:c>
      <x:c r="C321" s="12" t="str">
        <x:v>工作日</x:v>
      </x:c>
      <x:c r="D321" s="12" t="str">
        <x:v>环线1路</x:v>
      </x:c>
      <x:c r="E321" s="12" t="str">
        <x:v>第三班</x:v>
      </x:c>
      <x:c r="F321" s="12" t="n">
        <x:v>15</x:v>
      </x:c>
      <x:c r="G321" s="12" t="str">
        <x:v>18:00</x:v>
      </x:c>
      <x:c r="H321" s="12" t="n">
        <x:v>1080</x:v>
      </x:c>
      <x:c r="I321" s="12" t="str">
        <x:v>研究生宿舍楼</x:v>
      </x:c>
      <x:c r="J321" s="12" t="str">
        <x:v>研究生宿舍楼发车</x:v>
      </x:c>
      <x:c r="K321" s="12" t="str">
        <x:v>HX1_NORMAL</x:v>
      </x:c>
      <x:c r="L321" s="12" t="n">
        <x:v>11</x:v>
      </x:c>
      <x:c r="M321" s="12" t="str">
        <x:v>HX1_NORMAL|11</x:v>
      </x:c>
      <x:c r="N321" s="12" t="str">
        <x:v>5号宿舍楼</x:v>
      </x:c>
      <x:c r="O321" s="12" t="n">
        <x:f>IFERROR(INDEX('秒级路线参数_可调整'!$O:$O,MATCH(M321,'秒级路线参数_可调整'!$A:$A,0)),"")</x:f>
        <x:v>0</x:v>
      </x:c>
      <x:c r="P321" s="12" t="str">
        <x:f>IF(O321="","",O321/86400)</x:f>
      </x:c>
      <x:c r="Q321" s="12" t="str">
        <x:f>IF(O321="","",(H321*60+O321)/86400)</x:f>
      </x:c>
      <x:c r="R321" s="12" t="str">
        <x:f>IF(Q321="","",TEXT(Q321,"hh:mm:ss"))</x:f>
      </x:c>
      <x:c r="S321" s="12" t="str">
        <x:v>否</x:v>
      </x:c>
      <x:c r="T321" s="12" t="str">
        <x:v>否</x:v>
      </x:c>
      <x:c r="U321" s="12" t="str">
        <x:v>未提供</x:v>
      </x:c>
      <x:c r="V321" s="12" t="str">
        <x:v>未提供</x:v>
      </x:c>
      <x:c r="W321" s="12" t="str">
        <x:v>秒级预测</x:v>
      </x:c>
      <x:c r="X321" s="12" t="str">
        <x:v>基于路线秒级参数；如录入实测或手动采用秒，预计到达时间可随公式更新</x:v>
      </x:c>
    </x:row>
    <x:row r="322">
      <x:c r="A322" s="12" t="str">
        <x:v>S0026-12</x:v>
      </x:c>
      <x:c r="B322" s="12" t="str">
        <x:v>S0026</x:v>
      </x:c>
      <x:c r="C322" s="12" t="str">
        <x:v>工作日</x:v>
      </x:c>
      <x:c r="D322" s="12" t="str">
        <x:v>环线1路</x:v>
      </x:c>
      <x:c r="E322" s="12" t="str">
        <x:v>第三班</x:v>
      </x:c>
      <x:c r="F322" s="12" t="n">
        <x:v>15</x:v>
      </x:c>
      <x:c r="G322" s="12" t="str">
        <x:v>18:00</x:v>
      </x:c>
      <x:c r="H322" s="12" t="n">
        <x:v>1080</x:v>
      </x:c>
      <x:c r="I322" s="12" t="str">
        <x:v>研究生宿舍楼</x:v>
      </x:c>
      <x:c r="J322" s="12" t="str">
        <x:v>研究生宿舍楼发车</x:v>
      </x:c>
      <x:c r="K322" s="12" t="str">
        <x:v>HX1_NORMAL</x:v>
      </x:c>
      <x:c r="L322" s="12" t="n">
        <x:v>12</x:v>
      </x:c>
      <x:c r="M322" s="12" t="str">
        <x:v>HX1_NORMAL|12</x:v>
      </x:c>
      <x:c r="N322" s="12" t="str">
        <x:v>305教学楼</x:v>
      </x:c>
      <x:c r="O322" s="12" t="n">
        <x:f>IFERROR(INDEX('秒级路线参数_可调整'!$O:$O,MATCH(M322,'秒级路线参数_可调整'!$A:$A,0)),"")</x:f>
        <x:v>0</x:v>
      </x:c>
      <x:c r="P322" s="12" t="str">
        <x:f>IF(O322="","",O322/86400)</x:f>
      </x:c>
      <x:c r="Q322" s="12" t="str">
        <x:f>IF(O322="","",(H322*60+O322)/86400)</x:f>
      </x:c>
      <x:c r="R322" s="12" t="str">
        <x:f>IF(Q322="","",TEXT(Q322,"hh:mm:ss"))</x:f>
      </x:c>
      <x:c r="S322" s="12" t="str">
        <x:v>否</x:v>
      </x:c>
      <x:c r="T322" s="12" t="str">
        <x:v>否</x:v>
      </x:c>
      <x:c r="U322" s="12" t="str">
        <x:v>未提供</x:v>
      </x:c>
      <x:c r="V322" s="12" t="str">
        <x:v>未提供</x:v>
      </x:c>
      <x:c r="W322" s="12" t="str">
        <x:v>秒级预测</x:v>
      </x:c>
      <x:c r="X322" s="12" t="str">
        <x:v>基于路线秒级参数；如录入实测或手动采用秒，预计到达时间可随公式更新</x:v>
      </x:c>
    </x:row>
    <x:row r="323">
      <x:c r="A323" s="12" t="str">
        <x:v>S0026-13</x:v>
      </x:c>
      <x:c r="B323" s="12" t="str">
        <x:v>S0026</x:v>
      </x:c>
      <x:c r="C323" s="12" t="str">
        <x:v>工作日</x:v>
      </x:c>
      <x:c r="D323" s="12" t="str">
        <x:v>环线1路</x:v>
      </x:c>
      <x:c r="E323" s="12" t="str">
        <x:v>第三班</x:v>
      </x:c>
      <x:c r="F323" s="12" t="n">
        <x:v>15</x:v>
      </x:c>
      <x:c r="G323" s="12" t="str">
        <x:v>18:00</x:v>
      </x:c>
      <x:c r="H323" s="12" t="n">
        <x:v>1080</x:v>
      </x:c>
      <x:c r="I323" s="12" t="str">
        <x:v>研究生宿舍楼</x:v>
      </x:c>
      <x:c r="J323" s="12" t="str">
        <x:v>研究生宿舍楼发车</x:v>
      </x:c>
      <x:c r="K323" s="12" t="str">
        <x:v>HX1_NORMAL</x:v>
      </x:c>
      <x:c r="L323" s="12" t="n">
        <x:v>13</x:v>
      </x:c>
      <x:c r="M323" s="12" t="str">
        <x:v>HX1_NORMAL|13</x:v>
      </x:c>
      <x:c r="N323" s="12" t="str">
        <x:v>研究生宿舍楼</x:v>
      </x:c>
      <x:c r="O323" s="12" t="n">
        <x:f>IFERROR(INDEX('秒级路线参数_可调整'!$O:$O,MATCH(M323,'秒级路线参数_可调整'!$A:$A,0)),"")</x:f>
        <x:v>0</x:v>
      </x:c>
      <x:c r="P323" s="12" t="str">
        <x:f>IF(O323="","",O323/86400)</x:f>
      </x:c>
      <x:c r="Q323" s="12" t="str">
        <x:f>IF(O323="","",(H323*60+O323)/86400)</x:f>
      </x:c>
      <x:c r="R323" s="12" t="str">
        <x:f>IF(Q323="","",TEXT(Q323,"hh:mm:ss"))</x:f>
      </x:c>
      <x:c r="S323" s="12" t="str">
        <x:v>否</x:v>
      </x:c>
      <x:c r="T323" s="12" t="str">
        <x:v>是</x:v>
      </x:c>
      <x:c r="U323" s="12" t="str">
        <x:v>未提供</x:v>
      </x:c>
      <x:c r="V323" s="12" t="str">
        <x:v>未提供</x:v>
      </x:c>
      <x:c r="W323" s="12" t="str">
        <x:v>秒级预测</x:v>
      </x:c>
      <x:c r="X323" s="12" t="str">
        <x:v>基于路线秒级参数；如录入实测或手动采用秒，预计到达时间可随公式更新</x:v>
      </x:c>
    </x:row>
    <x:row r="324">
      <x:c r="A324" s="12" t="str">
        <x:v>S0027-01</x:v>
      </x:c>
      <x:c r="B324" s="12" t="str">
        <x:v>S0027</x:v>
      </x:c>
      <x:c r="C324" s="12" t="str">
        <x:v>工作日</x:v>
      </x:c>
      <x:c r="D324" s="12" t="str">
        <x:v>环线1路</x:v>
      </x:c>
      <x:c r="E324" s="12" t="str">
        <x:v>第二班</x:v>
      </x:c>
      <x:c r="F324" s="12" t="n">
        <x:v>1</x:v>
      </x:c>
      <x:c r="G324" s="12" t="str">
        <x:v>7:40</x:v>
      </x:c>
      <x:c r="H324" s="12" t="n">
        <x:v>460</x:v>
      </x:c>
      <x:c r="I324" s="12" t="str">
        <x:v>研究生宿舍楼</x:v>
      </x:c>
      <x:c r="J324" s="12" t="str">
        <x:v>研究生宿舍楼发车</x:v>
      </x:c>
      <x:c r="K324" s="12" t="str">
        <x:v>HX1_NORMAL</x:v>
      </x:c>
      <x:c r="L324" s="12" t="n">
        <x:v>1</x:v>
      </x:c>
      <x:c r="M324" s="12" t="str">
        <x:v>HX1_NORMAL|1</x:v>
      </x:c>
      <x:c r="N324" s="12" t="str">
        <x:v>研究生宿舍楼</x:v>
      </x:c>
      <x:c r="O324" s="12" t="n">
        <x:f>IFERROR(INDEX('秒级路线参数_可调整'!$O:$O,MATCH(M324,'秒级路线参数_可调整'!$A:$A,0)),"")</x:f>
        <x:v>0</x:v>
      </x:c>
      <x:c r="P324" s="12" t="str">
        <x:f>IF(O324="","",O324/86400)</x:f>
      </x:c>
      <x:c r="Q324" s="12" t="str">
        <x:f>IF(O324="","",(H324*60+O324)/86400)</x:f>
      </x:c>
      <x:c r="R324" s="12" t="str">
        <x:f>IF(Q324="","",TEXT(Q324,"hh:mm:ss"))</x:f>
      </x:c>
      <x:c r="S324" s="12" t="str">
        <x:v>是</x:v>
      </x:c>
      <x:c r="T324" s="12" t="str">
        <x:v>否</x:v>
      </x:c>
      <x:c r="U324" s="12" t="str">
        <x:v>未提供</x:v>
      </x:c>
      <x:c r="V324" s="12" t="str">
        <x:v>未提供</x:v>
      </x:c>
      <x:c r="W324" s="12" t="str">
        <x:v>秒级预测</x:v>
      </x:c>
      <x:c r="X324" s="12" t="str">
        <x:v>基于路线秒级参数；如录入实测或手动采用秒，预计到达时间可随公式更新</x:v>
      </x:c>
    </x:row>
    <x:row r="325">
      <x:c r="A325" s="12" t="str">
        <x:v>S0027-02</x:v>
      </x:c>
      <x:c r="B325" s="12" t="str">
        <x:v>S0027</x:v>
      </x:c>
      <x:c r="C325" s="12" t="str">
        <x:v>工作日</x:v>
      </x:c>
      <x:c r="D325" s="12" t="str">
        <x:v>环线1路</x:v>
      </x:c>
      <x:c r="E325" s="12" t="str">
        <x:v>第二班</x:v>
      </x:c>
      <x:c r="F325" s="12" t="n">
        <x:v>1</x:v>
      </x:c>
      <x:c r="G325" s="12" t="str">
        <x:v>7:40</x:v>
      </x:c>
      <x:c r="H325" s="12" t="n">
        <x:v>460</x:v>
      </x:c>
      <x:c r="I325" s="12" t="str">
        <x:v>研究生宿舍楼</x:v>
      </x:c>
      <x:c r="J325" s="12" t="str">
        <x:v>研究生宿舍楼发车</x:v>
      </x:c>
      <x:c r="K325" s="12" t="str">
        <x:v>HX1_NORMAL</x:v>
      </x:c>
      <x:c r="L325" s="12" t="n">
        <x:v>2</x:v>
      </x:c>
      <x:c r="M325" s="12" t="str">
        <x:v>HX1_NORMAL|2</x:v>
      </x:c>
      <x:c r="N325" s="12" t="str">
        <x:v>东门</x:v>
      </x:c>
      <x:c r="O325" s="12" t="n">
        <x:f>IFERROR(INDEX('秒级路线参数_可调整'!$O:$O,MATCH(M325,'秒级路线参数_可调整'!$A:$A,0)),"")</x:f>
        <x:v>0</x:v>
      </x:c>
      <x:c r="P325" s="12" t="str">
        <x:f>IF(O325="","",O325/86400)</x:f>
      </x:c>
      <x:c r="Q325" s="12" t="str">
        <x:f>IF(O325="","",(H325*60+O325)/86400)</x:f>
      </x:c>
      <x:c r="R325" s="12" t="str">
        <x:f>IF(Q325="","",TEXT(Q325,"hh:mm:ss"))</x:f>
      </x:c>
      <x:c r="S325" s="12" t="str">
        <x:v>否</x:v>
      </x:c>
      <x:c r="T325" s="12" t="str">
        <x:v>否</x:v>
      </x:c>
      <x:c r="U325" s="12" t="str">
        <x:v>未提供</x:v>
      </x:c>
      <x:c r="V325" s="12" t="str">
        <x:v>未提供</x:v>
      </x:c>
      <x:c r="W325" s="12" t="str">
        <x:v>秒级预测</x:v>
      </x:c>
      <x:c r="X325" s="12" t="str">
        <x:v>基于路线秒级参数；如录入实测或手动采用秒，预计到达时间可随公式更新</x:v>
      </x:c>
    </x:row>
    <x:row r="326">
      <x:c r="A326" s="12" t="str">
        <x:v>S0027-03</x:v>
      </x:c>
      <x:c r="B326" s="12" t="str">
        <x:v>S0027</x:v>
      </x:c>
      <x:c r="C326" s="12" t="str">
        <x:v>工作日</x:v>
      </x:c>
      <x:c r="D326" s="12" t="str">
        <x:v>环线1路</x:v>
      </x:c>
      <x:c r="E326" s="12" t="str">
        <x:v>第二班</x:v>
      </x:c>
      <x:c r="F326" s="12" t="n">
        <x:v>1</x:v>
      </x:c>
      <x:c r="G326" s="12" t="str">
        <x:v>7:40</x:v>
      </x:c>
      <x:c r="H326" s="12" t="n">
        <x:v>460</x:v>
      </x:c>
      <x:c r="I326" s="12" t="str">
        <x:v>研究生宿舍楼</x:v>
      </x:c>
      <x:c r="J326" s="12" t="str">
        <x:v>研究生宿舍楼发车</x:v>
      </x:c>
      <x:c r="K326" s="12" t="str">
        <x:v>HX1_NORMAL</x:v>
      </x:c>
      <x:c r="L326" s="12" t="n">
        <x:v>3</x:v>
      </x:c>
      <x:c r="M326" s="12" t="str">
        <x:v>HX1_NORMAL|3</x:v>
      </x:c>
      <x:c r="N326" s="12" t="str">
        <x:v>2号宿舍楼</x:v>
      </x:c>
      <x:c r="O326" s="12" t="n">
        <x:f>IFERROR(INDEX('秒级路线参数_可调整'!$O:$O,MATCH(M326,'秒级路线参数_可调整'!$A:$A,0)),"")</x:f>
        <x:v>0</x:v>
      </x:c>
      <x:c r="P326" s="12" t="str">
        <x:f>IF(O326="","",O326/86400)</x:f>
      </x:c>
      <x:c r="Q326" s="12" t="str">
        <x:f>IF(O326="","",(H326*60+O326)/86400)</x:f>
      </x:c>
      <x:c r="R326" s="12" t="str">
        <x:f>IF(Q326="","",TEXT(Q326,"hh:mm:ss"))</x:f>
      </x:c>
      <x:c r="S326" s="12" t="str">
        <x:v>否</x:v>
      </x:c>
      <x:c r="T326" s="12" t="str">
        <x:v>否</x:v>
      </x:c>
      <x:c r="U326" s="12" t="str">
        <x:v>未提供</x:v>
      </x:c>
      <x:c r="V326" s="12" t="str">
        <x:v>未提供</x:v>
      </x:c>
      <x:c r="W326" s="12" t="str">
        <x:v>秒级预测</x:v>
      </x:c>
      <x:c r="X326" s="12" t="str">
        <x:v>基于路线秒级参数；如录入实测或手动采用秒，预计到达时间可随公式更新</x:v>
      </x:c>
    </x:row>
    <x:row r="327">
      <x:c r="A327" s="12" t="str">
        <x:v>S0027-04</x:v>
      </x:c>
      <x:c r="B327" s="12" t="str">
        <x:v>S0027</x:v>
      </x:c>
      <x:c r="C327" s="12" t="str">
        <x:v>工作日</x:v>
      </x:c>
      <x:c r="D327" s="12" t="str">
        <x:v>环线1路</x:v>
      </x:c>
      <x:c r="E327" s="12" t="str">
        <x:v>第二班</x:v>
      </x:c>
      <x:c r="F327" s="12" t="n">
        <x:v>1</x:v>
      </x:c>
      <x:c r="G327" s="12" t="str">
        <x:v>7:40</x:v>
      </x:c>
      <x:c r="H327" s="12" t="n">
        <x:v>460</x:v>
      </x:c>
      <x:c r="I327" s="12" t="str">
        <x:v>研究生宿舍楼</x:v>
      </x:c>
      <x:c r="J327" s="12" t="str">
        <x:v>研究生宿舍楼发车</x:v>
      </x:c>
      <x:c r="K327" s="12" t="str">
        <x:v>HX1_NORMAL</x:v>
      </x:c>
      <x:c r="L327" s="12" t="n">
        <x:v>4</x:v>
      </x:c>
      <x:c r="M327" s="12" t="str">
        <x:v>HX1_NORMAL|4</x:v>
      </x:c>
      <x:c r="N327" s="12" t="str">
        <x:v>军体活动中心</x:v>
      </x:c>
      <x:c r="O327" s="12" t="n">
        <x:f>IFERROR(INDEX('秒级路线参数_可调整'!$O:$O,MATCH(M327,'秒级路线参数_可调整'!$A:$A,0)),"")</x:f>
        <x:v>0</x:v>
      </x:c>
      <x:c r="P327" s="12" t="str">
        <x:f>IF(O327="","",O327/86400)</x:f>
      </x:c>
      <x:c r="Q327" s="12" t="str">
        <x:f>IF(O327="","",(H327*60+O327)/86400)</x:f>
      </x:c>
      <x:c r="R327" s="12" t="str">
        <x:f>IF(Q327="","",TEXT(Q327,"hh:mm:ss"))</x:f>
      </x:c>
      <x:c r="S327" s="12" t="str">
        <x:v>否</x:v>
      </x:c>
      <x:c r="T327" s="12" t="str">
        <x:v>否</x:v>
      </x:c>
      <x:c r="U327" s="12" t="str">
        <x:v>未提供</x:v>
      </x:c>
      <x:c r="V327" s="12" t="str">
        <x:v>未提供</x:v>
      </x:c>
      <x:c r="W327" s="12" t="str">
        <x:v>秒级预测</x:v>
      </x:c>
      <x:c r="X327" s="12" t="str">
        <x:v>基于路线秒级参数；如录入实测或手动采用秒，预计到达时间可随公式更新</x:v>
      </x:c>
    </x:row>
    <x:row r="328">
      <x:c r="A328" s="12" t="str">
        <x:v>S0027-05</x:v>
      </x:c>
      <x:c r="B328" s="12" t="str">
        <x:v>S0027</x:v>
      </x:c>
      <x:c r="C328" s="12" t="str">
        <x:v>工作日</x:v>
      </x:c>
      <x:c r="D328" s="12" t="str">
        <x:v>环线1路</x:v>
      </x:c>
      <x:c r="E328" s="12" t="str">
        <x:v>第二班</x:v>
      </x:c>
      <x:c r="F328" s="12" t="n">
        <x:v>1</x:v>
      </x:c>
      <x:c r="G328" s="12" t="str">
        <x:v>7:40</x:v>
      </x:c>
      <x:c r="H328" s="12" t="n">
        <x:v>460</x:v>
      </x:c>
      <x:c r="I328" s="12" t="str">
        <x:v>研究生宿舍楼</x:v>
      </x:c>
      <x:c r="J328" s="12" t="str">
        <x:v>研究生宿舍楼发车</x:v>
      </x:c>
      <x:c r="K328" s="12" t="str">
        <x:v>HX1_NORMAL</x:v>
      </x:c>
      <x:c r="L328" s="12" t="n">
        <x:v>5</x:v>
      </x:c>
      <x:c r="M328" s="12" t="str">
        <x:v>HX1_NORMAL|5</x:v>
      </x:c>
      <x:c r="N328" s="12" t="str">
        <x:v>激光所</x:v>
      </x:c>
      <x:c r="O328" s="12" t="n">
        <x:f>IFERROR(INDEX('秒级路线参数_可调整'!$O:$O,MATCH(M328,'秒级路线参数_可调整'!$A:$A,0)),"")</x:f>
        <x:v>0</x:v>
      </x:c>
      <x:c r="P328" s="12" t="str">
        <x:f>IF(O328="","",O328/86400)</x:f>
      </x:c>
      <x:c r="Q328" s="12" t="str">
        <x:f>IF(O328="","",(H328*60+O328)/86400)</x:f>
      </x:c>
      <x:c r="R328" s="12" t="str">
        <x:f>IF(Q328="","",TEXT(Q328,"hh:mm:ss"))</x:f>
      </x:c>
      <x:c r="S328" s="12" t="str">
        <x:v>否</x:v>
      </x:c>
      <x:c r="T328" s="12" t="str">
        <x:v>否</x:v>
      </x:c>
      <x:c r="U328" s="12" t="str">
        <x:v>未提供</x:v>
      </x:c>
      <x:c r="V328" s="12" t="str">
        <x:v>未提供</x:v>
      </x:c>
      <x:c r="W328" s="12" t="str">
        <x:v>秒级预测</x:v>
      </x:c>
      <x:c r="X328" s="12" t="str">
        <x:v>基于路线秒级参数；如录入实测或手动采用秒，预计到达时间可随公式更新</x:v>
      </x:c>
    </x:row>
    <x:row r="329">
      <x:c r="A329" s="12" t="str">
        <x:v>S0027-06</x:v>
      </x:c>
      <x:c r="B329" s="12" t="str">
        <x:v>S0027</x:v>
      </x:c>
      <x:c r="C329" s="12" t="str">
        <x:v>工作日</x:v>
      </x:c>
      <x:c r="D329" s="12" t="str">
        <x:v>环线1路</x:v>
      </x:c>
      <x:c r="E329" s="12" t="str">
        <x:v>第二班</x:v>
      </x:c>
      <x:c r="F329" s="12" t="n">
        <x:v>1</x:v>
      </x:c>
      <x:c r="G329" s="12" t="str">
        <x:v>7:40</x:v>
      </x:c>
      <x:c r="H329" s="12" t="n">
        <x:v>460</x:v>
      </x:c>
      <x:c r="I329" s="12" t="str">
        <x:v>研究生宿舍楼</x:v>
      </x:c>
      <x:c r="J329" s="12" t="str">
        <x:v>研究生宿舍楼发车</x:v>
      </x:c>
      <x:c r="K329" s="12" t="str">
        <x:v>HX1_NORMAL</x:v>
      </x:c>
      <x:c r="L329" s="12" t="n">
        <x:v>6</x:v>
      </x:c>
      <x:c r="M329" s="12" t="str">
        <x:v>HX1_NORMAL|6</x:v>
      </x:c>
      <x:c r="N329" s="12" t="str">
        <x:v>超算中心</x:v>
      </x:c>
      <x:c r="O329" s="12" t="n">
        <x:f>IFERROR(INDEX('秒级路线参数_可调整'!$O:$O,MATCH(M329,'秒级路线参数_可调整'!$A:$A,0)),"")</x:f>
        <x:v>0</x:v>
      </x:c>
      <x:c r="P329" s="12" t="str">
        <x:f>IF(O329="","",O329/86400)</x:f>
      </x:c>
      <x:c r="Q329" s="12" t="str">
        <x:f>IF(O329="","",(H329*60+O329)/86400)</x:f>
      </x:c>
      <x:c r="R329" s="12" t="str">
        <x:f>IF(Q329="","",TEXT(Q329,"hh:mm:ss"))</x:f>
      </x:c>
      <x:c r="S329" s="12" t="str">
        <x:v>否</x:v>
      </x:c>
      <x:c r="T329" s="12" t="str">
        <x:v>否</x:v>
      </x:c>
      <x:c r="U329" s="12" t="str">
        <x:v>未提供</x:v>
      </x:c>
      <x:c r="V329" s="12" t="str">
        <x:v>未提供</x:v>
      </x:c>
      <x:c r="W329" s="12" t="str">
        <x:v>秒级预测</x:v>
      </x:c>
      <x:c r="X329" s="12" t="str">
        <x:v>基于路线秒级参数；如录入实测或手动采用秒，预计到达时间可随公式更新</x:v>
      </x:c>
    </x:row>
    <x:row r="330">
      <x:c r="A330" s="12" t="str">
        <x:v>S0027-07</x:v>
      </x:c>
      <x:c r="B330" s="12" t="str">
        <x:v>S0027</x:v>
      </x:c>
      <x:c r="C330" s="12" t="str">
        <x:v>工作日</x:v>
      </x:c>
      <x:c r="D330" s="12" t="str">
        <x:v>环线1路</x:v>
      </x:c>
      <x:c r="E330" s="12" t="str">
        <x:v>第二班</x:v>
      </x:c>
      <x:c r="F330" s="12" t="n">
        <x:v>1</x:v>
      </x:c>
      <x:c r="G330" s="12" t="str">
        <x:v>7:40</x:v>
      </x:c>
      <x:c r="H330" s="12" t="n">
        <x:v>460</x:v>
      </x:c>
      <x:c r="I330" s="12" t="str">
        <x:v>研究生宿舍楼</x:v>
      </x:c>
      <x:c r="J330" s="12" t="str">
        <x:v>研究生宿舍楼发车</x:v>
      </x:c>
      <x:c r="K330" s="12" t="str">
        <x:v>HX1_NORMAL</x:v>
      </x:c>
      <x:c r="L330" s="12" t="n">
        <x:v>7</x:v>
      </x:c>
      <x:c r="M330" s="12" t="str">
        <x:v>HX1_NORMAL|7</x:v>
      </x:c>
      <x:c r="N330" s="12" t="str">
        <x:v>北门</x:v>
      </x:c>
      <x:c r="O330" s="12" t="n">
        <x:f>IFERROR(INDEX('秒级路线参数_可调整'!$O:$O,MATCH(M330,'秒级路线参数_可调整'!$A:$A,0)),"")</x:f>
        <x:v>0</x:v>
      </x:c>
      <x:c r="P330" s="12" t="str">
        <x:f>IF(O330="","",O330/86400)</x:f>
      </x:c>
      <x:c r="Q330" s="12" t="str">
        <x:f>IF(O330="","",(H330*60+O330)/86400)</x:f>
      </x:c>
      <x:c r="R330" s="12" t="str">
        <x:f>IF(Q330="","",TEXT(Q330,"hh:mm:ss"))</x:f>
      </x:c>
      <x:c r="S330" s="12" t="str">
        <x:v>否</x:v>
      </x:c>
      <x:c r="T330" s="12" t="str">
        <x:v>否</x:v>
      </x:c>
      <x:c r="U330" s="12" t="str">
        <x:v>未提供</x:v>
      </x:c>
      <x:c r="V330" s="12" t="str">
        <x:v>未提供</x:v>
      </x:c>
      <x:c r="W330" s="12" t="str">
        <x:v>秒级预测</x:v>
      </x:c>
      <x:c r="X330" s="12" t="str">
        <x:v>基于路线秒级参数；如录入实测或手动采用秒，预计到达时间可随公式更新</x:v>
      </x:c>
    </x:row>
    <x:row r="331">
      <x:c r="A331" s="12" t="str">
        <x:v>S0027-08</x:v>
      </x:c>
      <x:c r="B331" s="12" t="str">
        <x:v>S0027</x:v>
      </x:c>
      <x:c r="C331" s="12" t="str">
        <x:v>工作日</x:v>
      </x:c>
      <x:c r="D331" s="12" t="str">
        <x:v>环线1路</x:v>
      </x:c>
      <x:c r="E331" s="12" t="str">
        <x:v>第二班</x:v>
      </x:c>
      <x:c r="F331" s="12" t="n">
        <x:v>1</x:v>
      </x:c>
      <x:c r="G331" s="12" t="str">
        <x:v>7:40</x:v>
      </x:c>
      <x:c r="H331" s="12" t="n">
        <x:v>460</x:v>
      </x:c>
      <x:c r="I331" s="12" t="str">
        <x:v>研究生宿舍楼</x:v>
      </x:c>
      <x:c r="J331" s="12" t="str">
        <x:v>研究生宿舍楼发车</x:v>
      </x:c>
      <x:c r="K331" s="12" t="str">
        <x:v>HX1_NORMAL</x:v>
      </x:c>
      <x:c r="L331" s="12" t="n">
        <x:v>8</x:v>
      </x:c>
      <x:c r="M331" s="12" t="str">
        <x:v>HX1_NORMAL|8</x:v>
      </x:c>
      <x:c r="N331" s="12" t="str">
        <x:v>高超楼</x:v>
      </x:c>
      <x:c r="O331" s="12" t="n">
        <x:f>IFERROR(INDEX('秒级路线参数_可调整'!$O:$O,MATCH(M331,'秒级路线参数_可调整'!$A:$A,0)),"")</x:f>
        <x:v>0</x:v>
      </x:c>
      <x:c r="P331" s="12" t="str">
        <x:f>IF(O331="","",O331/86400)</x:f>
      </x:c>
      <x:c r="Q331" s="12" t="str">
        <x:f>IF(O331="","",(H331*60+O331)/86400)</x:f>
      </x:c>
      <x:c r="R331" s="12" t="str">
        <x:f>IF(Q331="","",TEXT(Q331,"hh:mm:ss"))</x:f>
      </x:c>
      <x:c r="S331" s="12" t="str">
        <x:v>否</x:v>
      </x:c>
      <x:c r="T331" s="12" t="str">
        <x:v>否</x:v>
      </x:c>
      <x:c r="U331" s="12" t="str">
        <x:v>未提供</x:v>
      </x:c>
      <x:c r="V331" s="12" t="str">
        <x:v>未提供</x:v>
      </x:c>
      <x:c r="W331" s="12" t="str">
        <x:v>秒级预测</x:v>
      </x:c>
      <x:c r="X331" s="12" t="str">
        <x:v>基于路线秒级参数；如录入实测或手动采用秒，预计到达时间可随公式更新</x:v>
      </x:c>
    </x:row>
    <x:row r="332">
      <x:c r="A332" s="12" t="str">
        <x:v>S0027-09</x:v>
      </x:c>
      <x:c r="B332" s="12" t="str">
        <x:v>S0027</x:v>
      </x:c>
      <x:c r="C332" s="12" t="str">
        <x:v>工作日</x:v>
      </x:c>
      <x:c r="D332" s="12" t="str">
        <x:v>环线1路</x:v>
      </x:c>
      <x:c r="E332" s="12" t="str">
        <x:v>第二班</x:v>
      </x:c>
      <x:c r="F332" s="12" t="n">
        <x:v>1</x:v>
      </x:c>
      <x:c r="G332" s="12" t="str">
        <x:v>7:40</x:v>
      </x:c>
      <x:c r="H332" s="12" t="n">
        <x:v>460</x:v>
      </x:c>
      <x:c r="I332" s="12" t="str">
        <x:v>研究生宿舍楼</x:v>
      </x:c>
      <x:c r="J332" s="12" t="str">
        <x:v>研究生宿舍楼发车</x:v>
      </x:c>
      <x:c r="K332" s="12" t="str">
        <x:v>HX1_NORMAL</x:v>
      </x:c>
      <x:c r="L332" s="12" t="n">
        <x:v>9</x:v>
      </x:c>
      <x:c r="M332" s="12" t="str">
        <x:v>HX1_NORMAL|9</x:v>
      </x:c>
      <x:c r="N332" s="12" t="str">
        <x:v>理学院</x:v>
      </x:c>
      <x:c r="O332" s="12" t="n">
        <x:f>IFERROR(INDEX('秒级路线参数_可调整'!$O:$O,MATCH(M332,'秒级路线参数_可调整'!$A:$A,0)),"")</x:f>
        <x:v>0</x:v>
      </x:c>
      <x:c r="P332" s="12" t="str">
        <x:f>IF(O332="","",O332/86400)</x:f>
      </x:c>
      <x:c r="Q332" s="12" t="str">
        <x:f>IF(O332="","",(H332*60+O332)/86400)</x:f>
      </x:c>
      <x:c r="R332" s="12" t="str">
        <x:f>IF(Q332="","",TEXT(Q332,"hh:mm:ss"))</x:f>
      </x:c>
      <x:c r="S332" s="12" t="str">
        <x:v>否</x:v>
      </x:c>
      <x:c r="T332" s="12" t="str">
        <x:v>否</x:v>
      </x:c>
      <x:c r="U332" s="12" t="str">
        <x:v>未提供</x:v>
      </x:c>
      <x:c r="V332" s="12" t="str">
        <x:v>未提供</x:v>
      </x:c>
      <x:c r="W332" s="12" t="str">
        <x:v>秒级预测</x:v>
      </x:c>
      <x:c r="X332" s="12" t="str">
        <x:v>基于路线秒级参数；如录入实测或手动采用秒，预计到达时间可随公式更新</x:v>
      </x:c>
    </x:row>
    <x:row r="333">
      <x:c r="A333" s="12" t="str">
        <x:v>S0027-10</x:v>
      </x:c>
      <x:c r="B333" s="12" t="str">
        <x:v>S0027</x:v>
      </x:c>
      <x:c r="C333" s="12" t="str">
        <x:v>工作日</x:v>
      </x:c>
      <x:c r="D333" s="12" t="str">
        <x:v>环线1路</x:v>
      </x:c>
      <x:c r="E333" s="12" t="str">
        <x:v>第二班</x:v>
      </x:c>
      <x:c r="F333" s="12" t="n">
        <x:v>1</x:v>
      </x:c>
      <x:c r="G333" s="12" t="str">
        <x:v>7:40</x:v>
      </x:c>
      <x:c r="H333" s="12" t="n">
        <x:v>460</x:v>
      </x:c>
      <x:c r="I333" s="12" t="str">
        <x:v>研究生宿舍楼</x:v>
      </x:c>
      <x:c r="J333" s="12" t="str">
        <x:v>研究生宿舍楼发车</x:v>
      </x:c>
      <x:c r="K333" s="12" t="str">
        <x:v>HX1_NORMAL</x:v>
      </x:c>
      <x:c r="L333" s="12" t="n">
        <x:v>10</x:v>
      </x:c>
      <x:c r="M333" s="12" t="str">
        <x:v>HX1_NORMAL|10</x:v>
      </x:c>
      <x:c r="N333" s="12" t="str">
        <x:v>二食堂</x:v>
      </x:c>
      <x:c r="O333" s="12" t="n">
        <x:f>IFERROR(INDEX('秒级路线参数_可调整'!$O:$O,MATCH(M333,'秒级路线参数_可调整'!$A:$A,0)),"")</x:f>
        <x:v>0</x:v>
      </x:c>
      <x:c r="P333" s="12" t="str">
        <x:f>IF(O333="","",O333/86400)</x:f>
      </x:c>
      <x:c r="Q333" s="12" t="str">
        <x:f>IF(O333="","",(H333*60+O333)/86400)</x:f>
      </x:c>
      <x:c r="R333" s="12" t="str">
        <x:f>IF(Q333="","",TEXT(Q333,"hh:mm:ss"))</x:f>
      </x:c>
      <x:c r="S333" s="12" t="str">
        <x:v>否</x:v>
      </x:c>
      <x:c r="T333" s="12" t="str">
        <x:v>否</x:v>
      </x:c>
      <x:c r="U333" s="12" t="str">
        <x:v>未提供</x:v>
      </x:c>
      <x:c r="V333" s="12" t="str">
        <x:v>未提供</x:v>
      </x:c>
      <x:c r="W333" s="12" t="str">
        <x:v>秒级预测</x:v>
      </x:c>
      <x:c r="X333" s="12" t="str">
        <x:v>基于路线秒级参数；如录入实测或手动采用秒，预计到达时间可随公式更新</x:v>
      </x:c>
    </x:row>
    <x:row r="334">
      <x:c r="A334" s="12" t="str">
        <x:v>S0027-11</x:v>
      </x:c>
      <x:c r="B334" s="12" t="str">
        <x:v>S0027</x:v>
      </x:c>
      <x:c r="C334" s="12" t="str">
        <x:v>工作日</x:v>
      </x:c>
      <x:c r="D334" s="12" t="str">
        <x:v>环线1路</x:v>
      </x:c>
      <x:c r="E334" s="12" t="str">
        <x:v>第二班</x:v>
      </x:c>
      <x:c r="F334" s="12" t="n">
        <x:v>1</x:v>
      </x:c>
      <x:c r="G334" s="12" t="str">
        <x:v>7:40</x:v>
      </x:c>
      <x:c r="H334" s="12" t="n">
        <x:v>460</x:v>
      </x:c>
      <x:c r="I334" s="12" t="str">
        <x:v>研究生宿舍楼</x:v>
      </x:c>
      <x:c r="J334" s="12" t="str">
        <x:v>研究生宿舍楼发车</x:v>
      </x:c>
      <x:c r="K334" s="12" t="str">
        <x:v>HX1_NORMAL</x:v>
      </x:c>
      <x:c r="L334" s="12" t="n">
        <x:v>11</x:v>
      </x:c>
      <x:c r="M334" s="12" t="str">
        <x:v>HX1_NORMAL|11</x:v>
      </x:c>
      <x:c r="N334" s="12" t="str">
        <x:v>5号宿舍楼</x:v>
      </x:c>
      <x:c r="O334" s="12" t="n">
        <x:f>IFERROR(INDEX('秒级路线参数_可调整'!$O:$O,MATCH(M334,'秒级路线参数_可调整'!$A:$A,0)),"")</x:f>
        <x:v>0</x:v>
      </x:c>
      <x:c r="P334" s="12" t="str">
        <x:f>IF(O334="","",O334/86400)</x:f>
      </x:c>
      <x:c r="Q334" s="12" t="str">
        <x:f>IF(O334="","",(H334*60+O334)/86400)</x:f>
      </x:c>
      <x:c r="R334" s="12" t="str">
        <x:f>IF(Q334="","",TEXT(Q334,"hh:mm:ss"))</x:f>
      </x:c>
      <x:c r="S334" s="12" t="str">
        <x:v>否</x:v>
      </x:c>
      <x:c r="T334" s="12" t="str">
        <x:v>否</x:v>
      </x:c>
      <x:c r="U334" s="12" t="str">
        <x:v>未提供</x:v>
      </x:c>
      <x:c r="V334" s="12" t="str">
        <x:v>未提供</x:v>
      </x:c>
      <x:c r="W334" s="12" t="str">
        <x:v>秒级预测</x:v>
      </x:c>
      <x:c r="X334" s="12" t="str">
        <x:v>基于路线秒级参数；如录入实测或手动采用秒，预计到达时间可随公式更新</x:v>
      </x:c>
    </x:row>
    <x:row r="335">
      <x:c r="A335" s="12" t="str">
        <x:v>S0027-12</x:v>
      </x:c>
      <x:c r="B335" s="12" t="str">
        <x:v>S0027</x:v>
      </x:c>
      <x:c r="C335" s="12" t="str">
        <x:v>工作日</x:v>
      </x:c>
      <x:c r="D335" s="12" t="str">
        <x:v>环线1路</x:v>
      </x:c>
      <x:c r="E335" s="12" t="str">
        <x:v>第二班</x:v>
      </x:c>
      <x:c r="F335" s="12" t="n">
        <x:v>1</x:v>
      </x:c>
      <x:c r="G335" s="12" t="str">
        <x:v>7:40</x:v>
      </x:c>
      <x:c r="H335" s="12" t="n">
        <x:v>460</x:v>
      </x:c>
      <x:c r="I335" s="12" t="str">
        <x:v>研究生宿舍楼</x:v>
      </x:c>
      <x:c r="J335" s="12" t="str">
        <x:v>研究生宿舍楼发车</x:v>
      </x:c>
      <x:c r="K335" s="12" t="str">
        <x:v>HX1_NORMAL</x:v>
      </x:c>
      <x:c r="L335" s="12" t="n">
        <x:v>12</x:v>
      </x:c>
      <x:c r="M335" s="12" t="str">
        <x:v>HX1_NORMAL|12</x:v>
      </x:c>
      <x:c r="N335" s="12" t="str">
        <x:v>305教学楼</x:v>
      </x:c>
      <x:c r="O335" s="12" t="n">
        <x:f>IFERROR(INDEX('秒级路线参数_可调整'!$O:$O,MATCH(M335,'秒级路线参数_可调整'!$A:$A,0)),"")</x:f>
        <x:v>0</x:v>
      </x:c>
      <x:c r="P335" s="12" t="str">
        <x:f>IF(O335="","",O335/86400)</x:f>
      </x:c>
      <x:c r="Q335" s="12" t="str">
        <x:f>IF(O335="","",(H335*60+O335)/86400)</x:f>
      </x:c>
      <x:c r="R335" s="12" t="str">
        <x:f>IF(Q335="","",TEXT(Q335,"hh:mm:ss"))</x:f>
      </x:c>
      <x:c r="S335" s="12" t="str">
        <x:v>否</x:v>
      </x:c>
      <x:c r="T335" s="12" t="str">
        <x:v>否</x:v>
      </x:c>
      <x:c r="U335" s="12" t="str">
        <x:v>未提供</x:v>
      </x:c>
      <x:c r="V335" s="12" t="str">
        <x:v>未提供</x:v>
      </x:c>
      <x:c r="W335" s="12" t="str">
        <x:v>秒级预测</x:v>
      </x:c>
      <x:c r="X335" s="12" t="str">
        <x:v>基于路线秒级参数；如录入实测或手动采用秒，预计到达时间可随公式更新</x:v>
      </x:c>
    </x:row>
    <x:row r="336">
      <x:c r="A336" s="12" t="str">
        <x:v>S0027-13</x:v>
      </x:c>
      <x:c r="B336" s="12" t="str">
        <x:v>S0027</x:v>
      </x:c>
      <x:c r="C336" s="12" t="str">
        <x:v>工作日</x:v>
      </x:c>
      <x:c r="D336" s="12" t="str">
        <x:v>环线1路</x:v>
      </x:c>
      <x:c r="E336" s="12" t="str">
        <x:v>第二班</x:v>
      </x:c>
      <x:c r="F336" s="12" t="n">
        <x:v>1</x:v>
      </x:c>
      <x:c r="G336" s="12" t="str">
        <x:v>7:40</x:v>
      </x:c>
      <x:c r="H336" s="12" t="n">
        <x:v>460</x:v>
      </x:c>
      <x:c r="I336" s="12" t="str">
        <x:v>研究生宿舍楼</x:v>
      </x:c>
      <x:c r="J336" s="12" t="str">
        <x:v>研究生宿舍楼发车</x:v>
      </x:c>
      <x:c r="K336" s="12" t="str">
        <x:v>HX1_NORMAL</x:v>
      </x:c>
      <x:c r="L336" s="12" t="n">
        <x:v>13</x:v>
      </x:c>
      <x:c r="M336" s="12" t="str">
        <x:v>HX1_NORMAL|13</x:v>
      </x:c>
      <x:c r="N336" s="12" t="str">
        <x:v>研究生宿舍楼</x:v>
      </x:c>
      <x:c r="O336" s="12" t="n">
        <x:f>IFERROR(INDEX('秒级路线参数_可调整'!$O:$O,MATCH(M336,'秒级路线参数_可调整'!$A:$A,0)),"")</x:f>
        <x:v>0</x:v>
      </x:c>
      <x:c r="P336" s="12" t="str">
        <x:f>IF(O336="","",O336/86400)</x:f>
      </x:c>
      <x:c r="Q336" s="12" t="str">
        <x:f>IF(O336="","",(H336*60+O336)/86400)</x:f>
      </x:c>
      <x:c r="R336" s="12" t="str">
        <x:f>IF(Q336="","",TEXT(Q336,"hh:mm:ss"))</x:f>
      </x:c>
      <x:c r="S336" s="12" t="str">
        <x:v>否</x:v>
      </x:c>
      <x:c r="T336" s="12" t="str">
        <x:v>是</x:v>
      </x:c>
      <x:c r="U336" s="12" t="str">
        <x:v>未提供</x:v>
      </x:c>
      <x:c r="V336" s="12" t="str">
        <x:v>未提供</x:v>
      </x:c>
      <x:c r="W336" s="12" t="str">
        <x:v>秒级预测</x:v>
      </x:c>
      <x:c r="X336" s="12" t="str">
        <x:v>基于路线秒级参数；如录入实测或手动采用秒，预计到达时间可随公式更新</x:v>
      </x:c>
    </x:row>
    <x:row r="337">
      <x:c r="A337" s="12" t="str">
        <x:v>S0028-01</x:v>
      </x:c>
      <x:c r="B337" s="12" t="str">
        <x:v>S0028</x:v>
      </x:c>
      <x:c r="C337" s="12" t="str">
        <x:v>工作日</x:v>
      </x:c>
      <x:c r="D337" s="12" t="str">
        <x:v>环线1路</x:v>
      </x:c>
      <x:c r="E337" s="12" t="str">
        <x:v>第二班</x:v>
      </x:c>
      <x:c r="F337" s="12" t="n">
        <x:v>2</x:v>
      </x:c>
      <x:c r="G337" s="12" t="str">
        <x:v>8:10</x:v>
      </x:c>
      <x:c r="H337" s="12" t="n">
        <x:v>490</x:v>
      </x:c>
      <x:c r="I337" s="12" t="str">
        <x:v>研究生宿舍楼</x:v>
      </x:c>
      <x:c r="J337" s="12" t="str">
        <x:v>研究生宿舍楼发车</x:v>
      </x:c>
      <x:c r="K337" s="12" t="str">
        <x:v>HX1_NORMAL</x:v>
      </x:c>
      <x:c r="L337" s="12" t="n">
        <x:v>1</x:v>
      </x:c>
      <x:c r="M337" s="12" t="str">
        <x:v>HX1_NORMAL|1</x:v>
      </x:c>
      <x:c r="N337" s="12" t="str">
        <x:v>研究生宿舍楼</x:v>
      </x:c>
      <x:c r="O337" s="12" t="n">
        <x:f>IFERROR(INDEX('秒级路线参数_可调整'!$O:$O,MATCH(M337,'秒级路线参数_可调整'!$A:$A,0)),"")</x:f>
        <x:v>0</x:v>
      </x:c>
      <x:c r="P337" s="12" t="str">
        <x:f>IF(O337="","",O337/86400)</x:f>
      </x:c>
      <x:c r="Q337" s="12" t="str">
        <x:f>IF(O337="","",(H337*60+O337)/86400)</x:f>
      </x:c>
      <x:c r="R337" s="12" t="str">
        <x:f>IF(Q337="","",TEXT(Q337,"hh:mm:ss"))</x:f>
      </x:c>
      <x:c r="S337" s="12" t="str">
        <x:v>是</x:v>
      </x:c>
      <x:c r="T337" s="12" t="str">
        <x:v>否</x:v>
      </x:c>
      <x:c r="U337" s="12" t="str">
        <x:v>未提供</x:v>
      </x:c>
      <x:c r="V337" s="12" t="str">
        <x:v>未提供</x:v>
      </x:c>
      <x:c r="W337" s="12" t="str">
        <x:v>秒级预测</x:v>
      </x:c>
      <x:c r="X337" s="12" t="str">
        <x:v>基于路线秒级参数；如录入实测或手动采用秒，预计到达时间可随公式更新</x:v>
      </x:c>
    </x:row>
    <x:row r="338">
      <x:c r="A338" s="12" t="str">
        <x:v>S0028-02</x:v>
      </x:c>
      <x:c r="B338" s="12" t="str">
        <x:v>S0028</x:v>
      </x:c>
      <x:c r="C338" s="12" t="str">
        <x:v>工作日</x:v>
      </x:c>
      <x:c r="D338" s="12" t="str">
        <x:v>环线1路</x:v>
      </x:c>
      <x:c r="E338" s="12" t="str">
        <x:v>第二班</x:v>
      </x:c>
      <x:c r="F338" s="12" t="n">
        <x:v>2</x:v>
      </x:c>
      <x:c r="G338" s="12" t="str">
        <x:v>8:10</x:v>
      </x:c>
      <x:c r="H338" s="12" t="n">
        <x:v>490</x:v>
      </x:c>
      <x:c r="I338" s="12" t="str">
        <x:v>研究生宿舍楼</x:v>
      </x:c>
      <x:c r="J338" s="12" t="str">
        <x:v>研究生宿舍楼发车</x:v>
      </x:c>
      <x:c r="K338" s="12" t="str">
        <x:v>HX1_NORMAL</x:v>
      </x:c>
      <x:c r="L338" s="12" t="n">
        <x:v>2</x:v>
      </x:c>
      <x:c r="M338" s="12" t="str">
        <x:v>HX1_NORMAL|2</x:v>
      </x:c>
      <x:c r="N338" s="12" t="str">
        <x:v>东门</x:v>
      </x:c>
      <x:c r="O338" s="12" t="n">
        <x:f>IFERROR(INDEX('秒级路线参数_可调整'!$O:$O,MATCH(M338,'秒级路线参数_可调整'!$A:$A,0)),"")</x:f>
        <x:v>0</x:v>
      </x:c>
      <x:c r="P338" s="12" t="str">
        <x:f>IF(O338="","",O338/86400)</x:f>
      </x:c>
      <x:c r="Q338" s="12" t="str">
        <x:f>IF(O338="","",(H338*60+O338)/86400)</x:f>
      </x:c>
      <x:c r="R338" s="12" t="str">
        <x:f>IF(Q338="","",TEXT(Q338,"hh:mm:ss"))</x:f>
      </x:c>
      <x:c r="S338" s="12" t="str">
        <x:v>否</x:v>
      </x:c>
      <x:c r="T338" s="12" t="str">
        <x:v>否</x:v>
      </x:c>
      <x:c r="U338" s="12" t="str">
        <x:v>未提供</x:v>
      </x:c>
      <x:c r="V338" s="12" t="str">
        <x:v>未提供</x:v>
      </x:c>
      <x:c r="W338" s="12" t="str">
        <x:v>秒级预测</x:v>
      </x:c>
      <x:c r="X338" s="12" t="str">
        <x:v>基于路线秒级参数；如录入实测或手动采用秒，预计到达时间可随公式更新</x:v>
      </x:c>
    </x:row>
    <x:row r="339">
      <x:c r="A339" s="12" t="str">
        <x:v>S0028-03</x:v>
      </x:c>
      <x:c r="B339" s="12" t="str">
        <x:v>S0028</x:v>
      </x:c>
      <x:c r="C339" s="12" t="str">
        <x:v>工作日</x:v>
      </x:c>
      <x:c r="D339" s="12" t="str">
        <x:v>环线1路</x:v>
      </x:c>
      <x:c r="E339" s="12" t="str">
        <x:v>第二班</x:v>
      </x:c>
      <x:c r="F339" s="12" t="n">
        <x:v>2</x:v>
      </x:c>
      <x:c r="G339" s="12" t="str">
        <x:v>8:10</x:v>
      </x:c>
      <x:c r="H339" s="12" t="n">
        <x:v>490</x:v>
      </x:c>
      <x:c r="I339" s="12" t="str">
        <x:v>研究生宿舍楼</x:v>
      </x:c>
      <x:c r="J339" s="12" t="str">
        <x:v>研究生宿舍楼发车</x:v>
      </x:c>
      <x:c r="K339" s="12" t="str">
        <x:v>HX1_NORMAL</x:v>
      </x:c>
      <x:c r="L339" s="12" t="n">
        <x:v>3</x:v>
      </x:c>
      <x:c r="M339" s="12" t="str">
        <x:v>HX1_NORMAL|3</x:v>
      </x:c>
      <x:c r="N339" s="12" t="str">
        <x:v>2号宿舍楼</x:v>
      </x:c>
      <x:c r="O339" s="12" t="n">
        <x:f>IFERROR(INDEX('秒级路线参数_可调整'!$O:$O,MATCH(M339,'秒级路线参数_可调整'!$A:$A,0)),"")</x:f>
        <x:v>0</x:v>
      </x:c>
      <x:c r="P339" s="12" t="str">
        <x:f>IF(O339="","",O339/86400)</x:f>
      </x:c>
      <x:c r="Q339" s="12" t="str">
        <x:f>IF(O339="","",(H339*60+O339)/86400)</x:f>
      </x:c>
      <x:c r="R339" s="12" t="str">
        <x:f>IF(Q339="","",TEXT(Q339,"hh:mm:ss"))</x:f>
      </x:c>
      <x:c r="S339" s="12" t="str">
        <x:v>否</x:v>
      </x:c>
      <x:c r="T339" s="12" t="str">
        <x:v>否</x:v>
      </x:c>
      <x:c r="U339" s="12" t="str">
        <x:v>未提供</x:v>
      </x:c>
      <x:c r="V339" s="12" t="str">
        <x:v>未提供</x:v>
      </x:c>
      <x:c r="W339" s="12" t="str">
        <x:v>秒级预测</x:v>
      </x:c>
      <x:c r="X339" s="12" t="str">
        <x:v>基于路线秒级参数；如录入实测或手动采用秒，预计到达时间可随公式更新</x:v>
      </x:c>
    </x:row>
    <x:row r="340">
      <x:c r="A340" s="12" t="str">
        <x:v>S0028-04</x:v>
      </x:c>
      <x:c r="B340" s="12" t="str">
        <x:v>S0028</x:v>
      </x:c>
      <x:c r="C340" s="12" t="str">
        <x:v>工作日</x:v>
      </x:c>
      <x:c r="D340" s="12" t="str">
        <x:v>环线1路</x:v>
      </x:c>
      <x:c r="E340" s="12" t="str">
        <x:v>第二班</x:v>
      </x:c>
      <x:c r="F340" s="12" t="n">
        <x:v>2</x:v>
      </x:c>
      <x:c r="G340" s="12" t="str">
        <x:v>8:10</x:v>
      </x:c>
      <x:c r="H340" s="12" t="n">
        <x:v>490</x:v>
      </x:c>
      <x:c r="I340" s="12" t="str">
        <x:v>研究生宿舍楼</x:v>
      </x:c>
      <x:c r="J340" s="12" t="str">
        <x:v>研究生宿舍楼发车</x:v>
      </x:c>
      <x:c r="K340" s="12" t="str">
        <x:v>HX1_NORMAL</x:v>
      </x:c>
      <x:c r="L340" s="12" t="n">
        <x:v>4</x:v>
      </x:c>
      <x:c r="M340" s="12" t="str">
        <x:v>HX1_NORMAL|4</x:v>
      </x:c>
      <x:c r="N340" s="12" t="str">
        <x:v>军体活动中心</x:v>
      </x:c>
      <x:c r="O340" s="12" t="n">
        <x:f>IFERROR(INDEX('秒级路线参数_可调整'!$O:$O,MATCH(M340,'秒级路线参数_可调整'!$A:$A,0)),"")</x:f>
        <x:v>0</x:v>
      </x:c>
      <x:c r="P340" s="12" t="str">
        <x:f>IF(O340="","",O340/86400)</x:f>
      </x:c>
      <x:c r="Q340" s="12" t="str">
        <x:f>IF(O340="","",(H340*60+O340)/86400)</x:f>
      </x:c>
      <x:c r="R340" s="12" t="str">
        <x:f>IF(Q340="","",TEXT(Q340,"hh:mm:ss"))</x:f>
      </x:c>
      <x:c r="S340" s="12" t="str">
        <x:v>否</x:v>
      </x:c>
      <x:c r="T340" s="12" t="str">
        <x:v>否</x:v>
      </x:c>
      <x:c r="U340" s="12" t="str">
        <x:v>未提供</x:v>
      </x:c>
      <x:c r="V340" s="12" t="str">
        <x:v>未提供</x:v>
      </x:c>
      <x:c r="W340" s="12" t="str">
        <x:v>秒级预测</x:v>
      </x:c>
      <x:c r="X340" s="12" t="str">
        <x:v>基于路线秒级参数；如录入实测或手动采用秒，预计到达时间可随公式更新</x:v>
      </x:c>
    </x:row>
    <x:row r="341">
      <x:c r="A341" s="12" t="str">
        <x:v>S0028-05</x:v>
      </x:c>
      <x:c r="B341" s="12" t="str">
        <x:v>S0028</x:v>
      </x:c>
      <x:c r="C341" s="12" t="str">
        <x:v>工作日</x:v>
      </x:c>
      <x:c r="D341" s="12" t="str">
        <x:v>环线1路</x:v>
      </x:c>
      <x:c r="E341" s="12" t="str">
        <x:v>第二班</x:v>
      </x:c>
      <x:c r="F341" s="12" t="n">
        <x:v>2</x:v>
      </x:c>
      <x:c r="G341" s="12" t="str">
        <x:v>8:10</x:v>
      </x:c>
      <x:c r="H341" s="12" t="n">
        <x:v>490</x:v>
      </x:c>
      <x:c r="I341" s="12" t="str">
        <x:v>研究生宿舍楼</x:v>
      </x:c>
      <x:c r="J341" s="12" t="str">
        <x:v>研究生宿舍楼发车</x:v>
      </x:c>
      <x:c r="K341" s="12" t="str">
        <x:v>HX1_NORMAL</x:v>
      </x:c>
      <x:c r="L341" s="12" t="n">
        <x:v>5</x:v>
      </x:c>
      <x:c r="M341" s="12" t="str">
        <x:v>HX1_NORMAL|5</x:v>
      </x:c>
      <x:c r="N341" s="12" t="str">
        <x:v>激光所</x:v>
      </x:c>
      <x:c r="O341" s="12" t="n">
        <x:f>IFERROR(INDEX('秒级路线参数_可调整'!$O:$O,MATCH(M341,'秒级路线参数_可调整'!$A:$A,0)),"")</x:f>
        <x:v>0</x:v>
      </x:c>
      <x:c r="P341" s="12" t="str">
        <x:f>IF(O341="","",O341/86400)</x:f>
      </x:c>
      <x:c r="Q341" s="12" t="str">
        <x:f>IF(O341="","",(H341*60+O341)/86400)</x:f>
      </x:c>
      <x:c r="R341" s="12" t="str">
        <x:f>IF(Q341="","",TEXT(Q341,"hh:mm:ss"))</x:f>
      </x:c>
      <x:c r="S341" s="12" t="str">
        <x:v>否</x:v>
      </x:c>
      <x:c r="T341" s="12" t="str">
        <x:v>否</x:v>
      </x:c>
      <x:c r="U341" s="12" t="str">
        <x:v>未提供</x:v>
      </x:c>
      <x:c r="V341" s="12" t="str">
        <x:v>未提供</x:v>
      </x:c>
      <x:c r="W341" s="12" t="str">
        <x:v>秒级预测</x:v>
      </x:c>
      <x:c r="X341" s="12" t="str">
        <x:v>基于路线秒级参数；如录入实测或手动采用秒，预计到达时间可随公式更新</x:v>
      </x:c>
    </x:row>
    <x:row r="342">
      <x:c r="A342" s="12" t="str">
        <x:v>S0028-06</x:v>
      </x:c>
      <x:c r="B342" s="12" t="str">
        <x:v>S0028</x:v>
      </x:c>
      <x:c r="C342" s="12" t="str">
        <x:v>工作日</x:v>
      </x:c>
      <x:c r="D342" s="12" t="str">
        <x:v>环线1路</x:v>
      </x:c>
      <x:c r="E342" s="12" t="str">
        <x:v>第二班</x:v>
      </x:c>
      <x:c r="F342" s="12" t="n">
        <x:v>2</x:v>
      </x:c>
      <x:c r="G342" s="12" t="str">
        <x:v>8:10</x:v>
      </x:c>
      <x:c r="H342" s="12" t="n">
        <x:v>490</x:v>
      </x:c>
      <x:c r="I342" s="12" t="str">
        <x:v>研究生宿舍楼</x:v>
      </x:c>
      <x:c r="J342" s="12" t="str">
        <x:v>研究生宿舍楼发车</x:v>
      </x:c>
      <x:c r="K342" s="12" t="str">
        <x:v>HX1_NORMAL</x:v>
      </x:c>
      <x:c r="L342" s="12" t="n">
        <x:v>6</x:v>
      </x:c>
      <x:c r="M342" s="12" t="str">
        <x:v>HX1_NORMAL|6</x:v>
      </x:c>
      <x:c r="N342" s="12" t="str">
        <x:v>超算中心</x:v>
      </x:c>
      <x:c r="O342" s="12" t="n">
        <x:f>IFERROR(INDEX('秒级路线参数_可调整'!$O:$O,MATCH(M342,'秒级路线参数_可调整'!$A:$A,0)),"")</x:f>
        <x:v>0</x:v>
      </x:c>
      <x:c r="P342" s="12" t="str">
        <x:f>IF(O342="","",O342/86400)</x:f>
      </x:c>
      <x:c r="Q342" s="12" t="str">
        <x:f>IF(O342="","",(H342*60+O342)/86400)</x:f>
      </x:c>
      <x:c r="R342" s="12" t="str">
        <x:f>IF(Q342="","",TEXT(Q342,"hh:mm:ss"))</x:f>
      </x:c>
      <x:c r="S342" s="12" t="str">
        <x:v>否</x:v>
      </x:c>
      <x:c r="T342" s="12" t="str">
        <x:v>否</x:v>
      </x:c>
      <x:c r="U342" s="12" t="str">
        <x:v>未提供</x:v>
      </x:c>
      <x:c r="V342" s="12" t="str">
        <x:v>未提供</x:v>
      </x:c>
      <x:c r="W342" s="12" t="str">
        <x:v>秒级预测</x:v>
      </x:c>
      <x:c r="X342" s="12" t="str">
        <x:v>基于路线秒级参数；如录入实测或手动采用秒，预计到达时间可随公式更新</x:v>
      </x:c>
    </x:row>
    <x:row r="343">
      <x:c r="A343" s="12" t="str">
        <x:v>S0028-07</x:v>
      </x:c>
      <x:c r="B343" s="12" t="str">
        <x:v>S0028</x:v>
      </x:c>
      <x:c r="C343" s="12" t="str">
        <x:v>工作日</x:v>
      </x:c>
      <x:c r="D343" s="12" t="str">
        <x:v>环线1路</x:v>
      </x:c>
      <x:c r="E343" s="12" t="str">
        <x:v>第二班</x:v>
      </x:c>
      <x:c r="F343" s="12" t="n">
        <x:v>2</x:v>
      </x:c>
      <x:c r="G343" s="12" t="str">
        <x:v>8:10</x:v>
      </x:c>
      <x:c r="H343" s="12" t="n">
        <x:v>490</x:v>
      </x:c>
      <x:c r="I343" s="12" t="str">
        <x:v>研究生宿舍楼</x:v>
      </x:c>
      <x:c r="J343" s="12" t="str">
        <x:v>研究生宿舍楼发车</x:v>
      </x:c>
      <x:c r="K343" s="12" t="str">
        <x:v>HX1_NORMAL</x:v>
      </x:c>
      <x:c r="L343" s="12" t="n">
        <x:v>7</x:v>
      </x:c>
      <x:c r="M343" s="12" t="str">
        <x:v>HX1_NORMAL|7</x:v>
      </x:c>
      <x:c r="N343" s="12" t="str">
        <x:v>北门</x:v>
      </x:c>
      <x:c r="O343" s="12" t="n">
        <x:f>IFERROR(INDEX('秒级路线参数_可调整'!$O:$O,MATCH(M343,'秒级路线参数_可调整'!$A:$A,0)),"")</x:f>
        <x:v>0</x:v>
      </x:c>
      <x:c r="P343" s="12" t="str">
        <x:f>IF(O343="","",O343/86400)</x:f>
      </x:c>
      <x:c r="Q343" s="12" t="str">
        <x:f>IF(O343="","",(H343*60+O343)/86400)</x:f>
      </x:c>
      <x:c r="R343" s="12" t="str">
        <x:f>IF(Q343="","",TEXT(Q343,"hh:mm:ss"))</x:f>
      </x:c>
      <x:c r="S343" s="12" t="str">
        <x:v>否</x:v>
      </x:c>
      <x:c r="T343" s="12" t="str">
        <x:v>否</x:v>
      </x:c>
      <x:c r="U343" s="12" t="str">
        <x:v>未提供</x:v>
      </x:c>
      <x:c r="V343" s="12" t="str">
        <x:v>未提供</x:v>
      </x:c>
      <x:c r="W343" s="12" t="str">
        <x:v>秒级预测</x:v>
      </x:c>
      <x:c r="X343" s="12" t="str">
        <x:v>基于路线秒级参数；如录入实测或手动采用秒，预计到达时间可随公式更新</x:v>
      </x:c>
    </x:row>
    <x:row r="344">
      <x:c r="A344" s="12" t="str">
        <x:v>S0028-08</x:v>
      </x:c>
      <x:c r="B344" s="12" t="str">
        <x:v>S0028</x:v>
      </x:c>
      <x:c r="C344" s="12" t="str">
        <x:v>工作日</x:v>
      </x:c>
      <x:c r="D344" s="12" t="str">
        <x:v>环线1路</x:v>
      </x:c>
      <x:c r="E344" s="12" t="str">
        <x:v>第二班</x:v>
      </x:c>
      <x:c r="F344" s="12" t="n">
        <x:v>2</x:v>
      </x:c>
      <x:c r="G344" s="12" t="str">
        <x:v>8:10</x:v>
      </x:c>
      <x:c r="H344" s="12" t="n">
        <x:v>490</x:v>
      </x:c>
      <x:c r="I344" s="12" t="str">
        <x:v>研究生宿舍楼</x:v>
      </x:c>
      <x:c r="J344" s="12" t="str">
        <x:v>研究生宿舍楼发车</x:v>
      </x:c>
      <x:c r="K344" s="12" t="str">
        <x:v>HX1_NORMAL</x:v>
      </x:c>
      <x:c r="L344" s="12" t="n">
        <x:v>8</x:v>
      </x:c>
      <x:c r="M344" s="12" t="str">
        <x:v>HX1_NORMAL|8</x:v>
      </x:c>
      <x:c r="N344" s="12" t="str">
        <x:v>高超楼</x:v>
      </x:c>
      <x:c r="O344" s="12" t="n">
        <x:f>IFERROR(INDEX('秒级路线参数_可调整'!$O:$O,MATCH(M344,'秒级路线参数_可调整'!$A:$A,0)),"")</x:f>
        <x:v>0</x:v>
      </x:c>
      <x:c r="P344" s="12" t="str">
        <x:f>IF(O344="","",O344/86400)</x:f>
      </x:c>
      <x:c r="Q344" s="12" t="str">
        <x:f>IF(O344="","",(H344*60+O344)/86400)</x:f>
      </x:c>
      <x:c r="R344" s="12" t="str">
        <x:f>IF(Q344="","",TEXT(Q344,"hh:mm:ss"))</x:f>
      </x:c>
      <x:c r="S344" s="12" t="str">
        <x:v>否</x:v>
      </x:c>
      <x:c r="T344" s="12" t="str">
        <x:v>否</x:v>
      </x:c>
      <x:c r="U344" s="12" t="str">
        <x:v>未提供</x:v>
      </x:c>
      <x:c r="V344" s="12" t="str">
        <x:v>未提供</x:v>
      </x:c>
      <x:c r="W344" s="12" t="str">
        <x:v>秒级预测</x:v>
      </x:c>
      <x:c r="X344" s="12" t="str">
        <x:v>基于路线秒级参数；如录入实测或手动采用秒，预计到达时间可随公式更新</x:v>
      </x:c>
    </x:row>
    <x:row r="345">
      <x:c r="A345" s="12" t="str">
        <x:v>S0028-09</x:v>
      </x:c>
      <x:c r="B345" s="12" t="str">
        <x:v>S0028</x:v>
      </x:c>
      <x:c r="C345" s="12" t="str">
        <x:v>工作日</x:v>
      </x:c>
      <x:c r="D345" s="12" t="str">
        <x:v>环线1路</x:v>
      </x:c>
      <x:c r="E345" s="12" t="str">
        <x:v>第二班</x:v>
      </x:c>
      <x:c r="F345" s="12" t="n">
        <x:v>2</x:v>
      </x:c>
      <x:c r="G345" s="12" t="str">
        <x:v>8:10</x:v>
      </x:c>
      <x:c r="H345" s="12" t="n">
        <x:v>490</x:v>
      </x:c>
      <x:c r="I345" s="12" t="str">
        <x:v>研究生宿舍楼</x:v>
      </x:c>
      <x:c r="J345" s="12" t="str">
        <x:v>研究生宿舍楼发车</x:v>
      </x:c>
      <x:c r="K345" s="12" t="str">
        <x:v>HX1_NORMAL</x:v>
      </x:c>
      <x:c r="L345" s="12" t="n">
        <x:v>9</x:v>
      </x:c>
      <x:c r="M345" s="12" t="str">
        <x:v>HX1_NORMAL|9</x:v>
      </x:c>
      <x:c r="N345" s="12" t="str">
        <x:v>理学院</x:v>
      </x:c>
      <x:c r="O345" s="12" t="n">
        <x:f>IFERROR(INDEX('秒级路线参数_可调整'!$O:$O,MATCH(M345,'秒级路线参数_可调整'!$A:$A,0)),"")</x:f>
        <x:v>0</x:v>
      </x:c>
      <x:c r="P345" s="12" t="str">
        <x:f>IF(O345="","",O345/86400)</x:f>
      </x:c>
      <x:c r="Q345" s="12" t="str">
        <x:f>IF(O345="","",(H345*60+O345)/86400)</x:f>
      </x:c>
      <x:c r="R345" s="12" t="str">
        <x:f>IF(Q345="","",TEXT(Q345,"hh:mm:ss"))</x:f>
      </x:c>
      <x:c r="S345" s="12" t="str">
        <x:v>否</x:v>
      </x:c>
      <x:c r="T345" s="12" t="str">
        <x:v>否</x:v>
      </x:c>
      <x:c r="U345" s="12" t="str">
        <x:v>未提供</x:v>
      </x:c>
      <x:c r="V345" s="12" t="str">
        <x:v>未提供</x:v>
      </x:c>
      <x:c r="W345" s="12" t="str">
        <x:v>秒级预测</x:v>
      </x:c>
      <x:c r="X345" s="12" t="str">
        <x:v>基于路线秒级参数；如录入实测或手动采用秒，预计到达时间可随公式更新</x:v>
      </x:c>
    </x:row>
    <x:row r="346">
      <x:c r="A346" s="12" t="str">
        <x:v>S0028-10</x:v>
      </x:c>
      <x:c r="B346" s="12" t="str">
        <x:v>S0028</x:v>
      </x:c>
      <x:c r="C346" s="12" t="str">
        <x:v>工作日</x:v>
      </x:c>
      <x:c r="D346" s="12" t="str">
        <x:v>环线1路</x:v>
      </x:c>
      <x:c r="E346" s="12" t="str">
        <x:v>第二班</x:v>
      </x:c>
      <x:c r="F346" s="12" t="n">
        <x:v>2</x:v>
      </x:c>
      <x:c r="G346" s="12" t="str">
        <x:v>8:10</x:v>
      </x:c>
      <x:c r="H346" s="12" t="n">
        <x:v>490</x:v>
      </x:c>
      <x:c r="I346" s="12" t="str">
        <x:v>研究生宿舍楼</x:v>
      </x:c>
      <x:c r="J346" s="12" t="str">
        <x:v>研究生宿舍楼发车</x:v>
      </x:c>
      <x:c r="K346" s="12" t="str">
        <x:v>HX1_NORMAL</x:v>
      </x:c>
      <x:c r="L346" s="12" t="n">
        <x:v>10</x:v>
      </x:c>
      <x:c r="M346" s="12" t="str">
        <x:v>HX1_NORMAL|10</x:v>
      </x:c>
      <x:c r="N346" s="12" t="str">
        <x:v>二食堂</x:v>
      </x:c>
      <x:c r="O346" s="12" t="n">
        <x:f>IFERROR(INDEX('秒级路线参数_可调整'!$O:$O,MATCH(M346,'秒级路线参数_可调整'!$A:$A,0)),"")</x:f>
        <x:v>0</x:v>
      </x:c>
      <x:c r="P346" s="12" t="str">
        <x:f>IF(O346="","",O346/86400)</x:f>
      </x:c>
      <x:c r="Q346" s="12" t="str">
        <x:f>IF(O346="","",(H346*60+O346)/86400)</x:f>
      </x:c>
      <x:c r="R346" s="12" t="str">
        <x:f>IF(Q346="","",TEXT(Q346,"hh:mm:ss"))</x:f>
      </x:c>
      <x:c r="S346" s="12" t="str">
        <x:v>否</x:v>
      </x:c>
      <x:c r="T346" s="12" t="str">
        <x:v>否</x:v>
      </x:c>
      <x:c r="U346" s="12" t="str">
        <x:v>未提供</x:v>
      </x:c>
      <x:c r="V346" s="12" t="str">
        <x:v>未提供</x:v>
      </x:c>
      <x:c r="W346" s="12" t="str">
        <x:v>秒级预测</x:v>
      </x:c>
      <x:c r="X346" s="12" t="str">
        <x:v>基于路线秒级参数；如录入实测或手动采用秒，预计到达时间可随公式更新</x:v>
      </x:c>
    </x:row>
    <x:row r="347">
      <x:c r="A347" s="12" t="str">
        <x:v>S0028-11</x:v>
      </x:c>
      <x:c r="B347" s="12" t="str">
        <x:v>S0028</x:v>
      </x:c>
      <x:c r="C347" s="12" t="str">
        <x:v>工作日</x:v>
      </x:c>
      <x:c r="D347" s="12" t="str">
        <x:v>环线1路</x:v>
      </x:c>
      <x:c r="E347" s="12" t="str">
        <x:v>第二班</x:v>
      </x:c>
      <x:c r="F347" s="12" t="n">
        <x:v>2</x:v>
      </x:c>
      <x:c r="G347" s="12" t="str">
        <x:v>8:10</x:v>
      </x:c>
      <x:c r="H347" s="12" t="n">
        <x:v>490</x:v>
      </x:c>
      <x:c r="I347" s="12" t="str">
        <x:v>研究生宿舍楼</x:v>
      </x:c>
      <x:c r="J347" s="12" t="str">
        <x:v>研究生宿舍楼发车</x:v>
      </x:c>
      <x:c r="K347" s="12" t="str">
        <x:v>HX1_NORMAL</x:v>
      </x:c>
      <x:c r="L347" s="12" t="n">
        <x:v>11</x:v>
      </x:c>
      <x:c r="M347" s="12" t="str">
        <x:v>HX1_NORMAL|11</x:v>
      </x:c>
      <x:c r="N347" s="12" t="str">
        <x:v>5号宿舍楼</x:v>
      </x:c>
      <x:c r="O347" s="12" t="n">
        <x:f>IFERROR(INDEX('秒级路线参数_可调整'!$O:$O,MATCH(M347,'秒级路线参数_可调整'!$A:$A,0)),"")</x:f>
        <x:v>0</x:v>
      </x:c>
      <x:c r="P347" s="12" t="str">
        <x:f>IF(O347="","",O347/86400)</x:f>
      </x:c>
      <x:c r="Q347" s="12" t="str">
        <x:f>IF(O347="","",(H347*60+O347)/86400)</x:f>
      </x:c>
      <x:c r="R347" s="12" t="str">
        <x:f>IF(Q347="","",TEXT(Q347,"hh:mm:ss"))</x:f>
      </x:c>
      <x:c r="S347" s="12" t="str">
        <x:v>否</x:v>
      </x:c>
      <x:c r="T347" s="12" t="str">
        <x:v>否</x:v>
      </x:c>
      <x:c r="U347" s="12" t="str">
        <x:v>未提供</x:v>
      </x:c>
      <x:c r="V347" s="12" t="str">
        <x:v>未提供</x:v>
      </x:c>
      <x:c r="W347" s="12" t="str">
        <x:v>秒级预测</x:v>
      </x:c>
      <x:c r="X347" s="12" t="str">
        <x:v>基于路线秒级参数；如录入实测或手动采用秒，预计到达时间可随公式更新</x:v>
      </x:c>
    </x:row>
    <x:row r="348">
      <x:c r="A348" s="12" t="str">
        <x:v>S0028-12</x:v>
      </x:c>
      <x:c r="B348" s="12" t="str">
        <x:v>S0028</x:v>
      </x:c>
      <x:c r="C348" s="12" t="str">
        <x:v>工作日</x:v>
      </x:c>
      <x:c r="D348" s="12" t="str">
        <x:v>环线1路</x:v>
      </x:c>
      <x:c r="E348" s="12" t="str">
        <x:v>第二班</x:v>
      </x:c>
      <x:c r="F348" s="12" t="n">
        <x:v>2</x:v>
      </x:c>
      <x:c r="G348" s="12" t="str">
        <x:v>8:10</x:v>
      </x:c>
      <x:c r="H348" s="12" t="n">
        <x:v>490</x:v>
      </x:c>
      <x:c r="I348" s="12" t="str">
        <x:v>研究生宿舍楼</x:v>
      </x:c>
      <x:c r="J348" s="12" t="str">
        <x:v>研究生宿舍楼发车</x:v>
      </x:c>
      <x:c r="K348" s="12" t="str">
        <x:v>HX1_NORMAL</x:v>
      </x:c>
      <x:c r="L348" s="12" t="n">
        <x:v>12</x:v>
      </x:c>
      <x:c r="M348" s="12" t="str">
        <x:v>HX1_NORMAL|12</x:v>
      </x:c>
      <x:c r="N348" s="12" t="str">
        <x:v>305教学楼</x:v>
      </x:c>
      <x:c r="O348" s="12" t="n">
        <x:f>IFERROR(INDEX('秒级路线参数_可调整'!$O:$O,MATCH(M348,'秒级路线参数_可调整'!$A:$A,0)),"")</x:f>
        <x:v>0</x:v>
      </x:c>
      <x:c r="P348" s="12" t="str">
        <x:f>IF(O348="","",O348/86400)</x:f>
      </x:c>
      <x:c r="Q348" s="12" t="str">
        <x:f>IF(O348="","",(H348*60+O348)/86400)</x:f>
      </x:c>
      <x:c r="R348" s="12" t="str">
        <x:f>IF(Q348="","",TEXT(Q348,"hh:mm:ss"))</x:f>
      </x:c>
      <x:c r="S348" s="12" t="str">
        <x:v>否</x:v>
      </x:c>
      <x:c r="T348" s="12" t="str">
        <x:v>否</x:v>
      </x:c>
      <x:c r="U348" s="12" t="str">
        <x:v>未提供</x:v>
      </x:c>
      <x:c r="V348" s="12" t="str">
        <x:v>未提供</x:v>
      </x:c>
      <x:c r="W348" s="12" t="str">
        <x:v>秒级预测</x:v>
      </x:c>
      <x:c r="X348" s="12" t="str">
        <x:v>基于路线秒级参数；如录入实测或手动采用秒，预计到达时间可随公式更新</x:v>
      </x:c>
    </x:row>
    <x:row r="349">
      <x:c r="A349" s="12" t="str">
        <x:v>S0028-13</x:v>
      </x:c>
      <x:c r="B349" s="12" t="str">
        <x:v>S0028</x:v>
      </x:c>
      <x:c r="C349" s="12" t="str">
        <x:v>工作日</x:v>
      </x:c>
      <x:c r="D349" s="12" t="str">
        <x:v>环线1路</x:v>
      </x:c>
      <x:c r="E349" s="12" t="str">
        <x:v>第二班</x:v>
      </x:c>
      <x:c r="F349" s="12" t="n">
        <x:v>2</x:v>
      </x:c>
      <x:c r="G349" s="12" t="str">
        <x:v>8:10</x:v>
      </x:c>
      <x:c r="H349" s="12" t="n">
        <x:v>490</x:v>
      </x:c>
      <x:c r="I349" s="12" t="str">
        <x:v>研究生宿舍楼</x:v>
      </x:c>
      <x:c r="J349" s="12" t="str">
        <x:v>研究生宿舍楼发车</x:v>
      </x:c>
      <x:c r="K349" s="12" t="str">
        <x:v>HX1_NORMAL</x:v>
      </x:c>
      <x:c r="L349" s="12" t="n">
        <x:v>13</x:v>
      </x:c>
      <x:c r="M349" s="12" t="str">
        <x:v>HX1_NORMAL|13</x:v>
      </x:c>
      <x:c r="N349" s="12" t="str">
        <x:v>研究生宿舍楼</x:v>
      </x:c>
      <x:c r="O349" s="12" t="n">
        <x:f>IFERROR(INDEX('秒级路线参数_可调整'!$O:$O,MATCH(M349,'秒级路线参数_可调整'!$A:$A,0)),"")</x:f>
        <x:v>0</x:v>
      </x:c>
      <x:c r="P349" s="12" t="str">
        <x:f>IF(O349="","",O349/86400)</x:f>
      </x:c>
      <x:c r="Q349" s="12" t="str">
        <x:f>IF(O349="","",(H349*60+O349)/86400)</x:f>
      </x:c>
      <x:c r="R349" s="12" t="str">
        <x:f>IF(Q349="","",TEXT(Q349,"hh:mm:ss"))</x:f>
      </x:c>
      <x:c r="S349" s="12" t="str">
        <x:v>否</x:v>
      </x:c>
      <x:c r="T349" s="12" t="str">
        <x:v>是</x:v>
      </x:c>
      <x:c r="U349" s="12" t="str">
        <x:v>未提供</x:v>
      </x:c>
      <x:c r="V349" s="12" t="str">
        <x:v>未提供</x:v>
      </x:c>
      <x:c r="W349" s="12" t="str">
        <x:v>秒级预测</x:v>
      </x:c>
      <x:c r="X349" s="12" t="str">
        <x:v>基于路线秒级参数；如录入实测或手动采用秒，预计到达时间可随公式更新</x:v>
      </x:c>
    </x:row>
    <x:row r="350">
      <x:c r="A350" s="12" t="str">
        <x:v>S0029-01</x:v>
      </x:c>
      <x:c r="B350" s="12" t="str">
        <x:v>S0029</x:v>
      </x:c>
      <x:c r="C350" s="12" t="str">
        <x:v>工作日</x:v>
      </x:c>
      <x:c r="D350" s="12" t="str">
        <x:v>环线1路</x:v>
      </x:c>
      <x:c r="E350" s="12" t="str">
        <x:v>第二班</x:v>
      </x:c>
      <x:c r="F350" s="12" t="n">
        <x:v>3</x:v>
      </x:c>
      <x:c r="G350" s="12" t="str">
        <x:v>8:40</x:v>
      </x:c>
      <x:c r="H350" s="12" t="n">
        <x:v>520</x:v>
      </x:c>
      <x:c r="I350" s="12" t="str">
        <x:v>研究生宿舍楼</x:v>
      </x:c>
      <x:c r="J350" s="12" t="str">
        <x:v>研究生宿舍楼发车</x:v>
      </x:c>
      <x:c r="K350" s="12" t="str">
        <x:v>HX1_NORMAL</x:v>
      </x:c>
      <x:c r="L350" s="12" t="n">
        <x:v>1</x:v>
      </x:c>
      <x:c r="M350" s="12" t="str">
        <x:v>HX1_NORMAL|1</x:v>
      </x:c>
      <x:c r="N350" s="12" t="str">
        <x:v>研究生宿舍楼</x:v>
      </x:c>
      <x:c r="O350" s="12" t="n">
        <x:f>IFERROR(INDEX('秒级路线参数_可调整'!$O:$O,MATCH(M350,'秒级路线参数_可调整'!$A:$A,0)),"")</x:f>
        <x:v>0</x:v>
      </x:c>
      <x:c r="P350" s="12" t="str">
        <x:f>IF(O350="","",O350/86400)</x:f>
      </x:c>
      <x:c r="Q350" s="12" t="str">
        <x:f>IF(O350="","",(H350*60+O350)/86400)</x:f>
      </x:c>
      <x:c r="R350" s="12" t="str">
        <x:f>IF(Q350="","",TEXT(Q350,"hh:mm:ss"))</x:f>
      </x:c>
      <x:c r="S350" s="12" t="str">
        <x:v>是</x:v>
      </x:c>
      <x:c r="T350" s="12" t="str">
        <x:v>否</x:v>
      </x:c>
      <x:c r="U350" s="12" t="str">
        <x:v>未提供</x:v>
      </x:c>
      <x:c r="V350" s="12" t="str">
        <x:v>未提供</x:v>
      </x:c>
      <x:c r="W350" s="12" t="str">
        <x:v>秒级预测</x:v>
      </x:c>
      <x:c r="X350" s="12" t="str">
        <x:v>基于路线秒级参数；如录入实测或手动采用秒，预计到达时间可随公式更新</x:v>
      </x:c>
    </x:row>
    <x:row r="351">
      <x:c r="A351" s="12" t="str">
        <x:v>S0029-02</x:v>
      </x:c>
      <x:c r="B351" s="12" t="str">
        <x:v>S0029</x:v>
      </x:c>
      <x:c r="C351" s="12" t="str">
        <x:v>工作日</x:v>
      </x:c>
      <x:c r="D351" s="12" t="str">
        <x:v>环线1路</x:v>
      </x:c>
      <x:c r="E351" s="12" t="str">
        <x:v>第二班</x:v>
      </x:c>
      <x:c r="F351" s="12" t="n">
        <x:v>3</x:v>
      </x:c>
      <x:c r="G351" s="12" t="str">
        <x:v>8:40</x:v>
      </x:c>
      <x:c r="H351" s="12" t="n">
        <x:v>520</x:v>
      </x:c>
      <x:c r="I351" s="12" t="str">
        <x:v>研究生宿舍楼</x:v>
      </x:c>
      <x:c r="J351" s="12" t="str">
        <x:v>研究生宿舍楼发车</x:v>
      </x:c>
      <x:c r="K351" s="12" t="str">
        <x:v>HX1_NORMAL</x:v>
      </x:c>
      <x:c r="L351" s="12" t="n">
        <x:v>2</x:v>
      </x:c>
      <x:c r="M351" s="12" t="str">
        <x:v>HX1_NORMAL|2</x:v>
      </x:c>
      <x:c r="N351" s="12" t="str">
        <x:v>东门</x:v>
      </x:c>
      <x:c r="O351" s="12" t="n">
        <x:f>IFERROR(INDEX('秒级路线参数_可调整'!$O:$O,MATCH(M351,'秒级路线参数_可调整'!$A:$A,0)),"")</x:f>
        <x:v>0</x:v>
      </x:c>
      <x:c r="P351" s="12" t="str">
        <x:f>IF(O351="","",O351/86400)</x:f>
      </x:c>
      <x:c r="Q351" s="12" t="str">
        <x:f>IF(O351="","",(H351*60+O351)/86400)</x:f>
      </x:c>
      <x:c r="R351" s="12" t="str">
        <x:f>IF(Q351="","",TEXT(Q351,"hh:mm:ss"))</x:f>
      </x:c>
      <x:c r="S351" s="12" t="str">
        <x:v>否</x:v>
      </x:c>
      <x:c r="T351" s="12" t="str">
        <x:v>否</x:v>
      </x:c>
      <x:c r="U351" s="12" t="str">
        <x:v>未提供</x:v>
      </x:c>
      <x:c r="V351" s="12" t="str">
        <x:v>未提供</x:v>
      </x:c>
      <x:c r="W351" s="12" t="str">
        <x:v>秒级预测</x:v>
      </x:c>
      <x:c r="X351" s="12" t="str">
        <x:v>基于路线秒级参数；如录入实测或手动采用秒，预计到达时间可随公式更新</x:v>
      </x:c>
    </x:row>
    <x:row r="352">
      <x:c r="A352" s="12" t="str">
        <x:v>S0029-03</x:v>
      </x:c>
      <x:c r="B352" s="12" t="str">
        <x:v>S0029</x:v>
      </x:c>
      <x:c r="C352" s="12" t="str">
        <x:v>工作日</x:v>
      </x:c>
      <x:c r="D352" s="12" t="str">
        <x:v>环线1路</x:v>
      </x:c>
      <x:c r="E352" s="12" t="str">
        <x:v>第二班</x:v>
      </x:c>
      <x:c r="F352" s="12" t="n">
        <x:v>3</x:v>
      </x:c>
      <x:c r="G352" s="12" t="str">
        <x:v>8:40</x:v>
      </x:c>
      <x:c r="H352" s="12" t="n">
        <x:v>520</x:v>
      </x:c>
      <x:c r="I352" s="12" t="str">
        <x:v>研究生宿舍楼</x:v>
      </x:c>
      <x:c r="J352" s="12" t="str">
        <x:v>研究生宿舍楼发车</x:v>
      </x:c>
      <x:c r="K352" s="12" t="str">
        <x:v>HX1_NORMAL</x:v>
      </x:c>
      <x:c r="L352" s="12" t="n">
        <x:v>3</x:v>
      </x:c>
      <x:c r="M352" s="12" t="str">
        <x:v>HX1_NORMAL|3</x:v>
      </x:c>
      <x:c r="N352" s="12" t="str">
        <x:v>2号宿舍楼</x:v>
      </x:c>
      <x:c r="O352" s="12" t="n">
        <x:f>IFERROR(INDEX('秒级路线参数_可调整'!$O:$O,MATCH(M352,'秒级路线参数_可调整'!$A:$A,0)),"")</x:f>
        <x:v>0</x:v>
      </x:c>
      <x:c r="P352" s="12" t="str">
        <x:f>IF(O352="","",O352/86400)</x:f>
      </x:c>
      <x:c r="Q352" s="12" t="str">
        <x:f>IF(O352="","",(H352*60+O352)/86400)</x:f>
      </x:c>
      <x:c r="R352" s="12" t="str">
        <x:f>IF(Q352="","",TEXT(Q352,"hh:mm:ss"))</x:f>
      </x:c>
      <x:c r="S352" s="12" t="str">
        <x:v>否</x:v>
      </x:c>
      <x:c r="T352" s="12" t="str">
        <x:v>否</x:v>
      </x:c>
      <x:c r="U352" s="12" t="str">
        <x:v>未提供</x:v>
      </x:c>
      <x:c r="V352" s="12" t="str">
        <x:v>未提供</x:v>
      </x:c>
      <x:c r="W352" s="12" t="str">
        <x:v>秒级预测</x:v>
      </x:c>
      <x:c r="X352" s="12" t="str">
        <x:v>基于路线秒级参数；如录入实测或手动采用秒，预计到达时间可随公式更新</x:v>
      </x:c>
    </x:row>
    <x:row r="353">
      <x:c r="A353" s="12" t="str">
        <x:v>S0029-04</x:v>
      </x:c>
      <x:c r="B353" s="12" t="str">
        <x:v>S0029</x:v>
      </x:c>
      <x:c r="C353" s="12" t="str">
        <x:v>工作日</x:v>
      </x:c>
      <x:c r="D353" s="12" t="str">
        <x:v>环线1路</x:v>
      </x:c>
      <x:c r="E353" s="12" t="str">
        <x:v>第二班</x:v>
      </x:c>
      <x:c r="F353" s="12" t="n">
        <x:v>3</x:v>
      </x:c>
      <x:c r="G353" s="12" t="str">
        <x:v>8:40</x:v>
      </x:c>
      <x:c r="H353" s="12" t="n">
        <x:v>520</x:v>
      </x:c>
      <x:c r="I353" s="12" t="str">
        <x:v>研究生宿舍楼</x:v>
      </x:c>
      <x:c r="J353" s="12" t="str">
        <x:v>研究生宿舍楼发车</x:v>
      </x:c>
      <x:c r="K353" s="12" t="str">
        <x:v>HX1_NORMAL</x:v>
      </x:c>
      <x:c r="L353" s="12" t="n">
        <x:v>4</x:v>
      </x:c>
      <x:c r="M353" s="12" t="str">
        <x:v>HX1_NORMAL|4</x:v>
      </x:c>
      <x:c r="N353" s="12" t="str">
        <x:v>军体活动中心</x:v>
      </x:c>
      <x:c r="O353" s="12" t="n">
        <x:f>IFERROR(INDEX('秒级路线参数_可调整'!$O:$O,MATCH(M353,'秒级路线参数_可调整'!$A:$A,0)),"")</x:f>
        <x:v>0</x:v>
      </x:c>
      <x:c r="P353" s="12" t="str">
        <x:f>IF(O353="","",O353/86400)</x:f>
      </x:c>
      <x:c r="Q353" s="12" t="str">
        <x:f>IF(O353="","",(H353*60+O353)/86400)</x:f>
      </x:c>
      <x:c r="R353" s="12" t="str">
        <x:f>IF(Q353="","",TEXT(Q353,"hh:mm:ss"))</x:f>
      </x:c>
      <x:c r="S353" s="12" t="str">
        <x:v>否</x:v>
      </x:c>
      <x:c r="T353" s="12" t="str">
        <x:v>否</x:v>
      </x:c>
      <x:c r="U353" s="12" t="str">
        <x:v>未提供</x:v>
      </x:c>
      <x:c r="V353" s="12" t="str">
        <x:v>未提供</x:v>
      </x:c>
      <x:c r="W353" s="12" t="str">
        <x:v>秒级预测</x:v>
      </x:c>
      <x:c r="X353" s="12" t="str">
        <x:v>基于路线秒级参数；如录入实测或手动采用秒，预计到达时间可随公式更新</x:v>
      </x:c>
    </x:row>
    <x:row r="354">
      <x:c r="A354" s="12" t="str">
        <x:v>S0029-05</x:v>
      </x:c>
      <x:c r="B354" s="12" t="str">
        <x:v>S0029</x:v>
      </x:c>
      <x:c r="C354" s="12" t="str">
        <x:v>工作日</x:v>
      </x:c>
      <x:c r="D354" s="12" t="str">
        <x:v>环线1路</x:v>
      </x:c>
      <x:c r="E354" s="12" t="str">
        <x:v>第二班</x:v>
      </x:c>
      <x:c r="F354" s="12" t="n">
        <x:v>3</x:v>
      </x:c>
      <x:c r="G354" s="12" t="str">
        <x:v>8:40</x:v>
      </x:c>
      <x:c r="H354" s="12" t="n">
        <x:v>520</x:v>
      </x:c>
      <x:c r="I354" s="12" t="str">
        <x:v>研究生宿舍楼</x:v>
      </x:c>
      <x:c r="J354" s="12" t="str">
        <x:v>研究生宿舍楼发车</x:v>
      </x:c>
      <x:c r="K354" s="12" t="str">
        <x:v>HX1_NORMAL</x:v>
      </x:c>
      <x:c r="L354" s="12" t="n">
        <x:v>5</x:v>
      </x:c>
      <x:c r="M354" s="12" t="str">
        <x:v>HX1_NORMAL|5</x:v>
      </x:c>
      <x:c r="N354" s="12" t="str">
        <x:v>激光所</x:v>
      </x:c>
      <x:c r="O354" s="12" t="n">
        <x:f>IFERROR(INDEX('秒级路线参数_可调整'!$O:$O,MATCH(M354,'秒级路线参数_可调整'!$A:$A,0)),"")</x:f>
        <x:v>0</x:v>
      </x:c>
      <x:c r="P354" s="12" t="str">
        <x:f>IF(O354="","",O354/86400)</x:f>
      </x:c>
      <x:c r="Q354" s="12" t="str">
        <x:f>IF(O354="","",(H354*60+O354)/86400)</x:f>
      </x:c>
      <x:c r="R354" s="12" t="str">
        <x:f>IF(Q354="","",TEXT(Q354,"hh:mm:ss"))</x:f>
      </x:c>
      <x:c r="S354" s="12" t="str">
        <x:v>否</x:v>
      </x:c>
      <x:c r="T354" s="12" t="str">
        <x:v>否</x:v>
      </x:c>
      <x:c r="U354" s="12" t="str">
        <x:v>未提供</x:v>
      </x:c>
      <x:c r="V354" s="12" t="str">
        <x:v>未提供</x:v>
      </x:c>
      <x:c r="W354" s="12" t="str">
        <x:v>秒级预测</x:v>
      </x:c>
      <x:c r="X354" s="12" t="str">
        <x:v>基于路线秒级参数；如录入实测或手动采用秒，预计到达时间可随公式更新</x:v>
      </x:c>
    </x:row>
    <x:row r="355">
      <x:c r="A355" s="12" t="str">
        <x:v>S0029-06</x:v>
      </x:c>
      <x:c r="B355" s="12" t="str">
        <x:v>S0029</x:v>
      </x:c>
      <x:c r="C355" s="12" t="str">
        <x:v>工作日</x:v>
      </x:c>
      <x:c r="D355" s="12" t="str">
        <x:v>环线1路</x:v>
      </x:c>
      <x:c r="E355" s="12" t="str">
        <x:v>第二班</x:v>
      </x:c>
      <x:c r="F355" s="12" t="n">
        <x:v>3</x:v>
      </x:c>
      <x:c r="G355" s="12" t="str">
        <x:v>8:40</x:v>
      </x:c>
      <x:c r="H355" s="12" t="n">
        <x:v>520</x:v>
      </x:c>
      <x:c r="I355" s="12" t="str">
        <x:v>研究生宿舍楼</x:v>
      </x:c>
      <x:c r="J355" s="12" t="str">
        <x:v>研究生宿舍楼发车</x:v>
      </x:c>
      <x:c r="K355" s="12" t="str">
        <x:v>HX1_NORMAL</x:v>
      </x:c>
      <x:c r="L355" s="12" t="n">
        <x:v>6</x:v>
      </x:c>
      <x:c r="M355" s="12" t="str">
        <x:v>HX1_NORMAL|6</x:v>
      </x:c>
      <x:c r="N355" s="12" t="str">
        <x:v>超算中心</x:v>
      </x:c>
      <x:c r="O355" s="12" t="n">
        <x:f>IFERROR(INDEX('秒级路线参数_可调整'!$O:$O,MATCH(M355,'秒级路线参数_可调整'!$A:$A,0)),"")</x:f>
        <x:v>0</x:v>
      </x:c>
      <x:c r="P355" s="12" t="str">
        <x:f>IF(O355="","",O355/86400)</x:f>
      </x:c>
      <x:c r="Q355" s="12" t="str">
        <x:f>IF(O355="","",(H355*60+O355)/86400)</x:f>
      </x:c>
      <x:c r="R355" s="12" t="str">
        <x:f>IF(Q355="","",TEXT(Q355,"hh:mm:ss"))</x:f>
      </x:c>
      <x:c r="S355" s="12" t="str">
        <x:v>否</x:v>
      </x:c>
      <x:c r="T355" s="12" t="str">
        <x:v>否</x:v>
      </x:c>
      <x:c r="U355" s="12" t="str">
        <x:v>未提供</x:v>
      </x:c>
      <x:c r="V355" s="12" t="str">
        <x:v>未提供</x:v>
      </x:c>
      <x:c r="W355" s="12" t="str">
        <x:v>秒级预测</x:v>
      </x:c>
      <x:c r="X355" s="12" t="str">
        <x:v>基于路线秒级参数；如录入实测或手动采用秒，预计到达时间可随公式更新</x:v>
      </x:c>
    </x:row>
    <x:row r="356">
      <x:c r="A356" s="12" t="str">
        <x:v>S0029-07</x:v>
      </x:c>
      <x:c r="B356" s="12" t="str">
        <x:v>S0029</x:v>
      </x:c>
      <x:c r="C356" s="12" t="str">
        <x:v>工作日</x:v>
      </x:c>
      <x:c r="D356" s="12" t="str">
        <x:v>环线1路</x:v>
      </x:c>
      <x:c r="E356" s="12" t="str">
        <x:v>第二班</x:v>
      </x:c>
      <x:c r="F356" s="12" t="n">
        <x:v>3</x:v>
      </x:c>
      <x:c r="G356" s="12" t="str">
        <x:v>8:40</x:v>
      </x:c>
      <x:c r="H356" s="12" t="n">
        <x:v>520</x:v>
      </x:c>
      <x:c r="I356" s="12" t="str">
        <x:v>研究生宿舍楼</x:v>
      </x:c>
      <x:c r="J356" s="12" t="str">
        <x:v>研究生宿舍楼发车</x:v>
      </x:c>
      <x:c r="K356" s="12" t="str">
        <x:v>HX1_NORMAL</x:v>
      </x:c>
      <x:c r="L356" s="12" t="n">
        <x:v>7</x:v>
      </x:c>
      <x:c r="M356" s="12" t="str">
        <x:v>HX1_NORMAL|7</x:v>
      </x:c>
      <x:c r="N356" s="12" t="str">
        <x:v>北门</x:v>
      </x:c>
      <x:c r="O356" s="12" t="n">
        <x:f>IFERROR(INDEX('秒级路线参数_可调整'!$O:$O,MATCH(M356,'秒级路线参数_可调整'!$A:$A,0)),"")</x:f>
        <x:v>0</x:v>
      </x:c>
      <x:c r="P356" s="12" t="str">
        <x:f>IF(O356="","",O356/86400)</x:f>
      </x:c>
      <x:c r="Q356" s="12" t="str">
        <x:f>IF(O356="","",(H356*60+O356)/86400)</x:f>
      </x:c>
      <x:c r="R356" s="12" t="str">
        <x:f>IF(Q356="","",TEXT(Q356,"hh:mm:ss"))</x:f>
      </x:c>
      <x:c r="S356" s="12" t="str">
        <x:v>否</x:v>
      </x:c>
      <x:c r="T356" s="12" t="str">
        <x:v>否</x:v>
      </x:c>
      <x:c r="U356" s="12" t="str">
        <x:v>未提供</x:v>
      </x:c>
      <x:c r="V356" s="12" t="str">
        <x:v>未提供</x:v>
      </x:c>
      <x:c r="W356" s="12" t="str">
        <x:v>秒级预测</x:v>
      </x:c>
      <x:c r="X356" s="12" t="str">
        <x:v>基于路线秒级参数；如录入实测或手动采用秒，预计到达时间可随公式更新</x:v>
      </x:c>
    </x:row>
    <x:row r="357">
      <x:c r="A357" s="12" t="str">
        <x:v>S0029-08</x:v>
      </x:c>
      <x:c r="B357" s="12" t="str">
        <x:v>S0029</x:v>
      </x:c>
      <x:c r="C357" s="12" t="str">
        <x:v>工作日</x:v>
      </x:c>
      <x:c r="D357" s="12" t="str">
        <x:v>环线1路</x:v>
      </x:c>
      <x:c r="E357" s="12" t="str">
        <x:v>第二班</x:v>
      </x:c>
      <x:c r="F357" s="12" t="n">
        <x:v>3</x:v>
      </x:c>
      <x:c r="G357" s="12" t="str">
        <x:v>8:40</x:v>
      </x:c>
      <x:c r="H357" s="12" t="n">
        <x:v>520</x:v>
      </x:c>
      <x:c r="I357" s="12" t="str">
        <x:v>研究生宿舍楼</x:v>
      </x:c>
      <x:c r="J357" s="12" t="str">
        <x:v>研究生宿舍楼发车</x:v>
      </x:c>
      <x:c r="K357" s="12" t="str">
        <x:v>HX1_NORMAL</x:v>
      </x:c>
      <x:c r="L357" s="12" t="n">
        <x:v>8</x:v>
      </x:c>
      <x:c r="M357" s="12" t="str">
        <x:v>HX1_NORMAL|8</x:v>
      </x:c>
      <x:c r="N357" s="12" t="str">
        <x:v>高超楼</x:v>
      </x:c>
      <x:c r="O357" s="12" t="n">
        <x:f>IFERROR(INDEX('秒级路线参数_可调整'!$O:$O,MATCH(M357,'秒级路线参数_可调整'!$A:$A,0)),"")</x:f>
        <x:v>0</x:v>
      </x:c>
      <x:c r="P357" s="12" t="str">
        <x:f>IF(O357="","",O357/86400)</x:f>
      </x:c>
      <x:c r="Q357" s="12" t="str">
        <x:f>IF(O357="","",(H357*60+O357)/86400)</x:f>
      </x:c>
      <x:c r="R357" s="12" t="str">
        <x:f>IF(Q357="","",TEXT(Q357,"hh:mm:ss"))</x:f>
      </x:c>
      <x:c r="S357" s="12" t="str">
        <x:v>否</x:v>
      </x:c>
      <x:c r="T357" s="12" t="str">
        <x:v>否</x:v>
      </x:c>
      <x:c r="U357" s="12" t="str">
        <x:v>未提供</x:v>
      </x:c>
      <x:c r="V357" s="12" t="str">
        <x:v>未提供</x:v>
      </x:c>
      <x:c r="W357" s="12" t="str">
        <x:v>秒级预测</x:v>
      </x:c>
      <x:c r="X357" s="12" t="str">
        <x:v>基于路线秒级参数；如录入实测或手动采用秒，预计到达时间可随公式更新</x:v>
      </x:c>
    </x:row>
    <x:row r="358">
      <x:c r="A358" s="12" t="str">
        <x:v>S0029-09</x:v>
      </x:c>
      <x:c r="B358" s="12" t="str">
        <x:v>S0029</x:v>
      </x:c>
      <x:c r="C358" s="12" t="str">
        <x:v>工作日</x:v>
      </x:c>
      <x:c r="D358" s="12" t="str">
        <x:v>环线1路</x:v>
      </x:c>
      <x:c r="E358" s="12" t="str">
        <x:v>第二班</x:v>
      </x:c>
      <x:c r="F358" s="12" t="n">
        <x:v>3</x:v>
      </x:c>
      <x:c r="G358" s="12" t="str">
        <x:v>8:40</x:v>
      </x:c>
      <x:c r="H358" s="12" t="n">
        <x:v>520</x:v>
      </x:c>
      <x:c r="I358" s="12" t="str">
        <x:v>研究生宿舍楼</x:v>
      </x:c>
      <x:c r="J358" s="12" t="str">
        <x:v>研究生宿舍楼发车</x:v>
      </x:c>
      <x:c r="K358" s="12" t="str">
        <x:v>HX1_NORMAL</x:v>
      </x:c>
      <x:c r="L358" s="12" t="n">
        <x:v>9</x:v>
      </x:c>
      <x:c r="M358" s="12" t="str">
        <x:v>HX1_NORMAL|9</x:v>
      </x:c>
      <x:c r="N358" s="12" t="str">
        <x:v>理学院</x:v>
      </x:c>
      <x:c r="O358" s="12" t="n">
        <x:f>IFERROR(INDEX('秒级路线参数_可调整'!$O:$O,MATCH(M358,'秒级路线参数_可调整'!$A:$A,0)),"")</x:f>
        <x:v>0</x:v>
      </x:c>
      <x:c r="P358" s="12" t="str">
        <x:f>IF(O358="","",O358/86400)</x:f>
      </x:c>
      <x:c r="Q358" s="12" t="str">
        <x:f>IF(O358="","",(H358*60+O358)/86400)</x:f>
      </x:c>
      <x:c r="R358" s="12" t="str">
        <x:f>IF(Q358="","",TEXT(Q358,"hh:mm:ss"))</x:f>
      </x:c>
      <x:c r="S358" s="12" t="str">
        <x:v>否</x:v>
      </x:c>
      <x:c r="T358" s="12" t="str">
        <x:v>否</x:v>
      </x:c>
      <x:c r="U358" s="12" t="str">
        <x:v>未提供</x:v>
      </x:c>
      <x:c r="V358" s="12" t="str">
        <x:v>未提供</x:v>
      </x:c>
      <x:c r="W358" s="12" t="str">
        <x:v>秒级预测</x:v>
      </x:c>
      <x:c r="X358" s="12" t="str">
        <x:v>基于路线秒级参数；如录入实测或手动采用秒，预计到达时间可随公式更新</x:v>
      </x:c>
    </x:row>
    <x:row r="359">
      <x:c r="A359" s="12" t="str">
        <x:v>S0029-10</x:v>
      </x:c>
      <x:c r="B359" s="12" t="str">
        <x:v>S0029</x:v>
      </x:c>
      <x:c r="C359" s="12" t="str">
        <x:v>工作日</x:v>
      </x:c>
      <x:c r="D359" s="12" t="str">
        <x:v>环线1路</x:v>
      </x:c>
      <x:c r="E359" s="12" t="str">
        <x:v>第二班</x:v>
      </x:c>
      <x:c r="F359" s="12" t="n">
        <x:v>3</x:v>
      </x:c>
      <x:c r="G359" s="12" t="str">
        <x:v>8:40</x:v>
      </x:c>
      <x:c r="H359" s="12" t="n">
        <x:v>520</x:v>
      </x:c>
      <x:c r="I359" s="12" t="str">
        <x:v>研究生宿舍楼</x:v>
      </x:c>
      <x:c r="J359" s="12" t="str">
        <x:v>研究生宿舍楼发车</x:v>
      </x:c>
      <x:c r="K359" s="12" t="str">
        <x:v>HX1_NORMAL</x:v>
      </x:c>
      <x:c r="L359" s="12" t="n">
        <x:v>10</x:v>
      </x:c>
      <x:c r="M359" s="12" t="str">
        <x:v>HX1_NORMAL|10</x:v>
      </x:c>
      <x:c r="N359" s="12" t="str">
        <x:v>二食堂</x:v>
      </x:c>
      <x:c r="O359" s="12" t="n">
        <x:f>IFERROR(INDEX('秒级路线参数_可调整'!$O:$O,MATCH(M359,'秒级路线参数_可调整'!$A:$A,0)),"")</x:f>
        <x:v>0</x:v>
      </x:c>
      <x:c r="P359" s="12" t="str">
        <x:f>IF(O359="","",O359/86400)</x:f>
      </x:c>
      <x:c r="Q359" s="12" t="str">
        <x:f>IF(O359="","",(H359*60+O359)/86400)</x:f>
      </x:c>
      <x:c r="R359" s="12" t="str">
        <x:f>IF(Q359="","",TEXT(Q359,"hh:mm:ss"))</x:f>
      </x:c>
      <x:c r="S359" s="12" t="str">
        <x:v>否</x:v>
      </x:c>
      <x:c r="T359" s="12" t="str">
        <x:v>否</x:v>
      </x:c>
      <x:c r="U359" s="12" t="str">
        <x:v>未提供</x:v>
      </x:c>
      <x:c r="V359" s="12" t="str">
        <x:v>未提供</x:v>
      </x:c>
      <x:c r="W359" s="12" t="str">
        <x:v>秒级预测</x:v>
      </x:c>
      <x:c r="X359" s="12" t="str">
        <x:v>基于路线秒级参数；如录入实测或手动采用秒，预计到达时间可随公式更新</x:v>
      </x:c>
    </x:row>
    <x:row r="360">
      <x:c r="A360" s="12" t="str">
        <x:v>S0029-11</x:v>
      </x:c>
      <x:c r="B360" s="12" t="str">
        <x:v>S0029</x:v>
      </x:c>
      <x:c r="C360" s="12" t="str">
        <x:v>工作日</x:v>
      </x:c>
      <x:c r="D360" s="12" t="str">
        <x:v>环线1路</x:v>
      </x:c>
      <x:c r="E360" s="12" t="str">
        <x:v>第二班</x:v>
      </x:c>
      <x:c r="F360" s="12" t="n">
        <x:v>3</x:v>
      </x:c>
      <x:c r="G360" s="12" t="str">
        <x:v>8:40</x:v>
      </x:c>
      <x:c r="H360" s="12" t="n">
        <x:v>520</x:v>
      </x:c>
      <x:c r="I360" s="12" t="str">
        <x:v>研究生宿舍楼</x:v>
      </x:c>
      <x:c r="J360" s="12" t="str">
        <x:v>研究生宿舍楼发车</x:v>
      </x:c>
      <x:c r="K360" s="12" t="str">
        <x:v>HX1_NORMAL</x:v>
      </x:c>
      <x:c r="L360" s="12" t="n">
        <x:v>11</x:v>
      </x:c>
      <x:c r="M360" s="12" t="str">
        <x:v>HX1_NORMAL|11</x:v>
      </x:c>
      <x:c r="N360" s="12" t="str">
        <x:v>5号宿舍楼</x:v>
      </x:c>
      <x:c r="O360" s="12" t="n">
        <x:f>IFERROR(INDEX('秒级路线参数_可调整'!$O:$O,MATCH(M360,'秒级路线参数_可调整'!$A:$A,0)),"")</x:f>
        <x:v>0</x:v>
      </x:c>
      <x:c r="P360" s="12" t="str">
        <x:f>IF(O360="","",O360/86400)</x:f>
      </x:c>
      <x:c r="Q360" s="12" t="str">
        <x:f>IF(O360="","",(H360*60+O360)/86400)</x:f>
      </x:c>
      <x:c r="R360" s="12" t="str">
        <x:f>IF(Q360="","",TEXT(Q360,"hh:mm:ss"))</x:f>
      </x:c>
      <x:c r="S360" s="12" t="str">
        <x:v>否</x:v>
      </x:c>
      <x:c r="T360" s="12" t="str">
        <x:v>否</x:v>
      </x:c>
      <x:c r="U360" s="12" t="str">
        <x:v>未提供</x:v>
      </x:c>
      <x:c r="V360" s="12" t="str">
        <x:v>未提供</x:v>
      </x:c>
      <x:c r="W360" s="12" t="str">
        <x:v>秒级预测</x:v>
      </x:c>
      <x:c r="X360" s="12" t="str">
        <x:v>基于路线秒级参数；如录入实测或手动采用秒，预计到达时间可随公式更新</x:v>
      </x:c>
    </x:row>
    <x:row r="361">
      <x:c r="A361" s="12" t="str">
        <x:v>S0029-12</x:v>
      </x:c>
      <x:c r="B361" s="12" t="str">
        <x:v>S0029</x:v>
      </x:c>
      <x:c r="C361" s="12" t="str">
        <x:v>工作日</x:v>
      </x:c>
      <x:c r="D361" s="12" t="str">
        <x:v>环线1路</x:v>
      </x:c>
      <x:c r="E361" s="12" t="str">
        <x:v>第二班</x:v>
      </x:c>
      <x:c r="F361" s="12" t="n">
        <x:v>3</x:v>
      </x:c>
      <x:c r="G361" s="12" t="str">
        <x:v>8:40</x:v>
      </x:c>
      <x:c r="H361" s="12" t="n">
        <x:v>520</x:v>
      </x:c>
      <x:c r="I361" s="12" t="str">
        <x:v>研究生宿舍楼</x:v>
      </x:c>
      <x:c r="J361" s="12" t="str">
        <x:v>研究生宿舍楼发车</x:v>
      </x:c>
      <x:c r="K361" s="12" t="str">
        <x:v>HX1_NORMAL</x:v>
      </x:c>
      <x:c r="L361" s="12" t="n">
        <x:v>12</x:v>
      </x:c>
      <x:c r="M361" s="12" t="str">
        <x:v>HX1_NORMAL|12</x:v>
      </x:c>
      <x:c r="N361" s="12" t="str">
        <x:v>305教学楼</x:v>
      </x:c>
      <x:c r="O361" s="12" t="n">
        <x:f>IFERROR(INDEX('秒级路线参数_可调整'!$O:$O,MATCH(M361,'秒级路线参数_可调整'!$A:$A,0)),"")</x:f>
        <x:v>0</x:v>
      </x:c>
      <x:c r="P361" s="12" t="str">
        <x:f>IF(O361="","",O361/86400)</x:f>
      </x:c>
      <x:c r="Q361" s="12" t="str">
        <x:f>IF(O361="","",(H361*60+O361)/86400)</x:f>
      </x:c>
      <x:c r="R361" s="12" t="str">
        <x:f>IF(Q361="","",TEXT(Q361,"hh:mm:ss"))</x:f>
      </x:c>
      <x:c r="S361" s="12" t="str">
        <x:v>否</x:v>
      </x:c>
      <x:c r="T361" s="12" t="str">
        <x:v>否</x:v>
      </x:c>
      <x:c r="U361" s="12" t="str">
        <x:v>未提供</x:v>
      </x:c>
      <x:c r="V361" s="12" t="str">
        <x:v>未提供</x:v>
      </x:c>
      <x:c r="W361" s="12" t="str">
        <x:v>秒级预测</x:v>
      </x:c>
      <x:c r="X361" s="12" t="str">
        <x:v>基于路线秒级参数；如录入实测或手动采用秒，预计到达时间可随公式更新</x:v>
      </x:c>
    </x:row>
    <x:row r="362">
      <x:c r="A362" s="12" t="str">
        <x:v>S0029-13</x:v>
      </x:c>
      <x:c r="B362" s="12" t="str">
        <x:v>S0029</x:v>
      </x:c>
      <x:c r="C362" s="12" t="str">
        <x:v>工作日</x:v>
      </x:c>
      <x:c r="D362" s="12" t="str">
        <x:v>环线1路</x:v>
      </x:c>
      <x:c r="E362" s="12" t="str">
        <x:v>第二班</x:v>
      </x:c>
      <x:c r="F362" s="12" t="n">
        <x:v>3</x:v>
      </x:c>
      <x:c r="G362" s="12" t="str">
        <x:v>8:40</x:v>
      </x:c>
      <x:c r="H362" s="12" t="n">
        <x:v>520</x:v>
      </x:c>
      <x:c r="I362" s="12" t="str">
        <x:v>研究生宿舍楼</x:v>
      </x:c>
      <x:c r="J362" s="12" t="str">
        <x:v>研究生宿舍楼发车</x:v>
      </x:c>
      <x:c r="K362" s="12" t="str">
        <x:v>HX1_NORMAL</x:v>
      </x:c>
      <x:c r="L362" s="12" t="n">
        <x:v>13</x:v>
      </x:c>
      <x:c r="M362" s="12" t="str">
        <x:v>HX1_NORMAL|13</x:v>
      </x:c>
      <x:c r="N362" s="12" t="str">
        <x:v>研究生宿舍楼</x:v>
      </x:c>
      <x:c r="O362" s="12" t="n">
        <x:f>IFERROR(INDEX('秒级路线参数_可调整'!$O:$O,MATCH(M362,'秒级路线参数_可调整'!$A:$A,0)),"")</x:f>
        <x:v>0</x:v>
      </x:c>
      <x:c r="P362" s="12" t="str">
        <x:f>IF(O362="","",O362/86400)</x:f>
      </x:c>
      <x:c r="Q362" s="12" t="str">
        <x:f>IF(O362="","",(H362*60+O362)/86400)</x:f>
      </x:c>
      <x:c r="R362" s="12" t="str">
        <x:f>IF(Q362="","",TEXT(Q362,"hh:mm:ss"))</x:f>
      </x:c>
      <x:c r="S362" s="12" t="str">
        <x:v>否</x:v>
      </x:c>
      <x:c r="T362" s="12" t="str">
        <x:v>是</x:v>
      </x:c>
      <x:c r="U362" s="12" t="str">
        <x:v>未提供</x:v>
      </x:c>
      <x:c r="V362" s="12" t="str">
        <x:v>未提供</x:v>
      </x:c>
      <x:c r="W362" s="12" t="str">
        <x:v>秒级预测</x:v>
      </x:c>
      <x:c r="X362" s="12" t="str">
        <x:v>基于路线秒级参数；如录入实测或手动采用秒，预计到达时间可随公式更新</x:v>
      </x:c>
    </x:row>
    <x:row r="363">
      <x:c r="A363" s="12" t="str">
        <x:v>S0030-01</x:v>
      </x:c>
      <x:c r="B363" s="12" t="str">
        <x:v>S0030</x:v>
      </x:c>
      <x:c r="C363" s="12" t="str">
        <x:v>工作日</x:v>
      </x:c>
      <x:c r="D363" s="12" t="str">
        <x:v>环线1路</x:v>
      </x:c>
      <x:c r="E363" s="12" t="str">
        <x:v>第二班</x:v>
      </x:c>
      <x:c r="F363" s="12" t="n">
        <x:v>4</x:v>
      </x:c>
      <x:c r="G363" s="12" t="str">
        <x:v>9:12</x:v>
      </x:c>
      <x:c r="H363" s="12" t="n">
        <x:v>552</x:v>
      </x:c>
      <x:c r="I363" s="12" t="str">
        <x:v>研究生宿舍楼</x:v>
      </x:c>
      <x:c r="J363" s="12" t="str">
        <x:v>研究生宿舍楼发车</x:v>
      </x:c>
      <x:c r="K363" s="12" t="str">
        <x:v>HX1_NORMAL</x:v>
      </x:c>
      <x:c r="L363" s="12" t="n">
        <x:v>1</x:v>
      </x:c>
      <x:c r="M363" s="12" t="str">
        <x:v>HX1_NORMAL|1</x:v>
      </x:c>
      <x:c r="N363" s="12" t="str">
        <x:v>研究生宿舍楼</x:v>
      </x:c>
      <x:c r="O363" s="12" t="n">
        <x:f>IFERROR(INDEX('秒级路线参数_可调整'!$O:$O,MATCH(M363,'秒级路线参数_可调整'!$A:$A,0)),"")</x:f>
        <x:v>0</x:v>
      </x:c>
      <x:c r="P363" s="12" t="str">
        <x:f>IF(O363="","",O363/86400)</x:f>
      </x:c>
      <x:c r="Q363" s="12" t="str">
        <x:f>IF(O363="","",(H363*60+O363)/86400)</x:f>
      </x:c>
      <x:c r="R363" s="12" t="str">
        <x:f>IF(Q363="","",TEXT(Q363,"hh:mm:ss"))</x:f>
      </x:c>
      <x:c r="S363" s="12" t="str">
        <x:v>是</x:v>
      </x:c>
      <x:c r="T363" s="12" t="str">
        <x:v>否</x:v>
      </x:c>
      <x:c r="U363" s="12" t="str">
        <x:v>未提供</x:v>
      </x:c>
      <x:c r="V363" s="12" t="str">
        <x:v>未提供</x:v>
      </x:c>
      <x:c r="W363" s="12" t="str">
        <x:v>秒级预测</x:v>
      </x:c>
      <x:c r="X363" s="12" t="str">
        <x:v>基于路线秒级参数；如录入实测或手动采用秒，预计到达时间可随公式更新</x:v>
      </x:c>
    </x:row>
    <x:row r="364">
      <x:c r="A364" s="12" t="str">
        <x:v>S0030-02</x:v>
      </x:c>
      <x:c r="B364" s="12" t="str">
        <x:v>S0030</x:v>
      </x:c>
      <x:c r="C364" s="12" t="str">
        <x:v>工作日</x:v>
      </x:c>
      <x:c r="D364" s="12" t="str">
        <x:v>环线1路</x:v>
      </x:c>
      <x:c r="E364" s="12" t="str">
        <x:v>第二班</x:v>
      </x:c>
      <x:c r="F364" s="12" t="n">
        <x:v>4</x:v>
      </x:c>
      <x:c r="G364" s="12" t="str">
        <x:v>9:12</x:v>
      </x:c>
      <x:c r="H364" s="12" t="n">
        <x:v>552</x:v>
      </x:c>
      <x:c r="I364" s="12" t="str">
        <x:v>研究生宿舍楼</x:v>
      </x:c>
      <x:c r="J364" s="12" t="str">
        <x:v>研究生宿舍楼发车</x:v>
      </x:c>
      <x:c r="K364" s="12" t="str">
        <x:v>HX1_NORMAL</x:v>
      </x:c>
      <x:c r="L364" s="12" t="n">
        <x:v>2</x:v>
      </x:c>
      <x:c r="M364" s="12" t="str">
        <x:v>HX1_NORMAL|2</x:v>
      </x:c>
      <x:c r="N364" s="12" t="str">
        <x:v>东门</x:v>
      </x:c>
      <x:c r="O364" s="12" t="n">
        <x:f>IFERROR(INDEX('秒级路线参数_可调整'!$O:$O,MATCH(M364,'秒级路线参数_可调整'!$A:$A,0)),"")</x:f>
        <x:v>0</x:v>
      </x:c>
      <x:c r="P364" s="12" t="str">
        <x:f>IF(O364="","",O364/86400)</x:f>
      </x:c>
      <x:c r="Q364" s="12" t="str">
        <x:f>IF(O364="","",(H364*60+O364)/86400)</x:f>
      </x:c>
      <x:c r="R364" s="12" t="str">
        <x:f>IF(Q364="","",TEXT(Q364,"hh:mm:ss"))</x:f>
      </x:c>
      <x:c r="S364" s="12" t="str">
        <x:v>否</x:v>
      </x:c>
      <x:c r="T364" s="12" t="str">
        <x:v>否</x:v>
      </x:c>
      <x:c r="U364" s="12" t="str">
        <x:v>未提供</x:v>
      </x:c>
      <x:c r="V364" s="12" t="str">
        <x:v>未提供</x:v>
      </x:c>
      <x:c r="W364" s="12" t="str">
        <x:v>秒级预测</x:v>
      </x:c>
      <x:c r="X364" s="12" t="str">
        <x:v>基于路线秒级参数；如录入实测或手动采用秒，预计到达时间可随公式更新</x:v>
      </x:c>
    </x:row>
    <x:row r="365">
      <x:c r="A365" s="12" t="str">
        <x:v>S0030-03</x:v>
      </x:c>
      <x:c r="B365" s="12" t="str">
        <x:v>S0030</x:v>
      </x:c>
      <x:c r="C365" s="12" t="str">
        <x:v>工作日</x:v>
      </x:c>
      <x:c r="D365" s="12" t="str">
        <x:v>环线1路</x:v>
      </x:c>
      <x:c r="E365" s="12" t="str">
        <x:v>第二班</x:v>
      </x:c>
      <x:c r="F365" s="12" t="n">
        <x:v>4</x:v>
      </x:c>
      <x:c r="G365" s="12" t="str">
        <x:v>9:12</x:v>
      </x:c>
      <x:c r="H365" s="12" t="n">
        <x:v>552</x:v>
      </x:c>
      <x:c r="I365" s="12" t="str">
        <x:v>研究生宿舍楼</x:v>
      </x:c>
      <x:c r="J365" s="12" t="str">
        <x:v>研究生宿舍楼发车</x:v>
      </x:c>
      <x:c r="K365" s="12" t="str">
        <x:v>HX1_NORMAL</x:v>
      </x:c>
      <x:c r="L365" s="12" t="n">
        <x:v>3</x:v>
      </x:c>
      <x:c r="M365" s="12" t="str">
        <x:v>HX1_NORMAL|3</x:v>
      </x:c>
      <x:c r="N365" s="12" t="str">
        <x:v>2号宿舍楼</x:v>
      </x:c>
      <x:c r="O365" s="12" t="n">
        <x:f>IFERROR(INDEX('秒级路线参数_可调整'!$O:$O,MATCH(M365,'秒级路线参数_可调整'!$A:$A,0)),"")</x:f>
        <x:v>0</x:v>
      </x:c>
      <x:c r="P365" s="12" t="str">
        <x:f>IF(O365="","",O365/86400)</x:f>
      </x:c>
      <x:c r="Q365" s="12" t="str">
        <x:f>IF(O365="","",(H365*60+O365)/86400)</x:f>
      </x:c>
      <x:c r="R365" s="12" t="str">
        <x:f>IF(Q365="","",TEXT(Q365,"hh:mm:ss"))</x:f>
      </x:c>
      <x:c r="S365" s="12" t="str">
        <x:v>否</x:v>
      </x:c>
      <x:c r="T365" s="12" t="str">
        <x:v>否</x:v>
      </x:c>
      <x:c r="U365" s="12" t="str">
        <x:v>未提供</x:v>
      </x:c>
      <x:c r="V365" s="12" t="str">
        <x:v>未提供</x:v>
      </x:c>
      <x:c r="W365" s="12" t="str">
        <x:v>秒级预测</x:v>
      </x:c>
      <x:c r="X365" s="12" t="str">
        <x:v>基于路线秒级参数；如录入实测或手动采用秒，预计到达时间可随公式更新</x:v>
      </x:c>
    </x:row>
    <x:row r="366">
      <x:c r="A366" s="12" t="str">
        <x:v>S0030-04</x:v>
      </x:c>
      <x:c r="B366" s="12" t="str">
        <x:v>S0030</x:v>
      </x:c>
      <x:c r="C366" s="12" t="str">
        <x:v>工作日</x:v>
      </x:c>
      <x:c r="D366" s="12" t="str">
        <x:v>环线1路</x:v>
      </x:c>
      <x:c r="E366" s="12" t="str">
        <x:v>第二班</x:v>
      </x:c>
      <x:c r="F366" s="12" t="n">
        <x:v>4</x:v>
      </x:c>
      <x:c r="G366" s="12" t="str">
        <x:v>9:12</x:v>
      </x:c>
      <x:c r="H366" s="12" t="n">
        <x:v>552</x:v>
      </x:c>
      <x:c r="I366" s="12" t="str">
        <x:v>研究生宿舍楼</x:v>
      </x:c>
      <x:c r="J366" s="12" t="str">
        <x:v>研究生宿舍楼发车</x:v>
      </x:c>
      <x:c r="K366" s="12" t="str">
        <x:v>HX1_NORMAL</x:v>
      </x:c>
      <x:c r="L366" s="12" t="n">
        <x:v>4</x:v>
      </x:c>
      <x:c r="M366" s="12" t="str">
        <x:v>HX1_NORMAL|4</x:v>
      </x:c>
      <x:c r="N366" s="12" t="str">
        <x:v>军体活动中心</x:v>
      </x:c>
      <x:c r="O366" s="12" t="n">
        <x:f>IFERROR(INDEX('秒级路线参数_可调整'!$O:$O,MATCH(M366,'秒级路线参数_可调整'!$A:$A,0)),"")</x:f>
        <x:v>0</x:v>
      </x:c>
      <x:c r="P366" s="12" t="str">
        <x:f>IF(O366="","",O366/86400)</x:f>
      </x:c>
      <x:c r="Q366" s="12" t="str">
        <x:f>IF(O366="","",(H366*60+O366)/86400)</x:f>
      </x:c>
      <x:c r="R366" s="12" t="str">
        <x:f>IF(Q366="","",TEXT(Q366,"hh:mm:ss"))</x:f>
      </x:c>
      <x:c r="S366" s="12" t="str">
        <x:v>否</x:v>
      </x:c>
      <x:c r="T366" s="12" t="str">
        <x:v>否</x:v>
      </x:c>
      <x:c r="U366" s="12" t="str">
        <x:v>未提供</x:v>
      </x:c>
      <x:c r="V366" s="12" t="str">
        <x:v>未提供</x:v>
      </x:c>
      <x:c r="W366" s="12" t="str">
        <x:v>秒级预测</x:v>
      </x:c>
      <x:c r="X366" s="12" t="str">
        <x:v>基于路线秒级参数；如录入实测或手动采用秒，预计到达时间可随公式更新</x:v>
      </x:c>
    </x:row>
    <x:row r="367">
      <x:c r="A367" s="12" t="str">
        <x:v>S0030-05</x:v>
      </x:c>
      <x:c r="B367" s="12" t="str">
        <x:v>S0030</x:v>
      </x:c>
      <x:c r="C367" s="12" t="str">
        <x:v>工作日</x:v>
      </x:c>
      <x:c r="D367" s="12" t="str">
        <x:v>环线1路</x:v>
      </x:c>
      <x:c r="E367" s="12" t="str">
        <x:v>第二班</x:v>
      </x:c>
      <x:c r="F367" s="12" t="n">
        <x:v>4</x:v>
      </x:c>
      <x:c r="G367" s="12" t="str">
        <x:v>9:12</x:v>
      </x:c>
      <x:c r="H367" s="12" t="n">
        <x:v>552</x:v>
      </x:c>
      <x:c r="I367" s="12" t="str">
        <x:v>研究生宿舍楼</x:v>
      </x:c>
      <x:c r="J367" s="12" t="str">
        <x:v>研究生宿舍楼发车</x:v>
      </x:c>
      <x:c r="K367" s="12" t="str">
        <x:v>HX1_NORMAL</x:v>
      </x:c>
      <x:c r="L367" s="12" t="n">
        <x:v>5</x:v>
      </x:c>
      <x:c r="M367" s="12" t="str">
        <x:v>HX1_NORMAL|5</x:v>
      </x:c>
      <x:c r="N367" s="12" t="str">
        <x:v>激光所</x:v>
      </x:c>
      <x:c r="O367" s="12" t="n">
        <x:f>IFERROR(INDEX('秒级路线参数_可调整'!$O:$O,MATCH(M367,'秒级路线参数_可调整'!$A:$A,0)),"")</x:f>
        <x:v>0</x:v>
      </x:c>
      <x:c r="P367" s="12" t="str">
        <x:f>IF(O367="","",O367/86400)</x:f>
      </x:c>
      <x:c r="Q367" s="12" t="str">
        <x:f>IF(O367="","",(H367*60+O367)/86400)</x:f>
      </x:c>
      <x:c r="R367" s="12" t="str">
        <x:f>IF(Q367="","",TEXT(Q367,"hh:mm:ss"))</x:f>
      </x:c>
      <x:c r="S367" s="12" t="str">
        <x:v>否</x:v>
      </x:c>
      <x:c r="T367" s="12" t="str">
        <x:v>否</x:v>
      </x:c>
      <x:c r="U367" s="12" t="str">
        <x:v>未提供</x:v>
      </x:c>
      <x:c r="V367" s="12" t="str">
        <x:v>未提供</x:v>
      </x:c>
      <x:c r="W367" s="12" t="str">
        <x:v>秒级预测</x:v>
      </x:c>
      <x:c r="X367" s="12" t="str">
        <x:v>基于路线秒级参数；如录入实测或手动采用秒，预计到达时间可随公式更新</x:v>
      </x:c>
    </x:row>
    <x:row r="368">
      <x:c r="A368" s="12" t="str">
        <x:v>S0030-06</x:v>
      </x:c>
      <x:c r="B368" s="12" t="str">
        <x:v>S0030</x:v>
      </x:c>
      <x:c r="C368" s="12" t="str">
        <x:v>工作日</x:v>
      </x:c>
      <x:c r="D368" s="12" t="str">
        <x:v>环线1路</x:v>
      </x:c>
      <x:c r="E368" s="12" t="str">
        <x:v>第二班</x:v>
      </x:c>
      <x:c r="F368" s="12" t="n">
        <x:v>4</x:v>
      </x:c>
      <x:c r="G368" s="12" t="str">
        <x:v>9:12</x:v>
      </x:c>
      <x:c r="H368" s="12" t="n">
        <x:v>552</x:v>
      </x:c>
      <x:c r="I368" s="12" t="str">
        <x:v>研究生宿舍楼</x:v>
      </x:c>
      <x:c r="J368" s="12" t="str">
        <x:v>研究生宿舍楼发车</x:v>
      </x:c>
      <x:c r="K368" s="12" t="str">
        <x:v>HX1_NORMAL</x:v>
      </x:c>
      <x:c r="L368" s="12" t="n">
        <x:v>6</x:v>
      </x:c>
      <x:c r="M368" s="12" t="str">
        <x:v>HX1_NORMAL|6</x:v>
      </x:c>
      <x:c r="N368" s="12" t="str">
        <x:v>超算中心</x:v>
      </x:c>
      <x:c r="O368" s="12" t="n">
        <x:f>IFERROR(INDEX('秒级路线参数_可调整'!$O:$O,MATCH(M368,'秒级路线参数_可调整'!$A:$A,0)),"")</x:f>
        <x:v>0</x:v>
      </x:c>
      <x:c r="P368" s="12" t="str">
        <x:f>IF(O368="","",O368/86400)</x:f>
      </x:c>
      <x:c r="Q368" s="12" t="str">
        <x:f>IF(O368="","",(H368*60+O368)/86400)</x:f>
      </x:c>
      <x:c r="R368" s="12" t="str">
        <x:f>IF(Q368="","",TEXT(Q368,"hh:mm:ss"))</x:f>
      </x:c>
      <x:c r="S368" s="12" t="str">
        <x:v>否</x:v>
      </x:c>
      <x:c r="T368" s="12" t="str">
        <x:v>否</x:v>
      </x:c>
      <x:c r="U368" s="12" t="str">
        <x:v>未提供</x:v>
      </x:c>
      <x:c r="V368" s="12" t="str">
        <x:v>未提供</x:v>
      </x:c>
      <x:c r="W368" s="12" t="str">
        <x:v>秒级预测</x:v>
      </x:c>
      <x:c r="X368" s="12" t="str">
        <x:v>基于路线秒级参数；如录入实测或手动采用秒，预计到达时间可随公式更新</x:v>
      </x:c>
    </x:row>
    <x:row r="369">
      <x:c r="A369" s="12" t="str">
        <x:v>S0030-07</x:v>
      </x:c>
      <x:c r="B369" s="12" t="str">
        <x:v>S0030</x:v>
      </x:c>
      <x:c r="C369" s="12" t="str">
        <x:v>工作日</x:v>
      </x:c>
      <x:c r="D369" s="12" t="str">
        <x:v>环线1路</x:v>
      </x:c>
      <x:c r="E369" s="12" t="str">
        <x:v>第二班</x:v>
      </x:c>
      <x:c r="F369" s="12" t="n">
        <x:v>4</x:v>
      </x:c>
      <x:c r="G369" s="12" t="str">
        <x:v>9:12</x:v>
      </x:c>
      <x:c r="H369" s="12" t="n">
        <x:v>552</x:v>
      </x:c>
      <x:c r="I369" s="12" t="str">
        <x:v>研究生宿舍楼</x:v>
      </x:c>
      <x:c r="J369" s="12" t="str">
        <x:v>研究生宿舍楼发车</x:v>
      </x:c>
      <x:c r="K369" s="12" t="str">
        <x:v>HX1_NORMAL</x:v>
      </x:c>
      <x:c r="L369" s="12" t="n">
        <x:v>7</x:v>
      </x:c>
      <x:c r="M369" s="12" t="str">
        <x:v>HX1_NORMAL|7</x:v>
      </x:c>
      <x:c r="N369" s="12" t="str">
        <x:v>北门</x:v>
      </x:c>
      <x:c r="O369" s="12" t="n">
        <x:f>IFERROR(INDEX('秒级路线参数_可调整'!$O:$O,MATCH(M369,'秒级路线参数_可调整'!$A:$A,0)),"")</x:f>
        <x:v>0</x:v>
      </x:c>
      <x:c r="P369" s="12" t="str">
        <x:f>IF(O369="","",O369/86400)</x:f>
      </x:c>
      <x:c r="Q369" s="12" t="str">
        <x:f>IF(O369="","",(H369*60+O369)/86400)</x:f>
      </x:c>
      <x:c r="R369" s="12" t="str">
        <x:f>IF(Q369="","",TEXT(Q369,"hh:mm:ss"))</x:f>
      </x:c>
      <x:c r="S369" s="12" t="str">
        <x:v>否</x:v>
      </x:c>
      <x:c r="T369" s="12" t="str">
        <x:v>否</x:v>
      </x:c>
      <x:c r="U369" s="12" t="str">
        <x:v>未提供</x:v>
      </x:c>
      <x:c r="V369" s="12" t="str">
        <x:v>未提供</x:v>
      </x:c>
      <x:c r="W369" s="12" t="str">
        <x:v>秒级预测</x:v>
      </x:c>
      <x:c r="X369" s="12" t="str">
        <x:v>基于路线秒级参数；如录入实测或手动采用秒，预计到达时间可随公式更新</x:v>
      </x:c>
    </x:row>
    <x:row r="370">
      <x:c r="A370" s="12" t="str">
        <x:v>S0030-08</x:v>
      </x:c>
      <x:c r="B370" s="12" t="str">
        <x:v>S0030</x:v>
      </x:c>
      <x:c r="C370" s="12" t="str">
        <x:v>工作日</x:v>
      </x:c>
      <x:c r="D370" s="12" t="str">
        <x:v>环线1路</x:v>
      </x:c>
      <x:c r="E370" s="12" t="str">
        <x:v>第二班</x:v>
      </x:c>
      <x:c r="F370" s="12" t="n">
        <x:v>4</x:v>
      </x:c>
      <x:c r="G370" s="12" t="str">
        <x:v>9:12</x:v>
      </x:c>
      <x:c r="H370" s="12" t="n">
        <x:v>552</x:v>
      </x:c>
      <x:c r="I370" s="12" t="str">
        <x:v>研究生宿舍楼</x:v>
      </x:c>
      <x:c r="J370" s="12" t="str">
        <x:v>研究生宿舍楼发车</x:v>
      </x:c>
      <x:c r="K370" s="12" t="str">
        <x:v>HX1_NORMAL</x:v>
      </x:c>
      <x:c r="L370" s="12" t="n">
        <x:v>8</x:v>
      </x:c>
      <x:c r="M370" s="12" t="str">
        <x:v>HX1_NORMAL|8</x:v>
      </x:c>
      <x:c r="N370" s="12" t="str">
        <x:v>高超楼</x:v>
      </x:c>
      <x:c r="O370" s="12" t="n">
        <x:f>IFERROR(INDEX('秒级路线参数_可调整'!$O:$O,MATCH(M370,'秒级路线参数_可调整'!$A:$A,0)),"")</x:f>
        <x:v>0</x:v>
      </x:c>
      <x:c r="P370" s="12" t="str">
        <x:f>IF(O370="","",O370/86400)</x:f>
      </x:c>
      <x:c r="Q370" s="12" t="str">
        <x:f>IF(O370="","",(H370*60+O370)/86400)</x:f>
      </x:c>
      <x:c r="R370" s="12" t="str">
        <x:f>IF(Q370="","",TEXT(Q370,"hh:mm:ss"))</x:f>
      </x:c>
      <x:c r="S370" s="12" t="str">
        <x:v>否</x:v>
      </x:c>
      <x:c r="T370" s="12" t="str">
        <x:v>否</x:v>
      </x:c>
      <x:c r="U370" s="12" t="str">
        <x:v>未提供</x:v>
      </x:c>
      <x:c r="V370" s="12" t="str">
        <x:v>未提供</x:v>
      </x:c>
      <x:c r="W370" s="12" t="str">
        <x:v>秒级预测</x:v>
      </x:c>
      <x:c r="X370" s="12" t="str">
        <x:v>基于路线秒级参数；如录入实测或手动采用秒，预计到达时间可随公式更新</x:v>
      </x:c>
    </x:row>
    <x:row r="371">
      <x:c r="A371" s="12" t="str">
        <x:v>S0030-09</x:v>
      </x:c>
      <x:c r="B371" s="12" t="str">
        <x:v>S0030</x:v>
      </x:c>
      <x:c r="C371" s="12" t="str">
        <x:v>工作日</x:v>
      </x:c>
      <x:c r="D371" s="12" t="str">
        <x:v>环线1路</x:v>
      </x:c>
      <x:c r="E371" s="12" t="str">
        <x:v>第二班</x:v>
      </x:c>
      <x:c r="F371" s="12" t="n">
        <x:v>4</x:v>
      </x:c>
      <x:c r="G371" s="12" t="str">
        <x:v>9:12</x:v>
      </x:c>
      <x:c r="H371" s="12" t="n">
        <x:v>552</x:v>
      </x:c>
      <x:c r="I371" s="12" t="str">
        <x:v>研究生宿舍楼</x:v>
      </x:c>
      <x:c r="J371" s="12" t="str">
        <x:v>研究生宿舍楼发车</x:v>
      </x:c>
      <x:c r="K371" s="12" t="str">
        <x:v>HX1_NORMAL</x:v>
      </x:c>
      <x:c r="L371" s="12" t="n">
        <x:v>9</x:v>
      </x:c>
      <x:c r="M371" s="12" t="str">
        <x:v>HX1_NORMAL|9</x:v>
      </x:c>
      <x:c r="N371" s="12" t="str">
        <x:v>理学院</x:v>
      </x:c>
      <x:c r="O371" s="12" t="n">
        <x:f>IFERROR(INDEX('秒级路线参数_可调整'!$O:$O,MATCH(M371,'秒级路线参数_可调整'!$A:$A,0)),"")</x:f>
        <x:v>0</x:v>
      </x:c>
      <x:c r="P371" s="12" t="str">
        <x:f>IF(O371="","",O371/86400)</x:f>
      </x:c>
      <x:c r="Q371" s="12" t="str">
        <x:f>IF(O371="","",(H371*60+O371)/86400)</x:f>
      </x:c>
      <x:c r="R371" s="12" t="str">
        <x:f>IF(Q371="","",TEXT(Q371,"hh:mm:ss"))</x:f>
      </x:c>
      <x:c r="S371" s="12" t="str">
        <x:v>否</x:v>
      </x:c>
      <x:c r="T371" s="12" t="str">
        <x:v>否</x:v>
      </x:c>
      <x:c r="U371" s="12" t="str">
        <x:v>未提供</x:v>
      </x:c>
      <x:c r="V371" s="12" t="str">
        <x:v>未提供</x:v>
      </x:c>
      <x:c r="W371" s="12" t="str">
        <x:v>秒级预测</x:v>
      </x:c>
      <x:c r="X371" s="12" t="str">
        <x:v>基于路线秒级参数；如录入实测或手动采用秒，预计到达时间可随公式更新</x:v>
      </x:c>
    </x:row>
    <x:row r="372">
      <x:c r="A372" s="12" t="str">
        <x:v>S0030-10</x:v>
      </x:c>
      <x:c r="B372" s="12" t="str">
        <x:v>S0030</x:v>
      </x:c>
      <x:c r="C372" s="12" t="str">
        <x:v>工作日</x:v>
      </x:c>
      <x:c r="D372" s="12" t="str">
        <x:v>环线1路</x:v>
      </x:c>
      <x:c r="E372" s="12" t="str">
        <x:v>第二班</x:v>
      </x:c>
      <x:c r="F372" s="12" t="n">
        <x:v>4</x:v>
      </x:c>
      <x:c r="G372" s="12" t="str">
        <x:v>9:12</x:v>
      </x:c>
      <x:c r="H372" s="12" t="n">
        <x:v>552</x:v>
      </x:c>
      <x:c r="I372" s="12" t="str">
        <x:v>研究生宿舍楼</x:v>
      </x:c>
      <x:c r="J372" s="12" t="str">
        <x:v>研究生宿舍楼发车</x:v>
      </x:c>
      <x:c r="K372" s="12" t="str">
        <x:v>HX1_NORMAL</x:v>
      </x:c>
      <x:c r="L372" s="12" t="n">
        <x:v>10</x:v>
      </x:c>
      <x:c r="M372" s="12" t="str">
        <x:v>HX1_NORMAL|10</x:v>
      </x:c>
      <x:c r="N372" s="12" t="str">
        <x:v>二食堂</x:v>
      </x:c>
      <x:c r="O372" s="12" t="n">
        <x:f>IFERROR(INDEX('秒级路线参数_可调整'!$O:$O,MATCH(M372,'秒级路线参数_可调整'!$A:$A,0)),"")</x:f>
        <x:v>0</x:v>
      </x:c>
      <x:c r="P372" s="12" t="str">
        <x:f>IF(O372="","",O372/86400)</x:f>
      </x:c>
      <x:c r="Q372" s="12" t="str">
        <x:f>IF(O372="","",(H372*60+O372)/86400)</x:f>
      </x:c>
      <x:c r="R372" s="12" t="str">
        <x:f>IF(Q372="","",TEXT(Q372,"hh:mm:ss"))</x:f>
      </x:c>
      <x:c r="S372" s="12" t="str">
        <x:v>否</x:v>
      </x:c>
      <x:c r="T372" s="12" t="str">
        <x:v>否</x:v>
      </x:c>
      <x:c r="U372" s="12" t="str">
        <x:v>未提供</x:v>
      </x:c>
      <x:c r="V372" s="12" t="str">
        <x:v>未提供</x:v>
      </x:c>
      <x:c r="W372" s="12" t="str">
        <x:v>秒级预测</x:v>
      </x:c>
      <x:c r="X372" s="12" t="str">
        <x:v>基于路线秒级参数；如录入实测或手动采用秒，预计到达时间可随公式更新</x:v>
      </x:c>
    </x:row>
    <x:row r="373">
      <x:c r="A373" s="12" t="str">
        <x:v>S0030-11</x:v>
      </x:c>
      <x:c r="B373" s="12" t="str">
        <x:v>S0030</x:v>
      </x:c>
      <x:c r="C373" s="12" t="str">
        <x:v>工作日</x:v>
      </x:c>
      <x:c r="D373" s="12" t="str">
        <x:v>环线1路</x:v>
      </x:c>
      <x:c r="E373" s="12" t="str">
        <x:v>第二班</x:v>
      </x:c>
      <x:c r="F373" s="12" t="n">
        <x:v>4</x:v>
      </x:c>
      <x:c r="G373" s="12" t="str">
        <x:v>9:12</x:v>
      </x:c>
      <x:c r="H373" s="12" t="n">
        <x:v>552</x:v>
      </x:c>
      <x:c r="I373" s="12" t="str">
        <x:v>研究生宿舍楼</x:v>
      </x:c>
      <x:c r="J373" s="12" t="str">
        <x:v>研究生宿舍楼发车</x:v>
      </x:c>
      <x:c r="K373" s="12" t="str">
        <x:v>HX1_NORMAL</x:v>
      </x:c>
      <x:c r="L373" s="12" t="n">
        <x:v>11</x:v>
      </x:c>
      <x:c r="M373" s="12" t="str">
        <x:v>HX1_NORMAL|11</x:v>
      </x:c>
      <x:c r="N373" s="12" t="str">
        <x:v>5号宿舍楼</x:v>
      </x:c>
      <x:c r="O373" s="12" t="n">
        <x:f>IFERROR(INDEX('秒级路线参数_可调整'!$O:$O,MATCH(M373,'秒级路线参数_可调整'!$A:$A,0)),"")</x:f>
        <x:v>0</x:v>
      </x:c>
      <x:c r="P373" s="12" t="str">
        <x:f>IF(O373="","",O373/86400)</x:f>
      </x:c>
      <x:c r="Q373" s="12" t="str">
        <x:f>IF(O373="","",(H373*60+O373)/86400)</x:f>
      </x:c>
      <x:c r="R373" s="12" t="str">
        <x:f>IF(Q373="","",TEXT(Q373,"hh:mm:ss"))</x:f>
      </x:c>
      <x:c r="S373" s="12" t="str">
        <x:v>否</x:v>
      </x:c>
      <x:c r="T373" s="12" t="str">
        <x:v>否</x:v>
      </x:c>
      <x:c r="U373" s="12" t="str">
        <x:v>未提供</x:v>
      </x:c>
      <x:c r="V373" s="12" t="str">
        <x:v>未提供</x:v>
      </x:c>
      <x:c r="W373" s="12" t="str">
        <x:v>秒级预测</x:v>
      </x:c>
      <x:c r="X373" s="12" t="str">
        <x:v>基于路线秒级参数；如录入实测或手动采用秒，预计到达时间可随公式更新</x:v>
      </x:c>
    </x:row>
    <x:row r="374">
      <x:c r="A374" s="12" t="str">
        <x:v>S0030-12</x:v>
      </x:c>
      <x:c r="B374" s="12" t="str">
        <x:v>S0030</x:v>
      </x:c>
      <x:c r="C374" s="12" t="str">
        <x:v>工作日</x:v>
      </x:c>
      <x:c r="D374" s="12" t="str">
        <x:v>环线1路</x:v>
      </x:c>
      <x:c r="E374" s="12" t="str">
        <x:v>第二班</x:v>
      </x:c>
      <x:c r="F374" s="12" t="n">
        <x:v>4</x:v>
      </x:c>
      <x:c r="G374" s="12" t="str">
        <x:v>9:12</x:v>
      </x:c>
      <x:c r="H374" s="12" t="n">
        <x:v>552</x:v>
      </x:c>
      <x:c r="I374" s="12" t="str">
        <x:v>研究生宿舍楼</x:v>
      </x:c>
      <x:c r="J374" s="12" t="str">
        <x:v>研究生宿舍楼发车</x:v>
      </x:c>
      <x:c r="K374" s="12" t="str">
        <x:v>HX1_NORMAL</x:v>
      </x:c>
      <x:c r="L374" s="12" t="n">
        <x:v>12</x:v>
      </x:c>
      <x:c r="M374" s="12" t="str">
        <x:v>HX1_NORMAL|12</x:v>
      </x:c>
      <x:c r="N374" s="12" t="str">
        <x:v>305教学楼</x:v>
      </x:c>
      <x:c r="O374" s="12" t="n">
        <x:f>IFERROR(INDEX('秒级路线参数_可调整'!$O:$O,MATCH(M374,'秒级路线参数_可调整'!$A:$A,0)),"")</x:f>
        <x:v>0</x:v>
      </x:c>
      <x:c r="P374" s="12" t="str">
        <x:f>IF(O374="","",O374/86400)</x:f>
      </x:c>
      <x:c r="Q374" s="12" t="str">
        <x:f>IF(O374="","",(H374*60+O374)/86400)</x:f>
      </x:c>
      <x:c r="R374" s="12" t="str">
        <x:f>IF(Q374="","",TEXT(Q374,"hh:mm:ss"))</x:f>
      </x:c>
      <x:c r="S374" s="12" t="str">
        <x:v>否</x:v>
      </x:c>
      <x:c r="T374" s="12" t="str">
        <x:v>否</x:v>
      </x:c>
      <x:c r="U374" s="12" t="str">
        <x:v>未提供</x:v>
      </x:c>
      <x:c r="V374" s="12" t="str">
        <x:v>未提供</x:v>
      </x:c>
      <x:c r="W374" s="12" t="str">
        <x:v>秒级预测</x:v>
      </x:c>
      <x:c r="X374" s="12" t="str">
        <x:v>基于路线秒级参数；如录入实测或手动采用秒，预计到达时间可随公式更新</x:v>
      </x:c>
    </x:row>
    <x:row r="375">
      <x:c r="A375" s="12" t="str">
        <x:v>S0030-13</x:v>
      </x:c>
      <x:c r="B375" s="12" t="str">
        <x:v>S0030</x:v>
      </x:c>
      <x:c r="C375" s="12" t="str">
        <x:v>工作日</x:v>
      </x:c>
      <x:c r="D375" s="12" t="str">
        <x:v>环线1路</x:v>
      </x:c>
      <x:c r="E375" s="12" t="str">
        <x:v>第二班</x:v>
      </x:c>
      <x:c r="F375" s="12" t="n">
        <x:v>4</x:v>
      </x:c>
      <x:c r="G375" s="12" t="str">
        <x:v>9:12</x:v>
      </x:c>
      <x:c r="H375" s="12" t="n">
        <x:v>552</x:v>
      </x:c>
      <x:c r="I375" s="12" t="str">
        <x:v>研究生宿舍楼</x:v>
      </x:c>
      <x:c r="J375" s="12" t="str">
        <x:v>研究生宿舍楼发车</x:v>
      </x:c>
      <x:c r="K375" s="12" t="str">
        <x:v>HX1_NORMAL</x:v>
      </x:c>
      <x:c r="L375" s="12" t="n">
        <x:v>13</x:v>
      </x:c>
      <x:c r="M375" s="12" t="str">
        <x:v>HX1_NORMAL|13</x:v>
      </x:c>
      <x:c r="N375" s="12" t="str">
        <x:v>研究生宿舍楼</x:v>
      </x:c>
      <x:c r="O375" s="12" t="n">
        <x:f>IFERROR(INDEX('秒级路线参数_可调整'!$O:$O,MATCH(M375,'秒级路线参数_可调整'!$A:$A,0)),"")</x:f>
        <x:v>0</x:v>
      </x:c>
      <x:c r="P375" s="12" t="str">
        <x:f>IF(O375="","",O375/86400)</x:f>
      </x:c>
      <x:c r="Q375" s="12" t="str">
        <x:f>IF(O375="","",(H375*60+O375)/86400)</x:f>
      </x:c>
      <x:c r="R375" s="12" t="str">
        <x:f>IF(Q375="","",TEXT(Q375,"hh:mm:ss"))</x:f>
      </x:c>
      <x:c r="S375" s="12" t="str">
        <x:v>否</x:v>
      </x:c>
      <x:c r="T375" s="12" t="str">
        <x:v>是</x:v>
      </x:c>
      <x:c r="U375" s="12" t="str">
        <x:v>未提供</x:v>
      </x:c>
      <x:c r="V375" s="12" t="str">
        <x:v>未提供</x:v>
      </x:c>
      <x:c r="W375" s="12" t="str">
        <x:v>秒级预测</x:v>
      </x:c>
      <x:c r="X375" s="12" t="str">
        <x:v>基于路线秒级参数；如录入实测或手动采用秒，预计到达时间可随公式更新</x:v>
      </x:c>
    </x:row>
    <x:row r="376">
      <x:c r="A376" s="12" t="str">
        <x:v>S0031-01</x:v>
      </x:c>
      <x:c r="B376" s="12" t="str">
        <x:v>S0031</x:v>
      </x:c>
      <x:c r="C376" s="12" t="str">
        <x:v>工作日</x:v>
      </x:c>
      <x:c r="D376" s="12" t="str">
        <x:v>环线1路</x:v>
      </x:c>
      <x:c r="E376" s="12" t="str">
        <x:v>第二班</x:v>
      </x:c>
      <x:c r="F376" s="12" t="n">
        <x:v>5</x:v>
      </x:c>
      <x:c r="G376" s="12" t="str">
        <x:v>9:48</x:v>
      </x:c>
      <x:c r="H376" s="12" t="n">
        <x:v>588</x:v>
      </x:c>
      <x:c r="I376" s="12" t="str">
        <x:v>研究生宿舍楼</x:v>
      </x:c>
      <x:c r="J376" s="12" t="str">
        <x:v>研究生宿舍楼发车</x:v>
      </x:c>
      <x:c r="K376" s="12" t="str">
        <x:v>HX1_NORMAL</x:v>
      </x:c>
      <x:c r="L376" s="12" t="n">
        <x:v>1</x:v>
      </x:c>
      <x:c r="M376" s="12" t="str">
        <x:v>HX1_NORMAL|1</x:v>
      </x:c>
      <x:c r="N376" s="12" t="str">
        <x:v>研究生宿舍楼</x:v>
      </x:c>
      <x:c r="O376" s="12" t="n">
        <x:f>IFERROR(INDEX('秒级路线参数_可调整'!$O:$O,MATCH(M376,'秒级路线参数_可调整'!$A:$A,0)),"")</x:f>
        <x:v>0</x:v>
      </x:c>
      <x:c r="P376" s="12" t="str">
        <x:f>IF(O376="","",O376/86400)</x:f>
      </x:c>
      <x:c r="Q376" s="12" t="str">
        <x:f>IF(O376="","",(H376*60+O376)/86400)</x:f>
      </x:c>
      <x:c r="R376" s="12" t="str">
        <x:f>IF(Q376="","",TEXT(Q376,"hh:mm:ss"))</x:f>
      </x:c>
      <x:c r="S376" s="12" t="str">
        <x:v>是</x:v>
      </x:c>
      <x:c r="T376" s="12" t="str">
        <x:v>否</x:v>
      </x:c>
      <x:c r="U376" s="12" t="str">
        <x:v>未提供</x:v>
      </x:c>
      <x:c r="V376" s="12" t="str">
        <x:v>未提供</x:v>
      </x:c>
      <x:c r="W376" s="12" t="str">
        <x:v>秒级预测</x:v>
      </x:c>
      <x:c r="X376" s="12" t="str">
        <x:v>基于路线秒级参数；如录入实测或手动采用秒，预计到达时间可随公式更新</x:v>
      </x:c>
    </x:row>
    <x:row r="377">
      <x:c r="A377" s="12" t="str">
        <x:v>S0031-02</x:v>
      </x:c>
      <x:c r="B377" s="12" t="str">
        <x:v>S0031</x:v>
      </x:c>
      <x:c r="C377" s="12" t="str">
        <x:v>工作日</x:v>
      </x:c>
      <x:c r="D377" s="12" t="str">
        <x:v>环线1路</x:v>
      </x:c>
      <x:c r="E377" s="12" t="str">
        <x:v>第二班</x:v>
      </x:c>
      <x:c r="F377" s="12" t="n">
        <x:v>5</x:v>
      </x:c>
      <x:c r="G377" s="12" t="str">
        <x:v>9:48</x:v>
      </x:c>
      <x:c r="H377" s="12" t="n">
        <x:v>588</x:v>
      </x:c>
      <x:c r="I377" s="12" t="str">
        <x:v>研究生宿舍楼</x:v>
      </x:c>
      <x:c r="J377" s="12" t="str">
        <x:v>研究生宿舍楼发车</x:v>
      </x:c>
      <x:c r="K377" s="12" t="str">
        <x:v>HX1_NORMAL</x:v>
      </x:c>
      <x:c r="L377" s="12" t="n">
        <x:v>2</x:v>
      </x:c>
      <x:c r="M377" s="12" t="str">
        <x:v>HX1_NORMAL|2</x:v>
      </x:c>
      <x:c r="N377" s="12" t="str">
        <x:v>东门</x:v>
      </x:c>
      <x:c r="O377" s="12" t="n">
        <x:f>IFERROR(INDEX('秒级路线参数_可调整'!$O:$O,MATCH(M377,'秒级路线参数_可调整'!$A:$A,0)),"")</x:f>
        <x:v>0</x:v>
      </x:c>
      <x:c r="P377" s="12" t="str">
        <x:f>IF(O377="","",O377/86400)</x:f>
      </x:c>
      <x:c r="Q377" s="12" t="str">
        <x:f>IF(O377="","",(H377*60+O377)/86400)</x:f>
      </x:c>
      <x:c r="R377" s="12" t="str">
        <x:f>IF(Q377="","",TEXT(Q377,"hh:mm:ss"))</x:f>
      </x:c>
      <x:c r="S377" s="12" t="str">
        <x:v>否</x:v>
      </x:c>
      <x:c r="T377" s="12" t="str">
        <x:v>否</x:v>
      </x:c>
      <x:c r="U377" s="12" t="str">
        <x:v>未提供</x:v>
      </x:c>
      <x:c r="V377" s="12" t="str">
        <x:v>未提供</x:v>
      </x:c>
      <x:c r="W377" s="12" t="str">
        <x:v>秒级预测</x:v>
      </x:c>
      <x:c r="X377" s="12" t="str">
        <x:v>基于路线秒级参数；如录入实测或手动采用秒，预计到达时间可随公式更新</x:v>
      </x:c>
    </x:row>
    <x:row r="378">
      <x:c r="A378" s="12" t="str">
        <x:v>S0031-03</x:v>
      </x:c>
      <x:c r="B378" s="12" t="str">
        <x:v>S0031</x:v>
      </x:c>
      <x:c r="C378" s="12" t="str">
        <x:v>工作日</x:v>
      </x:c>
      <x:c r="D378" s="12" t="str">
        <x:v>环线1路</x:v>
      </x:c>
      <x:c r="E378" s="12" t="str">
        <x:v>第二班</x:v>
      </x:c>
      <x:c r="F378" s="12" t="n">
        <x:v>5</x:v>
      </x:c>
      <x:c r="G378" s="12" t="str">
        <x:v>9:48</x:v>
      </x:c>
      <x:c r="H378" s="12" t="n">
        <x:v>588</x:v>
      </x:c>
      <x:c r="I378" s="12" t="str">
        <x:v>研究生宿舍楼</x:v>
      </x:c>
      <x:c r="J378" s="12" t="str">
        <x:v>研究生宿舍楼发车</x:v>
      </x:c>
      <x:c r="K378" s="12" t="str">
        <x:v>HX1_NORMAL</x:v>
      </x:c>
      <x:c r="L378" s="12" t="n">
        <x:v>3</x:v>
      </x:c>
      <x:c r="M378" s="12" t="str">
        <x:v>HX1_NORMAL|3</x:v>
      </x:c>
      <x:c r="N378" s="12" t="str">
        <x:v>2号宿舍楼</x:v>
      </x:c>
      <x:c r="O378" s="12" t="n">
        <x:f>IFERROR(INDEX('秒级路线参数_可调整'!$O:$O,MATCH(M378,'秒级路线参数_可调整'!$A:$A,0)),"")</x:f>
        <x:v>0</x:v>
      </x:c>
      <x:c r="P378" s="12" t="str">
        <x:f>IF(O378="","",O378/86400)</x:f>
      </x:c>
      <x:c r="Q378" s="12" t="str">
        <x:f>IF(O378="","",(H378*60+O378)/86400)</x:f>
      </x:c>
      <x:c r="R378" s="12" t="str">
        <x:f>IF(Q378="","",TEXT(Q378,"hh:mm:ss"))</x:f>
      </x:c>
      <x:c r="S378" s="12" t="str">
        <x:v>否</x:v>
      </x:c>
      <x:c r="T378" s="12" t="str">
        <x:v>否</x:v>
      </x:c>
      <x:c r="U378" s="12" t="str">
        <x:v>未提供</x:v>
      </x:c>
      <x:c r="V378" s="12" t="str">
        <x:v>未提供</x:v>
      </x:c>
      <x:c r="W378" s="12" t="str">
        <x:v>秒级预测</x:v>
      </x:c>
      <x:c r="X378" s="12" t="str">
        <x:v>基于路线秒级参数；如录入实测或手动采用秒，预计到达时间可随公式更新</x:v>
      </x:c>
    </x:row>
    <x:row r="379">
      <x:c r="A379" s="12" t="str">
        <x:v>S0031-04</x:v>
      </x:c>
      <x:c r="B379" s="12" t="str">
        <x:v>S0031</x:v>
      </x:c>
      <x:c r="C379" s="12" t="str">
        <x:v>工作日</x:v>
      </x:c>
      <x:c r="D379" s="12" t="str">
        <x:v>环线1路</x:v>
      </x:c>
      <x:c r="E379" s="12" t="str">
        <x:v>第二班</x:v>
      </x:c>
      <x:c r="F379" s="12" t="n">
        <x:v>5</x:v>
      </x:c>
      <x:c r="G379" s="12" t="str">
        <x:v>9:48</x:v>
      </x:c>
      <x:c r="H379" s="12" t="n">
        <x:v>588</x:v>
      </x:c>
      <x:c r="I379" s="12" t="str">
        <x:v>研究生宿舍楼</x:v>
      </x:c>
      <x:c r="J379" s="12" t="str">
        <x:v>研究生宿舍楼发车</x:v>
      </x:c>
      <x:c r="K379" s="12" t="str">
        <x:v>HX1_NORMAL</x:v>
      </x:c>
      <x:c r="L379" s="12" t="n">
        <x:v>4</x:v>
      </x:c>
      <x:c r="M379" s="12" t="str">
        <x:v>HX1_NORMAL|4</x:v>
      </x:c>
      <x:c r="N379" s="12" t="str">
        <x:v>军体活动中心</x:v>
      </x:c>
      <x:c r="O379" s="12" t="n">
        <x:f>IFERROR(INDEX('秒级路线参数_可调整'!$O:$O,MATCH(M379,'秒级路线参数_可调整'!$A:$A,0)),"")</x:f>
        <x:v>0</x:v>
      </x:c>
      <x:c r="P379" s="12" t="str">
        <x:f>IF(O379="","",O379/86400)</x:f>
      </x:c>
      <x:c r="Q379" s="12" t="str">
        <x:f>IF(O379="","",(H379*60+O379)/86400)</x:f>
      </x:c>
      <x:c r="R379" s="12" t="str">
        <x:f>IF(Q379="","",TEXT(Q379,"hh:mm:ss"))</x:f>
      </x:c>
      <x:c r="S379" s="12" t="str">
        <x:v>否</x:v>
      </x:c>
      <x:c r="T379" s="12" t="str">
        <x:v>否</x:v>
      </x:c>
      <x:c r="U379" s="12" t="str">
        <x:v>未提供</x:v>
      </x:c>
      <x:c r="V379" s="12" t="str">
        <x:v>未提供</x:v>
      </x:c>
      <x:c r="W379" s="12" t="str">
        <x:v>秒级预测</x:v>
      </x:c>
      <x:c r="X379" s="12" t="str">
        <x:v>基于路线秒级参数；如录入实测或手动采用秒，预计到达时间可随公式更新</x:v>
      </x:c>
    </x:row>
    <x:row r="380">
      <x:c r="A380" s="12" t="str">
        <x:v>S0031-05</x:v>
      </x:c>
      <x:c r="B380" s="12" t="str">
        <x:v>S0031</x:v>
      </x:c>
      <x:c r="C380" s="12" t="str">
        <x:v>工作日</x:v>
      </x:c>
      <x:c r="D380" s="12" t="str">
        <x:v>环线1路</x:v>
      </x:c>
      <x:c r="E380" s="12" t="str">
        <x:v>第二班</x:v>
      </x:c>
      <x:c r="F380" s="12" t="n">
        <x:v>5</x:v>
      </x:c>
      <x:c r="G380" s="12" t="str">
        <x:v>9:48</x:v>
      </x:c>
      <x:c r="H380" s="12" t="n">
        <x:v>588</x:v>
      </x:c>
      <x:c r="I380" s="12" t="str">
        <x:v>研究生宿舍楼</x:v>
      </x:c>
      <x:c r="J380" s="12" t="str">
        <x:v>研究生宿舍楼发车</x:v>
      </x:c>
      <x:c r="K380" s="12" t="str">
        <x:v>HX1_NORMAL</x:v>
      </x:c>
      <x:c r="L380" s="12" t="n">
        <x:v>5</x:v>
      </x:c>
      <x:c r="M380" s="12" t="str">
        <x:v>HX1_NORMAL|5</x:v>
      </x:c>
      <x:c r="N380" s="12" t="str">
        <x:v>激光所</x:v>
      </x:c>
      <x:c r="O380" s="12" t="n">
        <x:f>IFERROR(INDEX('秒级路线参数_可调整'!$O:$O,MATCH(M380,'秒级路线参数_可调整'!$A:$A,0)),"")</x:f>
        <x:v>0</x:v>
      </x:c>
      <x:c r="P380" s="12" t="str">
        <x:f>IF(O380="","",O380/86400)</x:f>
      </x:c>
      <x:c r="Q380" s="12" t="str">
        <x:f>IF(O380="","",(H380*60+O380)/86400)</x:f>
      </x:c>
      <x:c r="R380" s="12" t="str">
        <x:f>IF(Q380="","",TEXT(Q380,"hh:mm:ss"))</x:f>
      </x:c>
      <x:c r="S380" s="12" t="str">
        <x:v>否</x:v>
      </x:c>
      <x:c r="T380" s="12" t="str">
        <x:v>否</x:v>
      </x:c>
      <x:c r="U380" s="12" t="str">
        <x:v>未提供</x:v>
      </x:c>
      <x:c r="V380" s="12" t="str">
        <x:v>未提供</x:v>
      </x:c>
      <x:c r="W380" s="12" t="str">
        <x:v>秒级预测</x:v>
      </x:c>
      <x:c r="X380" s="12" t="str">
        <x:v>基于路线秒级参数；如录入实测或手动采用秒，预计到达时间可随公式更新</x:v>
      </x:c>
    </x:row>
    <x:row r="381">
      <x:c r="A381" s="12" t="str">
        <x:v>S0031-06</x:v>
      </x:c>
      <x:c r="B381" s="12" t="str">
        <x:v>S0031</x:v>
      </x:c>
      <x:c r="C381" s="12" t="str">
        <x:v>工作日</x:v>
      </x:c>
      <x:c r="D381" s="12" t="str">
        <x:v>环线1路</x:v>
      </x:c>
      <x:c r="E381" s="12" t="str">
        <x:v>第二班</x:v>
      </x:c>
      <x:c r="F381" s="12" t="n">
        <x:v>5</x:v>
      </x:c>
      <x:c r="G381" s="12" t="str">
        <x:v>9:48</x:v>
      </x:c>
      <x:c r="H381" s="12" t="n">
        <x:v>588</x:v>
      </x:c>
      <x:c r="I381" s="12" t="str">
        <x:v>研究生宿舍楼</x:v>
      </x:c>
      <x:c r="J381" s="12" t="str">
        <x:v>研究生宿舍楼发车</x:v>
      </x:c>
      <x:c r="K381" s="12" t="str">
        <x:v>HX1_NORMAL</x:v>
      </x:c>
      <x:c r="L381" s="12" t="n">
        <x:v>6</x:v>
      </x:c>
      <x:c r="M381" s="12" t="str">
        <x:v>HX1_NORMAL|6</x:v>
      </x:c>
      <x:c r="N381" s="12" t="str">
        <x:v>超算中心</x:v>
      </x:c>
      <x:c r="O381" s="12" t="n">
        <x:f>IFERROR(INDEX('秒级路线参数_可调整'!$O:$O,MATCH(M381,'秒级路线参数_可调整'!$A:$A,0)),"")</x:f>
        <x:v>0</x:v>
      </x:c>
      <x:c r="P381" s="12" t="str">
        <x:f>IF(O381="","",O381/86400)</x:f>
      </x:c>
      <x:c r="Q381" s="12" t="str">
        <x:f>IF(O381="","",(H381*60+O381)/86400)</x:f>
      </x:c>
      <x:c r="R381" s="12" t="str">
        <x:f>IF(Q381="","",TEXT(Q381,"hh:mm:ss"))</x:f>
      </x:c>
      <x:c r="S381" s="12" t="str">
        <x:v>否</x:v>
      </x:c>
      <x:c r="T381" s="12" t="str">
        <x:v>否</x:v>
      </x:c>
      <x:c r="U381" s="12" t="str">
        <x:v>未提供</x:v>
      </x:c>
      <x:c r="V381" s="12" t="str">
        <x:v>未提供</x:v>
      </x:c>
      <x:c r="W381" s="12" t="str">
        <x:v>秒级预测</x:v>
      </x:c>
      <x:c r="X381" s="12" t="str">
        <x:v>基于路线秒级参数；如录入实测或手动采用秒，预计到达时间可随公式更新</x:v>
      </x:c>
    </x:row>
    <x:row r="382">
      <x:c r="A382" s="12" t="str">
        <x:v>S0031-07</x:v>
      </x:c>
      <x:c r="B382" s="12" t="str">
        <x:v>S0031</x:v>
      </x:c>
      <x:c r="C382" s="12" t="str">
        <x:v>工作日</x:v>
      </x:c>
      <x:c r="D382" s="12" t="str">
        <x:v>环线1路</x:v>
      </x:c>
      <x:c r="E382" s="12" t="str">
        <x:v>第二班</x:v>
      </x:c>
      <x:c r="F382" s="12" t="n">
        <x:v>5</x:v>
      </x:c>
      <x:c r="G382" s="12" t="str">
        <x:v>9:48</x:v>
      </x:c>
      <x:c r="H382" s="12" t="n">
        <x:v>588</x:v>
      </x:c>
      <x:c r="I382" s="12" t="str">
        <x:v>研究生宿舍楼</x:v>
      </x:c>
      <x:c r="J382" s="12" t="str">
        <x:v>研究生宿舍楼发车</x:v>
      </x:c>
      <x:c r="K382" s="12" t="str">
        <x:v>HX1_NORMAL</x:v>
      </x:c>
      <x:c r="L382" s="12" t="n">
        <x:v>7</x:v>
      </x:c>
      <x:c r="M382" s="12" t="str">
        <x:v>HX1_NORMAL|7</x:v>
      </x:c>
      <x:c r="N382" s="12" t="str">
        <x:v>北门</x:v>
      </x:c>
      <x:c r="O382" s="12" t="n">
        <x:f>IFERROR(INDEX('秒级路线参数_可调整'!$O:$O,MATCH(M382,'秒级路线参数_可调整'!$A:$A,0)),"")</x:f>
        <x:v>0</x:v>
      </x:c>
      <x:c r="P382" s="12" t="str">
        <x:f>IF(O382="","",O382/86400)</x:f>
      </x:c>
      <x:c r="Q382" s="12" t="str">
        <x:f>IF(O382="","",(H382*60+O382)/86400)</x:f>
      </x:c>
      <x:c r="R382" s="12" t="str">
        <x:f>IF(Q382="","",TEXT(Q382,"hh:mm:ss"))</x:f>
      </x:c>
      <x:c r="S382" s="12" t="str">
        <x:v>否</x:v>
      </x:c>
      <x:c r="T382" s="12" t="str">
        <x:v>否</x:v>
      </x:c>
      <x:c r="U382" s="12" t="str">
        <x:v>未提供</x:v>
      </x:c>
      <x:c r="V382" s="12" t="str">
        <x:v>未提供</x:v>
      </x:c>
      <x:c r="W382" s="12" t="str">
        <x:v>秒级预测</x:v>
      </x:c>
      <x:c r="X382" s="12" t="str">
        <x:v>基于路线秒级参数；如录入实测或手动采用秒，预计到达时间可随公式更新</x:v>
      </x:c>
    </x:row>
    <x:row r="383">
      <x:c r="A383" s="12" t="str">
        <x:v>S0031-08</x:v>
      </x:c>
      <x:c r="B383" s="12" t="str">
        <x:v>S0031</x:v>
      </x:c>
      <x:c r="C383" s="12" t="str">
        <x:v>工作日</x:v>
      </x:c>
      <x:c r="D383" s="12" t="str">
        <x:v>环线1路</x:v>
      </x:c>
      <x:c r="E383" s="12" t="str">
        <x:v>第二班</x:v>
      </x:c>
      <x:c r="F383" s="12" t="n">
        <x:v>5</x:v>
      </x:c>
      <x:c r="G383" s="12" t="str">
        <x:v>9:48</x:v>
      </x:c>
      <x:c r="H383" s="12" t="n">
        <x:v>588</x:v>
      </x:c>
      <x:c r="I383" s="12" t="str">
        <x:v>研究生宿舍楼</x:v>
      </x:c>
      <x:c r="J383" s="12" t="str">
        <x:v>研究生宿舍楼发车</x:v>
      </x:c>
      <x:c r="K383" s="12" t="str">
        <x:v>HX1_NORMAL</x:v>
      </x:c>
      <x:c r="L383" s="12" t="n">
        <x:v>8</x:v>
      </x:c>
      <x:c r="M383" s="12" t="str">
        <x:v>HX1_NORMAL|8</x:v>
      </x:c>
      <x:c r="N383" s="12" t="str">
        <x:v>高超楼</x:v>
      </x:c>
      <x:c r="O383" s="12" t="n">
        <x:f>IFERROR(INDEX('秒级路线参数_可调整'!$O:$O,MATCH(M383,'秒级路线参数_可调整'!$A:$A,0)),"")</x:f>
        <x:v>0</x:v>
      </x:c>
      <x:c r="P383" s="12" t="str">
        <x:f>IF(O383="","",O383/86400)</x:f>
      </x:c>
      <x:c r="Q383" s="12" t="str">
        <x:f>IF(O383="","",(H383*60+O383)/86400)</x:f>
      </x:c>
      <x:c r="R383" s="12" t="str">
        <x:f>IF(Q383="","",TEXT(Q383,"hh:mm:ss"))</x:f>
      </x:c>
      <x:c r="S383" s="12" t="str">
        <x:v>否</x:v>
      </x:c>
      <x:c r="T383" s="12" t="str">
        <x:v>否</x:v>
      </x:c>
      <x:c r="U383" s="12" t="str">
        <x:v>未提供</x:v>
      </x:c>
      <x:c r="V383" s="12" t="str">
        <x:v>未提供</x:v>
      </x:c>
      <x:c r="W383" s="12" t="str">
        <x:v>秒级预测</x:v>
      </x:c>
      <x:c r="X383" s="12" t="str">
        <x:v>基于路线秒级参数；如录入实测或手动采用秒，预计到达时间可随公式更新</x:v>
      </x:c>
    </x:row>
    <x:row r="384">
      <x:c r="A384" s="12" t="str">
        <x:v>S0031-09</x:v>
      </x:c>
      <x:c r="B384" s="12" t="str">
        <x:v>S0031</x:v>
      </x:c>
      <x:c r="C384" s="12" t="str">
        <x:v>工作日</x:v>
      </x:c>
      <x:c r="D384" s="12" t="str">
        <x:v>环线1路</x:v>
      </x:c>
      <x:c r="E384" s="12" t="str">
        <x:v>第二班</x:v>
      </x:c>
      <x:c r="F384" s="12" t="n">
        <x:v>5</x:v>
      </x:c>
      <x:c r="G384" s="12" t="str">
        <x:v>9:48</x:v>
      </x:c>
      <x:c r="H384" s="12" t="n">
        <x:v>588</x:v>
      </x:c>
      <x:c r="I384" s="12" t="str">
        <x:v>研究生宿舍楼</x:v>
      </x:c>
      <x:c r="J384" s="12" t="str">
        <x:v>研究生宿舍楼发车</x:v>
      </x:c>
      <x:c r="K384" s="12" t="str">
        <x:v>HX1_NORMAL</x:v>
      </x:c>
      <x:c r="L384" s="12" t="n">
        <x:v>9</x:v>
      </x:c>
      <x:c r="M384" s="12" t="str">
        <x:v>HX1_NORMAL|9</x:v>
      </x:c>
      <x:c r="N384" s="12" t="str">
        <x:v>理学院</x:v>
      </x:c>
      <x:c r="O384" s="12" t="n">
        <x:f>IFERROR(INDEX('秒级路线参数_可调整'!$O:$O,MATCH(M384,'秒级路线参数_可调整'!$A:$A,0)),"")</x:f>
        <x:v>0</x:v>
      </x:c>
      <x:c r="P384" s="12" t="str">
        <x:f>IF(O384="","",O384/86400)</x:f>
      </x:c>
      <x:c r="Q384" s="12" t="str">
        <x:f>IF(O384="","",(H384*60+O384)/86400)</x:f>
      </x:c>
      <x:c r="R384" s="12" t="str">
        <x:f>IF(Q384="","",TEXT(Q384,"hh:mm:ss"))</x:f>
      </x:c>
      <x:c r="S384" s="12" t="str">
        <x:v>否</x:v>
      </x:c>
      <x:c r="T384" s="12" t="str">
        <x:v>否</x:v>
      </x:c>
      <x:c r="U384" s="12" t="str">
        <x:v>未提供</x:v>
      </x:c>
      <x:c r="V384" s="12" t="str">
        <x:v>未提供</x:v>
      </x:c>
      <x:c r="W384" s="12" t="str">
        <x:v>秒级预测</x:v>
      </x:c>
      <x:c r="X384" s="12" t="str">
        <x:v>基于路线秒级参数；如录入实测或手动采用秒，预计到达时间可随公式更新</x:v>
      </x:c>
    </x:row>
    <x:row r="385">
      <x:c r="A385" s="12" t="str">
        <x:v>S0031-10</x:v>
      </x:c>
      <x:c r="B385" s="12" t="str">
        <x:v>S0031</x:v>
      </x:c>
      <x:c r="C385" s="12" t="str">
        <x:v>工作日</x:v>
      </x:c>
      <x:c r="D385" s="12" t="str">
        <x:v>环线1路</x:v>
      </x:c>
      <x:c r="E385" s="12" t="str">
        <x:v>第二班</x:v>
      </x:c>
      <x:c r="F385" s="12" t="n">
        <x:v>5</x:v>
      </x:c>
      <x:c r="G385" s="12" t="str">
        <x:v>9:48</x:v>
      </x:c>
      <x:c r="H385" s="12" t="n">
        <x:v>588</x:v>
      </x:c>
      <x:c r="I385" s="12" t="str">
        <x:v>研究生宿舍楼</x:v>
      </x:c>
      <x:c r="J385" s="12" t="str">
        <x:v>研究生宿舍楼发车</x:v>
      </x:c>
      <x:c r="K385" s="12" t="str">
        <x:v>HX1_NORMAL</x:v>
      </x:c>
      <x:c r="L385" s="12" t="n">
        <x:v>10</x:v>
      </x:c>
      <x:c r="M385" s="12" t="str">
        <x:v>HX1_NORMAL|10</x:v>
      </x:c>
      <x:c r="N385" s="12" t="str">
        <x:v>二食堂</x:v>
      </x:c>
      <x:c r="O385" s="12" t="n">
        <x:f>IFERROR(INDEX('秒级路线参数_可调整'!$O:$O,MATCH(M385,'秒级路线参数_可调整'!$A:$A,0)),"")</x:f>
        <x:v>0</x:v>
      </x:c>
      <x:c r="P385" s="12" t="str">
        <x:f>IF(O385="","",O385/86400)</x:f>
      </x:c>
      <x:c r="Q385" s="12" t="str">
        <x:f>IF(O385="","",(H385*60+O385)/86400)</x:f>
      </x:c>
      <x:c r="R385" s="12" t="str">
        <x:f>IF(Q385="","",TEXT(Q385,"hh:mm:ss"))</x:f>
      </x:c>
      <x:c r="S385" s="12" t="str">
        <x:v>否</x:v>
      </x:c>
      <x:c r="T385" s="12" t="str">
        <x:v>否</x:v>
      </x:c>
      <x:c r="U385" s="12" t="str">
        <x:v>未提供</x:v>
      </x:c>
      <x:c r="V385" s="12" t="str">
        <x:v>未提供</x:v>
      </x:c>
      <x:c r="W385" s="12" t="str">
        <x:v>秒级预测</x:v>
      </x:c>
      <x:c r="X385" s="12" t="str">
        <x:v>基于路线秒级参数；如录入实测或手动采用秒，预计到达时间可随公式更新</x:v>
      </x:c>
    </x:row>
    <x:row r="386">
      <x:c r="A386" s="12" t="str">
        <x:v>S0031-11</x:v>
      </x:c>
      <x:c r="B386" s="12" t="str">
        <x:v>S0031</x:v>
      </x:c>
      <x:c r="C386" s="12" t="str">
        <x:v>工作日</x:v>
      </x:c>
      <x:c r="D386" s="12" t="str">
        <x:v>环线1路</x:v>
      </x:c>
      <x:c r="E386" s="12" t="str">
        <x:v>第二班</x:v>
      </x:c>
      <x:c r="F386" s="12" t="n">
        <x:v>5</x:v>
      </x:c>
      <x:c r="G386" s="12" t="str">
        <x:v>9:48</x:v>
      </x:c>
      <x:c r="H386" s="12" t="n">
        <x:v>588</x:v>
      </x:c>
      <x:c r="I386" s="12" t="str">
        <x:v>研究生宿舍楼</x:v>
      </x:c>
      <x:c r="J386" s="12" t="str">
        <x:v>研究生宿舍楼发车</x:v>
      </x:c>
      <x:c r="K386" s="12" t="str">
        <x:v>HX1_NORMAL</x:v>
      </x:c>
      <x:c r="L386" s="12" t="n">
        <x:v>11</x:v>
      </x:c>
      <x:c r="M386" s="12" t="str">
        <x:v>HX1_NORMAL|11</x:v>
      </x:c>
      <x:c r="N386" s="12" t="str">
        <x:v>5号宿舍楼</x:v>
      </x:c>
      <x:c r="O386" s="12" t="n">
        <x:f>IFERROR(INDEX('秒级路线参数_可调整'!$O:$O,MATCH(M386,'秒级路线参数_可调整'!$A:$A,0)),"")</x:f>
        <x:v>0</x:v>
      </x:c>
      <x:c r="P386" s="12" t="str">
        <x:f>IF(O386="","",O386/86400)</x:f>
      </x:c>
      <x:c r="Q386" s="12" t="str">
        <x:f>IF(O386="","",(H386*60+O386)/86400)</x:f>
      </x:c>
      <x:c r="R386" s="12" t="str">
        <x:f>IF(Q386="","",TEXT(Q386,"hh:mm:ss"))</x:f>
      </x:c>
      <x:c r="S386" s="12" t="str">
        <x:v>否</x:v>
      </x:c>
      <x:c r="T386" s="12" t="str">
        <x:v>否</x:v>
      </x:c>
      <x:c r="U386" s="12" t="str">
        <x:v>未提供</x:v>
      </x:c>
      <x:c r="V386" s="12" t="str">
        <x:v>未提供</x:v>
      </x:c>
      <x:c r="W386" s="12" t="str">
        <x:v>秒级预测</x:v>
      </x:c>
      <x:c r="X386" s="12" t="str">
        <x:v>基于路线秒级参数；如录入实测或手动采用秒，预计到达时间可随公式更新</x:v>
      </x:c>
    </x:row>
    <x:row r="387">
      <x:c r="A387" s="12" t="str">
        <x:v>S0031-12</x:v>
      </x:c>
      <x:c r="B387" s="12" t="str">
        <x:v>S0031</x:v>
      </x:c>
      <x:c r="C387" s="12" t="str">
        <x:v>工作日</x:v>
      </x:c>
      <x:c r="D387" s="12" t="str">
        <x:v>环线1路</x:v>
      </x:c>
      <x:c r="E387" s="12" t="str">
        <x:v>第二班</x:v>
      </x:c>
      <x:c r="F387" s="12" t="n">
        <x:v>5</x:v>
      </x:c>
      <x:c r="G387" s="12" t="str">
        <x:v>9:48</x:v>
      </x:c>
      <x:c r="H387" s="12" t="n">
        <x:v>588</x:v>
      </x:c>
      <x:c r="I387" s="12" t="str">
        <x:v>研究生宿舍楼</x:v>
      </x:c>
      <x:c r="J387" s="12" t="str">
        <x:v>研究生宿舍楼发车</x:v>
      </x:c>
      <x:c r="K387" s="12" t="str">
        <x:v>HX1_NORMAL</x:v>
      </x:c>
      <x:c r="L387" s="12" t="n">
        <x:v>12</x:v>
      </x:c>
      <x:c r="M387" s="12" t="str">
        <x:v>HX1_NORMAL|12</x:v>
      </x:c>
      <x:c r="N387" s="12" t="str">
        <x:v>305教学楼</x:v>
      </x:c>
      <x:c r="O387" s="12" t="n">
        <x:f>IFERROR(INDEX('秒级路线参数_可调整'!$O:$O,MATCH(M387,'秒级路线参数_可调整'!$A:$A,0)),"")</x:f>
        <x:v>0</x:v>
      </x:c>
      <x:c r="P387" s="12" t="str">
        <x:f>IF(O387="","",O387/86400)</x:f>
      </x:c>
      <x:c r="Q387" s="12" t="str">
        <x:f>IF(O387="","",(H387*60+O387)/86400)</x:f>
      </x:c>
      <x:c r="R387" s="12" t="str">
        <x:f>IF(Q387="","",TEXT(Q387,"hh:mm:ss"))</x:f>
      </x:c>
      <x:c r="S387" s="12" t="str">
        <x:v>否</x:v>
      </x:c>
      <x:c r="T387" s="12" t="str">
        <x:v>否</x:v>
      </x:c>
      <x:c r="U387" s="12" t="str">
        <x:v>未提供</x:v>
      </x:c>
      <x:c r="V387" s="12" t="str">
        <x:v>未提供</x:v>
      </x:c>
      <x:c r="W387" s="12" t="str">
        <x:v>秒级预测</x:v>
      </x:c>
      <x:c r="X387" s="12" t="str">
        <x:v>基于路线秒级参数；如录入实测或手动采用秒，预计到达时间可随公式更新</x:v>
      </x:c>
    </x:row>
    <x:row r="388">
      <x:c r="A388" s="12" t="str">
        <x:v>S0031-13</x:v>
      </x:c>
      <x:c r="B388" s="12" t="str">
        <x:v>S0031</x:v>
      </x:c>
      <x:c r="C388" s="12" t="str">
        <x:v>工作日</x:v>
      </x:c>
      <x:c r="D388" s="12" t="str">
        <x:v>环线1路</x:v>
      </x:c>
      <x:c r="E388" s="12" t="str">
        <x:v>第二班</x:v>
      </x:c>
      <x:c r="F388" s="12" t="n">
        <x:v>5</x:v>
      </x:c>
      <x:c r="G388" s="12" t="str">
        <x:v>9:48</x:v>
      </x:c>
      <x:c r="H388" s="12" t="n">
        <x:v>588</x:v>
      </x:c>
      <x:c r="I388" s="12" t="str">
        <x:v>研究生宿舍楼</x:v>
      </x:c>
      <x:c r="J388" s="12" t="str">
        <x:v>研究生宿舍楼发车</x:v>
      </x:c>
      <x:c r="K388" s="12" t="str">
        <x:v>HX1_NORMAL</x:v>
      </x:c>
      <x:c r="L388" s="12" t="n">
        <x:v>13</x:v>
      </x:c>
      <x:c r="M388" s="12" t="str">
        <x:v>HX1_NORMAL|13</x:v>
      </x:c>
      <x:c r="N388" s="12" t="str">
        <x:v>研究生宿舍楼</x:v>
      </x:c>
      <x:c r="O388" s="12" t="n">
        <x:f>IFERROR(INDEX('秒级路线参数_可调整'!$O:$O,MATCH(M388,'秒级路线参数_可调整'!$A:$A,0)),"")</x:f>
        <x:v>0</x:v>
      </x:c>
      <x:c r="P388" s="12" t="str">
        <x:f>IF(O388="","",O388/86400)</x:f>
      </x:c>
      <x:c r="Q388" s="12" t="str">
        <x:f>IF(O388="","",(H388*60+O388)/86400)</x:f>
      </x:c>
      <x:c r="R388" s="12" t="str">
        <x:f>IF(Q388="","",TEXT(Q388,"hh:mm:ss"))</x:f>
      </x:c>
      <x:c r="S388" s="12" t="str">
        <x:v>否</x:v>
      </x:c>
      <x:c r="T388" s="12" t="str">
        <x:v>是</x:v>
      </x:c>
      <x:c r="U388" s="12" t="str">
        <x:v>未提供</x:v>
      </x:c>
      <x:c r="V388" s="12" t="str">
        <x:v>未提供</x:v>
      </x:c>
      <x:c r="W388" s="12" t="str">
        <x:v>秒级预测</x:v>
      </x:c>
      <x:c r="X388" s="12" t="str">
        <x:v>基于路线秒级参数；如录入实测或手动采用秒，预计到达时间可随公式更新</x:v>
      </x:c>
    </x:row>
    <x:row r="389">
      <x:c r="A389" s="12" t="str">
        <x:v>S0032-01</x:v>
      </x:c>
      <x:c r="B389" s="12" t="str">
        <x:v>S0032</x:v>
      </x:c>
      <x:c r="C389" s="12" t="str">
        <x:v>工作日</x:v>
      </x:c>
      <x:c r="D389" s="12" t="str">
        <x:v>环线1路</x:v>
      </x:c>
      <x:c r="E389" s="12" t="str">
        <x:v>第二班</x:v>
      </x:c>
      <x:c r="F389" s="12" t="n">
        <x:v>6</x:v>
      </x:c>
      <x:c r="G389" s="12" t="str">
        <x:v>10:30</x:v>
      </x:c>
      <x:c r="H389" s="12" t="n">
        <x:v>630</x:v>
      </x:c>
      <x:c r="I389" s="12" t="str">
        <x:v>研究生宿舍楼</x:v>
      </x:c>
      <x:c r="J389" s="12" t="str">
        <x:v>研究生宿舍楼发车</x:v>
      </x:c>
      <x:c r="K389" s="12" t="str">
        <x:v>HX1_NORMAL</x:v>
      </x:c>
      <x:c r="L389" s="12" t="n">
        <x:v>1</x:v>
      </x:c>
      <x:c r="M389" s="12" t="str">
        <x:v>HX1_NORMAL|1</x:v>
      </x:c>
      <x:c r="N389" s="12" t="str">
        <x:v>研究生宿舍楼</x:v>
      </x:c>
      <x:c r="O389" s="12" t="n">
        <x:f>IFERROR(INDEX('秒级路线参数_可调整'!$O:$O,MATCH(M389,'秒级路线参数_可调整'!$A:$A,0)),"")</x:f>
        <x:v>0</x:v>
      </x:c>
      <x:c r="P389" s="12" t="str">
        <x:f>IF(O389="","",O389/86400)</x:f>
      </x:c>
      <x:c r="Q389" s="12" t="str">
        <x:f>IF(O389="","",(H389*60+O389)/86400)</x:f>
      </x:c>
      <x:c r="R389" s="12" t="str">
        <x:f>IF(Q389="","",TEXT(Q389,"hh:mm:ss"))</x:f>
      </x:c>
      <x:c r="S389" s="12" t="str">
        <x:v>是</x:v>
      </x:c>
      <x:c r="T389" s="12" t="str">
        <x:v>否</x:v>
      </x:c>
      <x:c r="U389" s="12" t="str">
        <x:v>未提供</x:v>
      </x:c>
      <x:c r="V389" s="12" t="str">
        <x:v>未提供</x:v>
      </x:c>
      <x:c r="W389" s="12" t="str">
        <x:v>秒级预测</x:v>
      </x:c>
      <x:c r="X389" s="12" t="str">
        <x:v>基于路线秒级参数；如录入实测或手动采用秒，预计到达时间可随公式更新</x:v>
      </x:c>
    </x:row>
    <x:row r="390">
      <x:c r="A390" s="12" t="str">
        <x:v>S0032-02</x:v>
      </x:c>
      <x:c r="B390" s="12" t="str">
        <x:v>S0032</x:v>
      </x:c>
      <x:c r="C390" s="12" t="str">
        <x:v>工作日</x:v>
      </x:c>
      <x:c r="D390" s="12" t="str">
        <x:v>环线1路</x:v>
      </x:c>
      <x:c r="E390" s="12" t="str">
        <x:v>第二班</x:v>
      </x:c>
      <x:c r="F390" s="12" t="n">
        <x:v>6</x:v>
      </x:c>
      <x:c r="G390" s="12" t="str">
        <x:v>10:30</x:v>
      </x:c>
      <x:c r="H390" s="12" t="n">
        <x:v>630</x:v>
      </x:c>
      <x:c r="I390" s="12" t="str">
        <x:v>研究生宿舍楼</x:v>
      </x:c>
      <x:c r="J390" s="12" t="str">
        <x:v>研究生宿舍楼发车</x:v>
      </x:c>
      <x:c r="K390" s="12" t="str">
        <x:v>HX1_NORMAL</x:v>
      </x:c>
      <x:c r="L390" s="12" t="n">
        <x:v>2</x:v>
      </x:c>
      <x:c r="M390" s="12" t="str">
        <x:v>HX1_NORMAL|2</x:v>
      </x:c>
      <x:c r="N390" s="12" t="str">
        <x:v>东门</x:v>
      </x:c>
      <x:c r="O390" s="12" t="n">
        <x:f>IFERROR(INDEX('秒级路线参数_可调整'!$O:$O,MATCH(M390,'秒级路线参数_可调整'!$A:$A,0)),"")</x:f>
        <x:v>0</x:v>
      </x:c>
      <x:c r="P390" s="12" t="str">
        <x:f>IF(O390="","",O390/86400)</x:f>
      </x:c>
      <x:c r="Q390" s="12" t="str">
        <x:f>IF(O390="","",(H390*60+O390)/86400)</x:f>
      </x:c>
      <x:c r="R390" s="12" t="str">
        <x:f>IF(Q390="","",TEXT(Q390,"hh:mm:ss"))</x:f>
      </x:c>
      <x:c r="S390" s="12" t="str">
        <x:v>否</x:v>
      </x:c>
      <x:c r="T390" s="12" t="str">
        <x:v>否</x:v>
      </x:c>
      <x:c r="U390" s="12" t="str">
        <x:v>未提供</x:v>
      </x:c>
      <x:c r="V390" s="12" t="str">
        <x:v>未提供</x:v>
      </x:c>
      <x:c r="W390" s="12" t="str">
        <x:v>秒级预测</x:v>
      </x:c>
      <x:c r="X390" s="12" t="str">
        <x:v>基于路线秒级参数；如录入实测或手动采用秒，预计到达时间可随公式更新</x:v>
      </x:c>
    </x:row>
    <x:row r="391">
      <x:c r="A391" s="12" t="str">
        <x:v>S0032-03</x:v>
      </x:c>
      <x:c r="B391" s="12" t="str">
        <x:v>S0032</x:v>
      </x:c>
      <x:c r="C391" s="12" t="str">
        <x:v>工作日</x:v>
      </x:c>
      <x:c r="D391" s="12" t="str">
        <x:v>环线1路</x:v>
      </x:c>
      <x:c r="E391" s="12" t="str">
        <x:v>第二班</x:v>
      </x:c>
      <x:c r="F391" s="12" t="n">
        <x:v>6</x:v>
      </x:c>
      <x:c r="G391" s="12" t="str">
        <x:v>10:30</x:v>
      </x:c>
      <x:c r="H391" s="12" t="n">
        <x:v>630</x:v>
      </x:c>
      <x:c r="I391" s="12" t="str">
        <x:v>研究生宿舍楼</x:v>
      </x:c>
      <x:c r="J391" s="12" t="str">
        <x:v>研究生宿舍楼发车</x:v>
      </x:c>
      <x:c r="K391" s="12" t="str">
        <x:v>HX1_NORMAL</x:v>
      </x:c>
      <x:c r="L391" s="12" t="n">
        <x:v>3</x:v>
      </x:c>
      <x:c r="M391" s="12" t="str">
        <x:v>HX1_NORMAL|3</x:v>
      </x:c>
      <x:c r="N391" s="12" t="str">
        <x:v>2号宿舍楼</x:v>
      </x:c>
      <x:c r="O391" s="12" t="n">
        <x:f>IFERROR(INDEX('秒级路线参数_可调整'!$O:$O,MATCH(M391,'秒级路线参数_可调整'!$A:$A,0)),"")</x:f>
        <x:v>0</x:v>
      </x:c>
      <x:c r="P391" s="12" t="str">
        <x:f>IF(O391="","",O391/86400)</x:f>
      </x:c>
      <x:c r="Q391" s="12" t="str">
        <x:f>IF(O391="","",(H391*60+O391)/86400)</x:f>
      </x:c>
      <x:c r="R391" s="12" t="str">
        <x:f>IF(Q391="","",TEXT(Q391,"hh:mm:ss"))</x:f>
      </x:c>
      <x:c r="S391" s="12" t="str">
        <x:v>否</x:v>
      </x:c>
      <x:c r="T391" s="12" t="str">
        <x:v>否</x:v>
      </x:c>
      <x:c r="U391" s="12" t="str">
        <x:v>未提供</x:v>
      </x:c>
      <x:c r="V391" s="12" t="str">
        <x:v>未提供</x:v>
      </x:c>
      <x:c r="W391" s="12" t="str">
        <x:v>秒级预测</x:v>
      </x:c>
      <x:c r="X391" s="12" t="str">
        <x:v>基于路线秒级参数；如录入实测或手动采用秒，预计到达时间可随公式更新</x:v>
      </x:c>
    </x:row>
    <x:row r="392">
      <x:c r="A392" s="12" t="str">
        <x:v>S0032-04</x:v>
      </x:c>
      <x:c r="B392" s="12" t="str">
        <x:v>S0032</x:v>
      </x:c>
      <x:c r="C392" s="12" t="str">
        <x:v>工作日</x:v>
      </x:c>
      <x:c r="D392" s="12" t="str">
        <x:v>环线1路</x:v>
      </x:c>
      <x:c r="E392" s="12" t="str">
        <x:v>第二班</x:v>
      </x:c>
      <x:c r="F392" s="12" t="n">
        <x:v>6</x:v>
      </x:c>
      <x:c r="G392" s="12" t="str">
        <x:v>10:30</x:v>
      </x:c>
      <x:c r="H392" s="12" t="n">
        <x:v>630</x:v>
      </x:c>
      <x:c r="I392" s="12" t="str">
        <x:v>研究生宿舍楼</x:v>
      </x:c>
      <x:c r="J392" s="12" t="str">
        <x:v>研究生宿舍楼发车</x:v>
      </x:c>
      <x:c r="K392" s="12" t="str">
        <x:v>HX1_NORMAL</x:v>
      </x:c>
      <x:c r="L392" s="12" t="n">
        <x:v>4</x:v>
      </x:c>
      <x:c r="M392" s="12" t="str">
        <x:v>HX1_NORMAL|4</x:v>
      </x:c>
      <x:c r="N392" s="12" t="str">
        <x:v>军体活动中心</x:v>
      </x:c>
      <x:c r="O392" s="12" t="n">
        <x:f>IFERROR(INDEX('秒级路线参数_可调整'!$O:$O,MATCH(M392,'秒级路线参数_可调整'!$A:$A,0)),"")</x:f>
        <x:v>0</x:v>
      </x:c>
      <x:c r="P392" s="12" t="str">
        <x:f>IF(O392="","",O392/86400)</x:f>
      </x:c>
      <x:c r="Q392" s="12" t="str">
        <x:f>IF(O392="","",(H392*60+O392)/86400)</x:f>
      </x:c>
      <x:c r="R392" s="12" t="str">
        <x:f>IF(Q392="","",TEXT(Q392,"hh:mm:ss"))</x:f>
      </x:c>
      <x:c r="S392" s="12" t="str">
        <x:v>否</x:v>
      </x:c>
      <x:c r="T392" s="12" t="str">
        <x:v>否</x:v>
      </x:c>
      <x:c r="U392" s="12" t="str">
        <x:v>未提供</x:v>
      </x:c>
      <x:c r="V392" s="12" t="str">
        <x:v>未提供</x:v>
      </x:c>
      <x:c r="W392" s="12" t="str">
        <x:v>秒级预测</x:v>
      </x:c>
      <x:c r="X392" s="12" t="str">
        <x:v>基于路线秒级参数；如录入实测或手动采用秒，预计到达时间可随公式更新</x:v>
      </x:c>
    </x:row>
    <x:row r="393">
      <x:c r="A393" s="12" t="str">
        <x:v>S0032-05</x:v>
      </x:c>
      <x:c r="B393" s="12" t="str">
        <x:v>S0032</x:v>
      </x:c>
      <x:c r="C393" s="12" t="str">
        <x:v>工作日</x:v>
      </x:c>
      <x:c r="D393" s="12" t="str">
        <x:v>环线1路</x:v>
      </x:c>
      <x:c r="E393" s="12" t="str">
        <x:v>第二班</x:v>
      </x:c>
      <x:c r="F393" s="12" t="n">
        <x:v>6</x:v>
      </x:c>
      <x:c r="G393" s="12" t="str">
        <x:v>10:30</x:v>
      </x:c>
      <x:c r="H393" s="12" t="n">
        <x:v>630</x:v>
      </x:c>
      <x:c r="I393" s="12" t="str">
        <x:v>研究生宿舍楼</x:v>
      </x:c>
      <x:c r="J393" s="12" t="str">
        <x:v>研究生宿舍楼发车</x:v>
      </x:c>
      <x:c r="K393" s="12" t="str">
        <x:v>HX1_NORMAL</x:v>
      </x:c>
      <x:c r="L393" s="12" t="n">
        <x:v>5</x:v>
      </x:c>
      <x:c r="M393" s="12" t="str">
        <x:v>HX1_NORMAL|5</x:v>
      </x:c>
      <x:c r="N393" s="12" t="str">
        <x:v>激光所</x:v>
      </x:c>
      <x:c r="O393" s="12" t="n">
        <x:f>IFERROR(INDEX('秒级路线参数_可调整'!$O:$O,MATCH(M393,'秒级路线参数_可调整'!$A:$A,0)),"")</x:f>
        <x:v>0</x:v>
      </x:c>
      <x:c r="P393" s="12" t="str">
        <x:f>IF(O393="","",O393/86400)</x:f>
      </x:c>
      <x:c r="Q393" s="12" t="str">
        <x:f>IF(O393="","",(H393*60+O393)/86400)</x:f>
      </x:c>
      <x:c r="R393" s="12" t="str">
        <x:f>IF(Q393="","",TEXT(Q393,"hh:mm:ss"))</x:f>
      </x:c>
      <x:c r="S393" s="12" t="str">
        <x:v>否</x:v>
      </x:c>
      <x:c r="T393" s="12" t="str">
        <x:v>否</x:v>
      </x:c>
      <x:c r="U393" s="12" t="str">
        <x:v>未提供</x:v>
      </x:c>
      <x:c r="V393" s="12" t="str">
        <x:v>未提供</x:v>
      </x:c>
      <x:c r="W393" s="12" t="str">
        <x:v>秒级预测</x:v>
      </x:c>
      <x:c r="X393" s="12" t="str">
        <x:v>基于路线秒级参数；如录入实测或手动采用秒，预计到达时间可随公式更新</x:v>
      </x:c>
    </x:row>
    <x:row r="394">
      <x:c r="A394" s="12" t="str">
        <x:v>S0032-06</x:v>
      </x:c>
      <x:c r="B394" s="12" t="str">
        <x:v>S0032</x:v>
      </x:c>
      <x:c r="C394" s="12" t="str">
        <x:v>工作日</x:v>
      </x:c>
      <x:c r="D394" s="12" t="str">
        <x:v>环线1路</x:v>
      </x:c>
      <x:c r="E394" s="12" t="str">
        <x:v>第二班</x:v>
      </x:c>
      <x:c r="F394" s="12" t="n">
        <x:v>6</x:v>
      </x:c>
      <x:c r="G394" s="12" t="str">
        <x:v>10:30</x:v>
      </x:c>
      <x:c r="H394" s="12" t="n">
        <x:v>630</x:v>
      </x:c>
      <x:c r="I394" s="12" t="str">
        <x:v>研究生宿舍楼</x:v>
      </x:c>
      <x:c r="J394" s="12" t="str">
        <x:v>研究生宿舍楼发车</x:v>
      </x:c>
      <x:c r="K394" s="12" t="str">
        <x:v>HX1_NORMAL</x:v>
      </x:c>
      <x:c r="L394" s="12" t="n">
        <x:v>6</x:v>
      </x:c>
      <x:c r="M394" s="12" t="str">
        <x:v>HX1_NORMAL|6</x:v>
      </x:c>
      <x:c r="N394" s="12" t="str">
        <x:v>超算中心</x:v>
      </x:c>
      <x:c r="O394" s="12" t="n">
        <x:f>IFERROR(INDEX('秒级路线参数_可调整'!$O:$O,MATCH(M394,'秒级路线参数_可调整'!$A:$A,0)),"")</x:f>
        <x:v>0</x:v>
      </x:c>
      <x:c r="P394" s="12" t="str">
        <x:f>IF(O394="","",O394/86400)</x:f>
      </x:c>
      <x:c r="Q394" s="12" t="str">
        <x:f>IF(O394="","",(H394*60+O394)/86400)</x:f>
      </x:c>
      <x:c r="R394" s="12" t="str">
        <x:f>IF(Q394="","",TEXT(Q394,"hh:mm:ss"))</x:f>
      </x:c>
      <x:c r="S394" s="12" t="str">
        <x:v>否</x:v>
      </x:c>
      <x:c r="T394" s="12" t="str">
        <x:v>否</x:v>
      </x:c>
      <x:c r="U394" s="12" t="str">
        <x:v>未提供</x:v>
      </x:c>
      <x:c r="V394" s="12" t="str">
        <x:v>未提供</x:v>
      </x:c>
      <x:c r="W394" s="12" t="str">
        <x:v>秒级预测</x:v>
      </x:c>
      <x:c r="X394" s="12" t="str">
        <x:v>基于路线秒级参数；如录入实测或手动采用秒，预计到达时间可随公式更新</x:v>
      </x:c>
    </x:row>
    <x:row r="395">
      <x:c r="A395" s="12" t="str">
        <x:v>S0032-07</x:v>
      </x:c>
      <x:c r="B395" s="12" t="str">
        <x:v>S0032</x:v>
      </x:c>
      <x:c r="C395" s="12" t="str">
        <x:v>工作日</x:v>
      </x:c>
      <x:c r="D395" s="12" t="str">
        <x:v>环线1路</x:v>
      </x:c>
      <x:c r="E395" s="12" t="str">
        <x:v>第二班</x:v>
      </x:c>
      <x:c r="F395" s="12" t="n">
        <x:v>6</x:v>
      </x:c>
      <x:c r="G395" s="12" t="str">
        <x:v>10:30</x:v>
      </x:c>
      <x:c r="H395" s="12" t="n">
        <x:v>630</x:v>
      </x:c>
      <x:c r="I395" s="12" t="str">
        <x:v>研究生宿舍楼</x:v>
      </x:c>
      <x:c r="J395" s="12" t="str">
        <x:v>研究生宿舍楼发车</x:v>
      </x:c>
      <x:c r="K395" s="12" t="str">
        <x:v>HX1_NORMAL</x:v>
      </x:c>
      <x:c r="L395" s="12" t="n">
        <x:v>7</x:v>
      </x:c>
      <x:c r="M395" s="12" t="str">
        <x:v>HX1_NORMAL|7</x:v>
      </x:c>
      <x:c r="N395" s="12" t="str">
        <x:v>北门</x:v>
      </x:c>
      <x:c r="O395" s="12" t="n">
        <x:f>IFERROR(INDEX('秒级路线参数_可调整'!$O:$O,MATCH(M395,'秒级路线参数_可调整'!$A:$A,0)),"")</x:f>
        <x:v>0</x:v>
      </x:c>
      <x:c r="P395" s="12" t="str">
        <x:f>IF(O395="","",O395/86400)</x:f>
      </x:c>
      <x:c r="Q395" s="12" t="str">
        <x:f>IF(O395="","",(H395*60+O395)/86400)</x:f>
      </x:c>
      <x:c r="R395" s="12" t="str">
        <x:f>IF(Q395="","",TEXT(Q395,"hh:mm:ss"))</x:f>
      </x:c>
      <x:c r="S395" s="12" t="str">
        <x:v>否</x:v>
      </x:c>
      <x:c r="T395" s="12" t="str">
        <x:v>否</x:v>
      </x:c>
      <x:c r="U395" s="12" t="str">
        <x:v>未提供</x:v>
      </x:c>
      <x:c r="V395" s="12" t="str">
        <x:v>未提供</x:v>
      </x:c>
      <x:c r="W395" s="12" t="str">
        <x:v>秒级预测</x:v>
      </x:c>
      <x:c r="X395" s="12" t="str">
        <x:v>基于路线秒级参数；如录入实测或手动采用秒，预计到达时间可随公式更新</x:v>
      </x:c>
    </x:row>
    <x:row r="396">
      <x:c r="A396" s="12" t="str">
        <x:v>S0032-08</x:v>
      </x:c>
      <x:c r="B396" s="12" t="str">
        <x:v>S0032</x:v>
      </x:c>
      <x:c r="C396" s="12" t="str">
        <x:v>工作日</x:v>
      </x:c>
      <x:c r="D396" s="12" t="str">
        <x:v>环线1路</x:v>
      </x:c>
      <x:c r="E396" s="12" t="str">
        <x:v>第二班</x:v>
      </x:c>
      <x:c r="F396" s="12" t="n">
        <x:v>6</x:v>
      </x:c>
      <x:c r="G396" s="12" t="str">
        <x:v>10:30</x:v>
      </x:c>
      <x:c r="H396" s="12" t="n">
        <x:v>630</x:v>
      </x:c>
      <x:c r="I396" s="12" t="str">
        <x:v>研究生宿舍楼</x:v>
      </x:c>
      <x:c r="J396" s="12" t="str">
        <x:v>研究生宿舍楼发车</x:v>
      </x:c>
      <x:c r="K396" s="12" t="str">
        <x:v>HX1_NORMAL</x:v>
      </x:c>
      <x:c r="L396" s="12" t="n">
        <x:v>8</x:v>
      </x:c>
      <x:c r="M396" s="12" t="str">
        <x:v>HX1_NORMAL|8</x:v>
      </x:c>
      <x:c r="N396" s="12" t="str">
        <x:v>高超楼</x:v>
      </x:c>
      <x:c r="O396" s="12" t="n">
        <x:f>IFERROR(INDEX('秒级路线参数_可调整'!$O:$O,MATCH(M396,'秒级路线参数_可调整'!$A:$A,0)),"")</x:f>
        <x:v>0</x:v>
      </x:c>
      <x:c r="P396" s="12" t="str">
        <x:f>IF(O396="","",O396/86400)</x:f>
      </x:c>
      <x:c r="Q396" s="12" t="str">
        <x:f>IF(O396="","",(H396*60+O396)/86400)</x:f>
      </x:c>
      <x:c r="R396" s="12" t="str">
        <x:f>IF(Q396="","",TEXT(Q396,"hh:mm:ss"))</x:f>
      </x:c>
      <x:c r="S396" s="12" t="str">
        <x:v>否</x:v>
      </x:c>
      <x:c r="T396" s="12" t="str">
        <x:v>否</x:v>
      </x:c>
      <x:c r="U396" s="12" t="str">
        <x:v>未提供</x:v>
      </x:c>
      <x:c r="V396" s="12" t="str">
        <x:v>未提供</x:v>
      </x:c>
      <x:c r="W396" s="12" t="str">
        <x:v>秒级预测</x:v>
      </x:c>
      <x:c r="X396" s="12" t="str">
        <x:v>基于路线秒级参数；如录入实测或手动采用秒，预计到达时间可随公式更新</x:v>
      </x:c>
    </x:row>
    <x:row r="397">
      <x:c r="A397" s="12" t="str">
        <x:v>S0032-09</x:v>
      </x:c>
      <x:c r="B397" s="12" t="str">
        <x:v>S0032</x:v>
      </x:c>
      <x:c r="C397" s="12" t="str">
        <x:v>工作日</x:v>
      </x:c>
      <x:c r="D397" s="12" t="str">
        <x:v>环线1路</x:v>
      </x:c>
      <x:c r="E397" s="12" t="str">
        <x:v>第二班</x:v>
      </x:c>
      <x:c r="F397" s="12" t="n">
        <x:v>6</x:v>
      </x:c>
      <x:c r="G397" s="12" t="str">
        <x:v>10:30</x:v>
      </x:c>
      <x:c r="H397" s="12" t="n">
        <x:v>630</x:v>
      </x:c>
      <x:c r="I397" s="12" t="str">
        <x:v>研究生宿舍楼</x:v>
      </x:c>
      <x:c r="J397" s="12" t="str">
        <x:v>研究生宿舍楼发车</x:v>
      </x:c>
      <x:c r="K397" s="12" t="str">
        <x:v>HX1_NORMAL</x:v>
      </x:c>
      <x:c r="L397" s="12" t="n">
        <x:v>9</x:v>
      </x:c>
      <x:c r="M397" s="12" t="str">
        <x:v>HX1_NORMAL|9</x:v>
      </x:c>
      <x:c r="N397" s="12" t="str">
        <x:v>理学院</x:v>
      </x:c>
      <x:c r="O397" s="12" t="n">
        <x:f>IFERROR(INDEX('秒级路线参数_可调整'!$O:$O,MATCH(M397,'秒级路线参数_可调整'!$A:$A,0)),"")</x:f>
        <x:v>0</x:v>
      </x:c>
      <x:c r="P397" s="12" t="str">
        <x:f>IF(O397="","",O397/86400)</x:f>
      </x:c>
      <x:c r="Q397" s="12" t="str">
        <x:f>IF(O397="","",(H397*60+O397)/86400)</x:f>
      </x:c>
      <x:c r="R397" s="12" t="str">
        <x:f>IF(Q397="","",TEXT(Q397,"hh:mm:ss"))</x:f>
      </x:c>
      <x:c r="S397" s="12" t="str">
        <x:v>否</x:v>
      </x:c>
      <x:c r="T397" s="12" t="str">
        <x:v>否</x:v>
      </x:c>
      <x:c r="U397" s="12" t="str">
        <x:v>未提供</x:v>
      </x:c>
      <x:c r="V397" s="12" t="str">
        <x:v>未提供</x:v>
      </x:c>
      <x:c r="W397" s="12" t="str">
        <x:v>秒级预测</x:v>
      </x:c>
      <x:c r="X397" s="12" t="str">
        <x:v>基于路线秒级参数；如录入实测或手动采用秒，预计到达时间可随公式更新</x:v>
      </x:c>
    </x:row>
    <x:row r="398">
      <x:c r="A398" s="12" t="str">
        <x:v>S0032-10</x:v>
      </x:c>
      <x:c r="B398" s="12" t="str">
        <x:v>S0032</x:v>
      </x:c>
      <x:c r="C398" s="12" t="str">
        <x:v>工作日</x:v>
      </x:c>
      <x:c r="D398" s="12" t="str">
        <x:v>环线1路</x:v>
      </x:c>
      <x:c r="E398" s="12" t="str">
        <x:v>第二班</x:v>
      </x:c>
      <x:c r="F398" s="12" t="n">
        <x:v>6</x:v>
      </x:c>
      <x:c r="G398" s="12" t="str">
        <x:v>10:30</x:v>
      </x:c>
      <x:c r="H398" s="12" t="n">
        <x:v>630</x:v>
      </x:c>
      <x:c r="I398" s="12" t="str">
        <x:v>研究生宿舍楼</x:v>
      </x:c>
      <x:c r="J398" s="12" t="str">
        <x:v>研究生宿舍楼发车</x:v>
      </x:c>
      <x:c r="K398" s="12" t="str">
        <x:v>HX1_NORMAL</x:v>
      </x:c>
      <x:c r="L398" s="12" t="n">
        <x:v>10</x:v>
      </x:c>
      <x:c r="M398" s="12" t="str">
        <x:v>HX1_NORMAL|10</x:v>
      </x:c>
      <x:c r="N398" s="12" t="str">
        <x:v>二食堂</x:v>
      </x:c>
      <x:c r="O398" s="12" t="n">
        <x:f>IFERROR(INDEX('秒级路线参数_可调整'!$O:$O,MATCH(M398,'秒级路线参数_可调整'!$A:$A,0)),"")</x:f>
        <x:v>0</x:v>
      </x:c>
      <x:c r="P398" s="12" t="str">
        <x:f>IF(O398="","",O398/86400)</x:f>
      </x:c>
      <x:c r="Q398" s="12" t="str">
        <x:f>IF(O398="","",(H398*60+O398)/86400)</x:f>
      </x:c>
      <x:c r="R398" s="12" t="str">
        <x:f>IF(Q398="","",TEXT(Q398,"hh:mm:ss"))</x:f>
      </x:c>
      <x:c r="S398" s="12" t="str">
        <x:v>否</x:v>
      </x:c>
      <x:c r="T398" s="12" t="str">
        <x:v>否</x:v>
      </x:c>
      <x:c r="U398" s="12" t="str">
        <x:v>未提供</x:v>
      </x:c>
      <x:c r="V398" s="12" t="str">
        <x:v>未提供</x:v>
      </x:c>
      <x:c r="W398" s="12" t="str">
        <x:v>秒级预测</x:v>
      </x:c>
      <x:c r="X398" s="12" t="str">
        <x:v>基于路线秒级参数；如录入实测或手动采用秒，预计到达时间可随公式更新</x:v>
      </x:c>
    </x:row>
    <x:row r="399">
      <x:c r="A399" s="12" t="str">
        <x:v>S0032-11</x:v>
      </x:c>
      <x:c r="B399" s="12" t="str">
        <x:v>S0032</x:v>
      </x:c>
      <x:c r="C399" s="12" t="str">
        <x:v>工作日</x:v>
      </x:c>
      <x:c r="D399" s="12" t="str">
        <x:v>环线1路</x:v>
      </x:c>
      <x:c r="E399" s="12" t="str">
        <x:v>第二班</x:v>
      </x:c>
      <x:c r="F399" s="12" t="n">
        <x:v>6</x:v>
      </x:c>
      <x:c r="G399" s="12" t="str">
        <x:v>10:30</x:v>
      </x:c>
      <x:c r="H399" s="12" t="n">
        <x:v>630</x:v>
      </x:c>
      <x:c r="I399" s="12" t="str">
        <x:v>研究生宿舍楼</x:v>
      </x:c>
      <x:c r="J399" s="12" t="str">
        <x:v>研究生宿舍楼发车</x:v>
      </x:c>
      <x:c r="K399" s="12" t="str">
        <x:v>HX1_NORMAL</x:v>
      </x:c>
      <x:c r="L399" s="12" t="n">
        <x:v>11</x:v>
      </x:c>
      <x:c r="M399" s="12" t="str">
        <x:v>HX1_NORMAL|11</x:v>
      </x:c>
      <x:c r="N399" s="12" t="str">
        <x:v>5号宿舍楼</x:v>
      </x:c>
      <x:c r="O399" s="12" t="n">
        <x:f>IFERROR(INDEX('秒级路线参数_可调整'!$O:$O,MATCH(M399,'秒级路线参数_可调整'!$A:$A,0)),"")</x:f>
        <x:v>0</x:v>
      </x:c>
      <x:c r="P399" s="12" t="str">
        <x:f>IF(O399="","",O399/86400)</x:f>
      </x:c>
      <x:c r="Q399" s="12" t="str">
        <x:f>IF(O399="","",(H399*60+O399)/86400)</x:f>
      </x:c>
      <x:c r="R399" s="12" t="str">
        <x:f>IF(Q399="","",TEXT(Q399,"hh:mm:ss"))</x:f>
      </x:c>
      <x:c r="S399" s="12" t="str">
        <x:v>否</x:v>
      </x:c>
      <x:c r="T399" s="12" t="str">
        <x:v>否</x:v>
      </x:c>
      <x:c r="U399" s="12" t="str">
        <x:v>未提供</x:v>
      </x:c>
      <x:c r="V399" s="12" t="str">
        <x:v>未提供</x:v>
      </x:c>
      <x:c r="W399" s="12" t="str">
        <x:v>秒级预测</x:v>
      </x:c>
      <x:c r="X399" s="12" t="str">
        <x:v>基于路线秒级参数；如录入实测或手动采用秒，预计到达时间可随公式更新</x:v>
      </x:c>
    </x:row>
    <x:row r="400">
      <x:c r="A400" s="12" t="str">
        <x:v>S0032-12</x:v>
      </x:c>
      <x:c r="B400" s="12" t="str">
        <x:v>S0032</x:v>
      </x:c>
      <x:c r="C400" s="12" t="str">
        <x:v>工作日</x:v>
      </x:c>
      <x:c r="D400" s="12" t="str">
        <x:v>环线1路</x:v>
      </x:c>
      <x:c r="E400" s="12" t="str">
        <x:v>第二班</x:v>
      </x:c>
      <x:c r="F400" s="12" t="n">
        <x:v>6</x:v>
      </x:c>
      <x:c r="G400" s="12" t="str">
        <x:v>10:30</x:v>
      </x:c>
      <x:c r="H400" s="12" t="n">
        <x:v>630</x:v>
      </x:c>
      <x:c r="I400" s="12" t="str">
        <x:v>研究生宿舍楼</x:v>
      </x:c>
      <x:c r="J400" s="12" t="str">
        <x:v>研究生宿舍楼发车</x:v>
      </x:c>
      <x:c r="K400" s="12" t="str">
        <x:v>HX1_NORMAL</x:v>
      </x:c>
      <x:c r="L400" s="12" t="n">
        <x:v>12</x:v>
      </x:c>
      <x:c r="M400" s="12" t="str">
        <x:v>HX1_NORMAL|12</x:v>
      </x:c>
      <x:c r="N400" s="12" t="str">
        <x:v>305教学楼</x:v>
      </x:c>
      <x:c r="O400" s="12" t="n">
        <x:f>IFERROR(INDEX('秒级路线参数_可调整'!$O:$O,MATCH(M400,'秒级路线参数_可调整'!$A:$A,0)),"")</x:f>
        <x:v>0</x:v>
      </x:c>
      <x:c r="P400" s="12" t="str">
        <x:f>IF(O400="","",O400/86400)</x:f>
      </x:c>
      <x:c r="Q400" s="12" t="str">
        <x:f>IF(O400="","",(H400*60+O400)/86400)</x:f>
      </x:c>
      <x:c r="R400" s="12" t="str">
        <x:f>IF(Q400="","",TEXT(Q400,"hh:mm:ss"))</x:f>
      </x:c>
      <x:c r="S400" s="12" t="str">
        <x:v>否</x:v>
      </x:c>
      <x:c r="T400" s="12" t="str">
        <x:v>否</x:v>
      </x:c>
      <x:c r="U400" s="12" t="str">
        <x:v>未提供</x:v>
      </x:c>
      <x:c r="V400" s="12" t="str">
        <x:v>未提供</x:v>
      </x:c>
      <x:c r="W400" s="12" t="str">
        <x:v>秒级预测</x:v>
      </x:c>
      <x:c r="X400" s="12" t="str">
        <x:v>基于路线秒级参数；如录入实测或手动采用秒，预计到达时间可随公式更新</x:v>
      </x:c>
    </x:row>
    <x:row r="401">
      <x:c r="A401" s="12" t="str">
        <x:v>S0032-13</x:v>
      </x:c>
      <x:c r="B401" s="12" t="str">
        <x:v>S0032</x:v>
      </x:c>
      <x:c r="C401" s="12" t="str">
        <x:v>工作日</x:v>
      </x:c>
      <x:c r="D401" s="12" t="str">
        <x:v>环线1路</x:v>
      </x:c>
      <x:c r="E401" s="12" t="str">
        <x:v>第二班</x:v>
      </x:c>
      <x:c r="F401" s="12" t="n">
        <x:v>6</x:v>
      </x:c>
      <x:c r="G401" s="12" t="str">
        <x:v>10:30</x:v>
      </x:c>
      <x:c r="H401" s="12" t="n">
        <x:v>630</x:v>
      </x:c>
      <x:c r="I401" s="12" t="str">
        <x:v>研究生宿舍楼</x:v>
      </x:c>
      <x:c r="J401" s="12" t="str">
        <x:v>研究生宿舍楼发车</x:v>
      </x:c>
      <x:c r="K401" s="12" t="str">
        <x:v>HX1_NORMAL</x:v>
      </x:c>
      <x:c r="L401" s="12" t="n">
        <x:v>13</x:v>
      </x:c>
      <x:c r="M401" s="12" t="str">
        <x:v>HX1_NORMAL|13</x:v>
      </x:c>
      <x:c r="N401" s="12" t="str">
        <x:v>研究生宿舍楼</x:v>
      </x:c>
      <x:c r="O401" s="12" t="n">
        <x:f>IFERROR(INDEX('秒级路线参数_可调整'!$O:$O,MATCH(M401,'秒级路线参数_可调整'!$A:$A,0)),"")</x:f>
        <x:v>0</x:v>
      </x:c>
      <x:c r="P401" s="12" t="str">
        <x:f>IF(O401="","",O401/86400)</x:f>
      </x:c>
      <x:c r="Q401" s="12" t="str">
        <x:f>IF(O401="","",(H401*60+O401)/86400)</x:f>
      </x:c>
      <x:c r="R401" s="12" t="str">
        <x:f>IF(Q401="","",TEXT(Q401,"hh:mm:ss"))</x:f>
      </x:c>
      <x:c r="S401" s="12" t="str">
        <x:v>否</x:v>
      </x:c>
      <x:c r="T401" s="12" t="str">
        <x:v>是</x:v>
      </x:c>
      <x:c r="U401" s="12" t="str">
        <x:v>未提供</x:v>
      </x:c>
      <x:c r="V401" s="12" t="str">
        <x:v>未提供</x:v>
      </x:c>
      <x:c r="W401" s="12" t="str">
        <x:v>秒级预测</x:v>
      </x:c>
      <x:c r="X401" s="12" t="str">
        <x:v>基于路线秒级参数；如录入实测或手动采用秒，预计到达时间可随公式更新</x:v>
      </x:c>
    </x:row>
    <x:row r="402">
      <x:c r="A402" s="12" t="str">
        <x:v>S0033-01</x:v>
      </x:c>
      <x:c r="B402" s="12" t="str">
        <x:v>S0033</x:v>
      </x:c>
      <x:c r="C402" s="12" t="str">
        <x:v>工作日</x:v>
      </x:c>
      <x:c r="D402" s="12" t="str">
        <x:v>环线1路</x:v>
      </x:c>
      <x:c r="E402" s="12" t="str">
        <x:v>第二班</x:v>
      </x:c>
      <x:c r="F402" s="12" t="n">
        <x:v>7</x:v>
      </x:c>
      <x:c r="G402" s="12" t="str">
        <x:v>11:00</x:v>
      </x:c>
      <x:c r="H402" s="12" t="n">
        <x:v>660</x:v>
      </x:c>
      <x:c r="I402" s="12" t="str">
        <x:v>研究生宿舍楼</x:v>
      </x:c>
      <x:c r="J402" s="12" t="str">
        <x:v>研究生宿舍楼发车</x:v>
      </x:c>
      <x:c r="K402" s="12" t="str">
        <x:v>HX1_NORMAL</x:v>
      </x:c>
      <x:c r="L402" s="12" t="n">
        <x:v>1</x:v>
      </x:c>
      <x:c r="M402" s="12" t="str">
        <x:v>HX1_NORMAL|1</x:v>
      </x:c>
      <x:c r="N402" s="12" t="str">
        <x:v>研究生宿舍楼</x:v>
      </x:c>
      <x:c r="O402" s="12" t="n">
        <x:f>IFERROR(INDEX('秒级路线参数_可调整'!$O:$O,MATCH(M402,'秒级路线参数_可调整'!$A:$A,0)),"")</x:f>
        <x:v>0</x:v>
      </x:c>
      <x:c r="P402" s="12" t="str">
        <x:f>IF(O402="","",O402/86400)</x:f>
      </x:c>
      <x:c r="Q402" s="12" t="str">
        <x:f>IF(O402="","",(H402*60+O402)/86400)</x:f>
      </x:c>
      <x:c r="R402" s="12" t="str">
        <x:f>IF(Q402="","",TEXT(Q402,"hh:mm:ss"))</x:f>
      </x:c>
      <x:c r="S402" s="12" t="str">
        <x:v>是</x:v>
      </x:c>
      <x:c r="T402" s="12" t="str">
        <x:v>否</x:v>
      </x:c>
      <x:c r="U402" s="12" t="str">
        <x:v>未提供</x:v>
      </x:c>
      <x:c r="V402" s="12" t="str">
        <x:v>未提供</x:v>
      </x:c>
      <x:c r="W402" s="12" t="str">
        <x:v>秒级预测</x:v>
      </x:c>
      <x:c r="X402" s="12" t="str">
        <x:v>基于路线秒级参数；如录入实测或手动采用秒，预计到达时间可随公式更新</x:v>
      </x:c>
    </x:row>
    <x:row r="403">
      <x:c r="A403" s="12" t="str">
        <x:v>S0033-02</x:v>
      </x:c>
      <x:c r="B403" s="12" t="str">
        <x:v>S0033</x:v>
      </x:c>
      <x:c r="C403" s="12" t="str">
        <x:v>工作日</x:v>
      </x:c>
      <x:c r="D403" s="12" t="str">
        <x:v>环线1路</x:v>
      </x:c>
      <x:c r="E403" s="12" t="str">
        <x:v>第二班</x:v>
      </x:c>
      <x:c r="F403" s="12" t="n">
        <x:v>7</x:v>
      </x:c>
      <x:c r="G403" s="12" t="str">
        <x:v>11:00</x:v>
      </x:c>
      <x:c r="H403" s="12" t="n">
        <x:v>660</x:v>
      </x:c>
      <x:c r="I403" s="12" t="str">
        <x:v>研究生宿舍楼</x:v>
      </x:c>
      <x:c r="J403" s="12" t="str">
        <x:v>研究生宿舍楼发车</x:v>
      </x:c>
      <x:c r="K403" s="12" t="str">
        <x:v>HX1_NORMAL</x:v>
      </x:c>
      <x:c r="L403" s="12" t="n">
        <x:v>2</x:v>
      </x:c>
      <x:c r="M403" s="12" t="str">
        <x:v>HX1_NORMAL|2</x:v>
      </x:c>
      <x:c r="N403" s="12" t="str">
        <x:v>东门</x:v>
      </x:c>
      <x:c r="O403" s="12" t="n">
        <x:f>IFERROR(INDEX('秒级路线参数_可调整'!$O:$O,MATCH(M403,'秒级路线参数_可调整'!$A:$A,0)),"")</x:f>
        <x:v>0</x:v>
      </x:c>
      <x:c r="P403" s="12" t="str">
        <x:f>IF(O403="","",O403/86400)</x:f>
      </x:c>
      <x:c r="Q403" s="12" t="str">
        <x:f>IF(O403="","",(H403*60+O403)/86400)</x:f>
      </x:c>
      <x:c r="R403" s="12" t="str">
        <x:f>IF(Q403="","",TEXT(Q403,"hh:mm:ss"))</x:f>
      </x:c>
      <x:c r="S403" s="12" t="str">
        <x:v>否</x:v>
      </x:c>
      <x:c r="T403" s="12" t="str">
        <x:v>否</x:v>
      </x:c>
      <x:c r="U403" s="12" t="str">
        <x:v>未提供</x:v>
      </x:c>
      <x:c r="V403" s="12" t="str">
        <x:v>未提供</x:v>
      </x:c>
      <x:c r="W403" s="12" t="str">
        <x:v>秒级预测</x:v>
      </x:c>
      <x:c r="X403" s="12" t="str">
        <x:v>基于路线秒级参数；如录入实测或手动采用秒，预计到达时间可随公式更新</x:v>
      </x:c>
    </x:row>
    <x:row r="404">
      <x:c r="A404" s="12" t="str">
        <x:v>S0033-03</x:v>
      </x:c>
      <x:c r="B404" s="12" t="str">
        <x:v>S0033</x:v>
      </x:c>
      <x:c r="C404" s="12" t="str">
        <x:v>工作日</x:v>
      </x:c>
      <x:c r="D404" s="12" t="str">
        <x:v>环线1路</x:v>
      </x:c>
      <x:c r="E404" s="12" t="str">
        <x:v>第二班</x:v>
      </x:c>
      <x:c r="F404" s="12" t="n">
        <x:v>7</x:v>
      </x:c>
      <x:c r="G404" s="12" t="str">
        <x:v>11:00</x:v>
      </x:c>
      <x:c r="H404" s="12" t="n">
        <x:v>660</x:v>
      </x:c>
      <x:c r="I404" s="12" t="str">
        <x:v>研究生宿舍楼</x:v>
      </x:c>
      <x:c r="J404" s="12" t="str">
        <x:v>研究生宿舍楼发车</x:v>
      </x:c>
      <x:c r="K404" s="12" t="str">
        <x:v>HX1_NORMAL</x:v>
      </x:c>
      <x:c r="L404" s="12" t="n">
        <x:v>3</x:v>
      </x:c>
      <x:c r="M404" s="12" t="str">
        <x:v>HX1_NORMAL|3</x:v>
      </x:c>
      <x:c r="N404" s="12" t="str">
        <x:v>2号宿舍楼</x:v>
      </x:c>
      <x:c r="O404" s="12" t="n">
        <x:f>IFERROR(INDEX('秒级路线参数_可调整'!$O:$O,MATCH(M404,'秒级路线参数_可调整'!$A:$A,0)),"")</x:f>
        <x:v>0</x:v>
      </x:c>
      <x:c r="P404" s="12" t="str">
        <x:f>IF(O404="","",O404/86400)</x:f>
      </x:c>
      <x:c r="Q404" s="12" t="str">
        <x:f>IF(O404="","",(H404*60+O404)/86400)</x:f>
      </x:c>
      <x:c r="R404" s="12" t="str">
        <x:f>IF(Q404="","",TEXT(Q404,"hh:mm:ss"))</x:f>
      </x:c>
      <x:c r="S404" s="12" t="str">
        <x:v>否</x:v>
      </x:c>
      <x:c r="T404" s="12" t="str">
        <x:v>否</x:v>
      </x:c>
      <x:c r="U404" s="12" t="str">
        <x:v>未提供</x:v>
      </x:c>
      <x:c r="V404" s="12" t="str">
        <x:v>未提供</x:v>
      </x:c>
      <x:c r="W404" s="12" t="str">
        <x:v>秒级预测</x:v>
      </x:c>
      <x:c r="X404" s="12" t="str">
        <x:v>基于路线秒级参数；如录入实测或手动采用秒，预计到达时间可随公式更新</x:v>
      </x:c>
    </x:row>
    <x:row r="405">
      <x:c r="A405" s="12" t="str">
        <x:v>S0033-04</x:v>
      </x:c>
      <x:c r="B405" s="12" t="str">
        <x:v>S0033</x:v>
      </x:c>
      <x:c r="C405" s="12" t="str">
        <x:v>工作日</x:v>
      </x:c>
      <x:c r="D405" s="12" t="str">
        <x:v>环线1路</x:v>
      </x:c>
      <x:c r="E405" s="12" t="str">
        <x:v>第二班</x:v>
      </x:c>
      <x:c r="F405" s="12" t="n">
        <x:v>7</x:v>
      </x:c>
      <x:c r="G405" s="12" t="str">
        <x:v>11:00</x:v>
      </x:c>
      <x:c r="H405" s="12" t="n">
        <x:v>660</x:v>
      </x:c>
      <x:c r="I405" s="12" t="str">
        <x:v>研究生宿舍楼</x:v>
      </x:c>
      <x:c r="J405" s="12" t="str">
        <x:v>研究生宿舍楼发车</x:v>
      </x:c>
      <x:c r="K405" s="12" t="str">
        <x:v>HX1_NORMAL</x:v>
      </x:c>
      <x:c r="L405" s="12" t="n">
        <x:v>4</x:v>
      </x:c>
      <x:c r="M405" s="12" t="str">
        <x:v>HX1_NORMAL|4</x:v>
      </x:c>
      <x:c r="N405" s="12" t="str">
        <x:v>军体活动中心</x:v>
      </x:c>
      <x:c r="O405" s="12" t="n">
        <x:f>IFERROR(INDEX('秒级路线参数_可调整'!$O:$O,MATCH(M405,'秒级路线参数_可调整'!$A:$A,0)),"")</x:f>
        <x:v>0</x:v>
      </x:c>
      <x:c r="P405" s="12" t="str">
        <x:f>IF(O405="","",O405/86400)</x:f>
      </x:c>
      <x:c r="Q405" s="12" t="str">
        <x:f>IF(O405="","",(H405*60+O405)/86400)</x:f>
      </x:c>
      <x:c r="R405" s="12" t="str">
        <x:f>IF(Q405="","",TEXT(Q405,"hh:mm:ss"))</x:f>
      </x:c>
      <x:c r="S405" s="12" t="str">
        <x:v>否</x:v>
      </x:c>
      <x:c r="T405" s="12" t="str">
        <x:v>否</x:v>
      </x:c>
      <x:c r="U405" s="12" t="str">
        <x:v>未提供</x:v>
      </x:c>
      <x:c r="V405" s="12" t="str">
        <x:v>未提供</x:v>
      </x:c>
      <x:c r="W405" s="12" t="str">
        <x:v>秒级预测</x:v>
      </x:c>
      <x:c r="X405" s="12" t="str">
        <x:v>基于路线秒级参数；如录入实测或手动采用秒，预计到达时间可随公式更新</x:v>
      </x:c>
    </x:row>
    <x:row r="406">
      <x:c r="A406" s="12" t="str">
        <x:v>S0033-05</x:v>
      </x:c>
      <x:c r="B406" s="12" t="str">
        <x:v>S0033</x:v>
      </x:c>
      <x:c r="C406" s="12" t="str">
        <x:v>工作日</x:v>
      </x:c>
      <x:c r="D406" s="12" t="str">
        <x:v>环线1路</x:v>
      </x:c>
      <x:c r="E406" s="12" t="str">
        <x:v>第二班</x:v>
      </x:c>
      <x:c r="F406" s="12" t="n">
        <x:v>7</x:v>
      </x:c>
      <x:c r="G406" s="12" t="str">
        <x:v>11:00</x:v>
      </x:c>
      <x:c r="H406" s="12" t="n">
        <x:v>660</x:v>
      </x:c>
      <x:c r="I406" s="12" t="str">
        <x:v>研究生宿舍楼</x:v>
      </x:c>
      <x:c r="J406" s="12" t="str">
        <x:v>研究生宿舍楼发车</x:v>
      </x:c>
      <x:c r="K406" s="12" t="str">
        <x:v>HX1_NORMAL</x:v>
      </x:c>
      <x:c r="L406" s="12" t="n">
        <x:v>5</x:v>
      </x:c>
      <x:c r="M406" s="12" t="str">
        <x:v>HX1_NORMAL|5</x:v>
      </x:c>
      <x:c r="N406" s="12" t="str">
        <x:v>激光所</x:v>
      </x:c>
      <x:c r="O406" s="12" t="n">
        <x:f>IFERROR(INDEX('秒级路线参数_可调整'!$O:$O,MATCH(M406,'秒级路线参数_可调整'!$A:$A,0)),"")</x:f>
        <x:v>0</x:v>
      </x:c>
      <x:c r="P406" s="12" t="str">
        <x:f>IF(O406="","",O406/86400)</x:f>
      </x:c>
      <x:c r="Q406" s="12" t="str">
        <x:f>IF(O406="","",(H406*60+O406)/86400)</x:f>
      </x:c>
      <x:c r="R406" s="12" t="str">
        <x:f>IF(Q406="","",TEXT(Q406,"hh:mm:ss"))</x:f>
      </x:c>
      <x:c r="S406" s="12" t="str">
        <x:v>否</x:v>
      </x:c>
      <x:c r="T406" s="12" t="str">
        <x:v>否</x:v>
      </x:c>
      <x:c r="U406" s="12" t="str">
        <x:v>未提供</x:v>
      </x:c>
      <x:c r="V406" s="12" t="str">
        <x:v>未提供</x:v>
      </x:c>
      <x:c r="W406" s="12" t="str">
        <x:v>秒级预测</x:v>
      </x:c>
      <x:c r="X406" s="12" t="str">
        <x:v>基于路线秒级参数；如录入实测或手动采用秒，预计到达时间可随公式更新</x:v>
      </x:c>
    </x:row>
    <x:row r="407">
      <x:c r="A407" s="12" t="str">
        <x:v>S0033-06</x:v>
      </x:c>
      <x:c r="B407" s="12" t="str">
        <x:v>S0033</x:v>
      </x:c>
      <x:c r="C407" s="12" t="str">
        <x:v>工作日</x:v>
      </x:c>
      <x:c r="D407" s="12" t="str">
        <x:v>环线1路</x:v>
      </x:c>
      <x:c r="E407" s="12" t="str">
        <x:v>第二班</x:v>
      </x:c>
      <x:c r="F407" s="12" t="n">
        <x:v>7</x:v>
      </x:c>
      <x:c r="G407" s="12" t="str">
        <x:v>11:00</x:v>
      </x:c>
      <x:c r="H407" s="12" t="n">
        <x:v>660</x:v>
      </x:c>
      <x:c r="I407" s="12" t="str">
        <x:v>研究生宿舍楼</x:v>
      </x:c>
      <x:c r="J407" s="12" t="str">
        <x:v>研究生宿舍楼发车</x:v>
      </x:c>
      <x:c r="K407" s="12" t="str">
        <x:v>HX1_NORMAL</x:v>
      </x:c>
      <x:c r="L407" s="12" t="n">
        <x:v>6</x:v>
      </x:c>
      <x:c r="M407" s="12" t="str">
        <x:v>HX1_NORMAL|6</x:v>
      </x:c>
      <x:c r="N407" s="12" t="str">
        <x:v>超算中心</x:v>
      </x:c>
      <x:c r="O407" s="12" t="n">
        <x:f>IFERROR(INDEX('秒级路线参数_可调整'!$O:$O,MATCH(M407,'秒级路线参数_可调整'!$A:$A,0)),"")</x:f>
        <x:v>0</x:v>
      </x:c>
      <x:c r="P407" s="12" t="str">
        <x:f>IF(O407="","",O407/86400)</x:f>
      </x:c>
      <x:c r="Q407" s="12" t="str">
        <x:f>IF(O407="","",(H407*60+O407)/86400)</x:f>
      </x:c>
      <x:c r="R407" s="12" t="str">
        <x:f>IF(Q407="","",TEXT(Q407,"hh:mm:ss"))</x:f>
      </x:c>
      <x:c r="S407" s="12" t="str">
        <x:v>否</x:v>
      </x:c>
      <x:c r="T407" s="12" t="str">
        <x:v>否</x:v>
      </x:c>
      <x:c r="U407" s="12" t="str">
        <x:v>未提供</x:v>
      </x:c>
      <x:c r="V407" s="12" t="str">
        <x:v>未提供</x:v>
      </x:c>
      <x:c r="W407" s="12" t="str">
        <x:v>秒级预测</x:v>
      </x:c>
      <x:c r="X407" s="12" t="str">
        <x:v>基于路线秒级参数；如录入实测或手动采用秒，预计到达时间可随公式更新</x:v>
      </x:c>
    </x:row>
    <x:row r="408">
      <x:c r="A408" s="12" t="str">
        <x:v>S0033-07</x:v>
      </x:c>
      <x:c r="B408" s="12" t="str">
        <x:v>S0033</x:v>
      </x:c>
      <x:c r="C408" s="12" t="str">
        <x:v>工作日</x:v>
      </x:c>
      <x:c r="D408" s="12" t="str">
        <x:v>环线1路</x:v>
      </x:c>
      <x:c r="E408" s="12" t="str">
        <x:v>第二班</x:v>
      </x:c>
      <x:c r="F408" s="12" t="n">
        <x:v>7</x:v>
      </x:c>
      <x:c r="G408" s="12" t="str">
        <x:v>11:00</x:v>
      </x:c>
      <x:c r="H408" s="12" t="n">
        <x:v>660</x:v>
      </x:c>
      <x:c r="I408" s="12" t="str">
        <x:v>研究生宿舍楼</x:v>
      </x:c>
      <x:c r="J408" s="12" t="str">
        <x:v>研究生宿舍楼发车</x:v>
      </x:c>
      <x:c r="K408" s="12" t="str">
        <x:v>HX1_NORMAL</x:v>
      </x:c>
      <x:c r="L408" s="12" t="n">
        <x:v>7</x:v>
      </x:c>
      <x:c r="M408" s="12" t="str">
        <x:v>HX1_NORMAL|7</x:v>
      </x:c>
      <x:c r="N408" s="12" t="str">
        <x:v>北门</x:v>
      </x:c>
      <x:c r="O408" s="12" t="n">
        <x:f>IFERROR(INDEX('秒级路线参数_可调整'!$O:$O,MATCH(M408,'秒级路线参数_可调整'!$A:$A,0)),"")</x:f>
        <x:v>0</x:v>
      </x:c>
      <x:c r="P408" s="12" t="str">
        <x:f>IF(O408="","",O408/86400)</x:f>
      </x:c>
      <x:c r="Q408" s="12" t="str">
        <x:f>IF(O408="","",(H408*60+O408)/86400)</x:f>
      </x:c>
      <x:c r="R408" s="12" t="str">
        <x:f>IF(Q408="","",TEXT(Q408,"hh:mm:ss"))</x:f>
      </x:c>
      <x:c r="S408" s="12" t="str">
        <x:v>否</x:v>
      </x:c>
      <x:c r="T408" s="12" t="str">
        <x:v>否</x:v>
      </x:c>
      <x:c r="U408" s="12" t="str">
        <x:v>未提供</x:v>
      </x:c>
      <x:c r="V408" s="12" t="str">
        <x:v>未提供</x:v>
      </x:c>
      <x:c r="W408" s="12" t="str">
        <x:v>秒级预测</x:v>
      </x:c>
      <x:c r="X408" s="12" t="str">
        <x:v>基于路线秒级参数；如录入实测或手动采用秒，预计到达时间可随公式更新</x:v>
      </x:c>
    </x:row>
    <x:row r="409">
      <x:c r="A409" s="12" t="str">
        <x:v>S0033-08</x:v>
      </x:c>
      <x:c r="B409" s="12" t="str">
        <x:v>S0033</x:v>
      </x:c>
      <x:c r="C409" s="12" t="str">
        <x:v>工作日</x:v>
      </x:c>
      <x:c r="D409" s="12" t="str">
        <x:v>环线1路</x:v>
      </x:c>
      <x:c r="E409" s="12" t="str">
        <x:v>第二班</x:v>
      </x:c>
      <x:c r="F409" s="12" t="n">
        <x:v>7</x:v>
      </x:c>
      <x:c r="G409" s="12" t="str">
        <x:v>11:00</x:v>
      </x:c>
      <x:c r="H409" s="12" t="n">
        <x:v>660</x:v>
      </x:c>
      <x:c r="I409" s="12" t="str">
        <x:v>研究生宿舍楼</x:v>
      </x:c>
      <x:c r="J409" s="12" t="str">
        <x:v>研究生宿舍楼发车</x:v>
      </x:c>
      <x:c r="K409" s="12" t="str">
        <x:v>HX1_NORMAL</x:v>
      </x:c>
      <x:c r="L409" s="12" t="n">
        <x:v>8</x:v>
      </x:c>
      <x:c r="M409" s="12" t="str">
        <x:v>HX1_NORMAL|8</x:v>
      </x:c>
      <x:c r="N409" s="12" t="str">
        <x:v>高超楼</x:v>
      </x:c>
      <x:c r="O409" s="12" t="n">
        <x:f>IFERROR(INDEX('秒级路线参数_可调整'!$O:$O,MATCH(M409,'秒级路线参数_可调整'!$A:$A,0)),"")</x:f>
        <x:v>0</x:v>
      </x:c>
      <x:c r="P409" s="12" t="str">
        <x:f>IF(O409="","",O409/86400)</x:f>
      </x:c>
      <x:c r="Q409" s="12" t="str">
        <x:f>IF(O409="","",(H409*60+O409)/86400)</x:f>
      </x:c>
      <x:c r="R409" s="12" t="str">
        <x:f>IF(Q409="","",TEXT(Q409,"hh:mm:ss"))</x:f>
      </x:c>
      <x:c r="S409" s="12" t="str">
        <x:v>否</x:v>
      </x:c>
      <x:c r="T409" s="12" t="str">
        <x:v>否</x:v>
      </x:c>
      <x:c r="U409" s="12" t="str">
        <x:v>未提供</x:v>
      </x:c>
      <x:c r="V409" s="12" t="str">
        <x:v>未提供</x:v>
      </x:c>
      <x:c r="W409" s="12" t="str">
        <x:v>秒级预测</x:v>
      </x:c>
      <x:c r="X409" s="12" t="str">
        <x:v>基于路线秒级参数；如录入实测或手动采用秒，预计到达时间可随公式更新</x:v>
      </x:c>
    </x:row>
    <x:row r="410">
      <x:c r="A410" s="12" t="str">
        <x:v>S0033-09</x:v>
      </x:c>
      <x:c r="B410" s="12" t="str">
        <x:v>S0033</x:v>
      </x:c>
      <x:c r="C410" s="12" t="str">
        <x:v>工作日</x:v>
      </x:c>
      <x:c r="D410" s="12" t="str">
        <x:v>环线1路</x:v>
      </x:c>
      <x:c r="E410" s="12" t="str">
        <x:v>第二班</x:v>
      </x:c>
      <x:c r="F410" s="12" t="n">
        <x:v>7</x:v>
      </x:c>
      <x:c r="G410" s="12" t="str">
        <x:v>11:00</x:v>
      </x:c>
      <x:c r="H410" s="12" t="n">
        <x:v>660</x:v>
      </x:c>
      <x:c r="I410" s="12" t="str">
        <x:v>研究生宿舍楼</x:v>
      </x:c>
      <x:c r="J410" s="12" t="str">
        <x:v>研究生宿舍楼发车</x:v>
      </x:c>
      <x:c r="K410" s="12" t="str">
        <x:v>HX1_NORMAL</x:v>
      </x:c>
      <x:c r="L410" s="12" t="n">
        <x:v>9</x:v>
      </x:c>
      <x:c r="M410" s="12" t="str">
        <x:v>HX1_NORMAL|9</x:v>
      </x:c>
      <x:c r="N410" s="12" t="str">
        <x:v>理学院</x:v>
      </x:c>
      <x:c r="O410" s="12" t="n">
        <x:f>IFERROR(INDEX('秒级路线参数_可调整'!$O:$O,MATCH(M410,'秒级路线参数_可调整'!$A:$A,0)),"")</x:f>
        <x:v>0</x:v>
      </x:c>
      <x:c r="P410" s="12" t="str">
        <x:f>IF(O410="","",O410/86400)</x:f>
      </x:c>
      <x:c r="Q410" s="12" t="str">
        <x:f>IF(O410="","",(H410*60+O410)/86400)</x:f>
      </x:c>
      <x:c r="R410" s="12" t="str">
        <x:f>IF(Q410="","",TEXT(Q410,"hh:mm:ss"))</x:f>
      </x:c>
      <x:c r="S410" s="12" t="str">
        <x:v>否</x:v>
      </x:c>
      <x:c r="T410" s="12" t="str">
        <x:v>否</x:v>
      </x:c>
      <x:c r="U410" s="12" t="str">
        <x:v>未提供</x:v>
      </x:c>
      <x:c r="V410" s="12" t="str">
        <x:v>未提供</x:v>
      </x:c>
      <x:c r="W410" s="12" t="str">
        <x:v>秒级预测</x:v>
      </x:c>
      <x:c r="X410" s="12" t="str">
        <x:v>基于路线秒级参数；如录入实测或手动采用秒，预计到达时间可随公式更新</x:v>
      </x:c>
    </x:row>
    <x:row r="411">
      <x:c r="A411" s="12" t="str">
        <x:v>S0033-10</x:v>
      </x:c>
      <x:c r="B411" s="12" t="str">
        <x:v>S0033</x:v>
      </x:c>
      <x:c r="C411" s="12" t="str">
        <x:v>工作日</x:v>
      </x:c>
      <x:c r="D411" s="12" t="str">
        <x:v>环线1路</x:v>
      </x:c>
      <x:c r="E411" s="12" t="str">
        <x:v>第二班</x:v>
      </x:c>
      <x:c r="F411" s="12" t="n">
        <x:v>7</x:v>
      </x:c>
      <x:c r="G411" s="12" t="str">
        <x:v>11:00</x:v>
      </x:c>
      <x:c r="H411" s="12" t="n">
        <x:v>660</x:v>
      </x:c>
      <x:c r="I411" s="12" t="str">
        <x:v>研究生宿舍楼</x:v>
      </x:c>
      <x:c r="J411" s="12" t="str">
        <x:v>研究生宿舍楼发车</x:v>
      </x:c>
      <x:c r="K411" s="12" t="str">
        <x:v>HX1_NORMAL</x:v>
      </x:c>
      <x:c r="L411" s="12" t="n">
        <x:v>10</x:v>
      </x:c>
      <x:c r="M411" s="12" t="str">
        <x:v>HX1_NORMAL|10</x:v>
      </x:c>
      <x:c r="N411" s="12" t="str">
        <x:v>二食堂</x:v>
      </x:c>
      <x:c r="O411" s="12" t="n">
        <x:f>IFERROR(INDEX('秒级路线参数_可调整'!$O:$O,MATCH(M411,'秒级路线参数_可调整'!$A:$A,0)),"")</x:f>
        <x:v>0</x:v>
      </x:c>
      <x:c r="P411" s="12" t="str">
        <x:f>IF(O411="","",O411/86400)</x:f>
      </x:c>
      <x:c r="Q411" s="12" t="str">
        <x:f>IF(O411="","",(H411*60+O411)/86400)</x:f>
      </x:c>
      <x:c r="R411" s="12" t="str">
        <x:f>IF(Q411="","",TEXT(Q411,"hh:mm:ss"))</x:f>
      </x:c>
      <x:c r="S411" s="12" t="str">
        <x:v>否</x:v>
      </x:c>
      <x:c r="T411" s="12" t="str">
        <x:v>否</x:v>
      </x:c>
      <x:c r="U411" s="12" t="str">
        <x:v>未提供</x:v>
      </x:c>
      <x:c r="V411" s="12" t="str">
        <x:v>未提供</x:v>
      </x:c>
      <x:c r="W411" s="12" t="str">
        <x:v>秒级预测</x:v>
      </x:c>
      <x:c r="X411" s="12" t="str">
        <x:v>基于路线秒级参数；如录入实测或手动采用秒，预计到达时间可随公式更新</x:v>
      </x:c>
    </x:row>
    <x:row r="412">
      <x:c r="A412" s="12" t="str">
        <x:v>S0033-11</x:v>
      </x:c>
      <x:c r="B412" s="12" t="str">
        <x:v>S0033</x:v>
      </x:c>
      <x:c r="C412" s="12" t="str">
        <x:v>工作日</x:v>
      </x:c>
      <x:c r="D412" s="12" t="str">
        <x:v>环线1路</x:v>
      </x:c>
      <x:c r="E412" s="12" t="str">
        <x:v>第二班</x:v>
      </x:c>
      <x:c r="F412" s="12" t="n">
        <x:v>7</x:v>
      </x:c>
      <x:c r="G412" s="12" t="str">
        <x:v>11:00</x:v>
      </x:c>
      <x:c r="H412" s="12" t="n">
        <x:v>660</x:v>
      </x:c>
      <x:c r="I412" s="12" t="str">
        <x:v>研究生宿舍楼</x:v>
      </x:c>
      <x:c r="J412" s="12" t="str">
        <x:v>研究生宿舍楼发车</x:v>
      </x:c>
      <x:c r="K412" s="12" t="str">
        <x:v>HX1_NORMAL</x:v>
      </x:c>
      <x:c r="L412" s="12" t="n">
        <x:v>11</x:v>
      </x:c>
      <x:c r="M412" s="12" t="str">
        <x:v>HX1_NORMAL|11</x:v>
      </x:c>
      <x:c r="N412" s="12" t="str">
        <x:v>5号宿舍楼</x:v>
      </x:c>
      <x:c r="O412" s="12" t="n">
        <x:f>IFERROR(INDEX('秒级路线参数_可调整'!$O:$O,MATCH(M412,'秒级路线参数_可调整'!$A:$A,0)),"")</x:f>
        <x:v>0</x:v>
      </x:c>
      <x:c r="P412" s="12" t="str">
        <x:f>IF(O412="","",O412/86400)</x:f>
      </x:c>
      <x:c r="Q412" s="12" t="str">
        <x:f>IF(O412="","",(H412*60+O412)/86400)</x:f>
      </x:c>
      <x:c r="R412" s="12" t="str">
        <x:f>IF(Q412="","",TEXT(Q412,"hh:mm:ss"))</x:f>
      </x:c>
      <x:c r="S412" s="12" t="str">
        <x:v>否</x:v>
      </x:c>
      <x:c r="T412" s="12" t="str">
        <x:v>否</x:v>
      </x:c>
      <x:c r="U412" s="12" t="str">
        <x:v>未提供</x:v>
      </x:c>
      <x:c r="V412" s="12" t="str">
        <x:v>未提供</x:v>
      </x:c>
      <x:c r="W412" s="12" t="str">
        <x:v>秒级预测</x:v>
      </x:c>
      <x:c r="X412" s="12" t="str">
        <x:v>基于路线秒级参数；如录入实测或手动采用秒，预计到达时间可随公式更新</x:v>
      </x:c>
    </x:row>
    <x:row r="413">
      <x:c r="A413" s="12" t="str">
        <x:v>S0033-12</x:v>
      </x:c>
      <x:c r="B413" s="12" t="str">
        <x:v>S0033</x:v>
      </x:c>
      <x:c r="C413" s="12" t="str">
        <x:v>工作日</x:v>
      </x:c>
      <x:c r="D413" s="12" t="str">
        <x:v>环线1路</x:v>
      </x:c>
      <x:c r="E413" s="12" t="str">
        <x:v>第二班</x:v>
      </x:c>
      <x:c r="F413" s="12" t="n">
        <x:v>7</x:v>
      </x:c>
      <x:c r="G413" s="12" t="str">
        <x:v>11:00</x:v>
      </x:c>
      <x:c r="H413" s="12" t="n">
        <x:v>660</x:v>
      </x:c>
      <x:c r="I413" s="12" t="str">
        <x:v>研究生宿舍楼</x:v>
      </x:c>
      <x:c r="J413" s="12" t="str">
        <x:v>研究生宿舍楼发车</x:v>
      </x:c>
      <x:c r="K413" s="12" t="str">
        <x:v>HX1_NORMAL</x:v>
      </x:c>
      <x:c r="L413" s="12" t="n">
        <x:v>12</x:v>
      </x:c>
      <x:c r="M413" s="12" t="str">
        <x:v>HX1_NORMAL|12</x:v>
      </x:c>
      <x:c r="N413" s="12" t="str">
        <x:v>305教学楼</x:v>
      </x:c>
      <x:c r="O413" s="12" t="n">
        <x:f>IFERROR(INDEX('秒级路线参数_可调整'!$O:$O,MATCH(M413,'秒级路线参数_可调整'!$A:$A,0)),"")</x:f>
        <x:v>0</x:v>
      </x:c>
      <x:c r="P413" s="12" t="str">
        <x:f>IF(O413="","",O413/86400)</x:f>
      </x:c>
      <x:c r="Q413" s="12" t="str">
        <x:f>IF(O413="","",(H413*60+O413)/86400)</x:f>
      </x:c>
      <x:c r="R413" s="12" t="str">
        <x:f>IF(Q413="","",TEXT(Q413,"hh:mm:ss"))</x:f>
      </x:c>
      <x:c r="S413" s="12" t="str">
        <x:v>否</x:v>
      </x:c>
      <x:c r="T413" s="12" t="str">
        <x:v>否</x:v>
      </x:c>
      <x:c r="U413" s="12" t="str">
        <x:v>未提供</x:v>
      </x:c>
      <x:c r="V413" s="12" t="str">
        <x:v>未提供</x:v>
      </x:c>
      <x:c r="W413" s="12" t="str">
        <x:v>秒级预测</x:v>
      </x:c>
      <x:c r="X413" s="12" t="str">
        <x:v>基于路线秒级参数；如录入实测或手动采用秒，预计到达时间可随公式更新</x:v>
      </x:c>
    </x:row>
    <x:row r="414">
      <x:c r="A414" s="12" t="str">
        <x:v>S0033-13</x:v>
      </x:c>
      <x:c r="B414" s="12" t="str">
        <x:v>S0033</x:v>
      </x:c>
      <x:c r="C414" s="12" t="str">
        <x:v>工作日</x:v>
      </x:c>
      <x:c r="D414" s="12" t="str">
        <x:v>环线1路</x:v>
      </x:c>
      <x:c r="E414" s="12" t="str">
        <x:v>第二班</x:v>
      </x:c>
      <x:c r="F414" s="12" t="n">
        <x:v>7</x:v>
      </x:c>
      <x:c r="G414" s="12" t="str">
        <x:v>11:00</x:v>
      </x:c>
      <x:c r="H414" s="12" t="n">
        <x:v>660</x:v>
      </x:c>
      <x:c r="I414" s="12" t="str">
        <x:v>研究生宿舍楼</x:v>
      </x:c>
      <x:c r="J414" s="12" t="str">
        <x:v>研究生宿舍楼发车</x:v>
      </x:c>
      <x:c r="K414" s="12" t="str">
        <x:v>HX1_NORMAL</x:v>
      </x:c>
      <x:c r="L414" s="12" t="n">
        <x:v>13</x:v>
      </x:c>
      <x:c r="M414" s="12" t="str">
        <x:v>HX1_NORMAL|13</x:v>
      </x:c>
      <x:c r="N414" s="12" t="str">
        <x:v>研究生宿舍楼</x:v>
      </x:c>
      <x:c r="O414" s="12" t="n">
        <x:f>IFERROR(INDEX('秒级路线参数_可调整'!$O:$O,MATCH(M414,'秒级路线参数_可调整'!$A:$A,0)),"")</x:f>
        <x:v>0</x:v>
      </x:c>
      <x:c r="P414" s="12" t="str">
        <x:f>IF(O414="","",O414/86400)</x:f>
      </x:c>
      <x:c r="Q414" s="12" t="str">
        <x:f>IF(O414="","",(H414*60+O414)/86400)</x:f>
      </x:c>
      <x:c r="R414" s="12" t="str">
        <x:f>IF(Q414="","",TEXT(Q414,"hh:mm:ss"))</x:f>
      </x:c>
      <x:c r="S414" s="12" t="str">
        <x:v>否</x:v>
      </x:c>
      <x:c r="T414" s="12" t="str">
        <x:v>是</x:v>
      </x:c>
      <x:c r="U414" s="12" t="str">
        <x:v>未提供</x:v>
      </x:c>
      <x:c r="V414" s="12" t="str">
        <x:v>未提供</x:v>
      </x:c>
      <x:c r="W414" s="12" t="str">
        <x:v>秒级预测</x:v>
      </x:c>
      <x:c r="X414" s="12" t="str">
        <x:v>基于路线秒级参数；如录入实测或手动采用秒，预计到达时间可随公式更新</x:v>
      </x:c>
    </x:row>
    <x:row r="415">
      <x:c r="A415" s="12" t="str">
        <x:v>S0034-01</x:v>
      </x:c>
      <x:c r="B415" s="12" t="str">
        <x:v>S0034</x:v>
      </x:c>
      <x:c r="C415" s="12" t="str">
        <x:v>工作日</x:v>
      </x:c>
      <x:c r="D415" s="12" t="str">
        <x:v>环线1路</x:v>
      </x:c>
      <x:c r="E415" s="12" t="str">
        <x:v>第二班</x:v>
      </x:c>
      <x:c r="F415" s="12" t="n">
        <x:v>8</x:v>
      </x:c>
      <x:c r="G415" s="12" t="str">
        <x:v>11:40</x:v>
      </x:c>
      <x:c r="H415" s="12" t="n">
        <x:v>700</x:v>
      </x:c>
      <x:c r="I415" s="12" t="str">
        <x:v>研究生宿舍楼</x:v>
      </x:c>
      <x:c r="J415" s="12" t="str">
        <x:v>研究生宿舍楼发车</x:v>
      </x:c>
      <x:c r="K415" s="12" t="str">
        <x:v>HX1_NORMAL</x:v>
      </x:c>
      <x:c r="L415" s="12" t="n">
        <x:v>1</x:v>
      </x:c>
      <x:c r="M415" s="12" t="str">
        <x:v>HX1_NORMAL|1</x:v>
      </x:c>
      <x:c r="N415" s="12" t="str">
        <x:v>研究生宿舍楼</x:v>
      </x:c>
      <x:c r="O415" s="12" t="n">
        <x:f>IFERROR(INDEX('秒级路线参数_可调整'!$O:$O,MATCH(M415,'秒级路线参数_可调整'!$A:$A,0)),"")</x:f>
        <x:v>0</x:v>
      </x:c>
      <x:c r="P415" s="12" t="str">
        <x:f>IF(O415="","",O415/86400)</x:f>
      </x:c>
      <x:c r="Q415" s="12" t="str">
        <x:f>IF(O415="","",(H415*60+O415)/86400)</x:f>
      </x:c>
      <x:c r="R415" s="12" t="str">
        <x:f>IF(Q415="","",TEXT(Q415,"hh:mm:ss"))</x:f>
      </x:c>
      <x:c r="S415" s="12" t="str">
        <x:v>是</x:v>
      </x:c>
      <x:c r="T415" s="12" t="str">
        <x:v>否</x:v>
      </x:c>
      <x:c r="U415" s="12" t="str">
        <x:v>未提供</x:v>
      </x:c>
      <x:c r="V415" s="12" t="str">
        <x:v>未提供</x:v>
      </x:c>
      <x:c r="W415" s="12" t="str">
        <x:v>秒级预测</x:v>
      </x:c>
      <x:c r="X415" s="12" t="str">
        <x:v>基于路线秒级参数；如录入实测或手动采用秒，预计到达时间可随公式更新</x:v>
      </x:c>
    </x:row>
    <x:row r="416">
      <x:c r="A416" s="12" t="str">
        <x:v>S0034-02</x:v>
      </x:c>
      <x:c r="B416" s="12" t="str">
        <x:v>S0034</x:v>
      </x:c>
      <x:c r="C416" s="12" t="str">
        <x:v>工作日</x:v>
      </x:c>
      <x:c r="D416" s="12" t="str">
        <x:v>环线1路</x:v>
      </x:c>
      <x:c r="E416" s="12" t="str">
        <x:v>第二班</x:v>
      </x:c>
      <x:c r="F416" s="12" t="n">
        <x:v>8</x:v>
      </x:c>
      <x:c r="G416" s="12" t="str">
        <x:v>11:40</x:v>
      </x:c>
      <x:c r="H416" s="12" t="n">
        <x:v>700</x:v>
      </x:c>
      <x:c r="I416" s="12" t="str">
        <x:v>研究生宿舍楼</x:v>
      </x:c>
      <x:c r="J416" s="12" t="str">
        <x:v>研究生宿舍楼发车</x:v>
      </x:c>
      <x:c r="K416" s="12" t="str">
        <x:v>HX1_NORMAL</x:v>
      </x:c>
      <x:c r="L416" s="12" t="n">
        <x:v>2</x:v>
      </x:c>
      <x:c r="M416" s="12" t="str">
        <x:v>HX1_NORMAL|2</x:v>
      </x:c>
      <x:c r="N416" s="12" t="str">
        <x:v>东门</x:v>
      </x:c>
      <x:c r="O416" s="12" t="n">
        <x:f>IFERROR(INDEX('秒级路线参数_可调整'!$O:$O,MATCH(M416,'秒级路线参数_可调整'!$A:$A,0)),"")</x:f>
        <x:v>0</x:v>
      </x:c>
      <x:c r="P416" s="12" t="str">
        <x:f>IF(O416="","",O416/86400)</x:f>
      </x:c>
      <x:c r="Q416" s="12" t="str">
        <x:f>IF(O416="","",(H416*60+O416)/86400)</x:f>
      </x:c>
      <x:c r="R416" s="12" t="str">
        <x:f>IF(Q416="","",TEXT(Q416,"hh:mm:ss"))</x:f>
      </x:c>
      <x:c r="S416" s="12" t="str">
        <x:v>否</x:v>
      </x:c>
      <x:c r="T416" s="12" t="str">
        <x:v>否</x:v>
      </x:c>
      <x:c r="U416" s="12" t="str">
        <x:v>未提供</x:v>
      </x:c>
      <x:c r="V416" s="12" t="str">
        <x:v>未提供</x:v>
      </x:c>
      <x:c r="W416" s="12" t="str">
        <x:v>秒级预测</x:v>
      </x:c>
      <x:c r="X416" s="12" t="str">
        <x:v>基于路线秒级参数；如录入实测或手动采用秒，预计到达时间可随公式更新</x:v>
      </x:c>
    </x:row>
    <x:row r="417">
      <x:c r="A417" s="12" t="str">
        <x:v>S0034-03</x:v>
      </x:c>
      <x:c r="B417" s="12" t="str">
        <x:v>S0034</x:v>
      </x:c>
      <x:c r="C417" s="12" t="str">
        <x:v>工作日</x:v>
      </x:c>
      <x:c r="D417" s="12" t="str">
        <x:v>环线1路</x:v>
      </x:c>
      <x:c r="E417" s="12" t="str">
        <x:v>第二班</x:v>
      </x:c>
      <x:c r="F417" s="12" t="n">
        <x:v>8</x:v>
      </x:c>
      <x:c r="G417" s="12" t="str">
        <x:v>11:40</x:v>
      </x:c>
      <x:c r="H417" s="12" t="n">
        <x:v>700</x:v>
      </x:c>
      <x:c r="I417" s="12" t="str">
        <x:v>研究生宿舍楼</x:v>
      </x:c>
      <x:c r="J417" s="12" t="str">
        <x:v>研究生宿舍楼发车</x:v>
      </x:c>
      <x:c r="K417" s="12" t="str">
        <x:v>HX1_NORMAL</x:v>
      </x:c>
      <x:c r="L417" s="12" t="n">
        <x:v>3</x:v>
      </x:c>
      <x:c r="M417" s="12" t="str">
        <x:v>HX1_NORMAL|3</x:v>
      </x:c>
      <x:c r="N417" s="12" t="str">
        <x:v>2号宿舍楼</x:v>
      </x:c>
      <x:c r="O417" s="12" t="n">
        <x:f>IFERROR(INDEX('秒级路线参数_可调整'!$O:$O,MATCH(M417,'秒级路线参数_可调整'!$A:$A,0)),"")</x:f>
        <x:v>0</x:v>
      </x:c>
      <x:c r="P417" s="12" t="str">
        <x:f>IF(O417="","",O417/86400)</x:f>
      </x:c>
      <x:c r="Q417" s="12" t="str">
        <x:f>IF(O417="","",(H417*60+O417)/86400)</x:f>
      </x:c>
      <x:c r="R417" s="12" t="str">
        <x:f>IF(Q417="","",TEXT(Q417,"hh:mm:ss"))</x:f>
      </x:c>
      <x:c r="S417" s="12" t="str">
        <x:v>否</x:v>
      </x:c>
      <x:c r="T417" s="12" t="str">
        <x:v>否</x:v>
      </x:c>
      <x:c r="U417" s="12" t="str">
        <x:v>未提供</x:v>
      </x:c>
      <x:c r="V417" s="12" t="str">
        <x:v>未提供</x:v>
      </x:c>
      <x:c r="W417" s="12" t="str">
        <x:v>秒级预测</x:v>
      </x:c>
      <x:c r="X417" s="12" t="str">
        <x:v>基于路线秒级参数；如录入实测或手动采用秒，预计到达时间可随公式更新</x:v>
      </x:c>
    </x:row>
    <x:row r="418">
      <x:c r="A418" s="12" t="str">
        <x:v>S0034-04</x:v>
      </x:c>
      <x:c r="B418" s="12" t="str">
        <x:v>S0034</x:v>
      </x:c>
      <x:c r="C418" s="12" t="str">
        <x:v>工作日</x:v>
      </x:c>
      <x:c r="D418" s="12" t="str">
        <x:v>环线1路</x:v>
      </x:c>
      <x:c r="E418" s="12" t="str">
        <x:v>第二班</x:v>
      </x:c>
      <x:c r="F418" s="12" t="n">
        <x:v>8</x:v>
      </x:c>
      <x:c r="G418" s="12" t="str">
        <x:v>11:40</x:v>
      </x:c>
      <x:c r="H418" s="12" t="n">
        <x:v>700</x:v>
      </x:c>
      <x:c r="I418" s="12" t="str">
        <x:v>研究生宿舍楼</x:v>
      </x:c>
      <x:c r="J418" s="12" t="str">
        <x:v>研究生宿舍楼发车</x:v>
      </x:c>
      <x:c r="K418" s="12" t="str">
        <x:v>HX1_NORMAL</x:v>
      </x:c>
      <x:c r="L418" s="12" t="n">
        <x:v>4</x:v>
      </x:c>
      <x:c r="M418" s="12" t="str">
        <x:v>HX1_NORMAL|4</x:v>
      </x:c>
      <x:c r="N418" s="12" t="str">
        <x:v>军体活动中心</x:v>
      </x:c>
      <x:c r="O418" s="12" t="n">
        <x:f>IFERROR(INDEX('秒级路线参数_可调整'!$O:$O,MATCH(M418,'秒级路线参数_可调整'!$A:$A,0)),"")</x:f>
        <x:v>0</x:v>
      </x:c>
      <x:c r="P418" s="12" t="str">
        <x:f>IF(O418="","",O418/86400)</x:f>
      </x:c>
      <x:c r="Q418" s="12" t="str">
        <x:f>IF(O418="","",(H418*60+O418)/86400)</x:f>
      </x:c>
      <x:c r="R418" s="12" t="str">
        <x:f>IF(Q418="","",TEXT(Q418,"hh:mm:ss"))</x:f>
      </x:c>
      <x:c r="S418" s="12" t="str">
        <x:v>否</x:v>
      </x:c>
      <x:c r="T418" s="12" t="str">
        <x:v>否</x:v>
      </x:c>
      <x:c r="U418" s="12" t="str">
        <x:v>未提供</x:v>
      </x:c>
      <x:c r="V418" s="12" t="str">
        <x:v>未提供</x:v>
      </x:c>
      <x:c r="W418" s="12" t="str">
        <x:v>秒级预测</x:v>
      </x:c>
      <x:c r="X418" s="12" t="str">
        <x:v>基于路线秒级参数；如录入实测或手动采用秒，预计到达时间可随公式更新</x:v>
      </x:c>
    </x:row>
    <x:row r="419">
      <x:c r="A419" s="12" t="str">
        <x:v>S0034-05</x:v>
      </x:c>
      <x:c r="B419" s="12" t="str">
        <x:v>S0034</x:v>
      </x:c>
      <x:c r="C419" s="12" t="str">
        <x:v>工作日</x:v>
      </x:c>
      <x:c r="D419" s="12" t="str">
        <x:v>环线1路</x:v>
      </x:c>
      <x:c r="E419" s="12" t="str">
        <x:v>第二班</x:v>
      </x:c>
      <x:c r="F419" s="12" t="n">
        <x:v>8</x:v>
      </x:c>
      <x:c r="G419" s="12" t="str">
        <x:v>11:40</x:v>
      </x:c>
      <x:c r="H419" s="12" t="n">
        <x:v>700</x:v>
      </x:c>
      <x:c r="I419" s="12" t="str">
        <x:v>研究生宿舍楼</x:v>
      </x:c>
      <x:c r="J419" s="12" t="str">
        <x:v>研究生宿舍楼发车</x:v>
      </x:c>
      <x:c r="K419" s="12" t="str">
        <x:v>HX1_NORMAL</x:v>
      </x:c>
      <x:c r="L419" s="12" t="n">
        <x:v>5</x:v>
      </x:c>
      <x:c r="M419" s="12" t="str">
        <x:v>HX1_NORMAL|5</x:v>
      </x:c>
      <x:c r="N419" s="12" t="str">
        <x:v>激光所</x:v>
      </x:c>
      <x:c r="O419" s="12" t="n">
        <x:f>IFERROR(INDEX('秒级路线参数_可调整'!$O:$O,MATCH(M419,'秒级路线参数_可调整'!$A:$A,0)),"")</x:f>
        <x:v>0</x:v>
      </x:c>
      <x:c r="P419" s="12" t="str">
        <x:f>IF(O419="","",O419/86400)</x:f>
      </x:c>
      <x:c r="Q419" s="12" t="str">
        <x:f>IF(O419="","",(H419*60+O419)/86400)</x:f>
      </x:c>
      <x:c r="R419" s="12" t="str">
        <x:f>IF(Q419="","",TEXT(Q419,"hh:mm:ss"))</x:f>
      </x:c>
      <x:c r="S419" s="12" t="str">
        <x:v>否</x:v>
      </x:c>
      <x:c r="T419" s="12" t="str">
        <x:v>否</x:v>
      </x:c>
      <x:c r="U419" s="12" t="str">
        <x:v>未提供</x:v>
      </x:c>
      <x:c r="V419" s="12" t="str">
        <x:v>未提供</x:v>
      </x:c>
      <x:c r="W419" s="12" t="str">
        <x:v>秒级预测</x:v>
      </x:c>
      <x:c r="X419" s="12" t="str">
        <x:v>基于路线秒级参数；如录入实测或手动采用秒，预计到达时间可随公式更新</x:v>
      </x:c>
    </x:row>
    <x:row r="420">
      <x:c r="A420" s="12" t="str">
        <x:v>S0034-06</x:v>
      </x:c>
      <x:c r="B420" s="12" t="str">
        <x:v>S0034</x:v>
      </x:c>
      <x:c r="C420" s="12" t="str">
        <x:v>工作日</x:v>
      </x:c>
      <x:c r="D420" s="12" t="str">
        <x:v>环线1路</x:v>
      </x:c>
      <x:c r="E420" s="12" t="str">
        <x:v>第二班</x:v>
      </x:c>
      <x:c r="F420" s="12" t="n">
        <x:v>8</x:v>
      </x:c>
      <x:c r="G420" s="12" t="str">
        <x:v>11:40</x:v>
      </x:c>
      <x:c r="H420" s="12" t="n">
        <x:v>700</x:v>
      </x:c>
      <x:c r="I420" s="12" t="str">
        <x:v>研究生宿舍楼</x:v>
      </x:c>
      <x:c r="J420" s="12" t="str">
        <x:v>研究生宿舍楼发车</x:v>
      </x:c>
      <x:c r="K420" s="12" t="str">
        <x:v>HX1_NORMAL</x:v>
      </x:c>
      <x:c r="L420" s="12" t="n">
        <x:v>6</x:v>
      </x:c>
      <x:c r="M420" s="12" t="str">
        <x:v>HX1_NORMAL|6</x:v>
      </x:c>
      <x:c r="N420" s="12" t="str">
        <x:v>超算中心</x:v>
      </x:c>
      <x:c r="O420" s="12" t="n">
        <x:f>IFERROR(INDEX('秒级路线参数_可调整'!$O:$O,MATCH(M420,'秒级路线参数_可调整'!$A:$A,0)),"")</x:f>
        <x:v>0</x:v>
      </x:c>
      <x:c r="P420" s="12" t="str">
        <x:f>IF(O420="","",O420/86400)</x:f>
      </x:c>
      <x:c r="Q420" s="12" t="str">
        <x:f>IF(O420="","",(H420*60+O420)/86400)</x:f>
      </x:c>
      <x:c r="R420" s="12" t="str">
        <x:f>IF(Q420="","",TEXT(Q420,"hh:mm:ss"))</x:f>
      </x:c>
      <x:c r="S420" s="12" t="str">
        <x:v>否</x:v>
      </x:c>
      <x:c r="T420" s="12" t="str">
        <x:v>否</x:v>
      </x:c>
      <x:c r="U420" s="12" t="str">
        <x:v>未提供</x:v>
      </x:c>
      <x:c r="V420" s="12" t="str">
        <x:v>未提供</x:v>
      </x:c>
      <x:c r="W420" s="12" t="str">
        <x:v>秒级预测</x:v>
      </x:c>
      <x:c r="X420" s="12" t="str">
        <x:v>基于路线秒级参数；如录入实测或手动采用秒，预计到达时间可随公式更新</x:v>
      </x:c>
    </x:row>
    <x:row r="421">
      <x:c r="A421" s="12" t="str">
        <x:v>S0034-07</x:v>
      </x:c>
      <x:c r="B421" s="12" t="str">
        <x:v>S0034</x:v>
      </x:c>
      <x:c r="C421" s="12" t="str">
        <x:v>工作日</x:v>
      </x:c>
      <x:c r="D421" s="12" t="str">
        <x:v>环线1路</x:v>
      </x:c>
      <x:c r="E421" s="12" t="str">
        <x:v>第二班</x:v>
      </x:c>
      <x:c r="F421" s="12" t="n">
        <x:v>8</x:v>
      </x:c>
      <x:c r="G421" s="12" t="str">
        <x:v>11:40</x:v>
      </x:c>
      <x:c r="H421" s="12" t="n">
        <x:v>700</x:v>
      </x:c>
      <x:c r="I421" s="12" t="str">
        <x:v>研究生宿舍楼</x:v>
      </x:c>
      <x:c r="J421" s="12" t="str">
        <x:v>研究生宿舍楼发车</x:v>
      </x:c>
      <x:c r="K421" s="12" t="str">
        <x:v>HX1_NORMAL</x:v>
      </x:c>
      <x:c r="L421" s="12" t="n">
        <x:v>7</x:v>
      </x:c>
      <x:c r="M421" s="12" t="str">
        <x:v>HX1_NORMAL|7</x:v>
      </x:c>
      <x:c r="N421" s="12" t="str">
        <x:v>北门</x:v>
      </x:c>
      <x:c r="O421" s="12" t="n">
        <x:f>IFERROR(INDEX('秒级路线参数_可调整'!$O:$O,MATCH(M421,'秒级路线参数_可调整'!$A:$A,0)),"")</x:f>
        <x:v>0</x:v>
      </x:c>
      <x:c r="P421" s="12" t="str">
        <x:f>IF(O421="","",O421/86400)</x:f>
      </x:c>
      <x:c r="Q421" s="12" t="str">
        <x:f>IF(O421="","",(H421*60+O421)/86400)</x:f>
      </x:c>
      <x:c r="R421" s="12" t="str">
        <x:f>IF(Q421="","",TEXT(Q421,"hh:mm:ss"))</x:f>
      </x:c>
      <x:c r="S421" s="12" t="str">
        <x:v>否</x:v>
      </x:c>
      <x:c r="T421" s="12" t="str">
        <x:v>否</x:v>
      </x:c>
      <x:c r="U421" s="12" t="str">
        <x:v>未提供</x:v>
      </x:c>
      <x:c r="V421" s="12" t="str">
        <x:v>未提供</x:v>
      </x:c>
      <x:c r="W421" s="12" t="str">
        <x:v>秒级预测</x:v>
      </x:c>
      <x:c r="X421" s="12" t="str">
        <x:v>基于路线秒级参数；如录入实测或手动采用秒，预计到达时间可随公式更新</x:v>
      </x:c>
    </x:row>
    <x:row r="422">
      <x:c r="A422" s="12" t="str">
        <x:v>S0034-08</x:v>
      </x:c>
      <x:c r="B422" s="12" t="str">
        <x:v>S0034</x:v>
      </x:c>
      <x:c r="C422" s="12" t="str">
        <x:v>工作日</x:v>
      </x:c>
      <x:c r="D422" s="12" t="str">
        <x:v>环线1路</x:v>
      </x:c>
      <x:c r="E422" s="12" t="str">
        <x:v>第二班</x:v>
      </x:c>
      <x:c r="F422" s="12" t="n">
        <x:v>8</x:v>
      </x:c>
      <x:c r="G422" s="12" t="str">
        <x:v>11:40</x:v>
      </x:c>
      <x:c r="H422" s="12" t="n">
        <x:v>700</x:v>
      </x:c>
      <x:c r="I422" s="12" t="str">
        <x:v>研究生宿舍楼</x:v>
      </x:c>
      <x:c r="J422" s="12" t="str">
        <x:v>研究生宿舍楼发车</x:v>
      </x:c>
      <x:c r="K422" s="12" t="str">
        <x:v>HX1_NORMAL</x:v>
      </x:c>
      <x:c r="L422" s="12" t="n">
        <x:v>8</x:v>
      </x:c>
      <x:c r="M422" s="12" t="str">
        <x:v>HX1_NORMAL|8</x:v>
      </x:c>
      <x:c r="N422" s="12" t="str">
        <x:v>高超楼</x:v>
      </x:c>
      <x:c r="O422" s="12" t="n">
        <x:f>IFERROR(INDEX('秒级路线参数_可调整'!$O:$O,MATCH(M422,'秒级路线参数_可调整'!$A:$A,0)),"")</x:f>
        <x:v>0</x:v>
      </x:c>
      <x:c r="P422" s="12" t="str">
        <x:f>IF(O422="","",O422/86400)</x:f>
      </x:c>
      <x:c r="Q422" s="12" t="str">
        <x:f>IF(O422="","",(H422*60+O422)/86400)</x:f>
      </x:c>
      <x:c r="R422" s="12" t="str">
        <x:f>IF(Q422="","",TEXT(Q422,"hh:mm:ss"))</x:f>
      </x:c>
      <x:c r="S422" s="12" t="str">
        <x:v>否</x:v>
      </x:c>
      <x:c r="T422" s="12" t="str">
        <x:v>否</x:v>
      </x:c>
      <x:c r="U422" s="12" t="str">
        <x:v>未提供</x:v>
      </x:c>
      <x:c r="V422" s="12" t="str">
        <x:v>未提供</x:v>
      </x:c>
      <x:c r="W422" s="12" t="str">
        <x:v>秒级预测</x:v>
      </x:c>
      <x:c r="X422" s="12" t="str">
        <x:v>基于路线秒级参数；如录入实测或手动采用秒，预计到达时间可随公式更新</x:v>
      </x:c>
    </x:row>
    <x:row r="423">
      <x:c r="A423" s="12" t="str">
        <x:v>S0034-09</x:v>
      </x:c>
      <x:c r="B423" s="12" t="str">
        <x:v>S0034</x:v>
      </x:c>
      <x:c r="C423" s="12" t="str">
        <x:v>工作日</x:v>
      </x:c>
      <x:c r="D423" s="12" t="str">
        <x:v>环线1路</x:v>
      </x:c>
      <x:c r="E423" s="12" t="str">
        <x:v>第二班</x:v>
      </x:c>
      <x:c r="F423" s="12" t="n">
        <x:v>8</x:v>
      </x:c>
      <x:c r="G423" s="12" t="str">
        <x:v>11:40</x:v>
      </x:c>
      <x:c r="H423" s="12" t="n">
        <x:v>700</x:v>
      </x:c>
      <x:c r="I423" s="12" t="str">
        <x:v>研究生宿舍楼</x:v>
      </x:c>
      <x:c r="J423" s="12" t="str">
        <x:v>研究生宿舍楼发车</x:v>
      </x:c>
      <x:c r="K423" s="12" t="str">
        <x:v>HX1_NORMAL</x:v>
      </x:c>
      <x:c r="L423" s="12" t="n">
        <x:v>9</x:v>
      </x:c>
      <x:c r="M423" s="12" t="str">
        <x:v>HX1_NORMAL|9</x:v>
      </x:c>
      <x:c r="N423" s="12" t="str">
        <x:v>理学院</x:v>
      </x:c>
      <x:c r="O423" s="12" t="n">
        <x:f>IFERROR(INDEX('秒级路线参数_可调整'!$O:$O,MATCH(M423,'秒级路线参数_可调整'!$A:$A,0)),"")</x:f>
        <x:v>0</x:v>
      </x:c>
      <x:c r="P423" s="12" t="str">
        <x:f>IF(O423="","",O423/86400)</x:f>
      </x:c>
      <x:c r="Q423" s="12" t="str">
        <x:f>IF(O423="","",(H423*60+O423)/86400)</x:f>
      </x:c>
      <x:c r="R423" s="12" t="str">
        <x:f>IF(Q423="","",TEXT(Q423,"hh:mm:ss"))</x:f>
      </x:c>
      <x:c r="S423" s="12" t="str">
        <x:v>否</x:v>
      </x:c>
      <x:c r="T423" s="12" t="str">
        <x:v>否</x:v>
      </x:c>
      <x:c r="U423" s="12" t="str">
        <x:v>未提供</x:v>
      </x:c>
      <x:c r="V423" s="12" t="str">
        <x:v>未提供</x:v>
      </x:c>
      <x:c r="W423" s="12" t="str">
        <x:v>秒级预测</x:v>
      </x:c>
      <x:c r="X423" s="12" t="str">
        <x:v>基于路线秒级参数；如录入实测或手动采用秒，预计到达时间可随公式更新</x:v>
      </x:c>
    </x:row>
    <x:row r="424">
      <x:c r="A424" s="12" t="str">
        <x:v>S0034-10</x:v>
      </x:c>
      <x:c r="B424" s="12" t="str">
        <x:v>S0034</x:v>
      </x:c>
      <x:c r="C424" s="12" t="str">
        <x:v>工作日</x:v>
      </x:c>
      <x:c r="D424" s="12" t="str">
        <x:v>环线1路</x:v>
      </x:c>
      <x:c r="E424" s="12" t="str">
        <x:v>第二班</x:v>
      </x:c>
      <x:c r="F424" s="12" t="n">
        <x:v>8</x:v>
      </x:c>
      <x:c r="G424" s="12" t="str">
        <x:v>11:40</x:v>
      </x:c>
      <x:c r="H424" s="12" t="n">
        <x:v>700</x:v>
      </x:c>
      <x:c r="I424" s="12" t="str">
        <x:v>研究生宿舍楼</x:v>
      </x:c>
      <x:c r="J424" s="12" t="str">
        <x:v>研究生宿舍楼发车</x:v>
      </x:c>
      <x:c r="K424" s="12" t="str">
        <x:v>HX1_NORMAL</x:v>
      </x:c>
      <x:c r="L424" s="12" t="n">
        <x:v>10</x:v>
      </x:c>
      <x:c r="M424" s="12" t="str">
        <x:v>HX1_NORMAL|10</x:v>
      </x:c>
      <x:c r="N424" s="12" t="str">
        <x:v>二食堂</x:v>
      </x:c>
      <x:c r="O424" s="12" t="n">
        <x:f>IFERROR(INDEX('秒级路线参数_可调整'!$O:$O,MATCH(M424,'秒级路线参数_可调整'!$A:$A,0)),"")</x:f>
        <x:v>0</x:v>
      </x:c>
      <x:c r="P424" s="12" t="str">
        <x:f>IF(O424="","",O424/86400)</x:f>
      </x:c>
      <x:c r="Q424" s="12" t="str">
        <x:f>IF(O424="","",(H424*60+O424)/86400)</x:f>
      </x:c>
      <x:c r="R424" s="12" t="str">
        <x:f>IF(Q424="","",TEXT(Q424,"hh:mm:ss"))</x:f>
      </x:c>
      <x:c r="S424" s="12" t="str">
        <x:v>否</x:v>
      </x:c>
      <x:c r="T424" s="12" t="str">
        <x:v>否</x:v>
      </x:c>
      <x:c r="U424" s="12" t="str">
        <x:v>未提供</x:v>
      </x:c>
      <x:c r="V424" s="12" t="str">
        <x:v>未提供</x:v>
      </x:c>
      <x:c r="W424" s="12" t="str">
        <x:v>秒级预测</x:v>
      </x:c>
      <x:c r="X424" s="12" t="str">
        <x:v>基于路线秒级参数；如录入实测或手动采用秒，预计到达时间可随公式更新</x:v>
      </x:c>
    </x:row>
    <x:row r="425">
      <x:c r="A425" s="12" t="str">
        <x:v>S0034-11</x:v>
      </x:c>
      <x:c r="B425" s="12" t="str">
        <x:v>S0034</x:v>
      </x:c>
      <x:c r="C425" s="12" t="str">
        <x:v>工作日</x:v>
      </x:c>
      <x:c r="D425" s="12" t="str">
        <x:v>环线1路</x:v>
      </x:c>
      <x:c r="E425" s="12" t="str">
        <x:v>第二班</x:v>
      </x:c>
      <x:c r="F425" s="12" t="n">
        <x:v>8</x:v>
      </x:c>
      <x:c r="G425" s="12" t="str">
        <x:v>11:40</x:v>
      </x:c>
      <x:c r="H425" s="12" t="n">
        <x:v>700</x:v>
      </x:c>
      <x:c r="I425" s="12" t="str">
        <x:v>研究生宿舍楼</x:v>
      </x:c>
      <x:c r="J425" s="12" t="str">
        <x:v>研究生宿舍楼发车</x:v>
      </x:c>
      <x:c r="K425" s="12" t="str">
        <x:v>HX1_NORMAL</x:v>
      </x:c>
      <x:c r="L425" s="12" t="n">
        <x:v>11</x:v>
      </x:c>
      <x:c r="M425" s="12" t="str">
        <x:v>HX1_NORMAL|11</x:v>
      </x:c>
      <x:c r="N425" s="12" t="str">
        <x:v>5号宿舍楼</x:v>
      </x:c>
      <x:c r="O425" s="12" t="n">
        <x:f>IFERROR(INDEX('秒级路线参数_可调整'!$O:$O,MATCH(M425,'秒级路线参数_可调整'!$A:$A,0)),"")</x:f>
        <x:v>0</x:v>
      </x:c>
      <x:c r="P425" s="12" t="str">
        <x:f>IF(O425="","",O425/86400)</x:f>
      </x:c>
      <x:c r="Q425" s="12" t="str">
        <x:f>IF(O425="","",(H425*60+O425)/86400)</x:f>
      </x:c>
      <x:c r="R425" s="12" t="str">
        <x:f>IF(Q425="","",TEXT(Q425,"hh:mm:ss"))</x:f>
      </x:c>
      <x:c r="S425" s="12" t="str">
        <x:v>否</x:v>
      </x:c>
      <x:c r="T425" s="12" t="str">
        <x:v>否</x:v>
      </x:c>
      <x:c r="U425" s="12" t="str">
        <x:v>未提供</x:v>
      </x:c>
      <x:c r="V425" s="12" t="str">
        <x:v>未提供</x:v>
      </x:c>
      <x:c r="W425" s="12" t="str">
        <x:v>秒级预测</x:v>
      </x:c>
      <x:c r="X425" s="12" t="str">
        <x:v>基于路线秒级参数；如录入实测或手动采用秒，预计到达时间可随公式更新</x:v>
      </x:c>
    </x:row>
    <x:row r="426">
      <x:c r="A426" s="12" t="str">
        <x:v>S0034-12</x:v>
      </x:c>
      <x:c r="B426" s="12" t="str">
        <x:v>S0034</x:v>
      </x:c>
      <x:c r="C426" s="12" t="str">
        <x:v>工作日</x:v>
      </x:c>
      <x:c r="D426" s="12" t="str">
        <x:v>环线1路</x:v>
      </x:c>
      <x:c r="E426" s="12" t="str">
        <x:v>第二班</x:v>
      </x:c>
      <x:c r="F426" s="12" t="n">
        <x:v>8</x:v>
      </x:c>
      <x:c r="G426" s="12" t="str">
        <x:v>11:40</x:v>
      </x:c>
      <x:c r="H426" s="12" t="n">
        <x:v>700</x:v>
      </x:c>
      <x:c r="I426" s="12" t="str">
        <x:v>研究生宿舍楼</x:v>
      </x:c>
      <x:c r="J426" s="12" t="str">
        <x:v>研究生宿舍楼发车</x:v>
      </x:c>
      <x:c r="K426" s="12" t="str">
        <x:v>HX1_NORMAL</x:v>
      </x:c>
      <x:c r="L426" s="12" t="n">
        <x:v>12</x:v>
      </x:c>
      <x:c r="M426" s="12" t="str">
        <x:v>HX1_NORMAL|12</x:v>
      </x:c>
      <x:c r="N426" s="12" t="str">
        <x:v>305教学楼</x:v>
      </x:c>
      <x:c r="O426" s="12" t="n">
        <x:f>IFERROR(INDEX('秒级路线参数_可调整'!$O:$O,MATCH(M426,'秒级路线参数_可调整'!$A:$A,0)),"")</x:f>
        <x:v>0</x:v>
      </x:c>
      <x:c r="P426" s="12" t="str">
        <x:f>IF(O426="","",O426/86400)</x:f>
      </x:c>
      <x:c r="Q426" s="12" t="str">
        <x:f>IF(O426="","",(H426*60+O426)/86400)</x:f>
      </x:c>
      <x:c r="R426" s="12" t="str">
        <x:f>IF(Q426="","",TEXT(Q426,"hh:mm:ss"))</x:f>
      </x:c>
      <x:c r="S426" s="12" t="str">
        <x:v>否</x:v>
      </x:c>
      <x:c r="T426" s="12" t="str">
        <x:v>否</x:v>
      </x:c>
      <x:c r="U426" s="12" t="str">
        <x:v>未提供</x:v>
      </x:c>
      <x:c r="V426" s="12" t="str">
        <x:v>未提供</x:v>
      </x:c>
      <x:c r="W426" s="12" t="str">
        <x:v>秒级预测</x:v>
      </x:c>
      <x:c r="X426" s="12" t="str">
        <x:v>基于路线秒级参数；如录入实测或手动采用秒，预计到达时间可随公式更新</x:v>
      </x:c>
    </x:row>
    <x:row r="427">
      <x:c r="A427" s="12" t="str">
        <x:v>S0034-13</x:v>
      </x:c>
      <x:c r="B427" s="12" t="str">
        <x:v>S0034</x:v>
      </x:c>
      <x:c r="C427" s="12" t="str">
        <x:v>工作日</x:v>
      </x:c>
      <x:c r="D427" s="12" t="str">
        <x:v>环线1路</x:v>
      </x:c>
      <x:c r="E427" s="12" t="str">
        <x:v>第二班</x:v>
      </x:c>
      <x:c r="F427" s="12" t="n">
        <x:v>8</x:v>
      </x:c>
      <x:c r="G427" s="12" t="str">
        <x:v>11:40</x:v>
      </x:c>
      <x:c r="H427" s="12" t="n">
        <x:v>700</x:v>
      </x:c>
      <x:c r="I427" s="12" t="str">
        <x:v>研究生宿舍楼</x:v>
      </x:c>
      <x:c r="J427" s="12" t="str">
        <x:v>研究生宿舍楼发车</x:v>
      </x:c>
      <x:c r="K427" s="12" t="str">
        <x:v>HX1_NORMAL</x:v>
      </x:c>
      <x:c r="L427" s="12" t="n">
        <x:v>13</x:v>
      </x:c>
      <x:c r="M427" s="12" t="str">
        <x:v>HX1_NORMAL|13</x:v>
      </x:c>
      <x:c r="N427" s="12" t="str">
        <x:v>研究生宿舍楼</x:v>
      </x:c>
      <x:c r="O427" s="12" t="n">
        <x:f>IFERROR(INDEX('秒级路线参数_可调整'!$O:$O,MATCH(M427,'秒级路线参数_可调整'!$A:$A,0)),"")</x:f>
        <x:v>0</x:v>
      </x:c>
      <x:c r="P427" s="12" t="str">
        <x:f>IF(O427="","",O427/86400)</x:f>
      </x:c>
      <x:c r="Q427" s="12" t="str">
        <x:f>IF(O427="","",(H427*60+O427)/86400)</x:f>
      </x:c>
      <x:c r="R427" s="12" t="str">
        <x:f>IF(Q427="","",TEXT(Q427,"hh:mm:ss"))</x:f>
      </x:c>
      <x:c r="S427" s="12" t="str">
        <x:v>否</x:v>
      </x:c>
      <x:c r="T427" s="12" t="str">
        <x:v>是</x:v>
      </x:c>
      <x:c r="U427" s="12" t="str">
        <x:v>未提供</x:v>
      </x:c>
      <x:c r="V427" s="12" t="str">
        <x:v>未提供</x:v>
      </x:c>
      <x:c r="W427" s="12" t="str">
        <x:v>秒级预测</x:v>
      </x:c>
      <x:c r="X427" s="12" t="str">
        <x:v>基于路线秒级参数；如录入实测或手动采用秒，预计到达时间可随公式更新</x:v>
      </x:c>
    </x:row>
    <x:row r="428">
      <x:c r="A428" s="12" t="str">
        <x:v>S0035-01</x:v>
      </x:c>
      <x:c r="B428" s="12" t="str">
        <x:v>S0035</x:v>
      </x:c>
      <x:c r="C428" s="12" t="str">
        <x:v>工作日</x:v>
      </x:c>
      <x:c r="D428" s="12" t="str">
        <x:v>环线1路</x:v>
      </x:c>
      <x:c r="E428" s="12" t="str">
        <x:v>第二班</x:v>
      </x:c>
      <x:c r="F428" s="12" t="n">
        <x:v>9</x:v>
      </x:c>
      <x:c r="G428" s="12" t="str">
        <x:v>12:10</x:v>
      </x:c>
      <x:c r="H428" s="12" t="n">
        <x:v>730</x:v>
      </x:c>
      <x:c r="I428" s="12" t="str">
        <x:v>研究生宿舍楼</x:v>
      </x:c>
      <x:c r="J428" s="12" t="str">
        <x:v>研究生宿舍楼发车</x:v>
      </x:c>
      <x:c r="K428" s="12" t="str">
        <x:v>HX1_NORMAL</x:v>
      </x:c>
      <x:c r="L428" s="12" t="n">
        <x:v>1</x:v>
      </x:c>
      <x:c r="M428" s="12" t="str">
        <x:v>HX1_NORMAL|1</x:v>
      </x:c>
      <x:c r="N428" s="12" t="str">
        <x:v>研究生宿舍楼</x:v>
      </x:c>
      <x:c r="O428" s="12" t="n">
        <x:f>IFERROR(INDEX('秒级路线参数_可调整'!$O:$O,MATCH(M428,'秒级路线参数_可调整'!$A:$A,0)),"")</x:f>
        <x:v>0</x:v>
      </x:c>
      <x:c r="P428" s="12" t="str">
        <x:f>IF(O428="","",O428/86400)</x:f>
      </x:c>
      <x:c r="Q428" s="12" t="str">
        <x:f>IF(O428="","",(H428*60+O428)/86400)</x:f>
      </x:c>
      <x:c r="R428" s="12" t="str">
        <x:f>IF(Q428="","",TEXT(Q428,"hh:mm:ss"))</x:f>
      </x:c>
      <x:c r="S428" s="12" t="str">
        <x:v>是</x:v>
      </x:c>
      <x:c r="T428" s="12" t="str">
        <x:v>否</x:v>
      </x:c>
      <x:c r="U428" s="12" t="str">
        <x:v>未提供</x:v>
      </x:c>
      <x:c r="V428" s="12" t="str">
        <x:v>未提供</x:v>
      </x:c>
      <x:c r="W428" s="12" t="str">
        <x:v>秒级预测</x:v>
      </x:c>
      <x:c r="X428" s="12" t="str">
        <x:v>基于路线秒级参数；如录入实测或手动采用秒，预计到达时间可随公式更新</x:v>
      </x:c>
    </x:row>
    <x:row r="429">
      <x:c r="A429" s="12" t="str">
        <x:v>S0035-02</x:v>
      </x:c>
      <x:c r="B429" s="12" t="str">
        <x:v>S0035</x:v>
      </x:c>
      <x:c r="C429" s="12" t="str">
        <x:v>工作日</x:v>
      </x:c>
      <x:c r="D429" s="12" t="str">
        <x:v>环线1路</x:v>
      </x:c>
      <x:c r="E429" s="12" t="str">
        <x:v>第二班</x:v>
      </x:c>
      <x:c r="F429" s="12" t="n">
        <x:v>9</x:v>
      </x:c>
      <x:c r="G429" s="12" t="str">
        <x:v>12:10</x:v>
      </x:c>
      <x:c r="H429" s="12" t="n">
        <x:v>730</x:v>
      </x:c>
      <x:c r="I429" s="12" t="str">
        <x:v>研究生宿舍楼</x:v>
      </x:c>
      <x:c r="J429" s="12" t="str">
        <x:v>研究生宿舍楼发车</x:v>
      </x:c>
      <x:c r="K429" s="12" t="str">
        <x:v>HX1_NORMAL</x:v>
      </x:c>
      <x:c r="L429" s="12" t="n">
        <x:v>2</x:v>
      </x:c>
      <x:c r="M429" s="12" t="str">
        <x:v>HX1_NORMAL|2</x:v>
      </x:c>
      <x:c r="N429" s="12" t="str">
        <x:v>东门</x:v>
      </x:c>
      <x:c r="O429" s="12" t="n">
        <x:f>IFERROR(INDEX('秒级路线参数_可调整'!$O:$O,MATCH(M429,'秒级路线参数_可调整'!$A:$A,0)),"")</x:f>
        <x:v>0</x:v>
      </x:c>
      <x:c r="P429" s="12" t="str">
        <x:f>IF(O429="","",O429/86400)</x:f>
      </x:c>
      <x:c r="Q429" s="12" t="str">
        <x:f>IF(O429="","",(H429*60+O429)/86400)</x:f>
      </x:c>
      <x:c r="R429" s="12" t="str">
        <x:f>IF(Q429="","",TEXT(Q429,"hh:mm:ss"))</x:f>
      </x:c>
      <x:c r="S429" s="12" t="str">
        <x:v>否</x:v>
      </x:c>
      <x:c r="T429" s="12" t="str">
        <x:v>否</x:v>
      </x:c>
      <x:c r="U429" s="12" t="str">
        <x:v>未提供</x:v>
      </x:c>
      <x:c r="V429" s="12" t="str">
        <x:v>未提供</x:v>
      </x:c>
      <x:c r="W429" s="12" t="str">
        <x:v>秒级预测</x:v>
      </x:c>
      <x:c r="X429" s="12" t="str">
        <x:v>基于路线秒级参数；如录入实测或手动采用秒，预计到达时间可随公式更新</x:v>
      </x:c>
    </x:row>
    <x:row r="430">
      <x:c r="A430" s="12" t="str">
        <x:v>S0035-03</x:v>
      </x:c>
      <x:c r="B430" s="12" t="str">
        <x:v>S0035</x:v>
      </x:c>
      <x:c r="C430" s="12" t="str">
        <x:v>工作日</x:v>
      </x:c>
      <x:c r="D430" s="12" t="str">
        <x:v>环线1路</x:v>
      </x:c>
      <x:c r="E430" s="12" t="str">
        <x:v>第二班</x:v>
      </x:c>
      <x:c r="F430" s="12" t="n">
        <x:v>9</x:v>
      </x:c>
      <x:c r="G430" s="12" t="str">
        <x:v>12:10</x:v>
      </x:c>
      <x:c r="H430" s="12" t="n">
        <x:v>730</x:v>
      </x:c>
      <x:c r="I430" s="12" t="str">
        <x:v>研究生宿舍楼</x:v>
      </x:c>
      <x:c r="J430" s="12" t="str">
        <x:v>研究生宿舍楼发车</x:v>
      </x:c>
      <x:c r="K430" s="12" t="str">
        <x:v>HX1_NORMAL</x:v>
      </x:c>
      <x:c r="L430" s="12" t="n">
        <x:v>3</x:v>
      </x:c>
      <x:c r="M430" s="12" t="str">
        <x:v>HX1_NORMAL|3</x:v>
      </x:c>
      <x:c r="N430" s="12" t="str">
        <x:v>2号宿舍楼</x:v>
      </x:c>
      <x:c r="O430" s="12" t="n">
        <x:f>IFERROR(INDEX('秒级路线参数_可调整'!$O:$O,MATCH(M430,'秒级路线参数_可调整'!$A:$A,0)),"")</x:f>
        <x:v>0</x:v>
      </x:c>
      <x:c r="P430" s="12" t="str">
        <x:f>IF(O430="","",O430/86400)</x:f>
      </x:c>
      <x:c r="Q430" s="12" t="str">
        <x:f>IF(O430="","",(H430*60+O430)/86400)</x:f>
      </x:c>
      <x:c r="R430" s="12" t="str">
        <x:f>IF(Q430="","",TEXT(Q430,"hh:mm:ss"))</x:f>
      </x:c>
      <x:c r="S430" s="12" t="str">
        <x:v>否</x:v>
      </x:c>
      <x:c r="T430" s="12" t="str">
        <x:v>否</x:v>
      </x:c>
      <x:c r="U430" s="12" t="str">
        <x:v>未提供</x:v>
      </x:c>
      <x:c r="V430" s="12" t="str">
        <x:v>未提供</x:v>
      </x:c>
      <x:c r="W430" s="12" t="str">
        <x:v>秒级预测</x:v>
      </x:c>
      <x:c r="X430" s="12" t="str">
        <x:v>基于路线秒级参数；如录入实测或手动采用秒，预计到达时间可随公式更新</x:v>
      </x:c>
    </x:row>
    <x:row r="431">
      <x:c r="A431" s="12" t="str">
        <x:v>S0035-04</x:v>
      </x:c>
      <x:c r="B431" s="12" t="str">
        <x:v>S0035</x:v>
      </x:c>
      <x:c r="C431" s="12" t="str">
        <x:v>工作日</x:v>
      </x:c>
      <x:c r="D431" s="12" t="str">
        <x:v>环线1路</x:v>
      </x:c>
      <x:c r="E431" s="12" t="str">
        <x:v>第二班</x:v>
      </x:c>
      <x:c r="F431" s="12" t="n">
        <x:v>9</x:v>
      </x:c>
      <x:c r="G431" s="12" t="str">
        <x:v>12:10</x:v>
      </x:c>
      <x:c r="H431" s="12" t="n">
        <x:v>730</x:v>
      </x:c>
      <x:c r="I431" s="12" t="str">
        <x:v>研究生宿舍楼</x:v>
      </x:c>
      <x:c r="J431" s="12" t="str">
        <x:v>研究生宿舍楼发车</x:v>
      </x:c>
      <x:c r="K431" s="12" t="str">
        <x:v>HX1_NORMAL</x:v>
      </x:c>
      <x:c r="L431" s="12" t="n">
        <x:v>4</x:v>
      </x:c>
      <x:c r="M431" s="12" t="str">
        <x:v>HX1_NORMAL|4</x:v>
      </x:c>
      <x:c r="N431" s="12" t="str">
        <x:v>军体活动中心</x:v>
      </x:c>
      <x:c r="O431" s="12" t="n">
        <x:f>IFERROR(INDEX('秒级路线参数_可调整'!$O:$O,MATCH(M431,'秒级路线参数_可调整'!$A:$A,0)),"")</x:f>
        <x:v>0</x:v>
      </x:c>
      <x:c r="P431" s="12" t="str">
        <x:f>IF(O431="","",O431/86400)</x:f>
      </x:c>
      <x:c r="Q431" s="12" t="str">
        <x:f>IF(O431="","",(H431*60+O431)/86400)</x:f>
      </x:c>
      <x:c r="R431" s="12" t="str">
        <x:f>IF(Q431="","",TEXT(Q431,"hh:mm:ss"))</x:f>
      </x:c>
      <x:c r="S431" s="12" t="str">
        <x:v>否</x:v>
      </x:c>
      <x:c r="T431" s="12" t="str">
        <x:v>否</x:v>
      </x:c>
      <x:c r="U431" s="12" t="str">
        <x:v>未提供</x:v>
      </x:c>
      <x:c r="V431" s="12" t="str">
        <x:v>未提供</x:v>
      </x:c>
      <x:c r="W431" s="12" t="str">
        <x:v>秒级预测</x:v>
      </x:c>
      <x:c r="X431" s="12" t="str">
        <x:v>基于路线秒级参数；如录入实测或手动采用秒，预计到达时间可随公式更新</x:v>
      </x:c>
    </x:row>
    <x:row r="432">
      <x:c r="A432" s="12" t="str">
        <x:v>S0035-05</x:v>
      </x:c>
      <x:c r="B432" s="12" t="str">
        <x:v>S0035</x:v>
      </x:c>
      <x:c r="C432" s="12" t="str">
        <x:v>工作日</x:v>
      </x:c>
      <x:c r="D432" s="12" t="str">
        <x:v>环线1路</x:v>
      </x:c>
      <x:c r="E432" s="12" t="str">
        <x:v>第二班</x:v>
      </x:c>
      <x:c r="F432" s="12" t="n">
        <x:v>9</x:v>
      </x:c>
      <x:c r="G432" s="12" t="str">
        <x:v>12:10</x:v>
      </x:c>
      <x:c r="H432" s="12" t="n">
        <x:v>730</x:v>
      </x:c>
      <x:c r="I432" s="12" t="str">
        <x:v>研究生宿舍楼</x:v>
      </x:c>
      <x:c r="J432" s="12" t="str">
        <x:v>研究生宿舍楼发车</x:v>
      </x:c>
      <x:c r="K432" s="12" t="str">
        <x:v>HX1_NORMAL</x:v>
      </x:c>
      <x:c r="L432" s="12" t="n">
        <x:v>5</x:v>
      </x:c>
      <x:c r="M432" s="12" t="str">
        <x:v>HX1_NORMAL|5</x:v>
      </x:c>
      <x:c r="N432" s="12" t="str">
        <x:v>激光所</x:v>
      </x:c>
      <x:c r="O432" s="12" t="n">
        <x:f>IFERROR(INDEX('秒级路线参数_可调整'!$O:$O,MATCH(M432,'秒级路线参数_可调整'!$A:$A,0)),"")</x:f>
        <x:v>0</x:v>
      </x:c>
      <x:c r="P432" s="12" t="str">
        <x:f>IF(O432="","",O432/86400)</x:f>
      </x:c>
      <x:c r="Q432" s="12" t="str">
        <x:f>IF(O432="","",(H432*60+O432)/86400)</x:f>
      </x:c>
      <x:c r="R432" s="12" t="str">
        <x:f>IF(Q432="","",TEXT(Q432,"hh:mm:ss"))</x:f>
      </x:c>
      <x:c r="S432" s="12" t="str">
        <x:v>否</x:v>
      </x:c>
      <x:c r="T432" s="12" t="str">
        <x:v>否</x:v>
      </x:c>
      <x:c r="U432" s="12" t="str">
        <x:v>未提供</x:v>
      </x:c>
      <x:c r="V432" s="12" t="str">
        <x:v>未提供</x:v>
      </x:c>
      <x:c r="W432" s="12" t="str">
        <x:v>秒级预测</x:v>
      </x:c>
      <x:c r="X432" s="12" t="str">
        <x:v>基于路线秒级参数；如录入实测或手动采用秒，预计到达时间可随公式更新</x:v>
      </x:c>
    </x:row>
    <x:row r="433">
      <x:c r="A433" s="12" t="str">
        <x:v>S0035-06</x:v>
      </x:c>
      <x:c r="B433" s="12" t="str">
        <x:v>S0035</x:v>
      </x:c>
      <x:c r="C433" s="12" t="str">
        <x:v>工作日</x:v>
      </x:c>
      <x:c r="D433" s="12" t="str">
        <x:v>环线1路</x:v>
      </x:c>
      <x:c r="E433" s="12" t="str">
        <x:v>第二班</x:v>
      </x:c>
      <x:c r="F433" s="12" t="n">
        <x:v>9</x:v>
      </x:c>
      <x:c r="G433" s="12" t="str">
        <x:v>12:10</x:v>
      </x:c>
      <x:c r="H433" s="12" t="n">
        <x:v>730</x:v>
      </x:c>
      <x:c r="I433" s="12" t="str">
        <x:v>研究生宿舍楼</x:v>
      </x:c>
      <x:c r="J433" s="12" t="str">
        <x:v>研究生宿舍楼发车</x:v>
      </x:c>
      <x:c r="K433" s="12" t="str">
        <x:v>HX1_NORMAL</x:v>
      </x:c>
      <x:c r="L433" s="12" t="n">
        <x:v>6</x:v>
      </x:c>
      <x:c r="M433" s="12" t="str">
        <x:v>HX1_NORMAL|6</x:v>
      </x:c>
      <x:c r="N433" s="12" t="str">
        <x:v>超算中心</x:v>
      </x:c>
      <x:c r="O433" s="12" t="n">
        <x:f>IFERROR(INDEX('秒级路线参数_可调整'!$O:$O,MATCH(M433,'秒级路线参数_可调整'!$A:$A,0)),"")</x:f>
        <x:v>0</x:v>
      </x:c>
      <x:c r="P433" s="12" t="str">
        <x:f>IF(O433="","",O433/86400)</x:f>
      </x:c>
      <x:c r="Q433" s="12" t="str">
        <x:f>IF(O433="","",(H433*60+O433)/86400)</x:f>
      </x:c>
      <x:c r="R433" s="12" t="str">
        <x:f>IF(Q433="","",TEXT(Q433,"hh:mm:ss"))</x:f>
      </x:c>
      <x:c r="S433" s="12" t="str">
        <x:v>否</x:v>
      </x:c>
      <x:c r="T433" s="12" t="str">
        <x:v>否</x:v>
      </x:c>
      <x:c r="U433" s="12" t="str">
        <x:v>未提供</x:v>
      </x:c>
      <x:c r="V433" s="12" t="str">
        <x:v>未提供</x:v>
      </x:c>
      <x:c r="W433" s="12" t="str">
        <x:v>秒级预测</x:v>
      </x:c>
      <x:c r="X433" s="12" t="str">
        <x:v>基于路线秒级参数；如录入实测或手动采用秒，预计到达时间可随公式更新</x:v>
      </x:c>
    </x:row>
    <x:row r="434">
      <x:c r="A434" s="12" t="str">
        <x:v>S0035-07</x:v>
      </x:c>
      <x:c r="B434" s="12" t="str">
        <x:v>S0035</x:v>
      </x:c>
      <x:c r="C434" s="12" t="str">
        <x:v>工作日</x:v>
      </x:c>
      <x:c r="D434" s="12" t="str">
        <x:v>环线1路</x:v>
      </x:c>
      <x:c r="E434" s="12" t="str">
        <x:v>第二班</x:v>
      </x:c>
      <x:c r="F434" s="12" t="n">
        <x:v>9</x:v>
      </x:c>
      <x:c r="G434" s="12" t="str">
        <x:v>12:10</x:v>
      </x:c>
      <x:c r="H434" s="12" t="n">
        <x:v>730</x:v>
      </x:c>
      <x:c r="I434" s="12" t="str">
        <x:v>研究生宿舍楼</x:v>
      </x:c>
      <x:c r="J434" s="12" t="str">
        <x:v>研究生宿舍楼发车</x:v>
      </x:c>
      <x:c r="K434" s="12" t="str">
        <x:v>HX1_NORMAL</x:v>
      </x:c>
      <x:c r="L434" s="12" t="n">
        <x:v>7</x:v>
      </x:c>
      <x:c r="M434" s="12" t="str">
        <x:v>HX1_NORMAL|7</x:v>
      </x:c>
      <x:c r="N434" s="12" t="str">
        <x:v>北门</x:v>
      </x:c>
      <x:c r="O434" s="12" t="n">
        <x:f>IFERROR(INDEX('秒级路线参数_可调整'!$O:$O,MATCH(M434,'秒级路线参数_可调整'!$A:$A,0)),"")</x:f>
        <x:v>0</x:v>
      </x:c>
      <x:c r="P434" s="12" t="str">
        <x:f>IF(O434="","",O434/86400)</x:f>
      </x:c>
      <x:c r="Q434" s="12" t="str">
        <x:f>IF(O434="","",(H434*60+O434)/86400)</x:f>
      </x:c>
      <x:c r="R434" s="12" t="str">
        <x:f>IF(Q434="","",TEXT(Q434,"hh:mm:ss"))</x:f>
      </x:c>
      <x:c r="S434" s="12" t="str">
        <x:v>否</x:v>
      </x:c>
      <x:c r="T434" s="12" t="str">
        <x:v>否</x:v>
      </x:c>
      <x:c r="U434" s="12" t="str">
        <x:v>未提供</x:v>
      </x:c>
      <x:c r="V434" s="12" t="str">
        <x:v>未提供</x:v>
      </x:c>
      <x:c r="W434" s="12" t="str">
        <x:v>秒级预测</x:v>
      </x:c>
      <x:c r="X434" s="12" t="str">
        <x:v>基于路线秒级参数；如录入实测或手动采用秒，预计到达时间可随公式更新</x:v>
      </x:c>
    </x:row>
    <x:row r="435">
      <x:c r="A435" s="12" t="str">
        <x:v>S0035-08</x:v>
      </x:c>
      <x:c r="B435" s="12" t="str">
        <x:v>S0035</x:v>
      </x:c>
      <x:c r="C435" s="12" t="str">
        <x:v>工作日</x:v>
      </x:c>
      <x:c r="D435" s="12" t="str">
        <x:v>环线1路</x:v>
      </x:c>
      <x:c r="E435" s="12" t="str">
        <x:v>第二班</x:v>
      </x:c>
      <x:c r="F435" s="12" t="n">
        <x:v>9</x:v>
      </x:c>
      <x:c r="G435" s="12" t="str">
        <x:v>12:10</x:v>
      </x:c>
      <x:c r="H435" s="12" t="n">
        <x:v>730</x:v>
      </x:c>
      <x:c r="I435" s="12" t="str">
        <x:v>研究生宿舍楼</x:v>
      </x:c>
      <x:c r="J435" s="12" t="str">
        <x:v>研究生宿舍楼发车</x:v>
      </x:c>
      <x:c r="K435" s="12" t="str">
        <x:v>HX1_NORMAL</x:v>
      </x:c>
      <x:c r="L435" s="12" t="n">
        <x:v>8</x:v>
      </x:c>
      <x:c r="M435" s="12" t="str">
        <x:v>HX1_NORMAL|8</x:v>
      </x:c>
      <x:c r="N435" s="12" t="str">
        <x:v>高超楼</x:v>
      </x:c>
      <x:c r="O435" s="12" t="n">
        <x:f>IFERROR(INDEX('秒级路线参数_可调整'!$O:$O,MATCH(M435,'秒级路线参数_可调整'!$A:$A,0)),"")</x:f>
        <x:v>0</x:v>
      </x:c>
      <x:c r="P435" s="12" t="str">
        <x:f>IF(O435="","",O435/86400)</x:f>
      </x:c>
      <x:c r="Q435" s="12" t="str">
        <x:f>IF(O435="","",(H435*60+O435)/86400)</x:f>
      </x:c>
      <x:c r="R435" s="12" t="str">
        <x:f>IF(Q435="","",TEXT(Q435,"hh:mm:ss"))</x:f>
      </x:c>
      <x:c r="S435" s="12" t="str">
        <x:v>否</x:v>
      </x:c>
      <x:c r="T435" s="12" t="str">
        <x:v>否</x:v>
      </x:c>
      <x:c r="U435" s="12" t="str">
        <x:v>未提供</x:v>
      </x:c>
      <x:c r="V435" s="12" t="str">
        <x:v>未提供</x:v>
      </x:c>
      <x:c r="W435" s="12" t="str">
        <x:v>秒级预测</x:v>
      </x:c>
      <x:c r="X435" s="12" t="str">
        <x:v>基于路线秒级参数；如录入实测或手动采用秒，预计到达时间可随公式更新</x:v>
      </x:c>
    </x:row>
    <x:row r="436">
      <x:c r="A436" s="12" t="str">
        <x:v>S0035-09</x:v>
      </x:c>
      <x:c r="B436" s="12" t="str">
        <x:v>S0035</x:v>
      </x:c>
      <x:c r="C436" s="12" t="str">
        <x:v>工作日</x:v>
      </x:c>
      <x:c r="D436" s="12" t="str">
        <x:v>环线1路</x:v>
      </x:c>
      <x:c r="E436" s="12" t="str">
        <x:v>第二班</x:v>
      </x:c>
      <x:c r="F436" s="12" t="n">
        <x:v>9</x:v>
      </x:c>
      <x:c r="G436" s="12" t="str">
        <x:v>12:10</x:v>
      </x:c>
      <x:c r="H436" s="12" t="n">
        <x:v>730</x:v>
      </x:c>
      <x:c r="I436" s="12" t="str">
        <x:v>研究生宿舍楼</x:v>
      </x:c>
      <x:c r="J436" s="12" t="str">
        <x:v>研究生宿舍楼发车</x:v>
      </x:c>
      <x:c r="K436" s="12" t="str">
        <x:v>HX1_NORMAL</x:v>
      </x:c>
      <x:c r="L436" s="12" t="n">
        <x:v>9</x:v>
      </x:c>
      <x:c r="M436" s="12" t="str">
        <x:v>HX1_NORMAL|9</x:v>
      </x:c>
      <x:c r="N436" s="12" t="str">
        <x:v>理学院</x:v>
      </x:c>
      <x:c r="O436" s="12" t="n">
        <x:f>IFERROR(INDEX('秒级路线参数_可调整'!$O:$O,MATCH(M436,'秒级路线参数_可调整'!$A:$A,0)),"")</x:f>
        <x:v>0</x:v>
      </x:c>
      <x:c r="P436" s="12" t="str">
        <x:f>IF(O436="","",O436/86400)</x:f>
      </x:c>
      <x:c r="Q436" s="12" t="str">
        <x:f>IF(O436="","",(H436*60+O436)/86400)</x:f>
      </x:c>
      <x:c r="R436" s="12" t="str">
        <x:f>IF(Q436="","",TEXT(Q436,"hh:mm:ss"))</x:f>
      </x:c>
      <x:c r="S436" s="12" t="str">
        <x:v>否</x:v>
      </x:c>
      <x:c r="T436" s="12" t="str">
        <x:v>否</x:v>
      </x:c>
      <x:c r="U436" s="12" t="str">
        <x:v>未提供</x:v>
      </x:c>
      <x:c r="V436" s="12" t="str">
        <x:v>未提供</x:v>
      </x:c>
      <x:c r="W436" s="12" t="str">
        <x:v>秒级预测</x:v>
      </x:c>
      <x:c r="X436" s="12" t="str">
        <x:v>基于路线秒级参数；如录入实测或手动采用秒，预计到达时间可随公式更新</x:v>
      </x:c>
    </x:row>
    <x:row r="437">
      <x:c r="A437" s="12" t="str">
        <x:v>S0035-10</x:v>
      </x:c>
      <x:c r="B437" s="12" t="str">
        <x:v>S0035</x:v>
      </x:c>
      <x:c r="C437" s="12" t="str">
        <x:v>工作日</x:v>
      </x:c>
      <x:c r="D437" s="12" t="str">
        <x:v>环线1路</x:v>
      </x:c>
      <x:c r="E437" s="12" t="str">
        <x:v>第二班</x:v>
      </x:c>
      <x:c r="F437" s="12" t="n">
        <x:v>9</x:v>
      </x:c>
      <x:c r="G437" s="12" t="str">
        <x:v>12:10</x:v>
      </x:c>
      <x:c r="H437" s="12" t="n">
        <x:v>730</x:v>
      </x:c>
      <x:c r="I437" s="12" t="str">
        <x:v>研究生宿舍楼</x:v>
      </x:c>
      <x:c r="J437" s="12" t="str">
        <x:v>研究生宿舍楼发车</x:v>
      </x:c>
      <x:c r="K437" s="12" t="str">
        <x:v>HX1_NORMAL</x:v>
      </x:c>
      <x:c r="L437" s="12" t="n">
        <x:v>10</x:v>
      </x:c>
      <x:c r="M437" s="12" t="str">
        <x:v>HX1_NORMAL|10</x:v>
      </x:c>
      <x:c r="N437" s="12" t="str">
        <x:v>二食堂</x:v>
      </x:c>
      <x:c r="O437" s="12" t="n">
        <x:f>IFERROR(INDEX('秒级路线参数_可调整'!$O:$O,MATCH(M437,'秒级路线参数_可调整'!$A:$A,0)),"")</x:f>
        <x:v>0</x:v>
      </x:c>
      <x:c r="P437" s="12" t="str">
        <x:f>IF(O437="","",O437/86400)</x:f>
      </x:c>
      <x:c r="Q437" s="12" t="str">
        <x:f>IF(O437="","",(H437*60+O437)/86400)</x:f>
      </x:c>
      <x:c r="R437" s="12" t="str">
        <x:f>IF(Q437="","",TEXT(Q437,"hh:mm:ss"))</x:f>
      </x:c>
      <x:c r="S437" s="12" t="str">
        <x:v>否</x:v>
      </x:c>
      <x:c r="T437" s="12" t="str">
        <x:v>否</x:v>
      </x:c>
      <x:c r="U437" s="12" t="str">
        <x:v>未提供</x:v>
      </x:c>
      <x:c r="V437" s="12" t="str">
        <x:v>未提供</x:v>
      </x:c>
      <x:c r="W437" s="12" t="str">
        <x:v>秒级预测</x:v>
      </x:c>
      <x:c r="X437" s="12" t="str">
        <x:v>基于路线秒级参数；如录入实测或手动采用秒，预计到达时间可随公式更新</x:v>
      </x:c>
    </x:row>
    <x:row r="438">
      <x:c r="A438" s="12" t="str">
        <x:v>S0035-11</x:v>
      </x:c>
      <x:c r="B438" s="12" t="str">
        <x:v>S0035</x:v>
      </x:c>
      <x:c r="C438" s="12" t="str">
        <x:v>工作日</x:v>
      </x:c>
      <x:c r="D438" s="12" t="str">
        <x:v>环线1路</x:v>
      </x:c>
      <x:c r="E438" s="12" t="str">
        <x:v>第二班</x:v>
      </x:c>
      <x:c r="F438" s="12" t="n">
        <x:v>9</x:v>
      </x:c>
      <x:c r="G438" s="12" t="str">
        <x:v>12:10</x:v>
      </x:c>
      <x:c r="H438" s="12" t="n">
        <x:v>730</x:v>
      </x:c>
      <x:c r="I438" s="12" t="str">
        <x:v>研究生宿舍楼</x:v>
      </x:c>
      <x:c r="J438" s="12" t="str">
        <x:v>研究生宿舍楼发车</x:v>
      </x:c>
      <x:c r="K438" s="12" t="str">
        <x:v>HX1_NORMAL</x:v>
      </x:c>
      <x:c r="L438" s="12" t="n">
        <x:v>11</x:v>
      </x:c>
      <x:c r="M438" s="12" t="str">
        <x:v>HX1_NORMAL|11</x:v>
      </x:c>
      <x:c r="N438" s="12" t="str">
        <x:v>5号宿舍楼</x:v>
      </x:c>
      <x:c r="O438" s="12" t="n">
        <x:f>IFERROR(INDEX('秒级路线参数_可调整'!$O:$O,MATCH(M438,'秒级路线参数_可调整'!$A:$A,0)),"")</x:f>
        <x:v>0</x:v>
      </x:c>
      <x:c r="P438" s="12" t="str">
        <x:f>IF(O438="","",O438/86400)</x:f>
      </x:c>
      <x:c r="Q438" s="12" t="str">
        <x:f>IF(O438="","",(H438*60+O438)/86400)</x:f>
      </x:c>
      <x:c r="R438" s="12" t="str">
        <x:f>IF(Q438="","",TEXT(Q438,"hh:mm:ss"))</x:f>
      </x:c>
      <x:c r="S438" s="12" t="str">
        <x:v>否</x:v>
      </x:c>
      <x:c r="T438" s="12" t="str">
        <x:v>否</x:v>
      </x:c>
      <x:c r="U438" s="12" t="str">
        <x:v>未提供</x:v>
      </x:c>
      <x:c r="V438" s="12" t="str">
        <x:v>未提供</x:v>
      </x:c>
      <x:c r="W438" s="12" t="str">
        <x:v>秒级预测</x:v>
      </x:c>
      <x:c r="X438" s="12" t="str">
        <x:v>基于路线秒级参数；如录入实测或手动采用秒，预计到达时间可随公式更新</x:v>
      </x:c>
    </x:row>
    <x:row r="439">
      <x:c r="A439" s="12" t="str">
        <x:v>S0035-12</x:v>
      </x:c>
      <x:c r="B439" s="12" t="str">
        <x:v>S0035</x:v>
      </x:c>
      <x:c r="C439" s="12" t="str">
        <x:v>工作日</x:v>
      </x:c>
      <x:c r="D439" s="12" t="str">
        <x:v>环线1路</x:v>
      </x:c>
      <x:c r="E439" s="12" t="str">
        <x:v>第二班</x:v>
      </x:c>
      <x:c r="F439" s="12" t="n">
        <x:v>9</x:v>
      </x:c>
      <x:c r="G439" s="12" t="str">
        <x:v>12:10</x:v>
      </x:c>
      <x:c r="H439" s="12" t="n">
        <x:v>730</x:v>
      </x:c>
      <x:c r="I439" s="12" t="str">
        <x:v>研究生宿舍楼</x:v>
      </x:c>
      <x:c r="J439" s="12" t="str">
        <x:v>研究生宿舍楼发车</x:v>
      </x:c>
      <x:c r="K439" s="12" t="str">
        <x:v>HX1_NORMAL</x:v>
      </x:c>
      <x:c r="L439" s="12" t="n">
        <x:v>12</x:v>
      </x:c>
      <x:c r="M439" s="12" t="str">
        <x:v>HX1_NORMAL|12</x:v>
      </x:c>
      <x:c r="N439" s="12" t="str">
        <x:v>305教学楼</x:v>
      </x:c>
      <x:c r="O439" s="12" t="n">
        <x:f>IFERROR(INDEX('秒级路线参数_可调整'!$O:$O,MATCH(M439,'秒级路线参数_可调整'!$A:$A,0)),"")</x:f>
        <x:v>0</x:v>
      </x:c>
      <x:c r="P439" s="12" t="str">
        <x:f>IF(O439="","",O439/86400)</x:f>
      </x:c>
      <x:c r="Q439" s="12" t="str">
        <x:f>IF(O439="","",(H439*60+O439)/86400)</x:f>
      </x:c>
      <x:c r="R439" s="12" t="str">
        <x:f>IF(Q439="","",TEXT(Q439,"hh:mm:ss"))</x:f>
      </x:c>
      <x:c r="S439" s="12" t="str">
        <x:v>否</x:v>
      </x:c>
      <x:c r="T439" s="12" t="str">
        <x:v>否</x:v>
      </x:c>
      <x:c r="U439" s="12" t="str">
        <x:v>未提供</x:v>
      </x:c>
      <x:c r="V439" s="12" t="str">
        <x:v>未提供</x:v>
      </x:c>
      <x:c r="W439" s="12" t="str">
        <x:v>秒级预测</x:v>
      </x:c>
      <x:c r="X439" s="12" t="str">
        <x:v>基于路线秒级参数；如录入实测或手动采用秒，预计到达时间可随公式更新</x:v>
      </x:c>
    </x:row>
    <x:row r="440">
      <x:c r="A440" s="12" t="str">
        <x:v>S0035-13</x:v>
      </x:c>
      <x:c r="B440" s="12" t="str">
        <x:v>S0035</x:v>
      </x:c>
      <x:c r="C440" s="12" t="str">
        <x:v>工作日</x:v>
      </x:c>
      <x:c r="D440" s="12" t="str">
        <x:v>环线1路</x:v>
      </x:c>
      <x:c r="E440" s="12" t="str">
        <x:v>第二班</x:v>
      </x:c>
      <x:c r="F440" s="12" t="n">
        <x:v>9</x:v>
      </x:c>
      <x:c r="G440" s="12" t="str">
        <x:v>12:10</x:v>
      </x:c>
      <x:c r="H440" s="12" t="n">
        <x:v>730</x:v>
      </x:c>
      <x:c r="I440" s="12" t="str">
        <x:v>研究生宿舍楼</x:v>
      </x:c>
      <x:c r="J440" s="12" t="str">
        <x:v>研究生宿舍楼发车</x:v>
      </x:c>
      <x:c r="K440" s="12" t="str">
        <x:v>HX1_NORMAL</x:v>
      </x:c>
      <x:c r="L440" s="12" t="n">
        <x:v>13</x:v>
      </x:c>
      <x:c r="M440" s="12" t="str">
        <x:v>HX1_NORMAL|13</x:v>
      </x:c>
      <x:c r="N440" s="12" t="str">
        <x:v>研究生宿舍楼</x:v>
      </x:c>
      <x:c r="O440" s="12" t="n">
        <x:f>IFERROR(INDEX('秒级路线参数_可调整'!$O:$O,MATCH(M440,'秒级路线参数_可调整'!$A:$A,0)),"")</x:f>
        <x:v>0</x:v>
      </x:c>
      <x:c r="P440" s="12" t="str">
        <x:f>IF(O440="","",O440/86400)</x:f>
      </x:c>
      <x:c r="Q440" s="12" t="str">
        <x:f>IF(O440="","",(H440*60+O440)/86400)</x:f>
      </x:c>
      <x:c r="R440" s="12" t="str">
        <x:f>IF(Q440="","",TEXT(Q440,"hh:mm:ss"))</x:f>
      </x:c>
      <x:c r="S440" s="12" t="str">
        <x:v>否</x:v>
      </x:c>
      <x:c r="T440" s="12" t="str">
        <x:v>是</x:v>
      </x:c>
      <x:c r="U440" s="12" t="str">
        <x:v>未提供</x:v>
      </x:c>
      <x:c r="V440" s="12" t="str">
        <x:v>未提供</x:v>
      </x:c>
      <x:c r="W440" s="12" t="str">
        <x:v>秒级预测</x:v>
      </x:c>
      <x:c r="X440" s="12" t="str">
        <x:v>基于路线秒级参数；如录入实测或手动采用秒，预计到达时间可随公式更新</x:v>
      </x:c>
    </x:row>
    <x:row r="441">
      <x:c r="A441" s="12" t="str">
        <x:v>S0036-01</x:v>
      </x:c>
      <x:c r="B441" s="12" t="str">
        <x:v>S0036</x:v>
      </x:c>
      <x:c r="C441" s="12" t="str">
        <x:v>工作日</x:v>
      </x:c>
      <x:c r="D441" s="12" t="str">
        <x:v>环线1路</x:v>
      </x:c>
      <x:c r="E441" s="12" t="str">
        <x:v>第二班</x:v>
      </x:c>
      <x:c r="F441" s="12" t="n">
        <x:v>10</x:v>
      </x:c>
      <x:c r="G441" s="12" t="str">
        <x:v>12:40</x:v>
      </x:c>
      <x:c r="H441" s="12" t="n">
        <x:v>760</x:v>
      </x:c>
      <x:c r="I441" s="12" t="str">
        <x:v>研究生宿舍楼</x:v>
      </x:c>
      <x:c r="J441" s="12" t="str">
        <x:v>研究生宿舍楼发车</x:v>
      </x:c>
      <x:c r="K441" s="12" t="str">
        <x:v>HX1_NORMAL</x:v>
      </x:c>
      <x:c r="L441" s="12" t="n">
        <x:v>1</x:v>
      </x:c>
      <x:c r="M441" s="12" t="str">
        <x:v>HX1_NORMAL|1</x:v>
      </x:c>
      <x:c r="N441" s="12" t="str">
        <x:v>研究生宿舍楼</x:v>
      </x:c>
      <x:c r="O441" s="12" t="n">
        <x:f>IFERROR(INDEX('秒级路线参数_可调整'!$O:$O,MATCH(M441,'秒级路线参数_可调整'!$A:$A,0)),"")</x:f>
        <x:v>0</x:v>
      </x:c>
      <x:c r="P441" s="12" t="str">
        <x:f>IF(O441="","",O441/86400)</x:f>
      </x:c>
      <x:c r="Q441" s="12" t="str">
        <x:f>IF(O441="","",(H441*60+O441)/86400)</x:f>
      </x:c>
      <x:c r="R441" s="12" t="str">
        <x:f>IF(Q441="","",TEXT(Q441,"hh:mm:ss"))</x:f>
      </x:c>
      <x:c r="S441" s="12" t="str">
        <x:v>是</x:v>
      </x:c>
      <x:c r="T441" s="12" t="str">
        <x:v>否</x:v>
      </x:c>
      <x:c r="U441" s="12" t="str">
        <x:v>未提供</x:v>
      </x:c>
      <x:c r="V441" s="12" t="str">
        <x:v>未提供</x:v>
      </x:c>
      <x:c r="W441" s="12" t="str">
        <x:v>秒级预测</x:v>
      </x:c>
      <x:c r="X441" s="12" t="str">
        <x:v>基于路线秒级参数；如录入实测或手动采用秒，预计到达时间可随公式更新</x:v>
      </x:c>
    </x:row>
    <x:row r="442">
      <x:c r="A442" s="12" t="str">
        <x:v>S0036-02</x:v>
      </x:c>
      <x:c r="B442" s="12" t="str">
        <x:v>S0036</x:v>
      </x:c>
      <x:c r="C442" s="12" t="str">
        <x:v>工作日</x:v>
      </x:c>
      <x:c r="D442" s="12" t="str">
        <x:v>环线1路</x:v>
      </x:c>
      <x:c r="E442" s="12" t="str">
        <x:v>第二班</x:v>
      </x:c>
      <x:c r="F442" s="12" t="n">
        <x:v>10</x:v>
      </x:c>
      <x:c r="G442" s="12" t="str">
        <x:v>12:40</x:v>
      </x:c>
      <x:c r="H442" s="12" t="n">
        <x:v>760</x:v>
      </x:c>
      <x:c r="I442" s="12" t="str">
        <x:v>研究生宿舍楼</x:v>
      </x:c>
      <x:c r="J442" s="12" t="str">
        <x:v>研究生宿舍楼发车</x:v>
      </x:c>
      <x:c r="K442" s="12" t="str">
        <x:v>HX1_NORMAL</x:v>
      </x:c>
      <x:c r="L442" s="12" t="n">
        <x:v>2</x:v>
      </x:c>
      <x:c r="M442" s="12" t="str">
        <x:v>HX1_NORMAL|2</x:v>
      </x:c>
      <x:c r="N442" s="12" t="str">
        <x:v>东门</x:v>
      </x:c>
      <x:c r="O442" s="12" t="n">
        <x:f>IFERROR(INDEX('秒级路线参数_可调整'!$O:$O,MATCH(M442,'秒级路线参数_可调整'!$A:$A,0)),"")</x:f>
        <x:v>0</x:v>
      </x:c>
      <x:c r="P442" s="12" t="str">
        <x:f>IF(O442="","",O442/86400)</x:f>
      </x:c>
      <x:c r="Q442" s="12" t="str">
        <x:f>IF(O442="","",(H442*60+O442)/86400)</x:f>
      </x:c>
      <x:c r="R442" s="12" t="str">
        <x:f>IF(Q442="","",TEXT(Q442,"hh:mm:ss"))</x:f>
      </x:c>
      <x:c r="S442" s="12" t="str">
        <x:v>否</x:v>
      </x:c>
      <x:c r="T442" s="12" t="str">
        <x:v>否</x:v>
      </x:c>
      <x:c r="U442" s="12" t="str">
        <x:v>未提供</x:v>
      </x:c>
      <x:c r="V442" s="12" t="str">
        <x:v>未提供</x:v>
      </x:c>
      <x:c r="W442" s="12" t="str">
        <x:v>秒级预测</x:v>
      </x:c>
      <x:c r="X442" s="12" t="str">
        <x:v>基于路线秒级参数；如录入实测或手动采用秒，预计到达时间可随公式更新</x:v>
      </x:c>
    </x:row>
    <x:row r="443">
      <x:c r="A443" s="12" t="str">
        <x:v>S0036-03</x:v>
      </x:c>
      <x:c r="B443" s="12" t="str">
        <x:v>S0036</x:v>
      </x:c>
      <x:c r="C443" s="12" t="str">
        <x:v>工作日</x:v>
      </x:c>
      <x:c r="D443" s="12" t="str">
        <x:v>环线1路</x:v>
      </x:c>
      <x:c r="E443" s="12" t="str">
        <x:v>第二班</x:v>
      </x:c>
      <x:c r="F443" s="12" t="n">
        <x:v>10</x:v>
      </x:c>
      <x:c r="G443" s="12" t="str">
        <x:v>12:40</x:v>
      </x:c>
      <x:c r="H443" s="12" t="n">
        <x:v>760</x:v>
      </x:c>
      <x:c r="I443" s="12" t="str">
        <x:v>研究生宿舍楼</x:v>
      </x:c>
      <x:c r="J443" s="12" t="str">
        <x:v>研究生宿舍楼发车</x:v>
      </x:c>
      <x:c r="K443" s="12" t="str">
        <x:v>HX1_NORMAL</x:v>
      </x:c>
      <x:c r="L443" s="12" t="n">
        <x:v>3</x:v>
      </x:c>
      <x:c r="M443" s="12" t="str">
        <x:v>HX1_NORMAL|3</x:v>
      </x:c>
      <x:c r="N443" s="12" t="str">
        <x:v>2号宿舍楼</x:v>
      </x:c>
      <x:c r="O443" s="12" t="n">
        <x:f>IFERROR(INDEX('秒级路线参数_可调整'!$O:$O,MATCH(M443,'秒级路线参数_可调整'!$A:$A,0)),"")</x:f>
        <x:v>0</x:v>
      </x:c>
      <x:c r="P443" s="12" t="str">
        <x:f>IF(O443="","",O443/86400)</x:f>
      </x:c>
      <x:c r="Q443" s="12" t="str">
        <x:f>IF(O443="","",(H443*60+O443)/86400)</x:f>
      </x:c>
      <x:c r="R443" s="12" t="str">
        <x:f>IF(Q443="","",TEXT(Q443,"hh:mm:ss"))</x:f>
      </x:c>
      <x:c r="S443" s="12" t="str">
        <x:v>否</x:v>
      </x:c>
      <x:c r="T443" s="12" t="str">
        <x:v>否</x:v>
      </x:c>
      <x:c r="U443" s="12" t="str">
        <x:v>未提供</x:v>
      </x:c>
      <x:c r="V443" s="12" t="str">
        <x:v>未提供</x:v>
      </x:c>
      <x:c r="W443" s="12" t="str">
        <x:v>秒级预测</x:v>
      </x:c>
      <x:c r="X443" s="12" t="str">
        <x:v>基于路线秒级参数；如录入实测或手动采用秒，预计到达时间可随公式更新</x:v>
      </x:c>
    </x:row>
    <x:row r="444">
      <x:c r="A444" s="12" t="str">
        <x:v>S0036-04</x:v>
      </x:c>
      <x:c r="B444" s="12" t="str">
        <x:v>S0036</x:v>
      </x:c>
      <x:c r="C444" s="12" t="str">
        <x:v>工作日</x:v>
      </x:c>
      <x:c r="D444" s="12" t="str">
        <x:v>环线1路</x:v>
      </x:c>
      <x:c r="E444" s="12" t="str">
        <x:v>第二班</x:v>
      </x:c>
      <x:c r="F444" s="12" t="n">
        <x:v>10</x:v>
      </x:c>
      <x:c r="G444" s="12" t="str">
        <x:v>12:40</x:v>
      </x:c>
      <x:c r="H444" s="12" t="n">
        <x:v>760</x:v>
      </x:c>
      <x:c r="I444" s="12" t="str">
        <x:v>研究生宿舍楼</x:v>
      </x:c>
      <x:c r="J444" s="12" t="str">
        <x:v>研究生宿舍楼发车</x:v>
      </x:c>
      <x:c r="K444" s="12" t="str">
        <x:v>HX1_NORMAL</x:v>
      </x:c>
      <x:c r="L444" s="12" t="n">
        <x:v>4</x:v>
      </x:c>
      <x:c r="M444" s="12" t="str">
        <x:v>HX1_NORMAL|4</x:v>
      </x:c>
      <x:c r="N444" s="12" t="str">
        <x:v>军体活动中心</x:v>
      </x:c>
      <x:c r="O444" s="12" t="n">
        <x:f>IFERROR(INDEX('秒级路线参数_可调整'!$O:$O,MATCH(M444,'秒级路线参数_可调整'!$A:$A,0)),"")</x:f>
        <x:v>0</x:v>
      </x:c>
      <x:c r="P444" s="12" t="str">
        <x:f>IF(O444="","",O444/86400)</x:f>
      </x:c>
      <x:c r="Q444" s="12" t="str">
        <x:f>IF(O444="","",(H444*60+O444)/86400)</x:f>
      </x:c>
      <x:c r="R444" s="12" t="str">
        <x:f>IF(Q444="","",TEXT(Q444,"hh:mm:ss"))</x:f>
      </x:c>
      <x:c r="S444" s="12" t="str">
        <x:v>否</x:v>
      </x:c>
      <x:c r="T444" s="12" t="str">
        <x:v>否</x:v>
      </x:c>
      <x:c r="U444" s="12" t="str">
        <x:v>未提供</x:v>
      </x:c>
      <x:c r="V444" s="12" t="str">
        <x:v>未提供</x:v>
      </x:c>
      <x:c r="W444" s="12" t="str">
        <x:v>秒级预测</x:v>
      </x:c>
      <x:c r="X444" s="12" t="str">
        <x:v>基于路线秒级参数；如录入实测或手动采用秒，预计到达时间可随公式更新</x:v>
      </x:c>
    </x:row>
    <x:row r="445">
      <x:c r="A445" s="12" t="str">
        <x:v>S0036-05</x:v>
      </x:c>
      <x:c r="B445" s="12" t="str">
        <x:v>S0036</x:v>
      </x:c>
      <x:c r="C445" s="12" t="str">
        <x:v>工作日</x:v>
      </x:c>
      <x:c r="D445" s="12" t="str">
        <x:v>环线1路</x:v>
      </x:c>
      <x:c r="E445" s="12" t="str">
        <x:v>第二班</x:v>
      </x:c>
      <x:c r="F445" s="12" t="n">
        <x:v>10</x:v>
      </x:c>
      <x:c r="G445" s="12" t="str">
        <x:v>12:40</x:v>
      </x:c>
      <x:c r="H445" s="12" t="n">
        <x:v>760</x:v>
      </x:c>
      <x:c r="I445" s="12" t="str">
        <x:v>研究生宿舍楼</x:v>
      </x:c>
      <x:c r="J445" s="12" t="str">
        <x:v>研究生宿舍楼发车</x:v>
      </x:c>
      <x:c r="K445" s="12" t="str">
        <x:v>HX1_NORMAL</x:v>
      </x:c>
      <x:c r="L445" s="12" t="n">
        <x:v>5</x:v>
      </x:c>
      <x:c r="M445" s="12" t="str">
        <x:v>HX1_NORMAL|5</x:v>
      </x:c>
      <x:c r="N445" s="12" t="str">
        <x:v>激光所</x:v>
      </x:c>
      <x:c r="O445" s="12" t="n">
        <x:f>IFERROR(INDEX('秒级路线参数_可调整'!$O:$O,MATCH(M445,'秒级路线参数_可调整'!$A:$A,0)),"")</x:f>
        <x:v>0</x:v>
      </x:c>
      <x:c r="P445" s="12" t="str">
        <x:f>IF(O445="","",O445/86400)</x:f>
      </x:c>
      <x:c r="Q445" s="12" t="str">
        <x:f>IF(O445="","",(H445*60+O445)/86400)</x:f>
      </x:c>
      <x:c r="R445" s="12" t="str">
        <x:f>IF(Q445="","",TEXT(Q445,"hh:mm:ss"))</x:f>
      </x:c>
      <x:c r="S445" s="12" t="str">
        <x:v>否</x:v>
      </x:c>
      <x:c r="T445" s="12" t="str">
        <x:v>否</x:v>
      </x:c>
      <x:c r="U445" s="12" t="str">
        <x:v>未提供</x:v>
      </x:c>
      <x:c r="V445" s="12" t="str">
        <x:v>未提供</x:v>
      </x:c>
      <x:c r="W445" s="12" t="str">
        <x:v>秒级预测</x:v>
      </x:c>
      <x:c r="X445" s="12" t="str">
        <x:v>基于路线秒级参数；如录入实测或手动采用秒，预计到达时间可随公式更新</x:v>
      </x:c>
    </x:row>
    <x:row r="446">
      <x:c r="A446" s="12" t="str">
        <x:v>S0036-06</x:v>
      </x:c>
      <x:c r="B446" s="12" t="str">
        <x:v>S0036</x:v>
      </x:c>
      <x:c r="C446" s="12" t="str">
        <x:v>工作日</x:v>
      </x:c>
      <x:c r="D446" s="12" t="str">
        <x:v>环线1路</x:v>
      </x:c>
      <x:c r="E446" s="12" t="str">
        <x:v>第二班</x:v>
      </x:c>
      <x:c r="F446" s="12" t="n">
        <x:v>10</x:v>
      </x:c>
      <x:c r="G446" s="12" t="str">
        <x:v>12:40</x:v>
      </x:c>
      <x:c r="H446" s="12" t="n">
        <x:v>760</x:v>
      </x:c>
      <x:c r="I446" s="12" t="str">
        <x:v>研究生宿舍楼</x:v>
      </x:c>
      <x:c r="J446" s="12" t="str">
        <x:v>研究生宿舍楼发车</x:v>
      </x:c>
      <x:c r="K446" s="12" t="str">
        <x:v>HX1_NORMAL</x:v>
      </x:c>
      <x:c r="L446" s="12" t="n">
        <x:v>6</x:v>
      </x:c>
      <x:c r="M446" s="12" t="str">
        <x:v>HX1_NORMAL|6</x:v>
      </x:c>
      <x:c r="N446" s="12" t="str">
        <x:v>超算中心</x:v>
      </x:c>
      <x:c r="O446" s="12" t="n">
        <x:f>IFERROR(INDEX('秒级路线参数_可调整'!$O:$O,MATCH(M446,'秒级路线参数_可调整'!$A:$A,0)),"")</x:f>
        <x:v>0</x:v>
      </x:c>
      <x:c r="P446" s="12" t="str">
        <x:f>IF(O446="","",O446/86400)</x:f>
      </x:c>
      <x:c r="Q446" s="12" t="str">
        <x:f>IF(O446="","",(H446*60+O446)/86400)</x:f>
      </x:c>
      <x:c r="R446" s="12" t="str">
        <x:f>IF(Q446="","",TEXT(Q446,"hh:mm:ss"))</x:f>
      </x:c>
      <x:c r="S446" s="12" t="str">
        <x:v>否</x:v>
      </x:c>
      <x:c r="T446" s="12" t="str">
        <x:v>否</x:v>
      </x:c>
      <x:c r="U446" s="12" t="str">
        <x:v>未提供</x:v>
      </x:c>
      <x:c r="V446" s="12" t="str">
        <x:v>未提供</x:v>
      </x:c>
      <x:c r="W446" s="12" t="str">
        <x:v>秒级预测</x:v>
      </x:c>
      <x:c r="X446" s="12" t="str">
        <x:v>基于路线秒级参数；如录入实测或手动采用秒，预计到达时间可随公式更新</x:v>
      </x:c>
    </x:row>
    <x:row r="447">
      <x:c r="A447" s="12" t="str">
        <x:v>S0036-07</x:v>
      </x:c>
      <x:c r="B447" s="12" t="str">
        <x:v>S0036</x:v>
      </x:c>
      <x:c r="C447" s="12" t="str">
        <x:v>工作日</x:v>
      </x:c>
      <x:c r="D447" s="12" t="str">
        <x:v>环线1路</x:v>
      </x:c>
      <x:c r="E447" s="12" t="str">
        <x:v>第二班</x:v>
      </x:c>
      <x:c r="F447" s="12" t="n">
        <x:v>10</x:v>
      </x:c>
      <x:c r="G447" s="12" t="str">
        <x:v>12:40</x:v>
      </x:c>
      <x:c r="H447" s="12" t="n">
        <x:v>760</x:v>
      </x:c>
      <x:c r="I447" s="12" t="str">
        <x:v>研究生宿舍楼</x:v>
      </x:c>
      <x:c r="J447" s="12" t="str">
        <x:v>研究生宿舍楼发车</x:v>
      </x:c>
      <x:c r="K447" s="12" t="str">
        <x:v>HX1_NORMAL</x:v>
      </x:c>
      <x:c r="L447" s="12" t="n">
        <x:v>7</x:v>
      </x:c>
      <x:c r="M447" s="12" t="str">
        <x:v>HX1_NORMAL|7</x:v>
      </x:c>
      <x:c r="N447" s="12" t="str">
        <x:v>北门</x:v>
      </x:c>
      <x:c r="O447" s="12" t="n">
        <x:f>IFERROR(INDEX('秒级路线参数_可调整'!$O:$O,MATCH(M447,'秒级路线参数_可调整'!$A:$A,0)),"")</x:f>
        <x:v>0</x:v>
      </x:c>
      <x:c r="P447" s="12" t="str">
        <x:f>IF(O447="","",O447/86400)</x:f>
      </x:c>
      <x:c r="Q447" s="12" t="str">
        <x:f>IF(O447="","",(H447*60+O447)/86400)</x:f>
      </x:c>
      <x:c r="R447" s="12" t="str">
        <x:f>IF(Q447="","",TEXT(Q447,"hh:mm:ss"))</x:f>
      </x:c>
      <x:c r="S447" s="12" t="str">
        <x:v>否</x:v>
      </x:c>
      <x:c r="T447" s="12" t="str">
        <x:v>否</x:v>
      </x:c>
      <x:c r="U447" s="12" t="str">
        <x:v>未提供</x:v>
      </x:c>
      <x:c r="V447" s="12" t="str">
        <x:v>未提供</x:v>
      </x:c>
      <x:c r="W447" s="12" t="str">
        <x:v>秒级预测</x:v>
      </x:c>
      <x:c r="X447" s="12" t="str">
        <x:v>基于路线秒级参数；如录入实测或手动采用秒，预计到达时间可随公式更新</x:v>
      </x:c>
    </x:row>
    <x:row r="448">
      <x:c r="A448" s="12" t="str">
        <x:v>S0036-08</x:v>
      </x:c>
      <x:c r="B448" s="12" t="str">
        <x:v>S0036</x:v>
      </x:c>
      <x:c r="C448" s="12" t="str">
        <x:v>工作日</x:v>
      </x:c>
      <x:c r="D448" s="12" t="str">
        <x:v>环线1路</x:v>
      </x:c>
      <x:c r="E448" s="12" t="str">
        <x:v>第二班</x:v>
      </x:c>
      <x:c r="F448" s="12" t="n">
        <x:v>10</x:v>
      </x:c>
      <x:c r="G448" s="12" t="str">
        <x:v>12:40</x:v>
      </x:c>
      <x:c r="H448" s="12" t="n">
        <x:v>760</x:v>
      </x:c>
      <x:c r="I448" s="12" t="str">
        <x:v>研究生宿舍楼</x:v>
      </x:c>
      <x:c r="J448" s="12" t="str">
        <x:v>研究生宿舍楼发车</x:v>
      </x:c>
      <x:c r="K448" s="12" t="str">
        <x:v>HX1_NORMAL</x:v>
      </x:c>
      <x:c r="L448" s="12" t="n">
        <x:v>8</x:v>
      </x:c>
      <x:c r="M448" s="12" t="str">
        <x:v>HX1_NORMAL|8</x:v>
      </x:c>
      <x:c r="N448" s="12" t="str">
        <x:v>高超楼</x:v>
      </x:c>
      <x:c r="O448" s="12" t="n">
        <x:f>IFERROR(INDEX('秒级路线参数_可调整'!$O:$O,MATCH(M448,'秒级路线参数_可调整'!$A:$A,0)),"")</x:f>
        <x:v>0</x:v>
      </x:c>
      <x:c r="P448" s="12" t="str">
        <x:f>IF(O448="","",O448/86400)</x:f>
      </x:c>
      <x:c r="Q448" s="12" t="str">
        <x:f>IF(O448="","",(H448*60+O448)/86400)</x:f>
      </x:c>
      <x:c r="R448" s="12" t="str">
        <x:f>IF(Q448="","",TEXT(Q448,"hh:mm:ss"))</x:f>
      </x:c>
      <x:c r="S448" s="12" t="str">
        <x:v>否</x:v>
      </x:c>
      <x:c r="T448" s="12" t="str">
        <x:v>否</x:v>
      </x:c>
      <x:c r="U448" s="12" t="str">
        <x:v>未提供</x:v>
      </x:c>
      <x:c r="V448" s="12" t="str">
        <x:v>未提供</x:v>
      </x:c>
      <x:c r="W448" s="12" t="str">
        <x:v>秒级预测</x:v>
      </x:c>
      <x:c r="X448" s="12" t="str">
        <x:v>基于路线秒级参数；如录入实测或手动采用秒，预计到达时间可随公式更新</x:v>
      </x:c>
    </x:row>
    <x:row r="449">
      <x:c r="A449" s="12" t="str">
        <x:v>S0036-09</x:v>
      </x:c>
      <x:c r="B449" s="12" t="str">
        <x:v>S0036</x:v>
      </x:c>
      <x:c r="C449" s="12" t="str">
        <x:v>工作日</x:v>
      </x:c>
      <x:c r="D449" s="12" t="str">
        <x:v>环线1路</x:v>
      </x:c>
      <x:c r="E449" s="12" t="str">
        <x:v>第二班</x:v>
      </x:c>
      <x:c r="F449" s="12" t="n">
        <x:v>10</x:v>
      </x:c>
      <x:c r="G449" s="12" t="str">
        <x:v>12:40</x:v>
      </x:c>
      <x:c r="H449" s="12" t="n">
        <x:v>760</x:v>
      </x:c>
      <x:c r="I449" s="12" t="str">
        <x:v>研究生宿舍楼</x:v>
      </x:c>
      <x:c r="J449" s="12" t="str">
        <x:v>研究生宿舍楼发车</x:v>
      </x:c>
      <x:c r="K449" s="12" t="str">
        <x:v>HX1_NORMAL</x:v>
      </x:c>
      <x:c r="L449" s="12" t="n">
        <x:v>9</x:v>
      </x:c>
      <x:c r="M449" s="12" t="str">
        <x:v>HX1_NORMAL|9</x:v>
      </x:c>
      <x:c r="N449" s="12" t="str">
        <x:v>理学院</x:v>
      </x:c>
      <x:c r="O449" s="12" t="n">
        <x:f>IFERROR(INDEX('秒级路线参数_可调整'!$O:$O,MATCH(M449,'秒级路线参数_可调整'!$A:$A,0)),"")</x:f>
        <x:v>0</x:v>
      </x:c>
      <x:c r="P449" s="12" t="str">
        <x:f>IF(O449="","",O449/86400)</x:f>
      </x:c>
      <x:c r="Q449" s="12" t="str">
        <x:f>IF(O449="","",(H449*60+O449)/86400)</x:f>
      </x:c>
      <x:c r="R449" s="12" t="str">
        <x:f>IF(Q449="","",TEXT(Q449,"hh:mm:ss"))</x:f>
      </x:c>
      <x:c r="S449" s="12" t="str">
        <x:v>否</x:v>
      </x:c>
      <x:c r="T449" s="12" t="str">
        <x:v>否</x:v>
      </x:c>
      <x:c r="U449" s="12" t="str">
        <x:v>未提供</x:v>
      </x:c>
      <x:c r="V449" s="12" t="str">
        <x:v>未提供</x:v>
      </x:c>
      <x:c r="W449" s="12" t="str">
        <x:v>秒级预测</x:v>
      </x:c>
      <x:c r="X449" s="12" t="str">
        <x:v>基于路线秒级参数；如录入实测或手动采用秒，预计到达时间可随公式更新</x:v>
      </x:c>
    </x:row>
    <x:row r="450">
      <x:c r="A450" s="12" t="str">
        <x:v>S0036-10</x:v>
      </x:c>
      <x:c r="B450" s="12" t="str">
        <x:v>S0036</x:v>
      </x:c>
      <x:c r="C450" s="12" t="str">
        <x:v>工作日</x:v>
      </x:c>
      <x:c r="D450" s="12" t="str">
        <x:v>环线1路</x:v>
      </x:c>
      <x:c r="E450" s="12" t="str">
        <x:v>第二班</x:v>
      </x:c>
      <x:c r="F450" s="12" t="n">
        <x:v>10</x:v>
      </x:c>
      <x:c r="G450" s="12" t="str">
        <x:v>12:40</x:v>
      </x:c>
      <x:c r="H450" s="12" t="n">
        <x:v>760</x:v>
      </x:c>
      <x:c r="I450" s="12" t="str">
        <x:v>研究生宿舍楼</x:v>
      </x:c>
      <x:c r="J450" s="12" t="str">
        <x:v>研究生宿舍楼发车</x:v>
      </x:c>
      <x:c r="K450" s="12" t="str">
        <x:v>HX1_NORMAL</x:v>
      </x:c>
      <x:c r="L450" s="12" t="n">
        <x:v>10</x:v>
      </x:c>
      <x:c r="M450" s="12" t="str">
        <x:v>HX1_NORMAL|10</x:v>
      </x:c>
      <x:c r="N450" s="12" t="str">
        <x:v>二食堂</x:v>
      </x:c>
      <x:c r="O450" s="12" t="n">
        <x:f>IFERROR(INDEX('秒级路线参数_可调整'!$O:$O,MATCH(M450,'秒级路线参数_可调整'!$A:$A,0)),"")</x:f>
        <x:v>0</x:v>
      </x:c>
      <x:c r="P450" s="12" t="str">
        <x:f>IF(O450="","",O450/86400)</x:f>
      </x:c>
      <x:c r="Q450" s="12" t="str">
        <x:f>IF(O450="","",(H450*60+O450)/86400)</x:f>
      </x:c>
      <x:c r="R450" s="12" t="str">
        <x:f>IF(Q450="","",TEXT(Q450,"hh:mm:ss"))</x:f>
      </x:c>
      <x:c r="S450" s="12" t="str">
        <x:v>否</x:v>
      </x:c>
      <x:c r="T450" s="12" t="str">
        <x:v>否</x:v>
      </x:c>
      <x:c r="U450" s="12" t="str">
        <x:v>未提供</x:v>
      </x:c>
      <x:c r="V450" s="12" t="str">
        <x:v>未提供</x:v>
      </x:c>
      <x:c r="W450" s="12" t="str">
        <x:v>秒级预测</x:v>
      </x:c>
      <x:c r="X450" s="12" t="str">
        <x:v>基于路线秒级参数；如录入实测或手动采用秒，预计到达时间可随公式更新</x:v>
      </x:c>
    </x:row>
    <x:row r="451">
      <x:c r="A451" s="12" t="str">
        <x:v>S0036-11</x:v>
      </x:c>
      <x:c r="B451" s="12" t="str">
        <x:v>S0036</x:v>
      </x:c>
      <x:c r="C451" s="12" t="str">
        <x:v>工作日</x:v>
      </x:c>
      <x:c r="D451" s="12" t="str">
        <x:v>环线1路</x:v>
      </x:c>
      <x:c r="E451" s="12" t="str">
        <x:v>第二班</x:v>
      </x:c>
      <x:c r="F451" s="12" t="n">
        <x:v>10</x:v>
      </x:c>
      <x:c r="G451" s="12" t="str">
        <x:v>12:40</x:v>
      </x:c>
      <x:c r="H451" s="12" t="n">
        <x:v>760</x:v>
      </x:c>
      <x:c r="I451" s="12" t="str">
        <x:v>研究生宿舍楼</x:v>
      </x:c>
      <x:c r="J451" s="12" t="str">
        <x:v>研究生宿舍楼发车</x:v>
      </x:c>
      <x:c r="K451" s="12" t="str">
        <x:v>HX1_NORMAL</x:v>
      </x:c>
      <x:c r="L451" s="12" t="n">
        <x:v>11</x:v>
      </x:c>
      <x:c r="M451" s="12" t="str">
        <x:v>HX1_NORMAL|11</x:v>
      </x:c>
      <x:c r="N451" s="12" t="str">
        <x:v>5号宿舍楼</x:v>
      </x:c>
      <x:c r="O451" s="12" t="n">
        <x:f>IFERROR(INDEX('秒级路线参数_可调整'!$O:$O,MATCH(M451,'秒级路线参数_可调整'!$A:$A,0)),"")</x:f>
        <x:v>0</x:v>
      </x:c>
      <x:c r="P451" s="12" t="str">
        <x:f>IF(O451="","",O451/86400)</x:f>
      </x:c>
      <x:c r="Q451" s="12" t="str">
        <x:f>IF(O451="","",(H451*60+O451)/86400)</x:f>
      </x:c>
      <x:c r="R451" s="12" t="str">
        <x:f>IF(Q451="","",TEXT(Q451,"hh:mm:ss"))</x:f>
      </x:c>
      <x:c r="S451" s="12" t="str">
        <x:v>否</x:v>
      </x:c>
      <x:c r="T451" s="12" t="str">
        <x:v>否</x:v>
      </x:c>
      <x:c r="U451" s="12" t="str">
        <x:v>未提供</x:v>
      </x:c>
      <x:c r="V451" s="12" t="str">
        <x:v>未提供</x:v>
      </x:c>
      <x:c r="W451" s="12" t="str">
        <x:v>秒级预测</x:v>
      </x:c>
      <x:c r="X451" s="12" t="str">
        <x:v>基于路线秒级参数；如录入实测或手动采用秒，预计到达时间可随公式更新</x:v>
      </x:c>
    </x:row>
    <x:row r="452">
      <x:c r="A452" s="12" t="str">
        <x:v>S0036-12</x:v>
      </x:c>
      <x:c r="B452" s="12" t="str">
        <x:v>S0036</x:v>
      </x:c>
      <x:c r="C452" s="12" t="str">
        <x:v>工作日</x:v>
      </x:c>
      <x:c r="D452" s="12" t="str">
        <x:v>环线1路</x:v>
      </x:c>
      <x:c r="E452" s="12" t="str">
        <x:v>第二班</x:v>
      </x:c>
      <x:c r="F452" s="12" t="n">
        <x:v>10</x:v>
      </x:c>
      <x:c r="G452" s="12" t="str">
        <x:v>12:40</x:v>
      </x:c>
      <x:c r="H452" s="12" t="n">
        <x:v>760</x:v>
      </x:c>
      <x:c r="I452" s="12" t="str">
        <x:v>研究生宿舍楼</x:v>
      </x:c>
      <x:c r="J452" s="12" t="str">
        <x:v>研究生宿舍楼发车</x:v>
      </x:c>
      <x:c r="K452" s="12" t="str">
        <x:v>HX1_NORMAL</x:v>
      </x:c>
      <x:c r="L452" s="12" t="n">
        <x:v>12</x:v>
      </x:c>
      <x:c r="M452" s="12" t="str">
        <x:v>HX1_NORMAL|12</x:v>
      </x:c>
      <x:c r="N452" s="12" t="str">
        <x:v>305教学楼</x:v>
      </x:c>
      <x:c r="O452" s="12" t="n">
        <x:f>IFERROR(INDEX('秒级路线参数_可调整'!$O:$O,MATCH(M452,'秒级路线参数_可调整'!$A:$A,0)),"")</x:f>
        <x:v>0</x:v>
      </x:c>
      <x:c r="P452" s="12" t="str">
        <x:f>IF(O452="","",O452/86400)</x:f>
      </x:c>
      <x:c r="Q452" s="12" t="str">
        <x:f>IF(O452="","",(H452*60+O452)/86400)</x:f>
      </x:c>
      <x:c r="R452" s="12" t="str">
        <x:f>IF(Q452="","",TEXT(Q452,"hh:mm:ss"))</x:f>
      </x:c>
      <x:c r="S452" s="12" t="str">
        <x:v>否</x:v>
      </x:c>
      <x:c r="T452" s="12" t="str">
        <x:v>否</x:v>
      </x:c>
      <x:c r="U452" s="12" t="str">
        <x:v>未提供</x:v>
      </x:c>
      <x:c r="V452" s="12" t="str">
        <x:v>未提供</x:v>
      </x:c>
      <x:c r="W452" s="12" t="str">
        <x:v>秒级预测</x:v>
      </x:c>
      <x:c r="X452" s="12" t="str">
        <x:v>基于路线秒级参数；如录入实测或手动采用秒，预计到达时间可随公式更新</x:v>
      </x:c>
    </x:row>
    <x:row r="453">
      <x:c r="A453" s="12" t="str">
        <x:v>S0036-13</x:v>
      </x:c>
      <x:c r="B453" s="12" t="str">
        <x:v>S0036</x:v>
      </x:c>
      <x:c r="C453" s="12" t="str">
        <x:v>工作日</x:v>
      </x:c>
      <x:c r="D453" s="12" t="str">
        <x:v>环线1路</x:v>
      </x:c>
      <x:c r="E453" s="12" t="str">
        <x:v>第二班</x:v>
      </x:c>
      <x:c r="F453" s="12" t="n">
        <x:v>10</x:v>
      </x:c>
      <x:c r="G453" s="12" t="str">
        <x:v>12:40</x:v>
      </x:c>
      <x:c r="H453" s="12" t="n">
        <x:v>760</x:v>
      </x:c>
      <x:c r="I453" s="12" t="str">
        <x:v>研究生宿舍楼</x:v>
      </x:c>
      <x:c r="J453" s="12" t="str">
        <x:v>研究生宿舍楼发车</x:v>
      </x:c>
      <x:c r="K453" s="12" t="str">
        <x:v>HX1_NORMAL</x:v>
      </x:c>
      <x:c r="L453" s="12" t="n">
        <x:v>13</x:v>
      </x:c>
      <x:c r="M453" s="12" t="str">
        <x:v>HX1_NORMAL|13</x:v>
      </x:c>
      <x:c r="N453" s="12" t="str">
        <x:v>研究生宿舍楼</x:v>
      </x:c>
      <x:c r="O453" s="12" t="n">
        <x:f>IFERROR(INDEX('秒级路线参数_可调整'!$O:$O,MATCH(M453,'秒级路线参数_可调整'!$A:$A,0)),"")</x:f>
        <x:v>0</x:v>
      </x:c>
      <x:c r="P453" s="12" t="str">
        <x:f>IF(O453="","",O453/86400)</x:f>
      </x:c>
      <x:c r="Q453" s="12" t="str">
        <x:f>IF(O453="","",(H453*60+O453)/86400)</x:f>
      </x:c>
      <x:c r="R453" s="12" t="str">
        <x:f>IF(Q453="","",TEXT(Q453,"hh:mm:ss"))</x:f>
      </x:c>
      <x:c r="S453" s="12" t="str">
        <x:v>否</x:v>
      </x:c>
      <x:c r="T453" s="12" t="str">
        <x:v>是</x:v>
      </x:c>
      <x:c r="U453" s="12" t="str">
        <x:v>未提供</x:v>
      </x:c>
      <x:c r="V453" s="12" t="str">
        <x:v>未提供</x:v>
      </x:c>
      <x:c r="W453" s="12" t="str">
        <x:v>秒级预测</x:v>
      </x:c>
      <x:c r="X453" s="12" t="str">
        <x:v>基于路线秒级参数；如录入实测或手动采用秒，预计到达时间可随公式更新</x:v>
      </x:c>
    </x:row>
    <x:row r="454">
      <x:c r="A454" s="12" t="str">
        <x:v>S0037-01</x:v>
      </x:c>
      <x:c r="B454" s="12" t="str">
        <x:v>S0037</x:v>
      </x:c>
      <x:c r="C454" s="12" t="str">
        <x:v>工作日</x:v>
      </x:c>
      <x:c r="D454" s="12" t="str">
        <x:v>环线1路</x:v>
      </x:c>
      <x:c r="E454" s="12" t="str">
        <x:v>第二班</x:v>
      </x:c>
      <x:c r="F454" s="12" t="n">
        <x:v>11</x:v>
      </x:c>
      <x:c r="G454" s="12" t="str">
        <x:v>14:12</x:v>
      </x:c>
      <x:c r="H454" s="12" t="n">
        <x:v>852</x:v>
      </x:c>
      <x:c r="I454" s="12" t="str">
        <x:v>研究生宿舍楼</x:v>
      </x:c>
      <x:c r="J454" s="12" t="str">
        <x:v>研究生宿舍楼发车</x:v>
      </x:c>
      <x:c r="K454" s="12" t="str">
        <x:v>HX1_NORMAL</x:v>
      </x:c>
      <x:c r="L454" s="12" t="n">
        <x:v>1</x:v>
      </x:c>
      <x:c r="M454" s="12" t="str">
        <x:v>HX1_NORMAL|1</x:v>
      </x:c>
      <x:c r="N454" s="12" t="str">
        <x:v>研究生宿舍楼</x:v>
      </x:c>
      <x:c r="O454" s="12" t="n">
        <x:f>IFERROR(INDEX('秒级路线参数_可调整'!$O:$O,MATCH(M454,'秒级路线参数_可调整'!$A:$A,0)),"")</x:f>
        <x:v>0</x:v>
      </x:c>
      <x:c r="P454" s="12" t="str">
        <x:f>IF(O454="","",O454/86400)</x:f>
      </x:c>
      <x:c r="Q454" s="12" t="str">
        <x:f>IF(O454="","",(H454*60+O454)/86400)</x:f>
      </x:c>
      <x:c r="R454" s="12" t="str">
        <x:f>IF(Q454="","",TEXT(Q454,"hh:mm:ss"))</x:f>
      </x:c>
      <x:c r="S454" s="12" t="str">
        <x:v>是</x:v>
      </x:c>
      <x:c r="T454" s="12" t="str">
        <x:v>否</x:v>
      </x:c>
      <x:c r="U454" s="12" t="str">
        <x:v>未提供</x:v>
      </x:c>
      <x:c r="V454" s="12" t="str">
        <x:v>未提供</x:v>
      </x:c>
      <x:c r="W454" s="12" t="str">
        <x:v>秒级预测</x:v>
      </x:c>
      <x:c r="X454" s="12" t="str">
        <x:v>基于路线秒级参数；如录入实测或手动采用秒，预计到达时间可随公式更新</x:v>
      </x:c>
    </x:row>
    <x:row r="455">
      <x:c r="A455" s="12" t="str">
        <x:v>S0037-02</x:v>
      </x:c>
      <x:c r="B455" s="12" t="str">
        <x:v>S0037</x:v>
      </x:c>
      <x:c r="C455" s="12" t="str">
        <x:v>工作日</x:v>
      </x:c>
      <x:c r="D455" s="12" t="str">
        <x:v>环线1路</x:v>
      </x:c>
      <x:c r="E455" s="12" t="str">
        <x:v>第二班</x:v>
      </x:c>
      <x:c r="F455" s="12" t="n">
        <x:v>11</x:v>
      </x:c>
      <x:c r="G455" s="12" t="str">
        <x:v>14:12</x:v>
      </x:c>
      <x:c r="H455" s="12" t="n">
        <x:v>852</x:v>
      </x:c>
      <x:c r="I455" s="12" t="str">
        <x:v>研究生宿舍楼</x:v>
      </x:c>
      <x:c r="J455" s="12" t="str">
        <x:v>研究生宿舍楼发车</x:v>
      </x:c>
      <x:c r="K455" s="12" t="str">
        <x:v>HX1_NORMAL</x:v>
      </x:c>
      <x:c r="L455" s="12" t="n">
        <x:v>2</x:v>
      </x:c>
      <x:c r="M455" s="12" t="str">
        <x:v>HX1_NORMAL|2</x:v>
      </x:c>
      <x:c r="N455" s="12" t="str">
        <x:v>东门</x:v>
      </x:c>
      <x:c r="O455" s="12" t="n">
        <x:f>IFERROR(INDEX('秒级路线参数_可调整'!$O:$O,MATCH(M455,'秒级路线参数_可调整'!$A:$A,0)),"")</x:f>
        <x:v>0</x:v>
      </x:c>
      <x:c r="P455" s="12" t="str">
        <x:f>IF(O455="","",O455/86400)</x:f>
      </x:c>
      <x:c r="Q455" s="12" t="str">
        <x:f>IF(O455="","",(H455*60+O455)/86400)</x:f>
      </x:c>
      <x:c r="R455" s="12" t="str">
        <x:f>IF(Q455="","",TEXT(Q455,"hh:mm:ss"))</x:f>
      </x:c>
      <x:c r="S455" s="12" t="str">
        <x:v>否</x:v>
      </x:c>
      <x:c r="T455" s="12" t="str">
        <x:v>否</x:v>
      </x:c>
      <x:c r="U455" s="12" t="str">
        <x:v>未提供</x:v>
      </x:c>
      <x:c r="V455" s="12" t="str">
        <x:v>未提供</x:v>
      </x:c>
      <x:c r="W455" s="12" t="str">
        <x:v>秒级预测</x:v>
      </x:c>
      <x:c r="X455" s="12" t="str">
        <x:v>基于路线秒级参数；如录入实测或手动采用秒，预计到达时间可随公式更新</x:v>
      </x:c>
    </x:row>
    <x:row r="456">
      <x:c r="A456" s="12" t="str">
        <x:v>S0037-03</x:v>
      </x:c>
      <x:c r="B456" s="12" t="str">
        <x:v>S0037</x:v>
      </x:c>
      <x:c r="C456" s="12" t="str">
        <x:v>工作日</x:v>
      </x:c>
      <x:c r="D456" s="12" t="str">
        <x:v>环线1路</x:v>
      </x:c>
      <x:c r="E456" s="12" t="str">
        <x:v>第二班</x:v>
      </x:c>
      <x:c r="F456" s="12" t="n">
        <x:v>11</x:v>
      </x:c>
      <x:c r="G456" s="12" t="str">
        <x:v>14:12</x:v>
      </x:c>
      <x:c r="H456" s="12" t="n">
        <x:v>852</x:v>
      </x:c>
      <x:c r="I456" s="12" t="str">
        <x:v>研究生宿舍楼</x:v>
      </x:c>
      <x:c r="J456" s="12" t="str">
        <x:v>研究生宿舍楼发车</x:v>
      </x:c>
      <x:c r="K456" s="12" t="str">
        <x:v>HX1_NORMAL</x:v>
      </x:c>
      <x:c r="L456" s="12" t="n">
        <x:v>3</x:v>
      </x:c>
      <x:c r="M456" s="12" t="str">
        <x:v>HX1_NORMAL|3</x:v>
      </x:c>
      <x:c r="N456" s="12" t="str">
        <x:v>2号宿舍楼</x:v>
      </x:c>
      <x:c r="O456" s="12" t="n">
        <x:f>IFERROR(INDEX('秒级路线参数_可调整'!$O:$O,MATCH(M456,'秒级路线参数_可调整'!$A:$A,0)),"")</x:f>
        <x:v>0</x:v>
      </x:c>
      <x:c r="P456" s="12" t="str">
        <x:f>IF(O456="","",O456/86400)</x:f>
      </x:c>
      <x:c r="Q456" s="12" t="str">
        <x:f>IF(O456="","",(H456*60+O456)/86400)</x:f>
      </x:c>
      <x:c r="R456" s="12" t="str">
        <x:f>IF(Q456="","",TEXT(Q456,"hh:mm:ss"))</x:f>
      </x:c>
      <x:c r="S456" s="12" t="str">
        <x:v>否</x:v>
      </x:c>
      <x:c r="T456" s="12" t="str">
        <x:v>否</x:v>
      </x:c>
      <x:c r="U456" s="12" t="str">
        <x:v>未提供</x:v>
      </x:c>
      <x:c r="V456" s="12" t="str">
        <x:v>未提供</x:v>
      </x:c>
      <x:c r="W456" s="12" t="str">
        <x:v>秒级预测</x:v>
      </x:c>
      <x:c r="X456" s="12" t="str">
        <x:v>基于路线秒级参数；如录入实测或手动采用秒，预计到达时间可随公式更新</x:v>
      </x:c>
    </x:row>
    <x:row r="457">
      <x:c r="A457" s="12" t="str">
        <x:v>S0037-04</x:v>
      </x:c>
      <x:c r="B457" s="12" t="str">
        <x:v>S0037</x:v>
      </x:c>
      <x:c r="C457" s="12" t="str">
        <x:v>工作日</x:v>
      </x:c>
      <x:c r="D457" s="12" t="str">
        <x:v>环线1路</x:v>
      </x:c>
      <x:c r="E457" s="12" t="str">
        <x:v>第二班</x:v>
      </x:c>
      <x:c r="F457" s="12" t="n">
        <x:v>11</x:v>
      </x:c>
      <x:c r="G457" s="12" t="str">
        <x:v>14:12</x:v>
      </x:c>
      <x:c r="H457" s="12" t="n">
        <x:v>852</x:v>
      </x:c>
      <x:c r="I457" s="12" t="str">
        <x:v>研究生宿舍楼</x:v>
      </x:c>
      <x:c r="J457" s="12" t="str">
        <x:v>研究生宿舍楼发车</x:v>
      </x:c>
      <x:c r="K457" s="12" t="str">
        <x:v>HX1_NORMAL</x:v>
      </x:c>
      <x:c r="L457" s="12" t="n">
        <x:v>4</x:v>
      </x:c>
      <x:c r="M457" s="12" t="str">
        <x:v>HX1_NORMAL|4</x:v>
      </x:c>
      <x:c r="N457" s="12" t="str">
        <x:v>军体活动中心</x:v>
      </x:c>
      <x:c r="O457" s="12" t="n">
        <x:f>IFERROR(INDEX('秒级路线参数_可调整'!$O:$O,MATCH(M457,'秒级路线参数_可调整'!$A:$A,0)),"")</x:f>
        <x:v>0</x:v>
      </x:c>
      <x:c r="P457" s="12" t="str">
        <x:f>IF(O457="","",O457/86400)</x:f>
      </x:c>
      <x:c r="Q457" s="12" t="str">
        <x:f>IF(O457="","",(H457*60+O457)/86400)</x:f>
      </x:c>
      <x:c r="R457" s="12" t="str">
        <x:f>IF(Q457="","",TEXT(Q457,"hh:mm:ss"))</x:f>
      </x:c>
      <x:c r="S457" s="12" t="str">
        <x:v>否</x:v>
      </x:c>
      <x:c r="T457" s="12" t="str">
        <x:v>否</x:v>
      </x:c>
      <x:c r="U457" s="12" t="str">
        <x:v>未提供</x:v>
      </x:c>
      <x:c r="V457" s="12" t="str">
        <x:v>未提供</x:v>
      </x:c>
      <x:c r="W457" s="12" t="str">
        <x:v>秒级预测</x:v>
      </x:c>
      <x:c r="X457" s="12" t="str">
        <x:v>基于路线秒级参数；如录入实测或手动采用秒，预计到达时间可随公式更新</x:v>
      </x:c>
    </x:row>
    <x:row r="458">
      <x:c r="A458" s="12" t="str">
        <x:v>S0037-05</x:v>
      </x:c>
      <x:c r="B458" s="12" t="str">
        <x:v>S0037</x:v>
      </x:c>
      <x:c r="C458" s="12" t="str">
        <x:v>工作日</x:v>
      </x:c>
      <x:c r="D458" s="12" t="str">
        <x:v>环线1路</x:v>
      </x:c>
      <x:c r="E458" s="12" t="str">
        <x:v>第二班</x:v>
      </x:c>
      <x:c r="F458" s="12" t="n">
        <x:v>11</x:v>
      </x:c>
      <x:c r="G458" s="12" t="str">
        <x:v>14:12</x:v>
      </x:c>
      <x:c r="H458" s="12" t="n">
        <x:v>852</x:v>
      </x:c>
      <x:c r="I458" s="12" t="str">
        <x:v>研究生宿舍楼</x:v>
      </x:c>
      <x:c r="J458" s="12" t="str">
        <x:v>研究生宿舍楼发车</x:v>
      </x:c>
      <x:c r="K458" s="12" t="str">
        <x:v>HX1_NORMAL</x:v>
      </x:c>
      <x:c r="L458" s="12" t="n">
        <x:v>5</x:v>
      </x:c>
      <x:c r="M458" s="12" t="str">
        <x:v>HX1_NORMAL|5</x:v>
      </x:c>
      <x:c r="N458" s="12" t="str">
        <x:v>激光所</x:v>
      </x:c>
      <x:c r="O458" s="12" t="n">
        <x:f>IFERROR(INDEX('秒级路线参数_可调整'!$O:$O,MATCH(M458,'秒级路线参数_可调整'!$A:$A,0)),"")</x:f>
        <x:v>0</x:v>
      </x:c>
      <x:c r="P458" s="12" t="str">
        <x:f>IF(O458="","",O458/86400)</x:f>
      </x:c>
      <x:c r="Q458" s="12" t="str">
        <x:f>IF(O458="","",(H458*60+O458)/86400)</x:f>
      </x:c>
      <x:c r="R458" s="12" t="str">
        <x:f>IF(Q458="","",TEXT(Q458,"hh:mm:ss"))</x:f>
      </x:c>
      <x:c r="S458" s="12" t="str">
        <x:v>否</x:v>
      </x:c>
      <x:c r="T458" s="12" t="str">
        <x:v>否</x:v>
      </x:c>
      <x:c r="U458" s="12" t="str">
        <x:v>未提供</x:v>
      </x:c>
      <x:c r="V458" s="12" t="str">
        <x:v>未提供</x:v>
      </x:c>
      <x:c r="W458" s="12" t="str">
        <x:v>秒级预测</x:v>
      </x:c>
      <x:c r="X458" s="12" t="str">
        <x:v>基于路线秒级参数；如录入实测或手动采用秒，预计到达时间可随公式更新</x:v>
      </x:c>
    </x:row>
    <x:row r="459">
      <x:c r="A459" s="12" t="str">
        <x:v>S0037-06</x:v>
      </x:c>
      <x:c r="B459" s="12" t="str">
        <x:v>S0037</x:v>
      </x:c>
      <x:c r="C459" s="12" t="str">
        <x:v>工作日</x:v>
      </x:c>
      <x:c r="D459" s="12" t="str">
        <x:v>环线1路</x:v>
      </x:c>
      <x:c r="E459" s="12" t="str">
        <x:v>第二班</x:v>
      </x:c>
      <x:c r="F459" s="12" t="n">
        <x:v>11</x:v>
      </x:c>
      <x:c r="G459" s="12" t="str">
        <x:v>14:12</x:v>
      </x:c>
      <x:c r="H459" s="12" t="n">
        <x:v>852</x:v>
      </x:c>
      <x:c r="I459" s="12" t="str">
        <x:v>研究生宿舍楼</x:v>
      </x:c>
      <x:c r="J459" s="12" t="str">
        <x:v>研究生宿舍楼发车</x:v>
      </x:c>
      <x:c r="K459" s="12" t="str">
        <x:v>HX1_NORMAL</x:v>
      </x:c>
      <x:c r="L459" s="12" t="n">
        <x:v>6</x:v>
      </x:c>
      <x:c r="M459" s="12" t="str">
        <x:v>HX1_NORMAL|6</x:v>
      </x:c>
      <x:c r="N459" s="12" t="str">
        <x:v>超算中心</x:v>
      </x:c>
      <x:c r="O459" s="12" t="n">
        <x:f>IFERROR(INDEX('秒级路线参数_可调整'!$O:$O,MATCH(M459,'秒级路线参数_可调整'!$A:$A,0)),"")</x:f>
        <x:v>0</x:v>
      </x:c>
      <x:c r="P459" s="12" t="str">
        <x:f>IF(O459="","",O459/86400)</x:f>
      </x:c>
      <x:c r="Q459" s="12" t="str">
        <x:f>IF(O459="","",(H459*60+O459)/86400)</x:f>
      </x:c>
      <x:c r="R459" s="12" t="str">
        <x:f>IF(Q459="","",TEXT(Q459,"hh:mm:ss"))</x:f>
      </x:c>
      <x:c r="S459" s="12" t="str">
        <x:v>否</x:v>
      </x:c>
      <x:c r="T459" s="12" t="str">
        <x:v>否</x:v>
      </x:c>
      <x:c r="U459" s="12" t="str">
        <x:v>未提供</x:v>
      </x:c>
      <x:c r="V459" s="12" t="str">
        <x:v>未提供</x:v>
      </x:c>
      <x:c r="W459" s="12" t="str">
        <x:v>秒级预测</x:v>
      </x:c>
      <x:c r="X459" s="12" t="str">
        <x:v>基于路线秒级参数；如录入实测或手动采用秒，预计到达时间可随公式更新</x:v>
      </x:c>
    </x:row>
    <x:row r="460">
      <x:c r="A460" s="12" t="str">
        <x:v>S0037-07</x:v>
      </x:c>
      <x:c r="B460" s="12" t="str">
        <x:v>S0037</x:v>
      </x:c>
      <x:c r="C460" s="12" t="str">
        <x:v>工作日</x:v>
      </x:c>
      <x:c r="D460" s="12" t="str">
        <x:v>环线1路</x:v>
      </x:c>
      <x:c r="E460" s="12" t="str">
        <x:v>第二班</x:v>
      </x:c>
      <x:c r="F460" s="12" t="n">
        <x:v>11</x:v>
      </x:c>
      <x:c r="G460" s="12" t="str">
        <x:v>14:12</x:v>
      </x:c>
      <x:c r="H460" s="12" t="n">
        <x:v>852</x:v>
      </x:c>
      <x:c r="I460" s="12" t="str">
        <x:v>研究生宿舍楼</x:v>
      </x:c>
      <x:c r="J460" s="12" t="str">
        <x:v>研究生宿舍楼发车</x:v>
      </x:c>
      <x:c r="K460" s="12" t="str">
        <x:v>HX1_NORMAL</x:v>
      </x:c>
      <x:c r="L460" s="12" t="n">
        <x:v>7</x:v>
      </x:c>
      <x:c r="M460" s="12" t="str">
        <x:v>HX1_NORMAL|7</x:v>
      </x:c>
      <x:c r="N460" s="12" t="str">
        <x:v>北门</x:v>
      </x:c>
      <x:c r="O460" s="12" t="n">
        <x:f>IFERROR(INDEX('秒级路线参数_可调整'!$O:$O,MATCH(M460,'秒级路线参数_可调整'!$A:$A,0)),"")</x:f>
        <x:v>0</x:v>
      </x:c>
      <x:c r="P460" s="12" t="str">
        <x:f>IF(O460="","",O460/86400)</x:f>
      </x:c>
      <x:c r="Q460" s="12" t="str">
        <x:f>IF(O460="","",(H460*60+O460)/86400)</x:f>
      </x:c>
      <x:c r="R460" s="12" t="str">
        <x:f>IF(Q460="","",TEXT(Q460,"hh:mm:ss"))</x:f>
      </x:c>
      <x:c r="S460" s="12" t="str">
        <x:v>否</x:v>
      </x:c>
      <x:c r="T460" s="12" t="str">
        <x:v>否</x:v>
      </x:c>
      <x:c r="U460" s="12" t="str">
        <x:v>未提供</x:v>
      </x:c>
      <x:c r="V460" s="12" t="str">
        <x:v>未提供</x:v>
      </x:c>
      <x:c r="W460" s="12" t="str">
        <x:v>秒级预测</x:v>
      </x:c>
      <x:c r="X460" s="12" t="str">
        <x:v>基于路线秒级参数；如录入实测或手动采用秒，预计到达时间可随公式更新</x:v>
      </x:c>
    </x:row>
    <x:row r="461">
      <x:c r="A461" s="12" t="str">
        <x:v>S0037-08</x:v>
      </x:c>
      <x:c r="B461" s="12" t="str">
        <x:v>S0037</x:v>
      </x:c>
      <x:c r="C461" s="12" t="str">
        <x:v>工作日</x:v>
      </x:c>
      <x:c r="D461" s="12" t="str">
        <x:v>环线1路</x:v>
      </x:c>
      <x:c r="E461" s="12" t="str">
        <x:v>第二班</x:v>
      </x:c>
      <x:c r="F461" s="12" t="n">
        <x:v>11</x:v>
      </x:c>
      <x:c r="G461" s="12" t="str">
        <x:v>14:12</x:v>
      </x:c>
      <x:c r="H461" s="12" t="n">
        <x:v>852</x:v>
      </x:c>
      <x:c r="I461" s="12" t="str">
        <x:v>研究生宿舍楼</x:v>
      </x:c>
      <x:c r="J461" s="12" t="str">
        <x:v>研究生宿舍楼发车</x:v>
      </x:c>
      <x:c r="K461" s="12" t="str">
        <x:v>HX1_NORMAL</x:v>
      </x:c>
      <x:c r="L461" s="12" t="n">
        <x:v>8</x:v>
      </x:c>
      <x:c r="M461" s="12" t="str">
        <x:v>HX1_NORMAL|8</x:v>
      </x:c>
      <x:c r="N461" s="12" t="str">
        <x:v>高超楼</x:v>
      </x:c>
      <x:c r="O461" s="12" t="n">
        <x:f>IFERROR(INDEX('秒级路线参数_可调整'!$O:$O,MATCH(M461,'秒级路线参数_可调整'!$A:$A,0)),"")</x:f>
        <x:v>0</x:v>
      </x:c>
      <x:c r="P461" s="12" t="str">
        <x:f>IF(O461="","",O461/86400)</x:f>
      </x:c>
      <x:c r="Q461" s="12" t="str">
        <x:f>IF(O461="","",(H461*60+O461)/86400)</x:f>
      </x:c>
      <x:c r="R461" s="12" t="str">
        <x:f>IF(Q461="","",TEXT(Q461,"hh:mm:ss"))</x:f>
      </x:c>
      <x:c r="S461" s="12" t="str">
        <x:v>否</x:v>
      </x:c>
      <x:c r="T461" s="12" t="str">
        <x:v>否</x:v>
      </x:c>
      <x:c r="U461" s="12" t="str">
        <x:v>未提供</x:v>
      </x:c>
      <x:c r="V461" s="12" t="str">
        <x:v>未提供</x:v>
      </x:c>
      <x:c r="W461" s="12" t="str">
        <x:v>秒级预测</x:v>
      </x:c>
      <x:c r="X461" s="12" t="str">
        <x:v>基于路线秒级参数；如录入实测或手动采用秒，预计到达时间可随公式更新</x:v>
      </x:c>
    </x:row>
    <x:row r="462">
      <x:c r="A462" s="12" t="str">
        <x:v>S0037-09</x:v>
      </x:c>
      <x:c r="B462" s="12" t="str">
        <x:v>S0037</x:v>
      </x:c>
      <x:c r="C462" s="12" t="str">
        <x:v>工作日</x:v>
      </x:c>
      <x:c r="D462" s="12" t="str">
        <x:v>环线1路</x:v>
      </x:c>
      <x:c r="E462" s="12" t="str">
        <x:v>第二班</x:v>
      </x:c>
      <x:c r="F462" s="12" t="n">
        <x:v>11</x:v>
      </x:c>
      <x:c r="G462" s="12" t="str">
        <x:v>14:12</x:v>
      </x:c>
      <x:c r="H462" s="12" t="n">
        <x:v>852</x:v>
      </x:c>
      <x:c r="I462" s="12" t="str">
        <x:v>研究生宿舍楼</x:v>
      </x:c>
      <x:c r="J462" s="12" t="str">
        <x:v>研究生宿舍楼发车</x:v>
      </x:c>
      <x:c r="K462" s="12" t="str">
        <x:v>HX1_NORMAL</x:v>
      </x:c>
      <x:c r="L462" s="12" t="n">
        <x:v>9</x:v>
      </x:c>
      <x:c r="M462" s="12" t="str">
        <x:v>HX1_NORMAL|9</x:v>
      </x:c>
      <x:c r="N462" s="12" t="str">
        <x:v>理学院</x:v>
      </x:c>
      <x:c r="O462" s="12" t="n">
        <x:f>IFERROR(INDEX('秒级路线参数_可调整'!$O:$O,MATCH(M462,'秒级路线参数_可调整'!$A:$A,0)),"")</x:f>
        <x:v>0</x:v>
      </x:c>
      <x:c r="P462" s="12" t="str">
        <x:f>IF(O462="","",O462/86400)</x:f>
      </x:c>
      <x:c r="Q462" s="12" t="str">
        <x:f>IF(O462="","",(H462*60+O462)/86400)</x:f>
      </x:c>
      <x:c r="R462" s="12" t="str">
        <x:f>IF(Q462="","",TEXT(Q462,"hh:mm:ss"))</x:f>
      </x:c>
      <x:c r="S462" s="12" t="str">
        <x:v>否</x:v>
      </x:c>
      <x:c r="T462" s="12" t="str">
        <x:v>否</x:v>
      </x:c>
      <x:c r="U462" s="12" t="str">
        <x:v>未提供</x:v>
      </x:c>
      <x:c r="V462" s="12" t="str">
        <x:v>未提供</x:v>
      </x:c>
      <x:c r="W462" s="12" t="str">
        <x:v>秒级预测</x:v>
      </x:c>
      <x:c r="X462" s="12" t="str">
        <x:v>基于路线秒级参数；如录入实测或手动采用秒，预计到达时间可随公式更新</x:v>
      </x:c>
    </x:row>
    <x:row r="463">
      <x:c r="A463" s="12" t="str">
        <x:v>S0037-10</x:v>
      </x:c>
      <x:c r="B463" s="12" t="str">
        <x:v>S0037</x:v>
      </x:c>
      <x:c r="C463" s="12" t="str">
        <x:v>工作日</x:v>
      </x:c>
      <x:c r="D463" s="12" t="str">
        <x:v>环线1路</x:v>
      </x:c>
      <x:c r="E463" s="12" t="str">
        <x:v>第二班</x:v>
      </x:c>
      <x:c r="F463" s="12" t="n">
        <x:v>11</x:v>
      </x:c>
      <x:c r="G463" s="12" t="str">
        <x:v>14:12</x:v>
      </x:c>
      <x:c r="H463" s="12" t="n">
        <x:v>852</x:v>
      </x:c>
      <x:c r="I463" s="12" t="str">
        <x:v>研究生宿舍楼</x:v>
      </x:c>
      <x:c r="J463" s="12" t="str">
        <x:v>研究生宿舍楼发车</x:v>
      </x:c>
      <x:c r="K463" s="12" t="str">
        <x:v>HX1_NORMAL</x:v>
      </x:c>
      <x:c r="L463" s="12" t="n">
        <x:v>10</x:v>
      </x:c>
      <x:c r="M463" s="12" t="str">
        <x:v>HX1_NORMAL|10</x:v>
      </x:c>
      <x:c r="N463" s="12" t="str">
        <x:v>二食堂</x:v>
      </x:c>
      <x:c r="O463" s="12" t="n">
        <x:f>IFERROR(INDEX('秒级路线参数_可调整'!$O:$O,MATCH(M463,'秒级路线参数_可调整'!$A:$A,0)),"")</x:f>
        <x:v>0</x:v>
      </x:c>
      <x:c r="P463" s="12" t="str">
        <x:f>IF(O463="","",O463/86400)</x:f>
      </x:c>
      <x:c r="Q463" s="12" t="str">
        <x:f>IF(O463="","",(H463*60+O463)/86400)</x:f>
      </x:c>
      <x:c r="R463" s="12" t="str">
        <x:f>IF(Q463="","",TEXT(Q463,"hh:mm:ss"))</x:f>
      </x:c>
      <x:c r="S463" s="12" t="str">
        <x:v>否</x:v>
      </x:c>
      <x:c r="T463" s="12" t="str">
        <x:v>否</x:v>
      </x:c>
      <x:c r="U463" s="12" t="str">
        <x:v>未提供</x:v>
      </x:c>
      <x:c r="V463" s="12" t="str">
        <x:v>未提供</x:v>
      </x:c>
      <x:c r="W463" s="12" t="str">
        <x:v>秒级预测</x:v>
      </x:c>
      <x:c r="X463" s="12" t="str">
        <x:v>基于路线秒级参数；如录入实测或手动采用秒，预计到达时间可随公式更新</x:v>
      </x:c>
    </x:row>
    <x:row r="464">
      <x:c r="A464" s="12" t="str">
        <x:v>S0037-11</x:v>
      </x:c>
      <x:c r="B464" s="12" t="str">
        <x:v>S0037</x:v>
      </x:c>
      <x:c r="C464" s="12" t="str">
        <x:v>工作日</x:v>
      </x:c>
      <x:c r="D464" s="12" t="str">
        <x:v>环线1路</x:v>
      </x:c>
      <x:c r="E464" s="12" t="str">
        <x:v>第二班</x:v>
      </x:c>
      <x:c r="F464" s="12" t="n">
        <x:v>11</x:v>
      </x:c>
      <x:c r="G464" s="12" t="str">
        <x:v>14:12</x:v>
      </x:c>
      <x:c r="H464" s="12" t="n">
        <x:v>852</x:v>
      </x:c>
      <x:c r="I464" s="12" t="str">
        <x:v>研究生宿舍楼</x:v>
      </x:c>
      <x:c r="J464" s="12" t="str">
        <x:v>研究生宿舍楼发车</x:v>
      </x:c>
      <x:c r="K464" s="12" t="str">
        <x:v>HX1_NORMAL</x:v>
      </x:c>
      <x:c r="L464" s="12" t="n">
        <x:v>11</x:v>
      </x:c>
      <x:c r="M464" s="12" t="str">
        <x:v>HX1_NORMAL|11</x:v>
      </x:c>
      <x:c r="N464" s="12" t="str">
        <x:v>5号宿舍楼</x:v>
      </x:c>
      <x:c r="O464" s="12" t="n">
        <x:f>IFERROR(INDEX('秒级路线参数_可调整'!$O:$O,MATCH(M464,'秒级路线参数_可调整'!$A:$A,0)),"")</x:f>
        <x:v>0</x:v>
      </x:c>
      <x:c r="P464" s="12" t="str">
        <x:f>IF(O464="","",O464/86400)</x:f>
      </x:c>
      <x:c r="Q464" s="12" t="str">
        <x:f>IF(O464="","",(H464*60+O464)/86400)</x:f>
      </x:c>
      <x:c r="R464" s="12" t="str">
        <x:f>IF(Q464="","",TEXT(Q464,"hh:mm:ss"))</x:f>
      </x:c>
      <x:c r="S464" s="12" t="str">
        <x:v>否</x:v>
      </x:c>
      <x:c r="T464" s="12" t="str">
        <x:v>否</x:v>
      </x:c>
      <x:c r="U464" s="12" t="str">
        <x:v>未提供</x:v>
      </x:c>
      <x:c r="V464" s="12" t="str">
        <x:v>未提供</x:v>
      </x:c>
      <x:c r="W464" s="12" t="str">
        <x:v>秒级预测</x:v>
      </x:c>
      <x:c r="X464" s="12" t="str">
        <x:v>基于路线秒级参数；如录入实测或手动采用秒，预计到达时间可随公式更新</x:v>
      </x:c>
    </x:row>
    <x:row r="465">
      <x:c r="A465" s="12" t="str">
        <x:v>S0037-12</x:v>
      </x:c>
      <x:c r="B465" s="12" t="str">
        <x:v>S0037</x:v>
      </x:c>
      <x:c r="C465" s="12" t="str">
        <x:v>工作日</x:v>
      </x:c>
      <x:c r="D465" s="12" t="str">
        <x:v>环线1路</x:v>
      </x:c>
      <x:c r="E465" s="12" t="str">
        <x:v>第二班</x:v>
      </x:c>
      <x:c r="F465" s="12" t="n">
        <x:v>11</x:v>
      </x:c>
      <x:c r="G465" s="12" t="str">
        <x:v>14:12</x:v>
      </x:c>
      <x:c r="H465" s="12" t="n">
        <x:v>852</x:v>
      </x:c>
      <x:c r="I465" s="12" t="str">
        <x:v>研究生宿舍楼</x:v>
      </x:c>
      <x:c r="J465" s="12" t="str">
        <x:v>研究生宿舍楼发车</x:v>
      </x:c>
      <x:c r="K465" s="12" t="str">
        <x:v>HX1_NORMAL</x:v>
      </x:c>
      <x:c r="L465" s="12" t="n">
        <x:v>12</x:v>
      </x:c>
      <x:c r="M465" s="12" t="str">
        <x:v>HX1_NORMAL|12</x:v>
      </x:c>
      <x:c r="N465" s="12" t="str">
        <x:v>305教学楼</x:v>
      </x:c>
      <x:c r="O465" s="12" t="n">
        <x:f>IFERROR(INDEX('秒级路线参数_可调整'!$O:$O,MATCH(M465,'秒级路线参数_可调整'!$A:$A,0)),"")</x:f>
        <x:v>0</x:v>
      </x:c>
      <x:c r="P465" s="12" t="str">
        <x:f>IF(O465="","",O465/86400)</x:f>
      </x:c>
      <x:c r="Q465" s="12" t="str">
        <x:f>IF(O465="","",(H465*60+O465)/86400)</x:f>
      </x:c>
      <x:c r="R465" s="12" t="str">
        <x:f>IF(Q465="","",TEXT(Q465,"hh:mm:ss"))</x:f>
      </x:c>
      <x:c r="S465" s="12" t="str">
        <x:v>否</x:v>
      </x:c>
      <x:c r="T465" s="12" t="str">
        <x:v>否</x:v>
      </x:c>
      <x:c r="U465" s="12" t="str">
        <x:v>未提供</x:v>
      </x:c>
      <x:c r="V465" s="12" t="str">
        <x:v>未提供</x:v>
      </x:c>
      <x:c r="W465" s="12" t="str">
        <x:v>秒级预测</x:v>
      </x:c>
      <x:c r="X465" s="12" t="str">
        <x:v>基于路线秒级参数；如录入实测或手动采用秒，预计到达时间可随公式更新</x:v>
      </x:c>
    </x:row>
    <x:row r="466">
      <x:c r="A466" s="12" t="str">
        <x:v>S0037-13</x:v>
      </x:c>
      <x:c r="B466" s="12" t="str">
        <x:v>S0037</x:v>
      </x:c>
      <x:c r="C466" s="12" t="str">
        <x:v>工作日</x:v>
      </x:c>
      <x:c r="D466" s="12" t="str">
        <x:v>环线1路</x:v>
      </x:c>
      <x:c r="E466" s="12" t="str">
        <x:v>第二班</x:v>
      </x:c>
      <x:c r="F466" s="12" t="n">
        <x:v>11</x:v>
      </x:c>
      <x:c r="G466" s="12" t="str">
        <x:v>14:12</x:v>
      </x:c>
      <x:c r="H466" s="12" t="n">
        <x:v>852</x:v>
      </x:c>
      <x:c r="I466" s="12" t="str">
        <x:v>研究生宿舍楼</x:v>
      </x:c>
      <x:c r="J466" s="12" t="str">
        <x:v>研究生宿舍楼发车</x:v>
      </x:c>
      <x:c r="K466" s="12" t="str">
        <x:v>HX1_NORMAL</x:v>
      </x:c>
      <x:c r="L466" s="12" t="n">
        <x:v>13</x:v>
      </x:c>
      <x:c r="M466" s="12" t="str">
        <x:v>HX1_NORMAL|13</x:v>
      </x:c>
      <x:c r="N466" s="12" t="str">
        <x:v>研究生宿舍楼</x:v>
      </x:c>
      <x:c r="O466" s="12" t="n">
        <x:f>IFERROR(INDEX('秒级路线参数_可调整'!$O:$O,MATCH(M466,'秒级路线参数_可调整'!$A:$A,0)),"")</x:f>
        <x:v>0</x:v>
      </x:c>
      <x:c r="P466" s="12" t="str">
        <x:f>IF(O466="","",O466/86400)</x:f>
      </x:c>
      <x:c r="Q466" s="12" t="str">
        <x:f>IF(O466="","",(H466*60+O466)/86400)</x:f>
      </x:c>
      <x:c r="R466" s="12" t="str">
        <x:f>IF(Q466="","",TEXT(Q466,"hh:mm:ss"))</x:f>
      </x:c>
      <x:c r="S466" s="12" t="str">
        <x:v>否</x:v>
      </x:c>
      <x:c r="T466" s="12" t="str">
        <x:v>是</x:v>
      </x:c>
      <x:c r="U466" s="12" t="str">
        <x:v>未提供</x:v>
      </x:c>
      <x:c r="V466" s="12" t="str">
        <x:v>未提供</x:v>
      </x:c>
      <x:c r="W466" s="12" t="str">
        <x:v>秒级预测</x:v>
      </x:c>
      <x:c r="X466" s="12" t="str">
        <x:v>基于路线秒级参数；如录入实测或手动采用秒，预计到达时间可随公式更新</x:v>
      </x:c>
    </x:row>
    <x:row r="467">
      <x:c r="A467" s="12" t="str">
        <x:v>S0038-01</x:v>
      </x:c>
      <x:c r="B467" s="12" t="str">
        <x:v>S0038</x:v>
      </x:c>
      <x:c r="C467" s="12" t="str">
        <x:v>工作日</x:v>
      </x:c>
      <x:c r="D467" s="12" t="str">
        <x:v>环线1路</x:v>
      </x:c>
      <x:c r="E467" s="12" t="str">
        <x:v>第二班</x:v>
      </x:c>
      <x:c r="F467" s="12" t="n">
        <x:v>12</x:v>
      </x:c>
      <x:c r="G467" s="12" t="str">
        <x:v>14:48</x:v>
      </x:c>
      <x:c r="H467" s="12" t="n">
        <x:v>888</x:v>
      </x:c>
      <x:c r="I467" s="12" t="str">
        <x:v>研究生宿舍楼</x:v>
      </x:c>
      <x:c r="J467" s="12" t="str">
        <x:v>研究生宿舍楼发车</x:v>
      </x:c>
      <x:c r="K467" s="12" t="str">
        <x:v>HX1_NORMAL</x:v>
      </x:c>
      <x:c r="L467" s="12" t="n">
        <x:v>1</x:v>
      </x:c>
      <x:c r="M467" s="12" t="str">
        <x:v>HX1_NORMAL|1</x:v>
      </x:c>
      <x:c r="N467" s="12" t="str">
        <x:v>研究生宿舍楼</x:v>
      </x:c>
      <x:c r="O467" s="12" t="n">
        <x:f>IFERROR(INDEX('秒级路线参数_可调整'!$O:$O,MATCH(M467,'秒级路线参数_可调整'!$A:$A,0)),"")</x:f>
        <x:v>0</x:v>
      </x:c>
      <x:c r="P467" s="12" t="str">
        <x:f>IF(O467="","",O467/86400)</x:f>
      </x:c>
      <x:c r="Q467" s="12" t="str">
        <x:f>IF(O467="","",(H467*60+O467)/86400)</x:f>
      </x:c>
      <x:c r="R467" s="12" t="str">
        <x:f>IF(Q467="","",TEXT(Q467,"hh:mm:ss"))</x:f>
      </x:c>
      <x:c r="S467" s="12" t="str">
        <x:v>是</x:v>
      </x:c>
      <x:c r="T467" s="12" t="str">
        <x:v>否</x:v>
      </x:c>
      <x:c r="U467" s="12" t="str">
        <x:v>未提供</x:v>
      </x:c>
      <x:c r="V467" s="12" t="str">
        <x:v>未提供</x:v>
      </x:c>
      <x:c r="W467" s="12" t="str">
        <x:v>秒级预测</x:v>
      </x:c>
      <x:c r="X467" s="12" t="str">
        <x:v>基于路线秒级参数；如录入实测或手动采用秒，预计到达时间可随公式更新</x:v>
      </x:c>
    </x:row>
    <x:row r="468">
      <x:c r="A468" s="12" t="str">
        <x:v>S0038-02</x:v>
      </x:c>
      <x:c r="B468" s="12" t="str">
        <x:v>S0038</x:v>
      </x:c>
      <x:c r="C468" s="12" t="str">
        <x:v>工作日</x:v>
      </x:c>
      <x:c r="D468" s="12" t="str">
        <x:v>环线1路</x:v>
      </x:c>
      <x:c r="E468" s="12" t="str">
        <x:v>第二班</x:v>
      </x:c>
      <x:c r="F468" s="12" t="n">
        <x:v>12</x:v>
      </x:c>
      <x:c r="G468" s="12" t="str">
        <x:v>14:48</x:v>
      </x:c>
      <x:c r="H468" s="12" t="n">
        <x:v>888</x:v>
      </x:c>
      <x:c r="I468" s="12" t="str">
        <x:v>研究生宿舍楼</x:v>
      </x:c>
      <x:c r="J468" s="12" t="str">
        <x:v>研究生宿舍楼发车</x:v>
      </x:c>
      <x:c r="K468" s="12" t="str">
        <x:v>HX1_NORMAL</x:v>
      </x:c>
      <x:c r="L468" s="12" t="n">
        <x:v>2</x:v>
      </x:c>
      <x:c r="M468" s="12" t="str">
        <x:v>HX1_NORMAL|2</x:v>
      </x:c>
      <x:c r="N468" s="12" t="str">
        <x:v>东门</x:v>
      </x:c>
      <x:c r="O468" s="12" t="n">
        <x:f>IFERROR(INDEX('秒级路线参数_可调整'!$O:$O,MATCH(M468,'秒级路线参数_可调整'!$A:$A,0)),"")</x:f>
        <x:v>0</x:v>
      </x:c>
      <x:c r="P468" s="12" t="str">
        <x:f>IF(O468="","",O468/86400)</x:f>
      </x:c>
      <x:c r="Q468" s="12" t="str">
        <x:f>IF(O468="","",(H468*60+O468)/86400)</x:f>
      </x:c>
      <x:c r="R468" s="12" t="str">
        <x:f>IF(Q468="","",TEXT(Q468,"hh:mm:ss"))</x:f>
      </x:c>
      <x:c r="S468" s="12" t="str">
        <x:v>否</x:v>
      </x:c>
      <x:c r="T468" s="12" t="str">
        <x:v>否</x:v>
      </x:c>
      <x:c r="U468" s="12" t="str">
        <x:v>未提供</x:v>
      </x:c>
      <x:c r="V468" s="12" t="str">
        <x:v>未提供</x:v>
      </x:c>
      <x:c r="W468" s="12" t="str">
        <x:v>秒级预测</x:v>
      </x:c>
      <x:c r="X468" s="12" t="str">
        <x:v>基于路线秒级参数；如录入实测或手动采用秒，预计到达时间可随公式更新</x:v>
      </x:c>
    </x:row>
    <x:row r="469">
      <x:c r="A469" s="12" t="str">
        <x:v>S0038-03</x:v>
      </x:c>
      <x:c r="B469" s="12" t="str">
        <x:v>S0038</x:v>
      </x:c>
      <x:c r="C469" s="12" t="str">
        <x:v>工作日</x:v>
      </x:c>
      <x:c r="D469" s="12" t="str">
        <x:v>环线1路</x:v>
      </x:c>
      <x:c r="E469" s="12" t="str">
        <x:v>第二班</x:v>
      </x:c>
      <x:c r="F469" s="12" t="n">
        <x:v>12</x:v>
      </x:c>
      <x:c r="G469" s="12" t="str">
        <x:v>14:48</x:v>
      </x:c>
      <x:c r="H469" s="12" t="n">
        <x:v>888</x:v>
      </x:c>
      <x:c r="I469" s="12" t="str">
        <x:v>研究生宿舍楼</x:v>
      </x:c>
      <x:c r="J469" s="12" t="str">
        <x:v>研究生宿舍楼发车</x:v>
      </x:c>
      <x:c r="K469" s="12" t="str">
        <x:v>HX1_NORMAL</x:v>
      </x:c>
      <x:c r="L469" s="12" t="n">
        <x:v>3</x:v>
      </x:c>
      <x:c r="M469" s="12" t="str">
        <x:v>HX1_NORMAL|3</x:v>
      </x:c>
      <x:c r="N469" s="12" t="str">
        <x:v>2号宿舍楼</x:v>
      </x:c>
      <x:c r="O469" s="12" t="n">
        <x:f>IFERROR(INDEX('秒级路线参数_可调整'!$O:$O,MATCH(M469,'秒级路线参数_可调整'!$A:$A,0)),"")</x:f>
        <x:v>0</x:v>
      </x:c>
      <x:c r="P469" s="12" t="str">
        <x:f>IF(O469="","",O469/86400)</x:f>
      </x:c>
      <x:c r="Q469" s="12" t="str">
        <x:f>IF(O469="","",(H469*60+O469)/86400)</x:f>
      </x:c>
      <x:c r="R469" s="12" t="str">
        <x:f>IF(Q469="","",TEXT(Q469,"hh:mm:ss"))</x:f>
      </x:c>
      <x:c r="S469" s="12" t="str">
        <x:v>否</x:v>
      </x:c>
      <x:c r="T469" s="12" t="str">
        <x:v>否</x:v>
      </x:c>
      <x:c r="U469" s="12" t="str">
        <x:v>未提供</x:v>
      </x:c>
      <x:c r="V469" s="12" t="str">
        <x:v>未提供</x:v>
      </x:c>
      <x:c r="W469" s="12" t="str">
        <x:v>秒级预测</x:v>
      </x:c>
      <x:c r="X469" s="12" t="str">
        <x:v>基于路线秒级参数；如录入实测或手动采用秒，预计到达时间可随公式更新</x:v>
      </x:c>
    </x:row>
    <x:row r="470">
      <x:c r="A470" s="12" t="str">
        <x:v>S0038-04</x:v>
      </x:c>
      <x:c r="B470" s="12" t="str">
        <x:v>S0038</x:v>
      </x:c>
      <x:c r="C470" s="12" t="str">
        <x:v>工作日</x:v>
      </x:c>
      <x:c r="D470" s="12" t="str">
        <x:v>环线1路</x:v>
      </x:c>
      <x:c r="E470" s="12" t="str">
        <x:v>第二班</x:v>
      </x:c>
      <x:c r="F470" s="12" t="n">
        <x:v>12</x:v>
      </x:c>
      <x:c r="G470" s="12" t="str">
        <x:v>14:48</x:v>
      </x:c>
      <x:c r="H470" s="12" t="n">
        <x:v>888</x:v>
      </x:c>
      <x:c r="I470" s="12" t="str">
        <x:v>研究生宿舍楼</x:v>
      </x:c>
      <x:c r="J470" s="12" t="str">
        <x:v>研究生宿舍楼发车</x:v>
      </x:c>
      <x:c r="K470" s="12" t="str">
        <x:v>HX1_NORMAL</x:v>
      </x:c>
      <x:c r="L470" s="12" t="n">
        <x:v>4</x:v>
      </x:c>
      <x:c r="M470" s="12" t="str">
        <x:v>HX1_NORMAL|4</x:v>
      </x:c>
      <x:c r="N470" s="12" t="str">
        <x:v>军体活动中心</x:v>
      </x:c>
      <x:c r="O470" s="12" t="n">
        <x:f>IFERROR(INDEX('秒级路线参数_可调整'!$O:$O,MATCH(M470,'秒级路线参数_可调整'!$A:$A,0)),"")</x:f>
        <x:v>0</x:v>
      </x:c>
      <x:c r="P470" s="12" t="str">
        <x:f>IF(O470="","",O470/86400)</x:f>
      </x:c>
      <x:c r="Q470" s="12" t="str">
        <x:f>IF(O470="","",(H470*60+O470)/86400)</x:f>
      </x:c>
      <x:c r="R470" s="12" t="str">
        <x:f>IF(Q470="","",TEXT(Q470,"hh:mm:ss"))</x:f>
      </x:c>
      <x:c r="S470" s="12" t="str">
        <x:v>否</x:v>
      </x:c>
      <x:c r="T470" s="12" t="str">
        <x:v>否</x:v>
      </x:c>
      <x:c r="U470" s="12" t="str">
        <x:v>未提供</x:v>
      </x:c>
      <x:c r="V470" s="12" t="str">
        <x:v>未提供</x:v>
      </x:c>
      <x:c r="W470" s="12" t="str">
        <x:v>秒级预测</x:v>
      </x:c>
      <x:c r="X470" s="12" t="str">
        <x:v>基于路线秒级参数；如录入实测或手动采用秒，预计到达时间可随公式更新</x:v>
      </x:c>
    </x:row>
    <x:row r="471">
      <x:c r="A471" s="12" t="str">
        <x:v>S0038-05</x:v>
      </x:c>
      <x:c r="B471" s="12" t="str">
        <x:v>S0038</x:v>
      </x:c>
      <x:c r="C471" s="12" t="str">
        <x:v>工作日</x:v>
      </x:c>
      <x:c r="D471" s="12" t="str">
        <x:v>环线1路</x:v>
      </x:c>
      <x:c r="E471" s="12" t="str">
        <x:v>第二班</x:v>
      </x:c>
      <x:c r="F471" s="12" t="n">
        <x:v>12</x:v>
      </x:c>
      <x:c r="G471" s="12" t="str">
        <x:v>14:48</x:v>
      </x:c>
      <x:c r="H471" s="12" t="n">
        <x:v>888</x:v>
      </x:c>
      <x:c r="I471" s="12" t="str">
        <x:v>研究生宿舍楼</x:v>
      </x:c>
      <x:c r="J471" s="12" t="str">
        <x:v>研究生宿舍楼发车</x:v>
      </x:c>
      <x:c r="K471" s="12" t="str">
        <x:v>HX1_NORMAL</x:v>
      </x:c>
      <x:c r="L471" s="12" t="n">
        <x:v>5</x:v>
      </x:c>
      <x:c r="M471" s="12" t="str">
        <x:v>HX1_NORMAL|5</x:v>
      </x:c>
      <x:c r="N471" s="12" t="str">
        <x:v>激光所</x:v>
      </x:c>
      <x:c r="O471" s="12" t="n">
        <x:f>IFERROR(INDEX('秒级路线参数_可调整'!$O:$O,MATCH(M471,'秒级路线参数_可调整'!$A:$A,0)),"")</x:f>
        <x:v>0</x:v>
      </x:c>
      <x:c r="P471" s="12" t="str">
        <x:f>IF(O471="","",O471/86400)</x:f>
      </x:c>
      <x:c r="Q471" s="12" t="str">
        <x:f>IF(O471="","",(H471*60+O471)/86400)</x:f>
      </x:c>
      <x:c r="R471" s="12" t="str">
        <x:f>IF(Q471="","",TEXT(Q471,"hh:mm:ss"))</x:f>
      </x:c>
      <x:c r="S471" s="12" t="str">
        <x:v>否</x:v>
      </x:c>
      <x:c r="T471" s="12" t="str">
        <x:v>否</x:v>
      </x:c>
      <x:c r="U471" s="12" t="str">
        <x:v>未提供</x:v>
      </x:c>
      <x:c r="V471" s="12" t="str">
        <x:v>未提供</x:v>
      </x:c>
      <x:c r="W471" s="12" t="str">
        <x:v>秒级预测</x:v>
      </x:c>
      <x:c r="X471" s="12" t="str">
        <x:v>基于路线秒级参数；如录入实测或手动采用秒，预计到达时间可随公式更新</x:v>
      </x:c>
    </x:row>
    <x:row r="472">
      <x:c r="A472" s="12" t="str">
        <x:v>S0038-06</x:v>
      </x:c>
      <x:c r="B472" s="12" t="str">
        <x:v>S0038</x:v>
      </x:c>
      <x:c r="C472" s="12" t="str">
        <x:v>工作日</x:v>
      </x:c>
      <x:c r="D472" s="12" t="str">
        <x:v>环线1路</x:v>
      </x:c>
      <x:c r="E472" s="12" t="str">
        <x:v>第二班</x:v>
      </x:c>
      <x:c r="F472" s="12" t="n">
        <x:v>12</x:v>
      </x:c>
      <x:c r="G472" s="12" t="str">
        <x:v>14:48</x:v>
      </x:c>
      <x:c r="H472" s="12" t="n">
        <x:v>888</x:v>
      </x:c>
      <x:c r="I472" s="12" t="str">
        <x:v>研究生宿舍楼</x:v>
      </x:c>
      <x:c r="J472" s="12" t="str">
        <x:v>研究生宿舍楼发车</x:v>
      </x:c>
      <x:c r="K472" s="12" t="str">
        <x:v>HX1_NORMAL</x:v>
      </x:c>
      <x:c r="L472" s="12" t="n">
        <x:v>6</x:v>
      </x:c>
      <x:c r="M472" s="12" t="str">
        <x:v>HX1_NORMAL|6</x:v>
      </x:c>
      <x:c r="N472" s="12" t="str">
        <x:v>超算中心</x:v>
      </x:c>
      <x:c r="O472" s="12" t="n">
        <x:f>IFERROR(INDEX('秒级路线参数_可调整'!$O:$O,MATCH(M472,'秒级路线参数_可调整'!$A:$A,0)),"")</x:f>
        <x:v>0</x:v>
      </x:c>
      <x:c r="P472" s="12" t="str">
        <x:f>IF(O472="","",O472/86400)</x:f>
      </x:c>
      <x:c r="Q472" s="12" t="str">
        <x:f>IF(O472="","",(H472*60+O472)/86400)</x:f>
      </x:c>
      <x:c r="R472" s="12" t="str">
        <x:f>IF(Q472="","",TEXT(Q472,"hh:mm:ss"))</x:f>
      </x:c>
      <x:c r="S472" s="12" t="str">
        <x:v>否</x:v>
      </x:c>
      <x:c r="T472" s="12" t="str">
        <x:v>否</x:v>
      </x:c>
      <x:c r="U472" s="12" t="str">
        <x:v>未提供</x:v>
      </x:c>
      <x:c r="V472" s="12" t="str">
        <x:v>未提供</x:v>
      </x:c>
      <x:c r="W472" s="12" t="str">
        <x:v>秒级预测</x:v>
      </x:c>
      <x:c r="X472" s="12" t="str">
        <x:v>基于路线秒级参数；如录入实测或手动采用秒，预计到达时间可随公式更新</x:v>
      </x:c>
    </x:row>
    <x:row r="473">
      <x:c r="A473" s="12" t="str">
        <x:v>S0038-07</x:v>
      </x:c>
      <x:c r="B473" s="12" t="str">
        <x:v>S0038</x:v>
      </x:c>
      <x:c r="C473" s="12" t="str">
        <x:v>工作日</x:v>
      </x:c>
      <x:c r="D473" s="12" t="str">
        <x:v>环线1路</x:v>
      </x:c>
      <x:c r="E473" s="12" t="str">
        <x:v>第二班</x:v>
      </x:c>
      <x:c r="F473" s="12" t="n">
        <x:v>12</x:v>
      </x:c>
      <x:c r="G473" s="12" t="str">
        <x:v>14:48</x:v>
      </x:c>
      <x:c r="H473" s="12" t="n">
        <x:v>888</x:v>
      </x:c>
      <x:c r="I473" s="12" t="str">
        <x:v>研究生宿舍楼</x:v>
      </x:c>
      <x:c r="J473" s="12" t="str">
        <x:v>研究生宿舍楼发车</x:v>
      </x:c>
      <x:c r="K473" s="12" t="str">
        <x:v>HX1_NORMAL</x:v>
      </x:c>
      <x:c r="L473" s="12" t="n">
        <x:v>7</x:v>
      </x:c>
      <x:c r="M473" s="12" t="str">
        <x:v>HX1_NORMAL|7</x:v>
      </x:c>
      <x:c r="N473" s="12" t="str">
        <x:v>北门</x:v>
      </x:c>
      <x:c r="O473" s="12" t="n">
        <x:f>IFERROR(INDEX('秒级路线参数_可调整'!$O:$O,MATCH(M473,'秒级路线参数_可调整'!$A:$A,0)),"")</x:f>
        <x:v>0</x:v>
      </x:c>
      <x:c r="P473" s="12" t="str">
        <x:f>IF(O473="","",O473/86400)</x:f>
      </x:c>
      <x:c r="Q473" s="12" t="str">
        <x:f>IF(O473="","",(H473*60+O473)/86400)</x:f>
      </x:c>
      <x:c r="R473" s="12" t="str">
        <x:f>IF(Q473="","",TEXT(Q473,"hh:mm:ss"))</x:f>
      </x:c>
      <x:c r="S473" s="12" t="str">
        <x:v>否</x:v>
      </x:c>
      <x:c r="T473" s="12" t="str">
        <x:v>否</x:v>
      </x:c>
      <x:c r="U473" s="12" t="str">
        <x:v>未提供</x:v>
      </x:c>
      <x:c r="V473" s="12" t="str">
        <x:v>未提供</x:v>
      </x:c>
      <x:c r="W473" s="12" t="str">
        <x:v>秒级预测</x:v>
      </x:c>
      <x:c r="X473" s="12" t="str">
        <x:v>基于路线秒级参数；如录入实测或手动采用秒，预计到达时间可随公式更新</x:v>
      </x:c>
    </x:row>
    <x:row r="474">
      <x:c r="A474" s="12" t="str">
        <x:v>S0038-08</x:v>
      </x:c>
      <x:c r="B474" s="12" t="str">
        <x:v>S0038</x:v>
      </x:c>
      <x:c r="C474" s="12" t="str">
        <x:v>工作日</x:v>
      </x:c>
      <x:c r="D474" s="12" t="str">
        <x:v>环线1路</x:v>
      </x:c>
      <x:c r="E474" s="12" t="str">
        <x:v>第二班</x:v>
      </x:c>
      <x:c r="F474" s="12" t="n">
        <x:v>12</x:v>
      </x:c>
      <x:c r="G474" s="12" t="str">
        <x:v>14:48</x:v>
      </x:c>
      <x:c r="H474" s="12" t="n">
        <x:v>888</x:v>
      </x:c>
      <x:c r="I474" s="12" t="str">
        <x:v>研究生宿舍楼</x:v>
      </x:c>
      <x:c r="J474" s="12" t="str">
        <x:v>研究生宿舍楼发车</x:v>
      </x:c>
      <x:c r="K474" s="12" t="str">
        <x:v>HX1_NORMAL</x:v>
      </x:c>
      <x:c r="L474" s="12" t="n">
        <x:v>8</x:v>
      </x:c>
      <x:c r="M474" s="12" t="str">
        <x:v>HX1_NORMAL|8</x:v>
      </x:c>
      <x:c r="N474" s="12" t="str">
        <x:v>高超楼</x:v>
      </x:c>
      <x:c r="O474" s="12" t="n">
        <x:f>IFERROR(INDEX('秒级路线参数_可调整'!$O:$O,MATCH(M474,'秒级路线参数_可调整'!$A:$A,0)),"")</x:f>
        <x:v>0</x:v>
      </x:c>
      <x:c r="P474" s="12" t="str">
        <x:f>IF(O474="","",O474/86400)</x:f>
      </x:c>
      <x:c r="Q474" s="12" t="str">
        <x:f>IF(O474="","",(H474*60+O474)/86400)</x:f>
      </x:c>
      <x:c r="R474" s="12" t="str">
        <x:f>IF(Q474="","",TEXT(Q474,"hh:mm:ss"))</x:f>
      </x:c>
      <x:c r="S474" s="12" t="str">
        <x:v>否</x:v>
      </x:c>
      <x:c r="T474" s="12" t="str">
        <x:v>否</x:v>
      </x:c>
      <x:c r="U474" s="12" t="str">
        <x:v>未提供</x:v>
      </x:c>
      <x:c r="V474" s="12" t="str">
        <x:v>未提供</x:v>
      </x:c>
      <x:c r="W474" s="12" t="str">
        <x:v>秒级预测</x:v>
      </x:c>
      <x:c r="X474" s="12" t="str">
        <x:v>基于路线秒级参数；如录入实测或手动采用秒，预计到达时间可随公式更新</x:v>
      </x:c>
    </x:row>
    <x:row r="475">
      <x:c r="A475" s="12" t="str">
        <x:v>S0038-09</x:v>
      </x:c>
      <x:c r="B475" s="12" t="str">
        <x:v>S0038</x:v>
      </x:c>
      <x:c r="C475" s="12" t="str">
        <x:v>工作日</x:v>
      </x:c>
      <x:c r="D475" s="12" t="str">
        <x:v>环线1路</x:v>
      </x:c>
      <x:c r="E475" s="12" t="str">
        <x:v>第二班</x:v>
      </x:c>
      <x:c r="F475" s="12" t="n">
        <x:v>12</x:v>
      </x:c>
      <x:c r="G475" s="12" t="str">
        <x:v>14:48</x:v>
      </x:c>
      <x:c r="H475" s="12" t="n">
        <x:v>888</x:v>
      </x:c>
      <x:c r="I475" s="12" t="str">
        <x:v>研究生宿舍楼</x:v>
      </x:c>
      <x:c r="J475" s="12" t="str">
        <x:v>研究生宿舍楼发车</x:v>
      </x:c>
      <x:c r="K475" s="12" t="str">
        <x:v>HX1_NORMAL</x:v>
      </x:c>
      <x:c r="L475" s="12" t="n">
        <x:v>9</x:v>
      </x:c>
      <x:c r="M475" s="12" t="str">
        <x:v>HX1_NORMAL|9</x:v>
      </x:c>
      <x:c r="N475" s="12" t="str">
        <x:v>理学院</x:v>
      </x:c>
      <x:c r="O475" s="12" t="n">
        <x:f>IFERROR(INDEX('秒级路线参数_可调整'!$O:$O,MATCH(M475,'秒级路线参数_可调整'!$A:$A,0)),"")</x:f>
        <x:v>0</x:v>
      </x:c>
      <x:c r="P475" s="12" t="str">
        <x:f>IF(O475="","",O475/86400)</x:f>
      </x:c>
      <x:c r="Q475" s="12" t="str">
        <x:f>IF(O475="","",(H475*60+O475)/86400)</x:f>
      </x:c>
      <x:c r="R475" s="12" t="str">
        <x:f>IF(Q475="","",TEXT(Q475,"hh:mm:ss"))</x:f>
      </x:c>
      <x:c r="S475" s="12" t="str">
        <x:v>否</x:v>
      </x:c>
      <x:c r="T475" s="12" t="str">
        <x:v>否</x:v>
      </x:c>
      <x:c r="U475" s="12" t="str">
        <x:v>未提供</x:v>
      </x:c>
      <x:c r="V475" s="12" t="str">
        <x:v>未提供</x:v>
      </x:c>
      <x:c r="W475" s="12" t="str">
        <x:v>秒级预测</x:v>
      </x:c>
      <x:c r="X475" s="12" t="str">
        <x:v>基于路线秒级参数；如录入实测或手动采用秒，预计到达时间可随公式更新</x:v>
      </x:c>
    </x:row>
    <x:row r="476">
      <x:c r="A476" s="12" t="str">
        <x:v>S0038-10</x:v>
      </x:c>
      <x:c r="B476" s="12" t="str">
        <x:v>S0038</x:v>
      </x:c>
      <x:c r="C476" s="12" t="str">
        <x:v>工作日</x:v>
      </x:c>
      <x:c r="D476" s="12" t="str">
        <x:v>环线1路</x:v>
      </x:c>
      <x:c r="E476" s="12" t="str">
        <x:v>第二班</x:v>
      </x:c>
      <x:c r="F476" s="12" t="n">
        <x:v>12</x:v>
      </x:c>
      <x:c r="G476" s="12" t="str">
        <x:v>14:48</x:v>
      </x:c>
      <x:c r="H476" s="12" t="n">
        <x:v>888</x:v>
      </x:c>
      <x:c r="I476" s="12" t="str">
        <x:v>研究生宿舍楼</x:v>
      </x:c>
      <x:c r="J476" s="12" t="str">
        <x:v>研究生宿舍楼发车</x:v>
      </x:c>
      <x:c r="K476" s="12" t="str">
        <x:v>HX1_NORMAL</x:v>
      </x:c>
      <x:c r="L476" s="12" t="n">
        <x:v>10</x:v>
      </x:c>
      <x:c r="M476" s="12" t="str">
        <x:v>HX1_NORMAL|10</x:v>
      </x:c>
      <x:c r="N476" s="12" t="str">
        <x:v>二食堂</x:v>
      </x:c>
      <x:c r="O476" s="12" t="n">
        <x:f>IFERROR(INDEX('秒级路线参数_可调整'!$O:$O,MATCH(M476,'秒级路线参数_可调整'!$A:$A,0)),"")</x:f>
        <x:v>0</x:v>
      </x:c>
      <x:c r="P476" s="12" t="str">
        <x:f>IF(O476="","",O476/86400)</x:f>
      </x:c>
      <x:c r="Q476" s="12" t="str">
        <x:f>IF(O476="","",(H476*60+O476)/86400)</x:f>
      </x:c>
      <x:c r="R476" s="12" t="str">
        <x:f>IF(Q476="","",TEXT(Q476,"hh:mm:ss"))</x:f>
      </x:c>
      <x:c r="S476" s="12" t="str">
        <x:v>否</x:v>
      </x:c>
      <x:c r="T476" s="12" t="str">
        <x:v>否</x:v>
      </x:c>
      <x:c r="U476" s="12" t="str">
        <x:v>未提供</x:v>
      </x:c>
      <x:c r="V476" s="12" t="str">
        <x:v>未提供</x:v>
      </x:c>
      <x:c r="W476" s="12" t="str">
        <x:v>秒级预测</x:v>
      </x:c>
      <x:c r="X476" s="12" t="str">
        <x:v>基于路线秒级参数；如录入实测或手动采用秒，预计到达时间可随公式更新</x:v>
      </x:c>
    </x:row>
    <x:row r="477">
      <x:c r="A477" s="12" t="str">
        <x:v>S0038-11</x:v>
      </x:c>
      <x:c r="B477" s="12" t="str">
        <x:v>S0038</x:v>
      </x:c>
      <x:c r="C477" s="12" t="str">
        <x:v>工作日</x:v>
      </x:c>
      <x:c r="D477" s="12" t="str">
        <x:v>环线1路</x:v>
      </x:c>
      <x:c r="E477" s="12" t="str">
        <x:v>第二班</x:v>
      </x:c>
      <x:c r="F477" s="12" t="n">
        <x:v>12</x:v>
      </x:c>
      <x:c r="G477" s="12" t="str">
        <x:v>14:48</x:v>
      </x:c>
      <x:c r="H477" s="12" t="n">
        <x:v>888</x:v>
      </x:c>
      <x:c r="I477" s="12" t="str">
        <x:v>研究生宿舍楼</x:v>
      </x:c>
      <x:c r="J477" s="12" t="str">
        <x:v>研究生宿舍楼发车</x:v>
      </x:c>
      <x:c r="K477" s="12" t="str">
        <x:v>HX1_NORMAL</x:v>
      </x:c>
      <x:c r="L477" s="12" t="n">
        <x:v>11</x:v>
      </x:c>
      <x:c r="M477" s="12" t="str">
        <x:v>HX1_NORMAL|11</x:v>
      </x:c>
      <x:c r="N477" s="12" t="str">
        <x:v>5号宿舍楼</x:v>
      </x:c>
      <x:c r="O477" s="12" t="n">
        <x:f>IFERROR(INDEX('秒级路线参数_可调整'!$O:$O,MATCH(M477,'秒级路线参数_可调整'!$A:$A,0)),"")</x:f>
        <x:v>0</x:v>
      </x:c>
      <x:c r="P477" s="12" t="str">
        <x:f>IF(O477="","",O477/86400)</x:f>
      </x:c>
      <x:c r="Q477" s="12" t="str">
        <x:f>IF(O477="","",(H477*60+O477)/86400)</x:f>
      </x:c>
      <x:c r="R477" s="12" t="str">
        <x:f>IF(Q477="","",TEXT(Q477,"hh:mm:ss"))</x:f>
      </x:c>
      <x:c r="S477" s="12" t="str">
        <x:v>否</x:v>
      </x:c>
      <x:c r="T477" s="12" t="str">
        <x:v>否</x:v>
      </x:c>
      <x:c r="U477" s="12" t="str">
        <x:v>未提供</x:v>
      </x:c>
      <x:c r="V477" s="12" t="str">
        <x:v>未提供</x:v>
      </x:c>
      <x:c r="W477" s="12" t="str">
        <x:v>秒级预测</x:v>
      </x:c>
      <x:c r="X477" s="12" t="str">
        <x:v>基于路线秒级参数；如录入实测或手动采用秒，预计到达时间可随公式更新</x:v>
      </x:c>
    </x:row>
    <x:row r="478">
      <x:c r="A478" s="12" t="str">
        <x:v>S0038-12</x:v>
      </x:c>
      <x:c r="B478" s="12" t="str">
        <x:v>S0038</x:v>
      </x:c>
      <x:c r="C478" s="12" t="str">
        <x:v>工作日</x:v>
      </x:c>
      <x:c r="D478" s="12" t="str">
        <x:v>环线1路</x:v>
      </x:c>
      <x:c r="E478" s="12" t="str">
        <x:v>第二班</x:v>
      </x:c>
      <x:c r="F478" s="12" t="n">
        <x:v>12</x:v>
      </x:c>
      <x:c r="G478" s="12" t="str">
        <x:v>14:48</x:v>
      </x:c>
      <x:c r="H478" s="12" t="n">
        <x:v>888</x:v>
      </x:c>
      <x:c r="I478" s="12" t="str">
        <x:v>研究生宿舍楼</x:v>
      </x:c>
      <x:c r="J478" s="12" t="str">
        <x:v>研究生宿舍楼发车</x:v>
      </x:c>
      <x:c r="K478" s="12" t="str">
        <x:v>HX1_NORMAL</x:v>
      </x:c>
      <x:c r="L478" s="12" t="n">
        <x:v>12</x:v>
      </x:c>
      <x:c r="M478" s="12" t="str">
        <x:v>HX1_NORMAL|12</x:v>
      </x:c>
      <x:c r="N478" s="12" t="str">
        <x:v>305教学楼</x:v>
      </x:c>
      <x:c r="O478" s="12" t="n">
        <x:f>IFERROR(INDEX('秒级路线参数_可调整'!$O:$O,MATCH(M478,'秒级路线参数_可调整'!$A:$A,0)),"")</x:f>
        <x:v>0</x:v>
      </x:c>
      <x:c r="P478" s="12" t="str">
        <x:f>IF(O478="","",O478/86400)</x:f>
      </x:c>
      <x:c r="Q478" s="12" t="str">
        <x:f>IF(O478="","",(H478*60+O478)/86400)</x:f>
      </x:c>
      <x:c r="R478" s="12" t="str">
        <x:f>IF(Q478="","",TEXT(Q478,"hh:mm:ss"))</x:f>
      </x:c>
      <x:c r="S478" s="12" t="str">
        <x:v>否</x:v>
      </x:c>
      <x:c r="T478" s="12" t="str">
        <x:v>否</x:v>
      </x:c>
      <x:c r="U478" s="12" t="str">
        <x:v>未提供</x:v>
      </x:c>
      <x:c r="V478" s="12" t="str">
        <x:v>未提供</x:v>
      </x:c>
      <x:c r="W478" s="12" t="str">
        <x:v>秒级预测</x:v>
      </x:c>
      <x:c r="X478" s="12" t="str">
        <x:v>基于路线秒级参数；如录入实测或手动采用秒，预计到达时间可随公式更新</x:v>
      </x:c>
    </x:row>
    <x:row r="479">
      <x:c r="A479" s="12" t="str">
        <x:v>S0038-13</x:v>
      </x:c>
      <x:c r="B479" s="12" t="str">
        <x:v>S0038</x:v>
      </x:c>
      <x:c r="C479" s="12" t="str">
        <x:v>工作日</x:v>
      </x:c>
      <x:c r="D479" s="12" t="str">
        <x:v>环线1路</x:v>
      </x:c>
      <x:c r="E479" s="12" t="str">
        <x:v>第二班</x:v>
      </x:c>
      <x:c r="F479" s="12" t="n">
        <x:v>12</x:v>
      </x:c>
      <x:c r="G479" s="12" t="str">
        <x:v>14:48</x:v>
      </x:c>
      <x:c r="H479" s="12" t="n">
        <x:v>888</x:v>
      </x:c>
      <x:c r="I479" s="12" t="str">
        <x:v>研究生宿舍楼</x:v>
      </x:c>
      <x:c r="J479" s="12" t="str">
        <x:v>研究生宿舍楼发车</x:v>
      </x:c>
      <x:c r="K479" s="12" t="str">
        <x:v>HX1_NORMAL</x:v>
      </x:c>
      <x:c r="L479" s="12" t="n">
        <x:v>13</x:v>
      </x:c>
      <x:c r="M479" s="12" t="str">
        <x:v>HX1_NORMAL|13</x:v>
      </x:c>
      <x:c r="N479" s="12" t="str">
        <x:v>研究生宿舍楼</x:v>
      </x:c>
      <x:c r="O479" s="12" t="n">
        <x:f>IFERROR(INDEX('秒级路线参数_可调整'!$O:$O,MATCH(M479,'秒级路线参数_可调整'!$A:$A,0)),"")</x:f>
        <x:v>0</x:v>
      </x:c>
      <x:c r="P479" s="12" t="str">
        <x:f>IF(O479="","",O479/86400)</x:f>
      </x:c>
      <x:c r="Q479" s="12" t="str">
        <x:f>IF(O479="","",(H479*60+O479)/86400)</x:f>
      </x:c>
      <x:c r="R479" s="12" t="str">
        <x:f>IF(Q479="","",TEXT(Q479,"hh:mm:ss"))</x:f>
      </x:c>
      <x:c r="S479" s="12" t="str">
        <x:v>否</x:v>
      </x:c>
      <x:c r="T479" s="12" t="str">
        <x:v>是</x:v>
      </x:c>
      <x:c r="U479" s="12" t="str">
        <x:v>未提供</x:v>
      </x:c>
      <x:c r="V479" s="12" t="str">
        <x:v>未提供</x:v>
      </x:c>
      <x:c r="W479" s="12" t="str">
        <x:v>秒级预测</x:v>
      </x:c>
      <x:c r="X479" s="12" t="str">
        <x:v>基于路线秒级参数；如录入实测或手动采用秒，预计到达时间可随公式更新</x:v>
      </x:c>
    </x:row>
    <x:row r="480">
      <x:c r="A480" s="12" t="str">
        <x:v>S0039-01</x:v>
      </x:c>
      <x:c r="B480" s="12" t="str">
        <x:v>S0039</x:v>
      </x:c>
      <x:c r="C480" s="12" t="str">
        <x:v>工作日</x:v>
      </x:c>
      <x:c r="D480" s="12" t="str">
        <x:v>环线1路</x:v>
      </x:c>
      <x:c r="E480" s="12" t="str">
        <x:v>第二班</x:v>
      </x:c>
      <x:c r="F480" s="12" t="n">
        <x:v>13</x:v>
      </x:c>
      <x:c r="G480" s="12" t="str">
        <x:v>15:40</x:v>
      </x:c>
      <x:c r="H480" s="12" t="n">
        <x:v>940</x:v>
      </x:c>
      <x:c r="I480" s="12" t="str">
        <x:v>研究生宿舍楼</x:v>
      </x:c>
      <x:c r="J480" s="12" t="str">
        <x:v>研究生宿舍楼发车</x:v>
      </x:c>
      <x:c r="K480" s="12" t="str">
        <x:v>HX1_NORMAL</x:v>
      </x:c>
      <x:c r="L480" s="12" t="n">
        <x:v>1</x:v>
      </x:c>
      <x:c r="M480" s="12" t="str">
        <x:v>HX1_NORMAL|1</x:v>
      </x:c>
      <x:c r="N480" s="12" t="str">
        <x:v>研究生宿舍楼</x:v>
      </x:c>
      <x:c r="O480" s="12" t="n">
        <x:f>IFERROR(INDEX('秒级路线参数_可调整'!$O:$O,MATCH(M480,'秒级路线参数_可调整'!$A:$A,0)),"")</x:f>
        <x:v>0</x:v>
      </x:c>
      <x:c r="P480" s="12" t="str">
        <x:f>IF(O480="","",O480/86400)</x:f>
      </x:c>
      <x:c r="Q480" s="12" t="str">
        <x:f>IF(O480="","",(H480*60+O480)/86400)</x:f>
      </x:c>
      <x:c r="R480" s="12" t="str">
        <x:f>IF(Q480="","",TEXT(Q480,"hh:mm:ss"))</x:f>
      </x:c>
      <x:c r="S480" s="12" t="str">
        <x:v>是</x:v>
      </x:c>
      <x:c r="T480" s="12" t="str">
        <x:v>否</x:v>
      </x:c>
      <x:c r="U480" s="12" t="str">
        <x:v>未提供</x:v>
      </x:c>
      <x:c r="V480" s="12" t="str">
        <x:v>未提供</x:v>
      </x:c>
      <x:c r="W480" s="12" t="str">
        <x:v>秒级预测</x:v>
      </x:c>
      <x:c r="X480" s="12" t="str">
        <x:v>基于路线秒级参数；如录入实测或手动采用秒，预计到达时间可随公式更新</x:v>
      </x:c>
    </x:row>
    <x:row r="481">
      <x:c r="A481" s="12" t="str">
        <x:v>S0039-02</x:v>
      </x:c>
      <x:c r="B481" s="12" t="str">
        <x:v>S0039</x:v>
      </x:c>
      <x:c r="C481" s="12" t="str">
        <x:v>工作日</x:v>
      </x:c>
      <x:c r="D481" s="12" t="str">
        <x:v>环线1路</x:v>
      </x:c>
      <x:c r="E481" s="12" t="str">
        <x:v>第二班</x:v>
      </x:c>
      <x:c r="F481" s="12" t="n">
        <x:v>13</x:v>
      </x:c>
      <x:c r="G481" s="12" t="str">
        <x:v>15:40</x:v>
      </x:c>
      <x:c r="H481" s="12" t="n">
        <x:v>940</x:v>
      </x:c>
      <x:c r="I481" s="12" t="str">
        <x:v>研究生宿舍楼</x:v>
      </x:c>
      <x:c r="J481" s="12" t="str">
        <x:v>研究生宿舍楼发车</x:v>
      </x:c>
      <x:c r="K481" s="12" t="str">
        <x:v>HX1_NORMAL</x:v>
      </x:c>
      <x:c r="L481" s="12" t="n">
        <x:v>2</x:v>
      </x:c>
      <x:c r="M481" s="12" t="str">
        <x:v>HX1_NORMAL|2</x:v>
      </x:c>
      <x:c r="N481" s="12" t="str">
        <x:v>东门</x:v>
      </x:c>
      <x:c r="O481" s="12" t="n">
        <x:f>IFERROR(INDEX('秒级路线参数_可调整'!$O:$O,MATCH(M481,'秒级路线参数_可调整'!$A:$A,0)),"")</x:f>
        <x:v>0</x:v>
      </x:c>
      <x:c r="P481" s="12" t="str">
        <x:f>IF(O481="","",O481/86400)</x:f>
      </x:c>
      <x:c r="Q481" s="12" t="str">
        <x:f>IF(O481="","",(H481*60+O481)/86400)</x:f>
      </x:c>
      <x:c r="R481" s="12" t="str">
        <x:f>IF(Q481="","",TEXT(Q481,"hh:mm:ss"))</x:f>
      </x:c>
      <x:c r="S481" s="12" t="str">
        <x:v>否</x:v>
      </x:c>
      <x:c r="T481" s="12" t="str">
        <x:v>否</x:v>
      </x:c>
      <x:c r="U481" s="12" t="str">
        <x:v>未提供</x:v>
      </x:c>
      <x:c r="V481" s="12" t="str">
        <x:v>未提供</x:v>
      </x:c>
      <x:c r="W481" s="12" t="str">
        <x:v>秒级预测</x:v>
      </x:c>
      <x:c r="X481" s="12" t="str">
        <x:v>基于路线秒级参数；如录入实测或手动采用秒，预计到达时间可随公式更新</x:v>
      </x:c>
    </x:row>
    <x:row r="482">
      <x:c r="A482" s="12" t="str">
        <x:v>S0039-03</x:v>
      </x:c>
      <x:c r="B482" s="12" t="str">
        <x:v>S0039</x:v>
      </x:c>
      <x:c r="C482" s="12" t="str">
        <x:v>工作日</x:v>
      </x:c>
      <x:c r="D482" s="12" t="str">
        <x:v>环线1路</x:v>
      </x:c>
      <x:c r="E482" s="12" t="str">
        <x:v>第二班</x:v>
      </x:c>
      <x:c r="F482" s="12" t="n">
        <x:v>13</x:v>
      </x:c>
      <x:c r="G482" s="12" t="str">
        <x:v>15:40</x:v>
      </x:c>
      <x:c r="H482" s="12" t="n">
        <x:v>940</x:v>
      </x:c>
      <x:c r="I482" s="12" t="str">
        <x:v>研究生宿舍楼</x:v>
      </x:c>
      <x:c r="J482" s="12" t="str">
        <x:v>研究生宿舍楼发车</x:v>
      </x:c>
      <x:c r="K482" s="12" t="str">
        <x:v>HX1_NORMAL</x:v>
      </x:c>
      <x:c r="L482" s="12" t="n">
        <x:v>3</x:v>
      </x:c>
      <x:c r="M482" s="12" t="str">
        <x:v>HX1_NORMAL|3</x:v>
      </x:c>
      <x:c r="N482" s="12" t="str">
        <x:v>2号宿舍楼</x:v>
      </x:c>
      <x:c r="O482" s="12" t="n">
        <x:f>IFERROR(INDEX('秒级路线参数_可调整'!$O:$O,MATCH(M482,'秒级路线参数_可调整'!$A:$A,0)),"")</x:f>
        <x:v>0</x:v>
      </x:c>
      <x:c r="P482" s="12" t="str">
        <x:f>IF(O482="","",O482/86400)</x:f>
      </x:c>
      <x:c r="Q482" s="12" t="str">
        <x:f>IF(O482="","",(H482*60+O482)/86400)</x:f>
      </x:c>
      <x:c r="R482" s="12" t="str">
        <x:f>IF(Q482="","",TEXT(Q482,"hh:mm:ss"))</x:f>
      </x:c>
      <x:c r="S482" s="12" t="str">
        <x:v>否</x:v>
      </x:c>
      <x:c r="T482" s="12" t="str">
        <x:v>否</x:v>
      </x:c>
      <x:c r="U482" s="12" t="str">
        <x:v>未提供</x:v>
      </x:c>
      <x:c r="V482" s="12" t="str">
        <x:v>未提供</x:v>
      </x:c>
      <x:c r="W482" s="12" t="str">
        <x:v>秒级预测</x:v>
      </x:c>
      <x:c r="X482" s="12" t="str">
        <x:v>基于路线秒级参数；如录入实测或手动采用秒，预计到达时间可随公式更新</x:v>
      </x:c>
    </x:row>
    <x:row r="483">
      <x:c r="A483" s="12" t="str">
        <x:v>S0039-04</x:v>
      </x:c>
      <x:c r="B483" s="12" t="str">
        <x:v>S0039</x:v>
      </x:c>
      <x:c r="C483" s="12" t="str">
        <x:v>工作日</x:v>
      </x:c>
      <x:c r="D483" s="12" t="str">
        <x:v>环线1路</x:v>
      </x:c>
      <x:c r="E483" s="12" t="str">
        <x:v>第二班</x:v>
      </x:c>
      <x:c r="F483" s="12" t="n">
        <x:v>13</x:v>
      </x:c>
      <x:c r="G483" s="12" t="str">
        <x:v>15:40</x:v>
      </x:c>
      <x:c r="H483" s="12" t="n">
        <x:v>940</x:v>
      </x:c>
      <x:c r="I483" s="12" t="str">
        <x:v>研究生宿舍楼</x:v>
      </x:c>
      <x:c r="J483" s="12" t="str">
        <x:v>研究生宿舍楼发车</x:v>
      </x:c>
      <x:c r="K483" s="12" t="str">
        <x:v>HX1_NORMAL</x:v>
      </x:c>
      <x:c r="L483" s="12" t="n">
        <x:v>4</x:v>
      </x:c>
      <x:c r="M483" s="12" t="str">
        <x:v>HX1_NORMAL|4</x:v>
      </x:c>
      <x:c r="N483" s="12" t="str">
        <x:v>军体活动中心</x:v>
      </x:c>
      <x:c r="O483" s="12" t="n">
        <x:f>IFERROR(INDEX('秒级路线参数_可调整'!$O:$O,MATCH(M483,'秒级路线参数_可调整'!$A:$A,0)),"")</x:f>
        <x:v>0</x:v>
      </x:c>
      <x:c r="P483" s="12" t="str">
        <x:f>IF(O483="","",O483/86400)</x:f>
      </x:c>
      <x:c r="Q483" s="12" t="str">
        <x:f>IF(O483="","",(H483*60+O483)/86400)</x:f>
      </x:c>
      <x:c r="R483" s="12" t="str">
        <x:f>IF(Q483="","",TEXT(Q483,"hh:mm:ss"))</x:f>
      </x:c>
      <x:c r="S483" s="12" t="str">
        <x:v>否</x:v>
      </x:c>
      <x:c r="T483" s="12" t="str">
        <x:v>否</x:v>
      </x:c>
      <x:c r="U483" s="12" t="str">
        <x:v>未提供</x:v>
      </x:c>
      <x:c r="V483" s="12" t="str">
        <x:v>未提供</x:v>
      </x:c>
      <x:c r="W483" s="12" t="str">
        <x:v>秒级预测</x:v>
      </x:c>
      <x:c r="X483" s="12" t="str">
        <x:v>基于路线秒级参数；如录入实测或手动采用秒，预计到达时间可随公式更新</x:v>
      </x:c>
    </x:row>
    <x:row r="484">
      <x:c r="A484" s="12" t="str">
        <x:v>S0039-05</x:v>
      </x:c>
      <x:c r="B484" s="12" t="str">
        <x:v>S0039</x:v>
      </x:c>
      <x:c r="C484" s="12" t="str">
        <x:v>工作日</x:v>
      </x:c>
      <x:c r="D484" s="12" t="str">
        <x:v>环线1路</x:v>
      </x:c>
      <x:c r="E484" s="12" t="str">
        <x:v>第二班</x:v>
      </x:c>
      <x:c r="F484" s="12" t="n">
        <x:v>13</x:v>
      </x:c>
      <x:c r="G484" s="12" t="str">
        <x:v>15:40</x:v>
      </x:c>
      <x:c r="H484" s="12" t="n">
        <x:v>940</x:v>
      </x:c>
      <x:c r="I484" s="12" t="str">
        <x:v>研究生宿舍楼</x:v>
      </x:c>
      <x:c r="J484" s="12" t="str">
        <x:v>研究生宿舍楼发车</x:v>
      </x:c>
      <x:c r="K484" s="12" t="str">
        <x:v>HX1_NORMAL</x:v>
      </x:c>
      <x:c r="L484" s="12" t="n">
        <x:v>5</x:v>
      </x:c>
      <x:c r="M484" s="12" t="str">
        <x:v>HX1_NORMAL|5</x:v>
      </x:c>
      <x:c r="N484" s="12" t="str">
        <x:v>激光所</x:v>
      </x:c>
      <x:c r="O484" s="12" t="n">
        <x:f>IFERROR(INDEX('秒级路线参数_可调整'!$O:$O,MATCH(M484,'秒级路线参数_可调整'!$A:$A,0)),"")</x:f>
        <x:v>0</x:v>
      </x:c>
      <x:c r="P484" s="12" t="str">
        <x:f>IF(O484="","",O484/86400)</x:f>
      </x:c>
      <x:c r="Q484" s="12" t="str">
        <x:f>IF(O484="","",(H484*60+O484)/86400)</x:f>
      </x:c>
      <x:c r="R484" s="12" t="str">
        <x:f>IF(Q484="","",TEXT(Q484,"hh:mm:ss"))</x:f>
      </x:c>
      <x:c r="S484" s="12" t="str">
        <x:v>否</x:v>
      </x:c>
      <x:c r="T484" s="12" t="str">
        <x:v>否</x:v>
      </x:c>
      <x:c r="U484" s="12" t="str">
        <x:v>未提供</x:v>
      </x:c>
      <x:c r="V484" s="12" t="str">
        <x:v>未提供</x:v>
      </x:c>
      <x:c r="W484" s="12" t="str">
        <x:v>秒级预测</x:v>
      </x:c>
      <x:c r="X484" s="12" t="str">
        <x:v>基于路线秒级参数；如录入实测或手动采用秒，预计到达时间可随公式更新</x:v>
      </x:c>
    </x:row>
    <x:row r="485">
      <x:c r="A485" s="12" t="str">
        <x:v>S0039-06</x:v>
      </x:c>
      <x:c r="B485" s="12" t="str">
        <x:v>S0039</x:v>
      </x:c>
      <x:c r="C485" s="12" t="str">
        <x:v>工作日</x:v>
      </x:c>
      <x:c r="D485" s="12" t="str">
        <x:v>环线1路</x:v>
      </x:c>
      <x:c r="E485" s="12" t="str">
        <x:v>第二班</x:v>
      </x:c>
      <x:c r="F485" s="12" t="n">
        <x:v>13</x:v>
      </x:c>
      <x:c r="G485" s="12" t="str">
        <x:v>15:40</x:v>
      </x:c>
      <x:c r="H485" s="12" t="n">
        <x:v>940</x:v>
      </x:c>
      <x:c r="I485" s="12" t="str">
        <x:v>研究生宿舍楼</x:v>
      </x:c>
      <x:c r="J485" s="12" t="str">
        <x:v>研究生宿舍楼发车</x:v>
      </x:c>
      <x:c r="K485" s="12" t="str">
        <x:v>HX1_NORMAL</x:v>
      </x:c>
      <x:c r="L485" s="12" t="n">
        <x:v>6</x:v>
      </x:c>
      <x:c r="M485" s="12" t="str">
        <x:v>HX1_NORMAL|6</x:v>
      </x:c>
      <x:c r="N485" s="12" t="str">
        <x:v>超算中心</x:v>
      </x:c>
      <x:c r="O485" s="12" t="n">
        <x:f>IFERROR(INDEX('秒级路线参数_可调整'!$O:$O,MATCH(M485,'秒级路线参数_可调整'!$A:$A,0)),"")</x:f>
        <x:v>0</x:v>
      </x:c>
      <x:c r="P485" s="12" t="str">
        <x:f>IF(O485="","",O485/86400)</x:f>
      </x:c>
      <x:c r="Q485" s="12" t="str">
        <x:f>IF(O485="","",(H485*60+O485)/86400)</x:f>
      </x:c>
      <x:c r="R485" s="12" t="str">
        <x:f>IF(Q485="","",TEXT(Q485,"hh:mm:ss"))</x:f>
      </x:c>
      <x:c r="S485" s="12" t="str">
        <x:v>否</x:v>
      </x:c>
      <x:c r="T485" s="12" t="str">
        <x:v>否</x:v>
      </x:c>
      <x:c r="U485" s="12" t="str">
        <x:v>未提供</x:v>
      </x:c>
      <x:c r="V485" s="12" t="str">
        <x:v>未提供</x:v>
      </x:c>
      <x:c r="W485" s="12" t="str">
        <x:v>秒级预测</x:v>
      </x:c>
      <x:c r="X485" s="12" t="str">
        <x:v>基于路线秒级参数；如录入实测或手动采用秒，预计到达时间可随公式更新</x:v>
      </x:c>
    </x:row>
    <x:row r="486">
      <x:c r="A486" s="12" t="str">
        <x:v>S0039-07</x:v>
      </x:c>
      <x:c r="B486" s="12" t="str">
        <x:v>S0039</x:v>
      </x:c>
      <x:c r="C486" s="12" t="str">
        <x:v>工作日</x:v>
      </x:c>
      <x:c r="D486" s="12" t="str">
        <x:v>环线1路</x:v>
      </x:c>
      <x:c r="E486" s="12" t="str">
        <x:v>第二班</x:v>
      </x:c>
      <x:c r="F486" s="12" t="n">
        <x:v>13</x:v>
      </x:c>
      <x:c r="G486" s="12" t="str">
        <x:v>15:40</x:v>
      </x:c>
      <x:c r="H486" s="12" t="n">
        <x:v>940</x:v>
      </x:c>
      <x:c r="I486" s="12" t="str">
        <x:v>研究生宿舍楼</x:v>
      </x:c>
      <x:c r="J486" s="12" t="str">
        <x:v>研究生宿舍楼发车</x:v>
      </x:c>
      <x:c r="K486" s="12" t="str">
        <x:v>HX1_NORMAL</x:v>
      </x:c>
      <x:c r="L486" s="12" t="n">
        <x:v>7</x:v>
      </x:c>
      <x:c r="M486" s="12" t="str">
        <x:v>HX1_NORMAL|7</x:v>
      </x:c>
      <x:c r="N486" s="12" t="str">
        <x:v>北门</x:v>
      </x:c>
      <x:c r="O486" s="12" t="n">
        <x:f>IFERROR(INDEX('秒级路线参数_可调整'!$O:$O,MATCH(M486,'秒级路线参数_可调整'!$A:$A,0)),"")</x:f>
        <x:v>0</x:v>
      </x:c>
      <x:c r="P486" s="12" t="str">
        <x:f>IF(O486="","",O486/86400)</x:f>
      </x:c>
      <x:c r="Q486" s="12" t="str">
        <x:f>IF(O486="","",(H486*60+O486)/86400)</x:f>
      </x:c>
      <x:c r="R486" s="12" t="str">
        <x:f>IF(Q486="","",TEXT(Q486,"hh:mm:ss"))</x:f>
      </x:c>
      <x:c r="S486" s="12" t="str">
        <x:v>否</x:v>
      </x:c>
      <x:c r="T486" s="12" t="str">
        <x:v>否</x:v>
      </x:c>
      <x:c r="U486" s="12" t="str">
        <x:v>未提供</x:v>
      </x:c>
      <x:c r="V486" s="12" t="str">
        <x:v>未提供</x:v>
      </x:c>
      <x:c r="W486" s="12" t="str">
        <x:v>秒级预测</x:v>
      </x:c>
      <x:c r="X486" s="12" t="str">
        <x:v>基于路线秒级参数；如录入实测或手动采用秒，预计到达时间可随公式更新</x:v>
      </x:c>
    </x:row>
    <x:row r="487">
      <x:c r="A487" s="12" t="str">
        <x:v>S0039-08</x:v>
      </x:c>
      <x:c r="B487" s="12" t="str">
        <x:v>S0039</x:v>
      </x:c>
      <x:c r="C487" s="12" t="str">
        <x:v>工作日</x:v>
      </x:c>
      <x:c r="D487" s="12" t="str">
        <x:v>环线1路</x:v>
      </x:c>
      <x:c r="E487" s="12" t="str">
        <x:v>第二班</x:v>
      </x:c>
      <x:c r="F487" s="12" t="n">
        <x:v>13</x:v>
      </x:c>
      <x:c r="G487" s="12" t="str">
        <x:v>15:40</x:v>
      </x:c>
      <x:c r="H487" s="12" t="n">
        <x:v>940</x:v>
      </x:c>
      <x:c r="I487" s="12" t="str">
        <x:v>研究生宿舍楼</x:v>
      </x:c>
      <x:c r="J487" s="12" t="str">
        <x:v>研究生宿舍楼发车</x:v>
      </x:c>
      <x:c r="K487" s="12" t="str">
        <x:v>HX1_NORMAL</x:v>
      </x:c>
      <x:c r="L487" s="12" t="n">
        <x:v>8</x:v>
      </x:c>
      <x:c r="M487" s="12" t="str">
        <x:v>HX1_NORMAL|8</x:v>
      </x:c>
      <x:c r="N487" s="12" t="str">
        <x:v>高超楼</x:v>
      </x:c>
      <x:c r="O487" s="12" t="n">
        <x:f>IFERROR(INDEX('秒级路线参数_可调整'!$O:$O,MATCH(M487,'秒级路线参数_可调整'!$A:$A,0)),"")</x:f>
        <x:v>0</x:v>
      </x:c>
      <x:c r="P487" s="12" t="str">
        <x:f>IF(O487="","",O487/86400)</x:f>
      </x:c>
      <x:c r="Q487" s="12" t="str">
        <x:f>IF(O487="","",(H487*60+O487)/86400)</x:f>
      </x:c>
      <x:c r="R487" s="12" t="str">
        <x:f>IF(Q487="","",TEXT(Q487,"hh:mm:ss"))</x:f>
      </x:c>
      <x:c r="S487" s="12" t="str">
        <x:v>否</x:v>
      </x:c>
      <x:c r="T487" s="12" t="str">
        <x:v>否</x:v>
      </x:c>
      <x:c r="U487" s="12" t="str">
        <x:v>未提供</x:v>
      </x:c>
      <x:c r="V487" s="12" t="str">
        <x:v>未提供</x:v>
      </x:c>
      <x:c r="W487" s="12" t="str">
        <x:v>秒级预测</x:v>
      </x:c>
      <x:c r="X487" s="12" t="str">
        <x:v>基于路线秒级参数；如录入实测或手动采用秒，预计到达时间可随公式更新</x:v>
      </x:c>
    </x:row>
    <x:row r="488">
      <x:c r="A488" s="12" t="str">
        <x:v>S0039-09</x:v>
      </x:c>
      <x:c r="B488" s="12" t="str">
        <x:v>S0039</x:v>
      </x:c>
      <x:c r="C488" s="12" t="str">
        <x:v>工作日</x:v>
      </x:c>
      <x:c r="D488" s="12" t="str">
        <x:v>环线1路</x:v>
      </x:c>
      <x:c r="E488" s="12" t="str">
        <x:v>第二班</x:v>
      </x:c>
      <x:c r="F488" s="12" t="n">
        <x:v>13</x:v>
      </x:c>
      <x:c r="G488" s="12" t="str">
        <x:v>15:40</x:v>
      </x:c>
      <x:c r="H488" s="12" t="n">
        <x:v>940</x:v>
      </x:c>
      <x:c r="I488" s="12" t="str">
        <x:v>研究生宿舍楼</x:v>
      </x:c>
      <x:c r="J488" s="12" t="str">
        <x:v>研究生宿舍楼发车</x:v>
      </x:c>
      <x:c r="K488" s="12" t="str">
        <x:v>HX1_NORMAL</x:v>
      </x:c>
      <x:c r="L488" s="12" t="n">
        <x:v>9</x:v>
      </x:c>
      <x:c r="M488" s="12" t="str">
        <x:v>HX1_NORMAL|9</x:v>
      </x:c>
      <x:c r="N488" s="12" t="str">
        <x:v>理学院</x:v>
      </x:c>
      <x:c r="O488" s="12" t="n">
        <x:f>IFERROR(INDEX('秒级路线参数_可调整'!$O:$O,MATCH(M488,'秒级路线参数_可调整'!$A:$A,0)),"")</x:f>
        <x:v>0</x:v>
      </x:c>
      <x:c r="P488" s="12" t="str">
        <x:f>IF(O488="","",O488/86400)</x:f>
      </x:c>
      <x:c r="Q488" s="12" t="str">
        <x:f>IF(O488="","",(H488*60+O488)/86400)</x:f>
      </x:c>
      <x:c r="R488" s="12" t="str">
        <x:f>IF(Q488="","",TEXT(Q488,"hh:mm:ss"))</x:f>
      </x:c>
      <x:c r="S488" s="12" t="str">
        <x:v>否</x:v>
      </x:c>
      <x:c r="T488" s="12" t="str">
        <x:v>否</x:v>
      </x:c>
      <x:c r="U488" s="12" t="str">
        <x:v>未提供</x:v>
      </x:c>
      <x:c r="V488" s="12" t="str">
        <x:v>未提供</x:v>
      </x:c>
      <x:c r="W488" s="12" t="str">
        <x:v>秒级预测</x:v>
      </x:c>
      <x:c r="X488" s="12" t="str">
        <x:v>基于路线秒级参数；如录入实测或手动采用秒，预计到达时间可随公式更新</x:v>
      </x:c>
    </x:row>
    <x:row r="489">
      <x:c r="A489" s="12" t="str">
        <x:v>S0039-10</x:v>
      </x:c>
      <x:c r="B489" s="12" t="str">
        <x:v>S0039</x:v>
      </x:c>
      <x:c r="C489" s="12" t="str">
        <x:v>工作日</x:v>
      </x:c>
      <x:c r="D489" s="12" t="str">
        <x:v>环线1路</x:v>
      </x:c>
      <x:c r="E489" s="12" t="str">
        <x:v>第二班</x:v>
      </x:c>
      <x:c r="F489" s="12" t="n">
        <x:v>13</x:v>
      </x:c>
      <x:c r="G489" s="12" t="str">
        <x:v>15:40</x:v>
      </x:c>
      <x:c r="H489" s="12" t="n">
        <x:v>940</x:v>
      </x:c>
      <x:c r="I489" s="12" t="str">
        <x:v>研究生宿舍楼</x:v>
      </x:c>
      <x:c r="J489" s="12" t="str">
        <x:v>研究生宿舍楼发车</x:v>
      </x:c>
      <x:c r="K489" s="12" t="str">
        <x:v>HX1_NORMAL</x:v>
      </x:c>
      <x:c r="L489" s="12" t="n">
        <x:v>10</x:v>
      </x:c>
      <x:c r="M489" s="12" t="str">
        <x:v>HX1_NORMAL|10</x:v>
      </x:c>
      <x:c r="N489" s="12" t="str">
        <x:v>二食堂</x:v>
      </x:c>
      <x:c r="O489" s="12" t="n">
        <x:f>IFERROR(INDEX('秒级路线参数_可调整'!$O:$O,MATCH(M489,'秒级路线参数_可调整'!$A:$A,0)),"")</x:f>
        <x:v>0</x:v>
      </x:c>
      <x:c r="P489" s="12" t="str">
        <x:f>IF(O489="","",O489/86400)</x:f>
      </x:c>
      <x:c r="Q489" s="12" t="str">
        <x:f>IF(O489="","",(H489*60+O489)/86400)</x:f>
      </x:c>
      <x:c r="R489" s="12" t="str">
        <x:f>IF(Q489="","",TEXT(Q489,"hh:mm:ss"))</x:f>
      </x:c>
      <x:c r="S489" s="12" t="str">
        <x:v>否</x:v>
      </x:c>
      <x:c r="T489" s="12" t="str">
        <x:v>否</x:v>
      </x:c>
      <x:c r="U489" s="12" t="str">
        <x:v>未提供</x:v>
      </x:c>
      <x:c r="V489" s="12" t="str">
        <x:v>未提供</x:v>
      </x:c>
      <x:c r="W489" s="12" t="str">
        <x:v>秒级预测</x:v>
      </x:c>
      <x:c r="X489" s="12" t="str">
        <x:v>基于路线秒级参数；如录入实测或手动采用秒，预计到达时间可随公式更新</x:v>
      </x:c>
    </x:row>
    <x:row r="490">
      <x:c r="A490" s="12" t="str">
        <x:v>S0039-11</x:v>
      </x:c>
      <x:c r="B490" s="12" t="str">
        <x:v>S0039</x:v>
      </x:c>
      <x:c r="C490" s="12" t="str">
        <x:v>工作日</x:v>
      </x:c>
      <x:c r="D490" s="12" t="str">
        <x:v>环线1路</x:v>
      </x:c>
      <x:c r="E490" s="12" t="str">
        <x:v>第二班</x:v>
      </x:c>
      <x:c r="F490" s="12" t="n">
        <x:v>13</x:v>
      </x:c>
      <x:c r="G490" s="12" t="str">
        <x:v>15:40</x:v>
      </x:c>
      <x:c r="H490" s="12" t="n">
        <x:v>940</x:v>
      </x:c>
      <x:c r="I490" s="12" t="str">
        <x:v>研究生宿舍楼</x:v>
      </x:c>
      <x:c r="J490" s="12" t="str">
        <x:v>研究生宿舍楼发车</x:v>
      </x:c>
      <x:c r="K490" s="12" t="str">
        <x:v>HX1_NORMAL</x:v>
      </x:c>
      <x:c r="L490" s="12" t="n">
        <x:v>11</x:v>
      </x:c>
      <x:c r="M490" s="12" t="str">
        <x:v>HX1_NORMAL|11</x:v>
      </x:c>
      <x:c r="N490" s="12" t="str">
        <x:v>5号宿舍楼</x:v>
      </x:c>
      <x:c r="O490" s="12" t="n">
        <x:f>IFERROR(INDEX('秒级路线参数_可调整'!$O:$O,MATCH(M490,'秒级路线参数_可调整'!$A:$A,0)),"")</x:f>
        <x:v>0</x:v>
      </x:c>
      <x:c r="P490" s="12" t="str">
        <x:f>IF(O490="","",O490/86400)</x:f>
      </x:c>
      <x:c r="Q490" s="12" t="str">
        <x:f>IF(O490="","",(H490*60+O490)/86400)</x:f>
      </x:c>
      <x:c r="R490" s="12" t="str">
        <x:f>IF(Q490="","",TEXT(Q490,"hh:mm:ss"))</x:f>
      </x:c>
      <x:c r="S490" s="12" t="str">
        <x:v>否</x:v>
      </x:c>
      <x:c r="T490" s="12" t="str">
        <x:v>否</x:v>
      </x:c>
      <x:c r="U490" s="12" t="str">
        <x:v>未提供</x:v>
      </x:c>
      <x:c r="V490" s="12" t="str">
        <x:v>未提供</x:v>
      </x:c>
      <x:c r="W490" s="12" t="str">
        <x:v>秒级预测</x:v>
      </x:c>
      <x:c r="X490" s="12" t="str">
        <x:v>基于路线秒级参数；如录入实测或手动采用秒，预计到达时间可随公式更新</x:v>
      </x:c>
    </x:row>
    <x:row r="491">
      <x:c r="A491" s="12" t="str">
        <x:v>S0039-12</x:v>
      </x:c>
      <x:c r="B491" s="12" t="str">
        <x:v>S0039</x:v>
      </x:c>
      <x:c r="C491" s="12" t="str">
        <x:v>工作日</x:v>
      </x:c>
      <x:c r="D491" s="12" t="str">
        <x:v>环线1路</x:v>
      </x:c>
      <x:c r="E491" s="12" t="str">
        <x:v>第二班</x:v>
      </x:c>
      <x:c r="F491" s="12" t="n">
        <x:v>13</x:v>
      </x:c>
      <x:c r="G491" s="12" t="str">
        <x:v>15:40</x:v>
      </x:c>
      <x:c r="H491" s="12" t="n">
        <x:v>940</x:v>
      </x:c>
      <x:c r="I491" s="12" t="str">
        <x:v>研究生宿舍楼</x:v>
      </x:c>
      <x:c r="J491" s="12" t="str">
        <x:v>研究生宿舍楼发车</x:v>
      </x:c>
      <x:c r="K491" s="12" t="str">
        <x:v>HX1_NORMAL</x:v>
      </x:c>
      <x:c r="L491" s="12" t="n">
        <x:v>12</x:v>
      </x:c>
      <x:c r="M491" s="12" t="str">
        <x:v>HX1_NORMAL|12</x:v>
      </x:c>
      <x:c r="N491" s="12" t="str">
        <x:v>305教学楼</x:v>
      </x:c>
      <x:c r="O491" s="12" t="n">
        <x:f>IFERROR(INDEX('秒级路线参数_可调整'!$O:$O,MATCH(M491,'秒级路线参数_可调整'!$A:$A,0)),"")</x:f>
        <x:v>0</x:v>
      </x:c>
      <x:c r="P491" s="12" t="str">
        <x:f>IF(O491="","",O491/86400)</x:f>
      </x:c>
      <x:c r="Q491" s="12" t="str">
        <x:f>IF(O491="","",(H491*60+O491)/86400)</x:f>
      </x:c>
      <x:c r="R491" s="12" t="str">
        <x:f>IF(Q491="","",TEXT(Q491,"hh:mm:ss"))</x:f>
      </x:c>
      <x:c r="S491" s="12" t="str">
        <x:v>否</x:v>
      </x:c>
      <x:c r="T491" s="12" t="str">
        <x:v>否</x:v>
      </x:c>
      <x:c r="U491" s="12" t="str">
        <x:v>未提供</x:v>
      </x:c>
      <x:c r="V491" s="12" t="str">
        <x:v>未提供</x:v>
      </x:c>
      <x:c r="W491" s="12" t="str">
        <x:v>秒级预测</x:v>
      </x:c>
      <x:c r="X491" s="12" t="str">
        <x:v>基于路线秒级参数；如录入实测或手动采用秒，预计到达时间可随公式更新</x:v>
      </x:c>
    </x:row>
    <x:row r="492">
      <x:c r="A492" s="12" t="str">
        <x:v>S0039-13</x:v>
      </x:c>
      <x:c r="B492" s="12" t="str">
        <x:v>S0039</x:v>
      </x:c>
      <x:c r="C492" s="12" t="str">
        <x:v>工作日</x:v>
      </x:c>
      <x:c r="D492" s="12" t="str">
        <x:v>环线1路</x:v>
      </x:c>
      <x:c r="E492" s="12" t="str">
        <x:v>第二班</x:v>
      </x:c>
      <x:c r="F492" s="12" t="n">
        <x:v>13</x:v>
      </x:c>
      <x:c r="G492" s="12" t="str">
        <x:v>15:40</x:v>
      </x:c>
      <x:c r="H492" s="12" t="n">
        <x:v>940</x:v>
      </x:c>
      <x:c r="I492" s="12" t="str">
        <x:v>研究生宿舍楼</x:v>
      </x:c>
      <x:c r="J492" s="12" t="str">
        <x:v>研究生宿舍楼发车</x:v>
      </x:c>
      <x:c r="K492" s="12" t="str">
        <x:v>HX1_NORMAL</x:v>
      </x:c>
      <x:c r="L492" s="12" t="n">
        <x:v>13</x:v>
      </x:c>
      <x:c r="M492" s="12" t="str">
        <x:v>HX1_NORMAL|13</x:v>
      </x:c>
      <x:c r="N492" s="12" t="str">
        <x:v>研究生宿舍楼</x:v>
      </x:c>
      <x:c r="O492" s="12" t="n">
        <x:f>IFERROR(INDEX('秒级路线参数_可调整'!$O:$O,MATCH(M492,'秒级路线参数_可调整'!$A:$A,0)),"")</x:f>
        <x:v>0</x:v>
      </x:c>
      <x:c r="P492" s="12" t="str">
        <x:f>IF(O492="","",O492/86400)</x:f>
      </x:c>
      <x:c r="Q492" s="12" t="str">
        <x:f>IF(O492="","",(H492*60+O492)/86400)</x:f>
      </x:c>
      <x:c r="R492" s="12" t="str">
        <x:f>IF(Q492="","",TEXT(Q492,"hh:mm:ss"))</x:f>
      </x:c>
      <x:c r="S492" s="12" t="str">
        <x:v>否</x:v>
      </x:c>
      <x:c r="T492" s="12" t="str">
        <x:v>是</x:v>
      </x:c>
      <x:c r="U492" s="12" t="str">
        <x:v>未提供</x:v>
      </x:c>
      <x:c r="V492" s="12" t="str">
        <x:v>未提供</x:v>
      </x:c>
      <x:c r="W492" s="12" t="str">
        <x:v>秒级预测</x:v>
      </x:c>
      <x:c r="X492" s="12" t="str">
        <x:v>基于路线秒级参数；如录入实测或手动采用秒，预计到达时间可随公式更新</x:v>
      </x:c>
    </x:row>
    <x:row r="493">
      <x:c r="A493" s="12" t="str">
        <x:v>S0040-01</x:v>
      </x:c>
      <x:c r="B493" s="12" t="str">
        <x:v>S0040</x:v>
      </x:c>
      <x:c r="C493" s="12" t="str">
        <x:v>工作日</x:v>
      </x:c>
      <x:c r="D493" s="12" t="str">
        <x:v>环线1路</x:v>
      </x:c>
      <x:c r="E493" s="12" t="str">
        <x:v>第二班</x:v>
      </x:c>
      <x:c r="F493" s="12" t="n">
        <x:v>14</x:v>
      </x:c>
      <x:c r="G493" s="12" t="str">
        <x:v>17:00</x:v>
      </x:c>
      <x:c r="H493" s="12" t="n">
        <x:v>1020</x:v>
      </x:c>
      <x:c r="I493" s="12" t="str">
        <x:v>研究生宿舍楼</x:v>
      </x:c>
      <x:c r="J493" s="12" t="str">
        <x:v>研究生宿舍楼发车</x:v>
      </x:c>
      <x:c r="K493" s="12" t="str">
        <x:v>HX1_NORMAL</x:v>
      </x:c>
      <x:c r="L493" s="12" t="n">
        <x:v>1</x:v>
      </x:c>
      <x:c r="M493" s="12" t="str">
        <x:v>HX1_NORMAL|1</x:v>
      </x:c>
      <x:c r="N493" s="12" t="str">
        <x:v>研究生宿舍楼</x:v>
      </x:c>
      <x:c r="O493" s="12" t="n">
        <x:f>IFERROR(INDEX('秒级路线参数_可调整'!$O:$O,MATCH(M493,'秒级路线参数_可调整'!$A:$A,0)),"")</x:f>
        <x:v>0</x:v>
      </x:c>
      <x:c r="P493" s="12" t="str">
        <x:f>IF(O493="","",O493/86400)</x:f>
      </x:c>
      <x:c r="Q493" s="12" t="str">
        <x:f>IF(O493="","",(H493*60+O493)/86400)</x:f>
      </x:c>
      <x:c r="R493" s="12" t="str">
        <x:f>IF(Q493="","",TEXT(Q493,"hh:mm:ss"))</x:f>
      </x:c>
      <x:c r="S493" s="12" t="str">
        <x:v>是</x:v>
      </x:c>
      <x:c r="T493" s="12" t="str">
        <x:v>否</x:v>
      </x:c>
      <x:c r="U493" s="12" t="str">
        <x:v>未提供</x:v>
      </x:c>
      <x:c r="V493" s="12" t="str">
        <x:v>未提供</x:v>
      </x:c>
      <x:c r="W493" s="12" t="str">
        <x:v>秒级预测</x:v>
      </x:c>
      <x:c r="X493" s="12" t="str">
        <x:v>基于路线秒级参数；如录入实测或手动采用秒，预计到达时间可随公式更新</x:v>
      </x:c>
    </x:row>
    <x:row r="494">
      <x:c r="A494" s="12" t="str">
        <x:v>S0040-02</x:v>
      </x:c>
      <x:c r="B494" s="12" t="str">
        <x:v>S0040</x:v>
      </x:c>
      <x:c r="C494" s="12" t="str">
        <x:v>工作日</x:v>
      </x:c>
      <x:c r="D494" s="12" t="str">
        <x:v>环线1路</x:v>
      </x:c>
      <x:c r="E494" s="12" t="str">
        <x:v>第二班</x:v>
      </x:c>
      <x:c r="F494" s="12" t="n">
        <x:v>14</x:v>
      </x:c>
      <x:c r="G494" s="12" t="str">
        <x:v>17:00</x:v>
      </x:c>
      <x:c r="H494" s="12" t="n">
        <x:v>1020</x:v>
      </x:c>
      <x:c r="I494" s="12" t="str">
        <x:v>研究生宿舍楼</x:v>
      </x:c>
      <x:c r="J494" s="12" t="str">
        <x:v>研究生宿舍楼发车</x:v>
      </x:c>
      <x:c r="K494" s="12" t="str">
        <x:v>HX1_NORMAL</x:v>
      </x:c>
      <x:c r="L494" s="12" t="n">
        <x:v>2</x:v>
      </x:c>
      <x:c r="M494" s="12" t="str">
        <x:v>HX1_NORMAL|2</x:v>
      </x:c>
      <x:c r="N494" s="12" t="str">
        <x:v>东门</x:v>
      </x:c>
      <x:c r="O494" s="12" t="n">
        <x:f>IFERROR(INDEX('秒级路线参数_可调整'!$O:$O,MATCH(M494,'秒级路线参数_可调整'!$A:$A,0)),"")</x:f>
        <x:v>0</x:v>
      </x:c>
      <x:c r="P494" s="12" t="str">
        <x:f>IF(O494="","",O494/86400)</x:f>
      </x:c>
      <x:c r="Q494" s="12" t="str">
        <x:f>IF(O494="","",(H494*60+O494)/86400)</x:f>
      </x:c>
      <x:c r="R494" s="12" t="str">
        <x:f>IF(Q494="","",TEXT(Q494,"hh:mm:ss"))</x:f>
      </x:c>
      <x:c r="S494" s="12" t="str">
        <x:v>否</x:v>
      </x:c>
      <x:c r="T494" s="12" t="str">
        <x:v>否</x:v>
      </x:c>
      <x:c r="U494" s="12" t="str">
        <x:v>未提供</x:v>
      </x:c>
      <x:c r="V494" s="12" t="str">
        <x:v>未提供</x:v>
      </x:c>
      <x:c r="W494" s="12" t="str">
        <x:v>秒级预测</x:v>
      </x:c>
      <x:c r="X494" s="12" t="str">
        <x:v>基于路线秒级参数；如录入实测或手动采用秒，预计到达时间可随公式更新</x:v>
      </x:c>
    </x:row>
    <x:row r="495">
      <x:c r="A495" s="12" t="str">
        <x:v>S0040-03</x:v>
      </x:c>
      <x:c r="B495" s="12" t="str">
        <x:v>S0040</x:v>
      </x:c>
      <x:c r="C495" s="12" t="str">
        <x:v>工作日</x:v>
      </x:c>
      <x:c r="D495" s="12" t="str">
        <x:v>环线1路</x:v>
      </x:c>
      <x:c r="E495" s="12" t="str">
        <x:v>第二班</x:v>
      </x:c>
      <x:c r="F495" s="12" t="n">
        <x:v>14</x:v>
      </x:c>
      <x:c r="G495" s="12" t="str">
        <x:v>17:00</x:v>
      </x:c>
      <x:c r="H495" s="12" t="n">
        <x:v>1020</x:v>
      </x:c>
      <x:c r="I495" s="12" t="str">
        <x:v>研究生宿舍楼</x:v>
      </x:c>
      <x:c r="J495" s="12" t="str">
        <x:v>研究生宿舍楼发车</x:v>
      </x:c>
      <x:c r="K495" s="12" t="str">
        <x:v>HX1_NORMAL</x:v>
      </x:c>
      <x:c r="L495" s="12" t="n">
        <x:v>3</x:v>
      </x:c>
      <x:c r="M495" s="12" t="str">
        <x:v>HX1_NORMAL|3</x:v>
      </x:c>
      <x:c r="N495" s="12" t="str">
        <x:v>2号宿舍楼</x:v>
      </x:c>
      <x:c r="O495" s="12" t="n">
        <x:f>IFERROR(INDEX('秒级路线参数_可调整'!$O:$O,MATCH(M495,'秒级路线参数_可调整'!$A:$A,0)),"")</x:f>
        <x:v>0</x:v>
      </x:c>
      <x:c r="P495" s="12" t="str">
        <x:f>IF(O495="","",O495/86400)</x:f>
      </x:c>
      <x:c r="Q495" s="12" t="str">
        <x:f>IF(O495="","",(H495*60+O495)/86400)</x:f>
      </x:c>
      <x:c r="R495" s="12" t="str">
        <x:f>IF(Q495="","",TEXT(Q495,"hh:mm:ss"))</x:f>
      </x:c>
      <x:c r="S495" s="12" t="str">
        <x:v>否</x:v>
      </x:c>
      <x:c r="T495" s="12" t="str">
        <x:v>否</x:v>
      </x:c>
      <x:c r="U495" s="12" t="str">
        <x:v>未提供</x:v>
      </x:c>
      <x:c r="V495" s="12" t="str">
        <x:v>未提供</x:v>
      </x:c>
      <x:c r="W495" s="12" t="str">
        <x:v>秒级预测</x:v>
      </x:c>
      <x:c r="X495" s="12" t="str">
        <x:v>基于路线秒级参数；如录入实测或手动采用秒，预计到达时间可随公式更新</x:v>
      </x:c>
    </x:row>
    <x:row r="496">
      <x:c r="A496" s="12" t="str">
        <x:v>S0040-04</x:v>
      </x:c>
      <x:c r="B496" s="12" t="str">
        <x:v>S0040</x:v>
      </x:c>
      <x:c r="C496" s="12" t="str">
        <x:v>工作日</x:v>
      </x:c>
      <x:c r="D496" s="12" t="str">
        <x:v>环线1路</x:v>
      </x:c>
      <x:c r="E496" s="12" t="str">
        <x:v>第二班</x:v>
      </x:c>
      <x:c r="F496" s="12" t="n">
        <x:v>14</x:v>
      </x:c>
      <x:c r="G496" s="12" t="str">
        <x:v>17:00</x:v>
      </x:c>
      <x:c r="H496" s="12" t="n">
        <x:v>1020</x:v>
      </x:c>
      <x:c r="I496" s="12" t="str">
        <x:v>研究生宿舍楼</x:v>
      </x:c>
      <x:c r="J496" s="12" t="str">
        <x:v>研究生宿舍楼发车</x:v>
      </x:c>
      <x:c r="K496" s="12" t="str">
        <x:v>HX1_NORMAL</x:v>
      </x:c>
      <x:c r="L496" s="12" t="n">
        <x:v>4</x:v>
      </x:c>
      <x:c r="M496" s="12" t="str">
        <x:v>HX1_NORMAL|4</x:v>
      </x:c>
      <x:c r="N496" s="12" t="str">
        <x:v>军体活动中心</x:v>
      </x:c>
      <x:c r="O496" s="12" t="n">
        <x:f>IFERROR(INDEX('秒级路线参数_可调整'!$O:$O,MATCH(M496,'秒级路线参数_可调整'!$A:$A,0)),"")</x:f>
        <x:v>0</x:v>
      </x:c>
      <x:c r="P496" s="12" t="str">
        <x:f>IF(O496="","",O496/86400)</x:f>
      </x:c>
      <x:c r="Q496" s="12" t="str">
        <x:f>IF(O496="","",(H496*60+O496)/86400)</x:f>
      </x:c>
      <x:c r="R496" s="12" t="str">
        <x:f>IF(Q496="","",TEXT(Q496,"hh:mm:ss"))</x:f>
      </x:c>
      <x:c r="S496" s="12" t="str">
        <x:v>否</x:v>
      </x:c>
      <x:c r="T496" s="12" t="str">
        <x:v>否</x:v>
      </x:c>
      <x:c r="U496" s="12" t="str">
        <x:v>未提供</x:v>
      </x:c>
      <x:c r="V496" s="12" t="str">
        <x:v>未提供</x:v>
      </x:c>
      <x:c r="W496" s="12" t="str">
        <x:v>秒级预测</x:v>
      </x:c>
      <x:c r="X496" s="12" t="str">
        <x:v>基于路线秒级参数；如录入实测或手动采用秒，预计到达时间可随公式更新</x:v>
      </x:c>
    </x:row>
    <x:row r="497">
      <x:c r="A497" s="12" t="str">
        <x:v>S0040-05</x:v>
      </x:c>
      <x:c r="B497" s="12" t="str">
        <x:v>S0040</x:v>
      </x:c>
      <x:c r="C497" s="12" t="str">
        <x:v>工作日</x:v>
      </x:c>
      <x:c r="D497" s="12" t="str">
        <x:v>环线1路</x:v>
      </x:c>
      <x:c r="E497" s="12" t="str">
        <x:v>第二班</x:v>
      </x:c>
      <x:c r="F497" s="12" t="n">
        <x:v>14</x:v>
      </x:c>
      <x:c r="G497" s="12" t="str">
        <x:v>17:00</x:v>
      </x:c>
      <x:c r="H497" s="12" t="n">
        <x:v>1020</x:v>
      </x:c>
      <x:c r="I497" s="12" t="str">
        <x:v>研究生宿舍楼</x:v>
      </x:c>
      <x:c r="J497" s="12" t="str">
        <x:v>研究生宿舍楼发车</x:v>
      </x:c>
      <x:c r="K497" s="12" t="str">
        <x:v>HX1_NORMAL</x:v>
      </x:c>
      <x:c r="L497" s="12" t="n">
        <x:v>5</x:v>
      </x:c>
      <x:c r="M497" s="12" t="str">
        <x:v>HX1_NORMAL|5</x:v>
      </x:c>
      <x:c r="N497" s="12" t="str">
        <x:v>激光所</x:v>
      </x:c>
      <x:c r="O497" s="12" t="n">
        <x:f>IFERROR(INDEX('秒级路线参数_可调整'!$O:$O,MATCH(M497,'秒级路线参数_可调整'!$A:$A,0)),"")</x:f>
        <x:v>0</x:v>
      </x:c>
      <x:c r="P497" s="12" t="str">
        <x:f>IF(O497="","",O497/86400)</x:f>
      </x:c>
      <x:c r="Q497" s="12" t="str">
        <x:f>IF(O497="","",(H497*60+O497)/86400)</x:f>
      </x:c>
      <x:c r="R497" s="12" t="str">
        <x:f>IF(Q497="","",TEXT(Q497,"hh:mm:ss"))</x:f>
      </x:c>
      <x:c r="S497" s="12" t="str">
        <x:v>否</x:v>
      </x:c>
      <x:c r="T497" s="12" t="str">
        <x:v>否</x:v>
      </x:c>
      <x:c r="U497" s="12" t="str">
        <x:v>未提供</x:v>
      </x:c>
      <x:c r="V497" s="12" t="str">
        <x:v>未提供</x:v>
      </x:c>
      <x:c r="W497" s="12" t="str">
        <x:v>秒级预测</x:v>
      </x:c>
      <x:c r="X497" s="12" t="str">
        <x:v>基于路线秒级参数；如录入实测或手动采用秒，预计到达时间可随公式更新</x:v>
      </x:c>
    </x:row>
    <x:row r="498">
      <x:c r="A498" s="12" t="str">
        <x:v>S0040-06</x:v>
      </x:c>
      <x:c r="B498" s="12" t="str">
        <x:v>S0040</x:v>
      </x:c>
      <x:c r="C498" s="12" t="str">
        <x:v>工作日</x:v>
      </x:c>
      <x:c r="D498" s="12" t="str">
        <x:v>环线1路</x:v>
      </x:c>
      <x:c r="E498" s="12" t="str">
        <x:v>第二班</x:v>
      </x:c>
      <x:c r="F498" s="12" t="n">
        <x:v>14</x:v>
      </x:c>
      <x:c r="G498" s="12" t="str">
        <x:v>17:00</x:v>
      </x:c>
      <x:c r="H498" s="12" t="n">
        <x:v>1020</x:v>
      </x:c>
      <x:c r="I498" s="12" t="str">
        <x:v>研究生宿舍楼</x:v>
      </x:c>
      <x:c r="J498" s="12" t="str">
        <x:v>研究生宿舍楼发车</x:v>
      </x:c>
      <x:c r="K498" s="12" t="str">
        <x:v>HX1_NORMAL</x:v>
      </x:c>
      <x:c r="L498" s="12" t="n">
        <x:v>6</x:v>
      </x:c>
      <x:c r="M498" s="12" t="str">
        <x:v>HX1_NORMAL|6</x:v>
      </x:c>
      <x:c r="N498" s="12" t="str">
        <x:v>超算中心</x:v>
      </x:c>
      <x:c r="O498" s="12" t="n">
        <x:f>IFERROR(INDEX('秒级路线参数_可调整'!$O:$O,MATCH(M498,'秒级路线参数_可调整'!$A:$A,0)),"")</x:f>
        <x:v>0</x:v>
      </x:c>
      <x:c r="P498" s="12" t="str">
        <x:f>IF(O498="","",O498/86400)</x:f>
      </x:c>
      <x:c r="Q498" s="12" t="str">
        <x:f>IF(O498="","",(H498*60+O498)/86400)</x:f>
      </x:c>
      <x:c r="R498" s="12" t="str">
        <x:f>IF(Q498="","",TEXT(Q498,"hh:mm:ss"))</x:f>
      </x:c>
      <x:c r="S498" s="12" t="str">
        <x:v>否</x:v>
      </x:c>
      <x:c r="T498" s="12" t="str">
        <x:v>否</x:v>
      </x:c>
      <x:c r="U498" s="12" t="str">
        <x:v>未提供</x:v>
      </x:c>
      <x:c r="V498" s="12" t="str">
        <x:v>未提供</x:v>
      </x:c>
      <x:c r="W498" s="12" t="str">
        <x:v>秒级预测</x:v>
      </x:c>
      <x:c r="X498" s="12" t="str">
        <x:v>基于路线秒级参数；如录入实测或手动采用秒，预计到达时间可随公式更新</x:v>
      </x:c>
    </x:row>
    <x:row r="499">
      <x:c r="A499" s="12" t="str">
        <x:v>S0040-07</x:v>
      </x:c>
      <x:c r="B499" s="12" t="str">
        <x:v>S0040</x:v>
      </x:c>
      <x:c r="C499" s="12" t="str">
        <x:v>工作日</x:v>
      </x:c>
      <x:c r="D499" s="12" t="str">
        <x:v>环线1路</x:v>
      </x:c>
      <x:c r="E499" s="12" t="str">
        <x:v>第二班</x:v>
      </x:c>
      <x:c r="F499" s="12" t="n">
        <x:v>14</x:v>
      </x:c>
      <x:c r="G499" s="12" t="str">
        <x:v>17:00</x:v>
      </x:c>
      <x:c r="H499" s="12" t="n">
        <x:v>1020</x:v>
      </x:c>
      <x:c r="I499" s="12" t="str">
        <x:v>研究生宿舍楼</x:v>
      </x:c>
      <x:c r="J499" s="12" t="str">
        <x:v>研究生宿舍楼发车</x:v>
      </x:c>
      <x:c r="K499" s="12" t="str">
        <x:v>HX1_NORMAL</x:v>
      </x:c>
      <x:c r="L499" s="12" t="n">
        <x:v>7</x:v>
      </x:c>
      <x:c r="M499" s="12" t="str">
        <x:v>HX1_NORMAL|7</x:v>
      </x:c>
      <x:c r="N499" s="12" t="str">
        <x:v>北门</x:v>
      </x:c>
      <x:c r="O499" s="12" t="n">
        <x:f>IFERROR(INDEX('秒级路线参数_可调整'!$O:$O,MATCH(M499,'秒级路线参数_可调整'!$A:$A,0)),"")</x:f>
        <x:v>0</x:v>
      </x:c>
      <x:c r="P499" s="12" t="str">
        <x:f>IF(O499="","",O499/86400)</x:f>
      </x:c>
      <x:c r="Q499" s="12" t="str">
        <x:f>IF(O499="","",(H499*60+O499)/86400)</x:f>
      </x:c>
      <x:c r="R499" s="12" t="str">
        <x:f>IF(Q499="","",TEXT(Q499,"hh:mm:ss"))</x:f>
      </x:c>
      <x:c r="S499" s="12" t="str">
        <x:v>否</x:v>
      </x:c>
      <x:c r="T499" s="12" t="str">
        <x:v>否</x:v>
      </x:c>
      <x:c r="U499" s="12" t="str">
        <x:v>未提供</x:v>
      </x:c>
      <x:c r="V499" s="12" t="str">
        <x:v>未提供</x:v>
      </x:c>
      <x:c r="W499" s="12" t="str">
        <x:v>秒级预测</x:v>
      </x:c>
      <x:c r="X499" s="12" t="str">
        <x:v>基于路线秒级参数；如录入实测或手动采用秒，预计到达时间可随公式更新</x:v>
      </x:c>
    </x:row>
    <x:row r="500">
      <x:c r="A500" s="12" t="str">
        <x:v>S0040-08</x:v>
      </x:c>
      <x:c r="B500" s="12" t="str">
        <x:v>S0040</x:v>
      </x:c>
      <x:c r="C500" s="12" t="str">
        <x:v>工作日</x:v>
      </x:c>
      <x:c r="D500" s="12" t="str">
        <x:v>环线1路</x:v>
      </x:c>
      <x:c r="E500" s="12" t="str">
        <x:v>第二班</x:v>
      </x:c>
      <x:c r="F500" s="12" t="n">
        <x:v>14</x:v>
      </x:c>
      <x:c r="G500" s="12" t="str">
        <x:v>17:00</x:v>
      </x:c>
      <x:c r="H500" s="12" t="n">
        <x:v>1020</x:v>
      </x:c>
      <x:c r="I500" s="12" t="str">
        <x:v>研究生宿舍楼</x:v>
      </x:c>
      <x:c r="J500" s="12" t="str">
        <x:v>研究生宿舍楼发车</x:v>
      </x:c>
      <x:c r="K500" s="12" t="str">
        <x:v>HX1_NORMAL</x:v>
      </x:c>
      <x:c r="L500" s="12" t="n">
        <x:v>8</x:v>
      </x:c>
      <x:c r="M500" s="12" t="str">
        <x:v>HX1_NORMAL|8</x:v>
      </x:c>
      <x:c r="N500" s="12" t="str">
        <x:v>高超楼</x:v>
      </x:c>
      <x:c r="O500" s="12" t="n">
        <x:f>IFERROR(INDEX('秒级路线参数_可调整'!$O:$O,MATCH(M500,'秒级路线参数_可调整'!$A:$A,0)),"")</x:f>
        <x:v>0</x:v>
      </x:c>
      <x:c r="P500" s="12" t="str">
        <x:f>IF(O500="","",O500/86400)</x:f>
      </x:c>
      <x:c r="Q500" s="12" t="str">
        <x:f>IF(O500="","",(H500*60+O500)/86400)</x:f>
      </x:c>
      <x:c r="R500" s="12" t="str">
        <x:f>IF(Q500="","",TEXT(Q500,"hh:mm:ss"))</x:f>
      </x:c>
      <x:c r="S500" s="12" t="str">
        <x:v>否</x:v>
      </x:c>
      <x:c r="T500" s="12" t="str">
        <x:v>否</x:v>
      </x:c>
      <x:c r="U500" s="12" t="str">
        <x:v>未提供</x:v>
      </x:c>
      <x:c r="V500" s="12" t="str">
        <x:v>未提供</x:v>
      </x:c>
      <x:c r="W500" s="12" t="str">
        <x:v>秒级预测</x:v>
      </x:c>
      <x:c r="X500" s="12" t="str">
        <x:v>基于路线秒级参数；如录入实测或手动采用秒，预计到达时间可随公式更新</x:v>
      </x:c>
    </x:row>
    <x:row r="501">
      <x:c r="A501" s="12" t="str">
        <x:v>S0040-09</x:v>
      </x:c>
      <x:c r="B501" s="12" t="str">
        <x:v>S0040</x:v>
      </x:c>
      <x:c r="C501" s="12" t="str">
        <x:v>工作日</x:v>
      </x:c>
      <x:c r="D501" s="12" t="str">
        <x:v>环线1路</x:v>
      </x:c>
      <x:c r="E501" s="12" t="str">
        <x:v>第二班</x:v>
      </x:c>
      <x:c r="F501" s="12" t="n">
        <x:v>14</x:v>
      </x:c>
      <x:c r="G501" s="12" t="str">
        <x:v>17:00</x:v>
      </x:c>
      <x:c r="H501" s="12" t="n">
        <x:v>1020</x:v>
      </x:c>
      <x:c r="I501" s="12" t="str">
        <x:v>研究生宿舍楼</x:v>
      </x:c>
      <x:c r="J501" s="12" t="str">
        <x:v>研究生宿舍楼发车</x:v>
      </x:c>
      <x:c r="K501" s="12" t="str">
        <x:v>HX1_NORMAL</x:v>
      </x:c>
      <x:c r="L501" s="12" t="n">
        <x:v>9</x:v>
      </x:c>
      <x:c r="M501" s="12" t="str">
        <x:v>HX1_NORMAL|9</x:v>
      </x:c>
      <x:c r="N501" s="12" t="str">
        <x:v>理学院</x:v>
      </x:c>
      <x:c r="O501" s="12" t="n">
        <x:f>IFERROR(INDEX('秒级路线参数_可调整'!$O:$O,MATCH(M501,'秒级路线参数_可调整'!$A:$A,0)),"")</x:f>
        <x:v>0</x:v>
      </x:c>
      <x:c r="P501" s="12" t="str">
        <x:f>IF(O501="","",O501/86400)</x:f>
      </x:c>
      <x:c r="Q501" s="12" t="str">
        <x:f>IF(O501="","",(H501*60+O501)/86400)</x:f>
      </x:c>
      <x:c r="R501" s="12" t="str">
        <x:f>IF(Q501="","",TEXT(Q501,"hh:mm:ss"))</x:f>
      </x:c>
      <x:c r="S501" s="12" t="str">
        <x:v>否</x:v>
      </x:c>
      <x:c r="T501" s="12" t="str">
        <x:v>否</x:v>
      </x:c>
      <x:c r="U501" s="12" t="str">
        <x:v>未提供</x:v>
      </x:c>
      <x:c r="V501" s="12" t="str">
        <x:v>未提供</x:v>
      </x:c>
      <x:c r="W501" s="12" t="str">
        <x:v>秒级预测</x:v>
      </x:c>
      <x:c r="X501" s="12" t="str">
        <x:v>基于路线秒级参数；如录入实测或手动采用秒，预计到达时间可随公式更新</x:v>
      </x:c>
    </x:row>
    <x:row r="502">
      <x:c r="A502" s="12" t="str">
        <x:v>S0040-10</x:v>
      </x:c>
      <x:c r="B502" s="12" t="str">
        <x:v>S0040</x:v>
      </x:c>
      <x:c r="C502" s="12" t="str">
        <x:v>工作日</x:v>
      </x:c>
      <x:c r="D502" s="12" t="str">
        <x:v>环线1路</x:v>
      </x:c>
      <x:c r="E502" s="12" t="str">
        <x:v>第二班</x:v>
      </x:c>
      <x:c r="F502" s="12" t="n">
        <x:v>14</x:v>
      </x:c>
      <x:c r="G502" s="12" t="str">
        <x:v>17:00</x:v>
      </x:c>
      <x:c r="H502" s="12" t="n">
        <x:v>1020</x:v>
      </x:c>
      <x:c r="I502" s="12" t="str">
        <x:v>研究生宿舍楼</x:v>
      </x:c>
      <x:c r="J502" s="12" t="str">
        <x:v>研究生宿舍楼发车</x:v>
      </x:c>
      <x:c r="K502" s="12" t="str">
        <x:v>HX1_NORMAL</x:v>
      </x:c>
      <x:c r="L502" s="12" t="n">
        <x:v>10</x:v>
      </x:c>
      <x:c r="M502" s="12" t="str">
        <x:v>HX1_NORMAL|10</x:v>
      </x:c>
      <x:c r="N502" s="12" t="str">
        <x:v>二食堂</x:v>
      </x:c>
      <x:c r="O502" s="12" t="n">
        <x:f>IFERROR(INDEX('秒级路线参数_可调整'!$O:$O,MATCH(M502,'秒级路线参数_可调整'!$A:$A,0)),"")</x:f>
        <x:v>0</x:v>
      </x:c>
      <x:c r="P502" s="12" t="str">
        <x:f>IF(O502="","",O502/86400)</x:f>
      </x:c>
      <x:c r="Q502" s="12" t="str">
        <x:f>IF(O502="","",(H502*60+O502)/86400)</x:f>
      </x:c>
      <x:c r="R502" s="12" t="str">
        <x:f>IF(Q502="","",TEXT(Q502,"hh:mm:ss"))</x:f>
      </x:c>
      <x:c r="S502" s="12" t="str">
        <x:v>否</x:v>
      </x:c>
      <x:c r="T502" s="12" t="str">
        <x:v>否</x:v>
      </x:c>
      <x:c r="U502" s="12" t="str">
        <x:v>未提供</x:v>
      </x:c>
      <x:c r="V502" s="12" t="str">
        <x:v>未提供</x:v>
      </x:c>
      <x:c r="W502" s="12" t="str">
        <x:v>秒级预测</x:v>
      </x:c>
      <x:c r="X502" s="12" t="str">
        <x:v>基于路线秒级参数；如录入实测或手动采用秒，预计到达时间可随公式更新</x:v>
      </x:c>
    </x:row>
    <x:row r="503">
      <x:c r="A503" s="12" t="str">
        <x:v>S0040-11</x:v>
      </x:c>
      <x:c r="B503" s="12" t="str">
        <x:v>S0040</x:v>
      </x:c>
      <x:c r="C503" s="12" t="str">
        <x:v>工作日</x:v>
      </x:c>
      <x:c r="D503" s="12" t="str">
        <x:v>环线1路</x:v>
      </x:c>
      <x:c r="E503" s="12" t="str">
        <x:v>第二班</x:v>
      </x:c>
      <x:c r="F503" s="12" t="n">
        <x:v>14</x:v>
      </x:c>
      <x:c r="G503" s="12" t="str">
        <x:v>17:00</x:v>
      </x:c>
      <x:c r="H503" s="12" t="n">
        <x:v>1020</x:v>
      </x:c>
      <x:c r="I503" s="12" t="str">
        <x:v>研究生宿舍楼</x:v>
      </x:c>
      <x:c r="J503" s="12" t="str">
        <x:v>研究生宿舍楼发车</x:v>
      </x:c>
      <x:c r="K503" s="12" t="str">
        <x:v>HX1_NORMAL</x:v>
      </x:c>
      <x:c r="L503" s="12" t="n">
        <x:v>11</x:v>
      </x:c>
      <x:c r="M503" s="12" t="str">
        <x:v>HX1_NORMAL|11</x:v>
      </x:c>
      <x:c r="N503" s="12" t="str">
        <x:v>5号宿舍楼</x:v>
      </x:c>
      <x:c r="O503" s="12" t="n">
        <x:f>IFERROR(INDEX('秒级路线参数_可调整'!$O:$O,MATCH(M503,'秒级路线参数_可调整'!$A:$A,0)),"")</x:f>
        <x:v>0</x:v>
      </x:c>
      <x:c r="P503" s="12" t="str">
        <x:f>IF(O503="","",O503/86400)</x:f>
      </x:c>
      <x:c r="Q503" s="12" t="str">
        <x:f>IF(O503="","",(H503*60+O503)/86400)</x:f>
      </x:c>
      <x:c r="R503" s="12" t="str">
        <x:f>IF(Q503="","",TEXT(Q503,"hh:mm:ss"))</x:f>
      </x:c>
      <x:c r="S503" s="12" t="str">
        <x:v>否</x:v>
      </x:c>
      <x:c r="T503" s="12" t="str">
        <x:v>否</x:v>
      </x:c>
      <x:c r="U503" s="12" t="str">
        <x:v>未提供</x:v>
      </x:c>
      <x:c r="V503" s="12" t="str">
        <x:v>未提供</x:v>
      </x:c>
      <x:c r="W503" s="12" t="str">
        <x:v>秒级预测</x:v>
      </x:c>
      <x:c r="X503" s="12" t="str">
        <x:v>基于路线秒级参数；如录入实测或手动采用秒，预计到达时间可随公式更新</x:v>
      </x:c>
    </x:row>
    <x:row r="504">
      <x:c r="A504" s="12" t="str">
        <x:v>S0040-12</x:v>
      </x:c>
      <x:c r="B504" s="12" t="str">
        <x:v>S0040</x:v>
      </x:c>
      <x:c r="C504" s="12" t="str">
        <x:v>工作日</x:v>
      </x:c>
      <x:c r="D504" s="12" t="str">
        <x:v>环线1路</x:v>
      </x:c>
      <x:c r="E504" s="12" t="str">
        <x:v>第二班</x:v>
      </x:c>
      <x:c r="F504" s="12" t="n">
        <x:v>14</x:v>
      </x:c>
      <x:c r="G504" s="12" t="str">
        <x:v>17:00</x:v>
      </x:c>
      <x:c r="H504" s="12" t="n">
        <x:v>1020</x:v>
      </x:c>
      <x:c r="I504" s="12" t="str">
        <x:v>研究生宿舍楼</x:v>
      </x:c>
      <x:c r="J504" s="12" t="str">
        <x:v>研究生宿舍楼发车</x:v>
      </x:c>
      <x:c r="K504" s="12" t="str">
        <x:v>HX1_NORMAL</x:v>
      </x:c>
      <x:c r="L504" s="12" t="n">
        <x:v>12</x:v>
      </x:c>
      <x:c r="M504" s="12" t="str">
        <x:v>HX1_NORMAL|12</x:v>
      </x:c>
      <x:c r="N504" s="12" t="str">
        <x:v>305教学楼</x:v>
      </x:c>
      <x:c r="O504" s="12" t="n">
        <x:f>IFERROR(INDEX('秒级路线参数_可调整'!$O:$O,MATCH(M504,'秒级路线参数_可调整'!$A:$A,0)),"")</x:f>
        <x:v>0</x:v>
      </x:c>
      <x:c r="P504" s="12" t="str">
        <x:f>IF(O504="","",O504/86400)</x:f>
      </x:c>
      <x:c r="Q504" s="12" t="str">
        <x:f>IF(O504="","",(H504*60+O504)/86400)</x:f>
      </x:c>
      <x:c r="R504" s="12" t="str">
        <x:f>IF(Q504="","",TEXT(Q504,"hh:mm:ss"))</x:f>
      </x:c>
      <x:c r="S504" s="12" t="str">
        <x:v>否</x:v>
      </x:c>
      <x:c r="T504" s="12" t="str">
        <x:v>否</x:v>
      </x:c>
      <x:c r="U504" s="12" t="str">
        <x:v>未提供</x:v>
      </x:c>
      <x:c r="V504" s="12" t="str">
        <x:v>未提供</x:v>
      </x:c>
      <x:c r="W504" s="12" t="str">
        <x:v>秒级预测</x:v>
      </x:c>
      <x:c r="X504" s="12" t="str">
        <x:v>基于路线秒级参数；如录入实测或手动采用秒，预计到达时间可随公式更新</x:v>
      </x:c>
    </x:row>
    <x:row r="505">
      <x:c r="A505" s="12" t="str">
        <x:v>S0040-13</x:v>
      </x:c>
      <x:c r="B505" s="12" t="str">
        <x:v>S0040</x:v>
      </x:c>
      <x:c r="C505" s="12" t="str">
        <x:v>工作日</x:v>
      </x:c>
      <x:c r="D505" s="12" t="str">
        <x:v>环线1路</x:v>
      </x:c>
      <x:c r="E505" s="12" t="str">
        <x:v>第二班</x:v>
      </x:c>
      <x:c r="F505" s="12" t="n">
        <x:v>14</x:v>
      </x:c>
      <x:c r="G505" s="12" t="str">
        <x:v>17:00</x:v>
      </x:c>
      <x:c r="H505" s="12" t="n">
        <x:v>1020</x:v>
      </x:c>
      <x:c r="I505" s="12" t="str">
        <x:v>研究生宿舍楼</x:v>
      </x:c>
      <x:c r="J505" s="12" t="str">
        <x:v>研究生宿舍楼发车</x:v>
      </x:c>
      <x:c r="K505" s="12" t="str">
        <x:v>HX1_NORMAL</x:v>
      </x:c>
      <x:c r="L505" s="12" t="n">
        <x:v>13</x:v>
      </x:c>
      <x:c r="M505" s="12" t="str">
        <x:v>HX1_NORMAL|13</x:v>
      </x:c>
      <x:c r="N505" s="12" t="str">
        <x:v>研究生宿舍楼</x:v>
      </x:c>
      <x:c r="O505" s="12" t="n">
        <x:f>IFERROR(INDEX('秒级路线参数_可调整'!$O:$O,MATCH(M505,'秒级路线参数_可调整'!$A:$A,0)),"")</x:f>
        <x:v>0</x:v>
      </x:c>
      <x:c r="P505" s="12" t="str">
        <x:f>IF(O505="","",O505/86400)</x:f>
      </x:c>
      <x:c r="Q505" s="12" t="str">
        <x:f>IF(O505="","",(H505*60+O505)/86400)</x:f>
      </x:c>
      <x:c r="R505" s="12" t="str">
        <x:f>IF(Q505="","",TEXT(Q505,"hh:mm:ss"))</x:f>
      </x:c>
      <x:c r="S505" s="12" t="str">
        <x:v>否</x:v>
      </x:c>
      <x:c r="T505" s="12" t="str">
        <x:v>是</x:v>
      </x:c>
      <x:c r="U505" s="12" t="str">
        <x:v>未提供</x:v>
      </x:c>
      <x:c r="V505" s="12" t="str">
        <x:v>未提供</x:v>
      </x:c>
      <x:c r="W505" s="12" t="str">
        <x:v>秒级预测</x:v>
      </x:c>
      <x:c r="X505" s="12" t="str">
        <x:v>基于路线秒级参数；如录入实测或手动采用秒，预计到达时间可随公式更新</x:v>
      </x:c>
    </x:row>
    <x:row r="506">
      <x:c r="A506" s="12" t="str">
        <x:v>S0041-01</x:v>
      </x:c>
      <x:c r="B506" s="12" t="str">
        <x:v>S0041</x:v>
      </x:c>
      <x:c r="C506" s="12" t="str">
        <x:v>工作日</x:v>
      </x:c>
      <x:c r="D506" s="12" t="str">
        <x:v>环线1路</x:v>
      </x:c>
      <x:c r="E506" s="12" t="str">
        <x:v>第二班</x:v>
      </x:c>
      <x:c r="F506" s="12" t="n">
        <x:v>15</x:v>
      </x:c>
      <x:c r="G506" s="12" t="str">
        <x:v>17:30</x:v>
      </x:c>
      <x:c r="H506" s="12" t="n">
        <x:v>1050</x:v>
      </x:c>
      <x:c r="I506" s="12" t="str">
        <x:v>研究生宿舍楼</x:v>
      </x:c>
      <x:c r="J506" s="12" t="str">
        <x:v>研究生宿舍楼发车</x:v>
      </x:c>
      <x:c r="K506" s="12" t="str">
        <x:v>HX1_NORMAL</x:v>
      </x:c>
      <x:c r="L506" s="12" t="n">
        <x:v>1</x:v>
      </x:c>
      <x:c r="M506" s="12" t="str">
        <x:v>HX1_NORMAL|1</x:v>
      </x:c>
      <x:c r="N506" s="12" t="str">
        <x:v>研究生宿舍楼</x:v>
      </x:c>
      <x:c r="O506" s="12" t="n">
        <x:f>IFERROR(INDEX('秒级路线参数_可调整'!$O:$O,MATCH(M506,'秒级路线参数_可调整'!$A:$A,0)),"")</x:f>
        <x:v>0</x:v>
      </x:c>
      <x:c r="P506" s="12" t="str">
        <x:f>IF(O506="","",O506/86400)</x:f>
      </x:c>
      <x:c r="Q506" s="12" t="str">
        <x:f>IF(O506="","",(H506*60+O506)/86400)</x:f>
      </x:c>
      <x:c r="R506" s="12" t="str">
        <x:f>IF(Q506="","",TEXT(Q506,"hh:mm:ss"))</x:f>
      </x:c>
      <x:c r="S506" s="12" t="str">
        <x:v>是</x:v>
      </x:c>
      <x:c r="T506" s="12" t="str">
        <x:v>否</x:v>
      </x:c>
      <x:c r="U506" s="12" t="str">
        <x:v>未提供</x:v>
      </x:c>
      <x:c r="V506" s="12" t="str">
        <x:v>未提供</x:v>
      </x:c>
      <x:c r="W506" s="12" t="str">
        <x:v>秒级预测</x:v>
      </x:c>
      <x:c r="X506" s="12" t="str">
        <x:v>基于路线秒级参数；如录入实测或手动采用秒，预计到达时间可随公式更新</x:v>
      </x:c>
    </x:row>
    <x:row r="507">
      <x:c r="A507" s="12" t="str">
        <x:v>S0041-02</x:v>
      </x:c>
      <x:c r="B507" s="12" t="str">
        <x:v>S0041</x:v>
      </x:c>
      <x:c r="C507" s="12" t="str">
        <x:v>工作日</x:v>
      </x:c>
      <x:c r="D507" s="12" t="str">
        <x:v>环线1路</x:v>
      </x:c>
      <x:c r="E507" s="12" t="str">
        <x:v>第二班</x:v>
      </x:c>
      <x:c r="F507" s="12" t="n">
        <x:v>15</x:v>
      </x:c>
      <x:c r="G507" s="12" t="str">
        <x:v>17:30</x:v>
      </x:c>
      <x:c r="H507" s="12" t="n">
        <x:v>1050</x:v>
      </x:c>
      <x:c r="I507" s="12" t="str">
        <x:v>研究生宿舍楼</x:v>
      </x:c>
      <x:c r="J507" s="12" t="str">
        <x:v>研究生宿舍楼发车</x:v>
      </x:c>
      <x:c r="K507" s="12" t="str">
        <x:v>HX1_NORMAL</x:v>
      </x:c>
      <x:c r="L507" s="12" t="n">
        <x:v>2</x:v>
      </x:c>
      <x:c r="M507" s="12" t="str">
        <x:v>HX1_NORMAL|2</x:v>
      </x:c>
      <x:c r="N507" s="12" t="str">
        <x:v>东门</x:v>
      </x:c>
      <x:c r="O507" s="12" t="n">
        <x:f>IFERROR(INDEX('秒级路线参数_可调整'!$O:$O,MATCH(M507,'秒级路线参数_可调整'!$A:$A,0)),"")</x:f>
        <x:v>0</x:v>
      </x:c>
      <x:c r="P507" s="12" t="str">
        <x:f>IF(O507="","",O507/86400)</x:f>
      </x:c>
      <x:c r="Q507" s="12" t="str">
        <x:f>IF(O507="","",(H507*60+O507)/86400)</x:f>
      </x:c>
      <x:c r="R507" s="12" t="str">
        <x:f>IF(Q507="","",TEXT(Q507,"hh:mm:ss"))</x:f>
      </x:c>
      <x:c r="S507" s="12" t="str">
        <x:v>否</x:v>
      </x:c>
      <x:c r="T507" s="12" t="str">
        <x:v>否</x:v>
      </x:c>
      <x:c r="U507" s="12" t="str">
        <x:v>未提供</x:v>
      </x:c>
      <x:c r="V507" s="12" t="str">
        <x:v>未提供</x:v>
      </x:c>
      <x:c r="W507" s="12" t="str">
        <x:v>秒级预测</x:v>
      </x:c>
      <x:c r="X507" s="12" t="str">
        <x:v>基于路线秒级参数；如录入实测或手动采用秒，预计到达时间可随公式更新</x:v>
      </x:c>
    </x:row>
    <x:row r="508">
      <x:c r="A508" s="12" t="str">
        <x:v>S0041-03</x:v>
      </x:c>
      <x:c r="B508" s="12" t="str">
        <x:v>S0041</x:v>
      </x:c>
      <x:c r="C508" s="12" t="str">
        <x:v>工作日</x:v>
      </x:c>
      <x:c r="D508" s="12" t="str">
        <x:v>环线1路</x:v>
      </x:c>
      <x:c r="E508" s="12" t="str">
        <x:v>第二班</x:v>
      </x:c>
      <x:c r="F508" s="12" t="n">
        <x:v>15</x:v>
      </x:c>
      <x:c r="G508" s="12" t="str">
        <x:v>17:30</x:v>
      </x:c>
      <x:c r="H508" s="12" t="n">
        <x:v>1050</x:v>
      </x:c>
      <x:c r="I508" s="12" t="str">
        <x:v>研究生宿舍楼</x:v>
      </x:c>
      <x:c r="J508" s="12" t="str">
        <x:v>研究生宿舍楼发车</x:v>
      </x:c>
      <x:c r="K508" s="12" t="str">
        <x:v>HX1_NORMAL</x:v>
      </x:c>
      <x:c r="L508" s="12" t="n">
        <x:v>3</x:v>
      </x:c>
      <x:c r="M508" s="12" t="str">
        <x:v>HX1_NORMAL|3</x:v>
      </x:c>
      <x:c r="N508" s="12" t="str">
        <x:v>2号宿舍楼</x:v>
      </x:c>
      <x:c r="O508" s="12" t="n">
        <x:f>IFERROR(INDEX('秒级路线参数_可调整'!$O:$O,MATCH(M508,'秒级路线参数_可调整'!$A:$A,0)),"")</x:f>
        <x:v>0</x:v>
      </x:c>
      <x:c r="P508" s="12" t="str">
        <x:f>IF(O508="","",O508/86400)</x:f>
      </x:c>
      <x:c r="Q508" s="12" t="str">
        <x:f>IF(O508="","",(H508*60+O508)/86400)</x:f>
      </x:c>
      <x:c r="R508" s="12" t="str">
        <x:f>IF(Q508="","",TEXT(Q508,"hh:mm:ss"))</x:f>
      </x:c>
      <x:c r="S508" s="12" t="str">
        <x:v>否</x:v>
      </x:c>
      <x:c r="T508" s="12" t="str">
        <x:v>否</x:v>
      </x:c>
      <x:c r="U508" s="12" t="str">
        <x:v>未提供</x:v>
      </x:c>
      <x:c r="V508" s="12" t="str">
        <x:v>未提供</x:v>
      </x:c>
      <x:c r="W508" s="12" t="str">
        <x:v>秒级预测</x:v>
      </x:c>
      <x:c r="X508" s="12" t="str">
        <x:v>基于路线秒级参数；如录入实测或手动采用秒，预计到达时间可随公式更新</x:v>
      </x:c>
    </x:row>
    <x:row r="509">
      <x:c r="A509" s="12" t="str">
        <x:v>S0041-04</x:v>
      </x:c>
      <x:c r="B509" s="12" t="str">
        <x:v>S0041</x:v>
      </x:c>
      <x:c r="C509" s="12" t="str">
        <x:v>工作日</x:v>
      </x:c>
      <x:c r="D509" s="12" t="str">
        <x:v>环线1路</x:v>
      </x:c>
      <x:c r="E509" s="12" t="str">
        <x:v>第二班</x:v>
      </x:c>
      <x:c r="F509" s="12" t="n">
        <x:v>15</x:v>
      </x:c>
      <x:c r="G509" s="12" t="str">
        <x:v>17:30</x:v>
      </x:c>
      <x:c r="H509" s="12" t="n">
        <x:v>1050</x:v>
      </x:c>
      <x:c r="I509" s="12" t="str">
        <x:v>研究生宿舍楼</x:v>
      </x:c>
      <x:c r="J509" s="12" t="str">
        <x:v>研究生宿舍楼发车</x:v>
      </x:c>
      <x:c r="K509" s="12" t="str">
        <x:v>HX1_NORMAL</x:v>
      </x:c>
      <x:c r="L509" s="12" t="n">
        <x:v>4</x:v>
      </x:c>
      <x:c r="M509" s="12" t="str">
        <x:v>HX1_NORMAL|4</x:v>
      </x:c>
      <x:c r="N509" s="12" t="str">
        <x:v>军体活动中心</x:v>
      </x:c>
      <x:c r="O509" s="12" t="n">
        <x:f>IFERROR(INDEX('秒级路线参数_可调整'!$O:$O,MATCH(M509,'秒级路线参数_可调整'!$A:$A,0)),"")</x:f>
        <x:v>0</x:v>
      </x:c>
      <x:c r="P509" s="12" t="str">
        <x:f>IF(O509="","",O509/86400)</x:f>
      </x:c>
      <x:c r="Q509" s="12" t="str">
        <x:f>IF(O509="","",(H509*60+O509)/86400)</x:f>
      </x:c>
      <x:c r="R509" s="12" t="str">
        <x:f>IF(Q509="","",TEXT(Q509,"hh:mm:ss"))</x:f>
      </x:c>
      <x:c r="S509" s="12" t="str">
        <x:v>否</x:v>
      </x:c>
      <x:c r="T509" s="12" t="str">
        <x:v>否</x:v>
      </x:c>
      <x:c r="U509" s="12" t="str">
        <x:v>未提供</x:v>
      </x:c>
      <x:c r="V509" s="12" t="str">
        <x:v>未提供</x:v>
      </x:c>
      <x:c r="W509" s="12" t="str">
        <x:v>秒级预测</x:v>
      </x:c>
      <x:c r="X509" s="12" t="str">
        <x:v>基于路线秒级参数；如录入实测或手动采用秒，预计到达时间可随公式更新</x:v>
      </x:c>
    </x:row>
    <x:row r="510">
      <x:c r="A510" s="12" t="str">
        <x:v>S0041-05</x:v>
      </x:c>
      <x:c r="B510" s="12" t="str">
        <x:v>S0041</x:v>
      </x:c>
      <x:c r="C510" s="12" t="str">
        <x:v>工作日</x:v>
      </x:c>
      <x:c r="D510" s="12" t="str">
        <x:v>环线1路</x:v>
      </x:c>
      <x:c r="E510" s="12" t="str">
        <x:v>第二班</x:v>
      </x:c>
      <x:c r="F510" s="12" t="n">
        <x:v>15</x:v>
      </x:c>
      <x:c r="G510" s="12" t="str">
        <x:v>17:30</x:v>
      </x:c>
      <x:c r="H510" s="12" t="n">
        <x:v>1050</x:v>
      </x:c>
      <x:c r="I510" s="12" t="str">
        <x:v>研究生宿舍楼</x:v>
      </x:c>
      <x:c r="J510" s="12" t="str">
        <x:v>研究生宿舍楼发车</x:v>
      </x:c>
      <x:c r="K510" s="12" t="str">
        <x:v>HX1_NORMAL</x:v>
      </x:c>
      <x:c r="L510" s="12" t="n">
        <x:v>5</x:v>
      </x:c>
      <x:c r="M510" s="12" t="str">
        <x:v>HX1_NORMAL|5</x:v>
      </x:c>
      <x:c r="N510" s="12" t="str">
        <x:v>激光所</x:v>
      </x:c>
      <x:c r="O510" s="12" t="n">
        <x:f>IFERROR(INDEX('秒级路线参数_可调整'!$O:$O,MATCH(M510,'秒级路线参数_可调整'!$A:$A,0)),"")</x:f>
        <x:v>0</x:v>
      </x:c>
      <x:c r="P510" s="12" t="str">
        <x:f>IF(O510="","",O510/86400)</x:f>
      </x:c>
      <x:c r="Q510" s="12" t="str">
        <x:f>IF(O510="","",(H510*60+O510)/86400)</x:f>
      </x:c>
      <x:c r="R510" s="12" t="str">
        <x:f>IF(Q510="","",TEXT(Q510,"hh:mm:ss"))</x:f>
      </x:c>
      <x:c r="S510" s="12" t="str">
        <x:v>否</x:v>
      </x:c>
      <x:c r="T510" s="12" t="str">
        <x:v>否</x:v>
      </x:c>
      <x:c r="U510" s="12" t="str">
        <x:v>未提供</x:v>
      </x:c>
      <x:c r="V510" s="12" t="str">
        <x:v>未提供</x:v>
      </x:c>
      <x:c r="W510" s="12" t="str">
        <x:v>秒级预测</x:v>
      </x:c>
      <x:c r="X510" s="12" t="str">
        <x:v>基于路线秒级参数；如录入实测或手动采用秒，预计到达时间可随公式更新</x:v>
      </x:c>
    </x:row>
    <x:row r="511">
      <x:c r="A511" s="12" t="str">
        <x:v>S0041-06</x:v>
      </x:c>
      <x:c r="B511" s="12" t="str">
        <x:v>S0041</x:v>
      </x:c>
      <x:c r="C511" s="12" t="str">
        <x:v>工作日</x:v>
      </x:c>
      <x:c r="D511" s="12" t="str">
        <x:v>环线1路</x:v>
      </x:c>
      <x:c r="E511" s="12" t="str">
        <x:v>第二班</x:v>
      </x:c>
      <x:c r="F511" s="12" t="n">
        <x:v>15</x:v>
      </x:c>
      <x:c r="G511" s="12" t="str">
        <x:v>17:30</x:v>
      </x:c>
      <x:c r="H511" s="12" t="n">
        <x:v>1050</x:v>
      </x:c>
      <x:c r="I511" s="12" t="str">
        <x:v>研究生宿舍楼</x:v>
      </x:c>
      <x:c r="J511" s="12" t="str">
        <x:v>研究生宿舍楼发车</x:v>
      </x:c>
      <x:c r="K511" s="12" t="str">
        <x:v>HX1_NORMAL</x:v>
      </x:c>
      <x:c r="L511" s="12" t="n">
        <x:v>6</x:v>
      </x:c>
      <x:c r="M511" s="12" t="str">
        <x:v>HX1_NORMAL|6</x:v>
      </x:c>
      <x:c r="N511" s="12" t="str">
        <x:v>超算中心</x:v>
      </x:c>
      <x:c r="O511" s="12" t="n">
        <x:f>IFERROR(INDEX('秒级路线参数_可调整'!$O:$O,MATCH(M511,'秒级路线参数_可调整'!$A:$A,0)),"")</x:f>
        <x:v>0</x:v>
      </x:c>
      <x:c r="P511" s="12" t="str">
        <x:f>IF(O511="","",O511/86400)</x:f>
      </x:c>
      <x:c r="Q511" s="12" t="str">
        <x:f>IF(O511="","",(H511*60+O511)/86400)</x:f>
      </x:c>
      <x:c r="R511" s="12" t="str">
        <x:f>IF(Q511="","",TEXT(Q511,"hh:mm:ss"))</x:f>
      </x:c>
      <x:c r="S511" s="12" t="str">
        <x:v>否</x:v>
      </x:c>
      <x:c r="T511" s="12" t="str">
        <x:v>否</x:v>
      </x:c>
      <x:c r="U511" s="12" t="str">
        <x:v>未提供</x:v>
      </x:c>
      <x:c r="V511" s="12" t="str">
        <x:v>未提供</x:v>
      </x:c>
      <x:c r="W511" s="12" t="str">
        <x:v>秒级预测</x:v>
      </x:c>
      <x:c r="X511" s="12" t="str">
        <x:v>基于路线秒级参数；如录入实测或手动采用秒，预计到达时间可随公式更新</x:v>
      </x:c>
    </x:row>
    <x:row r="512">
      <x:c r="A512" s="12" t="str">
        <x:v>S0041-07</x:v>
      </x:c>
      <x:c r="B512" s="12" t="str">
        <x:v>S0041</x:v>
      </x:c>
      <x:c r="C512" s="12" t="str">
        <x:v>工作日</x:v>
      </x:c>
      <x:c r="D512" s="12" t="str">
        <x:v>环线1路</x:v>
      </x:c>
      <x:c r="E512" s="12" t="str">
        <x:v>第二班</x:v>
      </x:c>
      <x:c r="F512" s="12" t="n">
        <x:v>15</x:v>
      </x:c>
      <x:c r="G512" s="12" t="str">
        <x:v>17:30</x:v>
      </x:c>
      <x:c r="H512" s="12" t="n">
        <x:v>1050</x:v>
      </x:c>
      <x:c r="I512" s="12" t="str">
        <x:v>研究生宿舍楼</x:v>
      </x:c>
      <x:c r="J512" s="12" t="str">
        <x:v>研究生宿舍楼发车</x:v>
      </x:c>
      <x:c r="K512" s="12" t="str">
        <x:v>HX1_NORMAL</x:v>
      </x:c>
      <x:c r="L512" s="12" t="n">
        <x:v>7</x:v>
      </x:c>
      <x:c r="M512" s="12" t="str">
        <x:v>HX1_NORMAL|7</x:v>
      </x:c>
      <x:c r="N512" s="12" t="str">
        <x:v>北门</x:v>
      </x:c>
      <x:c r="O512" s="12" t="n">
        <x:f>IFERROR(INDEX('秒级路线参数_可调整'!$O:$O,MATCH(M512,'秒级路线参数_可调整'!$A:$A,0)),"")</x:f>
        <x:v>0</x:v>
      </x:c>
      <x:c r="P512" s="12" t="str">
        <x:f>IF(O512="","",O512/86400)</x:f>
      </x:c>
      <x:c r="Q512" s="12" t="str">
        <x:f>IF(O512="","",(H512*60+O512)/86400)</x:f>
      </x:c>
      <x:c r="R512" s="12" t="str">
        <x:f>IF(Q512="","",TEXT(Q512,"hh:mm:ss"))</x:f>
      </x:c>
      <x:c r="S512" s="12" t="str">
        <x:v>否</x:v>
      </x:c>
      <x:c r="T512" s="12" t="str">
        <x:v>否</x:v>
      </x:c>
      <x:c r="U512" s="12" t="str">
        <x:v>未提供</x:v>
      </x:c>
      <x:c r="V512" s="12" t="str">
        <x:v>未提供</x:v>
      </x:c>
      <x:c r="W512" s="12" t="str">
        <x:v>秒级预测</x:v>
      </x:c>
      <x:c r="X512" s="12" t="str">
        <x:v>基于路线秒级参数；如录入实测或手动采用秒，预计到达时间可随公式更新</x:v>
      </x:c>
    </x:row>
    <x:row r="513">
      <x:c r="A513" s="12" t="str">
        <x:v>S0041-08</x:v>
      </x:c>
      <x:c r="B513" s="12" t="str">
        <x:v>S0041</x:v>
      </x:c>
      <x:c r="C513" s="12" t="str">
        <x:v>工作日</x:v>
      </x:c>
      <x:c r="D513" s="12" t="str">
        <x:v>环线1路</x:v>
      </x:c>
      <x:c r="E513" s="12" t="str">
        <x:v>第二班</x:v>
      </x:c>
      <x:c r="F513" s="12" t="n">
        <x:v>15</x:v>
      </x:c>
      <x:c r="G513" s="12" t="str">
        <x:v>17:30</x:v>
      </x:c>
      <x:c r="H513" s="12" t="n">
        <x:v>1050</x:v>
      </x:c>
      <x:c r="I513" s="12" t="str">
        <x:v>研究生宿舍楼</x:v>
      </x:c>
      <x:c r="J513" s="12" t="str">
        <x:v>研究生宿舍楼发车</x:v>
      </x:c>
      <x:c r="K513" s="12" t="str">
        <x:v>HX1_NORMAL</x:v>
      </x:c>
      <x:c r="L513" s="12" t="n">
        <x:v>8</x:v>
      </x:c>
      <x:c r="M513" s="12" t="str">
        <x:v>HX1_NORMAL|8</x:v>
      </x:c>
      <x:c r="N513" s="12" t="str">
        <x:v>高超楼</x:v>
      </x:c>
      <x:c r="O513" s="12" t="n">
        <x:f>IFERROR(INDEX('秒级路线参数_可调整'!$O:$O,MATCH(M513,'秒级路线参数_可调整'!$A:$A,0)),"")</x:f>
        <x:v>0</x:v>
      </x:c>
      <x:c r="P513" s="12" t="str">
        <x:f>IF(O513="","",O513/86400)</x:f>
      </x:c>
      <x:c r="Q513" s="12" t="str">
        <x:f>IF(O513="","",(H513*60+O513)/86400)</x:f>
      </x:c>
      <x:c r="R513" s="12" t="str">
        <x:f>IF(Q513="","",TEXT(Q513,"hh:mm:ss"))</x:f>
      </x:c>
      <x:c r="S513" s="12" t="str">
        <x:v>否</x:v>
      </x:c>
      <x:c r="T513" s="12" t="str">
        <x:v>否</x:v>
      </x:c>
      <x:c r="U513" s="12" t="str">
        <x:v>未提供</x:v>
      </x:c>
      <x:c r="V513" s="12" t="str">
        <x:v>未提供</x:v>
      </x:c>
      <x:c r="W513" s="12" t="str">
        <x:v>秒级预测</x:v>
      </x:c>
      <x:c r="X513" s="12" t="str">
        <x:v>基于路线秒级参数；如录入实测或手动采用秒，预计到达时间可随公式更新</x:v>
      </x:c>
    </x:row>
    <x:row r="514">
      <x:c r="A514" s="12" t="str">
        <x:v>S0041-09</x:v>
      </x:c>
      <x:c r="B514" s="12" t="str">
        <x:v>S0041</x:v>
      </x:c>
      <x:c r="C514" s="12" t="str">
        <x:v>工作日</x:v>
      </x:c>
      <x:c r="D514" s="12" t="str">
        <x:v>环线1路</x:v>
      </x:c>
      <x:c r="E514" s="12" t="str">
        <x:v>第二班</x:v>
      </x:c>
      <x:c r="F514" s="12" t="n">
        <x:v>15</x:v>
      </x:c>
      <x:c r="G514" s="12" t="str">
        <x:v>17:30</x:v>
      </x:c>
      <x:c r="H514" s="12" t="n">
        <x:v>1050</x:v>
      </x:c>
      <x:c r="I514" s="12" t="str">
        <x:v>研究生宿舍楼</x:v>
      </x:c>
      <x:c r="J514" s="12" t="str">
        <x:v>研究生宿舍楼发车</x:v>
      </x:c>
      <x:c r="K514" s="12" t="str">
        <x:v>HX1_NORMAL</x:v>
      </x:c>
      <x:c r="L514" s="12" t="n">
        <x:v>9</x:v>
      </x:c>
      <x:c r="M514" s="12" t="str">
        <x:v>HX1_NORMAL|9</x:v>
      </x:c>
      <x:c r="N514" s="12" t="str">
        <x:v>理学院</x:v>
      </x:c>
      <x:c r="O514" s="12" t="n">
        <x:f>IFERROR(INDEX('秒级路线参数_可调整'!$O:$O,MATCH(M514,'秒级路线参数_可调整'!$A:$A,0)),"")</x:f>
        <x:v>0</x:v>
      </x:c>
      <x:c r="P514" s="12" t="str">
        <x:f>IF(O514="","",O514/86400)</x:f>
      </x:c>
      <x:c r="Q514" s="12" t="str">
        <x:f>IF(O514="","",(H514*60+O514)/86400)</x:f>
      </x:c>
      <x:c r="R514" s="12" t="str">
        <x:f>IF(Q514="","",TEXT(Q514,"hh:mm:ss"))</x:f>
      </x:c>
      <x:c r="S514" s="12" t="str">
        <x:v>否</x:v>
      </x:c>
      <x:c r="T514" s="12" t="str">
        <x:v>否</x:v>
      </x:c>
      <x:c r="U514" s="12" t="str">
        <x:v>未提供</x:v>
      </x:c>
      <x:c r="V514" s="12" t="str">
        <x:v>未提供</x:v>
      </x:c>
      <x:c r="W514" s="12" t="str">
        <x:v>秒级预测</x:v>
      </x:c>
      <x:c r="X514" s="12" t="str">
        <x:v>基于路线秒级参数；如录入实测或手动采用秒，预计到达时间可随公式更新</x:v>
      </x:c>
    </x:row>
    <x:row r="515">
      <x:c r="A515" s="12" t="str">
        <x:v>S0041-10</x:v>
      </x:c>
      <x:c r="B515" s="12" t="str">
        <x:v>S0041</x:v>
      </x:c>
      <x:c r="C515" s="12" t="str">
        <x:v>工作日</x:v>
      </x:c>
      <x:c r="D515" s="12" t="str">
        <x:v>环线1路</x:v>
      </x:c>
      <x:c r="E515" s="12" t="str">
        <x:v>第二班</x:v>
      </x:c>
      <x:c r="F515" s="12" t="n">
        <x:v>15</x:v>
      </x:c>
      <x:c r="G515" s="12" t="str">
        <x:v>17:30</x:v>
      </x:c>
      <x:c r="H515" s="12" t="n">
        <x:v>1050</x:v>
      </x:c>
      <x:c r="I515" s="12" t="str">
        <x:v>研究生宿舍楼</x:v>
      </x:c>
      <x:c r="J515" s="12" t="str">
        <x:v>研究生宿舍楼发车</x:v>
      </x:c>
      <x:c r="K515" s="12" t="str">
        <x:v>HX1_NORMAL</x:v>
      </x:c>
      <x:c r="L515" s="12" t="n">
        <x:v>10</x:v>
      </x:c>
      <x:c r="M515" s="12" t="str">
        <x:v>HX1_NORMAL|10</x:v>
      </x:c>
      <x:c r="N515" s="12" t="str">
        <x:v>二食堂</x:v>
      </x:c>
      <x:c r="O515" s="12" t="n">
        <x:f>IFERROR(INDEX('秒级路线参数_可调整'!$O:$O,MATCH(M515,'秒级路线参数_可调整'!$A:$A,0)),"")</x:f>
        <x:v>0</x:v>
      </x:c>
      <x:c r="P515" s="12" t="str">
        <x:f>IF(O515="","",O515/86400)</x:f>
      </x:c>
      <x:c r="Q515" s="12" t="str">
        <x:f>IF(O515="","",(H515*60+O515)/86400)</x:f>
      </x:c>
      <x:c r="R515" s="12" t="str">
        <x:f>IF(Q515="","",TEXT(Q515,"hh:mm:ss"))</x:f>
      </x:c>
      <x:c r="S515" s="12" t="str">
        <x:v>否</x:v>
      </x:c>
      <x:c r="T515" s="12" t="str">
        <x:v>否</x:v>
      </x:c>
      <x:c r="U515" s="12" t="str">
        <x:v>未提供</x:v>
      </x:c>
      <x:c r="V515" s="12" t="str">
        <x:v>未提供</x:v>
      </x:c>
      <x:c r="W515" s="12" t="str">
        <x:v>秒级预测</x:v>
      </x:c>
      <x:c r="X515" s="12" t="str">
        <x:v>基于路线秒级参数；如录入实测或手动采用秒，预计到达时间可随公式更新</x:v>
      </x:c>
    </x:row>
    <x:row r="516">
      <x:c r="A516" s="12" t="str">
        <x:v>S0041-11</x:v>
      </x:c>
      <x:c r="B516" s="12" t="str">
        <x:v>S0041</x:v>
      </x:c>
      <x:c r="C516" s="12" t="str">
        <x:v>工作日</x:v>
      </x:c>
      <x:c r="D516" s="12" t="str">
        <x:v>环线1路</x:v>
      </x:c>
      <x:c r="E516" s="12" t="str">
        <x:v>第二班</x:v>
      </x:c>
      <x:c r="F516" s="12" t="n">
        <x:v>15</x:v>
      </x:c>
      <x:c r="G516" s="12" t="str">
        <x:v>17:30</x:v>
      </x:c>
      <x:c r="H516" s="12" t="n">
        <x:v>1050</x:v>
      </x:c>
      <x:c r="I516" s="12" t="str">
        <x:v>研究生宿舍楼</x:v>
      </x:c>
      <x:c r="J516" s="12" t="str">
        <x:v>研究生宿舍楼发车</x:v>
      </x:c>
      <x:c r="K516" s="12" t="str">
        <x:v>HX1_NORMAL</x:v>
      </x:c>
      <x:c r="L516" s="12" t="n">
        <x:v>11</x:v>
      </x:c>
      <x:c r="M516" s="12" t="str">
        <x:v>HX1_NORMAL|11</x:v>
      </x:c>
      <x:c r="N516" s="12" t="str">
        <x:v>5号宿舍楼</x:v>
      </x:c>
      <x:c r="O516" s="12" t="n">
        <x:f>IFERROR(INDEX('秒级路线参数_可调整'!$O:$O,MATCH(M516,'秒级路线参数_可调整'!$A:$A,0)),"")</x:f>
        <x:v>0</x:v>
      </x:c>
      <x:c r="P516" s="12" t="str">
        <x:f>IF(O516="","",O516/86400)</x:f>
      </x:c>
      <x:c r="Q516" s="12" t="str">
        <x:f>IF(O516="","",(H516*60+O516)/86400)</x:f>
      </x:c>
      <x:c r="R516" s="12" t="str">
        <x:f>IF(Q516="","",TEXT(Q516,"hh:mm:ss"))</x:f>
      </x:c>
      <x:c r="S516" s="12" t="str">
        <x:v>否</x:v>
      </x:c>
      <x:c r="T516" s="12" t="str">
        <x:v>否</x:v>
      </x:c>
      <x:c r="U516" s="12" t="str">
        <x:v>未提供</x:v>
      </x:c>
      <x:c r="V516" s="12" t="str">
        <x:v>未提供</x:v>
      </x:c>
      <x:c r="W516" s="12" t="str">
        <x:v>秒级预测</x:v>
      </x:c>
      <x:c r="X516" s="12" t="str">
        <x:v>基于路线秒级参数；如录入实测或手动采用秒，预计到达时间可随公式更新</x:v>
      </x:c>
    </x:row>
    <x:row r="517">
      <x:c r="A517" s="12" t="str">
        <x:v>S0041-12</x:v>
      </x:c>
      <x:c r="B517" s="12" t="str">
        <x:v>S0041</x:v>
      </x:c>
      <x:c r="C517" s="12" t="str">
        <x:v>工作日</x:v>
      </x:c>
      <x:c r="D517" s="12" t="str">
        <x:v>环线1路</x:v>
      </x:c>
      <x:c r="E517" s="12" t="str">
        <x:v>第二班</x:v>
      </x:c>
      <x:c r="F517" s="12" t="n">
        <x:v>15</x:v>
      </x:c>
      <x:c r="G517" s="12" t="str">
        <x:v>17:30</x:v>
      </x:c>
      <x:c r="H517" s="12" t="n">
        <x:v>1050</x:v>
      </x:c>
      <x:c r="I517" s="12" t="str">
        <x:v>研究生宿舍楼</x:v>
      </x:c>
      <x:c r="J517" s="12" t="str">
        <x:v>研究生宿舍楼发车</x:v>
      </x:c>
      <x:c r="K517" s="12" t="str">
        <x:v>HX1_NORMAL</x:v>
      </x:c>
      <x:c r="L517" s="12" t="n">
        <x:v>12</x:v>
      </x:c>
      <x:c r="M517" s="12" t="str">
        <x:v>HX1_NORMAL|12</x:v>
      </x:c>
      <x:c r="N517" s="12" t="str">
        <x:v>305教学楼</x:v>
      </x:c>
      <x:c r="O517" s="12" t="n">
        <x:f>IFERROR(INDEX('秒级路线参数_可调整'!$O:$O,MATCH(M517,'秒级路线参数_可调整'!$A:$A,0)),"")</x:f>
        <x:v>0</x:v>
      </x:c>
      <x:c r="P517" s="12" t="str">
        <x:f>IF(O517="","",O517/86400)</x:f>
      </x:c>
      <x:c r="Q517" s="12" t="str">
        <x:f>IF(O517="","",(H517*60+O517)/86400)</x:f>
      </x:c>
      <x:c r="R517" s="12" t="str">
        <x:f>IF(Q517="","",TEXT(Q517,"hh:mm:ss"))</x:f>
      </x:c>
      <x:c r="S517" s="12" t="str">
        <x:v>否</x:v>
      </x:c>
      <x:c r="T517" s="12" t="str">
        <x:v>否</x:v>
      </x:c>
      <x:c r="U517" s="12" t="str">
        <x:v>未提供</x:v>
      </x:c>
      <x:c r="V517" s="12" t="str">
        <x:v>未提供</x:v>
      </x:c>
      <x:c r="W517" s="12" t="str">
        <x:v>秒级预测</x:v>
      </x:c>
      <x:c r="X517" s="12" t="str">
        <x:v>基于路线秒级参数；如录入实测或手动采用秒，预计到达时间可随公式更新</x:v>
      </x:c>
    </x:row>
    <x:row r="518">
      <x:c r="A518" s="12" t="str">
        <x:v>S0041-13</x:v>
      </x:c>
      <x:c r="B518" s="12" t="str">
        <x:v>S0041</x:v>
      </x:c>
      <x:c r="C518" s="12" t="str">
        <x:v>工作日</x:v>
      </x:c>
      <x:c r="D518" s="12" t="str">
        <x:v>环线1路</x:v>
      </x:c>
      <x:c r="E518" s="12" t="str">
        <x:v>第二班</x:v>
      </x:c>
      <x:c r="F518" s="12" t="n">
        <x:v>15</x:v>
      </x:c>
      <x:c r="G518" s="12" t="str">
        <x:v>17:30</x:v>
      </x:c>
      <x:c r="H518" s="12" t="n">
        <x:v>1050</x:v>
      </x:c>
      <x:c r="I518" s="12" t="str">
        <x:v>研究生宿舍楼</x:v>
      </x:c>
      <x:c r="J518" s="12" t="str">
        <x:v>研究生宿舍楼发车</x:v>
      </x:c>
      <x:c r="K518" s="12" t="str">
        <x:v>HX1_NORMAL</x:v>
      </x:c>
      <x:c r="L518" s="12" t="n">
        <x:v>13</x:v>
      </x:c>
      <x:c r="M518" s="12" t="str">
        <x:v>HX1_NORMAL|13</x:v>
      </x:c>
      <x:c r="N518" s="12" t="str">
        <x:v>研究生宿舍楼</x:v>
      </x:c>
      <x:c r="O518" s="12" t="n">
        <x:f>IFERROR(INDEX('秒级路线参数_可调整'!$O:$O,MATCH(M518,'秒级路线参数_可调整'!$A:$A,0)),"")</x:f>
        <x:v>0</x:v>
      </x:c>
      <x:c r="P518" s="12" t="str">
        <x:f>IF(O518="","",O518/86400)</x:f>
      </x:c>
      <x:c r="Q518" s="12" t="str">
        <x:f>IF(O518="","",(H518*60+O518)/86400)</x:f>
      </x:c>
      <x:c r="R518" s="12" t="str">
        <x:f>IF(Q518="","",TEXT(Q518,"hh:mm:ss"))</x:f>
      </x:c>
      <x:c r="S518" s="12" t="str">
        <x:v>否</x:v>
      </x:c>
      <x:c r="T518" s="12" t="str">
        <x:v>是</x:v>
      </x:c>
      <x:c r="U518" s="12" t="str">
        <x:v>未提供</x:v>
      </x:c>
      <x:c r="V518" s="12" t="str">
        <x:v>未提供</x:v>
      </x:c>
      <x:c r="W518" s="12" t="str">
        <x:v>秒级预测</x:v>
      </x:c>
      <x:c r="X518" s="12" t="str">
        <x:v>基于路线秒级参数；如录入实测或手动采用秒，预计到达时间可随公式更新</x:v>
      </x:c>
    </x:row>
    <x:row r="519">
      <x:c r="A519" s="12" t="str">
        <x:v>S0042-01</x:v>
      </x:c>
      <x:c r="B519" s="12" t="str">
        <x:v>S0042</x:v>
      </x:c>
      <x:c r="C519" s="12" t="str">
        <x:v>工作日</x:v>
      </x:c>
      <x:c r="D519" s="12" t="str">
        <x:v>环线1路</x:v>
      </x:c>
      <x:c r="E519" s="12" t="str">
        <x:v>第五班（夜2）</x:v>
      </x:c>
      <x:c r="F519" s="12" t="n">
        <x:v>1</x:v>
      </x:c>
      <x:c r="G519" s="12" t="str">
        <x:v>16:15</x:v>
      </x:c>
      <x:c r="H519" s="12" t="n">
        <x:v>975</x:v>
      </x:c>
      <x:c r="I519" s="12" t="str">
        <x:v>研究生宿舍楼</x:v>
      </x:c>
      <x:c r="J519" s="12" t="str">
        <x:v>研究生宿舍楼发车</x:v>
      </x:c>
      <x:c r="K519" s="12" t="str">
        <x:v>HX1_NORMAL</x:v>
      </x:c>
      <x:c r="L519" s="12" t="n">
        <x:v>1</x:v>
      </x:c>
      <x:c r="M519" s="12" t="str">
        <x:v>HX1_NORMAL|1</x:v>
      </x:c>
      <x:c r="N519" s="12" t="str">
        <x:v>研究生宿舍楼</x:v>
      </x:c>
      <x:c r="O519" s="12" t="n">
        <x:f>IFERROR(INDEX('秒级路线参数_可调整'!$O:$O,MATCH(M519,'秒级路线参数_可调整'!$A:$A,0)),"")</x:f>
        <x:v>0</x:v>
      </x:c>
      <x:c r="P519" s="12" t="str">
        <x:f>IF(O519="","",O519/86400)</x:f>
      </x:c>
      <x:c r="Q519" s="12" t="str">
        <x:f>IF(O519="","",(H519*60+O519)/86400)</x:f>
      </x:c>
      <x:c r="R519" s="12" t="str">
        <x:f>IF(Q519="","",TEXT(Q519,"hh:mm:ss"))</x:f>
      </x:c>
      <x:c r="S519" s="12" t="str">
        <x:v>是</x:v>
      </x:c>
      <x:c r="T519" s="12" t="str">
        <x:v>否</x:v>
      </x:c>
      <x:c r="U519" s="12" t="str">
        <x:v>未提供</x:v>
      </x:c>
      <x:c r="V519" s="12" t="str">
        <x:v>未提供</x:v>
      </x:c>
      <x:c r="W519" s="12" t="str">
        <x:v>秒级预测</x:v>
      </x:c>
      <x:c r="X519" s="12" t="str">
        <x:v>基于路线秒级参数；如录入实测或手动采用秒，预计到达时间可随公式更新</x:v>
      </x:c>
    </x:row>
    <x:row r="520">
      <x:c r="A520" s="12" t="str">
        <x:v>S0042-02</x:v>
      </x:c>
      <x:c r="B520" s="12" t="str">
        <x:v>S0042</x:v>
      </x:c>
      <x:c r="C520" s="12" t="str">
        <x:v>工作日</x:v>
      </x:c>
      <x:c r="D520" s="12" t="str">
        <x:v>环线1路</x:v>
      </x:c>
      <x:c r="E520" s="12" t="str">
        <x:v>第五班（夜2）</x:v>
      </x:c>
      <x:c r="F520" s="12" t="n">
        <x:v>1</x:v>
      </x:c>
      <x:c r="G520" s="12" t="str">
        <x:v>16:15</x:v>
      </x:c>
      <x:c r="H520" s="12" t="n">
        <x:v>975</x:v>
      </x:c>
      <x:c r="I520" s="12" t="str">
        <x:v>研究生宿舍楼</x:v>
      </x:c>
      <x:c r="J520" s="12" t="str">
        <x:v>研究生宿舍楼发车</x:v>
      </x:c>
      <x:c r="K520" s="12" t="str">
        <x:v>HX1_NORMAL</x:v>
      </x:c>
      <x:c r="L520" s="12" t="n">
        <x:v>2</x:v>
      </x:c>
      <x:c r="M520" s="12" t="str">
        <x:v>HX1_NORMAL|2</x:v>
      </x:c>
      <x:c r="N520" s="12" t="str">
        <x:v>东门</x:v>
      </x:c>
      <x:c r="O520" s="12" t="n">
        <x:f>IFERROR(INDEX('秒级路线参数_可调整'!$O:$O,MATCH(M520,'秒级路线参数_可调整'!$A:$A,0)),"")</x:f>
        <x:v>0</x:v>
      </x:c>
      <x:c r="P520" s="12" t="str">
        <x:f>IF(O520="","",O520/86400)</x:f>
      </x:c>
      <x:c r="Q520" s="12" t="str">
        <x:f>IF(O520="","",(H520*60+O520)/86400)</x:f>
      </x:c>
      <x:c r="R520" s="12" t="str">
        <x:f>IF(Q520="","",TEXT(Q520,"hh:mm:ss"))</x:f>
      </x:c>
      <x:c r="S520" s="12" t="str">
        <x:v>否</x:v>
      </x:c>
      <x:c r="T520" s="12" t="str">
        <x:v>否</x:v>
      </x:c>
      <x:c r="U520" s="12" t="str">
        <x:v>未提供</x:v>
      </x:c>
      <x:c r="V520" s="12" t="str">
        <x:v>未提供</x:v>
      </x:c>
      <x:c r="W520" s="12" t="str">
        <x:v>秒级预测</x:v>
      </x:c>
      <x:c r="X520" s="12" t="str">
        <x:v>基于路线秒级参数；如录入实测或手动采用秒，预计到达时间可随公式更新</x:v>
      </x:c>
    </x:row>
    <x:row r="521">
      <x:c r="A521" s="12" t="str">
        <x:v>S0042-03</x:v>
      </x:c>
      <x:c r="B521" s="12" t="str">
        <x:v>S0042</x:v>
      </x:c>
      <x:c r="C521" s="12" t="str">
        <x:v>工作日</x:v>
      </x:c>
      <x:c r="D521" s="12" t="str">
        <x:v>环线1路</x:v>
      </x:c>
      <x:c r="E521" s="12" t="str">
        <x:v>第五班（夜2）</x:v>
      </x:c>
      <x:c r="F521" s="12" t="n">
        <x:v>1</x:v>
      </x:c>
      <x:c r="G521" s="12" t="str">
        <x:v>16:15</x:v>
      </x:c>
      <x:c r="H521" s="12" t="n">
        <x:v>975</x:v>
      </x:c>
      <x:c r="I521" s="12" t="str">
        <x:v>研究生宿舍楼</x:v>
      </x:c>
      <x:c r="J521" s="12" t="str">
        <x:v>研究生宿舍楼发车</x:v>
      </x:c>
      <x:c r="K521" s="12" t="str">
        <x:v>HX1_NORMAL</x:v>
      </x:c>
      <x:c r="L521" s="12" t="n">
        <x:v>3</x:v>
      </x:c>
      <x:c r="M521" s="12" t="str">
        <x:v>HX1_NORMAL|3</x:v>
      </x:c>
      <x:c r="N521" s="12" t="str">
        <x:v>2号宿舍楼</x:v>
      </x:c>
      <x:c r="O521" s="12" t="n">
        <x:f>IFERROR(INDEX('秒级路线参数_可调整'!$O:$O,MATCH(M521,'秒级路线参数_可调整'!$A:$A,0)),"")</x:f>
        <x:v>0</x:v>
      </x:c>
      <x:c r="P521" s="12" t="str">
        <x:f>IF(O521="","",O521/86400)</x:f>
      </x:c>
      <x:c r="Q521" s="12" t="str">
        <x:f>IF(O521="","",(H521*60+O521)/86400)</x:f>
      </x:c>
      <x:c r="R521" s="12" t="str">
        <x:f>IF(Q521="","",TEXT(Q521,"hh:mm:ss"))</x:f>
      </x:c>
      <x:c r="S521" s="12" t="str">
        <x:v>否</x:v>
      </x:c>
      <x:c r="T521" s="12" t="str">
        <x:v>否</x:v>
      </x:c>
      <x:c r="U521" s="12" t="str">
        <x:v>未提供</x:v>
      </x:c>
      <x:c r="V521" s="12" t="str">
        <x:v>未提供</x:v>
      </x:c>
      <x:c r="W521" s="12" t="str">
        <x:v>秒级预测</x:v>
      </x:c>
      <x:c r="X521" s="12" t="str">
        <x:v>基于路线秒级参数；如录入实测或手动采用秒，预计到达时间可随公式更新</x:v>
      </x:c>
    </x:row>
    <x:row r="522">
      <x:c r="A522" s="12" t="str">
        <x:v>S0042-04</x:v>
      </x:c>
      <x:c r="B522" s="12" t="str">
        <x:v>S0042</x:v>
      </x:c>
      <x:c r="C522" s="12" t="str">
        <x:v>工作日</x:v>
      </x:c>
      <x:c r="D522" s="12" t="str">
        <x:v>环线1路</x:v>
      </x:c>
      <x:c r="E522" s="12" t="str">
        <x:v>第五班（夜2）</x:v>
      </x:c>
      <x:c r="F522" s="12" t="n">
        <x:v>1</x:v>
      </x:c>
      <x:c r="G522" s="12" t="str">
        <x:v>16:15</x:v>
      </x:c>
      <x:c r="H522" s="12" t="n">
        <x:v>975</x:v>
      </x:c>
      <x:c r="I522" s="12" t="str">
        <x:v>研究生宿舍楼</x:v>
      </x:c>
      <x:c r="J522" s="12" t="str">
        <x:v>研究生宿舍楼发车</x:v>
      </x:c>
      <x:c r="K522" s="12" t="str">
        <x:v>HX1_NORMAL</x:v>
      </x:c>
      <x:c r="L522" s="12" t="n">
        <x:v>4</x:v>
      </x:c>
      <x:c r="M522" s="12" t="str">
        <x:v>HX1_NORMAL|4</x:v>
      </x:c>
      <x:c r="N522" s="12" t="str">
        <x:v>军体活动中心</x:v>
      </x:c>
      <x:c r="O522" s="12" t="n">
        <x:f>IFERROR(INDEX('秒级路线参数_可调整'!$O:$O,MATCH(M522,'秒级路线参数_可调整'!$A:$A,0)),"")</x:f>
        <x:v>0</x:v>
      </x:c>
      <x:c r="P522" s="12" t="str">
        <x:f>IF(O522="","",O522/86400)</x:f>
      </x:c>
      <x:c r="Q522" s="12" t="str">
        <x:f>IF(O522="","",(H522*60+O522)/86400)</x:f>
      </x:c>
      <x:c r="R522" s="12" t="str">
        <x:f>IF(Q522="","",TEXT(Q522,"hh:mm:ss"))</x:f>
      </x:c>
      <x:c r="S522" s="12" t="str">
        <x:v>否</x:v>
      </x:c>
      <x:c r="T522" s="12" t="str">
        <x:v>否</x:v>
      </x:c>
      <x:c r="U522" s="12" t="str">
        <x:v>未提供</x:v>
      </x:c>
      <x:c r="V522" s="12" t="str">
        <x:v>未提供</x:v>
      </x:c>
      <x:c r="W522" s="12" t="str">
        <x:v>秒级预测</x:v>
      </x:c>
      <x:c r="X522" s="12" t="str">
        <x:v>基于路线秒级参数；如录入实测或手动采用秒，预计到达时间可随公式更新</x:v>
      </x:c>
    </x:row>
    <x:row r="523">
      <x:c r="A523" s="12" t="str">
        <x:v>S0042-05</x:v>
      </x:c>
      <x:c r="B523" s="12" t="str">
        <x:v>S0042</x:v>
      </x:c>
      <x:c r="C523" s="12" t="str">
        <x:v>工作日</x:v>
      </x:c>
      <x:c r="D523" s="12" t="str">
        <x:v>环线1路</x:v>
      </x:c>
      <x:c r="E523" s="12" t="str">
        <x:v>第五班（夜2）</x:v>
      </x:c>
      <x:c r="F523" s="12" t="n">
        <x:v>1</x:v>
      </x:c>
      <x:c r="G523" s="12" t="str">
        <x:v>16:15</x:v>
      </x:c>
      <x:c r="H523" s="12" t="n">
        <x:v>975</x:v>
      </x:c>
      <x:c r="I523" s="12" t="str">
        <x:v>研究生宿舍楼</x:v>
      </x:c>
      <x:c r="J523" s="12" t="str">
        <x:v>研究生宿舍楼发车</x:v>
      </x:c>
      <x:c r="K523" s="12" t="str">
        <x:v>HX1_NORMAL</x:v>
      </x:c>
      <x:c r="L523" s="12" t="n">
        <x:v>5</x:v>
      </x:c>
      <x:c r="M523" s="12" t="str">
        <x:v>HX1_NORMAL|5</x:v>
      </x:c>
      <x:c r="N523" s="12" t="str">
        <x:v>激光所</x:v>
      </x:c>
      <x:c r="O523" s="12" t="n">
        <x:f>IFERROR(INDEX('秒级路线参数_可调整'!$O:$O,MATCH(M523,'秒级路线参数_可调整'!$A:$A,0)),"")</x:f>
        <x:v>0</x:v>
      </x:c>
      <x:c r="P523" s="12" t="str">
        <x:f>IF(O523="","",O523/86400)</x:f>
      </x:c>
      <x:c r="Q523" s="12" t="str">
        <x:f>IF(O523="","",(H523*60+O523)/86400)</x:f>
      </x:c>
      <x:c r="R523" s="12" t="str">
        <x:f>IF(Q523="","",TEXT(Q523,"hh:mm:ss"))</x:f>
      </x:c>
      <x:c r="S523" s="12" t="str">
        <x:v>否</x:v>
      </x:c>
      <x:c r="T523" s="12" t="str">
        <x:v>否</x:v>
      </x:c>
      <x:c r="U523" s="12" t="str">
        <x:v>未提供</x:v>
      </x:c>
      <x:c r="V523" s="12" t="str">
        <x:v>未提供</x:v>
      </x:c>
      <x:c r="W523" s="12" t="str">
        <x:v>秒级预测</x:v>
      </x:c>
      <x:c r="X523" s="12" t="str">
        <x:v>基于路线秒级参数；如录入实测或手动采用秒，预计到达时间可随公式更新</x:v>
      </x:c>
    </x:row>
    <x:row r="524">
      <x:c r="A524" s="12" t="str">
        <x:v>S0042-06</x:v>
      </x:c>
      <x:c r="B524" s="12" t="str">
        <x:v>S0042</x:v>
      </x:c>
      <x:c r="C524" s="12" t="str">
        <x:v>工作日</x:v>
      </x:c>
      <x:c r="D524" s="12" t="str">
        <x:v>环线1路</x:v>
      </x:c>
      <x:c r="E524" s="12" t="str">
        <x:v>第五班（夜2）</x:v>
      </x:c>
      <x:c r="F524" s="12" t="n">
        <x:v>1</x:v>
      </x:c>
      <x:c r="G524" s="12" t="str">
        <x:v>16:15</x:v>
      </x:c>
      <x:c r="H524" s="12" t="n">
        <x:v>975</x:v>
      </x:c>
      <x:c r="I524" s="12" t="str">
        <x:v>研究生宿舍楼</x:v>
      </x:c>
      <x:c r="J524" s="12" t="str">
        <x:v>研究生宿舍楼发车</x:v>
      </x:c>
      <x:c r="K524" s="12" t="str">
        <x:v>HX1_NORMAL</x:v>
      </x:c>
      <x:c r="L524" s="12" t="n">
        <x:v>6</x:v>
      </x:c>
      <x:c r="M524" s="12" t="str">
        <x:v>HX1_NORMAL|6</x:v>
      </x:c>
      <x:c r="N524" s="12" t="str">
        <x:v>超算中心</x:v>
      </x:c>
      <x:c r="O524" s="12" t="n">
        <x:f>IFERROR(INDEX('秒级路线参数_可调整'!$O:$O,MATCH(M524,'秒级路线参数_可调整'!$A:$A,0)),"")</x:f>
        <x:v>0</x:v>
      </x:c>
      <x:c r="P524" s="12" t="str">
        <x:f>IF(O524="","",O524/86400)</x:f>
      </x:c>
      <x:c r="Q524" s="12" t="str">
        <x:f>IF(O524="","",(H524*60+O524)/86400)</x:f>
      </x:c>
      <x:c r="R524" s="12" t="str">
        <x:f>IF(Q524="","",TEXT(Q524,"hh:mm:ss"))</x:f>
      </x:c>
      <x:c r="S524" s="12" t="str">
        <x:v>否</x:v>
      </x:c>
      <x:c r="T524" s="12" t="str">
        <x:v>否</x:v>
      </x:c>
      <x:c r="U524" s="12" t="str">
        <x:v>未提供</x:v>
      </x:c>
      <x:c r="V524" s="12" t="str">
        <x:v>未提供</x:v>
      </x:c>
      <x:c r="W524" s="12" t="str">
        <x:v>秒级预测</x:v>
      </x:c>
      <x:c r="X524" s="12" t="str">
        <x:v>基于路线秒级参数；如录入实测或手动采用秒，预计到达时间可随公式更新</x:v>
      </x:c>
    </x:row>
    <x:row r="525">
      <x:c r="A525" s="12" t="str">
        <x:v>S0042-07</x:v>
      </x:c>
      <x:c r="B525" s="12" t="str">
        <x:v>S0042</x:v>
      </x:c>
      <x:c r="C525" s="12" t="str">
        <x:v>工作日</x:v>
      </x:c>
      <x:c r="D525" s="12" t="str">
        <x:v>环线1路</x:v>
      </x:c>
      <x:c r="E525" s="12" t="str">
        <x:v>第五班（夜2）</x:v>
      </x:c>
      <x:c r="F525" s="12" t="n">
        <x:v>1</x:v>
      </x:c>
      <x:c r="G525" s="12" t="str">
        <x:v>16:15</x:v>
      </x:c>
      <x:c r="H525" s="12" t="n">
        <x:v>975</x:v>
      </x:c>
      <x:c r="I525" s="12" t="str">
        <x:v>研究生宿舍楼</x:v>
      </x:c>
      <x:c r="J525" s="12" t="str">
        <x:v>研究生宿舍楼发车</x:v>
      </x:c>
      <x:c r="K525" s="12" t="str">
        <x:v>HX1_NORMAL</x:v>
      </x:c>
      <x:c r="L525" s="12" t="n">
        <x:v>7</x:v>
      </x:c>
      <x:c r="M525" s="12" t="str">
        <x:v>HX1_NORMAL|7</x:v>
      </x:c>
      <x:c r="N525" s="12" t="str">
        <x:v>北门</x:v>
      </x:c>
      <x:c r="O525" s="12" t="n">
        <x:f>IFERROR(INDEX('秒级路线参数_可调整'!$O:$O,MATCH(M525,'秒级路线参数_可调整'!$A:$A,0)),"")</x:f>
        <x:v>0</x:v>
      </x:c>
      <x:c r="P525" s="12" t="str">
        <x:f>IF(O525="","",O525/86400)</x:f>
      </x:c>
      <x:c r="Q525" s="12" t="str">
        <x:f>IF(O525="","",(H525*60+O525)/86400)</x:f>
      </x:c>
      <x:c r="R525" s="12" t="str">
        <x:f>IF(Q525="","",TEXT(Q525,"hh:mm:ss"))</x:f>
      </x:c>
      <x:c r="S525" s="12" t="str">
        <x:v>否</x:v>
      </x:c>
      <x:c r="T525" s="12" t="str">
        <x:v>否</x:v>
      </x:c>
      <x:c r="U525" s="12" t="str">
        <x:v>未提供</x:v>
      </x:c>
      <x:c r="V525" s="12" t="str">
        <x:v>未提供</x:v>
      </x:c>
      <x:c r="W525" s="12" t="str">
        <x:v>秒级预测</x:v>
      </x:c>
      <x:c r="X525" s="12" t="str">
        <x:v>基于路线秒级参数；如录入实测或手动采用秒，预计到达时间可随公式更新</x:v>
      </x:c>
    </x:row>
    <x:row r="526">
      <x:c r="A526" s="12" t="str">
        <x:v>S0042-08</x:v>
      </x:c>
      <x:c r="B526" s="12" t="str">
        <x:v>S0042</x:v>
      </x:c>
      <x:c r="C526" s="12" t="str">
        <x:v>工作日</x:v>
      </x:c>
      <x:c r="D526" s="12" t="str">
        <x:v>环线1路</x:v>
      </x:c>
      <x:c r="E526" s="12" t="str">
        <x:v>第五班（夜2）</x:v>
      </x:c>
      <x:c r="F526" s="12" t="n">
        <x:v>1</x:v>
      </x:c>
      <x:c r="G526" s="12" t="str">
        <x:v>16:15</x:v>
      </x:c>
      <x:c r="H526" s="12" t="n">
        <x:v>975</x:v>
      </x:c>
      <x:c r="I526" s="12" t="str">
        <x:v>研究生宿舍楼</x:v>
      </x:c>
      <x:c r="J526" s="12" t="str">
        <x:v>研究生宿舍楼发车</x:v>
      </x:c>
      <x:c r="K526" s="12" t="str">
        <x:v>HX1_NORMAL</x:v>
      </x:c>
      <x:c r="L526" s="12" t="n">
        <x:v>8</x:v>
      </x:c>
      <x:c r="M526" s="12" t="str">
        <x:v>HX1_NORMAL|8</x:v>
      </x:c>
      <x:c r="N526" s="12" t="str">
        <x:v>高超楼</x:v>
      </x:c>
      <x:c r="O526" s="12" t="n">
        <x:f>IFERROR(INDEX('秒级路线参数_可调整'!$O:$O,MATCH(M526,'秒级路线参数_可调整'!$A:$A,0)),"")</x:f>
        <x:v>0</x:v>
      </x:c>
      <x:c r="P526" s="12" t="str">
        <x:f>IF(O526="","",O526/86400)</x:f>
      </x:c>
      <x:c r="Q526" s="12" t="str">
        <x:f>IF(O526="","",(H526*60+O526)/86400)</x:f>
      </x:c>
      <x:c r="R526" s="12" t="str">
        <x:f>IF(Q526="","",TEXT(Q526,"hh:mm:ss"))</x:f>
      </x:c>
      <x:c r="S526" s="12" t="str">
        <x:v>否</x:v>
      </x:c>
      <x:c r="T526" s="12" t="str">
        <x:v>否</x:v>
      </x:c>
      <x:c r="U526" s="12" t="str">
        <x:v>未提供</x:v>
      </x:c>
      <x:c r="V526" s="12" t="str">
        <x:v>未提供</x:v>
      </x:c>
      <x:c r="W526" s="12" t="str">
        <x:v>秒级预测</x:v>
      </x:c>
      <x:c r="X526" s="12" t="str">
        <x:v>基于路线秒级参数；如录入实测或手动采用秒，预计到达时间可随公式更新</x:v>
      </x:c>
    </x:row>
    <x:row r="527">
      <x:c r="A527" s="12" t="str">
        <x:v>S0042-09</x:v>
      </x:c>
      <x:c r="B527" s="12" t="str">
        <x:v>S0042</x:v>
      </x:c>
      <x:c r="C527" s="12" t="str">
        <x:v>工作日</x:v>
      </x:c>
      <x:c r="D527" s="12" t="str">
        <x:v>环线1路</x:v>
      </x:c>
      <x:c r="E527" s="12" t="str">
        <x:v>第五班（夜2）</x:v>
      </x:c>
      <x:c r="F527" s="12" t="n">
        <x:v>1</x:v>
      </x:c>
      <x:c r="G527" s="12" t="str">
        <x:v>16:15</x:v>
      </x:c>
      <x:c r="H527" s="12" t="n">
        <x:v>975</x:v>
      </x:c>
      <x:c r="I527" s="12" t="str">
        <x:v>研究生宿舍楼</x:v>
      </x:c>
      <x:c r="J527" s="12" t="str">
        <x:v>研究生宿舍楼发车</x:v>
      </x:c>
      <x:c r="K527" s="12" t="str">
        <x:v>HX1_NORMAL</x:v>
      </x:c>
      <x:c r="L527" s="12" t="n">
        <x:v>9</x:v>
      </x:c>
      <x:c r="M527" s="12" t="str">
        <x:v>HX1_NORMAL|9</x:v>
      </x:c>
      <x:c r="N527" s="12" t="str">
        <x:v>理学院</x:v>
      </x:c>
      <x:c r="O527" s="12" t="n">
        <x:f>IFERROR(INDEX('秒级路线参数_可调整'!$O:$O,MATCH(M527,'秒级路线参数_可调整'!$A:$A,0)),"")</x:f>
        <x:v>0</x:v>
      </x:c>
      <x:c r="P527" s="12" t="str">
        <x:f>IF(O527="","",O527/86400)</x:f>
      </x:c>
      <x:c r="Q527" s="12" t="str">
        <x:f>IF(O527="","",(H527*60+O527)/86400)</x:f>
      </x:c>
      <x:c r="R527" s="12" t="str">
        <x:f>IF(Q527="","",TEXT(Q527,"hh:mm:ss"))</x:f>
      </x:c>
      <x:c r="S527" s="12" t="str">
        <x:v>否</x:v>
      </x:c>
      <x:c r="T527" s="12" t="str">
        <x:v>否</x:v>
      </x:c>
      <x:c r="U527" s="12" t="str">
        <x:v>未提供</x:v>
      </x:c>
      <x:c r="V527" s="12" t="str">
        <x:v>未提供</x:v>
      </x:c>
      <x:c r="W527" s="12" t="str">
        <x:v>秒级预测</x:v>
      </x:c>
      <x:c r="X527" s="12" t="str">
        <x:v>基于路线秒级参数；如录入实测或手动采用秒，预计到达时间可随公式更新</x:v>
      </x:c>
    </x:row>
    <x:row r="528">
      <x:c r="A528" s="12" t="str">
        <x:v>S0042-10</x:v>
      </x:c>
      <x:c r="B528" s="12" t="str">
        <x:v>S0042</x:v>
      </x:c>
      <x:c r="C528" s="12" t="str">
        <x:v>工作日</x:v>
      </x:c>
      <x:c r="D528" s="12" t="str">
        <x:v>环线1路</x:v>
      </x:c>
      <x:c r="E528" s="12" t="str">
        <x:v>第五班（夜2）</x:v>
      </x:c>
      <x:c r="F528" s="12" t="n">
        <x:v>1</x:v>
      </x:c>
      <x:c r="G528" s="12" t="str">
        <x:v>16:15</x:v>
      </x:c>
      <x:c r="H528" s="12" t="n">
        <x:v>975</x:v>
      </x:c>
      <x:c r="I528" s="12" t="str">
        <x:v>研究生宿舍楼</x:v>
      </x:c>
      <x:c r="J528" s="12" t="str">
        <x:v>研究生宿舍楼发车</x:v>
      </x:c>
      <x:c r="K528" s="12" t="str">
        <x:v>HX1_NORMAL</x:v>
      </x:c>
      <x:c r="L528" s="12" t="n">
        <x:v>10</x:v>
      </x:c>
      <x:c r="M528" s="12" t="str">
        <x:v>HX1_NORMAL|10</x:v>
      </x:c>
      <x:c r="N528" s="12" t="str">
        <x:v>二食堂</x:v>
      </x:c>
      <x:c r="O528" s="12" t="n">
        <x:f>IFERROR(INDEX('秒级路线参数_可调整'!$O:$O,MATCH(M528,'秒级路线参数_可调整'!$A:$A,0)),"")</x:f>
        <x:v>0</x:v>
      </x:c>
      <x:c r="P528" s="12" t="str">
        <x:f>IF(O528="","",O528/86400)</x:f>
      </x:c>
      <x:c r="Q528" s="12" t="str">
        <x:f>IF(O528="","",(H528*60+O528)/86400)</x:f>
      </x:c>
      <x:c r="R528" s="12" t="str">
        <x:f>IF(Q528="","",TEXT(Q528,"hh:mm:ss"))</x:f>
      </x:c>
      <x:c r="S528" s="12" t="str">
        <x:v>否</x:v>
      </x:c>
      <x:c r="T528" s="12" t="str">
        <x:v>否</x:v>
      </x:c>
      <x:c r="U528" s="12" t="str">
        <x:v>未提供</x:v>
      </x:c>
      <x:c r="V528" s="12" t="str">
        <x:v>未提供</x:v>
      </x:c>
      <x:c r="W528" s="12" t="str">
        <x:v>秒级预测</x:v>
      </x:c>
      <x:c r="X528" s="12" t="str">
        <x:v>基于路线秒级参数；如录入实测或手动采用秒，预计到达时间可随公式更新</x:v>
      </x:c>
    </x:row>
    <x:row r="529">
      <x:c r="A529" s="12" t="str">
        <x:v>S0042-11</x:v>
      </x:c>
      <x:c r="B529" s="12" t="str">
        <x:v>S0042</x:v>
      </x:c>
      <x:c r="C529" s="12" t="str">
        <x:v>工作日</x:v>
      </x:c>
      <x:c r="D529" s="12" t="str">
        <x:v>环线1路</x:v>
      </x:c>
      <x:c r="E529" s="12" t="str">
        <x:v>第五班（夜2）</x:v>
      </x:c>
      <x:c r="F529" s="12" t="n">
        <x:v>1</x:v>
      </x:c>
      <x:c r="G529" s="12" t="str">
        <x:v>16:15</x:v>
      </x:c>
      <x:c r="H529" s="12" t="n">
        <x:v>975</x:v>
      </x:c>
      <x:c r="I529" s="12" t="str">
        <x:v>研究生宿舍楼</x:v>
      </x:c>
      <x:c r="J529" s="12" t="str">
        <x:v>研究生宿舍楼发车</x:v>
      </x:c>
      <x:c r="K529" s="12" t="str">
        <x:v>HX1_NORMAL</x:v>
      </x:c>
      <x:c r="L529" s="12" t="n">
        <x:v>11</x:v>
      </x:c>
      <x:c r="M529" s="12" t="str">
        <x:v>HX1_NORMAL|11</x:v>
      </x:c>
      <x:c r="N529" s="12" t="str">
        <x:v>5号宿舍楼</x:v>
      </x:c>
      <x:c r="O529" s="12" t="n">
        <x:f>IFERROR(INDEX('秒级路线参数_可调整'!$O:$O,MATCH(M529,'秒级路线参数_可调整'!$A:$A,0)),"")</x:f>
        <x:v>0</x:v>
      </x:c>
      <x:c r="P529" s="12" t="str">
        <x:f>IF(O529="","",O529/86400)</x:f>
      </x:c>
      <x:c r="Q529" s="12" t="str">
        <x:f>IF(O529="","",(H529*60+O529)/86400)</x:f>
      </x:c>
      <x:c r="R529" s="12" t="str">
        <x:f>IF(Q529="","",TEXT(Q529,"hh:mm:ss"))</x:f>
      </x:c>
      <x:c r="S529" s="12" t="str">
        <x:v>否</x:v>
      </x:c>
      <x:c r="T529" s="12" t="str">
        <x:v>否</x:v>
      </x:c>
      <x:c r="U529" s="12" t="str">
        <x:v>未提供</x:v>
      </x:c>
      <x:c r="V529" s="12" t="str">
        <x:v>未提供</x:v>
      </x:c>
      <x:c r="W529" s="12" t="str">
        <x:v>秒级预测</x:v>
      </x:c>
      <x:c r="X529" s="12" t="str">
        <x:v>基于路线秒级参数；如录入实测或手动采用秒，预计到达时间可随公式更新</x:v>
      </x:c>
    </x:row>
    <x:row r="530">
      <x:c r="A530" s="12" t="str">
        <x:v>S0042-12</x:v>
      </x:c>
      <x:c r="B530" s="12" t="str">
        <x:v>S0042</x:v>
      </x:c>
      <x:c r="C530" s="12" t="str">
        <x:v>工作日</x:v>
      </x:c>
      <x:c r="D530" s="12" t="str">
        <x:v>环线1路</x:v>
      </x:c>
      <x:c r="E530" s="12" t="str">
        <x:v>第五班（夜2）</x:v>
      </x:c>
      <x:c r="F530" s="12" t="n">
        <x:v>1</x:v>
      </x:c>
      <x:c r="G530" s="12" t="str">
        <x:v>16:15</x:v>
      </x:c>
      <x:c r="H530" s="12" t="n">
        <x:v>975</x:v>
      </x:c>
      <x:c r="I530" s="12" t="str">
        <x:v>研究生宿舍楼</x:v>
      </x:c>
      <x:c r="J530" s="12" t="str">
        <x:v>研究生宿舍楼发车</x:v>
      </x:c>
      <x:c r="K530" s="12" t="str">
        <x:v>HX1_NORMAL</x:v>
      </x:c>
      <x:c r="L530" s="12" t="n">
        <x:v>12</x:v>
      </x:c>
      <x:c r="M530" s="12" t="str">
        <x:v>HX1_NORMAL|12</x:v>
      </x:c>
      <x:c r="N530" s="12" t="str">
        <x:v>305教学楼</x:v>
      </x:c>
      <x:c r="O530" s="12" t="n">
        <x:f>IFERROR(INDEX('秒级路线参数_可调整'!$O:$O,MATCH(M530,'秒级路线参数_可调整'!$A:$A,0)),"")</x:f>
        <x:v>0</x:v>
      </x:c>
      <x:c r="P530" s="12" t="str">
        <x:f>IF(O530="","",O530/86400)</x:f>
      </x:c>
      <x:c r="Q530" s="12" t="str">
        <x:f>IF(O530="","",(H530*60+O530)/86400)</x:f>
      </x:c>
      <x:c r="R530" s="12" t="str">
        <x:f>IF(Q530="","",TEXT(Q530,"hh:mm:ss"))</x:f>
      </x:c>
      <x:c r="S530" s="12" t="str">
        <x:v>否</x:v>
      </x:c>
      <x:c r="T530" s="12" t="str">
        <x:v>否</x:v>
      </x:c>
      <x:c r="U530" s="12" t="str">
        <x:v>未提供</x:v>
      </x:c>
      <x:c r="V530" s="12" t="str">
        <x:v>未提供</x:v>
      </x:c>
      <x:c r="W530" s="12" t="str">
        <x:v>秒级预测</x:v>
      </x:c>
      <x:c r="X530" s="12" t="str">
        <x:v>基于路线秒级参数；如录入实测或手动采用秒，预计到达时间可随公式更新</x:v>
      </x:c>
    </x:row>
    <x:row r="531">
      <x:c r="A531" s="12" t="str">
        <x:v>S0042-13</x:v>
      </x:c>
      <x:c r="B531" s="12" t="str">
        <x:v>S0042</x:v>
      </x:c>
      <x:c r="C531" s="12" t="str">
        <x:v>工作日</x:v>
      </x:c>
      <x:c r="D531" s="12" t="str">
        <x:v>环线1路</x:v>
      </x:c>
      <x:c r="E531" s="12" t="str">
        <x:v>第五班（夜2）</x:v>
      </x:c>
      <x:c r="F531" s="12" t="n">
        <x:v>1</x:v>
      </x:c>
      <x:c r="G531" s="12" t="str">
        <x:v>16:15</x:v>
      </x:c>
      <x:c r="H531" s="12" t="n">
        <x:v>975</x:v>
      </x:c>
      <x:c r="I531" s="12" t="str">
        <x:v>研究生宿舍楼</x:v>
      </x:c>
      <x:c r="J531" s="12" t="str">
        <x:v>研究生宿舍楼发车</x:v>
      </x:c>
      <x:c r="K531" s="12" t="str">
        <x:v>HX1_NORMAL</x:v>
      </x:c>
      <x:c r="L531" s="12" t="n">
        <x:v>13</x:v>
      </x:c>
      <x:c r="M531" s="12" t="str">
        <x:v>HX1_NORMAL|13</x:v>
      </x:c>
      <x:c r="N531" s="12" t="str">
        <x:v>研究生宿舍楼</x:v>
      </x:c>
      <x:c r="O531" s="12" t="n">
        <x:f>IFERROR(INDEX('秒级路线参数_可调整'!$O:$O,MATCH(M531,'秒级路线参数_可调整'!$A:$A,0)),"")</x:f>
        <x:v>0</x:v>
      </x:c>
      <x:c r="P531" s="12" t="str">
        <x:f>IF(O531="","",O531/86400)</x:f>
      </x:c>
      <x:c r="Q531" s="12" t="str">
        <x:f>IF(O531="","",(H531*60+O531)/86400)</x:f>
      </x:c>
      <x:c r="R531" s="12" t="str">
        <x:f>IF(Q531="","",TEXT(Q531,"hh:mm:ss"))</x:f>
      </x:c>
      <x:c r="S531" s="12" t="str">
        <x:v>否</x:v>
      </x:c>
      <x:c r="T531" s="12" t="str">
        <x:v>是</x:v>
      </x:c>
      <x:c r="U531" s="12" t="str">
        <x:v>未提供</x:v>
      </x:c>
      <x:c r="V531" s="12" t="str">
        <x:v>未提供</x:v>
      </x:c>
      <x:c r="W531" s="12" t="str">
        <x:v>秒级预测</x:v>
      </x:c>
      <x:c r="X531" s="12" t="str">
        <x:v>基于路线秒级参数；如录入实测或手动采用秒，预计到达时间可随公式更新</x:v>
      </x:c>
    </x:row>
    <x:row r="532">
      <x:c r="A532" s="12" t="str">
        <x:v>S0043-01</x:v>
      </x:c>
      <x:c r="B532" s="12" t="str">
        <x:v>S0043</x:v>
      </x:c>
      <x:c r="C532" s="12" t="str">
        <x:v>工作日</x:v>
      </x:c>
      <x:c r="D532" s="12" t="str">
        <x:v>环线1路</x:v>
      </x:c>
      <x:c r="E532" s="12" t="str">
        <x:v>第五班（夜2）</x:v>
      </x:c>
      <x:c r="F532" s="12" t="n">
        <x:v>2</x:v>
      </x:c>
      <x:c r="G532" s="12" t="str">
        <x:v>16:30</x:v>
      </x:c>
      <x:c r="H532" s="12" t="n">
        <x:v>990</x:v>
      </x:c>
      <x:c r="I532" s="12" t="str">
        <x:v>高超楼（就餐专线）</x:v>
      </x:c>
      <x:c r="J532" s="12" t="str">
        <x:v>高超楼发车（就餐专线）</x:v>
      </x:c>
      <x:c r="K532" s="12" t="str">
        <x:v>HX1_DINING</x:v>
      </x:c>
      <x:c r="L532" s="12" t="n">
        <x:v>1</x:v>
      </x:c>
      <x:c r="M532" s="12" t="str">
        <x:v>HX1_DINING|1</x:v>
      </x:c>
      <x:c r="N532" s="12" t="str">
        <x:v>高超楼</x:v>
      </x:c>
      <x:c r="O532" s="12" t="n">
        <x:f>IFERROR(INDEX('秒级路线参数_可调整'!$O:$O,MATCH(M532,'秒级路线参数_可调整'!$A:$A,0)),"")</x:f>
        <x:v>0</x:v>
      </x:c>
      <x:c r="P532" s="12" t="str">
        <x:f>IF(O532="","",O532/86400)</x:f>
      </x:c>
      <x:c r="Q532" s="12" t="str">
        <x:f>IF(O532="","",(H532*60+O532)/86400)</x:f>
      </x:c>
      <x:c r="R532" s="12" t="str">
        <x:f>IF(Q532="","",TEXT(Q532,"hh:mm:ss"))</x:f>
      </x:c>
      <x:c r="S532" s="12" t="str">
        <x:v>是</x:v>
      </x:c>
      <x:c r="T532" s="12" t="str">
        <x:v>否</x:v>
      </x:c>
      <x:c r="U532" s="12" t="str">
        <x:v>未提供</x:v>
      </x:c>
      <x:c r="V532" s="12" t="str">
        <x:v>未提供</x:v>
      </x:c>
      <x:c r="W532" s="12" t="str">
        <x:v>秒级预测</x:v>
      </x:c>
      <x:c r="X532" s="12" t="str">
        <x:v>基于路线秒级参数；如录入实测或手动采用秒，预计到达时间可随公式更新</x:v>
      </x:c>
    </x:row>
    <x:row r="533">
      <x:c r="A533" s="12" t="str">
        <x:v>S0043-02</x:v>
      </x:c>
      <x:c r="B533" s="12" t="str">
        <x:v>S0043</x:v>
      </x:c>
      <x:c r="C533" s="12" t="str">
        <x:v>工作日</x:v>
      </x:c>
      <x:c r="D533" s="12" t="str">
        <x:v>环线1路</x:v>
      </x:c>
      <x:c r="E533" s="12" t="str">
        <x:v>第五班（夜2）</x:v>
      </x:c>
      <x:c r="F533" s="12" t="n">
        <x:v>2</x:v>
      </x:c>
      <x:c r="G533" s="12" t="str">
        <x:v>16:30</x:v>
      </x:c>
      <x:c r="H533" s="12" t="n">
        <x:v>990</x:v>
      </x:c>
      <x:c r="I533" s="12" t="str">
        <x:v>高超楼（就餐专线）</x:v>
      </x:c>
      <x:c r="J533" s="12" t="str">
        <x:v>高超楼发车（就餐专线）</x:v>
      </x:c>
      <x:c r="K533" s="12" t="str">
        <x:v>HX1_DINING</x:v>
      </x:c>
      <x:c r="L533" s="12" t="n">
        <x:v>2</x:v>
      </x:c>
      <x:c r="M533" s="12" t="str">
        <x:v>HX1_DINING|2</x:v>
      </x:c>
      <x:c r="N533" s="12" t="str">
        <x:v>理学院</x:v>
      </x:c>
      <x:c r="O533" s="12" t="n">
        <x:f>IFERROR(INDEX('秒级路线参数_可调整'!$O:$O,MATCH(M533,'秒级路线参数_可调整'!$A:$A,0)),"")</x:f>
        <x:v>65</x:v>
      </x:c>
      <x:c r="P533" s="12" t="n">
        <x:f>IF(O533="","",O533/86400)</x:f>
        <x:v>0.0007523148148148148</x:v>
      </x:c>
      <x:c r="Q533" s="12" t="n">
        <x:f>IF(O533="","",(H533*60+O533)/86400)</x:f>
        <x:v>0.6882523148148149</x:v>
      </x:c>
      <x:c r="R533" s="12" t="str">
        <x:f>IF(Q533="","",TEXT(Q533,"hh:mm:ss"))</x:f>
        <x:v>16:31:05</x:v>
      </x:c>
      <x:c r="S533" s="12" t="str">
        <x:v>否</x:v>
      </x:c>
      <x:c r="T533" s="12" t="str">
        <x:v>否</x:v>
      </x:c>
      <x:c r="U533" s="12" t="str">
        <x:v>未提供</x:v>
      </x:c>
      <x:c r="V533" s="12" t="str">
        <x:v>未提供</x:v>
      </x:c>
      <x:c r="W533" s="12" t="str">
        <x:v>秒级预测</x:v>
      </x:c>
      <x:c r="X533" s="12" t="str">
        <x:v>基于路线秒级参数；如录入实测或手动采用秒，预计到达时间可随公式更新</x:v>
      </x:c>
    </x:row>
    <x:row r="534">
      <x:c r="A534" s="12" t="str">
        <x:v>S0043-03</x:v>
      </x:c>
      <x:c r="B534" s="12" t="str">
        <x:v>S0043</x:v>
      </x:c>
      <x:c r="C534" s="12" t="str">
        <x:v>工作日</x:v>
      </x:c>
      <x:c r="D534" s="12" t="str">
        <x:v>环线1路</x:v>
      </x:c>
      <x:c r="E534" s="12" t="str">
        <x:v>第五班（夜2）</x:v>
      </x:c>
      <x:c r="F534" s="12" t="n">
        <x:v>2</x:v>
      </x:c>
      <x:c r="G534" s="12" t="str">
        <x:v>16:30</x:v>
      </x:c>
      <x:c r="H534" s="12" t="n">
        <x:v>990</x:v>
      </x:c>
      <x:c r="I534" s="12" t="str">
        <x:v>高超楼（就餐专线）</x:v>
      </x:c>
      <x:c r="J534" s="12" t="str">
        <x:v>高超楼发车（就餐专线）</x:v>
      </x:c>
      <x:c r="K534" s="12" t="str">
        <x:v>HX1_DINING</x:v>
      </x:c>
      <x:c r="L534" s="12" t="n">
        <x:v>3</x:v>
      </x:c>
      <x:c r="M534" s="12" t="str">
        <x:v>HX1_DINING|3</x:v>
      </x:c>
      <x:c r="N534" s="12" t="str">
        <x:v>二食堂</x:v>
      </x:c>
      <x:c r="O534" s="12" t="n">
        <x:f>IFERROR(INDEX('秒级路线参数_可调整'!$O:$O,MATCH(M534,'秒级路线参数_可调整'!$A:$A,0)),"")</x:f>
        <x:v>120</x:v>
      </x:c>
      <x:c r="P534" s="12" t="n">
        <x:f>IF(O534="","",O534/86400)</x:f>
        <x:v>0.001388888888888889</x:v>
      </x:c>
      <x:c r="Q534" s="12" t="n">
        <x:f>IF(O534="","",(H534*60+O534)/86400)</x:f>
        <x:v>0.6888888888888889</x:v>
      </x:c>
      <x:c r="R534" s="12" t="str">
        <x:f>IF(Q534="","",TEXT(Q534,"hh:mm:ss"))</x:f>
        <x:v>16:32:00</x:v>
      </x:c>
      <x:c r="S534" s="12" t="str">
        <x:v>否</x:v>
      </x:c>
      <x:c r="T534" s="12" t="str">
        <x:v>否</x:v>
      </x:c>
      <x:c r="U534" s="12" t="str">
        <x:v>未提供</x:v>
      </x:c>
      <x:c r="V534" s="12" t="str">
        <x:v>未提供</x:v>
      </x:c>
      <x:c r="W534" s="12" t="str">
        <x:v>秒级预测</x:v>
      </x:c>
      <x:c r="X534" s="12" t="str">
        <x:v>基于路线秒级参数；如录入实测或手动采用秒，预计到达时间可随公式更新</x:v>
      </x:c>
    </x:row>
    <x:row r="535">
      <x:c r="A535" s="12" t="str">
        <x:v>S0043-04</x:v>
      </x:c>
      <x:c r="B535" s="12" t="str">
        <x:v>S0043</x:v>
      </x:c>
      <x:c r="C535" s="12" t="str">
        <x:v>工作日</x:v>
      </x:c>
      <x:c r="D535" s="12" t="str">
        <x:v>环线1路</x:v>
      </x:c>
      <x:c r="E535" s="12" t="str">
        <x:v>第五班（夜2）</x:v>
      </x:c>
      <x:c r="F535" s="12" t="n">
        <x:v>2</x:v>
      </x:c>
      <x:c r="G535" s="12" t="str">
        <x:v>16:30</x:v>
      </x:c>
      <x:c r="H535" s="12" t="n">
        <x:v>990</x:v>
      </x:c>
      <x:c r="I535" s="12" t="str">
        <x:v>高超楼（就餐专线）</x:v>
      </x:c>
      <x:c r="J535" s="12" t="str">
        <x:v>高超楼发车（就餐专线）</x:v>
      </x:c>
      <x:c r="K535" s="12" t="str">
        <x:v>HX1_DINING</x:v>
      </x:c>
      <x:c r="L535" s="12" t="n">
        <x:v>4</x:v>
      </x:c>
      <x:c r="M535" s="12" t="str">
        <x:v>HX1_DINING|4</x:v>
      </x:c>
      <x:c r="N535" s="12" t="str">
        <x:v>一食堂</x:v>
      </x:c>
      <x:c r="O535" s="12" t="n">
        <x:f>IFERROR(INDEX('秒级路线参数_可调整'!$O:$O,MATCH(M535,'秒级路线参数_可调整'!$A:$A,0)),"")</x:f>
        <x:v>165</x:v>
      </x:c>
      <x:c r="P535" s="12" t="n">
        <x:f>IF(O535="","",O535/86400)</x:f>
        <x:v>0.0019097222222222222</x:v>
      </x:c>
      <x:c r="Q535" s="12" t="n">
        <x:f>IF(O535="","",(H535*60+O535)/86400)</x:f>
        <x:v>0.6894097222222222</x:v>
      </x:c>
      <x:c r="R535" s="12" t="str">
        <x:f>IF(Q535="","",TEXT(Q535,"hh:mm:ss"))</x:f>
        <x:v>16:32:45</x:v>
      </x:c>
      <x:c r="S535" s="12" t="str">
        <x:v>否</x:v>
      </x:c>
      <x:c r="T535" s="12" t="str">
        <x:v>否</x:v>
      </x:c>
      <x:c r="U535" s="12" t="str">
        <x:v>未提供</x:v>
      </x:c>
      <x:c r="V535" s="12" t="str">
        <x:v>未提供</x:v>
      </x:c>
      <x:c r="W535" s="12" t="str">
        <x:v>秒级预测</x:v>
      </x:c>
      <x:c r="X535" s="12" t="str">
        <x:v>基于路线秒级参数；如录入实测或手动采用秒，预计到达时间可随公式更新</x:v>
      </x:c>
    </x:row>
    <x:row r="536">
      <x:c r="A536" s="12" t="str">
        <x:v>S0043-05</x:v>
      </x:c>
      <x:c r="B536" s="12" t="str">
        <x:v>S0043</x:v>
      </x:c>
      <x:c r="C536" s="12" t="str">
        <x:v>工作日</x:v>
      </x:c>
      <x:c r="D536" s="12" t="str">
        <x:v>环线1路</x:v>
      </x:c>
      <x:c r="E536" s="12" t="str">
        <x:v>第五班（夜2）</x:v>
      </x:c>
      <x:c r="F536" s="12" t="n">
        <x:v>2</x:v>
      </x:c>
      <x:c r="G536" s="12" t="str">
        <x:v>16:30</x:v>
      </x:c>
      <x:c r="H536" s="12" t="n">
        <x:v>990</x:v>
      </x:c>
      <x:c r="I536" s="12" t="str">
        <x:v>高超楼（就餐专线）</x:v>
      </x:c>
      <x:c r="J536" s="12" t="str">
        <x:v>高超楼发车（就餐专线）</x:v>
      </x:c>
      <x:c r="K536" s="12" t="str">
        <x:v>HX1_DINING</x:v>
      </x:c>
      <x:c r="L536" s="12" t="n">
        <x:v>5</x:v>
      </x:c>
      <x:c r="M536" s="12" t="str">
        <x:v>HX1_DINING|5</x:v>
      </x:c>
      <x:c r="N536" s="12" t="str">
        <x:v>305教学楼</x:v>
      </x:c>
      <x:c r="O536" s="12" t="n">
        <x:f>IFERROR(INDEX('秒级路线参数_可调整'!$O:$O,MATCH(M536,'秒级路线参数_可调整'!$A:$A,0)),"")</x:f>
        <x:v>250</x:v>
      </x:c>
      <x:c r="P536" s="12" t="n">
        <x:f>IF(O536="","",O536/86400)</x:f>
        <x:v>0.0028935185185185184</x:v>
      </x:c>
      <x:c r="Q536" s="12" t="n">
        <x:f>IF(O536="","",(H536*60+O536)/86400)</x:f>
        <x:v>0.6903935185185185</x:v>
      </x:c>
      <x:c r="R536" s="12" t="str">
        <x:f>IF(Q536="","",TEXT(Q536,"hh:mm:ss"))</x:f>
        <x:v>16:34:10</x:v>
      </x:c>
      <x:c r="S536" s="12" t="str">
        <x:v>否</x:v>
      </x:c>
      <x:c r="T536" s="12" t="str">
        <x:v>否</x:v>
      </x:c>
      <x:c r="U536" s="12" t="str">
        <x:v>未提供</x:v>
      </x:c>
      <x:c r="V536" s="12" t="str">
        <x:v>未提供</x:v>
      </x:c>
      <x:c r="W536" s="12" t="str">
        <x:v>秒级预测</x:v>
      </x:c>
      <x:c r="X536" s="12" t="str">
        <x:v>基于路线秒级参数；如录入实测或手动采用秒，预计到达时间可随公式更新</x:v>
      </x:c>
    </x:row>
    <x:row r="537">
      <x:c r="A537" s="12" t="str">
        <x:v>S0043-06</x:v>
      </x:c>
      <x:c r="B537" s="12" t="str">
        <x:v>S0043</x:v>
      </x:c>
      <x:c r="C537" s="12" t="str">
        <x:v>工作日</x:v>
      </x:c>
      <x:c r="D537" s="12" t="str">
        <x:v>环线1路</x:v>
      </x:c>
      <x:c r="E537" s="12" t="str">
        <x:v>第五班（夜2）</x:v>
      </x:c>
      <x:c r="F537" s="12" t="n">
        <x:v>2</x:v>
      </x:c>
      <x:c r="G537" s="12" t="str">
        <x:v>16:30</x:v>
      </x:c>
      <x:c r="H537" s="12" t="n">
        <x:v>990</x:v>
      </x:c>
      <x:c r="I537" s="12" t="str">
        <x:v>高超楼（就餐专线）</x:v>
      </x:c>
      <x:c r="J537" s="12" t="str">
        <x:v>高超楼发车（就餐专线）</x:v>
      </x:c>
      <x:c r="K537" s="12" t="str">
        <x:v>HX1_DINING</x:v>
      </x:c>
      <x:c r="L537" s="12" t="n">
        <x:v>6</x:v>
      </x:c>
      <x:c r="M537" s="12" t="str">
        <x:v>HX1_DINING|6</x:v>
      </x:c>
      <x:c r="N537" s="12" t="str">
        <x:v>5号宿舍楼</x:v>
      </x:c>
      <x:c r="O537" s="12" t="n">
        <x:f>IFERROR(INDEX('秒级路线参数_可调整'!$O:$O,MATCH(M537,'秒级路线参数_可调整'!$A:$A,0)),"")</x:f>
        <x:v>315</x:v>
      </x:c>
      <x:c r="P537" s="12" t="n">
        <x:f>IF(O537="","",O537/86400)</x:f>
        <x:v>0.0036458333333333334</x:v>
      </x:c>
      <x:c r="Q537" s="12" t="n">
        <x:f>IF(O537="","",(H537*60+O537)/86400)</x:f>
        <x:v>0.6911458333333333</x:v>
      </x:c>
      <x:c r="R537" s="12" t="str">
        <x:f>IF(Q537="","",TEXT(Q537,"hh:mm:ss"))</x:f>
        <x:v>16:35:15</x:v>
      </x:c>
      <x:c r="S537" s="12" t="str">
        <x:v>否</x:v>
      </x:c>
      <x:c r="T537" s="12" t="str">
        <x:v>否</x:v>
      </x:c>
      <x:c r="U537" s="12" t="str">
        <x:v>未提供</x:v>
      </x:c>
      <x:c r="V537" s="12" t="str">
        <x:v>未提供</x:v>
      </x:c>
      <x:c r="W537" s="12" t="str">
        <x:v>秒级预测</x:v>
      </x:c>
      <x:c r="X537" s="12" t="str">
        <x:v>基于路线秒级参数；如录入实测或手动采用秒，预计到达时间可随公式更新</x:v>
      </x:c>
    </x:row>
    <x:row r="538">
      <x:c r="A538" s="12" t="str">
        <x:v>S0043-07</x:v>
      </x:c>
      <x:c r="B538" s="12" t="str">
        <x:v>S0043</x:v>
      </x:c>
      <x:c r="C538" s="12" t="str">
        <x:v>工作日</x:v>
      </x:c>
      <x:c r="D538" s="12" t="str">
        <x:v>环线1路</x:v>
      </x:c>
      <x:c r="E538" s="12" t="str">
        <x:v>第五班（夜2）</x:v>
      </x:c>
      <x:c r="F538" s="12" t="n">
        <x:v>2</x:v>
      </x:c>
      <x:c r="G538" s="12" t="str">
        <x:v>16:30</x:v>
      </x:c>
      <x:c r="H538" s="12" t="n">
        <x:v>990</x:v>
      </x:c>
      <x:c r="I538" s="12" t="str">
        <x:v>高超楼（就餐专线）</x:v>
      </x:c>
      <x:c r="J538" s="12" t="str">
        <x:v>高超楼发车（就餐专线）</x:v>
      </x:c>
      <x:c r="K538" s="12" t="str">
        <x:v>HX1_DINING</x:v>
      </x:c>
      <x:c r="L538" s="12" t="n">
        <x:v>7</x:v>
      </x:c>
      <x:c r="M538" s="12" t="str">
        <x:v>HX1_DINING|7</x:v>
      </x:c>
      <x:c r="N538" s="12" t="str">
        <x:v>二食堂北</x:v>
      </x:c>
      <x:c r="O538" s="12" t="n">
        <x:f>IFERROR(INDEX('秒级路线参数_可调整'!$O:$O,MATCH(M538,'秒级路线参数_可调整'!$A:$A,0)),"")</x:f>
        <x:v>420</x:v>
      </x:c>
      <x:c r="P538" s="12" t="n">
        <x:f>IF(O538="","",O538/86400)</x:f>
        <x:v>0.004861111111111111</x:v>
      </x:c>
      <x:c r="Q538" s="12" t="n">
        <x:f>IF(O538="","",(H538*60+O538)/86400)</x:f>
        <x:v>0.6923611111111111</x:v>
      </x:c>
      <x:c r="R538" s="12" t="str">
        <x:f>IF(Q538="","",TEXT(Q538,"hh:mm:ss"))</x:f>
        <x:v>16:37:00</x:v>
      </x:c>
      <x:c r="S538" s="12" t="str">
        <x:v>否</x:v>
      </x:c>
      <x:c r="T538" s="12" t="str">
        <x:v>否</x:v>
      </x:c>
      <x:c r="U538" s="12" t="str">
        <x:v>未提供</x:v>
      </x:c>
      <x:c r="V538" s="12" t="str">
        <x:v>未提供</x:v>
      </x:c>
      <x:c r="W538" s="12" t="str">
        <x:v>秒级预测</x:v>
      </x:c>
      <x:c r="X538" s="12" t="str">
        <x:v>基于路线秒级参数；如录入实测或手动采用秒，预计到达时间可随公式更新</x:v>
      </x:c>
    </x:row>
    <x:row r="539">
      <x:c r="A539" s="12" t="str">
        <x:v>S0043-08</x:v>
      </x:c>
      <x:c r="B539" s="12" t="str">
        <x:v>S0043</x:v>
      </x:c>
      <x:c r="C539" s="12" t="str">
        <x:v>工作日</x:v>
      </x:c>
      <x:c r="D539" s="12" t="str">
        <x:v>环线1路</x:v>
      </x:c>
      <x:c r="E539" s="12" t="str">
        <x:v>第五班（夜2）</x:v>
      </x:c>
      <x:c r="F539" s="12" t="n">
        <x:v>2</x:v>
      </x:c>
      <x:c r="G539" s="12" t="str">
        <x:v>16:30</x:v>
      </x:c>
      <x:c r="H539" s="12" t="n">
        <x:v>990</x:v>
      </x:c>
      <x:c r="I539" s="12" t="str">
        <x:v>高超楼（就餐专线）</x:v>
      </x:c>
      <x:c r="J539" s="12" t="str">
        <x:v>高超楼发车（就餐专线）</x:v>
      </x:c>
      <x:c r="K539" s="12" t="str">
        <x:v>HX1_DINING</x:v>
      </x:c>
      <x:c r="L539" s="12" t="n">
        <x:v>8</x:v>
      </x:c>
      <x:c r="M539" s="12" t="str">
        <x:v>HX1_DINING|8</x:v>
      </x:c>
      <x:c r="N539" s="12" t="str">
        <x:v>理学院</x:v>
      </x:c>
      <x:c r="O539" s="12" t="n">
        <x:f>IFERROR(INDEX('秒级路线参数_可调整'!$O:$O,MATCH(M539,'秒级路线参数_可调整'!$A:$A,0)),"")</x:f>
        <x:v>480</x:v>
      </x:c>
      <x:c r="P539" s="12" t="n">
        <x:f>IF(O539="","",O539/86400)</x:f>
        <x:v>0.005555555555555556</x:v>
      </x:c>
      <x:c r="Q539" s="12" t="n">
        <x:f>IF(O539="","",(H539*60+O539)/86400)</x:f>
        <x:v>0.6930555555555555</x:v>
      </x:c>
      <x:c r="R539" s="12" t="str">
        <x:f>IF(Q539="","",TEXT(Q539,"hh:mm:ss"))</x:f>
        <x:v>16:38:00</x:v>
      </x:c>
      <x:c r="S539" s="12" t="str">
        <x:v>否</x:v>
      </x:c>
      <x:c r="T539" s="12" t="str">
        <x:v>否</x:v>
      </x:c>
      <x:c r="U539" s="12" t="str">
        <x:v>未提供</x:v>
      </x:c>
      <x:c r="V539" s="12" t="str">
        <x:v>未提供</x:v>
      </x:c>
      <x:c r="W539" s="12" t="str">
        <x:v>秒级预测</x:v>
      </x:c>
      <x:c r="X539" s="12" t="str">
        <x:v>基于路线秒级参数；如录入实测或手动采用秒，预计到达时间可随公式更新</x:v>
      </x:c>
    </x:row>
    <x:row r="540">
      <x:c r="A540" s="12" t="str">
        <x:v>S0043-09</x:v>
      </x:c>
      <x:c r="B540" s="12" t="str">
        <x:v>S0043</x:v>
      </x:c>
      <x:c r="C540" s="12" t="str">
        <x:v>工作日</x:v>
      </x:c>
      <x:c r="D540" s="12" t="str">
        <x:v>环线1路</x:v>
      </x:c>
      <x:c r="E540" s="12" t="str">
        <x:v>第五班（夜2）</x:v>
      </x:c>
      <x:c r="F540" s="12" t="n">
        <x:v>2</x:v>
      </x:c>
      <x:c r="G540" s="12" t="str">
        <x:v>16:30</x:v>
      </x:c>
      <x:c r="H540" s="12" t="n">
        <x:v>990</x:v>
      </x:c>
      <x:c r="I540" s="12" t="str">
        <x:v>高超楼（就餐专线）</x:v>
      </x:c>
      <x:c r="J540" s="12" t="str">
        <x:v>高超楼发车（就餐专线）</x:v>
      </x:c>
      <x:c r="K540" s="12" t="str">
        <x:v>HX1_DINING</x:v>
      </x:c>
      <x:c r="L540" s="12" t="n">
        <x:v>9</x:v>
      </x:c>
      <x:c r="M540" s="12" t="str">
        <x:v>HX1_DINING|9</x:v>
      </x:c>
      <x:c r="N540" s="12" t="str">
        <x:v>高超楼</x:v>
      </x:c>
      <x:c r="O540" s="12" t="n">
        <x:f>IFERROR(INDEX('秒级路线参数_可调整'!$O:$O,MATCH(M540,'秒级路线参数_可调整'!$A:$A,0)),"")</x:f>
        <x:v>535</x:v>
      </x:c>
      <x:c r="P540" s="12" t="n">
        <x:f>IF(O540="","",O540/86400)</x:f>
        <x:v>0.00619212962962963</x:v>
      </x:c>
      <x:c r="Q540" s="12" t="n">
        <x:f>IF(O540="","",(H540*60+O540)/86400)</x:f>
        <x:v>0.6936921296296297</x:v>
      </x:c>
      <x:c r="R540" s="12" t="str">
        <x:f>IF(Q540="","",TEXT(Q540,"hh:mm:ss"))</x:f>
        <x:v>16:38:55</x:v>
      </x:c>
      <x:c r="S540" s="12" t="str">
        <x:v>否</x:v>
      </x:c>
      <x:c r="T540" s="12" t="str">
        <x:v>是</x:v>
      </x:c>
      <x:c r="U540" s="12" t="str">
        <x:v>未提供</x:v>
      </x:c>
      <x:c r="V540" s="12" t="str">
        <x:v>未提供</x:v>
      </x:c>
      <x:c r="W540" s="12" t="str">
        <x:v>秒级预测</x:v>
      </x:c>
      <x:c r="X540" s="12" t="str">
        <x:v>基于路线秒级参数；如录入实测或手动采用秒，预计到达时间可随公式更新</x:v>
      </x:c>
    </x:row>
    <x:row r="541">
      <x:c r="A541" s="12" t="str">
        <x:v>S0044-01</x:v>
      </x:c>
      <x:c r="B541" s="12" t="str">
        <x:v>S0044</x:v>
      </x:c>
      <x:c r="C541" s="12" t="str">
        <x:v>工作日</x:v>
      </x:c>
      <x:c r="D541" s="12" t="str">
        <x:v>环线1路</x:v>
      </x:c>
      <x:c r="E541" s="12" t="str">
        <x:v>第五班（夜2）</x:v>
      </x:c>
      <x:c r="F541" s="12" t="n">
        <x:v>3</x:v>
      </x:c>
      <x:c r="G541" s="12" t="str">
        <x:v>16:50</x:v>
      </x:c>
      <x:c r="H541" s="12" t="n">
        <x:v>1010</x:v>
      </x:c>
      <x:c r="I541" s="12" t="str">
        <x:v>高超楼（就餐专线）</x:v>
      </x:c>
      <x:c r="J541" s="12" t="str">
        <x:v>高超楼发车（就餐专线）</x:v>
      </x:c>
      <x:c r="K541" s="12" t="str">
        <x:v>HX1_DINING</x:v>
      </x:c>
      <x:c r="L541" s="12" t="n">
        <x:v>1</x:v>
      </x:c>
      <x:c r="M541" s="12" t="str">
        <x:v>HX1_DINING|1</x:v>
      </x:c>
      <x:c r="N541" s="12" t="str">
        <x:v>高超楼</x:v>
      </x:c>
      <x:c r="O541" s="12" t="n">
        <x:f>IFERROR(INDEX('秒级路线参数_可调整'!$O:$O,MATCH(M541,'秒级路线参数_可调整'!$A:$A,0)),"")</x:f>
        <x:v>0</x:v>
      </x:c>
      <x:c r="P541" s="12" t="str">
        <x:f>IF(O541="","",O541/86400)</x:f>
      </x:c>
      <x:c r="Q541" s="12" t="str">
        <x:f>IF(O541="","",(H541*60+O541)/86400)</x:f>
      </x:c>
      <x:c r="R541" s="12" t="str">
        <x:f>IF(Q541="","",TEXT(Q541,"hh:mm:ss"))</x:f>
      </x:c>
      <x:c r="S541" s="12" t="str">
        <x:v>是</x:v>
      </x:c>
      <x:c r="T541" s="12" t="str">
        <x:v>否</x:v>
      </x:c>
      <x:c r="U541" s="12" t="str">
        <x:v>未提供</x:v>
      </x:c>
      <x:c r="V541" s="12" t="str">
        <x:v>未提供</x:v>
      </x:c>
      <x:c r="W541" s="12" t="str">
        <x:v>秒级预测</x:v>
      </x:c>
      <x:c r="X541" s="12" t="str">
        <x:v>基于路线秒级参数；如录入实测或手动采用秒，预计到达时间可随公式更新</x:v>
      </x:c>
    </x:row>
    <x:row r="542">
      <x:c r="A542" s="12" t="str">
        <x:v>S0044-02</x:v>
      </x:c>
      <x:c r="B542" s="12" t="str">
        <x:v>S0044</x:v>
      </x:c>
      <x:c r="C542" s="12" t="str">
        <x:v>工作日</x:v>
      </x:c>
      <x:c r="D542" s="12" t="str">
        <x:v>环线1路</x:v>
      </x:c>
      <x:c r="E542" s="12" t="str">
        <x:v>第五班（夜2）</x:v>
      </x:c>
      <x:c r="F542" s="12" t="n">
        <x:v>3</x:v>
      </x:c>
      <x:c r="G542" s="12" t="str">
        <x:v>16:50</x:v>
      </x:c>
      <x:c r="H542" s="12" t="n">
        <x:v>1010</x:v>
      </x:c>
      <x:c r="I542" s="12" t="str">
        <x:v>高超楼（就餐专线）</x:v>
      </x:c>
      <x:c r="J542" s="12" t="str">
        <x:v>高超楼发车（就餐专线）</x:v>
      </x:c>
      <x:c r="K542" s="12" t="str">
        <x:v>HX1_DINING</x:v>
      </x:c>
      <x:c r="L542" s="12" t="n">
        <x:v>2</x:v>
      </x:c>
      <x:c r="M542" s="12" t="str">
        <x:v>HX1_DINING|2</x:v>
      </x:c>
      <x:c r="N542" s="12" t="str">
        <x:v>理学院</x:v>
      </x:c>
      <x:c r="O542" s="12" t="n">
        <x:f>IFERROR(INDEX('秒级路线参数_可调整'!$O:$O,MATCH(M542,'秒级路线参数_可调整'!$A:$A,0)),"")</x:f>
        <x:v>65</x:v>
      </x:c>
      <x:c r="P542" s="12" t="n">
        <x:f>IF(O542="","",O542/86400)</x:f>
        <x:v>0.0007523148148148148</x:v>
      </x:c>
      <x:c r="Q542" s="12" t="n">
        <x:f>IF(O542="","",(H542*60+O542)/86400)</x:f>
        <x:v>0.7021412037037037</x:v>
      </x:c>
      <x:c r="R542" s="12" t="str">
        <x:f>IF(Q542="","",TEXT(Q542,"hh:mm:ss"))</x:f>
        <x:v>16:51:05</x:v>
      </x:c>
      <x:c r="S542" s="12" t="str">
        <x:v>否</x:v>
      </x:c>
      <x:c r="T542" s="12" t="str">
        <x:v>否</x:v>
      </x:c>
      <x:c r="U542" s="12" t="str">
        <x:v>未提供</x:v>
      </x:c>
      <x:c r="V542" s="12" t="str">
        <x:v>未提供</x:v>
      </x:c>
      <x:c r="W542" s="12" t="str">
        <x:v>秒级预测</x:v>
      </x:c>
      <x:c r="X542" s="12" t="str">
        <x:v>基于路线秒级参数；如录入实测或手动采用秒，预计到达时间可随公式更新</x:v>
      </x:c>
    </x:row>
    <x:row r="543">
      <x:c r="A543" s="12" t="str">
        <x:v>S0044-03</x:v>
      </x:c>
      <x:c r="B543" s="12" t="str">
        <x:v>S0044</x:v>
      </x:c>
      <x:c r="C543" s="12" t="str">
        <x:v>工作日</x:v>
      </x:c>
      <x:c r="D543" s="12" t="str">
        <x:v>环线1路</x:v>
      </x:c>
      <x:c r="E543" s="12" t="str">
        <x:v>第五班（夜2）</x:v>
      </x:c>
      <x:c r="F543" s="12" t="n">
        <x:v>3</x:v>
      </x:c>
      <x:c r="G543" s="12" t="str">
        <x:v>16:50</x:v>
      </x:c>
      <x:c r="H543" s="12" t="n">
        <x:v>1010</x:v>
      </x:c>
      <x:c r="I543" s="12" t="str">
        <x:v>高超楼（就餐专线）</x:v>
      </x:c>
      <x:c r="J543" s="12" t="str">
        <x:v>高超楼发车（就餐专线）</x:v>
      </x:c>
      <x:c r="K543" s="12" t="str">
        <x:v>HX1_DINING</x:v>
      </x:c>
      <x:c r="L543" s="12" t="n">
        <x:v>3</x:v>
      </x:c>
      <x:c r="M543" s="12" t="str">
        <x:v>HX1_DINING|3</x:v>
      </x:c>
      <x:c r="N543" s="12" t="str">
        <x:v>二食堂</x:v>
      </x:c>
      <x:c r="O543" s="12" t="n">
        <x:f>IFERROR(INDEX('秒级路线参数_可调整'!$O:$O,MATCH(M543,'秒级路线参数_可调整'!$A:$A,0)),"")</x:f>
        <x:v>120</x:v>
      </x:c>
      <x:c r="P543" s="12" t="n">
        <x:f>IF(O543="","",O543/86400)</x:f>
        <x:v>0.001388888888888889</x:v>
      </x:c>
      <x:c r="Q543" s="12" t="n">
        <x:f>IF(O543="","",(H543*60+O543)/86400)</x:f>
        <x:v>0.7027777777777777</x:v>
      </x:c>
      <x:c r="R543" s="12" t="str">
        <x:f>IF(Q543="","",TEXT(Q543,"hh:mm:ss"))</x:f>
        <x:v>16:52:00</x:v>
      </x:c>
      <x:c r="S543" s="12" t="str">
        <x:v>否</x:v>
      </x:c>
      <x:c r="T543" s="12" t="str">
        <x:v>否</x:v>
      </x:c>
      <x:c r="U543" s="12" t="str">
        <x:v>未提供</x:v>
      </x:c>
      <x:c r="V543" s="12" t="str">
        <x:v>未提供</x:v>
      </x:c>
      <x:c r="W543" s="12" t="str">
        <x:v>秒级预测</x:v>
      </x:c>
      <x:c r="X543" s="12" t="str">
        <x:v>基于路线秒级参数；如录入实测或手动采用秒，预计到达时间可随公式更新</x:v>
      </x:c>
    </x:row>
    <x:row r="544">
      <x:c r="A544" s="12" t="str">
        <x:v>S0044-04</x:v>
      </x:c>
      <x:c r="B544" s="12" t="str">
        <x:v>S0044</x:v>
      </x:c>
      <x:c r="C544" s="12" t="str">
        <x:v>工作日</x:v>
      </x:c>
      <x:c r="D544" s="12" t="str">
        <x:v>环线1路</x:v>
      </x:c>
      <x:c r="E544" s="12" t="str">
        <x:v>第五班（夜2）</x:v>
      </x:c>
      <x:c r="F544" s="12" t="n">
        <x:v>3</x:v>
      </x:c>
      <x:c r="G544" s="12" t="str">
        <x:v>16:50</x:v>
      </x:c>
      <x:c r="H544" s="12" t="n">
        <x:v>1010</x:v>
      </x:c>
      <x:c r="I544" s="12" t="str">
        <x:v>高超楼（就餐专线）</x:v>
      </x:c>
      <x:c r="J544" s="12" t="str">
        <x:v>高超楼发车（就餐专线）</x:v>
      </x:c>
      <x:c r="K544" s="12" t="str">
        <x:v>HX1_DINING</x:v>
      </x:c>
      <x:c r="L544" s="12" t="n">
        <x:v>4</x:v>
      </x:c>
      <x:c r="M544" s="12" t="str">
        <x:v>HX1_DINING|4</x:v>
      </x:c>
      <x:c r="N544" s="12" t="str">
        <x:v>一食堂</x:v>
      </x:c>
      <x:c r="O544" s="12" t="n">
        <x:f>IFERROR(INDEX('秒级路线参数_可调整'!$O:$O,MATCH(M544,'秒级路线参数_可调整'!$A:$A,0)),"")</x:f>
        <x:v>165</x:v>
      </x:c>
      <x:c r="P544" s="12" t="n">
        <x:f>IF(O544="","",O544/86400)</x:f>
        <x:v>0.0019097222222222222</x:v>
      </x:c>
      <x:c r="Q544" s="12" t="n">
        <x:f>IF(O544="","",(H544*60+O544)/86400)</x:f>
        <x:v>0.7032986111111111</x:v>
      </x:c>
      <x:c r="R544" s="12" t="str">
        <x:f>IF(Q544="","",TEXT(Q544,"hh:mm:ss"))</x:f>
        <x:v>16:52:45</x:v>
      </x:c>
      <x:c r="S544" s="12" t="str">
        <x:v>否</x:v>
      </x:c>
      <x:c r="T544" s="12" t="str">
        <x:v>否</x:v>
      </x:c>
      <x:c r="U544" s="12" t="str">
        <x:v>未提供</x:v>
      </x:c>
      <x:c r="V544" s="12" t="str">
        <x:v>未提供</x:v>
      </x:c>
      <x:c r="W544" s="12" t="str">
        <x:v>秒级预测</x:v>
      </x:c>
      <x:c r="X544" s="12" t="str">
        <x:v>基于路线秒级参数；如录入实测或手动采用秒，预计到达时间可随公式更新</x:v>
      </x:c>
    </x:row>
    <x:row r="545">
      <x:c r="A545" s="12" t="str">
        <x:v>S0044-05</x:v>
      </x:c>
      <x:c r="B545" s="12" t="str">
        <x:v>S0044</x:v>
      </x:c>
      <x:c r="C545" s="12" t="str">
        <x:v>工作日</x:v>
      </x:c>
      <x:c r="D545" s="12" t="str">
        <x:v>环线1路</x:v>
      </x:c>
      <x:c r="E545" s="12" t="str">
        <x:v>第五班（夜2）</x:v>
      </x:c>
      <x:c r="F545" s="12" t="n">
        <x:v>3</x:v>
      </x:c>
      <x:c r="G545" s="12" t="str">
        <x:v>16:50</x:v>
      </x:c>
      <x:c r="H545" s="12" t="n">
        <x:v>1010</x:v>
      </x:c>
      <x:c r="I545" s="12" t="str">
        <x:v>高超楼（就餐专线）</x:v>
      </x:c>
      <x:c r="J545" s="12" t="str">
        <x:v>高超楼发车（就餐专线）</x:v>
      </x:c>
      <x:c r="K545" s="12" t="str">
        <x:v>HX1_DINING</x:v>
      </x:c>
      <x:c r="L545" s="12" t="n">
        <x:v>5</x:v>
      </x:c>
      <x:c r="M545" s="12" t="str">
        <x:v>HX1_DINING|5</x:v>
      </x:c>
      <x:c r="N545" s="12" t="str">
        <x:v>305教学楼</x:v>
      </x:c>
      <x:c r="O545" s="12" t="n">
        <x:f>IFERROR(INDEX('秒级路线参数_可调整'!$O:$O,MATCH(M545,'秒级路线参数_可调整'!$A:$A,0)),"")</x:f>
        <x:v>250</x:v>
      </x:c>
      <x:c r="P545" s="12" t="n">
        <x:f>IF(O545="","",O545/86400)</x:f>
        <x:v>0.0028935185185185184</x:v>
      </x:c>
      <x:c r="Q545" s="12" t="n">
        <x:f>IF(O545="","",(H545*60+O545)/86400)</x:f>
        <x:v>0.7042824074074074</x:v>
      </x:c>
      <x:c r="R545" s="12" t="str">
        <x:f>IF(Q545="","",TEXT(Q545,"hh:mm:ss"))</x:f>
        <x:v>16:54:10</x:v>
      </x:c>
      <x:c r="S545" s="12" t="str">
        <x:v>否</x:v>
      </x:c>
      <x:c r="T545" s="12" t="str">
        <x:v>否</x:v>
      </x:c>
      <x:c r="U545" s="12" t="str">
        <x:v>未提供</x:v>
      </x:c>
      <x:c r="V545" s="12" t="str">
        <x:v>未提供</x:v>
      </x:c>
      <x:c r="W545" s="12" t="str">
        <x:v>秒级预测</x:v>
      </x:c>
      <x:c r="X545" s="12" t="str">
        <x:v>基于路线秒级参数；如录入实测或手动采用秒，预计到达时间可随公式更新</x:v>
      </x:c>
    </x:row>
    <x:row r="546">
      <x:c r="A546" s="12" t="str">
        <x:v>S0044-06</x:v>
      </x:c>
      <x:c r="B546" s="12" t="str">
        <x:v>S0044</x:v>
      </x:c>
      <x:c r="C546" s="12" t="str">
        <x:v>工作日</x:v>
      </x:c>
      <x:c r="D546" s="12" t="str">
        <x:v>环线1路</x:v>
      </x:c>
      <x:c r="E546" s="12" t="str">
        <x:v>第五班（夜2）</x:v>
      </x:c>
      <x:c r="F546" s="12" t="n">
        <x:v>3</x:v>
      </x:c>
      <x:c r="G546" s="12" t="str">
        <x:v>16:50</x:v>
      </x:c>
      <x:c r="H546" s="12" t="n">
        <x:v>1010</x:v>
      </x:c>
      <x:c r="I546" s="12" t="str">
        <x:v>高超楼（就餐专线）</x:v>
      </x:c>
      <x:c r="J546" s="12" t="str">
        <x:v>高超楼发车（就餐专线）</x:v>
      </x:c>
      <x:c r="K546" s="12" t="str">
        <x:v>HX1_DINING</x:v>
      </x:c>
      <x:c r="L546" s="12" t="n">
        <x:v>6</x:v>
      </x:c>
      <x:c r="M546" s="12" t="str">
        <x:v>HX1_DINING|6</x:v>
      </x:c>
      <x:c r="N546" s="12" t="str">
        <x:v>5号宿舍楼</x:v>
      </x:c>
      <x:c r="O546" s="12" t="n">
        <x:f>IFERROR(INDEX('秒级路线参数_可调整'!$O:$O,MATCH(M546,'秒级路线参数_可调整'!$A:$A,0)),"")</x:f>
        <x:v>315</x:v>
      </x:c>
      <x:c r="P546" s="12" t="n">
        <x:f>IF(O546="","",O546/86400)</x:f>
        <x:v>0.0036458333333333334</x:v>
      </x:c>
      <x:c r="Q546" s="12" t="n">
        <x:f>IF(O546="","",(H546*60+O546)/86400)</x:f>
        <x:v>0.7050347222222222</x:v>
      </x:c>
      <x:c r="R546" s="12" t="str">
        <x:f>IF(Q546="","",TEXT(Q546,"hh:mm:ss"))</x:f>
        <x:v>16:55:15</x:v>
      </x:c>
      <x:c r="S546" s="12" t="str">
        <x:v>否</x:v>
      </x:c>
      <x:c r="T546" s="12" t="str">
        <x:v>否</x:v>
      </x:c>
      <x:c r="U546" s="12" t="str">
        <x:v>未提供</x:v>
      </x:c>
      <x:c r="V546" s="12" t="str">
        <x:v>未提供</x:v>
      </x:c>
      <x:c r="W546" s="12" t="str">
        <x:v>秒级预测</x:v>
      </x:c>
      <x:c r="X546" s="12" t="str">
        <x:v>基于路线秒级参数；如录入实测或手动采用秒，预计到达时间可随公式更新</x:v>
      </x:c>
    </x:row>
    <x:row r="547">
      <x:c r="A547" s="12" t="str">
        <x:v>S0044-07</x:v>
      </x:c>
      <x:c r="B547" s="12" t="str">
        <x:v>S0044</x:v>
      </x:c>
      <x:c r="C547" s="12" t="str">
        <x:v>工作日</x:v>
      </x:c>
      <x:c r="D547" s="12" t="str">
        <x:v>环线1路</x:v>
      </x:c>
      <x:c r="E547" s="12" t="str">
        <x:v>第五班（夜2）</x:v>
      </x:c>
      <x:c r="F547" s="12" t="n">
        <x:v>3</x:v>
      </x:c>
      <x:c r="G547" s="12" t="str">
        <x:v>16:50</x:v>
      </x:c>
      <x:c r="H547" s="12" t="n">
        <x:v>1010</x:v>
      </x:c>
      <x:c r="I547" s="12" t="str">
        <x:v>高超楼（就餐专线）</x:v>
      </x:c>
      <x:c r="J547" s="12" t="str">
        <x:v>高超楼发车（就餐专线）</x:v>
      </x:c>
      <x:c r="K547" s="12" t="str">
        <x:v>HX1_DINING</x:v>
      </x:c>
      <x:c r="L547" s="12" t="n">
        <x:v>7</x:v>
      </x:c>
      <x:c r="M547" s="12" t="str">
        <x:v>HX1_DINING|7</x:v>
      </x:c>
      <x:c r="N547" s="12" t="str">
        <x:v>二食堂北</x:v>
      </x:c>
      <x:c r="O547" s="12" t="n">
        <x:f>IFERROR(INDEX('秒级路线参数_可调整'!$O:$O,MATCH(M547,'秒级路线参数_可调整'!$A:$A,0)),"")</x:f>
        <x:v>420</x:v>
      </x:c>
      <x:c r="P547" s="12" t="n">
        <x:f>IF(O547="","",O547/86400)</x:f>
        <x:v>0.004861111111111111</x:v>
      </x:c>
      <x:c r="Q547" s="12" t="n">
        <x:f>IF(O547="","",(H547*60+O547)/86400)</x:f>
        <x:v>0.70625</x:v>
      </x:c>
      <x:c r="R547" s="12" t="str">
        <x:f>IF(Q547="","",TEXT(Q547,"hh:mm:ss"))</x:f>
        <x:v>16:57:00</x:v>
      </x:c>
      <x:c r="S547" s="12" t="str">
        <x:v>否</x:v>
      </x:c>
      <x:c r="T547" s="12" t="str">
        <x:v>否</x:v>
      </x:c>
      <x:c r="U547" s="12" t="str">
        <x:v>未提供</x:v>
      </x:c>
      <x:c r="V547" s="12" t="str">
        <x:v>未提供</x:v>
      </x:c>
      <x:c r="W547" s="12" t="str">
        <x:v>秒级预测</x:v>
      </x:c>
      <x:c r="X547" s="12" t="str">
        <x:v>基于路线秒级参数；如录入实测或手动采用秒，预计到达时间可随公式更新</x:v>
      </x:c>
    </x:row>
    <x:row r="548">
      <x:c r="A548" s="12" t="str">
        <x:v>S0044-08</x:v>
      </x:c>
      <x:c r="B548" s="12" t="str">
        <x:v>S0044</x:v>
      </x:c>
      <x:c r="C548" s="12" t="str">
        <x:v>工作日</x:v>
      </x:c>
      <x:c r="D548" s="12" t="str">
        <x:v>环线1路</x:v>
      </x:c>
      <x:c r="E548" s="12" t="str">
        <x:v>第五班（夜2）</x:v>
      </x:c>
      <x:c r="F548" s="12" t="n">
        <x:v>3</x:v>
      </x:c>
      <x:c r="G548" s="12" t="str">
        <x:v>16:50</x:v>
      </x:c>
      <x:c r="H548" s="12" t="n">
        <x:v>1010</x:v>
      </x:c>
      <x:c r="I548" s="12" t="str">
        <x:v>高超楼（就餐专线）</x:v>
      </x:c>
      <x:c r="J548" s="12" t="str">
        <x:v>高超楼发车（就餐专线）</x:v>
      </x:c>
      <x:c r="K548" s="12" t="str">
        <x:v>HX1_DINING</x:v>
      </x:c>
      <x:c r="L548" s="12" t="n">
        <x:v>8</x:v>
      </x:c>
      <x:c r="M548" s="12" t="str">
        <x:v>HX1_DINING|8</x:v>
      </x:c>
      <x:c r="N548" s="12" t="str">
        <x:v>理学院</x:v>
      </x:c>
      <x:c r="O548" s="12" t="n">
        <x:f>IFERROR(INDEX('秒级路线参数_可调整'!$O:$O,MATCH(M548,'秒级路线参数_可调整'!$A:$A,0)),"")</x:f>
        <x:v>480</x:v>
      </x:c>
      <x:c r="P548" s="12" t="n">
        <x:f>IF(O548="","",O548/86400)</x:f>
        <x:v>0.005555555555555556</x:v>
      </x:c>
      <x:c r="Q548" s="12" t="n">
        <x:f>IF(O548="","",(H548*60+O548)/86400)</x:f>
        <x:v>0.7069444444444445</x:v>
      </x:c>
      <x:c r="R548" s="12" t="str">
        <x:f>IF(Q548="","",TEXT(Q548,"hh:mm:ss"))</x:f>
        <x:v>16:58:00</x:v>
      </x:c>
      <x:c r="S548" s="12" t="str">
        <x:v>否</x:v>
      </x:c>
      <x:c r="T548" s="12" t="str">
        <x:v>否</x:v>
      </x:c>
      <x:c r="U548" s="12" t="str">
        <x:v>未提供</x:v>
      </x:c>
      <x:c r="V548" s="12" t="str">
        <x:v>未提供</x:v>
      </x:c>
      <x:c r="W548" s="12" t="str">
        <x:v>秒级预测</x:v>
      </x:c>
      <x:c r="X548" s="12" t="str">
        <x:v>基于路线秒级参数；如录入实测或手动采用秒，预计到达时间可随公式更新</x:v>
      </x:c>
    </x:row>
    <x:row r="549">
      <x:c r="A549" s="12" t="str">
        <x:v>S0044-09</x:v>
      </x:c>
      <x:c r="B549" s="12" t="str">
        <x:v>S0044</x:v>
      </x:c>
      <x:c r="C549" s="12" t="str">
        <x:v>工作日</x:v>
      </x:c>
      <x:c r="D549" s="12" t="str">
        <x:v>环线1路</x:v>
      </x:c>
      <x:c r="E549" s="12" t="str">
        <x:v>第五班（夜2）</x:v>
      </x:c>
      <x:c r="F549" s="12" t="n">
        <x:v>3</x:v>
      </x:c>
      <x:c r="G549" s="12" t="str">
        <x:v>16:50</x:v>
      </x:c>
      <x:c r="H549" s="12" t="n">
        <x:v>1010</x:v>
      </x:c>
      <x:c r="I549" s="12" t="str">
        <x:v>高超楼（就餐专线）</x:v>
      </x:c>
      <x:c r="J549" s="12" t="str">
        <x:v>高超楼发车（就餐专线）</x:v>
      </x:c>
      <x:c r="K549" s="12" t="str">
        <x:v>HX1_DINING</x:v>
      </x:c>
      <x:c r="L549" s="12" t="n">
        <x:v>9</x:v>
      </x:c>
      <x:c r="M549" s="12" t="str">
        <x:v>HX1_DINING|9</x:v>
      </x:c>
      <x:c r="N549" s="12" t="str">
        <x:v>高超楼</x:v>
      </x:c>
      <x:c r="O549" s="12" t="n">
        <x:f>IFERROR(INDEX('秒级路线参数_可调整'!$O:$O,MATCH(M549,'秒级路线参数_可调整'!$A:$A,0)),"")</x:f>
        <x:v>535</x:v>
      </x:c>
      <x:c r="P549" s="12" t="n">
        <x:f>IF(O549="","",O549/86400)</x:f>
        <x:v>0.00619212962962963</x:v>
      </x:c>
      <x:c r="Q549" s="12" t="n">
        <x:f>IF(O549="","",(H549*60+O549)/86400)</x:f>
        <x:v>0.7075810185185185</x:v>
      </x:c>
      <x:c r="R549" s="12" t="str">
        <x:f>IF(Q549="","",TEXT(Q549,"hh:mm:ss"))</x:f>
        <x:v>16:58:55</x:v>
      </x:c>
      <x:c r="S549" s="12" t="str">
        <x:v>否</x:v>
      </x:c>
      <x:c r="T549" s="12" t="str">
        <x:v>是</x:v>
      </x:c>
      <x:c r="U549" s="12" t="str">
        <x:v>未提供</x:v>
      </x:c>
      <x:c r="V549" s="12" t="str">
        <x:v>未提供</x:v>
      </x:c>
      <x:c r="W549" s="12" t="str">
        <x:v>秒级预测</x:v>
      </x:c>
      <x:c r="X549" s="12" t="str">
        <x:v>基于路线秒级参数；如录入实测或手动采用秒，预计到达时间可随公式更新</x:v>
      </x:c>
    </x:row>
    <x:row r="550">
      <x:c r="A550" s="12" t="str">
        <x:v>S0045-01</x:v>
      </x:c>
      <x:c r="B550" s="12" t="str">
        <x:v>S0045</x:v>
      </x:c>
      <x:c r="C550" s="12" t="str">
        <x:v>工作日</x:v>
      </x:c>
      <x:c r="D550" s="12" t="str">
        <x:v>环线1路</x:v>
      </x:c>
      <x:c r="E550" s="12" t="str">
        <x:v>第五班（夜2）</x:v>
      </x:c>
      <x:c r="F550" s="12" t="n">
        <x:v>4</x:v>
      </x:c>
      <x:c r="G550" s="12" t="str">
        <x:v>17:10</x:v>
      </x:c>
      <x:c r="H550" s="12" t="n">
        <x:v>1030</x:v>
      </x:c>
      <x:c r="I550" s="12" t="str">
        <x:v>高超楼（就餐专线）</x:v>
      </x:c>
      <x:c r="J550" s="12" t="str">
        <x:v>高超楼发车（就餐专线）</x:v>
      </x:c>
      <x:c r="K550" s="12" t="str">
        <x:v>HX1_DINING</x:v>
      </x:c>
      <x:c r="L550" s="12" t="n">
        <x:v>1</x:v>
      </x:c>
      <x:c r="M550" s="12" t="str">
        <x:v>HX1_DINING|1</x:v>
      </x:c>
      <x:c r="N550" s="12" t="str">
        <x:v>高超楼</x:v>
      </x:c>
      <x:c r="O550" s="12" t="n">
        <x:f>IFERROR(INDEX('秒级路线参数_可调整'!$O:$O,MATCH(M550,'秒级路线参数_可调整'!$A:$A,0)),"")</x:f>
        <x:v>0</x:v>
      </x:c>
      <x:c r="P550" s="12" t="str">
        <x:f>IF(O550="","",O550/86400)</x:f>
      </x:c>
      <x:c r="Q550" s="12" t="str">
        <x:f>IF(O550="","",(H550*60+O550)/86400)</x:f>
      </x:c>
      <x:c r="R550" s="12" t="str">
        <x:f>IF(Q550="","",TEXT(Q550,"hh:mm:ss"))</x:f>
      </x:c>
      <x:c r="S550" s="12" t="str">
        <x:v>是</x:v>
      </x:c>
      <x:c r="T550" s="12" t="str">
        <x:v>否</x:v>
      </x:c>
      <x:c r="U550" s="12" t="str">
        <x:v>未提供</x:v>
      </x:c>
      <x:c r="V550" s="12" t="str">
        <x:v>未提供</x:v>
      </x:c>
      <x:c r="W550" s="12" t="str">
        <x:v>秒级预测</x:v>
      </x:c>
      <x:c r="X550" s="12" t="str">
        <x:v>基于路线秒级参数；如录入实测或手动采用秒，预计到达时间可随公式更新</x:v>
      </x:c>
    </x:row>
    <x:row r="551">
      <x:c r="A551" s="12" t="str">
        <x:v>S0045-02</x:v>
      </x:c>
      <x:c r="B551" s="12" t="str">
        <x:v>S0045</x:v>
      </x:c>
      <x:c r="C551" s="12" t="str">
        <x:v>工作日</x:v>
      </x:c>
      <x:c r="D551" s="12" t="str">
        <x:v>环线1路</x:v>
      </x:c>
      <x:c r="E551" s="12" t="str">
        <x:v>第五班（夜2）</x:v>
      </x:c>
      <x:c r="F551" s="12" t="n">
        <x:v>4</x:v>
      </x:c>
      <x:c r="G551" s="12" t="str">
        <x:v>17:10</x:v>
      </x:c>
      <x:c r="H551" s="12" t="n">
        <x:v>1030</x:v>
      </x:c>
      <x:c r="I551" s="12" t="str">
        <x:v>高超楼（就餐专线）</x:v>
      </x:c>
      <x:c r="J551" s="12" t="str">
        <x:v>高超楼发车（就餐专线）</x:v>
      </x:c>
      <x:c r="K551" s="12" t="str">
        <x:v>HX1_DINING</x:v>
      </x:c>
      <x:c r="L551" s="12" t="n">
        <x:v>2</x:v>
      </x:c>
      <x:c r="M551" s="12" t="str">
        <x:v>HX1_DINING|2</x:v>
      </x:c>
      <x:c r="N551" s="12" t="str">
        <x:v>理学院</x:v>
      </x:c>
      <x:c r="O551" s="12" t="n">
        <x:f>IFERROR(INDEX('秒级路线参数_可调整'!$O:$O,MATCH(M551,'秒级路线参数_可调整'!$A:$A,0)),"")</x:f>
        <x:v>65</x:v>
      </x:c>
      <x:c r="P551" s="12" t="n">
        <x:f>IF(O551="","",O551/86400)</x:f>
        <x:v>0.0007523148148148148</x:v>
      </x:c>
      <x:c r="Q551" s="12" t="n">
        <x:f>IF(O551="","",(H551*60+O551)/86400)</x:f>
        <x:v>0.7160300925925925</x:v>
      </x:c>
      <x:c r="R551" s="12" t="str">
        <x:f>IF(Q551="","",TEXT(Q551,"hh:mm:ss"))</x:f>
        <x:v>17:11:05</x:v>
      </x:c>
      <x:c r="S551" s="12" t="str">
        <x:v>否</x:v>
      </x:c>
      <x:c r="T551" s="12" t="str">
        <x:v>否</x:v>
      </x:c>
      <x:c r="U551" s="12" t="str">
        <x:v>未提供</x:v>
      </x:c>
      <x:c r="V551" s="12" t="str">
        <x:v>未提供</x:v>
      </x:c>
      <x:c r="W551" s="12" t="str">
        <x:v>秒级预测</x:v>
      </x:c>
      <x:c r="X551" s="12" t="str">
        <x:v>基于路线秒级参数；如录入实测或手动采用秒，预计到达时间可随公式更新</x:v>
      </x:c>
    </x:row>
    <x:row r="552">
      <x:c r="A552" s="12" t="str">
        <x:v>S0045-03</x:v>
      </x:c>
      <x:c r="B552" s="12" t="str">
        <x:v>S0045</x:v>
      </x:c>
      <x:c r="C552" s="12" t="str">
        <x:v>工作日</x:v>
      </x:c>
      <x:c r="D552" s="12" t="str">
        <x:v>环线1路</x:v>
      </x:c>
      <x:c r="E552" s="12" t="str">
        <x:v>第五班（夜2）</x:v>
      </x:c>
      <x:c r="F552" s="12" t="n">
        <x:v>4</x:v>
      </x:c>
      <x:c r="G552" s="12" t="str">
        <x:v>17:10</x:v>
      </x:c>
      <x:c r="H552" s="12" t="n">
        <x:v>1030</x:v>
      </x:c>
      <x:c r="I552" s="12" t="str">
        <x:v>高超楼（就餐专线）</x:v>
      </x:c>
      <x:c r="J552" s="12" t="str">
        <x:v>高超楼发车（就餐专线）</x:v>
      </x:c>
      <x:c r="K552" s="12" t="str">
        <x:v>HX1_DINING</x:v>
      </x:c>
      <x:c r="L552" s="12" t="n">
        <x:v>3</x:v>
      </x:c>
      <x:c r="M552" s="12" t="str">
        <x:v>HX1_DINING|3</x:v>
      </x:c>
      <x:c r="N552" s="12" t="str">
        <x:v>二食堂</x:v>
      </x:c>
      <x:c r="O552" s="12" t="n">
        <x:f>IFERROR(INDEX('秒级路线参数_可调整'!$O:$O,MATCH(M552,'秒级路线参数_可调整'!$A:$A,0)),"")</x:f>
        <x:v>120</x:v>
      </x:c>
      <x:c r="P552" s="12" t="n">
        <x:f>IF(O552="","",O552/86400)</x:f>
        <x:v>0.001388888888888889</x:v>
      </x:c>
      <x:c r="Q552" s="12" t="n">
        <x:f>IF(O552="","",(H552*60+O552)/86400)</x:f>
        <x:v>0.7166666666666667</x:v>
      </x:c>
      <x:c r="R552" s="12" t="str">
        <x:f>IF(Q552="","",TEXT(Q552,"hh:mm:ss"))</x:f>
        <x:v>17:12:00</x:v>
      </x:c>
      <x:c r="S552" s="12" t="str">
        <x:v>否</x:v>
      </x:c>
      <x:c r="T552" s="12" t="str">
        <x:v>否</x:v>
      </x:c>
      <x:c r="U552" s="12" t="str">
        <x:v>未提供</x:v>
      </x:c>
      <x:c r="V552" s="12" t="str">
        <x:v>未提供</x:v>
      </x:c>
      <x:c r="W552" s="12" t="str">
        <x:v>秒级预测</x:v>
      </x:c>
      <x:c r="X552" s="12" t="str">
        <x:v>基于路线秒级参数；如录入实测或手动采用秒，预计到达时间可随公式更新</x:v>
      </x:c>
    </x:row>
    <x:row r="553">
      <x:c r="A553" s="12" t="str">
        <x:v>S0045-04</x:v>
      </x:c>
      <x:c r="B553" s="12" t="str">
        <x:v>S0045</x:v>
      </x:c>
      <x:c r="C553" s="12" t="str">
        <x:v>工作日</x:v>
      </x:c>
      <x:c r="D553" s="12" t="str">
        <x:v>环线1路</x:v>
      </x:c>
      <x:c r="E553" s="12" t="str">
        <x:v>第五班（夜2）</x:v>
      </x:c>
      <x:c r="F553" s="12" t="n">
        <x:v>4</x:v>
      </x:c>
      <x:c r="G553" s="12" t="str">
        <x:v>17:10</x:v>
      </x:c>
      <x:c r="H553" s="12" t="n">
        <x:v>1030</x:v>
      </x:c>
      <x:c r="I553" s="12" t="str">
        <x:v>高超楼（就餐专线）</x:v>
      </x:c>
      <x:c r="J553" s="12" t="str">
        <x:v>高超楼发车（就餐专线）</x:v>
      </x:c>
      <x:c r="K553" s="12" t="str">
        <x:v>HX1_DINING</x:v>
      </x:c>
      <x:c r="L553" s="12" t="n">
        <x:v>4</x:v>
      </x:c>
      <x:c r="M553" s="12" t="str">
        <x:v>HX1_DINING|4</x:v>
      </x:c>
      <x:c r="N553" s="12" t="str">
        <x:v>一食堂</x:v>
      </x:c>
      <x:c r="O553" s="12" t="n">
        <x:f>IFERROR(INDEX('秒级路线参数_可调整'!$O:$O,MATCH(M553,'秒级路线参数_可调整'!$A:$A,0)),"")</x:f>
        <x:v>165</x:v>
      </x:c>
      <x:c r="P553" s="12" t="n">
        <x:f>IF(O553="","",O553/86400)</x:f>
        <x:v>0.0019097222222222222</x:v>
      </x:c>
      <x:c r="Q553" s="12" t="n">
        <x:f>IF(O553="","",(H553*60+O553)/86400)</x:f>
        <x:v>0.7171875</x:v>
      </x:c>
      <x:c r="R553" s="12" t="str">
        <x:f>IF(Q553="","",TEXT(Q553,"hh:mm:ss"))</x:f>
        <x:v>17:12:45</x:v>
      </x:c>
      <x:c r="S553" s="12" t="str">
        <x:v>否</x:v>
      </x:c>
      <x:c r="T553" s="12" t="str">
        <x:v>否</x:v>
      </x:c>
      <x:c r="U553" s="12" t="str">
        <x:v>未提供</x:v>
      </x:c>
      <x:c r="V553" s="12" t="str">
        <x:v>未提供</x:v>
      </x:c>
      <x:c r="W553" s="12" t="str">
        <x:v>秒级预测</x:v>
      </x:c>
      <x:c r="X553" s="12" t="str">
        <x:v>基于路线秒级参数；如录入实测或手动采用秒，预计到达时间可随公式更新</x:v>
      </x:c>
    </x:row>
    <x:row r="554">
      <x:c r="A554" s="12" t="str">
        <x:v>S0045-05</x:v>
      </x:c>
      <x:c r="B554" s="12" t="str">
        <x:v>S0045</x:v>
      </x:c>
      <x:c r="C554" s="12" t="str">
        <x:v>工作日</x:v>
      </x:c>
      <x:c r="D554" s="12" t="str">
        <x:v>环线1路</x:v>
      </x:c>
      <x:c r="E554" s="12" t="str">
        <x:v>第五班（夜2）</x:v>
      </x:c>
      <x:c r="F554" s="12" t="n">
        <x:v>4</x:v>
      </x:c>
      <x:c r="G554" s="12" t="str">
        <x:v>17:10</x:v>
      </x:c>
      <x:c r="H554" s="12" t="n">
        <x:v>1030</x:v>
      </x:c>
      <x:c r="I554" s="12" t="str">
        <x:v>高超楼（就餐专线）</x:v>
      </x:c>
      <x:c r="J554" s="12" t="str">
        <x:v>高超楼发车（就餐专线）</x:v>
      </x:c>
      <x:c r="K554" s="12" t="str">
        <x:v>HX1_DINING</x:v>
      </x:c>
      <x:c r="L554" s="12" t="n">
        <x:v>5</x:v>
      </x:c>
      <x:c r="M554" s="12" t="str">
        <x:v>HX1_DINING|5</x:v>
      </x:c>
      <x:c r="N554" s="12" t="str">
        <x:v>305教学楼</x:v>
      </x:c>
      <x:c r="O554" s="12" t="n">
        <x:f>IFERROR(INDEX('秒级路线参数_可调整'!$O:$O,MATCH(M554,'秒级路线参数_可调整'!$A:$A,0)),"")</x:f>
        <x:v>250</x:v>
      </x:c>
      <x:c r="P554" s="12" t="n">
        <x:f>IF(O554="","",O554/86400)</x:f>
        <x:v>0.0028935185185185184</x:v>
      </x:c>
      <x:c r="Q554" s="12" t="n">
        <x:f>IF(O554="","",(H554*60+O554)/86400)</x:f>
        <x:v>0.7181712962962963</x:v>
      </x:c>
      <x:c r="R554" s="12" t="str">
        <x:f>IF(Q554="","",TEXT(Q554,"hh:mm:ss"))</x:f>
        <x:v>17:14:10</x:v>
      </x:c>
      <x:c r="S554" s="12" t="str">
        <x:v>否</x:v>
      </x:c>
      <x:c r="T554" s="12" t="str">
        <x:v>否</x:v>
      </x:c>
      <x:c r="U554" s="12" t="str">
        <x:v>未提供</x:v>
      </x:c>
      <x:c r="V554" s="12" t="str">
        <x:v>未提供</x:v>
      </x:c>
      <x:c r="W554" s="12" t="str">
        <x:v>秒级预测</x:v>
      </x:c>
      <x:c r="X554" s="12" t="str">
        <x:v>基于路线秒级参数；如录入实测或手动采用秒，预计到达时间可随公式更新</x:v>
      </x:c>
    </x:row>
    <x:row r="555">
      <x:c r="A555" s="12" t="str">
        <x:v>S0045-06</x:v>
      </x:c>
      <x:c r="B555" s="12" t="str">
        <x:v>S0045</x:v>
      </x:c>
      <x:c r="C555" s="12" t="str">
        <x:v>工作日</x:v>
      </x:c>
      <x:c r="D555" s="12" t="str">
        <x:v>环线1路</x:v>
      </x:c>
      <x:c r="E555" s="12" t="str">
        <x:v>第五班（夜2）</x:v>
      </x:c>
      <x:c r="F555" s="12" t="n">
        <x:v>4</x:v>
      </x:c>
      <x:c r="G555" s="12" t="str">
        <x:v>17:10</x:v>
      </x:c>
      <x:c r="H555" s="12" t="n">
        <x:v>1030</x:v>
      </x:c>
      <x:c r="I555" s="12" t="str">
        <x:v>高超楼（就餐专线）</x:v>
      </x:c>
      <x:c r="J555" s="12" t="str">
        <x:v>高超楼发车（就餐专线）</x:v>
      </x:c>
      <x:c r="K555" s="12" t="str">
        <x:v>HX1_DINING</x:v>
      </x:c>
      <x:c r="L555" s="12" t="n">
        <x:v>6</x:v>
      </x:c>
      <x:c r="M555" s="12" t="str">
        <x:v>HX1_DINING|6</x:v>
      </x:c>
      <x:c r="N555" s="12" t="str">
        <x:v>5号宿舍楼</x:v>
      </x:c>
      <x:c r="O555" s="12" t="n">
        <x:f>IFERROR(INDEX('秒级路线参数_可调整'!$O:$O,MATCH(M555,'秒级路线参数_可调整'!$A:$A,0)),"")</x:f>
        <x:v>315</x:v>
      </x:c>
      <x:c r="P555" s="12" t="n">
        <x:f>IF(O555="","",O555/86400)</x:f>
        <x:v>0.0036458333333333334</x:v>
      </x:c>
      <x:c r="Q555" s="12" t="n">
        <x:f>IF(O555="","",(H555*60+O555)/86400)</x:f>
        <x:v>0.7189236111111111</x:v>
      </x:c>
      <x:c r="R555" s="12" t="str">
        <x:f>IF(Q555="","",TEXT(Q555,"hh:mm:ss"))</x:f>
        <x:v>17:15:15</x:v>
      </x:c>
      <x:c r="S555" s="12" t="str">
        <x:v>否</x:v>
      </x:c>
      <x:c r="T555" s="12" t="str">
        <x:v>否</x:v>
      </x:c>
      <x:c r="U555" s="12" t="str">
        <x:v>未提供</x:v>
      </x:c>
      <x:c r="V555" s="12" t="str">
        <x:v>未提供</x:v>
      </x:c>
      <x:c r="W555" s="12" t="str">
        <x:v>秒级预测</x:v>
      </x:c>
      <x:c r="X555" s="12" t="str">
        <x:v>基于路线秒级参数；如录入实测或手动采用秒，预计到达时间可随公式更新</x:v>
      </x:c>
    </x:row>
    <x:row r="556">
      <x:c r="A556" s="12" t="str">
        <x:v>S0045-07</x:v>
      </x:c>
      <x:c r="B556" s="12" t="str">
        <x:v>S0045</x:v>
      </x:c>
      <x:c r="C556" s="12" t="str">
        <x:v>工作日</x:v>
      </x:c>
      <x:c r="D556" s="12" t="str">
        <x:v>环线1路</x:v>
      </x:c>
      <x:c r="E556" s="12" t="str">
        <x:v>第五班（夜2）</x:v>
      </x:c>
      <x:c r="F556" s="12" t="n">
        <x:v>4</x:v>
      </x:c>
      <x:c r="G556" s="12" t="str">
        <x:v>17:10</x:v>
      </x:c>
      <x:c r="H556" s="12" t="n">
        <x:v>1030</x:v>
      </x:c>
      <x:c r="I556" s="12" t="str">
        <x:v>高超楼（就餐专线）</x:v>
      </x:c>
      <x:c r="J556" s="12" t="str">
        <x:v>高超楼发车（就餐专线）</x:v>
      </x:c>
      <x:c r="K556" s="12" t="str">
        <x:v>HX1_DINING</x:v>
      </x:c>
      <x:c r="L556" s="12" t="n">
        <x:v>7</x:v>
      </x:c>
      <x:c r="M556" s="12" t="str">
        <x:v>HX1_DINING|7</x:v>
      </x:c>
      <x:c r="N556" s="12" t="str">
        <x:v>二食堂北</x:v>
      </x:c>
      <x:c r="O556" s="12" t="n">
        <x:f>IFERROR(INDEX('秒级路线参数_可调整'!$O:$O,MATCH(M556,'秒级路线参数_可调整'!$A:$A,0)),"")</x:f>
        <x:v>420</x:v>
      </x:c>
      <x:c r="P556" s="12" t="n">
        <x:f>IF(O556="","",O556/86400)</x:f>
        <x:v>0.004861111111111111</x:v>
      </x:c>
      <x:c r="Q556" s="12" t="n">
        <x:f>IF(O556="","",(H556*60+O556)/86400)</x:f>
        <x:v>0.7201388888888889</x:v>
      </x:c>
      <x:c r="R556" s="12" t="str">
        <x:f>IF(Q556="","",TEXT(Q556,"hh:mm:ss"))</x:f>
        <x:v>17:17:00</x:v>
      </x:c>
      <x:c r="S556" s="12" t="str">
        <x:v>否</x:v>
      </x:c>
      <x:c r="T556" s="12" t="str">
        <x:v>否</x:v>
      </x:c>
      <x:c r="U556" s="12" t="str">
        <x:v>未提供</x:v>
      </x:c>
      <x:c r="V556" s="12" t="str">
        <x:v>未提供</x:v>
      </x:c>
      <x:c r="W556" s="12" t="str">
        <x:v>秒级预测</x:v>
      </x:c>
      <x:c r="X556" s="12" t="str">
        <x:v>基于路线秒级参数；如录入实测或手动采用秒，预计到达时间可随公式更新</x:v>
      </x:c>
    </x:row>
    <x:row r="557">
      <x:c r="A557" s="12" t="str">
        <x:v>S0045-08</x:v>
      </x:c>
      <x:c r="B557" s="12" t="str">
        <x:v>S0045</x:v>
      </x:c>
      <x:c r="C557" s="12" t="str">
        <x:v>工作日</x:v>
      </x:c>
      <x:c r="D557" s="12" t="str">
        <x:v>环线1路</x:v>
      </x:c>
      <x:c r="E557" s="12" t="str">
        <x:v>第五班（夜2）</x:v>
      </x:c>
      <x:c r="F557" s="12" t="n">
        <x:v>4</x:v>
      </x:c>
      <x:c r="G557" s="12" t="str">
        <x:v>17:10</x:v>
      </x:c>
      <x:c r="H557" s="12" t="n">
        <x:v>1030</x:v>
      </x:c>
      <x:c r="I557" s="12" t="str">
        <x:v>高超楼（就餐专线）</x:v>
      </x:c>
      <x:c r="J557" s="12" t="str">
        <x:v>高超楼发车（就餐专线）</x:v>
      </x:c>
      <x:c r="K557" s="12" t="str">
        <x:v>HX1_DINING</x:v>
      </x:c>
      <x:c r="L557" s="12" t="n">
        <x:v>8</x:v>
      </x:c>
      <x:c r="M557" s="12" t="str">
        <x:v>HX1_DINING|8</x:v>
      </x:c>
      <x:c r="N557" s="12" t="str">
        <x:v>理学院</x:v>
      </x:c>
      <x:c r="O557" s="12" t="n">
        <x:f>IFERROR(INDEX('秒级路线参数_可调整'!$O:$O,MATCH(M557,'秒级路线参数_可调整'!$A:$A,0)),"")</x:f>
        <x:v>480</x:v>
      </x:c>
      <x:c r="P557" s="12" t="n">
        <x:f>IF(O557="","",O557/86400)</x:f>
        <x:v>0.005555555555555556</x:v>
      </x:c>
      <x:c r="Q557" s="12" t="n">
        <x:f>IF(O557="","",(H557*60+O557)/86400)</x:f>
        <x:v>0.7208333333333333</x:v>
      </x:c>
      <x:c r="R557" s="12" t="str">
        <x:f>IF(Q557="","",TEXT(Q557,"hh:mm:ss"))</x:f>
        <x:v>17:18:00</x:v>
      </x:c>
      <x:c r="S557" s="12" t="str">
        <x:v>否</x:v>
      </x:c>
      <x:c r="T557" s="12" t="str">
        <x:v>否</x:v>
      </x:c>
      <x:c r="U557" s="12" t="str">
        <x:v>未提供</x:v>
      </x:c>
      <x:c r="V557" s="12" t="str">
        <x:v>未提供</x:v>
      </x:c>
      <x:c r="W557" s="12" t="str">
        <x:v>秒级预测</x:v>
      </x:c>
      <x:c r="X557" s="12" t="str">
        <x:v>基于路线秒级参数；如录入实测或手动采用秒，预计到达时间可随公式更新</x:v>
      </x:c>
    </x:row>
    <x:row r="558">
      <x:c r="A558" s="12" t="str">
        <x:v>S0045-09</x:v>
      </x:c>
      <x:c r="B558" s="12" t="str">
        <x:v>S0045</x:v>
      </x:c>
      <x:c r="C558" s="12" t="str">
        <x:v>工作日</x:v>
      </x:c>
      <x:c r="D558" s="12" t="str">
        <x:v>环线1路</x:v>
      </x:c>
      <x:c r="E558" s="12" t="str">
        <x:v>第五班（夜2）</x:v>
      </x:c>
      <x:c r="F558" s="12" t="n">
        <x:v>4</x:v>
      </x:c>
      <x:c r="G558" s="12" t="str">
        <x:v>17:10</x:v>
      </x:c>
      <x:c r="H558" s="12" t="n">
        <x:v>1030</x:v>
      </x:c>
      <x:c r="I558" s="12" t="str">
        <x:v>高超楼（就餐专线）</x:v>
      </x:c>
      <x:c r="J558" s="12" t="str">
        <x:v>高超楼发车（就餐专线）</x:v>
      </x:c>
      <x:c r="K558" s="12" t="str">
        <x:v>HX1_DINING</x:v>
      </x:c>
      <x:c r="L558" s="12" t="n">
        <x:v>9</x:v>
      </x:c>
      <x:c r="M558" s="12" t="str">
        <x:v>HX1_DINING|9</x:v>
      </x:c>
      <x:c r="N558" s="12" t="str">
        <x:v>高超楼</x:v>
      </x:c>
      <x:c r="O558" s="12" t="n">
        <x:f>IFERROR(INDEX('秒级路线参数_可调整'!$O:$O,MATCH(M558,'秒级路线参数_可调整'!$A:$A,0)),"")</x:f>
        <x:v>535</x:v>
      </x:c>
      <x:c r="P558" s="12" t="n">
        <x:f>IF(O558="","",O558/86400)</x:f>
        <x:v>0.00619212962962963</x:v>
      </x:c>
      <x:c r="Q558" s="12" t="n">
        <x:f>IF(O558="","",(H558*60+O558)/86400)</x:f>
        <x:v>0.7214699074074075</x:v>
      </x:c>
      <x:c r="R558" s="12" t="str">
        <x:f>IF(Q558="","",TEXT(Q558,"hh:mm:ss"))</x:f>
        <x:v>17:18:55</x:v>
      </x:c>
      <x:c r="S558" s="12" t="str">
        <x:v>否</x:v>
      </x:c>
      <x:c r="T558" s="12" t="str">
        <x:v>是</x:v>
      </x:c>
      <x:c r="U558" s="12" t="str">
        <x:v>未提供</x:v>
      </x:c>
      <x:c r="V558" s="12" t="str">
        <x:v>未提供</x:v>
      </x:c>
      <x:c r="W558" s="12" t="str">
        <x:v>秒级预测</x:v>
      </x:c>
      <x:c r="X558" s="12" t="str">
        <x:v>基于路线秒级参数；如录入实测或手动采用秒，预计到达时间可随公式更新</x:v>
      </x:c>
    </x:row>
    <x:row r="559">
      <x:c r="A559" s="12" t="str">
        <x:v>S0046-01</x:v>
      </x:c>
      <x:c r="B559" s="12" t="str">
        <x:v>S0046</x:v>
      </x:c>
      <x:c r="C559" s="12" t="str">
        <x:v>工作日</x:v>
      </x:c>
      <x:c r="D559" s="12" t="str">
        <x:v>环线1路</x:v>
      </x:c>
      <x:c r="E559" s="12" t="str">
        <x:v>第五班（夜2）</x:v>
      </x:c>
      <x:c r="F559" s="12" t="n">
        <x:v>5</x:v>
      </x:c>
      <x:c r="G559" s="12" t="str">
        <x:v>17:30</x:v>
      </x:c>
      <x:c r="H559" s="12" t="n">
        <x:v>1050</x:v>
      </x:c>
      <x:c r="I559" s="12" t="str">
        <x:v>高超楼（就餐专线）</x:v>
      </x:c>
      <x:c r="J559" s="12" t="str">
        <x:v>高超楼发车（就餐专线）</x:v>
      </x:c>
      <x:c r="K559" s="12" t="str">
        <x:v>HX1_DINING</x:v>
      </x:c>
      <x:c r="L559" s="12" t="n">
        <x:v>1</x:v>
      </x:c>
      <x:c r="M559" s="12" t="str">
        <x:v>HX1_DINING|1</x:v>
      </x:c>
      <x:c r="N559" s="12" t="str">
        <x:v>高超楼</x:v>
      </x:c>
      <x:c r="O559" s="12" t="n">
        <x:f>IFERROR(INDEX('秒级路线参数_可调整'!$O:$O,MATCH(M559,'秒级路线参数_可调整'!$A:$A,0)),"")</x:f>
        <x:v>0</x:v>
      </x:c>
      <x:c r="P559" s="12" t="str">
        <x:f>IF(O559="","",O559/86400)</x:f>
      </x:c>
      <x:c r="Q559" s="12" t="str">
        <x:f>IF(O559="","",(H559*60+O559)/86400)</x:f>
      </x:c>
      <x:c r="R559" s="12" t="str">
        <x:f>IF(Q559="","",TEXT(Q559,"hh:mm:ss"))</x:f>
      </x:c>
      <x:c r="S559" s="12" t="str">
        <x:v>是</x:v>
      </x:c>
      <x:c r="T559" s="12" t="str">
        <x:v>否</x:v>
      </x:c>
      <x:c r="U559" s="12" t="str">
        <x:v>未提供</x:v>
      </x:c>
      <x:c r="V559" s="12" t="str">
        <x:v>未提供</x:v>
      </x:c>
      <x:c r="W559" s="12" t="str">
        <x:v>秒级预测</x:v>
      </x:c>
      <x:c r="X559" s="12" t="str">
        <x:v>基于路线秒级参数；如录入实测或手动采用秒，预计到达时间可随公式更新</x:v>
      </x:c>
    </x:row>
    <x:row r="560">
      <x:c r="A560" s="12" t="str">
        <x:v>S0046-02</x:v>
      </x:c>
      <x:c r="B560" s="12" t="str">
        <x:v>S0046</x:v>
      </x:c>
      <x:c r="C560" s="12" t="str">
        <x:v>工作日</x:v>
      </x:c>
      <x:c r="D560" s="12" t="str">
        <x:v>环线1路</x:v>
      </x:c>
      <x:c r="E560" s="12" t="str">
        <x:v>第五班（夜2）</x:v>
      </x:c>
      <x:c r="F560" s="12" t="n">
        <x:v>5</x:v>
      </x:c>
      <x:c r="G560" s="12" t="str">
        <x:v>17:30</x:v>
      </x:c>
      <x:c r="H560" s="12" t="n">
        <x:v>1050</x:v>
      </x:c>
      <x:c r="I560" s="12" t="str">
        <x:v>高超楼（就餐专线）</x:v>
      </x:c>
      <x:c r="J560" s="12" t="str">
        <x:v>高超楼发车（就餐专线）</x:v>
      </x:c>
      <x:c r="K560" s="12" t="str">
        <x:v>HX1_DINING</x:v>
      </x:c>
      <x:c r="L560" s="12" t="n">
        <x:v>2</x:v>
      </x:c>
      <x:c r="M560" s="12" t="str">
        <x:v>HX1_DINING|2</x:v>
      </x:c>
      <x:c r="N560" s="12" t="str">
        <x:v>理学院</x:v>
      </x:c>
      <x:c r="O560" s="12" t="n">
        <x:f>IFERROR(INDEX('秒级路线参数_可调整'!$O:$O,MATCH(M560,'秒级路线参数_可调整'!$A:$A,0)),"")</x:f>
        <x:v>65</x:v>
      </x:c>
      <x:c r="P560" s="12" t="n">
        <x:f>IF(O560="","",O560/86400)</x:f>
        <x:v>0.0007523148148148148</x:v>
      </x:c>
      <x:c r="Q560" s="12" t="n">
        <x:f>IF(O560="","",(H560*60+O560)/86400)</x:f>
        <x:v>0.7299189814814815</x:v>
      </x:c>
      <x:c r="R560" s="12" t="str">
        <x:f>IF(Q560="","",TEXT(Q560,"hh:mm:ss"))</x:f>
        <x:v>17:31:05</x:v>
      </x:c>
      <x:c r="S560" s="12" t="str">
        <x:v>否</x:v>
      </x:c>
      <x:c r="T560" s="12" t="str">
        <x:v>否</x:v>
      </x:c>
      <x:c r="U560" s="12" t="str">
        <x:v>未提供</x:v>
      </x:c>
      <x:c r="V560" s="12" t="str">
        <x:v>未提供</x:v>
      </x:c>
      <x:c r="W560" s="12" t="str">
        <x:v>秒级预测</x:v>
      </x:c>
      <x:c r="X560" s="12" t="str">
        <x:v>基于路线秒级参数；如录入实测或手动采用秒，预计到达时间可随公式更新</x:v>
      </x:c>
    </x:row>
    <x:row r="561">
      <x:c r="A561" s="12" t="str">
        <x:v>S0046-03</x:v>
      </x:c>
      <x:c r="B561" s="12" t="str">
        <x:v>S0046</x:v>
      </x:c>
      <x:c r="C561" s="12" t="str">
        <x:v>工作日</x:v>
      </x:c>
      <x:c r="D561" s="12" t="str">
        <x:v>环线1路</x:v>
      </x:c>
      <x:c r="E561" s="12" t="str">
        <x:v>第五班（夜2）</x:v>
      </x:c>
      <x:c r="F561" s="12" t="n">
        <x:v>5</x:v>
      </x:c>
      <x:c r="G561" s="12" t="str">
        <x:v>17:30</x:v>
      </x:c>
      <x:c r="H561" s="12" t="n">
        <x:v>1050</x:v>
      </x:c>
      <x:c r="I561" s="12" t="str">
        <x:v>高超楼（就餐专线）</x:v>
      </x:c>
      <x:c r="J561" s="12" t="str">
        <x:v>高超楼发车（就餐专线）</x:v>
      </x:c>
      <x:c r="K561" s="12" t="str">
        <x:v>HX1_DINING</x:v>
      </x:c>
      <x:c r="L561" s="12" t="n">
        <x:v>3</x:v>
      </x:c>
      <x:c r="M561" s="12" t="str">
        <x:v>HX1_DINING|3</x:v>
      </x:c>
      <x:c r="N561" s="12" t="str">
        <x:v>二食堂</x:v>
      </x:c>
      <x:c r="O561" s="12" t="n">
        <x:f>IFERROR(INDEX('秒级路线参数_可调整'!$O:$O,MATCH(M561,'秒级路线参数_可调整'!$A:$A,0)),"")</x:f>
        <x:v>120</x:v>
      </x:c>
      <x:c r="P561" s="12" t="n">
        <x:f>IF(O561="","",O561/86400)</x:f>
        <x:v>0.001388888888888889</x:v>
      </x:c>
      <x:c r="Q561" s="12" t="n">
        <x:f>IF(O561="","",(H561*60+O561)/86400)</x:f>
        <x:v>0.7305555555555555</x:v>
      </x:c>
      <x:c r="R561" s="12" t="str">
        <x:f>IF(Q561="","",TEXT(Q561,"hh:mm:ss"))</x:f>
        <x:v>17:32:00</x:v>
      </x:c>
      <x:c r="S561" s="12" t="str">
        <x:v>否</x:v>
      </x:c>
      <x:c r="T561" s="12" t="str">
        <x:v>否</x:v>
      </x:c>
      <x:c r="U561" s="12" t="str">
        <x:v>未提供</x:v>
      </x:c>
      <x:c r="V561" s="12" t="str">
        <x:v>未提供</x:v>
      </x:c>
      <x:c r="W561" s="12" t="str">
        <x:v>秒级预测</x:v>
      </x:c>
      <x:c r="X561" s="12" t="str">
        <x:v>基于路线秒级参数；如录入实测或手动采用秒，预计到达时间可随公式更新</x:v>
      </x:c>
    </x:row>
    <x:row r="562">
      <x:c r="A562" s="12" t="str">
        <x:v>S0046-04</x:v>
      </x:c>
      <x:c r="B562" s="12" t="str">
        <x:v>S0046</x:v>
      </x:c>
      <x:c r="C562" s="12" t="str">
        <x:v>工作日</x:v>
      </x:c>
      <x:c r="D562" s="12" t="str">
        <x:v>环线1路</x:v>
      </x:c>
      <x:c r="E562" s="12" t="str">
        <x:v>第五班（夜2）</x:v>
      </x:c>
      <x:c r="F562" s="12" t="n">
        <x:v>5</x:v>
      </x:c>
      <x:c r="G562" s="12" t="str">
        <x:v>17:30</x:v>
      </x:c>
      <x:c r="H562" s="12" t="n">
        <x:v>1050</x:v>
      </x:c>
      <x:c r="I562" s="12" t="str">
        <x:v>高超楼（就餐专线）</x:v>
      </x:c>
      <x:c r="J562" s="12" t="str">
        <x:v>高超楼发车（就餐专线）</x:v>
      </x:c>
      <x:c r="K562" s="12" t="str">
        <x:v>HX1_DINING</x:v>
      </x:c>
      <x:c r="L562" s="12" t="n">
        <x:v>4</x:v>
      </x:c>
      <x:c r="M562" s="12" t="str">
        <x:v>HX1_DINING|4</x:v>
      </x:c>
      <x:c r="N562" s="12" t="str">
        <x:v>一食堂</x:v>
      </x:c>
      <x:c r="O562" s="12" t="n">
        <x:f>IFERROR(INDEX('秒级路线参数_可调整'!$O:$O,MATCH(M562,'秒级路线参数_可调整'!$A:$A,0)),"")</x:f>
        <x:v>165</x:v>
      </x:c>
      <x:c r="P562" s="12" t="n">
        <x:f>IF(O562="","",O562/86400)</x:f>
        <x:v>0.0019097222222222222</x:v>
      </x:c>
      <x:c r="Q562" s="12" t="n">
        <x:f>IF(O562="","",(H562*60+O562)/86400)</x:f>
        <x:v>0.7310763888888889</x:v>
      </x:c>
      <x:c r="R562" s="12" t="str">
        <x:f>IF(Q562="","",TEXT(Q562,"hh:mm:ss"))</x:f>
        <x:v>17:32:45</x:v>
      </x:c>
      <x:c r="S562" s="12" t="str">
        <x:v>否</x:v>
      </x:c>
      <x:c r="T562" s="12" t="str">
        <x:v>否</x:v>
      </x:c>
      <x:c r="U562" s="12" t="str">
        <x:v>未提供</x:v>
      </x:c>
      <x:c r="V562" s="12" t="str">
        <x:v>未提供</x:v>
      </x:c>
      <x:c r="W562" s="12" t="str">
        <x:v>秒级预测</x:v>
      </x:c>
      <x:c r="X562" s="12" t="str">
        <x:v>基于路线秒级参数；如录入实测或手动采用秒，预计到达时间可随公式更新</x:v>
      </x:c>
    </x:row>
    <x:row r="563">
      <x:c r="A563" s="12" t="str">
        <x:v>S0046-05</x:v>
      </x:c>
      <x:c r="B563" s="12" t="str">
        <x:v>S0046</x:v>
      </x:c>
      <x:c r="C563" s="12" t="str">
        <x:v>工作日</x:v>
      </x:c>
      <x:c r="D563" s="12" t="str">
        <x:v>环线1路</x:v>
      </x:c>
      <x:c r="E563" s="12" t="str">
        <x:v>第五班（夜2）</x:v>
      </x:c>
      <x:c r="F563" s="12" t="n">
        <x:v>5</x:v>
      </x:c>
      <x:c r="G563" s="12" t="str">
        <x:v>17:30</x:v>
      </x:c>
      <x:c r="H563" s="12" t="n">
        <x:v>1050</x:v>
      </x:c>
      <x:c r="I563" s="12" t="str">
        <x:v>高超楼（就餐专线）</x:v>
      </x:c>
      <x:c r="J563" s="12" t="str">
        <x:v>高超楼发车（就餐专线）</x:v>
      </x:c>
      <x:c r="K563" s="12" t="str">
        <x:v>HX1_DINING</x:v>
      </x:c>
      <x:c r="L563" s="12" t="n">
        <x:v>5</x:v>
      </x:c>
      <x:c r="M563" s="12" t="str">
        <x:v>HX1_DINING|5</x:v>
      </x:c>
      <x:c r="N563" s="12" t="str">
        <x:v>305教学楼</x:v>
      </x:c>
      <x:c r="O563" s="12" t="n">
        <x:f>IFERROR(INDEX('秒级路线参数_可调整'!$O:$O,MATCH(M563,'秒级路线参数_可调整'!$A:$A,0)),"")</x:f>
        <x:v>250</x:v>
      </x:c>
      <x:c r="P563" s="12" t="n">
        <x:f>IF(O563="","",O563/86400)</x:f>
        <x:v>0.0028935185185185184</x:v>
      </x:c>
      <x:c r="Q563" s="12" t="n">
        <x:f>IF(O563="","",(H563*60+O563)/86400)</x:f>
        <x:v>0.7320601851851852</x:v>
      </x:c>
      <x:c r="R563" s="12" t="str">
        <x:f>IF(Q563="","",TEXT(Q563,"hh:mm:ss"))</x:f>
        <x:v>17:34:10</x:v>
      </x:c>
      <x:c r="S563" s="12" t="str">
        <x:v>否</x:v>
      </x:c>
      <x:c r="T563" s="12" t="str">
        <x:v>否</x:v>
      </x:c>
      <x:c r="U563" s="12" t="str">
        <x:v>未提供</x:v>
      </x:c>
      <x:c r="V563" s="12" t="str">
        <x:v>未提供</x:v>
      </x:c>
      <x:c r="W563" s="12" t="str">
        <x:v>秒级预测</x:v>
      </x:c>
      <x:c r="X563" s="12" t="str">
        <x:v>基于路线秒级参数；如录入实测或手动采用秒，预计到达时间可随公式更新</x:v>
      </x:c>
    </x:row>
    <x:row r="564">
      <x:c r="A564" s="12" t="str">
        <x:v>S0046-06</x:v>
      </x:c>
      <x:c r="B564" s="12" t="str">
        <x:v>S0046</x:v>
      </x:c>
      <x:c r="C564" s="12" t="str">
        <x:v>工作日</x:v>
      </x:c>
      <x:c r="D564" s="12" t="str">
        <x:v>环线1路</x:v>
      </x:c>
      <x:c r="E564" s="12" t="str">
        <x:v>第五班（夜2）</x:v>
      </x:c>
      <x:c r="F564" s="12" t="n">
        <x:v>5</x:v>
      </x:c>
      <x:c r="G564" s="12" t="str">
        <x:v>17:30</x:v>
      </x:c>
      <x:c r="H564" s="12" t="n">
        <x:v>1050</x:v>
      </x:c>
      <x:c r="I564" s="12" t="str">
        <x:v>高超楼（就餐专线）</x:v>
      </x:c>
      <x:c r="J564" s="12" t="str">
        <x:v>高超楼发车（就餐专线）</x:v>
      </x:c>
      <x:c r="K564" s="12" t="str">
        <x:v>HX1_DINING</x:v>
      </x:c>
      <x:c r="L564" s="12" t="n">
        <x:v>6</x:v>
      </x:c>
      <x:c r="M564" s="12" t="str">
        <x:v>HX1_DINING|6</x:v>
      </x:c>
      <x:c r="N564" s="12" t="str">
        <x:v>5号宿舍楼</x:v>
      </x:c>
      <x:c r="O564" s="12" t="n">
        <x:f>IFERROR(INDEX('秒级路线参数_可调整'!$O:$O,MATCH(M564,'秒级路线参数_可调整'!$A:$A,0)),"")</x:f>
        <x:v>315</x:v>
      </x:c>
      <x:c r="P564" s="12" t="n">
        <x:f>IF(O564="","",O564/86400)</x:f>
        <x:v>0.0036458333333333334</x:v>
      </x:c>
      <x:c r="Q564" s="12" t="n">
        <x:f>IF(O564="","",(H564*60+O564)/86400)</x:f>
        <x:v>0.7328125</x:v>
      </x:c>
      <x:c r="R564" s="12" t="str">
        <x:f>IF(Q564="","",TEXT(Q564,"hh:mm:ss"))</x:f>
        <x:v>17:35:15</x:v>
      </x:c>
      <x:c r="S564" s="12" t="str">
        <x:v>否</x:v>
      </x:c>
      <x:c r="T564" s="12" t="str">
        <x:v>否</x:v>
      </x:c>
      <x:c r="U564" s="12" t="str">
        <x:v>未提供</x:v>
      </x:c>
      <x:c r="V564" s="12" t="str">
        <x:v>未提供</x:v>
      </x:c>
      <x:c r="W564" s="12" t="str">
        <x:v>秒级预测</x:v>
      </x:c>
      <x:c r="X564" s="12" t="str">
        <x:v>基于路线秒级参数；如录入实测或手动采用秒，预计到达时间可随公式更新</x:v>
      </x:c>
    </x:row>
    <x:row r="565">
      <x:c r="A565" s="12" t="str">
        <x:v>S0046-07</x:v>
      </x:c>
      <x:c r="B565" s="12" t="str">
        <x:v>S0046</x:v>
      </x:c>
      <x:c r="C565" s="12" t="str">
        <x:v>工作日</x:v>
      </x:c>
      <x:c r="D565" s="12" t="str">
        <x:v>环线1路</x:v>
      </x:c>
      <x:c r="E565" s="12" t="str">
        <x:v>第五班（夜2）</x:v>
      </x:c>
      <x:c r="F565" s="12" t="n">
        <x:v>5</x:v>
      </x:c>
      <x:c r="G565" s="12" t="str">
        <x:v>17:30</x:v>
      </x:c>
      <x:c r="H565" s="12" t="n">
        <x:v>1050</x:v>
      </x:c>
      <x:c r="I565" s="12" t="str">
        <x:v>高超楼（就餐专线）</x:v>
      </x:c>
      <x:c r="J565" s="12" t="str">
        <x:v>高超楼发车（就餐专线）</x:v>
      </x:c>
      <x:c r="K565" s="12" t="str">
        <x:v>HX1_DINING</x:v>
      </x:c>
      <x:c r="L565" s="12" t="n">
        <x:v>7</x:v>
      </x:c>
      <x:c r="M565" s="12" t="str">
        <x:v>HX1_DINING|7</x:v>
      </x:c>
      <x:c r="N565" s="12" t="str">
        <x:v>二食堂北</x:v>
      </x:c>
      <x:c r="O565" s="12" t="n">
        <x:f>IFERROR(INDEX('秒级路线参数_可调整'!$O:$O,MATCH(M565,'秒级路线参数_可调整'!$A:$A,0)),"")</x:f>
        <x:v>420</x:v>
      </x:c>
      <x:c r="P565" s="12" t="n">
        <x:f>IF(O565="","",O565/86400)</x:f>
        <x:v>0.004861111111111111</x:v>
      </x:c>
      <x:c r="Q565" s="12" t="n">
        <x:f>IF(O565="","",(H565*60+O565)/86400)</x:f>
        <x:v>0.7340277777777777</x:v>
      </x:c>
      <x:c r="R565" s="12" t="str">
        <x:f>IF(Q565="","",TEXT(Q565,"hh:mm:ss"))</x:f>
        <x:v>17:37:00</x:v>
      </x:c>
      <x:c r="S565" s="12" t="str">
        <x:v>否</x:v>
      </x:c>
      <x:c r="T565" s="12" t="str">
        <x:v>否</x:v>
      </x:c>
      <x:c r="U565" s="12" t="str">
        <x:v>未提供</x:v>
      </x:c>
      <x:c r="V565" s="12" t="str">
        <x:v>未提供</x:v>
      </x:c>
      <x:c r="W565" s="12" t="str">
        <x:v>秒级预测</x:v>
      </x:c>
      <x:c r="X565" s="12" t="str">
        <x:v>基于路线秒级参数；如录入实测或手动采用秒，预计到达时间可随公式更新</x:v>
      </x:c>
    </x:row>
    <x:row r="566">
      <x:c r="A566" s="12" t="str">
        <x:v>S0046-08</x:v>
      </x:c>
      <x:c r="B566" s="12" t="str">
        <x:v>S0046</x:v>
      </x:c>
      <x:c r="C566" s="12" t="str">
        <x:v>工作日</x:v>
      </x:c>
      <x:c r="D566" s="12" t="str">
        <x:v>环线1路</x:v>
      </x:c>
      <x:c r="E566" s="12" t="str">
        <x:v>第五班（夜2）</x:v>
      </x:c>
      <x:c r="F566" s="12" t="n">
        <x:v>5</x:v>
      </x:c>
      <x:c r="G566" s="12" t="str">
        <x:v>17:30</x:v>
      </x:c>
      <x:c r="H566" s="12" t="n">
        <x:v>1050</x:v>
      </x:c>
      <x:c r="I566" s="12" t="str">
        <x:v>高超楼（就餐专线）</x:v>
      </x:c>
      <x:c r="J566" s="12" t="str">
        <x:v>高超楼发车（就餐专线）</x:v>
      </x:c>
      <x:c r="K566" s="12" t="str">
        <x:v>HX1_DINING</x:v>
      </x:c>
      <x:c r="L566" s="12" t="n">
        <x:v>8</x:v>
      </x:c>
      <x:c r="M566" s="12" t="str">
        <x:v>HX1_DINING|8</x:v>
      </x:c>
      <x:c r="N566" s="12" t="str">
        <x:v>理学院</x:v>
      </x:c>
      <x:c r="O566" s="12" t="n">
        <x:f>IFERROR(INDEX('秒级路线参数_可调整'!$O:$O,MATCH(M566,'秒级路线参数_可调整'!$A:$A,0)),"")</x:f>
        <x:v>480</x:v>
      </x:c>
      <x:c r="P566" s="12" t="n">
        <x:f>IF(O566="","",O566/86400)</x:f>
        <x:v>0.005555555555555556</x:v>
      </x:c>
      <x:c r="Q566" s="12" t="n">
        <x:f>IF(O566="","",(H566*60+O566)/86400)</x:f>
        <x:v>0.7347222222222223</x:v>
      </x:c>
      <x:c r="R566" s="12" t="str">
        <x:f>IF(Q566="","",TEXT(Q566,"hh:mm:ss"))</x:f>
        <x:v>17:38:00</x:v>
      </x:c>
      <x:c r="S566" s="12" t="str">
        <x:v>否</x:v>
      </x:c>
      <x:c r="T566" s="12" t="str">
        <x:v>否</x:v>
      </x:c>
      <x:c r="U566" s="12" t="str">
        <x:v>未提供</x:v>
      </x:c>
      <x:c r="V566" s="12" t="str">
        <x:v>未提供</x:v>
      </x:c>
      <x:c r="W566" s="12" t="str">
        <x:v>秒级预测</x:v>
      </x:c>
      <x:c r="X566" s="12" t="str">
        <x:v>基于路线秒级参数；如录入实测或手动采用秒，预计到达时间可随公式更新</x:v>
      </x:c>
    </x:row>
    <x:row r="567">
      <x:c r="A567" s="12" t="str">
        <x:v>S0046-09</x:v>
      </x:c>
      <x:c r="B567" s="12" t="str">
        <x:v>S0046</x:v>
      </x:c>
      <x:c r="C567" s="12" t="str">
        <x:v>工作日</x:v>
      </x:c>
      <x:c r="D567" s="12" t="str">
        <x:v>环线1路</x:v>
      </x:c>
      <x:c r="E567" s="12" t="str">
        <x:v>第五班（夜2）</x:v>
      </x:c>
      <x:c r="F567" s="12" t="n">
        <x:v>5</x:v>
      </x:c>
      <x:c r="G567" s="12" t="str">
        <x:v>17:30</x:v>
      </x:c>
      <x:c r="H567" s="12" t="n">
        <x:v>1050</x:v>
      </x:c>
      <x:c r="I567" s="12" t="str">
        <x:v>高超楼（就餐专线）</x:v>
      </x:c>
      <x:c r="J567" s="12" t="str">
        <x:v>高超楼发车（就餐专线）</x:v>
      </x:c>
      <x:c r="K567" s="12" t="str">
        <x:v>HX1_DINING</x:v>
      </x:c>
      <x:c r="L567" s="12" t="n">
        <x:v>9</x:v>
      </x:c>
      <x:c r="M567" s="12" t="str">
        <x:v>HX1_DINING|9</x:v>
      </x:c>
      <x:c r="N567" s="12" t="str">
        <x:v>高超楼</x:v>
      </x:c>
      <x:c r="O567" s="12" t="n">
        <x:f>IFERROR(INDEX('秒级路线参数_可调整'!$O:$O,MATCH(M567,'秒级路线参数_可调整'!$A:$A,0)),"")</x:f>
        <x:v>535</x:v>
      </x:c>
      <x:c r="P567" s="12" t="n">
        <x:f>IF(O567="","",O567/86400)</x:f>
        <x:v>0.00619212962962963</x:v>
      </x:c>
      <x:c r="Q567" s="12" t="n">
        <x:f>IF(O567="","",(H567*60+O567)/86400)</x:f>
        <x:v>0.7353587962962963</x:v>
      </x:c>
      <x:c r="R567" s="12" t="str">
        <x:f>IF(Q567="","",TEXT(Q567,"hh:mm:ss"))</x:f>
        <x:v>17:38:55</x:v>
      </x:c>
      <x:c r="S567" s="12" t="str">
        <x:v>否</x:v>
      </x:c>
      <x:c r="T567" s="12" t="str">
        <x:v>是</x:v>
      </x:c>
      <x:c r="U567" s="12" t="str">
        <x:v>未提供</x:v>
      </x:c>
      <x:c r="V567" s="12" t="str">
        <x:v>未提供</x:v>
      </x:c>
      <x:c r="W567" s="12" t="str">
        <x:v>秒级预测</x:v>
      </x:c>
      <x:c r="X567" s="12" t="str">
        <x:v>基于路线秒级参数；如录入实测或手动采用秒，预计到达时间可随公式更新</x:v>
      </x:c>
    </x:row>
    <x:row r="568">
      <x:c r="A568" s="12" t="str">
        <x:v>S0047-01</x:v>
      </x:c>
      <x:c r="B568" s="12" t="str">
        <x:v>S0047</x:v>
      </x:c>
      <x:c r="C568" s="12" t="str">
        <x:v>工作日</x:v>
      </x:c>
      <x:c r="D568" s="12" t="str">
        <x:v>环线1路</x:v>
      </x:c>
      <x:c r="E568" s="12" t="str">
        <x:v>第五班（夜2）</x:v>
      </x:c>
      <x:c r="F568" s="12" t="n">
        <x:v>6</x:v>
      </x:c>
      <x:c r="G568" s="12" t="str">
        <x:v>17:50</x:v>
      </x:c>
      <x:c r="H568" s="12" t="n">
        <x:v>1070</x:v>
      </x:c>
      <x:c r="I568" s="12" t="str">
        <x:v>高超楼（就餐专线）</x:v>
      </x:c>
      <x:c r="J568" s="12" t="str">
        <x:v>高超楼发车（就餐专线）</x:v>
      </x:c>
      <x:c r="K568" s="12" t="str">
        <x:v>HX1_DINING</x:v>
      </x:c>
      <x:c r="L568" s="12" t="n">
        <x:v>1</x:v>
      </x:c>
      <x:c r="M568" s="12" t="str">
        <x:v>HX1_DINING|1</x:v>
      </x:c>
      <x:c r="N568" s="12" t="str">
        <x:v>高超楼</x:v>
      </x:c>
      <x:c r="O568" s="12" t="n">
        <x:f>IFERROR(INDEX('秒级路线参数_可调整'!$O:$O,MATCH(M568,'秒级路线参数_可调整'!$A:$A,0)),"")</x:f>
        <x:v>0</x:v>
      </x:c>
      <x:c r="P568" s="12" t="str">
        <x:f>IF(O568="","",O568/86400)</x:f>
      </x:c>
      <x:c r="Q568" s="12" t="str">
        <x:f>IF(O568="","",(H568*60+O568)/86400)</x:f>
      </x:c>
      <x:c r="R568" s="12" t="str">
        <x:f>IF(Q568="","",TEXT(Q568,"hh:mm:ss"))</x:f>
      </x:c>
      <x:c r="S568" s="12" t="str">
        <x:v>是</x:v>
      </x:c>
      <x:c r="T568" s="12" t="str">
        <x:v>否</x:v>
      </x:c>
      <x:c r="U568" s="12" t="str">
        <x:v>未提供</x:v>
      </x:c>
      <x:c r="V568" s="12" t="str">
        <x:v>未提供</x:v>
      </x:c>
      <x:c r="W568" s="12" t="str">
        <x:v>秒级预测</x:v>
      </x:c>
      <x:c r="X568" s="12" t="str">
        <x:v>基于路线秒级参数；如录入实测或手动采用秒，预计到达时间可随公式更新</x:v>
      </x:c>
    </x:row>
    <x:row r="569">
      <x:c r="A569" s="12" t="str">
        <x:v>S0047-02</x:v>
      </x:c>
      <x:c r="B569" s="12" t="str">
        <x:v>S0047</x:v>
      </x:c>
      <x:c r="C569" s="12" t="str">
        <x:v>工作日</x:v>
      </x:c>
      <x:c r="D569" s="12" t="str">
        <x:v>环线1路</x:v>
      </x:c>
      <x:c r="E569" s="12" t="str">
        <x:v>第五班（夜2）</x:v>
      </x:c>
      <x:c r="F569" s="12" t="n">
        <x:v>6</x:v>
      </x:c>
      <x:c r="G569" s="12" t="str">
        <x:v>17:50</x:v>
      </x:c>
      <x:c r="H569" s="12" t="n">
        <x:v>1070</x:v>
      </x:c>
      <x:c r="I569" s="12" t="str">
        <x:v>高超楼（就餐专线）</x:v>
      </x:c>
      <x:c r="J569" s="12" t="str">
        <x:v>高超楼发车（就餐专线）</x:v>
      </x:c>
      <x:c r="K569" s="12" t="str">
        <x:v>HX1_DINING</x:v>
      </x:c>
      <x:c r="L569" s="12" t="n">
        <x:v>2</x:v>
      </x:c>
      <x:c r="M569" s="12" t="str">
        <x:v>HX1_DINING|2</x:v>
      </x:c>
      <x:c r="N569" s="12" t="str">
        <x:v>理学院</x:v>
      </x:c>
      <x:c r="O569" s="12" t="n">
        <x:f>IFERROR(INDEX('秒级路线参数_可调整'!$O:$O,MATCH(M569,'秒级路线参数_可调整'!$A:$A,0)),"")</x:f>
        <x:v>65</x:v>
      </x:c>
      <x:c r="P569" s="12" t="n">
        <x:f>IF(O569="","",O569/86400)</x:f>
        <x:v>0.0007523148148148148</x:v>
      </x:c>
      <x:c r="Q569" s="12" t="n">
        <x:f>IF(O569="","",(H569*60+O569)/86400)</x:f>
        <x:v>0.7438078703703703</x:v>
      </x:c>
      <x:c r="R569" s="12" t="str">
        <x:f>IF(Q569="","",TEXT(Q569,"hh:mm:ss"))</x:f>
        <x:v>17:51:05</x:v>
      </x:c>
      <x:c r="S569" s="12" t="str">
        <x:v>否</x:v>
      </x:c>
      <x:c r="T569" s="12" t="str">
        <x:v>否</x:v>
      </x:c>
      <x:c r="U569" s="12" t="str">
        <x:v>未提供</x:v>
      </x:c>
      <x:c r="V569" s="12" t="str">
        <x:v>未提供</x:v>
      </x:c>
      <x:c r="W569" s="12" t="str">
        <x:v>秒级预测</x:v>
      </x:c>
      <x:c r="X569" s="12" t="str">
        <x:v>基于路线秒级参数；如录入实测或手动采用秒，预计到达时间可随公式更新</x:v>
      </x:c>
    </x:row>
    <x:row r="570">
      <x:c r="A570" s="12" t="str">
        <x:v>S0047-03</x:v>
      </x:c>
      <x:c r="B570" s="12" t="str">
        <x:v>S0047</x:v>
      </x:c>
      <x:c r="C570" s="12" t="str">
        <x:v>工作日</x:v>
      </x:c>
      <x:c r="D570" s="12" t="str">
        <x:v>环线1路</x:v>
      </x:c>
      <x:c r="E570" s="12" t="str">
        <x:v>第五班（夜2）</x:v>
      </x:c>
      <x:c r="F570" s="12" t="n">
        <x:v>6</x:v>
      </x:c>
      <x:c r="G570" s="12" t="str">
        <x:v>17:50</x:v>
      </x:c>
      <x:c r="H570" s="12" t="n">
        <x:v>1070</x:v>
      </x:c>
      <x:c r="I570" s="12" t="str">
        <x:v>高超楼（就餐专线）</x:v>
      </x:c>
      <x:c r="J570" s="12" t="str">
        <x:v>高超楼发车（就餐专线）</x:v>
      </x:c>
      <x:c r="K570" s="12" t="str">
        <x:v>HX1_DINING</x:v>
      </x:c>
      <x:c r="L570" s="12" t="n">
        <x:v>3</x:v>
      </x:c>
      <x:c r="M570" s="12" t="str">
        <x:v>HX1_DINING|3</x:v>
      </x:c>
      <x:c r="N570" s="12" t="str">
        <x:v>二食堂</x:v>
      </x:c>
      <x:c r="O570" s="12" t="n">
        <x:f>IFERROR(INDEX('秒级路线参数_可调整'!$O:$O,MATCH(M570,'秒级路线参数_可调整'!$A:$A,0)),"")</x:f>
        <x:v>120</x:v>
      </x:c>
      <x:c r="P570" s="12" t="n">
        <x:f>IF(O570="","",O570/86400)</x:f>
        <x:v>0.001388888888888889</x:v>
      </x:c>
      <x:c r="Q570" s="12" t="n">
        <x:f>IF(O570="","",(H570*60+O570)/86400)</x:f>
        <x:v>0.7444444444444445</x:v>
      </x:c>
      <x:c r="R570" s="12" t="str">
        <x:f>IF(Q570="","",TEXT(Q570,"hh:mm:ss"))</x:f>
        <x:v>17:52:00</x:v>
      </x:c>
      <x:c r="S570" s="12" t="str">
        <x:v>否</x:v>
      </x:c>
      <x:c r="T570" s="12" t="str">
        <x:v>否</x:v>
      </x:c>
      <x:c r="U570" s="12" t="str">
        <x:v>未提供</x:v>
      </x:c>
      <x:c r="V570" s="12" t="str">
        <x:v>未提供</x:v>
      </x:c>
      <x:c r="W570" s="12" t="str">
        <x:v>秒级预测</x:v>
      </x:c>
      <x:c r="X570" s="12" t="str">
        <x:v>基于路线秒级参数；如录入实测或手动采用秒，预计到达时间可随公式更新</x:v>
      </x:c>
    </x:row>
    <x:row r="571">
      <x:c r="A571" s="12" t="str">
        <x:v>S0047-04</x:v>
      </x:c>
      <x:c r="B571" s="12" t="str">
        <x:v>S0047</x:v>
      </x:c>
      <x:c r="C571" s="12" t="str">
        <x:v>工作日</x:v>
      </x:c>
      <x:c r="D571" s="12" t="str">
        <x:v>环线1路</x:v>
      </x:c>
      <x:c r="E571" s="12" t="str">
        <x:v>第五班（夜2）</x:v>
      </x:c>
      <x:c r="F571" s="12" t="n">
        <x:v>6</x:v>
      </x:c>
      <x:c r="G571" s="12" t="str">
        <x:v>17:50</x:v>
      </x:c>
      <x:c r="H571" s="12" t="n">
        <x:v>1070</x:v>
      </x:c>
      <x:c r="I571" s="12" t="str">
        <x:v>高超楼（就餐专线）</x:v>
      </x:c>
      <x:c r="J571" s="12" t="str">
        <x:v>高超楼发车（就餐专线）</x:v>
      </x:c>
      <x:c r="K571" s="12" t="str">
        <x:v>HX1_DINING</x:v>
      </x:c>
      <x:c r="L571" s="12" t="n">
        <x:v>4</x:v>
      </x:c>
      <x:c r="M571" s="12" t="str">
        <x:v>HX1_DINING|4</x:v>
      </x:c>
      <x:c r="N571" s="12" t="str">
        <x:v>一食堂</x:v>
      </x:c>
      <x:c r="O571" s="12" t="n">
        <x:f>IFERROR(INDEX('秒级路线参数_可调整'!$O:$O,MATCH(M571,'秒级路线参数_可调整'!$A:$A,0)),"")</x:f>
        <x:v>165</x:v>
      </x:c>
      <x:c r="P571" s="12" t="n">
        <x:f>IF(O571="","",O571/86400)</x:f>
        <x:v>0.0019097222222222222</x:v>
      </x:c>
      <x:c r="Q571" s="12" t="n">
        <x:f>IF(O571="","",(H571*60+O571)/86400)</x:f>
        <x:v>0.7449652777777778</x:v>
      </x:c>
      <x:c r="R571" s="12" t="str">
        <x:f>IF(Q571="","",TEXT(Q571,"hh:mm:ss"))</x:f>
        <x:v>17:52:45</x:v>
      </x:c>
      <x:c r="S571" s="12" t="str">
        <x:v>否</x:v>
      </x:c>
      <x:c r="T571" s="12" t="str">
        <x:v>否</x:v>
      </x:c>
      <x:c r="U571" s="12" t="str">
        <x:v>未提供</x:v>
      </x:c>
      <x:c r="V571" s="12" t="str">
        <x:v>未提供</x:v>
      </x:c>
      <x:c r="W571" s="12" t="str">
        <x:v>秒级预测</x:v>
      </x:c>
      <x:c r="X571" s="12" t="str">
        <x:v>基于路线秒级参数；如录入实测或手动采用秒，预计到达时间可随公式更新</x:v>
      </x:c>
    </x:row>
    <x:row r="572">
      <x:c r="A572" s="12" t="str">
        <x:v>S0047-05</x:v>
      </x:c>
      <x:c r="B572" s="12" t="str">
        <x:v>S0047</x:v>
      </x:c>
      <x:c r="C572" s="12" t="str">
        <x:v>工作日</x:v>
      </x:c>
      <x:c r="D572" s="12" t="str">
        <x:v>环线1路</x:v>
      </x:c>
      <x:c r="E572" s="12" t="str">
        <x:v>第五班（夜2）</x:v>
      </x:c>
      <x:c r="F572" s="12" t="n">
        <x:v>6</x:v>
      </x:c>
      <x:c r="G572" s="12" t="str">
        <x:v>17:50</x:v>
      </x:c>
      <x:c r="H572" s="12" t="n">
        <x:v>1070</x:v>
      </x:c>
      <x:c r="I572" s="12" t="str">
        <x:v>高超楼（就餐专线）</x:v>
      </x:c>
      <x:c r="J572" s="12" t="str">
        <x:v>高超楼发车（就餐专线）</x:v>
      </x:c>
      <x:c r="K572" s="12" t="str">
        <x:v>HX1_DINING</x:v>
      </x:c>
      <x:c r="L572" s="12" t="n">
        <x:v>5</x:v>
      </x:c>
      <x:c r="M572" s="12" t="str">
        <x:v>HX1_DINING|5</x:v>
      </x:c>
      <x:c r="N572" s="12" t="str">
        <x:v>305教学楼</x:v>
      </x:c>
      <x:c r="O572" s="12" t="n">
        <x:f>IFERROR(INDEX('秒级路线参数_可调整'!$O:$O,MATCH(M572,'秒级路线参数_可调整'!$A:$A,0)),"")</x:f>
        <x:v>250</x:v>
      </x:c>
      <x:c r="P572" s="12" t="n">
        <x:f>IF(O572="","",O572/86400)</x:f>
        <x:v>0.0028935185185185184</x:v>
      </x:c>
      <x:c r="Q572" s="12" t="n">
        <x:f>IF(O572="","",(H572*60+O572)/86400)</x:f>
        <x:v>0.7459490740740741</x:v>
      </x:c>
      <x:c r="R572" s="12" t="str">
        <x:f>IF(Q572="","",TEXT(Q572,"hh:mm:ss"))</x:f>
        <x:v>17:54:10</x:v>
      </x:c>
      <x:c r="S572" s="12" t="str">
        <x:v>否</x:v>
      </x:c>
      <x:c r="T572" s="12" t="str">
        <x:v>否</x:v>
      </x:c>
      <x:c r="U572" s="12" t="str">
        <x:v>未提供</x:v>
      </x:c>
      <x:c r="V572" s="12" t="str">
        <x:v>未提供</x:v>
      </x:c>
      <x:c r="W572" s="12" t="str">
        <x:v>秒级预测</x:v>
      </x:c>
      <x:c r="X572" s="12" t="str">
        <x:v>基于路线秒级参数；如录入实测或手动采用秒，预计到达时间可随公式更新</x:v>
      </x:c>
    </x:row>
    <x:row r="573">
      <x:c r="A573" s="12" t="str">
        <x:v>S0047-06</x:v>
      </x:c>
      <x:c r="B573" s="12" t="str">
        <x:v>S0047</x:v>
      </x:c>
      <x:c r="C573" s="12" t="str">
        <x:v>工作日</x:v>
      </x:c>
      <x:c r="D573" s="12" t="str">
        <x:v>环线1路</x:v>
      </x:c>
      <x:c r="E573" s="12" t="str">
        <x:v>第五班（夜2）</x:v>
      </x:c>
      <x:c r="F573" s="12" t="n">
        <x:v>6</x:v>
      </x:c>
      <x:c r="G573" s="12" t="str">
        <x:v>17:50</x:v>
      </x:c>
      <x:c r="H573" s="12" t="n">
        <x:v>1070</x:v>
      </x:c>
      <x:c r="I573" s="12" t="str">
        <x:v>高超楼（就餐专线）</x:v>
      </x:c>
      <x:c r="J573" s="12" t="str">
        <x:v>高超楼发车（就餐专线）</x:v>
      </x:c>
      <x:c r="K573" s="12" t="str">
        <x:v>HX1_DINING</x:v>
      </x:c>
      <x:c r="L573" s="12" t="n">
        <x:v>6</x:v>
      </x:c>
      <x:c r="M573" s="12" t="str">
        <x:v>HX1_DINING|6</x:v>
      </x:c>
      <x:c r="N573" s="12" t="str">
        <x:v>5号宿舍楼</x:v>
      </x:c>
      <x:c r="O573" s="12" t="n">
        <x:f>IFERROR(INDEX('秒级路线参数_可调整'!$O:$O,MATCH(M573,'秒级路线参数_可调整'!$A:$A,0)),"")</x:f>
        <x:v>315</x:v>
      </x:c>
      <x:c r="P573" s="12" t="n">
        <x:f>IF(O573="","",O573/86400)</x:f>
        <x:v>0.0036458333333333334</x:v>
      </x:c>
      <x:c r="Q573" s="12" t="n">
        <x:f>IF(O573="","",(H573*60+O573)/86400)</x:f>
        <x:v>0.7467013888888889</x:v>
      </x:c>
      <x:c r="R573" s="12" t="str">
        <x:f>IF(Q573="","",TEXT(Q573,"hh:mm:ss"))</x:f>
        <x:v>17:55:15</x:v>
      </x:c>
      <x:c r="S573" s="12" t="str">
        <x:v>否</x:v>
      </x:c>
      <x:c r="T573" s="12" t="str">
        <x:v>否</x:v>
      </x:c>
      <x:c r="U573" s="12" t="str">
        <x:v>未提供</x:v>
      </x:c>
      <x:c r="V573" s="12" t="str">
        <x:v>未提供</x:v>
      </x:c>
      <x:c r="W573" s="12" t="str">
        <x:v>秒级预测</x:v>
      </x:c>
      <x:c r="X573" s="12" t="str">
        <x:v>基于路线秒级参数；如录入实测或手动采用秒，预计到达时间可随公式更新</x:v>
      </x:c>
    </x:row>
    <x:row r="574">
      <x:c r="A574" s="12" t="str">
        <x:v>S0047-07</x:v>
      </x:c>
      <x:c r="B574" s="12" t="str">
        <x:v>S0047</x:v>
      </x:c>
      <x:c r="C574" s="12" t="str">
        <x:v>工作日</x:v>
      </x:c>
      <x:c r="D574" s="12" t="str">
        <x:v>环线1路</x:v>
      </x:c>
      <x:c r="E574" s="12" t="str">
        <x:v>第五班（夜2）</x:v>
      </x:c>
      <x:c r="F574" s="12" t="n">
        <x:v>6</x:v>
      </x:c>
      <x:c r="G574" s="12" t="str">
        <x:v>17:50</x:v>
      </x:c>
      <x:c r="H574" s="12" t="n">
        <x:v>1070</x:v>
      </x:c>
      <x:c r="I574" s="12" t="str">
        <x:v>高超楼（就餐专线）</x:v>
      </x:c>
      <x:c r="J574" s="12" t="str">
        <x:v>高超楼发车（就餐专线）</x:v>
      </x:c>
      <x:c r="K574" s="12" t="str">
        <x:v>HX1_DINING</x:v>
      </x:c>
      <x:c r="L574" s="12" t="n">
        <x:v>7</x:v>
      </x:c>
      <x:c r="M574" s="12" t="str">
        <x:v>HX1_DINING|7</x:v>
      </x:c>
      <x:c r="N574" s="12" t="str">
        <x:v>二食堂北</x:v>
      </x:c>
      <x:c r="O574" s="12" t="n">
        <x:f>IFERROR(INDEX('秒级路线参数_可调整'!$O:$O,MATCH(M574,'秒级路线参数_可调整'!$A:$A,0)),"")</x:f>
        <x:v>420</x:v>
      </x:c>
      <x:c r="P574" s="12" t="n">
        <x:f>IF(O574="","",O574/86400)</x:f>
        <x:v>0.004861111111111111</x:v>
      </x:c>
      <x:c r="Q574" s="12" t="n">
        <x:f>IF(O574="","",(H574*60+O574)/86400)</x:f>
        <x:v>0.7479166666666667</x:v>
      </x:c>
      <x:c r="R574" s="12" t="str">
        <x:f>IF(Q574="","",TEXT(Q574,"hh:mm:ss"))</x:f>
        <x:v>17:57:00</x:v>
      </x:c>
      <x:c r="S574" s="12" t="str">
        <x:v>否</x:v>
      </x:c>
      <x:c r="T574" s="12" t="str">
        <x:v>否</x:v>
      </x:c>
      <x:c r="U574" s="12" t="str">
        <x:v>未提供</x:v>
      </x:c>
      <x:c r="V574" s="12" t="str">
        <x:v>未提供</x:v>
      </x:c>
      <x:c r="W574" s="12" t="str">
        <x:v>秒级预测</x:v>
      </x:c>
      <x:c r="X574" s="12" t="str">
        <x:v>基于路线秒级参数；如录入实测或手动采用秒，预计到达时间可随公式更新</x:v>
      </x:c>
    </x:row>
    <x:row r="575">
      <x:c r="A575" s="12" t="str">
        <x:v>S0047-08</x:v>
      </x:c>
      <x:c r="B575" s="12" t="str">
        <x:v>S0047</x:v>
      </x:c>
      <x:c r="C575" s="12" t="str">
        <x:v>工作日</x:v>
      </x:c>
      <x:c r="D575" s="12" t="str">
        <x:v>环线1路</x:v>
      </x:c>
      <x:c r="E575" s="12" t="str">
        <x:v>第五班（夜2）</x:v>
      </x:c>
      <x:c r="F575" s="12" t="n">
        <x:v>6</x:v>
      </x:c>
      <x:c r="G575" s="12" t="str">
        <x:v>17:50</x:v>
      </x:c>
      <x:c r="H575" s="12" t="n">
        <x:v>1070</x:v>
      </x:c>
      <x:c r="I575" s="12" t="str">
        <x:v>高超楼（就餐专线）</x:v>
      </x:c>
      <x:c r="J575" s="12" t="str">
        <x:v>高超楼发车（就餐专线）</x:v>
      </x:c>
      <x:c r="K575" s="12" t="str">
        <x:v>HX1_DINING</x:v>
      </x:c>
      <x:c r="L575" s="12" t="n">
        <x:v>8</x:v>
      </x:c>
      <x:c r="M575" s="12" t="str">
        <x:v>HX1_DINING|8</x:v>
      </x:c>
      <x:c r="N575" s="12" t="str">
        <x:v>理学院</x:v>
      </x:c>
      <x:c r="O575" s="12" t="n">
        <x:f>IFERROR(INDEX('秒级路线参数_可调整'!$O:$O,MATCH(M575,'秒级路线参数_可调整'!$A:$A,0)),"")</x:f>
        <x:v>480</x:v>
      </x:c>
      <x:c r="P575" s="12" t="n">
        <x:f>IF(O575="","",O575/86400)</x:f>
        <x:v>0.005555555555555556</x:v>
      </x:c>
      <x:c r="Q575" s="12" t="n">
        <x:f>IF(O575="","",(H575*60+O575)/86400)</x:f>
        <x:v>0.7486111111111111</x:v>
      </x:c>
      <x:c r="R575" s="12" t="str">
        <x:f>IF(Q575="","",TEXT(Q575,"hh:mm:ss"))</x:f>
        <x:v>17:58:00</x:v>
      </x:c>
      <x:c r="S575" s="12" t="str">
        <x:v>否</x:v>
      </x:c>
      <x:c r="T575" s="12" t="str">
        <x:v>否</x:v>
      </x:c>
      <x:c r="U575" s="12" t="str">
        <x:v>未提供</x:v>
      </x:c>
      <x:c r="V575" s="12" t="str">
        <x:v>未提供</x:v>
      </x:c>
      <x:c r="W575" s="12" t="str">
        <x:v>秒级预测</x:v>
      </x:c>
      <x:c r="X575" s="12" t="str">
        <x:v>基于路线秒级参数；如录入实测或手动采用秒，预计到达时间可随公式更新</x:v>
      </x:c>
    </x:row>
    <x:row r="576">
      <x:c r="A576" s="12" t="str">
        <x:v>S0047-09</x:v>
      </x:c>
      <x:c r="B576" s="12" t="str">
        <x:v>S0047</x:v>
      </x:c>
      <x:c r="C576" s="12" t="str">
        <x:v>工作日</x:v>
      </x:c>
      <x:c r="D576" s="12" t="str">
        <x:v>环线1路</x:v>
      </x:c>
      <x:c r="E576" s="12" t="str">
        <x:v>第五班（夜2）</x:v>
      </x:c>
      <x:c r="F576" s="12" t="n">
        <x:v>6</x:v>
      </x:c>
      <x:c r="G576" s="12" t="str">
        <x:v>17:50</x:v>
      </x:c>
      <x:c r="H576" s="12" t="n">
        <x:v>1070</x:v>
      </x:c>
      <x:c r="I576" s="12" t="str">
        <x:v>高超楼（就餐专线）</x:v>
      </x:c>
      <x:c r="J576" s="12" t="str">
        <x:v>高超楼发车（就餐专线）</x:v>
      </x:c>
      <x:c r="K576" s="12" t="str">
        <x:v>HX1_DINING</x:v>
      </x:c>
      <x:c r="L576" s="12" t="n">
        <x:v>9</x:v>
      </x:c>
      <x:c r="M576" s="12" t="str">
        <x:v>HX1_DINING|9</x:v>
      </x:c>
      <x:c r="N576" s="12" t="str">
        <x:v>高超楼</x:v>
      </x:c>
      <x:c r="O576" s="12" t="n">
        <x:f>IFERROR(INDEX('秒级路线参数_可调整'!$O:$O,MATCH(M576,'秒级路线参数_可调整'!$A:$A,0)),"")</x:f>
        <x:v>535</x:v>
      </x:c>
      <x:c r="P576" s="12" t="n">
        <x:f>IF(O576="","",O576/86400)</x:f>
        <x:v>0.00619212962962963</x:v>
      </x:c>
      <x:c r="Q576" s="12" t="n">
        <x:f>IF(O576="","",(H576*60+O576)/86400)</x:f>
        <x:v>0.7492476851851851</x:v>
      </x:c>
      <x:c r="R576" s="12" t="str">
        <x:f>IF(Q576="","",TEXT(Q576,"hh:mm:ss"))</x:f>
        <x:v>17:58:55</x:v>
      </x:c>
      <x:c r="S576" s="12" t="str">
        <x:v>否</x:v>
      </x:c>
      <x:c r="T576" s="12" t="str">
        <x:v>是</x:v>
      </x:c>
      <x:c r="U576" s="12" t="str">
        <x:v>未提供</x:v>
      </x:c>
      <x:c r="V576" s="12" t="str">
        <x:v>未提供</x:v>
      </x:c>
      <x:c r="W576" s="12" t="str">
        <x:v>秒级预测</x:v>
      </x:c>
      <x:c r="X576" s="12" t="str">
        <x:v>基于路线秒级参数；如录入实测或手动采用秒，预计到达时间可随公式更新</x:v>
      </x:c>
    </x:row>
    <x:row r="577">
      <x:c r="A577" s="12" t="str">
        <x:v>S0048-01</x:v>
      </x:c>
      <x:c r="B577" s="12" t="str">
        <x:v>S0048</x:v>
      </x:c>
      <x:c r="C577" s="12" t="str">
        <x:v>工作日</x:v>
      </x:c>
      <x:c r="D577" s="12" t="str">
        <x:v>环线1路</x:v>
      </x:c>
      <x:c r="E577" s="12" t="str">
        <x:v>第五班（夜2）</x:v>
      </x:c>
      <x:c r="F577" s="12" t="n">
        <x:v>7</x:v>
      </x:c>
      <x:c r="G577" s="12" t="str">
        <x:v>18:30</x:v>
      </x:c>
      <x:c r="H577" s="12" t="n">
        <x:v>1110</x:v>
      </x:c>
      <x:c r="I577" s="12" t="str">
        <x:v>研究生宿舍楼</x:v>
      </x:c>
      <x:c r="J577" s="12" t="str">
        <x:v>研究生宿舍楼发车</x:v>
      </x:c>
      <x:c r="K577" s="12" t="str">
        <x:v>HX1_NORMAL</x:v>
      </x:c>
      <x:c r="L577" s="12" t="n">
        <x:v>1</x:v>
      </x:c>
      <x:c r="M577" s="12" t="str">
        <x:v>HX1_NORMAL|1</x:v>
      </x:c>
      <x:c r="N577" s="12" t="str">
        <x:v>研究生宿舍楼</x:v>
      </x:c>
      <x:c r="O577" s="12" t="n">
        <x:f>IFERROR(INDEX('秒级路线参数_可调整'!$O:$O,MATCH(M577,'秒级路线参数_可调整'!$A:$A,0)),"")</x:f>
        <x:v>0</x:v>
      </x:c>
      <x:c r="P577" s="12" t="str">
        <x:f>IF(O577="","",O577/86400)</x:f>
      </x:c>
      <x:c r="Q577" s="12" t="str">
        <x:f>IF(O577="","",(H577*60+O577)/86400)</x:f>
      </x:c>
      <x:c r="R577" s="12" t="str">
        <x:f>IF(Q577="","",TEXT(Q577,"hh:mm:ss"))</x:f>
      </x:c>
      <x:c r="S577" s="12" t="str">
        <x:v>是</x:v>
      </x:c>
      <x:c r="T577" s="12" t="str">
        <x:v>否</x:v>
      </x:c>
      <x:c r="U577" s="12" t="str">
        <x:v>未提供</x:v>
      </x:c>
      <x:c r="V577" s="12" t="str">
        <x:v>未提供</x:v>
      </x:c>
      <x:c r="W577" s="12" t="str">
        <x:v>秒级预测</x:v>
      </x:c>
      <x:c r="X577" s="12" t="str">
        <x:v>基于路线秒级参数；如录入实测或手动采用秒，预计到达时间可随公式更新</x:v>
      </x:c>
    </x:row>
    <x:row r="578">
      <x:c r="A578" s="12" t="str">
        <x:v>S0048-02</x:v>
      </x:c>
      <x:c r="B578" s="12" t="str">
        <x:v>S0048</x:v>
      </x:c>
      <x:c r="C578" s="12" t="str">
        <x:v>工作日</x:v>
      </x:c>
      <x:c r="D578" s="12" t="str">
        <x:v>环线1路</x:v>
      </x:c>
      <x:c r="E578" s="12" t="str">
        <x:v>第五班（夜2）</x:v>
      </x:c>
      <x:c r="F578" s="12" t="n">
        <x:v>7</x:v>
      </x:c>
      <x:c r="G578" s="12" t="str">
        <x:v>18:30</x:v>
      </x:c>
      <x:c r="H578" s="12" t="n">
        <x:v>1110</x:v>
      </x:c>
      <x:c r="I578" s="12" t="str">
        <x:v>研究生宿舍楼</x:v>
      </x:c>
      <x:c r="J578" s="12" t="str">
        <x:v>研究生宿舍楼发车</x:v>
      </x:c>
      <x:c r="K578" s="12" t="str">
        <x:v>HX1_NORMAL</x:v>
      </x:c>
      <x:c r="L578" s="12" t="n">
        <x:v>2</x:v>
      </x:c>
      <x:c r="M578" s="12" t="str">
        <x:v>HX1_NORMAL|2</x:v>
      </x:c>
      <x:c r="N578" s="12" t="str">
        <x:v>东门</x:v>
      </x:c>
      <x:c r="O578" s="12" t="n">
        <x:f>IFERROR(INDEX('秒级路线参数_可调整'!$O:$O,MATCH(M578,'秒级路线参数_可调整'!$A:$A,0)),"")</x:f>
        <x:v>0</x:v>
      </x:c>
      <x:c r="P578" s="12" t="str">
        <x:f>IF(O578="","",O578/86400)</x:f>
      </x:c>
      <x:c r="Q578" s="12" t="str">
        <x:f>IF(O578="","",(H578*60+O578)/86400)</x:f>
      </x:c>
      <x:c r="R578" s="12" t="str">
        <x:f>IF(Q578="","",TEXT(Q578,"hh:mm:ss"))</x:f>
      </x:c>
      <x:c r="S578" s="12" t="str">
        <x:v>否</x:v>
      </x:c>
      <x:c r="T578" s="12" t="str">
        <x:v>否</x:v>
      </x:c>
      <x:c r="U578" s="12" t="str">
        <x:v>未提供</x:v>
      </x:c>
      <x:c r="V578" s="12" t="str">
        <x:v>未提供</x:v>
      </x:c>
      <x:c r="W578" s="12" t="str">
        <x:v>秒级预测</x:v>
      </x:c>
      <x:c r="X578" s="12" t="str">
        <x:v>基于路线秒级参数；如录入实测或手动采用秒，预计到达时间可随公式更新</x:v>
      </x:c>
    </x:row>
    <x:row r="579">
      <x:c r="A579" s="12" t="str">
        <x:v>S0048-03</x:v>
      </x:c>
      <x:c r="B579" s="12" t="str">
        <x:v>S0048</x:v>
      </x:c>
      <x:c r="C579" s="12" t="str">
        <x:v>工作日</x:v>
      </x:c>
      <x:c r="D579" s="12" t="str">
        <x:v>环线1路</x:v>
      </x:c>
      <x:c r="E579" s="12" t="str">
        <x:v>第五班（夜2）</x:v>
      </x:c>
      <x:c r="F579" s="12" t="n">
        <x:v>7</x:v>
      </x:c>
      <x:c r="G579" s="12" t="str">
        <x:v>18:30</x:v>
      </x:c>
      <x:c r="H579" s="12" t="n">
        <x:v>1110</x:v>
      </x:c>
      <x:c r="I579" s="12" t="str">
        <x:v>研究生宿舍楼</x:v>
      </x:c>
      <x:c r="J579" s="12" t="str">
        <x:v>研究生宿舍楼发车</x:v>
      </x:c>
      <x:c r="K579" s="12" t="str">
        <x:v>HX1_NORMAL</x:v>
      </x:c>
      <x:c r="L579" s="12" t="n">
        <x:v>3</x:v>
      </x:c>
      <x:c r="M579" s="12" t="str">
        <x:v>HX1_NORMAL|3</x:v>
      </x:c>
      <x:c r="N579" s="12" t="str">
        <x:v>2号宿舍楼</x:v>
      </x:c>
      <x:c r="O579" s="12" t="n">
        <x:f>IFERROR(INDEX('秒级路线参数_可调整'!$O:$O,MATCH(M579,'秒级路线参数_可调整'!$A:$A,0)),"")</x:f>
        <x:v>0</x:v>
      </x:c>
      <x:c r="P579" s="12" t="str">
        <x:f>IF(O579="","",O579/86400)</x:f>
      </x:c>
      <x:c r="Q579" s="12" t="str">
        <x:f>IF(O579="","",(H579*60+O579)/86400)</x:f>
      </x:c>
      <x:c r="R579" s="12" t="str">
        <x:f>IF(Q579="","",TEXT(Q579,"hh:mm:ss"))</x:f>
      </x:c>
      <x:c r="S579" s="12" t="str">
        <x:v>否</x:v>
      </x:c>
      <x:c r="T579" s="12" t="str">
        <x:v>否</x:v>
      </x:c>
      <x:c r="U579" s="12" t="str">
        <x:v>未提供</x:v>
      </x:c>
      <x:c r="V579" s="12" t="str">
        <x:v>未提供</x:v>
      </x:c>
      <x:c r="W579" s="12" t="str">
        <x:v>秒级预测</x:v>
      </x:c>
      <x:c r="X579" s="12" t="str">
        <x:v>基于路线秒级参数；如录入实测或手动采用秒，预计到达时间可随公式更新</x:v>
      </x:c>
    </x:row>
    <x:row r="580">
      <x:c r="A580" s="12" t="str">
        <x:v>S0048-04</x:v>
      </x:c>
      <x:c r="B580" s="12" t="str">
        <x:v>S0048</x:v>
      </x:c>
      <x:c r="C580" s="12" t="str">
        <x:v>工作日</x:v>
      </x:c>
      <x:c r="D580" s="12" t="str">
        <x:v>环线1路</x:v>
      </x:c>
      <x:c r="E580" s="12" t="str">
        <x:v>第五班（夜2）</x:v>
      </x:c>
      <x:c r="F580" s="12" t="n">
        <x:v>7</x:v>
      </x:c>
      <x:c r="G580" s="12" t="str">
        <x:v>18:30</x:v>
      </x:c>
      <x:c r="H580" s="12" t="n">
        <x:v>1110</x:v>
      </x:c>
      <x:c r="I580" s="12" t="str">
        <x:v>研究生宿舍楼</x:v>
      </x:c>
      <x:c r="J580" s="12" t="str">
        <x:v>研究生宿舍楼发车</x:v>
      </x:c>
      <x:c r="K580" s="12" t="str">
        <x:v>HX1_NORMAL</x:v>
      </x:c>
      <x:c r="L580" s="12" t="n">
        <x:v>4</x:v>
      </x:c>
      <x:c r="M580" s="12" t="str">
        <x:v>HX1_NORMAL|4</x:v>
      </x:c>
      <x:c r="N580" s="12" t="str">
        <x:v>军体活动中心</x:v>
      </x:c>
      <x:c r="O580" s="12" t="n">
        <x:f>IFERROR(INDEX('秒级路线参数_可调整'!$O:$O,MATCH(M580,'秒级路线参数_可调整'!$A:$A,0)),"")</x:f>
        <x:v>0</x:v>
      </x:c>
      <x:c r="P580" s="12" t="str">
        <x:f>IF(O580="","",O580/86400)</x:f>
      </x:c>
      <x:c r="Q580" s="12" t="str">
        <x:f>IF(O580="","",(H580*60+O580)/86400)</x:f>
      </x:c>
      <x:c r="R580" s="12" t="str">
        <x:f>IF(Q580="","",TEXT(Q580,"hh:mm:ss"))</x:f>
      </x:c>
      <x:c r="S580" s="12" t="str">
        <x:v>否</x:v>
      </x:c>
      <x:c r="T580" s="12" t="str">
        <x:v>否</x:v>
      </x:c>
      <x:c r="U580" s="12" t="str">
        <x:v>未提供</x:v>
      </x:c>
      <x:c r="V580" s="12" t="str">
        <x:v>未提供</x:v>
      </x:c>
      <x:c r="W580" s="12" t="str">
        <x:v>秒级预测</x:v>
      </x:c>
      <x:c r="X580" s="12" t="str">
        <x:v>基于路线秒级参数；如录入实测或手动采用秒，预计到达时间可随公式更新</x:v>
      </x:c>
    </x:row>
    <x:row r="581">
      <x:c r="A581" s="12" t="str">
        <x:v>S0048-05</x:v>
      </x:c>
      <x:c r="B581" s="12" t="str">
        <x:v>S0048</x:v>
      </x:c>
      <x:c r="C581" s="12" t="str">
        <x:v>工作日</x:v>
      </x:c>
      <x:c r="D581" s="12" t="str">
        <x:v>环线1路</x:v>
      </x:c>
      <x:c r="E581" s="12" t="str">
        <x:v>第五班（夜2）</x:v>
      </x:c>
      <x:c r="F581" s="12" t="n">
        <x:v>7</x:v>
      </x:c>
      <x:c r="G581" s="12" t="str">
        <x:v>18:30</x:v>
      </x:c>
      <x:c r="H581" s="12" t="n">
        <x:v>1110</x:v>
      </x:c>
      <x:c r="I581" s="12" t="str">
        <x:v>研究生宿舍楼</x:v>
      </x:c>
      <x:c r="J581" s="12" t="str">
        <x:v>研究生宿舍楼发车</x:v>
      </x:c>
      <x:c r="K581" s="12" t="str">
        <x:v>HX1_NORMAL</x:v>
      </x:c>
      <x:c r="L581" s="12" t="n">
        <x:v>5</x:v>
      </x:c>
      <x:c r="M581" s="12" t="str">
        <x:v>HX1_NORMAL|5</x:v>
      </x:c>
      <x:c r="N581" s="12" t="str">
        <x:v>激光所</x:v>
      </x:c>
      <x:c r="O581" s="12" t="n">
        <x:f>IFERROR(INDEX('秒级路线参数_可调整'!$O:$O,MATCH(M581,'秒级路线参数_可调整'!$A:$A,0)),"")</x:f>
        <x:v>0</x:v>
      </x:c>
      <x:c r="P581" s="12" t="str">
        <x:f>IF(O581="","",O581/86400)</x:f>
      </x:c>
      <x:c r="Q581" s="12" t="str">
        <x:f>IF(O581="","",(H581*60+O581)/86400)</x:f>
      </x:c>
      <x:c r="R581" s="12" t="str">
        <x:f>IF(Q581="","",TEXT(Q581,"hh:mm:ss"))</x:f>
      </x:c>
      <x:c r="S581" s="12" t="str">
        <x:v>否</x:v>
      </x:c>
      <x:c r="T581" s="12" t="str">
        <x:v>否</x:v>
      </x:c>
      <x:c r="U581" s="12" t="str">
        <x:v>未提供</x:v>
      </x:c>
      <x:c r="V581" s="12" t="str">
        <x:v>未提供</x:v>
      </x:c>
      <x:c r="W581" s="12" t="str">
        <x:v>秒级预测</x:v>
      </x:c>
      <x:c r="X581" s="12" t="str">
        <x:v>基于路线秒级参数；如录入实测或手动采用秒，预计到达时间可随公式更新</x:v>
      </x:c>
    </x:row>
    <x:row r="582">
      <x:c r="A582" s="12" t="str">
        <x:v>S0048-06</x:v>
      </x:c>
      <x:c r="B582" s="12" t="str">
        <x:v>S0048</x:v>
      </x:c>
      <x:c r="C582" s="12" t="str">
        <x:v>工作日</x:v>
      </x:c>
      <x:c r="D582" s="12" t="str">
        <x:v>环线1路</x:v>
      </x:c>
      <x:c r="E582" s="12" t="str">
        <x:v>第五班（夜2）</x:v>
      </x:c>
      <x:c r="F582" s="12" t="n">
        <x:v>7</x:v>
      </x:c>
      <x:c r="G582" s="12" t="str">
        <x:v>18:30</x:v>
      </x:c>
      <x:c r="H582" s="12" t="n">
        <x:v>1110</x:v>
      </x:c>
      <x:c r="I582" s="12" t="str">
        <x:v>研究生宿舍楼</x:v>
      </x:c>
      <x:c r="J582" s="12" t="str">
        <x:v>研究生宿舍楼发车</x:v>
      </x:c>
      <x:c r="K582" s="12" t="str">
        <x:v>HX1_NORMAL</x:v>
      </x:c>
      <x:c r="L582" s="12" t="n">
        <x:v>6</x:v>
      </x:c>
      <x:c r="M582" s="12" t="str">
        <x:v>HX1_NORMAL|6</x:v>
      </x:c>
      <x:c r="N582" s="12" t="str">
        <x:v>超算中心</x:v>
      </x:c>
      <x:c r="O582" s="12" t="n">
        <x:f>IFERROR(INDEX('秒级路线参数_可调整'!$O:$O,MATCH(M582,'秒级路线参数_可调整'!$A:$A,0)),"")</x:f>
        <x:v>0</x:v>
      </x:c>
      <x:c r="P582" s="12" t="str">
        <x:f>IF(O582="","",O582/86400)</x:f>
      </x:c>
      <x:c r="Q582" s="12" t="str">
        <x:f>IF(O582="","",(H582*60+O582)/86400)</x:f>
      </x:c>
      <x:c r="R582" s="12" t="str">
        <x:f>IF(Q582="","",TEXT(Q582,"hh:mm:ss"))</x:f>
      </x:c>
      <x:c r="S582" s="12" t="str">
        <x:v>否</x:v>
      </x:c>
      <x:c r="T582" s="12" t="str">
        <x:v>否</x:v>
      </x:c>
      <x:c r="U582" s="12" t="str">
        <x:v>未提供</x:v>
      </x:c>
      <x:c r="V582" s="12" t="str">
        <x:v>未提供</x:v>
      </x:c>
      <x:c r="W582" s="12" t="str">
        <x:v>秒级预测</x:v>
      </x:c>
      <x:c r="X582" s="12" t="str">
        <x:v>基于路线秒级参数；如录入实测或手动采用秒，预计到达时间可随公式更新</x:v>
      </x:c>
    </x:row>
    <x:row r="583">
      <x:c r="A583" s="12" t="str">
        <x:v>S0048-07</x:v>
      </x:c>
      <x:c r="B583" s="12" t="str">
        <x:v>S0048</x:v>
      </x:c>
      <x:c r="C583" s="12" t="str">
        <x:v>工作日</x:v>
      </x:c>
      <x:c r="D583" s="12" t="str">
        <x:v>环线1路</x:v>
      </x:c>
      <x:c r="E583" s="12" t="str">
        <x:v>第五班（夜2）</x:v>
      </x:c>
      <x:c r="F583" s="12" t="n">
        <x:v>7</x:v>
      </x:c>
      <x:c r="G583" s="12" t="str">
        <x:v>18:30</x:v>
      </x:c>
      <x:c r="H583" s="12" t="n">
        <x:v>1110</x:v>
      </x:c>
      <x:c r="I583" s="12" t="str">
        <x:v>研究生宿舍楼</x:v>
      </x:c>
      <x:c r="J583" s="12" t="str">
        <x:v>研究生宿舍楼发车</x:v>
      </x:c>
      <x:c r="K583" s="12" t="str">
        <x:v>HX1_NORMAL</x:v>
      </x:c>
      <x:c r="L583" s="12" t="n">
        <x:v>7</x:v>
      </x:c>
      <x:c r="M583" s="12" t="str">
        <x:v>HX1_NORMAL|7</x:v>
      </x:c>
      <x:c r="N583" s="12" t="str">
        <x:v>北门</x:v>
      </x:c>
      <x:c r="O583" s="12" t="n">
        <x:f>IFERROR(INDEX('秒级路线参数_可调整'!$O:$O,MATCH(M583,'秒级路线参数_可调整'!$A:$A,0)),"")</x:f>
        <x:v>0</x:v>
      </x:c>
      <x:c r="P583" s="12" t="str">
        <x:f>IF(O583="","",O583/86400)</x:f>
      </x:c>
      <x:c r="Q583" s="12" t="str">
        <x:f>IF(O583="","",(H583*60+O583)/86400)</x:f>
      </x:c>
      <x:c r="R583" s="12" t="str">
        <x:f>IF(Q583="","",TEXT(Q583,"hh:mm:ss"))</x:f>
      </x:c>
      <x:c r="S583" s="12" t="str">
        <x:v>否</x:v>
      </x:c>
      <x:c r="T583" s="12" t="str">
        <x:v>否</x:v>
      </x:c>
      <x:c r="U583" s="12" t="str">
        <x:v>未提供</x:v>
      </x:c>
      <x:c r="V583" s="12" t="str">
        <x:v>未提供</x:v>
      </x:c>
      <x:c r="W583" s="12" t="str">
        <x:v>秒级预测</x:v>
      </x:c>
      <x:c r="X583" s="12" t="str">
        <x:v>基于路线秒级参数；如录入实测或手动采用秒，预计到达时间可随公式更新</x:v>
      </x:c>
    </x:row>
    <x:row r="584">
      <x:c r="A584" s="12" t="str">
        <x:v>S0048-08</x:v>
      </x:c>
      <x:c r="B584" s="12" t="str">
        <x:v>S0048</x:v>
      </x:c>
      <x:c r="C584" s="12" t="str">
        <x:v>工作日</x:v>
      </x:c>
      <x:c r="D584" s="12" t="str">
        <x:v>环线1路</x:v>
      </x:c>
      <x:c r="E584" s="12" t="str">
        <x:v>第五班（夜2）</x:v>
      </x:c>
      <x:c r="F584" s="12" t="n">
        <x:v>7</x:v>
      </x:c>
      <x:c r="G584" s="12" t="str">
        <x:v>18:30</x:v>
      </x:c>
      <x:c r="H584" s="12" t="n">
        <x:v>1110</x:v>
      </x:c>
      <x:c r="I584" s="12" t="str">
        <x:v>研究生宿舍楼</x:v>
      </x:c>
      <x:c r="J584" s="12" t="str">
        <x:v>研究生宿舍楼发车</x:v>
      </x:c>
      <x:c r="K584" s="12" t="str">
        <x:v>HX1_NORMAL</x:v>
      </x:c>
      <x:c r="L584" s="12" t="n">
        <x:v>8</x:v>
      </x:c>
      <x:c r="M584" s="12" t="str">
        <x:v>HX1_NORMAL|8</x:v>
      </x:c>
      <x:c r="N584" s="12" t="str">
        <x:v>高超楼</x:v>
      </x:c>
      <x:c r="O584" s="12" t="n">
        <x:f>IFERROR(INDEX('秒级路线参数_可调整'!$O:$O,MATCH(M584,'秒级路线参数_可调整'!$A:$A,0)),"")</x:f>
        <x:v>0</x:v>
      </x:c>
      <x:c r="P584" s="12" t="str">
        <x:f>IF(O584="","",O584/86400)</x:f>
      </x:c>
      <x:c r="Q584" s="12" t="str">
        <x:f>IF(O584="","",(H584*60+O584)/86400)</x:f>
      </x:c>
      <x:c r="R584" s="12" t="str">
        <x:f>IF(Q584="","",TEXT(Q584,"hh:mm:ss"))</x:f>
      </x:c>
      <x:c r="S584" s="12" t="str">
        <x:v>否</x:v>
      </x:c>
      <x:c r="T584" s="12" t="str">
        <x:v>否</x:v>
      </x:c>
      <x:c r="U584" s="12" t="str">
        <x:v>未提供</x:v>
      </x:c>
      <x:c r="V584" s="12" t="str">
        <x:v>未提供</x:v>
      </x:c>
      <x:c r="W584" s="12" t="str">
        <x:v>秒级预测</x:v>
      </x:c>
      <x:c r="X584" s="12" t="str">
        <x:v>基于路线秒级参数；如录入实测或手动采用秒，预计到达时间可随公式更新</x:v>
      </x:c>
    </x:row>
    <x:row r="585">
      <x:c r="A585" s="12" t="str">
        <x:v>S0048-09</x:v>
      </x:c>
      <x:c r="B585" s="12" t="str">
        <x:v>S0048</x:v>
      </x:c>
      <x:c r="C585" s="12" t="str">
        <x:v>工作日</x:v>
      </x:c>
      <x:c r="D585" s="12" t="str">
        <x:v>环线1路</x:v>
      </x:c>
      <x:c r="E585" s="12" t="str">
        <x:v>第五班（夜2）</x:v>
      </x:c>
      <x:c r="F585" s="12" t="n">
        <x:v>7</x:v>
      </x:c>
      <x:c r="G585" s="12" t="str">
        <x:v>18:30</x:v>
      </x:c>
      <x:c r="H585" s="12" t="n">
        <x:v>1110</x:v>
      </x:c>
      <x:c r="I585" s="12" t="str">
        <x:v>研究生宿舍楼</x:v>
      </x:c>
      <x:c r="J585" s="12" t="str">
        <x:v>研究生宿舍楼发车</x:v>
      </x:c>
      <x:c r="K585" s="12" t="str">
        <x:v>HX1_NORMAL</x:v>
      </x:c>
      <x:c r="L585" s="12" t="n">
        <x:v>9</x:v>
      </x:c>
      <x:c r="M585" s="12" t="str">
        <x:v>HX1_NORMAL|9</x:v>
      </x:c>
      <x:c r="N585" s="12" t="str">
        <x:v>理学院</x:v>
      </x:c>
      <x:c r="O585" s="12" t="n">
        <x:f>IFERROR(INDEX('秒级路线参数_可调整'!$O:$O,MATCH(M585,'秒级路线参数_可调整'!$A:$A,0)),"")</x:f>
        <x:v>0</x:v>
      </x:c>
      <x:c r="P585" s="12" t="str">
        <x:f>IF(O585="","",O585/86400)</x:f>
      </x:c>
      <x:c r="Q585" s="12" t="str">
        <x:f>IF(O585="","",(H585*60+O585)/86400)</x:f>
      </x:c>
      <x:c r="R585" s="12" t="str">
        <x:f>IF(Q585="","",TEXT(Q585,"hh:mm:ss"))</x:f>
      </x:c>
      <x:c r="S585" s="12" t="str">
        <x:v>否</x:v>
      </x:c>
      <x:c r="T585" s="12" t="str">
        <x:v>否</x:v>
      </x:c>
      <x:c r="U585" s="12" t="str">
        <x:v>未提供</x:v>
      </x:c>
      <x:c r="V585" s="12" t="str">
        <x:v>未提供</x:v>
      </x:c>
      <x:c r="W585" s="12" t="str">
        <x:v>秒级预测</x:v>
      </x:c>
      <x:c r="X585" s="12" t="str">
        <x:v>基于路线秒级参数；如录入实测或手动采用秒，预计到达时间可随公式更新</x:v>
      </x:c>
    </x:row>
    <x:row r="586">
      <x:c r="A586" s="12" t="str">
        <x:v>S0048-10</x:v>
      </x:c>
      <x:c r="B586" s="12" t="str">
        <x:v>S0048</x:v>
      </x:c>
      <x:c r="C586" s="12" t="str">
        <x:v>工作日</x:v>
      </x:c>
      <x:c r="D586" s="12" t="str">
        <x:v>环线1路</x:v>
      </x:c>
      <x:c r="E586" s="12" t="str">
        <x:v>第五班（夜2）</x:v>
      </x:c>
      <x:c r="F586" s="12" t="n">
        <x:v>7</x:v>
      </x:c>
      <x:c r="G586" s="12" t="str">
        <x:v>18:30</x:v>
      </x:c>
      <x:c r="H586" s="12" t="n">
        <x:v>1110</x:v>
      </x:c>
      <x:c r="I586" s="12" t="str">
        <x:v>研究生宿舍楼</x:v>
      </x:c>
      <x:c r="J586" s="12" t="str">
        <x:v>研究生宿舍楼发车</x:v>
      </x:c>
      <x:c r="K586" s="12" t="str">
        <x:v>HX1_NORMAL</x:v>
      </x:c>
      <x:c r="L586" s="12" t="n">
        <x:v>10</x:v>
      </x:c>
      <x:c r="M586" s="12" t="str">
        <x:v>HX1_NORMAL|10</x:v>
      </x:c>
      <x:c r="N586" s="12" t="str">
        <x:v>二食堂</x:v>
      </x:c>
      <x:c r="O586" s="12" t="n">
        <x:f>IFERROR(INDEX('秒级路线参数_可调整'!$O:$O,MATCH(M586,'秒级路线参数_可调整'!$A:$A,0)),"")</x:f>
        <x:v>0</x:v>
      </x:c>
      <x:c r="P586" s="12" t="str">
        <x:f>IF(O586="","",O586/86400)</x:f>
      </x:c>
      <x:c r="Q586" s="12" t="str">
        <x:f>IF(O586="","",(H586*60+O586)/86400)</x:f>
      </x:c>
      <x:c r="R586" s="12" t="str">
        <x:f>IF(Q586="","",TEXT(Q586,"hh:mm:ss"))</x:f>
      </x:c>
      <x:c r="S586" s="12" t="str">
        <x:v>否</x:v>
      </x:c>
      <x:c r="T586" s="12" t="str">
        <x:v>否</x:v>
      </x:c>
      <x:c r="U586" s="12" t="str">
        <x:v>未提供</x:v>
      </x:c>
      <x:c r="V586" s="12" t="str">
        <x:v>未提供</x:v>
      </x:c>
      <x:c r="W586" s="12" t="str">
        <x:v>秒级预测</x:v>
      </x:c>
      <x:c r="X586" s="12" t="str">
        <x:v>基于路线秒级参数；如录入实测或手动采用秒，预计到达时间可随公式更新</x:v>
      </x:c>
    </x:row>
    <x:row r="587">
      <x:c r="A587" s="12" t="str">
        <x:v>S0048-11</x:v>
      </x:c>
      <x:c r="B587" s="12" t="str">
        <x:v>S0048</x:v>
      </x:c>
      <x:c r="C587" s="12" t="str">
        <x:v>工作日</x:v>
      </x:c>
      <x:c r="D587" s="12" t="str">
        <x:v>环线1路</x:v>
      </x:c>
      <x:c r="E587" s="12" t="str">
        <x:v>第五班（夜2）</x:v>
      </x:c>
      <x:c r="F587" s="12" t="n">
        <x:v>7</x:v>
      </x:c>
      <x:c r="G587" s="12" t="str">
        <x:v>18:30</x:v>
      </x:c>
      <x:c r="H587" s="12" t="n">
        <x:v>1110</x:v>
      </x:c>
      <x:c r="I587" s="12" t="str">
        <x:v>研究生宿舍楼</x:v>
      </x:c>
      <x:c r="J587" s="12" t="str">
        <x:v>研究生宿舍楼发车</x:v>
      </x:c>
      <x:c r="K587" s="12" t="str">
        <x:v>HX1_NORMAL</x:v>
      </x:c>
      <x:c r="L587" s="12" t="n">
        <x:v>11</x:v>
      </x:c>
      <x:c r="M587" s="12" t="str">
        <x:v>HX1_NORMAL|11</x:v>
      </x:c>
      <x:c r="N587" s="12" t="str">
        <x:v>5号宿舍楼</x:v>
      </x:c>
      <x:c r="O587" s="12" t="n">
        <x:f>IFERROR(INDEX('秒级路线参数_可调整'!$O:$O,MATCH(M587,'秒级路线参数_可调整'!$A:$A,0)),"")</x:f>
        <x:v>0</x:v>
      </x:c>
      <x:c r="P587" s="12" t="str">
        <x:f>IF(O587="","",O587/86400)</x:f>
      </x:c>
      <x:c r="Q587" s="12" t="str">
        <x:f>IF(O587="","",(H587*60+O587)/86400)</x:f>
      </x:c>
      <x:c r="R587" s="12" t="str">
        <x:f>IF(Q587="","",TEXT(Q587,"hh:mm:ss"))</x:f>
      </x:c>
      <x:c r="S587" s="12" t="str">
        <x:v>否</x:v>
      </x:c>
      <x:c r="T587" s="12" t="str">
        <x:v>否</x:v>
      </x:c>
      <x:c r="U587" s="12" t="str">
        <x:v>未提供</x:v>
      </x:c>
      <x:c r="V587" s="12" t="str">
        <x:v>未提供</x:v>
      </x:c>
      <x:c r="W587" s="12" t="str">
        <x:v>秒级预测</x:v>
      </x:c>
      <x:c r="X587" s="12" t="str">
        <x:v>基于路线秒级参数；如录入实测或手动采用秒，预计到达时间可随公式更新</x:v>
      </x:c>
    </x:row>
    <x:row r="588">
      <x:c r="A588" s="12" t="str">
        <x:v>S0048-12</x:v>
      </x:c>
      <x:c r="B588" s="12" t="str">
        <x:v>S0048</x:v>
      </x:c>
      <x:c r="C588" s="12" t="str">
        <x:v>工作日</x:v>
      </x:c>
      <x:c r="D588" s="12" t="str">
        <x:v>环线1路</x:v>
      </x:c>
      <x:c r="E588" s="12" t="str">
        <x:v>第五班（夜2）</x:v>
      </x:c>
      <x:c r="F588" s="12" t="n">
        <x:v>7</x:v>
      </x:c>
      <x:c r="G588" s="12" t="str">
        <x:v>18:30</x:v>
      </x:c>
      <x:c r="H588" s="12" t="n">
        <x:v>1110</x:v>
      </x:c>
      <x:c r="I588" s="12" t="str">
        <x:v>研究生宿舍楼</x:v>
      </x:c>
      <x:c r="J588" s="12" t="str">
        <x:v>研究生宿舍楼发车</x:v>
      </x:c>
      <x:c r="K588" s="12" t="str">
        <x:v>HX1_NORMAL</x:v>
      </x:c>
      <x:c r="L588" s="12" t="n">
        <x:v>12</x:v>
      </x:c>
      <x:c r="M588" s="12" t="str">
        <x:v>HX1_NORMAL|12</x:v>
      </x:c>
      <x:c r="N588" s="12" t="str">
        <x:v>305教学楼</x:v>
      </x:c>
      <x:c r="O588" s="12" t="n">
        <x:f>IFERROR(INDEX('秒级路线参数_可调整'!$O:$O,MATCH(M588,'秒级路线参数_可调整'!$A:$A,0)),"")</x:f>
        <x:v>0</x:v>
      </x:c>
      <x:c r="P588" s="12" t="str">
        <x:f>IF(O588="","",O588/86400)</x:f>
      </x:c>
      <x:c r="Q588" s="12" t="str">
        <x:f>IF(O588="","",(H588*60+O588)/86400)</x:f>
      </x:c>
      <x:c r="R588" s="12" t="str">
        <x:f>IF(Q588="","",TEXT(Q588,"hh:mm:ss"))</x:f>
      </x:c>
      <x:c r="S588" s="12" t="str">
        <x:v>否</x:v>
      </x:c>
      <x:c r="T588" s="12" t="str">
        <x:v>否</x:v>
      </x:c>
      <x:c r="U588" s="12" t="str">
        <x:v>未提供</x:v>
      </x:c>
      <x:c r="V588" s="12" t="str">
        <x:v>未提供</x:v>
      </x:c>
      <x:c r="W588" s="12" t="str">
        <x:v>秒级预测</x:v>
      </x:c>
      <x:c r="X588" s="12" t="str">
        <x:v>基于路线秒级参数；如录入实测或手动采用秒，预计到达时间可随公式更新</x:v>
      </x:c>
    </x:row>
    <x:row r="589">
      <x:c r="A589" s="12" t="str">
        <x:v>S0048-13</x:v>
      </x:c>
      <x:c r="B589" s="12" t="str">
        <x:v>S0048</x:v>
      </x:c>
      <x:c r="C589" s="12" t="str">
        <x:v>工作日</x:v>
      </x:c>
      <x:c r="D589" s="12" t="str">
        <x:v>环线1路</x:v>
      </x:c>
      <x:c r="E589" s="12" t="str">
        <x:v>第五班（夜2）</x:v>
      </x:c>
      <x:c r="F589" s="12" t="n">
        <x:v>7</x:v>
      </x:c>
      <x:c r="G589" s="12" t="str">
        <x:v>18:30</x:v>
      </x:c>
      <x:c r="H589" s="12" t="n">
        <x:v>1110</x:v>
      </x:c>
      <x:c r="I589" s="12" t="str">
        <x:v>研究生宿舍楼</x:v>
      </x:c>
      <x:c r="J589" s="12" t="str">
        <x:v>研究生宿舍楼发车</x:v>
      </x:c>
      <x:c r="K589" s="12" t="str">
        <x:v>HX1_NORMAL</x:v>
      </x:c>
      <x:c r="L589" s="12" t="n">
        <x:v>13</x:v>
      </x:c>
      <x:c r="M589" s="12" t="str">
        <x:v>HX1_NORMAL|13</x:v>
      </x:c>
      <x:c r="N589" s="12" t="str">
        <x:v>研究生宿舍楼</x:v>
      </x:c>
      <x:c r="O589" s="12" t="n">
        <x:f>IFERROR(INDEX('秒级路线参数_可调整'!$O:$O,MATCH(M589,'秒级路线参数_可调整'!$A:$A,0)),"")</x:f>
        <x:v>0</x:v>
      </x:c>
      <x:c r="P589" s="12" t="str">
        <x:f>IF(O589="","",O589/86400)</x:f>
      </x:c>
      <x:c r="Q589" s="12" t="str">
        <x:f>IF(O589="","",(H589*60+O589)/86400)</x:f>
      </x:c>
      <x:c r="R589" s="12" t="str">
        <x:f>IF(Q589="","",TEXT(Q589,"hh:mm:ss"))</x:f>
      </x:c>
      <x:c r="S589" s="12" t="str">
        <x:v>否</x:v>
      </x:c>
      <x:c r="T589" s="12" t="str">
        <x:v>是</x:v>
      </x:c>
      <x:c r="U589" s="12" t="str">
        <x:v>未提供</x:v>
      </x:c>
      <x:c r="V589" s="12" t="str">
        <x:v>未提供</x:v>
      </x:c>
      <x:c r="W589" s="12" t="str">
        <x:v>秒级预测</x:v>
      </x:c>
      <x:c r="X589" s="12" t="str">
        <x:v>基于路线秒级参数；如录入实测或手动采用秒，预计到达时间可随公式更新</x:v>
      </x:c>
    </x:row>
    <x:row r="590">
      <x:c r="A590" s="12" t="str">
        <x:v>S0049-01</x:v>
      </x:c>
      <x:c r="B590" s="12" t="str">
        <x:v>S0049</x:v>
      </x:c>
      <x:c r="C590" s="12" t="str">
        <x:v>工作日</x:v>
      </x:c>
      <x:c r="D590" s="12" t="str">
        <x:v>环线1路</x:v>
      </x:c>
      <x:c r="E590" s="12" t="str">
        <x:v>第五班（夜2）</x:v>
      </x:c>
      <x:c r="F590" s="12" t="n">
        <x:v>8</x:v>
      </x:c>
      <x:c r="G590" s="12" t="str">
        <x:v>19:00</x:v>
      </x:c>
      <x:c r="H590" s="12" t="n">
        <x:v>1140</x:v>
      </x:c>
      <x:c r="I590" s="12" t="str">
        <x:v>研究生宿舍楼</x:v>
      </x:c>
      <x:c r="J590" s="12" t="str">
        <x:v>研究生宿舍楼发车</x:v>
      </x:c>
      <x:c r="K590" s="12" t="str">
        <x:v>HX1_NORMAL</x:v>
      </x:c>
      <x:c r="L590" s="12" t="n">
        <x:v>1</x:v>
      </x:c>
      <x:c r="M590" s="12" t="str">
        <x:v>HX1_NORMAL|1</x:v>
      </x:c>
      <x:c r="N590" s="12" t="str">
        <x:v>研究生宿舍楼</x:v>
      </x:c>
      <x:c r="O590" s="12" t="n">
        <x:f>IFERROR(INDEX('秒级路线参数_可调整'!$O:$O,MATCH(M590,'秒级路线参数_可调整'!$A:$A,0)),"")</x:f>
        <x:v>0</x:v>
      </x:c>
      <x:c r="P590" s="12" t="str">
        <x:f>IF(O590="","",O590/86400)</x:f>
      </x:c>
      <x:c r="Q590" s="12" t="str">
        <x:f>IF(O590="","",(H590*60+O590)/86400)</x:f>
      </x:c>
      <x:c r="R590" s="12" t="str">
        <x:f>IF(Q590="","",TEXT(Q590,"hh:mm:ss"))</x:f>
      </x:c>
      <x:c r="S590" s="12" t="str">
        <x:v>是</x:v>
      </x:c>
      <x:c r="T590" s="12" t="str">
        <x:v>否</x:v>
      </x:c>
      <x:c r="U590" s="12" t="str">
        <x:v>未提供</x:v>
      </x:c>
      <x:c r="V590" s="12" t="str">
        <x:v>未提供</x:v>
      </x:c>
      <x:c r="W590" s="12" t="str">
        <x:v>秒级预测</x:v>
      </x:c>
      <x:c r="X590" s="12" t="str">
        <x:v>基于路线秒级参数；如录入实测或手动采用秒，预计到达时间可随公式更新</x:v>
      </x:c>
    </x:row>
    <x:row r="591">
      <x:c r="A591" s="12" t="str">
        <x:v>S0049-02</x:v>
      </x:c>
      <x:c r="B591" s="12" t="str">
        <x:v>S0049</x:v>
      </x:c>
      <x:c r="C591" s="12" t="str">
        <x:v>工作日</x:v>
      </x:c>
      <x:c r="D591" s="12" t="str">
        <x:v>环线1路</x:v>
      </x:c>
      <x:c r="E591" s="12" t="str">
        <x:v>第五班（夜2）</x:v>
      </x:c>
      <x:c r="F591" s="12" t="n">
        <x:v>8</x:v>
      </x:c>
      <x:c r="G591" s="12" t="str">
        <x:v>19:00</x:v>
      </x:c>
      <x:c r="H591" s="12" t="n">
        <x:v>1140</x:v>
      </x:c>
      <x:c r="I591" s="12" t="str">
        <x:v>研究生宿舍楼</x:v>
      </x:c>
      <x:c r="J591" s="12" t="str">
        <x:v>研究生宿舍楼发车</x:v>
      </x:c>
      <x:c r="K591" s="12" t="str">
        <x:v>HX1_NORMAL</x:v>
      </x:c>
      <x:c r="L591" s="12" t="n">
        <x:v>2</x:v>
      </x:c>
      <x:c r="M591" s="12" t="str">
        <x:v>HX1_NORMAL|2</x:v>
      </x:c>
      <x:c r="N591" s="12" t="str">
        <x:v>东门</x:v>
      </x:c>
      <x:c r="O591" s="12" t="n">
        <x:f>IFERROR(INDEX('秒级路线参数_可调整'!$O:$O,MATCH(M591,'秒级路线参数_可调整'!$A:$A,0)),"")</x:f>
        <x:v>0</x:v>
      </x:c>
      <x:c r="P591" s="12" t="str">
        <x:f>IF(O591="","",O591/86400)</x:f>
      </x:c>
      <x:c r="Q591" s="12" t="str">
        <x:f>IF(O591="","",(H591*60+O591)/86400)</x:f>
      </x:c>
      <x:c r="R591" s="12" t="str">
        <x:f>IF(Q591="","",TEXT(Q591,"hh:mm:ss"))</x:f>
      </x:c>
      <x:c r="S591" s="12" t="str">
        <x:v>否</x:v>
      </x:c>
      <x:c r="T591" s="12" t="str">
        <x:v>否</x:v>
      </x:c>
      <x:c r="U591" s="12" t="str">
        <x:v>未提供</x:v>
      </x:c>
      <x:c r="V591" s="12" t="str">
        <x:v>未提供</x:v>
      </x:c>
      <x:c r="W591" s="12" t="str">
        <x:v>秒级预测</x:v>
      </x:c>
      <x:c r="X591" s="12" t="str">
        <x:v>基于路线秒级参数；如录入实测或手动采用秒，预计到达时间可随公式更新</x:v>
      </x:c>
    </x:row>
    <x:row r="592">
      <x:c r="A592" s="12" t="str">
        <x:v>S0049-03</x:v>
      </x:c>
      <x:c r="B592" s="12" t="str">
        <x:v>S0049</x:v>
      </x:c>
      <x:c r="C592" s="12" t="str">
        <x:v>工作日</x:v>
      </x:c>
      <x:c r="D592" s="12" t="str">
        <x:v>环线1路</x:v>
      </x:c>
      <x:c r="E592" s="12" t="str">
        <x:v>第五班（夜2）</x:v>
      </x:c>
      <x:c r="F592" s="12" t="n">
        <x:v>8</x:v>
      </x:c>
      <x:c r="G592" s="12" t="str">
        <x:v>19:00</x:v>
      </x:c>
      <x:c r="H592" s="12" t="n">
        <x:v>1140</x:v>
      </x:c>
      <x:c r="I592" s="12" t="str">
        <x:v>研究生宿舍楼</x:v>
      </x:c>
      <x:c r="J592" s="12" t="str">
        <x:v>研究生宿舍楼发车</x:v>
      </x:c>
      <x:c r="K592" s="12" t="str">
        <x:v>HX1_NORMAL</x:v>
      </x:c>
      <x:c r="L592" s="12" t="n">
        <x:v>3</x:v>
      </x:c>
      <x:c r="M592" s="12" t="str">
        <x:v>HX1_NORMAL|3</x:v>
      </x:c>
      <x:c r="N592" s="12" t="str">
        <x:v>2号宿舍楼</x:v>
      </x:c>
      <x:c r="O592" s="12" t="n">
        <x:f>IFERROR(INDEX('秒级路线参数_可调整'!$O:$O,MATCH(M592,'秒级路线参数_可调整'!$A:$A,0)),"")</x:f>
        <x:v>0</x:v>
      </x:c>
      <x:c r="P592" s="12" t="str">
        <x:f>IF(O592="","",O592/86400)</x:f>
      </x:c>
      <x:c r="Q592" s="12" t="str">
        <x:f>IF(O592="","",(H592*60+O592)/86400)</x:f>
      </x:c>
      <x:c r="R592" s="12" t="str">
        <x:f>IF(Q592="","",TEXT(Q592,"hh:mm:ss"))</x:f>
      </x:c>
      <x:c r="S592" s="12" t="str">
        <x:v>否</x:v>
      </x:c>
      <x:c r="T592" s="12" t="str">
        <x:v>否</x:v>
      </x:c>
      <x:c r="U592" s="12" t="str">
        <x:v>未提供</x:v>
      </x:c>
      <x:c r="V592" s="12" t="str">
        <x:v>未提供</x:v>
      </x:c>
      <x:c r="W592" s="12" t="str">
        <x:v>秒级预测</x:v>
      </x:c>
      <x:c r="X592" s="12" t="str">
        <x:v>基于路线秒级参数；如录入实测或手动采用秒，预计到达时间可随公式更新</x:v>
      </x:c>
    </x:row>
    <x:row r="593">
      <x:c r="A593" s="12" t="str">
        <x:v>S0049-04</x:v>
      </x:c>
      <x:c r="B593" s="12" t="str">
        <x:v>S0049</x:v>
      </x:c>
      <x:c r="C593" s="12" t="str">
        <x:v>工作日</x:v>
      </x:c>
      <x:c r="D593" s="12" t="str">
        <x:v>环线1路</x:v>
      </x:c>
      <x:c r="E593" s="12" t="str">
        <x:v>第五班（夜2）</x:v>
      </x:c>
      <x:c r="F593" s="12" t="n">
        <x:v>8</x:v>
      </x:c>
      <x:c r="G593" s="12" t="str">
        <x:v>19:00</x:v>
      </x:c>
      <x:c r="H593" s="12" t="n">
        <x:v>1140</x:v>
      </x:c>
      <x:c r="I593" s="12" t="str">
        <x:v>研究生宿舍楼</x:v>
      </x:c>
      <x:c r="J593" s="12" t="str">
        <x:v>研究生宿舍楼发车</x:v>
      </x:c>
      <x:c r="K593" s="12" t="str">
        <x:v>HX1_NORMAL</x:v>
      </x:c>
      <x:c r="L593" s="12" t="n">
        <x:v>4</x:v>
      </x:c>
      <x:c r="M593" s="12" t="str">
        <x:v>HX1_NORMAL|4</x:v>
      </x:c>
      <x:c r="N593" s="12" t="str">
        <x:v>军体活动中心</x:v>
      </x:c>
      <x:c r="O593" s="12" t="n">
        <x:f>IFERROR(INDEX('秒级路线参数_可调整'!$O:$O,MATCH(M593,'秒级路线参数_可调整'!$A:$A,0)),"")</x:f>
        <x:v>0</x:v>
      </x:c>
      <x:c r="P593" s="12" t="str">
        <x:f>IF(O593="","",O593/86400)</x:f>
      </x:c>
      <x:c r="Q593" s="12" t="str">
        <x:f>IF(O593="","",(H593*60+O593)/86400)</x:f>
      </x:c>
      <x:c r="R593" s="12" t="str">
        <x:f>IF(Q593="","",TEXT(Q593,"hh:mm:ss"))</x:f>
      </x:c>
      <x:c r="S593" s="12" t="str">
        <x:v>否</x:v>
      </x:c>
      <x:c r="T593" s="12" t="str">
        <x:v>否</x:v>
      </x:c>
      <x:c r="U593" s="12" t="str">
        <x:v>未提供</x:v>
      </x:c>
      <x:c r="V593" s="12" t="str">
        <x:v>未提供</x:v>
      </x:c>
      <x:c r="W593" s="12" t="str">
        <x:v>秒级预测</x:v>
      </x:c>
      <x:c r="X593" s="12" t="str">
        <x:v>基于路线秒级参数；如录入实测或手动采用秒，预计到达时间可随公式更新</x:v>
      </x:c>
    </x:row>
    <x:row r="594">
      <x:c r="A594" s="12" t="str">
        <x:v>S0049-05</x:v>
      </x:c>
      <x:c r="B594" s="12" t="str">
        <x:v>S0049</x:v>
      </x:c>
      <x:c r="C594" s="12" t="str">
        <x:v>工作日</x:v>
      </x:c>
      <x:c r="D594" s="12" t="str">
        <x:v>环线1路</x:v>
      </x:c>
      <x:c r="E594" s="12" t="str">
        <x:v>第五班（夜2）</x:v>
      </x:c>
      <x:c r="F594" s="12" t="n">
        <x:v>8</x:v>
      </x:c>
      <x:c r="G594" s="12" t="str">
        <x:v>19:00</x:v>
      </x:c>
      <x:c r="H594" s="12" t="n">
        <x:v>1140</x:v>
      </x:c>
      <x:c r="I594" s="12" t="str">
        <x:v>研究生宿舍楼</x:v>
      </x:c>
      <x:c r="J594" s="12" t="str">
        <x:v>研究生宿舍楼发车</x:v>
      </x:c>
      <x:c r="K594" s="12" t="str">
        <x:v>HX1_NORMAL</x:v>
      </x:c>
      <x:c r="L594" s="12" t="n">
        <x:v>5</x:v>
      </x:c>
      <x:c r="M594" s="12" t="str">
        <x:v>HX1_NORMAL|5</x:v>
      </x:c>
      <x:c r="N594" s="12" t="str">
        <x:v>激光所</x:v>
      </x:c>
      <x:c r="O594" s="12" t="n">
        <x:f>IFERROR(INDEX('秒级路线参数_可调整'!$O:$O,MATCH(M594,'秒级路线参数_可调整'!$A:$A,0)),"")</x:f>
        <x:v>0</x:v>
      </x:c>
      <x:c r="P594" s="12" t="str">
        <x:f>IF(O594="","",O594/86400)</x:f>
      </x:c>
      <x:c r="Q594" s="12" t="str">
        <x:f>IF(O594="","",(H594*60+O594)/86400)</x:f>
      </x:c>
      <x:c r="R594" s="12" t="str">
        <x:f>IF(Q594="","",TEXT(Q594,"hh:mm:ss"))</x:f>
      </x:c>
      <x:c r="S594" s="12" t="str">
        <x:v>否</x:v>
      </x:c>
      <x:c r="T594" s="12" t="str">
        <x:v>否</x:v>
      </x:c>
      <x:c r="U594" s="12" t="str">
        <x:v>未提供</x:v>
      </x:c>
      <x:c r="V594" s="12" t="str">
        <x:v>未提供</x:v>
      </x:c>
      <x:c r="W594" s="12" t="str">
        <x:v>秒级预测</x:v>
      </x:c>
      <x:c r="X594" s="12" t="str">
        <x:v>基于路线秒级参数；如录入实测或手动采用秒，预计到达时间可随公式更新</x:v>
      </x:c>
    </x:row>
    <x:row r="595">
      <x:c r="A595" s="12" t="str">
        <x:v>S0049-06</x:v>
      </x:c>
      <x:c r="B595" s="12" t="str">
        <x:v>S0049</x:v>
      </x:c>
      <x:c r="C595" s="12" t="str">
        <x:v>工作日</x:v>
      </x:c>
      <x:c r="D595" s="12" t="str">
        <x:v>环线1路</x:v>
      </x:c>
      <x:c r="E595" s="12" t="str">
        <x:v>第五班（夜2）</x:v>
      </x:c>
      <x:c r="F595" s="12" t="n">
        <x:v>8</x:v>
      </x:c>
      <x:c r="G595" s="12" t="str">
        <x:v>19:00</x:v>
      </x:c>
      <x:c r="H595" s="12" t="n">
        <x:v>1140</x:v>
      </x:c>
      <x:c r="I595" s="12" t="str">
        <x:v>研究生宿舍楼</x:v>
      </x:c>
      <x:c r="J595" s="12" t="str">
        <x:v>研究生宿舍楼发车</x:v>
      </x:c>
      <x:c r="K595" s="12" t="str">
        <x:v>HX1_NORMAL</x:v>
      </x:c>
      <x:c r="L595" s="12" t="n">
        <x:v>6</x:v>
      </x:c>
      <x:c r="M595" s="12" t="str">
        <x:v>HX1_NORMAL|6</x:v>
      </x:c>
      <x:c r="N595" s="12" t="str">
        <x:v>超算中心</x:v>
      </x:c>
      <x:c r="O595" s="12" t="n">
        <x:f>IFERROR(INDEX('秒级路线参数_可调整'!$O:$O,MATCH(M595,'秒级路线参数_可调整'!$A:$A,0)),"")</x:f>
        <x:v>0</x:v>
      </x:c>
      <x:c r="P595" s="12" t="str">
        <x:f>IF(O595="","",O595/86400)</x:f>
      </x:c>
      <x:c r="Q595" s="12" t="str">
        <x:f>IF(O595="","",(H595*60+O595)/86400)</x:f>
      </x:c>
      <x:c r="R595" s="12" t="str">
        <x:f>IF(Q595="","",TEXT(Q595,"hh:mm:ss"))</x:f>
      </x:c>
      <x:c r="S595" s="12" t="str">
        <x:v>否</x:v>
      </x:c>
      <x:c r="T595" s="12" t="str">
        <x:v>否</x:v>
      </x:c>
      <x:c r="U595" s="12" t="str">
        <x:v>未提供</x:v>
      </x:c>
      <x:c r="V595" s="12" t="str">
        <x:v>未提供</x:v>
      </x:c>
      <x:c r="W595" s="12" t="str">
        <x:v>秒级预测</x:v>
      </x:c>
      <x:c r="X595" s="12" t="str">
        <x:v>基于路线秒级参数；如录入实测或手动采用秒，预计到达时间可随公式更新</x:v>
      </x:c>
    </x:row>
    <x:row r="596">
      <x:c r="A596" s="12" t="str">
        <x:v>S0049-07</x:v>
      </x:c>
      <x:c r="B596" s="12" t="str">
        <x:v>S0049</x:v>
      </x:c>
      <x:c r="C596" s="12" t="str">
        <x:v>工作日</x:v>
      </x:c>
      <x:c r="D596" s="12" t="str">
        <x:v>环线1路</x:v>
      </x:c>
      <x:c r="E596" s="12" t="str">
        <x:v>第五班（夜2）</x:v>
      </x:c>
      <x:c r="F596" s="12" t="n">
        <x:v>8</x:v>
      </x:c>
      <x:c r="G596" s="12" t="str">
        <x:v>19:00</x:v>
      </x:c>
      <x:c r="H596" s="12" t="n">
        <x:v>1140</x:v>
      </x:c>
      <x:c r="I596" s="12" t="str">
        <x:v>研究生宿舍楼</x:v>
      </x:c>
      <x:c r="J596" s="12" t="str">
        <x:v>研究生宿舍楼发车</x:v>
      </x:c>
      <x:c r="K596" s="12" t="str">
        <x:v>HX1_NORMAL</x:v>
      </x:c>
      <x:c r="L596" s="12" t="n">
        <x:v>7</x:v>
      </x:c>
      <x:c r="M596" s="12" t="str">
        <x:v>HX1_NORMAL|7</x:v>
      </x:c>
      <x:c r="N596" s="12" t="str">
        <x:v>北门</x:v>
      </x:c>
      <x:c r="O596" s="12" t="n">
        <x:f>IFERROR(INDEX('秒级路线参数_可调整'!$O:$O,MATCH(M596,'秒级路线参数_可调整'!$A:$A,0)),"")</x:f>
        <x:v>0</x:v>
      </x:c>
      <x:c r="P596" s="12" t="str">
        <x:f>IF(O596="","",O596/86400)</x:f>
      </x:c>
      <x:c r="Q596" s="12" t="str">
        <x:f>IF(O596="","",(H596*60+O596)/86400)</x:f>
      </x:c>
      <x:c r="R596" s="12" t="str">
        <x:f>IF(Q596="","",TEXT(Q596,"hh:mm:ss"))</x:f>
      </x:c>
      <x:c r="S596" s="12" t="str">
        <x:v>否</x:v>
      </x:c>
      <x:c r="T596" s="12" t="str">
        <x:v>否</x:v>
      </x:c>
      <x:c r="U596" s="12" t="str">
        <x:v>未提供</x:v>
      </x:c>
      <x:c r="V596" s="12" t="str">
        <x:v>未提供</x:v>
      </x:c>
      <x:c r="W596" s="12" t="str">
        <x:v>秒级预测</x:v>
      </x:c>
      <x:c r="X596" s="12" t="str">
        <x:v>基于路线秒级参数；如录入实测或手动采用秒，预计到达时间可随公式更新</x:v>
      </x:c>
    </x:row>
    <x:row r="597">
      <x:c r="A597" s="12" t="str">
        <x:v>S0049-08</x:v>
      </x:c>
      <x:c r="B597" s="12" t="str">
        <x:v>S0049</x:v>
      </x:c>
      <x:c r="C597" s="12" t="str">
        <x:v>工作日</x:v>
      </x:c>
      <x:c r="D597" s="12" t="str">
        <x:v>环线1路</x:v>
      </x:c>
      <x:c r="E597" s="12" t="str">
        <x:v>第五班（夜2）</x:v>
      </x:c>
      <x:c r="F597" s="12" t="n">
        <x:v>8</x:v>
      </x:c>
      <x:c r="G597" s="12" t="str">
        <x:v>19:00</x:v>
      </x:c>
      <x:c r="H597" s="12" t="n">
        <x:v>1140</x:v>
      </x:c>
      <x:c r="I597" s="12" t="str">
        <x:v>研究生宿舍楼</x:v>
      </x:c>
      <x:c r="J597" s="12" t="str">
        <x:v>研究生宿舍楼发车</x:v>
      </x:c>
      <x:c r="K597" s="12" t="str">
        <x:v>HX1_NORMAL</x:v>
      </x:c>
      <x:c r="L597" s="12" t="n">
        <x:v>8</x:v>
      </x:c>
      <x:c r="M597" s="12" t="str">
        <x:v>HX1_NORMAL|8</x:v>
      </x:c>
      <x:c r="N597" s="12" t="str">
        <x:v>高超楼</x:v>
      </x:c>
      <x:c r="O597" s="12" t="n">
        <x:f>IFERROR(INDEX('秒级路线参数_可调整'!$O:$O,MATCH(M597,'秒级路线参数_可调整'!$A:$A,0)),"")</x:f>
        <x:v>0</x:v>
      </x:c>
      <x:c r="P597" s="12" t="str">
        <x:f>IF(O597="","",O597/86400)</x:f>
      </x:c>
      <x:c r="Q597" s="12" t="str">
        <x:f>IF(O597="","",(H597*60+O597)/86400)</x:f>
      </x:c>
      <x:c r="R597" s="12" t="str">
        <x:f>IF(Q597="","",TEXT(Q597,"hh:mm:ss"))</x:f>
      </x:c>
      <x:c r="S597" s="12" t="str">
        <x:v>否</x:v>
      </x:c>
      <x:c r="T597" s="12" t="str">
        <x:v>否</x:v>
      </x:c>
      <x:c r="U597" s="12" t="str">
        <x:v>未提供</x:v>
      </x:c>
      <x:c r="V597" s="12" t="str">
        <x:v>未提供</x:v>
      </x:c>
      <x:c r="W597" s="12" t="str">
        <x:v>秒级预测</x:v>
      </x:c>
      <x:c r="X597" s="12" t="str">
        <x:v>基于路线秒级参数；如录入实测或手动采用秒，预计到达时间可随公式更新</x:v>
      </x:c>
    </x:row>
    <x:row r="598">
      <x:c r="A598" s="12" t="str">
        <x:v>S0049-09</x:v>
      </x:c>
      <x:c r="B598" s="12" t="str">
        <x:v>S0049</x:v>
      </x:c>
      <x:c r="C598" s="12" t="str">
        <x:v>工作日</x:v>
      </x:c>
      <x:c r="D598" s="12" t="str">
        <x:v>环线1路</x:v>
      </x:c>
      <x:c r="E598" s="12" t="str">
        <x:v>第五班（夜2）</x:v>
      </x:c>
      <x:c r="F598" s="12" t="n">
        <x:v>8</x:v>
      </x:c>
      <x:c r="G598" s="12" t="str">
        <x:v>19:00</x:v>
      </x:c>
      <x:c r="H598" s="12" t="n">
        <x:v>1140</x:v>
      </x:c>
      <x:c r="I598" s="12" t="str">
        <x:v>研究生宿舍楼</x:v>
      </x:c>
      <x:c r="J598" s="12" t="str">
        <x:v>研究生宿舍楼发车</x:v>
      </x:c>
      <x:c r="K598" s="12" t="str">
        <x:v>HX1_NORMAL</x:v>
      </x:c>
      <x:c r="L598" s="12" t="n">
        <x:v>9</x:v>
      </x:c>
      <x:c r="M598" s="12" t="str">
        <x:v>HX1_NORMAL|9</x:v>
      </x:c>
      <x:c r="N598" s="12" t="str">
        <x:v>理学院</x:v>
      </x:c>
      <x:c r="O598" s="12" t="n">
        <x:f>IFERROR(INDEX('秒级路线参数_可调整'!$O:$O,MATCH(M598,'秒级路线参数_可调整'!$A:$A,0)),"")</x:f>
        <x:v>0</x:v>
      </x:c>
      <x:c r="P598" s="12" t="str">
        <x:f>IF(O598="","",O598/86400)</x:f>
      </x:c>
      <x:c r="Q598" s="12" t="str">
        <x:f>IF(O598="","",(H598*60+O598)/86400)</x:f>
      </x:c>
      <x:c r="R598" s="12" t="str">
        <x:f>IF(Q598="","",TEXT(Q598,"hh:mm:ss"))</x:f>
      </x:c>
      <x:c r="S598" s="12" t="str">
        <x:v>否</x:v>
      </x:c>
      <x:c r="T598" s="12" t="str">
        <x:v>否</x:v>
      </x:c>
      <x:c r="U598" s="12" t="str">
        <x:v>未提供</x:v>
      </x:c>
      <x:c r="V598" s="12" t="str">
        <x:v>未提供</x:v>
      </x:c>
      <x:c r="W598" s="12" t="str">
        <x:v>秒级预测</x:v>
      </x:c>
      <x:c r="X598" s="12" t="str">
        <x:v>基于路线秒级参数；如录入实测或手动采用秒，预计到达时间可随公式更新</x:v>
      </x:c>
    </x:row>
    <x:row r="599">
      <x:c r="A599" s="12" t="str">
        <x:v>S0049-10</x:v>
      </x:c>
      <x:c r="B599" s="12" t="str">
        <x:v>S0049</x:v>
      </x:c>
      <x:c r="C599" s="12" t="str">
        <x:v>工作日</x:v>
      </x:c>
      <x:c r="D599" s="12" t="str">
        <x:v>环线1路</x:v>
      </x:c>
      <x:c r="E599" s="12" t="str">
        <x:v>第五班（夜2）</x:v>
      </x:c>
      <x:c r="F599" s="12" t="n">
        <x:v>8</x:v>
      </x:c>
      <x:c r="G599" s="12" t="str">
        <x:v>19:00</x:v>
      </x:c>
      <x:c r="H599" s="12" t="n">
        <x:v>1140</x:v>
      </x:c>
      <x:c r="I599" s="12" t="str">
        <x:v>研究生宿舍楼</x:v>
      </x:c>
      <x:c r="J599" s="12" t="str">
        <x:v>研究生宿舍楼发车</x:v>
      </x:c>
      <x:c r="K599" s="12" t="str">
        <x:v>HX1_NORMAL</x:v>
      </x:c>
      <x:c r="L599" s="12" t="n">
        <x:v>10</x:v>
      </x:c>
      <x:c r="M599" s="12" t="str">
        <x:v>HX1_NORMAL|10</x:v>
      </x:c>
      <x:c r="N599" s="12" t="str">
        <x:v>二食堂</x:v>
      </x:c>
      <x:c r="O599" s="12" t="n">
        <x:f>IFERROR(INDEX('秒级路线参数_可调整'!$O:$O,MATCH(M599,'秒级路线参数_可调整'!$A:$A,0)),"")</x:f>
        <x:v>0</x:v>
      </x:c>
      <x:c r="P599" s="12" t="str">
        <x:f>IF(O599="","",O599/86400)</x:f>
      </x:c>
      <x:c r="Q599" s="12" t="str">
        <x:f>IF(O599="","",(H599*60+O599)/86400)</x:f>
      </x:c>
      <x:c r="R599" s="12" t="str">
        <x:f>IF(Q599="","",TEXT(Q599,"hh:mm:ss"))</x:f>
      </x:c>
      <x:c r="S599" s="12" t="str">
        <x:v>否</x:v>
      </x:c>
      <x:c r="T599" s="12" t="str">
        <x:v>否</x:v>
      </x:c>
      <x:c r="U599" s="12" t="str">
        <x:v>未提供</x:v>
      </x:c>
      <x:c r="V599" s="12" t="str">
        <x:v>未提供</x:v>
      </x:c>
      <x:c r="W599" s="12" t="str">
        <x:v>秒级预测</x:v>
      </x:c>
      <x:c r="X599" s="12" t="str">
        <x:v>基于路线秒级参数；如录入实测或手动采用秒，预计到达时间可随公式更新</x:v>
      </x:c>
    </x:row>
    <x:row r="600">
      <x:c r="A600" s="12" t="str">
        <x:v>S0049-11</x:v>
      </x:c>
      <x:c r="B600" s="12" t="str">
        <x:v>S0049</x:v>
      </x:c>
      <x:c r="C600" s="12" t="str">
        <x:v>工作日</x:v>
      </x:c>
      <x:c r="D600" s="12" t="str">
        <x:v>环线1路</x:v>
      </x:c>
      <x:c r="E600" s="12" t="str">
        <x:v>第五班（夜2）</x:v>
      </x:c>
      <x:c r="F600" s="12" t="n">
        <x:v>8</x:v>
      </x:c>
      <x:c r="G600" s="12" t="str">
        <x:v>19:00</x:v>
      </x:c>
      <x:c r="H600" s="12" t="n">
        <x:v>1140</x:v>
      </x:c>
      <x:c r="I600" s="12" t="str">
        <x:v>研究生宿舍楼</x:v>
      </x:c>
      <x:c r="J600" s="12" t="str">
        <x:v>研究生宿舍楼发车</x:v>
      </x:c>
      <x:c r="K600" s="12" t="str">
        <x:v>HX1_NORMAL</x:v>
      </x:c>
      <x:c r="L600" s="12" t="n">
        <x:v>11</x:v>
      </x:c>
      <x:c r="M600" s="12" t="str">
        <x:v>HX1_NORMAL|11</x:v>
      </x:c>
      <x:c r="N600" s="12" t="str">
        <x:v>5号宿舍楼</x:v>
      </x:c>
      <x:c r="O600" s="12" t="n">
        <x:f>IFERROR(INDEX('秒级路线参数_可调整'!$O:$O,MATCH(M600,'秒级路线参数_可调整'!$A:$A,0)),"")</x:f>
        <x:v>0</x:v>
      </x:c>
      <x:c r="P600" s="12" t="str">
        <x:f>IF(O600="","",O600/86400)</x:f>
      </x:c>
      <x:c r="Q600" s="12" t="str">
        <x:f>IF(O600="","",(H600*60+O600)/86400)</x:f>
      </x:c>
      <x:c r="R600" s="12" t="str">
        <x:f>IF(Q600="","",TEXT(Q600,"hh:mm:ss"))</x:f>
      </x:c>
      <x:c r="S600" s="12" t="str">
        <x:v>否</x:v>
      </x:c>
      <x:c r="T600" s="12" t="str">
        <x:v>否</x:v>
      </x:c>
      <x:c r="U600" s="12" t="str">
        <x:v>未提供</x:v>
      </x:c>
      <x:c r="V600" s="12" t="str">
        <x:v>未提供</x:v>
      </x:c>
      <x:c r="W600" s="12" t="str">
        <x:v>秒级预测</x:v>
      </x:c>
      <x:c r="X600" s="12" t="str">
        <x:v>基于路线秒级参数；如录入实测或手动采用秒，预计到达时间可随公式更新</x:v>
      </x:c>
    </x:row>
    <x:row r="601">
      <x:c r="A601" s="12" t="str">
        <x:v>S0049-12</x:v>
      </x:c>
      <x:c r="B601" s="12" t="str">
        <x:v>S0049</x:v>
      </x:c>
      <x:c r="C601" s="12" t="str">
        <x:v>工作日</x:v>
      </x:c>
      <x:c r="D601" s="12" t="str">
        <x:v>环线1路</x:v>
      </x:c>
      <x:c r="E601" s="12" t="str">
        <x:v>第五班（夜2）</x:v>
      </x:c>
      <x:c r="F601" s="12" t="n">
        <x:v>8</x:v>
      </x:c>
      <x:c r="G601" s="12" t="str">
        <x:v>19:00</x:v>
      </x:c>
      <x:c r="H601" s="12" t="n">
        <x:v>1140</x:v>
      </x:c>
      <x:c r="I601" s="12" t="str">
        <x:v>研究生宿舍楼</x:v>
      </x:c>
      <x:c r="J601" s="12" t="str">
        <x:v>研究生宿舍楼发车</x:v>
      </x:c>
      <x:c r="K601" s="12" t="str">
        <x:v>HX1_NORMAL</x:v>
      </x:c>
      <x:c r="L601" s="12" t="n">
        <x:v>12</x:v>
      </x:c>
      <x:c r="M601" s="12" t="str">
        <x:v>HX1_NORMAL|12</x:v>
      </x:c>
      <x:c r="N601" s="12" t="str">
        <x:v>305教学楼</x:v>
      </x:c>
      <x:c r="O601" s="12" t="n">
        <x:f>IFERROR(INDEX('秒级路线参数_可调整'!$O:$O,MATCH(M601,'秒级路线参数_可调整'!$A:$A,0)),"")</x:f>
        <x:v>0</x:v>
      </x:c>
      <x:c r="P601" s="12" t="str">
        <x:f>IF(O601="","",O601/86400)</x:f>
      </x:c>
      <x:c r="Q601" s="12" t="str">
        <x:f>IF(O601="","",(H601*60+O601)/86400)</x:f>
      </x:c>
      <x:c r="R601" s="12" t="str">
        <x:f>IF(Q601="","",TEXT(Q601,"hh:mm:ss"))</x:f>
      </x:c>
      <x:c r="S601" s="12" t="str">
        <x:v>否</x:v>
      </x:c>
      <x:c r="T601" s="12" t="str">
        <x:v>否</x:v>
      </x:c>
      <x:c r="U601" s="12" t="str">
        <x:v>未提供</x:v>
      </x:c>
      <x:c r="V601" s="12" t="str">
        <x:v>未提供</x:v>
      </x:c>
      <x:c r="W601" s="12" t="str">
        <x:v>秒级预测</x:v>
      </x:c>
      <x:c r="X601" s="12" t="str">
        <x:v>基于路线秒级参数；如录入实测或手动采用秒，预计到达时间可随公式更新</x:v>
      </x:c>
    </x:row>
    <x:row r="602">
      <x:c r="A602" s="12" t="str">
        <x:v>S0049-13</x:v>
      </x:c>
      <x:c r="B602" s="12" t="str">
        <x:v>S0049</x:v>
      </x:c>
      <x:c r="C602" s="12" t="str">
        <x:v>工作日</x:v>
      </x:c>
      <x:c r="D602" s="12" t="str">
        <x:v>环线1路</x:v>
      </x:c>
      <x:c r="E602" s="12" t="str">
        <x:v>第五班（夜2）</x:v>
      </x:c>
      <x:c r="F602" s="12" t="n">
        <x:v>8</x:v>
      </x:c>
      <x:c r="G602" s="12" t="str">
        <x:v>19:00</x:v>
      </x:c>
      <x:c r="H602" s="12" t="n">
        <x:v>1140</x:v>
      </x:c>
      <x:c r="I602" s="12" t="str">
        <x:v>研究生宿舍楼</x:v>
      </x:c>
      <x:c r="J602" s="12" t="str">
        <x:v>研究生宿舍楼发车</x:v>
      </x:c>
      <x:c r="K602" s="12" t="str">
        <x:v>HX1_NORMAL</x:v>
      </x:c>
      <x:c r="L602" s="12" t="n">
        <x:v>13</x:v>
      </x:c>
      <x:c r="M602" s="12" t="str">
        <x:v>HX1_NORMAL|13</x:v>
      </x:c>
      <x:c r="N602" s="12" t="str">
        <x:v>研究生宿舍楼</x:v>
      </x:c>
      <x:c r="O602" s="12" t="n">
        <x:f>IFERROR(INDEX('秒级路线参数_可调整'!$O:$O,MATCH(M602,'秒级路线参数_可调整'!$A:$A,0)),"")</x:f>
        <x:v>0</x:v>
      </x:c>
      <x:c r="P602" s="12" t="str">
        <x:f>IF(O602="","",O602/86400)</x:f>
      </x:c>
      <x:c r="Q602" s="12" t="str">
        <x:f>IF(O602="","",(H602*60+O602)/86400)</x:f>
      </x:c>
      <x:c r="R602" s="12" t="str">
        <x:f>IF(Q602="","",TEXT(Q602,"hh:mm:ss"))</x:f>
      </x:c>
      <x:c r="S602" s="12" t="str">
        <x:v>否</x:v>
      </x:c>
      <x:c r="T602" s="12" t="str">
        <x:v>是</x:v>
      </x:c>
      <x:c r="U602" s="12" t="str">
        <x:v>未提供</x:v>
      </x:c>
      <x:c r="V602" s="12" t="str">
        <x:v>未提供</x:v>
      </x:c>
      <x:c r="W602" s="12" t="str">
        <x:v>秒级预测</x:v>
      </x:c>
      <x:c r="X602" s="12" t="str">
        <x:v>基于路线秒级参数；如录入实测或手动采用秒，预计到达时间可随公式更新</x:v>
      </x:c>
    </x:row>
    <x:row r="603">
      <x:c r="A603" s="12" t="str">
        <x:v>S0050-01</x:v>
      </x:c>
      <x:c r="B603" s="12" t="str">
        <x:v>S0050</x:v>
      </x:c>
      <x:c r="C603" s="12" t="str">
        <x:v>工作日</x:v>
      </x:c>
      <x:c r="D603" s="12" t="str">
        <x:v>环线1路</x:v>
      </x:c>
      <x:c r="E603" s="12" t="str">
        <x:v>第五班（夜2）</x:v>
      </x:c>
      <x:c r="F603" s="12" t="n">
        <x:v>9</x:v>
      </x:c>
      <x:c r="G603" s="12" t="str">
        <x:v>19:30</x:v>
      </x:c>
      <x:c r="H603" s="12" t="n">
        <x:v>1170</x:v>
      </x:c>
      <x:c r="I603" s="12" t="str">
        <x:v>研究生宿舍楼</x:v>
      </x:c>
      <x:c r="J603" s="12" t="str">
        <x:v>研究生宿舍楼发车</x:v>
      </x:c>
      <x:c r="K603" s="12" t="str">
        <x:v>HX1_NORMAL</x:v>
      </x:c>
      <x:c r="L603" s="12" t="n">
        <x:v>1</x:v>
      </x:c>
      <x:c r="M603" s="12" t="str">
        <x:v>HX1_NORMAL|1</x:v>
      </x:c>
      <x:c r="N603" s="12" t="str">
        <x:v>研究生宿舍楼</x:v>
      </x:c>
      <x:c r="O603" s="12" t="n">
        <x:f>IFERROR(INDEX('秒级路线参数_可调整'!$O:$O,MATCH(M603,'秒级路线参数_可调整'!$A:$A,0)),"")</x:f>
        <x:v>0</x:v>
      </x:c>
      <x:c r="P603" s="12" t="str">
        <x:f>IF(O603="","",O603/86400)</x:f>
      </x:c>
      <x:c r="Q603" s="12" t="str">
        <x:f>IF(O603="","",(H603*60+O603)/86400)</x:f>
      </x:c>
      <x:c r="R603" s="12" t="str">
        <x:f>IF(Q603="","",TEXT(Q603,"hh:mm:ss"))</x:f>
      </x:c>
      <x:c r="S603" s="12" t="str">
        <x:v>是</x:v>
      </x:c>
      <x:c r="T603" s="12" t="str">
        <x:v>否</x:v>
      </x:c>
      <x:c r="U603" s="12" t="str">
        <x:v>未提供</x:v>
      </x:c>
      <x:c r="V603" s="12" t="str">
        <x:v>未提供</x:v>
      </x:c>
      <x:c r="W603" s="12" t="str">
        <x:v>秒级预测</x:v>
      </x:c>
      <x:c r="X603" s="12" t="str">
        <x:v>基于路线秒级参数；如录入实测或手动采用秒，预计到达时间可随公式更新</x:v>
      </x:c>
    </x:row>
    <x:row r="604">
      <x:c r="A604" s="12" t="str">
        <x:v>S0050-02</x:v>
      </x:c>
      <x:c r="B604" s="12" t="str">
        <x:v>S0050</x:v>
      </x:c>
      <x:c r="C604" s="12" t="str">
        <x:v>工作日</x:v>
      </x:c>
      <x:c r="D604" s="12" t="str">
        <x:v>环线1路</x:v>
      </x:c>
      <x:c r="E604" s="12" t="str">
        <x:v>第五班（夜2）</x:v>
      </x:c>
      <x:c r="F604" s="12" t="n">
        <x:v>9</x:v>
      </x:c>
      <x:c r="G604" s="12" t="str">
        <x:v>19:30</x:v>
      </x:c>
      <x:c r="H604" s="12" t="n">
        <x:v>1170</x:v>
      </x:c>
      <x:c r="I604" s="12" t="str">
        <x:v>研究生宿舍楼</x:v>
      </x:c>
      <x:c r="J604" s="12" t="str">
        <x:v>研究生宿舍楼发车</x:v>
      </x:c>
      <x:c r="K604" s="12" t="str">
        <x:v>HX1_NORMAL</x:v>
      </x:c>
      <x:c r="L604" s="12" t="n">
        <x:v>2</x:v>
      </x:c>
      <x:c r="M604" s="12" t="str">
        <x:v>HX1_NORMAL|2</x:v>
      </x:c>
      <x:c r="N604" s="12" t="str">
        <x:v>东门</x:v>
      </x:c>
      <x:c r="O604" s="12" t="n">
        <x:f>IFERROR(INDEX('秒级路线参数_可调整'!$O:$O,MATCH(M604,'秒级路线参数_可调整'!$A:$A,0)),"")</x:f>
        <x:v>0</x:v>
      </x:c>
      <x:c r="P604" s="12" t="str">
        <x:f>IF(O604="","",O604/86400)</x:f>
      </x:c>
      <x:c r="Q604" s="12" t="str">
        <x:f>IF(O604="","",(H604*60+O604)/86400)</x:f>
      </x:c>
      <x:c r="R604" s="12" t="str">
        <x:f>IF(Q604="","",TEXT(Q604,"hh:mm:ss"))</x:f>
      </x:c>
      <x:c r="S604" s="12" t="str">
        <x:v>否</x:v>
      </x:c>
      <x:c r="T604" s="12" t="str">
        <x:v>否</x:v>
      </x:c>
      <x:c r="U604" s="12" t="str">
        <x:v>未提供</x:v>
      </x:c>
      <x:c r="V604" s="12" t="str">
        <x:v>未提供</x:v>
      </x:c>
      <x:c r="W604" s="12" t="str">
        <x:v>秒级预测</x:v>
      </x:c>
      <x:c r="X604" s="12" t="str">
        <x:v>基于路线秒级参数；如录入实测或手动采用秒，预计到达时间可随公式更新</x:v>
      </x:c>
    </x:row>
    <x:row r="605">
      <x:c r="A605" s="12" t="str">
        <x:v>S0050-03</x:v>
      </x:c>
      <x:c r="B605" s="12" t="str">
        <x:v>S0050</x:v>
      </x:c>
      <x:c r="C605" s="12" t="str">
        <x:v>工作日</x:v>
      </x:c>
      <x:c r="D605" s="12" t="str">
        <x:v>环线1路</x:v>
      </x:c>
      <x:c r="E605" s="12" t="str">
        <x:v>第五班（夜2）</x:v>
      </x:c>
      <x:c r="F605" s="12" t="n">
        <x:v>9</x:v>
      </x:c>
      <x:c r="G605" s="12" t="str">
        <x:v>19:30</x:v>
      </x:c>
      <x:c r="H605" s="12" t="n">
        <x:v>1170</x:v>
      </x:c>
      <x:c r="I605" s="12" t="str">
        <x:v>研究生宿舍楼</x:v>
      </x:c>
      <x:c r="J605" s="12" t="str">
        <x:v>研究生宿舍楼发车</x:v>
      </x:c>
      <x:c r="K605" s="12" t="str">
        <x:v>HX1_NORMAL</x:v>
      </x:c>
      <x:c r="L605" s="12" t="n">
        <x:v>3</x:v>
      </x:c>
      <x:c r="M605" s="12" t="str">
        <x:v>HX1_NORMAL|3</x:v>
      </x:c>
      <x:c r="N605" s="12" t="str">
        <x:v>2号宿舍楼</x:v>
      </x:c>
      <x:c r="O605" s="12" t="n">
        <x:f>IFERROR(INDEX('秒级路线参数_可调整'!$O:$O,MATCH(M605,'秒级路线参数_可调整'!$A:$A,0)),"")</x:f>
        <x:v>0</x:v>
      </x:c>
      <x:c r="P605" s="12" t="str">
        <x:f>IF(O605="","",O605/86400)</x:f>
      </x:c>
      <x:c r="Q605" s="12" t="str">
        <x:f>IF(O605="","",(H605*60+O605)/86400)</x:f>
      </x:c>
      <x:c r="R605" s="12" t="str">
        <x:f>IF(Q605="","",TEXT(Q605,"hh:mm:ss"))</x:f>
      </x:c>
      <x:c r="S605" s="12" t="str">
        <x:v>否</x:v>
      </x:c>
      <x:c r="T605" s="12" t="str">
        <x:v>否</x:v>
      </x:c>
      <x:c r="U605" s="12" t="str">
        <x:v>未提供</x:v>
      </x:c>
      <x:c r="V605" s="12" t="str">
        <x:v>未提供</x:v>
      </x:c>
      <x:c r="W605" s="12" t="str">
        <x:v>秒级预测</x:v>
      </x:c>
      <x:c r="X605" s="12" t="str">
        <x:v>基于路线秒级参数；如录入实测或手动采用秒，预计到达时间可随公式更新</x:v>
      </x:c>
    </x:row>
    <x:row r="606">
      <x:c r="A606" s="12" t="str">
        <x:v>S0050-04</x:v>
      </x:c>
      <x:c r="B606" s="12" t="str">
        <x:v>S0050</x:v>
      </x:c>
      <x:c r="C606" s="12" t="str">
        <x:v>工作日</x:v>
      </x:c>
      <x:c r="D606" s="12" t="str">
        <x:v>环线1路</x:v>
      </x:c>
      <x:c r="E606" s="12" t="str">
        <x:v>第五班（夜2）</x:v>
      </x:c>
      <x:c r="F606" s="12" t="n">
        <x:v>9</x:v>
      </x:c>
      <x:c r="G606" s="12" t="str">
        <x:v>19:30</x:v>
      </x:c>
      <x:c r="H606" s="12" t="n">
        <x:v>1170</x:v>
      </x:c>
      <x:c r="I606" s="12" t="str">
        <x:v>研究生宿舍楼</x:v>
      </x:c>
      <x:c r="J606" s="12" t="str">
        <x:v>研究生宿舍楼发车</x:v>
      </x:c>
      <x:c r="K606" s="12" t="str">
        <x:v>HX1_NORMAL</x:v>
      </x:c>
      <x:c r="L606" s="12" t="n">
        <x:v>4</x:v>
      </x:c>
      <x:c r="M606" s="12" t="str">
        <x:v>HX1_NORMAL|4</x:v>
      </x:c>
      <x:c r="N606" s="12" t="str">
        <x:v>军体活动中心</x:v>
      </x:c>
      <x:c r="O606" s="12" t="n">
        <x:f>IFERROR(INDEX('秒级路线参数_可调整'!$O:$O,MATCH(M606,'秒级路线参数_可调整'!$A:$A,0)),"")</x:f>
        <x:v>0</x:v>
      </x:c>
      <x:c r="P606" s="12" t="str">
        <x:f>IF(O606="","",O606/86400)</x:f>
      </x:c>
      <x:c r="Q606" s="12" t="str">
        <x:f>IF(O606="","",(H606*60+O606)/86400)</x:f>
      </x:c>
      <x:c r="R606" s="12" t="str">
        <x:f>IF(Q606="","",TEXT(Q606,"hh:mm:ss"))</x:f>
      </x:c>
      <x:c r="S606" s="12" t="str">
        <x:v>否</x:v>
      </x:c>
      <x:c r="T606" s="12" t="str">
        <x:v>否</x:v>
      </x:c>
      <x:c r="U606" s="12" t="str">
        <x:v>未提供</x:v>
      </x:c>
      <x:c r="V606" s="12" t="str">
        <x:v>未提供</x:v>
      </x:c>
      <x:c r="W606" s="12" t="str">
        <x:v>秒级预测</x:v>
      </x:c>
      <x:c r="X606" s="12" t="str">
        <x:v>基于路线秒级参数；如录入实测或手动采用秒，预计到达时间可随公式更新</x:v>
      </x:c>
    </x:row>
    <x:row r="607">
      <x:c r="A607" s="12" t="str">
        <x:v>S0050-05</x:v>
      </x:c>
      <x:c r="B607" s="12" t="str">
        <x:v>S0050</x:v>
      </x:c>
      <x:c r="C607" s="12" t="str">
        <x:v>工作日</x:v>
      </x:c>
      <x:c r="D607" s="12" t="str">
        <x:v>环线1路</x:v>
      </x:c>
      <x:c r="E607" s="12" t="str">
        <x:v>第五班（夜2）</x:v>
      </x:c>
      <x:c r="F607" s="12" t="n">
        <x:v>9</x:v>
      </x:c>
      <x:c r="G607" s="12" t="str">
        <x:v>19:30</x:v>
      </x:c>
      <x:c r="H607" s="12" t="n">
        <x:v>1170</x:v>
      </x:c>
      <x:c r="I607" s="12" t="str">
        <x:v>研究生宿舍楼</x:v>
      </x:c>
      <x:c r="J607" s="12" t="str">
        <x:v>研究生宿舍楼发车</x:v>
      </x:c>
      <x:c r="K607" s="12" t="str">
        <x:v>HX1_NORMAL</x:v>
      </x:c>
      <x:c r="L607" s="12" t="n">
        <x:v>5</x:v>
      </x:c>
      <x:c r="M607" s="12" t="str">
        <x:v>HX1_NORMAL|5</x:v>
      </x:c>
      <x:c r="N607" s="12" t="str">
        <x:v>激光所</x:v>
      </x:c>
      <x:c r="O607" s="12" t="n">
        <x:f>IFERROR(INDEX('秒级路线参数_可调整'!$O:$O,MATCH(M607,'秒级路线参数_可调整'!$A:$A,0)),"")</x:f>
        <x:v>0</x:v>
      </x:c>
      <x:c r="P607" s="12" t="str">
        <x:f>IF(O607="","",O607/86400)</x:f>
      </x:c>
      <x:c r="Q607" s="12" t="str">
        <x:f>IF(O607="","",(H607*60+O607)/86400)</x:f>
      </x:c>
      <x:c r="R607" s="12" t="str">
        <x:f>IF(Q607="","",TEXT(Q607,"hh:mm:ss"))</x:f>
      </x:c>
      <x:c r="S607" s="12" t="str">
        <x:v>否</x:v>
      </x:c>
      <x:c r="T607" s="12" t="str">
        <x:v>否</x:v>
      </x:c>
      <x:c r="U607" s="12" t="str">
        <x:v>未提供</x:v>
      </x:c>
      <x:c r="V607" s="12" t="str">
        <x:v>未提供</x:v>
      </x:c>
      <x:c r="W607" s="12" t="str">
        <x:v>秒级预测</x:v>
      </x:c>
      <x:c r="X607" s="12" t="str">
        <x:v>基于路线秒级参数；如录入实测或手动采用秒，预计到达时间可随公式更新</x:v>
      </x:c>
    </x:row>
    <x:row r="608">
      <x:c r="A608" s="12" t="str">
        <x:v>S0050-06</x:v>
      </x:c>
      <x:c r="B608" s="12" t="str">
        <x:v>S0050</x:v>
      </x:c>
      <x:c r="C608" s="12" t="str">
        <x:v>工作日</x:v>
      </x:c>
      <x:c r="D608" s="12" t="str">
        <x:v>环线1路</x:v>
      </x:c>
      <x:c r="E608" s="12" t="str">
        <x:v>第五班（夜2）</x:v>
      </x:c>
      <x:c r="F608" s="12" t="n">
        <x:v>9</x:v>
      </x:c>
      <x:c r="G608" s="12" t="str">
        <x:v>19:30</x:v>
      </x:c>
      <x:c r="H608" s="12" t="n">
        <x:v>1170</x:v>
      </x:c>
      <x:c r="I608" s="12" t="str">
        <x:v>研究生宿舍楼</x:v>
      </x:c>
      <x:c r="J608" s="12" t="str">
        <x:v>研究生宿舍楼发车</x:v>
      </x:c>
      <x:c r="K608" s="12" t="str">
        <x:v>HX1_NORMAL</x:v>
      </x:c>
      <x:c r="L608" s="12" t="n">
        <x:v>6</x:v>
      </x:c>
      <x:c r="M608" s="12" t="str">
        <x:v>HX1_NORMAL|6</x:v>
      </x:c>
      <x:c r="N608" s="12" t="str">
        <x:v>超算中心</x:v>
      </x:c>
      <x:c r="O608" s="12" t="n">
        <x:f>IFERROR(INDEX('秒级路线参数_可调整'!$O:$O,MATCH(M608,'秒级路线参数_可调整'!$A:$A,0)),"")</x:f>
        <x:v>0</x:v>
      </x:c>
      <x:c r="P608" s="12" t="str">
        <x:f>IF(O608="","",O608/86400)</x:f>
      </x:c>
      <x:c r="Q608" s="12" t="str">
        <x:f>IF(O608="","",(H608*60+O608)/86400)</x:f>
      </x:c>
      <x:c r="R608" s="12" t="str">
        <x:f>IF(Q608="","",TEXT(Q608,"hh:mm:ss"))</x:f>
      </x:c>
      <x:c r="S608" s="12" t="str">
        <x:v>否</x:v>
      </x:c>
      <x:c r="T608" s="12" t="str">
        <x:v>否</x:v>
      </x:c>
      <x:c r="U608" s="12" t="str">
        <x:v>未提供</x:v>
      </x:c>
      <x:c r="V608" s="12" t="str">
        <x:v>未提供</x:v>
      </x:c>
      <x:c r="W608" s="12" t="str">
        <x:v>秒级预测</x:v>
      </x:c>
      <x:c r="X608" s="12" t="str">
        <x:v>基于路线秒级参数；如录入实测或手动采用秒，预计到达时间可随公式更新</x:v>
      </x:c>
    </x:row>
    <x:row r="609">
      <x:c r="A609" s="12" t="str">
        <x:v>S0050-07</x:v>
      </x:c>
      <x:c r="B609" s="12" t="str">
        <x:v>S0050</x:v>
      </x:c>
      <x:c r="C609" s="12" t="str">
        <x:v>工作日</x:v>
      </x:c>
      <x:c r="D609" s="12" t="str">
        <x:v>环线1路</x:v>
      </x:c>
      <x:c r="E609" s="12" t="str">
        <x:v>第五班（夜2）</x:v>
      </x:c>
      <x:c r="F609" s="12" t="n">
        <x:v>9</x:v>
      </x:c>
      <x:c r="G609" s="12" t="str">
        <x:v>19:30</x:v>
      </x:c>
      <x:c r="H609" s="12" t="n">
        <x:v>1170</x:v>
      </x:c>
      <x:c r="I609" s="12" t="str">
        <x:v>研究生宿舍楼</x:v>
      </x:c>
      <x:c r="J609" s="12" t="str">
        <x:v>研究生宿舍楼发车</x:v>
      </x:c>
      <x:c r="K609" s="12" t="str">
        <x:v>HX1_NORMAL</x:v>
      </x:c>
      <x:c r="L609" s="12" t="n">
        <x:v>7</x:v>
      </x:c>
      <x:c r="M609" s="12" t="str">
        <x:v>HX1_NORMAL|7</x:v>
      </x:c>
      <x:c r="N609" s="12" t="str">
        <x:v>北门</x:v>
      </x:c>
      <x:c r="O609" s="12" t="n">
        <x:f>IFERROR(INDEX('秒级路线参数_可调整'!$O:$O,MATCH(M609,'秒级路线参数_可调整'!$A:$A,0)),"")</x:f>
        <x:v>0</x:v>
      </x:c>
      <x:c r="P609" s="12" t="str">
        <x:f>IF(O609="","",O609/86400)</x:f>
      </x:c>
      <x:c r="Q609" s="12" t="str">
        <x:f>IF(O609="","",(H609*60+O609)/86400)</x:f>
      </x:c>
      <x:c r="R609" s="12" t="str">
        <x:f>IF(Q609="","",TEXT(Q609,"hh:mm:ss"))</x:f>
      </x:c>
      <x:c r="S609" s="12" t="str">
        <x:v>否</x:v>
      </x:c>
      <x:c r="T609" s="12" t="str">
        <x:v>否</x:v>
      </x:c>
      <x:c r="U609" s="12" t="str">
        <x:v>未提供</x:v>
      </x:c>
      <x:c r="V609" s="12" t="str">
        <x:v>未提供</x:v>
      </x:c>
      <x:c r="W609" s="12" t="str">
        <x:v>秒级预测</x:v>
      </x:c>
      <x:c r="X609" s="12" t="str">
        <x:v>基于路线秒级参数；如录入实测或手动采用秒，预计到达时间可随公式更新</x:v>
      </x:c>
    </x:row>
    <x:row r="610">
      <x:c r="A610" s="12" t="str">
        <x:v>S0050-08</x:v>
      </x:c>
      <x:c r="B610" s="12" t="str">
        <x:v>S0050</x:v>
      </x:c>
      <x:c r="C610" s="12" t="str">
        <x:v>工作日</x:v>
      </x:c>
      <x:c r="D610" s="12" t="str">
        <x:v>环线1路</x:v>
      </x:c>
      <x:c r="E610" s="12" t="str">
        <x:v>第五班（夜2）</x:v>
      </x:c>
      <x:c r="F610" s="12" t="n">
        <x:v>9</x:v>
      </x:c>
      <x:c r="G610" s="12" t="str">
        <x:v>19:30</x:v>
      </x:c>
      <x:c r="H610" s="12" t="n">
        <x:v>1170</x:v>
      </x:c>
      <x:c r="I610" s="12" t="str">
        <x:v>研究生宿舍楼</x:v>
      </x:c>
      <x:c r="J610" s="12" t="str">
        <x:v>研究生宿舍楼发车</x:v>
      </x:c>
      <x:c r="K610" s="12" t="str">
        <x:v>HX1_NORMAL</x:v>
      </x:c>
      <x:c r="L610" s="12" t="n">
        <x:v>8</x:v>
      </x:c>
      <x:c r="M610" s="12" t="str">
        <x:v>HX1_NORMAL|8</x:v>
      </x:c>
      <x:c r="N610" s="12" t="str">
        <x:v>高超楼</x:v>
      </x:c>
      <x:c r="O610" s="12" t="n">
        <x:f>IFERROR(INDEX('秒级路线参数_可调整'!$O:$O,MATCH(M610,'秒级路线参数_可调整'!$A:$A,0)),"")</x:f>
        <x:v>0</x:v>
      </x:c>
      <x:c r="P610" s="12" t="str">
        <x:f>IF(O610="","",O610/86400)</x:f>
      </x:c>
      <x:c r="Q610" s="12" t="str">
        <x:f>IF(O610="","",(H610*60+O610)/86400)</x:f>
      </x:c>
      <x:c r="R610" s="12" t="str">
        <x:f>IF(Q610="","",TEXT(Q610,"hh:mm:ss"))</x:f>
      </x:c>
      <x:c r="S610" s="12" t="str">
        <x:v>否</x:v>
      </x:c>
      <x:c r="T610" s="12" t="str">
        <x:v>否</x:v>
      </x:c>
      <x:c r="U610" s="12" t="str">
        <x:v>未提供</x:v>
      </x:c>
      <x:c r="V610" s="12" t="str">
        <x:v>未提供</x:v>
      </x:c>
      <x:c r="W610" s="12" t="str">
        <x:v>秒级预测</x:v>
      </x:c>
      <x:c r="X610" s="12" t="str">
        <x:v>基于路线秒级参数；如录入实测或手动采用秒，预计到达时间可随公式更新</x:v>
      </x:c>
    </x:row>
    <x:row r="611">
      <x:c r="A611" s="12" t="str">
        <x:v>S0050-09</x:v>
      </x:c>
      <x:c r="B611" s="12" t="str">
        <x:v>S0050</x:v>
      </x:c>
      <x:c r="C611" s="12" t="str">
        <x:v>工作日</x:v>
      </x:c>
      <x:c r="D611" s="12" t="str">
        <x:v>环线1路</x:v>
      </x:c>
      <x:c r="E611" s="12" t="str">
        <x:v>第五班（夜2）</x:v>
      </x:c>
      <x:c r="F611" s="12" t="n">
        <x:v>9</x:v>
      </x:c>
      <x:c r="G611" s="12" t="str">
        <x:v>19:30</x:v>
      </x:c>
      <x:c r="H611" s="12" t="n">
        <x:v>1170</x:v>
      </x:c>
      <x:c r="I611" s="12" t="str">
        <x:v>研究生宿舍楼</x:v>
      </x:c>
      <x:c r="J611" s="12" t="str">
        <x:v>研究生宿舍楼发车</x:v>
      </x:c>
      <x:c r="K611" s="12" t="str">
        <x:v>HX1_NORMAL</x:v>
      </x:c>
      <x:c r="L611" s="12" t="n">
        <x:v>9</x:v>
      </x:c>
      <x:c r="M611" s="12" t="str">
        <x:v>HX1_NORMAL|9</x:v>
      </x:c>
      <x:c r="N611" s="12" t="str">
        <x:v>理学院</x:v>
      </x:c>
      <x:c r="O611" s="12" t="n">
        <x:f>IFERROR(INDEX('秒级路线参数_可调整'!$O:$O,MATCH(M611,'秒级路线参数_可调整'!$A:$A,0)),"")</x:f>
        <x:v>0</x:v>
      </x:c>
      <x:c r="P611" s="12" t="str">
        <x:f>IF(O611="","",O611/86400)</x:f>
      </x:c>
      <x:c r="Q611" s="12" t="str">
        <x:f>IF(O611="","",(H611*60+O611)/86400)</x:f>
      </x:c>
      <x:c r="R611" s="12" t="str">
        <x:f>IF(Q611="","",TEXT(Q611,"hh:mm:ss"))</x:f>
      </x:c>
      <x:c r="S611" s="12" t="str">
        <x:v>否</x:v>
      </x:c>
      <x:c r="T611" s="12" t="str">
        <x:v>否</x:v>
      </x:c>
      <x:c r="U611" s="12" t="str">
        <x:v>未提供</x:v>
      </x:c>
      <x:c r="V611" s="12" t="str">
        <x:v>未提供</x:v>
      </x:c>
      <x:c r="W611" s="12" t="str">
        <x:v>秒级预测</x:v>
      </x:c>
      <x:c r="X611" s="12" t="str">
        <x:v>基于路线秒级参数；如录入实测或手动采用秒，预计到达时间可随公式更新</x:v>
      </x:c>
    </x:row>
    <x:row r="612">
      <x:c r="A612" s="12" t="str">
        <x:v>S0050-10</x:v>
      </x:c>
      <x:c r="B612" s="12" t="str">
        <x:v>S0050</x:v>
      </x:c>
      <x:c r="C612" s="12" t="str">
        <x:v>工作日</x:v>
      </x:c>
      <x:c r="D612" s="12" t="str">
        <x:v>环线1路</x:v>
      </x:c>
      <x:c r="E612" s="12" t="str">
        <x:v>第五班（夜2）</x:v>
      </x:c>
      <x:c r="F612" s="12" t="n">
        <x:v>9</x:v>
      </x:c>
      <x:c r="G612" s="12" t="str">
        <x:v>19:30</x:v>
      </x:c>
      <x:c r="H612" s="12" t="n">
        <x:v>1170</x:v>
      </x:c>
      <x:c r="I612" s="12" t="str">
        <x:v>研究生宿舍楼</x:v>
      </x:c>
      <x:c r="J612" s="12" t="str">
        <x:v>研究生宿舍楼发车</x:v>
      </x:c>
      <x:c r="K612" s="12" t="str">
        <x:v>HX1_NORMAL</x:v>
      </x:c>
      <x:c r="L612" s="12" t="n">
        <x:v>10</x:v>
      </x:c>
      <x:c r="M612" s="12" t="str">
        <x:v>HX1_NORMAL|10</x:v>
      </x:c>
      <x:c r="N612" s="12" t="str">
        <x:v>二食堂</x:v>
      </x:c>
      <x:c r="O612" s="12" t="n">
        <x:f>IFERROR(INDEX('秒级路线参数_可调整'!$O:$O,MATCH(M612,'秒级路线参数_可调整'!$A:$A,0)),"")</x:f>
        <x:v>0</x:v>
      </x:c>
      <x:c r="P612" s="12" t="str">
        <x:f>IF(O612="","",O612/86400)</x:f>
      </x:c>
      <x:c r="Q612" s="12" t="str">
        <x:f>IF(O612="","",(H612*60+O612)/86400)</x:f>
      </x:c>
      <x:c r="R612" s="12" t="str">
        <x:f>IF(Q612="","",TEXT(Q612,"hh:mm:ss"))</x:f>
      </x:c>
      <x:c r="S612" s="12" t="str">
        <x:v>否</x:v>
      </x:c>
      <x:c r="T612" s="12" t="str">
        <x:v>否</x:v>
      </x:c>
      <x:c r="U612" s="12" t="str">
        <x:v>未提供</x:v>
      </x:c>
      <x:c r="V612" s="12" t="str">
        <x:v>未提供</x:v>
      </x:c>
      <x:c r="W612" s="12" t="str">
        <x:v>秒级预测</x:v>
      </x:c>
      <x:c r="X612" s="12" t="str">
        <x:v>基于路线秒级参数；如录入实测或手动采用秒，预计到达时间可随公式更新</x:v>
      </x:c>
    </x:row>
    <x:row r="613">
      <x:c r="A613" s="12" t="str">
        <x:v>S0050-11</x:v>
      </x:c>
      <x:c r="B613" s="12" t="str">
        <x:v>S0050</x:v>
      </x:c>
      <x:c r="C613" s="12" t="str">
        <x:v>工作日</x:v>
      </x:c>
      <x:c r="D613" s="12" t="str">
        <x:v>环线1路</x:v>
      </x:c>
      <x:c r="E613" s="12" t="str">
        <x:v>第五班（夜2）</x:v>
      </x:c>
      <x:c r="F613" s="12" t="n">
        <x:v>9</x:v>
      </x:c>
      <x:c r="G613" s="12" t="str">
        <x:v>19:30</x:v>
      </x:c>
      <x:c r="H613" s="12" t="n">
        <x:v>1170</x:v>
      </x:c>
      <x:c r="I613" s="12" t="str">
        <x:v>研究生宿舍楼</x:v>
      </x:c>
      <x:c r="J613" s="12" t="str">
        <x:v>研究生宿舍楼发车</x:v>
      </x:c>
      <x:c r="K613" s="12" t="str">
        <x:v>HX1_NORMAL</x:v>
      </x:c>
      <x:c r="L613" s="12" t="n">
        <x:v>11</x:v>
      </x:c>
      <x:c r="M613" s="12" t="str">
        <x:v>HX1_NORMAL|11</x:v>
      </x:c>
      <x:c r="N613" s="12" t="str">
        <x:v>5号宿舍楼</x:v>
      </x:c>
      <x:c r="O613" s="12" t="n">
        <x:f>IFERROR(INDEX('秒级路线参数_可调整'!$O:$O,MATCH(M613,'秒级路线参数_可调整'!$A:$A,0)),"")</x:f>
        <x:v>0</x:v>
      </x:c>
      <x:c r="P613" s="12" t="str">
        <x:f>IF(O613="","",O613/86400)</x:f>
      </x:c>
      <x:c r="Q613" s="12" t="str">
        <x:f>IF(O613="","",(H613*60+O613)/86400)</x:f>
      </x:c>
      <x:c r="R613" s="12" t="str">
        <x:f>IF(Q613="","",TEXT(Q613,"hh:mm:ss"))</x:f>
      </x:c>
      <x:c r="S613" s="12" t="str">
        <x:v>否</x:v>
      </x:c>
      <x:c r="T613" s="12" t="str">
        <x:v>否</x:v>
      </x:c>
      <x:c r="U613" s="12" t="str">
        <x:v>未提供</x:v>
      </x:c>
      <x:c r="V613" s="12" t="str">
        <x:v>未提供</x:v>
      </x:c>
      <x:c r="W613" s="12" t="str">
        <x:v>秒级预测</x:v>
      </x:c>
      <x:c r="X613" s="12" t="str">
        <x:v>基于路线秒级参数；如录入实测或手动采用秒，预计到达时间可随公式更新</x:v>
      </x:c>
    </x:row>
    <x:row r="614">
      <x:c r="A614" s="12" t="str">
        <x:v>S0050-12</x:v>
      </x:c>
      <x:c r="B614" s="12" t="str">
        <x:v>S0050</x:v>
      </x:c>
      <x:c r="C614" s="12" t="str">
        <x:v>工作日</x:v>
      </x:c>
      <x:c r="D614" s="12" t="str">
        <x:v>环线1路</x:v>
      </x:c>
      <x:c r="E614" s="12" t="str">
        <x:v>第五班（夜2）</x:v>
      </x:c>
      <x:c r="F614" s="12" t="n">
        <x:v>9</x:v>
      </x:c>
      <x:c r="G614" s="12" t="str">
        <x:v>19:30</x:v>
      </x:c>
      <x:c r="H614" s="12" t="n">
        <x:v>1170</x:v>
      </x:c>
      <x:c r="I614" s="12" t="str">
        <x:v>研究生宿舍楼</x:v>
      </x:c>
      <x:c r="J614" s="12" t="str">
        <x:v>研究生宿舍楼发车</x:v>
      </x:c>
      <x:c r="K614" s="12" t="str">
        <x:v>HX1_NORMAL</x:v>
      </x:c>
      <x:c r="L614" s="12" t="n">
        <x:v>12</x:v>
      </x:c>
      <x:c r="M614" s="12" t="str">
        <x:v>HX1_NORMAL|12</x:v>
      </x:c>
      <x:c r="N614" s="12" t="str">
        <x:v>305教学楼</x:v>
      </x:c>
      <x:c r="O614" s="12" t="n">
        <x:f>IFERROR(INDEX('秒级路线参数_可调整'!$O:$O,MATCH(M614,'秒级路线参数_可调整'!$A:$A,0)),"")</x:f>
        <x:v>0</x:v>
      </x:c>
      <x:c r="P614" s="12" t="str">
        <x:f>IF(O614="","",O614/86400)</x:f>
      </x:c>
      <x:c r="Q614" s="12" t="str">
        <x:f>IF(O614="","",(H614*60+O614)/86400)</x:f>
      </x:c>
      <x:c r="R614" s="12" t="str">
        <x:f>IF(Q614="","",TEXT(Q614,"hh:mm:ss"))</x:f>
      </x:c>
      <x:c r="S614" s="12" t="str">
        <x:v>否</x:v>
      </x:c>
      <x:c r="T614" s="12" t="str">
        <x:v>否</x:v>
      </x:c>
      <x:c r="U614" s="12" t="str">
        <x:v>未提供</x:v>
      </x:c>
      <x:c r="V614" s="12" t="str">
        <x:v>未提供</x:v>
      </x:c>
      <x:c r="W614" s="12" t="str">
        <x:v>秒级预测</x:v>
      </x:c>
      <x:c r="X614" s="12" t="str">
        <x:v>基于路线秒级参数；如录入实测或手动采用秒，预计到达时间可随公式更新</x:v>
      </x:c>
    </x:row>
    <x:row r="615">
      <x:c r="A615" s="12" t="str">
        <x:v>S0050-13</x:v>
      </x:c>
      <x:c r="B615" s="12" t="str">
        <x:v>S0050</x:v>
      </x:c>
      <x:c r="C615" s="12" t="str">
        <x:v>工作日</x:v>
      </x:c>
      <x:c r="D615" s="12" t="str">
        <x:v>环线1路</x:v>
      </x:c>
      <x:c r="E615" s="12" t="str">
        <x:v>第五班（夜2）</x:v>
      </x:c>
      <x:c r="F615" s="12" t="n">
        <x:v>9</x:v>
      </x:c>
      <x:c r="G615" s="12" t="str">
        <x:v>19:30</x:v>
      </x:c>
      <x:c r="H615" s="12" t="n">
        <x:v>1170</x:v>
      </x:c>
      <x:c r="I615" s="12" t="str">
        <x:v>研究生宿舍楼</x:v>
      </x:c>
      <x:c r="J615" s="12" t="str">
        <x:v>研究生宿舍楼发车</x:v>
      </x:c>
      <x:c r="K615" s="12" t="str">
        <x:v>HX1_NORMAL</x:v>
      </x:c>
      <x:c r="L615" s="12" t="n">
        <x:v>13</x:v>
      </x:c>
      <x:c r="M615" s="12" t="str">
        <x:v>HX1_NORMAL|13</x:v>
      </x:c>
      <x:c r="N615" s="12" t="str">
        <x:v>研究生宿舍楼</x:v>
      </x:c>
      <x:c r="O615" s="12" t="n">
        <x:f>IFERROR(INDEX('秒级路线参数_可调整'!$O:$O,MATCH(M615,'秒级路线参数_可调整'!$A:$A,0)),"")</x:f>
        <x:v>0</x:v>
      </x:c>
      <x:c r="P615" s="12" t="str">
        <x:f>IF(O615="","",O615/86400)</x:f>
      </x:c>
      <x:c r="Q615" s="12" t="str">
        <x:f>IF(O615="","",(H615*60+O615)/86400)</x:f>
      </x:c>
      <x:c r="R615" s="12" t="str">
        <x:f>IF(Q615="","",TEXT(Q615,"hh:mm:ss"))</x:f>
      </x:c>
      <x:c r="S615" s="12" t="str">
        <x:v>否</x:v>
      </x:c>
      <x:c r="T615" s="12" t="str">
        <x:v>是</x:v>
      </x:c>
      <x:c r="U615" s="12" t="str">
        <x:v>未提供</x:v>
      </x:c>
      <x:c r="V615" s="12" t="str">
        <x:v>未提供</x:v>
      </x:c>
      <x:c r="W615" s="12" t="str">
        <x:v>秒级预测</x:v>
      </x:c>
      <x:c r="X615" s="12" t="str">
        <x:v>基于路线秒级参数；如录入实测或手动采用秒，预计到达时间可随公式更新</x:v>
      </x:c>
    </x:row>
    <x:row r="616">
      <x:c r="A616" s="12" t="str">
        <x:v>S0051-01</x:v>
      </x:c>
      <x:c r="B616" s="12" t="str">
        <x:v>S0051</x:v>
      </x:c>
      <x:c r="C616" s="12" t="str">
        <x:v>工作日</x:v>
      </x:c>
      <x:c r="D616" s="12" t="str">
        <x:v>环线1路</x:v>
      </x:c>
      <x:c r="E616" s="12" t="str">
        <x:v>第五班（夜2）</x:v>
      </x:c>
      <x:c r="F616" s="12" t="n">
        <x:v>10</x:v>
      </x:c>
      <x:c r="G616" s="12" t="str">
        <x:v>20:00</x:v>
      </x:c>
      <x:c r="H616" s="12" t="n">
        <x:v>1200</x:v>
      </x:c>
      <x:c r="I616" s="12" t="str">
        <x:v>研究生宿舍楼</x:v>
      </x:c>
      <x:c r="J616" s="12" t="str">
        <x:v>研究生宿舍楼发车</x:v>
      </x:c>
      <x:c r="K616" s="12" t="str">
        <x:v>HX1_NORMAL</x:v>
      </x:c>
      <x:c r="L616" s="12" t="n">
        <x:v>1</x:v>
      </x:c>
      <x:c r="M616" s="12" t="str">
        <x:v>HX1_NORMAL|1</x:v>
      </x:c>
      <x:c r="N616" s="12" t="str">
        <x:v>研究生宿舍楼</x:v>
      </x:c>
      <x:c r="O616" s="12" t="n">
        <x:f>IFERROR(INDEX('秒级路线参数_可调整'!$O:$O,MATCH(M616,'秒级路线参数_可调整'!$A:$A,0)),"")</x:f>
        <x:v>0</x:v>
      </x:c>
      <x:c r="P616" s="12" t="str">
        <x:f>IF(O616="","",O616/86400)</x:f>
      </x:c>
      <x:c r="Q616" s="12" t="str">
        <x:f>IF(O616="","",(H616*60+O616)/86400)</x:f>
      </x:c>
      <x:c r="R616" s="12" t="str">
        <x:f>IF(Q616="","",TEXT(Q616,"hh:mm:ss"))</x:f>
      </x:c>
      <x:c r="S616" s="12" t="str">
        <x:v>是</x:v>
      </x:c>
      <x:c r="T616" s="12" t="str">
        <x:v>否</x:v>
      </x:c>
      <x:c r="U616" s="12" t="str">
        <x:v>未提供</x:v>
      </x:c>
      <x:c r="V616" s="12" t="str">
        <x:v>未提供</x:v>
      </x:c>
      <x:c r="W616" s="12" t="str">
        <x:v>秒级预测</x:v>
      </x:c>
      <x:c r="X616" s="12" t="str">
        <x:v>基于路线秒级参数；如录入实测或手动采用秒，预计到达时间可随公式更新</x:v>
      </x:c>
    </x:row>
    <x:row r="617">
      <x:c r="A617" s="12" t="str">
        <x:v>S0051-02</x:v>
      </x:c>
      <x:c r="B617" s="12" t="str">
        <x:v>S0051</x:v>
      </x:c>
      <x:c r="C617" s="12" t="str">
        <x:v>工作日</x:v>
      </x:c>
      <x:c r="D617" s="12" t="str">
        <x:v>环线1路</x:v>
      </x:c>
      <x:c r="E617" s="12" t="str">
        <x:v>第五班（夜2）</x:v>
      </x:c>
      <x:c r="F617" s="12" t="n">
        <x:v>10</x:v>
      </x:c>
      <x:c r="G617" s="12" t="str">
        <x:v>20:00</x:v>
      </x:c>
      <x:c r="H617" s="12" t="n">
        <x:v>1200</x:v>
      </x:c>
      <x:c r="I617" s="12" t="str">
        <x:v>研究生宿舍楼</x:v>
      </x:c>
      <x:c r="J617" s="12" t="str">
        <x:v>研究生宿舍楼发车</x:v>
      </x:c>
      <x:c r="K617" s="12" t="str">
        <x:v>HX1_NORMAL</x:v>
      </x:c>
      <x:c r="L617" s="12" t="n">
        <x:v>2</x:v>
      </x:c>
      <x:c r="M617" s="12" t="str">
        <x:v>HX1_NORMAL|2</x:v>
      </x:c>
      <x:c r="N617" s="12" t="str">
        <x:v>东门</x:v>
      </x:c>
      <x:c r="O617" s="12" t="n">
        <x:f>IFERROR(INDEX('秒级路线参数_可调整'!$O:$O,MATCH(M617,'秒级路线参数_可调整'!$A:$A,0)),"")</x:f>
        <x:v>0</x:v>
      </x:c>
      <x:c r="P617" s="12" t="str">
        <x:f>IF(O617="","",O617/86400)</x:f>
      </x:c>
      <x:c r="Q617" s="12" t="str">
        <x:f>IF(O617="","",(H617*60+O617)/86400)</x:f>
      </x:c>
      <x:c r="R617" s="12" t="str">
        <x:f>IF(Q617="","",TEXT(Q617,"hh:mm:ss"))</x:f>
      </x:c>
      <x:c r="S617" s="12" t="str">
        <x:v>否</x:v>
      </x:c>
      <x:c r="T617" s="12" t="str">
        <x:v>否</x:v>
      </x:c>
      <x:c r="U617" s="12" t="str">
        <x:v>未提供</x:v>
      </x:c>
      <x:c r="V617" s="12" t="str">
        <x:v>未提供</x:v>
      </x:c>
      <x:c r="W617" s="12" t="str">
        <x:v>秒级预测</x:v>
      </x:c>
      <x:c r="X617" s="12" t="str">
        <x:v>基于路线秒级参数；如录入实测或手动采用秒，预计到达时间可随公式更新</x:v>
      </x:c>
    </x:row>
    <x:row r="618">
      <x:c r="A618" s="12" t="str">
        <x:v>S0051-03</x:v>
      </x:c>
      <x:c r="B618" s="12" t="str">
        <x:v>S0051</x:v>
      </x:c>
      <x:c r="C618" s="12" t="str">
        <x:v>工作日</x:v>
      </x:c>
      <x:c r="D618" s="12" t="str">
        <x:v>环线1路</x:v>
      </x:c>
      <x:c r="E618" s="12" t="str">
        <x:v>第五班（夜2）</x:v>
      </x:c>
      <x:c r="F618" s="12" t="n">
        <x:v>10</x:v>
      </x:c>
      <x:c r="G618" s="12" t="str">
        <x:v>20:00</x:v>
      </x:c>
      <x:c r="H618" s="12" t="n">
        <x:v>1200</x:v>
      </x:c>
      <x:c r="I618" s="12" t="str">
        <x:v>研究生宿舍楼</x:v>
      </x:c>
      <x:c r="J618" s="12" t="str">
        <x:v>研究生宿舍楼发车</x:v>
      </x:c>
      <x:c r="K618" s="12" t="str">
        <x:v>HX1_NORMAL</x:v>
      </x:c>
      <x:c r="L618" s="12" t="n">
        <x:v>3</x:v>
      </x:c>
      <x:c r="M618" s="12" t="str">
        <x:v>HX1_NORMAL|3</x:v>
      </x:c>
      <x:c r="N618" s="12" t="str">
        <x:v>2号宿舍楼</x:v>
      </x:c>
      <x:c r="O618" s="12" t="n">
        <x:f>IFERROR(INDEX('秒级路线参数_可调整'!$O:$O,MATCH(M618,'秒级路线参数_可调整'!$A:$A,0)),"")</x:f>
        <x:v>0</x:v>
      </x:c>
      <x:c r="P618" s="12" t="str">
        <x:f>IF(O618="","",O618/86400)</x:f>
      </x:c>
      <x:c r="Q618" s="12" t="str">
        <x:f>IF(O618="","",(H618*60+O618)/86400)</x:f>
      </x:c>
      <x:c r="R618" s="12" t="str">
        <x:f>IF(Q618="","",TEXT(Q618,"hh:mm:ss"))</x:f>
      </x:c>
      <x:c r="S618" s="12" t="str">
        <x:v>否</x:v>
      </x:c>
      <x:c r="T618" s="12" t="str">
        <x:v>否</x:v>
      </x:c>
      <x:c r="U618" s="12" t="str">
        <x:v>未提供</x:v>
      </x:c>
      <x:c r="V618" s="12" t="str">
        <x:v>未提供</x:v>
      </x:c>
      <x:c r="W618" s="12" t="str">
        <x:v>秒级预测</x:v>
      </x:c>
      <x:c r="X618" s="12" t="str">
        <x:v>基于路线秒级参数；如录入实测或手动采用秒，预计到达时间可随公式更新</x:v>
      </x:c>
    </x:row>
    <x:row r="619">
      <x:c r="A619" s="12" t="str">
        <x:v>S0051-04</x:v>
      </x:c>
      <x:c r="B619" s="12" t="str">
        <x:v>S0051</x:v>
      </x:c>
      <x:c r="C619" s="12" t="str">
        <x:v>工作日</x:v>
      </x:c>
      <x:c r="D619" s="12" t="str">
        <x:v>环线1路</x:v>
      </x:c>
      <x:c r="E619" s="12" t="str">
        <x:v>第五班（夜2）</x:v>
      </x:c>
      <x:c r="F619" s="12" t="n">
        <x:v>10</x:v>
      </x:c>
      <x:c r="G619" s="12" t="str">
        <x:v>20:00</x:v>
      </x:c>
      <x:c r="H619" s="12" t="n">
        <x:v>1200</x:v>
      </x:c>
      <x:c r="I619" s="12" t="str">
        <x:v>研究生宿舍楼</x:v>
      </x:c>
      <x:c r="J619" s="12" t="str">
        <x:v>研究生宿舍楼发车</x:v>
      </x:c>
      <x:c r="K619" s="12" t="str">
        <x:v>HX1_NORMAL</x:v>
      </x:c>
      <x:c r="L619" s="12" t="n">
        <x:v>4</x:v>
      </x:c>
      <x:c r="M619" s="12" t="str">
        <x:v>HX1_NORMAL|4</x:v>
      </x:c>
      <x:c r="N619" s="12" t="str">
        <x:v>军体活动中心</x:v>
      </x:c>
      <x:c r="O619" s="12" t="n">
        <x:f>IFERROR(INDEX('秒级路线参数_可调整'!$O:$O,MATCH(M619,'秒级路线参数_可调整'!$A:$A,0)),"")</x:f>
        <x:v>0</x:v>
      </x:c>
      <x:c r="P619" s="12" t="str">
        <x:f>IF(O619="","",O619/86400)</x:f>
      </x:c>
      <x:c r="Q619" s="12" t="str">
        <x:f>IF(O619="","",(H619*60+O619)/86400)</x:f>
      </x:c>
      <x:c r="R619" s="12" t="str">
        <x:f>IF(Q619="","",TEXT(Q619,"hh:mm:ss"))</x:f>
      </x:c>
      <x:c r="S619" s="12" t="str">
        <x:v>否</x:v>
      </x:c>
      <x:c r="T619" s="12" t="str">
        <x:v>否</x:v>
      </x:c>
      <x:c r="U619" s="12" t="str">
        <x:v>未提供</x:v>
      </x:c>
      <x:c r="V619" s="12" t="str">
        <x:v>未提供</x:v>
      </x:c>
      <x:c r="W619" s="12" t="str">
        <x:v>秒级预测</x:v>
      </x:c>
      <x:c r="X619" s="12" t="str">
        <x:v>基于路线秒级参数；如录入实测或手动采用秒，预计到达时间可随公式更新</x:v>
      </x:c>
    </x:row>
    <x:row r="620">
      <x:c r="A620" s="12" t="str">
        <x:v>S0051-05</x:v>
      </x:c>
      <x:c r="B620" s="12" t="str">
        <x:v>S0051</x:v>
      </x:c>
      <x:c r="C620" s="12" t="str">
        <x:v>工作日</x:v>
      </x:c>
      <x:c r="D620" s="12" t="str">
        <x:v>环线1路</x:v>
      </x:c>
      <x:c r="E620" s="12" t="str">
        <x:v>第五班（夜2）</x:v>
      </x:c>
      <x:c r="F620" s="12" t="n">
        <x:v>10</x:v>
      </x:c>
      <x:c r="G620" s="12" t="str">
        <x:v>20:00</x:v>
      </x:c>
      <x:c r="H620" s="12" t="n">
        <x:v>1200</x:v>
      </x:c>
      <x:c r="I620" s="12" t="str">
        <x:v>研究生宿舍楼</x:v>
      </x:c>
      <x:c r="J620" s="12" t="str">
        <x:v>研究生宿舍楼发车</x:v>
      </x:c>
      <x:c r="K620" s="12" t="str">
        <x:v>HX1_NORMAL</x:v>
      </x:c>
      <x:c r="L620" s="12" t="n">
        <x:v>5</x:v>
      </x:c>
      <x:c r="M620" s="12" t="str">
        <x:v>HX1_NORMAL|5</x:v>
      </x:c>
      <x:c r="N620" s="12" t="str">
        <x:v>激光所</x:v>
      </x:c>
      <x:c r="O620" s="12" t="n">
        <x:f>IFERROR(INDEX('秒级路线参数_可调整'!$O:$O,MATCH(M620,'秒级路线参数_可调整'!$A:$A,0)),"")</x:f>
        <x:v>0</x:v>
      </x:c>
      <x:c r="P620" s="12" t="str">
        <x:f>IF(O620="","",O620/86400)</x:f>
      </x:c>
      <x:c r="Q620" s="12" t="str">
        <x:f>IF(O620="","",(H620*60+O620)/86400)</x:f>
      </x:c>
      <x:c r="R620" s="12" t="str">
        <x:f>IF(Q620="","",TEXT(Q620,"hh:mm:ss"))</x:f>
      </x:c>
      <x:c r="S620" s="12" t="str">
        <x:v>否</x:v>
      </x:c>
      <x:c r="T620" s="12" t="str">
        <x:v>否</x:v>
      </x:c>
      <x:c r="U620" s="12" t="str">
        <x:v>未提供</x:v>
      </x:c>
      <x:c r="V620" s="12" t="str">
        <x:v>未提供</x:v>
      </x:c>
      <x:c r="W620" s="12" t="str">
        <x:v>秒级预测</x:v>
      </x:c>
      <x:c r="X620" s="12" t="str">
        <x:v>基于路线秒级参数；如录入实测或手动采用秒，预计到达时间可随公式更新</x:v>
      </x:c>
    </x:row>
    <x:row r="621">
      <x:c r="A621" s="12" t="str">
        <x:v>S0051-06</x:v>
      </x:c>
      <x:c r="B621" s="12" t="str">
        <x:v>S0051</x:v>
      </x:c>
      <x:c r="C621" s="12" t="str">
        <x:v>工作日</x:v>
      </x:c>
      <x:c r="D621" s="12" t="str">
        <x:v>环线1路</x:v>
      </x:c>
      <x:c r="E621" s="12" t="str">
        <x:v>第五班（夜2）</x:v>
      </x:c>
      <x:c r="F621" s="12" t="n">
        <x:v>10</x:v>
      </x:c>
      <x:c r="G621" s="12" t="str">
        <x:v>20:00</x:v>
      </x:c>
      <x:c r="H621" s="12" t="n">
        <x:v>1200</x:v>
      </x:c>
      <x:c r="I621" s="12" t="str">
        <x:v>研究生宿舍楼</x:v>
      </x:c>
      <x:c r="J621" s="12" t="str">
        <x:v>研究生宿舍楼发车</x:v>
      </x:c>
      <x:c r="K621" s="12" t="str">
        <x:v>HX1_NORMAL</x:v>
      </x:c>
      <x:c r="L621" s="12" t="n">
        <x:v>6</x:v>
      </x:c>
      <x:c r="M621" s="12" t="str">
        <x:v>HX1_NORMAL|6</x:v>
      </x:c>
      <x:c r="N621" s="12" t="str">
        <x:v>超算中心</x:v>
      </x:c>
      <x:c r="O621" s="12" t="n">
        <x:f>IFERROR(INDEX('秒级路线参数_可调整'!$O:$O,MATCH(M621,'秒级路线参数_可调整'!$A:$A,0)),"")</x:f>
        <x:v>0</x:v>
      </x:c>
      <x:c r="P621" s="12" t="str">
        <x:f>IF(O621="","",O621/86400)</x:f>
      </x:c>
      <x:c r="Q621" s="12" t="str">
        <x:f>IF(O621="","",(H621*60+O621)/86400)</x:f>
      </x:c>
      <x:c r="R621" s="12" t="str">
        <x:f>IF(Q621="","",TEXT(Q621,"hh:mm:ss"))</x:f>
      </x:c>
      <x:c r="S621" s="12" t="str">
        <x:v>否</x:v>
      </x:c>
      <x:c r="T621" s="12" t="str">
        <x:v>否</x:v>
      </x:c>
      <x:c r="U621" s="12" t="str">
        <x:v>未提供</x:v>
      </x:c>
      <x:c r="V621" s="12" t="str">
        <x:v>未提供</x:v>
      </x:c>
      <x:c r="W621" s="12" t="str">
        <x:v>秒级预测</x:v>
      </x:c>
      <x:c r="X621" s="12" t="str">
        <x:v>基于路线秒级参数；如录入实测或手动采用秒，预计到达时间可随公式更新</x:v>
      </x:c>
    </x:row>
    <x:row r="622">
      <x:c r="A622" s="12" t="str">
        <x:v>S0051-07</x:v>
      </x:c>
      <x:c r="B622" s="12" t="str">
        <x:v>S0051</x:v>
      </x:c>
      <x:c r="C622" s="12" t="str">
        <x:v>工作日</x:v>
      </x:c>
      <x:c r="D622" s="12" t="str">
        <x:v>环线1路</x:v>
      </x:c>
      <x:c r="E622" s="12" t="str">
        <x:v>第五班（夜2）</x:v>
      </x:c>
      <x:c r="F622" s="12" t="n">
        <x:v>10</x:v>
      </x:c>
      <x:c r="G622" s="12" t="str">
        <x:v>20:00</x:v>
      </x:c>
      <x:c r="H622" s="12" t="n">
        <x:v>1200</x:v>
      </x:c>
      <x:c r="I622" s="12" t="str">
        <x:v>研究生宿舍楼</x:v>
      </x:c>
      <x:c r="J622" s="12" t="str">
        <x:v>研究生宿舍楼发车</x:v>
      </x:c>
      <x:c r="K622" s="12" t="str">
        <x:v>HX1_NORMAL</x:v>
      </x:c>
      <x:c r="L622" s="12" t="n">
        <x:v>7</x:v>
      </x:c>
      <x:c r="M622" s="12" t="str">
        <x:v>HX1_NORMAL|7</x:v>
      </x:c>
      <x:c r="N622" s="12" t="str">
        <x:v>北门</x:v>
      </x:c>
      <x:c r="O622" s="12" t="n">
        <x:f>IFERROR(INDEX('秒级路线参数_可调整'!$O:$O,MATCH(M622,'秒级路线参数_可调整'!$A:$A,0)),"")</x:f>
        <x:v>0</x:v>
      </x:c>
      <x:c r="P622" s="12" t="str">
        <x:f>IF(O622="","",O622/86400)</x:f>
      </x:c>
      <x:c r="Q622" s="12" t="str">
        <x:f>IF(O622="","",(H622*60+O622)/86400)</x:f>
      </x:c>
      <x:c r="R622" s="12" t="str">
        <x:f>IF(Q622="","",TEXT(Q622,"hh:mm:ss"))</x:f>
      </x:c>
      <x:c r="S622" s="12" t="str">
        <x:v>否</x:v>
      </x:c>
      <x:c r="T622" s="12" t="str">
        <x:v>否</x:v>
      </x:c>
      <x:c r="U622" s="12" t="str">
        <x:v>未提供</x:v>
      </x:c>
      <x:c r="V622" s="12" t="str">
        <x:v>未提供</x:v>
      </x:c>
      <x:c r="W622" s="12" t="str">
        <x:v>秒级预测</x:v>
      </x:c>
      <x:c r="X622" s="12" t="str">
        <x:v>基于路线秒级参数；如录入实测或手动采用秒，预计到达时间可随公式更新</x:v>
      </x:c>
    </x:row>
    <x:row r="623">
      <x:c r="A623" s="12" t="str">
        <x:v>S0051-08</x:v>
      </x:c>
      <x:c r="B623" s="12" t="str">
        <x:v>S0051</x:v>
      </x:c>
      <x:c r="C623" s="12" t="str">
        <x:v>工作日</x:v>
      </x:c>
      <x:c r="D623" s="12" t="str">
        <x:v>环线1路</x:v>
      </x:c>
      <x:c r="E623" s="12" t="str">
        <x:v>第五班（夜2）</x:v>
      </x:c>
      <x:c r="F623" s="12" t="n">
        <x:v>10</x:v>
      </x:c>
      <x:c r="G623" s="12" t="str">
        <x:v>20:00</x:v>
      </x:c>
      <x:c r="H623" s="12" t="n">
        <x:v>1200</x:v>
      </x:c>
      <x:c r="I623" s="12" t="str">
        <x:v>研究生宿舍楼</x:v>
      </x:c>
      <x:c r="J623" s="12" t="str">
        <x:v>研究生宿舍楼发车</x:v>
      </x:c>
      <x:c r="K623" s="12" t="str">
        <x:v>HX1_NORMAL</x:v>
      </x:c>
      <x:c r="L623" s="12" t="n">
        <x:v>8</x:v>
      </x:c>
      <x:c r="M623" s="12" t="str">
        <x:v>HX1_NORMAL|8</x:v>
      </x:c>
      <x:c r="N623" s="12" t="str">
        <x:v>高超楼</x:v>
      </x:c>
      <x:c r="O623" s="12" t="n">
        <x:f>IFERROR(INDEX('秒级路线参数_可调整'!$O:$O,MATCH(M623,'秒级路线参数_可调整'!$A:$A,0)),"")</x:f>
        <x:v>0</x:v>
      </x:c>
      <x:c r="P623" s="12" t="str">
        <x:f>IF(O623="","",O623/86400)</x:f>
      </x:c>
      <x:c r="Q623" s="12" t="str">
        <x:f>IF(O623="","",(H623*60+O623)/86400)</x:f>
      </x:c>
      <x:c r="R623" s="12" t="str">
        <x:f>IF(Q623="","",TEXT(Q623,"hh:mm:ss"))</x:f>
      </x:c>
      <x:c r="S623" s="12" t="str">
        <x:v>否</x:v>
      </x:c>
      <x:c r="T623" s="12" t="str">
        <x:v>否</x:v>
      </x:c>
      <x:c r="U623" s="12" t="str">
        <x:v>未提供</x:v>
      </x:c>
      <x:c r="V623" s="12" t="str">
        <x:v>未提供</x:v>
      </x:c>
      <x:c r="W623" s="12" t="str">
        <x:v>秒级预测</x:v>
      </x:c>
      <x:c r="X623" s="12" t="str">
        <x:v>基于路线秒级参数；如录入实测或手动采用秒，预计到达时间可随公式更新</x:v>
      </x:c>
    </x:row>
    <x:row r="624">
      <x:c r="A624" s="12" t="str">
        <x:v>S0051-09</x:v>
      </x:c>
      <x:c r="B624" s="12" t="str">
        <x:v>S0051</x:v>
      </x:c>
      <x:c r="C624" s="12" t="str">
        <x:v>工作日</x:v>
      </x:c>
      <x:c r="D624" s="12" t="str">
        <x:v>环线1路</x:v>
      </x:c>
      <x:c r="E624" s="12" t="str">
        <x:v>第五班（夜2）</x:v>
      </x:c>
      <x:c r="F624" s="12" t="n">
        <x:v>10</x:v>
      </x:c>
      <x:c r="G624" s="12" t="str">
        <x:v>20:00</x:v>
      </x:c>
      <x:c r="H624" s="12" t="n">
        <x:v>1200</x:v>
      </x:c>
      <x:c r="I624" s="12" t="str">
        <x:v>研究生宿舍楼</x:v>
      </x:c>
      <x:c r="J624" s="12" t="str">
        <x:v>研究生宿舍楼发车</x:v>
      </x:c>
      <x:c r="K624" s="12" t="str">
        <x:v>HX1_NORMAL</x:v>
      </x:c>
      <x:c r="L624" s="12" t="n">
        <x:v>9</x:v>
      </x:c>
      <x:c r="M624" s="12" t="str">
        <x:v>HX1_NORMAL|9</x:v>
      </x:c>
      <x:c r="N624" s="12" t="str">
        <x:v>理学院</x:v>
      </x:c>
      <x:c r="O624" s="12" t="n">
        <x:f>IFERROR(INDEX('秒级路线参数_可调整'!$O:$O,MATCH(M624,'秒级路线参数_可调整'!$A:$A,0)),"")</x:f>
        <x:v>0</x:v>
      </x:c>
      <x:c r="P624" s="12" t="str">
        <x:f>IF(O624="","",O624/86400)</x:f>
      </x:c>
      <x:c r="Q624" s="12" t="str">
        <x:f>IF(O624="","",(H624*60+O624)/86400)</x:f>
      </x:c>
      <x:c r="R624" s="12" t="str">
        <x:f>IF(Q624="","",TEXT(Q624,"hh:mm:ss"))</x:f>
      </x:c>
      <x:c r="S624" s="12" t="str">
        <x:v>否</x:v>
      </x:c>
      <x:c r="T624" s="12" t="str">
        <x:v>否</x:v>
      </x:c>
      <x:c r="U624" s="12" t="str">
        <x:v>未提供</x:v>
      </x:c>
      <x:c r="V624" s="12" t="str">
        <x:v>未提供</x:v>
      </x:c>
      <x:c r="W624" s="12" t="str">
        <x:v>秒级预测</x:v>
      </x:c>
      <x:c r="X624" s="12" t="str">
        <x:v>基于路线秒级参数；如录入实测或手动采用秒，预计到达时间可随公式更新</x:v>
      </x:c>
    </x:row>
    <x:row r="625">
      <x:c r="A625" s="12" t="str">
        <x:v>S0051-10</x:v>
      </x:c>
      <x:c r="B625" s="12" t="str">
        <x:v>S0051</x:v>
      </x:c>
      <x:c r="C625" s="12" t="str">
        <x:v>工作日</x:v>
      </x:c>
      <x:c r="D625" s="12" t="str">
        <x:v>环线1路</x:v>
      </x:c>
      <x:c r="E625" s="12" t="str">
        <x:v>第五班（夜2）</x:v>
      </x:c>
      <x:c r="F625" s="12" t="n">
        <x:v>10</x:v>
      </x:c>
      <x:c r="G625" s="12" t="str">
        <x:v>20:00</x:v>
      </x:c>
      <x:c r="H625" s="12" t="n">
        <x:v>1200</x:v>
      </x:c>
      <x:c r="I625" s="12" t="str">
        <x:v>研究生宿舍楼</x:v>
      </x:c>
      <x:c r="J625" s="12" t="str">
        <x:v>研究生宿舍楼发车</x:v>
      </x:c>
      <x:c r="K625" s="12" t="str">
        <x:v>HX1_NORMAL</x:v>
      </x:c>
      <x:c r="L625" s="12" t="n">
        <x:v>10</x:v>
      </x:c>
      <x:c r="M625" s="12" t="str">
        <x:v>HX1_NORMAL|10</x:v>
      </x:c>
      <x:c r="N625" s="12" t="str">
        <x:v>二食堂</x:v>
      </x:c>
      <x:c r="O625" s="12" t="n">
        <x:f>IFERROR(INDEX('秒级路线参数_可调整'!$O:$O,MATCH(M625,'秒级路线参数_可调整'!$A:$A,0)),"")</x:f>
        <x:v>0</x:v>
      </x:c>
      <x:c r="P625" s="12" t="str">
        <x:f>IF(O625="","",O625/86400)</x:f>
      </x:c>
      <x:c r="Q625" s="12" t="str">
        <x:f>IF(O625="","",(H625*60+O625)/86400)</x:f>
      </x:c>
      <x:c r="R625" s="12" t="str">
        <x:f>IF(Q625="","",TEXT(Q625,"hh:mm:ss"))</x:f>
      </x:c>
      <x:c r="S625" s="12" t="str">
        <x:v>否</x:v>
      </x:c>
      <x:c r="T625" s="12" t="str">
        <x:v>否</x:v>
      </x:c>
      <x:c r="U625" s="12" t="str">
        <x:v>未提供</x:v>
      </x:c>
      <x:c r="V625" s="12" t="str">
        <x:v>未提供</x:v>
      </x:c>
      <x:c r="W625" s="12" t="str">
        <x:v>秒级预测</x:v>
      </x:c>
      <x:c r="X625" s="12" t="str">
        <x:v>基于路线秒级参数；如录入实测或手动采用秒，预计到达时间可随公式更新</x:v>
      </x:c>
    </x:row>
    <x:row r="626">
      <x:c r="A626" s="12" t="str">
        <x:v>S0051-11</x:v>
      </x:c>
      <x:c r="B626" s="12" t="str">
        <x:v>S0051</x:v>
      </x:c>
      <x:c r="C626" s="12" t="str">
        <x:v>工作日</x:v>
      </x:c>
      <x:c r="D626" s="12" t="str">
        <x:v>环线1路</x:v>
      </x:c>
      <x:c r="E626" s="12" t="str">
        <x:v>第五班（夜2）</x:v>
      </x:c>
      <x:c r="F626" s="12" t="n">
        <x:v>10</x:v>
      </x:c>
      <x:c r="G626" s="12" t="str">
        <x:v>20:00</x:v>
      </x:c>
      <x:c r="H626" s="12" t="n">
        <x:v>1200</x:v>
      </x:c>
      <x:c r="I626" s="12" t="str">
        <x:v>研究生宿舍楼</x:v>
      </x:c>
      <x:c r="J626" s="12" t="str">
        <x:v>研究生宿舍楼发车</x:v>
      </x:c>
      <x:c r="K626" s="12" t="str">
        <x:v>HX1_NORMAL</x:v>
      </x:c>
      <x:c r="L626" s="12" t="n">
        <x:v>11</x:v>
      </x:c>
      <x:c r="M626" s="12" t="str">
        <x:v>HX1_NORMAL|11</x:v>
      </x:c>
      <x:c r="N626" s="12" t="str">
        <x:v>5号宿舍楼</x:v>
      </x:c>
      <x:c r="O626" s="12" t="n">
        <x:f>IFERROR(INDEX('秒级路线参数_可调整'!$O:$O,MATCH(M626,'秒级路线参数_可调整'!$A:$A,0)),"")</x:f>
        <x:v>0</x:v>
      </x:c>
      <x:c r="P626" s="12" t="str">
        <x:f>IF(O626="","",O626/86400)</x:f>
      </x:c>
      <x:c r="Q626" s="12" t="str">
        <x:f>IF(O626="","",(H626*60+O626)/86400)</x:f>
      </x:c>
      <x:c r="R626" s="12" t="str">
        <x:f>IF(Q626="","",TEXT(Q626,"hh:mm:ss"))</x:f>
      </x:c>
      <x:c r="S626" s="12" t="str">
        <x:v>否</x:v>
      </x:c>
      <x:c r="T626" s="12" t="str">
        <x:v>否</x:v>
      </x:c>
      <x:c r="U626" s="12" t="str">
        <x:v>未提供</x:v>
      </x:c>
      <x:c r="V626" s="12" t="str">
        <x:v>未提供</x:v>
      </x:c>
      <x:c r="W626" s="12" t="str">
        <x:v>秒级预测</x:v>
      </x:c>
      <x:c r="X626" s="12" t="str">
        <x:v>基于路线秒级参数；如录入实测或手动采用秒，预计到达时间可随公式更新</x:v>
      </x:c>
    </x:row>
    <x:row r="627">
      <x:c r="A627" s="12" t="str">
        <x:v>S0051-12</x:v>
      </x:c>
      <x:c r="B627" s="12" t="str">
        <x:v>S0051</x:v>
      </x:c>
      <x:c r="C627" s="12" t="str">
        <x:v>工作日</x:v>
      </x:c>
      <x:c r="D627" s="12" t="str">
        <x:v>环线1路</x:v>
      </x:c>
      <x:c r="E627" s="12" t="str">
        <x:v>第五班（夜2）</x:v>
      </x:c>
      <x:c r="F627" s="12" t="n">
        <x:v>10</x:v>
      </x:c>
      <x:c r="G627" s="12" t="str">
        <x:v>20:00</x:v>
      </x:c>
      <x:c r="H627" s="12" t="n">
        <x:v>1200</x:v>
      </x:c>
      <x:c r="I627" s="12" t="str">
        <x:v>研究生宿舍楼</x:v>
      </x:c>
      <x:c r="J627" s="12" t="str">
        <x:v>研究生宿舍楼发车</x:v>
      </x:c>
      <x:c r="K627" s="12" t="str">
        <x:v>HX1_NORMAL</x:v>
      </x:c>
      <x:c r="L627" s="12" t="n">
        <x:v>12</x:v>
      </x:c>
      <x:c r="M627" s="12" t="str">
        <x:v>HX1_NORMAL|12</x:v>
      </x:c>
      <x:c r="N627" s="12" t="str">
        <x:v>305教学楼</x:v>
      </x:c>
      <x:c r="O627" s="12" t="n">
        <x:f>IFERROR(INDEX('秒级路线参数_可调整'!$O:$O,MATCH(M627,'秒级路线参数_可调整'!$A:$A,0)),"")</x:f>
        <x:v>0</x:v>
      </x:c>
      <x:c r="P627" s="12" t="str">
        <x:f>IF(O627="","",O627/86400)</x:f>
      </x:c>
      <x:c r="Q627" s="12" t="str">
        <x:f>IF(O627="","",(H627*60+O627)/86400)</x:f>
      </x:c>
      <x:c r="R627" s="12" t="str">
        <x:f>IF(Q627="","",TEXT(Q627,"hh:mm:ss"))</x:f>
      </x:c>
      <x:c r="S627" s="12" t="str">
        <x:v>否</x:v>
      </x:c>
      <x:c r="T627" s="12" t="str">
        <x:v>否</x:v>
      </x:c>
      <x:c r="U627" s="12" t="str">
        <x:v>未提供</x:v>
      </x:c>
      <x:c r="V627" s="12" t="str">
        <x:v>未提供</x:v>
      </x:c>
      <x:c r="W627" s="12" t="str">
        <x:v>秒级预测</x:v>
      </x:c>
      <x:c r="X627" s="12" t="str">
        <x:v>基于路线秒级参数；如录入实测或手动采用秒，预计到达时间可随公式更新</x:v>
      </x:c>
    </x:row>
    <x:row r="628">
      <x:c r="A628" s="12" t="str">
        <x:v>S0051-13</x:v>
      </x:c>
      <x:c r="B628" s="12" t="str">
        <x:v>S0051</x:v>
      </x:c>
      <x:c r="C628" s="12" t="str">
        <x:v>工作日</x:v>
      </x:c>
      <x:c r="D628" s="12" t="str">
        <x:v>环线1路</x:v>
      </x:c>
      <x:c r="E628" s="12" t="str">
        <x:v>第五班（夜2）</x:v>
      </x:c>
      <x:c r="F628" s="12" t="n">
        <x:v>10</x:v>
      </x:c>
      <x:c r="G628" s="12" t="str">
        <x:v>20:00</x:v>
      </x:c>
      <x:c r="H628" s="12" t="n">
        <x:v>1200</x:v>
      </x:c>
      <x:c r="I628" s="12" t="str">
        <x:v>研究生宿舍楼</x:v>
      </x:c>
      <x:c r="J628" s="12" t="str">
        <x:v>研究生宿舍楼发车</x:v>
      </x:c>
      <x:c r="K628" s="12" t="str">
        <x:v>HX1_NORMAL</x:v>
      </x:c>
      <x:c r="L628" s="12" t="n">
        <x:v>13</x:v>
      </x:c>
      <x:c r="M628" s="12" t="str">
        <x:v>HX1_NORMAL|13</x:v>
      </x:c>
      <x:c r="N628" s="12" t="str">
        <x:v>研究生宿舍楼</x:v>
      </x:c>
      <x:c r="O628" s="12" t="n">
        <x:f>IFERROR(INDEX('秒级路线参数_可调整'!$O:$O,MATCH(M628,'秒级路线参数_可调整'!$A:$A,0)),"")</x:f>
        <x:v>0</x:v>
      </x:c>
      <x:c r="P628" s="12" t="str">
        <x:f>IF(O628="","",O628/86400)</x:f>
      </x:c>
      <x:c r="Q628" s="12" t="str">
        <x:f>IF(O628="","",(H628*60+O628)/86400)</x:f>
      </x:c>
      <x:c r="R628" s="12" t="str">
        <x:f>IF(Q628="","",TEXT(Q628,"hh:mm:ss"))</x:f>
      </x:c>
      <x:c r="S628" s="12" t="str">
        <x:v>否</x:v>
      </x:c>
      <x:c r="T628" s="12" t="str">
        <x:v>是</x:v>
      </x:c>
      <x:c r="U628" s="12" t="str">
        <x:v>未提供</x:v>
      </x:c>
      <x:c r="V628" s="12" t="str">
        <x:v>未提供</x:v>
      </x:c>
      <x:c r="W628" s="12" t="str">
        <x:v>秒级预测</x:v>
      </x:c>
      <x:c r="X628" s="12" t="str">
        <x:v>基于路线秒级参数；如录入实测或手动采用秒，预计到达时间可随公式更新</x:v>
      </x:c>
    </x:row>
    <x:row r="629">
      <x:c r="A629" s="12" t="str">
        <x:v>S0052-01</x:v>
      </x:c>
      <x:c r="B629" s="12" t="str">
        <x:v>S0052</x:v>
      </x:c>
      <x:c r="C629" s="12" t="str">
        <x:v>工作日</x:v>
      </x:c>
      <x:c r="D629" s="12" t="str">
        <x:v>环线1路</x:v>
      </x:c>
      <x:c r="E629" s="12" t="str">
        <x:v>第五班（夜2）</x:v>
      </x:c>
      <x:c r="F629" s="12" t="n">
        <x:v>11</x:v>
      </x:c>
      <x:c r="G629" s="12" t="str">
        <x:v>20:30</x:v>
      </x:c>
      <x:c r="H629" s="12" t="n">
        <x:v>1230</x:v>
      </x:c>
      <x:c r="I629" s="12" t="str">
        <x:v>研究生宿舍楼</x:v>
      </x:c>
      <x:c r="J629" s="12" t="str">
        <x:v>研究生宿舍楼发车</x:v>
      </x:c>
      <x:c r="K629" s="12" t="str">
        <x:v>HX1_NORMAL</x:v>
      </x:c>
      <x:c r="L629" s="12" t="n">
        <x:v>1</x:v>
      </x:c>
      <x:c r="M629" s="12" t="str">
        <x:v>HX1_NORMAL|1</x:v>
      </x:c>
      <x:c r="N629" s="12" t="str">
        <x:v>研究生宿舍楼</x:v>
      </x:c>
      <x:c r="O629" s="12" t="n">
        <x:f>IFERROR(INDEX('秒级路线参数_可调整'!$O:$O,MATCH(M629,'秒级路线参数_可调整'!$A:$A,0)),"")</x:f>
        <x:v>0</x:v>
      </x:c>
      <x:c r="P629" s="12" t="str">
        <x:f>IF(O629="","",O629/86400)</x:f>
      </x:c>
      <x:c r="Q629" s="12" t="str">
        <x:f>IF(O629="","",(H629*60+O629)/86400)</x:f>
      </x:c>
      <x:c r="R629" s="12" t="str">
        <x:f>IF(Q629="","",TEXT(Q629,"hh:mm:ss"))</x:f>
      </x:c>
      <x:c r="S629" s="12" t="str">
        <x:v>是</x:v>
      </x:c>
      <x:c r="T629" s="12" t="str">
        <x:v>否</x:v>
      </x:c>
      <x:c r="U629" s="12" t="str">
        <x:v>未提供</x:v>
      </x:c>
      <x:c r="V629" s="12" t="str">
        <x:v>未提供</x:v>
      </x:c>
      <x:c r="W629" s="12" t="str">
        <x:v>秒级预测</x:v>
      </x:c>
      <x:c r="X629" s="12" t="str">
        <x:v>基于路线秒级参数；如录入实测或手动采用秒，预计到达时间可随公式更新</x:v>
      </x:c>
    </x:row>
    <x:row r="630">
      <x:c r="A630" s="12" t="str">
        <x:v>S0052-02</x:v>
      </x:c>
      <x:c r="B630" s="12" t="str">
        <x:v>S0052</x:v>
      </x:c>
      <x:c r="C630" s="12" t="str">
        <x:v>工作日</x:v>
      </x:c>
      <x:c r="D630" s="12" t="str">
        <x:v>环线1路</x:v>
      </x:c>
      <x:c r="E630" s="12" t="str">
        <x:v>第五班（夜2）</x:v>
      </x:c>
      <x:c r="F630" s="12" t="n">
        <x:v>11</x:v>
      </x:c>
      <x:c r="G630" s="12" t="str">
        <x:v>20:30</x:v>
      </x:c>
      <x:c r="H630" s="12" t="n">
        <x:v>1230</x:v>
      </x:c>
      <x:c r="I630" s="12" t="str">
        <x:v>研究生宿舍楼</x:v>
      </x:c>
      <x:c r="J630" s="12" t="str">
        <x:v>研究生宿舍楼发车</x:v>
      </x:c>
      <x:c r="K630" s="12" t="str">
        <x:v>HX1_NORMAL</x:v>
      </x:c>
      <x:c r="L630" s="12" t="n">
        <x:v>2</x:v>
      </x:c>
      <x:c r="M630" s="12" t="str">
        <x:v>HX1_NORMAL|2</x:v>
      </x:c>
      <x:c r="N630" s="12" t="str">
        <x:v>东门</x:v>
      </x:c>
      <x:c r="O630" s="12" t="n">
        <x:f>IFERROR(INDEX('秒级路线参数_可调整'!$O:$O,MATCH(M630,'秒级路线参数_可调整'!$A:$A,0)),"")</x:f>
        <x:v>0</x:v>
      </x:c>
      <x:c r="P630" s="12" t="str">
        <x:f>IF(O630="","",O630/86400)</x:f>
      </x:c>
      <x:c r="Q630" s="12" t="str">
        <x:f>IF(O630="","",(H630*60+O630)/86400)</x:f>
      </x:c>
      <x:c r="R630" s="12" t="str">
        <x:f>IF(Q630="","",TEXT(Q630,"hh:mm:ss"))</x:f>
      </x:c>
      <x:c r="S630" s="12" t="str">
        <x:v>否</x:v>
      </x:c>
      <x:c r="T630" s="12" t="str">
        <x:v>否</x:v>
      </x:c>
      <x:c r="U630" s="12" t="str">
        <x:v>未提供</x:v>
      </x:c>
      <x:c r="V630" s="12" t="str">
        <x:v>未提供</x:v>
      </x:c>
      <x:c r="W630" s="12" t="str">
        <x:v>秒级预测</x:v>
      </x:c>
      <x:c r="X630" s="12" t="str">
        <x:v>基于路线秒级参数；如录入实测或手动采用秒，预计到达时间可随公式更新</x:v>
      </x:c>
    </x:row>
    <x:row r="631">
      <x:c r="A631" s="12" t="str">
        <x:v>S0052-03</x:v>
      </x:c>
      <x:c r="B631" s="12" t="str">
        <x:v>S0052</x:v>
      </x:c>
      <x:c r="C631" s="12" t="str">
        <x:v>工作日</x:v>
      </x:c>
      <x:c r="D631" s="12" t="str">
        <x:v>环线1路</x:v>
      </x:c>
      <x:c r="E631" s="12" t="str">
        <x:v>第五班（夜2）</x:v>
      </x:c>
      <x:c r="F631" s="12" t="n">
        <x:v>11</x:v>
      </x:c>
      <x:c r="G631" s="12" t="str">
        <x:v>20:30</x:v>
      </x:c>
      <x:c r="H631" s="12" t="n">
        <x:v>1230</x:v>
      </x:c>
      <x:c r="I631" s="12" t="str">
        <x:v>研究生宿舍楼</x:v>
      </x:c>
      <x:c r="J631" s="12" t="str">
        <x:v>研究生宿舍楼发车</x:v>
      </x:c>
      <x:c r="K631" s="12" t="str">
        <x:v>HX1_NORMAL</x:v>
      </x:c>
      <x:c r="L631" s="12" t="n">
        <x:v>3</x:v>
      </x:c>
      <x:c r="M631" s="12" t="str">
        <x:v>HX1_NORMAL|3</x:v>
      </x:c>
      <x:c r="N631" s="12" t="str">
        <x:v>2号宿舍楼</x:v>
      </x:c>
      <x:c r="O631" s="12" t="n">
        <x:f>IFERROR(INDEX('秒级路线参数_可调整'!$O:$O,MATCH(M631,'秒级路线参数_可调整'!$A:$A,0)),"")</x:f>
        <x:v>0</x:v>
      </x:c>
      <x:c r="P631" s="12" t="str">
        <x:f>IF(O631="","",O631/86400)</x:f>
      </x:c>
      <x:c r="Q631" s="12" t="str">
        <x:f>IF(O631="","",(H631*60+O631)/86400)</x:f>
      </x:c>
      <x:c r="R631" s="12" t="str">
        <x:f>IF(Q631="","",TEXT(Q631,"hh:mm:ss"))</x:f>
      </x:c>
      <x:c r="S631" s="12" t="str">
        <x:v>否</x:v>
      </x:c>
      <x:c r="T631" s="12" t="str">
        <x:v>否</x:v>
      </x:c>
      <x:c r="U631" s="12" t="str">
        <x:v>未提供</x:v>
      </x:c>
      <x:c r="V631" s="12" t="str">
        <x:v>未提供</x:v>
      </x:c>
      <x:c r="W631" s="12" t="str">
        <x:v>秒级预测</x:v>
      </x:c>
      <x:c r="X631" s="12" t="str">
        <x:v>基于路线秒级参数；如录入实测或手动采用秒，预计到达时间可随公式更新</x:v>
      </x:c>
    </x:row>
    <x:row r="632">
      <x:c r="A632" s="12" t="str">
        <x:v>S0052-04</x:v>
      </x:c>
      <x:c r="B632" s="12" t="str">
        <x:v>S0052</x:v>
      </x:c>
      <x:c r="C632" s="12" t="str">
        <x:v>工作日</x:v>
      </x:c>
      <x:c r="D632" s="12" t="str">
        <x:v>环线1路</x:v>
      </x:c>
      <x:c r="E632" s="12" t="str">
        <x:v>第五班（夜2）</x:v>
      </x:c>
      <x:c r="F632" s="12" t="n">
        <x:v>11</x:v>
      </x:c>
      <x:c r="G632" s="12" t="str">
        <x:v>20:30</x:v>
      </x:c>
      <x:c r="H632" s="12" t="n">
        <x:v>1230</x:v>
      </x:c>
      <x:c r="I632" s="12" t="str">
        <x:v>研究生宿舍楼</x:v>
      </x:c>
      <x:c r="J632" s="12" t="str">
        <x:v>研究生宿舍楼发车</x:v>
      </x:c>
      <x:c r="K632" s="12" t="str">
        <x:v>HX1_NORMAL</x:v>
      </x:c>
      <x:c r="L632" s="12" t="n">
        <x:v>4</x:v>
      </x:c>
      <x:c r="M632" s="12" t="str">
        <x:v>HX1_NORMAL|4</x:v>
      </x:c>
      <x:c r="N632" s="12" t="str">
        <x:v>军体活动中心</x:v>
      </x:c>
      <x:c r="O632" s="12" t="n">
        <x:f>IFERROR(INDEX('秒级路线参数_可调整'!$O:$O,MATCH(M632,'秒级路线参数_可调整'!$A:$A,0)),"")</x:f>
        <x:v>0</x:v>
      </x:c>
      <x:c r="P632" s="12" t="str">
        <x:f>IF(O632="","",O632/86400)</x:f>
      </x:c>
      <x:c r="Q632" s="12" t="str">
        <x:f>IF(O632="","",(H632*60+O632)/86400)</x:f>
      </x:c>
      <x:c r="R632" s="12" t="str">
        <x:f>IF(Q632="","",TEXT(Q632,"hh:mm:ss"))</x:f>
      </x:c>
      <x:c r="S632" s="12" t="str">
        <x:v>否</x:v>
      </x:c>
      <x:c r="T632" s="12" t="str">
        <x:v>否</x:v>
      </x:c>
      <x:c r="U632" s="12" t="str">
        <x:v>未提供</x:v>
      </x:c>
      <x:c r="V632" s="12" t="str">
        <x:v>未提供</x:v>
      </x:c>
      <x:c r="W632" s="12" t="str">
        <x:v>秒级预测</x:v>
      </x:c>
      <x:c r="X632" s="12" t="str">
        <x:v>基于路线秒级参数；如录入实测或手动采用秒，预计到达时间可随公式更新</x:v>
      </x:c>
    </x:row>
    <x:row r="633">
      <x:c r="A633" s="12" t="str">
        <x:v>S0052-05</x:v>
      </x:c>
      <x:c r="B633" s="12" t="str">
        <x:v>S0052</x:v>
      </x:c>
      <x:c r="C633" s="12" t="str">
        <x:v>工作日</x:v>
      </x:c>
      <x:c r="D633" s="12" t="str">
        <x:v>环线1路</x:v>
      </x:c>
      <x:c r="E633" s="12" t="str">
        <x:v>第五班（夜2）</x:v>
      </x:c>
      <x:c r="F633" s="12" t="n">
        <x:v>11</x:v>
      </x:c>
      <x:c r="G633" s="12" t="str">
        <x:v>20:30</x:v>
      </x:c>
      <x:c r="H633" s="12" t="n">
        <x:v>1230</x:v>
      </x:c>
      <x:c r="I633" s="12" t="str">
        <x:v>研究生宿舍楼</x:v>
      </x:c>
      <x:c r="J633" s="12" t="str">
        <x:v>研究生宿舍楼发车</x:v>
      </x:c>
      <x:c r="K633" s="12" t="str">
        <x:v>HX1_NORMAL</x:v>
      </x:c>
      <x:c r="L633" s="12" t="n">
        <x:v>5</x:v>
      </x:c>
      <x:c r="M633" s="12" t="str">
        <x:v>HX1_NORMAL|5</x:v>
      </x:c>
      <x:c r="N633" s="12" t="str">
        <x:v>激光所</x:v>
      </x:c>
      <x:c r="O633" s="12" t="n">
        <x:f>IFERROR(INDEX('秒级路线参数_可调整'!$O:$O,MATCH(M633,'秒级路线参数_可调整'!$A:$A,0)),"")</x:f>
        <x:v>0</x:v>
      </x:c>
      <x:c r="P633" s="12" t="str">
        <x:f>IF(O633="","",O633/86400)</x:f>
      </x:c>
      <x:c r="Q633" s="12" t="str">
        <x:f>IF(O633="","",(H633*60+O633)/86400)</x:f>
      </x:c>
      <x:c r="R633" s="12" t="str">
        <x:f>IF(Q633="","",TEXT(Q633,"hh:mm:ss"))</x:f>
      </x:c>
      <x:c r="S633" s="12" t="str">
        <x:v>否</x:v>
      </x:c>
      <x:c r="T633" s="12" t="str">
        <x:v>否</x:v>
      </x:c>
      <x:c r="U633" s="12" t="str">
        <x:v>未提供</x:v>
      </x:c>
      <x:c r="V633" s="12" t="str">
        <x:v>未提供</x:v>
      </x:c>
      <x:c r="W633" s="12" t="str">
        <x:v>秒级预测</x:v>
      </x:c>
      <x:c r="X633" s="12" t="str">
        <x:v>基于路线秒级参数；如录入实测或手动采用秒，预计到达时间可随公式更新</x:v>
      </x:c>
    </x:row>
    <x:row r="634">
      <x:c r="A634" s="12" t="str">
        <x:v>S0052-06</x:v>
      </x:c>
      <x:c r="B634" s="12" t="str">
        <x:v>S0052</x:v>
      </x:c>
      <x:c r="C634" s="12" t="str">
        <x:v>工作日</x:v>
      </x:c>
      <x:c r="D634" s="12" t="str">
        <x:v>环线1路</x:v>
      </x:c>
      <x:c r="E634" s="12" t="str">
        <x:v>第五班（夜2）</x:v>
      </x:c>
      <x:c r="F634" s="12" t="n">
        <x:v>11</x:v>
      </x:c>
      <x:c r="G634" s="12" t="str">
        <x:v>20:30</x:v>
      </x:c>
      <x:c r="H634" s="12" t="n">
        <x:v>1230</x:v>
      </x:c>
      <x:c r="I634" s="12" t="str">
        <x:v>研究生宿舍楼</x:v>
      </x:c>
      <x:c r="J634" s="12" t="str">
        <x:v>研究生宿舍楼发车</x:v>
      </x:c>
      <x:c r="K634" s="12" t="str">
        <x:v>HX1_NORMAL</x:v>
      </x:c>
      <x:c r="L634" s="12" t="n">
        <x:v>6</x:v>
      </x:c>
      <x:c r="M634" s="12" t="str">
        <x:v>HX1_NORMAL|6</x:v>
      </x:c>
      <x:c r="N634" s="12" t="str">
        <x:v>超算中心</x:v>
      </x:c>
      <x:c r="O634" s="12" t="n">
        <x:f>IFERROR(INDEX('秒级路线参数_可调整'!$O:$O,MATCH(M634,'秒级路线参数_可调整'!$A:$A,0)),"")</x:f>
        <x:v>0</x:v>
      </x:c>
      <x:c r="P634" s="12" t="str">
        <x:f>IF(O634="","",O634/86400)</x:f>
      </x:c>
      <x:c r="Q634" s="12" t="str">
        <x:f>IF(O634="","",(H634*60+O634)/86400)</x:f>
      </x:c>
      <x:c r="R634" s="12" t="str">
        <x:f>IF(Q634="","",TEXT(Q634,"hh:mm:ss"))</x:f>
      </x:c>
      <x:c r="S634" s="12" t="str">
        <x:v>否</x:v>
      </x:c>
      <x:c r="T634" s="12" t="str">
        <x:v>否</x:v>
      </x:c>
      <x:c r="U634" s="12" t="str">
        <x:v>未提供</x:v>
      </x:c>
      <x:c r="V634" s="12" t="str">
        <x:v>未提供</x:v>
      </x:c>
      <x:c r="W634" s="12" t="str">
        <x:v>秒级预测</x:v>
      </x:c>
      <x:c r="X634" s="12" t="str">
        <x:v>基于路线秒级参数；如录入实测或手动采用秒，预计到达时间可随公式更新</x:v>
      </x:c>
    </x:row>
    <x:row r="635">
      <x:c r="A635" s="12" t="str">
        <x:v>S0052-07</x:v>
      </x:c>
      <x:c r="B635" s="12" t="str">
        <x:v>S0052</x:v>
      </x:c>
      <x:c r="C635" s="12" t="str">
        <x:v>工作日</x:v>
      </x:c>
      <x:c r="D635" s="12" t="str">
        <x:v>环线1路</x:v>
      </x:c>
      <x:c r="E635" s="12" t="str">
        <x:v>第五班（夜2）</x:v>
      </x:c>
      <x:c r="F635" s="12" t="n">
        <x:v>11</x:v>
      </x:c>
      <x:c r="G635" s="12" t="str">
        <x:v>20:30</x:v>
      </x:c>
      <x:c r="H635" s="12" t="n">
        <x:v>1230</x:v>
      </x:c>
      <x:c r="I635" s="12" t="str">
        <x:v>研究生宿舍楼</x:v>
      </x:c>
      <x:c r="J635" s="12" t="str">
        <x:v>研究生宿舍楼发车</x:v>
      </x:c>
      <x:c r="K635" s="12" t="str">
        <x:v>HX1_NORMAL</x:v>
      </x:c>
      <x:c r="L635" s="12" t="n">
        <x:v>7</x:v>
      </x:c>
      <x:c r="M635" s="12" t="str">
        <x:v>HX1_NORMAL|7</x:v>
      </x:c>
      <x:c r="N635" s="12" t="str">
        <x:v>北门</x:v>
      </x:c>
      <x:c r="O635" s="12" t="n">
        <x:f>IFERROR(INDEX('秒级路线参数_可调整'!$O:$O,MATCH(M635,'秒级路线参数_可调整'!$A:$A,0)),"")</x:f>
        <x:v>0</x:v>
      </x:c>
      <x:c r="P635" s="12" t="str">
        <x:f>IF(O635="","",O635/86400)</x:f>
      </x:c>
      <x:c r="Q635" s="12" t="str">
        <x:f>IF(O635="","",(H635*60+O635)/86400)</x:f>
      </x:c>
      <x:c r="R635" s="12" t="str">
        <x:f>IF(Q635="","",TEXT(Q635,"hh:mm:ss"))</x:f>
      </x:c>
      <x:c r="S635" s="12" t="str">
        <x:v>否</x:v>
      </x:c>
      <x:c r="T635" s="12" t="str">
        <x:v>否</x:v>
      </x:c>
      <x:c r="U635" s="12" t="str">
        <x:v>未提供</x:v>
      </x:c>
      <x:c r="V635" s="12" t="str">
        <x:v>未提供</x:v>
      </x:c>
      <x:c r="W635" s="12" t="str">
        <x:v>秒级预测</x:v>
      </x:c>
      <x:c r="X635" s="12" t="str">
        <x:v>基于路线秒级参数；如录入实测或手动采用秒，预计到达时间可随公式更新</x:v>
      </x:c>
    </x:row>
    <x:row r="636">
      <x:c r="A636" s="12" t="str">
        <x:v>S0052-08</x:v>
      </x:c>
      <x:c r="B636" s="12" t="str">
        <x:v>S0052</x:v>
      </x:c>
      <x:c r="C636" s="12" t="str">
        <x:v>工作日</x:v>
      </x:c>
      <x:c r="D636" s="12" t="str">
        <x:v>环线1路</x:v>
      </x:c>
      <x:c r="E636" s="12" t="str">
        <x:v>第五班（夜2）</x:v>
      </x:c>
      <x:c r="F636" s="12" t="n">
        <x:v>11</x:v>
      </x:c>
      <x:c r="G636" s="12" t="str">
        <x:v>20:30</x:v>
      </x:c>
      <x:c r="H636" s="12" t="n">
        <x:v>1230</x:v>
      </x:c>
      <x:c r="I636" s="12" t="str">
        <x:v>研究生宿舍楼</x:v>
      </x:c>
      <x:c r="J636" s="12" t="str">
        <x:v>研究生宿舍楼发车</x:v>
      </x:c>
      <x:c r="K636" s="12" t="str">
        <x:v>HX1_NORMAL</x:v>
      </x:c>
      <x:c r="L636" s="12" t="n">
        <x:v>8</x:v>
      </x:c>
      <x:c r="M636" s="12" t="str">
        <x:v>HX1_NORMAL|8</x:v>
      </x:c>
      <x:c r="N636" s="12" t="str">
        <x:v>高超楼</x:v>
      </x:c>
      <x:c r="O636" s="12" t="n">
        <x:f>IFERROR(INDEX('秒级路线参数_可调整'!$O:$O,MATCH(M636,'秒级路线参数_可调整'!$A:$A,0)),"")</x:f>
        <x:v>0</x:v>
      </x:c>
      <x:c r="P636" s="12" t="str">
        <x:f>IF(O636="","",O636/86400)</x:f>
      </x:c>
      <x:c r="Q636" s="12" t="str">
        <x:f>IF(O636="","",(H636*60+O636)/86400)</x:f>
      </x:c>
      <x:c r="R636" s="12" t="str">
        <x:f>IF(Q636="","",TEXT(Q636,"hh:mm:ss"))</x:f>
      </x:c>
      <x:c r="S636" s="12" t="str">
        <x:v>否</x:v>
      </x:c>
      <x:c r="T636" s="12" t="str">
        <x:v>否</x:v>
      </x:c>
      <x:c r="U636" s="12" t="str">
        <x:v>未提供</x:v>
      </x:c>
      <x:c r="V636" s="12" t="str">
        <x:v>未提供</x:v>
      </x:c>
      <x:c r="W636" s="12" t="str">
        <x:v>秒级预测</x:v>
      </x:c>
      <x:c r="X636" s="12" t="str">
        <x:v>基于路线秒级参数；如录入实测或手动采用秒，预计到达时间可随公式更新</x:v>
      </x:c>
    </x:row>
    <x:row r="637">
      <x:c r="A637" s="12" t="str">
        <x:v>S0052-09</x:v>
      </x:c>
      <x:c r="B637" s="12" t="str">
        <x:v>S0052</x:v>
      </x:c>
      <x:c r="C637" s="12" t="str">
        <x:v>工作日</x:v>
      </x:c>
      <x:c r="D637" s="12" t="str">
        <x:v>环线1路</x:v>
      </x:c>
      <x:c r="E637" s="12" t="str">
        <x:v>第五班（夜2）</x:v>
      </x:c>
      <x:c r="F637" s="12" t="n">
        <x:v>11</x:v>
      </x:c>
      <x:c r="G637" s="12" t="str">
        <x:v>20:30</x:v>
      </x:c>
      <x:c r="H637" s="12" t="n">
        <x:v>1230</x:v>
      </x:c>
      <x:c r="I637" s="12" t="str">
        <x:v>研究生宿舍楼</x:v>
      </x:c>
      <x:c r="J637" s="12" t="str">
        <x:v>研究生宿舍楼发车</x:v>
      </x:c>
      <x:c r="K637" s="12" t="str">
        <x:v>HX1_NORMAL</x:v>
      </x:c>
      <x:c r="L637" s="12" t="n">
        <x:v>9</x:v>
      </x:c>
      <x:c r="M637" s="12" t="str">
        <x:v>HX1_NORMAL|9</x:v>
      </x:c>
      <x:c r="N637" s="12" t="str">
        <x:v>理学院</x:v>
      </x:c>
      <x:c r="O637" s="12" t="n">
        <x:f>IFERROR(INDEX('秒级路线参数_可调整'!$O:$O,MATCH(M637,'秒级路线参数_可调整'!$A:$A,0)),"")</x:f>
        <x:v>0</x:v>
      </x:c>
      <x:c r="P637" s="12" t="str">
        <x:f>IF(O637="","",O637/86400)</x:f>
      </x:c>
      <x:c r="Q637" s="12" t="str">
        <x:f>IF(O637="","",(H637*60+O637)/86400)</x:f>
      </x:c>
      <x:c r="R637" s="12" t="str">
        <x:f>IF(Q637="","",TEXT(Q637,"hh:mm:ss"))</x:f>
      </x:c>
      <x:c r="S637" s="12" t="str">
        <x:v>否</x:v>
      </x:c>
      <x:c r="T637" s="12" t="str">
        <x:v>否</x:v>
      </x:c>
      <x:c r="U637" s="12" t="str">
        <x:v>未提供</x:v>
      </x:c>
      <x:c r="V637" s="12" t="str">
        <x:v>未提供</x:v>
      </x:c>
      <x:c r="W637" s="12" t="str">
        <x:v>秒级预测</x:v>
      </x:c>
      <x:c r="X637" s="12" t="str">
        <x:v>基于路线秒级参数；如录入实测或手动采用秒，预计到达时间可随公式更新</x:v>
      </x:c>
    </x:row>
    <x:row r="638">
      <x:c r="A638" s="12" t="str">
        <x:v>S0052-10</x:v>
      </x:c>
      <x:c r="B638" s="12" t="str">
        <x:v>S0052</x:v>
      </x:c>
      <x:c r="C638" s="12" t="str">
        <x:v>工作日</x:v>
      </x:c>
      <x:c r="D638" s="12" t="str">
        <x:v>环线1路</x:v>
      </x:c>
      <x:c r="E638" s="12" t="str">
        <x:v>第五班（夜2）</x:v>
      </x:c>
      <x:c r="F638" s="12" t="n">
        <x:v>11</x:v>
      </x:c>
      <x:c r="G638" s="12" t="str">
        <x:v>20:30</x:v>
      </x:c>
      <x:c r="H638" s="12" t="n">
        <x:v>1230</x:v>
      </x:c>
      <x:c r="I638" s="12" t="str">
        <x:v>研究生宿舍楼</x:v>
      </x:c>
      <x:c r="J638" s="12" t="str">
        <x:v>研究生宿舍楼发车</x:v>
      </x:c>
      <x:c r="K638" s="12" t="str">
        <x:v>HX1_NORMAL</x:v>
      </x:c>
      <x:c r="L638" s="12" t="n">
        <x:v>10</x:v>
      </x:c>
      <x:c r="M638" s="12" t="str">
        <x:v>HX1_NORMAL|10</x:v>
      </x:c>
      <x:c r="N638" s="12" t="str">
        <x:v>二食堂</x:v>
      </x:c>
      <x:c r="O638" s="12" t="n">
        <x:f>IFERROR(INDEX('秒级路线参数_可调整'!$O:$O,MATCH(M638,'秒级路线参数_可调整'!$A:$A,0)),"")</x:f>
        <x:v>0</x:v>
      </x:c>
      <x:c r="P638" s="12" t="str">
        <x:f>IF(O638="","",O638/86400)</x:f>
      </x:c>
      <x:c r="Q638" s="12" t="str">
        <x:f>IF(O638="","",(H638*60+O638)/86400)</x:f>
      </x:c>
      <x:c r="R638" s="12" t="str">
        <x:f>IF(Q638="","",TEXT(Q638,"hh:mm:ss"))</x:f>
      </x:c>
      <x:c r="S638" s="12" t="str">
        <x:v>否</x:v>
      </x:c>
      <x:c r="T638" s="12" t="str">
        <x:v>否</x:v>
      </x:c>
      <x:c r="U638" s="12" t="str">
        <x:v>未提供</x:v>
      </x:c>
      <x:c r="V638" s="12" t="str">
        <x:v>未提供</x:v>
      </x:c>
      <x:c r="W638" s="12" t="str">
        <x:v>秒级预测</x:v>
      </x:c>
      <x:c r="X638" s="12" t="str">
        <x:v>基于路线秒级参数；如录入实测或手动采用秒，预计到达时间可随公式更新</x:v>
      </x:c>
    </x:row>
    <x:row r="639">
      <x:c r="A639" s="12" t="str">
        <x:v>S0052-11</x:v>
      </x:c>
      <x:c r="B639" s="12" t="str">
        <x:v>S0052</x:v>
      </x:c>
      <x:c r="C639" s="12" t="str">
        <x:v>工作日</x:v>
      </x:c>
      <x:c r="D639" s="12" t="str">
        <x:v>环线1路</x:v>
      </x:c>
      <x:c r="E639" s="12" t="str">
        <x:v>第五班（夜2）</x:v>
      </x:c>
      <x:c r="F639" s="12" t="n">
        <x:v>11</x:v>
      </x:c>
      <x:c r="G639" s="12" t="str">
        <x:v>20:30</x:v>
      </x:c>
      <x:c r="H639" s="12" t="n">
        <x:v>1230</x:v>
      </x:c>
      <x:c r="I639" s="12" t="str">
        <x:v>研究生宿舍楼</x:v>
      </x:c>
      <x:c r="J639" s="12" t="str">
        <x:v>研究生宿舍楼发车</x:v>
      </x:c>
      <x:c r="K639" s="12" t="str">
        <x:v>HX1_NORMAL</x:v>
      </x:c>
      <x:c r="L639" s="12" t="n">
        <x:v>11</x:v>
      </x:c>
      <x:c r="M639" s="12" t="str">
        <x:v>HX1_NORMAL|11</x:v>
      </x:c>
      <x:c r="N639" s="12" t="str">
        <x:v>5号宿舍楼</x:v>
      </x:c>
      <x:c r="O639" s="12" t="n">
        <x:f>IFERROR(INDEX('秒级路线参数_可调整'!$O:$O,MATCH(M639,'秒级路线参数_可调整'!$A:$A,0)),"")</x:f>
        <x:v>0</x:v>
      </x:c>
      <x:c r="P639" s="12" t="str">
        <x:f>IF(O639="","",O639/86400)</x:f>
      </x:c>
      <x:c r="Q639" s="12" t="str">
        <x:f>IF(O639="","",(H639*60+O639)/86400)</x:f>
      </x:c>
      <x:c r="R639" s="12" t="str">
        <x:f>IF(Q639="","",TEXT(Q639,"hh:mm:ss"))</x:f>
      </x:c>
      <x:c r="S639" s="12" t="str">
        <x:v>否</x:v>
      </x:c>
      <x:c r="T639" s="12" t="str">
        <x:v>否</x:v>
      </x:c>
      <x:c r="U639" s="12" t="str">
        <x:v>未提供</x:v>
      </x:c>
      <x:c r="V639" s="12" t="str">
        <x:v>未提供</x:v>
      </x:c>
      <x:c r="W639" s="12" t="str">
        <x:v>秒级预测</x:v>
      </x:c>
      <x:c r="X639" s="12" t="str">
        <x:v>基于路线秒级参数；如录入实测或手动采用秒，预计到达时间可随公式更新</x:v>
      </x:c>
    </x:row>
    <x:row r="640">
      <x:c r="A640" s="12" t="str">
        <x:v>S0052-12</x:v>
      </x:c>
      <x:c r="B640" s="12" t="str">
        <x:v>S0052</x:v>
      </x:c>
      <x:c r="C640" s="12" t="str">
        <x:v>工作日</x:v>
      </x:c>
      <x:c r="D640" s="12" t="str">
        <x:v>环线1路</x:v>
      </x:c>
      <x:c r="E640" s="12" t="str">
        <x:v>第五班（夜2）</x:v>
      </x:c>
      <x:c r="F640" s="12" t="n">
        <x:v>11</x:v>
      </x:c>
      <x:c r="G640" s="12" t="str">
        <x:v>20:30</x:v>
      </x:c>
      <x:c r="H640" s="12" t="n">
        <x:v>1230</x:v>
      </x:c>
      <x:c r="I640" s="12" t="str">
        <x:v>研究生宿舍楼</x:v>
      </x:c>
      <x:c r="J640" s="12" t="str">
        <x:v>研究生宿舍楼发车</x:v>
      </x:c>
      <x:c r="K640" s="12" t="str">
        <x:v>HX1_NORMAL</x:v>
      </x:c>
      <x:c r="L640" s="12" t="n">
        <x:v>12</x:v>
      </x:c>
      <x:c r="M640" s="12" t="str">
        <x:v>HX1_NORMAL|12</x:v>
      </x:c>
      <x:c r="N640" s="12" t="str">
        <x:v>305教学楼</x:v>
      </x:c>
      <x:c r="O640" s="12" t="n">
        <x:f>IFERROR(INDEX('秒级路线参数_可调整'!$O:$O,MATCH(M640,'秒级路线参数_可调整'!$A:$A,0)),"")</x:f>
        <x:v>0</x:v>
      </x:c>
      <x:c r="P640" s="12" t="str">
        <x:f>IF(O640="","",O640/86400)</x:f>
      </x:c>
      <x:c r="Q640" s="12" t="str">
        <x:f>IF(O640="","",(H640*60+O640)/86400)</x:f>
      </x:c>
      <x:c r="R640" s="12" t="str">
        <x:f>IF(Q640="","",TEXT(Q640,"hh:mm:ss"))</x:f>
      </x:c>
      <x:c r="S640" s="12" t="str">
        <x:v>否</x:v>
      </x:c>
      <x:c r="T640" s="12" t="str">
        <x:v>否</x:v>
      </x:c>
      <x:c r="U640" s="12" t="str">
        <x:v>未提供</x:v>
      </x:c>
      <x:c r="V640" s="12" t="str">
        <x:v>未提供</x:v>
      </x:c>
      <x:c r="W640" s="12" t="str">
        <x:v>秒级预测</x:v>
      </x:c>
      <x:c r="X640" s="12" t="str">
        <x:v>基于路线秒级参数；如录入实测或手动采用秒，预计到达时间可随公式更新</x:v>
      </x:c>
    </x:row>
    <x:row r="641">
      <x:c r="A641" s="12" t="str">
        <x:v>S0052-13</x:v>
      </x:c>
      <x:c r="B641" s="12" t="str">
        <x:v>S0052</x:v>
      </x:c>
      <x:c r="C641" s="12" t="str">
        <x:v>工作日</x:v>
      </x:c>
      <x:c r="D641" s="12" t="str">
        <x:v>环线1路</x:v>
      </x:c>
      <x:c r="E641" s="12" t="str">
        <x:v>第五班（夜2）</x:v>
      </x:c>
      <x:c r="F641" s="12" t="n">
        <x:v>11</x:v>
      </x:c>
      <x:c r="G641" s="12" t="str">
        <x:v>20:30</x:v>
      </x:c>
      <x:c r="H641" s="12" t="n">
        <x:v>1230</x:v>
      </x:c>
      <x:c r="I641" s="12" t="str">
        <x:v>研究生宿舍楼</x:v>
      </x:c>
      <x:c r="J641" s="12" t="str">
        <x:v>研究生宿舍楼发车</x:v>
      </x:c>
      <x:c r="K641" s="12" t="str">
        <x:v>HX1_NORMAL</x:v>
      </x:c>
      <x:c r="L641" s="12" t="n">
        <x:v>13</x:v>
      </x:c>
      <x:c r="M641" s="12" t="str">
        <x:v>HX1_NORMAL|13</x:v>
      </x:c>
      <x:c r="N641" s="12" t="str">
        <x:v>研究生宿舍楼</x:v>
      </x:c>
      <x:c r="O641" s="12" t="n">
        <x:f>IFERROR(INDEX('秒级路线参数_可调整'!$O:$O,MATCH(M641,'秒级路线参数_可调整'!$A:$A,0)),"")</x:f>
        <x:v>0</x:v>
      </x:c>
      <x:c r="P641" s="12" t="str">
        <x:f>IF(O641="","",O641/86400)</x:f>
      </x:c>
      <x:c r="Q641" s="12" t="str">
        <x:f>IF(O641="","",(H641*60+O641)/86400)</x:f>
      </x:c>
      <x:c r="R641" s="12" t="str">
        <x:f>IF(Q641="","",TEXT(Q641,"hh:mm:ss"))</x:f>
      </x:c>
      <x:c r="S641" s="12" t="str">
        <x:v>否</x:v>
      </x:c>
      <x:c r="T641" s="12" t="str">
        <x:v>是</x:v>
      </x:c>
      <x:c r="U641" s="12" t="str">
        <x:v>未提供</x:v>
      </x:c>
      <x:c r="V641" s="12" t="str">
        <x:v>未提供</x:v>
      </x:c>
      <x:c r="W641" s="12" t="str">
        <x:v>秒级预测</x:v>
      </x:c>
      <x:c r="X641" s="12" t="str">
        <x:v>基于路线秒级参数；如录入实测或手动采用秒，预计到达时间可随公式更新</x:v>
      </x:c>
    </x:row>
    <x:row r="642">
      <x:c r="A642" s="12" t="str">
        <x:v>S0053-01</x:v>
      </x:c>
      <x:c r="B642" s="12" t="str">
        <x:v>S0053</x:v>
      </x:c>
      <x:c r="C642" s="12" t="str">
        <x:v>工作日</x:v>
      </x:c>
      <x:c r="D642" s="12" t="str">
        <x:v>环线1路</x:v>
      </x:c>
      <x:c r="E642" s="12" t="str">
        <x:v>第五班（夜2）</x:v>
      </x:c>
      <x:c r="F642" s="12" t="n">
        <x:v>12</x:v>
      </x:c>
      <x:c r="G642" s="12" t="str">
        <x:v>21:00</x:v>
      </x:c>
      <x:c r="H642" s="12" t="n">
        <x:v>1260</x:v>
      </x:c>
      <x:c r="I642" s="12" t="str">
        <x:v>研究生宿舍楼</x:v>
      </x:c>
      <x:c r="J642" s="12" t="str">
        <x:v>研究生宿舍楼发车</x:v>
      </x:c>
      <x:c r="K642" s="12" t="str">
        <x:v>HX1_NORMAL</x:v>
      </x:c>
      <x:c r="L642" s="12" t="n">
        <x:v>1</x:v>
      </x:c>
      <x:c r="M642" s="12" t="str">
        <x:v>HX1_NORMAL|1</x:v>
      </x:c>
      <x:c r="N642" s="12" t="str">
        <x:v>研究生宿舍楼</x:v>
      </x:c>
      <x:c r="O642" s="12" t="n">
        <x:f>IFERROR(INDEX('秒级路线参数_可调整'!$O:$O,MATCH(M642,'秒级路线参数_可调整'!$A:$A,0)),"")</x:f>
        <x:v>0</x:v>
      </x:c>
      <x:c r="P642" s="12" t="str">
        <x:f>IF(O642="","",O642/86400)</x:f>
      </x:c>
      <x:c r="Q642" s="12" t="str">
        <x:f>IF(O642="","",(H642*60+O642)/86400)</x:f>
      </x:c>
      <x:c r="R642" s="12" t="str">
        <x:f>IF(Q642="","",TEXT(Q642,"hh:mm:ss"))</x:f>
      </x:c>
      <x:c r="S642" s="12" t="str">
        <x:v>是</x:v>
      </x:c>
      <x:c r="T642" s="12" t="str">
        <x:v>否</x:v>
      </x:c>
      <x:c r="U642" s="12" t="str">
        <x:v>未提供</x:v>
      </x:c>
      <x:c r="V642" s="12" t="str">
        <x:v>未提供</x:v>
      </x:c>
      <x:c r="W642" s="12" t="str">
        <x:v>秒级预测</x:v>
      </x:c>
      <x:c r="X642" s="12" t="str">
        <x:v>基于路线秒级参数；如录入实测或手动采用秒，预计到达时间可随公式更新</x:v>
      </x:c>
    </x:row>
    <x:row r="643">
      <x:c r="A643" s="12" t="str">
        <x:v>S0053-02</x:v>
      </x:c>
      <x:c r="B643" s="12" t="str">
        <x:v>S0053</x:v>
      </x:c>
      <x:c r="C643" s="12" t="str">
        <x:v>工作日</x:v>
      </x:c>
      <x:c r="D643" s="12" t="str">
        <x:v>环线1路</x:v>
      </x:c>
      <x:c r="E643" s="12" t="str">
        <x:v>第五班（夜2）</x:v>
      </x:c>
      <x:c r="F643" s="12" t="n">
        <x:v>12</x:v>
      </x:c>
      <x:c r="G643" s="12" t="str">
        <x:v>21:00</x:v>
      </x:c>
      <x:c r="H643" s="12" t="n">
        <x:v>1260</x:v>
      </x:c>
      <x:c r="I643" s="12" t="str">
        <x:v>研究生宿舍楼</x:v>
      </x:c>
      <x:c r="J643" s="12" t="str">
        <x:v>研究生宿舍楼发车</x:v>
      </x:c>
      <x:c r="K643" s="12" t="str">
        <x:v>HX1_NORMAL</x:v>
      </x:c>
      <x:c r="L643" s="12" t="n">
        <x:v>2</x:v>
      </x:c>
      <x:c r="M643" s="12" t="str">
        <x:v>HX1_NORMAL|2</x:v>
      </x:c>
      <x:c r="N643" s="12" t="str">
        <x:v>东门</x:v>
      </x:c>
      <x:c r="O643" s="12" t="n">
        <x:f>IFERROR(INDEX('秒级路线参数_可调整'!$O:$O,MATCH(M643,'秒级路线参数_可调整'!$A:$A,0)),"")</x:f>
        <x:v>0</x:v>
      </x:c>
      <x:c r="P643" s="12" t="str">
        <x:f>IF(O643="","",O643/86400)</x:f>
      </x:c>
      <x:c r="Q643" s="12" t="str">
        <x:f>IF(O643="","",(H643*60+O643)/86400)</x:f>
      </x:c>
      <x:c r="R643" s="12" t="str">
        <x:f>IF(Q643="","",TEXT(Q643,"hh:mm:ss"))</x:f>
      </x:c>
      <x:c r="S643" s="12" t="str">
        <x:v>否</x:v>
      </x:c>
      <x:c r="T643" s="12" t="str">
        <x:v>否</x:v>
      </x:c>
      <x:c r="U643" s="12" t="str">
        <x:v>未提供</x:v>
      </x:c>
      <x:c r="V643" s="12" t="str">
        <x:v>未提供</x:v>
      </x:c>
      <x:c r="W643" s="12" t="str">
        <x:v>秒级预测</x:v>
      </x:c>
      <x:c r="X643" s="12" t="str">
        <x:v>基于路线秒级参数；如录入实测或手动采用秒，预计到达时间可随公式更新</x:v>
      </x:c>
    </x:row>
    <x:row r="644">
      <x:c r="A644" s="12" t="str">
        <x:v>S0053-03</x:v>
      </x:c>
      <x:c r="B644" s="12" t="str">
        <x:v>S0053</x:v>
      </x:c>
      <x:c r="C644" s="12" t="str">
        <x:v>工作日</x:v>
      </x:c>
      <x:c r="D644" s="12" t="str">
        <x:v>环线1路</x:v>
      </x:c>
      <x:c r="E644" s="12" t="str">
        <x:v>第五班（夜2）</x:v>
      </x:c>
      <x:c r="F644" s="12" t="n">
        <x:v>12</x:v>
      </x:c>
      <x:c r="G644" s="12" t="str">
        <x:v>21:00</x:v>
      </x:c>
      <x:c r="H644" s="12" t="n">
        <x:v>1260</x:v>
      </x:c>
      <x:c r="I644" s="12" t="str">
        <x:v>研究生宿舍楼</x:v>
      </x:c>
      <x:c r="J644" s="12" t="str">
        <x:v>研究生宿舍楼发车</x:v>
      </x:c>
      <x:c r="K644" s="12" t="str">
        <x:v>HX1_NORMAL</x:v>
      </x:c>
      <x:c r="L644" s="12" t="n">
        <x:v>3</x:v>
      </x:c>
      <x:c r="M644" s="12" t="str">
        <x:v>HX1_NORMAL|3</x:v>
      </x:c>
      <x:c r="N644" s="12" t="str">
        <x:v>2号宿舍楼</x:v>
      </x:c>
      <x:c r="O644" s="12" t="n">
        <x:f>IFERROR(INDEX('秒级路线参数_可调整'!$O:$O,MATCH(M644,'秒级路线参数_可调整'!$A:$A,0)),"")</x:f>
        <x:v>0</x:v>
      </x:c>
      <x:c r="P644" s="12" t="str">
        <x:f>IF(O644="","",O644/86400)</x:f>
      </x:c>
      <x:c r="Q644" s="12" t="str">
        <x:f>IF(O644="","",(H644*60+O644)/86400)</x:f>
      </x:c>
      <x:c r="R644" s="12" t="str">
        <x:f>IF(Q644="","",TEXT(Q644,"hh:mm:ss"))</x:f>
      </x:c>
      <x:c r="S644" s="12" t="str">
        <x:v>否</x:v>
      </x:c>
      <x:c r="T644" s="12" t="str">
        <x:v>否</x:v>
      </x:c>
      <x:c r="U644" s="12" t="str">
        <x:v>未提供</x:v>
      </x:c>
      <x:c r="V644" s="12" t="str">
        <x:v>未提供</x:v>
      </x:c>
      <x:c r="W644" s="12" t="str">
        <x:v>秒级预测</x:v>
      </x:c>
      <x:c r="X644" s="12" t="str">
        <x:v>基于路线秒级参数；如录入实测或手动采用秒，预计到达时间可随公式更新</x:v>
      </x:c>
    </x:row>
    <x:row r="645">
      <x:c r="A645" s="12" t="str">
        <x:v>S0053-04</x:v>
      </x:c>
      <x:c r="B645" s="12" t="str">
        <x:v>S0053</x:v>
      </x:c>
      <x:c r="C645" s="12" t="str">
        <x:v>工作日</x:v>
      </x:c>
      <x:c r="D645" s="12" t="str">
        <x:v>环线1路</x:v>
      </x:c>
      <x:c r="E645" s="12" t="str">
        <x:v>第五班（夜2）</x:v>
      </x:c>
      <x:c r="F645" s="12" t="n">
        <x:v>12</x:v>
      </x:c>
      <x:c r="G645" s="12" t="str">
        <x:v>21:00</x:v>
      </x:c>
      <x:c r="H645" s="12" t="n">
        <x:v>1260</x:v>
      </x:c>
      <x:c r="I645" s="12" t="str">
        <x:v>研究生宿舍楼</x:v>
      </x:c>
      <x:c r="J645" s="12" t="str">
        <x:v>研究生宿舍楼发车</x:v>
      </x:c>
      <x:c r="K645" s="12" t="str">
        <x:v>HX1_NORMAL</x:v>
      </x:c>
      <x:c r="L645" s="12" t="n">
        <x:v>4</x:v>
      </x:c>
      <x:c r="M645" s="12" t="str">
        <x:v>HX1_NORMAL|4</x:v>
      </x:c>
      <x:c r="N645" s="12" t="str">
        <x:v>军体活动中心</x:v>
      </x:c>
      <x:c r="O645" s="12" t="n">
        <x:f>IFERROR(INDEX('秒级路线参数_可调整'!$O:$O,MATCH(M645,'秒级路线参数_可调整'!$A:$A,0)),"")</x:f>
        <x:v>0</x:v>
      </x:c>
      <x:c r="P645" s="12" t="str">
        <x:f>IF(O645="","",O645/86400)</x:f>
      </x:c>
      <x:c r="Q645" s="12" t="str">
        <x:f>IF(O645="","",(H645*60+O645)/86400)</x:f>
      </x:c>
      <x:c r="R645" s="12" t="str">
        <x:f>IF(Q645="","",TEXT(Q645,"hh:mm:ss"))</x:f>
      </x:c>
      <x:c r="S645" s="12" t="str">
        <x:v>否</x:v>
      </x:c>
      <x:c r="T645" s="12" t="str">
        <x:v>否</x:v>
      </x:c>
      <x:c r="U645" s="12" t="str">
        <x:v>未提供</x:v>
      </x:c>
      <x:c r="V645" s="12" t="str">
        <x:v>未提供</x:v>
      </x:c>
      <x:c r="W645" s="12" t="str">
        <x:v>秒级预测</x:v>
      </x:c>
      <x:c r="X645" s="12" t="str">
        <x:v>基于路线秒级参数；如录入实测或手动采用秒，预计到达时间可随公式更新</x:v>
      </x:c>
    </x:row>
    <x:row r="646">
      <x:c r="A646" s="12" t="str">
        <x:v>S0053-05</x:v>
      </x:c>
      <x:c r="B646" s="12" t="str">
        <x:v>S0053</x:v>
      </x:c>
      <x:c r="C646" s="12" t="str">
        <x:v>工作日</x:v>
      </x:c>
      <x:c r="D646" s="12" t="str">
        <x:v>环线1路</x:v>
      </x:c>
      <x:c r="E646" s="12" t="str">
        <x:v>第五班（夜2）</x:v>
      </x:c>
      <x:c r="F646" s="12" t="n">
        <x:v>12</x:v>
      </x:c>
      <x:c r="G646" s="12" t="str">
        <x:v>21:00</x:v>
      </x:c>
      <x:c r="H646" s="12" t="n">
        <x:v>1260</x:v>
      </x:c>
      <x:c r="I646" s="12" t="str">
        <x:v>研究生宿舍楼</x:v>
      </x:c>
      <x:c r="J646" s="12" t="str">
        <x:v>研究生宿舍楼发车</x:v>
      </x:c>
      <x:c r="K646" s="12" t="str">
        <x:v>HX1_NORMAL</x:v>
      </x:c>
      <x:c r="L646" s="12" t="n">
        <x:v>5</x:v>
      </x:c>
      <x:c r="M646" s="12" t="str">
        <x:v>HX1_NORMAL|5</x:v>
      </x:c>
      <x:c r="N646" s="12" t="str">
        <x:v>激光所</x:v>
      </x:c>
      <x:c r="O646" s="12" t="n">
        <x:f>IFERROR(INDEX('秒级路线参数_可调整'!$O:$O,MATCH(M646,'秒级路线参数_可调整'!$A:$A,0)),"")</x:f>
        <x:v>0</x:v>
      </x:c>
      <x:c r="P646" s="12" t="str">
        <x:f>IF(O646="","",O646/86400)</x:f>
      </x:c>
      <x:c r="Q646" s="12" t="str">
        <x:f>IF(O646="","",(H646*60+O646)/86400)</x:f>
      </x:c>
      <x:c r="R646" s="12" t="str">
        <x:f>IF(Q646="","",TEXT(Q646,"hh:mm:ss"))</x:f>
      </x:c>
      <x:c r="S646" s="12" t="str">
        <x:v>否</x:v>
      </x:c>
      <x:c r="T646" s="12" t="str">
        <x:v>否</x:v>
      </x:c>
      <x:c r="U646" s="12" t="str">
        <x:v>未提供</x:v>
      </x:c>
      <x:c r="V646" s="12" t="str">
        <x:v>未提供</x:v>
      </x:c>
      <x:c r="W646" s="12" t="str">
        <x:v>秒级预测</x:v>
      </x:c>
      <x:c r="X646" s="12" t="str">
        <x:v>基于路线秒级参数；如录入实测或手动采用秒，预计到达时间可随公式更新</x:v>
      </x:c>
    </x:row>
    <x:row r="647">
      <x:c r="A647" s="12" t="str">
        <x:v>S0053-06</x:v>
      </x:c>
      <x:c r="B647" s="12" t="str">
        <x:v>S0053</x:v>
      </x:c>
      <x:c r="C647" s="12" t="str">
        <x:v>工作日</x:v>
      </x:c>
      <x:c r="D647" s="12" t="str">
        <x:v>环线1路</x:v>
      </x:c>
      <x:c r="E647" s="12" t="str">
        <x:v>第五班（夜2）</x:v>
      </x:c>
      <x:c r="F647" s="12" t="n">
        <x:v>12</x:v>
      </x:c>
      <x:c r="G647" s="12" t="str">
        <x:v>21:00</x:v>
      </x:c>
      <x:c r="H647" s="12" t="n">
        <x:v>1260</x:v>
      </x:c>
      <x:c r="I647" s="12" t="str">
        <x:v>研究生宿舍楼</x:v>
      </x:c>
      <x:c r="J647" s="12" t="str">
        <x:v>研究生宿舍楼发车</x:v>
      </x:c>
      <x:c r="K647" s="12" t="str">
        <x:v>HX1_NORMAL</x:v>
      </x:c>
      <x:c r="L647" s="12" t="n">
        <x:v>6</x:v>
      </x:c>
      <x:c r="M647" s="12" t="str">
        <x:v>HX1_NORMAL|6</x:v>
      </x:c>
      <x:c r="N647" s="12" t="str">
        <x:v>超算中心</x:v>
      </x:c>
      <x:c r="O647" s="12" t="n">
        <x:f>IFERROR(INDEX('秒级路线参数_可调整'!$O:$O,MATCH(M647,'秒级路线参数_可调整'!$A:$A,0)),"")</x:f>
        <x:v>0</x:v>
      </x:c>
      <x:c r="P647" s="12" t="str">
        <x:f>IF(O647="","",O647/86400)</x:f>
      </x:c>
      <x:c r="Q647" s="12" t="str">
        <x:f>IF(O647="","",(H647*60+O647)/86400)</x:f>
      </x:c>
      <x:c r="R647" s="12" t="str">
        <x:f>IF(Q647="","",TEXT(Q647,"hh:mm:ss"))</x:f>
      </x:c>
      <x:c r="S647" s="12" t="str">
        <x:v>否</x:v>
      </x:c>
      <x:c r="T647" s="12" t="str">
        <x:v>否</x:v>
      </x:c>
      <x:c r="U647" s="12" t="str">
        <x:v>未提供</x:v>
      </x:c>
      <x:c r="V647" s="12" t="str">
        <x:v>未提供</x:v>
      </x:c>
      <x:c r="W647" s="12" t="str">
        <x:v>秒级预测</x:v>
      </x:c>
      <x:c r="X647" s="12" t="str">
        <x:v>基于路线秒级参数；如录入实测或手动采用秒，预计到达时间可随公式更新</x:v>
      </x:c>
    </x:row>
    <x:row r="648">
      <x:c r="A648" s="12" t="str">
        <x:v>S0053-07</x:v>
      </x:c>
      <x:c r="B648" s="12" t="str">
        <x:v>S0053</x:v>
      </x:c>
      <x:c r="C648" s="12" t="str">
        <x:v>工作日</x:v>
      </x:c>
      <x:c r="D648" s="12" t="str">
        <x:v>环线1路</x:v>
      </x:c>
      <x:c r="E648" s="12" t="str">
        <x:v>第五班（夜2）</x:v>
      </x:c>
      <x:c r="F648" s="12" t="n">
        <x:v>12</x:v>
      </x:c>
      <x:c r="G648" s="12" t="str">
        <x:v>21:00</x:v>
      </x:c>
      <x:c r="H648" s="12" t="n">
        <x:v>1260</x:v>
      </x:c>
      <x:c r="I648" s="12" t="str">
        <x:v>研究生宿舍楼</x:v>
      </x:c>
      <x:c r="J648" s="12" t="str">
        <x:v>研究生宿舍楼发车</x:v>
      </x:c>
      <x:c r="K648" s="12" t="str">
        <x:v>HX1_NORMAL</x:v>
      </x:c>
      <x:c r="L648" s="12" t="n">
        <x:v>7</x:v>
      </x:c>
      <x:c r="M648" s="12" t="str">
        <x:v>HX1_NORMAL|7</x:v>
      </x:c>
      <x:c r="N648" s="12" t="str">
        <x:v>北门</x:v>
      </x:c>
      <x:c r="O648" s="12" t="n">
        <x:f>IFERROR(INDEX('秒级路线参数_可调整'!$O:$O,MATCH(M648,'秒级路线参数_可调整'!$A:$A,0)),"")</x:f>
        <x:v>0</x:v>
      </x:c>
      <x:c r="P648" s="12" t="str">
        <x:f>IF(O648="","",O648/86400)</x:f>
      </x:c>
      <x:c r="Q648" s="12" t="str">
        <x:f>IF(O648="","",(H648*60+O648)/86400)</x:f>
      </x:c>
      <x:c r="R648" s="12" t="str">
        <x:f>IF(Q648="","",TEXT(Q648,"hh:mm:ss"))</x:f>
      </x:c>
      <x:c r="S648" s="12" t="str">
        <x:v>否</x:v>
      </x:c>
      <x:c r="T648" s="12" t="str">
        <x:v>否</x:v>
      </x:c>
      <x:c r="U648" s="12" t="str">
        <x:v>未提供</x:v>
      </x:c>
      <x:c r="V648" s="12" t="str">
        <x:v>未提供</x:v>
      </x:c>
      <x:c r="W648" s="12" t="str">
        <x:v>秒级预测</x:v>
      </x:c>
      <x:c r="X648" s="12" t="str">
        <x:v>基于路线秒级参数；如录入实测或手动采用秒，预计到达时间可随公式更新</x:v>
      </x:c>
    </x:row>
    <x:row r="649">
      <x:c r="A649" s="12" t="str">
        <x:v>S0053-08</x:v>
      </x:c>
      <x:c r="B649" s="12" t="str">
        <x:v>S0053</x:v>
      </x:c>
      <x:c r="C649" s="12" t="str">
        <x:v>工作日</x:v>
      </x:c>
      <x:c r="D649" s="12" t="str">
        <x:v>环线1路</x:v>
      </x:c>
      <x:c r="E649" s="12" t="str">
        <x:v>第五班（夜2）</x:v>
      </x:c>
      <x:c r="F649" s="12" t="n">
        <x:v>12</x:v>
      </x:c>
      <x:c r="G649" s="12" t="str">
        <x:v>21:00</x:v>
      </x:c>
      <x:c r="H649" s="12" t="n">
        <x:v>1260</x:v>
      </x:c>
      <x:c r="I649" s="12" t="str">
        <x:v>研究生宿舍楼</x:v>
      </x:c>
      <x:c r="J649" s="12" t="str">
        <x:v>研究生宿舍楼发车</x:v>
      </x:c>
      <x:c r="K649" s="12" t="str">
        <x:v>HX1_NORMAL</x:v>
      </x:c>
      <x:c r="L649" s="12" t="n">
        <x:v>8</x:v>
      </x:c>
      <x:c r="M649" s="12" t="str">
        <x:v>HX1_NORMAL|8</x:v>
      </x:c>
      <x:c r="N649" s="12" t="str">
        <x:v>高超楼</x:v>
      </x:c>
      <x:c r="O649" s="12" t="n">
        <x:f>IFERROR(INDEX('秒级路线参数_可调整'!$O:$O,MATCH(M649,'秒级路线参数_可调整'!$A:$A,0)),"")</x:f>
        <x:v>0</x:v>
      </x:c>
      <x:c r="P649" s="12" t="str">
        <x:f>IF(O649="","",O649/86400)</x:f>
      </x:c>
      <x:c r="Q649" s="12" t="str">
        <x:f>IF(O649="","",(H649*60+O649)/86400)</x:f>
      </x:c>
      <x:c r="R649" s="12" t="str">
        <x:f>IF(Q649="","",TEXT(Q649,"hh:mm:ss"))</x:f>
      </x:c>
      <x:c r="S649" s="12" t="str">
        <x:v>否</x:v>
      </x:c>
      <x:c r="T649" s="12" t="str">
        <x:v>否</x:v>
      </x:c>
      <x:c r="U649" s="12" t="str">
        <x:v>未提供</x:v>
      </x:c>
      <x:c r="V649" s="12" t="str">
        <x:v>未提供</x:v>
      </x:c>
      <x:c r="W649" s="12" t="str">
        <x:v>秒级预测</x:v>
      </x:c>
      <x:c r="X649" s="12" t="str">
        <x:v>基于路线秒级参数；如录入实测或手动采用秒，预计到达时间可随公式更新</x:v>
      </x:c>
    </x:row>
    <x:row r="650">
      <x:c r="A650" s="12" t="str">
        <x:v>S0053-09</x:v>
      </x:c>
      <x:c r="B650" s="12" t="str">
        <x:v>S0053</x:v>
      </x:c>
      <x:c r="C650" s="12" t="str">
        <x:v>工作日</x:v>
      </x:c>
      <x:c r="D650" s="12" t="str">
        <x:v>环线1路</x:v>
      </x:c>
      <x:c r="E650" s="12" t="str">
        <x:v>第五班（夜2）</x:v>
      </x:c>
      <x:c r="F650" s="12" t="n">
        <x:v>12</x:v>
      </x:c>
      <x:c r="G650" s="12" t="str">
        <x:v>21:00</x:v>
      </x:c>
      <x:c r="H650" s="12" t="n">
        <x:v>1260</x:v>
      </x:c>
      <x:c r="I650" s="12" t="str">
        <x:v>研究生宿舍楼</x:v>
      </x:c>
      <x:c r="J650" s="12" t="str">
        <x:v>研究生宿舍楼发车</x:v>
      </x:c>
      <x:c r="K650" s="12" t="str">
        <x:v>HX1_NORMAL</x:v>
      </x:c>
      <x:c r="L650" s="12" t="n">
        <x:v>9</x:v>
      </x:c>
      <x:c r="M650" s="12" t="str">
        <x:v>HX1_NORMAL|9</x:v>
      </x:c>
      <x:c r="N650" s="12" t="str">
        <x:v>理学院</x:v>
      </x:c>
      <x:c r="O650" s="12" t="n">
        <x:f>IFERROR(INDEX('秒级路线参数_可调整'!$O:$O,MATCH(M650,'秒级路线参数_可调整'!$A:$A,0)),"")</x:f>
        <x:v>0</x:v>
      </x:c>
      <x:c r="P650" s="12" t="str">
        <x:f>IF(O650="","",O650/86400)</x:f>
      </x:c>
      <x:c r="Q650" s="12" t="str">
        <x:f>IF(O650="","",(H650*60+O650)/86400)</x:f>
      </x:c>
      <x:c r="R650" s="12" t="str">
        <x:f>IF(Q650="","",TEXT(Q650,"hh:mm:ss"))</x:f>
      </x:c>
      <x:c r="S650" s="12" t="str">
        <x:v>否</x:v>
      </x:c>
      <x:c r="T650" s="12" t="str">
        <x:v>否</x:v>
      </x:c>
      <x:c r="U650" s="12" t="str">
        <x:v>未提供</x:v>
      </x:c>
      <x:c r="V650" s="12" t="str">
        <x:v>未提供</x:v>
      </x:c>
      <x:c r="W650" s="12" t="str">
        <x:v>秒级预测</x:v>
      </x:c>
      <x:c r="X650" s="12" t="str">
        <x:v>基于路线秒级参数；如录入实测或手动采用秒，预计到达时间可随公式更新</x:v>
      </x:c>
    </x:row>
    <x:row r="651">
      <x:c r="A651" s="12" t="str">
        <x:v>S0053-10</x:v>
      </x:c>
      <x:c r="B651" s="12" t="str">
        <x:v>S0053</x:v>
      </x:c>
      <x:c r="C651" s="12" t="str">
        <x:v>工作日</x:v>
      </x:c>
      <x:c r="D651" s="12" t="str">
        <x:v>环线1路</x:v>
      </x:c>
      <x:c r="E651" s="12" t="str">
        <x:v>第五班（夜2）</x:v>
      </x:c>
      <x:c r="F651" s="12" t="n">
        <x:v>12</x:v>
      </x:c>
      <x:c r="G651" s="12" t="str">
        <x:v>21:00</x:v>
      </x:c>
      <x:c r="H651" s="12" t="n">
        <x:v>1260</x:v>
      </x:c>
      <x:c r="I651" s="12" t="str">
        <x:v>研究生宿舍楼</x:v>
      </x:c>
      <x:c r="J651" s="12" t="str">
        <x:v>研究生宿舍楼发车</x:v>
      </x:c>
      <x:c r="K651" s="12" t="str">
        <x:v>HX1_NORMAL</x:v>
      </x:c>
      <x:c r="L651" s="12" t="n">
        <x:v>10</x:v>
      </x:c>
      <x:c r="M651" s="12" t="str">
        <x:v>HX1_NORMAL|10</x:v>
      </x:c>
      <x:c r="N651" s="12" t="str">
        <x:v>二食堂</x:v>
      </x:c>
      <x:c r="O651" s="12" t="n">
        <x:f>IFERROR(INDEX('秒级路线参数_可调整'!$O:$O,MATCH(M651,'秒级路线参数_可调整'!$A:$A,0)),"")</x:f>
        <x:v>0</x:v>
      </x:c>
      <x:c r="P651" s="12" t="str">
        <x:f>IF(O651="","",O651/86400)</x:f>
      </x:c>
      <x:c r="Q651" s="12" t="str">
        <x:f>IF(O651="","",(H651*60+O651)/86400)</x:f>
      </x:c>
      <x:c r="R651" s="12" t="str">
        <x:f>IF(Q651="","",TEXT(Q651,"hh:mm:ss"))</x:f>
      </x:c>
      <x:c r="S651" s="12" t="str">
        <x:v>否</x:v>
      </x:c>
      <x:c r="T651" s="12" t="str">
        <x:v>否</x:v>
      </x:c>
      <x:c r="U651" s="12" t="str">
        <x:v>未提供</x:v>
      </x:c>
      <x:c r="V651" s="12" t="str">
        <x:v>未提供</x:v>
      </x:c>
      <x:c r="W651" s="12" t="str">
        <x:v>秒级预测</x:v>
      </x:c>
      <x:c r="X651" s="12" t="str">
        <x:v>基于路线秒级参数；如录入实测或手动采用秒，预计到达时间可随公式更新</x:v>
      </x:c>
    </x:row>
    <x:row r="652">
      <x:c r="A652" s="12" t="str">
        <x:v>S0053-11</x:v>
      </x:c>
      <x:c r="B652" s="12" t="str">
        <x:v>S0053</x:v>
      </x:c>
      <x:c r="C652" s="12" t="str">
        <x:v>工作日</x:v>
      </x:c>
      <x:c r="D652" s="12" t="str">
        <x:v>环线1路</x:v>
      </x:c>
      <x:c r="E652" s="12" t="str">
        <x:v>第五班（夜2）</x:v>
      </x:c>
      <x:c r="F652" s="12" t="n">
        <x:v>12</x:v>
      </x:c>
      <x:c r="G652" s="12" t="str">
        <x:v>21:00</x:v>
      </x:c>
      <x:c r="H652" s="12" t="n">
        <x:v>1260</x:v>
      </x:c>
      <x:c r="I652" s="12" t="str">
        <x:v>研究生宿舍楼</x:v>
      </x:c>
      <x:c r="J652" s="12" t="str">
        <x:v>研究生宿舍楼发车</x:v>
      </x:c>
      <x:c r="K652" s="12" t="str">
        <x:v>HX1_NORMAL</x:v>
      </x:c>
      <x:c r="L652" s="12" t="n">
        <x:v>11</x:v>
      </x:c>
      <x:c r="M652" s="12" t="str">
        <x:v>HX1_NORMAL|11</x:v>
      </x:c>
      <x:c r="N652" s="12" t="str">
        <x:v>5号宿舍楼</x:v>
      </x:c>
      <x:c r="O652" s="12" t="n">
        <x:f>IFERROR(INDEX('秒级路线参数_可调整'!$O:$O,MATCH(M652,'秒级路线参数_可调整'!$A:$A,0)),"")</x:f>
        <x:v>0</x:v>
      </x:c>
      <x:c r="P652" s="12" t="str">
        <x:f>IF(O652="","",O652/86400)</x:f>
      </x:c>
      <x:c r="Q652" s="12" t="str">
        <x:f>IF(O652="","",(H652*60+O652)/86400)</x:f>
      </x:c>
      <x:c r="R652" s="12" t="str">
        <x:f>IF(Q652="","",TEXT(Q652,"hh:mm:ss"))</x:f>
      </x:c>
      <x:c r="S652" s="12" t="str">
        <x:v>否</x:v>
      </x:c>
      <x:c r="T652" s="12" t="str">
        <x:v>否</x:v>
      </x:c>
      <x:c r="U652" s="12" t="str">
        <x:v>未提供</x:v>
      </x:c>
      <x:c r="V652" s="12" t="str">
        <x:v>未提供</x:v>
      </x:c>
      <x:c r="W652" s="12" t="str">
        <x:v>秒级预测</x:v>
      </x:c>
      <x:c r="X652" s="12" t="str">
        <x:v>基于路线秒级参数；如录入实测或手动采用秒，预计到达时间可随公式更新</x:v>
      </x:c>
    </x:row>
    <x:row r="653">
      <x:c r="A653" s="12" t="str">
        <x:v>S0053-12</x:v>
      </x:c>
      <x:c r="B653" s="12" t="str">
        <x:v>S0053</x:v>
      </x:c>
      <x:c r="C653" s="12" t="str">
        <x:v>工作日</x:v>
      </x:c>
      <x:c r="D653" s="12" t="str">
        <x:v>环线1路</x:v>
      </x:c>
      <x:c r="E653" s="12" t="str">
        <x:v>第五班（夜2）</x:v>
      </x:c>
      <x:c r="F653" s="12" t="n">
        <x:v>12</x:v>
      </x:c>
      <x:c r="G653" s="12" t="str">
        <x:v>21:00</x:v>
      </x:c>
      <x:c r="H653" s="12" t="n">
        <x:v>1260</x:v>
      </x:c>
      <x:c r="I653" s="12" t="str">
        <x:v>研究生宿舍楼</x:v>
      </x:c>
      <x:c r="J653" s="12" t="str">
        <x:v>研究生宿舍楼发车</x:v>
      </x:c>
      <x:c r="K653" s="12" t="str">
        <x:v>HX1_NORMAL</x:v>
      </x:c>
      <x:c r="L653" s="12" t="n">
        <x:v>12</x:v>
      </x:c>
      <x:c r="M653" s="12" t="str">
        <x:v>HX1_NORMAL|12</x:v>
      </x:c>
      <x:c r="N653" s="12" t="str">
        <x:v>305教学楼</x:v>
      </x:c>
      <x:c r="O653" s="12" t="n">
        <x:f>IFERROR(INDEX('秒级路线参数_可调整'!$O:$O,MATCH(M653,'秒级路线参数_可调整'!$A:$A,0)),"")</x:f>
        <x:v>0</x:v>
      </x:c>
      <x:c r="P653" s="12" t="str">
        <x:f>IF(O653="","",O653/86400)</x:f>
      </x:c>
      <x:c r="Q653" s="12" t="str">
        <x:f>IF(O653="","",(H653*60+O653)/86400)</x:f>
      </x:c>
      <x:c r="R653" s="12" t="str">
        <x:f>IF(Q653="","",TEXT(Q653,"hh:mm:ss"))</x:f>
      </x:c>
      <x:c r="S653" s="12" t="str">
        <x:v>否</x:v>
      </x:c>
      <x:c r="T653" s="12" t="str">
        <x:v>否</x:v>
      </x:c>
      <x:c r="U653" s="12" t="str">
        <x:v>未提供</x:v>
      </x:c>
      <x:c r="V653" s="12" t="str">
        <x:v>未提供</x:v>
      </x:c>
      <x:c r="W653" s="12" t="str">
        <x:v>秒级预测</x:v>
      </x:c>
      <x:c r="X653" s="12" t="str">
        <x:v>基于路线秒级参数；如录入实测或手动采用秒，预计到达时间可随公式更新</x:v>
      </x:c>
    </x:row>
    <x:row r="654">
      <x:c r="A654" s="12" t="str">
        <x:v>S0053-13</x:v>
      </x:c>
      <x:c r="B654" s="12" t="str">
        <x:v>S0053</x:v>
      </x:c>
      <x:c r="C654" s="12" t="str">
        <x:v>工作日</x:v>
      </x:c>
      <x:c r="D654" s="12" t="str">
        <x:v>环线1路</x:v>
      </x:c>
      <x:c r="E654" s="12" t="str">
        <x:v>第五班（夜2）</x:v>
      </x:c>
      <x:c r="F654" s="12" t="n">
        <x:v>12</x:v>
      </x:c>
      <x:c r="G654" s="12" t="str">
        <x:v>21:00</x:v>
      </x:c>
      <x:c r="H654" s="12" t="n">
        <x:v>1260</x:v>
      </x:c>
      <x:c r="I654" s="12" t="str">
        <x:v>研究生宿舍楼</x:v>
      </x:c>
      <x:c r="J654" s="12" t="str">
        <x:v>研究生宿舍楼发车</x:v>
      </x:c>
      <x:c r="K654" s="12" t="str">
        <x:v>HX1_NORMAL</x:v>
      </x:c>
      <x:c r="L654" s="12" t="n">
        <x:v>13</x:v>
      </x:c>
      <x:c r="M654" s="12" t="str">
        <x:v>HX1_NORMAL|13</x:v>
      </x:c>
      <x:c r="N654" s="12" t="str">
        <x:v>研究生宿舍楼</x:v>
      </x:c>
      <x:c r="O654" s="12" t="n">
        <x:f>IFERROR(INDEX('秒级路线参数_可调整'!$O:$O,MATCH(M654,'秒级路线参数_可调整'!$A:$A,0)),"")</x:f>
        <x:v>0</x:v>
      </x:c>
      <x:c r="P654" s="12" t="str">
        <x:f>IF(O654="","",O654/86400)</x:f>
      </x:c>
      <x:c r="Q654" s="12" t="str">
        <x:f>IF(O654="","",(H654*60+O654)/86400)</x:f>
      </x:c>
      <x:c r="R654" s="12" t="str">
        <x:f>IF(Q654="","",TEXT(Q654,"hh:mm:ss"))</x:f>
      </x:c>
      <x:c r="S654" s="12" t="str">
        <x:v>否</x:v>
      </x:c>
      <x:c r="T654" s="12" t="str">
        <x:v>是</x:v>
      </x:c>
      <x:c r="U654" s="12" t="str">
        <x:v>未提供</x:v>
      </x:c>
      <x:c r="V654" s="12" t="str">
        <x:v>未提供</x:v>
      </x:c>
      <x:c r="W654" s="12" t="str">
        <x:v>秒级预测</x:v>
      </x:c>
      <x:c r="X654" s="12" t="str">
        <x:v>基于路线秒级参数；如录入实测或手动采用秒，预计到达时间可随公式更新</x:v>
      </x:c>
    </x:row>
    <x:row r="655">
      <x:c r="A655" s="12" t="str">
        <x:v>S0054-01</x:v>
      </x:c>
      <x:c r="B655" s="12" t="str">
        <x:v>S0054</x:v>
      </x:c>
      <x:c r="C655" s="12" t="str">
        <x:v>工作日</x:v>
      </x:c>
      <x:c r="D655" s="12" t="str">
        <x:v>环线1路</x:v>
      </x:c>
      <x:c r="E655" s="12" t="str">
        <x:v>第五班（夜2）</x:v>
      </x:c>
      <x:c r="F655" s="12" t="n">
        <x:v>13</x:v>
      </x:c>
      <x:c r="G655" s="12" t="str">
        <x:v>21:30</x:v>
      </x:c>
      <x:c r="H655" s="12" t="n">
        <x:v>1290</x:v>
      </x:c>
      <x:c r="I655" s="12" t="str">
        <x:v>研究生宿舍楼</x:v>
      </x:c>
      <x:c r="J655" s="12" t="str">
        <x:v>研究生宿舍楼发车</x:v>
      </x:c>
      <x:c r="K655" s="12" t="str">
        <x:v>HX1_NORMAL</x:v>
      </x:c>
      <x:c r="L655" s="12" t="n">
        <x:v>1</x:v>
      </x:c>
      <x:c r="M655" s="12" t="str">
        <x:v>HX1_NORMAL|1</x:v>
      </x:c>
      <x:c r="N655" s="12" t="str">
        <x:v>研究生宿舍楼</x:v>
      </x:c>
      <x:c r="O655" s="12" t="n">
        <x:f>IFERROR(INDEX('秒级路线参数_可调整'!$O:$O,MATCH(M655,'秒级路线参数_可调整'!$A:$A,0)),"")</x:f>
        <x:v>0</x:v>
      </x:c>
      <x:c r="P655" s="12" t="str">
        <x:f>IF(O655="","",O655/86400)</x:f>
      </x:c>
      <x:c r="Q655" s="12" t="str">
        <x:f>IF(O655="","",(H655*60+O655)/86400)</x:f>
      </x:c>
      <x:c r="R655" s="12" t="str">
        <x:f>IF(Q655="","",TEXT(Q655,"hh:mm:ss"))</x:f>
      </x:c>
      <x:c r="S655" s="12" t="str">
        <x:v>是</x:v>
      </x:c>
      <x:c r="T655" s="12" t="str">
        <x:v>否</x:v>
      </x:c>
      <x:c r="U655" s="12" t="str">
        <x:v>未提供</x:v>
      </x:c>
      <x:c r="V655" s="12" t="str">
        <x:v>未提供</x:v>
      </x:c>
      <x:c r="W655" s="12" t="str">
        <x:v>秒级预测</x:v>
      </x:c>
      <x:c r="X655" s="12" t="str">
        <x:v>基于路线秒级参数；如录入实测或手动采用秒，预计到达时间可随公式更新</x:v>
      </x:c>
    </x:row>
    <x:row r="656">
      <x:c r="A656" s="12" t="str">
        <x:v>S0054-02</x:v>
      </x:c>
      <x:c r="B656" s="12" t="str">
        <x:v>S0054</x:v>
      </x:c>
      <x:c r="C656" s="12" t="str">
        <x:v>工作日</x:v>
      </x:c>
      <x:c r="D656" s="12" t="str">
        <x:v>环线1路</x:v>
      </x:c>
      <x:c r="E656" s="12" t="str">
        <x:v>第五班（夜2）</x:v>
      </x:c>
      <x:c r="F656" s="12" t="n">
        <x:v>13</x:v>
      </x:c>
      <x:c r="G656" s="12" t="str">
        <x:v>21:30</x:v>
      </x:c>
      <x:c r="H656" s="12" t="n">
        <x:v>1290</x:v>
      </x:c>
      <x:c r="I656" s="12" t="str">
        <x:v>研究生宿舍楼</x:v>
      </x:c>
      <x:c r="J656" s="12" t="str">
        <x:v>研究生宿舍楼发车</x:v>
      </x:c>
      <x:c r="K656" s="12" t="str">
        <x:v>HX1_NORMAL</x:v>
      </x:c>
      <x:c r="L656" s="12" t="n">
        <x:v>2</x:v>
      </x:c>
      <x:c r="M656" s="12" t="str">
        <x:v>HX1_NORMAL|2</x:v>
      </x:c>
      <x:c r="N656" s="12" t="str">
        <x:v>东门</x:v>
      </x:c>
      <x:c r="O656" s="12" t="n">
        <x:f>IFERROR(INDEX('秒级路线参数_可调整'!$O:$O,MATCH(M656,'秒级路线参数_可调整'!$A:$A,0)),"")</x:f>
        <x:v>0</x:v>
      </x:c>
      <x:c r="P656" s="12" t="str">
        <x:f>IF(O656="","",O656/86400)</x:f>
      </x:c>
      <x:c r="Q656" s="12" t="str">
        <x:f>IF(O656="","",(H656*60+O656)/86400)</x:f>
      </x:c>
      <x:c r="R656" s="12" t="str">
        <x:f>IF(Q656="","",TEXT(Q656,"hh:mm:ss"))</x:f>
      </x:c>
      <x:c r="S656" s="12" t="str">
        <x:v>否</x:v>
      </x:c>
      <x:c r="T656" s="12" t="str">
        <x:v>否</x:v>
      </x:c>
      <x:c r="U656" s="12" t="str">
        <x:v>未提供</x:v>
      </x:c>
      <x:c r="V656" s="12" t="str">
        <x:v>未提供</x:v>
      </x:c>
      <x:c r="W656" s="12" t="str">
        <x:v>秒级预测</x:v>
      </x:c>
      <x:c r="X656" s="12" t="str">
        <x:v>基于路线秒级参数；如录入实测或手动采用秒，预计到达时间可随公式更新</x:v>
      </x:c>
    </x:row>
    <x:row r="657">
      <x:c r="A657" s="12" t="str">
        <x:v>S0054-03</x:v>
      </x:c>
      <x:c r="B657" s="12" t="str">
        <x:v>S0054</x:v>
      </x:c>
      <x:c r="C657" s="12" t="str">
        <x:v>工作日</x:v>
      </x:c>
      <x:c r="D657" s="12" t="str">
        <x:v>环线1路</x:v>
      </x:c>
      <x:c r="E657" s="12" t="str">
        <x:v>第五班（夜2）</x:v>
      </x:c>
      <x:c r="F657" s="12" t="n">
        <x:v>13</x:v>
      </x:c>
      <x:c r="G657" s="12" t="str">
        <x:v>21:30</x:v>
      </x:c>
      <x:c r="H657" s="12" t="n">
        <x:v>1290</x:v>
      </x:c>
      <x:c r="I657" s="12" t="str">
        <x:v>研究生宿舍楼</x:v>
      </x:c>
      <x:c r="J657" s="12" t="str">
        <x:v>研究生宿舍楼发车</x:v>
      </x:c>
      <x:c r="K657" s="12" t="str">
        <x:v>HX1_NORMAL</x:v>
      </x:c>
      <x:c r="L657" s="12" t="n">
        <x:v>3</x:v>
      </x:c>
      <x:c r="M657" s="12" t="str">
        <x:v>HX1_NORMAL|3</x:v>
      </x:c>
      <x:c r="N657" s="12" t="str">
        <x:v>2号宿舍楼</x:v>
      </x:c>
      <x:c r="O657" s="12" t="n">
        <x:f>IFERROR(INDEX('秒级路线参数_可调整'!$O:$O,MATCH(M657,'秒级路线参数_可调整'!$A:$A,0)),"")</x:f>
        <x:v>0</x:v>
      </x:c>
      <x:c r="P657" s="12" t="str">
        <x:f>IF(O657="","",O657/86400)</x:f>
      </x:c>
      <x:c r="Q657" s="12" t="str">
        <x:f>IF(O657="","",(H657*60+O657)/86400)</x:f>
      </x:c>
      <x:c r="R657" s="12" t="str">
        <x:f>IF(Q657="","",TEXT(Q657,"hh:mm:ss"))</x:f>
      </x:c>
      <x:c r="S657" s="12" t="str">
        <x:v>否</x:v>
      </x:c>
      <x:c r="T657" s="12" t="str">
        <x:v>否</x:v>
      </x:c>
      <x:c r="U657" s="12" t="str">
        <x:v>未提供</x:v>
      </x:c>
      <x:c r="V657" s="12" t="str">
        <x:v>未提供</x:v>
      </x:c>
      <x:c r="W657" s="12" t="str">
        <x:v>秒级预测</x:v>
      </x:c>
      <x:c r="X657" s="12" t="str">
        <x:v>基于路线秒级参数；如录入实测或手动采用秒，预计到达时间可随公式更新</x:v>
      </x:c>
    </x:row>
    <x:row r="658">
      <x:c r="A658" s="12" t="str">
        <x:v>S0054-04</x:v>
      </x:c>
      <x:c r="B658" s="12" t="str">
        <x:v>S0054</x:v>
      </x:c>
      <x:c r="C658" s="12" t="str">
        <x:v>工作日</x:v>
      </x:c>
      <x:c r="D658" s="12" t="str">
        <x:v>环线1路</x:v>
      </x:c>
      <x:c r="E658" s="12" t="str">
        <x:v>第五班（夜2）</x:v>
      </x:c>
      <x:c r="F658" s="12" t="n">
        <x:v>13</x:v>
      </x:c>
      <x:c r="G658" s="12" t="str">
        <x:v>21:30</x:v>
      </x:c>
      <x:c r="H658" s="12" t="n">
        <x:v>1290</x:v>
      </x:c>
      <x:c r="I658" s="12" t="str">
        <x:v>研究生宿舍楼</x:v>
      </x:c>
      <x:c r="J658" s="12" t="str">
        <x:v>研究生宿舍楼发车</x:v>
      </x:c>
      <x:c r="K658" s="12" t="str">
        <x:v>HX1_NORMAL</x:v>
      </x:c>
      <x:c r="L658" s="12" t="n">
        <x:v>4</x:v>
      </x:c>
      <x:c r="M658" s="12" t="str">
        <x:v>HX1_NORMAL|4</x:v>
      </x:c>
      <x:c r="N658" s="12" t="str">
        <x:v>军体活动中心</x:v>
      </x:c>
      <x:c r="O658" s="12" t="n">
        <x:f>IFERROR(INDEX('秒级路线参数_可调整'!$O:$O,MATCH(M658,'秒级路线参数_可调整'!$A:$A,0)),"")</x:f>
        <x:v>0</x:v>
      </x:c>
      <x:c r="P658" s="12" t="str">
        <x:f>IF(O658="","",O658/86400)</x:f>
      </x:c>
      <x:c r="Q658" s="12" t="str">
        <x:f>IF(O658="","",(H658*60+O658)/86400)</x:f>
      </x:c>
      <x:c r="R658" s="12" t="str">
        <x:f>IF(Q658="","",TEXT(Q658,"hh:mm:ss"))</x:f>
      </x:c>
      <x:c r="S658" s="12" t="str">
        <x:v>否</x:v>
      </x:c>
      <x:c r="T658" s="12" t="str">
        <x:v>否</x:v>
      </x:c>
      <x:c r="U658" s="12" t="str">
        <x:v>未提供</x:v>
      </x:c>
      <x:c r="V658" s="12" t="str">
        <x:v>未提供</x:v>
      </x:c>
      <x:c r="W658" s="12" t="str">
        <x:v>秒级预测</x:v>
      </x:c>
      <x:c r="X658" s="12" t="str">
        <x:v>基于路线秒级参数；如录入实测或手动采用秒，预计到达时间可随公式更新</x:v>
      </x:c>
    </x:row>
    <x:row r="659">
      <x:c r="A659" s="12" t="str">
        <x:v>S0054-05</x:v>
      </x:c>
      <x:c r="B659" s="12" t="str">
        <x:v>S0054</x:v>
      </x:c>
      <x:c r="C659" s="12" t="str">
        <x:v>工作日</x:v>
      </x:c>
      <x:c r="D659" s="12" t="str">
        <x:v>环线1路</x:v>
      </x:c>
      <x:c r="E659" s="12" t="str">
        <x:v>第五班（夜2）</x:v>
      </x:c>
      <x:c r="F659" s="12" t="n">
        <x:v>13</x:v>
      </x:c>
      <x:c r="G659" s="12" t="str">
        <x:v>21:30</x:v>
      </x:c>
      <x:c r="H659" s="12" t="n">
        <x:v>1290</x:v>
      </x:c>
      <x:c r="I659" s="12" t="str">
        <x:v>研究生宿舍楼</x:v>
      </x:c>
      <x:c r="J659" s="12" t="str">
        <x:v>研究生宿舍楼发车</x:v>
      </x:c>
      <x:c r="K659" s="12" t="str">
        <x:v>HX1_NORMAL</x:v>
      </x:c>
      <x:c r="L659" s="12" t="n">
        <x:v>5</x:v>
      </x:c>
      <x:c r="M659" s="12" t="str">
        <x:v>HX1_NORMAL|5</x:v>
      </x:c>
      <x:c r="N659" s="12" t="str">
        <x:v>激光所</x:v>
      </x:c>
      <x:c r="O659" s="12" t="n">
        <x:f>IFERROR(INDEX('秒级路线参数_可调整'!$O:$O,MATCH(M659,'秒级路线参数_可调整'!$A:$A,0)),"")</x:f>
        <x:v>0</x:v>
      </x:c>
      <x:c r="P659" s="12" t="str">
        <x:f>IF(O659="","",O659/86400)</x:f>
      </x:c>
      <x:c r="Q659" s="12" t="str">
        <x:f>IF(O659="","",(H659*60+O659)/86400)</x:f>
      </x:c>
      <x:c r="R659" s="12" t="str">
        <x:f>IF(Q659="","",TEXT(Q659,"hh:mm:ss"))</x:f>
      </x:c>
      <x:c r="S659" s="12" t="str">
        <x:v>否</x:v>
      </x:c>
      <x:c r="T659" s="12" t="str">
        <x:v>否</x:v>
      </x:c>
      <x:c r="U659" s="12" t="str">
        <x:v>未提供</x:v>
      </x:c>
      <x:c r="V659" s="12" t="str">
        <x:v>未提供</x:v>
      </x:c>
      <x:c r="W659" s="12" t="str">
        <x:v>秒级预测</x:v>
      </x:c>
      <x:c r="X659" s="12" t="str">
        <x:v>基于路线秒级参数；如录入实测或手动采用秒，预计到达时间可随公式更新</x:v>
      </x:c>
    </x:row>
    <x:row r="660">
      <x:c r="A660" s="12" t="str">
        <x:v>S0054-06</x:v>
      </x:c>
      <x:c r="B660" s="12" t="str">
        <x:v>S0054</x:v>
      </x:c>
      <x:c r="C660" s="12" t="str">
        <x:v>工作日</x:v>
      </x:c>
      <x:c r="D660" s="12" t="str">
        <x:v>环线1路</x:v>
      </x:c>
      <x:c r="E660" s="12" t="str">
        <x:v>第五班（夜2）</x:v>
      </x:c>
      <x:c r="F660" s="12" t="n">
        <x:v>13</x:v>
      </x:c>
      <x:c r="G660" s="12" t="str">
        <x:v>21:30</x:v>
      </x:c>
      <x:c r="H660" s="12" t="n">
        <x:v>1290</x:v>
      </x:c>
      <x:c r="I660" s="12" t="str">
        <x:v>研究生宿舍楼</x:v>
      </x:c>
      <x:c r="J660" s="12" t="str">
        <x:v>研究生宿舍楼发车</x:v>
      </x:c>
      <x:c r="K660" s="12" t="str">
        <x:v>HX1_NORMAL</x:v>
      </x:c>
      <x:c r="L660" s="12" t="n">
        <x:v>6</x:v>
      </x:c>
      <x:c r="M660" s="12" t="str">
        <x:v>HX1_NORMAL|6</x:v>
      </x:c>
      <x:c r="N660" s="12" t="str">
        <x:v>超算中心</x:v>
      </x:c>
      <x:c r="O660" s="12" t="n">
        <x:f>IFERROR(INDEX('秒级路线参数_可调整'!$O:$O,MATCH(M660,'秒级路线参数_可调整'!$A:$A,0)),"")</x:f>
        <x:v>0</x:v>
      </x:c>
      <x:c r="P660" s="12" t="str">
        <x:f>IF(O660="","",O660/86400)</x:f>
      </x:c>
      <x:c r="Q660" s="12" t="str">
        <x:f>IF(O660="","",(H660*60+O660)/86400)</x:f>
      </x:c>
      <x:c r="R660" s="12" t="str">
        <x:f>IF(Q660="","",TEXT(Q660,"hh:mm:ss"))</x:f>
      </x:c>
      <x:c r="S660" s="12" t="str">
        <x:v>否</x:v>
      </x:c>
      <x:c r="T660" s="12" t="str">
        <x:v>否</x:v>
      </x:c>
      <x:c r="U660" s="12" t="str">
        <x:v>未提供</x:v>
      </x:c>
      <x:c r="V660" s="12" t="str">
        <x:v>未提供</x:v>
      </x:c>
      <x:c r="W660" s="12" t="str">
        <x:v>秒级预测</x:v>
      </x:c>
      <x:c r="X660" s="12" t="str">
        <x:v>基于路线秒级参数；如录入实测或手动采用秒，预计到达时间可随公式更新</x:v>
      </x:c>
    </x:row>
    <x:row r="661">
      <x:c r="A661" s="12" t="str">
        <x:v>S0054-07</x:v>
      </x:c>
      <x:c r="B661" s="12" t="str">
        <x:v>S0054</x:v>
      </x:c>
      <x:c r="C661" s="12" t="str">
        <x:v>工作日</x:v>
      </x:c>
      <x:c r="D661" s="12" t="str">
        <x:v>环线1路</x:v>
      </x:c>
      <x:c r="E661" s="12" t="str">
        <x:v>第五班（夜2）</x:v>
      </x:c>
      <x:c r="F661" s="12" t="n">
        <x:v>13</x:v>
      </x:c>
      <x:c r="G661" s="12" t="str">
        <x:v>21:30</x:v>
      </x:c>
      <x:c r="H661" s="12" t="n">
        <x:v>1290</x:v>
      </x:c>
      <x:c r="I661" s="12" t="str">
        <x:v>研究生宿舍楼</x:v>
      </x:c>
      <x:c r="J661" s="12" t="str">
        <x:v>研究生宿舍楼发车</x:v>
      </x:c>
      <x:c r="K661" s="12" t="str">
        <x:v>HX1_NORMAL</x:v>
      </x:c>
      <x:c r="L661" s="12" t="n">
        <x:v>7</x:v>
      </x:c>
      <x:c r="M661" s="12" t="str">
        <x:v>HX1_NORMAL|7</x:v>
      </x:c>
      <x:c r="N661" s="12" t="str">
        <x:v>北门</x:v>
      </x:c>
      <x:c r="O661" s="12" t="n">
        <x:f>IFERROR(INDEX('秒级路线参数_可调整'!$O:$O,MATCH(M661,'秒级路线参数_可调整'!$A:$A,0)),"")</x:f>
        <x:v>0</x:v>
      </x:c>
      <x:c r="P661" s="12" t="str">
        <x:f>IF(O661="","",O661/86400)</x:f>
      </x:c>
      <x:c r="Q661" s="12" t="str">
        <x:f>IF(O661="","",(H661*60+O661)/86400)</x:f>
      </x:c>
      <x:c r="R661" s="12" t="str">
        <x:f>IF(Q661="","",TEXT(Q661,"hh:mm:ss"))</x:f>
      </x:c>
      <x:c r="S661" s="12" t="str">
        <x:v>否</x:v>
      </x:c>
      <x:c r="T661" s="12" t="str">
        <x:v>否</x:v>
      </x:c>
      <x:c r="U661" s="12" t="str">
        <x:v>未提供</x:v>
      </x:c>
      <x:c r="V661" s="12" t="str">
        <x:v>未提供</x:v>
      </x:c>
      <x:c r="W661" s="12" t="str">
        <x:v>秒级预测</x:v>
      </x:c>
      <x:c r="X661" s="12" t="str">
        <x:v>基于路线秒级参数；如录入实测或手动采用秒，预计到达时间可随公式更新</x:v>
      </x:c>
    </x:row>
    <x:row r="662">
      <x:c r="A662" s="12" t="str">
        <x:v>S0054-08</x:v>
      </x:c>
      <x:c r="B662" s="12" t="str">
        <x:v>S0054</x:v>
      </x:c>
      <x:c r="C662" s="12" t="str">
        <x:v>工作日</x:v>
      </x:c>
      <x:c r="D662" s="12" t="str">
        <x:v>环线1路</x:v>
      </x:c>
      <x:c r="E662" s="12" t="str">
        <x:v>第五班（夜2）</x:v>
      </x:c>
      <x:c r="F662" s="12" t="n">
        <x:v>13</x:v>
      </x:c>
      <x:c r="G662" s="12" t="str">
        <x:v>21:30</x:v>
      </x:c>
      <x:c r="H662" s="12" t="n">
        <x:v>1290</x:v>
      </x:c>
      <x:c r="I662" s="12" t="str">
        <x:v>研究生宿舍楼</x:v>
      </x:c>
      <x:c r="J662" s="12" t="str">
        <x:v>研究生宿舍楼发车</x:v>
      </x:c>
      <x:c r="K662" s="12" t="str">
        <x:v>HX1_NORMAL</x:v>
      </x:c>
      <x:c r="L662" s="12" t="n">
        <x:v>8</x:v>
      </x:c>
      <x:c r="M662" s="12" t="str">
        <x:v>HX1_NORMAL|8</x:v>
      </x:c>
      <x:c r="N662" s="12" t="str">
        <x:v>高超楼</x:v>
      </x:c>
      <x:c r="O662" s="12" t="n">
        <x:f>IFERROR(INDEX('秒级路线参数_可调整'!$O:$O,MATCH(M662,'秒级路线参数_可调整'!$A:$A,0)),"")</x:f>
        <x:v>0</x:v>
      </x:c>
      <x:c r="P662" s="12" t="str">
        <x:f>IF(O662="","",O662/86400)</x:f>
      </x:c>
      <x:c r="Q662" s="12" t="str">
        <x:f>IF(O662="","",(H662*60+O662)/86400)</x:f>
      </x:c>
      <x:c r="R662" s="12" t="str">
        <x:f>IF(Q662="","",TEXT(Q662,"hh:mm:ss"))</x:f>
      </x:c>
      <x:c r="S662" s="12" t="str">
        <x:v>否</x:v>
      </x:c>
      <x:c r="T662" s="12" t="str">
        <x:v>否</x:v>
      </x:c>
      <x:c r="U662" s="12" t="str">
        <x:v>未提供</x:v>
      </x:c>
      <x:c r="V662" s="12" t="str">
        <x:v>未提供</x:v>
      </x:c>
      <x:c r="W662" s="12" t="str">
        <x:v>秒级预测</x:v>
      </x:c>
      <x:c r="X662" s="12" t="str">
        <x:v>基于路线秒级参数；如录入实测或手动采用秒，预计到达时间可随公式更新</x:v>
      </x:c>
    </x:row>
    <x:row r="663">
      <x:c r="A663" s="12" t="str">
        <x:v>S0054-09</x:v>
      </x:c>
      <x:c r="B663" s="12" t="str">
        <x:v>S0054</x:v>
      </x:c>
      <x:c r="C663" s="12" t="str">
        <x:v>工作日</x:v>
      </x:c>
      <x:c r="D663" s="12" t="str">
        <x:v>环线1路</x:v>
      </x:c>
      <x:c r="E663" s="12" t="str">
        <x:v>第五班（夜2）</x:v>
      </x:c>
      <x:c r="F663" s="12" t="n">
        <x:v>13</x:v>
      </x:c>
      <x:c r="G663" s="12" t="str">
        <x:v>21:30</x:v>
      </x:c>
      <x:c r="H663" s="12" t="n">
        <x:v>1290</x:v>
      </x:c>
      <x:c r="I663" s="12" t="str">
        <x:v>研究生宿舍楼</x:v>
      </x:c>
      <x:c r="J663" s="12" t="str">
        <x:v>研究生宿舍楼发车</x:v>
      </x:c>
      <x:c r="K663" s="12" t="str">
        <x:v>HX1_NORMAL</x:v>
      </x:c>
      <x:c r="L663" s="12" t="n">
        <x:v>9</x:v>
      </x:c>
      <x:c r="M663" s="12" t="str">
        <x:v>HX1_NORMAL|9</x:v>
      </x:c>
      <x:c r="N663" s="12" t="str">
        <x:v>理学院</x:v>
      </x:c>
      <x:c r="O663" s="12" t="n">
        <x:f>IFERROR(INDEX('秒级路线参数_可调整'!$O:$O,MATCH(M663,'秒级路线参数_可调整'!$A:$A,0)),"")</x:f>
        <x:v>0</x:v>
      </x:c>
      <x:c r="P663" s="12" t="str">
        <x:f>IF(O663="","",O663/86400)</x:f>
      </x:c>
      <x:c r="Q663" s="12" t="str">
        <x:f>IF(O663="","",(H663*60+O663)/86400)</x:f>
      </x:c>
      <x:c r="R663" s="12" t="str">
        <x:f>IF(Q663="","",TEXT(Q663,"hh:mm:ss"))</x:f>
      </x:c>
      <x:c r="S663" s="12" t="str">
        <x:v>否</x:v>
      </x:c>
      <x:c r="T663" s="12" t="str">
        <x:v>否</x:v>
      </x:c>
      <x:c r="U663" s="12" t="str">
        <x:v>未提供</x:v>
      </x:c>
      <x:c r="V663" s="12" t="str">
        <x:v>未提供</x:v>
      </x:c>
      <x:c r="W663" s="12" t="str">
        <x:v>秒级预测</x:v>
      </x:c>
      <x:c r="X663" s="12" t="str">
        <x:v>基于路线秒级参数；如录入实测或手动采用秒，预计到达时间可随公式更新</x:v>
      </x:c>
    </x:row>
    <x:row r="664">
      <x:c r="A664" s="12" t="str">
        <x:v>S0054-10</x:v>
      </x:c>
      <x:c r="B664" s="12" t="str">
        <x:v>S0054</x:v>
      </x:c>
      <x:c r="C664" s="12" t="str">
        <x:v>工作日</x:v>
      </x:c>
      <x:c r="D664" s="12" t="str">
        <x:v>环线1路</x:v>
      </x:c>
      <x:c r="E664" s="12" t="str">
        <x:v>第五班（夜2）</x:v>
      </x:c>
      <x:c r="F664" s="12" t="n">
        <x:v>13</x:v>
      </x:c>
      <x:c r="G664" s="12" t="str">
        <x:v>21:30</x:v>
      </x:c>
      <x:c r="H664" s="12" t="n">
        <x:v>1290</x:v>
      </x:c>
      <x:c r="I664" s="12" t="str">
        <x:v>研究生宿舍楼</x:v>
      </x:c>
      <x:c r="J664" s="12" t="str">
        <x:v>研究生宿舍楼发车</x:v>
      </x:c>
      <x:c r="K664" s="12" t="str">
        <x:v>HX1_NORMAL</x:v>
      </x:c>
      <x:c r="L664" s="12" t="n">
        <x:v>10</x:v>
      </x:c>
      <x:c r="M664" s="12" t="str">
        <x:v>HX1_NORMAL|10</x:v>
      </x:c>
      <x:c r="N664" s="12" t="str">
        <x:v>二食堂</x:v>
      </x:c>
      <x:c r="O664" s="12" t="n">
        <x:f>IFERROR(INDEX('秒级路线参数_可调整'!$O:$O,MATCH(M664,'秒级路线参数_可调整'!$A:$A,0)),"")</x:f>
        <x:v>0</x:v>
      </x:c>
      <x:c r="P664" s="12" t="str">
        <x:f>IF(O664="","",O664/86400)</x:f>
      </x:c>
      <x:c r="Q664" s="12" t="str">
        <x:f>IF(O664="","",(H664*60+O664)/86400)</x:f>
      </x:c>
      <x:c r="R664" s="12" t="str">
        <x:f>IF(Q664="","",TEXT(Q664,"hh:mm:ss"))</x:f>
      </x:c>
      <x:c r="S664" s="12" t="str">
        <x:v>否</x:v>
      </x:c>
      <x:c r="T664" s="12" t="str">
        <x:v>否</x:v>
      </x:c>
      <x:c r="U664" s="12" t="str">
        <x:v>未提供</x:v>
      </x:c>
      <x:c r="V664" s="12" t="str">
        <x:v>未提供</x:v>
      </x:c>
      <x:c r="W664" s="12" t="str">
        <x:v>秒级预测</x:v>
      </x:c>
      <x:c r="X664" s="12" t="str">
        <x:v>基于路线秒级参数；如录入实测或手动采用秒，预计到达时间可随公式更新</x:v>
      </x:c>
    </x:row>
    <x:row r="665">
      <x:c r="A665" s="12" t="str">
        <x:v>S0054-11</x:v>
      </x:c>
      <x:c r="B665" s="12" t="str">
        <x:v>S0054</x:v>
      </x:c>
      <x:c r="C665" s="12" t="str">
        <x:v>工作日</x:v>
      </x:c>
      <x:c r="D665" s="12" t="str">
        <x:v>环线1路</x:v>
      </x:c>
      <x:c r="E665" s="12" t="str">
        <x:v>第五班（夜2）</x:v>
      </x:c>
      <x:c r="F665" s="12" t="n">
        <x:v>13</x:v>
      </x:c>
      <x:c r="G665" s="12" t="str">
        <x:v>21:30</x:v>
      </x:c>
      <x:c r="H665" s="12" t="n">
        <x:v>1290</x:v>
      </x:c>
      <x:c r="I665" s="12" t="str">
        <x:v>研究生宿舍楼</x:v>
      </x:c>
      <x:c r="J665" s="12" t="str">
        <x:v>研究生宿舍楼发车</x:v>
      </x:c>
      <x:c r="K665" s="12" t="str">
        <x:v>HX1_NORMAL</x:v>
      </x:c>
      <x:c r="L665" s="12" t="n">
        <x:v>11</x:v>
      </x:c>
      <x:c r="M665" s="12" t="str">
        <x:v>HX1_NORMAL|11</x:v>
      </x:c>
      <x:c r="N665" s="12" t="str">
        <x:v>5号宿舍楼</x:v>
      </x:c>
      <x:c r="O665" s="12" t="n">
        <x:f>IFERROR(INDEX('秒级路线参数_可调整'!$O:$O,MATCH(M665,'秒级路线参数_可调整'!$A:$A,0)),"")</x:f>
        <x:v>0</x:v>
      </x:c>
      <x:c r="P665" s="12" t="str">
        <x:f>IF(O665="","",O665/86400)</x:f>
      </x:c>
      <x:c r="Q665" s="12" t="str">
        <x:f>IF(O665="","",(H665*60+O665)/86400)</x:f>
      </x:c>
      <x:c r="R665" s="12" t="str">
        <x:f>IF(Q665="","",TEXT(Q665,"hh:mm:ss"))</x:f>
      </x:c>
      <x:c r="S665" s="12" t="str">
        <x:v>否</x:v>
      </x:c>
      <x:c r="T665" s="12" t="str">
        <x:v>否</x:v>
      </x:c>
      <x:c r="U665" s="12" t="str">
        <x:v>未提供</x:v>
      </x:c>
      <x:c r="V665" s="12" t="str">
        <x:v>未提供</x:v>
      </x:c>
      <x:c r="W665" s="12" t="str">
        <x:v>秒级预测</x:v>
      </x:c>
      <x:c r="X665" s="12" t="str">
        <x:v>基于路线秒级参数；如录入实测或手动采用秒，预计到达时间可随公式更新</x:v>
      </x:c>
    </x:row>
    <x:row r="666">
      <x:c r="A666" s="12" t="str">
        <x:v>S0054-12</x:v>
      </x:c>
      <x:c r="B666" s="12" t="str">
        <x:v>S0054</x:v>
      </x:c>
      <x:c r="C666" s="12" t="str">
        <x:v>工作日</x:v>
      </x:c>
      <x:c r="D666" s="12" t="str">
        <x:v>环线1路</x:v>
      </x:c>
      <x:c r="E666" s="12" t="str">
        <x:v>第五班（夜2）</x:v>
      </x:c>
      <x:c r="F666" s="12" t="n">
        <x:v>13</x:v>
      </x:c>
      <x:c r="G666" s="12" t="str">
        <x:v>21:30</x:v>
      </x:c>
      <x:c r="H666" s="12" t="n">
        <x:v>1290</x:v>
      </x:c>
      <x:c r="I666" s="12" t="str">
        <x:v>研究生宿舍楼</x:v>
      </x:c>
      <x:c r="J666" s="12" t="str">
        <x:v>研究生宿舍楼发车</x:v>
      </x:c>
      <x:c r="K666" s="12" t="str">
        <x:v>HX1_NORMAL</x:v>
      </x:c>
      <x:c r="L666" s="12" t="n">
        <x:v>12</x:v>
      </x:c>
      <x:c r="M666" s="12" t="str">
        <x:v>HX1_NORMAL|12</x:v>
      </x:c>
      <x:c r="N666" s="12" t="str">
        <x:v>305教学楼</x:v>
      </x:c>
      <x:c r="O666" s="12" t="n">
        <x:f>IFERROR(INDEX('秒级路线参数_可调整'!$O:$O,MATCH(M666,'秒级路线参数_可调整'!$A:$A,0)),"")</x:f>
        <x:v>0</x:v>
      </x:c>
      <x:c r="P666" s="12" t="str">
        <x:f>IF(O666="","",O666/86400)</x:f>
      </x:c>
      <x:c r="Q666" s="12" t="str">
        <x:f>IF(O666="","",(H666*60+O666)/86400)</x:f>
      </x:c>
      <x:c r="R666" s="12" t="str">
        <x:f>IF(Q666="","",TEXT(Q666,"hh:mm:ss"))</x:f>
      </x:c>
      <x:c r="S666" s="12" t="str">
        <x:v>否</x:v>
      </x:c>
      <x:c r="T666" s="12" t="str">
        <x:v>否</x:v>
      </x:c>
      <x:c r="U666" s="12" t="str">
        <x:v>未提供</x:v>
      </x:c>
      <x:c r="V666" s="12" t="str">
        <x:v>未提供</x:v>
      </x:c>
      <x:c r="W666" s="12" t="str">
        <x:v>秒级预测</x:v>
      </x:c>
      <x:c r="X666" s="12" t="str">
        <x:v>基于路线秒级参数；如录入实测或手动采用秒，预计到达时间可随公式更新</x:v>
      </x:c>
    </x:row>
    <x:row r="667">
      <x:c r="A667" s="12" t="str">
        <x:v>S0054-13</x:v>
      </x:c>
      <x:c r="B667" s="12" t="str">
        <x:v>S0054</x:v>
      </x:c>
      <x:c r="C667" s="12" t="str">
        <x:v>工作日</x:v>
      </x:c>
      <x:c r="D667" s="12" t="str">
        <x:v>环线1路</x:v>
      </x:c>
      <x:c r="E667" s="12" t="str">
        <x:v>第五班（夜2）</x:v>
      </x:c>
      <x:c r="F667" s="12" t="n">
        <x:v>13</x:v>
      </x:c>
      <x:c r="G667" s="12" t="str">
        <x:v>21:30</x:v>
      </x:c>
      <x:c r="H667" s="12" t="n">
        <x:v>1290</x:v>
      </x:c>
      <x:c r="I667" s="12" t="str">
        <x:v>研究生宿舍楼</x:v>
      </x:c>
      <x:c r="J667" s="12" t="str">
        <x:v>研究生宿舍楼发车</x:v>
      </x:c>
      <x:c r="K667" s="12" t="str">
        <x:v>HX1_NORMAL</x:v>
      </x:c>
      <x:c r="L667" s="12" t="n">
        <x:v>13</x:v>
      </x:c>
      <x:c r="M667" s="12" t="str">
        <x:v>HX1_NORMAL|13</x:v>
      </x:c>
      <x:c r="N667" s="12" t="str">
        <x:v>研究生宿舍楼</x:v>
      </x:c>
      <x:c r="O667" s="12" t="n">
        <x:f>IFERROR(INDEX('秒级路线参数_可调整'!$O:$O,MATCH(M667,'秒级路线参数_可调整'!$A:$A,0)),"")</x:f>
        <x:v>0</x:v>
      </x:c>
      <x:c r="P667" s="12" t="str">
        <x:f>IF(O667="","",O667/86400)</x:f>
      </x:c>
      <x:c r="Q667" s="12" t="str">
        <x:f>IF(O667="","",(H667*60+O667)/86400)</x:f>
      </x:c>
      <x:c r="R667" s="12" t="str">
        <x:f>IF(Q667="","",TEXT(Q667,"hh:mm:ss"))</x:f>
      </x:c>
      <x:c r="S667" s="12" t="str">
        <x:v>否</x:v>
      </x:c>
      <x:c r="T667" s="12" t="str">
        <x:v>是</x:v>
      </x:c>
      <x:c r="U667" s="12" t="str">
        <x:v>未提供</x:v>
      </x:c>
      <x:c r="V667" s="12" t="str">
        <x:v>未提供</x:v>
      </x:c>
      <x:c r="W667" s="12" t="str">
        <x:v>秒级预测</x:v>
      </x:c>
      <x:c r="X667" s="12" t="str">
        <x:v>基于路线秒级参数；如录入实测或手动采用秒，预计到达时间可随公式更新</x:v>
      </x:c>
    </x:row>
    <x:row r="668">
      <x:c r="A668" s="12" t="str">
        <x:v>S0055-01</x:v>
      </x:c>
      <x:c r="B668" s="12" t="str">
        <x:v>S0055</x:v>
      </x:c>
      <x:c r="C668" s="12" t="str">
        <x:v>工作日</x:v>
      </x:c>
      <x:c r="D668" s="12" t="str">
        <x:v>环线1路</x:v>
      </x:c>
      <x:c r="E668" s="12" t="str">
        <x:v>第五班（夜2）</x:v>
      </x:c>
      <x:c r="F668" s="12" t="n">
        <x:v>14</x:v>
      </x:c>
      <x:c r="G668" s="12" t="str">
        <x:v>22:00</x:v>
      </x:c>
      <x:c r="H668" s="12" t="n">
        <x:v>1320</x:v>
      </x:c>
      <x:c r="I668" s="12" t="str">
        <x:v>研究生宿舍楼</x:v>
      </x:c>
      <x:c r="J668" s="12" t="str">
        <x:v>研究生宿舍楼发车</x:v>
      </x:c>
      <x:c r="K668" s="12" t="str">
        <x:v>HX1_NORMAL</x:v>
      </x:c>
      <x:c r="L668" s="12" t="n">
        <x:v>1</x:v>
      </x:c>
      <x:c r="M668" s="12" t="str">
        <x:v>HX1_NORMAL|1</x:v>
      </x:c>
      <x:c r="N668" s="12" t="str">
        <x:v>研究生宿舍楼</x:v>
      </x:c>
      <x:c r="O668" s="12" t="n">
        <x:f>IFERROR(INDEX('秒级路线参数_可调整'!$O:$O,MATCH(M668,'秒级路线参数_可调整'!$A:$A,0)),"")</x:f>
        <x:v>0</x:v>
      </x:c>
      <x:c r="P668" s="12" t="str">
        <x:f>IF(O668="","",O668/86400)</x:f>
      </x:c>
      <x:c r="Q668" s="12" t="str">
        <x:f>IF(O668="","",(H668*60+O668)/86400)</x:f>
      </x:c>
      <x:c r="R668" s="12" t="str">
        <x:f>IF(Q668="","",TEXT(Q668,"hh:mm:ss"))</x:f>
      </x:c>
      <x:c r="S668" s="12" t="str">
        <x:v>是</x:v>
      </x:c>
      <x:c r="T668" s="12" t="str">
        <x:v>否</x:v>
      </x:c>
      <x:c r="U668" s="12" t="str">
        <x:v>未提供</x:v>
      </x:c>
      <x:c r="V668" s="12" t="str">
        <x:v>未提供</x:v>
      </x:c>
      <x:c r="W668" s="12" t="str">
        <x:v>秒级预测</x:v>
      </x:c>
      <x:c r="X668" s="12" t="str">
        <x:v>基于路线秒级参数；如录入实测或手动采用秒，预计到达时间可随公式更新</x:v>
      </x:c>
    </x:row>
    <x:row r="669">
      <x:c r="A669" s="12" t="str">
        <x:v>S0055-02</x:v>
      </x:c>
      <x:c r="B669" s="12" t="str">
        <x:v>S0055</x:v>
      </x:c>
      <x:c r="C669" s="12" t="str">
        <x:v>工作日</x:v>
      </x:c>
      <x:c r="D669" s="12" t="str">
        <x:v>环线1路</x:v>
      </x:c>
      <x:c r="E669" s="12" t="str">
        <x:v>第五班（夜2）</x:v>
      </x:c>
      <x:c r="F669" s="12" t="n">
        <x:v>14</x:v>
      </x:c>
      <x:c r="G669" s="12" t="str">
        <x:v>22:00</x:v>
      </x:c>
      <x:c r="H669" s="12" t="n">
        <x:v>1320</x:v>
      </x:c>
      <x:c r="I669" s="12" t="str">
        <x:v>研究生宿舍楼</x:v>
      </x:c>
      <x:c r="J669" s="12" t="str">
        <x:v>研究生宿舍楼发车</x:v>
      </x:c>
      <x:c r="K669" s="12" t="str">
        <x:v>HX1_NORMAL</x:v>
      </x:c>
      <x:c r="L669" s="12" t="n">
        <x:v>2</x:v>
      </x:c>
      <x:c r="M669" s="12" t="str">
        <x:v>HX1_NORMAL|2</x:v>
      </x:c>
      <x:c r="N669" s="12" t="str">
        <x:v>东门</x:v>
      </x:c>
      <x:c r="O669" s="12" t="n">
        <x:f>IFERROR(INDEX('秒级路线参数_可调整'!$O:$O,MATCH(M669,'秒级路线参数_可调整'!$A:$A,0)),"")</x:f>
        <x:v>0</x:v>
      </x:c>
      <x:c r="P669" s="12" t="str">
        <x:f>IF(O669="","",O669/86400)</x:f>
      </x:c>
      <x:c r="Q669" s="12" t="str">
        <x:f>IF(O669="","",(H669*60+O669)/86400)</x:f>
      </x:c>
      <x:c r="R669" s="12" t="str">
        <x:f>IF(Q669="","",TEXT(Q669,"hh:mm:ss"))</x:f>
      </x:c>
      <x:c r="S669" s="12" t="str">
        <x:v>否</x:v>
      </x:c>
      <x:c r="T669" s="12" t="str">
        <x:v>否</x:v>
      </x:c>
      <x:c r="U669" s="12" t="str">
        <x:v>未提供</x:v>
      </x:c>
      <x:c r="V669" s="12" t="str">
        <x:v>未提供</x:v>
      </x:c>
      <x:c r="W669" s="12" t="str">
        <x:v>秒级预测</x:v>
      </x:c>
      <x:c r="X669" s="12" t="str">
        <x:v>基于路线秒级参数；如录入实测或手动采用秒，预计到达时间可随公式更新</x:v>
      </x:c>
    </x:row>
    <x:row r="670">
      <x:c r="A670" s="12" t="str">
        <x:v>S0055-03</x:v>
      </x:c>
      <x:c r="B670" s="12" t="str">
        <x:v>S0055</x:v>
      </x:c>
      <x:c r="C670" s="12" t="str">
        <x:v>工作日</x:v>
      </x:c>
      <x:c r="D670" s="12" t="str">
        <x:v>环线1路</x:v>
      </x:c>
      <x:c r="E670" s="12" t="str">
        <x:v>第五班（夜2）</x:v>
      </x:c>
      <x:c r="F670" s="12" t="n">
        <x:v>14</x:v>
      </x:c>
      <x:c r="G670" s="12" t="str">
        <x:v>22:00</x:v>
      </x:c>
      <x:c r="H670" s="12" t="n">
        <x:v>1320</x:v>
      </x:c>
      <x:c r="I670" s="12" t="str">
        <x:v>研究生宿舍楼</x:v>
      </x:c>
      <x:c r="J670" s="12" t="str">
        <x:v>研究生宿舍楼发车</x:v>
      </x:c>
      <x:c r="K670" s="12" t="str">
        <x:v>HX1_NORMAL</x:v>
      </x:c>
      <x:c r="L670" s="12" t="n">
        <x:v>3</x:v>
      </x:c>
      <x:c r="M670" s="12" t="str">
        <x:v>HX1_NORMAL|3</x:v>
      </x:c>
      <x:c r="N670" s="12" t="str">
        <x:v>2号宿舍楼</x:v>
      </x:c>
      <x:c r="O670" s="12" t="n">
        <x:f>IFERROR(INDEX('秒级路线参数_可调整'!$O:$O,MATCH(M670,'秒级路线参数_可调整'!$A:$A,0)),"")</x:f>
        <x:v>0</x:v>
      </x:c>
      <x:c r="P670" s="12" t="str">
        <x:f>IF(O670="","",O670/86400)</x:f>
      </x:c>
      <x:c r="Q670" s="12" t="str">
        <x:f>IF(O670="","",(H670*60+O670)/86400)</x:f>
      </x:c>
      <x:c r="R670" s="12" t="str">
        <x:f>IF(Q670="","",TEXT(Q670,"hh:mm:ss"))</x:f>
      </x:c>
      <x:c r="S670" s="12" t="str">
        <x:v>否</x:v>
      </x:c>
      <x:c r="T670" s="12" t="str">
        <x:v>否</x:v>
      </x:c>
      <x:c r="U670" s="12" t="str">
        <x:v>未提供</x:v>
      </x:c>
      <x:c r="V670" s="12" t="str">
        <x:v>未提供</x:v>
      </x:c>
      <x:c r="W670" s="12" t="str">
        <x:v>秒级预测</x:v>
      </x:c>
      <x:c r="X670" s="12" t="str">
        <x:v>基于路线秒级参数；如录入实测或手动采用秒，预计到达时间可随公式更新</x:v>
      </x:c>
    </x:row>
    <x:row r="671">
      <x:c r="A671" s="12" t="str">
        <x:v>S0055-04</x:v>
      </x:c>
      <x:c r="B671" s="12" t="str">
        <x:v>S0055</x:v>
      </x:c>
      <x:c r="C671" s="12" t="str">
        <x:v>工作日</x:v>
      </x:c>
      <x:c r="D671" s="12" t="str">
        <x:v>环线1路</x:v>
      </x:c>
      <x:c r="E671" s="12" t="str">
        <x:v>第五班（夜2）</x:v>
      </x:c>
      <x:c r="F671" s="12" t="n">
        <x:v>14</x:v>
      </x:c>
      <x:c r="G671" s="12" t="str">
        <x:v>22:00</x:v>
      </x:c>
      <x:c r="H671" s="12" t="n">
        <x:v>1320</x:v>
      </x:c>
      <x:c r="I671" s="12" t="str">
        <x:v>研究生宿舍楼</x:v>
      </x:c>
      <x:c r="J671" s="12" t="str">
        <x:v>研究生宿舍楼发车</x:v>
      </x:c>
      <x:c r="K671" s="12" t="str">
        <x:v>HX1_NORMAL</x:v>
      </x:c>
      <x:c r="L671" s="12" t="n">
        <x:v>4</x:v>
      </x:c>
      <x:c r="M671" s="12" t="str">
        <x:v>HX1_NORMAL|4</x:v>
      </x:c>
      <x:c r="N671" s="12" t="str">
        <x:v>军体活动中心</x:v>
      </x:c>
      <x:c r="O671" s="12" t="n">
        <x:f>IFERROR(INDEX('秒级路线参数_可调整'!$O:$O,MATCH(M671,'秒级路线参数_可调整'!$A:$A,0)),"")</x:f>
        <x:v>0</x:v>
      </x:c>
      <x:c r="P671" s="12" t="str">
        <x:f>IF(O671="","",O671/86400)</x:f>
      </x:c>
      <x:c r="Q671" s="12" t="str">
        <x:f>IF(O671="","",(H671*60+O671)/86400)</x:f>
      </x:c>
      <x:c r="R671" s="12" t="str">
        <x:f>IF(Q671="","",TEXT(Q671,"hh:mm:ss"))</x:f>
      </x:c>
      <x:c r="S671" s="12" t="str">
        <x:v>否</x:v>
      </x:c>
      <x:c r="T671" s="12" t="str">
        <x:v>否</x:v>
      </x:c>
      <x:c r="U671" s="12" t="str">
        <x:v>未提供</x:v>
      </x:c>
      <x:c r="V671" s="12" t="str">
        <x:v>未提供</x:v>
      </x:c>
      <x:c r="W671" s="12" t="str">
        <x:v>秒级预测</x:v>
      </x:c>
      <x:c r="X671" s="12" t="str">
        <x:v>基于路线秒级参数；如录入实测或手动采用秒，预计到达时间可随公式更新</x:v>
      </x:c>
    </x:row>
    <x:row r="672">
      <x:c r="A672" s="12" t="str">
        <x:v>S0055-05</x:v>
      </x:c>
      <x:c r="B672" s="12" t="str">
        <x:v>S0055</x:v>
      </x:c>
      <x:c r="C672" s="12" t="str">
        <x:v>工作日</x:v>
      </x:c>
      <x:c r="D672" s="12" t="str">
        <x:v>环线1路</x:v>
      </x:c>
      <x:c r="E672" s="12" t="str">
        <x:v>第五班（夜2）</x:v>
      </x:c>
      <x:c r="F672" s="12" t="n">
        <x:v>14</x:v>
      </x:c>
      <x:c r="G672" s="12" t="str">
        <x:v>22:00</x:v>
      </x:c>
      <x:c r="H672" s="12" t="n">
        <x:v>1320</x:v>
      </x:c>
      <x:c r="I672" s="12" t="str">
        <x:v>研究生宿舍楼</x:v>
      </x:c>
      <x:c r="J672" s="12" t="str">
        <x:v>研究生宿舍楼发车</x:v>
      </x:c>
      <x:c r="K672" s="12" t="str">
        <x:v>HX1_NORMAL</x:v>
      </x:c>
      <x:c r="L672" s="12" t="n">
        <x:v>5</x:v>
      </x:c>
      <x:c r="M672" s="12" t="str">
        <x:v>HX1_NORMAL|5</x:v>
      </x:c>
      <x:c r="N672" s="12" t="str">
        <x:v>激光所</x:v>
      </x:c>
      <x:c r="O672" s="12" t="n">
        <x:f>IFERROR(INDEX('秒级路线参数_可调整'!$O:$O,MATCH(M672,'秒级路线参数_可调整'!$A:$A,0)),"")</x:f>
        <x:v>0</x:v>
      </x:c>
      <x:c r="P672" s="12" t="str">
        <x:f>IF(O672="","",O672/86400)</x:f>
      </x:c>
      <x:c r="Q672" s="12" t="str">
        <x:f>IF(O672="","",(H672*60+O672)/86400)</x:f>
      </x:c>
      <x:c r="R672" s="12" t="str">
        <x:f>IF(Q672="","",TEXT(Q672,"hh:mm:ss"))</x:f>
      </x:c>
      <x:c r="S672" s="12" t="str">
        <x:v>否</x:v>
      </x:c>
      <x:c r="T672" s="12" t="str">
        <x:v>否</x:v>
      </x:c>
      <x:c r="U672" s="12" t="str">
        <x:v>未提供</x:v>
      </x:c>
      <x:c r="V672" s="12" t="str">
        <x:v>未提供</x:v>
      </x:c>
      <x:c r="W672" s="12" t="str">
        <x:v>秒级预测</x:v>
      </x:c>
      <x:c r="X672" s="12" t="str">
        <x:v>基于路线秒级参数；如录入实测或手动采用秒，预计到达时间可随公式更新</x:v>
      </x:c>
    </x:row>
    <x:row r="673">
      <x:c r="A673" s="12" t="str">
        <x:v>S0055-06</x:v>
      </x:c>
      <x:c r="B673" s="12" t="str">
        <x:v>S0055</x:v>
      </x:c>
      <x:c r="C673" s="12" t="str">
        <x:v>工作日</x:v>
      </x:c>
      <x:c r="D673" s="12" t="str">
        <x:v>环线1路</x:v>
      </x:c>
      <x:c r="E673" s="12" t="str">
        <x:v>第五班（夜2）</x:v>
      </x:c>
      <x:c r="F673" s="12" t="n">
        <x:v>14</x:v>
      </x:c>
      <x:c r="G673" s="12" t="str">
        <x:v>22:00</x:v>
      </x:c>
      <x:c r="H673" s="12" t="n">
        <x:v>1320</x:v>
      </x:c>
      <x:c r="I673" s="12" t="str">
        <x:v>研究生宿舍楼</x:v>
      </x:c>
      <x:c r="J673" s="12" t="str">
        <x:v>研究生宿舍楼发车</x:v>
      </x:c>
      <x:c r="K673" s="12" t="str">
        <x:v>HX1_NORMAL</x:v>
      </x:c>
      <x:c r="L673" s="12" t="n">
        <x:v>6</x:v>
      </x:c>
      <x:c r="M673" s="12" t="str">
        <x:v>HX1_NORMAL|6</x:v>
      </x:c>
      <x:c r="N673" s="12" t="str">
        <x:v>超算中心</x:v>
      </x:c>
      <x:c r="O673" s="12" t="n">
        <x:f>IFERROR(INDEX('秒级路线参数_可调整'!$O:$O,MATCH(M673,'秒级路线参数_可调整'!$A:$A,0)),"")</x:f>
        <x:v>0</x:v>
      </x:c>
      <x:c r="P673" s="12" t="str">
        <x:f>IF(O673="","",O673/86400)</x:f>
      </x:c>
      <x:c r="Q673" s="12" t="str">
        <x:f>IF(O673="","",(H673*60+O673)/86400)</x:f>
      </x:c>
      <x:c r="R673" s="12" t="str">
        <x:f>IF(Q673="","",TEXT(Q673,"hh:mm:ss"))</x:f>
      </x:c>
      <x:c r="S673" s="12" t="str">
        <x:v>否</x:v>
      </x:c>
      <x:c r="T673" s="12" t="str">
        <x:v>否</x:v>
      </x:c>
      <x:c r="U673" s="12" t="str">
        <x:v>未提供</x:v>
      </x:c>
      <x:c r="V673" s="12" t="str">
        <x:v>未提供</x:v>
      </x:c>
      <x:c r="W673" s="12" t="str">
        <x:v>秒级预测</x:v>
      </x:c>
      <x:c r="X673" s="12" t="str">
        <x:v>基于路线秒级参数；如录入实测或手动采用秒，预计到达时间可随公式更新</x:v>
      </x:c>
    </x:row>
    <x:row r="674">
      <x:c r="A674" s="12" t="str">
        <x:v>S0055-07</x:v>
      </x:c>
      <x:c r="B674" s="12" t="str">
        <x:v>S0055</x:v>
      </x:c>
      <x:c r="C674" s="12" t="str">
        <x:v>工作日</x:v>
      </x:c>
      <x:c r="D674" s="12" t="str">
        <x:v>环线1路</x:v>
      </x:c>
      <x:c r="E674" s="12" t="str">
        <x:v>第五班（夜2）</x:v>
      </x:c>
      <x:c r="F674" s="12" t="n">
        <x:v>14</x:v>
      </x:c>
      <x:c r="G674" s="12" t="str">
        <x:v>22:00</x:v>
      </x:c>
      <x:c r="H674" s="12" t="n">
        <x:v>1320</x:v>
      </x:c>
      <x:c r="I674" s="12" t="str">
        <x:v>研究生宿舍楼</x:v>
      </x:c>
      <x:c r="J674" s="12" t="str">
        <x:v>研究生宿舍楼发车</x:v>
      </x:c>
      <x:c r="K674" s="12" t="str">
        <x:v>HX1_NORMAL</x:v>
      </x:c>
      <x:c r="L674" s="12" t="n">
        <x:v>7</x:v>
      </x:c>
      <x:c r="M674" s="12" t="str">
        <x:v>HX1_NORMAL|7</x:v>
      </x:c>
      <x:c r="N674" s="12" t="str">
        <x:v>北门</x:v>
      </x:c>
      <x:c r="O674" s="12" t="n">
        <x:f>IFERROR(INDEX('秒级路线参数_可调整'!$O:$O,MATCH(M674,'秒级路线参数_可调整'!$A:$A,0)),"")</x:f>
        <x:v>0</x:v>
      </x:c>
      <x:c r="P674" s="12" t="str">
        <x:f>IF(O674="","",O674/86400)</x:f>
      </x:c>
      <x:c r="Q674" s="12" t="str">
        <x:f>IF(O674="","",(H674*60+O674)/86400)</x:f>
      </x:c>
      <x:c r="R674" s="12" t="str">
        <x:f>IF(Q674="","",TEXT(Q674,"hh:mm:ss"))</x:f>
      </x:c>
      <x:c r="S674" s="12" t="str">
        <x:v>否</x:v>
      </x:c>
      <x:c r="T674" s="12" t="str">
        <x:v>否</x:v>
      </x:c>
      <x:c r="U674" s="12" t="str">
        <x:v>未提供</x:v>
      </x:c>
      <x:c r="V674" s="12" t="str">
        <x:v>未提供</x:v>
      </x:c>
      <x:c r="W674" s="12" t="str">
        <x:v>秒级预测</x:v>
      </x:c>
      <x:c r="X674" s="12" t="str">
        <x:v>基于路线秒级参数；如录入实测或手动采用秒，预计到达时间可随公式更新</x:v>
      </x:c>
    </x:row>
    <x:row r="675">
      <x:c r="A675" s="12" t="str">
        <x:v>S0055-08</x:v>
      </x:c>
      <x:c r="B675" s="12" t="str">
        <x:v>S0055</x:v>
      </x:c>
      <x:c r="C675" s="12" t="str">
        <x:v>工作日</x:v>
      </x:c>
      <x:c r="D675" s="12" t="str">
        <x:v>环线1路</x:v>
      </x:c>
      <x:c r="E675" s="12" t="str">
        <x:v>第五班（夜2）</x:v>
      </x:c>
      <x:c r="F675" s="12" t="n">
        <x:v>14</x:v>
      </x:c>
      <x:c r="G675" s="12" t="str">
        <x:v>22:00</x:v>
      </x:c>
      <x:c r="H675" s="12" t="n">
        <x:v>1320</x:v>
      </x:c>
      <x:c r="I675" s="12" t="str">
        <x:v>研究生宿舍楼</x:v>
      </x:c>
      <x:c r="J675" s="12" t="str">
        <x:v>研究生宿舍楼发车</x:v>
      </x:c>
      <x:c r="K675" s="12" t="str">
        <x:v>HX1_NORMAL</x:v>
      </x:c>
      <x:c r="L675" s="12" t="n">
        <x:v>8</x:v>
      </x:c>
      <x:c r="M675" s="12" t="str">
        <x:v>HX1_NORMAL|8</x:v>
      </x:c>
      <x:c r="N675" s="12" t="str">
        <x:v>高超楼</x:v>
      </x:c>
      <x:c r="O675" s="12" t="n">
        <x:f>IFERROR(INDEX('秒级路线参数_可调整'!$O:$O,MATCH(M675,'秒级路线参数_可调整'!$A:$A,0)),"")</x:f>
        <x:v>0</x:v>
      </x:c>
      <x:c r="P675" s="12" t="str">
        <x:f>IF(O675="","",O675/86400)</x:f>
      </x:c>
      <x:c r="Q675" s="12" t="str">
        <x:f>IF(O675="","",(H675*60+O675)/86400)</x:f>
      </x:c>
      <x:c r="R675" s="12" t="str">
        <x:f>IF(Q675="","",TEXT(Q675,"hh:mm:ss"))</x:f>
      </x:c>
      <x:c r="S675" s="12" t="str">
        <x:v>否</x:v>
      </x:c>
      <x:c r="T675" s="12" t="str">
        <x:v>否</x:v>
      </x:c>
      <x:c r="U675" s="12" t="str">
        <x:v>未提供</x:v>
      </x:c>
      <x:c r="V675" s="12" t="str">
        <x:v>未提供</x:v>
      </x:c>
      <x:c r="W675" s="12" t="str">
        <x:v>秒级预测</x:v>
      </x:c>
      <x:c r="X675" s="12" t="str">
        <x:v>基于路线秒级参数；如录入实测或手动采用秒，预计到达时间可随公式更新</x:v>
      </x:c>
    </x:row>
    <x:row r="676">
      <x:c r="A676" s="12" t="str">
        <x:v>S0055-09</x:v>
      </x:c>
      <x:c r="B676" s="12" t="str">
        <x:v>S0055</x:v>
      </x:c>
      <x:c r="C676" s="12" t="str">
        <x:v>工作日</x:v>
      </x:c>
      <x:c r="D676" s="12" t="str">
        <x:v>环线1路</x:v>
      </x:c>
      <x:c r="E676" s="12" t="str">
        <x:v>第五班（夜2）</x:v>
      </x:c>
      <x:c r="F676" s="12" t="n">
        <x:v>14</x:v>
      </x:c>
      <x:c r="G676" s="12" t="str">
        <x:v>22:00</x:v>
      </x:c>
      <x:c r="H676" s="12" t="n">
        <x:v>1320</x:v>
      </x:c>
      <x:c r="I676" s="12" t="str">
        <x:v>研究生宿舍楼</x:v>
      </x:c>
      <x:c r="J676" s="12" t="str">
        <x:v>研究生宿舍楼发车</x:v>
      </x:c>
      <x:c r="K676" s="12" t="str">
        <x:v>HX1_NORMAL</x:v>
      </x:c>
      <x:c r="L676" s="12" t="n">
        <x:v>9</x:v>
      </x:c>
      <x:c r="M676" s="12" t="str">
        <x:v>HX1_NORMAL|9</x:v>
      </x:c>
      <x:c r="N676" s="12" t="str">
        <x:v>理学院</x:v>
      </x:c>
      <x:c r="O676" s="12" t="n">
        <x:f>IFERROR(INDEX('秒级路线参数_可调整'!$O:$O,MATCH(M676,'秒级路线参数_可调整'!$A:$A,0)),"")</x:f>
        <x:v>0</x:v>
      </x:c>
      <x:c r="P676" s="12" t="str">
        <x:f>IF(O676="","",O676/86400)</x:f>
      </x:c>
      <x:c r="Q676" s="12" t="str">
        <x:f>IF(O676="","",(H676*60+O676)/86400)</x:f>
      </x:c>
      <x:c r="R676" s="12" t="str">
        <x:f>IF(Q676="","",TEXT(Q676,"hh:mm:ss"))</x:f>
      </x:c>
      <x:c r="S676" s="12" t="str">
        <x:v>否</x:v>
      </x:c>
      <x:c r="T676" s="12" t="str">
        <x:v>否</x:v>
      </x:c>
      <x:c r="U676" s="12" t="str">
        <x:v>未提供</x:v>
      </x:c>
      <x:c r="V676" s="12" t="str">
        <x:v>未提供</x:v>
      </x:c>
      <x:c r="W676" s="12" t="str">
        <x:v>秒级预测</x:v>
      </x:c>
      <x:c r="X676" s="12" t="str">
        <x:v>基于路线秒级参数；如录入实测或手动采用秒，预计到达时间可随公式更新</x:v>
      </x:c>
    </x:row>
    <x:row r="677">
      <x:c r="A677" s="12" t="str">
        <x:v>S0055-10</x:v>
      </x:c>
      <x:c r="B677" s="12" t="str">
        <x:v>S0055</x:v>
      </x:c>
      <x:c r="C677" s="12" t="str">
        <x:v>工作日</x:v>
      </x:c>
      <x:c r="D677" s="12" t="str">
        <x:v>环线1路</x:v>
      </x:c>
      <x:c r="E677" s="12" t="str">
        <x:v>第五班（夜2）</x:v>
      </x:c>
      <x:c r="F677" s="12" t="n">
        <x:v>14</x:v>
      </x:c>
      <x:c r="G677" s="12" t="str">
        <x:v>22:00</x:v>
      </x:c>
      <x:c r="H677" s="12" t="n">
        <x:v>1320</x:v>
      </x:c>
      <x:c r="I677" s="12" t="str">
        <x:v>研究生宿舍楼</x:v>
      </x:c>
      <x:c r="J677" s="12" t="str">
        <x:v>研究生宿舍楼发车</x:v>
      </x:c>
      <x:c r="K677" s="12" t="str">
        <x:v>HX1_NORMAL</x:v>
      </x:c>
      <x:c r="L677" s="12" t="n">
        <x:v>10</x:v>
      </x:c>
      <x:c r="M677" s="12" t="str">
        <x:v>HX1_NORMAL|10</x:v>
      </x:c>
      <x:c r="N677" s="12" t="str">
        <x:v>二食堂</x:v>
      </x:c>
      <x:c r="O677" s="12" t="n">
        <x:f>IFERROR(INDEX('秒级路线参数_可调整'!$O:$O,MATCH(M677,'秒级路线参数_可调整'!$A:$A,0)),"")</x:f>
        <x:v>0</x:v>
      </x:c>
      <x:c r="P677" s="12" t="str">
        <x:f>IF(O677="","",O677/86400)</x:f>
      </x:c>
      <x:c r="Q677" s="12" t="str">
        <x:f>IF(O677="","",(H677*60+O677)/86400)</x:f>
      </x:c>
      <x:c r="R677" s="12" t="str">
        <x:f>IF(Q677="","",TEXT(Q677,"hh:mm:ss"))</x:f>
      </x:c>
      <x:c r="S677" s="12" t="str">
        <x:v>否</x:v>
      </x:c>
      <x:c r="T677" s="12" t="str">
        <x:v>否</x:v>
      </x:c>
      <x:c r="U677" s="12" t="str">
        <x:v>未提供</x:v>
      </x:c>
      <x:c r="V677" s="12" t="str">
        <x:v>未提供</x:v>
      </x:c>
      <x:c r="W677" s="12" t="str">
        <x:v>秒级预测</x:v>
      </x:c>
      <x:c r="X677" s="12" t="str">
        <x:v>基于路线秒级参数；如录入实测或手动采用秒，预计到达时间可随公式更新</x:v>
      </x:c>
    </x:row>
    <x:row r="678">
      <x:c r="A678" s="12" t="str">
        <x:v>S0055-11</x:v>
      </x:c>
      <x:c r="B678" s="12" t="str">
        <x:v>S0055</x:v>
      </x:c>
      <x:c r="C678" s="12" t="str">
        <x:v>工作日</x:v>
      </x:c>
      <x:c r="D678" s="12" t="str">
        <x:v>环线1路</x:v>
      </x:c>
      <x:c r="E678" s="12" t="str">
        <x:v>第五班（夜2）</x:v>
      </x:c>
      <x:c r="F678" s="12" t="n">
        <x:v>14</x:v>
      </x:c>
      <x:c r="G678" s="12" t="str">
        <x:v>22:00</x:v>
      </x:c>
      <x:c r="H678" s="12" t="n">
        <x:v>1320</x:v>
      </x:c>
      <x:c r="I678" s="12" t="str">
        <x:v>研究生宿舍楼</x:v>
      </x:c>
      <x:c r="J678" s="12" t="str">
        <x:v>研究生宿舍楼发车</x:v>
      </x:c>
      <x:c r="K678" s="12" t="str">
        <x:v>HX1_NORMAL</x:v>
      </x:c>
      <x:c r="L678" s="12" t="n">
        <x:v>11</x:v>
      </x:c>
      <x:c r="M678" s="12" t="str">
        <x:v>HX1_NORMAL|11</x:v>
      </x:c>
      <x:c r="N678" s="12" t="str">
        <x:v>5号宿舍楼</x:v>
      </x:c>
      <x:c r="O678" s="12" t="n">
        <x:f>IFERROR(INDEX('秒级路线参数_可调整'!$O:$O,MATCH(M678,'秒级路线参数_可调整'!$A:$A,0)),"")</x:f>
        <x:v>0</x:v>
      </x:c>
      <x:c r="P678" s="12" t="str">
        <x:f>IF(O678="","",O678/86400)</x:f>
      </x:c>
      <x:c r="Q678" s="12" t="str">
        <x:f>IF(O678="","",(H678*60+O678)/86400)</x:f>
      </x:c>
      <x:c r="R678" s="12" t="str">
        <x:f>IF(Q678="","",TEXT(Q678,"hh:mm:ss"))</x:f>
      </x:c>
      <x:c r="S678" s="12" t="str">
        <x:v>否</x:v>
      </x:c>
      <x:c r="T678" s="12" t="str">
        <x:v>否</x:v>
      </x:c>
      <x:c r="U678" s="12" t="str">
        <x:v>未提供</x:v>
      </x:c>
      <x:c r="V678" s="12" t="str">
        <x:v>未提供</x:v>
      </x:c>
      <x:c r="W678" s="12" t="str">
        <x:v>秒级预测</x:v>
      </x:c>
      <x:c r="X678" s="12" t="str">
        <x:v>基于路线秒级参数；如录入实测或手动采用秒，预计到达时间可随公式更新</x:v>
      </x:c>
    </x:row>
    <x:row r="679">
      <x:c r="A679" s="12" t="str">
        <x:v>S0055-12</x:v>
      </x:c>
      <x:c r="B679" s="12" t="str">
        <x:v>S0055</x:v>
      </x:c>
      <x:c r="C679" s="12" t="str">
        <x:v>工作日</x:v>
      </x:c>
      <x:c r="D679" s="12" t="str">
        <x:v>环线1路</x:v>
      </x:c>
      <x:c r="E679" s="12" t="str">
        <x:v>第五班（夜2）</x:v>
      </x:c>
      <x:c r="F679" s="12" t="n">
        <x:v>14</x:v>
      </x:c>
      <x:c r="G679" s="12" t="str">
        <x:v>22:00</x:v>
      </x:c>
      <x:c r="H679" s="12" t="n">
        <x:v>1320</x:v>
      </x:c>
      <x:c r="I679" s="12" t="str">
        <x:v>研究生宿舍楼</x:v>
      </x:c>
      <x:c r="J679" s="12" t="str">
        <x:v>研究生宿舍楼发车</x:v>
      </x:c>
      <x:c r="K679" s="12" t="str">
        <x:v>HX1_NORMAL</x:v>
      </x:c>
      <x:c r="L679" s="12" t="n">
        <x:v>12</x:v>
      </x:c>
      <x:c r="M679" s="12" t="str">
        <x:v>HX1_NORMAL|12</x:v>
      </x:c>
      <x:c r="N679" s="12" t="str">
        <x:v>305教学楼</x:v>
      </x:c>
      <x:c r="O679" s="12" t="n">
        <x:f>IFERROR(INDEX('秒级路线参数_可调整'!$O:$O,MATCH(M679,'秒级路线参数_可调整'!$A:$A,0)),"")</x:f>
        <x:v>0</x:v>
      </x:c>
      <x:c r="P679" s="12" t="str">
        <x:f>IF(O679="","",O679/86400)</x:f>
      </x:c>
      <x:c r="Q679" s="12" t="str">
        <x:f>IF(O679="","",(H679*60+O679)/86400)</x:f>
      </x:c>
      <x:c r="R679" s="12" t="str">
        <x:f>IF(Q679="","",TEXT(Q679,"hh:mm:ss"))</x:f>
      </x:c>
      <x:c r="S679" s="12" t="str">
        <x:v>否</x:v>
      </x:c>
      <x:c r="T679" s="12" t="str">
        <x:v>否</x:v>
      </x:c>
      <x:c r="U679" s="12" t="str">
        <x:v>未提供</x:v>
      </x:c>
      <x:c r="V679" s="12" t="str">
        <x:v>未提供</x:v>
      </x:c>
      <x:c r="W679" s="12" t="str">
        <x:v>秒级预测</x:v>
      </x:c>
      <x:c r="X679" s="12" t="str">
        <x:v>基于路线秒级参数；如录入实测或手动采用秒，预计到达时间可随公式更新</x:v>
      </x:c>
    </x:row>
    <x:row r="680">
      <x:c r="A680" s="12" t="str">
        <x:v>S0055-13</x:v>
      </x:c>
      <x:c r="B680" s="12" t="str">
        <x:v>S0055</x:v>
      </x:c>
      <x:c r="C680" s="12" t="str">
        <x:v>工作日</x:v>
      </x:c>
      <x:c r="D680" s="12" t="str">
        <x:v>环线1路</x:v>
      </x:c>
      <x:c r="E680" s="12" t="str">
        <x:v>第五班（夜2）</x:v>
      </x:c>
      <x:c r="F680" s="12" t="n">
        <x:v>14</x:v>
      </x:c>
      <x:c r="G680" s="12" t="str">
        <x:v>22:00</x:v>
      </x:c>
      <x:c r="H680" s="12" t="n">
        <x:v>1320</x:v>
      </x:c>
      <x:c r="I680" s="12" t="str">
        <x:v>研究生宿舍楼</x:v>
      </x:c>
      <x:c r="J680" s="12" t="str">
        <x:v>研究生宿舍楼发车</x:v>
      </x:c>
      <x:c r="K680" s="12" t="str">
        <x:v>HX1_NORMAL</x:v>
      </x:c>
      <x:c r="L680" s="12" t="n">
        <x:v>13</x:v>
      </x:c>
      <x:c r="M680" s="12" t="str">
        <x:v>HX1_NORMAL|13</x:v>
      </x:c>
      <x:c r="N680" s="12" t="str">
        <x:v>研究生宿舍楼</x:v>
      </x:c>
      <x:c r="O680" s="12" t="n">
        <x:f>IFERROR(INDEX('秒级路线参数_可调整'!$O:$O,MATCH(M680,'秒级路线参数_可调整'!$A:$A,0)),"")</x:f>
        <x:v>0</x:v>
      </x:c>
      <x:c r="P680" s="12" t="str">
        <x:f>IF(O680="","",O680/86400)</x:f>
      </x:c>
      <x:c r="Q680" s="12" t="str">
        <x:f>IF(O680="","",(H680*60+O680)/86400)</x:f>
      </x:c>
      <x:c r="R680" s="12" t="str">
        <x:f>IF(Q680="","",TEXT(Q680,"hh:mm:ss"))</x:f>
      </x:c>
      <x:c r="S680" s="12" t="str">
        <x:v>否</x:v>
      </x:c>
      <x:c r="T680" s="12" t="str">
        <x:v>是</x:v>
      </x:c>
      <x:c r="U680" s="12" t="str">
        <x:v>未提供</x:v>
      </x:c>
      <x:c r="V680" s="12" t="str">
        <x:v>未提供</x:v>
      </x:c>
      <x:c r="W680" s="12" t="str">
        <x:v>秒级预测</x:v>
      </x:c>
      <x:c r="X680" s="12" t="str">
        <x:v>基于路线秒级参数；如录入实测或手动采用秒，预计到达时间可随公式更新</x:v>
      </x:c>
    </x:row>
    <x:row r="681">
      <x:c r="A681" s="12" t="str">
        <x:v>S0056-01</x:v>
      </x:c>
      <x:c r="B681" s="12" t="str">
        <x:v>S0056</x:v>
      </x:c>
      <x:c r="C681" s="12" t="str">
        <x:v>工作日</x:v>
      </x:c>
      <x:c r="D681" s="12" t="str">
        <x:v>环线1路</x:v>
      </x:c>
      <x:c r="E681" s="12" t="str">
        <x:v>第五班（夜2）</x:v>
      </x:c>
      <x:c r="F681" s="12" t="n">
        <x:v>15</x:v>
      </x:c>
      <x:c r="G681" s="12" t="str">
        <x:v>22:30</x:v>
      </x:c>
      <x:c r="H681" s="12" t="n">
        <x:v>1350</x:v>
      </x:c>
      <x:c r="I681" s="12" t="str">
        <x:v>研究生宿舍楼</x:v>
      </x:c>
      <x:c r="J681" s="12" t="str">
        <x:v>研究生宿舍楼发车</x:v>
      </x:c>
      <x:c r="K681" s="12" t="str">
        <x:v>HX1_NORMAL</x:v>
      </x:c>
      <x:c r="L681" s="12" t="n">
        <x:v>1</x:v>
      </x:c>
      <x:c r="M681" s="12" t="str">
        <x:v>HX1_NORMAL|1</x:v>
      </x:c>
      <x:c r="N681" s="12" t="str">
        <x:v>研究生宿舍楼</x:v>
      </x:c>
      <x:c r="O681" s="12" t="n">
        <x:f>IFERROR(INDEX('秒级路线参数_可调整'!$O:$O,MATCH(M681,'秒级路线参数_可调整'!$A:$A,0)),"")</x:f>
        <x:v>0</x:v>
      </x:c>
      <x:c r="P681" s="12" t="str">
        <x:f>IF(O681="","",O681/86400)</x:f>
      </x:c>
      <x:c r="Q681" s="12" t="str">
        <x:f>IF(O681="","",(H681*60+O681)/86400)</x:f>
      </x:c>
      <x:c r="R681" s="12" t="str">
        <x:f>IF(Q681="","",TEXT(Q681,"hh:mm:ss"))</x:f>
      </x:c>
      <x:c r="S681" s="12" t="str">
        <x:v>是</x:v>
      </x:c>
      <x:c r="T681" s="12" t="str">
        <x:v>否</x:v>
      </x:c>
      <x:c r="U681" s="12" t="str">
        <x:v>未提供</x:v>
      </x:c>
      <x:c r="V681" s="12" t="str">
        <x:v>未提供</x:v>
      </x:c>
      <x:c r="W681" s="12" t="str">
        <x:v>秒级预测</x:v>
      </x:c>
      <x:c r="X681" s="12" t="str">
        <x:v>基于路线秒级参数；如录入实测或手动采用秒，预计到达时间可随公式更新</x:v>
      </x:c>
    </x:row>
    <x:row r="682">
      <x:c r="A682" s="12" t="str">
        <x:v>S0056-02</x:v>
      </x:c>
      <x:c r="B682" s="12" t="str">
        <x:v>S0056</x:v>
      </x:c>
      <x:c r="C682" s="12" t="str">
        <x:v>工作日</x:v>
      </x:c>
      <x:c r="D682" s="12" t="str">
        <x:v>环线1路</x:v>
      </x:c>
      <x:c r="E682" s="12" t="str">
        <x:v>第五班（夜2）</x:v>
      </x:c>
      <x:c r="F682" s="12" t="n">
        <x:v>15</x:v>
      </x:c>
      <x:c r="G682" s="12" t="str">
        <x:v>22:30</x:v>
      </x:c>
      <x:c r="H682" s="12" t="n">
        <x:v>1350</x:v>
      </x:c>
      <x:c r="I682" s="12" t="str">
        <x:v>研究生宿舍楼</x:v>
      </x:c>
      <x:c r="J682" s="12" t="str">
        <x:v>研究生宿舍楼发车</x:v>
      </x:c>
      <x:c r="K682" s="12" t="str">
        <x:v>HX1_NORMAL</x:v>
      </x:c>
      <x:c r="L682" s="12" t="n">
        <x:v>2</x:v>
      </x:c>
      <x:c r="M682" s="12" t="str">
        <x:v>HX1_NORMAL|2</x:v>
      </x:c>
      <x:c r="N682" s="12" t="str">
        <x:v>东门</x:v>
      </x:c>
      <x:c r="O682" s="12" t="n">
        <x:f>IFERROR(INDEX('秒级路线参数_可调整'!$O:$O,MATCH(M682,'秒级路线参数_可调整'!$A:$A,0)),"")</x:f>
        <x:v>0</x:v>
      </x:c>
      <x:c r="P682" s="12" t="str">
        <x:f>IF(O682="","",O682/86400)</x:f>
      </x:c>
      <x:c r="Q682" s="12" t="str">
        <x:f>IF(O682="","",(H682*60+O682)/86400)</x:f>
      </x:c>
      <x:c r="R682" s="12" t="str">
        <x:f>IF(Q682="","",TEXT(Q682,"hh:mm:ss"))</x:f>
      </x:c>
      <x:c r="S682" s="12" t="str">
        <x:v>否</x:v>
      </x:c>
      <x:c r="T682" s="12" t="str">
        <x:v>否</x:v>
      </x:c>
      <x:c r="U682" s="12" t="str">
        <x:v>未提供</x:v>
      </x:c>
      <x:c r="V682" s="12" t="str">
        <x:v>未提供</x:v>
      </x:c>
      <x:c r="W682" s="12" t="str">
        <x:v>秒级预测</x:v>
      </x:c>
      <x:c r="X682" s="12" t="str">
        <x:v>基于路线秒级参数；如录入实测或手动采用秒，预计到达时间可随公式更新</x:v>
      </x:c>
    </x:row>
    <x:row r="683">
      <x:c r="A683" s="12" t="str">
        <x:v>S0056-03</x:v>
      </x:c>
      <x:c r="B683" s="12" t="str">
        <x:v>S0056</x:v>
      </x:c>
      <x:c r="C683" s="12" t="str">
        <x:v>工作日</x:v>
      </x:c>
      <x:c r="D683" s="12" t="str">
        <x:v>环线1路</x:v>
      </x:c>
      <x:c r="E683" s="12" t="str">
        <x:v>第五班（夜2）</x:v>
      </x:c>
      <x:c r="F683" s="12" t="n">
        <x:v>15</x:v>
      </x:c>
      <x:c r="G683" s="12" t="str">
        <x:v>22:30</x:v>
      </x:c>
      <x:c r="H683" s="12" t="n">
        <x:v>1350</x:v>
      </x:c>
      <x:c r="I683" s="12" t="str">
        <x:v>研究生宿舍楼</x:v>
      </x:c>
      <x:c r="J683" s="12" t="str">
        <x:v>研究生宿舍楼发车</x:v>
      </x:c>
      <x:c r="K683" s="12" t="str">
        <x:v>HX1_NORMAL</x:v>
      </x:c>
      <x:c r="L683" s="12" t="n">
        <x:v>3</x:v>
      </x:c>
      <x:c r="M683" s="12" t="str">
        <x:v>HX1_NORMAL|3</x:v>
      </x:c>
      <x:c r="N683" s="12" t="str">
        <x:v>2号宿舍楼</x:v>
      </x:c>
      <x:c r="O683" s="12" t="n">
        <x:f>IFERROR(INDEX('秒级路线参数_可调整'!$O:$O,MATCH(M683,'秒级路线参数_可调整'!$A:$A,0)),"")</x:f>
        <x:v>0</x:v>
      </x:c>
      <x:c r="P683" s="12" t="str">
        <x:f>IF(O683="","",O683/86400)</x:f>
      </x:c>
      <x:c r="Q683" s="12" t="str">
        <x:f>IF(O683="","",(H683*60+O683)/86400)</x:f>
      </x:c>
      <x:c r="R683" s="12" t="str">
        <x:f>IF(Q683="","",TEXT(Q683,"hh:mm:ss"))</x:f>
      </x:c>
      <x:c r="S683" s="12" t="str">
        <x:v>否</x:v>
      </x:c>
      <x:c r="T683" s="12" t="str">
        <x:v>否</x:v>
      </x:c>
      <x:c r="U683" s="12" t="str">
        <x:v>未提供</x:v>
      </x:c>
      <x:c r="V683" s="12" t="str">
        <x:v>未提供</x:v>
      </x:c>
      <x:c r="W683" s="12" t="str">
        <x:v>秒级预测</x:v>
      </x:c>
      <x:c r="X683" s="12" t="str">
        <x:v>基于路线秒级参数；如录入实测或手动采用秒，预计到达时间可随公式更新</x:v>
      </x:c>
    </x:row>
    <x:row r="684">
      <x:c r="A684" s="12" t="str">
        <x:v>S0056-04</x:v>
      </x:c>
      <x:c r="B684" s="12" t="str">
        <x:v>S0056</x:v>
      </x:c>
      <x:c r="C684" s="12" t="str">
        <x:v>工作日</x:v>
      </x:c>
      <x:c r="D684" s="12" t="str">
        <x:v>环线1路</x:v>
      </x:c>
      <x:c r="E684" s="12" t="str">
        <x:v>第五班（夜2）</x:v>
      </x:c>
      <x:c r="F684" s="12" t="n">
        <x:v>15</x:v>
      </x:c>
      <x:c r="G684" s="12" t="str">
        <x:v>22:30</x:v>
      </x:c>
      <x:c r="H684" s="12" t="n">
        <x:v>1350</x:v>
      </x:c>
      <x:c r="I684" s="12" t="str">
        <x:v>研究生宿舍楼</x:v>
      </x:c>
      <x:c r="J684" s="12" t="str">
        <x:v>研究生宿舍楼发车</x:v>
      </x:c>
      <x:c r="K684" s="12" t="str">
        <x:v>HX1_NORMAL</x:v>
      </x:c>
      <x:c r="L684" s="12" t="n">
        <x:v>4</x:v>
      </x:c>
      <x:c r="M684" s="12" t="str">
        <x:v>HX1_NORMAL|4</x:v>
      </x:c>
      <x:c r="N684" s="12" t="str">
        <x:v>军体活动中心</x:v>
      </x:c>
      <x:c r="O684" s="12" t="n">
        <x:f>IFERROR(INDEX('秒级路线参数_可调整'!$O:$O,MATCH(M684,'秒级路线参数_可调整'!$A:$A,0)),"")</x:f>
        <x:v>0</x:v>
      </x:c>
      <x:c r="P684" s="12" t="str">
        <x:f>IF(O684="","",O684/86400)</x:f>
      </x:c>
      <x:c r="Q684" s="12" t="str">
        <x:f>IF(O684="","",(H684*60+O684)/86400)</x:f>
      </x:c>
      <x:c r="R684" s="12" t="str">
        <x:f>IF(Q684="","",TEXT(Q684,"hh:mm:ss"))</x:f>
      </x:c>
      <x:c r="S684" s="12" t="str">
        <x:v>否</x:v>
      </x:c>
      <x:c r="T684" s="12" t="str">
        <x:v>否</x:v>
      </x:c>
      <x:c r="U684" s="12" t="str">
        <x:v>未提供</x:v>
      </x:c>
      <x:c r="V684" s="12" t="str">
        <x:v>未提供</x:v>
      </x:c>
      <x:c r="W684" s="12" t="str">
        <x:v>秒级预测</x:v>
      </x:c>
      <x:c r="X684" s="12" t="str">
        <x:v>基于路线秒级参数；如录入实测或手动采用秒，预计到达时间可随公式更新</x:v>
      </x:c>
    </x:row>
    <x:row r="685">
      <x:c r="A685" s="12" t="str">
        <x:v>S0056-05</x:v>
      </x:c>
      <x:c r="B685" s="12" t="str">
        <x:v>S0056</x:v>
      </x:c>
      <x:c r="C685" s="12" t="str">
        <x:v>工作日</x:v>
      </x:c>
      <x:c r="D685" s="12" t="str">
        <x:v>环线1路</x:v>
      </x:c>
      <x:c r="E685" s="12" t="str">
        <x:v>第五班（夜2）</x:v>
      </x:c>
      <x:c r="F685" s="12" t="n">
        <x:v>15</x:v>
      </x:c>
      <x:c r="G685" s="12" t="str">
        <x:v>22:30</x:v>
      </x:c>
      <x:c r="H685" s="12" t="n">
        <x:v>1350</x:v>
      </x:c>
      <x:c r="I685" s="12" t="str">
        <x:v>研究生宿舍楼</x:v>
      </x:c>
      <x:c r="J685" s="12" t="str">
        <x:v>研究生宿舍楼发车</x:v>
      </x:c>
      <x:c r="K685" s="12" t="str">
        <x:v>HX1_NORMAL</x:v>
      </x:c>
      <x:c r="L685" s="12" t="n">
        <x:v>5</x:v>
      </x:c>
      <x:c r="M685" s="12" t="str">
        <x:v>HX1_NORMAL|5</x:v>
      </x:c>
      <x:c r="N685" s="12" t="str">
        <x:v>激光所</x:v>
      </x:c>
      <x:c r="O685" s="12" t="n">
        <x:f>IFERROR(INDEX('秒级路线参数_可调整'!$O:$O,MATCH(M685,'秒级路线参数_可调整'!$A:$A,0)),"")</x:f>
        <x:v>0</x:v>
      </x:c>
      <x:c r="P685" s="12" t="str">
        <x:f>IF(O685="","",O685/86400)</x:f>
      </x:c>
      <x:c r="Q685" s="12" t="str">
        <x:f>IF(O685="","",(H685*60+O685)/86400)</x:f>
      </x:c>
      <x:c r="R685" s="12" t="str">
        <x:f>IF(Q685="","",TEXT(Q685,"hh:mm:ss"))</x:f>
      </x:c>
      <x:c r="S685" s="12" t="str">
        <x:v>否</x:v>
      </x:c>
      <x:c r="T685" s="12" t="str">
        <x:v>否</x:v>
      </x:c>
      <x:c r="U685" s="12" t="str">
        <x:v>未提供</x:v>
      </x:c>
      <x:c r="V685" s="12" t="str">
        <x:v>未提供</x:v>
      </x:c>
      <x:c r="W685" s="12" t="str">
        <x:v>秒级预测</x:v>
      </x:c>
      <x:c r="X685" s="12" t="str">
        <x:v>基于路线秒级参数；如录入实测或手动采用秒，预计到达时间可随公式更新</x:v>
      </x:c>
    </x:row>
    <x:row r="686">
      <x:c r="A686" s="12" t="str">
        <x:v>S0056-06</x:v>
      </x:c>
      <x:c r="B686" s="12" t="str">
        <x:v>S0056</x:v>
      </x:c>
      <x:c r="C686" s="12" t="str">
        <x:v>工作日</x:v>
      </x:c>
      <x:c r="D686" s="12" t="str">
        <x:v>环线1路</x:v>
      </x:c>
      <x:c r="E686" s="12" t="str">
        <x:v>第五班（夜2）</x:v>
      </x:c>
      <x:c r="F686" s="12" t="n">
        <x:v>15</x:v>
      </x:c>
      <x:c r="G686" s="12" t="str">
        <x:v>22:30</x:v>
      </x:c>
      <x:c r="H686" s="12" t="n">
        <x:v>1350</x:v>
      </x:c>
      <x:c r="I686" s="12" t="str">
        <x:v>研究生宿舍楼</x:v>
      </x:c>
      <x:c r="J686" s="12" t="str">
        <x:v>研究生宿舍楼发车</x:v>
      </x:c>
      <x:c r="K686" s="12" t="str">
        <x:v>HX1_NORMAL</x:v>
      </x:c>
      <x:c r="L686" s="12" t="n">
        <x:v>6</x:v>
      </x:c>
      <x:c r="M686" s="12" t="str">
        <x:v>HX1_NORMAL|6</x:v>
      </x:c>
      <x:c r="N686" s="12" t="str">
        <x:v>超算中心</x:v>
      </x:c>
      <x:c r="O686" s="12" t="n">
        <x:f>IFERROR(INDEX('秒级路线参数_可调整'!$O:$O,MATCH(M686,'秒级路线参数_可调整'!$A:$A,0)),"")</x:f>
        <x:v>0</x:v>
      </x:c>
      <x:c r="P686" s="12" t="str">
        <x:f>IF(O686="","",O686/86400)</x:f>
      </x:c>
      <x:c r="Q686" s="12" t="str">
        <x:f>IF(O686="","",(H686*60+O686)/86400)</x:f>
      </x:c>
      <x:c r="R686" s="12" t="str">
        <x:f>IF(Q686="","",TEXT(Q686,"hh:mm:ss"))</x:f>
      </x:c>
      <x:c r="S686" s="12" t="str">
        <x:v>否</x:v>
      </x:c>
      <x:c r="T686" s="12" t="str">
        <x:v>否</x:v>
      </x:c>
      <x:c r="U686" s="12" t="str">
        <x:v>未提供</x:v>
      </x:c>
      <x:c r="V686" s="12" t="str">
        <x:v>未提供</x:v>
      </x:c>
      <x:c r="W686" s="12" t="str">
        <x:v>秒级预测</x:v>
      </x:c>
      <x:c r="X686" s="12" t="str">
        <x:v>基于路线秒级参数；如录入实测或手动采用秒，预计到达时间可随公式更新</x:v>
      </x:c>
    </x:row>
    <x:row r="687">
      <x:c r="A687" s="12" t="str">
        <x:v>S0056-07</x:v>
      </x:c>
      <x:c r="B687" s="12" t="str">
        <x:v>S0056</x:v>
      </x:c>
      <x:c r="C687" s="12" t="str">
        <x:v>工作日</x:v>
      </x:c>
      <x:c r="D687" s="12" t="str">
        <x:v>环线1路</x:v>
      </x:c>
      <x:c r="E687" s="12" t="str">
        <x:v>第五班（夜2）</x:v>
      </x:c>
      <x:c r="F687" s="12" t="n">
        <x:v>15</x:v>
      </x:c>
      <x:c r="G687" s="12" t="str">
        <x:v>22:30</x:v>
      </x:c>
      <x:c r="H687" s="12" t="n">
        <x:v>1350</x:v>
      </x:c>
      <x:c r="I687" s="12" t="str">
        <x:v>研究生宿舍楼</x:v>
      </x:c>
      <x:c r="J687" s="12" t="str">
        <x:v>研究生宿舍楼发车</x:v>
      </x:c>
      <x:c r="K687" s="12" t="str">
        <x:v>HX1_NORMAL</x:v>
      </x:c>
      <x:c r="L687" s="12" t="n">
        <x:v>7</x:v>
      </x:c>
      <x:c r="M687" s="12" t="str">
        <x:v>HX1_NORMAL|7</x:v>
      </x:c>
      <x:c r="N687" s="12" t="str">
        <x:v>北门</x:v>
      </x:c>
      <x:c r="O687" s="12" t="n">
        <x:f>IFERROR(INDEX('秒级路线参数_可调整'!$O:$O,MATCH(M687,'秒级路线参数_可调整'!$A:$A,0)),"")</x:f>
        <x:v>0</x:v>
      </x:c>
      <x:c r="P687" s="12" t="str">
        <x:f>IF(O687="","",O687/86400)</x:f>
      </x:c>
      <x:c r="Q687" s="12" t="str">
        <x:f>IF(O687="","",(H687*60+O687)/86400)</x:f>
      </x:c>
      <x:c r="R687" s="12" t="str">
        <x:f>IF(Q687="","",TEXT(Q687,"hh:mm:ss"))</x:f>
      </x:c>
      <x:c r="S687" s="12" t="str">
        <x:v>否</x:v>
      </x:c>
      <x:c r="T687" s="12" t="str">
        <x:v>否</x:v>
      </x:c>
      <x:c r="U687" s="12" t="str">
        <x:v>未提供</x:v>
      </x:c>
      <x:c r="V687" s="12" t="str">
        <x:v>未提供</x:v>
      </x:c>
      <x:c r="W687" s="12" t="str">
        <x:v>秒级预测</x:v>
      </x:c>
      <x:c r="X687" s="12" t="str">
        <x:v>基于路线秒级参数；如录入实测或手动采用秒，预计到达时间可随公式更新</x:v>
      </x:c>
    </x:row>
    <x:row r="688">
      <x:c r="A688" s="12" t="str">
        <x:v>S0056-08</x:v>
      </x:c>
      <x:c r="B688" s="12" t="str">
        <x:v>S0056</x:v>
      </x:c>
      <x:c r="C688" s="12" t="str">
        <x:v>工作日</x:v>
      </x:c>
      <x:c r="D688" s="12" t="str">
        <x:v>环线1路</x:v>
      </x:c>
      <x:c r="E688" s="12" t="str">
        <x:v>第五班（夜2）</x:v>
      </x:c>
      <x:c r="F688" s="12" t="n">
        <x:v>15</x:v>
      </x:c>
      <x:c r="G688" s="12" t="str">
        <x:v>22:30</x:v>
      </x:c>
      <x:c r="H688" s="12" t="n">
        <x:v>1350</x:v>
      </x:c>
      <x:c r="I688" s="12" t="str">
        <x:v>研究生宿舍楼</x:v>
      </x:c>
      <x:c r="J688" s="12" t="str">
        <x:v>研究生宿舍楼发车</x:v>
      </x:c>
      <x:c r="K688" s="12" t="str">
        <x:v>HX1_NORMAL</x:v>
      </x:c>
      <x:c r="L688" s="12" t="n">
        <x:v>8</x:v>
      </x:c>
      <x:c r="M688" s="12" t="str">
        <x:v>HX1_NORMAL|8</x:v>
      </x:c>
      <x:c r="N688" s="12" t="str">
        <x:v>高超楼</x:v>
      </x:c>
      <x:c r="O688" s="12" t="n">
        <x:f>IFERROR(INDEX('秒级路线参数_可调整'!$O:$O,MATCH(M688,'秒级路线参数_可调整'!$A:$A,0)),"")</x:f>
        <x:v>0</x:v>
      </x:c>
      <x:c r="P688" s="12" t="str">
        <x:f>IF(O688="","",O688/86400)</x:f>
      </x:c>
      <x:c r="Q688" s="12" t="str">
        <x:f>IF(O688="","",(H688*60+O688)/86400)</x:f>
      </x:c>
      <x:c r="R688" s="12" t="str">
        <x:f>IF(Q688="","",TEXT(Q688,"hh:mm:ss"))</x:f>
      </x:c>
      <x:c r="S688" s="12" t="str">
        <x:v>否</x:v>
      </x:c>
      <x:c r="T688" s="12" t="str">
        <x:v>否</x:v>
      </x:c>
      <x:c r="U688" s="12" t="str">
        <x:v>未提供</x:v>
      </x:c>
      <x:c r="V688" s="12" t="str">
        <x:v>未提供</x:v>
      </x:c>
      <x:c r="W688" s="12" t="str">
        <x:v>秒级预测</x:v>
      </x:c>
      <x:c r="X688" s="12" t="str">
        <x:v>基于路线秒级参数；如录入实测或手动采用秒，预计到达时间可随公式更新</x:v>
      </x:c>
    </x:row>
    <x:row r="689">
      <x:c r="A689" s="12" t="str">
        <x:v>S0056-09</x:v>
      </x:c>
      <x:c r="B689" s="12" t="str">
        <x:v>S0056</x:v>
      </x:c>
      <x:c r="C689" s="12" t="str">
        <x:v>工作日</x:v>
      </x:c>
      <x:c r="D689" s="12" t="str">
        <x:v>环线1路</x:v>
      </x:c>
      <x:c r="E689" s="12" t="str">
        <x:v>第五班（夜2）</x:v>
      </x:c>
      <x:c r="F689" s="12" t="n">
        <x:v>15</x:v>
      </x:c>
      <x:c r="G689" s="12" t="str">
        <x:v>22:30</x:v>
      </x:c>
      <x:c r="H689" s="12" t="n">
        <x:v>1350</x:v>
      </x:c>
      <x:c r="I689" s="12" t="str">
        <x:v>研究生宿舍楼</x:v>
      </x:c>
      <x:c r="J689" s="12" t="str">
        <x:v>研究生宿舍楼发车</x:v>
      </x:c>
      <x:c r="K689" s="12" t="str">
        <x:v>HX1_NORMAL</x:v>
      </x:c>
      <x:c r="L689" s="12" t="n">
        <x:v>9</x:v>
      </x:c>
      <x:c r="M689" s="12" t="str">
        <x:v>HX1_NORMAL|9</x:v>
      </x:c>
      <x:c r="N689" s="12" t="str">
        <x:v>理学院</x:v>
      </x:c>
      <x:c r="O689" s="12" t="n">
        <x:f>IFERROR(INDEX('秒级路线参数_可调整'!$O:$O,MATCH(M689,'秒级路线参数_可调整'!$A:$A,0)),"")</x:f>
        <x:v>0</x:v>
      </x:c>
      <x:c r="P689" s="12" t="str">
        <x:f>IF(O689="","",O689/86400)</x:f>
      </x:c>
      <x:c r="Q689" s="12" t="str">
        <x:f>IF(O689="","",(H689*60+O689)/86400)</x:f>
      </x:c>
      <x:c r="R689" s="12" t="str">
        <x:f>IF(Q689="","",TEXT(Q689,"hh:mm:ss"))</x:f>
      </x:c>
      <x:c r="S689" s="12" t="str">
        <x:v>否</x:v>
      </x:c>
      <x:c r="T689" s="12" t="str">
        <x:v>否</x:v>
      </x:c>
      <x:c r="U689" s="12" t="str">
        <x:v>未提供</x:v>
      </x:c>
      <x:c r="V689" s="12" t="str">
        <x:v>未提供</x:v>
      </x:c>
      <x:c r="W689" s="12" t="str">
        <x:v>秒级预测</x:v>
      </x:c>
      <x:c r="X689" s="12" t="str">
        <x:v>基于路线秒级参数；如录入实测或手动采用秒，预计到达时间可随公式更新</x:v>
      </x:c>
    </x:row>
    <x:row r="690">
      <x:c r="A690" s="12" t="str">
        <x:v>S0056-10</x:v>
      </x:c>
      <x:c r="B690" s="12" t="str">
        <x:v>S0056</x:v>
      </x:c>
      <x:c r="C690" s="12" t="str">
        <x:v>工作日</x:v>
      </x:c>
      <x:c r="D690" s="12" t="str">
        <x:v>环线1路</x:v>
      </x:c>
      <x:c r="E690" s="12" t="str">
        <x:v>第五班（夜2）</x:v>
      </x:c>
      <x:c r="F690" s="12" t="n">
        <x:v>15</x:v>
      </x:c>
      <x:c r="G690" s="12" t="str">
        <x:v>22:30</x:v>
      </x:c>
      <x:c r="H690" s="12" t="n">
        <x:v>1350</x:v>
      </x:c>
      <x:c r="I690" s="12" t="str">
        <x:v>研究生宿舍楼</x:v>
      </x:c>
      <x:c r="J690" s="12" t="str">
        <x:v>研究生宿舍楼发车</x:v>
      </x:c>
      <x:c r="K690" s="12" t="str">
        <x:v>HX1_NORMAL</x:v>
      </x:c>
      <x:c r="L690" s="12" t="n">
        <x:v>10</x:v>
      </x:c>
      <x:c r="M690" s="12" t="str">
        <x:v>HX1_NORMAL|10</x:v>
      </x:c>
      <x:c r="N690" s="12" t="str">
        <x:v>二食堂</x:v>
      </x:c>
      <x:c r="O690" s="12" t="n">
        <x:f>IFERROR(INDEX('秒级路线参数_可调整'!$O:$O,MATCH(M690,'秒级路线参数_可调整'!$A:$A,0)),"")</x:f>
        <x:v>0</x:v>
      </x:c>
      <x:c r="P690" s="12" t="str">
        <x:f>IF(O690="","",O690/86400)</x:f>
      </x:c>
      <x:c r="Q690" s="12" t="str">
        <x:f>IF(O690="","",(H690*60+O690)/86400)</x:f>
      </x:c>
      <x:c r="R690" s="12" t="str">
        <x:f>IF(Q690="","",TEXT(Q690,"hh:mm:ss"))</x:f>
      </x:c>
      <x:c r="S690" s="12" t="str">
        <x:v>否</x:v>
      </x:c>
      <x:c r="T690" s="12" t="str">
        <x:v>否</x:v>
      </x:c>
      <x:c r="U690" s="12" t="str">
        <x:v>未提供</x:v>
      </x:c>
      <x:c r="V690" s="12" t="str">
        <x:v>未提供</x:v>
      </x:c>
      <x:c r="W690" s="12" t="str">
        <x:v>秒级预测</x:v>
      </x:c>
      <x:c r="X690" s="12" t="str">
        <x:v>基于路线秒级参数；如录入实测或手动采用秒，预计到达时间可随公式更新</x:v>
      </x:c>
    </x:row>
    <x:row r="691">
      <x:c r="A691" s="12" t="str">
        <x:v>S0056-11</x:v>
      </x:c>
      <x:c r="B691" s="12" t="str">
        <x:v>S0056</x:v>
      </x:c>
      <x:c r="C691" s="12" t="str">
        <x:v>工作日</x:v>
      </x:c>
      <x:c r="D691" s="12" t="str">
        <x:v>环线1路</x:v>
      </x:c>
      <x:c r="E691" s="12" t="str">
        <x:v>第五班（夜2）</x:v>
      </x:c>
      <x:c r="F691" s="12" t="n">
        <x:v>15</x:v>
      </x:c>
      <x:c r="G691" s="12" t="str">
        <x:v>22:30</x:v>
      </x:c>
      <x:c r="H691" s="12" t="n">
        <x:v>1350</x:v>
      </x:c>
      <x:c r="I691" s="12" t="str">
        <x:v>研究生宿舍楼</x:v>
      </x:c>
      <x:c r="J691" s="12" t="str">
        <x:v>研究生宿舍楼发车</x:v>
      </x:c>
      <x:c r="K691" s="12" t="str">
        <x:v>HX1_NORMAL</x:v>
      </x:c>
      <x:c r="L691" s="12" t="n">
        <x:v>11</x:v>
      </x:c>
      <x:c r="M691" s="12" t="str">
        <x:v>HX1_NORMAL|11</x:v>
      </x:c>
      <x:c r="N691" s="12" t="str">
        <x:v>5号宿舍楼</x:v>
      </x:c>
      <x:c r="O691" s="12" t="n">
        <x:f>IFERROR(INDEX('秒级路线参数_可调整'!$O:$O,MATCH(M691,'秒级路线参数_可调整'!$A:$A,0)),"")</x:f>
        <x:v>0</x:v>
      </x:c>
      <x:c r="P691" s="12" t="str">
        <x:f>IF(O691="","",O691/86400)</x:f>
      </x:c>
      <x:c r="Q691" s="12" t="str">
        <x:f>IF(O691="","",(H691*60+O691)/86400)</x:f>
      </x:c>
      <x:c r="R691" s="12" t="str">
        <x:f>IF(Q691="","",TEXT(Q691,"hh:mm:ss"))</x:f>
      </x:c>
      <x:c r="S691" s="12" t="str">
        <x:v>否</x:v>
      </x:c>
      <x:c r="T691" s="12" t="str">
        <x:v>否</x:v>
      </x:c>
      <x:c r="U691" s="12" t="str">
        <x:v>未提供</x:v>
      </x:c>
      <x:c r="V691" s="12" t="str">
        <x:v>未提供</x:v>
      </x:c>
      <x:c r="W691" s="12" t="str">
        <x:v>秒级预测</x:v>
      </x:c>
      <x:c r="X691" s="12" t="str">
        <x:v>基于路线秒级参数；如录入实测或手动采用秒，预计到达时间可随公式更新</x:v>
      </x:c>
    </x:row>
    <x:row r="692">
      <x:c r="A692" s="12" t="str">
        <x:v>S0056-12</x:v>
      </x:c>
      <x:c r="B692" s="12" t="str">
        <x:v>S0056</x:v>
      </x:c>
      <x:c r="C692" s="12" t="str">
        <x:v>工作日</x:v>
      </x:c>
      <x:c r="D692" s="12" t="str">
        <x:v>环线1路</x:v>
      </x:c>
      <x:c r="E692" s="12" t="str">
        <x:v>第五班（夜2）</x:v>
      </x:c>
      <x:c r="F692" s="12" t="n">
        <x:v>15</x:v>
      </x:c>
      <x:c r="G692" s="12" t="str">
        <x:v>22:30</x:v>
      </x:c>
      <x:c r="H692" s="12" t="n">
        <x:v>1350</x:v>
      </x:c>
      <x:c r="I692" s="12" t="str">
        <x:v>研究生宿舍楼</x:v>
      </x:c>
      <x:c r="J692" s="12" t="str">
        <x:v>研究生宿舍楼发车</x:v>
      </x:c>
      <x:c r="K692" s="12" t="str">
        <x:v>HX1_NORMAL</x:v>
      </x:c>
      <x:c r="L692" s="12" t="n">
        <x:v>12</x:v>
      </x:c>
      <x:c r="M692" s="12" t="str">
        <x:v>HX1_NORMAL|12</x:v>
      </x:c>
      <x:c r="N692" s="12" t="str">
        <x:v>305教学楼</x:v>
      </x:c>
      <x:c r="O692" s="12" t="n">
        <x:f>IFERROR(INDEX('秒级路线参数_可调整'!$O:$O,MATCH(M692,'秒级路线参数_可调整'!$A:$A,0)),"")</x:f>
        <x:v>0</x:v>
      </x:c>
      <x:c r="P692" s="12" t="str">
        <x:f>IF(O692="","",O692/86400)</x:f>
      </x:c>
      <x:c r="Q692" s="12" t="str">
        <x:f>IF(O692="","",(H692*60+O692)/86400)</x:f>
      </x:c>
      <x:c r="R692" s="12" t="str">
        <x:f>IF(Q692="","",TEXT(Q692,"hh:mm:ss"))</x:f>
      </x:c>
      <x:c r="S692" s="12" t="str">
        <x:v>否</x:v>
      </x:c>
      <x:c r="T692" s="12" t="str">
        <x:v>否</x:v>
      </x:c>
      <x:c r="U692" s="12" t="str">
        <x:v>未提供</x:v>
      </x:c>
      <x:c r="V692" s="12" t="str">
        <x:v>未提供</x:v>
      </x:c>
      <x:c r="W692" s="12" t="str">
        <x:v>秒级预测</x:v>
      </x:c>
      <x:c r="X692" s="12" t="str">
        <x:v>基于路线秒级参数；如录入实测或手动采用秒，预计到达时间可随公式更新</x:v>
      </x:c>
    </x:row>
    <x:row r="693">
      <x:c r="A693" s="12" t="str">
        <x:v>S0056-13</x:v>
      </x:c>
      <x:c r="B693" s="12" t="str">
        <x:v>S0056</x:v>
      </x:c>
      <x:c r="C693" s="12" t="str">
        <x:v>工作日</x:v>
      </x:c>
      <x:c r="D693" s="12" t="str">
        <x:v>环线1路</x:v>
      </x:c>
      <x:c r="E693" s="12" t="str">
        <x:v>第五班（夜2）</x:v>
      </x:c>
      <x:c r="F693" s="12" t="n">
        <x:v>15</x:v>
      </x:c>
      <x:c r="G693" s="12" t="str">
        <x:v>22:30</x:v>
      </x:c>
      <x:c r="H693" s="12" t="n">
        <x:v>1350</x:v>
      </x:c>
      <x:c r="I693" s="12" t="str">
        <x:v>研究生宿舍楼</x:v>
      </x:c>
      <x:c r="J693" s="12" t="str">
        <x:v>研究生宿舍楼发车</x:v>
      </x:c>
      <x:c r="K693" s="12" t="str">
        <x:v>HX1_NORMAL</x:v>
      </x:c>
      <x:c r="L693" s="12" t="n">
        <x:v>13</x:v>
      </x:c>
      <x:c r="M693" s="12" t="str">
        <x:v>HX1_NORMAL|13</x:v>
      </x:c>
      <x:c r="N693" s="12" t="str">
        <x:v>研究生宿舍楼</x:v>
      </x:c>
      <x:c r="O693" s="12" t="n">
        <x:f>IFERROR(INDEX('秒级路线参数_可调整'!$O:$O,MATCH(M693,'秒级路线参数_可调整'!$A:$A,0)),"")</x:f>
        <x:v>0</x:v>
      </x:c>
      <x:c r="P693" s="12" t="str">
        <x:f>IF(O693="","",O693/86400)</x:f>
      </x:c>
      <x:c r="Q693" s="12" t="str">
        <x:f>IF(O693="","",(H693*60+O693)/86400)</x:f>
      </x:c>
      <x:c r="R693" s="12" t="str">
        <x:f>IF(Q693="","",TEXT(Q693,"hh:mm:ss"))</x:f>
      </x:c>
      <x:c r="S693" s="12" t="str">
        <x:v>否</x:v>
      </x:c>
      <x:c r="T693" s="12" t="str">
        <x:v>是</x:v>
      </x:c>
      <x:c r="U693" s="12" t="str">
        <x:v>未提供</x:v>
      </x:c>
      <x:c r="V693" s="12" t="str">
        <x:v>未提供</x:v>
      </x:c>
      <x:c r="W693" s="12" t="str">
        <x:v>秒级预测</x:v>
      </x:c>
      <x:c r="X693" s="12" t="str">
        <x:v>基于路线秒级参数；如录入实测或手动采用秒，预计到达时间可随公式更新</x:v>
      </x:c>
    </x:row>
    <x:row r="694">
      <x:c r="A694" s="12" t="str">
        <x:v>S0057-01</x:v>
      </x:c>
      <x:c r="B694" s="12" t="str">
        <x:v>S0057</x:v>
      </x:c>
      <x:c r="C694" s="12" t="str">
        <x:v>工作日</x:v>
      </x:c>
      <x:c r="D694" s="12" t="str">
        <x:v>环线1路</x:v>
      </x:c>
      <x:c r="E694" s="12" t="str">
        <x:v>第四班（夜1）</x:v>
      </x:c>
      <x:c r="F694" s="12" t="n">
        <x:v>1</x:v>
      </x:c>
      <x:c r="G694" s="12" t="str">
        <x:v>14:24</x:v>
      </x:c>
      <x:c r="H694" s="12" t="n">
        <x:v>864</x:v>
      </x:c>
      <x:c r="I694" s="12" t="str">
        <x:v>研究生宿舍楼</x:v>
      </x:c>
      <x:c r="J694" s="12" t="str">
        <x:v>研究生宿舍楼发车</x:v>
      </x:c>
      <x:c r="K694" s="12" t="str">
        <x:v>HX1_NORMAL</x:v>
      </x:c>
      <x:c r="L694" s="12" t="n">
        <x:v>1</x:v>
      </x:c>
      <x:c r="M694" s="12" t="str">
        <x:v>HX1_NORMAL|1</x:v>
      </x:c>
      <x:c r="N694" s="12" t="str">
        <x:v>研究生宿舍楼</x:v>
      </x:c>
      <x:c r="O694" s="12" t="n">
        <x:f>IFERROR(INDEX('秒级路线参数_可调整'!$O:$O,MATCH(M694,'秒级路线参数_可调整'!$A:$A,0)),"")</x:f>
        <x:v>0</x:v>
      </x:c>
      <x:c r="P694" s="12" t="str">
        <x:f>IF(O694="","",O694/86400)</x:f>
      </x:c>
      <x:c r="Q694" s="12" t="str">
        <x:f>IF(O694="","",(H694*60+O694)/86400)</x:f>
      </x:c>
      <x:c r="R694" s="12" t="str">
        <x:f>IF(Q694="","",TEXT(Q694,"hh:mm:ss"))</x:f>
      </x:c>
      <x:c r="S694" s="12" t="str">
        <x:v>是</x:v>
      </x:c>
      <x:c r="T694" s="12" t="str">
        <x:v>否</x:v>
      </x:c>
      <x:c r="U694" s="12" t="str">
        <x:v>未提供</x:v>
      </x:c>
      <x:c r="V694" s="12" t="str">
        <x:v>未提供</x:v>
      </x:c>
      <x:c r="W694" s="12" t="str">
        <x:v>秒级预测</x:v>
      </x:c>
      <x:c r="X694" s="12" t="str">
        <x:v>基于路线秒级参数；如录入实测或手动采用秒，预计到达时间可随公式更新</x:v>
      </x:c>
    </x:row>
    <x:row r="695">
      <x:c r="A695" s="12" t="str">
        <x:v>S0057-02</x:v>
      </x:c>
      <x:c r="B695" s="12" t="str">
        <x:v>S0057</x:v>
      </x:c>
      <x:c r="C695" s="12" t="str">
        <x:v>工作日</x:v>
      </x:c>
      <x:c r="D695" s="12" t="str">
        <x:v>环线1路</x:v>
      </x:c>
      <x:c r="E695" s="12" t="str">
        <x:v>第四班（夜1）</x:v>
      </x:c>
      <x:c r="F695" s="12" t="n">
        <x:v>1</x:v>
      </x:c>
      <x:c r="G695" s="12" t="str">
        <x:v>14:24</x:v>
      </x:c>
      <x:c r="H695" s="12" t="n">
        <x:v>864</x:v>
      </x:c>
      <x:c r="I695" s="12" t="str">
        <x:v>研究生宿舍楼</x:v>
      </x:c>
      <x:c r="J695" s="12" t="str">
        <x:v>研究生宿舍楼发车</x:v>
      </x:c>
      <x:c r="K695" s="12" t="str">
        <x:v>HX1_NORMAL</x:v>
      </x:c>
      <x:c r="L695" s="12" t="n">
        <x:v>2</x:v>
      </x:c>
      <x:c r="M695" s="12" t="str">
        <x:v>HX1_NORMAL|2</x:v>
      </x:c>
      <x:c r="N695" s="12" t="str">
        <x:v>东门</x:v>
      </x:c>
      <x:c r="O695" s="12" t="n">
        <x:f>IFERROR(INDEX('秒级路线参数_可调整'!$O:$O,MATCH(M695,'秒级路线参数_可调整'!$A:$A,0)),"")</x:f>
        <x:v>0</x:v>
      </x:c>
      <x:c r="P695" s="12" t="str">
        <x:f>IF(O695="","",O695/86400)</x:f>
      </x:c>
      <x:c r="Q695" s="12" t="str">
        <x:f>IF(O695="","",(H695*60+O695)/86400)</x:f>
      </x:c>
      <x:c r="R695" s="12" t="str">
        <x:f>IF(Q695="","",TEXT(Q695,"hh:mm:ss"))</x:f>
      </x:c>
      <x:c r="S695" s="12" t="str">
        <x:v>否</x:v>
      </x:c>
      <x:c r="T695" s="12" t="str">
        <x:v>否</x:v>
      </x:c>
      <x:c r="U695" s="12" t="str">
        <x:v>未提供</x:v>
      </x:c>
      <x:c r="V695" s="12" t="str">
        <x:v>未提供</x:v>
      </x:c>
      <x:c r="W695" s="12" t="str">
        <x:v>秒级预测</x:v>
      </x:c>
      <x:c r="X695" s="12" t="str">
        <x:v>基于路线秒级参数；如录入实测或手动采用秒，预计到达时间可随公式更新</x:v>
      </x:c>
    </x:row>
    <x:row r="696">
      <x:c r="A696" s="12" t="str">
        <x:v>S0057-03</x:v>
      </x:c>
      <x:c r="B696" s="12" t="str">
        <x:v>S0057</x:v>
      </x:c>
      <x:c r="C696" s="12" t="str">
        <x:v>工作日</x:v>
      </x:c>
      <x:c r="D696" s="12" t="str">
        <x:v>环线1路</x:v>
      </x:c>
      <x:c r="E696" s="12" t="str">
        <x:v>第四班（夜1）</x:v>
      </x:c>
      <x:c r="F696" s="12" t="n">
        <x:v>1</x:v>
      </x:c>
      <x:c r="G696" s="12" t="str">
        <x:v>14:24</x:v>
      </x:c>
      <x:c r="H696" s="12" t="n">
        <x:v>864</x:v>
      </x:c>
      <x:c r="I696" s="12" t="str">
        <x:v>研究生宿舍楼</x:v>
      </x:c>
      <x:c r="J696" s="12" t="str">
        <x:v>研究生宿舍楼发车</x:v>
      </x:c>
      <x:c r="K696" s="12" t="str">
        <x:v>HX1_NORMAL</x:v>
      </x:c>
      <x:c r="L696" s="12" t="n">
        <x:v>3</x:v>
      </x:c>
      <x:c r="M696" s="12" t="str">
        <x:v>HX1_NORMAL|3</x:v>
      </x:c>
      <x:c r="N696" s="12" t="str">
        <x:v>2号宿舍楼</x:v>
      </x:c>
      <x:c r="O696" s="12" t="n">
        <x:f>IFERROR(INDEX('秒级路线参数_可调整'!$O:$O,MATCH(M696,'秒级路线参数_可调整'!$A:$A,0)),"")</x:f>
        <x:v>0</x:v>
      </x:c>
      <x:c r="P696" s="12" t="str">
        <x:f>IF(O696="","",O696/86400)</x:f>
      </x:c>
      <x:c r="Q696" s="12" t="str">
        <x:f>IF(O696="","",(H696*60+O696)/86400)</x:f>
      </x:c>
      <x:c r="R696" s="12" t="str">
        <x:f>IF(Q696="","",TEXT(Q696,"hh:mm:ss"))</x:f>
      </x:c>
      <x:c r="S696" s="12" t="str">
        <x:v>否</x:v>
      </x:c>
      <x:c r="T696" s="12" t="str">
        <x:v>否</x:v>
      </x:c>
      <x:c r="U696" s="12" t="str">
        <x:v>未提供</x:v>
      </x:c>
      <x:c r="V696" s="12" t="str">
        <x:v>未提供</x:v>
      </x:c>
      <x:c r="W696" s="12" t="str">
        <x:v>秒级预测</x:v>
      </x:c>
      <x:c r="X696" s="12" t="str">
        <x:v>基于路线秒级参数；如录入实测或手动采用秒，预计到达时间可随公式更新</x:v>
      </x:c>
    </x:row>
    <x:row r="697">
      <x:c r="A697" s="12" t="str">
        <x:v>S0057-04</x:v>
      </x:c>
      <x:c r="B697" s="12" t="str">
        <x:v>S0057</x:v>
      </x:c>
      <x:c r="C697" s="12" t="str">
        <x:v>工作日</x:v>
      </x:c>
      <x:c r="D697" s="12" t="str">
        <x:v>环线1路</x:v>
      </x:c>
      <x:c r="E697" s="12" t="str">
        <x:v>第四班（夜1）</x:v>
      </x:c>
      <x:c r="F697" s="12" t="n">
        <x:v>1</x:v>
      </x:c>
      <x:c r="G697" s="12" t="str">
        <x:v>14:24</x:v>
      </x:c>
      <x:c r="H697" s="12" t="n">
        <x:v>864</x:v>
      </x:c>
      <x:c r="I697" s="12" t="str">
        <x:v>研究生宿舍楼</x:v>
      </x:c>
      <x:c r="J697" s="12" t="str">
        <x:v>研究生宿舍楼发车</x:v>
      </x:c>
      <x:c r="K697" s="12" t="str">
        <x:v>HX1_NORMAL</x:v>
      </x:c>
      <x:c r="L697" s="12" t="n">
        <x:v>4</x:v>
      </x:c>
      <x:c r="M697" s="12" t="str">
        <x:v>HX1_NORMAL|4</x:v>
      </x:c>
      <x:c r="N697" s="12" t="str">
        <x:v>军体活动中心</x:v>
      </x:c>
      <x:c r="O697" s="12" t="n">
        <x:f>IFERROR(INDEX('秒级路线参数_可调整'!$O:$O,MATCH(M697,'秒级路线参数_可调整'!$A:$A,0)),"")</x:f>
        <x:v>0</x:v>
      </x:c>
      <x:c r="P697" s="12" t="str">
        <x:f>IF(O697="","",O697/86400)</x:f>
      </x:c>
      <x:c r="Q697" s="12" t="str">
        <x:f>IF(O697="","",(H697*60+O697)/86400)</x:f>
      </x:c>
      <x:c r="R697" s="12" t="str">
        <x:f>IF(Q697="","",TEXT(Q697,"hh:mm:ss"))</x:f>
      </x:c>
      <x:c r="S697" s="12" t="str">
        <x:v>否</x:v>
      </x:c>
      <x:c r="T697" s="12" t="str">
        <x:v>否</x:v>
      </x:c>
      <x:c r="U697" s="12" t="str">
        <x:v>未提供</x:v>
      </x:c>
      <x:c r="V697" s="12" t="str">
        <x:v>未提供</x:v>
      </x:c>
      <x:c r="W697" s="12" t="str">
        <x:v>秒级预测</x:v>
      </x:c>
      <x:c r="X697" s="12" t="str">
        <x:v>基于路线秒级参数；如录入实测或手动采用秒，预计到达时间可随公式更新</x:v>
      </x:c>
    </x:row>
    <x:row r="698">
      <x:c r="A698" s="12" t="str">
        <x:v>S0057-05</x:v>
      </x:c>
      <x:c r="B698" s="12" t="str">
        <x:v>S0057</x:v>
      </x:c>
      <x:c r="C698" s="12" t="str">
        <x:v>工作日</x:v>
      </x:c>
      <x:c r="D698" s="12" t="str">
        <x:v>环线1路</x:v>
      </x:c>
      <x:c r="E698" s="12" t="str">
        <x:v>第四班（夜1）</x:v>
      </x:c>
      <x:c r="F698" s="12" t="n">
        <x:v>1</x:v>
      </x:c>
      <x:c r="G698" s="12" t="str">
        <x:v>14:24</x:v>
      </x:c>
      <x:c r="H698" s="12" t="n">
        <x:v>864</x:v>
      </x:c>
      <x:c r="I698" s="12" t="str">
        <x:v>研究生宿舍楼</x:v>
      </x:c>
      <x:c r="J698" s="12" t="str">
        <x:v>研究生宿舍楼发车</x:v>
      </x:c>
      <x:c r="K698" s="12" t="str">
        <x:v>HX1_NORMAL</x:v>
      </x:c>
      <x:c r="L698" s="12" t="n">
        <x:v>5</x:v>
      </x:c>
      <x:c r="M698" s="12" t="str">
        <x:v>HX1_NORMAL|5</x:v>
      </x:c>
      <x:c r="N698" s="12" t="str">
        <x:v>激光所</x:v>
      </x:c>
      <x:c r="O698" s="12" t="n">
        <x:f>IFERROR(INDEX('秒级路线参数_可调整'!$O:$O,MATCH(M698,'秒级路线参数_可调整'!$A:$A,0)),"")</x:f>
        <x:v>0</x:v>
      </x:c>
      <x:c r="P698" s="12" t="str">
        <x:f>IF(O698="","",O698/86400)</x:f>
      </x:c>
      <x:c r="Q698" s="12" t="str">
        <x:f>IF(O698="","",(H698*60+O698)/86400)</x:f>
      </x:c>
      <x:c r="R698" s="12" t="str">
        <x:f>IF(Q698="","",TEXT(Q698,"hh:mm:ss"))</x:f>
      </x:c>
      <x:c r="S698" s="12" t="str">
        <x:v>否</x:v>
      </x:c>
      <x:c r="T698" s="12" t="str">
        <x:v>否</x:v>
      </x:c>
      <x:c r="U698" s="12" t="str">
        <x:v>未提供</x:v>
      </x:c>
      <x:c r="V698" s="12" t="str">
        <x:v>未提供</x:v>
      </x:c>
      <x:c r="W698" s="12" t="str">
        <x:v>秒级预测</x:v>
      </x:c>
      <x:c r="X698" s="12" t="str">
        <x:v>基于路线秒级参数；如录入实测或手动采用秒，预计到达时间可随公式更新</x:v>
      </x:c>
    </x:row>
    <x:row r="699">
      <x:c r="A699" s="12" t="str">
        <x:v>S0057-06</x:v>
      </x:c>
      <x:c r="B699" s="12" t="str">
        <x:v>S0057</x:v>
      </x:c>
      <x:c r="C699" s="12" t="str">
        <x:v>工作日</x:v>
      </x:c>
      <x:c r="D699" s="12" t="str">
        <x:v>环线1路</x:v>
      </x:c>
      <x:c r="E699" s="12" t="str">
        <x:v>第四班（夜1）</x:v>
      </x:c>
      <x:c r="F699" s="12" t="n">
        <x:v>1</x:v>
      </x:c>
      <x:c r="G699" s="12" t="str">
        <x:v>14:24</x:v>
      </x:c>
      <x:c r="H699" s="12" t="n">
        <x:v>864</x:v>
      </x:c>
      <x:c r="I699" s="12" t="str">
        <x:v>研究生宿舍楼</x:v>
      </x:c>
      <x:c r="J699" s="12" t="str">
        <x:v>研究生宿舍楼发车</x:v>
      </x:c>
      <x:c r="K699" s="12" t="str">
        <x:v>HX1_NORMAL</x:v>
      </x:c>
      <x:c r="L699" s="12" t="n">
        <x:v>6</x:v>
      </x:c>
      <x:c r="M699" s="12" t="str">
        <x:v>HX1_NORMAL|6</x:v>
      </x:c>
      <x:c r="N699" s="12" t="str">
        <x:v>超算中心</x:v>
      </x:c>
      <x:c r="O699" s="12" t="n">
        <x:f>IFERROR(INDEX('秒级路线参数_可调整'!$O:$O,MATCH(M699,'秒级路线参数_可调整'!$A:$A,0)),"")</x:f>
        <x:v>0</x:v>
      </x:c>
      <x:c r="P699" s="12" t="str">
        <x:f>IF(O699="","",O699/86400)</x:f>
      </x:c>
      <x:c r="Q699" s="12" t="str">
        <x:f>IF(O699="","",(H699*60+O699)/86400)</x:f>
      </x:c>
      <x:c r="R699" s="12" t="str">
        <x:f>IF(Q699="","",TEXT(Q699,"hh:mm:ss"))</x:f>
      </x:c>
      <x:c r="S699" s="12" t="str">
        <x:v>否</x:v>
      </x:c>
      <x:c r="T699" s="12" t="str">
        <x:v>否</x:v>
      </x:c>
      <x:c r="U699" s="12" t="str">
        <x:v>未提供</x:v>
      </x:c>
      <x:c r="V699" s="12" t="str">
        <x:v>未提供</x:v>
      </x:c>
      <x:c r="W699" s="12" t="str">
        <x:v>秒级预测</x:v>
      </x:c>
      <x:c r="X699" s="12" t="str">
        <x:v>基于路线秒级参数；如录入实测或手动采用秒，预计到达时间可随公式更新</x:v>
      </x:c>
    </x:row>
    <x:row r="700">
      <x:c r="A700" s="12" t="str">
        <x:v>S0057-07</x:v>
      </x:c>
      <x:c r="B700" s="12" t="str">
        <x:v>S0057</x:v>
      </x:c>
      <x:c r="C700" s="12" t="str">
        <x:v>工作日</x:v>
      </x:c>
      <x:c r="D700" s="12" t="str">
        <x:v>环线1路</x:v>
      </x:c>
      <x:c r="E700" s="12" t="str">
        <x:v>第四班（夜1）</x:v>
      </x:c>
      <x:c r="F700" s="12" t="n">
        <x:v>1</x:v>
      </x:c>
      <x:c r="G700" s="12" t="str">
        <x:v>14:24</x:v>
      </x:c>
      <x:c r="H700" s="12" t="n">
        <x:v>864</x:v>
      </x:c>
      <x:c r="I700" s="12" t="str">
        <x:v>研究生宿舍楼</x:v>
      </x:c>
      <x:c r="J700" s="12" t="str">
        <x:v>研究生宿舍楼发车</x:v>
      </x:c>
      <x:c r="K700" s="12" t="str">
        <x:v>HX1_NORMAL</x:v>
      </x:c>
      <x:c r="L700" s="12" t="n">
        <x:v>7</x:v>
      </x:c>
      <x:c r="M700" s="12" t="str">
        <x:v>HX1_NORMAL|7</x:v>
      </x:c>
      <x:c r="N700" s="12" t="str">
        <x:v>北门</x:v>
      </x:c>
      <x:c r="O700" s="12" t="n">
        <x:f>IFERROR(INDEX('秒级路线参数_可调整'!$O:$O,MATCH(M700,'秒级路线参数_可调整'!$A:$A,0)),"")</x:f>
        <x:v>0</x:v>
      </x:c>
      <x:c r="P700" s="12" t="str">
        <x:f>IF(O700="","",O700/86400)</x:f>
      </x:c>
      <x:c r="Q700" s="12" t="str">
        <x:f>IF(O700="","",(H700*60+O700)/86400)</x:f>
      </x:c>
      <x:c r="R700" s="12" t="str">
        <x:f>IF(Q700="","",TEXT(Q700,"hh:mm:ss"))</x:f>
      </x:c>
      <x:c r="S700" s="12" t="str">
        <x:v>否</x:v>
      </x:c>
      <x:c r="T700" s="12" t="str">
        <x:v>否</x:v>
      </x:c>
      <x:c r="U700" s="12" t="str">
        <x:v>未提供</x:v>
      </x:c>
      <x:c r="V700" s="12" t="str">
        <x:v>未提供</x:v>
      </x:c>
      <x:c r="W700" s="12" t="str">
        <x:v>秒级预测</x:v>
      </x:c>
      <x:c r="X700" s="12" t="str">
        <x:v>基于路线秒级参数；如录入实测或手动采用秒，预计到达时间可随公式更新</x:v>
      </x:c>
    </x:row>
    <x:row r="701">
      <x:c r="A701" s="12" t="str">
        <x:v>S0057-08</x:v>
      </x:c>
      <x:c r="B701" s="12" t="str">
        <x:v>S0057</x:v>
      </x:c>
      <x:c r="C701" s="12" t="str">
        <x:v>工作日</x:v>
      </x:c>
      <x:c r="D701" s="12" t="str">
        <x:v>环线1路</x:v>
      </x:c>
      <x:c r="E701" s="12" t="str">
        <x:v>第四班（夜1）</x:v>
      </x:c>
      <x:c r="F701" s="12" t="n">
        <x:v>1</x:v>
      </x:c>
      <x:c r="G701" s="12" t="str">
        <x:v>14:24</x:v>
      </x:c>
      <x:c r="H701" s="12" t="n">
        <x:v>864</x:v>
      </x:c>
      <x:c r="I701" s="12" t="str">
        <x:v>研究生宿舍楼</x:v>
      </x:c>
      <x:c r="J701" s="12" t="str">
        <x:v>研究生宿舍楼发车</x:v>
      </x:c>
      <x:c r="K701" s="12" t="str">
        <x:v>HX1_NORMAL</x:v>
      </x:c>
      <x:c r="L701" s="12" t="n">
        <x:v>8</x:v>
      </x:c>
      <x:c r="M701" s="12" t="str">
        <x:v>HX1_NORMAL|8</x:v>
      </x:c>
      <x:c r="N701" s="12" t="str">
        <x:v>高超楼</x:v>
      </x:c>
      <x:c r="O701" s="12" t="n">
        <x:f>IFERROR(INDEX('秒级路线参数_可调整'!$O:$O,MATCH(M701,'秒级路线参数_可调整'!$A:$A,0)),"")</x:f>
        <x:v>0</x:v>
      </x:c>
      <x:c r="P701" s="12" t="str">
        <x:f>IF(O701="","",O701/86400)</x:f>
      </x:c>
      <x:c r="Q701" s="12" t="str">
        <x:f>IF(O701="","",(H701*60+O701)/86400)</x:f>
      </x:c>
      <x:c r="R701" s="12" t="str">
        <x:f>IF(Q701="","",TEXT(Q701,"hh:mm:ss"))</x:f>
      </x:c>
      <x:c r="S701" s="12" t="str">
        <x:v>否</x:v>
      </x:c>
      <x:c r="T701" s="12" t="str">
        <x:v>否</x:v>
      </x:c>
      <x:c r="U701" s="12" t="str">
        <x:v>未提供</x:v>
      </x:c>
      <x:c r="V701" s="12" t="str">
        <x:v>未提供</x:v>
      </x:c>
      <x:c r="W701" s="12" t="str">
        <x:v>秒级预测</x:v>
      </x:c>
      <x:c r="X701" s="12" t="str">
        <x:v>基于路线秒级参数；如录入实测或手动采用秒，预计到达时间可随公式更新</x:v>
      </x:c>
    </x:row>
    <x:row r="702">
      <x:c r="A702" s="12" t="str">
        <x:v>S0057-09</x:v>
      </x:c>
      <x:c r="B702" s="12" t="str">
        <x:v>S0057</x:v>
      </x:c>
      <x:c r="C702" s="12" t="str">
        <x:v>工作日</x:v>
      </x:c>
      <x:c r="D702" s="12" t="str">
        <x:v>环线1路</x:v>
      </x:c>
      <x:c r="E702" s="12" t="str">
        <x:v>第四班（夜1）</x:v>
      </x:c>
      <x:c r="F702" s="12" t="n">
        <x:v>1</x:v>
      </x:c>
      <x:c r="G702" s="12" t="str">
        <x:v>14:24</x:v>
      </x:c>
      <x:c r="H702" s="12" t="n">
        <x:v>864</x:v>
      </x:c>
      <x:c r="I702" s="12" t="str">
        <x:v>研究生宿舍楼</x:v>
      </x:c>
      <x:c r="J702" s="12" t="str">
        <x:v>研究生宿舍楼发车</x:v>
      </x:c>
      <x:c r="K702" s="12" t="str">
        <x:v>HX1_NORMAL</x:v>
      </x:c>
      <x:c r="L702" s="12" t="n">
        <x:v>9</x:v>
      </x:c>
      <x:c r="M702" s="12" t="str">
        <x:v>HX1_NORMAL|9</x:v>
      </x:c>
      <x:c r="N702" s="12" t="str">
        <x:v>理学院</x:v>
      </x:c>
      <x:c r="O702" s="12" t="n">
        <x:f>IFERROR(INDEX('秒级路线参数_可调整'!$O:$O,MATCH(M702,'秒级路线参数_可调整'!$A:$A,0)),"")</x:f>
        <x:v>0</x:v>
      </x:c>
      <x:c r="P702" s="12" t="str">
        <x:f>IF(O702="","",O702/86400)</x:f>
      </x:c>
      <x:c r="Q702" s="12" t="str">
        <x:f>IF(O702="","",(H702*60+O702)/86400)</x:f>
      </x:c>
      <x:c r="R702" s="12" t="str">
        <x:f>IF(Q702="","",TEXT(Q702,"hh:mm:ss"))</x:f>
      </x:c>
      <x:c r="S702" s="12" t="str">
        <x:v>否</x:v>
      </x:c>
      <x:c r="T702" s="12" t="str">
        <x:v>否</x:v>
      </x:c>
      <x:c r="U702" s="12" t="str">
        <x:v>未提供</x:v>
      </x:c>
      <x:c r="V702" s="12" t="str">
        <x:v>未提供</x:v>
      </x:c>
      <x:c r="W702" s="12" t="str">
        <x:v>秒级预测</x:v>
      </x:c>
      <x:c r="X702" s="12" t="str">
        <x:v>基于路线秒级参数；如录入实测或手动采用秒，预计到达时间可随公式更新</x:v>
      </x:c>
    </x:row>
    <x:row r="703">
      <x:c r="A703" s="12" t="str">
        <x:v>S0057-10</x:v>
      </x:c>
      <x:c r="B703" s="12" t="str">
        <x:v>S0057</x:v>
      </x:c>
      <x:c r="C703" s="12" t="str">
        <x:v>工作日</x:v>
      </x:c>
      <x:c r="D703" s="12" t="str">
        <x:v>环线1路</x:v>
      </x:c>
      <x:c r="E703" s="12" t="str">
        <x:v>第四班（夜1）</x:v>
      </x:c>
      <x:c r="F703" s="12" t="n">
        <x:v>1</x:v>
      </x:c>
      <x:c r="G703" s="12" t="str">
        <x:v>14:24</x:v>
      </x:c>
      <x:c r="H703" s="12" t="n">
        <x:v>864</x:v>
      </x:c>
      <x:c r="I703" s="12" t="str">
        <x:v>研究生宿舍楼</x:v>
      </x:c>
      <x:c r="J703" s="12" t="str">
        <x:v>研究生宿舍楼发车</x:v>
      </x:c>
      <x:c r="K703" s="12" t="str">
        <x:v>HX1_NORMAL</x:v>
      </x:c>
      <x:c r="L703" s="12" t="n">
        <x:v>10</x:v>
      </x:c>
      <x:c r="M703" s="12" t="str">
        <x:v>HX1_NORMAL|10</x:v>
      </x:c>
      <x:c r="N703" s="12" t="str">
        <x:v>二食堂</x:v>
      </x:c>
      <x:c r="O703" s="12" t="n">
        <x:f>IFERROR(INDEX('秒级路线参数_可调整'!$O:$O,MATCH(M703,'秒级路线参数_可调整'!$A:$A,0)),"")</x:f>
        <x:v>0</x:v>
      </x:c>
      <x:c r="P703" s="12" t="str">
        <x:f>IF(O703="","",O703/86400)</x:f>
      </x:c>
      <x:c r="Q703" s="12" t="str">
        <x:f>IF(O703="","",(H703*60+O703)/86400)</x:f>
      </x:c>
      <x:c r="R703" s="12" t="str">
        <x:f>IF(Q703="","",TEXT(Q703,"hh:mm:ss"))</x:f>
      </x:c>
      <x:c r="S703" s="12" t="str">
        <x:v>否</x:v>
      </x:c>
      <x:c r="T703" s="12" t="str">
        <x:v>否</x:v>
      </x:c>
      <x:c r="U703" s="12" t="str">
        <x:v>未提供</x:v>
      </x:c>
      <x:c r="V703" s="12" t="str">
        <x:v>未提供</x:v>
      </x:c>
      <x:c r="W703" s="12" t="str">
        <x:v>秒级预测</x:v>
      </x:c>
      <x:c r="X703" s="12" t="str">
        <x:v>基于路线秒级参数；如录入实测或手动采用秒，预计到达时间可随公式更新</x:v>
      </x:c>
    </x:row>
    <x:row r="704">
      <x:c r="A704" s="12" t="str">
        <x:v>S0057-11</x:v>
      </x:c>
      <x:c r="B704" s="12" t="str">
        <x:v>S0057</x:v>
      </x:c>
      <x:c r="C704" s="12" t="str">
        <x:v>工作日</x:v>
      </x:c>
      <x:c r="D704" s="12" t="str">
        <x:v>环线1路</x:v>
      </x:c>
      <x:c r="E704" s="12" t="str">
        <x:v>第四班（夜1）</x:v>
      </x:c>
      <x:c r="F704" s="12" t="n">
        <x:v>1</x:v>
      </x:c>
      <x:c r="G704" s="12" t="str">
        <x:v>14:24</x:v>
      </x:c>
      <x:c r="H704" s="12" t="n">
        <x:v>864</x:v>
      </x:c>
      <x:c r="I704" s="12" t="str">
        <x:v>研究生宿舍楼</x:v>
      </x:c>
      <x:c r="J704" s="12" t="str">
        <x:v>研究生宿舍楼发车</x:v>
      </x:c>
      <x:c r="K704" s="12" t="str">
        <x:v>HX1_NORMAL</x:v>
      </x:c>
      <x:c r="L704" s="12" t="n">
        <x:v>11</x:v>
      </x:c>
      <x:c r="M704" s="12" t="str">
        <x:v>HX1_NORMAL|11</x:v>
      </x:c>
      <x:c r="N704" s="12" t="str">
        <x:v>5号宿舍楼</x:v>
      </x:c>
      <x:c r="O704" s="12" t="n">
        <x:f>IFERROR(INDEX('秒级路线参数_可调整'!$O:$O,MATCH(M704,'秒级路线参数_可调整'!$A:$A,0)),"")</x:f>
        <x:v>0</x:v>
      </x:c>
      <x:c r="P704" s="12" t="str">
        <x:f>IF(O704="","",O704/86400)</x:f>
      </x:c>
      <x:c r="Q704" s="12" t="str">
        <x:f>IF(O704="","",(H704*60+O704)/86400)</x:f>
      </x:c>
      <x:c r="R704" s="12" t="str">
        <x:f>IF(Q704="","",TEXT(Q704,"hh:mm:ss"))</x:f>
      </x:c>
      <x:c r="S704" s="12" t="str">
        <x:v>否</x:v>
      </x:c>
      <x:c r="T704" s="12" t="str">
        <x:v>否</x:v>
      </x:c>
      <x:c r="U704" s="12" t="str">
        <x:v>未提供</x:v>
      </x:c>
      <x:c r="V704" s="12" t="str">
        <x:v>未提供</x:v>
      </x:c>
      <x:c r="W704" s="12" t="str">
        <x:v>秒级预测</x:v>
      </x:c>
      <x:c r="X704" s="12" t="str">
        <x:v>基于路线秒级参数；如录入实测或手动采用秒，预计到达时间可随公式更新</x:v>
      </x:c>
    </x:row>
    <x:row r="705">
      <x:c r="A705" s="12" t="str">
        <x:v>S0057-12</x:v>
      </x:c>
      <x:c r="B705" s="12" t="str">
        <x:v>S0057</x:v>
      </x:c>
      <x:c r="C705" s="12" t="str">
        <x:v>工作日</x:v>
      </x:c>
      <x:c r="D705" s="12" t="str">
        <x:v>环线1路</x:v>
      </x:c>
      <x:c r="E705" s="12" t="str">
        <x:v>第四班（夜1）</x:v>
      </x:c>
      <x:c r="F705" s="12" t="n">
        <x:v>1</x:v>
      </x:c>
      <x:c r="G705" s="12" t="str">
        <x:v>14:24</x:v>
      </x:c>
      <x:c r="H705" s="12" t="n">
        <x:v>864</x:v>
      </x:c>
      <x:c r="I705" s="12" t="str">
        <x:v>研究生宿舍楼</x:v>
      </x:c>
      <x:c r="J705" s="12" t="str">
        <x:v>研究生宿舍楼发车</x:v>
      </x:c>
      <x:c r="K705" s="12" t="str">
        <x:v>HX1_NORMAL</x:v>
      </x:c>
      <x:c r="L705" s="12" t="n">
        <x:v>12</x:v>
      </x:c>
      <x:c r="M705" s="12" t="str">
        <x:v>HX1_NORMAL|12</x:v>
      </x:c>
      <x:c r="N705" s="12" t="str">
        <x:v>305教学楼</x:v>
      </x:c>
      <x:c r="O705" s="12" t="n">
        <x:f>IFERROR(INDEX('秒级路线参数_可调整'!$O:$O,MATCH(M705,'秒级路线参数_可调整'!$A:$A,0)),"")</x:f>
        <x:v>0</x:v>
      </x:c>
      <x:c r="P705" s="12" t="str">
        <x:f>IF(O705="","",O705/86400)</x:f>
      </x:c>
      <x:c r="Q705" s="12" t="str">
        <x:f>IF(O705="","",(H705*60+O705)/86400)</x:f>
      </x:c>
      <x:c r="R705" s="12" t="str">
        <x:f>IF(Q705="","",TEXT(Q705,"hh:mm:ss"))</x:f>
      </x:c>
      <x:c r="S705" s="12" t="str">
        <x:v>否</x:v>
      </x:c>
      <x:c r="T705" s="12" t="str">
        <x:v>否</x:v>
      </x:c>
      <x:c r="U705" s="12" t="str">
        <x:v>未提供</x:v>
      </x:c>
      <x:c r="V705" s="12" t="str">
        <x:v>未提供</x:v>
      </x:c>
      <x:c r="W705" s="12" t="str">
        <x:v>秒级预测</x:v>
      </x:c>
      <x:c r="X705" s="12" t="str">
        <x:v>基于路线秒级参数；如录入实测或手动采用秒，预计到达时间可随公式更新</x:v>
      </x:c>
    </x:row>
    <x:row r="706">
      <x:c r="A706" s="12" t="str">
        <x:v>S0057-13</x:v>
      </x:c>
      <x:c r="B706" s="12" t="str">
        <x:v>S0057</x:v>
      </x:c>
      <x:c r="C706" s="12" t="str">
        <x:v>工作日</x:v>
      </x:c>
      <x:c r="D706" s="12" t="str">
        <x:v>环线1路</x:v>
      </x:c>
      <x:c r="E706" s="12" t="str">
        <x:v>第四班（夜1）</x:v>
      </x:c>
      <x:c r="F706" s="12" t="n">
        <x:v>1</x:v>
      </x:c>
      <x:c r="G706" s="12" t="str">
        <x:v>14:24</x:v>
      </x:c>
      <x:c r="H706" s="12" t="n">
        <x:v>864</x:v>
      </x:c>
      <x:c r="I706" s="12" t="str">
        <x:v>研究生宿舍楼</x:v>
      </x:c>
      <x:c r="J706" s="12" t="str">
        <x:v>研究生宿舍楼发车</x:v>
      </x:c>
      <x:c r="K706" s="12" t="str">
        <x:v>HX1_NORMAL</x:v>
      </x:c>
      <x:c r="L706" s="12" t="n">
        <x:v>13</x:v>
      </x:c>
      <x:c r="M706" s="12" t="str">
        <x:v>HX1_NORMAL|13</x:v>
      </x:c>
      <x:c r="N706" s="12" t="str">
        <x:v>研究生宿舍楼</x:v>
      </x:c>
      <x:c r="O706" s="12" t="n">
        <x:f>IFERROR(INDEX('秒级路线参数_可调整'!$O:$O,MATCH(M706,'秒级路线参数_可调整'!$A:$A,0)),"")</x:f>
        <x:v>0</x:v>
      </x:c>
      <x:c r="P706" s="12" t="str">
        <x:f>IF(O706="","",O706/86400)</x:f>
      </x:c>
      <x:c r="Q706" s="12" t="str">
        <x:f>IF(O706="","",(H706*60+O706)/86400)</x:f>
      </x:c>
      <x:c r="R706" s="12" t="str">
        <x:f>IF(Q706="","",TEXT(Q706,"hh:mm:ss"))</x:f>
      </x:c>
      <x:c r="S706" s="12" t="str">
        <x:v>否</x:v>
      </x:c>
      <x:c r="T706" s="12" t="str">
        <x:v>是</x:v>
      </x:c>
      <x:c r="U706" s="12" t="str">
        <x:v>未提供</x:v>
      </x:c>
      <x:c r="V706" s="12" t="str">
        <x:v>未提供</x:v>
      </x:c>
      <x:c r="W706" s="12" t="str">
        <x:v>秒级预测</x:v>
      </x:c>
      <x:c r="X706" s="12" t="str">
        <x:v>基于路线秒级参数；如录入实测或手动采用秒，预计到达时间可随公式更新</x:v>
      </x:c>
    </x:row>
    <x:row r="707">
      <x:c r="A707" s="12" t="str">
        <x:v>S0058-01</x:v>
      </x:c>
      <x:c r="B707" s="12" t="str">
        <x:v>S0058</x:v>
      </x:c>
      <x:c r="C707" s="12" t="str">
        <x:v>工作日</x:v>
      </x:c>
      <x:c r="D707" s="12" t="str">
        <x:v>环线1路</x:v>
      </x:c>
      <x:c r="E707" s="12" t="str">
        <x:v>第四班（夜1）</x:v>
      </x:c>
      <x:c r="F707" s="12" t="n">
        <x:v>2</x:v>
      </x:c>
      <x:c r="G707" s="12" t="str">
        <x:v>15:00</x:v>
      </x:c>
      <x:c r="H707" s="12" t="n">
        <x:v>900</x:v>
      </x:c>
      <x:c r="I707" s="12" t="str">
        <x:v>研究生宿舍楼</x:v>
      </x:c>
      <x:c r="J707" s="12" t="str">
        <x:v>研究生宿舍楼发车</x:v>
      </x:c>
      <x:c r="K707" s="12" t="str">
        <x:v>HX1_NORMAL</x:v>
      </x:c>
      <x:c r="L707" s="12" t="n">
        <x:v>1</x:v>
      </x:c>
      <x:c r="M707" s="12" t="str">
        <x:v>HX1_NORMAL|1</x:v>
      </x:c>
      <x:c r="N707" s="12" t="str">
        <x:v>研究生宿舍楼</x:v>
      </x:c>
      <x:c r="O707" s="12" t="n">
        <x:f>IFERROR(INDEX('秒级路线参数_可调整'!$O:$O,MATCH(M707,'秒级路线参数_可调整'!$A:$A,0)),"")</x:f>
        <x:v>0</x:v>
      </x:c>
      <x:c r="P707" s="12" t="str">
        <x:f>IF(O707="","",O707/86400)</x:f>
      </x:c>
      <x:c r="Q707" s="12" t="str">
        <x:f>IF(O707="","",(H707*60+O707)/86400)</x:f>
      </x:c>
      <x:c r="R707" s="12" t="str">
        <x:f>IF(Q707="","",TEXT(Q707,"hh:mm:ss"))</x:f>
      </x:c>
      <x:c r="S707" s="12" t="str">
        <x:v>是</x:v>
      </x:c>
      <x:c r="T707" s="12" t="str">
        <x:v>否</x:v>
      </x:c>
      <x:c r="U707" s="12" t="str">
        <x:v>未提供</x:v>
      </x:c>
      <x:c r="V707" s="12" t="str">
        <x:v>未提供</x:v>
      </x:c>
      <x:c r="W707" s="12" t="str">
        <x:v>秒级预测</x:v>
      </x:c>
      <x:c r="X707" s="12" t="str">
        <x:v>基于路线秒级参数；如录入实测或手动采用秒，预计到达时间可随公式更新</x:v>
      </x:c>
    </x:row>
    <x:row r="708">
      <x:c r="A708" s="12" t="str">
        <x:v>S0058-02</x:v>
      </x:c>
      <x:c r="B708" s="12" t="str">
        <x:v>S0058</x:v>
      </x:c>
      <x:c r="C708" s="12" t="str">
        <x:v>工作日</x:v>
      </x:c>
      <x:c r="D708" s="12" t="str">
        <x:v>环线1路</x:v>
      </x:c>
      <x:c r="E708" s="12" t="str">
        <x:v>第四班（夜1）</x:v>
      </x:c>
      <x:c r="F708" s="12" t="n">
        <x:v>2</x:v>
      </x:c>
      <x:c r="G708" s="12" t="str">
        <x:v>15:00</x:v>
      </x:c>
      <x:c r="H708" s="12" t="n">
        <x:v>900</x:v>
      </x:c>
      <x:c r="I708" s="12" t="str">
        <x:v>研究生宿舍楼</x:v>
      </x:c>
      <x:c r="J708" s="12" t="str">
        <x:v>研究生宿舍楼发车</x:v>
      </x:c>
      <x:c r="K708" s="12" t="str">
        <x:v>HX1_NORMAL</x:v>
      </x:c>
      <x:c r="L708" s="12" t="n">
        <x:v>2</x:v>
      </x:c>
      <x:c r="M708" s="12" t="str">
        <x:v>HX1_NORMAL|2</x:v>
      </x:c>
      <x:c r="N708" s="12" t="str">
        <x:v>东门</x:v>
      </x:c>
      <x:c r="O708" s="12" t="n">
        <x:f>IFERROR(INDEX('秒级路线参数_可调整'!$O:$O,MATCH(M708,'秒级路线参数_可调整'!$A:$A,0)),"")</x:f>
        <x:v>0</x:v>
      </x:c>
      <x:c r="P708" s="12" t="str">
        <x:f>IF(O708="","",O708/86400)</x:f>
      </x:c>
      <x:c r="Q708" s="12" t="str">
        <x:f>IF(O708="","",(H708*60+O708)/86400)</x:f>
      </x:c>
      <x:c r="R708" s="12" t="str">
        <x:f>IF(Q708="","",TEXT(Q708,"hh:mm:ss"))</x:f>
      </x:c>
      <x:c r="S708" s="12" t="str">
        <x:v>否</x:v>
      </x:c>
      <x:c r="T708" s="12" t="str">
        <x:v>否</x:v>
      </x:c>
      <x:c r="U708" s="12" t="str">
        <x:v>未提供</x:v>
      </x:c>
      <x:c r="V708" s="12" t="str">
        <x:v>未提供</x:v>
      </x:c>
      <x:c r="W708" s="12" t="str">
        <x:v>秒级预测</x:v>
      </x:c>
      <x:c r="X708" s="12" t="str">
        <x:v>基于路线秒级参数；如录入实测或手动采用秒，预计到达时间可随公式更新</x:v>
      </x:c>
    </x:row>
    <x:row r="709">
      <x:c r="A709" s="12" t="str">
        <x:v>S0058-03</x:v>
      </x:c>
      <x:c r="B709" s="12" t="str">
        <x:v>S0058</x:v>
      </x:c>
      <x:c r="C709" s="12" t="str">
        <x:v>工作日</x:v>
      </x:c>
      <x:c r="D709" s="12" t="str">
        <x:v>环线1路</x:v>
      </x:c>
      <x:c r="E709" s="12" t="str">
        <x:v>第四班（夜1）</x:v>
      </x:c>
      <x:c r="F709" s="12" t="n">
        <x:v>2</x:v>
      </x:c>
      <x:c r="G709" s="12" t="str">
        <x:v>15:00</x:v>
      </x:c>
      <x:c r="H709" s="12" t="n">
        <x:v>900</x:v>
      </x:c>
      <x:c r="I709" s="12" t="str">
        <x:v>研究生宿舍楼</x:v>
      </x:c>
      <x:c r="J709" s="12" t="str">
        <x:v>研究生宿舍楼发车</x:v>
      </x:c>
      <x:c r="K709" s="12" t="str">
        <x:v>HX1_NORMAL</x:v>
      </x:c>
      <x:c r="L709" s="12" t="n">
        <x:v>3</x:v>
      </x:c>
      <x:c r="M709" s="12" t="str">
        <x:v>HX1_NORMAL|3</x:v>
      </x:c>
      <x:c r="N709" s="12" t="str">
        <x:v>2号宿舍楼</x:v>
      </x:c>
      <x:c r="O709" s="12" t="n">
        <x:f>IFERROR(INDEX('秒级路线参数_可调整'!$O:$O,MATCH(M709,'秒级路线参数_可调整'!$A:$A,0)),"")</x:f>
        <x:v>0</x:v>
      </x:c>
      <x:c r="P709" s="12" t="str">
        <x:f>IF(O709="","",O709/86400)</x:f>
      </x:c>
      <x:c r="Q709" s="12" t="str">
        <x:f>IF(O709="","",(H709*60+O709)/86400)</x:f>
      </x:c>
      <x:c r="R709" s="12" t="str">
        <x:f>IF(Q709="","",TEXT(Q709,"hh:mm:ss"))</x:f>
      </x:c>
      <x:c r="S709" s="12" t="str">
        <x:v>否</x:v>
      </x:c>
      <x:c r="T709" s="12" t="str">
        <x:v>否</x:v>
      </x:c>
      <x:c r="U709" s="12" t="str">
        <x:v>未提供</x:v>
      </x:c>
      <x:c r="V709" s="12" t="str">
        <x:v>未提供</x:v>
      </x:c>
      <x:c r="W709" s="12" t="str">
        <x:v>秒级预测</x:v>
      </x:c>
      <x:c r="X709" s="12" t="str">
        <x:v>基于路线秒级参数；如录入实测或手动采用秒，预计到达时间可随公式更新</x:v>
      </x:c>
    </x:row>
    <x:row r="710">
      <x:c r="A710" s="12" t="str">
        <x:v>S0058-04</x:v>
      </x:c>
      <x:c r="B710" s="12" t="str">
        <x:v>S0058</x:v>
      </x:c>
      <x:c r="C710" s="12" t="str">
        <x:v>工作日</x:v>
      </x:c>
      <x:c r="D710" s="12" t="str">
        <x:v>环线1路</x:v>
      </x:c>
      <x:c r="E710" s="12" t="str">
        <x:v>第四班（夜1）</x:v>
      </x:c>
      <x:c r="F710" s="12" t="n">
        <x:v>2</x:v>
      </x:c>
      <x:c r="G710" s="12" t="str">
        <x:v>15:00</x:v>
      </x:c>
      <x:c r="H710" s="12" t="n">
        <x:v>900</x:v>
      </x:c>
      <x:c r="I710" s="12" t="str">
        <x:v>研究生宿舍楼</x:v>
      </x:c>
      <x:c r="J710" s="12" t="str">
        <x:v>研究生宿舍楼发车</x:v>
      </x:c>
      <x:c r="K710" s="12" t="str">
        <x:v>HX1_NORMAL</x:v>
      </x:c>
      <x:c r="L710" s="12" t="n">
        <x:v>4</x:v>
      </x:c>
      <x:c r="M710" s="12" t="str">
        <x:v>HX1_NORMAL|4</x:v>
      </x:c>
      <x:c r="N710" s="12" t="str">
        <x:v>军体活动中心</x:v>
      </x:c>
      <x:c r="O710" s="12" t="n">
        <x:f>IFERROR(INDEX('秒级路线参数_可调整'!$O:$O,MATCH(M710,'秒级路线参数_可调整'!$A:$A,0)),"")</x:f>
        <x:v>0</x:v>
      </x:c>
      <x:c r="P710" s="12" t="str">
        <x:f>IF(O710="","",O710/86400)</x:f>
      </x:c>
      <x:c r="Q710" s="12" t="str">
        <x:f>IF(O710="","",(H710*60+O710)/86400)</x:f>
      </x:c>
      <x:c r="R710" s="12" t="str">
        <x:f>IF(Q710="","",TEXT(Q710,"hh:mm:ss"))</x:f>
      </x:c>
      <x:c r="S710" s="12" t="str">
        <x:v>否</x:v>
      </x:c>
      <x:c r="T710" s="12" t="str">
        <x:v>否</x:v>
      </x:c>
      <x:c r="U710" s="12" t="str">
        <x:v>未提供</x:v>
      </x:c>
      <x:c r="V710" s="12" t="str">
        <x:v>未提供</x:v>
      </x:c>
      <x:c r="W710" s="12" t="str">
        <x:v>秒级预测</x:v>
      </x:c>
      <x:c r="X710" s="12" t="str">
        <x:v>基于路线秒级参数；如录入实测或手动采用秒，预计到达时间可随公式更新</x:v>
      </x:c>
    </x:row>
    <x:row r="711">
      <x:c r="A711" s="12" t="str">
        <x:v>S0058-05</x:v>
      </x:c>
      <x:c r="B711" s="12" t="str">
        <x:v>S0058</x:v>
      </x:c>
      <x:c r="C711" s="12" t="str">
        <x:v>工作日</x:v>
      </x:c>
      <x:c r="D711" s="12" t="str">
        <x:v>环线1路</x:v>
      </x:c>
      <x:c r="E711" s="12" t="str">
        <x:v>第四班（夜1）</x:v>
      </x:c>
      <x:c r="F711" s="12" t="n">
        <x:v>2</x:v>
      </x:c>
      <x:c r="G711" s="12" t="str">
        <x:v>15:00</x:v>
      </x:c>
      <x:c r="H711" s="12" t="n">
        <x:v>900</x:v>
      </x:c>
      <x:c r="I711" s="12" t="str">
        <x:v>研究生宿舍楼</x:v>
      </x:c>
      <x:c r="J711" s="12" t="str">
        <x:v>研究生宿舍楼发车</x:v>
      </x:c>
      <x:c r="K711" s="12" t="str">
        <x:v>HX1_NORMAL</x:v>
      </x:c>
      <x:c r="L711" s="12" t="n">
        <x:v>5</x:v>
      </x:c>
      <x:c r="M711" s="12" t="str">
        <x:v>HX1_NORMAL|5</x:v>
      </x:c>
      <x:c r="N711" s="12" t="str">
        <x:v>激光所</x:v>
      </x:c>
      <x:c r="O711" s="12" t="n">
        <x:f>IFERROR(INDEX('秒级路线参数_可调整'!$O:$O,MATCH(M711,'秒级路线参数_可调整'!$A:$A,0)),"")</x:f>
        <x:v>0</x:v>
      </x:c>
      <x:c r="P711" s="12" t="str">
        <x:f>IF(O711="","",O711/86400)</x:f>
      </x:c>
      <x:c r="Q711" s="12" t="str">
        <x:f>IF(O711="","",(H711*60+O711)/86400)</x:f>
      </x:c>
      <x:c r="R711" s="12" t="str">
        <x:f>IF(Q711="","",TEXT(Q711,"hh:mm:ss"))</x:f>
      </x:c>
      <x:c r="S711" s="12" t="str">
        <x:v>否</x:v>
      </x:c>
      <x:c r="T711" s="12" t="str">
        <x:v>否</x:v>
      </x:c>
      <x:c r="U711" s="12" t="str">
        <x:v>未提供</x:v>
      </x:c>
      <x:c r="V711" s="12" t="str">
        <x:v>未提供</x:v>
      </x:c>
      <x:c r="W711" s="12" t="str">
        <x:v>秒级预测</x:v>
      </x:c>
      <x:c r="X711" s="12" t="str">
        <x:v>基于路线秒级参数；如录入实测或手动采用秒，预计到达时间可随公式更新</x:v>
      </x:c>
    </x:row>
    <x:row r="712">
      <x:c r="A712" s="12" t="str">
        <x:v>S0058-06</x:v>
      </x:c>
      <x:c r="B712" s="12" t="str">
        <x:v>S0058</x:v>
      </x:c>
      <x:c r="C712" s="12" t="str">
        <x:v>工作日</x:v>
      </x:c>
      <x:c r="D712" s="12" t="str">
        <x:v>环线1路</x:v>
      </x:c>
      <x:c r="E712" s="12" t="str">
        <x:v>第四班（夜1）</x:v>
      </x:c>
      <x:c r="F712" s="12" t="n">
        <x:v>2</x:v>
      </x:c>
      <x:c r="G712" s="12" t="str">
        <x:v>15:00</x:v>
      </x:c>
      <x:c r="H712" s="12" t="n">
        <x:v>900</x:v>
      </x:c>
      <x:c r="I712" s="12" t="str">
        <x:v>研究生宿舍楼</x:v>
      </x:c>
      <x:c r="J712" s="12" t="str">
        <x:v>研究生宿舍楼发车</x:v>
      </x:c>
      <x:c r="K712" s="12" t="str">
        <x:v>HX1_NORMAL</x:v>
      </x:c>
      <x:c r="L712" s="12" t="n">
        <x:v>6</x:v>
      </x:c>
      <x:c r="M712" s="12" t="str">
        <x:v>HX1_NORMAL|6</x:v>
      </x:c>
      <x:c r="N712" s="12" t="str">
        <x:v>超算中心</x:v>
      </x:c>
      <x:c r="O712" s="12" t="n">
        <x:f>IFERROR(INDEX('秒级路线参数_可调整'!$O:$O,MATCH(M712,'秒级路线参数_可调整'!$A:$A,0)),"")</x:f>
        <x:v>0</x:v>
      </x:c>
      <x:c r="P712" s="12" t="str">
        <x:f>IF(O712="","",O712/86400)</x:f>
      </x:c>
      <x:c r="Q712" s="12" t="str">
        <x:f>IF(O712="","",(H712*60+O712)/86400)</x:f>
      </x:c>
      <x:c r="R712" s="12" t="str">
        <x:f>IF(Q712="","",TEXT(Q712,"hh:mm:ss"))</x:f>
      </x:c>
      <x:c r="S712" s="12" t="str">
        <x:v>否</x:v>
      </x:c>
      <x:c r="T712" s="12" t="str">
        <x:v>否</x:v>
      </x:c>
      <x:c r="U712" s="12" t="str">
        <x:v>未提供</x:v>
      </x:c>
      <x:c r="V712" s="12" t="str">
        <x:v>未提供</x:v>
      </x:c>
      <x:c r="W712" s="12" t="str">
        <x:v>秒级预测</x:v>
      </x:c>
      <x:c r="X712" s="12" t="str">
        <x:v>基于路线秒级参数；如录入实测或手动采用秒，预计到达时间可随公式更新</x:v>
      </x:c>
    </x:row>
    <x:row r="713">
      <x:c r="A713" s="12" t="str">
        <x:v>S0058-07</x:v>
      </x:c>
      <x:c r="B713" s="12" t="str">
        <x:v>S0058</x:v>
      </x:c>
      <x:c r="C713" s="12" t="str">
        <x:v>工作日</x:v>
      </x:c>
      <x:c r="D713" s="12" t="str">
        <x:v>环线1路</x:v>
      </x:c>
      <x:c r="E713" s="12" t="str">
        <x:v>第四班（夜1）</x:v>
      </x:c>
      <x:c r="F713" s="12" t="n">
        <x:v>2</x:v>
      </x:c>
      <x:c r="G713" s="12" t="str">
        <x:v>15:00</x:v>
      </x:c>
      <x:c r="H713" s="12" t="n">
        <x:v>900</x:v>
      </x:c>
      <x:c r="I713" s="12" t="str">
        <x:v>研究生宿舍楼</x:v>
      </x:c>
      <x:c r="J713" s="12" t="str">
        <x:v>研究生宿舍楼发车</x:v>
      </x:c>
      <x:c r="K713" s="12" t="str">
        <x:v>HX1_NORMAL</x:v>
      </x:c>
      <x:c r="L713" s="12" t="n">
        <x:v>7</x:v>
      </x:c>
      <x:c r="M713" s="12" t="str">
        <x:v>HX1_NORMAL|7</x:v>
      </x:c>
      <x:c r="N713" s="12" t="str">
        <x:v>北门</x:v>
      </x:c>
      <x:c r="O713" s="12" t="n">
        <x:f>IFERROR(INDEX('秒级路线参数_可调整'!$O:$O,MATCH(M713,'秒级路线参数_可调整'!$A:$A,0)),"")</x:f>
        <x:v>0</x:v>
      </x:c>
      <x:c r="P713" s="12" t="str">
        <x:f>IF(O713="","",O713/86400)</x:f>
      </x:c>
      <x:c r="Q713" s="12" t="str">
        <x:f>IF(O713="","",(H713*60+O713)/86400)</x:f>
      </x:c>
      <x:c r="R713" s="12" t="str">
        <x:f>IF(Q713="","",TEXT(Q713,"hh:mm:ss"))</x:f>
      </x:c>
      <x:c r="S713" s="12" t="str">
        <x:v>否</x:v>
      </x:c>
      <x:c r="T713" s="12" t="str">
        <x:v>否</x:v>
      </x:c>
      <x:c r="U713" s="12" t="str">
        <x:v>未提供</x:v>
      </x:c>
      <x:c r="V713" s="12" t="str">
        <x:v>未提供</x:v>
      </x:c>
      <x:c r="W713" s="12" t="str">
        <x:v>秒级预测</x:v>
      </x:c>
      <x:c r="X713" s="12" t="str">
        <x:v>基于路线秒级参数；如录入实测或手动采用秒，预计到达时间可随公式更新</x:v>
      </x:c>
    </x:row>
    <x:row r="714">
      <x:c r="A714" s="12" t="str">
        <x:v>S0058-08</x:v>
      </x:c>
      <x:c r="B714" s="12" t="str">
        <x:v>S0058</x:v>
      </x:c>
      <x:c r="C714" s="12" t="str">
        <x:v>工作日</x:v>
      </x:c>
      <x:c r="D714" s="12" t="str">
        <x:v>环线1路</x:v>
      </x:c>
      <x:c r="E714" s="12" t="str">
        <x:v>第四班（夜1）</x:v>
      </x:c>
      <x:c r="F714" s="12" t="n">
        <x:v>2</x:v>
      </x:c>
      <x:c r="G714" s="12" t="str">
        <x:v>15:00</x:v>
      </x:c>
      <x:c r="H714" s="12" t="n">
        <x:v>900</x:v>
      </x:c>
      <x:c r="I714" s="12" t="str">
        <x:v>研究生宿舍楼</x:v>
      </x:c>
      <x:c r="J714" s="12" t="str">
        <x:v>研究生宿舍楼发车</x:v>
      </x:c>
      <x:c r="K714" s="12" t="str">
        <x:v>HX1_NORMAL</x:v>
      </x:c>
      <x:c r="L714" s="12" t="n">
        <x:v>8</x:v>
      </x:c>
      <x:c r="M714" s="12" t="str">
        <x:v>HX1_NORMAL|8</x:v>
      </x:c>
      <x:c r="N714" s="12" t="str">
        <x:v>高超楼</x:v>
      </x:c>
      <x:c r="O714" s="12" t="n">
        <x:f>IFERROR(INDEX('秒级路线参数_可调整'!$O:$O,MATCH(M714,'秒级路线参数_可调整'!$A:$A,0)),"")</x:f>
        <x:v>0</x:v>
      </x:c>
      <x:c r="P714" s="12" t="str">
        <x:f>IF(O714="","",O714/86400)</x:f>
      </x:c>
      <x:c r="Q714" s="12" t="str">
        <x:f>IF(O714="","",(H714*60+O714)/86400)</x:f>
      </x:c>
      <x:c r="R714" s="12" t="str">
        <x:f>IF(Q714="","",TEXT(Q714,"hh:mm:ss"))</x:f>
      </x:c>
      <x:c r="S714" s="12" t="str">
        <x:v>否</x:v>
      </x:c>
      <x:c r="T714" s="12" t="str">
        <x:v>否</x:v>
      </x:c>
      <x:c r="U714" s="12" t="str">
        <x:v>未提供</x:v>
      </x:c>
      <x:c r="V714" s="12" t="str">
        <x:v>未提供</x:v>
      </x:c>
      <x:c r="W714" s="12" t="str">
        <x:v>秒级预测</x:v>
      </x:c>
      <x:c r="X714" s="12" t="str">
        <x:v>基于路线秒级参数；如录入实测或手动采用秒，预计到达时间可随公式更新</x:v>
      </x:c>
    </x:row>
    <x:row r="715">
      <x:c r="A715" s="12" t="str">
        <x:v>S0058-09</x:v>
      </x:c>
      <x:c r="B715" s="12" t="str">
        <x:v>S0058</x:v>
      </x:c>
      <x:c r="C715" s="12" t="str">
        <x:v>工作日</x:v>
      </x:c>
      <x:c r="D715" s="12" t="str">
        <x:v>环线1路</x:v>
      </x:c>
      <x:c r="E715" s="12" t="str">
        <x:v>第四班（夜1）</x:v>
      </x:c>
      <x:c r="F715" s="12" t="n">
        <x:v>2</x:v>
      </x:c>
      <x:c r="G715" s="12" t="str">
        <x:v>15:00</x:v>
      </x:c>
      <x:c r="H715" s="12" t="n">
        <x:v>900</x:v>
      </x:c>
      <x:c r="I715" s="12" t="str">
        <x:v>研究生宿舍楼</x:v>
      </x:c>
      <x:c r="J715" s="12" t="str">
        <x:v>研究生宿舍楼发车</x:v>
      </x:c>
      <x:c r="K715" s="12" t="str">
        <x:v>HX1_NORMAL</x:v>
      </x:c>
      <x:c r="L715" s="12" t="n">
        <x:v>9</x:v>
      </x:c>
      <x:c r="M715" s="12" t="str">
        <x:v>HX1_NORMAL|9</x:v>
      </x:c>
      <x:c r="N715" s="12" t="str">
        <x:v>理学院</x:v>
      </x:c>
      <x:c r="O715" s="12" t="n">
        <x:f>IFERROR(INDEX('秒级路线参数_可调整'!$O:$O,MATCH(M715,'秒级路线参数_可调整'!$A:$A,0)),"")</x:f>
        <x:v>0</x:v>
      </x:c>
      <x:c r="P715" s="12" t="str">
        <x:f>IF(O715="","",O715/86400)</x:f>
      </x:c>
      <x:c r="Q715" s="12" t="str">
        <x:f>IF(O715="","",(H715*60+O715)/86400)</x:f>
      </x:c>
      <x:c r="R715" s="12" t="str">
        <x:f>IF(Q715="","",TEXT(Q715,"hh:mm:ss"))</x:f>
      </x:c>
      <x:c r="S715" s="12" t="str">
        <x:v>否</x:v>
      </x:c>
      <x:c r="T715" s="12" t="str">
        <x:v>否</x:v>
      </x:c>
      <x:c r="U715" s="12" t="str">
        <x:v>未提供</x:v>
      </x:c>
      <x:c r="V715" s="12" t="str">
        <x:v>未提供</x:v>
      </x:c>
      <x:c r="W715" s="12" t="str">
        <x:v>秒级预测</x:v>
      </x:c>
      <x:c r="X715" s="12" t="str">
        <x:v>基于路线秒级参数；如录入实测或手动采用秒，预计到达时间可随公式更新</x:v>
      </x:c>
    </x:row>
    <x:row r="716">
      <x:c r="A716" s="12" t="str">
        <x:v>S0058-10</x:v>
      </x:c>
      <x:c r="B716" s="12" t="str">
        <x:v>S0058</x:v>
      </x:c>
      <x:c r="C716" s="12" t="str">
        <x:v>工作日</x:v>
      </x:c>
      <x:c r="D716" s="12" t="str">
        <x:v>环线1路</x:v>
      </x:c>
      <x:c r="E716" s="12" t="str">
        <x:v>第四班（夜1）</x:v>
      </x:c>
      <x:c r="F716" s="12" t="n">
        <x:v>2</x:v>
      </x:c>
      <x:c r="G716" s="12" t="str">
        <x:v>15:00</x:v>
      </x:c>
      <x:c r="H716" s="12" t="n">
        <x:v>900</x:v>
      </x:c>
      <x:c r="I716" s="12" t="str">
        <x:v>研究生宿舍楼</x:v>
      </x:c>
      <x:c r="J716" s="12" t="str">
        <x:v>研究生宿舍楼发车</x:v>
      </x:c>
      <x:c r="K716" s="12" t="str">
        <x:v>HX1_NORMAL</x:v>
      </x:c>
      <x:c r="L716" s="12" t="n">
        <x:v>10</x:v>
      </x:c>
      <x:c r="M716" s="12" t="str">
        <x:v>HX1_NORMAL|10</x:v>
      </x:c>
      <x:c r="N716" s="12" t="str">
        <x:v>二食堂</x:v>
      </x:c>
      <x:c r="O716" s="12" t="n">
        <x:f>IFERROR(INDEX('秒级路线参数_可调整'!$O:$O,MATCH(M716,'秒级路线参数_可调整'!$A:$A,0)),"")</x:f>
        <x:v>0</x:v>
      </x:c>
      <x:c r="P716" s="12" t="str">
        <x:f>IF(O716="","",O716/86400)</x:f>
      </x:c>
      <x:c r="Q716" s="12" t="str">
        <x:f>IF(O716="","",(H716*60+O716)/86400)</x:f>
      </x:c>
      <x:c r="R716" s="12" t="str">
        <x:f>IF(Q716="","",TEXT(Q716,"hh:mm:ss"))</x:f>
      </x:c>
      <x:c r="S716" s="12" t="str">
        <x:v>否</x:v>
      </x:c>
      <x:c r="T716" s="12" t="str">
        <x:v>否</x:v>
      </x:c>
      <x:c r="U716" s="12" t="str">
        <x:v>未提供</x:v>
      </x:c>
      <x:c r="V716" s="12" t="str">
        <x:v>未提供</x:v>
      </x:c>
      <x:c r="W716" s="12" t="str">
        <x:v>秒级预测</x:v>
      </x:c>
      <x:c r="X716" s="12" t="str">
        <x:v>基于路线秒级参数；如录入实测或手动采用秒，预计到达时间可随公式更新</x:v>
      </x:c>
    </x:row>
    <x:row r="717">
      <x:c r="A717" s="12" t="str">
        <x:v>S0058-11</x:v>
      </x:c>
      <x:c r="B717" s="12" t="str">
        <x:v>S0058</x:v>
      </x:c>
      <x:c r="C717" s="12" t="str">
        <x:v>工作日</x:v>
      </x:c>
      <x:c r="D717" s="12" t="str">
        <x:v>环线1路</x:v>
      </x:c>
      <x:c r="E717" s="12" t="str">
        <x:v>第四班（夜1）</x:v>
      </x:c>
      <x:c r="F717" s="12" t="n">
        <x:v>2</x:v>
      </x:c>
      <x:c r="G717" s="12" t="str">
        <x:v>15:00</x:v>
      </x:c>
      <x:c r="H717" s="12" t="n">
        <x:v>900</x:v>
      </x:c>
      <x:c r="I717" s="12" t="str">
        <x:v>研究生宿舍楼</x:v>
      </x:c>
      <x:c r="J717" s="12" t="str">
        <x:v>研究生宿舍楼发车</x:v>
      </x:c>
      <x:c r="K717" s="12" t="str">
        <x:v>HX1_NORMAL</x:v>
      </x:c>
      <x:c r="L717" s="12" t="n">
        <x:v>11</x:v>
      </x:c>
      <x:c r="M717" s="12" t="str">
        <x:v>HX1_NORMAL|11</x:v>
      </x:c>
      <x:c r="N717" s="12" t="str">
        <x:v>5号宿舍楼</x:v>
      </x:c>
      <x:c r="O717" s="12" t="n">
        <x:f>IFERROR(INDEX('秒级路线参数_可调整'!$O:$O,MATCH(M717,'秒级路线参数_可调整'!$A:$A,0)),"")</x:f>
        <x:v>0</x:v>
      </x:c>
      <x:c r="P717" s="12" t="str">
        <x:f>IF(O717="","",O717/86400)</x:f>
      </x:c>
      <x:c r="Q717" s="12" t="str">
        <x:f>IF(O717="","",(H717*60+O717)/86400)</x:f>
      </x:c>
      <x:c r="R717" s="12" t="str">
        <x:f>IF(Q717="","",TEXT(Q717,"hh:mm:ss"))</x:f>
      </x:c>
      <x:c r="S717" s="12" t="str">
        <x:v>否</x:v>
      </x:c>
      <x:c r="T717" s="12" t="str">
        <x:v>否</x:v>
      </x:c>
      <x:c r="U717" s="12" t="str">
        <x:v>未提供</x:v>
      </x:c>
      <x:c r="V717" s="12" t="str">
        <x:v>未提供</x:v>
      </x:c>
      <x:c r="W717" s="12" t="str">
        <x:v>秒级预测</x:v>
      </x:c>
      <x:c r="X717" s="12" t="str">
        <x:v>基于路线秒级参数；如录入实测或手动采用秒，预计到达时间可随公式更新</x:v>
      </x:c>
    </x:row>
    <x:row r="718">
      <x:c r="A718" s="12" t="str">
        <x:v>S0058-12</x:v>
      </x:c>
      <x:c r="B718" s="12" t="str">
        <x:v>S0058</x:v>
      </x:c>
      <x:c r="C718" s="12" t="str">
        <x:v>工作日</x:v>
      </x:c>
      <x:c r="D718" s="12" t="str">
        <x:v>环线1路</x:v>
      </x:c>
      <x:c r="E718" s="12" t="str">
        <x:v>第四班（夜1）</x:v>
      </x:c>
      <x:c r="F718" s="12" t="n">
        <x:v>2</x:v>
      </x:c>
      <x:c r="G718" s="12" t="str">
        <x:v>15:00</x:v>
      </x:c>
      <x:c r="H718" s="12" t="n">
        <x:v>900</x:v>
      </x:c>
      <x:c r="I718" s="12" t="str">
        <x:v>研究生宿舍楼</x:v>
      </x:c>
      <x:c r="J718" s="12" t="str">
        <x:v>研究生宿舍楼发车</x:v>
      </x:c>
      <x:c r="K718" s="12" t="str">
        <x:v>HX1_NORMAL</x:v>
      </x:c>
      <x:c r="L718" s="12" t="n">
        <x:v>12</x:v>
      </x:c>
      <x:c r="M718" s="12" t="str">
        <x:v>HX1_NORMAL|12</x:v>
      </x:c>
      <x:c r="N718" s="12" t="str">
        <x:v>305教学楼</x:v>
      </x:c>
      <x:c r="O718" s="12" t="n">
        <x:f>IFERROR(INDEX('秒级路线参数_可调整'!$O:$O,MATCH(M718,'秒级路线参数_可调整'!$A:$A,0)),"")</x:f>
        <x:v>0</x:v>
      </x:c>
      <x:c r="P718" s="12" t="str">
        <x:f>IF(O718="","",O718/86400)</x:f>
      </x:c>
      <x:c r="Q718" s="12" t="str">
        <x:f>IF(O718="","",(H718*60+O718)/86400)</x:f>
      </x:c>
      <x:c r="R718" s="12" t="str">
        <x:f>IF(Q718="","",TEXT(Q718,"hh:mm:ss"))</x:f>
      </x:c>
      <x:c r="S718" s="12" t="str">
        <x:v>否</x:v>
      </x:c>
      <x:c r="T718" s="12" t="str">
        <x:v>否</x:v>
      </x:c>
      <x:c r="U718" s="12" t="str">
        <x:v>未提供</x:v>
      </x:c>
      <x:c r="V718" s="12" t="str">
        <x:v>未提供</x:v>
      </x:c>
      <x:c r="W718" s="12" t="str">
        <x:v>秒级预测</x:v>
      </x:c>
      <x:c r="X718" s="12" t="str">
        <x:v>基于路线秒级参数；如录入实测或手动采用秒，预计到达时间可随公式更新</x:v>
      </x:c>
    </x:row>
    <x:row r="719">
      <x:c r="A719" s="12" t="str">
        <x:v>S0058-13</x:v>
      </x:c>
      <x:c r="B719" s="12" t="str">
        <x:v>S0058</x:v>
      </x:c>
      <x:c r="C719" s="12" t="str">
        <x:v>工作日</x:v>
      </x:c>
      <x:c r="D719" s="12" t="str">
        <x:v>环线1路</x:v>
      </x:c>
      <x:c r="E719" s="12" t="str">
        <x:v>第四班（夜1）</x:v>
      </x:c>
      <x:c r="F719" s="12" t="n">
        <x:v>2</x:v>
      </x:c>
      <x:c r="G719" s="12" t="str">
        <x:v>15:00</x:v>
      </x:c>
      <x:c r="H719" s="12" t="n">
        <x:v>900</x:v>
      </x:c>
      <x:c r="I719" s="12" t="str">
        <x:v>研究生宿舍楼</x:v>
      </x:c>
      <x:c r="J719" s="12" t="str">
        <x:v>研究生宿舍楼发车</x:v>
      </x:c>
      <x:c r="K719" s="12" t="str">
        <x:v>HX1_NORMAL</x:v>
      </x:c>
      <x:c r="L719" s="12" t="n">
        <x:v>13</x:v>
      </x:c>
      <x:c r="M719" s="12" t="str">
        <x:v>HX1_NORMAL|13</x:v>
      </x:c>
      <x:c r="N719" s="12" t="str">
        <x:v>研究生宿舍楼</x:v>
      </x:c>
      <x:c r="O719" s="12" t="n">
        <x:f>IFERROR(INDEX('秒级路线参数_可调整'!$O:$O,MATCH(M719,'秒级路线参数_可调整'!$A:$A,0)),"")</x:f>
        <x:v>0</x:v>
      </x:c>
      <x:c r="P719" s="12" t="str">
        <x:f>IF(O719="","",O719/86400)</x:f>
      </x:c>
      <x:c r="Q719" s="12" t="str">
        <x:f>IF(O719="","",(H719*60+O719)/86400)</x:f>
      </x:c>
      <x:c r="R719" s="12" t="str">
        <x:f>IF(Q719="","",TEXT(Q719,"hh:mm:ss"))</x:f>
      </x:c>
      <x:c r="S719" s="12" t="str">
        <x:v>否</x:v>
      </x:c>
      <x:c r="T719" s="12" t="str">
        <x:v>是</x:v>
      </x:c>
      <x:c r="U719" s="12" t="str">
        <x:v>未提供</x:v>
      </x:c>
      <x:c r="V719" s="12" t="str">
        <x:v>未提供</x:v>
      </x:c>
      <x:c r="W719" s="12" t="str">
        <x:v>秒级预测</x:v>
      </x:c>
      <x:c r="X719" s="12" t="str">
        <x:v>基于路线秒级参数；如录入实测或手动采用秒，预计到达时间可随公式更新</x:v>
      </x:c>
    </x:row>
    <x:row r="720">
      <x:c r="A720" s="12" t="str">
        <x:v>S0059-01</x:v>
      </x:c>
      <x:c r="B720" s="12" t="str">
        <x:v>S0059</x:v>
      </x:c>
      <x:c r="C720" s="12" t="str">
        <x:v>工作日</x:v>
      </x:c>
      <x:c r="D720" s="12" t="str">
        <x:v>环线1路</x:v>
      </x:c>
      <x:c r="E720" s="12" t="str">
        <x:v>第四班（夜1）</x:v>
      </x:c>
      <x:c r="F720" s="12" t="n">
        <x:v>3</x:v>
      </x:c>
      <x:c r="G720" s="12" t="str">
        <x:v>16:00</x:v>
      </x:c>
      <x:c r="H720" s="12" t="n">
        <x:v>960</x:v>
      </x:c>
      <x:c r="I720" s="12" t="str">
        <x:v>研究生宿舍楼</x:v>
      </x:c>
      <x:c r="J720" s="12" t="str">
        <x:v>研究生宿舍楼发车</x:v>
      </x:c>
      <x:c r="K720" s="12" t="str">
        <x:v>HX1_NORMAL</x:v>
      </x:c>
      <x:c r="L720" s="12" t="n">
        <x:v>1</x:v>
      </x:c>
      <x:c r="M720" s="12" t="str">
        <x:v>HX1_NORMAL|1</x:v>
      </x:c>
      <x:c r="N720" s="12" t="str">
        <x:v>研究生宿舍楼</x:v>
      </x:c>
      <x:c r="O720" s="12" t="n">
        <x:f>IFERROR(INDEX('秒级路线参数_可调整'!$O:$O,MATCH(M720,'秒级路线参数_可调整'!$A:$A,0)),"")</x:f>
        <x:v>0</x:v>
      </x:c>
      <x:c r="P720" s="12" t="str">
        <x:f>IF(O720="","",O720/86400)</x:f>
      </x:c>
      <x:c r="Q720" s="12" t="str">
        <x:f>IF(O720="","",(H720*60+O720)/86400)</x:f>
      </x:c>
      <x:c r="R720" s="12" t="str">
        <x:f>IF(Q720="","",TEXT(Q720,"hh:mm:ss"))</x:f>
      </x:c>
      <x:c r="S720" s="12" t="str">
        <x:v>是</x:v>
      </x:c>
      <x:c r="T720" s="12" t="str">
        <x:v>否</x:v>
      </x:c>
      <x:c r="U720" s="12" t="str">
        <x:v>未提供</x:v>
      </x:c>
      <x:c r="V720" s="12" t="str">
        <x:v>未提供</x:v>
      </x:c>
      <x:c r="W720" s="12" t="str">
        <x:v>秒级预测</x:v>
      </x:c>
      <x:c r="X720" s="12" t="str">
        <x:v>基于路线秒级参数；如录入实测或手动采用秒，预计到达时间可随公式更新</x:v>
      </x:c>
    </x:row>
    <x:row r="721">
      <x:c r="A721" s="12" t="str">
        <x:v>S0059-02</x:v>
      </x:c>
      <x:c r="B721" s="12" t="str">
        <x:v>S0059</x:v>
      </x:c>
      <x:c r="C721" s="12" t="str">
        <x:v>工作日</x:v>
      </x:c>
      <x:c r="D721" s="12" t="str">
        <x:v>环线1路</x:v>
      </x:c>
      <x:c r="E721" s="12" t="str">
        <x:v>第四班（夜1）</x:v>
      </x:c>
      <x:c r="F721" s="12" t="n">
        <x:v>3</x:v>
      </x:c>
      <x:c r="G721" s="12" t="str">
        <x:v>16:00</x:v>
      </x:c>
      <x:c r="H721" s="12" t="n">
        <x:v>960</x:v>
      </x:c>
      <x:c r="I721" s="12" t="str">
        <x:v>研究生宿舍楼</x:v>
      </x:c>
      <x:c r="J721" s="12" t="str">
        <x:v>研究生宿舍楼发车</x:v>
      </x:c>
      <x:c r="K721" s="12" t="str">
        <x:v>HX1_NORMAL</x:v>
      </x:c>
      <x:c r="L721" s="12" t="n">
        <x:v>2</x:v>
      </x:c>
      <x:c r="M721" s="12" t="str">
        <x:v>HX1_NORMAL|2</x:v>
      </x:c>
      <x:c r="N721" s="12" t="str">
        <x:v>东门</x:v>
      </x:c>
      <x:c r="O721" s="12" t="n">
        <x:f>IFERROR(INDEX('秒级路线参数_可调整'!$O:$O,MATCH(M721,'秒级路线参数_可调整'!$A:$A,0)),"")</x:f>
        <x:v>0</x:v>
      </x:c>
      <x:c r="P721" s="12" t="str">
        <x:f>IF(O721="","",O721/86400)</x:f>
      </x:c>
      <x:c r="Q721" s="12" t="str">
        <x:f>IF(O721="","",(H721*60+O721)/86400)</x:f>
      </x:c>
      <x:c r="R721" s="12" t="str">
        <x:f>IF(Q721="","",TEXT(Q721,"hh:mm:ss"))</x:f>
      </x:c>
      <x:c r="S721" s="12" t="str">
        <x:v>否</x:v>
      </x:c>
      <x:c r="T721" s="12" t="str">
        <x:v>否</x:v>
      </x:c>
      <x:c r="U721" s="12" t="str">
        <x:v>未提供</x:v>
      </x:c>
      <x:c r="V721" s="12" t="str">
        <x:v>未提供</x:v>
      </x:c>
      <x:c r="W721" s="12" t="str">
        <x:v>秒级预测</x:v>
      </x:c>
      <x:c r="X721" s="12" t="str">
        <x:v>基于路线秒级参数；如录入实测或手动采用秒，预计到达时间可随公式更新</x:v>
      </x:c>
    </x:row>
    <x:row r="722">
      <x:c r="A722" s="12" t="str">
        <x:v>S0059-03</x:v>
      </x:c>
      <x:c r="B722" s="12" t="str">
        <x:v>S0059</x:v>
      </x:c>
      <x:c r="C722" s="12" t="str">
        <x:v>工作日</x:v>
      </x:c>
      <x:c r="D722" s="12" t="str">
        <x:v>环线1路</x:v>
      </x:c>
      <x:c r="E722" s="12" t="str">
        <x:v>第四班（夜1）</x:v>
      </x:c>
      <x:c r="F722" s="12" t="n">
        <x:v>3</x:v>
      </x:c>
      <x:c r="G722" s="12" t="str">
        <x:v>16:00</x:v>
      </x:c>
      <x:c r="H722" s="12" t="n">
        <x:v>960</x:v>
      </x:c>
      <x:c r="I722" s="12" t="str">
        <x:v>研究生宿舍楼</x:v>
      </x:c>
      <x:c r="J722" s="12" t="str">
        <x:v>研究生宿舍楼发车</x:v>
      </x:c>
      <x:c r="K722" s="12" t="str">
        <x:v>HX1_NORMAL</x:v>
      </x:c>
      <x:c r="L722" s="12" t="n">
        <x:v>3</x:v>
      </x:c>
      <x:c r="M722" s="12" t="str">
        <x:v>HX1_NORMAL|3</x:v>
      </x:c>
      <x:c r="N722" s="12" t="str">
        <x:v>2号宿舍楼</x:v>
      </x:c>
      <x:c r="O722" s="12" t="n">
        <x:f>IFERROR(INDEX('秒级路线参数_可调整'!$O:$O,MATCH(M722,'秒级路线参数_可调整'!$A:$A,0)),"")</x:f>
        <x:v>0</x:v>
      </x:c>
      <x:c r="P722" s="12" t="str">
        <x:f>IF(O722="","",O722/86400)</x:f>
      </x:c>
      <x:c r="Q722" s="12" t="str">
        <x:f>IF(O722="","",(H722*60+O722)/86400)</x:f>
      </x:c>
      <x:c r="R722" s="12" t="str">
        <x:f>IF(Q722="","",TEXT(Q722,"hh:mm:ss"))</x:f>
      </x:c>
      <x:c r="S722" s="12" t="str">
        <x:v>否</x:v>
      </x:c>
      <x:c r="T722" s="12" t="str">
        <x:v>否</x:v>
      </x:c>
      <x:c r="U722" s="12" t="str">
        <x:v>未提供</x:v>
      </x:c>
      <x:c r="V722" s="12" t="str">
        <x:v>未提供</x:v>
      </x:c>
      <x:c r="W722" s="12" t="str">
        <x:v>秒级预测</x:v>
      </x:c>
      <x:c r="X722" s="12" t="str">
        <x:v>基于路线秒级参数；如录入实测或手动采用秒，预计到达时间可随公式更新</x:v>
      </x:c>
    </x:row>
    <x:row r="723">
      <x:c r="A723" s="12" t="str">
        <x:v>S0059-04</x:v>
      </x:c>
      <x:c r="B723" s="12" t="str">
        <x:v>S0059</x:v>
      </x:c>
      <x:c r="C723" s="12" t="str">
        <x:v>工作日</x:v>
      </x:c>
      <x:c r="D723" s="12" t="str">
        <x:v>环线1路</x:v>
      </x:c>
      <x:c r="E723" s="12" t="str">
        <x:v>第四班（夜1）</x:v>
      </x:c>
      <x:c r="F723" s="12" t="n">
        <x:v>3</x:v>
      </x:c>
      <x:c r="G723" s="12" t="str">
        <x:v>16:00</x:v>
      </x:c>
      <x:c r="H723" s="12" t="n">
        <x:v>960</x:v>
      </x:c>
      <x:c r="I723" s="12" t="str">
        <x:v>研究生宿舍楼</x:v>
      </x:c>
      <x:c r="J723" s="12" t="str">
        <x:v>研究生宿舍楼发车</x:v>
      </x:c>
      <x:c r="K723" s="12" t="str">
        <x:v>HX1_NORMAL</x:v>
      </x:c>
      <x:c r="L723" s="12" t="n">
        <x:v>4</x:v>
      </x:c>
      <x:c r="M723" s="12" t="str">
        <x:v>HX1_NORMAL|4</x:v>
      </x:c>
      <x:c r="N723" s="12" t="str">
        <x:v>军体活动中心</x:v>
      </x:c>
      <x:c r="O723" s="12" t="n">
        <x:f>IFERROR(INDEX('秒级路线参数_可调整'!$O:$O,MATCH(M723,'秒级路线参数_可调整'!$A:$A,0)),"")</x:f>
        <x:v>0</x:v>
      </x:c>
      <x:c r="P723" s="12" t="str">
        <x:f>IF(O723="","",O723/86400)</x:f>
      </x:c>
      <x:c r="Q723" s="12" t="str">
        <x:f>IF(O723="","",(H723*60+O723)/86400)</x:f>
      </x:c>
      <x:c r="R723" s="12" t="str">
        <x:f>IF(Q723="","",TEXT(Q723,"hh:mm:ss"))</x:f>
      </x:c>
      <x:c r="S723" s="12" t="str">
        <x:v>否</x:v>
      </x:c>
      <x:c r="T723" s="12" t="str">
        <x:v>否</x:v>
      </x:c>
      <x:c r="U723" s="12" t="str">
        <x:v>未提供</x:v>
      </x:c>
      <x:c r="V723" s="12" t="str">
        <x:v>未提供</x:v>
      </x:c>
      <x:c r="W723" s="12" t="str">
        <x:v>秒级预测</x:v>
      </x:c>
      <x:c r="X723" s="12" t="str">
        <x:v>基于路线秒级参数；如录入实测或手动采用秒，预计到达时间可随公式更新</x:v>
      </x:c>
    </x:row>
    <x:row r="724">
      <x:c r="A724" s="12" t="str">
        <x:v>S0059-05</x:v>
      </x:c>
      <x:c r="B724" s="12" t="str">
        <x:v>S0059</x:v>
      </x:c>
      <x:c r="C724" s="12" t="str">
        <x:v>工作日</x:v>
      </x:c>
      <x:c r="D724" s="12" t="str">
        <x:v>环线1路</x:v>
      </x:c>
      <x:c r="E724" s="12" t="str">
        <x:v>第四班（夜1）</x:v>
      </x:c>
      <x:c r="F724" s="12" t="n">
        <x:v>3</x:v>
      </x:c>
      <x:c r="G724" s="12" t="str">
        <x:v>16:00</x:v>
      </x:c>
      <x:c r="H724" s="12" t="n">
        <x:v>960</x:v>
      </x:c>
      <x:c r="I724" s="12" t="str">
        <x:v>研究生宿舍楼</x:v>
      </x:c>
      <x:c r="J724" s="12" t="str">
        <x:v>研究生宿舍楼发车</x:v>
      </x:c>
      <x:c r="K724" s="12" t="str">
        <x:v>HX1_NORMAL</x:v>
      </x:c>
      <x:c r="L724" s="12" t="n">
        <x:v>5</x:v>
      </x:c>
      <x:c r="M724" s="12" t="str">
        <x:v>HX1_NORMAL|5</x:v>
      </x:c>
      <x:c r="N724" s="12" t="str">
        <x:v>激光所</x:v>
      </x:c>
      <x:c r="O724" s="12" t="n">
        <x:f>IFERROR(INDEX('秒级路线参数_可调整'!$O:$O,MATCH(M724,'秒级路线参数_可调整'!$A:$A,0)),"")</x:f>
        <x:v>0</x:v>
      </x:c>
      <x:c r="P724" s="12" t="str">
        <x:f>IF(O724="","",O724/86400)</x:f>
      </x:c>
      <x:c r="Q724" s="12" t="str">
        <x:f>IF(O724="","",(H724*60+O724)/86400)</x:f>
      </x:c>
      <x:c r="R724" s="12" t="str">
        <x:f>IF(Q724="","",TEXT(Q724,"hh:mm:ss"))</x:f>
      </x:c>
      <x:c r="S724" s="12" t="str">
        <x:v>否</x:v>
      </x:c>
      <x:c r="T724" s="12" t="str">
        <x:v>否</x:v>
      </x:c>
      <x:c r="U724" s="12" t="str">
        <x:v>未提供</x:v>
      </x:c>
      <x:c r="V724" s="12" t="str">
        <x:v>未提供</x:v>
      </x:c>
      <x:c r="W724" s="12" t="str">
        <x:v>秒级预测</x:v>
      </x:c>
      <x:c r="X724" s="12" t="str">
        <x:v>基于路线秒级参数；如录入实测或手动采用秒，预计到达时间可随公式更新</x:v>
      </x:c>
    </x:row>
    <x:row r="725">
      <x:c r="A725" s="12" t="str">
        <x:v>S0059-06</x:v>
      </x:c>
      <x:c r="B725" s="12" t="str">
        <x:v>S0059</x:v>
      </x:c>
      <x:c r="C725" s="12" t="str">
        <x:v>工作日</x:v>
      </x:c>
      <x:c r="D725" s="12" t="str">
        <x:v>环线1路</x:v>
      </x:c>
      <x:c r="E725" s="12" t="str">
        <x:v>第四班（夜1）</x:v>
      </x:c>
      <x:c r="F725" s="12" t="n">
        <x:v>3</x:v>
      </x:c>
      <x:c r="G725" s="12" t="str">
        <x:v>16:00</x:v>
      </x:c>
      <x:c r="H725" s="12" t="n">
        <x:v>960</x:v>
      </x:c>
      <x:c r="I725" s="12" t="str">
        <x:v>研究生宿舍楼</x:v>
      </x:c>
      <x:c r="J725" s="12" t="str">
        <x:v>研究生宿舍楼发车</x:v>
      </x:c>
      <x:c r="K725" s="12" t="str">
        <x:v>HX1_NORMAL</x:v>
      </x:c>
      <x:c r="L725" s="12" t="n">
        <x:v>6</x:v>
      </x:c>
      <x:c r="M725" s="12" t="str">
        <x:v>HX1_NORMAL|6</x:v>
      </x:c>
      <x:c r="N725" s="12" t="str">
        <x:v>超算中心</x:v>
      </x:c>
      <x:c r="O725" s="12" t="n">
        <x:f>IFERROR(INDEX('秒级路线参数_可调整'!$O:$O,MATCH(M725,'秒级路线参数_可调整'!$A:$A,0)),"")</x:f>
        <x:v>0</x:v>
      </x:c>
      <x:c r="P725" s="12" t="str">
        <x:f>IF(O725="","",O725/86400)</x:f>
      </x:c>
      <x:c r="Q725" s="12" t="str">
        <x:f>IF(O725="","",(H725*60+O725)/86400)</x:f>
      </x:c>
      <x:c r="R725" s="12" t="str">
        <x:f>IF(Q725="","",TEXT(Q725,"hh:mm:ss"))</x:f>
      </x:c>
      <x:c r="S725" s="12" t="str">
        <x:v>否</x:v>
      </x:c>
      <x:c r="T725" s="12" t="str">
        <x:v>否</x:v>
      </x:c>
      <x:c r="U725" s="12" t="str">
        <x:v>未提供</x:v>
      </x:c>
      <x:c r="V725" s="12" t="str">
        <x:v>未提供</x:v>
      </x:c>
      <x:c r="W725" s="12" t="str">
        <x:v>秒级预测</x:v>
      </x:c>
      <x:c r="X725" s="12" t="str">
        <x:v>基于路线秒级参数；如录入实测或手动采用秒，预计到达时间可随公式更新</x:v>
      </x:c>
    </x:row>
    <x:row r="726">
      <x:c r="A726" s="12" t="str">
        <x:v>S0059-07</x:v>
      </x:c>
      <x:c r="B726" s="12" t="str">
        <x:v>S0059</x:v>
      </x:c>
      <x:c r="C726" s="12" t="str">
        <x:v>工作日</x:v>
      </x:c>
      <x:c r="D726" s="12" t="str">
        <x:v>环线1路</x:v>
      </x:c>
      <x:c r="E726" s="12" t="str">
        <x:v>第四班（夜1）</x:v>
      </x:c>
      <x:c r="F726" s="12" t="n">
        <x:v>3</x:v>
      </x:c>
      <x:c r="G726" s="12" t="str">
        <x:v>16:00</x:v>
      </x:c>
      <x:c r="H726" s="12" t="n">
        <x:v>960</x:v>
      </x:c>
      <x:c r="I726" s="12" t="str">
        <x:v>研究生宿舍楼</x:v>
      </x:c>
      <x:c r="J726" s="12" t="str">
        <x:v>研究生宿舍楼发车</x:v>
      </x:c>
      <x:c r="K726" s="12" t="str">
        <x:v>HX1_NORMAL</x:v>
      </x:c>
      <x:c r="L726" s="12" t="n">
        <x:v>7</x:v>
      </x:c>
      <x:c r="M726" s="12" t="str">
        <x:v>HX1_NORMAL|7</x:v>
      </x:c>
      <x:c r="N726" s="12" t="str">
        <x:v>北门</x:v>
      </x:c>
      <x:c r="O726" s="12" t="n">
        <x:f>IFERROR(INDEX('秒级路线参数_可调整'!$O:$O,MATCH(M726,'秒级路线参数_可调整'!$A:$A,0)),"")</x:f>
        <x:v>0</x:v>
      </x:c>
      <x:c r="P726" s="12" t="str">
        <x:f>IF(O726="","",O726/86400)</x:f>
      </x:c>
      <x:c r="Q726" s="12" t="str">
        <x:f>IF(O726="","",(H726*60+O726)/86400)</x:f>
      </x:c>
      <x:c r="R726" s="12" t="str">
        <x:f>IF(Q726="","",TEXT(Q726,"hh:mm:ss"))</x:f>
      </x:c>
      <x:c r="S726" s="12" t="str">
        <x:v>否</x:v>
      </x:c>
      <x:c r="T726" s="12" t="str">
        <x:v>否</x:v>
      </x:c>
      <x:c r="U726" s="12" t="str">
        <x:v>未提供</x:v>
      </x:c>
      <x:c r="V726" s="12" t="str">
        <x:v>未提供</x:v>
      </x:c>
      <x:c r="W726" s="12" t="str">
        <x:v>秒级预测</x:v>
      </x:c>
      <x:c r="X726" s="12" t="str">
        <x:v>基于路线秒级参数；如录入实测或手动采用秒，预计到达时间可随公式更新</x:v>
      </x:c>
    </x:row>
    <x:row r="727">
      <x:c r="A727" s="12" t="str">
        <x:v>S0059-08</x:v>
      </x:c>
      <x:c r="B727" s="12" t="str">
        <x:v>S0059</x:v>
      </x:c>
      <x:c r="C727" s="12" t="str">
        <x:v>工作日</x:v>
      </x:c>
      <x:c r="D727" s="12" t="str">
        <x:v>环线1路</x:v>
      </x:c>
      <x:c r="E727" s="12" t="str">
        <x:v>第四班（夜1）</x:v>
      </x:c>
      <x:c r="F727" s="12" t="n">
        <x:v>3</x:v>
      </x:c>
      <x:c r="G727" s="12" t="str">
        <x:v>16:00</x:v>
      </x:c>
      <x:c r="H727" s="12" t="n">
        <x:v>960</x:v>
      </x:c>
      <x:c r="I727" s="12" t="str">
        <x:v>研究生宿舍楼</x:v>
      </x:c>
      <x:c r="J727" s="12" t="str">
        <x:v>研究生宿舍楼发车</x:v>
      </x:c>
      <x:c r="K727" s="12" t="str">
        <x:v>HX1_NORMAL</x:v>
      </x:c>
      <x:c r="L727" s="12" t="n">
        <x:v>8</x:v>
      </x:c>
      <x:c r="M727" s="12" t="str">
        <x:v>HX1_NORMAL|8</x:v>
      </x:c>
      <x:c r="N727" s="12" t="str">
        <x:v>高超楼</x:v>
      </x:c>
      <x:c r="O727" s="12" t="n">
        <x:f>IFERROR(INDEX('秒级路线参数_可调整'!$O:$O,MATCH(M727,'秒级路线参数_可调整'!$A:$A,0)),"")</x:f>
        <x:v>0</x:v>
      </x:c>
      <x:c r="P727" s="12" t="str">
        <x:f>IF(O727="","",O727/86400)</x:f>
      </x:c>
      <x:c r="Q727" s="12" t="str">
        <x:f>IF(O727="","",(H727*60+O727)/86400)</x:f>
      </x:c>
      <x:c r="R727" s="12" t="str">
        <x:f>IF(Q727="","",TEXT(Q727,"hh:mm:ss"))</x:f>
      </x:c>
      <x:c r="S727" s="12" t="str">
        <x:v>否</x:v>
      </x:c>
      <x:c r="T727" s="12" t="str">
        <x:v>否</x:v>
      </x:c>
      <x:c r="U727" s="12" t="str">
        <x:v>未提供</x:v>
      </x:c>
      <x:c r="V727" s="12" t="str">
        <x:v>未提供</x:v>
      </x:c>
      <x:c r="W727" s="12" t="str">
        <x:v>秒级预测</x:v>
      </x:c>
      <x:c r="X727" s="12" t="str">
        <x:v>基于路线秒级参数；如录入实测或手动采用秒，预计到达时间可随公式更新</x:v>
      </x:c>
    </x:row>
    <x:row r="728">
      <x:c r="A728" s="12" t="str">
        <x:v>S0059-09</x:v>
      </x:c>
      <x:c r="B728" s="12" t="str">
        <x:v>S0059</x:v>
      </x:c>
      <x:c r="C728" s="12" t="str">
        <x:v>工作日</x:v>
      </x:c>
      <x:c r="D728" s="12" t="str">
        <x:v>环线1路</x:v>
      </x:c>
      <x:c r="E728" s="12" t="str">
        <x:v>第四班（夜1）</x:v>
      </x:c>
      <x:c r="F728" s="12" t="n">
        <x:v>3</x:v>
      </x:c>
      <x:c r="G728" s="12" t="str">
        <x:v>16:00</x:v>
      </x:c>
      <x:c r="H728" s="12" t="n">
        <x:v>960</x:v>
      </x:c>
      <x:c r="I728" s="12" t="str">
        <x:v>研究生宿舍楼</x:v>
      </x:c>
      <x:c r="J728" s="12" t="str">
        <x:v>研究生宿舍楼发车</x:v>
      </x:c>
      <x:c r="K728" s="12" t="str">
        <x:v>HX1_NORMAL</x:v>
      </x:c>
      <x:c r="L728" s="12" t="n">
        <x:v>9</x:v>
      </x:c>
      <x:c r="M728" s="12" t="str">
        <x:v>HX1_NORMAL|9</x:v>
      </x:c>
      <x:c r="N728" s="12" t="str">
        <x:v>理学院</x:v>
      </x:c>
      <x:c r="O728" s="12" t="n">
        <x:f>IFERROR(INDEX('秒级路线参数_可调整'!$O:$O,MATCH(M728,'秒级路线参数_可调整'!$A:$A,0)),"")</x:f>
        <x:v>0</x:v>
      </x:c>
      <x:c r="P728" s="12" t="str">
        <x:f>IF(O728="","",O728/86400)</x:f>
      </x:c>
      <x:c r="Q728" s="12" t="str">
        <x:f>IF(O728="","",(H728*60+O728)/86400)</x:f>
      </x:c>
      <x:c r="R728" s="12" t="str">
        <x:f>IF(Q728="","",TEXT(Q728,"hh:mm:ss"))</x:f>
      </x:c>
      <x:c r="S728" s="12" t="str">
        <x:v>否</x:v>
      </x:c>
      <x:c r="T728" s="12" t="str">
        <x:v>否</x:v>
      </x:c>
      <x:c r="U728" s="12" t="str">
        <x:v>未提供</x:v>
      </x:c>
      <x:c r="V728" s="12" t="str">
        <x:v>未提供</x:v>
      </x:c>
      <x:c r="W728" s="12" t="str">
        <x:v>秒级预测</x:v>
      </x:c>
      <x:c r="X728" s="12" t="str">
        <x:v>基于路线秒级参数；如录入实测或手动采用秒，预计到达时间可随公式更新</x:v>
      </x:c>
    </x:row>
    <x:row r="729">
      <x:c r="A729" s="12" t="str">
        <x:v>S0059-10</x:v>
      </x:c>
      <x:c r="B729" s="12" t="str">
        <x:v>S0059</x:v>
      </x:c>
      <x:c r="C729" s="12" t="str">
        <x:v>工作日</x:v>
      </x:c>
      <x:c r="D729" s="12" t="str">
        <x:v>环线1路</x:v>
      </x:c>
      <x:c r="E729" s="12" t="str">
        <x:v>第四班（夜1）</x:v>
      </x:c>
      <x:c r="F729" s="12" t="n">
        <x:v>3</x:v>
      </x:c>
      <x:c r="G729" s="12" t="str">
        <x:v>16:00</x:v>
      </x:c>
      <x:c r="H729" s="12" t="n">
        <x:v>960</x:v>
      </x:c>
      <x:c r="I729" s="12" t="str">
        <x:v>研究生宿舍楼</x:v>
      </x:c>
      <x:c r="J729" s="12" t="str">
        <x:v>研究生宿舍楼发车</x:v>
      </x:c>
      <x:c r="K729" s="12" t="str">
        <x:v>HX1_NORMAL</x:v>
      </x:c>
      <x:c r="L729" s="12" t="n">
        <x:v>10</x:v>
      </x:c>
      <x:c r="M729" s="12" t="str">
        <x:v>HX1_NORMAL|10</x:v>
      </x:c>
      <x:c r="N729" s="12" t="str">
        <x:v>二食堂</x:v>
      </x:c>
      <x:c r="O729" s="12" t="n">
        <x:f>IFERROR(INDEX('秒级路线参数_可调整'!$O:$O,MATCH(M729,'秒级路线参数_可调整'!$A:$A,0)),"")</x:f>
        <x:v>0</x:v>
      </x:c>
      <x:c r="P729" s="12" t="str">
        <x:f>IF(O729="","",O729/86400)</x:f>
      </x:c>
      <x:c r="Q729" s="12" t="str">
        <x:f>IF(O729="","",(H729*60+O729)/86400)</x:f>
      </x:c>
      <x:c r="R729" s="12" t="str">
        <x:f>IF(Q729="","",TEXT(Q729,"hh:mm:ss"))</x:f>
      </x:c>
      <x:c r="S729" s="12" t="str">
        <x:v>否</x:v>
      </x:c>
      <x:c r="T729" s="12" t="str">
        <x:v>否</x:v>
      </x:c>
      <x:c r="U729" s="12" t="str">
        <x:v>未提供</x:v>
      </x:c>
      <x:c r="V729" s="12" t="str">
        <x:v>未提供</x:v>
      </x:c>
      <x:c r="W729" s="12" t="str">
        <x:v>秒级预测</x:v>
      </x:c>
      <x:c r="X729" s="12" t="str">
        <x:v>基于路线秒级参数；如录入实测或手动采用秒，预计到达时间可随公式更新</x:v>
      </x:c>
    </x:row>
    <x:row r="730">
      <x:c r="A730" s="12" t="str">
        <x:v>S0059-11</x:v>
      </x:c>
      <x:c r="B730" s="12" t="str">
        <x:v>S0059</x:v>
      </x:c>
      <x:c r="C730" s="12" t="str">
        <x:v>工作日</x:v>
      </x:c>
      <x:c r="D730" s="12" t="str">
        <x:v>环线1路</x:v>
      </x:c>
      <x:c r="E730" s="12" t="str">
        <x:v>第四班（夜1）</x:v>
      </x:c>
      <x:c r="F730" s="12" t="n">
        <x:v>3</x:v>
      </x:c>
      <x:c r="G730" s="12" t="str">
        <x:v>16:00</x:v>
      </x:c>
      <x:c r="H730" s="12" t="n">
        <x:v>960</x:v>
      </x:c>
      <x:c r="I730" s="12" t="str">
        <x:v>研究生宿舍楼</x:v>
      </x:c>
      <x:c r="J730" s="12" t="str">
        <x:v>研究生宿舍楼发车</x:v>
      </x:c>
      <x:c r="K730" s="12" t="str">
        <x:v>HX1_NORMAL</x:v>
      </x:c>
      <x:c r="L730" s="12" t="n">
        <x:v>11</x:v>
      </x:c>
      <x:c r="M730" s="12" t="str">
        <x:v>HX1_NORMAL|11</x:v>
      </x:c>
      <x:c r="N730" s="12" t="str">
        <x:v>5号宿舍楼</x:v>
      </x:c>
      <x:c r="O730" s="12" t="n">
        <x:f>IFERROR(INDEX('秒级路线参数_可调整'!$O:$O,MATCH(M730,'秒级路线参数_可调整'!$A:$A,0)),"")</x:f>
        <x:v>0</x:v>
      </x:c>
      <x:c r="P730" s="12" t="str">
        <x:f>IF(O730="","",O730/86400)</x:f>
      </x:c>
      <x:c r="Q730" s="12" t="str">
        <x:f>IF(O730="","",(H730*60+O730)/86400)</x:f>
      </x:c>
      <x:c r="R730" s="12" t="str">
        <x:f>IF(Q730="","",TEXT(Q730,"hh:mm:ss"))</x:f>
      </x:c>
      <x:c r="S730" s="12" t="str">
        <x:v>否</x:v>
      </x:c>
      <x:c r="T730" s="12" t="str">
        <x:v>否</x:v>
      </x:c>
      <x:c r="U730" s="12" t="str">
        <x:v>未提供</x:v>
      </x:c>
      <x:c r="V730" s="12" t="str">
        <x:v>未提供</x:v>
      </x:c>
      <x:c r="W730" s="12" t="str">
        <x:v>秒级预测</x:v>
      </x:c>
      <x:c r="X730" s="12" t="str">
        <x:v>基于路线秒级参数；如录入实测或手动采用秒，预计到达时间可随公式更新</x:v>
      </x:c>
    </x:row>
    <x:row r="731">
      <x:c r="A731" s="12" t="str">
        <x:v>S0059-12</x:v>
      </x:c>
      <x:c r="B731" s="12" t="str">
        <x:v>S0059</x:v>
      </x:c>
      <x:c r="C731" s="12" t="str">
        <x:v>工作日</x:v>
      </x:c>
      <x:c r="D731" s="12" t="str">
        <x:v>环线1路</x:v>
      </x:c>
      <x:c r="E731" s="12" t="str">
        <x:v>第四班（夜1）</x:v>
      </x:c>
      <x:c r="F731" s="12" t="n">
        <x:v>3</x:v>
      </x:c>
      <x:c r="G731" s="12" t="str">
        <x:v>16:00</x:v>
      </x:c>
      <x:c r="H731" s="12" t="n">
        <x:v>960</x:v>
      </x:c>
      <x:c r="I731" s="12" t="str">
        <x:v>研究生宿舍楼</x:v>
      </x:c>
      <x:c r="J731" s="12" t="str">
        <x:v>研究生宿舍楼发车</x:v>
      </x:c>
      <x:c r="K731" s="12" t="str">
        <x:v>HX1_NORMAL</x:v>
      </x:c>
      <x:c r="L731" s="12" t="n">
        <x:v>12</x:v>
      </x:c>
      <x:c r="M731" s="12" t="str">
        <x:v>HX1_NORMAL|12</x:v>
      </x:c>
      <x:c r="N731" s="12" t="str">
        <x:v>305教学楼</x:v>
      </x:c>
      <x:c r="O731" s="12" t="n">
        <x:f>IFERROR(INDEX('秒级路线参数_可调整'!$O:$O,MATCH(M731,'秒级路线参数_可调整'!$A:$A,0)),"")</x:f>
        <x:v>0</x:v>
      </x:c>
      <x:c r="P731" s="12" t="str">
        <x:f>IF(O731="","",O731/86400)</x:f>
      </x:c>
      <x:c r="Q731" s="12" t="str">
        <x:f>IF(O731="","",(H731*60+O731)/86400)</x:f>
      </x:c>
      <x:c r="R731" s="12" t="str">
        <x:f>IF(Q731="","",TEXT(Q731,"hh:mm:ss"))</x:f>
      </x:c>
      <x:c r="S731" s="12" t="str">
        <x:v>否</x:v>
      </x:c>
      <x:c r="T731" s="12" t="str">
        <x:v>否</x:v>
      </x:c>
      <x:c r="U731" s="12" t="str">
        <x:v>未提供</x:v>
      </x:c>
      <x:c r="V731" s="12" t="str">
        <x:v>未提供</x:v>
      </x:c>
      <x:c r="W731" s="12" t="str">
        <x:v>秒级预测</x:v>
      </x:c>
      <x:c r="X731" s="12" t="str">
        <x:v>基于路线秒级参数；如录入实测或手动采用秒，预计到达时间可随公式更新</x:v>
      </x:c>
    </x:row>
    <x:row r="732">
      <x:c r="A732" s="12" t="str">
        <x:v>S0059-13</x:v>
      </x:c>
      <x:c r="B732" s="12" t="str">
        <x:v>S0059</x:v>
      </x:c>
      <x:c r="C732" s="12" t="str">
        <x:v>工作日</x:v>
      </x:c>
      <x:c r="D732" s="12" t="str">
        <x:v>环线1路</x:v>
      </x:c>
      <x:c r="E732" s="12" t="str">
        <x:v>第四班（夜1）</x:v>
      </x:c>
      <x:c r="F732" s="12" t="n">
        <x:v>3</x:v>
      </x:c>
      <x:c r="G732" s="12" t="str">
        <x:v>16:00</x:v>
      </x:c>
      <x:c r="H732" s="12" t="n">
        <x:v>960</x:v>
      </x:c>
      <x:c r="I732" s="12" t="str">
        <x:v>研究生宿舍楼</x:v>
      </x:c>
      <x:c r="J732" s="12" t="str">
        <x:v>研究生宿舍楼发车</x:v>
      </x:c>
      <x:c r="K732" s="12" t="str">
        <x:v>HX1_NORMAL</x:v>
      </x:c>
      <x:c r="L732" s="12" t="n">
        <x:v>13</x:v>
      </x:c>
      <x:c r="M732" s="12" t="str">
        <x:v>HX1_NORMAL|13</x:v>
      </x:c>
      <x:c r="N732" s="12" t="str">
        <x:v>研究生宿舍楼</x:v>
      </x:c>
      <x:c r="O732" s="12" t="n">
        <x:f>IFERROR(INDEX('秒级路线参数_可调整'!$O:$O,MATCH(M732,'秒级路线参数_可调整'!$A:$A,0)),"")</x:f>
        <x:v>0</x:v>
      </x:c>
      <x:c r="P732" s="12" t="str">
        <x:f>IF(O732="","",O732/86400)</x:f>
      </x:c>
      <x:c r="Q732" s="12" t="str">
        <x:f>IF(O732="","",(H732*60+O732)/86400)</x:f>
      </x:c>
      <x:c r="R732" s="12" t="str">
        <x:f>IF(Q732="","",TEXT(Q732,"hh:mm:ss"))</x:f>
      </x:c>
      <x:c r="S732" s="12" t="str">
        <x:v>否</x:v>
      </x:c>
      <x:c r="T732" s="12" t="str">
        <x:v>是</x:v>
      </x:c>
      <x:c r="U732" s="12" t="str">
        <x:v>未提供</x:v>
      </x:c>
      <x:c r="V732" s="12" t="str">
        <x:v>未提供</x:v>
      </x:c>
      <x:c r="W732" s="12" t="str">
        <x:v>秒级预测</x:v>
      </x:c>
      <x:c r="X732" s="12" t="str">
        <x:v>基于路线秒级参数；如录入实测或手动采用秒，预计到达时间可随公式更新</x:v>
      </x:c>
    </x:row>
    <x:row r="733">
      <x:c r="A733" s="12" t="str">
        <x:v>S0060-01</x:v>
      </x:c>
      <x:c r="B733" s="12" t="str">
        <x:v>S0060</x:v>
      </x:c>
      <x:c r="C733" s="12" t="str">
        <x:v>工作日</x:v>
      </x:c>
      <x:c r="D733" s="12" t="str">
        <x:v>环线1路</x:v>
      </x:c>
      <x:c r="E733" s="12" t="str">
        <x:v>第四班（夜1）</x:v>
      </x:c>
      <x:c r="F733" s="12" t="n">
        <x:v>4</x:v>
      </x:c>
      <x:c r="G733" s="12" t="str">
        <x:v>16:45</x:v>
      </x:c>
      <x:c r="H733" s="12" t="n">
        <x:v>1005</x:v>
      </x:c>
      <x:c r="I733" s="12" t="str">
        <x:v>研究生宿舍楼</x:v>
      </x:c>
      <x:c r="J733" s="12" t="str">
        <x:v>研究生宿舍楼发车</x:v>
      </x:c>
      <x:c r="K733" s="12" t="str">
        <x:v>HX1_NORMAL</x:v>
      </x:c>
      <x:c r="L733" s="12" t="n">
        <x:v>1</x:v>
      </x:c>
      <x:c r="M733" s="12" t="str">
        <x:v>HX1_NORMAL|1</x:v>
      </x:c>
      <x:c r="N733" s="12" t="str">
        <x:v>研究生宿舍楼</x:v>
      </x:c>
      <x:c r="O733" s="12" t="n">
        <x:f>IFERROR(INDEX('秒级路线参数_可调整'!$O:$O,MATCH(M733,'秒级路线参数_可调整'!$A:$A,0)),"")</x:f>
        <x:v>0</x:v>
      </x:c>
      <x:c r="P733" s="12" t="str">
        <x:f>IF(O733="","",O733/86400)</x:f>
      </x:c>
      <x:c r="Q733" s="12" t="str">
        <x:f>IF(O733="","",(H733*60+O733)/86400)</x:f>
      </x:c>
      <x:c r="R733" s="12" t="str">
        <x:f>IF(Q733="","",TEXT(Q733,"hh:mm:ss"))</x:f>
      </x:c>
      <x:c r="S733" s="12" t="str">
        <x:v>是</x:v>
      </x:c>
      <x:c r="T733" s="12" t="str">
        <x:v>否</x:v>
      </x:c>
      <x:c r="U733" s="12" t="str">
        <x:v>未提供</x:v>
      </x:c>
      <x:c r="V733" s="12" t="str">
        <x:v>未提供</x:v>
      </x:c>
      <x:c r="W733" s="12" t="str">
        <x:v>秒级预测</x:v>
      </x:c>
      <x:c r="X733" s="12" t="str">
        <x:v>基于路线秒级参数；如录入实测或手动采用秒，预计到达时间可随公式更新</x:v>
      </x:c>
    </x:row>
    <x:row r="734">
      <x:c r="A734" s="12" t="str">
        <x:v>S0060-02</x:v>
      </x:c>
      <x:c r="B734" s="12" t="str">
        <x:v>S0060</x:v>
      </x:c>
      <x:c r="C734" s="12" t="str">
        <x:v>工作日</x:v>
      </x:c>
      <x:c r="D734" s="12" t="str">
        <x:v>环线1路</x:v>
      </x:c>
      <x:c r="E734" s="12" t="str">
        <x:v>第四班（夜1）</x:v>
      </x:c>
      <x:c r="F734" s="12" t="n">
        <x:v>4</x:v>
      </x:c>
      <x:c r="G734" s="12" t="str">
        <x:v>16:45</x:v>
      </x:c>
      <x:c r="H734" s="12" t="n">
        <x:v>1005</x:v>
      </x:c>
      <x:c r="I734" s="12" t="str">
        <x:v>研究生宿舍楼</x:v>
      </x:c>
      <x:c r="J734" s="12" t="str">
        <x:v>研究生宿舍楼发车</x:v>
      </x:c>
      <x:c r="K734" s="12" t="str">
        <x:v>HX1_NORMAL</x:v>
      </x:c>
      <x:c r="L734" s="12" t="n">
        <x:v>2</x:v>
      </x:c>
      <x:c r="M734" s="12" t="str">
        <x:v>HX1_NORMAL|2</x:v>
      </x:c>
      <x:c r="N734" s="12" t="str">
        <x:v>东门</x:v>
      </x:c>
      <x:c r="O734" s="12" t="n">
        <x:f>IFERROR(INDEX('秒级路线参数_可调整'!$O:$O,MATCH(M734,'秒级路线参数_可调整'!$A:$A,0)),"")</x:f>
        <x:v>0</x:v>
      </x:c>
      <x:c r="P734" s="12" t="str">
        <x:f>IF(O734="","",O734/86400)</x:f>
      </x:c>
      <x:c r="Q734" s="12" t="str">
        <x:f>IF(O734="","",(H734*60+O734)/86400)</x:f>
      </x:c>
      <x:c r="R734" s="12" t="str">
        <x:f>IF(Q734="","",TEXT(Q734,"hh:mm:ss"))</x:f>
      </x:c>
      <x:c r="S734" s="12" t="str">
        <x:v>否</x:v>
      </x:c>
      <x:c r="T734" s="12" t="str">
        <x:v>否</x:v>
      </x:c>
      <x:c r="U734" s="12" t="str">
        <x:v>未提供</x:v>
      </x:c>
      <x:c r="V734" s="12" t="str">
        <x:v>未提供</x:v>
      </x:c>
      <x:c r="W734" s="12" t="str">
        <x:v>秒级预测</x:v>
      </x:c>
      <x:c r="X734" s="12" t="str">
        <x:v>基于路线秒级参数；如录入实测或手动采用秒，预计到达时间可随公式更新</x:v>
      </x:c>
    </x:row>
    <x:row r="735">
      <x:c r="A735" s="12" t="str">
        <x:v>S0060-03</x:v>
      </x:c>
      <x:c r="B735" s="12" t="str">
        <x:v>S0060</x:v>
      </x:c>
      <x:c r="C735" s="12" t="str">
        <x:v>工作日</x:v>
      </x:c>
      <x:c r="D735" s="12" t="str">
        <x:v>环线1路</x:v>
      </x:c>
      <x:c r="E735" s="12" t="str">
        <x:v>第四班（夜1）</x:v>
      </x:c>
      <x:c r="F735" s="12" t="n">
        <x:v>4</x:v>
      </x:c>
      <x:c r="G735" s="12" t="str">
        <x:v>16:45</x:v>
      </x:c>
      <x:c r="H735" s="12" t="n">
        <x:v>1005</x:v>
      </x:c>
      <x:c r="I735" s="12" t="str">
        <x:v>研究生宿舍楼</x:v>
      </x:c>
      <x:c r="J735" s="12" t="str">
        <x:v>研究生宿舍楼发车</x:v>
      </x:c>
      <x:c r="K735" s="12" t="str">
        <x:v>HX1_NORMAL</x:v>
      </x:c>
      <x:c r="L735" s="12" t="n">
        <x:v>3</x:v>
      </x:c>
      <x:c r="M735" s="12" t="str">
        <x:v>HX1_NORMAL|3</x:v>
      </x:c>
      <x:c r="N735" s="12" t="str">
        <x:v>2号宿舍楼</x:v>
      </x:c>
      <x:c r="O735" s="12" t="n">
        <x:f>IFERROR(INDEX('秒级路线参数_可调整'!$O:$O,MATCH(M735,'秒级路线参数_可调整'!$A:$A,0)),"")</x:f>
        <x:v>0</x:v>
      </x:c>
      <x:c r="P735" s="12" t="str">
        <x:f>IF(O735="","",O735/86400)</x:f>
      </x:c>
      <x:c r="Q735" s="12" t="str">
        <x:f>IF(O735="","",(H735*60+O735)/86400)</x:f>
      </x:c>
      <x:c r="R735" s="12" t="str">
        <x:f>IF(Q735="","",TEXT(Q735,"hh:mm:ss"))</x:f>
      </x:c>
      <x:c r="S735" s="12" t="str">
        <x:v>否</x:v>
      </x:c>
      <x:c r="T735" s="12" t="str">
        <x:v>否</x:v>
      </x:c>
      <x:c r="U735" s="12" t="str">
        <x:v>未提供</x:v>
      </x:c>
      <x:c r="V735" s="12" t="str">
        <x:v>未提供</x:v>
      </x:c>
      <x:c r="W735" s="12" t="str">
        <x:v>秒级预测</x:v>
      </x:c>
      <x:c r="X735" s="12" t="str">
        <x:v>基于路线秒级参数；如录入实测或手动采用秒，预计到达时间可随公式更新</x:v>
      </x:c>
    </x:row>
    <x:row r="736">
      <x:c r="A736" s="12" t="str">
        <x:v>S0060-04</x:v>
      </x:c>
      <x:c r="B736" s="12" t="str">
        <x:v>S0060</x:v>
      </x:c>
      <x:c r="C736" s="12" t="str">
        <x:v>工作日</x:v>
      </x:c>
      <x:c r="D736" s="12" t="str">
        <x:v>环线1路</x:v>
      </x:c>
      <x:c r="E736" s="12" t="str">
        <x:v>第四班（夜1）</x:v>
      </x:c>
      <x:c r="F736" s="12" t="n">
        <x:v>4</x:v>
      </x:c>
      <x:c r="G736" s="12" t="str">
        <x:v>16:45</x:v>
      </x:c>
      <x:c r="H736" s="12" t="n">
        <x:v>1005</x:v>
      </x:c>
      <x:c r="I736" s="12" t="str">
        <x:v>研究生宿舍楼</x:v>
      </x:c>
      <x:c r="J736" s="12" t="str">
        <x:v>研究生宿舍楼发车</x:v>
      </x:c>
      <x:c r="K736" s="12" t="str">
        <x:v>HX1_NORMAL</x:v>
      </x:c>
      <x:c r="L736" s="12" t="n">
        <x:v>4</x:v>
      </x:c>
      <x:c r="M736" s="12" t="str">
        <x:v>HX1_NORMAL|4</x:v>
      </x:c>
      <x:c r="N736" s="12" t="str">
        <x:v>军体活动中心</x:v>
      </x:c>
      <x:c r="O736" s="12" t="n">
        <x:f>IFERROR(INDEX('秒级路线参数_可调整'!$O:$O,MATCH(M736,'秒级路线参数_可调整'!$A:$A,0)),"")</x:f>
        <x:v>0</x:v>
      </x:c>
      <x:c r="P736" s="12" t="str">
        <x:f>IF(O736="","",O736/86400)</x:f>
      </x:c>
      <x:c r="Q736" s="12" t="str">
        <x:f>IF(O736="","",(H736*60+O736)/86400)</x:f>
      </x:c>
      <x:c r="R736" s="12" t="str">
        <x:f>IF(Q736="","",TEXT(Q736,"hh:mm:ss"))</x:f>
      </x:c>
      <x:c r="S736" s="12" t="str">
        <x:v>否</x:v>
      </x:c>
      <x:c r="T736" s="12" t="str">
        <x:v>否</x:v>
      </x:c>
      <x:c r="U736" s="12" t="str">
        <x:v>未提供</x:v>
      </x:c>
      <x:c r="V736" s="12" t="str">
        <x:v>未提供</x:v>
      </x:c>
      <x:c r="W736" s="12" t="str">
        <x:v>秒级预测</x:v>
      </x:c>
      <x:c r="X736" s="12" t="str">
        <x:v>基于路线秒级参数；如录入实测或手动采用秒，预计到达时间可随公式更新</x:v>
      </x:c>
    </x:row>
    <x:row r="737">
      <x:c r="A737" s="12" t="str">
        <x:v>S0060-05</x:v>
      </x:c>
      <x:c r="B737" s="12" t="str">
        <x:v>S0060</x:v>
      </x:c>
      <x:c r="C737" s="12" t="str">
        <x:v>工作日</x:v>
      </x:c>
      <x:c r="D737" s="12" t="str">
        <x:v>环线1路</x:v>
      </x:c>
      <x:c r="E737" s="12" t="str">
        <x:v>第四班（夜1）</x:v>
      </x:c>
      <x:c r="F737" s="12" t="n">
        <x:v>4</x:v>
      </x:c>
      <x:c r="G737" s="12" t="str">
        <x:v>16:45</x:v>
      </x:c>
      <x:c r="H737" s="12" t="n">
        <x:v>1005</x:v>
      </x:c>
      <x:c r="I737" s="12" t="str">
        <x:v>研究生宿舍楼</x:v>
      </x:c>
      <x:c r="J737" s="12" t="str">
        <x:v>研究生宿舍楼发车</x:v>
      </x:c>
      <x:c r="K737" s="12" t="str">
        <x:v>HX1_NORMAL</x:v>
      </x:c>
      <x:c r="L737" s="12" t="n">
        <x:v>5</x:v>
      </x:c>
      <x:c r="M737" s="12" t="str">
        <x:v>HX1_NORMAL|5</x:v>
      </x:c>
      <x:c r="N737" s="12" t="str">
        <x:v>激光所</x:v>
      </x:c>
      <x:c r="O737" s="12" t="n">
        <x:f>IFERROR(INDEX('秒级路线参数_可调整'!$O:$O,MATCH(M737,'秒级路线参数_可调整'!$A:$A,0)),"")</x:f>
        <x:v>0</x:v>
      </x:c>
      <x:c r="P737" s="12" t="str">
        <x:f>IF(O737="","",O737/86400)</x:f>
      </x:c>
      <x:c r="Q737" s="12" t="str">
        <x:f>IF(O737="","",(H737*60+O737)/86400)</x:f>
      </x:c>
      <x:c r="R737" s="12" t="str">
        <x:f>IF(Q737="","",TEXT(Q737,"hh:mm:ss"))</x:f>
      </x:c>
      <x:c r="S737" s="12" t="str">
        <x:v>否</x:v>
      </x:c>
      <x:c r="T737" s="12" t="str">
        <x:v>否</x:v>
      </x:c>
      <x:c r="U737" s="12" t="str">
        <x:v>未提供</x:v>
      </x:c>
      <x:c r="V737" s="12" t="str">
        <x:v>未提供</x:v>
      </x:c>
      <x:c r="W737" s="12" t="str">
        <x:v>秒级预测</x:v>
      </x:c>
      <x:c r="X737" s="12" t="str">
        <x:v>基于路线秒级参数；如录入实测或手动采用秒，预计到达时间可随公式更新</x:v>
      </x:c>
    </x:row>
    <x:row r="738">
      <x:c r="A738" s="12" t="str">
        <x:v>S0060-06</x:v>
      </x:c>
      <x:c r="B738" s="12" t="str">
        <x:v>S0060</x:v>
      </x:c>
      <x:c r="C738" s="12" t="str">
        <x:v>工作日</x:v>
      </x:c>
      <x:c r="D738" s="12" t="str">
        <x:v>环线1路</x:v>
      </x:c>
      <x:c r="E738" s="12" t="str">
        <x:v>第四班（夜1）</x:v>
      </x:c>
      <x:c r="F738" s="12" t="n">
        <x:v>4</x:v>
      </x:c>
      <x:c r="G738" s="12" t="str">
        <x:v>16:45</x:v>
      </x:c>
      <x:c r="H738" s="12" t="n">
        <x:v>1005</x:v>
      </x:c>
      <x:c r="I738" s="12" t="str">
        <x:v>研究生宿舍楼</x:v>
      </x:c>
      <x:c r="J738" s="12" t="str">
        <x:v>研究生宿舍楼发车</x:v>
      </x:c>
      <x:c r="K738" s="12" t="str">
        <x:v>HX1_NORMAL</x:v>
      </x:c>
      <x:c r="L738" s="12" t="n">
        <x:v>6</x:v>
      </x:c>
      <x:c r="M738" s="12" t="str">
        <x:v>HX1_NORMAL|6</x:v>
      </x:c>
      <x:c r="N738" s="12" t="str">
        <x:v>超算中心</x:v>
      </x:c>
      <x:c r="O738" s="12" t="n">
        <x:f>IFERROR(INDEX('秒级路线参数_可调整'!$O:$O,MATCH(M738,'秒级路线参数_可调整'!$A:$A,0)),"")</x:f>
        <x:v>0</x:v>
      </x:c>
      <x:c r="P738" s="12" t="str">
        <x:f>IF(O738="","",O738/86400)</x:f>
      </x:c>
      <x:c r="Q738" s="12" t="str">
        <x:f>IF(O738="","",(H738*60+O738)/86400)</x:f>
      </x:c>
      <x:c r="R738" s="12" t="str">
        <x:f>IF(Q738="","",TEXT(Q738,"hh:mm:ss"))</x:f>
      </x:c>
      <x:c r="S738" s="12" t="str">
        <x:v>否</x:v>
      </x:c>
      <x:c r="T738" s="12" t="str">
        <x:v>否</x:v>
      </x:c>
      <x:c r="U738" s="12" t="str">
        <x:v>未提供</x:v>
      </x:c>
      <x:c r="V738" s="12" t="str">
        <x:v>未提供</x:v>
      </x:c>
      <x:c r="W738" s="12" t="str">
        <x:v>秒级预测</x:v>
      </x:c>
      <x:c r="X738" s="12" t="str">
        <x:v>基于路线秒级参数；如录入实测或手动采用秒，预计到达时间可随公式更新</x:v>
      </x:c>
    </x:row>
    <x:row r="739">
      <x:c r="A739" s="12" t="str">
        <x:v>S0060-07</x:v>
      </x:c>
      <x:c r="B739" s="12" t="str">
        <x:v>S0060</x:v>
      </x:c>
      <x:c r="C739" s="12" t="str">
        <x:v>工作日</x:v>
      </x:c>
      <x:c r="D739" s="12" t="str">
        <x:v>环线1路</x:v>
      </x:c>
      <x:c r="E739" s="12" t="str">
        <x:v>第四班（夜1）</x:v>
      </x:c>
      <x:c r="F739" s="12" t="n">
        <x:v>4</x:v>
      </x:c>
      <x:c r="G739" s="12" t="str">
        <x:v>16:45</x:v>
      </x:c>
      <x:c r="H739" s="12" t="n">
        <x:v>1005</x:v>
      </x:c>
      <x:c r="I739" s="12" t="str">
        <x:v>研究生宿舍楼</x:v>
      </x:c>
      <x:c r="J739" s="12" t="str">
        <x:v>研究生宿舍楼发车</x:v>
      </x:c>
      <x:c r="K739" s="12" t="str">
        <x:v>HX1_NORMAL</x:v>
      </x:c>
      <x:c r="L739" s="12" t="n">
        <x:v>7</x:v>
      </x:c>
      <x:c r="M739" s="12" t="str">
        <x:v>HX1_NORMAL|7</x:v>
      </x:c>
      <x:c r="N739" s="12" t="str">
        <x:v>北门</x:v>
      </x:c>
      <x:c r="O739" s="12" t="n">
        <x:f>IFERROR(INDEX('秒级路线参数_可调整'!$O:$O,MATCH(M739,'秒级路线参数_可调整'!$A:$A,0)),"")</x:f>
        <x:v>0</x:v>
      </x:c>
      <x:c r="P739" s="12" t="str">
        <x:f>IF(O739="","",O739/86400)</x:f>
      </x:c>
      <x:c r="Q739" s="12" t="str">
        <x:f>IF(O739="","",(H739*60+O739)/86400)</x:f>
      </x:c>
      <x:c r="R739" s="12" t="str">
        <x:f>IF(Q739="","",TEXT(Q739,"hh:mm:ss"))</x:f>
      </x:c>
      <x:c r="S739" s="12" t="str">
        <x:v>否</x:v>
      </x:c>
      <x:c r="T739" s="12" t="str">
        <x:v>否</x:v>
      </x:c>
      <x:c r="U739" s="12" t="str">
        <x:v>未提供</x:v>
      </x:c>
      <x:c r="V739" s="12" t="str">
        <x:v>未提供</x:v>
      </x:c>
      <x:c r="W739" s="12" t="str">
        <x:v>秒级预测</x:v>
      </x:c>
      <x:c r="X739" s="12" t="str">
        <x:v>基于路线秒级参数；如录入实测或手动采用秒，预计到达时间可随公式更新</x:v>
      </x:c>
    </x:row>
    <x:row r="740">
      <x:c r="A740" s="12" t="str">
        <x:v>S0060-08</x:v>
      </x:c>
      <x:c r="B740" s="12" t="str">
        <x:v>S0060</x:v>
      </x:c>
      <x:c r="C740" s="12" t="str">
        <x:v>工作日</x:v>
      </x:c>
      <x:c r="D740" s="12" t="str">
        <x:v>环线1路</x:v>
      </x:c>
      <x:c r="E740" s="12" t="str">
        <x:v>第四班（夜1）</x:v>
      </x:c>
      <x:c r="F740" s="12" t="n">
        <x:v>4</x:v>
      </x:c>
      <x:c r="G740" s="12" t="str">
        <x:v>16:45</x:v>
      </x:c>
      <x:c r="H740" s="12" t="n">
        <x:v>1005</x:v>
      </x:c>
      <x:c r="I740" s="12" t="str">
        <x:v>研究生宿舍楼</x:v>
      </x:c>
      <x:c r="J740" s="12" t="str">
        <x:v>研究生宿舍楼发车</x:v>
      </x:c>
      <x:c r="K740" s="12" t="str">
        <x:v>HX1_NORMAL</x:v>
      </x:c>
      <x:c r="L740" s="12" t="n">
        <x:v>8</x:v>
      </x:c>
      <x:c r="M740" s="12" t="str">
        <x:v>HX1_NORMAL|8</x:v>
      </x:c>
      <x:c r="N740" s="12" t="str">
        <x:v>高超楼</x:v>
      </x:c>
      <x:c r="O740" s="12" t="n">
        <x:f>IFERROR(INDEX('秒级路线参数_可调整'!$O:$O,MATCH(M740,'秒级路线参数_可调整'!$A:$A,0)),"")</x:f>
        <x:v>0</x:v>
      </x:c>
      <x:c r="P740" s="12" t="str">
        <x:f>IF(O740="","",O740/86400)</x:f>
      </x:c>
      <x:c r="Q740" s="12" t="str">
        <x:f>IF(O740="","",(H740*60+O740)/86400)</x:f>
      </x:c>
      <x:c r="R740" s="12" t="str">
        <x:f>IF(Q740="","",TEXT(Q740,"hh:mm:ss"))</x:f>
      </x:c>
      <x:c r="S740" s="12" t="str">
        <x:v>否</x:v>
      </x:c>
      <x:c r="T740" s="12" t="str">
        <x:v>否</x:v>
      </x:c>
      <x:c r="U740" s="12" t="str">
        <x:v>未提供</x:v>
      </x:c>
      <x:c r="V740" s="12" t="str">
        <x:v>未提供</x:v>
      </x:c>
      <x:c r="W740" s="12" t="str">
        <x:v>秒级预测</x:v>
      </x:c>
      <x:c r="X740" s="12" t="str">
        <x:v>基于路线秒级参数；如录入实测或手动采用秒，预计到达时间可随公式更新</x:v>
      </x:c>
    </x:row>
    <x:row r="741">
      <x:c r="A741" s="12" t="str">
        <x:v>S0060-09</x:v>
      </x:c>
      <x:c r="B741" s="12" t="str">
        <x:v>S0060</x:v>
      </x:c>
      <x:c r="C741" s="12" t="str">
        <x:v>工作日</x:v>
      </x:c>
      <x:c r="D741" s="12" t="str">
        <x:v>环线1路</x:v>
      </x:c>
      <x:c r="E741" s="12" t="str">
        <x:v>第四班（夜1）</x:v>
      </x:c>
      <x:c r="F741" s="12" t="n">
        <x:v>4</x:v>
      </x:c>
      <x:c r="G741" s="12" t="str">
        <x:v>16:45</x:v>
      </x:c>
      <x:c r="H741" s="12" t="n">
        <x:v>1005</x:v>
      </x:c>
      <x:c r="I741" s="12" t="str">
        <x:v>研究生宿舍楼</x:v>
      </x:c>
      <x:c r="J741" s="12" t="str">
        <x:v>研究生宿舍楼发车</x:v>
      </x:c>
      <x:c r="K741" s="12" t="str">
        <x:v>HX1_NORMAL</x:v>
      </x:c>
      <x:c r="L741" s="12" t="n">
        <x:v>9</x:v>
      </x:c>
      <x:c r="M741" s="12" t="str">
        <x:v>HX1_NORMAL|9</x:v>
      </x:c>
      <x:c r="N741" s="12" t="str">
        <x:v>理学院</x:v>
      </x:c>
      <x:c r="O741" s="12" t="n">
        <x:f>IFERROR(INDEX('秒级路线参数_可调整'!$O:$O,MATCH(M741,'秒级路线参数_可调整'!$A:$A,0)),"")</x:f>
        <x:v>0</x:v>
      </x:c>
      <x:c r="P741" s="12" t="str">
        <x:f>IF(O741="","",O741/86400)</x:f>
      </x:c>
      <x:c r="Q741" s="12" t="str">
        <x:f>IF(O741="","",(H741*60+O741)/86400)</x:f>
      </x:c>
      <x:c r="R741" s="12" t="str">
        <x:f>IF(Q741="","",TEXT(Q741,"hh:mm:ss"))</x:f>
      </x:c>
      <x:c r="S741" s="12" t="str">
        <x:v>否</x:v>
      </x:c>
      <x:c r="T741" s="12" t="str">
        <x:v>否</x:v>
      </x:c>
      <x:c r="U741" s="12" t="str">
        <x:v>未提供</x:v>
      </x:c>
      <x:c r="V741" s="12" t="str">
        <x:v>未提供</x:v>
      </x:c>
      <x:c r="W741" s="12" t="str">
        <x:v>秒级预测</x:v>
      </x:c>
      <x:c r="X741" s="12" t="str">
        <x:v>基于路线秒级参数；如录入实测或手动采用秒，预计到达时间可随公式更新</x:v>
      </x:c>
    </x:row>
    <x:row r="742">
      <x:c r="A742" s="12" t="str">
        <x:v>S0060-10</x:v>
      </x:c>
      <x:c r="B742" s="12" t="str">
        <x:v>S0060</x:v>
      </x:c>
      <x:c r="C742" s="12" t="str">
        <x:v>工作日</x:v>
      </x:c>
      <x:c r="D742" s="12" t="str">
        <x:v>环线1路</x:v>
      </x:c>
      <x:c r="E742" s="12" t="str">
        <x:v>第四班（夜1）</x:v>
      </x:c>
      <x:c r="F742" s="12" t="n">
        <x:v>4</x:v>
      </x:c>
      <x:c r="G742" s="12" t="str">
        <x:v>16:45</x:v>
      </x:c>
      <x:c r="H742" s="12" t="n">
        <x:v>1005</x:v>
      </x:c>
      <x:c r="I742" s="12" t="str">
        <x:v>研究生宿舍楼</x:v>
      </x:c>
      <x:c r="J742" s="12" t="str">
        <x:v>研究生宿舍楼发车</x:v>
      </x:c>
      <x:c r="K742" s="12" t="str">
        <x:v>HX1_NORMAL</x:v>
      </x:c>
      <x:c r="L742" s="12" t="n">
        <x:v>10</x:v>
      </x:c>
      <x:c r="M742" s="12" t="str">
        <x:v>HX1_NORMAL|10</x:v>
      </x:c>
      <x:c r="N742" s="12" t="str">
        <x:v>二食堂</x:v>
      </x:c>
      <x:c r="O742" s="12" t="n">
        <x:f>IFERROR(INDEX('秒级路线参数_可调整'!$O:$O,MATCH(M742,'秒级路线参数_可调整'!$A:$A,0)),"")</x:f>
        <x:v>0</x:v>
      </x:c>
      <x:c r="P742" s="12" t="str">
        <x:f>IF(O742="","",O742/86400)</x:f>
      </x:c>
      <x:c r="Q742" s="12" t="str">
        <x:f>IF(O742="","",(H742*60+O742)/86400)</x:f>
      </x:c>
      <x:c r="R742" s="12" t="str">
        <x:f>IF(Q742="","",TEXT(Q742,"hh:mm:ss"))</x:f>
      </x:c>
      <x:c r="S742" s="12" t="str">
        <x:v>否</x:v>
      </x:c>
      <x:c r="T742" s="12" t="str">
        <x:v>否</x:v>
      </x:c>
      <x:c r="U742" s="12" t="str">
        <x:v>未提供</x:v>
      </x:c>
      <x:c r="V742" s="12" t="str">
        <x:v>未提供</x:v>
      </x:c>
      <x:c r="W742" s="12" t="str">
        <x:v>秒级预测</x:v>
      </x:c>
      <x:c r="X742" s="12" t="str">
        <x:v>基于路线秒级参数；如录入实测或手动采用秒，预计到达时间可随公式更新</x:v>
      </x:c>
    </x:row>
    <x:row r="743">
      <x:c r="A743" s="12" t="str">
        <x:v>S0060-11</x:v>
      </x:c>
      <x:c r="B743" s="12" t="str">
        <x:v>S0060</x:v>
      </x:c>
      <x:c r="C743" s="12" t="str">
        <x:v>工作日</x:v>
      </x:c>
      <x:c r="D743" s="12" t="str">
        <x:v>环线1路</x:v>
      </x:c>
      <x:c r="E743" s="12" t="str">
        <x:v>第四班（夜1）</x:v>
      </x:c>
      <x:c r="F743" s="12" t="n">
        <x:v>4</x:v>
      </x:c>
      <x:c r="G743" s="12" t="str">
        <x:v>16:45</x:v>
      </x:c>
      <x:c r="H743" s="12" t="n">
        <x:v>1005</x:v>
      </x:c>
      <x:c r="I743" s="12" t="str">
        <x:v>研究生宿舍楼</x:v>
      </x:c>
      <x:c r="J743" s="12" t="str">
        <x:v>研究生宿舍楼发车</x:v>
      </x:c>
      <x:c r="K743" s="12" t="str">
        <x:v>HX1_NORMAL</x:v>
      </x:c>
      <x:c r="L743" s="12" t="n">
        <x:v>11</x:v>
      </x:c>
      <x:c r="M743" s="12" t="str">
        <x:v>HX1_NORMAL|11</x:v>
      </x:c>
      <x:c r="N743" s="12" t="str">
        <x:v>5号宿舍楼</x:v>
      </x:c>
      <x:c r="O743" s="12" t="n">
        <x:f>IFERROR(INDEX('秒级路线参数_可调整'!$O:$O,MATCH(M743,'秒级路线参数_可调整'!$A:$A,0)),"")</x:f>
        <x:v>0</x:v>
      </x:c>
      <x:c r="P743" s="12" t="str">
        <x:f>IF(O743="","",O743/86400)</x:f>
      </x:c>
      <x:c r="Q743" s="12" t="str">
        <x:f>IF(O743="","",(H743*60+O743)/86400)</x:f>
      </x:c>
      <x:c r="R743" s="12" t="str">
        <x:f>IF(Q743="","",TEXT(Q743,"hh:mm:ss"))</x:f>
      </x:c>
      <x:c r="S743" s="12" t="str">
        <x:v>否</x:v>
      </x:c>
      <x:c r="T743" s="12" t="str">
        <x:v>否</x:v>
      </x:c>
      <x:c r="U743" s="12" t="str">
        <x:v>未提供</x:v>
      </x:c>
      <x:c r="V743" s="12" t="str">
        <x:v>未提供</x:v>
      </x:c>
      <x:c r="W743" s="12" t="str">
        <x:v>秒级预测</x:v>
      </x:c>
      <x:c r="X743" s="12" t="str">
        <x:v>基于路线秒级参数；如录入实测或手动采用秒，预计到达时间可随公式更新</x:v>
      </x:c>
    </x:row>
    <x:row r="744">
      <x:c r="A744" s="12" t="str">
        <x:v>S0060-12</x:v>
      </x:c>
      <x:c r="B744" s="12" t="str">
        <x:v>S0060</x:v>
      </x:c>
      <x:c r="C744" s="12" t="str">
        <x:v>工作日</x:v>
      </x:c>
      <x:c r="D744" s="12" t="str">
        <x:v>环线1路</x:v>
      </x:c>
      <x:c r="E744" s="12" t="str">
        <x:v>第四班（夜1）</x:v>
      </x:c>
      <x:c r="F744" s="12" t="n">
        <x:v>4</x:v>
      </x:c>
      <x:c r="G744" s="12" t="str">
        <x:v>16:45</x:v>
      </x:c>
      <x:c r="H744" s="12" t="n">
        <x:v>1005</x:v>
      </x:c>
      <x:c r="I744" s="12" t="str">
        <x:v>研究生宿舍楼</x:v>
      </x:c>
      <x:c r="J744" s="12" t="str">
        <x:v>研究生宿舍楼发车</x:v>
      </x:c>
      <x:c r="K744" s="12" t="str">
        <x:v>HX1_NORMAL</x:v>
      </x:c>
      <x:c r="L744" s="12" t="n">
        <x:v>12</x:v>
      </x:c>
      <x:c r="M744" s="12" t="str">
        <x:v>HX1_NORMAL|12</x:v>
      </x:c>
      <x:c r="N744" s="12" t="str">
        <x:v>305教学楼</x:v>
      </x:c>
      <x:c r="O744" s="12" t="n">
        <x:f>IFERROR(INDEX('秒级路线参数_可调整'!$O:$O,MATCH(M744,'秒级路线参数_可调整'!$A:$A,0)),"")</x:f>
        <x:v>0</x:v>
      </x:c>
      <x:c r="P744" s="12" t="str">
        <x:f>IF(O744="","",O744/86400)</x:f>
      </x:c>
      <x:c r="Q744" s="12" t="str">
        <x:f>IF(O744="","",(H744*60+O744)/86400)</x:f>
      </x:c>
      <x:c r="R744" s="12" t="str">
        <x:f>IF(Q744="","",TEXT(Q744,"hh:mm:ss"))</x:f>
      </x:c>
      <x:c r="S744" s="12" t="str">
        <x:v>否</x:v>
      </x:c>
      <x:c r="T744" s="12" t="str">
        <x:v>否</x:v>
      </x:c>
      <x:c r="U744" s="12" t="str">
        <x:v>未提供</x:v>
      </x:c>
      <x:c r="V744" s="12" t="str">
        <x:v>未提供</x:v>
      </x:c>
      <x:c r="W744" s="12" t="str">
        <x:v>秒级预测</x:v>
      </x:c>
      <x:c r="X744" s="12" t="str">
        <x:v>基于路线秒级参数；如录入实测或手动采用秒，预计到达时间可随公式更新</x:v>
      </x:c>
    </x:row>
    <x:row r="745">
      <x:c r="A745" s="12" t="str">
        <x:v>S0060-13</x:v>
      </x:c>
      <x:c r="B745" s="12" t="str">
        <x:v>S0060</x:v>
      </x:c>
      <x:c r="C745" s="12" t="str">
        <x:v>工作日</x:v>
      </x:c>
      <x:c r="D745" s="12" t="str">
        <x:v>环线1路</x:v>
      </x:c>
      <x:c r="E745" s="12" t="str">
        <x:v>第四班（夜1）</x:v>
      </x:c>
      <x:c r="F745" s="12" t="n">
        <x:v>4</x:v>
      </x:c>
      <x:c r="G745" s="12" t="str">
        <x:v>16:45</x:v>
      </x:c>
      <x:c r="H745" s="12" t="n">
        <x:v>1005</x:v>
      </x:c>
      <x:c r="I745" s="12" t="str">
        <x:v>研究生宿舍楼</x:v>
      </x:c>
      <x:c r="J745" s="12" t="str">
        <x:v>研究生宿舍楼发车</x:v>
      </x:c>
      <x:c r="K745" s="12" t="str">
        <x:v>HX1_NORMAL</x:v>
      </x:c>
      <x:c r="L745" s="12" t="n">
        <x:v>13</x:v>
      </x:c>
      <x:c r="M745" s="12" t="str">
        <x:v>HX1_NORMAL|13</x:v>
      </x:c>
      <x:c r="N745" s="12" t="str">
        <x:v>研究生宿舍楼</x:v>
      </x:c>
      <x:c r="O745" s="12" t="n">
        <x:f>IFERROR(INDEX('秒级路线参数_可调整'!$O:$O,MATCH(M745,'秒级路线参数_可调整'!$A:$A,0)),"")</x:f>
        <x:v>0</x:v>
      </x:c>
      <x:c r="P745" s="12" t="str">
        <x:f>IF(O745="","",O745/86400)</x:f>
      </x:c>
      <x:c r="Q745" s="12" t="str">
        <x:f>IF(O745="","",(H745*60+O745)/86400)</x:f>
      </x:c>
      <x:c r="R745" s="12" t="str">
        <x:f>IF(Q745="","",TEXT(Q745,"hh:mm:ss"))</x:f>
      </x:c>
      <x:c r="S745" s="12" t="str">
        <x:v>否</x:v>
      </x:c>
      <x:c r="T745" s="12" t="str">
        <x:v>是</x:v>
      </x:c>
      <x:c r="U745" s="12" t="str">
        <x:v>未提供</x:v>
      </x:c>
      <x:c r="V745" s="12" t="str">
        <x:v>未提供</x:v>
      </x:c>
      <x:c r="W745" s="12" t="str">
        <x:v>秒级预测</x:v>
      </x:c>
      <x:c r="X745" s="12" t="str">
        <x:v>基于路线秒级参数；如录入实测或手动采用秒，预计到达时间可随公式更新</x:v>
      </x:c>
    </x:row>
    <x:row r="746">
      <x:c r="A746" s="12" t="str">
        <x:v>S0061-01</x:v>
      </x:c>
      <x:c r="B746" s="12" t="str">
        <x:v>S0061</x:v>
      </x:c>
      <x:c r="C746" s="12" t="str">
        <x:v>工作日</x:v>
      </x:c>
      <x:c r="D746" s="12" t="str">
        <x:v>环线1路</x:v>
      </x:c>
      <x:c r="E746" s="12" t="str">
        <x:v>第四班（夜1）</x:v>
      </x:c>
      <x:c r="F746" s="12" t="n">
        <x:v>5</x:v>
      </x:c>
      <x:c r="G746" s="12" t="str">
        <x:v>17:45</x:v>
      </x:c>
      <x:c r="H746" s="12" t="n">
        <x:v>1065</x:v>
      </x:c>
      <x:c r="I746" s="12" t="str">
        <x:v>研究生宿舍楼</x:v>
      </x:c>
      <x:c r="J746" s="12" t="str">
        <x:v>研究生宿舍楼发车</x:v>
      </x:c>
      <x:c r="K746" s="12" t="str">
        <x:v>HX1_NORMAL</x:v>
      </x:c>
      <x:c r="L746" s="12" t="n">
        <x:v>1</x:v>
      </x:c>
      <x:c r="M746" s="12" t="str">
        <x:v>HX1_NORMAL|1</x:v>
      </x:c>
      <x:c r="N746" s="12" t="str">
        <x:v>研究生宿舍楼</x:v>
      </x:c>
      <x:c r="O746" s="12" t="n">
        <x:f>IFERROR(INDEX('秒级路线参数_可调整'!$O:$O,MATCH(M746,'秒级路线参数_可调整'!$A:$A,0)),"")</x:f>
        <x:v>0</x:v>
      </x:c>
      <x:c r="P746" s="12" t="str">
        <x:f>IF(O746="","",O746/86400)</x:f>
      </x:c>
      <x:c r="Q746" s="12" t="str">
        <x:f>IF(O746="","",(H746*60+O746)/86400)</x:f>
      </x:c>
      <x:c r="R746" s="12" t="str">
        <x:f>IF(Q746="","",TEXT(Q746,"hh:mm:ss"))</x:f>
      </x:c>
      <x:c r="S746" s="12" t="str">
        <x:v>是</x:v>
      </x:c>
      <x:c r="T746" s="12" t="str">
        <x:v>否</x:v>
      </x:c>
      <x:c r="U746" s="12" t="str">
        <x:v>未提供</x:v>
      </x:c>
      <x:c r="V746" s="12" t="str">
        <x:v>未提供</x:v>
      </x:c>
      <x:c r="W746" s="12" t="str">
        <x:v>秒级预测</x:v>
      </x:c>
      <x:c r="X746" s="12" t="str">
        <x:v>基于路线秒级参数；如录入实测或手动采用秒，预计到达时间可随公式更新</x:v>
      </x:c>
    </x:row>
    <x:row r="747">
      <x:c r="A747" s="12" t="str">
        <x:v>S0061-02</x:v>
      </x:c>
      <x:c r="B747" s="12" t="str">
        <x:v>S0061</x:v>
      </x:c>
      <x:c r="C747" s="12" t="str">
        <x:v>工作日</x:v>
      </x:c>
      <x:c r="D747" s="12" t="str">
        <x:v>环线1路</x:v>
      </x:c>
      <x:c r="E747" s="12" t="str">
        <x:v>第四班（夜1）</x:v>
      </x:c>
      <x:c r="F747" s="12" t="n">
        <x:v>5</x:v>
      </x:c>
      <x:c r="G747" s="12" t="str">
        <x:v>17:45</x:v>
      </x:c>
      <x:c r="H747" s="12" t="n">
        <x:v>1065</x:v>
      </x:c>
      <x:c r="I747" s="12" t="str">
        <x:v>研究生宿舍楼</x:v>
      </x:c>
      <x:c r="J747" s="12" t="str">
        <x:v>研究生宿舍楼发车</x:v>
      </x:c>
      <x:c r="K747" s="12" t="str">
        <x:v>HX1_NORMAL</x:v>
      </x:c>
      <x:c r="L747" s="12" t="n">
        <x:v>2</x:v>
      </x:c>
      <x:c r="M747" s="12" t="str">
        <x:v>HX1_NORMAL|2</x:v>
      </x:c>
      <x:c r="N747" s="12" t="str">
        <x:v>东门</x:v>
      </x:c>
      <x:c r="O747" s="12" t="n">
        <x:f>IFERROR(INDEX('秒级路线参数_可调整'!$O:$O,MATCH(M747,'秒级路线参数_可调整'!$A:$A,0)),"")</x:f>
        <x:v>0</x:v>
      </x:c>
      <x:c r="P747" s="12" t="str">
        <x:f>IF(O747="","",O747/86400)</x:f>
      </x:c>
      <x:c r="Q747" s="12" t="str">
        <x:f>IF(O747="","",(H747*60+O747)/86400)</x:f>
      </x:c>
      <x:c r="R747" s="12" t="str">
        <x:f>IF(Q747="","",TEXT(Q747,"hh:mm:ss"))</x:f>
      </x:c>
      <x:c r="S747" s="12" t="str">
        <x:v>否</x:v>
      </x:c>
      <x:c r="T747" s="12" t="str">
        <x:v>否</x:v>
      </x:c>
      <x:c r="U747" s="12" t="str">
        <x:v>未提供</x:v>
      </x:c>
      <x:c r="V747" s="12" t="str">
        <x:v>未提供</x:v>
      </x:c>
      <x:c r="W747" s="12" t="str">
        <x:v>秒级预测</x:v>
      </x:c>
      <x:c r="X747" s="12" t="str">
        <x:v>基于路线秒级参数；如录入实测或手动采用秒，预计到达时间可随公式更新</x:v>
      </x:c>
    </x:row>
    <x:row r="748">
      <x:c r="A748" s="12" t="str">
        <x:v>S0061-03</x:v>
      </x:c>
      <x:c r="B748" s="12" t="str">
        <x:v>S0061</x:v>
      </x:c>
      <x:c r="C748" s="12" t="str">
        <x:v>工作日</x:v>
      </x:c>
      <x:c r="D748" s="12" t="str">
        <x:v>环线1路</x:v>
      </x:c>
      <x:c r="E748" s="12" t="str">
        <x:v>第四班（夜1）</x:v>
      </x:c>
      <x:c r="F748" s="12" t="n">
        <x:v>5</x:v>
      </x:c>
      <x:c r="G748" s="12" t="str">
        <x:v>17:45</x:v>
      </x:c>
      <x:c r="H748" s="12" t="n">
        <x:v>1065</x:v>
      </x:c>
      <x:c r="I748" s="12" t="str">
        <x:v>研究生宿舍楼</x:v>
      </x:c>
      <x:c r="J748" s="12" t="str">
        <x:v>研究生宿舍楼发车</x:v>
      </x:c>
      <x:c r="K748" s="12" t="str">
        <x:v>HX1_NORMAL</x:v>
      </x:c>
      <x:c r="L748" s="12" t="n">
        <x:v>3</x:v>
      </x:c>
      <x:c r="M748" s="12" t="str">
        <x:v>HX1_NORMAL|3</x:v>
      </x:c>
      <x:c r="N748" s="12" t="str">
        <x:v>2号宿舍楼</x:v>
      </x:c>
      <x:c r="O748" s="12" t="n">
        <x:f>IFERROR(INDEX('秒级路线参数_可调整'!$O:$O,MATCH(M748,'秒级路线参数_可调整'!$A:$A,0)),"")</x:f>
        <x:v>0</x:v>
      </x:c>
      <x:c r="P748" s="12" t="str">
        <x:f>IF(O748="","",O748/86400)</x:f>
      </x:c>
      <x:c r="Q748" s="12" t="str">
        <x:f>IF(O748="","",(H748*60+O748)/86400)</x:f>
      </x:c>
      <x:c r="R748" s="12" t="str">
        <x:f>IF(Q748="","",TEXT(Q748,"hh:mm:ss"))</x:f>
      </x:c>
      <x:c r="S748" s="12" t="str">
        <x:v>否</x:v>
      </x:c>
      <x:c r="T748" s="12" t="str">
        <x:v>否</x:v>
      </x:c>
      <x:c r="U748" s="12" t="str">
        <x:v>未提供</x:v>
      </x:c>
      <x:c r="V748" s="12" t="str">
        <x:v>未提供</x:v>
      </x:c>
      <x:c r="W748" s="12" t="str">
        <x:v>秒级预测</x:v>
      </x:c>
      <x:c r="X748" s="12" t="str">
        <x:v>基于路线秒级参数；如录入实测或手动采用秒，预计到达时间可随公式更新</x:v>
      </x:c>
    </x:row>
    <x:row r="749">
      <x:c r="A749" s="12" t="str">
        <x:v>S0061-04</x:v>
      </x:c>
      <x:c r="B749" s="12" t="str">
        <x:v>S0061</x:v>
      </x:c>
      <x:c r="C749" s="12" t="str">
        <x:v>工作日</x:v>
      </x:c>
      <x:c r="D749" s="12" t="str">
        <x:v>环线1路</x:v>
      </x:c>
      <x:c r="E749" s="12" t="str">
        <x:v>第四班（夜1）</x:v>
      </x:c>
      <x:c r="F749" s="12" t="n">
        <x:v>5</x:v>
      </x:c>
      <x:c r="G749" s="12" t="str">
        <x:v>17:45</x:v>
      </x:c>
      <x:c r="H749" s="12" t="n">
        <x:v>1065</x:v>
      </x:c>
      <x:c r="I749" s="12" t="str">
        <x:v>研究生宿舍楼</x:v>
      </x:c>
      <x:c r="J749" s="12" t="str">
        <x:v>研究生宿舍楼发车</x:v>
      </x:c>
      <x:c r="K749" s="12" t="str">
        <x:v>HX1_NORMAL</x:v>
      </x:c>
      <x:c r="L749" s="12" t="n">
        <x:v>4</x:v>
      </x:c>
      <x:c r="M749" s="12" t="str">
        <x:v>HX1_NORMAL|4</x:v>
      </x:c>
      <x:c r="N749" s="12" t="str">
        <x:v>军体活动中心</x:v>
      </x:c>
      <x:c r="O749" s="12" t="n">
        <x:f>IFERROR(INDEX('秒级路线参数_可调整'!$O:$O,MATCH(M749,'秒级路线参数_可调整'!$A:$A,0)),"")</x:f>
        <x:v>0</x:v>
      </x:c>
      <x:c r="P749" s="12" t="str">
        <x:f>IF(O749="","",O749/86400)</x:f>
      </x:c>
      <x:c r="Q749" s="12" t="str">
        <x:f>IF(O749="","",(H749*60+O749)/86400)</x:f>
      </x:c>
      <x:c r="R749" s="12" t="str">
        <x:f>IF(Q749="","",TEXT(Q749,"hh:mm:ss"))</x:f>
      </x:c>
      <x:c r="S749" s="12" t="str">
        <x:v>否</x:v>
      </x:c>
      <x:c r="T749" s="12" t="str">
        <x:v>否</x:v>
      </x:c>
      <x:c r="U749" s="12" t="str">
        <x:v>未提供</x:v>
      </x:c>
      <x:c r="V749" s="12" t="str">
        <x:v>未提供</x:v>
      </x:c>
      <x:c r="W749" s="12" t="str">
        <x:v>秒级预测</x:v>
      </x:c>
      <x:c r="X749" s="12" t="str">
        <x:v>基于路线秒级参数；如录入实测或手动采用秒，预计到达时间可随公式更新</x:v>
      </x:c>
    </x:row>
    <x:row r="750">
      <x:c r="A750" s="12" t="str">
        <x:v>S0061-05</x:v>
      </x:c>
      <x:c r="B750" s="12" t="str">
        <x:v>S0061</x:v>
      </x:c>
      <x:c r="C750" s="12" t="str">
        <x:v>工作日</x:v>
      </x:c>
      <x:c r="D750" s="12" t="str">
        <x:v>环线1路</x:v>
      </x:c>
      <x:c r="E750" s="12" t="str">
        <x:v>第四班（夜1）</x:v>
      </x:c>
      <x:c r="F750" s="12" t="n">
        <x:v>5</x:v>
      </x:c>
      <x:c r="G750" s="12" t="str">
        <x:v>17:45</x:v>
      </x:c>
      <x:c r="H750" s="12" t="n">
        <x:v>1065</x:v>
      </x:c>
      <x:c r="I750" s="12" t="str">
        <x:v>研究生宿舍楼</x:v>
      </x:c>
      <x:c r="J750" s="12" t="str">
        <x:v>研究生宿舍楼发车</x:v>
      </x:c>
      <x:c r="K750" s="12" t="str">
        <x:v>HX1_NORMAL</x:v>
      </x:c>
      <x:c r="L750" s="12" t="n">
        <x:v>5</x:v>
      </x:c>
      <x:c r="M750" s="12" t="str">
        <x:v>HX1_NORMAL|5</x:v>
      </x:c>
      <x:c r="N750" s="12" t="str">
        <x:v>激光所</x:v>
      </x:c>
      <x:c r="O750" s="12" t="n">
        <x:f>IFERROR(INDEX('秒级路线参数_可调整'!$O:$O,MATCH(M750,'秒级路线参数_可调整'!$A:$A,0)),"")</x:f>
        <x:v>0</x:v>
      </x:c>
      <x:c r="P750" s="12" t="str">
        <x:f>IF(O750="","",O750/86400)</x:f>
      </x:c>
      <x:c r="Q750" s="12" t="str">
        <x:f>IF(O750="","",(H750*60+O750)/86400)</x:f>
      </x:c>
      <x:c r="R750" s="12" t="str">
        <x:f>IF(Q750="","",TEXT(Q750,"hh:mm:ss"))</x:f>
      </x:c>
      <x:c r="S750" s="12" t="str">
        <x:v>否</x:v>
      </x:c>
      <x:c r="T750" s="12" t="str">
        <x:v>否</x:v>
      </x:c>
      <x:c r="U750" s="12" t="str">
        <x:v>未提供</x:v>
      </x:c>
      <x:c r="V750" s="12" t="str">
        <x:v>未提供</x:v>
      </x:c>
      <x:c r="W750" s="12" t="str">
        <x:v>秒级预测</x:v>
      </x:c>
      <x:c r="X750" s="12" t="str">
        <x:v>基于路线秒级参数；如录入实测或手动采用秒，预计到达时间可随公式更新</x:v>
      </x:c>
    </x:row>
    <x:row r="751">
      <x:c r="A751" s="12" t="str">
        <x:v>S0061-06</x:v>
      </x:c>
      <x:c r="B751" s="12" t="str">
        <x:v>S0061</x:v>
      </x:c>
      <x:c r="C751" s="12" t="str">
        <x:v>工作日</x:v>
      </x:c>
      <x:c r="D751" s="12" t="str">
        <x:v>环线1路</x:v>
      </x:c>
      <x:c r="E751" s="12" t="str">
        <x:v>第四班（夜1）</x:v>
      </x:c>
      <x:c r="F751" s="12" t="n">
        <x:v>5</x:v>
      </x:c>
      <x:c r="G751" s="12" t="str">
        <x:v>17:45</x:v>
      </x:c>
      <x:c r="H751" s="12" t="n">
        <x:v>1065</x:v>
      </x:c>
      <x:c r="I751" s="12" t="str">
        <x:v>研究生宿舍楼</x:v>
      </x:c>
      <x:c r="J751" s="12" t="str">
        <x:v>研究生宿舍楼发车</x:v>
      </x:c>
      <x:c r="K751" s="12" t="str">
        <x:v>HX1_NORMAL</x:v>
      </x:c>
      <x:c r="L751" s="12" t="n">
        <x:v>6</x:v>
      </x:c>
      <x:c r="M751" s="12" t="str">
        <x:v>HX1_NORMAL|6</x:v>
      </x:c>
      <x:c r="N751" s="12" t="str">
        <x:v>超算中心</x:v>
      </x:c>
      <x:c r="O751" s="12" t="n">
        <x:f>IFERROR(INDEX('秒级路线参数_可调整'!$O:$O,MATCH(M751,'秒级路线参数_可调整'!$A:$A,0)),"")</x:f>
        <x:v>0</x:v>
      </x:c>
      <x:c r="P751" s="12" t="str">
        <x:f>IF(O751="","",O751/86400)</x:f>
      </x:c>
      <x:c r="Q751" s="12" t="str">
        <x:f>IF(O751="","",(H751*60+O751)/86400)</x:f>
      </x:c>
      <x:c r="R751" s="12" t="str">
        <x:f>IF(Q751="","",TEXT(Q751,"hh:mm:ss"))</x:f>
      </x:c>
      <x:c r="S751" s="12" t="str">
        <x:v>否</x:v>
      </x:c>
      <x:c r="T751" s="12" t="str">
        <x:v>否</x:v>
      </x:c>
      <x:c r="U751" s="12" t="str">
        <x:v>未提供</x:v>
      </x:c>
      <x:c r="V751" s="12" t="str">
        <x:v>未提供</x:v>
      </x:c>
      <x:c r="W751" s="12" t="str">
        <x:v>秒级预测</x:v>
      </x:c>
      <x:c r="X751" s="12" t="str">
        <x:v>基于路线秒级参数；如录入实测或手动采用秒，预计到达时间可随公式更新</x:v>
      </x:c>
    </x:row>
    <x:row r="752">
      <x:c r="A752" s="12" t="str">
        <x:v>S0061-07</x:v>
      </x:c>
      <x:c r="B752" s="12" t="str">
        <x:v>S0061</x:v>
      </x:c>
      <x:c r="C752" s="12" t="str">
        <x:v>工作日</x:v>
      </x:c>
      <x:c r="D752" s="12" t="str">
        <x:v>环线1路</x:v>
      </x:c>
      <x:c r="E752" s="12" t="str">
        <x:v>第四班（夜1）</x:v>
      </x:c>
      <x:c r="F752" s="12" t="n">
        <x:v>5</x:v>
      </x:c>
      <x:c r="G752" s="12" t="str">
        <x:v>17:45</x:v>
      </x:c>
      <x:c r="H752" s="12" t="n">
        <x:v>1065</x:v>
      </x:c>
      <x:c r="I752" s="12" t="str">
        <x:v>研究生宿舍楼</x:v>
      </x:c>
      <x:c r="J752" s="12" t="str">
        <x:v>研究生宿舍楼发车</x:v>
      </x:c>
      <x:c r="K752" s="12" t="str">
        <x:v>HX1_NORMAL</x:v>
      </x:c>
      <x:c r="L752" s="12" t="n">
        <x:v>7</x:v>
      </x:c>
      <x:c r="M752" s="12" t="str">
        <x:v>HX1_NORMAL|7</x:v>
      </x:c>
      <x:c r="N752" s="12" t="str">
        <x:v>北门</x:v>
      </x:c>
      <x:c r="O752" s="12" t="n">
        <x:f>IFERROR(INDEX('秒级路线参数_可调整'!$O:$O,MATCH(M752,'秒级路线参数_可调整'!$A:$A,0)),"")</x:f>
        <x:v>0</x:v>
      </x:c>
      <x:c r="P752" s="12" t="str">
        <x:f>IF(O752="","",O752/86400)</x:f>
      </x:c>
      <x:c r="Q752" s="12" t="str">
        <x:f>IF(O752="","",(H752*60+O752)/86400)</x:f>
      </x:c>
      <x:c r="R752" s="12" t="str">
        <x:f>IF(Q752="","",TEXT(Q752,"hh:mm:ss"))</x:f>
      </x:c>
      <x:c r="S752" s="12" t="str">
        <x:v>否</x:v>
      </x:c>
      <x:c r="T752" s="12" t="str">
        <x:v>否</x:v>
      </x:c>
      <x:c r="U752" s="12" t="str">
        <x:v>未提供</x:v>
      </x:c>
      <x:c r="V752" s="12" t="str">
        <x:v>未提供</x:v>
      </x:c>
      <x:c r="W752" s="12" t="str">
        <x:v>秒级预测</x:v>
      </x:c>
      <x:c r="X752" s="12" t="str">
        <x:v>基于路线秒级参数；如录入实测或手动采用秒，预计到达时间可随公式更新</x:v>
      </x:c>
    </x:row>
    <x:row r="753">
      <x:c r="A753" s="12" t="str">
        <x:v>S0061-08</x:v>
      </x:c>
      <x:c r="B753" s="12" t="str">
        <x:v>S0061</x:v>
      </x:c>
      <x:c r="C753" s="12" t="str">
        <x:v>工作日</x:v>
      </x:c>
      <x:c r="D753" s="12" t="str">
        <x:v>环线1路</x:v>
      </x:c>
      <x:c r="E753" s="12" t="str">
        <x:v>第四班（夜1）</x:v>
      </x:c>
      <x:c r="F753" s="12" t="n">
        <x:v>5</x:v>
      </x:c>
      <x:c r="G753" s="12" t="str">
        <x:v>17:45</x:v>
      </x:c>
      <x:c r="H753" s="12" t="n">
        <x:v>1065</x:v>
      </x:c>
      <x:c r="I753" s="12" t="str">
        <x:v>研究生宿舍楼</x:v>
      </x:c>
      <x:c r="J753" s="12" t="str">
        <x:v>研究生宿舍楼发车</x:v>
      </x:c>
      <x:c r="K753" s="12" t="str">
        <x:v>HX1_NORMAL</x:v>
      </x:c>
      <x:c r="L753" s="12" t="n">
        <x:v>8</x:v>
      </x:c>
      <x:c r="M753" s="12" t="str">
        <x:v>HX1_NORMAL|8</x:v>
      </x:c>
      <x:c r="N753" s="12" t="str">
        <x:v>高超楼</x:v>
      </x:c>
      <x:c r="O753" s="12" t="n">
        <x:f>IFERROR(INDEX('秒级路线参数_可调整'!$O:$O,MATCH(M753,'秒级路线参数_可调整'!$A:$A,0)),"")</x:f>
        <x:v>0</x:v>
      </x:c>
      <x:c r="P753" s="12" t="str">
        <x:f>IF(O753="","",O753/86400)</x:f>
      </x:c>
      <x:c r="Q753" s="12" t="str">
        <x:f>IF(O753="","",(H753*60+O753)/86400)</x:f>
      </x:c>
      <x:c r="R753" s="12" t="str">
        <x:f>IF(Q753="","",TEXT(Q753,"hh:mm:ss"))</x:f>
      </x:c>
      <x:c r="S753" s="12" t="str">
        <x:v>否</x:v>
      </x:c>
      <x:c r="T753" s="12" t="str">
        <x:v>否</x:v>
      </x:c>
      <x:c r="U753" s="12" t="str">
        <x:v>未提供</x:v>
      </x:c>
      <x:c r="V753" s="12" t="str">
        <x:v>未提供</x:v>
      </x:c>
      <x:c r="W753" s="12" t="str">
        <x:v>秒级预测</x:v>
      </x:c>
      <x:c r="X753" s="12" t="str">
        <x:v>基于路线秒级参数；如录入实测或手动采用秒，预计到达时间可随公式更新</x:v>
      </x:c>
    </x:row>
    <x:row r="754">
      <x:c r="A754" s="12" t="str">
        <x:v>S0061-09</x:v>
      </x:c>
      <x:c r="B754" s="12" t="str">
        <x:v>S0061</x:v>
      </x:c>
      <x:c r="C754" s="12" t="str">
        <x:v>工作日</x:v>
      </x:c>
      <x:c r="D754" s="12" t="str">
        <x:v>环线1路</x:v>
      </x:c>
      <x:c r="E754" s="12" t="str">
        <x:v>第四班（夜1）</x:v>
      </x:c>
      <x:c r="F754" s="12" t="n">
        <x:v>5</x:v>
      </x:c>
      <x:c r="G754" s="12" t="str">
        <x:v>17:45</x:v>
      </x:c>
      <x:c r="H754" s="12" t="n">
        <x:v>1065</x:v>
      </x:c>
      <x:c r="I754" s="12" t="str">
        <x:v>研究生宿舍楼</x:v>
      </x:c>
      <x:c r="J754" s="12" t="str">
        <x:v>研究生宿舍楼发车</x:v>
      </x:c>
      <x:c r="K754" s="12" t="str">
        <x:v>HX1_NORMAL</x:v>
      </x:c>
      <x:c r="L754" s="12" t="n">
        <x:v>9</x:v>
      </x:c>
      <x:c r="M754" s="12" t="str">
        <x:v>HX1_NORMAL|9</x:v>
      </x:c>
      <x:c r="N754" s="12" t="str">
        <x:v>理学院</x:v>
      </x:c>
      <x:c r="O754" s="12" t="n">
        <x:f>IFERROR(INDEX('秒级路线参数_可调整'!$O:$O,MATCH(M754,'秒级路线参数_可调整'!$A:$A,0)),"")</x:f>
        <x:v>0</x:v>
      </x:c>
      <x:c r="P754" s="12" t="str">
        <x:f>IF(O754="","",O754/86400)</x:f>
      </x:c>
      <x:c r="Q754" s="12" t="str">
        <x:f>IF(O754="","",(H754*60+O754)/86400)</x:f>
      </x:c>
      <x:c r="R754" s="12" t="str">
        <x:f>IF(Q754="","",TEXT(Q754,"hh:mm:ss"))</x:f>
      </x:c>
      <x:c r="S754" s="12" t="str">
        <x:v>否</x:v>
      </x:c>
      <x:c r="T754" s="12" t="str">
        <x:v>否</x:v>
      </x:c>
      <x:c r="U754" s="12" t="str">
        <x:v>未提供</x:v>
      </x:c>
      <x:c r="V754" s="12" t="str">
        <x:v>未提供</x:v>
      </x:c>
      <x:c r="W754" s="12" t="str">
        <x:v>秒级预测</x:v>
      </x:c>
      <x:c r="X754" s="12" t="str">
        <x:v>基于路线秒级参数；如录入实测或手动采用秒，预计到达时间可随公式更新</x:v>
      </x:c>
    </x:row>
    <x:row r="755">
      <x:c r="A755" s="12" t="str">
        <x:v>S0061-10</x:v>
      </x:c>
      <x:c r="B755" s="12" t="str">
        <x:v>S0061</x:v>
      </x:c>
      <x:c r="C755" s="12" t="str">
        <x:v>工作日</x:v>
      </x:c>
      <x:c r="D755" s="12" t="str">
        <x:v>环线1路</x:v>
      </x:c>
      <x:c r="E755" s="12" t="str">
        <x:v>第四班（夜1）</x:v>
      </x:c>
      <x:c r="F755" s="12" t="n">
        <x:v>5</x:v>
      </x:c>
      <x:c r="G755" s="12" t="str">
        <x:v>17:45</x:v>
      </x:c>
      <x:c r="H755" s="12" t="n">
        <x:v>1065</x:v>
      </x:c>
      <x:c r="I755" s="12" t="str">
        <x:v>研究生宿舍楼</x:v>
      </x:c>
      <x:c r="J755" s="12" t="str">
        <x:v>研究生宿舍楼发车</x:v>
      </x:c>
      <x:c r="K755" s="12" t="str">
        <x:v>HX1_NORMAL</x:v>
      </x:c>
      <x:c r="L755" s="12" t="n">
        <x:v>10</x:v>
      </x:c>
      <x:c r="M755" s="12" t="str">
        <x:v>HX1_NORMAL|10</x:v>
      </x:c>
      <x:c r="N755" s="12" t="str">
        <x:v>二食堂</x:v>
      </x:c>
      <x:c r="O755" s="12" t="n">
        <x:f>IFERROR(INDEX('秒级路线参数_可调整'!$O:$O,MATCH(M755,'秒级路线参数_可调整'!$A:$A,0)),"")</x:f>
        <x:v>0</x:v>
      </x:c>
      <x:c r="P755" s="12" t="str">
        <x:f>IF(O755="","",O755/86400)</x:f>
      </x:c>
      <x:c r="Q755" s="12" t="str">
        <x:f>IF(O755="","",(H755*60+O755)/86400)</x:f>
      </x:c>
      <x:c r="R755" s="12" t="str">
        <x:f>IF(Q755="","",TEXT(Q755,"hh:mm:ss"))</x:f>
      </x:c>
      <x:c r="S755" s="12" t="str">
        <x:v>否</x:v>
      </x:c>
      <x:c r="T755" s="12" t="str">
        <x:v>否</x:v>
      </x:c>
      <x:c r="U755" s="12" t="str">
        <x:v>未提供</x:v>
      </x:c>
      <x:c r="V755" s="12" t="str">
        <x:v>未提供</x:v>
      </x:c>
      <x:c r="W755" s="12" t="str">
        <x:v>秒级预测</x:v>
      </x:c>
      <x:c r="X755" s="12" t="str">
        <x:v>基于路线秒级参数；如录入实测或手动采用秒，预计到达时间可随公式更新</x:v>
      </x:c>
    </x:row>
    <x:row r="756">
      <x:c r="A756" s="12" t="str">
        <x:v>S0061-11</x:v>
      </x:c>
      <x:c r="B756" s="12" t="str">
        <x:v>S0061</x:v>
      </x:c>
      <x:c r="C756" s="12" t="str">
        <x:v>工作日</x:v>
      </x:c>
      <x:c r="D756" s="12" t="str">
        <x:v>环线1路</x:v>
      </x:c>
      <x:c r="E756" s="12" t="str">
        <x:v>第四班（夜1）</x:v>
      </x:c>
      <x:c r="F756" s="12" t="n">
        <x:v>5</x:v>
      </x:c>
      <x:c r="G756" s="12" t="str">
        <x:v>17:45</x:v>
      </x:c>
      <x:c r="H756" s="12" t="n">
        <x:v>1065</x:v>
      </x:c>
      <x:c r="I756" s="12" t="str">
        <x:v>研究生宿舍楼</x:v>
      </x:c>
      <x:c r="J756" s="12" t="str">
        <x:v>研究生宿舍楼发车</x:v>
      </x:c>
      <x:c r="K756" s="12" t="str">
        <x:v>HX1_NORMAL</x:v>
      </x:c>
      <x:c r="L756" s="12" t="n">
        <x:v>11</x:v>
      </x:c>
      <x:c r="M756" s="12" t="str">
        <x:v>HX1_NORMAL|11</x:v>
      </x:c>
      <x:c r="N756" s="12" t="str">
        <x:v>5号宿舍楼</x:v>
      </x:c>
      <x:c r="O756" s="12" t="n">
        <x:f>IFERROR(INDEX('秒级路线参数_可调整'!$O:$O,MATCH(M756,'秒级路线参数_可调整'!$A:$A,0)),"")</x:f>
        <x:v>0</x:v>
      </x:c>
      <x:c r="P756" s="12" t="str">
        <x:f>IF(O756="","",O756/86400)</x:f>
      </x:c>
      <x:c r="Q756" s="12" t="str">
        <x:f>IF(O756="","",(H756*60+O756)/86400)</x:f>
      </x:c>
      <x:c r="R756" s="12" t="str">
        <x:f>IF(Q756="","",TEXT(Q756,"hh:mm:ss"))</x:f>
      </x:c>
      <x:c r="S756" s="12" t="str">
        <x:v>否</x:v>
      </x:c>
      <x:c r="T756" s="12" t="str">
        <x:v>否</x:v>
      </x:c>
      <x:c r="U756" s="12" t="str">
        <x:v>未提供</x:v>
      </x:c>
      <x:c r="V756" s="12" t="str">
        <x:v>未提供</x:v>
      </x:c>
      <x:c r="W756" s="12" t="str">
        <x:v>秒级预测</x:v>
      </x:c>
      <x:c r="X756" s="12" t="str">
        <x:v>基于路线秒级参数；如录入实测或手动采用秒，预计到达时间可随公式更新</x:v>
      </x:c>
    </x:row>
    <x:row r="757">
      <x:c r="A757" s="12" t="str">
        <x:v>S0061-12</x:v>
      </x:c>
      <x:c r="B757" s="12" t="str">
        <x:v>S0061</x:v>
      </x:c>
      <x:c r="C757" s="12" t="str">
        <x:v>工作日</x:v>
      </x:c>
      <x:c r="D757" s="12" t="str">
        <x:v>环线1路</x:v>
      </x:c>
      <x:c r="E757" s="12" t="str">
        <x:v>第四班（夜1）</x:v>
      </x:c>
      <x:c r="F757" s="12" t="n">
        <x:v>5</x:v>
      </x:c>
      <x:c r="G757" s="12" t="str">
        <x:v>17:45</x:v>
      </x:c>
      <x:c r="H757" s="12" t="n">
        <x:v>1065</x:v>
      </x:c>
      <x:c r="I757" s="12" t="str">
        <x:v>研究生宿舍楼</x:v>
      </x:c>
      <x:c r="J757" s="12" t="str">
        <x:v>研究生宿舍楼发车</x:v>
      </x:c>
      <x:c r="K757" s="12" t="str">
        <x:v>HX1_NORMAL</x:v>
      </x:c>
      <x:c r="L757" s="12" t="n">
        <x:v>12</x:v>
      </x:c>
      <x:c r="M757" s="12" t="str">
        <x:v>HX1_NORMAL|12</x:v>
      </x:c>
      <x:c r="N757" s="12" t="str">
        <x:v>305教学楼</x:v>
      </x:c>
      <x:c r="O757" s="12" t="n">
        <x:f>IFERROR(INDEX('秒级路线参数_可调整'!$O:$O,MATCH(M757,'秒级路线参数_可调整'!$A:$A,0)),"")</x:f>
        <x:v>0</x:v>
      </x:c>
      <x:c r="P757" s="12" t="str">
        <x:f>IF(O757="","",O757/86400)</x:f>
      </x:c>
      <x:c r="Q757" s="12" t="str">
        <x:f>IF(O757="","",(H757*60+O757)/86400)</x:f>
      </x:c>
      <x:c r="R757" s="12" t="str">
        <x:f>IF(Q757="","",TEXT(Q757,"hh:mm:ss"))</x:f>
      </x:c>
      <x:c r="S757" s="12" t="str">
        <x:v>否</x:v>
      </x:c>
      <x:c r="T757" s="12" t="str">
        <x:v>否</x:v>
      </x:c>
      <x:c r="U757" s="12" t="str">
        <x:v>未提供</x:v>
      </x:c>
      <x:c r="V757" s="12" t="str">
        <x:v>未提供</x:v>
      </x:c>
      <x:c r="W757" s="12" t="str">
        <x:v>秒级预测</x:v>
      </x:c>
      <x:c r="X757" s="12" t="str">
        <x:v>基于路线秒级参数；如录入实测或手动采用秒，预计到达时间可随公式更新</x:v>
      </x:c>
    </x:row>
    <x:row r="758">
      <x:c r="A758" s="12" t="str">
        <x:v>S0061-13</x:v>
      </x:c>
      <x:c r="B758" s="12" t="str">
        <x:v>S0061</x:v>
      </x:c>
      <x:c r="C758" s="12" t="str">
        <x:v>工作日</x:v>
      </x:c>
      <x:c r="D758" s="12" t="str">
        <x:v>环线1路</x:v>
      </x:c>
      <x:c r="E758" s="12" t="str">
        <x:v>第四班（夜1）</x:v>
      </x:c>
      <x:c r="F758" s="12" t="n">
        <x:v>5</x:v>
      </x:c>
      <x:c r="G758" s="12" t="str">
        <x:v>17:45</x:v>
      </x:c>
      <x:c r="H758" s="12" t="n">
        <x:v>1065</x:v>
      </x:c>
      <x:c r="I758" s="12" t="str">
        <x:v>研究生宿舍楼</x:v>
      </x:c>
      <x:c r="J758" s="12" t="str">
        <x:v>研究生宿舍楼发车</x:v>
      </x:c>
      <x:c r="K758" s="12" t="str">
        <x:v>HX1_NORMAL</x:v>
      </x:c>
      <x:c r="L758" s="12" t="n">
        <x:v>13</x:v>
      </x:c>
      <x:c r="M758" s="12" t="str">
        <x:v>HX1_NORMAL|13</x:v>
      </x:c>
      <x:c r="N758" s="12" t="str">
        <x:v>研究生宿舍楼</x:v>
      </x:c>
      <x:c r="O758" s="12" t="n">
        <x:f>IFERROR(INDEX('秒级路线参数_可调整'!$O:$O,MATCH(M758,'秒级路线参数_可调整'!$A:$A,0)),"")</x:f>
        <x:v>0</x:v>
      </x:c>
      <x:c r="P758" s="12" t="str">
        <x:f>IF(O758="","",O758/86400)</x:f>
      </x:c>
      <x:c r="Q758" s="12" t="str">
        <x:f>IF(O758="","",(H758*60+O758)/86400)</x:f>
      </x:c>
      <x:c r="R758" s="12" t="str">
        <x:f>IF(Q758="","",TEXT(Q758,"hh:mm:ss"))</x:f>
      </x:c>
      <x:c r="S758" s="12" t="str">
        <x:v>否</x:v>
      </x:c>
      <x:c r="T758" s="12" t="str">
        <x:v>是</x:v>
      </x:c>
      <x:c r="U758" s="12" t="str">
        <x:v>未提供</x:v>
      </x:c>
      <x:c r="V758" s="12" t="str">
        <x:v>未提供</x:v>
      </x:c>
      <x:c r="W758" s="12" t="str">
        <x:v>秒级预测</x:v>
      </x:c>
      <x:c r="X758" s="12" t="str">
        <x:v>基于路线秒级参数；如录入实测或手动采用秒，预计到达时间可随公式更新</x:v>
      </x:c>
    </x:row>
    <x:row r="759">
      <x:c r="A759" s="12" t="str">
        <x:v>S0062-01</x:v>
      </x:c>
      <x:c r="B759" s="12" t="str">
        <x:v>S0062</x:v>
      </x:c>
      <x:c r="C759" s="12" t="str">
        <x:v>工作日</x:v>
      </x:c>
      <x:c r="D759" s="12" t="str">
        <x:v>环线1路</x:v>
      </x:c>
      <x:c r="E759" s="12" t="str">
        <x:v>第四班（夜1）</x:v>
      </x:c>
      <x:c r="F759" s="12" t="n">
        <x:v>6</x:v>
      </x:c>
      <x:c r="G759" s="12" t="str">
        <x:v>18:15</x:v>
      </x:c>
      <x:c r="H759" s="12" t="n">
        <x:v>1095</x:v>
      </x:c>
      <x:c r="I759" s="12" t="str">
        <x:v>研究生宿舍楼</x:v>
      </x:c>
      <x:c r="J759" s="12" t="str">
        <x:v>研究生宿舍楼发车</x:v>
      </x:c>
      <x:c r="K759" s="12" t="str">
        <x:v>HX1_NORMAL</x:v>
      </x:c>
      <x:c r="L759" s="12" t="n">
        <x:v>1</x:v>
      </x:c>
      <x:c r="M759" s="12" t="str">
        <x:v>HX1_NORMAL|1</x:v>
      </x:c>
      <x:c r="N759" s="12" t="str">
        <x:v>研究生宿舍楼</x:v>
      </x:c>
      <x:c r="O759" s="12" t="n">
        <x:f>IFERROR(INDEX('秒级路线参数_可调整'!$O:$O,MATCH(M759,'秒级路线参数_可调整'!$A:$A,0)),"")</x:f>
        <x:v>0</x:v>
      </x:c>
      <x:c r="P759" s="12" t="str">
        <x:f>IF(O759="","",O759/86400)</x:f>
      </x:c>
      <x:c r="Q759" s="12" t="str">
        <x:f>IF(O759="","",(H759*60+O759)/86400)</x:f>
      </x:c>
      <x:c r="R759" s="12" t="str">
        <x:f>IF(Q759="","",TEXT(Q759,"hh:mm:ss"))</x:f>
      </x:c>
      <x:c r="S759" s="12" t="str">
        <x:v>是</x:v>
      </x:c>
      <x:c r="T759" s="12" t="str">
        <x:v>否</x:v>
      </x:c>
      <x:c r="U759" s="12" t="str">
        <x:v>未提供</x:v>
      </x:c>
      <x:c r="V759" s="12" t="str">
        <x:v>未提供</x:v>
      </x:c>
      <x:c r="W759" s="12" t="str">
        <x:v>秒级预测</x:v>
      </x:c>
      <x:c r="X759" s="12" t="str">
        <x:v>基于路线秒级参数；如录入实测或手动采用秒，预计到达时间可随公式更新</x:v>
      </x:c>
    </x:row>
    <x:row r="760">
      <x:c r="A760" s="12" t="str">
        <x:v>S0062-02</x:v>
      </x:c>
      <x:c r="B760" s="12" t="str">
        <x:v>S0062</x:v>
      </x:c>
      <x:c r="C760" s="12" t="str">
        <x:v>工作日</x:v>
      </x:c>
      <x:c r="D760" s="12" t="str">
        <x:v>环线1路</x:v>
      </x:c>
      <x:c r="E760" s="12" t="str">
        <x:v>第四班（夜1）</x:v>
      </x:c>
      <x:c r="F760" s="12" t="n">
        <x:v>6</x:v>
      </x:c>
      <x:c r="G760" s="12" t="str">
        <x:v>18:15</x:v>
      </x:c>
      <x:c r="H760" s="12" t="n">
        <x:v>1095</x:v>
      </x:c>
      <x:c r="I760" s="12" t="str">
        <x:v>研究生宿舍楼</x:v>
      </x:c>
      <x:c r="J760" s="12" t="str">
        <x:v>研究生宿舍楼发车</x:v>
      </x:c>
      <x:c r="K760" s="12" t="str">
        <x:v>HX1_NORMAL</x:v>
      </x:c>
      <x:c r="L760" s="12" t="n">
        <x:v>2</x:v>
      </x:c>
      <x:c r="M760" s="12" t="str">
        <x:v>HX1_NORMAL|2</x:v>
      </x:c>
      <x:c r="N760" s="12" t="str">
        <x:v>东门</x:v>
      </x:c>
      <x:c r="O760" s="12" t="n">
        <x:f>IFERROR(INDEX('秒级路线参数_可调整'!$O:$O,MATCH(M760,'秒级路线参数_可调整'!$A:$A,0)),"")</x:f>
        <x:v>0</x:v>
      </x:c>
      <x:c r="P760" s="12" t="str">
        <x:f>IF(O760="","",O760/86400)</x:f>
      </x:c>
      <x:c r="Q760" s="12" t="str">
        <x:f>IF(O760="","",(H760*60+O760)/86400)</x:f>
      </x:c>
      <x:c r="R760" s="12" t="str">
        <x:f>IF(Q760="","",TEXT(Q760,"hh:mm:ss"))</x:f>
      </x:c>
      <x:c r="S760" s="12" t="str">
        <x:v>否</x:v>
      </x:c>
      <x:c r="T760" s="12" t="str">
        <x:v>否</x:v>
      </x:c>
      <x:c r="U760" s="12" t="str">
        <x:v>未提供</x:v>
      </x:c>
      <x:c r="V760" s="12" t="str">
        <x:v>未提供</x:v>
      </x:c>
      <x:c r="W760" s="12" t="str">
        <x:v>秒级预测</x:v>
      </x:c>
      <x:c r="X760" s="12" t="str">
        <x:v>基于路线秒级参数；如录入实测或手动采用秒，预计到达时间可随公式更新</x:v>
      </x:c>
    </x:row>
    <x:row r="761">
      <x:c r="A761" s="12" t="str">
        <x:v>S0062-03</x:v>
      </x:c>
      <x:c r="B761" s="12" t="str">
        <x:v>S0062</x:v>
      </x:c>
      <x:c r="C761" s="12" t="str">
        <x:v>工作日</x:v>
      </x:c>
      <x:c r="D761" s="12" t="str">
        <x:v>环线1路</x:v>
      </x:c>
      <x:c r="E761" s="12" t="str">
        <x:v>第四班（夜1）</x:v>
      </x:c>
      <x:c r="F761" s="12" t="n">
        <x:v>6</x:v>
      </x:c>
      <x:c r="G761" s="12" t="str">
        <x:v>18:15</x:v>
      </x:c>
      <x:c r="H761" s="12" t="n">
        <x:v>1095</x:v>
      </x:c>
      <x:c r="I761" s="12" t="str">
        <x:v>研究生宿舍楼</x:v>
      </x:c>
      <x:c r="J761" s="12" t="str">
        <x:v>研究生宿舍楼发车</x:v>
      </x:c>
      <x:c r="K761" s="12" t="str">
        <x:v>HX1_NORMAL</x:v>
      </x:c>
      <x:c r="L761" s="12" t="n">
        <x:v>3</x:v>
      </x:c>
      <x:c r="M761" s="12" t="str">
        <x:v>HX1_NORMAL|3</x:v>
      </x:c>
      <x:c r="N761" s="12" t="str">
        <x:v>2号宿舍楼</x:v>
      </x:c>
      <x:c r="O761" s="12" t="n">
        <x:f>IFERROR(INDEX('秒级路线参数_可调整'!$O:$O,MATCH(M761,'秒级路线参数_可调整'!$A:$A,0)),"")</x:f>
        <x:v>0</x:v>
      </x:c>
      <x:c r="P761" s="12" t="str">
        <x:f>IF(O761="","",O761/86400)</x:f>
      </x:c>
      <x:c r="Q761" s="12" t="str">
        <x:f>IF(O761="","",(H761*60+O761)/86400)</x:f>
      </x:c>
      <x:c r="R761" s="12" t="str">
        <x:f>IF(Q761="","",TEXT(Q761,"hh:mm:ss"))</x:f>
      </x:c>
      <x:c r="S761" s="12" t="str">
        <x:v>否</x:v>
      </x:c>
      <x:c r="T761" s="12" t="str">
        <x:v>否</x:v>
      </x:c>
      <x:c r="U761" s="12" t="str">
        <x:v>未提供</x:v>
      </x:c>
      <x:c r="V761" s="12" t="str">
        <x:v>未提供</x:v>
      </x:c>
      <x:c r="W761" s="12" t="str">
        <x:v>秒级预测</x:v>
      </x:c>
      <x:c r="X761" s="12" t="str">
        <x:v>基于路线秒级参数；如录入实测或手动采用秒，预计到达时间可随公式更新</x:v>
      </x:c>
    </x:row>
    <x:row r="762">
      <x:c r="A762" s="12" t="str">
        <x:v>S0062-04</x:v>
      </x:c>
      <x:c r="B762" s="12" t="str">
        <x:v>S0062</x:v>
      </x:c>
      <x:c r="C762" s="12" t="str">
        <x:v>工作日</x:v>
      </x:c>
      <x:c r="D762" s="12" t="str">
        <x:v>环线1路</x:v>
      </x:c>
      <x:c r="E762" s="12" t="str">
        <x:v>第四班（夜1）</x:v>
      </x:c>
      <x:c r="F762" s="12" t="n">
        <x:v>6</x:v>
      </x:c>
      <x:c r="G762" s="12" t="str">
        <x:v>18:15</x:v>
      </x:c>
      <x:c r="H762" s="12" t="n">
        <x:v>1095</x:v>
      </x:c>
      <x:c r="I762" s="12" t="str">
        <x:v>研究生宿舍楼</x:v>
      </x:c>
      <x:c r="J762" s="12" t="str">
        <x:v>研究生宿舍楼发车</x:v>
      </x:c>
      <x:c r="K762" s="12" t="str">
        <x:v>HX1_NORMAL</x:v>
      </x:c>
      <x:c r="L762" s="12" t="n">
        <x:v>4</x:v>
      </x:c>
      <x:c r="M762" s="12" t="str">
        <x:v>HX1_NORMAL|4</x:v>
      </x:c>
      <x:c r="N762" s="12" t="str">
        <x:v>军体活动中心</x:v>
      </x:c>
      <x:c r="O762" s="12" t="n">
        <x:f>IFERROR(INDEX('秒级路线参数_可调整'!$O:$O,MATCH(M762,'秒级路线参数_可调整'!$A:$A,0)),"")</x:f>
        <x:v>0</x:v>
      </x:c>
      <x:c r="P762" s="12" t="str">
        <x:f>IF(O762="","",O762/86400)</x:f>
      </x:c>
      <x:c r="Q762" s="12" t="str">
        <x:f>IF(O762="","",(H762*60+O762)/86400)</x:f>
      </x:c>
      <x:c r="R762" s="12" t="str">
        <x:f>IF(Q762="","",TEXT(Q762,"hh:mm:ss"))</x:f>
      </x:c>
      <x:c r="S762" s="12" t="str">
        <x:v>否</x:v>
      </x:c>
      <x:c r="T762" s="12" t="str">
        <x:v>否</x:v>
      </x:c>
      <x:c r="U762" s="12" t="str">
        <x:v>未提供</x:v>
      </x:c>
      <x:c r="V762" s="12" t="str">
        <x:v>未提供</x:v>
      </x:c>
      <x:c r="W762" s="12" t="str">
        <x:v>秒级预测</x:v>
      </x:c>
      <x:c r="X762" s="12" t="str">
        <x:v>基于路线秒级参数；如录入实测或手动采用秒，预计到达时间可随公式更新</x:v>
      </x:c>
    </x:row>
    <x:row r="763">
      <x:c r="A763" s="12" t="str">
        <x:v>S0062-05</x:v>
      </x:c>
      <x:c r="B763" s="12" t="str">
        <x:v>S0062</x:v>
      </x:c>
      <x:c r="C763" s="12" t="str">
        <x:v>工作日</x:v>
      </x:c>
      <x:c r="D763" s="12" t="str">
        <x:v>环线1路</x:v>
      </x:c>
      <x:c r="E763" s="12" t="str">
        <x:v>第四班（夜1）</x:v>
      </x:c>
      <x:c r="F763" s="12" t="n">
        <x:v>6</x:v>
      </x:c>
      <x:c r="G763" s="12" t="str">
        <x:v>18:15</x:v>
      </x:c>
      <x:c r="H763" s="12" t="n">
        <x:v>1095</x:v>
      </x:c>
      <x:c r="I763" s="12" t="str">
        <x:v>研究生宿舍楼</x:v>
      </x:c>
      <x:c r="J763" s="12" t="str">
        <x:v>研究生宿舍楼发车</x:v>
      </x:c>
      <x:c r="K763" s="12" t="str">
        <x:v>HX1_NORMAL</x:v>
      </x:c>
      <x:c r="L763" s="12" t="n">
        <x:v>5</x:v>
      </x:c>
      <x:c r="M763" s="12" t="str">
        <x:v>HX1_NORMAL|5</x:v>
      </x:c>
      <x:c r="N763" s="12" t="str">
        <x:v>激光所</x:v>
      </x:c>
      <x:c r="O763" s="12" t="n">
        <x:f>IFERROR(INDEX('秒级路线参数_可调整'!$O:$O,MATCH(M763,'秒级路线参数_可调整'!$A:$A,0)),"")</x:f>
        <x:v>0</x:v>
      </x:c>
      <x:c r="P763" s="12" t="str">
        <x:f>IF(O763="","",O763/86400)</x:f>
      </x:c>
      <x:c r="Q763" s="12" t="str">
        <x:f>IF(O763="","",(H763*60+O763)/86400)</x:f>
      </x:c>
      <x:c r="R763" s="12" t="str">
        <x:f>IF(Q763="","",TEXT(Q763,"hh:mm:ss"))</x:f>
      </x:c>
      <x:c r="S763" s="12" t="str">
        <x:v>否</x:v>
      </x:c>
      <x:c r="T763" s="12" t="str">
        <x:v>否</x:v>
      </x:c>
      <x:c r="U763" s="12" t="str">
        <x:v>未提供</x:v>
      </x:c>
      <x:c r="V763" s="12" t="str">
        <x:v>未提供</x:v>
      </x:c>
      <x:c r="W763" s="12" t="str">
        <x:v>秒级预测</x:v>
      </x:c>
      <x:c r="X763" s="12" t="str">
        <x:v>基于路线秒级参数；如录入实测或手动采用秒，预计到达时间可随公式更新</x:v>
      </x:c>
    </x:row>
    <x:row r="764">
      <x:c r="A764" s="12" t="str">
        <x:v>S0062-06</x:v>
      </x:c>
      <x:c r="B764" s="12" t="str">
        <x:v>S0062</x:v>
      </x:c>
      <x:c r="C764" s="12" t="str">
        <x:v>工作日</x:v>
      </x:c>
      <x:c r="D764" s="12" t="str">
        <x:v>环线1路</x:v>
      </x:c>
      <x:c r="E764" s="12" t="str">
        <x:v>第四班（夜1）</x:v>
      </x:c>
      <x:c r="F764" s="12" t="n">
        <x:v>6</x:v>
      </x:c>
      <x:c r="G764" s="12" t="str">
        <x:v>18:15</x:v>
      </x:c>
      <x:c r="H764" s="12" t="n">
        <x:v>1095</x:v>
      </x:c>
      <x:c r="I764" s="12" t="str">
        <x:v>研究生宿舍楼</x:v>
      </x:c>
      <x:c r="J764" s="12" t="str">
        <x:v>研究生宿舍楼发车</x:v>
      </x:c>
      <x:c r="K764" s="12" t="str">
        <x:v>HX1_NORMAL</x:v>
      </x:c>
      <x:c r="L764" s="12" t="n">
        <x:v>6</x:v>
      </x:c>
      <x:c r="M764" s="12" t="str">
        <x:v>HX1_NORMAL|6</x:v>
      </x:c>
      <x:c r="N764" s="12" t="str">
        <x:v>超算中心</x:v>
      </x:c>
      <x:c r="O764" s="12" t="n">
        <x:f>IFERROR(INDEX('秒级路线参数_可调整'!$O:$O,MATCH(M764,'秒级路线参数_可调整'!$A:$A,0)),"")</x:f>
        <x:v>0</x:v>
      </x:c>
      <x:c r="P764" s="12" t="str">
        <x:f>IF(O764="","",O764/86400)</x:f>
      </x:c>
      <x:c r="Q764" s="12" t="str">
        <x:f>IF(O764="","",(H764*60+O764)/86400)</x:f>
      </x:c>
      <x:c r="R764" s="12" t="str">
        <x:f>IF(Q764="","",TEXT(Q764,"hh:mm:ss"))</x:f>
      </x:c>
      <x:c r="S764" s="12" t="str">
        <x:v>否</x:v>
      </x:c>
      <x:c r="T764" s="12" t="str">
        <x:v>否</x:v>
      </x:c>
      <x:c r="U764" s="12" t="str">
        <x:v>未提供</x:v>
      </x:c>
      <x:c r="V764" s="12" t="str">
        <x:v>未提供</x:v>
      </x:c>
      <x:c r="W764" s="12" t="str">
        <x:v>秒级预测</x:v>
      </x:c>
      <x:c r="X764" s="12" t="str">
        <x:v>基于路线秒级参数；如录入实测或手动采用秒，预计到达时间可随公式更新</x:v>
      </x:c>
    </x:row>
    <x:row r="765">
      <x:c r="A765" s="12" t="str">
        <x:v>S0062-07</x:v>
      </x:c>
      <x:c r="B765" s="12" t="str">
        <x:v>S0062</x:v>
      </x:c>
      <x:c r="C765" s="12" t="str">
        <x:v>工作日</x:v>
      </x:c>
      <x:c r="D765" s="12" t="str">
        <x:v>环线1路</x:v>
      </x:c>
      <x:c r="E765" s="12" t="str">
        <x:v>第四班（夜1）</x:v>
      </x:c>
      <x:c r="F765" s="12" t="n">
        <x:v>6</x:v>
      </x:c>
      <x:c r="G765" s="12" t="str">
        <x:v>18:15</x:v>
      </x:c>
      <x:c r="H765" s="12" t="n">
        <x:v>1095</x:v>
      </x:c>
      <x:c r="I765" s="12" t="str">
        <x:v>研究生宿舍楼</x:v>
      </x:c>
      <x:c r="J765" s="12" t="str">
        <x:v>研究生宿舍楼发车</x:v>
      </x:c>
      <x:c r="K765" s="12" t="str">
        <x:v>HX1_NORMAL</x:v>
      </x:c>
      <x:c r="L765" s="12" t="n">
        <x:v>7</x:v>
      </x:c>
      <x:c r="M765" s="12" t="str">
        <x:v>HX1_NORMAL|7</x:v>
      </x:c>
      <x:c r="N765" s="12" t="str">
        <x:v>北门</x:v>
      </x:c>
      <x:c r="O765" s="12" t="n">
        <x:f>IFERROR(INDEX('秒级路线参数_可调整'!$O:$O,MATCH(M765,'秒级路线参数_可调整'!$A:$A,0)),"")</x:f>
        <x:v>0</x:v>
      </x:c>
      <x:c r="P765" s="12" t="str">
        <x:f>IF(O765="","",O765/86400)</x:f>
      </x:c>
      <x:c r="Q765" s="12" t="str">
        <x:f>IF(O765="","",(H765*60+O765)/86400)</x:f>
      </x:c>
      <x:c r="R765" s="12" t="str">
        <x:f>IF(Q765="","",TEXT(Q765,"hh:mm:ss"))</x:f>
      </x:c>
      <x:c r="S765" s="12" t="str">
        <x:v>否</x:v>
      </x:c>
      <x:c r="T765" s="12" t="str">
        <x:v>否</x:v>
      </x:c>
      <x:c r="U765" s="12" t="str">
        <x:v>未提供</x:v>
      </x:c>
      <x:c r="V765" s="12" t="str">
        <x:v>未提供</x:v>
      </x:c>
      <x:c r="W765" s="12" t="str">
        <x:v>秒级预测</x:v>
      </x:c>
      <x:c r="X765" s="12" t="str">
        <x:v>基于路线秒级参数；如录入实测或手动采用秒，预计到达时间可随公式更新</x:v>
      </x:c>
    </x:row>
    <x:row r="766">
      <x:c r="A766" s="12" t="str">
        <x:v>S0062-08</x:v>
      </x:c>
      <x:c r="B766" s="12" t="str">
        <x:v>S0062</x:v>
      </x:c>
      <x:c r="C766" s="12" t="str">
        <x:v>工作日</x:v>
      </x:c>
      <x:c r="D766" s="12" t="str">
        <x:v>环线1路</x:v>
      </x:c>
      <x:c r="E766" s="12" t="str">
        <x:v>第四班（夜1）</x:v>
      </x:c>
      <x:c r="F766" s="12" t="n">
        <x:v>6</x:v>
      </x:c>
      <x:c r="G766" s="12" t="str">
        <x:v>18:15</x:v>
      </x:c>
      <x:c r="H766" s="12" t="n">
        <x:v>1095</x:v>
      </x:c>
      <x:c r="I766" s="12" t="str">
        <x:v>研究生宿舍楼</x:v>
      </x:c>
      <x:c r="J766" s="12" t="str">
        <x:v>研究生宿舍楼发车</x:v>
      </x:c>
      <x:c r="K766" s="12" t="str">
        <x:v>HX1_NORMAL</x:v>
      </x:c>
      <x:c r="L766" s="12" t="n">
        <x:v>8</x:v>
      </x:c>
      <x:c r="M766" s="12" t="str">
        <x:v>HX1_NORMAL|8</x:v>
      </x:c>
      <x:c r="N766" s="12" t="str">
        <x:v>高超楼</x:v>
      </x:c>
      <x:c r="O766" s="12" t="n">
        <x:f>IFERROR(INDEX('秒级路线参数_可调整'!$O:$O,MATCH(M766,'秒级路线参数_可调整'!$A:$A,0)),"")</x:f>
        <x:v>0</x:v>
      </x:c>
      <x:c r="P766" s="12" t="str">
        <x:f>IF(O766="","",O766/86400)</x:f>
      </x:c>
      <x:c r="Q766" s="12" t="str">
        <x:f>IF(O766="","",(H766*60+O766)/86400)</x:f>
      </x:c>
      <x:c r="R766" s="12" t="str">
        <x:f>IF(Q766="","",TEXT(Q766,"hh:mm:ss"))</x:f>
      </x:c>
      <x:c r="S766" s="12" t="str">
        <x:v>否</x:v>
      </x:c>
      <x:c r="T766" s="12" t="str">
        <x:v>否</x:v>
      </x:c>
      <x:c r="U766" s="12" t="str">
        <x:v>未提供</x:v>
      </x:c>
      <x:c r="V766" s="12" t="str">
        <x:v>未提供</x:v>
      </x:c>
      <x:c r="W766" s="12" t="str">
        <x:v>秒级预测</x:v>
      </x:c>
      <x:c r="X766" s="12" t="str">
        <x:v>基于路线秒级参数；如录入实测或手动采用秒，预计到达时间可随公式更新</x:v>
      </x:c>
    </x:row>
    <x:row r="767">
      <x:c r="A767" s="12" t="str">
        <x:v>S0062-09</x:v>
      </x:c>
      <x:c r="B767" s="12" t="str">
        <x:v>S0062</x:v>
      </x:c>
      <x:c r="C767" s="12" t="str">
        <x:v>工作日</x:v>
      </x:c>
      <x:c r="D767" s="12" t="str">
        <x:v>环线1路</x:v>
      </x:c>
      <x:c r="E767" s="12" t="str">
        <x:v>第四班（夜1）</x:v>
      </x:c>
      <x:c r="F767" s="12" t="n">
        <x:v>6</x:v>
      </x:c>
      <x:c r="G767" s="12" t="str">
        <x:v>18:15</x:v>
      </x:c>
      <x:c r="H767" s="12" t="n">
        <x:v>1095</x:v>
      </x:c>
      <x:c r="I767" s="12" t="str">
        <x:v>研究生宿舍楼</x:v>
      </x:c>
      <x:c r="J767" s="12" t="str">
        <x:v>研究生宿舍楼发车</x:v>
      </x:c>
      <x:c r="K767" s="12" t="str">
        <x:v>HX1_NORMAL</x:v>
      </x:c>
      <x:c r="L767" s="12" t="n">
        <x:v>9</x:v>
      </x:c>
      <x:c r="M767" s="12" t="str">
        <x:v>HX1_NORMAL|9</x:v>
      </x:c>
      <x:c r="N767" s="12" t="str">
        <x:v>理学院</x:v>
      </x:c>
      <x:c r="O767" s="12" t="n">
        <x:f>IFERROR(INDEX('秒级路线参数_可调整'!$O:$O,MATCH(M767,'秒级路线参数_可调整'!$A:$A,0)),"")</x:f>
        <x:v>0</x:v>
      </x:c>
      <x:c r="P767" s="12" t="str">
        <x:f>IF(O767="","",O767/86400)</x:f>
      </x:c>
      <x:c r="Q767" s="12" t="str">
        <x:f>IF(O767="","",(H767*60+O767)/86400)</x:f>
      </x:c>
      <x:c r="R767" s="12" t="str">
        <x:f>IF(Q767="","",TEXT(Q767,"hh:mm:ss"))</x:f>
      </x:c>
      <x:c r="S767" s="12" t="str">
        <x:v>否</x:v>
      </x:c>
      <x:c r="T767" s="12" t="str">
        <x:v>否</x:v>
      </x:c>
      <x:c r="U767" s="12" t="str">
        <x:v>未提供</x:v>
      </x:c>
      <x:c r="V767" s="12" t="str">
        <x:v>未提供</x:v>
      </x:c>
      <x:c r="W767" s="12" t="str">
        <x:v>秒级预测</x:v>
      </x:c>
      <x:c r="X767" s="12" t="str">
        <x:v>基于路线秒级参数；如录入实测或手动采用秒，预计到达时间可随公式更新</x:v>
      </x:c>
    </x:row>
    <x:row r="768">
      <x:c r="A768" s="12" t="str">
        <x:v>S0062-10</x:v>
      </x:c>
      <x:c r="B768" s="12" t="str">
        <x:v>S0062</x:v>
      </x:c>
      <x:c r="C768" s="12" t="str">
        <x:v>工作日</x:v>
      </x:c>
      <x:c r="D768" s="12" t="str">
        <x:v>环线1路</x:v>
      </x:c>
      <x:c r="E768" s="12" t="str">
        <x:v>第四班（夜1）</x:v>
      </x:c>
      <x:c r="F768" s="12" t="n">
        <x:v>6</x:v>
      </x:c>
      <x:c r="G768" s="12" t="str">
        <x:v>18:15</x:v>
      </x:c>
      <x:c r="H768" s="12" t="n">
        <x:v>1095</x:v>
      </x:c>
      <x:c r="I768" s="12" t="str">
        <x:v>研究生宿舍楼</x:v>
      </x:c>
      <x:c r="J768" s="12" t="str">
        <x:v>研究生宿舍楼发车</x:v>
      </x:c>
      <x:c r="K768" s="12" t="str">
        <x:v>HX1_NORMAL</x:v>
      </x:c>
      <x:c r="L768" s="12" t="n">
        <x:v>10</x:v>
      </x:c>
      <x:c r="M768" s="12" t="str">
        <x:v>HX1_NORMAL|10</x:v>
      </x:c>
      <x:c r="N768" s="12" t="str">
        <x:v>二食堂</x:v>
      </x:c>
      <x:c r="O768" s="12" t="n">
        <x:f>IFERROR(INDEX('秒级路线参数_可调整'!$O:$O,MATCH(M768,'秒级路线参数_可调整'!$A:$A,0)),"")</x:f>
        <x:v>0</x:v>
      </x:c>
      <x:c r="P768" s="12" t="str">
        <x:f>IF(O768="","",O768/86400)</x:f>
      </x:c>
      <x:c r="Q768" s="12" t="str">
        <x:f>IF(O768="","",(H768*60+O768)/86400)</x:f>
      </x:c>
      <x:c r="R768" s="12" t="str">
        <x:f>IF(Q768="","",TEXT(Q768,"hh:mm:ss"))</x:f>
      </x:c>
      <x:c r="S768" s="12" t="str">
        <x:v>否</x:v>
      </x:c>
      <x:c r="T768" s="12" t="str">
        <x:v>否</x:v>
      </x:c>
      <x:c r="U768" s="12" t="str">
        <x:v>未提供</x:v>
      </x:c>
      <x:c r="V768" s="12" t="str">
        <x:v>未提供</x:v>
      </x:c>
      <x:c r="W768" s="12" t="str">
        <x:v>秒级预测</x:v>
      </x:c>
      <x:c r="X768" s="12" t="str">
        <x:v>基于路线秒级参数；如录入实测或手动采用秒，预计到达时间可随公式更新</x:v>
      </x:c>
    </x:row>
    <x:row r="769">
      <x:c r="A769" s="12" t="str">
        <x:v>S0062-11</x:v>
      </x:c>
      <x:c r="B769" s="12" t="str">
        <x:v>S0062</x:v>
      </x:c>
      <x:c r="C769" s="12" t="str">
        <x:v>工作日</x:v>
      </x:c>
      <x:c r="D769" s="12" t="str">
        <x:v>环线1路</x:v>
      </x:c>
      <x:c r="E769" s="12" t="str">
        <x:v>第四班（夜1）</x:v>
      </x:c>
      <x:c r="F769" s="12" t="n">
        <x:v>6</x:v>
      </x:c>
      <x:c r="G769" s="12" t="str">
        <x:v>18:15</x:v>
      </x:c>
      <x:c r="H769" s="12" t="n">
        <x:v>1095</x:v>
      </x:c>
      <x:c r="I769" s="12" t="str">
        <x:v>研究生宿舍楼</x:v>
      </x:c>
      <x:c r="J769" s="12" t="str">
        <x:v>研究生宿舍楼发车</x:v>
      </x:c>
      <x:c r="K769" s="12" t="str">
        <x:v>HX1_NORMAL</x:v>
      </x:c>
      <x:c r="L769" s="12" t="n">
        <x:v>11</x:v>
      </x:c>
      <x:c r="M769" s="12" t="str">
        <x:v>HX1_NORMAL|11</x:v>
      </x:c>
      <x:c r="N769" s="12" t="str">
        <x:v>5号宿舍楼</x:v>
      </x:c>
      <x:c r="O769" s="12" t="n">
        <x:f>IFERROR(INDEX('秒级路线参数_可调整'!$O:$O,MATCH(M769,'秒级路线参数_可调整'!$A:$A,0)),"")</x:f>
        <x:v>0</x:v>
      </x:c>
      <x:c r="P769" s="12" t="str">
        <x:f>IF(O769="","",O769/86400)</x:f>
      </x:c>
      <x:c r="Q769" s="12" t="str">
        <x:f>IF(O769="","",(H769*60+O769)/86400)</x:f>
      </x:c>
      <x:c r="R769" s="12" t="str">
        <x:f>IF(Q769="","",TEXT(Q769,"hh:mm:ss"))</x:f>
      </x:c>
      <x:c r="S769" s="12" t="str">
        <x:v>否</x:v>
      </x:c>
      <x:c r="T769" s="12" t="str">
        <x:v>否</x:v>
      </x:c>
      <x:c r="U769" s="12" t="str">
        <x:v>未提供</x:v>
      </x:c>
      <x:c r="V769" s="12" t="str">
        <x:v>未提供</x:v>
      </x:c>
      <x:c r="W769" s="12" t="str">
        <x:v>秒级预测</x:v>
      </x:c>
      <x:c r="X769" s="12" t="str">
        <x:v>基于路线秒级参数；如录入实测或手动采用秒，预计到达时间可随公式更新</x:v>
      </x:c>
    </x:row>
    <x:row r="770">
      <x:c r="A770" s="12" t="str">
        <x:v>S0062-12</x:v>
      </x:c>
      <x:c r="B770" s="12" t="str">
        <x:v>S0062</x:v>
      </x:c>
      <x:c r="C770" s="12" t="str">
        <x:v>工作日</x:v>
      </x:c>
      <x:c r="D770" s="12" t="str">
        <x:v>环线1路</x:v>
      </x:c>
      <x:c r="E770" s="12" t="str">
        <x:v>第四班（夜1）</x:v>
      </x:c>
      <x:c r="F770" s="12" t="n">
        <x:v>6</x:v>
      </x:c>
      <x:c r="G770" s="12" t="str">
        <x:v>18:15</x:v>
      </x:c>
      <x:c r="H770" s="12" t="n">
        <x:v>1095</x:v>
      </x:c>
      <x:c r="I770" s="12" t="str">
        <x:v>研究生宿舍楼</x:v>
      </x:c>
      <x:c r="J770" s="12" t="str">
        <x:v>研究生宿舍楼发车</x:v>
      </x:c>
      <x:c r="K770" s="12" t="str">
        <x:v>HX1_NORMAL</x:v>
      </x:c>
      <x:c r="L770" s="12" t="n">
        <x:v>12</x:v>
      </x:c>
      <x:c r="M770" s="12" t="str">
        <x:v>HX1_NORMAL|12</x:v>
      </x:c>
      <x:c r="N770" s="12" t="str">
        <x:v>305教学楼</x:v>
      </x:c>
      <x:c r="O770" s="12" t="n">
        <x:f>IFERROR(INDEX('秒级路线参数_可调整'!$O:$O,MATCH(M770,'秒级路线参数_可调整'!$A:$A,0)),"")</x:f>
        <x:v>0</x:v>
      </x:c>
      <x:c r="P770" s="12" t="str">
        <x:f>IF(O770="","",O770/86400)</x:f>
      </x:c>
      <x:c r="Q770" s="12" t="str">
        <x:f>IF(O770="","",(H770*60+O770)/86400)</x:f>
      </x:c>
      <x:c r="R770" s="12" t="str">
        <x:f>IF(Q770="","",TEXT(Q770,"hh:mm:ss"))</x:f>
      </x:c>
      <x:c r="S770" s="12" t="str">
        <x:v>否</x:v>
      </x:c>
      <x:c r="T770" s="12" t="str">
        <x:v>否</x:v>
      </x:c>
      <x:c r="U770" s="12" t="str">
        <x:v>未提供</x:v>
      </x:c>
      <x:c r="V770" s="12" t="str">
        <x:v>未提供</x:v>
      </x:c>
      <x:c r="W770" s="12" t="str">
        <x:v>秒级预测</x:v>
      </x:c>
      <x:c r="X770" s="12" t="str">
        <x:v>基于路线秒级参数；如录入实测或手动采用秒，预计到达时间可随公式更新</x:v>
      </x:c>
    </x:row>
    <x:row r="771">
      <x:c r="A771" s="12" t="str">
        <x:v>S0062-13</x:v>
      </x:c>
      <x:c r="B771" s="12" t="str">
        <x:v>S0062</x:v>
      </x:c>
      <x:c r="C771" s="12" t="str">
        <x:v>工作日</x:v>
      </x:c>
      <x:c r="D771" s="12" t="str">
        <x:v>环线1路</x:v>
      </x:c>
      <x:c r="E771" s="12" t="str">
        <x:v>第四班（夜1）</x:v>
      </x:c>
      <x:c r="F771" s="12" t="n">
        <x:v>6</x:v>
      </x:c>
      <x:c r="G771" s="12" t="str">
        <x:v>18:15</x:v>
      </x:c>
      <x:c r="H771" s="12" t="n">
        <x:v>1095</x:v>
      </x:c>
      <x:c r="I771" s="12" t="str">
        <x:v>研究生宿舍楼</x:v>
      </x:c>
      <x:c r="J771" s="12" t="str">
        <x:v>研究生宿舍楼发车</x:v>
      </x:c>
      <x:c r="K771" s="12" t="str">
        <x:v>HX1_NORMAL</x:v>
      </x:c>
      <x:c r="L771" s="12" t="n">
        <x:v>13</x:v>
      </x:c>
      <x:c r="M771" s="12" t="str">
        <x:v>HX1_NORMAL|13</x:v>
      </x:c>
      <x:c r="N771" s="12" t="str">
        <x:v>研究生宿舍楼</x:v>
      </x:c>
      <x:c r="O771" s="12" t="n">
        <x:f>IFERROR(INDEX('秒级路线参数_可调整'!$O:$O,MATCH(M771,'秒级路线参数_可调整'!$A:$A,0)),"")</x:f>
        <x:v>0</x:v>
      </x:c>
      <x:c r="P771" s="12" t="str">
        <x:f>IF(O771="","",O771/86400)</x:f>
      </x:c>
      <x:c r="Q771" s="12" t="str">
        <x:f>IF(O771="","",(H771*60+O771)/86400)</x:f>
      </x:c>
      <x:c r="R771" s="12" t="str">
        <x:f>IF(Q771="","",TEXT(Q771,"hh:mm:ss"))</x:f>
      </x:c>
      <x:c r="S771" s="12" t="str">
        <x:v>否</x:v>
      </x:c>
      <x:c r="T771" s="12" t="str">
        <x:v>是</x:v>
      </x:c>
      <x:c r="U771" s="12" t="str">
        <x:v>未提供</x:v>
      </x:c>
      <x:c r="V771" s="12" t="str">
        <x:v>未提供</x:v>
      </x:c>
      <x:c r="W771" s="12" t="str">
        <x:v>秒级预测</x:v>
      </x:c>
      <x:c r="X771" s="12" t="str">
        <x:v>基于路线秒级参数；如录入实测或手动采用秒，预计到达时间可随公式更新</x:v>
      </x:c>
    </x:row>
    <x:row r="772">
      <x:c r="A772" s="12" t="str">
        <x:v>S0063-01</x:v>
      </x:c>
      <x:c r="B772" s="12" t="str">
        <x:v>S0063</x:v>
      </x:c>
      <x:c r="C772" s="12" t="str">
        <x:v>工作日</x:v>
      </x:c>
      <x:c r="D772" s="12" t="str">
        <x:v>环线1路</x:v>
      </x:c>
      <x:c r="E772" s="12" t="str">
        <x:v>第四班（夜1）</x:v>
      </x:c>
      <x:c r="F772" s="12" t="n">
        <x:v>7</x:v>
      </x:c>
      <x:c r="G772" s="12" t="str">
        <x:v>18:45</x:v>
      </x:c>
      <x:c r="H772" s="12" t="n">
        <x:v>1125</x:v>
      </x:c>
      <x:c r="I772" s="12" t="str">
        <x:v>研究生宿舍楼</x:v>
      </x:c>
      <x:c r="J772" s="12" t="str">
        <x:v>研究生宿舍楼发车</x:v>
      </x:c>
      <x:c r="K772" s="12" t="str">
        <x:v>HX1_NORMAL</x:v>
      </x:c>
      <x:c r="L772" s="12" t="n">
        <x:v>1</x:v>
      </x:c>
      <x:c r="M772" s="12" t="str">
        <x:v>HX1_NORMAL|1</x:v>
      </x:c>
      <x:c r="N772" s="12" t="str">
        <x:v>研究生宿舍楼</x:v>
      </x:c>
      <x:c r="O772" s="12" t="n">
        <x:f>IFERROR(INDEX('秒级路线参数_可调整'!$O:$O,MATCH(M772,'秒级路线参数_可调整'!$A:$A,0)),"")</x:f>
        <x:v>0</x:v>
      </x:c>
      <x:c r="P772" s="12" t="str">
        <x:f>IF(O772="","",O772/86400)</x:f>
      </x:c>
      <x:c r="Q772" s="12" t="str">
        <x:f>IF(O772="","",(H772*60+O772)/86400)</x:f>
      </x:c>
      <x:c r="R772" s="12" t="str">
        <x:f>IF(Q772="","",TEXT(Q772,"hh:mm:ss"))</x:f>
      </x:c>
      <x:c r="S772" s="12" t="str">
        <x:v>是</x:v>
      </x:c>
      <x:c r="T772" s="12" t="str">
        <x:v>否</x:v>
      </x:c>
      <x:c r="U772" s="12" t="str">
        <x:v>未提供</x:v>
      </x:c>
      <x:c r="V772" s="12" t="str">
        <x:v>未提供</x:v>
      </x:c>
      <x:c r="W772" s="12" t="str">
        <x:v>秒级预测</x:v>
      </x:c>
      <x:c r="X772" s="12" t="str">
        <x:v>基于路线秒级参数；如录入实测或手动采用秒，预计到达时间可随公式更新</x:v>
      </x:c>
    </x:row>
    <x:row r="773">
      <x:c r="A773" s="12" t="str">
        <x:v>S0063-02</x:v>
      </x:c>
      <x:c r="B773" s="12" t="str">
        <x:v>S0063</x:v>
      </x:c>
      <x:c r="C773" s="12" t="str">
        <x:v>工作日</x:v>
      </x:c>
      <x:c r="D773" s="12" t="str">
        <x:v>环线1路</x:v>
      </x:c>
      <x:c r="E773" s="12" t="str">
        <x:v>第四班（夜1）</x:v>
      </x:c>
      <x:c r="F773" s="12" t="n">
        <x:v>7</x:v>
      </x:c>
      <x:c r="G773" s="12" t="str">
        <x:v>18:45</x:v>
      </x:c>
      <x:c r="H773" s="12" t="n">
        <x:v>1125</x:v>
      </x:c>
      <x:c r="I773" s="12" t="str">
        <x:v>研究生宿舍楼</x:v>
      </x:c>
      <x:c r="J773" s="12" t="str">
        <x:v>研究生宿舍楼发车</x:v>
      </x:c>
      <x:c r="K773" s="12" t="str">
        <x:v>HX1_NORMAL</x:v>
      </x:c>
      <x:c r="L773" s="12" t="n">
        <x:v>2</x:v>
      </x:c>
      <x:c r="M773" s="12" t="str">
        <x:v>HX1_NORMAL|2</x:v>
      </x:c>
      <x:c r="N773" s="12" t="str">
        <x:v>东门</x:v>
      </x:c>
      <x:c r="O773" s="12" t="n">
        <x:f>IFERROR(INDEX('秒级路线参数_可调整'!$O:$O,MATCH(M773,'秒级路线参数_可调整'!$A:$A,0)),"")</x:f>
        <x:v>0</x:v>
      </x:c>
      <x:c r="P773" s="12" t="str">
        <x:f>IF(O773="","",O773/86400)</x:f>
      </x:c>
      <x:c r="Q773" s="12" t="str">
        <x:f>IF(O773="","",(H773*60+O773)/86400)</x:f>
      </x:c>
      <x:c r="R773" s="12" t="str">
        <x:f>IF(Q773="","",TEXT(Q773,"hh:mm:ss"))</x:f>
      </x:c>
      <x:c r="S773" s="12" t="str">
        <x:v>否</x:v>
      </x:c>
      <x:c r="T773" s="12" t="str">
        <x:v>否</x:v>
      </x:c>
      <x:c r="U773" s="12" t="str">
        <x:v>未提供</x:v>
      </x:c>
      <x:c r="V773" s="12" t="str">
        <x:v>未提供</x:v>
      </x:c>
      <x:c r="W773" s="12" t="str">
        <x:v>秒级预测</x:v>
      </x:c>
      <x:c r="X773" s="12" t="str">
        <x:v>基于路线秒级参数；如录入实测或手动采用秒，预计到达时间可随公式更新</x:v>
      </x:c>
    </x:row>
    <x:row r="774">
      <x:c r="A774" s="12" t="str">
        <x:v>S0063-03</x:v>
      </x:c>
      <x:c r="B774" s="12" t="str">
        <x:v>S0063</x:v>
      </x:c>
      <x:c r="C774" s="12" t="str">
        <x:v>工作日</x:v>
      </x:c>
      <x:c r="D774" s="12" t="str">
        <x:v>环线1路</x:v>
      </x:c>
      <x:c r="E774" s="12" t="str">
        <x:v>第四班（夜1）</x:v>
      </x:c>
      <x:c r="F774" s="12" t="n">
        <x:v>7</x:v>
      </x:c>
      <x:c r="G774" s="12" t="str">
        <x:v>18:45</x:v>
      </x:c>
      <x:c r="H774" s="12" t="n">
        <x:v>1125</x:v>
      </x:c>
      <x:c r="I774" s="12" t="str">
        <x:v>研究生宿舍楼</x:v>
      </x:c>
      <x:c r="J774" s="12" t="str">
        <x:v>研究生宿舍楼发车</x:v>
      </x:c>
      <x:c r="K774" s="12" t="str">
        <x:v>HX1_NORMAL</x:v>
      </x:c>
      <x:c r="L774" s="12" t="n">
        <x:v>3</x:v>
      </x:c>
      <x:c r="M774" s="12" t="str">
        <x:v>HX1_NORMAL|3</x:v>
      </x:c>
      <x:c r="N774" s="12" t="str">
        <x:v>2号宿舍楼</x:v>
      </x:c>
      <x:c r="O774" s="12" t="n">
        <x:f>IFERROR(INDEX('秒级路线参数_可调整'!$O:$O,MATCH(M774,'秒级路线参数_可调整'!$A:$A,0)),"")</x:f>
        <x:v>0</x:v>
      </x:c>
      <x:c r="P774" s="12" t="str">
        <x:f>IF(O774="","",O774/86400)</x:f>
      </x:c>
      <x:c r="Q774" s="12" t="str">
        <x:f>IF(O774="","",(H774*60+O774)/86400)</x:f>
      </x:c>
      <x:c r="R774" s="12" t="str">
        <x:f>IF(Q774="","",TEXT(Q774,"hh:mm:ss"))</x:f>
      </x:c>
      <x:c r="S774" s="12" t="str">
        <x:v>否</x:v>
      </x:c>
      <x:c r="T774" s="12" t="str">
        <x:v>否</x:v>
      </x:c>
      <x:c r="U774" s="12" t="str">
        <x:v>未提供</x:v>
      </x:c>
      <x:c r="V774" s="12" t="str">
        <x:v>未提供</x:v>
      </x:c>
      <x:c r="W774" s="12" t="str">
        <x:v>秒级预测</x:v>
      </x:c>
      <x:c r="X774" s="12" t="str">
        <x:v>基于路线秒级参数；如录入实测或手动采用秒，预计到达时间可随公式更新</x:v>
      </x:c>
    </x:row>
    <x:row r="775">
      <x:c r="A775" s="12" t="str">
        <x:v>S0063-04</x:v>
      </x:c>
      <x:c r="B775" s="12" t="str">
        <x:v>S0063</x:v>
      </x:c>
      <x:c r="C775" s="12" t="str">
        <x:v>工作日</x:v>
      </x:c>
      <x:c r="D775" s="12" t="str">
        <x:v>环线1路</x:v>
      </x:c>
      <x:c r="E775" s="12" t="str">
        <x:v>第四班（夜1）</x:v>
      </x:c>
      <x:c r="F775" s="12" t="n">
        <x:v>7</x:v>
      </x:c>
      <x:c r="G775" s="12" t="str">
        <x:v>18:45</x:v>
      </x:c>
      <x:c r="H775" s="12" t="n">
        <x:v>1125</x:v>
      </x:c>
      <x:c r="I775" s="12" t="str">
        <x:v>研究生宿舍楼</x:v>
      </x:c>
      <x:c r="J775" s="12" t="str">
        <x:v>研究生宿舍楼发车</x:v>
      </x:c>
      <x:c r="K775" s="12" t="str">
        <x:v>HX1_NORMAL</x:v>
      </x:c>
      <x:c r="L775" s="12" t="n">
        <x:v>4</x:v>
      </x:c>
      <x:c r="M775" s="12" t="str">
        <x:v>HX1_NORMAL|4</x:v>
      </x:c>
      <x:c r="N775" s="12" t="str">
        <x:v>军体活动中心</x:v>
      </x:c>
      <x:c r="O775" s="12" t="n">
        <x:f>IFERROR(INDEX('秒级路线参数_可调整'!$O:$O,MATCH(M775,'秒级路线参数_可调整'!$A:$A,0)),"")</x:f>
        <x:v>0</x:v>
      </x:c>
      <x:c r="P775" s="12" t="str">
        <x:f>IF(O775="","",O775/86400)</x:f>
      </x:c>
      <x:c r="Q775" s="12" t="str">
        <x:f>IF(O775="","",(H775*60+O775)/86400)</x:f>
      </x:c>
      <x:c r="R775" s="12" t="str">
        <x:f>IF(Q775="","",TEXT(Q775,"hh:mm:ss"))</x:f>
      </x:c>
      <x:c r="S775" s="12" t="str">
        <x:v>否</x:v>
      </x:c>
      <x:c r="T775" s="12" t="str">
        <x:v>否</x:v>
      </x:c>
      <x:c r="U775" s="12" t="str">
        <x:v>未提供</x:v>
      </x:c>
      <x:c r="V775" s="12" t="str">
        <x:v>未提供</x:v>
      </x:c>
      <x:c r="W775" s="12" t="str">
        <x:v>秒级预测</x:v>
      </x:c>
      <x:c r="X775" s="12" t="str">
        <x:v>基于路线秒级参数；如录入实测或手动采用秒，预计到达时间可随公式更新</x:v>
      </x:c>
    </x:row>
    <x:row r="776">
      <x:c r="A776" s="12" t="str">
        <x:v>S0063-05</x:v>
      </x:c>
      <x:c r="B776" s="12" t="str">
        <x:v>S0063</x:v>
      </x:c>
      <x:c r="C776" s="12" t="str">
        <x:v>工作日</x:v>
      </x:c>
      <x:c r="D776" s="12" t="str">
        <x:v>环线1路</x:v>
      </x:c>
      <x:c r="E776" s="12" t="str">
        <x:v>第四班（夜1）</x:v>
      </x:c>
      <x:c r="F776" s="12" t="n">
        <x:v>7</x:v>
      </x:c>
      <x:c r="G776" s="12" t="str">
        <x:v>18:45</x:v>
      </x:c>
      <x:c r="H776" s="12" t="n">
        <x:v>1125</x:v>
      </x:c>
      <x:c r="I776" s="12" t="str">
        <x:v>研究生宿舍楼</x:v>
      </x:c>
      <x:c r="J776" s="12" t="str">
        <x:v>研究生宿舍楼发车</x:v>
      </x:c>
      <x:c r="K776" s="12" t="str">
        <x:v>HX1_NORMAL</x:v>
      </x:c>
      <x:c r="L776" s="12" t="n">
        <x:v>5</x:v>
      </x:c>
      <x:c r="M776" s="12" t="str">
        <x:v>HX1_NORMAL|5</x:v>
      </x:c>
      <x:c r="N776" s="12" t="str">
        <x:v>激光所</x:v>
      </x:c>
      <x:c r="O776" s="12" t="n">
        <x:f>IFERROR(INDEX('秒级路线参数_可调整'!$O:$O,MATCH(M776,'秒级路线参数_可调整'!$A:$A,0)),"")</x:f>
        <x:v>0</x:v>
      </x:c>
      <x:c r="P776" s="12" t="str">
        <x:f>IF(O776="","",O776/86400)</x:f>
      </x:c>
      <x:c r="Q776" s="12" t="str">
        <x:f>IF(O776="","",(H776*60+O776)/86400)</x:f>
      </x:c>
      <x:c r="R776" s="12" t="str">
        <x:f>IF(Q776="","",TEXT(Q776,"hh:mm:ss"))</x:f>
      </x:c>
      <x:c r="S776" s="12" t="str">
        <x:v>否</x:v>
      </x:c>
      <x:c r="T776" s="12" t="str">
        <x:v>否</x:v>
      </x:c>
      <x:c r="U776" s="12" t="str">
        <x:v>未提供</x:v>
      </x:c>
      <x:c r="V776" s="12" t="str">
        <x:v>未提供</x:v>
      </x:c>
      <x:c r="W776" s="12" t="str">
        <x:v>秒级预测</x:v>
      </x:c>
      <x:c r="X776" s="12" t="str">
        <x:v>基于路线秒级参数；如录入实测或手动采用秒，预计到达时间可随公式更新</x:v>
      </x:c>
    </x:row>
    <x:row r="777">
      <x:c r="A777" s="12" t="str">
        <x:v>S0063-06</x:v>
      </x:c>
      <x:c r="B777" s="12" t="str">
        <x:v>S0063</x:v>
      </x:c>
      <x:c r="C777" s="12" t="str">
        <x:v>工作日</x:v>
      </x:c>
      <x:c r="D777" s="12" t="str">
        <x:v>环线1路</x:v>
      </x:c>
      <x:c r="E777" s="12" t="str">
        <x:v>第四班（夜1）</x:v>
      </x:c>
      <x:c r="F777" s="12" t="n">
        <x:v>7</x:v>
      </x:c>
      <x:c r="G777" s="12" t="str">
        <x:v>18:45</x:v>
      </x:c>
      <x:c r="H777" s="12" t="n">
        <x:v>1125</x:v>
      </x:c>
      <x:c r="I777" s="12" t="str">
        <x:v>研究生宿舍楼</x:v>
      </x:c>
      <x:c r="J777" s="12" t="str">
        <x:v>研究生宿舍楼发车</x:v>
      </x:c>
      <x:c r="K777" s="12" t="str">
        <x:v>HX1_NORMAL</x:v>
      </x:c>
      <x:c r="L777" s="12" t="n">
        <x:v>6</x:v>
      </x:c>
      <x:c r="M777" s="12" t="str">
        <x:v>HX1_NORMAL|6</x:v>
      </x:c>
      <x:c r="N777" s="12" t="str">
        <x:v>超算中心</x:v>
      </x:c>
      <x:c r="O777" s="12" t="n">
        <x:f>IFERROR(INDEX('秒级路线参数_可调整'!$O:$O,MATCH(M777,'秒级路线参数_可调整'!$A:$A,0)),"")</x:f>
        <x:v>0</x:v>
      </x:c>
      <x:c r="P777" s="12" t="str">
        <x:f>IF(O777="","",O777/86400)</x:f>
      </x:c>
      <x:c r="Q777" s="12" t="str">
        <x:f>IF(O777="","",(H777*60+O777)/86400)</x:f>
      </x:c>
      <x:c r="R777" s="12" t="str">
        <x:f>IF(Q777="","",TEXT(Q777,"hh:mm:ss"))</x:f>
      </x:c>
      <x:c r="S777" s="12" t="str">
        <x:v>否</x:v>
      </x:c>
      <x:c r="T777" s="12" t="str">
        <x:v>否</x:v>
      </x:c>
      <x:c r="U777" s="12" t="str">
        <x:v>未提供</x:v>
      </x:c>
      <x:c r="V777" s="12" t="str">
        <x:v>未提供</x:v>
      </x:c>
      <x:c r="W777" s="12" t="str">
        <x:v>秒级预测</x:v>
      </x:c>
      <x:c r="X777" s="12" t="str">
        <x:v>基于路线秒级参数；如录入实测或手动采用秒，预计到达时间可随公式更新</x:v>
      </x:c>
    </x:row>
    <x:row r="778">
      <x:c r="A778" s="12" t="str">
        <x:v>S0063-07</x:v>
      </x:c>
      <x:c r="B778" s="12" t="str">
        <x:v>S0063</x:v>
      </x:c>
      <x:c r="C778" s="12" t="str">
        <x:v>工作日</x:v>
      </x:c>
      <x:c r="D778" s="12" t="str">
        <x:v>环线1路</x:v>
      </x:c>
      <x:c r="E778" s="12" t="str">
        <x:v>第四班（夜1）</x:v>
      </x:c>
      <x:c r="F778" s="12" t="n">
        <x:v>7</x:v>
      </x:c>
      <x:c r="G778" s="12" t="str">
        <x:v>18:45</x:v>
      </x:c>
      <x:c r="H778" s="12" t="n">
        <x:v>1125</x:v>
      </x:c>
      <x:c r="I778" s="12" t="str">
        <x:v>研究生宿舍楼</x:v>
      </x:c>
      <x:c r="J778" s="12" t="str">
        <x:v>研究生宿舍楼发车</x:v>
      </x:c>
      <x:c r="K778" s="12" t="str">
        <x:v>HX1_NORMAL</x:v>
      </x:c>
      <x:c r="L778" s="12" t="n">
        <x:v>7</x:v>
      </x:c>
      <x:c r="M778" s="12" t="str">
        <x:v>HX1_NORMAL|7</x:v>
      </x:c>
      <x:c r="N778" s="12" t="str">
        <x:v>北门</x:v>
      </x:c>
      <x:c r="O778" s="12" t="n">
        <x:f>IFERROR(INDEX('秒级路线参数_可调整'!$O:$O,MATCH(M778,'秒级路线参数_可调整'!$A:$A,0)),"")</x:f>
        <x:v>0</x:v>
      </x:c>
      <x:c r="P778" s="12" t="str">
        <x:f>IF(O778="","",O778/86400)</x:f>
      </x:c>
      <x:c r="Q778" s="12" t="str">
        <x:f>IF(O778="","",(H778*60+O778)/86400)</x:f>
      </x:c>
      <x:c r="R778" s="12" t="str">
        <x:f>IF(Q778="","",TEXT(Q778,"hh:mm:ss"))</x:f>
      </x:c>
      <x:c r="S778" s="12" t="str">
        <x:v>否</x:v>
      </x:c>
      <x:c r="T778" s="12" t="str">
        <x:v>否</x:v>
      </x:c>
      <x:c r="U778" s="12" t="str">
        <x:v>未提供</x:v>
      </x:c>
      <x:c r="V778" s="12" t="str">
        <x:v>未提供</x:v>
      </x:c>
      <x:c r="W778" s="12" t="str">
        <x:v>秒级预测</x:v>
      </x:c>
      <x:c r="X778" s="12" t="str">
        <x:v>基于路线秒级参数；如录入实测或手动采用秒，预计到达时间可随公式更新</x:v>
      </x:c>
    </x:row>
    <x:row r="779">
      <x:c r="A779" s="12" t="str">
        <x:v>S0063-08</x:v>
      </x:c>
      <x:c r="B779" s="12" t="str">
        <x:v>S0063</x:v>
      </x:c>
      <x:c r="C779" s="12" t="str">
        <x:v>工作日</x:v>
      </x:c>
      <x:c r="D779" s="12" t="str">
        <x:v>环线1路</x:v>
      </x:c>
      <x:c r="E779" s="12" t="str">
        <x:v>第四班（夜1）</x:v>
      </x:c>
      <x:c r="F779" s="12" t="n">
        <x:v>7</x:v>
      </x:c>
      <x:c r="G779" s="12" t="str">
        <x:v>18:45</x:v>
      </x:c>
      <x:c r="H779" s="12" t="n">
        <x:v>1125</x:v>
      </x:c>
      <x:c r="I779" s="12" t="str">
        <x:v>研究生宿舍楼</x:v>
      </x:c>
      <x:c r="J779" s="12" t="str">
        <x:v>研究生宿舍楼发车</x:v>
      </x:c>
      <x:c r="K779" s="12" t="str">
        <x:v>HX1_NORMAL</x:v>
      </x:c>
      <x:c r="L779" s="12" t="n">
        <x:v>8</x:v>
      </x:c>
      <x:c r="M779" s="12" t="str">
        <x:v>HX1_NORMAL|8</x:v>
      </x:c>
      <x:c r="N779" s="12" t="str">
        <x:v>高超楼</x:v>
      </x:c>
      <x:c r="O779" s="12" t="n">
        <x:f>IFERROR(INDEX('秒级路线参数_可调整'!$O:$O,MATCH(M779,'秒级路线参数_可调整'!$A:$A,0)),"")</x:f>
        <x:v>0</x:v>
      </x:c>
      <x:c r="P779" s="12" t="str">
        <x:f>IF(O779="","",O779/86400)</x:f>
      </x:c>
      <x:c r="Q779" s="12" t="str">
        <x:f>IF(O779="","",(H779*60+O779)/86400)</x:f>
      </x:c>
      <x:c r="R779" s="12" t="str">
        <x:f>IF(Q779="","",TEXT(Q779,"hh:mm:ss"))</x:f>
      </x:c>
      <x:c r="S779" s="12" t="str">
        <x:v>否</x:v>
      </x:c>
      <x:c r="T779" s="12" t="str">
        <x:v>否</x:v>
      </x:c>
      <x:c r="U779" s="12" t="str">
        <x:v>未提供</x:v>
      </x:c>
      <x:c r="V779" s="12" t="str">
        <x:v>未提供</x:v>
      </x:c>
      <x:c r="W779" s="12" t="str">
        <x:v>秒级预测</x:v>
      </x:c>
      <x:c r="X779" s="12" t="str">
        <x:v>基于路线秒级参数；如录入实测或手动采用秒，预计到达时间可随公式更新</x:v>
      </x:c>
    </x:row>
    <x:row r="780">
      <x:c r="A780" s="12" t="str">
        <x:v>S0063-09</x:v>
      </x:c>
      <x:c r="B780" s="12" t="str">
        <x:v>S0063</x:v>
      </x:c>
      <x:c r="C780" s="12" t="str">
        <x:v>工作日</x:v>
      </x:c>
      <x:c r="D780" s="12" t="str">
        <x:v>环线1路</x:v>
      </x:c>
      <x:c r="E780" s="12" t="str">
        <x:v>第四班（夜1）</x:v>
      </x:c>
      <x:c r="F780" s="12" t="n">
        <x:v>7</x:v>
      </x:c>
      <x:c r="G780" s="12" t="str">
        <x:v>18:45</x:v>
      </x:c>
      <x:c r="H780" s="12" t="n">
        <x:v>1125</x:v>
      </x:c>
      <x:c r="I780" s="12" t="str">
        <x:v>研究生宿舍楼</x:v>
      </x:c>
      <x:c r="J780" s="12" t="str">
        <x:v>研究生宿舍楼发车</x:v>
      </x:c>
      <x:c r="K780" s="12" t="str">
        <x:v>HX1_NORMAL</x:v>
      </x:c>
      <x:c r="L780" s="12" t="n">
        <x:v>9</x:v>
      </x:c>
      <x:c r="M780" s="12" t="str">
        <x:v>HX1_NORMAL|9</x:v>
      </x:c>
      <x:c r="N780" s="12" t="str">
        <x:v>理学院</x:v>
      </x:c>
      <x:c r="O780" s="12" t="n">
        <x:f>IFERROR(INDEX('秒级路线参数_可调整'!$O:$O,MATCH(M780,'秒级路线参数_可调整'!$A:$A,0)),"")</x:f>
        <x:v>0</x:v>
      </x:c>
      <x:c r="P780" s="12" t="str">
        <x:f>IF(O780="","",O780/86400)</x:f>
      </x:c>
      <x:c r="Q780" s="12" t="str">
        <x:f>IF(O780="","",(H780*60+O780)/86400)</x:f>
      </x:c>
      <x:c r="R780" s="12" t="str">
        <x:f>IF(Q780="","",TEXT(Q780,"hh:mm:ss"))</x:f>
      </x:c>
      <x:c r="S780" s="12" t="str">
        <x:v>否</x:v>
      </x:c>
      <x:c r="T780" s="12" t="str">
        <x:v>否</x:v>
      </x:c>
      <x:c r="U780" s="12" t="str">
        <x:v>未提供</x:v>
      </x:c>
      <x:c r="V780" s="12" t="str">
        <x:v>未提供</x:v>
      </x:c>
      <x:c r="W780" s="12" t="str">
        <x:v>秒级预测</x:v>
      </x:c>
      <x:c r="X780" s="12" t="str">
        <x:v>基于路线秒级参数；如录入实测或手动采用秒，预计到达时间可随公式更新</x:v>
      </x:c>
    </x:row>
    <x:row r="781">
      <x:c r="A781" s="12" t="str">
        <x:v>S0063-10</x:v>
      </x:c>
      <x:c r="B781" s="12" t="str">
        <x:v>S0063</x:v>
      </x:c>
      <x:c r="C781" s="12" t="str">
        <x:v>工作日</x:v>
      </x:c>
      <x:c r="D781" s="12" t="str">
        <x:v>环线1路</x:v>
      </x:c>
      <x:c r="E781" s="12" t="str">
        <x:v>第四班（夜1）</x:v>
      </x:c>
      <x:c r="F781" s="12" t="n">
        <x:v>7</x:v>
      </x:c>
      <x:c r="G781" s="12" t="str">
        <x:v>18:45</x:v>
      </x:c>
      <x:c r="H781" s="12" t="n">
        <x:v>1125</x:v>
      </x:c>
      <x:c r="I781" s="12" t="str">
        <x:v>研究生宿舍楼</x:v>
      </x:c>
      <x:c r="J781" s="12" t="str">
        <x:v>研究生宿舍楼发车</x:v>
      </x:c>
      <x:c r="K781" s="12" t="str">
        <x:v>HX1_NORMAL</x:v>
      </x:c>
      <x:c r="L781" s="12" t="n">
        <x:v>10</x:v>
      </x:c>
      <x:c r="M781" s="12" t="str">
        <x:v>HX1_NORMAL|10</x:v>
      </x:c>
      <x:c r="N781" s="12" t="str">
        <x:v>二食堂</x:v>
      </x:c>
      <x:c r="O781" s="12" t="n">
        <x:f>IFERROR(INDEX('秒级路线参数_可调整'!$O:$O,MATCH(M781,'秒级路线参数_可调整'!$A:$A,0)),"")</x:f>
        <x:v>0</x:v>
      </x:c>
      <x:c r="P781" s="12" t="str">
        <x:f>IF(O781="","",O781/86400)</x:f>
      </x:c>
      <x:c r="Q781" s="12" t="str">
        <x:f>IF(O781="","",(H781*60+O781)/86400)</x:f>
      </x:c>
      <x:c r="R781" s="12" t="str">
        <x:f>IF(Q781="","",TEXT(Q781,"hh:mm:ss"))</x:f>
      </x:c>
      <x:c r="S781" s="12" t="str">
        <x:v>否</x:v>
      </x:c>
      <x:c r="T781" s="12" t="str">
        <x:v>否</x:v>
      </x:c>
      <x:c r="U781" s="12" t="str">
        <x:v>未提供</x:v>
      </x:c>
      <x:c r="V781" s="12" t="str">
        <x:v>未提供</x:v>
      </x:c>
      <x:c r="W781" s="12" t="str">
        <x:v>秒级预测</x:v>
      </x:c>
      <x:c r="X781" s="12" t="str">
        <x:v>基于路线秒级参数；如录入实测或手动采用秒，预计到达时间可随公式更新</x:v>
      </x:c>
    </x:row>
    <x:row r="782">
      <x:c r="A782" s="12" t="str">
        <x:v>S0063-11</x:v>
      </x:c>
      <x:c r="B782" s="12" t="str">
        <x:v>S0063</x:v>
      </x:c>
      <x:c r="C782" s="12" t="str">
        <x:v>工作日</x:v>
      </x:c>
      <x:c r="D782" s="12" t="str">
        <x:v>环线1路</x:v>
      </x:c>
      <x:c r="E782" s="12" t="str">
        <x:v>第四班（夜1）</x:v>
      </x:c>
      <x:c r="F782" s="12" t="n">
        <x:v>7</x:v>
      </x:c>
      <x:c r="G782" s="12" t="str">
        <x:v>18:45</x:v>
      </x:c>
      <x:c r="H782" s="12" t="n">
        <x:v>1125</x:v>
      </x:c>
      <x:c r="I782" s="12" t="str">
        <x:v>研究生宿舍楼</x:v>
      </x:c>
      <x:c r="J782" s="12" t="str">
        <x:v>研究生宿舍楼发车</x:v>
      </x:c>
      <x:c r="K782" s="12" t="str">
        <x:v>HX1_NORMAL</x:v>
      </x:c>
      <x:c r="L782" s="12" t="n">
        <x:v>11</x:v>
      </x:c>
      <x:c r="M782" s="12" t="str">
        <x:v>HX1_NORMAL|11</x:v>
      </x:c>
      <x:c r="N782" s="12" t="str">
        <x:v>5号宿舍楼</x:v>
      </x:c>
      <x:c r="O782" s="12" t="n">
        <x:f>IFERROR(INDEX('秒级路线参数_可调整'!$O:$O,MATCH(M782,'秒级路线参数_可调整'!$A:$A,0)),"")</x:f>
        <x:v>0</x:v>
      </x:c>
      <x:c r="P782" s="12" t="str">
        <x:f>IF(O782="","",O782/86400)</x:f>
      </x:c>
      <x:c r="Q782" s="12" t="str">
        <x:f>IF(O782="","",(H782*60+O782)/86400)</x:f>
      </x:c>
      <x:c r="R782" s="12" t="str">
        <x:f>IF(Q782="","",TEXT(Q782,"hh:mm:ss"))</x:f>
      </x:c>
      <x:c r="S782" s="12" t="str">
        <x:v>否</x:v>
      </x:c>
      <x:c r="T782" s="12" t="str">
        <x:v>否</x:v>
      </x:c>
      <x:c r="U782" s="12" t="str">
        <x:v>未提供</x:v>
      </x:c>
      <x:c r="V782" s="12" t="str">
        <x:v>未提供</x:v>
      </x:c>
      <x:c r="W782" s="12" t="str">
        <x:v>秒级预测</x:v>
      </x:c>
      <x:c r="X782" s="12" t="str">
        <x:v>基于路线秒级参数；如录入实测或手动采用秒，预计到达时间可随公式更新</x:v>
      </x:c>
    </x:row>
    <x:row r="783">
      <x:c r="A783" s="12" t="str">
        <x:v>S0063-12</x:v>
      </x:c>
      <x:c r="B783" s="12" t="str">
        <x:v>S0063</x:v>
      </x:c>
      <x:c r="C783" s="12" t="str">
        <x:v>工作日</x:v>
      </x:c>
      <x:c r="D783" s="12" t="str">
        <x:v>环线1路</x:v>
      </x:c>
      <x:c r="E783" s="12" t="str">
        <x:v>第四班（夜1）</x:v>
      </x:c>
      <x:c r="F783" s="12" t="n">
        <x:v>7</x:v>
      </x:c>
      <x:c r="G783" s="12" t="str">
        <x:v>18:45</x:v>
      </x:c>
      <x:c r="H783" s="12" t="n">
        <x:v>1125</x:v>
      </x:c>
      <x:c r="I783" s="12" t="str">
        <x:v>研究生宿舍楼</x:v>
      </x:c>
      <x:c r="J783" s="12" t="str">
        <x:v>研究生宿舍楼发车</x:v>
      </x:c>
      <x:c r="K783" s="12" t="str">
        <x:v>HX1_NORMAL</x:v>
      </x:c>
      <x:c r="L783" s="12" t="n">
        <x:v>12</x:v>
      </x:c>
      <x:c r="M783" s="12" t="str">
        <x:v>HX1_NORMAL|12</x:v>
      </x:c>
      <x:c r="N783" s="12" t="str">
        <x:v>305教学楼</x:v>
      </x:c>
      <x:c r="O783" s="12" t="n">
        <x:f>IFERROR(INDEX('秒级路线参数_可调整'!$O:$O,MATCH(M783,'秒级路线参数_可调整'!$A:$A,0)),"")</x:f>
        <x:v>0</x:v>
      </x:c>
      <x:c r="P783" s="12" t="str">
        <x:f>IF(O783="","",O783/86400)</x:f>
      </x:c>
      <x:c r="Q783" s="12" t="str">
        <x:f>IF(O783="","",(H783*60+O783)/86400)</x:f>
      </x:c>
      <x:c r="R783" s="12" t="str">
        <x:f>IF(Q783="","",TEXT(Q783,"hh:mm:ss"))</x:f>
      </x:c>
      <x:c r="S783" s="12" t="str">
        <x:v>否</x:v>
      </x:c>
      <x:c r="T783" s="12" t="str">
        <x:v>否</x:v>
      </x:c>
      <x:c r="U783" s="12" t="str">
        <x:v>未提供</x:v>
      </x:c>
      <x:c r="V783" s="12" t="str">
        <x:v>未提供</x:v>
      </x:c>
      <x:c r="W783" s="12" t="str">
        <x:v>秒级预测</x:v>
      </x:c>
      <x:c r="X783" s="12" t="str">
        <x:v>基于路线秒级参数；如录入实测或手动采用秒，预计到达时间可随公式更新</x:v>
      </x:c>
    </x:row>
    <x:row r="784">
      <x:c r="A784" s="12" t="str">
        <x:v>S0063-13</x:v>
      </x:c>
      <x:c r="B784" s="12" t="str">
        <x:v>S0063</x:v>
      </x:c>
      <x:c r="C784" s="12" t="str">
        <x:v>工作日</x:v>
      </x:c>
      <x:c r="D784" s="12" t="str">
        <x:v>环线1路</x:v>
      </x:c>
      <x:c r="E784" s="12" t="str">
        <x:v>第四班（夜1）</x:v>
      </x:c>
      <x:c r="F784" s="12" t="n">
        <x:v>7</x:v>
      </x:c>
      <x:c r="G784" s="12" t="str">
        <x:v>18:45</x:v>
      </x:c>
      <x:c r="H784" s="12" t="n">
        <x:v>1125</x:v>
      </x:c>
      <x:c r="I784" s="12" t="str">
        <x:v>研究生宿舍楼</x:v>
      </x:c>
      <x:c r="J784" s="12" t="str">
        <x:v>研究生宿舍楼发车</x:v>
      </x:c>
      <x:c r="K784" s="12" t="str">
        <x:v>HX1_NORMAL</x:v>
      </x:c>
      <x:c r="L784" s="12" t="n">
        <x:v>13</x:v>
      </x:c>
      <x:c r="M784" s="12" t="str">
        <x:v>HX1_NORMAL|13</x:v>
      </x:c>
      <x:c r="N784" s="12" t="str">
        <x:v>研究生宿舍楼</x:v>
      </x:c>
      <x:c r="O784" s="12" t="n">
        <x:f>IFERROR(INDEX('秒级路线参数_可调整'!$O:$O,MATCH(M784,'秒级路线参数_可调整'!$A:$A,0)),"")</x:f>
        <x:v>0</x:v>
      </x:c>
      <x:c r="P784" s="12" t="str">
        <x:f>IF(O784="","",O784/86400)</x:f>
      </x:c>
      <x:c r="Q784" s="12" t="str">
        <x:f>IF(O784="","",(H784*60+O784)/86400)</x:f>
      </x:c>
      <x:c r="R784" s="12" t="str">
        <x:f>IF(Q784="","",TEXT(Q784,"hh:mm:ss"))</x:f>
      </x:c>
      <x:c r="S784" s="12" t="str">
        <x:v>否</x:v>
      </x:c>
      <x:c r="T784" s="12" t="str">
        <x:v>是</x:v>
      </x:c>
      <x:c r="U784" s="12" t="str">
        <x:v>未提供</x:v>
      </x:c>
      <x:c r="V784" s="12" t="str">
        <x:v>未提供</x:v>
      </x:c>
      <x:c r="W784" s="12" t="str">
        <x:v>秒级预测</x:v>
      </x:c>
      <x:c r="X784" s="12" t="str">
        <x:v>基于路线秒级参数；如录入实测或手动采用秒，预计到达时间可随公式更新</x:v>
      </x:c>
    </x:row>
    <x:row r="785">
      <x:c r="A785" s="12" t="str">
        <x:v>S0064-01</x:v>
      </x:c>
      <x:c r="B785" s="12" t="str">
        <x:v>S0064</x:v>
      </x:c>
      <x:c r="C785" s="12" t="str">
        <x:v>工作日</x:v>
      </x:c>
      <x:c r="D785" s="12" t="str">
        <x:v>环线1路</x:v>
      </x:c>
      <x:c r="E785" s="12" t="str">
        <x:v>第四班（夜1）</x:v>
      </x:c>
      <x:c r="F785" s="12" t="n">
        <x:v>8</x:v>
      </x:c>
      <x:c r="G785" s="12" t="str">
        <x:v>19:15</x:v>
      </x:c>
      <x:c r="H785" s="12" t="n">
        <x:v>1155</x:v>
      </x:c>
      <x:c r="I785" s="12" t="str">
        <x:v>研究生宿舍楼</x:v>
      </x:c>
      <x:c r="J785" s="12" t="str">
        <x:v>研究生宿舍楼发车</x:v>
      </x:c>
      <x:c r="K785" s="12" t="str">
        <x:v>HX1_NORMAL</x:v>
      </x:c>
      <x:c r="L785" s="12" t="n">
        <x:v>1</x:v>
      </x:c>
      <x:c r="M785" s="12" t="str">
        <x:v>HX1_NORMAL|1</x:v>
      </x:c>
      <x:c r="N785" s="12" t="str">
        <x:v>研究生宿舍楼</x:v>
      </x:c>
      <x:c r="O785" s="12" t="n">
        <x:f>IFERROR(INDEX('秒级路线参数_可调整'!$O:$O,MATCH(M785,'秒级路线参数_可调整'!$A:$A,0)),"")</x:f>
        <x:v>0</x:v>
      </x:c>
      <x:c r="P785" s="12" t="str">
        <x:f>IF(O785="","",O785/86400)</x:f>
      </x:c>
      <x:c r="Q785" s="12" t="str">
        <x:f>IF(O785="","",(H785*60+O785)/86400)</x:f>
      </x:c>
      <x:c r="R785" s="12" t="str">
        <x:f>IF(Q785="","",TEXT(Q785,"hh:mm:ss"))</x:f>
      </x:c>
      <x:c r="S785" s="12" t="str">
        <x:v>是</x:v>
      </x:c>
      <x:c r="T785" s="12" t="str">
        <x:v>否</x:v>
      </x:c>
      <x:c r="U785" s="12" t="str">
        <x:v>未提供</x:v>
      </x:c>
      <x:c r="V785" s="12" t="str">
        <x:v>未提供</x:v>
      </x:c>
      <x:c r="W785" s="12" t="str">
        <x:v>秒级预测</x:v>
      </x:c>
      <x:c r="X785" s="12" t="str">
        <x:v>基于路线秒级参数；如录入实测或手动采用秒，预计到达时间可随公式更新</x:v>
      </x:c>
    </x:row>
    <x:row r="786">
      <x:c r="A786" s="12" t="str">
        <x:v>S0064-02</x:v>
      </x:c>
      <x:c r="B786" s="12" t="str">
        <x:v>S0064</x:v>
      </x:c>
      <x:c r="C786" s="12" t="str">
        <x:v>工作日</x:v>
      </x:c>
      <x:c r="D786" s="12" t="str">
        <x:v>环线1路</x:v>
      </x:c>
      <x:c r="E786" s="12" t="str">
        <x:v>第四班（夜1）</x:v>
      </x:c>
      <x:c r="F786" s="12" t="n">
        <x:v>8</x:v>
      </x:c>
      <x:c r="G786" s="12" t="str">
        <x:v>19:15</x:v>
      </x:c>
      <x:c r="H786" s="12" t="n">
        <x:v>1155</x:v>
      </x:c>
      <x:c r="I786" s="12" t="str">
        <x:v>研究生宿舍楼</x:v>
      </x:c>
      <x:c r="J786" s="12" t="str">
        <x:v>研究生宿舍楼发车</x:v>
      </x:c>
      <x:c r="K786" s="12" t="str">
        <x:v>HX1_NORMAL</x:v>
      </x:c>
      <x:c r="L786" s="12" t="n">
        <x:v>2</x:v>
      </x:c>
      <x:c r="M786" s="12" t="str">
        <x:v>HX1_NORMAL|2</x:v>
      </x:c>
      <x:c r="N786" s="12" t="str">
        <x:v>东门</x:v>
      </x:c>
      <x:c r="O786" s="12" t="n">
        <x:f>IFERROR(INDEX('秒级路线参数_可调整'!$O:$O,MATCH(M786,'秒级路线参数_可调整'!$A:$A,0)),"")</x:f>
        <x:v>0</x:v>
      </x:c>
      <x:c r="P786" s="12" t="str">
        <x:f>IF(O786="","",O786/86400)</x:f>
      </x:c>
      <x:c r="Q786" s="12" t="str">
        <x:f>IF(O786="","",(H786*60+O786)/86400)</x:f>
      </x:c>
      <x:c r="R786" s="12" t="str">
        <x:f>IF(Q786="","",TEXT(Q786,"hh:mm:ss"))</x:f>
      </x:c>
      <x:c r="S786" s="12" t="str">
        <x:v>否</x:v>
      </x:c>
      <x:c r="T786" s="12" t="str">
        <x:v>否</x:v>
      </x:c>
      <x:c r="U786" s="12" t="str">
        <x:v>未提供</x:v>
      </x:c>
      <x:c r="V786" s="12" t="str">
        <x:v>未提供</x:v>
      </x:c>
      <x:c r="W786" s="12" t="str">
        <x:v>秒级预测</x:v>
      </x:c>
      <x:c r="X786" s="12" t="str">
        <x:v>基于路线秒级参数；如录入实测或手动采用秒，预计到达时间可随公式更新</x:v>
      </x:c>
    </x:row>
    <x:row r="787">
      <x:c r="A787" s="12" t="str">
        <x:v>S0064-03</x:v>
      </x:c>
      <x:c r="B787" s="12" t="str">
        <x:v>S0064</x:v>
      </x:c>
      <x:c r="C787" s="12" t="str">
        <x:v>工作日</x:v>
      </x:c>
      <x:c r="D787" s="12" t="str">
        <x:v>环线1路</x:v>
      </x:c>
      <x:c r="E787" s="12" t="str">
        <x:v>第四班（夜1）</x:v>
      </x:c>
      <x:c r="F787" s="12" t="n">
        <x:v>8</x:v>
      </x:c>
      <x:c r="G787" s="12" t="str">
        <x:v>19:15</x:v>
      </x:c>
      <x:c r="H787" s="12" t="n">
        <x:v>1155</x:v>
      </x:c>
      <x:c r="I787" s="12" t="str">
        <x:v>研究生宿舍楼</x:v>
      </x:c>
      <x:c r="J787" s="12" t="str">
        <x:v>研究生宿舍楼发车</x:v>
      </x:c>
      <x:c r="K787" s="12" t="str">
        <x:v>HX1_NORMAL</x:v>
      </x:c>
      <x:c r="L787" s="12" t="n">
        <x:v>3</x:v>
      </x:c>
      <x:c r="M787" s="12" t="str">
        <x:v>HX1_NORMAL|3</x:v>
      </x:c>
      <x:c r="N787" s="12" t="str">
        <x:v>2号宿舍楼</x:v>
      </x:c>
      <x:c r="O787" s="12" t="n">
        <x:f>IFERROR(INDEX('秒级路线参数_可调整'!$O:$O,MATCH(M787,'秒级路线参数_可调整'!$A:$A,0)),"")</x:f>
        <x:v>0</x:v>
      </x:c>
      <x:c r="P787" s="12" t="str">
        <x:f>IF(O787="","",O787/86400)</x:f>
      </x:c>
      <x:c r="Q787" s="12" t="str">
        <x:f>IF(O787="","",(H787*60+O787)/86400)</x:f>
      </x:c>
      <x:c r="R787" s="12" t="str">
        <x:f>IF(Q787="","",TEXT(Q787,"hh:mm:ss"))</x:f>
      </x:c>
      <x:c r="S787" s="12" t="str">
        <x:v>否</x:v>
      </x:c>
      <x:c r="T787" s="12" t="str">
        <x:v>否</x:v>
      </x:c>
      <x:c r="U787" s="12" t="str">
        <x:v>未提供</x:v>
      </x:c>
      <x:c r="V787" s="12" t="str">
        <x:v>未提供</x:v>
      </x:c>
      <x:c r="W787" s="12" t="str">
        <x:v>秒级预测</x:v>
      </x:c>
      <x:c r="X787" s="12" t="str">
        <x:v>基于路线秒级参数；如录入实测或手动采用秒，预计到达时间可随公式更新</x:v>
      </x:c>
    </x:row>
    <x:row r="788">
      <x:c r="A788" s="12" t="str">
        <x:v>S0064-04</x:v>
      </x:c>
      <x:c r="B788" s="12" t="str">
        <x:v>S0064</x:v>
      </x:c>
      <x:c r="C788" s="12" t="str">
        <x:v>工作日</x:v>
      </x:c>
      <x:c r="D788" s="12" t="str">
        <x:v>环线1路</x:v>
      </x:c>
      <x:c r="E788" s="12" t="str">
        <x:v>第四班（夜1）</x:v>
      </x:c>
      <x:c r="F788" s="12" t="n">
        <x:v>8</x:v>
      </x:c>
      <x:c r="G788" s="12" t="str">
        <x:v>19:15</x:v>
      </x:c>
      <x:c r="H788" s="12" t="n">
        <x:v>1155</x:v>
      </x:c>
      <x:c r="I788" s="12" t="str">
        <x:v>研究生宿舍楼</x:v>
      </x:c>
      <x:c r="J788" s="12" t="str">
        <x:v>研究生宿舍楼发车</x:v>
      </x:c>
      <x:c r="K788" s="12" t="str">
        <x:v>HX1_NORMAL</x:v>
      </x:c>
      <x:c r="L788" s="12" t="n">
        <x:v>4</x:v>
      </x:c>
      <x:c r="M788" s="12" t="str">
        <x:v>HX1_NORMAL|4</x:v>
      </x:c>
      <x:c r="N788" s="12" t="str">
        <x:v>军体活动中心</x:v>
      </x:c>
      <x:c r="O788" s="12" t="n">
        <x:f>IFERROR(INDEX('秒级路线参数_可调整'!$O:$O,MATCH(M788,'秒级路线参数_可调整'!$A:$A,0)),"")</x:f>
        <x:v>0</x:v>
      </x:c>
      <x:c r="P788" s="12" t="str">
        <x:f>IF(O788="","",O788/86400)</x:f>
      </x:c>
      <x:c r="Q788" s="12" t="str">
        <x:f>IF(O788="","",(H788*60+O788)/86400)</x:f>
      </x:c>
      <x:c r="R788" s="12" t="str">
        <x:f>IF(Q788="","",TEXT(Q788,"hh:mm:ss"))</x:f>
      </x:c>
      <x:c r="S788" s="12" t="str">
        <x:v>否</x:v>
      </x:c>
      <x:c r="T788" s="12" t="str">
        <x:v>否</x:v>
      </x:c>
      <x:c r="U788" s="12" t="str">
        <x:v>未提供</x:v>
      </x:c>
      <x:c r="V788" s="12" t="str">
        <x:v>未提供</x:v>
      </x:c>
      <x:c r="W788" s="12" t="str">
        <x:v>秒级预测</x:v>
      </x:c>
      <x:c r="X788" s="12" t="str">
        <x:v>基于路线秒级参数；如录入实测或手动采用秒，预计到达时间可随公式更新</x:v>
      </x:c>
    </x:row>
    <x:row r="789">
      <x:c r="A789" s="12" t="str">
        <x:v>S0064-05</x:v>
      </x:c>
      <x:c r="B789" s="12" t="str">
        <x:v>S0064</x:v>
      </x:c>
      <x:c r="C789" s="12" t="str">
        <x:v>工作日</x:v>
      </x:c>
      <x:c r="D789" s="12" t="str">
        <x:v>环线1路</x:v>
      </x:c>
      <x:c r="E789" s="12" t="str">
        <x:v>第四班（夜1）</x:v>
      </x:c>
      <x:c r="F789" s="12" t="n">
        <x:v>8</x:v>
      </x:c>
      <x:c r="G789" s="12" t="str">
        <x:v>19:15</x:v>
      </x:c>
      <x:c r="H789" s="12" t="n">
        <x:v>1155</x:v>
      </x:c>
      <x:c r="I789" s="12" t="str">
        <x:v>研究生宿舍楼</x:v>
      </x:c>
      <x:c r="J789" s="12" t="str">
        <x:v>研究生宿舍楼发车</x:v>
      </x:c>
      <x:c r="K789" s="12" t="str">
        <x:v>HX1_NORMAL</x:v>
      </x:c>
      <x:c r="L789" s="12" t="n">
        <x:v>5</x:v>
      </x:c>
      <x:c r="M789" s="12" t="str">
        <x:v>HX1_NORMAL|5</x:v>
      </x:c>
      <x:c r="N789" s="12" t="str">
        <x:v>激光所</x:v>
      </x:c>
      <x:c r="O789" s="12" t="n">
        <x:f>IFERROR(INDEX('秒级路线参数_可调整'!$O:$O,MATCH(M789,'秒级路线参数_可调整'!$A:$A,0)),"")</x:f>
        <x:v>0</x:v>
      </x:c>
      <x:c r="P789" s="12" t="str">
        <x:f>IF(O789="","",O789/86400)</x:f>
      </x:c>
      <x:c r="Q789" s="12" t="str">
        <x:f>IF(O789="","",(H789*60+O789)/86400)</x:f>
      </x:c>
      <x:c r="R789" s="12" t="str">
        <x:f>IF(Q789="","",TEXT(Q789,"hh:mm:ss"))</x:f>
      </x:c>
      <x:c r="S789" s="12" t="str">
        <x:v>否</x:v>
      </x:c>
      <x:c r="T789" s="12" t="str">
        <x:v>否</x:v>
      </x:c>
      <x:c r="U789" s="12" t="str">
        <x:v>未提供</x:v>
      </x:c>
      <x:c r="V789" s="12" t="str">
        <x:v>未提供</x:v>
      </x:c>
      <x:c r="W789" s="12" t="str">
        <x:v>秒级预测</x:v>
      </x:c>
      <x:c r="X789" s="12" t="str">
        <x:v>基于路线秒级参数；如录入实测或手动采用秒，预计到达时间可随公式更新</x:v>
      </x:c>
    </x:row>
    <x:row r="790">
      <x:c r="A790" s="12" t="str">
        <x:v>S0064-06</x:v>
      </x:c>
      <x:c r="B790" s="12" t="str">
        <x:v>S0064</x:v>
      </x:c>
      <x:c r="C790" s="12" t="str">
        <x:v>工作日</x:v>
      </x:c>
      <x:c r="D790" s="12" t="str">
        <x:v>环线1路</x:v>
      </x:c>
      <x:c r="E790" s="12" t="str">
        <x:v>第四班（夜1）</x:v>
      </x:c>
      <x:c r="F790" s="12" t="n">
        <x:v>8</x:v>
      </x:c>
      <x:c r="G790" s="12" t="str">
        <x:v>19:15</x:v>
      </x:c>
      <x:c r="H790" s="12" t="n">
        <x:v>1155</x:v>
      </x:c>
      <x:c r="I790" s="12" t="str">
        <x:v>研究生宿舍楼</x:v>
      </x:c>
      <x:c r="J790" s="12" t="str">
        <x:v>研究生宿舍楼发车</x:v>
      </x:c>
      <x:c r="K790" s="12" t="str">
        <x:v>HX1_NORMAL</x:v>
      </x:c>
      <x:c r="L790" s="12" t="n">
        <x:v>6</x:v>
      </x:c>
      <x:c r="M790" s="12" t="str">
        <x:v>HX1_NORMAL|6</x:v>
      </x:c>
      <x:c r="N790" s="12" t="str">
        <x:v>超算中心</x:v>
      </x:c>
      <x:c r="O790" s="12" t="n">
        <x:f>IFERROR(INDEX('秒级路线参数_可调整'!$O:$O,MATCH(M790,'秒级路线参数_可调整'!$A:$A,0)),"")</x:f>
        <x:v>0</x:v>
      </x:c>
      <x:c r="P790" s="12" t="str">
        <x:f>IF(O790="","",O790/86400)</x:f>
      </x:c>
      <x:c r="Q790" s="12" t="str">
        <x:f>IF(O790="","",(H790*60+O790)/86400)</x:f>
      </x:c>
      <x:c r="R790" s="12" t="str">
        <x:f>IF(Q790="","",TEXT(Q790,"hh:mm:ss"))</x:f>
      </x:c>
      <x:c r="S790" s="12" t="str">
        <x:v>否</x:v>
      </x:c>
      <x:c r="T790" s="12" t="str">
        <x:v>否</x:v>
      </x:c>
      <x:c r="U790" s="12" t="str">
        <x:v>未提供</x:v>
      </x:c>
      <x:c r="V790" s="12" t="str">
        <x:v>未提供</x:v>
      </x:c>
      <x:c r="W790" s="12" t="str">
        <x:v>秒级预测</x:v>
      </x:c>
      <x:c r="X790" s="12" t="str">
        <x:v>基于路线秒级参数；如录入实测或手动采用秒，预计到达时间可随公式更新</x:v>
      </x:c>
    </x:row>
    <x:row r="791">
      <x:c r="A791" s="12" t="str">
        <x:v>S0064-07</x:v>
      </x:c>
      <x:c r="B791" s="12" t="str">
        <x:v>S0064</x:v>
      </x:c>
      <x:c r="C791" s="12" t="str">
        <x:v>工作日</x:v>
      </x:c>
      <x:c r="D791" s="12" t="str">
        <x:v>环线1路</x:v>
      </x:c>
      <x:c r="E791" s="12" t="str">
        <x:v>第四班（夜1）</x:v>
      </x:c>
      <x:c r="F791" s="12" t="n">
        <x:v>8</x:v>
      </x:c>
      <x:c r="G791" s="12" t="str">
        <x:v>19:15</x:v>
      </x:c>
      <x:c r="H791" s="12" t="n">
        <x:v>1155</x:v>
      </x:c>
      <x:c r="I791" s="12" t="str">
        <x:v>研究生宿舍楼</x:v>
      </x:c>
      <x:c r="J791" s="12" t="str">
        <x:v>研究生宿舍楼发车</x:v>
      </x:c>
      <x:c r="K791" s="12" t="str">
        <x:v>HX1_NORMAL</x:v>
      </x:c>
      <x:c r="L791" s="12" t="n">
        <x:v>7</x:v>
      </x:c>
      <x:c r="M791" s="12" t="str">
        <x:v>HX1_NORMAL|7</x:v>
      </x:c>
      <x:c r="N791" s="12" t="str">
        <x:v>北门</x:v>
      </x:c>
      <x:c r="O791" s="12" t="n">
        <x:f>IFERROR(INDEX('秒级路线参数_可调整'!$O:$O,MATCH(M791,'秒级路线参数_可调整'!$A:$A,0)),"")</x:f>
        <x:v>0</x:v>
      </x:c>
      <x:c r="P791" s="12" t="str">
        <x:f>IF(O791="","",O791/86400)</x:f>
      </x:c>
      <x:c r="Q791" s="12" t="str">
        <x:f>IF(O791="","",(H791*60+O791)/86400)</x:f>
      </x:c>
      <x:c r="R791" s="12" t="str">
        <x:f>IF(Q791="","",TEXT(Q791,"hh:mm:ss"))</x:f>
      </x:c>
      <x:c r="S791" s="12" t="str">
        <x:v>否</x:v>
      </x:c>
      <x:c r="T791" s="12" t="str">
        <x:v>否</x:v>
      </x:c>
      <x:c r="U791" s="12" t="str">
        <x:v>未提供</x:v>
      </x:c>
      <x:c r="V791" s="12" t="str">
        <x:v>未提供</x:v>
      </x:c>
      <x:c r="W791" s="12" t="str">
        <x:v>秒级预测</x:v>
      </x:c>
      <x:c r="X791" s="12" t="str">
        <x:v>基于路线秒级参数；如录入实测或手动采用秒，预计到达时间可随公式更新</x:v>
      </x:c>
    </x:row>
    <x:row r="792">
      <x:c r="A792" s="12" t="str">
        <x:v>S0064-08</x:v>
      </x:c>
      <x:c r="B792" s="12" t="str">
        <x:v>S0064</x:v>
      </x:c>
      <x:c r="C792" s="12" t="str">
        <x:v>工作日</x:v>
      </x:c>
      <x:c r="D792" s="12" t="str">
        <x:v>环线1路</x:v>
      </x:c>
      <x:c r="E792" s="12" t="str">
        <x:v>第四班（夜1）</x:v>
      </x:c>
      <x:c r="F792" s="12" t="n">
        <x:v>8</x:v>
      </x:c>
      <x:c r="G792" s="12" t="str">
        <x:v>19:15</x:v>
      </x:c>
      <x:c r="H792" s="12" t="n">
        <x:v>1155</x:v>
      </x:c>
      <x:c r="I792" s="12" t="str">
        <x:v>研究生宿舍楼</x:v>
      </x:c>
      <x:c r="J792" s="12" t="str">
        <x:v>研究生宿舍楼发车</x:v>
      </x:c>
      <x:c r="K792" s="12" t="str">
        <x:v>HX1_NORMAL</x:v>
      </x:c>
      <x:c r="L792" s="12" t="n">
        <x:v>8</x:v>
      </x:c>
      <x:c r="M792" s="12" t="str">
        <x:v>HX1_NORMAL|8</x:v>
      </x:c>
      <x:c r="N792" s="12" t="str">
        <x:v>高超楼</x:v>
      </x:c>
      <x:c r="O792" s="12" t="n">
        <x:f>IFERROR(INDEX('秒级路线参数_可调整'!$O:$O,MATCH(M792,'秒级路线参数_可调整'!$A:$A,0)),"")</x:f>
        <x:v>0</x:v>
      </x:c>
      <x:c r="P792" s="12" t="str">
        <x:f>IF(O792="","",O792/86400)</x:f>
      </x:c>
      <x:c r="Q792" s="12" t="str">
        <x:f>IF(O792="","",(H792*60+O792)/86400)</x:f>
      </x:c>
      <x:c r="R792" s="12" t="str">
        <x:f>IF(Q792="","",TEXT(Q792,"hh:mm:ss"))</x:f>
      </x:c>
      <x:c r="S792" s="12" t="str">
        <x:v>否</x:v>
      </x:c>
      <x:c r="T792" s="12" t="str">
        <x:v>否</x:v>
      </x:c>
      <x:c r="U792" s="12" t="str">
        <x:v>未提供</x:v>
      </x:c>
      <x:c r="V792" s="12" t="str">
        <x:v>未提供</x:v>
      </x:c>
      <x:c r="W792" s="12" t="str">
        <x:v>秒级预测</x:v>
      </x:c>
      <x:c r="X792" s="12" t="str">
        <x:v>基于路线秒级参数；如录入实测或手动采用秒，预计到达时间可随公式更新</x:v>
      </x:c>
    </x:row>
    <x:row r="793">
      <x:c r="A793" s="12" t="str">
        <x:v>S0064-09</x:v>
      </x:c>
      <x:c r="B793" s="12" t="str">
        <x:v>S0064</x:v>
      </x:c>
      <x:c r="C793" s="12" t="str">
        <x:v>工作日</x:v>
      </x:c>
      <x:c r="D793" s="12" t="str">
        <x:v>环线1路</x:v>
      </x:c>
      <x:c r="E793" s="12" t="str">
        <x:v>第四班（夜1）</x:v>
      </x:c>
      <x:c r="F793" s="12" t="n">
        <x:v>8</x:v>
      </x:c>
      <x:c r="G793" s="12" t="str">
        <x:v>19:15</x:v>
      </x:c>
      <x:c r="H793" s="12" t="n">
        <x:v>1155</x:v>
      </x:c>
      <x:c r="I793" s="12" t="str">
        <x:v>研究生宿舍楼</x:v>
      </x:c>
      <x:c r="J793" s="12" t="str">
        <x:v>研究生宿舍楼发车</x:v>
      </x:c>
      <x:c r="K793" s="12" t="str">
        <x:v>HX1_NORMAL</x:v>
      </x:c>
      <x:c r="L793" s="12" t="n">
        <x:v>9</x:v>
      </x:c>
      <x:c r="M793" s="12" t="str">
        <x:v>HX1_NORMAL|9</x:v>
      </x:c>
      <x:c r="N793" s="12" t="str">
        <x:v>理学院</x:v>
      </x:c>
      <x:c r="O793" s="12" t="n">
        <x:f>IFERROR(INDEX('秒级路线参数_可调整'!$O:$O,MATCH(M793,'秒级路线参数_可调整'!$A:$A,0)),"")</x:f>
        <x:v>0</x:v>
      </x:c>
      <x:c r="P793" s="12" t="str">
        <x:f>IF(O793="","",O793/86400)</x:f>
      </x:c>
      <x:c r="Q793" s="12" t="str">
        <x:f>IF(O793="","",(H793*60+O793)/86400)</x:f>
      </x:c>
      <x:c r="R793" s="12" t="str">
        <x:f>IF(Q793="","",TEXT(Q793,"hh:mm:ss"))</x:f>
      </x:c>
      <x:c r="S793" s="12" t="str">
        <x:v>否</x:v>
      </x:c>
      <x:c r="T793" s="12" t="str">
        <x:v>否</x:v>
      </x:c>
      <x:c r="U793" s="12" t="str">
        <x:v>未提供</x:v>
      </x:c>
      <x:c r="V793" s="12" t="str">
        <x:v>未提供</x:v>
      </x:c>
      <x:c r="W793" s="12" t="str">
        <x:v>秒级预测</x:v>
      </x:c>
      <x:c r="X793" s="12" t="str">
        <x:v>基于路线秒级参数；如录入实测或手动采用秒，预计到达时间可随公式更新</x:v>
      </x:c>
    </x:row>
    <x:row r="794">
      <x:c r="A794" s="12" t="str">
        <x:v>S0064-10</x:v>
      </x:c>
      <x:c r="B794" s="12" t="str">
        <x:v>S0064</x:v>
      </x:c>
      <x:c r="C794" s="12" t="str">
        <x:v>工作日</x:v>
      </x:c>
      <x:c r="D794" s="12" t="str">
        <x:v>环线1路</x:v>
      </x:c>
      <x:c r="E794" s="12" t="str">
        <x:v>第四班（夜1）</x:v>
      </x:c>
      <x:c r="F794" s="12" t="n">
        <x:v>8</x:v>
      </x:c>
      <x:c r="G794" s="12" t="str">
        <x:v>19:15</x:v>
      </x:c>
      <x:c r="H794" s="12" t="n">
        <x:v>1155</x:v>
      </x:c>
      <x:c r="I794" s="12" t="str">
        <x:v>研究生宿舍楼</x:v>
      </x:c>
      <x:c r="J794" s="12" t="str">
        <x:v>研究生宿舍楼发车</x:v>
      </x:c>
      <x:c r="K794" s="12" t="str">
        <x:v>HX1_NORMAL</x:v>
      </x:c>
      <x:c r="L794" s="12" t="n">
        <x:v>10</x:v>
      </x:c>
      <x:c r="M794" s="12" t="str">
        <x:v>HX1_NORMAL|10</x:v>
      </x:c>
      <x:c r="N794" s="12" t="str">
        <x:v>二食堂</x:v>
      </x:c>
      <x:c r="O794" s="12" t="n">
        <x:f>IFERROR(INDEX('秒级路线参数_可调整'!$O:$O,MATCH(M794,'秒级路线参数_可调整'!$A:$A,0)),"")</x:f>
        <x:v>0</x:v>
      </x:c>
      <x:c r="P794" s="12" t="str">
        <x:f>IF(O794="","",O794/86400)</x:f>
      </x:c>
      <x:c r="Q794" s="12" t="str">
        <x:f>IF(O794="","",(H794*60+O794)/86400)</x:f>
      </x:c>
      <x:c r="R794" s="12" t="str">
        <x:f>IF(Q794="","",TEXT(Q794,"hh:mm:ss"))</x:f>
      </x:c>
      <x:c r="S794" s="12" t="str">
        <x:v>否</x:v>
      </x:c>
      <x:c r="T794" s="12" t="str">
        <x:v>否</x:v>
      </x:c>
      <x:c r="U794" s="12" t="str">
        <x:v>未提供</x:v>
      </x:c>
      <x:c r="V794" s="12" t="str">
        <x:v>未提供</x:v>
      </x:c>
      <x:c r="W794" s="12" t="str">
        <x:v>秒级预测</x:v>
      </x:c>
      <x:c r="X794" s="12" t="str">
        <x:v>基于路线秒级参数；如录入实测或手动采用秒，预计到达时间可随公式更新</x:v>
      </x:c>
    </x:row>
    <x:row r="795">
      <x:c r="A795" s="12" t="str">
        <x:v>S0064-11</x:v>
      </x:c>
      <x:c r="B795" s="12" t="str">
        <x:v>S0064</x:v>
      </x:c>
      <x:c r="C795" s="12" t="str">
        <x:v>工作日</x:v>
      </x:c>
      <x:c r="D795" s="12" t="str">
        <x:v>环线1路</x:v>
      </x:c>
      <x:c r="E795" s="12" t="str">
        <x:v>第四班（夜1）</x:v>
      </x:c>
      <x:c r="F795" s="12" t="n">
        <x:v>8</x:v>
      </x:c>
      <x:c r="G795" s="12" t="str">
        <x:v>19:15</x:v>
      </x:c>
      <x:c r="H795" s="12" t="n">
        <x:v>1155</x:v>
      </x:c>
      <x:c r="I795" s="12" t="str">
        <x:v>研究生宿舍楼</x:v>
      </x:c>
      <x:c r="J795" s="12" t="str">
        <x:v>研究生宿舍楼发车</x:v>
      </x:c>
      <x:c r="K795" s="12" t="str">
        <x:v>HX1_NORMAL</x:v>
      </x:c>
      <x:c r="L795" s="12" t="n">
        <x:v>11</x:v>
      </x:c>
      <x:c r="M795" s="12" t="str">
        <x:v>HX1_NORMAL|11</x:v>
      </x:c>
      <x:c r="N795" s="12" t="str">
        <x:v>5号宿舍楼</x:v>
      </x:c>
      <x:c r="O795" s="12" t="n">
        <x:f>IFERROR(INDEX('秒级路线参数_可调整'!$O:$O,MATCH(M795,'秒级路线参数_可调整'!$A:$A,0)),"")</x:f>
        <x:v>0</x:v>
      </x:c>
      <x:c r="P795" s="12" t="str">
        <x:f>IF(O795="","",O795/86400)</x:f>
      </x:c>
      <x:c r="Q795" s="12" t="str">
        <x:f>IF(O795="","",(H795*60+O795)/86400)</x:f>
      </x:c>
      <x:c r="R795" s="12" t="str">
        <x:f>IF(Q795="","",TEXT(Q795,"hh:mm:ss"))</x:f>
      </x:c>
      <x:c r="S795" s="12" t="str">
        <x:v>否</x:v>
      </x:c>
      <x:c r="T795" s="12" t="str">
        <x:v>否</x:v>
      </x:c>
      <x:c r="U795" s="12" t="str">
        <x:v>未提供</x:v>
      </x:c>
      <x:c r="V795" s="12" t="str">
        <x:v>未提供</x:v>
      </x:c>
      <x:c r="W795" s="12" t="str">
        <x:v>秒级预测</x:v>
      </x:c>
      <x:c r="X795" s="12" t="str">
        <x:v>基于路线秒级参数；如录入实测或手动采用秒，预计到达时间可随公式更新</x:v>
      </x:c>
    </x:row>
    <x:row r="796">
      <x:c r="A796" s="12" t="str">
        <x:v>S0064-12</x:v>
      </x:c>
      <x:c r="B796" s="12" t="str">
        <x:v>S0064</x:v>
      </x:c>
      <x:c r="C796" s="12" t="str">
        <x:v>工作日</x:v>
      </x:c>
      <x:c r="D796" s="12" t="str">
        <x:v>环线1路</x:v>
      </x:c>
      <x:c r="E796" s="12" t="str">
        <x:v>第四班（夜1）</x:v>
      </x:c>
      <x:c r="F796" s="12" t="n">
        <x:v>8</x:v>
      </x:c>
      <x:c r="G796" s="12" t="str">
        <x:v>19:15</x:v>
      </x:c>
      <x:c r="H796" s="12" t="n">
        <x:v>1155</x:v>
      </x:c>
      <x:c r="I796" s="12" t="str">
        <x:v>研究生宿舍楼</x:v>
      </x:c>
      <x:c r="J796" s="12" t="str">
        <x:v>研究生宿舍楼发车</x:v>
      </x:c>
      <x:c r="K796" s="12" t="str">
        <x:v>HX1_NORMAL</x:v>
      </x:c>
      <x:c r="L796" s="12" t="n">
        <x:v>12</x:v>
      </x:c>
      <x:c r="M796" s="12" t="str">
        <x:v>HX1_NORMAL|12</x:v>
      </x:c>
      <x:c r="N796" s="12" t="str">
        <x:v>305教学楼</x:v>
      </x:c>
      <x:c r="O796" s="12" t="n">
        <x:f>IFERROR(INDEX('秒级路线参数_可调整'!$O:$O,MATCH(M796,'秒级路线参数_可调整'!$A:$A,0)),"")</x:f>
        <x:v>0</x:v>
      </x:c>
      <x:c r="P796" s="12" t="str">
        <x:f>IF(O796="","",O796/86400)</x:f>
      </x:c>
      <x:c r="Q796" s="12" t="str">
        <x:f>IF(O796="","",(H796*60+O796)/86400)</x:f>
      </x:c>
      <x:c r="R796" s="12" t="str">
        <x:f>IF(Q796="","",TEXT(Q796,"hh:mm:ss"))</x:f>
      </x:c>
      <x:c r="S796" s="12" t="str">
        <x:v>否</x:v>
      </x:c>
      <x:c r="T796" s="12" t="str">
        <x:v>否</x:v>
      </x:c>
      <x:c r="U796" s="12" t="str">
        <x:v>未提供</x:v>
      </x:c>
      <x:c r="V796" s="12" t="str">
        <x:v>未提供</x:v>
      </x:c>
      <x:c r="W796" s="12" t="str">
        <x:v>秒级预测</x:v>
      </x:c>
      <x:c r="X796" s="12" t="str">
        <x:v>基于路线秒级参数；如录入实测或手动采用秒，预计到达时间可随公式更新</x:v>
      </x:c>
    </x:row>
    <x:row r="797">
      <x:c r="A797" s="12" t="str">
        <x:v>S0064-13</x:v>
      </x:c>
      <x:c r="B797" s="12" t="str">
        <x:v>S0064</x:v>
      </x:c>
      <x:c r="C797" s="12" t="str">
        <x:v>工作日</x:v>
      </x:c>
      <x:c r="D797" s="12" t="str">
        <x:v>环线1路</x:v>
      </x:c>
      <x:c r="E797" s="12" t="str">
        <x:v>第四班（夜1）</x:v>
      </x:c>
      <x:c r="F797" s="12" t="n">
        <x:v>8</x:v>
      </x:c>
      <x:c r="G797" s="12" t="str">
        <x:v>19:15</x:v>
      </x:c>
      <x:c r="H797" s="12" t="n">
        <x:v>1155</x:v>
      </x:c>
      <x:c r="I797" s="12" t="str">
        <x:v>研究生宿舍楼</x:v>
      </x:c>
      <x:c r="J797" s="12" t="str">
        <x:v>研究生宿舍楼发车</x:v>
      </x:c>
      <x:c r="K797" s="12" t="str">
        <x:v>HX1_NORMAL</x:v>
      </x:c>
      <x:c r="L797" s="12" t="n">
        <x:v>13</x:v>
      </x:c>
      <x:c r="M797" s="12" t="str">
        <x:v>HX1_NORMAL|13</x:v>
      </x:c>
      <x:c r="N797" s="12" t="str">
        <x:v>研究生宿舍楼</x:v>
      </x:c>
      <x:c r="O797" s="12" t="n">
        <x:f>IFERROR(INDEX('秒级路线参数_可调整'!$O:$O,MATCH(M797,'秒级路线参数_可调整'!$A:$A,0)),"")</x:f>
        <x:v>0</x:v>
      </x:c>
      <x:c r="P797" s="12" t="str">
        <x:f>IF(O797="","",O797/86400)</x:f>
      </x:c>
      <x:c r="Q797" s="12" t="str">
        <x:f>IF(O797="","",(H797*60+O797)/86400)</x:f>
      </x:c>
      <x:c r="R797" s="12" t="str">
        <x:f>IF(Q797="","",TEXT(Q797,"hh:mm:ss"))</x:f>
      </x:c>
      <x:c r="S797" s="12" t="str">
        <x:v>否</x:v>
      </x:c>
      <x:c r="T797" s="12" t="str">
        <x:v>是</x:v>
      </x:c>
      <x:c r="U797" s="12" t="str">
        <x:v>未提供</x:v>
      </x:c>
      <x:c r="V797" s="12" t="str">
        <x:v>未提供</x:v>
      </x:c>
      <x:c r="W797" s="12" t="str">
        <x:v>秒级预测</x:v>
      </x:c>
      <x:c r="X797" s="12" t="str">
        <x:v>基于路线秒级参数；如录入实测或手动采用秒，预计到达时间可随公式更新</x:v>
      </x:c>
    </x:row>
    <x:row r="798">
      <x:c r="A798" s="12" t="str">
        <x:v>S0065-01</x:v>
      </x:c>
      <x:c r="B798" s="12" t="str">
        <x:v>S0065</x:v>
      </x:c>
      <x:c r="C798" s="12" t="str">
        <x:v>工作日</x:v>
      </x:c>
      <x:c r="D798" s="12" t="str">
        <x:v>环线1路</x:v>
      </x:c>
      <x:c r="E798" s="12" t="str">
        <x:v>第四班（夜1）</x:v>
      </x:c>
      <x:c r="F798" s="12" t="n">
        <x:v>9</x:v>
      </x:c>
      <x:c r="G798" s="12" t="str">
        <x:v>19:45</x:v>
      </x:c>
      <x:c r="H798" s="12" t="n">
        <x:v>1185</x:v>
      </x:c>
      <x:c r="I798" s="12" t="str">
        <x:v>研究生宿舍楼</x:v>
      </x:c>
      <x:c r="J798" s="12" t="str">
        <x:v>研究生宿舍楼发车</x:v>
      </x:c>
      <x:c r="K798" s="12" t="str">
        <x:v>HX1_NORMAL</x:v>
      </x:c>
      <x:c r="L798" s="12" t="n">
        <x:v>1</x:v>
      </x:c>
      <x:c r="M798" s="12" t="str">
        <x:v>HX1_NORMAL|1</x:v>
      </x:c>
      <x:c r="N798" s="12" t="str">
        <x:v>研究生宿舍楼</x:v>
      </x:c>
      <x:c r="O798" s="12" t="n">
        <x:f>IFERROR(INDEX('秒级路线参数_可调整'!$O:$O,MATCH(M798,'秒级路线参数_可调整'!$A:$A,0)),"")</x:f>
        <x:v>0</x:v>
      </x:c>
      <x:c r="P798" s="12" t="str">
        <x:f>IF(O798="","",O798/86400)</x:f>
      </x:c>
      <x:c r="Q798" s="12" t="str">
        <x:f>IF(O798="","",(H798*60+O798)/86400)</x:f>
      </x:c>
      <x:c r="R798" s="12" t="str">
        <x:f>IF(Q798="","",TEXT(Q798,"hh:mm:ss"))</x:f>
      </x:c>
      <x:c r="S798" s="12" t="str">
        <x:v>是</x:v>
      </x:c>
      <x:c r="T798" s="12" t="str">
        <x:v>否</x:v>
      </x:c>
      <x:c r="U798" s="12" t="str">
        <x:v>未提供</x:v>
      </x:c>
      <x:c r="V798" s="12" t="str">
        <x:v>未提供</x:v>
      </x:c>
      <x:c r="W798" s="12" t="str">
        <x:v>秒级预测</x:v>
      </x:c>
      <x:c r="X798" s="12" t="str">
        <x:v>基于路线秒级参数；如录入实测或手动采用秒，预计到达时间可随公式更新</x:v>
      </x:c>
    </x:row>
    <x:row r="799">
      <x:c r="A799" s="12" t="str">
        <x:v>S0065-02</x:v>
      </x:c>
      <x:c r="B799" s="12" t="str">
        <x:v>S0065</x:v>
      </x:c>
      <x:c r="C799" s="12" t="str">
        <x:v>工作日</x:v>
      </x:c>
      <x:c r="D799" s="12" t="str">
        <x:v>环线1路</x:v>
      </x:c>
      <x:c r="E799" s="12" t="str">
        <x:v>第四班（夜1）</x:v>
      </x:c>
      <x:c r="F799" s="12" t="n">
        <x:v>9</x:v>
      </x:c>
      <x:c r="G799" s="12" t="str">
        <x:v>19:45</x:v>
      </x:c>
      <x:c r="H799" s="12" t="n">
        <x:v>1185</x:v>
      </x:c>
      <x:c r="I799" s="12" t="str">
        <x:v>研究生宿舍楼</x:v>
      </x:c>
      <x:c r="J799" s="12" t="str">
        <x:v>研究生宿舍楼发车</x:v>
      </x:c>
      <x:c r="K799" s="12" t="str">
        <x:v>HX1_NORMAL</x:v>
      </x:c>
      <x:c r="L799" s="12" t="n">
        <x:v>2</x:v>
      </x:c>
      <x:c r="M799" s="12" t="str">
        <x:v>HX1_NORMAL|2</x:v>
      </x:c>
      <x:c r="N799" s="12" t="str">
        <x:v>东门</x:v>
      </x:c>
      <x:c r="O799" s="12" t="n">
        <x:f>IFERROR(INDEX('秒级路线参数_可调整'!$O:$O,MATCH(M799,'秒级路线参数_可调整'!$A:$A,0)),"")</x:f>
        <x:v>0</x:v>
      </x:c>
      <x:c r="P799" s="12" t="str">
        <x:f>IF(O799="","",O799/86400)</x:f>
      </x:c>
      <x:c r="Q799" s="12" t="str">
        <x:f>IF(O799="","",(H799*60+O799)/86400)</x:f>
      </x:c>
      <x:c r="R799" s="12" t="str">
        <x:f>IF(Q799="","",TEXT(Q799,"hh:mm:ss"))</x:f>
      </x:c>
      <x:c r="S799" s="12" t="str">
        <x:v>否</x:v>
      </x:c>
      <x:c r="T799" s="12" t="str">
        <x:v>否</x:v>
      </x:c>
      <x:c r="U799" s="12" t="str">
        <x:v>未提供</x:v>
      </x:c>
      <x:c r="V799" s="12" t="str">
        <x:v>未提供</x:v>
      </x:c>
      <x:c r="W799" s="12" t="str">
        <x:v>秒级预测</x:v>
      </x:c>
      <x:c r="X799" s="12" t="str">
        <x:v>基于路线秒级参数；如录入实测或手动采用秒，预计到达时间可随公式更新</x:v>
      </x:c>
    </x:row>
    <x:row r="800">
      <x:c r="A800" s="12" t="str">
        <x:v>S0065-03</x:v>
      </x:c>
      <x:c r="B800" s="12" t="str">
        <x:v>S0065</x:v>
      </x:c>
      <x:c r="C800" s="12" t="str">
        <x:v>工作日</x:v>
      </x:c>
      <x:c r="D800" s="12" t="str">
        <x:v>环线1路</x:v>
      </x:c>
      <x:c r="E800" s="12" t="str">
        <x:v>第四班（夜1）</x:v>
      </x:c>
      <x:c r="F800" s="12" t="n">
        <x:v>9</x:v>
      </x:c>
      <x:c r="G800" s="12" t="str">
        <x:v>19:45</x:v>
      </x:c>
      <x:c r="H800" s="12" t="n">
        <x:v>1185</x:v>
      </x:c>
      <x:c r="I800" s="12" t="str">
        <x:v>研究生宿舍楼</x:v>
      </x:c>
      <x:c r="J800" s="12" t="str">
        <x:v>研究生宿舍楼发车</x:v>
      </x:c>
      <x:c r="K800" s="12" t="str">
        <x:v>HX1_NORMAL</x:v>
      </x:c>
      <x:c r="L800" s="12" t="n">
        <x:v>3</x:v>
      </x:c>
      <x:c r="M800" s="12" t="str">
        <x:v>HX1_NORMAL|3</x:v>
      </x:c>
      <x:c r="N800" s="12" t="str">
        <x:v>2号宿舍楼</x:v>
      </x:c>
      <x:c r="O800" s="12" t="n">
        <x:f>IFERROR(INDEX('秒级路线参数_可调整'!$O:$O,MATCH(M800,'秒级路线参数_可调整'!$A:$A,0)),"")</x:f>
        <x:v>0</x:v>
      </x:c>
      <x:c r="P800" s="12" t="str">
        <x:f>IF(O800="","",O800/86400)</x:f>
      </x:c>
      <x:c r="Q800" s="12" t="str">
        <x:f>IF(O800="","",(H800*60+O800)/86400)</x:f>
      </x:c>
      <x:c r="R800" s="12" t="str">
        <x:f>IF(Q800="","",TEXT(Q800,"hh:mm:ss"))</x:f>
      </x:c>
      <x:c r="S800" s="12" t="str">
        <x:v>否</x:v>
      </x:c>
      <x:c r="T800" s="12" t="str">
        <x:v>否</x:v>
      </x:c>
      <x:c r="U800" s="12" t="str">
        <x:v>未提供</x:v>
      </x:c>
      <x:c r="V800" s="12" t="str">
        <x:v>未提供</x:v>
      </x:c>
      <x:c r="W800" s="12" t="str">
        <x:v>秒级预测</x:v>
      </x:c>
      <x:c r="X800" s="12" t="str">
        <x:v>基于路线秒级参数；如录入实测或手动采用秒，预计到达时间可随公式更新</x:v>
      </x:c>
    </x:row>
    <x:row r="801">
      <x:c r="A801" s="12" t="str">
        <x:v>S0065-04</x:v>
      </x:c>
      <x:c r="B801" s="12" t="str">
        <x:v>S0065</x:v>
      </x:c>
      <x:c r="C801" s="12" t="str">
        <x:v>工作日</x:v>
      </x:c>
      <x:c r="D801" s="12" t="str">
        <x:v>环线1路</x:v>
      </x:c>
      <x:c r="E801" s="12" t="str">
        <x:v>第四班（夜1）</x:v>
      </x:c>
      <x:c r="F801" s="12" t="n">
        <x:v>9</x:v>
      </x:c>
      <x:c r="G801" s="12" t="str">
        <x:v>19:45</x:v>
      </x:c>
      <x:c r="H801" s="12" t="n">
        <x:v>1185</x:v>
      </x:c>
      <x:c r="I801" s="12" t="str">
        <x:v>研究生宿舍楼</x:v>
      </x:c>
      <x:c r="J801" s="12" t="str">
        <x:v>研究生宿舍楼发车</x:v>
      </x:c>
      <x:c r="K801" s="12" t="str">
        <x:v>HX1_NORMAL</x:v>
      </x:c>
      <x:c r="L801" s="12" t="n">
        <x:v>4</x:v>
      </x:c>
      <x:c r="M801" s="12" t="str">
        <x:v>HX1_NORMAL|4</x:v>
      </x:c>
      <x:c r="N801" s="12" t="str">
        <x:v>军体活动中心</x:v>
      </x:c>
      <x:c r="O801" s="12" t="n">
        <x:f>IFERROR(INDEX('秒级路线参数_可调整'!$O:$O,MATCH(M801,'秒级路线参数_可调整'!$A:$A,0)),"")</x:f>
        <x:v>0</x:v>
      </x:c>
      <x:c r="P801" s="12" t="str">
        <x:f>IF(O801="","",O801/86400)</x:f>
      </x:c>
      <x:c r="Q801" s="12" t="str">
        <x:f>IF(O801="","",(H801*60+O801)/86400)</x:f>
      </x:c>
      <x:c r="R801" s="12" t="str">
        <x:f>IF(Q801="","",TEXT(Q801,"hh:mm:ss"))</x:f>
      </x:c>
      <x:c r="S801" s="12" t="str">
        <x:v>否</x:v>
      </x:c>
      <x:c r="T801" s="12" t="str">
        <x:v>否</x:v>
      </x:c>
      <x:c r="U801" s="12" t="str">
        <x:v>未提供</x:v>
      </x:c>
      <x:c r="V801" s="12" t="str">
        <x:v>未提供</x:v>
      </x:c>
      <x:c r="W801" s="12" t="str">
        <x:v>秒级预测</x:v>
      </x:c>
      <x:c r="X801" s="12" t="str">
        <x:v>基于路线秒级参数；如录入实测或手动采用秒，预计到达时间可随公式更新</x:v>
      </x:c>
    </x:row>
    <x:row r="802">
      <x:c r="A802" s="12" t="str">
        <x:v>S0065-05</x:v>
      </x:c>
      <x:c r="B802" s="12" t="str">
        <x:v>S0065</x:v>
      </x:c>
      <x:c r="C802" s="12" t="str">
        <x:v>工作日</x:v>
      </x:c>
      <x:c r="D802" s="12" t="str">
        <x:v>环线1路</x:v>
      </x:c>
      <x:c r="E802" s="12" t="str">
        <x:v>第四班（夜1）</x:v>
      </x:c>
      <x:c r="F802" s="12" t="n">
        <x:v>9</x:v>
      </x:c>
      <x:c r="G802" s="12" t="str">
        <x:v>19:45</x:v>
      </x:c>
      <x:c r="H802" s="12" t="n">
        <x:v>1185</x:v>
      </x:c>
      <x:c r="I802" s="12" t="str">
        <x:v>研究生宿舍楼</x:v>
      </x:c>
      <x:c r="J802" s="12" t="str">
        <x:v>研究生宿舍楼发车</x:v>
      </x:c>
      <x:c r="K802" s="12" t="str">
        <x:v>HX1_NORMAL</x:v>
      </x:c>
      <x:c r="L802" s="12" t="n">
        <x:v>5</x:v>
      </x:c>
      <x:c r="M802" s="12" t="str">
        <x:v>HX1_NORMAL|5</x:v>
      </x:c>
      <x:c r="N802" s="12" t="str">
        <x:v>激光所</x:v>
      </x:c>
      <x:c r="O802" s="12" t="n">
        <x:f>IFERROR(INDEX('秒级路线参数_可调整'!$O:$O,MATCH(M802,'秒级路线参数_可调整'!$A:$A,0)),"")</x:f>
        <x:v>0</x:v>
      </x:c>
      <x:c r="P802" s="12" t="str">
        <x:f>IF(O802="","",O802/86400)</x:f>
      </x:c>
      <x:c r="Q802" s="12" t="str">
        <x:f>IF(O802="","",(H802*60+O802)/86400)</x:f>
      </x:c>
      <x:c r="R802" s="12" t="str">
        <x:f>IF(Q802="","",TEXT(Q802,"hh:mm:ss"))</x:f>
      </x:c>
      <x:c r="S802" s="12" t="str">
        <x:v>否</x:v>
      </x:c>
      <x:c r="T802" s="12" t="str">
        <x:v>否</x:v>
      </x:c>
      <x:c r="U802" s="12" t="str">
        <x:v>未提供</x:v>
      </x:c>
      <x:c r="V802" s="12" t="str">
        <x:v>未提供</x:v>
      </x:c>
      <x:c r="W802" s="12" t="str">
        <x:v>秒级预测</x:v>
      </x:c>
      <x:c r="X802" s="12" t="str">
        <x:v>基于路线秒级参数；如录入实测或手动采用秒，预计到达时间可随公式更新</x:v>
      </x:c>
    </x:row>
    <x:row r="803">
      <x:c r="A803" s="12" t="str">
        <x:v>S0065-06</x:v>
      </x:c>
      <x:c r="B803" s="12" t="str">
        <x:v>S0065</x:v>
      </x:c>
      <x:c r="C803" s="12" t="str">
        <x:v>工作日</x:v>
      </x:c>
      <x:c r="D803" s="12" t="str">
        <x:v>环线1路</x:v>
      </x:c>
      <x:c r="E803" s="12" t="str">
        <x:v>第四班（夜1）</x:v>
      </x:c>
      <x:c r="F803" s="12" t="n">
        <x:v>9</x:v>
      </x:c>
      <x:c r="G803" s="12" t="str">
        <x:v>19:45</x:v>
      </x:c>
      <x:c r="H803" s="12" t="n">
        <x:v>1185</x:v>
      </x:c>
      <x:c r="I803" s="12" t="str">
        <x:v>研究生宿舍楼</x:v>
      </x:c>
      <x:c r="J803" s="12" t="str">
        <x:v>研究生宿舍楼发车</x:v>
      </x:c>
      <x:c r="K803" s="12" t="str">
        <x:v>HX1_NORMAL</x:v>
      </x:c>
      <x:c r="L803" s="12" t="n">
        <x:v>6</x:v>
      </x:c>
      <x:c r="M803" s="12" t="str">
        <x:v>HX1_NORMAL|6</x:v>
      </x:c>
      <x:c r="N803" s="12" t="str">
        <x:v>超算中心</x:v>
      </x:c>
      <x:c r="O803" s="12" t="n">
        <x:f>IFERROR(INDEX('秒级路线参数_可调整'!$O:$O,MATCH(M803,'秒级路线参数_可调整'!$A:$A,0)),"")</x:f>
        <x:v>0</x:v>
      </x:c>
      <x:c r="P803" s="12" t="str">
        <x:f>IF(O803="","",O803/86400)</x:f>
      </x:c>
      <x:c r="Q803" s="12" t="str">
        <x:f>IF(O803="","",(H803*60+O803)/86400)</x:f>
      </x:c>
      <x:c r="R803" s="12" t="str">
        <x:f>IF(Q803="","",TEXT(Q803,"hh:mm:ss"))</x:f>
      </x:c>
      <x:c r="S803" s="12" t="str">
        <x:v>否</x:v>
      </x:c>
      <x:c r="T803" s="12" t="str">
        <x:v>否</x:v>
      </x:c>
      <x:c r="U803" s="12" t="str">
        <x:v>未提供</x:v>
      </x:c>
      <x:c r="V803" s="12" t="str">
        <x:v>未提供</x:v>
      </x:c>
      <x:c r="W803" s="12" t="str">
        <x:v>秒级预测</x:v>
      </x:c>
      <x:c r="X803" s="12" t="str">
        <x:v>基于路线秒级参数；如录入实测或手动采用秒，预计到达时间可随公式更新</x:v>
      </x:c>
    </x:row>
    <x:row r="804">
      <x:c r="A804" s="12" t="str">
        <x:v>S0065-07</x:v>
      </x:c>
      <x:c r="B804" s="12" t="str">
        <x:v>S0065</x:v>
      </x:c>
      <x:c r="C804" s="12" t="str">
        <x:v>工作日</x:v>
      </x:c>
      <x:c r="D804" s="12" t="str">
        <x:v>环线1路</x:v>
      </x:c>
      <x:c r="E804" s="12" t="str">
        <x:v>第四班（夜1）</x:v>
      </x:c>
      <x:c r="F804" s="12" t="n">
        <x:v>9</x:v>
      </x:c>
      <x:c r="G804" s="12" t="str">
        <x:v>19:45</x:v>
      </x:c>
      <x:c r="H804" s="12" t="n">
        <x:v>1185</x:v>
      </x:c>
      <x:c r="I804" s="12" t="str">
        <x:v>研究生宿舍楼</x:v>
      </x:c>
      <x:c r="J804" s="12" t="str">
        <x:v>研究生宿舍楼发车</x:v>
      </x:c>
      <x:c r="K804" s="12" t="str">
        <x:v>HX1_NORMAL</x:v>
      </x:c>
      <x:c r="L804" s="12" t="n">
        <x:v>7</x:v>
      </x:c>
      <x:c r="M804" s="12" t="str">
        <x:v>HX1_NORMAL|7</x:v>
      </x:c>
      <x:c r="N804" s="12" t="str">
        <x:v>北门</x:v>
      </x:c>
      <x:c r="O804" s="12" t="n">
        <x:f>IFERROR(INDEX('秒级路线参数_可调整'!$O:$O,MATCH(M804,'秒级路线参数_可调整'!$A:$A,0)),"")</x:f>
        <x:v>0</x:v>
      </x:c>
      <x:c r="P804" s="12" t="str">
        <x:f>IF(O804="","",O804/86400)</x:f>
      </x:c>
      <x:c r="Q804" s="12" t="str">
        <x:f>IF(O804="","",(H804*60+O804)/86400)</x:f>
      </x:c>
      <x:c r="R804" s="12" t="str">
        <x:f>IF(Q804="","",TEXT(Q804,"hh:mm:ss"))</x:f>
      </x:c>
      <x:c r="S804" s="12" t="str">
        <x:v>否</x:v>
      </x:c>
      <x:c r="T804" s="12" t="str">
        <x:v>否</x:v>
      </x:c>
      <x:c r="U804" s="12" t="str">
        <x:v>未提供</x:v>
      </x:c>
      <x:c r="V804" s="12" t="str">
        <x:v>未提供</x:v>
      </x:c>
      <x:c r="W804" s="12" t="str">
        <x:v>秒级预测</x:v>
      </x:c>
      <x:c r="X804" s="12" t="str">
        <x:v>基于路线秒级参数；如录入实测或手动采用秒，预计到达时间可随公式更新</x:v>
      </x:c>
    </x:row>
    <x:row r="805">
      <x:c r="A805" s="12" t="str">
        <x:v>S0065-08</x:v>
      </x:c>
      <x:c r="B805" s="12" t="str">
        <x:v>S0065</x:v>
      </x:c>
      <x:c r="C805" s="12" t="str">
        <x:v>工作日</x:v>
      </x:c>
      <x:c r="D805" s="12" t="str">
        <x:v>环线1路</x:v>
      </x:c>
      <x:c r="E805" s="12" t="str">
        <x:v>第四班（夜1）</x:v>
      </x:c>
      <x:c r="F805" s="12" t="n">
        <x:v>9</x:v>
      </x:c>
      <x:c r="G805" s="12" t="str">
        <x:v>19:45</x:v>
      </x:c>
      <x:c r="H805" s="12" t="n">
        <x:v>1185</x:v>
      </x:c>
      <x:c r="I805" s="12" t="str">
        <x:v>研究生宿舍楼</x:v>
      </x:c>
      <x:c r="J805" s="12" t="str">
        <x:v>研究生宿舍楼发车</x:v>
      </x:c>
      <x:c r="K805" s="12" t="str">
        <x:v>HX1_NORMAL</x:v>
      </x:c>
      <x:c r="L805" s="12" t="n">
        <x:v>8</x:v>
      </x:c>
      <x:c r="M805" s="12" t="str">
        <x:v>HX1_NORMAL|8</x:v>
      </x:c>
      <x:c r="N805" s="12" t="str">
        <x:v>高超楼</x:v>
      </x:c>
      <x:c r="O805" s="12" t="n">
        <x:f>IFERROR(INDEX('秒级路线参数_可调整'!$O:$O,MATCH(M805,'秒级路线参数_可调整'!$A:$A,0)),"")</x:f>
        <x:v>0</x:v>
      </x:c>
      <x:c r="P805" s="12" t="str">
        <x:f>IF(O805="","",O805/86400)</x:f>
      </x:c>
      <x:c r="Q805" s="12" t="str">
        <x:f>IF(O805="","",(H805*60+O805)/86400)</x:f>
      </x:c>
      <x:c r="R805" s="12" t="str">
        <x:f>IF(Q805="","",TEXT(Q805,"hh:mm:ss"))</x:f>
      </x:c>
      <x:c r="S805" s="12" t="str">
        <x:v>否</x:v>
      </x:c>
      <x:c r="T805" s="12" t="str">
        <x:v>否</x:v>
      </x:c>
      <x:c r="U805" s="12" t="str">
        <x:v>未提供</x:v>
      </x:c>
      <x:c r="V805" s="12" t="str">
        <x:v>未提供</x:v>
      </x:c>
      <x:c r="W805" s="12" t="str">
        <x:v>秒级预测</x:v>
      </x:c>
      <x:c r="X805" s="12" t="str">
        <x:v>基于路线秒级参数；如录入实测或手动采用秒，预计到达时间可随公式更新</x:v>
      </x:c>
    </x:row>
    <x:row r="806">
      <x:c r="A806" s="12" t="str">
        <x:v>S0065-09</x:v>
      </x:c>
      <x:c r="B806" s="12" t="str">
        <x:v>S0065</x:v>
      </x:c>
      <x:c r="C806" s="12" t="str">
        <x:v>工作日</x:v>
      </x:c>
      <x:c r="D806" s="12" t="str">
        <x:v>环线1路</x:v>
      </x:c>
      <x:c r="E806" s="12" t="str">
        <x:v>第四班（夜1）</x:v>
      </x:c>
      <x:c r="F806" s="12" t="n">
        <x:v>9</x:v>
      </x:c>
      <x:c r="G806" s="12" t="str">
        <x:v>19:45</x:v>
      </x:c>
      <x:c r="H806" s="12" t="n">
        <x:v>1185</x:v>
      </x:c>
      <x:c r="I806" s="12" t="str">
        <x:v>研究生宿舍楼</x:v>
      </x:c>
      <x:c r="J806" s="12" t="str">
        <x:v>研究生宿舍楼发车</x:v>
      </x:c>
      <x:c r="K806" s="12" t="str">
        <x:v>HX1_NORMAL</x:v>
      </x:c>
      <x:c r="L806" s="12" t="n">
        <x:v>9</x:v>
      </x:c>
      <x:c r="M806" s="12" t="str">
        <x:v>HX1_NORMAL|9</x:v>
      </x:c>
      <x:c r="N806" s="12" t="str">
        <x:v>理学院</x:v>
      </x:c>
      <x:c r="O806" s="12" t="n">
        <x:f>IFERROR(INDEX('秒级路线参数_可调整'!$O:$O,MATCH(M806,'秒级路线参数_可调整'!$A:$A,0)),"")</x:f>
        <x:v>0</x:v>
      </x:c>
      <x:c r="P806" s="12" t="str">
        <x:f>IF(O806="","",O806/86400)</x:f>
      </x:c>
      <x:c r="Q806" s="12" t="str">
        <x:f>IF(O806="","",(H806*60+O806)/86400)</x:f>
      </x:c>
      <x:c r="R806" s="12" t="str">
        <x:f>IF(Q806="","",TEXT(Q806,"hh:mm:ss"))</x:f>
      </x:c>
      <x:c r="S806" s="12" t="str">
        <x:v>否</x:v>
      </x:c>
      <x:c r="T806" s="12" t="str">
        <x:v>否</x:v>
      </x:c>
      <x:c r="U806" s="12" t="str">
        <x:v>未提供</x:v>
      </x:c>
      <x:c r="V806" s="12" t="str">
        <x:v>未提供</x:v>
      </x:c>
      <x:c r="W806" s="12" t="str">
        <x:v>秒级预测</x:v>
      </x:c>
      <x:c r="X806" s="12" t="str">
        <x:v>基于路线秒级参数；如录入实测或手动采用秒，预计到达时间可随公式更新</x:v>
      </x:c>
    </x:row>
    <x:row r="807">
      <x:c r="A807" s="12" t="str">
        <x:v>S0065-10</x:v>
      </x:c>
      <x:c r="B807" s="12" t="str">
        <x:v>S0065</x:v>
      </x:c>
      <x:c r="C807" s="12" t="str">
        <x:v>工作日</x:v>
      </x:c>
      <x:c r="D807" s="12" t="str">
        <x:v>环线1路</x:v>
      </x:c>
      <x:c r="E807" s="12" t="str">
        <x:v>第四班（夜1）</x:v>
      </x:c>
      <x:c r="F807" s="12" t="n">
        <x:v>9</x:v>
      </x:c>
      <x:c r="G807" s="12" t="str">
        <x:v>19:45</x:v>
      </x:c>
      <x:c r="H807" s="12" t="n">
        <x:v>1185</x:v>
      </x:c>
      <x:c r="I807" s="12" t="str">
        <x:v>研究生宿舍楼</x:v>
      </x:c>
      <x:c r="J807" s="12" t="str">
        <x:v>研究生宿舍楼发车</x:v>
      </x:c>
      <x:c r="K807" s="12" t="str">
        <x:v>HX1_NORMAL</x:v>
      </x:c>
      <x:c r="L807" s="12" t="n">
        <x:v>10</x:v>
      </x:c>
      <x:c r="M807" s="12" t="str">
        <x:v>HX1_NORMAL|10</x:v>
      </x:c>
      <x:c r="N807" s="12" t="str">
        <x:v>二食堂</x:v>
      </x:c>
      <x:c r="O807" s="12" t="n">
        <x:f>IFERROR(INDEX('秒级路线参数_可调整'!$O:$O,MATCH(M807,'秒级路线参数_可调整'!$A:$A,0)),"")</x:f>
        <x:v>0</x:v>
      </x:c>
      <x:c r="P807" s="12" t="str">
        <x:f>IF(O807="","",O807/86400)</x:f>
      </x:c>
      <x:c r="Q807" s="12" t="str">
        <x:f>IF(O807="","",(H807*60+O807)/86400)</x:f>
      </x:c>
      <x:c r="R807" s="12" t="str">
        <x:f>IF(Q807="","",TEXT(Q807,"hh:mm:ss"))</x:f>
      </x:c>
      <x:c r="S807" s="12" t="str">
        <x:v>否</x:v>
      </x:c>
      <x:c r="T807" s="12" t="str">
        <x:v>否</x:v>
      </x:c>
      <x:c r="U807" s="12" t="str">
        <x:v>未提供</x:v>
      </x:c>
      <x:c r="V807" s="12" t="str">
        <x:v>未提供</x:v>
      </x:c>
      <x:c r="W807" s="12" t="str">
        <x:v>秒级预测</x:v>
      </x:c>
      <x:c r="X807" s="12" t="str">
        <x:v>基于路线秒级参数；如录入实测或手动采用秒，预计到达时间可随公式更新</x:v>
      </x:c>
    </x:row>
    <x:row r="808">
      <x:c r="A808" s="12" t="str">
        <x:v>S0065-11</x:v>
      </x:c>
      <x:c r="B808" s="12" t="str">
        <x:v>S0065</x:v>
      </x:c>
      <x:c r="C808" s="12" t="str">
        <x:v>工作日</x:v>
      </x:c>
      <x:c r="D808" s="12" t="str">
        <x:v>环线1路</x:v>
      </x:c>
      <x:c r="E808" s="12" t="str">
        <x:v>第四班（夜1）</x:v>
      </x:c>
      <x:c r="F808" s="12" t="n">
        <x:v>9</x:v>
      </x:c>
      <x:c r="G808" s="12" t="str">
        <x:v>19:45</x:v>
      </x:c>
      <x:c r="H808" s="12" t="n">
        <x:v>1185</x:v>
      </x:c>
      <x:c r="I808" s="12" t="str">
        <x:v>研究生宿舍楼</x:v>
      </x:c>
      <x:c r="J808" s="12" t="str">
        <x:v>研究生宿舍楼发车</x:v>
      </x:c>
      <x:c r="K808" s="12" t="str">
        <x:v>HX1_NORMAL</x:v>
      </x:c>
      <x:c r="L808" s="12" t="n">
        <x:v>11</x:v>
      </x:c>
      <x:c r="M808" s="12" t="str">
        <x:v>HX1_NORMAL|11</x:v>
      </x:c>
      <x:c r="N808" s="12" t="str">
        <x:v>5号宿舍楼</x:v>
      </x:c>
      <x:c r="O808" s="12" t="n">
        <x:f>IFERROR(INDEX('秒级路线参数_可调整'!$O:$O,MATCH(M808,'秒级路线参数_可调整'!$A:$A,0)),"")</x:f>
        <x:v>0</x:v>
      </x:c>
      <x:c r="P808" s="12" t="str">
        <x:f>IF(O808="","",O808/86400)</x:f>
      </x:c>
      <x:c r="Q808" s="12" t="str">
        <x:f>IF(O808="","",(H808*60+O808)/86400)</x:f>
      </x:c>
      <x:c r="R808" s="12" t="str">
        <x:f>IF(Q808="","",TEXT(Q808,"hh:mm:ss"))</x:f>
      </x:c>
      <x:c r="S808" s="12" t="str">
        <x:v>否</x:v>
      </x:c>
      <x:c r="T808" s="12" t="str">
        <x:v>否</x:v>
      </x:c>
      <x:c r="U808" s="12" t="str">
        <x:v>未提供</x:v>
      </x:c>
      <x:c r="V808" s="12" t="str">
        <x:v>未提供</x:v>
      </x:c>
      <x:c r="W808" s="12" t="str">
        <x:v>秒级预测</x:v>
      </x:c>
      <x:c r="X808" s="12" t="str">
        <x:v>基于路线秒级参数；如录入实测或手动采用秒，预计到达时间可随公式更新</x:v>
      </x:c>
    </x:row>
    <x:row r="809">
      <x:c r="A809" s="12" t="str">
        <x:v>S0065-12</x:v>
      </x:c>
      <x:c r="B809" s="12" t="str">
        <x:v>S0065</x:v>
      </x:c>
      <x:c r="C809" s="12" t="str">
        <x:v>工作日</x:v>
      </x:c>
      <x:c r="D809" s="12" t="str">
        <x:v>环线1路</x:v>
      </x:c>
      <x:c r="E809" s="12" t="str">
        <x:v>第四班（夜1）</x:v>
      </x:c>
      <x:c r="F809" s="12" t="n">
        <x:v>9</x:v>
      </x:c>
      <x:c r="G809" s="12" t="str">
        <x:v>19:45</x:v>
      </x:c>
      <x:c r="H809" s="12" t="n">
        <x:v>1185</x:v>
      </x:c>
      <x:c r="I809" s="12" t="str">
        <x:v>研究生宿舍楼</x:v>
      </x:c>
      <x:c r="J809" s="12" t="str">
        <x:v>研究生宿舍楼发车</x:v>
      </x:c>
      <x:c r="K809" s="12" t="str">
        <x:v>HX1_NORMAL</x:v>
      </x:c>
      <x:c r="L809" s="12" t="n">
        <x:v>12</x:v>
      </x:c>
      <x:c r="M809" s="12" t="str">
        <x:v>HX1_NORMAL|12</x:v>
      </x:c>
      <x:c r="N809" s="12" t="str">
        <x:v>305教学楼</x:v>
      </x:c>
      <x:c r="O809" s="12" t="n">
        <x:f>IFERROR(INDEX('秒级路线参数_可调整'!$O:$O,MATCH(M809,'秒级路线参数_可调整'!$A:$A,0)),"")</x:f>
        <x:v>0</x:v>
      </x:c>
      <x:c r="P809" s="12" t="str">
        <x:f>IF(O809="","",O809/86400)</x:f>
      </x:c>
      <x:c r="Q809" s="12" t="str">
        <x:f>IF(O809="","",(H809*60+O809)/86400)</x:f>
      </x:c>
      <x:c r="R809" s="12" t="str">
        <x:f>IF(Q809="","",TEXT(Q809,"hh:mm:ss"))</x:f>
      </x:c>
      <x:c r="S809" s="12" t="str">
        <x:v>否</x:v>
      </x:c>
      <x:c r="T809" s="12" t="str">
        <x:v>否</x:v>
      </x:c>
      <x:c r="U809" s="12" t="str">
        <x:v>未提供</x:v>
      </x:c>
      <x:c r="V809" s="12" t="str">
        <x:v>未提供</x:v>
      </x:c>
      <x:c r="W809" s="12" t="str">
        <x:v>秒级预测</x:v>
      </x:c>
      <x:c r="X809" s="12" t="str">
        <x:v>基于路线秒级参数；如录入实测或手动采用秒，预计到达时间可随公式更新</x:v>
      </x:c>
    </x:row>
    <x:row r="810">
      <x:c r="A810" s="12" t="str">
        <x:v>S0065-13</x:v>
      </x:c>
      <x:c r="B810" s="12" t="str">
        <x:v>S0065</x:v>
      </x:c>
      <x:c r="C810" s="12" t="str">
        <x:v>工作日</x:v>
      </x:c>
      <x:c r="D810" s="12" t="str">
        <x:v>环线1路</x:v>
      </x:c>
      <x:c r="E810" s="12" t="str">
        <x:v>第四班（夜1）</x:v>
      </x:c>
      <x:c r="F810" s="12" t="n">
        <x:v>9</x:v>
      </x:c>
      <x:c r="G810" s="12" t="str">
        <x:v>19:45</x:v>
      </x:c>
      <x:c r="H810" s="12" t="n">
        <x:v>1185</x:v>
      </x:c>
      <x:c r="I810" s="12" t="str">
        <x:v>研究生宿舍楼</x:v>
      </x:c>
      <x:c r="J810" s="12" t="str">
        <x:v>研究生宿舍楼发车</x:v>
      </x:c>
      <x:c r="K810" s="12" t="str">
        <x:v>HX1_NORMAL</x:v>
      </x:c>
      <x:c r="L810" s="12" t="n">
        <x:v>13</x:v>
      </x:c>
      <x:c r="M810" s="12" t="str">
        <x:v>HX1_NORMAL|13</x:v>
      </x:c>
      <x:c r="N810" s="12" t="str">
        <x:v>研究生宿舍楼</x:v>
      </x:c>
      <x:c r="O810" s="12" t="n">
        <x:f>IFERROR(INDEX('秒级路线参数_可调整'!$O:$O,MATCH(M810,'秒级路线参数_可调整'!$A:$A,0)),"")</x:f>
        <x:v>0</x:v>
      </x:c>
      <x:c r="P810" s="12" t="str">
        <x:f>IF(O810="","",O810/86400)</x:f>
      </x:c>
      <x:c r="Q810" s="12" t="str">
        <x:f>IF(O810="","",(H810*60+O810)/86400)</x:f>
      </x:c>
      <x:c r="R810" s="12" t="str">
        <x:f>IF(Q810="","",TEXT(Q810,"hh:mm:ss"))</x:f>
      </x:c>
      <x:c r="S810" s="12" t="str">
        <x:v>否</x:v>
      </x:c>
      <x:c r="T810" s="12" t="str">
        <x:v>是</x:v>
      </x:c>
      <x:c r="U810" s="12" t="str">
        <x:v>未提供</x:v>
      </x:c>
      <x:c r="V810" s="12" t="str">
        <x:v>未提供</x:v>
      </x:c>
      <x:c r="W810" s="12" t="str">
        <x:v>秒级预测</x:v>
      </x:c>
      <x:c r="X810" s="12" t="str">
        <x:v>基于路线秒级参数；如录入实测或手动采用秒，预计到达时间可随公式更新</x:v>
      </x:c>
    </x:row>
    <x:row r="811">
      <x:c r="A811" s="12" t="str">
        <x:v>S0066-01</x:v>
      </x:c>
      <x:c r="B811" s="12" t="str">
        <x:v>S0066</x:v>
      </x:c>
      <x:c r="C811" s="12" t="str">
        <x:v>工作日</x:v>
      </x:c>
      <x:c r="D811" s="12" t="str">
        <x:v>环线1路</x:v>
      </x:c>
      <x:c r="E811" s="12" t="str">
        <x:v>第四班（夜1）</x:v>
      </x:c>
      <x:c r="F811" s="12" t="n">
        <x:v>10</x:v>
      </x:c>
      <x:c r="G811" s="12" t="str">
        <x:v>20:15</x:v>
      </x:c>
      <x:c r="H811" s="12" t="n">
        <x:v>1215</x:v>
      </x:c>
      <x:c r="I811" s="12" t="str">
        <x:v>研究生宿舍楼</x:v>
      </x:c>
      <x:c r="J811" s="12" t="str">
        <x:v>研究生宿舍楼发车</x:v>
      </x:c>
      <x:c r="K811" s="12" t="str">
        <x:v>HX1_NORMAL</x:v>
      </x:c>
      <x:c r="L811" s="12" t="n">
        <x:v>1</x:v>
      </x:c>
      <x:c r="M811" s="12" t="str">
        <x:v>HX1_NORMAL|1</x:v>
      </x:c>
      <x:c r="N811" s="12" t="str">
        <x:v>研究生宿舍楼</x:v>
      </x:c>
      <x:c r="O811" s="12" t="n">
        <x:f>IFERROR(INDEX('秒级路线参数_可调整'!$O:$O,MATCH(M811,'秒级路线参数_可调整'!$A:$A,0)),"")</x:f>
        <x:v>0</x:v>
      </x:c>
      <x:c r="P811" s="12" t="str">
        <x:f>IF(O811="","",O811/86400)</x:f>
      </x:c>
      <x:c r="Q811" s="12" t="str">
        <x:f>IF(O811="","",(H811*60+O811)/86400)</x:f>
      </x:c>
      <x:c r="R811" s="12" t="str">
        <x:f>IF(Q811="","",TEXT(Q811,"hh:mm:ss"))</x:f>
      </x:c>
      <x:c r="S811" s="12" t="str">
        <x:v>是</x:v>
      </x:c>
      <x:c r="T811" s="12" t="str">
        <x:v>否</x:v>
      </x:c>
      <x:c r="U811" s="12" t="str">
        <x:v>未提供</x:v>
      </x:c>
      <x:c r="V811" s="12" t="str">
        <x:v>未提供</x:v>
      </x:c>
      <x:c r="W811" s="12" t="str">
        <x:v>秒级预测</x:v>
      </x:c>
      <x:c r="X811" s="12" t="str">
        <x:v>基于路线秒级参数；如录入实测或手动采用秒，预计到达时间可随公式更新</x:v>
      </x:c>
    </x:row>
    <x:row r="812">
      <x:c r="A812" s="12" t="str">
        <x:v>S0066-02</x:v>
      </x:c>
      <x:c r="B812" s="12" t="str">
        <x:v>S0066</x:v>
      </x:c>
      <x:c r="C812" s="12" t="str">
        <x:v>工作日</x:v>
      </x:c>
      <x:c r="D812" s="12" t="str">
        <x:v>环线1路</x:v>
      </x:c>
      <x:c r="E812" s="12" t="str">
        <x:v>第四班（夜1）</x:v>
      </x:c>
      <x:c r="F812" s="12" t="n">
        <x:v>10</x:v>
      </x:c>
      <x:c r="G812" s="12" t="str">
        <x:v>20:15</x:v>
      </x:c>
      <x:c r="H812" s="12" t="n">
        <x:v>1215</x:v>
      </x:c>
      <x:c r="I812" s="12" t="str">
        <x:v>研究生宿舍楼</x:v>
      </x:c>
      <x:c r="J812" s="12" t="str">
        <x:v>研究生宿舍楼发车</x:v>
      </x:c>
      <x:c r="K812" s="12" t="str">
        <x:v>HX1_NORMAL</x:v>
      </x:c>
      <x:c r="L812" s="12" t="n">
        <x:v>2</x:v>
      </x:c>
      <x:c r="M812" s="12" t="str">
        <x:v>HX1_NORMAL|2</x:v>
      </x:c>
      <x:c r="N812" s="12" t="str">
        <x:v>东门</x:v>
      </x:c>
      <x:c r="O812" s="12" t="n">
        <x:f>IFERROR(INDEX('秒级路线参数_可调整'!$O:$O,MATCH(M812,'秒级路线参数_可调整'!$A:$A,0)),"")</x:f>
        <x:v>0</x:v>
      </x:c>
      <x:c r="P812" s="12" t="str">
        <x:f>IF(O812="","",O812/86400)</x:f>
      </x:c>
      <x:c r="Q812" s="12" t="str">
        <x:f>IF(O812="","",(H812*60+O812)/86400)</x:f>
      </x:c>
      <x:c r="R812" s="12" t="str">
        <x:f>IF(Q812="","",TEXT(Q812,"hh:mm:ss"))</x:f>
      </x:c>
      <x:c r="S812" s="12" t="str">
        <x:v>否</x:v>
      </x:c>
      <x:c r="T812" s="12" t="str">
        <x:v>否</x:v>
      </x:c>
      <x:c r="U812" s="12" t="str">
        <x:v>未提供</x:v>
      </x:c>
      <x:c r="V812" s="12" t="str">
        <x:v>未提供</x:v>
      </x:c>
      <x:c r="W812" s="12" t="str">
        <x:v>秒级预测</x:v>
      </x:c>
      <x:c r="X812" s="12" t="str">
        <x:v>基于路线秒级参数；如录入实测或手动采用秒，预计到达时间可随公式更新</x:v>
      </x:c>
    </x:row>
    <x:row r="813">
      <x:c r="A813" s="12" t="str">
        <x:v>S0066-03</x:v>
      </x:c>
      <x:c r="B813" s="12" t="str">
        <x:v>S0066</x:v>
      </x:c>
      <x:c r="C813" s="12" t="str">
        <x:v>工作日</x:v>
      </x:c>
      <x:c r="D813" s="12" t="str">
        <x:v>环线1路</x:v>
      </x:c>
      <x:c r="E813" s="12" t="str">
        <x:v>第四班（夜1）</x:v>
      </x:c>
      <x:c r="F813" s="12" t="n">
        <x:v>10</x:v>
      </x:c>
      <x:c r="G813" s="12" t="str">
        <x:v>20:15</x:v>
      </x:c>
      <x:c r="H813" s="12" t="n">
        <x:v>1215</x:v>
      </x:c>
      <x:c r="I813" s="12" t="str">
        <x:v>研究生宿舍楼</x:v>
      </x:c>
      <x:c r="J813" s="12" t="str">
        <x:v>研究生宿舍楼发车</x:v>
      </x:c>
      <x:c r="K813" s="12" t="str">
        <x:v>HX1_NORMAL</x:v>
      </x:c>
      <x:c r="L813" s="12" t="n">
        <x:v>3</x:v>
      </x:c>
      <x:c r="M813" s="12" t="str">
        <x:v>HX1_NORMAL|3</x:v>
      </x:c>
      <x:c r="N813" s="12" t="str">
        <x:v>2号宿舍楼</x:v>
      </x:c>
      <x:c r="O813" s="12" t="n">
        <x:f>IFERROR(INDEX('秒级路线参数_可调整'!$O:$O,MATCH(M813,'秒级路线参数_可调整'!$A:$A,0)),"")</x:f>
        <x:v>0</x:v>
      </x:c>
      <x:c r="P813" s="12" t="str">
        <x:f>IF(O813="","",O813/86400)</x:f>
      </x:c>
      <x:c r="Q813" s="12" t="str">
        <x:f>IF(O813="","",(H813*60+O813)/86400)</x:f>
      </x:c>
      <x:c r="R813" s="12" t="str">
        <x:f>IF(Q813="","",TEXT(Q813,"hh:mm:ss"))</x:f>
      </x:c>
      <x:c r="S813" s="12" t="str">
        <x:v>否</x:v>
      </x:c>
      <x:c r="T813" s="12" t="str">
        <x:v>否</x:v>
      </x:c>
      <x:c r="U813" s="12" t="str">
        <x:v>未提供</x:v>
      </x:c>
      <x:c r="V813" s="12" t="str">
        <x:v>未提供</x:v>
      </x:c>
      <x:c r="W813" s="12" t="str">
        <x:v>秒级预测</x:v>
      </x:c>
      <x:c r="X813" s="12" t="str">
        <x:v>基于路线秒级参数；如录入实测或手动采用秒，预计到达时间可随公式更新</x:v>
      </x:c>
    </x:row>
    <x:row r="814">
      <x:c r="A814" s="12" t="str">
        <x:v>S0066-04</x:v>
      </x:c>
      <x:c r="B814" s="12" t="str">
        <x:v>S0066</x:v>
      </x:c>
      <x:c r="C814" s="12" t="str">
        <x:v>工作日</x:v>
      </x:c>
      <x:c r="D814" s="12" t="str">
        <x:v>环线1路</x:v>
      </x:c>
      <x:c r="E814" s="12" t="str">
        <x:v>第四班（夜1）</x:v>
      </x:c>
      <x:c r="F814" s="12" t="n">
        <x:v>10</x:v>
      </x:c>
      <x:c r="G814" s="12" t="str">
        <x:v>20:15</x:v>
      </x:c>
      <x:c r="H814" s="12" t="n">
        <x:v>1215</x:v>
      </x:c>
      <x:c r="I814" s="12" t="str">
        <x:v>研究生宿舍楼</x:v>
      </x:c>
      <x:c r="J814" s="12" t="str">
        <x:v>研究生宿舍楼发车</x:v>
      </x:c>
      <x:c r="K814" s="12" t="str">
        <x:v>HX1_NORMAL</x:v>
      </x:c>
      <x:c r="L814" s="12" t="n">
        <x:v>4</x:v>
      </x:c>
      <x:c r="M814" s="12" t="str">
        <x:v>HX1_NORMAL|4</x:v>
      </x:c>
      <x:c r="N814" s="12" t="str">
        <x:v>军体活动中心</x:v>
      </x:c>
      <x:c r="O814" s="12" t="n">
        <x:f>IFERROR(INDEX('秒级路线参数_可调整'!$O:$O,MATCH(M814,'秒级路线参数_可调整'!$A:$A,0)),"")</x:f>
        <x:v>0</x:v>
      </x:c>
      <x:c r="P814" s="12" t="str">
        <x:f>IF(O814="","",O814/86400)</x:f>
      </x:c>
      <x:c r="Q814" s="12" t="str">
        <x:f>IF(O814="","",(H814*60+O814)/86400)</x:f>
      </x:c>
      <x:c r="R814" s="12" t="str">
        <x:f>IF(Q814="","",TEXT(Q814,"hh:mm:ss"))</x:f>
      </x:c>
      <x:c r="S814" s="12" t="str">
        <x:v>否</x:v>
      </x:c>
      <x:c r="T814" s="12" t="str">
        <x:v>否</x:v>
      </x:c>
      <x:c r="U814" s="12" t="str">
        <x:v>未提供</x:v>
      </x:c>
      <x:c r="V814" s="12" t="str">
        <x:v>未提供</x:v>
      </x:c>
      <x:c r="W814" s="12" t="str">
        <x:v>秒级预测</x:v>
      </x:c>
      <x:c r="X814" s="12" t="str">
        <x:v>基于路线秒级参数；如录入实测或手动采用秒，预计到达时间可随公式更新</x:v>
      </x:c>
    </x:row>
    <x:row r="815">
      <x:c r="A815" s="12" t="str">
        <x:v>S0066-05</x:v>
      </x:c>
      <x:c r="B815" s="12" t="str">
        <x:v>S0066</x:v>
      </x:c>
      <x:c r="C815" s="12" t="str">
        <x:v>工作日</x:v>
      </x:c>
      <x:c r="D815" s="12" t="str">
        <x:v>环线1路</x:v>
      </x:c>
      <x:c r="E815" s="12" t="str">
        <x:v>第四班（夜1）</x:v>
      </x:c>
      <x:c r="F815" s="12" t="n">
        <x:v>10</x:v>
      </x:c>
      <x:c r="G815" s="12" t="str">
        <x:v>20:15</x:v>
      </x:c>
      <x:c r="H815" s="12" t="n">
        <x:v>1215</x:v>
      </x:c>
      <x:c r="I815" s="12" t="str">
        <x:v>研究生宿舍楼</x:v>
      </x:c>
      <x:c r="J815" s="12" t="str">
        <x:v>研究生宿舍楼发车</x:v>
      </x:c>
      <x:c r="K815" s="12" t="str">
        <x:v>HX1_NORMAL</x:v>
      </x:c>
      <x:c r="L815" s="12" t="n">
        <x:v>5</x:v>
      </x:c>
      <x:c r="M815" s="12" t="str">
        <x:v>HX1_NORMAL|5</x:v>
      </x:c>
      <x:c r="N815" s="12" t="str">
        <x:v>激光所</x:v>
      </x:c>
      <x:c r="O815" s="12" t="n">
        <x:f>IFERROR(INDEX('秒级路线参数_可调整'!$O:$O,MATCH(M815,'秒级路线参数_可调整'!$A:$A,0)),"")</x:f>
        <x:v>0</x:v>
      </x:c>
      <x:c r="P815" s="12" t="str">
        <x:f>IF(O815="","",O815/86400)</x:f>
      </x:c>
      <x:c r="Q815" s="12" t="str">
        <x:f>IF(O815="","",(H815*60+O815)/86400)</x:f>
      </x:c>
      <x:c r="R815" s="12" t="str">
        <x:f>IF(Q815="","",TEXT(Q815,"hh:mm:ss"))</x:f>
      </x:c>
      <x:c r="S815" s="12" t="str">
        <x:v>否</x:v>
      </x:c>
      <x:c r="T815" s="12" t="str">
        <x:v>否</x:v>
      </x:c>
      <x:c r="U815" s="12" t="str">
        <x:v>未提供</x:v>
      </x:c>
      <x:c r="V815" s="12" t="str">
        <x:v>未提供</x:v>
      </x:c>
      <x:c r="W815" s="12" t="str">
        <x:v>秒级预测</x:v>
      </x:c>
      <x:c r="X815" s="12" t="str">
        <x:v>基于路线秒级参数；如录入实测或手动采用秒，预计到达时间可随公式更新</x:v>
      </x:c>
    </x:row>
    <x:row r="816">
      <x:c r="A816" s="12" t="str">
        <x:v>S0066-06</x:v>
      </x:c>
      <x:c r="B816" s="12" t="str">
        <x:v>S0066</x:v>
      </x:c>
      <x:c r="C816" s="12" t="str">
        <x:v>工作日</x:v>
      </x:c>
      <x:c r="D816" s="12" t="str">
        <x:v>环线1路</x:v>
      </x:c>
      <x:c r="E816" s="12" t="str">
        <x:v>第四班（夜1）</x:v>
      </x:c>
      <x:c r="F816" s="12" t="n">
        <x:v>10</x:v>
      </x:c>
      <x:c r="G816" s="12" t="str">
        <x:v>20:15</x:v>
      </x:c>
      <x:c r="H816" s="12" t="n">
        <x:v>1215</x:v>
      </x:c>
      <x:c r="I816" s="12" t="str">
        <x:v>研究生宿舍楼</x:v>
      </x:c>
      <x:c r="J816" s="12" t="str">
        <x:v>研究生宿舍楼发车</x:v>
      </x:c>
      <x:c r="K816" s="12" t="str">
        <x:v>HX1_NORMAL</x:v>
      </x:c>
      <x:c r="L816" s="12" t="n">
        <x:v>6</x:v>
      </x:c>
      <x:c r="M816" s="12" t="str">
        <x:v>HX1_NORMAL|6</x:v>
      </x:c>
      <x:c r="N816" s="12" t="str">
        <x:v>超算中心</x:v>
      </x:c>
      <x:c r="O816" s="12" t="n">
        <x:f>IFERROR(INDEX('秒级路线参数_可调整'!$O:$O,MATCH(M816,'秒级路线参数_可调整'!$A:$A,0)),"")</x:f>
        <x:v>0</x:v>
      </x:c>
      <x:c r="P816" s="12" t="str">
        <x:f>IF(O816="","",O816/86400)</x:f>
      </x:c>
      <x:c r="Q816" s="12" t="str">
        <x:f>IF(O816="","",(H816*60+O816)/86400)</x:f>
      </x:c>
      <x:c r="R816" s="12" t="str">
        <x:f>IF(Q816="","",TEXT(Q816,"hh:mm:ss"))</x:f>
      </x:c>
      <x:c r="S816" s="12" t="str">
        <x:v>否</x:v>
      </x:c>
      <x:c r="T816" s="12" t="str">
        <x:v>否</x:v>
      </x:c>
      <x:c r="U816" s="12" t="str">
        <x:v>未提供</x:v>
      </x:c>
      <x:c r="V816" s="12" t="str">
        <x:v>未提供</x:v>
      </x:c>
      <x:c r="W816" s="12" t="str">
        <x:v>秒级预测</x:v>
      </x:c>
      <x:c r="X816" s="12" t="str">
        <x:v>基于路线秒级参数；如录入实测或手动采用秒，预计到达时间可随公式更新</x:v>
      </x:c>
    </x:row>
    <x:row r="817">
      <x:c r="A817" s="12" t="str">
        <x:v>S0066-07</x:v>
      </x:c>
      <x:c r="B817" s="12" t="str">
        <x:v>S0066</x:v>
      </x:c>
      <x:c r="C817" s="12" t="str">
        <x:v>工作日</x:v>
      </x:c>
      <x:c r="D817" s="12" t="str">
        <x:v>环线1路</x:v>
      </x:c>
      <x:c r="E817" s="12" t="str">
        <x:v>第四班（夜1）</x:v>
      </x:c>
      <x:c r="F817" s="12" t="n">
        <x:v>10</x:v>
      </x:c>
      <x:c r="G817" s="12" t="str">
        <x:v>20:15</x:v>
      </x:c>
      <x:c r="H817" s="12" t="n">
        <x:v>1215</x:v>
      </x:c>
      <x:c r="I817" s="12" t="str">
        <x:v>研究生宿舍楼</x:v>
      </x:c>
      <x:c r="J817" s="12" t="str">
        <x:v>研究生宿舍楼发车</x:v>
      </x:c>
      <x:c r="K817" s="12" t="str">
        <x:v>HX1_NORMAL</x:v>
      </x:c>
      <x:c r="L817" s="12" t="n">
        <x:v>7</x:v>
      </x:c>
      <x:c r="M817" s="12" t="str">
        <x:v>HX1_NORMAL|7</x:v>
      </x:c>
      <x:c r="N817" s="12" t="str">
        <x:v>北门</x:v>
      </x:c>
      <x:c r="O817" s="12" t="n">
        <x:f>IFERROR(INDEX('秒级路线参数_可调整'!$O:$O,MATCH(M817,'秒级路线参数_可调整'!$A:$A,0)),"")</x:f>
        <x:v>0</x:v>
      </x:c>
      <x:c r="P817" s="12" t="str">
        <x:f>IF(O817="","",O817/86400)</x:f>
      </x:c>
      <x:c r="Q817" s="12" t="str">
        <x:f>IF(O817="","",(H817*60+O817)/86400)</x:f>
      </x:c>
      <x:c r="R817" s="12" t="str">
        <x:f>IF(Q817="","",TEXT(Q817,"hh:mm:ss"))</x:f>
      </x:c>
      <x:c r="S817" s="12" t="str">
        <x:v>否</x:v>
      </x:c>
      <x:c r="T817" s="12" t="str">
        <x:v>否</x:v>
      </x:c>
      <x:c r="U817" s="12" t="str">
        <x:v>未提供</x:v>
      </x:c>
      <x:c r="V817" s="12" t="str">
        <x:v>未提供</x:v>
      </x:c>
      <x:c r="W817" s="12" t="str">
        <x:v>秒级预测</x:v>
      </x:c>
      <x:c r="X817" s="12" t="str">
        <x:v>基于路线秒级参数；如录入实测或手动采用秒，预计到达时间可随公式更新</x:v>
      </x:c>
    </x:row>
    <x:row r="818">
      <x:c r="A818" s="12" t="str">
        <x:v>S0066-08</x:v>
      </x:c>
      <x:c r="B818" s="12" t="str">
        <x:v>S0066</x:v>
      </x:c>
      <x:c r="C818" s="12" t="str">
        <x:v>工作日</x:v>
      </x:c>
      <x:c r="D818" s="12" t="str">
        <x:v>环线1路</x:v>
      </x:c>
      <x:c r="E818" s="12" t="str">
        <x:v>第四班（夜1）</x:v>
      </x:c>
      <x:c r="F818" s="12" t="n">
        <x:v>10</x:v>
      </x:c>
      <x:c r="G818" s="12" t="str">
        <x:v>20:15</x:v>
      </x:c>
      <x:c r="H818" s="12" t="n">
        <x:v>1215</x:v>
      </x:c>
      <x:c r="I818" s="12" t="str">
        <x:v>研究生宿舍楼</x:v>
      </x:c>
      <x:c r="J818" s="12" t="str">
        <x:v>研究生宿舍楼发车</x:v>
      </x:c>
      <x:c r="K818" s="12" t="str">
        <x:v>HX1_NORMAL</x:v>
      </x:c>
      <x:c r="L818" s="12" t="n">
        <x:v>8</x:v>
      </x:c>
      <x:c r="M818" s="12" t="str">
        <x:v>HX1_NORMAL|8</x:v>
      </x:c>
      <x:c r="N818" s="12" t="str">
        <x:v>高超楼</x:v>
      </x:c>
      <x:c r="O818" s="12" t="n">
        <x:f>IFERROR(INDEX('秒级路线参数_可调整'!$O:$O,MATCH(M818,'秒级路线参数_可调整'!$A:$A,0)),"")</x:f>
        <x:v>0</x:v>
      </x:c>
      <x:c r="P818" s="12" t="str">
        <x:f>IF(O818="","",O818/86400)</x:f>
      </x:c>
      <x:c r="Q818" s="12" t="str">
        <x:f>IF(O818="","",(H818*60+O818)/86400)</x:f>
      </x:c>
      <x:c r="R818" s="12" t="str">
        <x:f>IF(Q818="","",TEXT(Q818,"hh:mm:ss"))</x:f>
      </x:c>
      <x:c r="S818" s="12" t="str">
        <x:v>否</x:v>
      </x:c>
      <x:c r="T818" s="12" t="str">
        <x:v>否</x:v>
      </x:c>
      <x:c r="U818" s="12" t="str">
        <x:v>未提供</x:v>
      </x:c>
      <x:c r="V818" s="12" t="str">
        <x:v>未提供</x:v>
      </x:c>
      <x:c r="W818" s="12" t="str">
        <x:v>秒级预测</x:v>
      </x:c>
      <x:c r="X818" s="12" t="str">
        <x:v>基于路线秒级参数；如录入实测或手动采用秒，预计到达时间可随公式更新</x:v>
      </x:c>
    </x:row>
    <x:row r="819">
      <x:c r="A819" s="12" t="str">
        <x:v>S0066-09</x:v>
      </x:c>
      <x:c r="B819" s="12" t="str">
        <x:v>S0066</x:v>
      </x:c>
      <x:c r="C819" s="12" t="str">
        <x:v>工作日</x:v>
      </x:c>
      <x:c r="D819" s="12" t="str">
        <x:v>环线1路</x:v>
      </x:c>
      <x:c r="E819" s="12" t="str">
        <x:v>第四班（夜1）</x:v>
      </x:c>
      <x:c r="F819" s="12" t="n">
        <x:v>10</x:v>
      </x:c>
      <x:c r="G819" s="12" t="str">
        <x:v>20:15</x:v>
      </x:c>
      <x:c r="H819" s="12" t="n">
        <x:v>1215</x:v>
      </x:c>
      <x:c r="I819" s="12" t="str">
        <x:v>研究生宿舍楼</x:v>
      </x:c>
      <x:c r="J819" s="12" t="str">
        <x:v>研究生宿舍楼发车</x:v>
      </x:c>
      <x:c r="K819" s="12" t="str">
        <x:v>HX1_NORMAL</x:v>
      </x:c>
      <x:c r="L819" s="12" t="n">
        <x:v>9</x:v>
      </x:c>
      <x:c r="M819" s="12" t="str">
        <x:v>HX1_NORMAL|9</x:v>
      </x:c>
      <x:c r="N819" s="12" t="str">
        <x:v>理学院</x:v>
      </x:c>
      <x:c r="O819" s="12" t="n">
        <x:f>IFERROR(INDEX('秒级路线参数_可调整'!$O:$O,MATCH(M819,'秒级路线参数_可调整'!$A:$A,0)),"")</x:f>
        <x:v>0</x:v>
      </x:c>
      <x:c r="P819" s="12" t="str">
        <x:f>IF(O819="","",O819/86400)</x:f>
      </x:c>
      <x:c r="Q819" s="12" t="str">
        <x:f>IF(O819="","",(H819*60+O819)/86400)</x:f>
      </x:c>
      <x:c r="R819" s="12" t="str">
        <x:f>IF(Q819="","",TEXT(Q819,"hh:mm:ss"))</x:f>
      </x:c>
      <x:c r="S819" s="12" t="str">
        <x:v>否</x:v>
      </x:c>
      <x:c r="T819" s="12" t="str">
        <x:v>否</x:v>
      </x:c>
      <x:c r="U819" s="12" t="str">
        <x:v>未提供</x:v>
      </x:c>
      <x:c r="V819" s="12" t="str">
        <x:v>未提供</x:v>
      </x:c>
      <x:c r="W819" s="12" t="str">
        <x:v>秒级预测</x:v>
      </x:c>
      <x:c r="X819" s="12" t="str">
        <x:v>基于路线秒级参数；如录入实测或手动采用秒，预计到达时间可随公式更新</x:v>
      </x:c>
    </x:row>
    <x:row r="820">
      <x:c r="A820" s="12" t="str">
        <x:v>S0066-10</x:v>
      </x:c>
      <x:c r="B820" s="12" t="str">
        <x:v>S0066</x:v>
      </x:c>
      <x:c r="C820" s="12" t="str">
        <x:v>工作日</x:v>
      </x:c>
      <x:c r="D820" s="12" t="str">
        <x:v>环线1路</x:v>
      </x:c>
      <x:c r="E820" s="12" t="str">
        <x:v>第四班（夜1）</x:v>
      </x:c>
      <x:c r="F820" s="12" t="n">
        <x:v>10</x:v>
      </x:c>
      <x:c r="G820" s="12" t="str">
        <x:v>20:15</x:v>
      </x:c>
      <x:c r="H820" s="12" t="n">
        <x:v>1215</x:v>
      </x:c>
      <x:c r="I820" s="12" t="str">
        <x:v>研究生宿舍楼</x:v>
      </x:c>
      <x:c r="J820" s="12" t="str">
        <x:v>研究生宿舍楼发车</x:v>
      </x:c>
      <x:c r="K820" s="12" t="str">
        <x:v>HX1_NORMAL</x:v>
      </x:c>
      <x:c r="L820" s="12" t="n">
        <x:v>10</x:v>
      </x:c>
      <x:c r="M820" s="12" t="str">
        <x:v>HX1_NORMAL|10</x:v>
      </x:c>
      <x:c r="N820" s="12" t="str">
        <x:v>二食堂</x:v>
      </x:c>
      <x:c r="O820" s="12" t="n">
        <x:f>IFERROR(INDEX('秒级路线参数_可调整'!$O:$O,MATCH(M820,'秒级路线参数_可调整'!$A:$A,0)),"")</x:f>
        <x:v>0</x:v>
      </x:c>
      <x:c r="P820" s="12" t="str">
        <x:f>IF(O820="","",O820/86400)</x:f>
      </x:c>
      <x:c r="Q820" s="12" t="str">
        <x:f>IF(O820="","",(H820*60+O820)/86400)</x:f>
      </x:c>
      <x:c r="R820" s="12" t="str">
        <x:f>IF(Q820="","",TEXT(Q820,"hh:mm:ss"))</x:f>
      </x:c>
      <x:c r="S820" s="12" t="str">
        <x:v>否</x:v>
      </x:c>
      <x:c r="T820" s="12" t="str">
        <x:v>否</x:v>
      </x:c>
      <x:c r="U820" s="12" t="str">
        <x:v>未提供</x:v>
      </x:c>
      <x:c r="V820" s="12" t="str">
        <x:v>未提供</x:v>
      </x:c>
      <x:c r="W820" s="12" t="str">
        <x:v>秒级预测</x:v>
      </x:c>
      <x:c r="X820" s="12" t="str">
        <x:v>基于路线秒级参数；如录入实测或手动采用秒，预计到达时间可随公式更新</x:v>
      </x:c>
    </x:row>
    <x:row r="821">
      <x:c r="A821" s="12" t="str">
        <x:v>S0066-11</x:v>
      </x:c>
      <x:c r="B821" s="12" t="str">
        <x:v>S0066</x:v>
      </x:c>
      <x:c r="C821" s="12" t="str">
        <x:v>工作日</x:v>
      </x:c>
      <x:c r="D821" s="12" t="str">
        <x:v>环线1路</x:v>
      </x:c>
      <x:c r="E821" s="12" t="str">
        <x:v>第四班（夜1）</x:v>
      </x:c>
      <x:c r="F821" s="12" t="n">
        <x:v>10</x:v>
      </x:c>
      <x:c r="G821" s="12" t="str">
        <x:v>20:15</x:v>
      </x:c>
      <x:c r="H821" s="12" t="n">
        <x:v>1215</x:v>
      </x:c>
      <x:c r="I821" s="12" t="str">
        <x:v>研究生宿舍楼</x:v>
      </x:c>
      <x:c r="J821" s="12" t="str">
        <x:v>研究生宿舍楼发车</x:v>
      </x:c>
      <x:c r="K821" s="12" t="str">
        <x:v>HX1_NORMAL</x:v>
      </x:c>
      <x:c r="L821" s="12" t="n">
        <x:v>11</x:v>
      </x:c>
      <x:c r="M821" s="12" t="str">
        <x:v>HX1_NORMAL|11</x:v>
      </x:c>
      <x:c r="N821" s="12" t="str">
        <x:v>5号宿舍楼</x:v>
      </x:c>
      <x:c r="O821" s="12" t="n">
        <x:f>IFERROR(INDEX('秒级路线参数_可调整'!$O:$O,MATCH(M821,'秒级路线参数_可调整'!$A:$A,0)),"")</x:f>
        <x:v>0</x:v>
      </x:c>
      <x:c r="P821" s="12" t="str">
        <x:f>IF(O821="","",O821/86400)</x:f>
      </x:c>
      <x:c r="Q821" s="12" t="str">
        <x:f>IF(O821="","",(H821*60+O821)/86400)</x:f>
      </x:c>
      <x:c r="R821" s="12" t="str">
        <x:f>IF(Q821="","",TEXT(Q821,"hh:mm:ss"))</x:f>
      </x:c>
      <x:c r="S821" s="12" t="str">
        <x:v>否</x:v>
      </x:c>
      <x:c r="T821" s="12" t="str">
        <x:v>否</x:v>
      </x:c>
      <x:c r="U821" s="12" t="str">
        <x:v>未提供</x:v>
      </x:c>
      <x:c r="V821" s="12" t="str">
        <x:v>未提供</x:v>
      </x:c>
      <x:c r="W821" s="12" t="str">
        <x:v>秒级预测</x:v>
      </x:c>
      <x:c r="X821" s="12" t="str">
        <x:v>基于路线秒级参数；如录入实测或手动采用秒，预计到达时间可随公式更新</x:v>
      </x:c>
    </x:row>
    <x:row r="822">
      <x:c r="A822" s="12" t="str">
        <x:v>S0066-12</x:v>
      </x:c>
      <x:c r="B822" s="12" t="str">
        <x:v>S0066</x:v>
      </x:c>
      <x:c r="C822" s="12" t="str">
        <x:v>工作日</x:v>
      </x:c>
      <x:c r="D822" s="12" t="str">
        <x:v>环线1路</x:v>
      </x:c>
      <x:c r="E822" s="12" t="str">
        <x:v>第四班（夜1）</x:v>
      </x:c>
      <x:c r="F822" s="12" t="n">
        <x:v>10</x:v>
      </x:c>
      <x:c r="G822" s="12" t="str">
        <x:v>20:15</x:v>
      </x:c>
      <x:c r="H822" s="12" t="n">
        <x:v>1215</x:v>
      </x:c>
      <x:c r="I822" s="12" t="str">
        <x:v>研究生宿舍楼</x:v>
      </x:c>
      <x:c r="J822" s="12" t="str">
        <x:v>研究生宿舍楼发车</x:v>
      </x:c>
      <x:c r="K822" s="12" t="str">
        <x:v>HX1_NORMAL</x:v>
      </x:c>
      <x:c r="L822" s="12" t="n">
        <x:v>12</x:v>
      </x:c>
      <x:c r="M822" s="12" t="str">
        <x:v>HX1_NORMAL|12</x:v>
      </x:c>
      <x:c r="N822" s="12" t="str">
        <x:v>305教学楼</x:v>
      </x:c>
      <x:c r="O822" s="12" t="n">
        <x:f>IFERROR(INDEX('秒级路线参数_可调整'!$O:$O,MATCH(M822,'秒级路线参数_可调整'!$A:$A,0)),"")</x:f>
        <x:v>0</x:v>
      </x:c>
      <x:c r="P822" s="12" t="str">
        <x:f>IF(O822="","",O822/86400)</x:f>
      </x:c>
      <x:c r="Q822" s="12" t="str">
        <x:f>IF(O822="","",(H822*60+O822)/86400)</x:f>
      </x:c>
      <x:c r="R822" s="12" t="str">
        <x:f>IF(Q822="","",TEXT(Q822,"hh:mm:ss"))</x:f>
      </x:c>
      <x:c r="S822" s="12" t="str">
        <x:v>否</x:v>
      </x:c>
      <x:c r="T822" s="12" t="str">
        <x:v>否</x:v>
      </x:c>
      <x:c r="U822" s="12" t="str">
        <x:v>未提供</x:v>
      </x:c>
      <x:c r="V822" s="12" t="str">
        <x:v>未提供</x:v>
      </x:c>
      <x:c r="W822" s="12" t="str">
        <x:v>秒级预测</x:v>
      </x:c>
      <x:c r="X822" s="12" t="str">
        <x:v>基于路线秒级参数；如录入实测或手动采用秒，预计到达时间可随公式更新</x:v>
      </x:c>
    </x:row>
    <x:row r="823">
      <x:c r="A823" s="12" t="str">
        <x:v>S0066-13</x:v>
      </x:c>
      <x:c r="B823" s="12" t="str">
        <x:v>S0066</x:v>
      </x:c>
      <x:c r="C823" s="12" t="str">
        <x:v>工作日</x:v>
      </x:c>
      <x:c r="D823" s="12" t="str">
        <x:v>环线1路</x:v>
      </x:c>
      <x:c r="E823" s="12" t="str">
        <x:v>第四班（夜1）</x:v>
      </x:c>
      <x:c r="F823" s="12" t="n">
        <x:v>10</x:v>
      </x:c>
      <x:c r="G823" s="12" t="str">
        <x:v>20:15</x:v>
      </x:c>
      <x:c r="H823" s="12" t="n">
        <x:v>1215</x:v>
      </x:c>
      <x:c r="I823" s="12" t="str">
        <x:v>研究生宿舍楼</x:v>
      </x:c>
      <x:c r="J823" s="12" t="str">
        <x:v>研究生宿舍楼发车</x:v>
      </x:c>
      <x:c r="K823" s="12" t="str">
        <x:v>HX1_NORMAL</x:v>
      </x:c>
      <x:c r="L823" s="12" t="n">
        <x:v>13</x:v>
      </x:c>
      <x:c r="M823" s="12" t="str">
        <x:v>HX1_NORMAL|13</x:v>
      </x:c>
      <x:c r="N823" s="12" t="str">
        <x:v>研究生宿舍楼</x:v>
      </x:c>
      <x:c r="O823" s="12" t="n">
        <x:f>IFERROR(INDEX('秒级路线参数_可调整'!$O:$O,MATCH(M823,'秒级路线参数_可调整'!$A:$A,0)),"")</x:f>
        <x:v>0</x:v>
      </x:c>
      <x:c r="P823" s="12" t="str">
        <x:f>IF(O823="","",O823/86400)</x:f>
      </x:c>
      <x:c r="Q823" s="12" t="str">
        <x:f>IF(O823="","",(H823*60+O823)/86400)</x:f>
      </x:c>
      <x:c r="R823" s="12" t="str">
        <x:f>IF(Q823="","",TEXT(Q823,"hh:mm:ss"))</x:f>
      </x:c>
      <x:c r="S823" s="12" t="str">
        <x:v>否</x:v>
      </x:c>
      <x:c r="T823" s="12" t="str">
        <x:v>是</x:v>
      </x:c>
      <x:c r="U823" s="12" t="str">
        <x:v>未提供</x:v>
      </x:c>
      <x:c r="V823" s="12" t="str">
        <x:v>未提供</x:v>
      </x:c>
      <x:c r="W823" s="12" t="str">
        <x:v>秒级预测</x:v>
      </x:c>
      <x:c r="X823" s="12" t="str">
        <x:v>基于路线秒级参数；如录入实测或手动采用秒，预计到达时间可随公式更新</x:v>
      </x:c>
    </x:row>
    <x:row r="824">
      <x:c r="A824" s="12" t="str">
        <x:v>S0067-01</x:v>
      </x:c>
      <x:c r="B824" s="12" t="str">
        <x:v>S0067</x:v>
      </x:c>
      <x:c r="C824" s="12" t="str">
        <x:v>工作日</x:v>
      </x:c>
      <x:c r="D824" s="12" t="str">
        <x:v>环线1路</x:v>
      </x:c>
      <x:c r="E824" s="12" t="str">
        <x:v>第四班（夜1）</x:v>
      </x:c>
      <x:c r="F824" s="12" t="n">
        <x:v>11</x:v>
      </x:c>
      <x:c r="G824" s="12" t="str">
        <x:v>20:45</x:v>
      </x:c>
      <x:c r="H824" s="12" t="n">
        <x:v>1245</x:v>
      </x:c>
      <x:c r="I824" s="12" t="str">
        <x:v>研究生宿舍楼</x:v>
      </x:c>
      <x:c r="J824" s="12" t="str">
        <x:v>研究生宿舍楼发车</x:v>
      </x:c>
      <x:c r="K824" s="12" t="str">
        <x:v>HX1_NORMAL</x:v>
      </x:c>
      <x:c r="L824" s="12" t="n">
        <x:v>1</x:v>
      </x:c>
      <x:c r="M824" s="12" t="str">
        <x:v>HX1_NORMAL|1</x:v>
      </x:c>
      <x:c r="N824" s="12" t="str">
        <x:v>研究生宿舍楼</x:v>
      </x:c>
      <x:c r="O824" s="12" t="n">
        <x:f>IFERROR(INDEX('秒级路线参数_可调整'!$O:$O,MATCH(M824,'秒级路线参数_可调整'!$A:$A,0)),"")</x:f>
        <x:v>0</x:v>
      </x:c>
      <x:c r="P824" s="12" t="str">
        <x:f>IF(O824="","",O824/86400)</x:f>
      </x:c>
      <x:c r="Q824" s="12" t="str">
        <x:f>IF(O824="","",(H824*60+O824)/86400)</x:f>
      </x:c>
      <x:c r="R824" s="12" t="str">
        <x:f>IF(Q824="","",TEXT(Q824,"hh:mm:ss"))</x:f>
      </x:c>
      <x:c r="S824" s="12" t="str">
        <x:v>是</x:v>
      </x:c>
      <x:c r="T824" s="12" t="str">
        <x:v>否</x:v>
      </x:c>
      <x:c r="U824" s="12" t="str">
        <x:v>未提供</x:v>
      </x:c>
      <x:c r="V824" s="12" t="str">
        <x:v>未提供</x:v>
      </x:c>
      <x:c r="W824" s="12" t="str">
        <x:v>秒级预测</x:v>
      </x:c>
      <x:c r="X824" s="12" t="str">
        <x:v>基于路线秒级参数；如录入实测或手动采用秒，预计到达时间可随公式更新</x:v>
      </x:c>
    </x:row>
    <x:row r="825">
      <x:c r="A825" s="12" t="str">
        <x:v>S0067-02</x:v>
      </x:c>
      <x:c r="B825" s="12" t="str">
        <x:v>S0067</x:v>
      </x:c>
      <x:c r="C825" s="12" t="str">
        <x:v>工作日</x:v>
      </x:c>
      <x:c r="D825" s="12" t="str">
        <x:v>环线1路</x:v>
      </x:c>
      <x:c r="E825" s="12" t="str">
        <x:v>第四班（夜1）</x:v>
      </x:c>
      <x:c r="F825" s="12" t="n">
        <x:v>11</x:v>
      </x:c>
      <x:c r="G825" s="12" t="str">
        <x:v>20:45</x:v>
      </x:c>
      <x:c r="H825" s="12" t="n">
        <x:v>1245</x:v>
      </x:c>
      <x:c r="I825" s="12" t="str">
        <x:v>研究生宿舍楼</x:v>
      </x:c>
      <x:c r="J825" s="12" t="str">
        <x:v>研究生宿舍楼发车</x:v>
      </x:c>
      <x:c r="K825" s="12" t="str">
        <x:v>HX1_NORMAL</x:v>
      </x:c>
      <x:c r="L825" s="12" t="n">
        <x:v>2</x:v>
      </x:c>
      <x:c r="M825" s="12" t="str">
        <x:v>HX1_NORMAL|2</x:v>
      </x:c>
      <x:c r="N825" s="12" t="str">
        <x:v>东门</x:v>
      </x:c>
      <x:c r="O825" s="12" t="n">
        <x:f>IFERROR(INDEX('秒级路线参数_可调整'!$O:$O,MATCH(M825,'秒级路线参数_可调整'!$A:$A,0)),"")</x:f>
        <x:v>0</x:v>
      </x:c>
      <x:c r="P825" s="12" t="str">
        <x:f>IF(O825="","",O825/86400)</x:f>
      </x:c>
      <x:c r="Q825" s="12" t="str">
        <x:f>IF(O825="","",(H825*60+O825)/86400)</x:f>
      </x:c>
      <x:c r="R825" s="12" t="str">
        <x:f>IF(Q825="","",TEXT(Q825,"hh:mm:ss"))</x:f>
      </x:c>
      <x:c r="S825" s="12" t="str">
        <x:v>否</x:v>
      </x:c>
      <x:c r="T825" s="12" t="str">
        <x:v>否</x:v>
      </x:c>
      <x:c r="U825" s="12" t="str">
        <x:v>未提供</x:v>
      </x:c>
      <x:c r="V825" s="12" t="str">
        <x:v>未提供</x:v>
      </x:c>
      <x:c r="W825" s="12" t="str">
        <x:v>秒级预测</x:v>
      </x:c>
      <x:c r="X825" s="12" t="str">
        <x:v>基于路线秒级参数；如录入实测或手动采用秒，预计到达时间可随公式更新</x:v>
      </x:c>
    </x:row>
    <x:row r="826">
      <x:c r="A826" s="12" t="str">
        <x:v>S0067-03</x:v>
      </x:c>
      <x:c r="B826" s="12" t="str">
        <x:v>S0067</x:v>
      </x:c>
      <x:c r="C826" s="12" t="str">
        <x:v>工作日</x:v>
      </x:c>
      <x:c r="D826" s="12" t="str">
        <x:v>环线1路</x:v>
      </x:c>
      <x:c r="E826" s="12" t="str">
        <x:v>第四班（夜1）</x:v>
      </x:c>
      <x:c r="F826" s="12" t="n">
        <x:v>11</x:v>
      </x:c>
      <x:c r="G826" s="12" t="str">
        <x:v>20:45</x:v>
      </x:c>
      <x:c r="H826" s="12" t="n">
        <x:v>1245</x:v>
      </x:c>
      <x:c r="I826" s="12" t="str">
        <x:v>研究生宿舍楼</x:v>
      </x:c>
      <x:c r="J826" s="12" t="str">
        <x:v>研究生宿舍楼发车</x:v>
      </x:c>
      <x:c r="K826" s="12" t="str">
        <x:v>HX1_NORMAL</x:v>
      </x:c>
      <x:c r="L826" s="12" t="n">
        <x:v>3</x:v>
      </x:c>
      <x:c r="M826" s="12" t="str">
        <x:v>HX1_NORMAL|3</x:v>
      </x:c>
      <x:c r="N826" s="12" t="str">
        <x:v>2号宿舍楼</x:v>
      </x:c>
      <x:c r="O826" s="12" t="n">
        <x:f>IFERROR(INDEX('秒级路线参数_可调整'!$O:$O,MATCH(M826,'秒级路线参数_可调整'!$A:$A,0)),"")</x:f>
        <x:v>0</x:v>
      </x:c>
      <x:c r="P826" s="12" t="str">
        <x:f>IF(O826="","",O826/86400)</x:f>
      </x:c>
      <x:c r="Q826" s="12" t="str">
        <x:f>IF(O826="","",(H826*60+O826)/86400)</x:f>
      </x:c>
      <x:c r="R826" s="12" t="str">
        <x:f>IF(Q826="","",TEXT(Q826,"hh:mm:ss"))</x:f>
      </x:c>
      <x:c r="S826" s="12" t="str">
        <x:v>否</x:v>
      </x:c>
      <x:c r="T826" s="12" t="str">
        <x:v>否</x:v>
      </x:c>
      <x:c r="U826" s="12" t="str">
        <x:v>未提供</x:v>
      </x:c>
      <x:c r="V826" s="12" t="str">
        <x:v>未提供</x:v>
      </x:c>
      <x:c r="W826" s="12" t="str">
        <x:v>秒级预测</x:v>
      </x:c>
      <x:c r="X826" s="12" t="str">
        <x:v>基于路线秒级参数；如录入实测或手动采用秒，预计到达时间可随公式更新</x:v>
      </x:c>
    </x:row>
    <x:row r="827">
      <x:c r="A827" s="12" t="str">
        <x:v>S0067-04</x:v>
      </x:c>
      <x:c r="B827" s="12" t="str">
        <x:v>S0067</x:v>
      </x:c>
      <x:c r="C827" s="12" t="str">
        <x:v>工作日</x:v>
      </x:c>
      <x:c r="D827" s="12" t="str">
        <x:v>环线1路</x:v>
      </x:c>
      <x:c r="E827" s="12" t="str">
        <x:v>第四班（夜1）</x:v>
      </x:c>
      <x:c r="F827" s="12" t="n">
        <x:v>11</x:v>
      </x:c>
      <x:c r="G827" s="12" t="str">
        <x:v>20:45</x:v>
      </x:c>
      <x:c r="H827" s="12" t="n">
        <x:v>1245</x:v>
      </x:c>
      <x:c r="I827" s="12" t="str">
        <x:v>研究生宿舍楼</x:v>
      </x:c>
      <x:c r="J827" s="12" t="str">
        <x:v>研究生宿舍楼发车</x:v>
      </x:c>
      <x:c r="K827" s="12" t="str">
        <x:v>HX1_NORMAL</x:v>
      </x:c>
      <x:c r="L827" s="12" t="n">
        <x:v>4</x:v>
      </x:c>
      <x:c r="M827" s="12" t="str">
        <x:v>HX1_NORMAL|4</x:v>
      </x:c>
      <x:c r="N827" s="12" t="str">
        <x:v>军体活动中心</x:v>
      </x:c>
      <x:c r="O827" s="12" t="n">
        <x:f>IFERROR(INDEX('秒级路线参数_可调整'!$O:$O,MATCH(M827,'秒级路线参数_可调整'!$A:$A,0)),"")</x:f>
        <x:v>0</x:v>
      </x:c>
      <x:c r="P827" s="12" t="str">
        <x:f>IF(O827="","",O827/86400)</x:f>
      </x:c>
      <x:c r="Q827" s="12" t="str">
        <x:f>IF(O827="","",(H827*60+O827)/86400)</x:f>
      </x:c>
      <x:c r="R827" s="12" t="str">
        <x:f>IF(Q827="","",TEXT(Q827,"hh:mm:ss"))</x:f>
      </x:c>
      <x:c r="S827" s="12" t="str">
        <x:v>否</x:v>
      </x:c>
      <x:c r="T827" s="12" t="str">
        <x:v>否</x:v>
      </x:c>
      <x:c r="U827" s="12" t="str">
        <x:v>未提供</x:v>
      </x:c>
      <x:c r="V827" s="12" t="str">
        <x:v>未提供</x:v>
      </x:c>
      <x:c r="W827" s="12" t="str">
        <x:v>秒级预测</x:v>
      </x:c>
      <x:c r="X827" s="12" t="str">
        <x:v>基于路线秒级参数；如录入实测或手动采用秒，预计到达时间可随公式更新</x:v>
      </x:c>
    </x:row>
    <x:row r="828">
      <x:c r="A828" s="12" t="str">
        <x:v>S0067-05</x:v>
      </x:c>
      <x:c r="B828" s="12" t="str">
        <x:v>S0067</x:v>
      </x:c>
      <x:c r="C828" s="12" t="str">
        <x:v>工作日</x:v>
      </x:c>
      <x:c r="D828" s="12" t="str">
        <x:v>环线1路</x:v>
      </x:c>
      <x:c r="E828" s="12" t="str">
        <x:v>第四班（夜1）</x:v>
      </x:c>
      <x:c r="F828" s="12" t="n">
        <x:v>11</x:v>
      </x:c>
      <x:c r="G828" s="12" t="str">
        <x:v>20:45</x:v>
      </x:c>
      <x:c r="H828" s="12" t="n">
        <x:v>1245</x:v>
      </x:c>
      <x:c r="I828" s="12" t="str">
        <x:v>研究生宿舍楼</x:v>
      </x:c>
      <x:c r="J828" s="12" t="str">
        <x:v>研究生宿舍楼发车</x:v>
      </x:c>
      <x:c r="K828" s="12" t="str">
        <x:v>HX1_NORMAL</x:v>
      </x:c>
      <x:c r="L828" s="12" t="n">
        <x:v>5</x:v>
      </x:c>
      <x:c r="M828" s="12" t="str">
        <x:v>HX1_NORMAL|5</x:v>
      </x:c>
      <x:c r="N828" s="12" t="str">
        <x:v>激光所</x:v>
      </x:c>
      <x:c r="O828" s="12" t="n">
        <x:f>IFERROR(INDEX('秒级路线参数_可调整'!$O:$O,MATCH(M828,'秒级路线参数_可调整'!$A:$A,0)),"")</x:f>
        <x:v>0</x:v>
      </x:c>
      <x:c r="P828" s="12" t="str">
        <x:f>IF(O828="","",O828/86400)</x:f>
      </x:c>
      <x:c r="Q828" s="12" t="str">
        <x:f>IF(O828="","",(H828*60+O828)/86400)</x:f>
      </x:c>
      <x:c r="R828" s="12" t="str">
        <x:f>IF(Q828="","",TEXT(Q828,"hh:mm:ss"))</x:f>
      </x:c>
      <x:c r="S828" s="12" t="str">
        <x:v>否</x:v>
      </x:c>
      <x:c r="T828" s="12" t="str">
        <x:v>否</x:v>
      </x:c>
      <x:c r="U828" s="12" t="str">
        <x:v>未提供</x:v>
      </x:c>
      <x:c r="V828" s="12" t="str">
        <x:v>未提供</x:v>
      </x:c>
      <x:c r="W828" s="12" t="str">
        <x:v>秒级预测</x:v>
      </x:c>
      <x:c r="X828" s="12" t="str">
        <x:v>基于路线秒级参数；如录入实测或手动采用秒，预计到达时间可随公式更新</x:v>
      </x:c>
    </x:row>
    <x:row r="829">
      <x:c r="A829" s="12" t="str">
        <x:v>S0067-06</x:v>
      </x:c>
      <x:c r="B829" s="12" t="str">
        <x:v>S0067</x:v>
      </x:c>
      <x:c r="C829" s="12" t="str">
        <x:v>工作日</x:v>
      </x:c>
      <x:c r="D829" s="12" t="str">
        <x:v>环线1路</x:v>
      </x:c>
      <x:c r="E829" s="12" t="str">
        <x:v>第四班（夜1）</x:v>
      </x:c>
      <x:c r="F829" s="12" t="n">
        <x:v>11</x:v>
      </x:c>
      <x:c r="G829" s="12" t="str">
        <x:v>20:45</x:v>
      </x:c>
      <x:c r="H829" s="12" t="n">
        <x:v>1245</x:v>
      </x:c>
      <x:c r="I829" s="12" t="str">
        <x:v>研究生宿舍楼</x:v>
      </x:c>
      <x:c r="J829" s="12" t="str">
        <x:v>研究生宿舍楼发车</x:v>
      </x:c>
      <x:c r="K829" s="12" t="str">
        <x:v>HX1_NORMAL</x:v>
      </x:c>
      <x:c r="L829" s="12" t="n">
        <x:v>6</x:v>
      </x:c>
      <x:c r="M829" s="12" t="str">
        <x:v>HX1_NORMAL|6</x:v>
      </x:c>
      <x:c r="N829" s="12" t="str">
        <x:v>超算中心</x:v>
      </x:c>
      <x:c r="O829" s="12" t="n">
        <x:f>IFERROR(INDEX('秒级路线参数_可调整'!$O:$O,MATCH(M829,'秒级路线参数_可调整'!$A:$A,0)),"")</x:f>
        <x:v>0</x:v>
      </x:c>
      <x:c r="P829" s="12" t="str">
        <x:f>IF(O829="","",O829/86400)</x:f>
      </x:c>
      <x:c r="Q829" s="12" t="str">
        <x:f>IF(O829="","",(H829*60+O829)/86400)</x:f>
      </x:c>
      <x:c r="R829" s="12" t="str">
        <x:f>IF(Q829="","",TEXT(Q829,"hh:mm:ss"))</x:f>
      </x:c>
      <x:c r="S829" s="12" t="str">
        <x:v>否</x:v>
      </x:c>
      <x:c r="T829" s="12" t="str">
        <x:v>否</x:v>
      </x:c>
      <x:c r="U829" s="12" t="str">
        <x:v>未提供</x:v>
      </x:c>
      <x:c r="V829" s="12" t="str">
        <x:v>未提供</x:v>
      </x:c>
      <x:c r="W829" s="12" t="str">
        <x:v>秒级预测</x:v>
      </x:c>
      <x:c r="X829" s="12" t="str">
        <x:v>基于路线秒级参数；如录入实测或手动采用秒，预计到达时间可随公式更新</x:v>
      </x:c>
    </x:row>
    <x:row r="830">
      <x:c r="A830" s="12" t="str">
        <x:v>S0067-07</x:v>
      </x:c>
      <x:c r="B830" s="12" t="str">
        <x:v>S0067</x:v>
      </x:c>
      <x:c r="C830" s="12" t="str">
        <x:v>工作日</x:v>
      </x:c>
      <x:c r="D830" s="12" t="str">
        <x:v>环线1路</x:v>
      </x:c>
      <x:c r="E830" s="12" t="str">
        <x:v>第四班（夜1）</x:v>
      </x:c>
      <x:c r="F830" s="12" t="n">
        <x:v>11</x:v>
      </x:c>
      <x:c r="G830" s="12" t="str">
        <x:v>20:45</x:v>
      </x:c>
      <x:c r="H830" s="12" t="n">
        <x:v>1245</x:v>
      </x:c>
      <x:c r="I830" s="12" t="str">
        <x:v>研究生宿舍楼</x:v>
      </x:c>
      <x:c r="J830" s="12" t="str">
        <x:v>研究生宿舍楼发车</x:v>
      </x:c>
      <x:c r="K830" s="12" t="str">
        <x:v>HX1_NORMAL</x:v>
      </x:c>
      <x:c r="L830" s="12" t="n">
        <x:v>7</x:v>
      </x:c>
      <x:c r="M830" s="12" t="str">
        <x:v>HX1_NORMAL|7</x:v>
      </x:c>
      <x:c r="N830" s="12" t="str">
        <x:v>北门</x:v>
      </x:c>
      <x:c r="O830" s="12" t="n">
        <x:f>IFERROR(INDEX('秒级路线参数_可调整'!$O:$O,MATCH(M830,'秒级路线参数_可调整'!$A:$A,0)),"")</x:f>
        <x:v>0</x:v>
      </x:c>
      <x:c r="P830" s="12" t="str">
        <x:f>IF(O830="","",O830/86400)</x:f>
      </x:c>
      <x:c r="Q830" s="12" t="str">
        <x:f>IF(O830="","",(H830*60+O830)/86400)</x:f>
      </x:c>
      <x:c r="R830" s="12" t="str">
        <x:f>IF(Q830="","",TEXT(Q830,"hh:mm:ss"))</x:f>
      </x:c>
      <x:c r="S830" s="12" t="str">
        <x:v>否</x:v>
      </x:c>
      <x:c r="T830" s="12" t="str">
        <x:v>否</x:v>
      </x:c>
      <x:c r="U830" s="12" t="str">
        <x:v>未提供</x:v>
      </x:c>
      <x:c r="V830" s="12" t="str">
        <x:v>未提供</x:v>
      </x:c>
      <x:c r="W830" s="12" t="str">
        <x:v>秒级预测</x:v>
      </x:c>
      <x:c r="X830" s="12" t="str">
        <x:v>基于路线秒级参数；如录入实测或手动采用秒，预计到达时间可随公式更新</x:v>
      </x:c>
    </x:row>
    <x:row r="831">
      <x:c r="A831" s="12" t="str">
        <x:v>S0067-08</x:v>
      </x:c>
      <x:c r="B831" s="12" t="str">
        <x:v>S0067</x:v>
      </x:c>
      <x:c r="C831" s="12" t="str">
        <x:v>工作日</x:v>
      </x:c>
      <x:c r="D831" s="12" t="str">
        <x:v>环线1路</x:v>
      </x:c>
      <x:c r="E831" s="12" t="str">
        <x:v>第四班（夜1）</x:v>
      </x:c>
      <x:c r="F831" s="12" t="n">
        <x:v>11</x:v>
      </x:c>
      <x:c r="G831" s="12" t="str">
        <x:v>20:45</x:v>
      </x:c>
      <x:c r="H831" s="12" t="n">
        <x:v>1245</x:v>
      </x:c>
      <x:c r="I831" s="12" t="str">
        <x:v>研究生宿舍楼</x:v>
      </x:c>
      <x:c r="J831" s="12" t="str">
        <x:v>研究生宿舍楼发车</x:v>
      </x:c>
      <x:c r="K831" s="12" t="str">
        <x:v>HX1_NORMAL</x:v>
      </x:c>
      <x:c r="L831" s="12" t="n">
        <x:v>8</x:v>
      </x:c>
      <x:c r="M831" s="12" t="str">
        <x:v>HX1_NORMAL|8</x:v>
      </x:c>
      <x:c r="N831" s="12" t="str">
        <x:v>高超楼</x:v>
      </x:c>
      <x:c r="O831" s="12" t="n">
        <x:f>IFERROR(INDEX('秒级路线参数_可调整'!$O:$O,MATCH(M831,'秒级路线参数_可调整'!$A:$A,0)),"")</x:f>
        <x:v>0</x:v>
      </x:c>
      <x:c r="P831" s="12" t="str">
        <x:f>IF(O831="","",O831/86400)</x:f>
      </x:c>
      <x:c r="Q831" s="12" t="str">
        <x:f>IF(O831="","",(H831*60+O831)/86400)</x:f>
      </x:c>
      <x:c r="R831" s="12" t="str">
        <x:f>IF(Q831="","",TEXT(Q831,"hh:mm:ss"))</x:f>
      </x:c>
      <x:c r="S831" s="12" t="str">
        <x:v>否</x:v>
      </x:c>
      <x:c r="T831" s="12" t="str">
        <x:v>否</x:v>
      </x:c>
      <x:c r="U831" s="12" t="str">
        <x:v>未提供</x:v>
      </x:c>
      <x:c r="V831" s="12" t="str">
        <x:v>未提供</x:v>
      </x:c>
      <x:c r="W831" s="12" t="str">
        <x:v>秒级预测</x:v>
      </x:c>
      <x:c r="X831" s="12" t="str">
        <x:v>基于路线秒级参数；如录入实测或手动采用秒，预计到达时间可随公式更新</x:v>
      </x:c>
    </x:row>
    <x:row r="832">
      <x:c r="A832" s="12" t="str">
        <x:v>S0067-09</x:v>
      </x:c>
      <x:c r="B832" s="12" t="str">
        <x:v>S0067</x:v>
      </x:c>
      <x:c r="C832" s="12" t="str">
        <x:v>工作日</x:v>
      </x:c>
      <x:c r="D832" s="12" t="str">
        <x:v>环线1路</x:v>
      </x:c>
      <x:c r="E832" s="12" t="str">
        <x:v>第四班（夜1）</x:v>
      </x:c>
      <x:c r="F832" s="12" t="n">
        <x:v>11</x:v>
      </x:c>
      <x:c r="G832" s="12" t="str">
        <x:v>20:45</x:v>
      </x:c>
      <x:c r="H832" s="12" t="n">
        <x:v>1245</x:v>
      </x:c>
      <x:c r="I832" s="12" t="str">
        <x:v>研究生宿舍楼</x:v>
      </x:c>
      <x:c r="J832" s="12" t="str">
        <x:v>研究生宿舍楼发车</x:v>
      </x:c>
      <x:c r="K832" s="12" t="str">
        <x:v>HX1_NORMAL</x:v>
      </x:c>
      <x:c r="L832" s="12" t="n">
        <x:v>9</x:v>
      </x:c>
      <x:c r="M832" s="12" t="str">
        <x:v>HX1_NORMAL|9</x:v>
      </x:c>
      <x:c r="N832" s="12" t="str">
        <x:v>理学院</x:v>
      </x:c>
      <x:c r="O832" s="12" t="n">
        <x:f>IFERROR(INDEX('秒级路线参数_可调整'!$O:$O,MATCH(M832,'秒级路线参数_可调整'!$A:$A,0)),"")</x:f>
        <x:v>0</x:v>
      </x:c>
      <x:c r="P832" s="12" t="str">
        <x:f>IF(O832="","",O832/86400)</x:f>
      </x:c>
      <x:c r="Q832" s="12" t="str">
        <x:f>IF(O832="","",(H832*60+O832)/86400)</x:f>
      </x:c>
      <x:c r="R832" s="12" t="str">
        <x:f>IF(Q832="","",TEXT(Q832,"hh:mm:ss"))</x:f>
      </x:c>
      <x:c r="S832" s="12" t="str">
        <x:v>否</x:v>
      </x:c>
      <x:c r="T832" s="12" t="str">
        <x:v>否</x:v>
      </x:c>
      <x:c r="U832" s="12" t="str">
        <x:v>未提供</x:v>
      </x:c>
      <x:c r="V832" s="12" t="str">
        <x:v>未提供</x:v>
      </x:c>
      <x:c r="W832" s="12" t="str">
        <x:v>秒级预测</x:v>
      </x:c>
      <x:c r="X832" s="12" t="str">
        <x:v>基于路线秒级参数；如录入实测或手动采用秒，预计到达时间可随公式更新</x:v>
      </x:c>
    </x:row>
    <x:row r="833">
      <x:c r="A833" s="12" t="str">
        <x:v>S0067-10</x:v>
      </x:c>
      <x:c r="B833" s="12" t="str">
        <x:v>S0067</x:v>
      </x:c>
      <x:c r="C833" s="12" t="str">
        <x:v>工作日</x:v>
      </x:c>
      <x:c r="D833" s="12" t="str">
        <x:v>环线1路</x:v>
      </x:c>
      <x:c r="E833" s="12" t="str">
        <x:v>第四班（夜1）</x:v>
      </x:c>
      <x:c r="F833" s="12" t="n">
        <x:v>11</x:v>
      </x:c>
      <x:c r="G833" s="12" t="str">
        <x:v>20:45</x:v>
      </x:c>
      <x:c r="H833" s="12" t="n">
        <x:v>1245</x:v>
      </x:c>
      <x:c r="I833" s="12" t="str">
        <x:v>研究生宿舍楼</x:v>
      </x:c>
      <x:c r="J833" s="12" t="str">
        <x:v>研究生宿舍楼发车</x:v>
      </x:c>
      <x:c r="K833" s="12" t="str">
        <x:v>HX1_NORMAL</x:v>
      </x:c>
      <x:c r="L833" s="12" t="n">
        <x:v>10</x:v>
      </x:c>
      <x:c r="M833" s="12" t="str">
        <x:v>HX1_NORMAL|10</x:v>
      </x:c>
      <x:c r="N833" s="12" t="str">
        <x:v>二食堂</x:v>
      </x:c>
      <x:c r="O833" s="12" t="n">
        <x:f>IFERROR(INDEX('秒级路线参数_可调整'!$O:$O,MATCH(M833,'秒级路线参数_可调整'!$A:$A,0)),"")</x:f>
        <x:v>0</x:v>
      </x:c>
      <x:c r="P833" s="12" t="str">
        <x:f>IF(O833="","",O833/86400)</x:f>
      </x:c>
      <x:c r="Q833" s="12" t="str">
        <x:f>IF(O833="","",(H833*60+O833)/86400)</x:f>
      </x:c>
      <x:c r="R833" s="12" t="str">
        <x:f>IF(Q833="","",TEXT(Q833,"hh:mm:ss"))</x:f>
      </x:c>
      <x:c r="S833" s="12" t="str">
        <x:v>否</x:v>
      </x:c>
      <x:c r="T833" s="12" t="str">
        <x:v>否</x:v>
      </x:c>
      <x:c r="U833" s="12" t="str">
        <x:v>未提供</x:v>
      </x:c>
      <x:c r="V833" s="12" t="str">
        <x:v>未提供</x:v>
      </x:c>
      <x:c r="W833" s="12" t="str">
        <x:v>秒级预测</x:v>
      </x:c>
      <x:c r="X833" s="12" t="str">
        <x:v>基于路线秒级参数；如录入实测或手动采用秒，预计到达时间可随公式更新</x:v>
      </x:c>
    </x:row>
    <x:row r="834">
      <x:c r="A834" s="12" t="str">
        <x:v>S0067-11</x:v>
      </x:c>
      <x:c r="B834" s="12" t="str">
        <x:v>S0067</x:v>
      </x:c>
      <x:c r="C834" s="12" t="str">
        <x:v>工作日</x:v>
      </x:c>
      <x:c r="D834" s="12" t="str">
        <x:v>环线1路</x:v>
      </x:c>
      <x:c r="E834" s="12" t="str">
        <x:v>第四班（夜1）</x:v>
      </x:c>
      <x:c r="F834" s="12" t="n">
        <x:v>11</x:v>
      </x:c>
      <x:c r="G834" s="12" t="str">
        <x:v>20:45</x:v>
      </x:c>
      <x:c r="H834" s="12" t="n">
        <x:v>1245</x:v>
      </x:c>
      <x:c r="I834" s="12" t="str">
        <x:v>研究生宿舍楼</x:v>
      </x:c>
      <x:c r="J834" s="12" t="str">
        <x:v>研究生宿舍楼发车</x:v>
      </x:c>
      <x:c r="K834" s="12" t="str">
        <x:v>HX1_NORMAL</x:v>
      </x:c>
      <x:c r="L834" s="12" t="n">
        <x:v>11</x:v>
      </x:c>
      <x:c r="M834" s="12" t="str">
        <x:v>HX1_NORMAL|11</x:v>
      </x:c>
      <x:c r="N834" s="12" t="str">
        <x:v>5号宿舍楼</x:v>
      </x:c>
      <x:c r="O834" s="12" t="n">
        <x:f>IFERROR(INDEX('秒级路线参数_可调整'!$O:$O,MATCH(M834,'秒级路线参数_可调整'!$A:$A,0)),"")</x:f>
        <x:v>0</x:v>
      </x:c>
      <x:c r="P834" s="12" t="str">
        <x:f>IF(O834="","",O834/86400)</x:f>
      </x:c>
      <x:c r="Q834" s="12" t="str">
        <x:f>IF(O834="","",(H834*60+O834)/86400)</x:f>
      </x:c>
      <x:c r="R834" s="12" t="str">
        <x:f>IF(Q834="","",TEXT(Q834,"hh:mm:ss"))</x:f>
      </x:c>
      <x:c r="S834" s="12" t="str">
        <x:v>否</x:v>
      </x:c>
      <x:c r="T834" s="12" t="str">
        <x:v>否</x:v>
      </x:c>
      <x:c r="U834" s="12" t="str">
        <x:v>未提供</x:v>
      </x:c>
      <x:c r="V834" s="12" t="str">
        <x:v>未提供</x:v>
      </x:c>
      <x:c r="W834" s="12" t="str">
        <x:v>秒级预测</x:v>
      </x:c>
      <x:c r="X834" s="12" t="str">
        <x:v>基于路线秒级参数；如录入实测或手动采用秒，预计到达时间可随公式更新</x:v>
      </x:c>
    </x:row>
    <x:row r="835">
      <x:c r="A835" s="12" t="str">
        <x:v>S0067-12</x:v>
      </x:c>
      <x:c r="B835" s="12" t="str">
        <x:v>S0067</x:v>
      </x:c>
      <x:c r="C835" s="12" t="str">
        <x:v>工作日</x:v>
      </x:c>
      <x:c r="D835" s="12" t="str">
        <x:v>环线1路</x:v>
      </x:c>
      <x:c r="E835" s="12" t="str">
        <x:v>第四班（夜1）</x:v>
      </x:c>
      <x:c r="F835" s="12" t="n">
        <x:v>11</x:v>
      </x:c>
      <x:c r="G835" s="12" t="str">
        <x:v>20:45</x:v>
      </x:c>
      <x:c r="H835" s="12" t="n">
        <x:v>1245</x:v>
      </x:c>
      <x:c r="I835" s="12" t="str">
        <x:v>研究生宿舍楼</x:v>
      </x:c>
      <x:c r="J835" s="12" t="str">
        <x:v>研究生宿舍楼发车</x:v>
      </x:c>
      <x:c r="K835" s="12" t="str">
        <x:v>HX1_NORMAL</x:v>
      </x:c>
      <x:c r="L835" s="12" t="n">
        <x:v>12</x:v>
      </x:c>
      <x:c r="M835" s="12" t="str">
        <x:v>HX1_NORMAL|12</x:v>
      </x:c>
      <x:c r="N835" s="12" t="str">
        <x:v>305教学楼</x:v>
      </x:c>
      <x:c r="O835" s="12" t="n">
        <x:f>IFERROR(INDEX('秒级路线参数_可调整'!$O:$O,MATCH(M835,'秒级路线参数_可调整'!$A:$A,0)),"")</x:f>
        <x:v>0</x:v>
      </x:c>
      <x:c r="P835" s="12" t="str">
        <x:f>IF(O835="","",O835/86400)</x:f>
      </x:c>
      <x:c r="Q835" s="12" t="str">
        <x:f>IF(O835="","",(H835*60+O835)/86400)</x:f>
      </x:c>
      <x:c r="R835" s="12" t="str">
        <x:f>IF(Q835="","",TEXT(Q835,"hh:mm:ss"))</x:f>
      </x:c>
      <x:c r="S835" s="12" t="str">
        <x:v>否</x:v>
      </x:c>
      <x:c r="T835" s="12" t="str">
        <x:v>否</x:v>
      </x:c>
      <x:c r="U835" s="12" t="str">
        <x:v>未提供</x:v>
      </x:c>
      <x:c r="V835" s="12" t="str">
        <x:v>未提供</x:v>
      </x:c>
      <x:c r="W835" s="12" t="str">
        <x:v>秒级预测</x:v>
      </x:c>
      <x:c r="X835" s="12" t="str">
        <x:v>基于路线秒级参数；如录入实测或手动采用秒，预计到达时间可随公式更新</x:v>
      </x:c>
    </x:row>
    <x:row r="836">
      <x:c r="A836" s="12" t="str">
        <x:v>S0067-13</x:v>
      </x:c>
      <x:c r="B836" s="12" t="str">
        <x:v>S0067</x:v>
      </x:c>
      <x:c r="C836" s="12" t="str">
        <x:v>工作日</x:v>
      </x:c>
      <x:c r="D836" s="12" t="str">
        <x:v>环线1路</x:v>
      </x:c>
      <x:c r="E836" s="12" t="str">
        <x:v>第四班（夜1）</x:v>
      </x:c>
      <x:c r="F836" s="12" t="n">
        <x:v>11</x:v>
      </x:c>
      <x:c r="G836" s="12" t="str">
        <x:v>20:45</x:v>
      </x:c>
      <x:c r="H836" s="12" t="n">
        <x:v>1245</x:v>
      </x:c>
      <x:c r="I836" s="12" t="str">
        <x:v>研究生宿舍楼</x:v>
      </x:c>
      <x:c r="J836" s="12" t="str">
        <x:v>研究生宿舍楼发车</x:v>
      </x:c>
      <x:c r="K836" s="12" t="str">
        <x:v>HX1_NORMAL</x:v>
      </x:c>
      <x:c r="L836" s="12" t="n">
        <x:v>13</x:v>
      </x:c>
      <x:c r="M836" s="12" t="str">
        <x:v>HX1_NORMAL|13</x:v>
      </x:c>
      <x:c r="N836" s="12" t="str">
        <x:v>研究生宿舍楼</x:v>
      </x:c>
      <x:c r="O836" s="12" t="n">
        <x:f>IFERROR(INDEX('秒级路线参数_可调整'!$O:$O,MATCH(M836,'秒级路线参数_可调整'!$A:$A,0)),"")</x:f>
        <x:v>0</x:v>
      </x:c>
      <x:c r="P836" s="12" t="str">
        <x:f>IF(O836="","",O836/86400)</x:f>
      </x:c>
      <x:c r="Q836" s="12" t="str">
        <x:f>IF(O836="","",(H836*60+O836)/86400)</x:f>
      </x:c>
      <x:c r="R836" s="12" t="str">
        <x:f>IF(Q836="","",TEXT(Q836,"hh:mm:ss"))</x:f>
      </x:c>
      <x:c r="S836" s="12" t="str">
        <x:v>否</x:v>
      </x:c>
      <x:c r="T836" s="12" t="str">
        <x:v>是</x:v>
      </x:c>
      <x:c r="U836" s="12" t="str">
        <x:v>未提供</x:v>
      </x:c>
      <x:c r="V836" s="12" t="str">
        <x:v>未提供</x:v>
      </x:c>
      <x:c r="W836" s="12" t="str">
        <x:v>秒级预测</x:v>
      </x:c>
      <x:c r="X836" s="12" t="str">
        <x:v>基于路线秒级参数；如录入实测或手动采用秒，预计到达时间可随公式更新</x:v>
      </x:c>
    </x:row>
    <x:row r="837">
      <x:c r="A837" s="12" t="str">
        <x:v>S0068-01</x:v>
      </x:c>
      <x:c r="B837" s="12" t="str">
        <x:v>S0068</x:v>
      </x:c>
      <x:c r="C837" s="12" t="str">
        <x:v>工作日</x:v>
      </x:c>
      <x:c r="D837" s="12" t="str">
        <x:v>环线1路</x:v>
      </x:c>
      <x:c r="E837" s="12" t="str">
        <x:v>第四班（夜1）</x:v>
      </x:c>
      <x:c r="F837" s="12" t="n">
        <x:v>12</x:v>
      </x:c>
      <x:c r="G837" s="12" t="str">
        <x:v>21:15</x:v>
      </x:c>
      <x:c r="H837" s="12" t="n">
        <x:v>1275</x:v>
      </x:c>
      <x:c r="I837" s="12" t="str">
        <x:v>研究生宿舍楼</x:v>
      </x:c>
      <x:c r="J837" s="12" t="str">
        <x:v>研究生宿舍楼发车</x:v>
      </x:c>
      <x:c r="K837" s="12" t="str">
        <x:v>HX1_NORMAL</x:v>
      </x:c>
      <x:c r="L837" s="12" t="n">
        <x:v>1</x:v>
      </x:c>
      <x:c r="M837" s="12" t="str">
        <x:v>HX1_NORMAL|1</x:v>
      </x:c>
      <x:c r="N837" s="12" t="str">
        <x:v>研究生宿舍楼</x:v>
      </x:c>
      <x:c r="O837" s="12" t="n">
        <x:f>IFERROR(INDEX('秒级路线参数_可调整'!$O:$O,MATCH(M837,'秒级路线参数_可调整'!$A:$A,0)),"")</x:f>
        <x:v>0</x:v>
      </x:c>
      <x:c r="P837" s="12" t="str">
        <x:f>IF(O837="","",O837/86400)</x:f>
      </x:c>
      <x:c r="Q837" s="12" t="str">
        <x:f>IF(O837="","",(H837*60+O837)/86400)</x:f>
      </x:c>
      <x:c r="R837" s="12" t="str">
        <x:f>IF(Q837="","",TEXT(Q837,"hh:mm:ss"))</x:f>
      </x:c>
      <x:c r="S837" s="12" t="str">
        <x:v>是</x:v>
      </x:c>
      <x:c r="T837" s="12" t="str">
        <x:v>否</x:v>
      </x:c>
      <x:c r="U837" s="12" t="str">
        <x:v>未提供</x:v>
      </x:c>
      <x:c r="V837" s="12" t="str">
        <x:v>未提供</x:v>
      </x:c>
      <x:c r="W837" s="12" t="str">
        <x:v>秒级预测</x:v>
      </x:c>
      <x:c r="X837" s="12" t="str">
        <x:v>基于路线秒级参数；如录入实测或手动采用秒，预计到达时间可随公式更新</x:v>
      </x:c>
    </x:row>
    <x:row r="838">
      <x:c r="A838" s="12" t="str">
        <x:v>S0068-02</x:v>
      </x:c>
      <x:c r="B838" s="12" t="str">
        <x:v>S0068</x:v>
      </x:c>
      <x:c r="C838" s="12" t="str">
        <x:v>工作日</x:v>
      </x:c>
      <x:c r="D838" s="12" t="str">
        <x:v>环线1路</x:v>
      </x:c>
      <x:c r="E838" s="12" t="str">
        <x:v>第四班（夜1）</x:v>
      </x:c>
      <x:c r="F838" s="12" t="n">
        <x:v>12</x:v>
      </x:c>
      <x:c r="G838" s="12" t="str">
        <x:v>21:15</x:v>
      </x:c>
      <x:c r="H838" s="12" t="n">
        <x:v>1275</x:v>
      </x:c>
      <x:c r="I838" s="12" t="str">
        <x:v>研究生宿舍楼</x:v>
      </x:c>
      <x:c r="J838" s="12" t="str">
        <x:v>研究生宿舍楼发车</x:v>
      </x:c>
      <x:c r="K838" s="12" t="str">
        <x:v>HX1_NORMAL</x:v>
      </x:c>
      <x:c r="L838" s="12" t="n">
        <x:v>2</x:v>
      </x:c>
      <x:c r="M838" s="12" t="str">
        <x:v>HX1_NORMAL|2</x:v>
      </x:c>
      <x:c r="N838" s="12" t="str">
        <x:v>东门</x:v>
      </x:c>
      <x:c r="O838" s="12" t="n">
        <x:f>IFERROR(INDEX('秒级路线参数_可调整'!$O:$O,MATCH(M838,'秒级路线参数_可调整'!$A:$A,0)),"")</x:f>
        <x:v>0</x:v>
      </x:c>
      <x:c r="P838" s="12" t="str">
        <x:f>IF(O838="","",O838/86400)</x:f>
      </x:c>
      <x:c r="Q838" s="12" t="str">
        <x:f>IF(O838="","",(H838*60+O838)/86400)</x:f>
      </x:c>
      <x:c r="R838" s="12" t="str">
        <x:f>IF(Q838="","",TEXT(Q838,"hh:mm:ss"))</x:f>
      </x:c>
      <x:c r="S838" s="12" t="str">
        <x:v>否</x:v>
      </x:c>
      <x:c r="T838" s="12" t="str">
        <x:v>否</x:v>
      </x:c>
      <x:c r="U838" s="12" t="str">
        <x:v>未提供</x:v>
      </x:c>
      <x:c r="V838" s="12" t="str">
        <x:v>未提供</x:v>
      </x:c>
      <x:c r="W838" s="12" t="str">
        <x:v>秒级预测</x:v>
      </x:c>
      <x:c r="X838" s="12" t="str">
        <x:v>基于路线秒级参数；如录入实测或手动采用秒，预计到达时间可随公式更新</x:v>
      </x:c>
    </x:row>
    <x:row r="839">
      <x:c r="A839" s="12" t="str">
        <x:v>S0068-03</x:v>
      </x:c>
      <x:c r="B839" s="12" t="str">
        <x:v>S0068</x:v>
      </x:c>
      <x:c r="C839" s="12" t="str">
        <x:v>工作日</x:v>
      </x:c>
      <x:c r="D839" s="12" t="str">
        <x:v>环线1路</x:v>
      </x:c>
      <x:c r="E839" s="12" t="str">
        <x:v>第四班（夜1）</x:v>
      </x:c>
      <x:c r="F839" s="12" t="n">
        <x:v>12</x:v>
      </x:c>
      <x:c r="G839" s="12" t="str">
        <x:v>21:15</x:v>
      </x:c>
      <x:c r="H839" s="12" t="n">
        <x:v>1275</x:v>
      </x:c>
      <x:c r="I839" s="12" t="str">
        <x:v>研究生宿舍楼</x:v>
      </x:c>
      <x:c r="J839" s="12" t="str">
        <x:v>研究生宿舍楼发车</x:v>
      </x:c>
      <x:c r="K839" s="12" t="str">
        <x:v>HX1_NORMAL</x:v>
      </x:c>
      <x:c r="L839" s="12" t="n">
        <x:v>3</x:v>
      </x:c>
      <x:c r="M839" s="12" t="str">
        <x:v>HX1_NORMAL|3</x:v>
      </x:c>
      <x:c r="N839" s="12" t="str">
        <x:v>2号宿舍楼</x:v>
      </x:c>
      <x:c r="O839" s="12" t="n">
        <x:f>IFERROR(INDEX('秒级路线参数_可调整'!$O:$O,MATCH(M839,'秒级路线参数_可调整'!$A:$A,0)),"")</x:f>
        <x:v>0</x:v>
      </x:c>
      <x:c r="P839" s="12" t="str">
        <x:f>IF(O839="","",O839/86400)</x:f>
      </x:c>
      <x:c r="Q839" s="12" t="str">
        <x:f>IF(O839="","",(H839*60+O839)/86400)</x:f>
      </x:c>
      <x:c r="R839" s="12" t="str">
        <x:f>IF(Q839="","",TEXT(Q839,"hh:mm:ss"))</x:f>
      </x:c>
      <x:c r="S839" s="12" t="str">
        <x:v>否</x:v>
      </x:c>
      <x:c r="T839" s="12" t="str">
        <x:v>否</x:v>
      </x:c>
      <x:c r="U839" s="12" t="str">
        <x:v>未提供</x:v>
      </x:c>
      <x:c r="V839" s="12" t="str">
        <x:v>未提供</x:v>
      </x:c>
      <x:c r="W839" s="12" t="str">
        <x:v>秒级预测</x:v>
      </x:c>
      <x:c r="X839" s="12" t="str">
        <x:v>基于路线秒级参数；如录入实测或手动采用秒，预计到达时间可随公式更新</x:v>
      </x:c>
    </x:row>
    <x:row r="840">
      <x:c r="A840" s="12" t="str">
        <x:v>S0068-04</x:v>
      </x:c>
      <x:c r="B840" s="12" t="str">
        <x:v>S0068</x:v>
      </x:c>
      <x:c r="C840" s="12" t="str">
        <x:v>工作日</x:v>
      </x:c>
      <x:c r="D840" s="12" t="str">
        <x:v>环线1路</x:v>
      </x:c>
      <x:c r="E840" s="12" t="str">
        <x:v>第四班（夜1）</x:v>
      </x:c>
      <x:c r="F840" s="12" t="n">
        <x:v>12</x:v>
      </x:c>
      <x:c r="G840" s="12" t="str">
        <x:v>21:15</x:v>
      </x:c>
      <x:c r="H840" s="12" t="n">
        <x:v>1275</x:v>
      </x:c>
      <x:c r="I840" s="12" t="str">
        <x:v>研究生宿舍楼</x:v>
      </x:c>
      <x:c r="J840" s="12" t="str">
        <x:v>研究生宿舍楼发车</x:v>
      </x:c>
      <x:c r="K840" s="12" t="str">
        <x:v>HX1_NORMAL</x:v>
      </x:c>
      <x:c r="L840" s="12" t="n">
        <x:v>4</x:v>
      </x:c>
      <x:c r="M840" s="12" t="str">
        <x:v>HX1_NORMAL|4</x:v>
      </x:c>
      <x:c r="N840" s="12" t="str">
        <x:v>军体活动中心</x:v>
      </x:c>
      <x:c r="O840" s="12" t="n">
        <x:f>IFERROR(INDEX('秒级路线参数_可调整'!$O:$O,MATCH(M840,'秒级路线参数_可调整'!$A:$A,0)),"")</x:f>
        <x:v>0</x:v>
      </x:c>
      <x:c r="P840" s="12" t="str">
        <x:f>IF(O840="","",O840/86400)</x:f>
      </x:c>
      <x:c r="Q840" s="12" t="str">
        <x:f>IF(O840="","",(H840*60+O840)/86400)</x:f>
      </x:c>
      <x:c r="R840" s="12" t="str">
        <x:f>IF(Q840="","",TEXT(Q840,"hh:mm:ss"))</x:f>
      </x:c>
      <x:c r="S840" s="12" t="str">
        <x:v>否</x:v>
      </x:c>
      <x:c r="T840" s="12" t="str">
        <x:v>否</x:v>
      </x:c>
      <x:c r="U840" s="12" t="str">
        <x:v>未提供</x:v>
      </x:c>
      <x:c r="V840" s="12" t="str">
        <x:v>未提供</x:v>
      </x:c>
      <x:c r="W840" s="12" t="str">
        <x:v>秒级预测</x:v>
      </x:c>
      <x:c r="X840" s="12" t="str">
        <x:v>基于路线秒级参数；如录入实测或手动采用秒，预计到达时间可随公式更新</x:v>
      </x:c>
    </x:row>
    <x:row r="841">
      <x:c r="A841" s="12" t="str">
        <x:v>S0068-05</x:v>
      </x:c>
      <x:c r="B841" s="12" t="str">
        <x:v>S0068</x:v>
      </x:c>
      <x:c r="C841" s="12" t="str">
        <x:v>工作日</x:v>
      </x:c>
      <x:c r="D841" s="12" t="str">
        <x:v>环线1路</x:v>
      </x:c>
      <x:c r="E841" s="12" t="str">
        <x:v>第四班（夜1）</x:v>
      </x:c>
      <x:c r="F841" s="12" t="n">
        <x:v>12</x:v>
      </x:c>
      <x:c r="G841" s="12" t="str">
        <x:v>21:15</x:v>
      </x:c>
      <x:c r="H841" s="12" t="n">
        <x:v>1275</x:v>
      </x:c>
      <x:c r="I841" s="12" t="str">
        <x:v>研究生宿舍楼</x:v>
      </x:c>
      <x:c r="J841" s="12" t="str">
        <x:v>研究生宿舍楼发车</x:v>
      </x:c>
      <x:c r="K841" s="12" t="str">
        <x:v>HX1_NORMAL</x:v>
      </x:c>
      <x:c r="L841" s="12" t="n">
        <x:v>5</x:v>
      </x:c>
      <x:c r="M841" s="12" t="str">
        <x:v>HX1_NORMAL|5</x:v>
      </x:c>
      <x:c r="N841" s="12" t="str">
        <x:v>激光所</x:v>
      </x:c>
      <x:c r="O841" s="12" t="n">
        <x:f>IFERROR(INDEX('秒级路线参数_可调整'!$O:$O,MATCH(M841,'秒级路线参数_可调整'!$A:$A,0)),"")</x:f>
        <x:v>0</x:v>
      </x:c>
      <x:c r="P841" s="12" t="str">
        <x:f>IF(O841="","",O841/86400)</x:f>
      </x:c>
      <x:c r="Q841" s="12" t="str">
        <x:f>IF(O841="","",(H841*60+O841)/86400)</x:f>
      </x:c>
      <x:c r="R841" s="12" t="str">
        <x:f>IF(Q841="","",TEXT(Q841,"hh:mm:ss"))</x:f>
      </x:c>
      <x:c r="S841" s="12" t="str">
        <x:v>否</x:v>
      </x:c>
      <x:c r="T841" s="12" t="str">
        <x:v>否</x:v>
      </x:c>
      <x:c r="U841" s="12" t="str">
        <x:v>未提供</x:v>
      </x:c>
      <x:c r="V841" s="12" t="str">
        <x:v>未提供</x:v>
      </x:c>
      <x:c r="W841" s="12" t="str">
        <x:v>秒级预测</x:v>
      </x:c>
      <x:c r="X841" s="12" t="str">
        <x:v>基于路线秒级参数；如录入实测或手动采用秒，预计到达时间可随公式更新</x:v>
      </x:c>
    </x:row>
    <x:row r="842">
      <x:c r="A842" s="12" t="str">
        <x:v>S0068-06</x:v>
      </x:c>
      <x:c r="B842" s="12" t="str">
        <x:v>S0068</x:v>
      </x:c>
      <x:c r="C842" s="12" t="str">
        <x:v>工作日</x:v>
      </x:c>
      <x:c r="D842" s="12" t="str">
        <x:v>环线1路</x:v>
      </x:c>
      <x:c r="E842" s="12" t="str">
        <x:v>第四班（夜1）</x:v>
      </x:c>
      <x:c r="F842" s="12" t="n">
        <x:v>12</x:v>
      </x:c>
      <x:c r="G842" s="12" t="str">
        <x:v>21:15</x:v>
      </x:c>
      <x:c r="H842" s="12" t="n">
        <x:v>1275</x:v>
      </x:c>
      <x:c r="I842" s="12" t="str">
        <x:v>研究生宿舍楼</x:v>
      </x:c>
      <x:c r="J842" s="12" t="str">
        <x:v>研究生宿舍楼发车</x:v>
      </x:c>
      <x:c r="K842" s="12" t="str">
        <x:v>HX1_NORMAL</x:v>
      </x:c>
      <x:c r="L842" s="12" t="n">
        <x:v>6</x:v>
      </x:c>
      <x:c r="M842" s="12" t="str">
        <x:v>HX1_NORMAL|6</x:v>
      </x:c>
      <x:c r="N842" s="12" t="str">
        <x:v>超算中心</x:v>
      </x:c>
      <x:c r="O842" s="12" t="n">
        <x:f>IFERROR(INDEX('秒级路线参数_可调整'!$O:$O,MATCH(M842,'秒级路线参数_可调整'!$A:$A,0)),"")</x:f>
        <x:v>0</x:v>
      </x:c>
      <x:c r="P842" s="12" t="str">
        <x:f>IF(O842="","",O842/86400)</x:f>
      </x:c>
      <x:c r="Q842" s="12" t="str">
        <x:f>IF(O842="","",(H842*60+O842)/86400)</x:f>
      </x:c>
      <x:c r="R842" s="12" t="str">
        <x:f>IF(Q842="","",TEXT(Q842,"hh:mm:ss"))</x:f>
      </x:c>
      <x:c r="S842" s="12" t="str">
        <x:v>否</x:v>
      </x:c>
      <x:c r="T842" s="12" t="str">
        <x:v>否</x:v>
      </x:c>
      <x:c r="U842" s="12" t="str">
        <x:v>未提供</x:v>
      </x:c>
      <x:c r="V842" s="12" t="str">
        <x:v>未提供</x:v>
      </x:c>
      <x:c r="W842" s="12" t="str">
        <x:v>秒级预测</x:v>
      </x:c>
      <x:c r="X842" s="12" t="str">
        <x:v>基于路线秒级参数；如录入实测或手动采用秒，预计到达时间可随公式更新</x:v>
      </x:c>
    </x:row>
    <x:row r="843">
      <x:c r="A843" s="12" t="str">
        <x:v>S0068-07</x:v>
      </x:c>
      <x:c r="B843" s="12" t="str">
        <x:v>S0068</x:v>
      </x:c>
      <x:c r="C843" s="12" t="str">
        <x:v>工作日</x:v>
      </x:c>
      <x:c r="D843" s="12" t="str">
        <x:v>环线1路</x:v>
      </x:c>
      <x:c r="E843" s="12" t="str">
        <x:v>第四班（夜1）</x:v>
      </x:c>
      <x:c r="F843" s="12" t="n">
        <x:v>12</x:v>
      </x:c>
      <x:c r="G843" s="12" t="str">
        <x:v>21:15</x:v>
      </x:c>
      <x:c r="H843" s="12" t="n">
        <x:v>1275</x:v>
      </x:c>
      <x:c r="I843" s="12" t="str">
        <x:v>研究生宿舍楼</x:v>
      </x:c>
      <x:c r="J843" s="12" t="str">
        <x:v>研究生宿舍楼发车</x:v>
      </x:c>
      <x:c r="K843" s="12" t="str">
        <x:v>HX1_NORMAL</x:v>
      </x:c>
      <x:c r="L843" s="12" t="n">
        <x:v>7</x:v>
      </x:c>
      <x:c r="M843" s="12" t="str">
        <x:v>HX1_NORMAL|7</x:v>
      </x:c>
      <x:c r="N843" s="12" t="str">
        <x:v>北门</x:v>
      </x:c>
      <x:c r="O843" s="12" t="n">
        <x:f>IFERROR(INDEX('秒级路线参数_可调整'!$O:$O,MATCH(M843,'秒级路线参数_可调整'!$A:$A,0)),"")</x:f>
        <x:v>0</x:v>
      </x:c>
      <x:c r="P843" s="12" t="str">
        <x:f>IF(O843="","",O843/86400)</x:f>
      </x:c>
      <x:c r="Q843" s="12" t="str">
        <x:f>IF(O843="","",(H843*60+O843)/86400)</x:f>
      </x:c>
      <x:c r="R843" s="12" t="str">
        <x:f>IF(Q843="","",TEXT(Q843,"hh:mm:ss"))</x:f>
      </x:c>
      <x:c r="S843" s="12" t="str">
        <x:v>否</x:v>
      </x:c>
      <x:c r="T843" s="12" t="str">
        <x:v>否</x:v>
      </x:c>
      <x:c r="U843" s="12" t="str">
        <x:v>未提供</x:v>
      </x:c>
      <x:c r="V843" s="12" t="str">
        <x:v>未提供</x:v>
      </x:c>
      <x:c r="W843" s="12" t="str">
        <x:v>秒级预测</x:v>
      </x:c>
      <x:c r="X843" s="12" t="str">
        <x:v>基于路线秒级参数；如录入实测或手动采用秒，预计到达时间可随公式更新</x:v>
      </x:c>
    </x:row>
    <x:row r="844">
      <x:c r="A844" s="12" t="str">
        <x:v>S0068-08</x:v>
      </x:c>
      <x:c r="B844" s="12" t="str">
        <x:v>S0068</x:v>
      </x:c>
      <x:c r="C844" s="12" t="str">
        <x:v>工作日</x:v>
      </x:c>
      <x:c r="D844" s="12" t="str">
        <x:v>环线1路</x:v>
      </x:c>
      <x:c r="E844" s="12" t="str">
        <x:v>第四班（夜1）</x:v>
      </x:c>
      <x:c r="F844" s="12" t="n">
        <x:v>12</x:v>
      </x:c>
      <x:c r="G844" s="12" t="str">
        <x:v>21:15</x:v>
      </x:c>
      <x:c r="H844" s="12" t="n">
        <x:v>1275</x:v>
      </x:c>
      <x:c r="I844" s="12" t="str">
        <x:v>研究生宿舍楼</x:v>
      </x:c>
      <x:c r="J844" s="12" t="str">
        <x:v>研究生宿舍楼发车</x:v>
      </x:c>
      <x:c r="K844" s="12" t="str">
        <x:v>HX1_NORMAL</x:v>
      </x:c>
      <x:c r="L844" s="12" t="n">
        <x:v>8</x:v>
      </x:c>
      <x:c r="M844" s="12" t="str">
        <x:v>HX1_NORMAL|8</x:v>
      </x:c>
      <x:c r="N844" s="12" t="str">
        <x:v>高超楼</x:v>
      </x:c>
      <x:c r="O844" s="12" t="n">
        <x:f>IFERROR(INDEX('秒级路线参数_可调整'!$O:$O,MATCH(M844,'秒级路线参数_可调整'!$A:$A,0)),"")</x:f>
        <x:v>0</x:v>
      </x:c>
      <x:c r="P844" s="12" t="str">
        <x:f>IF(O844="","",O844/86400)</x:f>
      </x:c>
      <x:c r="Q844" s="12" t="str">
        <x:f>IF(O844="","",(H844*60+O844)/86400)</x:f>
      </x:c>
      <x:c r="R844" s="12" t="str">
        <x:f>IF(Q844="","",TEXT(Q844,"hh:mm:ss"))</x:f>
      </x:c>
      <x:c r="S844" s="12" t="str">
        <x:v>否</x:v>
      </x:c>
      <x:c r="T844" s="12" t="str">
        <x:v>否</x:v>
      </x:c>
      <x:c r="U844" s="12" t="str">
        <x:v>未提供</x:v>
      </x:c>
      <x:c r="V844" s="12" t="str">
        <x:v>未提供</x:v>
      </x:c>
      <x:c r="W844" s="12" t="str">
        <x:v>秒级预测</x:v>
      </x:c>
      <x:c r="X844" s="12" t="str">
        <x:v>基于路线秒级参数；如录入实测或手动采用秒，预计到达时间可随公式更新</x:v>
      </x:c>
    </x:row>
    <x:row r="845">
      <x:c r="A845" s="12" t="str">
        <x:v>S0068-09</x:v>
      </x:c>
      <x:c r="B845" s="12" t="str">
        <x:v>S0068</x:v>
      </x:c>
      <x:c r="C845" s="12" t="str">
        <x:v>工作日</x:v>
      </x:c>
      <x:c r="D845" s="12" t="str">
        <x:v>环线1路</x:v>
      </x:c>
      <x:c r="E845" s="12" t="str">
        <x:v>第四班（夜1）</x:v>
      </x:c>
      <x:c r="F845" s="12" t="n">
        <x:v>12</x:v>
      </x:c>
      <x:c r="G845" s="12" t="str">
        <x:v>21:15</x:v>
      </x:c>
      <x:c r="H845" s="12" t="n">
        <x:v>1275</x:v>
      </x:c>
      <x:c r="I845" s="12" t="str">
        <x:v>研究生宿舍楼</x:v>
      </x:c>
      <x:c r="J845" s="12" t="str">
        <x:v>研究生宿舍楼发车</x:v>
      </x:c>
      <x:c r="K845" s="12" t="str">
        <x:v>HX1_NORMAL</x:v>
      </x:c>
      <x:c r="L845" s="12" t="n">
        <x:v>9</x:v>
      </x:c>
      <x:c r="M845" s="12" t="str">
        <x:v>HX1_NORMAL|9</x:v>
      </x:c>
      <x:c r="N845" s="12" t="str">
        <x:v>理学院</x:v>
      </x:c>
      <x:c r="O845" s="12" t="n">
        <x:f>IFERROR(INDEX('秒级路线参数_可调整'!$O:$O,MATCH(M845,'秒级路线参数_可调整'!$A:$A,0)),"")</x:f>
        <x:v>0</x:v>
      </x:c>
      <x:c r="P845" s="12" t="str">
        <x:f>IF(O845="","",O845/86400)</x:f>
      </x:c>
      <x:c r="Q845" s="12" t="str">
        <x:f>IF(O845="","",(H845*60+O845)/86400)</x:f>
      </x:c>
      <x:c r="R845" s="12" t="str">
        <x:f>IF(Q845="","",TEXT(Q845,"hh:mm:ss"))</x:f>
      </x:c>
      <x:c r="S845" s="12" t="str">
        <x:v>否</x:v>
      </x:c>
      <x:c r="T845" s="12" t="str">
        <x:v>否</x:v>
      </x:c>
      <x:c r="U845" s="12" t="str">
        <x:v>未提供</x:v>
      </x:c>
      <x:c r="V845" s="12" t="str">
        <x:v>未提供</x:v>
      </x:c>
      <x:c r="W845" s="12" t="str">
        <x:v>秒级预测</x:v>
      </x:c>
      <x:c r="X845" s="12" t="str">
        <x:v>基于路线秒级参数；如录入实测或手动采用秒，预计到达时间可随公式更新</x:v>
      </x:c>
    </x:row>
    <x:row r="846">
      <x:c r="A846" s="12" t="str">
        <x:v>S0068-10</x:v>
      </x:c>
      <x:c r="B846" s="12" t="str">
        <x:v>S0068</x:v>
      </x:c>
      <x:c r="C846" s="12" t="str">
        <x:v>工作日</x:v>
      </x:c>
      <x:c r="D846" s="12" t="str">
        <x:v>环线1路</x:v>
      </x:c>
      <x:c r="E846" s="12" t="str">
        <x:v>第四班（夜1）</x:v>
      </x:c>
      <x:c r="F846" s="12" t="n">
        <x:v>12</x:v>
      </x:c>
      <x:c r="G846" s="12" t="str">
        <x:v>21:15</x:v>
      </x:c>
      <x:c r="H846" s="12" t="n">
        <x:v>1275</x:v>
      </x:c>
      <x:c r="I846" s="12" t="str">
        <x:v>研究生宿舍楼</x:v>
      </x:c>
      <x:c r="J846" s="12" t="str">
        <x:v>研究生宿舍楼发车</x:v>
      </x:c>
      <x:c r="K846" s="12" t="str">
        <x:v>HX1_NORMAL</x:v>
      </x:c>
      <x:c r="L846" s="12" t="n">
        <x:v>10</x:v>
      </x:c>
      <x:c r="M846" s="12" t="str">
        <x:v>HX1_NORMAL|10</x:v>
      </x:c>
      <x:c r="N846" s="12" t="str">
        <x:v>二食堂</x:v>
      </x:c>
      <x:c r="O846" s="12" t="n">
        <x:f>IFERROR(INDEX('秒级路线参数_可调整'!$O:$O,MATCH(M846,'秒级路线参数_可调整'!$A:$A,0)),"")</x:f>
        <x:v>0</x:v>
      </x:c>
      <x:c r="P846" s="12" t="str">
        <x:f>IF(O846="","",O846/86400)</x:f>
      </x:c>
      <x:c r="Q846" s="12" t="str">
        <x:f>IF(O846="","",(H846*60+O846)/86400)</x:f>
      </x:c>
      <x:c r="R846" s="12" t="str">
        <x:f>IF(Q846="","",TEXT(Q846,"hh:mm:ss"))</x:f>
      </x:c>
      <x:c r="S846" s="12" t="str">
        <x:v>否</x:v>
      </x:c>
      <x:c r="T846" s="12" t="str">
        <x:v>否</x:v>
      </x:c>
      <x:c r="U846" s="12" t="str">
        <x:v>未提供</x:v>
      </x:c>
      <x:c r="V846" s="12" t="str">
        <x:v>未提供</x:v>
      </x:c>
      <x:c r="W846" s="12" t="str">
        <x:v>秒级预测</x:v>
      </x:c>
      <x:c r="X846" s="12" t="str">
        <x:v>基于路线秒级参数；如录入实测或手动采用秒，预计到达时间可随公式更新</x:v>
      </x:c>
    </x:row>
    <x:row r="847">
      <x:c r="A847" s="12" t="str">
        <x:v>S0068-11</x:v>
      </x:c>
      <x:c r="B847" s="12" t="str">
        <x:v>S0068</x:v>
      </x:c>
      <x:c r="C847" s="12" t="str">
        <x:v>工作日</x:v>
      </x:c>
      <x:c r="D847" s="12" t="str">
        <x:v>环线1路</x:v>
      </x:c>
      <x:c r="E847" s="12" t="str">
        <x:v>第四班（夜1）</x:v>
      </x:c>
      <x:c r="F847" s="12" t="n">
        <x:v>12</x:v>
      </x:c>
      <x:c r="G847" s="12" t="str">
        <x:v>21:15</x:v>
      </x:c>
      <x:c r="H847" s="12" t="n">
        <x:v>1275</x:v>
      </x:c>
      <x:c r="I847" s="12" t="str">
        <x:v>研究生宿舍楼</x:v>
      </x:c>
      <x:c r="J847" s="12" t="str">
        <x:v>研究生宿舍楼发车</x:v>
      </x:c>
      <x:c r="K847" s="12" t="str">
        <x:v>HX1_NORMAL</x:v>
      </x:c>
      <x:c r="L847" s="12" t="n">
        <x:v>11</x:v>
      </x:c>
      <x:c r="M847" s="12" t="str">
        <x:v>HX1_NORMAL|11</x:v>
      </x:c>
      <x:c r="N847" s="12" t="str">
        <x:v>5号宿舍楼</x:v>
      </x:c>
      <x:c r="O847" s="12" t="n">
        <x:f>IFERROR(INDEX('秒级路线参数_可调整'!$O:$O,MATCH(M847,'秒级路线参数_可调整'!$A:$A,0)),"")</x:f>
        <x:v>0</x:v>
      </x:c>
      <x:c r="P847" s="12" t="str">
        <x:f>IF(O847="","",O847/86400)</x:f>
      </x:c>
      <x:c r="Q847" s="12" t="str">
        <x:f>IF(O847="","",(H847*60+O847)/86400)</x:f>
      </x:c>
      <x:c r="R847" s="12" t="str">
        <x:f>IF(Q847="","",TEXT(Q847,"hh:mm:ss"))</x:f>
      </x:c>
      <x:c r="S847" s="12" t="str">
        <x:v>否</x:v>
      </x:c>
      <x:c r="T847" s="12" t="str">
        <x:v>否</x:v>
      </x:c>
      <x:c r="U847" s="12" t="str">
        <x:v>未提供</x:v>
      </x:c>
      <x:c r="V847" s="12" t="str">
        <x:v>未提供</x:v>
      </x:c>
      <x:c r="W847" s="12" t="str">
        <x:v>秒级预测</x:v>
      </x:c>
      <x:c r="X847" s="12" t="str">
        <x:v>基于路线秒级参数；如录入实测或手动采用秒，预计到达时间可随公式更新</x:v>
      </x:c>
    </x:row>
    <x:row r="848">
      <x:c r="A848" s="12" t="str">
        <x:v>S0068-12</x:v>
      </x:c>
      <x:c r="B848" s="12" t="str">
        <x:v>S0068</x:v>
      </x:c>
      <x:c r="C848" s="12" t="str">
        <x:v>工作日</x:v>
      </x:c>
      <x:c r="D848" s="12" t="str">
        <x:v>环线1路</x:v>
      </x:c>
      <x:c r="E848" s="12" t="str">
        <x:v>第四班（夜1）</x:v>
      </x:c>
      <x:c r="F848" s="12" t="n">
        <x:v>12</x:v>
      </x:c>
      <x:c r="G848" s="12" t="str">
        <x:v>21:15</x:v>
      </x:c>
      <x:c r="H848" s="12" t="n">
        <x:v>1275</x:v>
      </x:c>
      <x:c r="I848" s="12" t="str">
        <x:v>研究生宿舍楼</x:v>
      </x:c>
      <x:c r="J848" s="12" t="str">
        <x:v>研究生宿舍楼发车</x:v>
      </x:c>
      <x:c r="K848" s="12" t="str">
        <x:v>HX1_NORMAL</x:v>
      </x:c>
      <x:c r="L848" s="12" t="n">
        <x:v>12</x:v>
      </x:c>
      <x:c r="M848" s="12" t="str">
        <x:v>HX1_NORMAL|12</x:v>
      </x:c>
      <x:c r="N848" s="12" t="str">
        <x:v>305教学楼</x:v>
      </x:c>
      <x:c r="O848" s="12" t="n">
        <x:f>IFERROR(INDEX('秒级路线参数_可调整'!$O:$O,MATCH(M848,'秒级路线参数_可调整'!$A:$A,0)),"")</x:f>
        <x:v>0</x:v>
      </x:c>
      <x:c r="P848" s="12" t="str">
        <x:f>IF(O848="","",O848/86400)</x:f>
      </x:c>
      <x:c r="Q848" s="12" t="str">
        <x:f>IF(O848="","",(H848*60+O848)/86400)</x:f>
      </x:c>
      <x:c r="R848" s="12" t="str">
        <x:f>IF(Q848="","",TEXT(Q848,"hh:mm:ss"))</x:f>
      </x:c>
      <x:c r="S848" s="12" t="str">
        <x:v>否</x:v>
      </x:c>
      <x:c r="T848" s="12" t="str">
        <x:v>否</x:v>
      </x:c>
      <x:c r="U848" s="12" t="str">
        <x:v>未提供</x:v>
      </x:c>
      <x:c r="V848" s="12" t="str">
        <x:v>未提供</x:v>
      </x:c>
      <x:c r="W848" s="12" t="str">
        <x:v>秒级预测</x:v>
      </x:c>
      <x:c r="X848" s="12" t="str">
        <x:v>基于路线秒级参数；如录入实测或手动采用秒，预计到达时间可随公式更新</x:v>
      </x:c>
    </x:row>
    <x:row r="849">
      <x:c r="A849" s="12" t="str">
        <x:v>S0068-13</x:v>
      </x:c>
      <x:c r="B849" s="12" t="str">
        <x:v>S0068</x:v>
      </x:c>
      <x:c r="C849" s="12" t="str">
        <x:v>工作日</x:v>
      </x:c>
      <x:c r="D849" s="12" t="str">
        <x:v>环线1路</x:v>
      </x:c>
      <x:c r="E849" s="12" t="str">
        <x:v>第四班（夜1）</x:v>
      </x:c>
      <x:c r="F849" s="12" t="n">
        <x:v>12</x:v>
      </x:c>
      <x:c r="G849" s="12" t="str">
        <x:v>21:15</x:v>
      </x:c>
      <x:c r="H849" s="12" t="n">
        <x:v>1275</x:v>
      </x:c>
      <x:c r="I849" s="12" t="str">
        <x:v>研究生宿舍楼</x:v>
      </x:c>
      <x:c r="J849" s="12" t="str">
        <x:v>研究生宿舍楼发车</x:v>
      </x:c>
      <x:c r="K849" s="12" t="str">
        <x:v>HX1_NORMAL</x:v>
      </x:c>
      <x:c r="L849" s="12" t="n">
        <x:v>13</x:v>
      </x:c>
      <x:c r="M849" s="12" t="str">
        <x:v>HX1_NORMAL|13</x:v>
      </x:c>
      <x:c r="N849" s="12" t="str">
        <x:v>研究生宿舍楼</x:v>
      </x:c>
      <x:c r="O849" s="12" t="n">
        <x:f>IFERROR(INDEX('秒级路线参数_可调整'!$O:$O,MATCH(M849,'秒级路线参数_可调整'!$A:$A,0)),"")</x:f>
        <x:v>0</x:v>
      </x:c>
      <x:c r="P849" s="12" t="str">
        <x:f>IF(O849="","",O849/86400)</x:f>
      </x:c>
      <x:c r="Q849" s="12" t="str">
        <x:f>IF(O849="","",(H849*60+O849)/86400)</x:f>
      </x:c>
      <x:c r="R849" s="12" t="str">
        <x:f>IF(Q849="","",TEXT(Q849,"hh:mm:ss"))</x:f>
      </x:c>
      <x:c r="S849" s="12" t="str">
        <x:v>否</x:v>
      </x:c>
      <x:c r="T849" s="12" t="str">
        <x:v>是</x:v>
      </x:c>
      <x:c r="U849" s="12" t="str">
        <x:v>未提供</x:v>
      </x:c>
      <x:c r="V849" s="12" t="str">
        <x:v>未提供</x:v>
      </x:c>
      <x:c r="W849" s="12" t="str">
        <x:v>秒级预测</x:v>
      </x:c>
      <x:c r="X849" s="12" t="str">
        <x:v>基于路线秒级参数；如录入实测或手动采用秒，预计到达时间可随公式更新</x:v>
      </x:c>
    </x:row>
    <x:row r="850">
      <x:c r="A850" s="12" t="str">
        <x:v>S0069-01</x:v>
      </x:c>
      <x:c r="B850" s="12" t="str">
        <x:v>S0069</x:v>
      </x:c>
      <x:c r="C850" s="12" t="str">
        <x:v>工作日</x:v>
      </x:c>
      <x:c r="D850" s="12" t="str">
        <x:v>环线1路</x:v>
      </x:c>
      <x:c r="E850" s="12" t="str">
        <x:v>第四班（夜1）</x:v>
      </x:c>
      <x:c r="F850" s="12" t="n">
        <x:v>13</x:v>
      </x:c>
      <x:c r="G850" s="12" t="str">
        <x:v>21:45</x:v>
      </x:c>
      <x:c r="H850" s="12" t="n">
        <x:v>1305</x:v>
      </x:c>
      <x:c r="I850" s="12" t="str">
        <x:v>研究生宿舍楼</x:v>
      </x:c>
      <x:c r="J850" s="12" t="str">
        <x:v>研究生宿舍楼发车</x:v>
      </x:c>
      <x:c r="K850" s="12" t="str">
        <x:v>HX1_NORMAL</x:v>
      </x:c>
      <x:c r="L850" s="12" t="n">
        <x:v>1</x:v>
      </x:c>
      <x:c r="M850" s="12" t="str">
        <x:v>HX1_NORMAL|1</x:v>
      </x:c>
      <x:c r="N850" s="12" t="str">
        <x:v>研究生宿舍楼</x:v>
      </x:c>
      <x:c r="O850" s="12" t="n">
        <x:f>IFERROR(INDEX('秒级路线参数_可调整'!$O:$O,MATCH(M850,'秒级路线参数_可调整'!$A:$A,0)),"")</x:f>
        <x:v>0</x:v>
      </x:c>
      <x:c r="P850" s="12" t="str">
        <x:f>IF(O850="","",O850/86400)</x:f>
      </x:c>
      <x:c r="Q850" s="12" t="str">
        <x:f>IF(O850="","",(H850*60+O850)/86400)</x:f>
      </x:c>
      <x:c r="R850" s="12" t="str">
        <x:f>IF(Q850="","",TEXT(Q850,"hh:mm:ss"))</x:f>
      </x:c>
      <x:c r="S850" s="12" t="str">
        <x:v>是</x:v>
      </x:c>
      <x:c r="T850" s="12" t="str">
        <x:v>否</x:v>
      </x:c>
      <x:c r="U850" s="12" t="str">
        <x:v>未提供</x:v>
      </x:c>
      <x:c r="V850" s="12" t="str">
        <x:v>未提供</x:v>
      </x:c>
      <x:c r="W850" s="12" t="str">
        <x:v>秒级预测</x:v>
      </x:c>
      <x:c r="X850" s="12" t="str">
        <x:v>基于路线秒级参数；如录入实测或手动采用秒，预计到达时间可随公式更新</x:v>
      </x:c>
    </x:row>
    <x:row r="851">
      <x:c r="A851" s="12" t="str">
        <x:v>S0069-02</x:v>
      </x:c>
      <x:c r="B851" s="12" t="str">
        <x:v>S0069</x:v>
      </x:c>
      <x:c r="C851" s="12" t="str">
        <x:v>工作日</x:v>
      </x:c>
      <x:c r="D851" s="12" t="str">
        <x:v>环线1路</x:v>
      </x:c>
      <x:c r="E851" s="12" t="str">
        <x:v>第四班（夜1）</x:v>
      </x:c>
      <x:c r="F851" s="12" t="n">
        <x:v>13</x:v>
      </x:c>
      <x:c r="G851" s="12" t="str">
        <x:v>21:45</x:v>
      </x:c>
      <x:c r="H851" s="12" t="n">
        <x:v>1305</x:v>
      </x:c>
      <x:c r="I851" s="12" t="str">
        <x:v>研究生宿舍楼</x:v>
      </x:c>
      <x:c r="J851" s="12" t="str">
        <x:v>研究生宿舍楼发车</x:v>
      </x:c>
      <x:c r="K851" s="12" t="str">
        <x:v>HX1_NORMAL</x:v>
      </x:c>
      <x:c r="L851" s="12" t="n">
        <x:v>2</x:v>
      </x:c>
      <x:c r="M851" s="12" t="str">
        <x:v>HX1_NORMAL|2</x:v>
      </x:c>
      <x:c r="N851" s="12" t="str">
        <x:v>东门</x:v>
      </x:c>
      <x:c r="O851" s="12" t="n">
        <x:f>IFERROR(INDEX('秒级路线参数_可调整'!$O:$O,MATCH(M851,'秒级路线参数_可调整'!$A:$A,0)),"")</x:f>
        <x:v>0</x:v>
      </x:c>
      <x:c r="P851" s="12" t="str">
        <x:f>IF(O851="","",O851/86400)</x:f>
      </x:c>
      <x:c r="Q851" s="12" t="str">
        <x:f>IF(O851="","",(H851*60+O851)/86400)</x:f>
      </x:c>
      <x:c r="R851" s="12" t="str">
        <x:f>IF(Q851="","",TEXT(Q851,"hh:mm:ss"))</x:f>
      </x:c>
      <x:c r="S851" s="12" t="str">
        <x:v>否</x:v>
      </x:c>
      <x:c r="T851" s="12" t="str">
        <x:v>否</x:v>
      </x:c>
      <x:c r="U851" s="12" t="str">
        <x:v>未提供</x:v>
      </x:c>
      <x:c r="V851" s="12" t="str">
        <x:v>未提供</x:v>
      </x:c>
      <x:c r="W851" s="12" t="str">
        <x:v>秒级预测</x:v>
      </x:c>
      <x:c r="X851" s="12" t="str">
        <x:v>基于路线秒级参数；如录入实测或手动采用秒，预计到达时间可随公式更新</x:v>
      </x:c>
    </x:row>
    <x:row r="852">
      <x:c r="A852" s="12" t="str">
        <x:v>S0069-03</x:v>
      </x:c>
      <x:c r="B852" s="12" t="str">
        <x:v>S0069</x:v>
      </x:c>
      <x:c r="C852" s="12" t="str">
        <x:v>工作日</x:v>
      </x:c>
      <x:c r="D852" s="12" t="str">
        <x:v>环线1路</x:v>
      </x:c>
      <x:c r="E852" s="12" t="str">
        <x:v>第四班（夜1）</x:v>
      </x:c>
      <x:c r="F852" s="12" t="n">
        <x:v>13</x:v>
      </x:c>
      <x:c r="G852" s="12" t="str">
        <x:v>21:45</x:v>
      </x:c>
      <x:c r="H852" s="12" t="n">
        <x:v>1305</x:v>
      </x:c>
      <x:c r="I852" s="12" t="str">
        <x:v>研究生宿舍楼</x:v>
      </x:c>
      <x:c r="J852" s="12" t="str">
        <x:v>研究生宿舍楼发车</x:v>
      </x:c>
      <x:c r="K852" s="12" t="str">
        <x:v>HX1_NORMAL</x:v>
      </x:c>
      <x:c r="L852" s="12" t="n">
        <x:v>3</x:v>
      </x:c>
      <x:c r="M852" s="12" t="str">
        <x:v>HX1_NORMAL|3</x:v>
      </x:c>
      <x:c r="N852" s="12" t="str">
        <x:v>2号宿舍楼</x:v>
      </x:c>
      <x:c r="O852" s="12" t="n">
        <x:f>IFERROR(INDEX('秒级路线参数_可调整'!$O:$O,MATCH(M852,'秒级路线参数_可调整'!$A:$A,0)),"")</x:f>
        <x:v>0</x:v>
      </x:c>
      <x:c r="P852" s="12" t="str">
        <x:f>IF(O852="","",O852/86400)</x:f>
      </x:c>
      <x:c r="Q852" s="12" t="str">
        <x:f>IF(O852="","",(H852*60+O852)/86400)</x:f>
      </x:c>
      <x:c r="R852" s="12" t="str">
        <x:f>IF(Q852="","",TEXT(Q852,"hh:mm:ss"))</x:f>
      </x:c>
      <x:c r="S852" s="12" t="str">
        <x:v>否</x:v>
      </x:c>
      <x:c r="T852" s="12" t="str">
        <x:v>否</x:v>
      </x:c>
      <x:c r="U852" s="12" t="str">
        <x:v>未提供</x:v>
      </x:c>
      <x:c r="V852" s="12" t="str">
        <x:v>未提供</x:v>
      </x:c>
      <x:c r="W852" s="12" t="str">
        <x:v>秒级预测</x:v>
      </x:c>
      <x:c r="X852" s="12" t="str">
        <x:v>基于路线秒级参数；如录入实测或手动采用秒，预计到达时间可随公式更新</x:v>
      </x:c>
    </x:row>
    <x:row r="853">
      <x:c r="A853" s="12" t="str">
        <x:v>S0069-04</x:v>
      </x:c>
      <x:c r="B853" s="12" t="str">
        <x:v>S0069</x:v>
      </x:c>
      <x:c r="C853" s="12" t="str">
        <x:v>工作日</x:v>
      </x:c>
      <x:c r="D853" s="12" t="str">
        <x:v>环线1路</x:v>
      </x:c>
      <x:c r="E853" s="12" t="str">
        <x:v>第四班（夜1）</x:v>
      </x:c>
      <x:c r="F853" s="12" t="n">
        <x:v>13</x:v>
      </x:c>
      <x:c r="G853" s="12" t="str">
        <x:v>21:45</x:v>
      </x:c>
      <x:c r="H853" s="12" t="n">
        <x:v>1305</x:v>
      </x:c>
      <x:c r="I853" s="12" t="str">
        <x:v>研究生宿舍楼</x:v>
      </x:c>
      <x:c r="J853" s="12" t="str">
        <x:v>研究生宿舍楼发车</x:v>
      </x:c>
      <x:c r="K853" s="12" t="str">
        <x:v>HX1_NORMAL</x:v>
      </x:c>
      <x:c r="L853" s="12" t="n">
        <x:v>4</x:v>
      </x:c>
      <x:c r="M853" s="12" t="str">
        <x:v>HX1_NORMAL|4</x:v>
      </x:c>
      <x:c r="N853" s="12" t="str">
        <x:v>军体活动中心</x:v>
      </x:c>
      <x:c r="O853" s="12" t="n">
        <x:f>IFERROR(INDEX('秒级路线参数_可调整'!$O:$O,MATCH(M853,'秒级路线参数_可调整'!$A:$A,0)),"")</x:f>
        <x:v>0</x:v>
      </x:c>
      <x:c r="P853" s="12" t="str">
        <x:f>IF(O853="","",O853/86400)</x:f>
      </x:c>
      <x:c r="Q853" s="12" t="str">
        <x:f>IF(O853="","",(H853*60+O853)/86400)</x:f>
      </x:c>
      <x:c r="R853" s="12" t="str">
        <x:f>IF(Q853="","",TEXT(Q853,"hh:mm:ss"))</x:f>
      </x:c>
      <x:c r="S853" s="12" t="str">
        <x:v>否</x:v>
      </x:c>
      <x:c r="T853" s="12" t="str">
        <x:v>否</x:v>
      </x:c>
      <x:c r="U853" s="12" t="str">
        <x:v>未提供</x:v>
      </x:c>
      <x:c r="V853" s="12" t="str">
        <x:v>未提供</x:v>
      </x:c>
      <x:c r="W853" s="12" t="str">
        <x:v>秒级预测</x:v>
      </x:c>
      <x:c r="X853" s="12" t="str">
        <x:v>基于路线秒级参数；如录入实测或手动采用秒，预计到达时间可随公式更新</x:v>
      </x:c>
    </x:row>
    <x:row r="854">
      <x:c r="A854" s="12" t="str">
        <x:v>S0069-05</x:v>
      </x:c>
      <x:c r="B854" s="12" t="str">
        <x:v>S0069</x:v>
      </x:c>
      <x:c r="C854" s="12" t="str">
        <x:v>工作日</x:v>
      </x:c>
      <x:c r="D854" s="12" t="str">
        <x:v>环线1路</x:v>
      </x:c>
      <x:c r="E854" s="12" t="str">
        <x:v>第四班（夜1）</x:v>
      </x:c>
      <x:c r="F854" s="12" t="n">
        <x:v>13</x:v>
      </x:c>
      <x:c r="G854" s="12" t="str">
        <x:v>21:45</x:v>
      </x:c>
      <x:c r="H854" s="12" t="n">
        <x:v>1305</x:v>
      </x:c>
      <x:c r="I854" s="12" t="str">
        <x:v>研究生宿舍楼</x:v>
      </x:c>
      <x:c r="J854" s="12" t="str">
        <x:v>研究生宿舍楼发车</x:v>
      </x:c>
      <x:c r="K854" s="12" t="str">
        <x:v>HX1_NORMAL</x:v>
      </x:c>
      <x:c r="L854" s="12" t="n">
        <x:v>5</x:v>
      </x:c>
      <x:c r="M854" s="12" t="str">
        <x:v>HX1_NORMAL|5</x:v>
      </x:c>
      <x:c r="N854" s="12" t="str">
        <x:v>激光所</x:v>
      </x:c>
      <x:c r="O854" s="12" t="n">
        <x:f>IFERROR(INDEX('秒级路线参数_可调整'!$O:$O,MATCH(M854,'秒级路线参数_可调整'!$A:$A,0)),"")</x:f>
        <x:v>0</x:v>
      </x:c>
      <x:c r="P854" s="12" t="str">
        <x:f>IF(O854="","",O854/86400)</x:f>
      </x:c>
      <x:c r="Q854" s="12" t="str">
        <x:f>IF(O854="","",(H854*60+O854)/86400)</x:f>
      </x:c>
      <x:c r="R854" s="12" t="str">
        <x:f>IF(Q854="","",TEXT(Q854,"hh:mm:ss"))</x:f>
      </x:c>
      <x:c r="S854" s="12" t="str">
        <x:v>否</x:v>
      </x:c>
      <x:c r="T854" s="12" t="str">
        <x:v>否</x:v>
      </x:c>
      <x:c r="U854" s="12" t="str">
        <x:v>未提供</x:v>
      </x:c>
      <x:c r="V854" s="12" t="str">
        <x:v>未提供</x:v>
      </x:c>
      <x:c r="W854" s="12" t="str">
        <x:v>秒级预测</x:v>
      </x:c>
      <x:c r="X854" s="12" t="str">
        <x:v>基于路线秒级参数；如录入实测或手动采用秒，预计到达时间可随公式更新</x:v>
      </x:c>
    </x:row>
    <x:row r="855">
      <x:c r="A855" s="12" t="str">
        <x:v>S0069-06</x:v>
      </x:c>
      <x:c r="B855" s="12" t="str">
        <x:v>S0069</x:v>
      </x:c>
      <x:c r="C855" s="12" t="str">
        <x:v>工作日</x:v>
      </x:c>
      <x:c r="D855" s="12" t="str">
        <x:v>环线1路</x:v>
      </x:c>
      <x:c r="E855" s="12" t="str">
        <x:v>第四班（夜1）</x:v>
      </x:c>
      <x:c r="F855" s="12" t="n">
        <x:v>13</x:v>
      </x:c>
      <x:c r="G855" s="12" t="str">
        <x:v>21:45</x:v>
      </x:c>
      <x:c r="H855" s="12" t="n">
        <x:v>1305</x:v>
      </x:c>
      <x:c r="I855" s="12" t="str">
        <x:v>研究生宿舍楼</x:v>
      </x:c>
      <x:c r="J855" s="12" t="str">
        <x:v>研究生宿舍楼发车</x:v>
      </x:c>
      <x:c r="K855" s="12" t="str">
        <x:v>HX1_NORMAL</x:v>
      </x:c>
      <x:c r="L855" s="12" t="n">
        <x:v>6</x:v>
      </x:c>
      <x:c r="M855" s="12" t="str">
        <x:v>HX1_NORMAL|6</x:v>
      </x:c>
      <x:c r="N855" s="12" t="str">
        <x:v>超算中心</x:v>
      </x:c>
      <x:c r="O855" s="12" t="n">
        <x:f>IFERROR(INDEX('秒级路线参数_可调整'!$O:$O,MATCH(M855,'秒级路线参数_可调整'!$A:$A,0)),"")</x:f>
        <x:v>0</x:v>
      </x:c>
      <x:c r="P855" s="12" t="str">
        <x:f>IF(O855="","",O855/86400)</x:f>
      </x:c>
      <x:c r="Q855" s="12" t="str">
        <x:f>IF(O855="","",(H855*60+O855)/86400)</x:f>
      </x:c>
      <x:c r="R855" s="12" t="str">
        <x:f>IF(Q855="","",TEXT(Q855,"hh:mm:ss"))</x:f>
      </x:c>
      <x:c r="S855" s="12" t="str">
        <x:v>否</x:v>
      </x:c>
      <x:c r="T855" s="12" t="str">
        <x:v>否</x:v>
      </x:c>
      <x:c r="U855" s="12" t="str">
        <x:v>未提供</x:v>
      </x:c>
      <x:c r="V855" s="12" t="str">
        <x:v>未提供</x:v>
      </x:c>
      <x:c r="W855" s="12" t="str">
        <x:v>秒级预测</x:v>
      </x:c>
      <x:c r="X855" s="12" t="str">
        <x:v>基于路线秒级参数；如录入实测或手动采用秒，预计到达时间可随公式更新</x:v>
      </x:c>
    </x:row>
    <x:row r="856">
      <x:c r="A856" s="12" t="str">
        <x:v>S0069-07</x:v>
      </x:c>
      <x:c r="B856" s="12" t="str">
        <x:v>S0069</x:v>
      </x:c>
      <x:c r="C856" s="12" t="str">
        <x:v>工作日</x:v>
      </x:c>
      <x:c r="D856" s="12" t="str">
        <x:v>环线1路</x:v>
      </x:c>
      <x:c r="E856" s="12" t="str">
        <x:v>第四班（夜1）</x:v>
      </x:c>
      <x:c r="F856" s="12" t="n">
        <x:v>13</x:v>
      </x:c>
      <x:c r="G856" s="12" t="str">
        <x:v>21:45</x:v>
      </x:c>
      <x:c r="H856" s="12" t="n">
        <x:v>1305</x:v>
      </x:c>
      <x:c r="I856" s="12" t="str">
        <x:v>研究生宿舍楼</x:v>
      </x:c>
      <x:c r="J856" s="12" t="str">
        <x:v>研究生宿舍楼发车</x:v>
      </x:c>
      <x:c r="K856" s="12" t="str">
        <x:v>HX1_NORMAL</x:v>
      </x:c>
      <x:c r="L856" s="12" t="n">
        <x:v>7</x:v>
      </x:c>
      <x:c r="M856" s="12" t="str">
        <x:v>HX1_NORMAL|7</x:v>
      </x:c>
      <x:c r="N856" s="12" t="str">
        <x:v>北门</x:v>
      </x:c>
      <x:c r="O856" s="12" t="n">
        <x:f>IFERROR(INDEX('秒级路线参数_可调整'!$O:$O,MATCH(M856,'秒级路线参数_可调整'!$A:$A,0)),"")</x:f>
        <x:v>0</x:v>
      </x:c>
      <x:c r="P856" s="12" t="str">
        <x:f>IF(O856="","",O856/86400)</x:f>
      </x:c>
      <x:c r="Q856" s="12" t="str">
        <x:f>IF(O856="","",(H856*60+O856)/86400)</x:f>
      </x:c>
      <x:c r="R856" s="12" t="str">
        <x:f>IF(Q856="","",TEXT(Q856,"hh:mm:ss"))</x:f>
      </x:c>
      <x:c r="S856" s="12" t="str">
        <x:v>否</x:v>
      </x:c>
      <x:c r="T856" s="12" t="str">
        <x:v>否</x:v>
      </x:c>
      <x:c r="U856" s="12" t="str">
        <x:v>未提供</x:v>
      </x:c>
      <x:c r="V856" s="12" t="str">
        <x:v>未提供</x:v>
      </x:c>
      <x:c r="W856" s="12" t="str">
        <x:v>秒级预测</x:v>
      </x:c>
      <x:c r="X856" s="12" t="str">
        <x:v>基于路线秒级参数；如录入实测或手动采用秒，预计到达时间可随公式更新</x:v>
      </x:c>
    </x:row>
    <x:row r="857">
      <x:c r="A857" s="12" t="str">
        <x:v>S0069-08</x:v>
      </x:c>
      <x:c r="B857" s="12" t="str">
        <x:v>S0069</x:v>
      </x:c>
      <x:c r="C857" s="12" t="str">
        <x:v>工作日</x:v>
      </x:c>
      <x:c r="D857" s="12" t="str">
        <x:v>环线1路</x:v>
      </x:c>
      <x:c r="E857" s="12" t="str">
        <x:v>第四班（夜1）</x:v>
      </x:c>
      <x:c r="F857" s="12" t="n">
        <x:v>13</x:v>
      </x:c>
      <x:c r="G857" s="12" t="str">
        <x:v>21:45</x:v>
      </x:c>
      <x:c r="H857" s="12" t="n">
        <x:v>1305</x:v>
      </x:c>
      <x:c r="I857" s="12" t="str">
        <x:v>研究生宿舍楼</x:v>
      </x:c>
      <x:c r="J857" s="12" t="str">
        <x:v>研究生宿舍楼发车</x:v>
      </x:c>
      <x:c r="K857" s="12" t="str">
        <x:v>HX1_NORMAL</x:v>
      </x:c>
      <x:c r="L857" s="12" t="n">
        <x:v>8</x:v>
      </x:c>
      <x:c r="M857" s="12" t="str">
        <x:v>HX1_NORMAL|8</x:v>
      </x:c>
      <x:c r="N857" s="12" t="str">
        <x:v>高超楼</x:v>
      </x:c>
      <x:c r="O857" s="12" t="n">
        <x:f>IFERROR(INDEX('秒级路线参数_可调整'!$O:$O,MATCH(M857,'秒级路线参数_可调整'!$A:$A,0)),"")</x:f>
        <x:v>0</x:v>
      </x:c>
      <x:c r="P857" s="12" t="str">
        <x:f>IF(O857="","",O857/86400)</x:f>
      </x:c>
      <x:c r="Q857" s="12" t="str">
        <x:f>IF(O857="","",(H857*60+O857)/86400)</x:f>
      </x:c>
      <x:c r="R857" s="12" t="str">
        <x:f>IF(Q857="","",TEXT(Q857,"hh:mm:ss"))</x:f>
      </x:c>
      <x:c r="S857" s="12" t="str">
        <x:v>否</x:v>
      </x:c>
      <x:c r="T857" s="12" t="str">
        <x:v>否</x:v>
      </x:c>
      <x:c r="U857" s="12" t="str">
        <x:v>未提供</x:v>
      </x:c>
      <x:c r="V857" s="12" t="str">
        <x:v>未提供</x:v>
      </x:c>
      <x:c r="W857" s="12" t="str">
        <x:v>秒级预测</x:v>
      </x:c>
      <x:c r="X857" s="12" t="str">
        <x:v>基于路线秒级参数；如录入实测或手动采用秒，预计到达时间可随公式更新</x:v>
      </x:c>
    </x:row>
    <x:row r="858">
      <x:c r="A858" s="12" t="str">
        <x:v>S0069-09</x:v>
      </x:c>
      <x:c r="B858" s="12" t="str">
        <x:v>S0069</x:v>
      </x:c>
      <x:c r="C858" s="12" t="str">
        <x:v>工作日</x:v>
      </x:c>
      <x:c r="D858" s="12" t="str">
        <x:v>环线1路</x:v>
      </x:c>
      <x:c r="E858" s="12" t="str">
        <x:v>第四班（夜1）</x:v>
      </x:c>
      <x:c r="F858" s="12" t="n">
        <x:v>13</x:v>
      </x:c>
      <x:c r="G858" s="12" t="str">
        <x:v>21:45</x:v>
      </x:c>
      <x:c r="H858" s="12" t="n">
        <x:v>1305</x:v>
      </x:c>
      <x:c r="I858" s="12" t="str">
        <x:v>研究生宿舍楼</x:v>
      </x:c>
      <x:c r="J858" s="12" t="str">
        <x:v>研究生宿舍楼发车</x:v>
      </x:c>
      <x:c r="K858" s="12" t="str">
        <x:v>HX1_NORMAL</x:v>
      </x:c>
      <x:c r="L858" s="12" t="n">
        <x:v>9</x:v>
      </x:c>
      <x:c r="M858" s="12" t="str">
        <x:v>HX1_NORMAL|9</x:v>
      </x:c>
      <x:c r="N858" s="12" t="str">
        <x:v>理学院</x:v>
      </x:c>
      <x:c r="O858" s="12" t="n">
        <x:f>IFERROR(INDEX('秒级路线参数_可调整'!$O:$O,MATCH(M858,'秒级路线参数_可调整'!$A:$A,0)),"")</x:f>
        <x:v>0</x:v>
      </x:c>
      <x:c r="P858" s="12" t="str">
        <x:f>IF(O858="","",O858/86400)</x:f>
      </x:c>
      <x:c r="Q858" s="12" t="str">
        <x:f>IF(O858="","",(H858*60+O858)/86400)</x:f>
      </x:c>
      <x:c r="R858" s="12" t="str">
        <x:f>IF(Q858="","",TEXT(Q858,"hh:mm:ss"))</x:f>
      </x:c>
      <x:c r="S858" s="12" t="str">
        <x:v>否</x:v>
      </x:c>
      <x:c r="T858" s="12" t="str">
        <x:v>否</x:v>
      </x:c>
      <x:c r="U858" s="12" t="str">
        <x:v>未提供</x:v>
      </x:c>
      <x:c r="V858" s="12" t="str">
        <x:v>未提供</x:v>
      </x:c>
      <x:c r="W858" s="12" t="str">
        <x:v>秒级预测</x:v>
      </x:c>
      <x:c r="X858" s="12" t="str">
        <x:v>基于路线秒级参数；如录入实测或手动采用秒，预计到达时间可随公式更新</x:v>
      </x:c>
    </x:row>
    <x:row r="859">
      <x:c r="A859" s="12" t="str">
        <x:v>S0069-10</x:v>
      </x:c>
      <x:c r="B859" s="12" t="str">
        <x:v>S0069</x:v>
      </x:c>
      <x:c r="C859" s="12" t="str">
        <x:v>工作日</x:v>
      </x:c>
      <x:c r="D859" s="12" t="str">
        <x:v>环线1路</x:v>
      </x:c>
      <x:c r="E859" s="12" t="str">
        <x:v>第四班（夜1）</x:v>
      </x:c>
      <x:c r="F859" s="12" t="n">
        <x:v>13</x:v>
      </x:c>
      <x:c r="G859" s="12" t="str">
        <x:v>21:45</x:v>
      </x:c>
      <x:c r="H859" s="12" t="n">
        <x:v>1305</x:v>
      </x:c>
      <x:c r="I859" s="12" t="str">
        <x:v>研究生宿舍楼</x:v>
      </x:c>
      <x:c r="J859" s="12" t="str">
        <x:v>研究生宿舍楼发车</x:v>
      </x:c>
      <x:c r="K859" s="12" t="str">
        <x:v>HX1_NORMAL</x:v>
      </x:c>
      <x:c r="L859" s="12" t="n">
        <x:v>10</x:v>
      </x:c>
      <x:c r="M859" s="12" t="str">
        <x:v>HX1_NORMAL|10</x:v>
      </x:c>
      <x:c r="N859" s="12" t="str">
        <x:v>二食堂</x:v>
      </x:c>
      <x:c r="O859" s="12" t="n">
        <x:f>IFERROR(INDEX('秒级路线参数_可调整'!$O:$O,MATCH(M859,'秒级路线参数_可调整'!$A:$A,0)),"")</x:f>
        <x:v>0</x:v>
      </x:c>
      <x:c r="P859" s="12" t="str">
        <x:f>IF(O859="","",O859/86400)</x:f>
      </x:c>
      <x:c r="Q859" s="12" t="str">
        <x:f>IF(O859="","",(H859*60+O859)/86400)</x:f>
      </x:c>
      <x:c r="R859" s="12" t="str">
        <x:f>IF(Q859="","",TEXT(Q859,"hh:mm:ss"))</x:f>
      </x:c>
      <x:c r="S859" s="12" t="str">
        <x:v>否</x:v>
      </x:c>
      <x:c r="T859" s="12" t="str">
        <x:v>否</x:v>
      </x:c>
      <x:c r="U859" s="12" t="str">
        <x:v>未提供</x:v>
      </x:c>
      <x:c r="V859" s="12" t="str">
        <x:v>未提供</x:v>
      </x:c>
      <x:c r="W859" s="12" t="str">
        <x:v>秒级预测</x:v>
      </x:c>
      <x:c r="X859" s="12" t="str">
        <x:v>基于路线秒级参数；如录入实测或手动采用秒，预计到达时间可随公式更新</x:v>
      </x:c>
    </x:row>
    <x:row r="860">
      <x:c r="A860" s="12" t="str">
        <x:v>S0069-11</x:v>
      </x:c>
      <x:c r="B860" s="12" t="str">
        <x:v>S0069</x:v>
      </x:c>
      <x:c r="C860" s="12" t="str">
        <x:v>工作日</x:v>
      </x:c>
      <x:c r="D860" s="12" t="str">
        <x:v>环线1路</x:v>
      </x:c>
      <x:c r="E860" s="12" t="str">
        <x:v>第四班（夜1）</x:v>
      </x:c>
      <x:c r="F860" s="12" t="n">
        <x:v>13</x:v>
      </x:c>
      <x:c r="G860" s="12" t="str">
        <x:v>21:45</x:v>
      </x:c>
      <x:c r="H860" s="12" t="n">
        <x:v>1305</x:v>
      </x:c>
      <x:c r="I860" s="12" t="str">
        <x:v>研究生宿舍楼</x:v>
      </x:c>
      <x:c r="J860" s="12" t="str">
        <x:v>研究生宿舍楼发车</x:v>
      </x:c>
      <x:c r="K860" s="12" t="str">
        <x:v>HX1_NORMAL</x:v>
      </x:c>
      <x:c r="L860" s="12" t="n">
        <x:v>11</x:v>
      </x:c>
      <x:c r="M860" s="12" t="str">
        <x:v>HX1_NORMAL|11</x:v>
      </x:c>
      <x:c r="N860" s="12" t="str">
        <x:v>5号宿舍楼</x:v>
      </x:c>
      <x:c r="O860" s="12" t="n">
        <x:f>IFERROR(INDEX('秒级路线参数_可调整'!$O:$O,MATCH(M860,'秒级路线参数_可调整'!$A:$A,0)),"")</x:f>
        <x:v>0</x:v>
      </x:c>
      <x:c r="P860" s="12" t="str">
        <x:f>IF(O860="","",O860/86400)</x:f>
      </x:c>
      <x:c r="Q860" s="12" t="str">
        <x:f>IF(O860="","",(H860*60+O860)/86400)</x:f>
      </x:c>
      <x:c r="R860" s="12" t="str">
        <x:f>IF(Q860="","",TEXT(Q860,"hh:mm:ss"))</x:f>
      </x:c>
      <x:c r="S860" s="12" t="str">
        <x:v>否</x:v>
      </x:c>
      <x:c r="T860" s="12" t="str">
        <x:v>否</x:v>
      </x:c>
      <x:c r="U860" s="12" t="str">
        <x:v>未提供</x:v>
      </x:c>
      <x:c r="V860" s="12" t="str">
        <x:v>未提供</x:v>
      </x:c>
      <x:c r="W860" s="12" t="str">
        <x:v>秒级预测</x:v>
      </x:c>
      <x:c r="X860" s="12" t="str">
        <x:v>基于路线秒级参数；如录入实测或手动采用秒，预计到达时间可随公式更新</x:v>
      </x:c>
    </x:row>
    <x:row r="861">
      <x:c r="A861" s="12" t="str">
        <x:v>S0069-12</x:v>
      </x:c>
      <x:c r="B861" s="12" t="str">
        <x:v>S0069</x:v>
      </x:c>
      <x:c r="C861" s="12" t="str">
        <x:v>工作日</x:v>
      </x:c>
      <x:c r="D861" s="12" t="str">
        <x:v>环线1路</x:v>
      </x:c>
      <x:c r="E861" s="12" t="str">
        <x:v>第四班（夜1）</x:v>
      </x:c>
      <x:c r="F861" s="12" t="n">
        <x:v>13</x:v>
      </x:c>
      <x:c r="G861" s="12" t="str">
        <x:v>21:45</x:v>
      </x:c>
      <x:c r="H861" s="12" t="n">
        <x:v>1305</x:v>
      </x:c>
      <x:c r="I861" s="12" t="str">
        <x:v>研究生宿舍楼</x:v>
      </x:c>
      <x:c r="J861" s="12" t="str">
        <x:v>研究生宿舍楼发车</x:v>
      </x:c>
      <x:c r="K861" s="12" t="str">
        <x:v>HX1_NORMAL</x:v>
      </x:c>
      <x:c r="L861" s="12" t="n">
        <x:v>12</x:v>
      </x:c>
      <x:c r="M861" s="12" t="str">
        <x:v>HX1_NORMAL|12</x:v>
      </x:c>
      <x:c r="N861" s="12" t="str">
        <x:v>305教学楼</x:v>
      </x:c>
      <x:c r="O861" s="12" t="n">
        <x:f>IFERROR(INDEX('秒级路线参数_可调整'!$O:$O,MATCH(M861,'秒级路线参数_可调整'!$A:$A,0)),"")</x:f>
        <x:v>0</x:v>
      </x:c>
      <x:c r="P861" s="12" t="str">
        <x:f>IF(O861="","",O861/86400)</x:f>
      </x:c>
      <x:c r="Q861" s="12" t="str">
        <x:f>IF(O861="","",(H861*60+O861)/86400)</x:f>
      </x:c>
      <x:c r="R861" s="12" t="str">
        <x:f>IF(Q861="","",TEXT(Q861,"hh:mm:ss"))</x:f>
      </x:c>
      <x:c r="S861" s="12" t="str">
        <x:v>否</x:v>
      </x:c>
      <x:c r="T861" s="12" t="str">
        <x:v>否</x:v>
      </x:c>
      <x:c r="U861" s="12" t="str">
        <x:v>未提供</x:v>
      </x:c>
      <x:c r="V861" s="12" t="str">
        <x:v>未提供</x:v>
      </x:c>
      <x:c r="W861" s="12" t="str">
        <x:v>秒级预测</x:v>
      </x:c>
      <x:c r="X861" s="12" t="str">
        <x:v>基于路线秒级参数；如录入实测或手动采用秒，预计到达时间可随公式更新</x:v>
      </x:c>
    </x:row>
    <x:row r="862">
      <x:c r="A862" s="12" t="str">
        <x:v>S0069-13</x:v>
      </x:c>
      <x:c r="B862" s="12" t="str">
        <x:v>S0069</x:v>
      </x:c>
      <x:c r="C862" s="12" t="str">
        <x:v>工作日</x:v>
      </x:c>
      <x:c r="D862" s="12" t="str">
        <x:v>环线1路</x:v>
      </x:c>
      <x:c r="E862" s="12" t="str">
        <x:v>第四班（夜1）</x:v>
      </x:c>
      <x:c r="F862" s="12" t="n">
        <x:v>13</x:v>
      </x:c>
      <x:c r="G862" s="12" t="str">
        <x:v>21:45</x:v>
      </x:c>
      <x:c r="H862" s="12" t="n">
        <x:v>1305</x:v>
      </x:c>
      <x:c r="I862" s="12" t="str">
        <x:v>研究生宿舍楼</x:v>
      </x:c>
      <x:c r="J862" s="12" t="str">
        <x:v>研究生宿舍楼发车</x:v>
      </x:c>
      <x:c r="K862" s="12" t="str">
        <x:v>HX1_NORMAL</x:v>
      </x:c>
      <x:c r="L862" s="12" t="n">
        <x:v>13</x:v>
      </x:c>
      <x:c r="M862" s="12" t="str">
        <x:v>HX1_NORMAL|13</x:v>
      </x:c>
      <x:c r="N862" s="12" t="str">
        <x:v>研究生宿舍楼</x:v>
      </x:c>
      <x:c r="O862" s="12" t="n">
        <x:f>IFERROR(INDEX('秒级路线参数_可调整'!$O:$O,MATCH(M862,'秒级路线参数_可调整'!$A:$A,0)),"")</x:f>
        <x:v>0</x:v>
      </x:c>
      <x:c r="P862" s="12" t="str">
        <x:f>IF(O862="","",O862/86400)</x:f>
      </x:c>
      <x:c r="Q862" s="12" t="str">
        <x:f>IF(O862="","",(H862*60+O862)/86400)</x:f>
      </x:c>
      <x:c r="R862" s="12" t="str">
        <x:f>IF(Q862="","",TEXT(Q862,"hh:mm:ss"))</x:f>
      </x:c>
      <x:c r="S862" s="12" t="str">
        <x:v>否</x:v>
      </x:c>
      <x:c r="T862" s="12" t="str">
        <x:v>是</x:v>
      </x:c>
      <x:c r="U862" s="12" t="str">
        <x:v>未提供</x:v>
      </x:c>
      <x:c r="V862" s="12" t="str">
        <x:v>未提供</x:v>
      </x:c>
      <x:c r="W862" s="12" t="str">
        <x:v>秒级预测</x:v>
      </x:c>
      <x:c r="X862" s="12" t="str">
        <x:v>基于路线秒级参数；如录入实测或手动采用秒，预计到达时间可随公式更新</x:v>
      </x:c>
    </x:row>
    <x:row r="863">
      <x:c r="A863" s="12" t="str">
        <x:v>S0070-01</x:v>
      </x:c>
      <x:c r="B863" s="12" t="str">
        <x:v>S0070</x:v>
      </x:c>
      <x:c r="C863" s="12" t="str">
        <x:v>工作日</x:v>
      </x:c>
      <x:c r="D863" s="12" t="str">
        <x:v>环线1路</x:v>
      </x:c>
      <x:c r="E863" s="12" t="str">
        <x:v>第四班（夜1）</x:v>
      </x:c>
      <x:c r="F863" s="12" t="n">
        <x:v>14</x:v>
      </x:c>
      <x:c r="G863" s="12" t="str">
        <x:v>22:15</x:v>
      </x:c>
      <x:c r="H863" s="12" t="n">
        <x:v>1335</x:v>
      </x:c>
      <x:c r="I863" s="12" t="str">
        <x:v>研究生宿舍楼</x:v>
      </x:c>
      <x:c r="J863" s="12" t="str">
        <x:v>研究生宿舍楼发车</x:v>
      </x:c>
      <x:c r="K863" s="12" t="str">
        <x:v>HX1_NORMAL</x:v>
      </x:c>
      <x:c r="L863" s="12" t="n">
        <x:v>1</x:v>
      </x:c>
      <x:c r="M863" s="12" t="str">
        <x:v>HX1_NORMAL|1</x:v>
      </x:c>
      <x:c r="N863" s="12" t="str">
        <x:v>研究生宿舍楼</x:v>
      </x:c>
      <x:c r="O863" s="12" t="n">
        <x:f>IFERROR(INDEX('秒级路线参数_可调整'!$O:$O,MATCH(M863,'秒级路线参数_可调整'!$A:$A,0)),"")</x:f>
        <x:v>0</x:v>
      </x:c>
      <x:c r="P863" s="12" t="str">
        <x:f>IF(O863="","",O863/86400)</x:f>
      </x:c>
      <x:c r="Q863" s="12" t="str">
        <x:f>IF(O863="","",(H863*60+O863)/86400)</x:f>
      </x:c>
      <x:c r="R863" s="12" t="str">
        <x:f>IF(Q863="","",TEXT(Q863,"hh:mm:ss"))</x:f>
      </x:c>
      <x:c r="S863" s="12" t="str">
        <x:v>是</x:v>
      </x:c>
      <x:c r="T863" s="12" t="str">
        <x:v>否</x:v>
      </x:c>
      <x:c r="U863" s="12" t="str">
        <x:v>未提供</x:v>
      </x:c>
      <x:c r="V863" s="12" t="str">
        <x:v>未提供</x:v>
      </x:c>
      <x:c r="W863" s="12" t="str">
        <x:v>秒级预测</x:v>
      </x:c>
      <x:c r="X863" s="12" t="str">
        <x:v>基于路线秒级参数；如录入实测或手动采用秒，预计到达时间可随公式更新</x:v>
      </x:c>
    </x:row>
    <x:row r="864">
      <x:c r="A864" s="12" t="str">
        <x:v>S0070-02</x:v>
      </x:c>
      <x:c r="B864" s="12" t="str">
        <x:v>S0070</x:v>
      </x:c>
      <x:c r="C864" s="12" t="str">
        <x:v>工作日</x:v>
      </x:c>
      <x:c r="D864" s="12" t="str">
        <x:v>环线1路</x:v>
      </x:c>
      <x:c r="E864" s="12" t="str">
        <x:v>第四班（夜1）</x:v>
      </x:c>
      <x:c r="F864" s="12" t="n">
        <x:v>14</x:v>
      </x:c>
      <x:c r="G864" s="12" t="str">
        <x:v>22:15</x:v>
      </x:c>
      <x:c r="H864" s="12" t="n">
        <x:v>1335</x:v>
      </x:c>
      <x:c r="I864" s="12" t="str">
        <x:v>研究生宿舍楼</x:v>
      </x:c>
      <x:c r="J864" s="12" t="str">
        <x:v>研究生宿舍楼发车</x:v>
      </x:c>
      <x:c r="K864" s="12" t="str">
        <x:v>HX1_NORMAL</x:v>
      </x:c>
      <x:c r="L864" s="12" t="n">
        <x:v>2</x:v>
      </x:c>
      <x:c r="M864" s="12" t="str">
        <x:v>HX1_NORMAL|2</x:v>
      </x:c>
      <x:c r="N864" s="12" t="str">
        <x:v>东门</x:v>
      </x:c>
      <x:c r="O864" s="12" t="n">
        <x:f>IFERROR(INDEX('秒级路线参数_可调整'!$O:$O,MATCH(M864,'秒级路线参数_可调整'!$A:$A,0)),"")</x:f>
        <x:v>0</x:v>
      </x:c>
      <x:c r="P864" s="12" t="str">
        <x:f>IF(O864="","",O864/86400)</x:f>
      </x:c>
      <x:c r="Q864" s="12" t="str">
        <x:f>IF(O864="","",(H864*60+O864)/86400)</x:f>
      </x:c>
      <x:c r="R864" s="12" t="str">
        <x:f>IF(Q864="","",TEXT(Q864,"hh:mm:ss"))</x:f>
      </x:c>
      <x:c r="S864" s="12" t="str">
        <x:v>否</x:v>
      </x:c>
      <x:c r="T864" s="12" t="str">
        <x:v>否</x:v>
      </x:c>
      <x:c r="U864" s="12" t="str">
        <x:v>未提供</x:v>
      </x:c>
      <x:c r="V864" s="12" t="str">
        <x:v>未提供</x:v>
      </x:c>
      <x:c r="W864" s="12" t="str">
        <x:v>秒级预测</x:v>
      </x:c>
      <x:c r="X864" s="12" t="str">
        <x:v>基于路线秒级参数；如录入实测或手动采用秒，预计到达时间可随公式更新</x:v>
      </x:c>
    </x:row>
    <x:row r="865">
      <x:c r="A865" s="12" t="str">
        <x:v>S0070-03</x:v>
      </x:c>
      <x:c r="B865" s="12" t="str">
        <x:v>S0070</x:v>
      </x:c>
      <x:c r="C865" s="12" t="str">
        <x:v>工作日</x:v>
      </x:c>
      <x:c r="D865" s="12" t="str">
        <x:v>环线1路</x:v>
      </x:c>
      <x:c r="E865" s="12" t="str">
        <x:v>第四班（夜1）</x:v>
      </x:c>
      <x:c r="F865" s="12" t="n">
        <x:v>14</x:v>
      </x:c>
      <x:c r="G865" s="12" t="str">
        <x:v>22:15</x:v>
      </x:c>
      <x:c r="H865" s="12" t="n">
        <x:v>1335</x:v>
      </x:c>
      <x:c r="I865" s="12" t="str">
        <x:v>研究生宿舍楼</x:v>
      </x:c>
      <x:c r="J865" s="12" t="str">
        <x:v>研究生宿舍楼发车</x:v>
      </x:c>
      <x:c r="K865" s="12" t="str">
        <x:v>HX1_NORMAL</x:v>
      </x:c>
      <x:c r="L865" s="12" t="n">
        <x:v>3</x:v>
      </x:c>
      <x:c r="M865" s="12" t="str">
        <x:v>HX1_NORMAL|3</x:v>
      </x:c>
      <x:c r="N865" s="12" t="str">
        <x:v>2号宿舍楼</x:v>
      </x:c>
      <x:c r="O865" s="12" t="n">
        <x:f>IFERROR(INDEX('秒级路线参数_可调整'!$O:$O,MATCH(M865,'秒级路线参数_可调整'!$A:$A,0)),"")</x:f>
        <x:v>0</x:v>
      </x:c>
      <x:c r="P865" s="12" t="str">
        <x:f>IF(O865="","",O865/86400)</x:f>
      </x:c>
      <x:c r="Q865" s="12" t="str">
        <x:f>IF(O865="","",(H865*60+O865)/86400)</x:f>
      </x:c>
      <x:c r="R865" s="12" t="str">
        <x:f>IF(Q865="","",TEXT(Q865,"hh:mm:ss"))</x:f>
      </x:c>
      <x:c r="S865" s="12" t="str">
        <x:v>否</x:v>
      </x:c>
      <x:c r="T865" s="12" t="str">
        <x:v>否</x:v>
      </x:c>
      <x:c r="U865" s="12" t="str">
        <x:v>未提供</x:v>
      </x:c>
      <x:c r="V865" s="12" t="str">
        <x:v>未提供</x:v>
      </x:c>
      <x:c r="W865" s="12" t="str">
        <x:v>秒级预测</x:v>
      </x:c>
      <x:c r="X865" s="12" t="str">
        <x:v>基于路线秒级参数；如录入实测或手动采用秒，预计到达时间可随公式更新</x:v>
      </x:c>
    </x:row>
    <x:row r="866">
      <x:c r="A866" s="12" t="str">
        <x:v>S0070-04</x:v>
      </x:c>
      <x:c r="B866" s="12" t="str">
        <x:v>S0070</x:v>
      </x:c>
      <x:c r="C866" s="12" t="str">
        <x:v>工作日</x:v>
      </x:c>
      <x:c r="D866" s="12" t="str">
        <x:v>环线1路</x:v>
      </x:c>
      <x:c r="E866" s="12" t="str">
        <x:v>第四班（夜1）</x:v>
      </x:c>
      <x:c r="F866" s="12" t="n">
        <x:v>14</x:v>
      </x:c>
      <x:c r="G866" s="12" t="str">
        <x:v>22:15</x:v>
      </x:c>
      <x:c r="H866" s="12" t="n">
        <x:v>1335</x:v>
      </x:c>
      <x:c r="I866" s="12" t="str">
        <x:v>研究生宿舍楼</x:v>
      </x:c>
      <x:c r="J866" s="12" t="str">
        <x:v>研究生宿舍楼发车</x:v>
      </x:c>
      <x:c r="K866" s="12" t="str">
        <x:v>HX1_NORMAL</x:v>
      </x:c>
      <x:c r="L866" s="12" t="n">
        <x:v>4</x:v>
      </x:c>
      <x:c r="M866" s="12" t="str">
        <x:v>HX1_NORMAL|4</x:v>
      </x:c>
      <x:c r="N866" s="12" t="str">
        <x:v>军体活动中心</x:v>
      </x:c>
      <x:c r="O866" s="12" t="n">
        <x:f>IFERROR(INDEX('秒级路线参数_可调整'!$O:$O,MATCH(M866,'秒级路线参数_可调整'!$A:$A,0)),"")</x:f>
        <x:v>0</x:v>
      </x:c>
      <x:c r="P866" s="12" t="str">
        <x:f>IF(O866="","",O866/86400)</x:f>
      </x:c>
      <x:c r="Q866" s="12" t="str">
        <x:f>IF(O866="","",(H866*60+O866)/86400)</x:f>
      </x:c>
      <x:c r="R866" s="12" t="str">
        <x:f>IF(Q866="","",TEXT(Q866,"hh:mm:ss"))</x:f>
      </x:c>
      <x:c r="S866" s="12" t="str">
        <x:v>否</x:v>
      </x:c>
      <x:c r="T866" s="12" t="str">
        <x:v>否</x:v>
      </x:c>
      <x:c r="U866" s="12" t="str">
        <x:v>未提供</x:v>
      </x:c>
      <x:c r="V866" s="12" t="str">
        <x:v>未提供</x:v>
      </x:c>
      <x:c r="W866" s="12" t="str">
        <x:v>秒级预测</x:v>
      </x:c>
      <x:c r="X866" s="12" t="str">
        <x:v>基于路线秒级参数；如录入实测或手动采用秒，预计到达时间可随公式更新</x:v>
      </x:c>
    </x:row>
    <x:row r="867">
      <x:c r="A867" s="12" t="str">
        <x:v>S0070-05</x:v>
      </x:c>
      <x:c r="B867" s="12" t="str">
        <x:v>S0070</x:v>
      </x:c>
      <x:c r="C867" s="12" t="str">
        <x:v>工作日</x:v>
      </x:c>
      <x:c r="D867" s="12" t="str">
        <x:v>环线1路</x:v>
      </x:c>
      <x:c r="E867" s="12" t="str">
        <x:v>第四班（夜1）</x:v>
      </x:c>
      <x:c r="F867" s="12" t="n">
        <x:v>14</x:v>
      </x:c>
      <x:c r="G867" s="12" t="str">
        <x:v>22:15</x:v>
      </x:c>
      <x:c r="H867" s="12" t="n">
        <x:v>1335</x:v>
      </x:c>
      <x:c r="I867" s="12" t="str">
        <x:v>研究生宿舍楼</x:v>
      </x:c>
      <x:c r="J867" s="12" t="str">
        <x:v>研究生宿舍楼发车</x:v>
      </x:c>
      <x:c r="K867" s="12" t="str">
        <x:v>HX1_NORMAL</x:v>
      </x:c>
      <x:c r="L867" s="12" t="n">
        <x:v>5</x:v>
      </x:c>
      <x:c r="M867" s="12" t="str">
        <x:v>HX1_NORMAL|5</x:v>
      </x:c>
      <x:c r="N867" s="12" t="str">
        <x:v>激光所</x:v>
      </x:c>
      <x:c r="O867" s="12" t="n">
        <x:f>IFERROR(INDEX('秒级路线参数_可调整'!$O:$O,MATCH(M867,'秒级路线参数_可调整'!$A:$A,0)),"")</x:f>
        <x:v>0</x:v>
      </x:c>
      <x:c r="P867" s="12" t="str">
        <x:f>IF(O867="","",O867/86400)</x:f>
      </x:c>
      <x:c r="Q867" s="12" t="str">
        <x:f>IF(O867="","",(H867*60+O867)/86400)</x:f>
      </x:c>
      <x:c r="R867" s="12" t="str">
        <x:f>IF(Q867="","",TEXT(Q867,"hh:mm:ss"))</x:f>
      </x:c>
      <x:c r="S867" s="12" t="str">
        <x:v>否</x:v>
      </x:c>
      <x:c r="T867" s="12" t="str">
        <x:v>否</x:v>
      </x:c>
      <x:c r="U867" s="12" t="str">
        <x:v>未提供</x:v>
      </x:c>
      <x:c r="V867" s="12" t="str">
        <x:v>未提供</x:v>
      </x:c>
      <x:c r="W867" s="12" t="str">
        <x:v>秒级预测</x:v>
      </x:c>
      <x:c r="X867" s="12" t="str">
        <x:v>基于路线秒级参数；如录入实测或手动采用秒，预计到达时间可随公式更新</x:v>
      </x:c>
    </x:row>
    <x:row r="868">
      <x:c r="A868" s="12" t="str">
        <x:v>S0070-06</x:v>
      </x:c>
      <x:c r="B868" s="12" t="str">
        <x:v>S0070</x:v>
      </x:c>
      <x:c r="C868" s="12" t="str">
        <x:v>工作日</x:v>
      </x:c>
      <x:c r="D868" s="12" t="str">
        <x:v>环线1路</x:v>
      </x:c>
      <x:c r="E868" s="12" t="str">
        <x:v>第四班（夜1）</x:v>
      </x:c>
      <x:c r="F868" s="12" t="n">
        <x:v>14</x:v>
      </x:c>
      <x:c r="G868" s="12" t="str">
        <x:v>22:15</x:v>
      </x:c>
      <x:c r="H868" s="12" t="n">
        <x:v>1335</x:v>
      </x:c>
      <x:c r="I868" s="12" t="str">
        <x:v>研究生宿舍楼</x:v>
      </x:c>
      <x:c r="J868" s="12" t="str">
        <x:v>研究生宿舍楼发车</x:v>
      </x:c>
      <x:c r="K868" s="12" t="str">
        <x:v>HX1_NORMAL</x:v>
      </x:c>
      <x:c r="L868" s="12" t="n">
        <x:v>6</x:v>
      </x:c>
      <x:c r="M868" s="12" t="str">
        <x:v>HX1_NORMAL|6</x:v>
      </x:c>
      <x:c r="N868" s="12" t="str">
        <x:v>超算中心</x:v>
      </x:c>
      <x:c r="O868" s="12" t="n">
        <x:f>IFERROR(INDEX('秒级路线参数_可调整'!$O:$O,MATCH(M868,'秒级路线参数_可调整'!$A:$A,0)),"")</x:f>
        <x:v>0</x:v>
      </x:c>
      <x:c r="P868" s="12" t="str">
        <x:f>IF(O868="","",O868/86400)</x:f>
      </x:c>
      <x:c r="Q868" s="12" t="str">
        <x:f>IF(O868="","",(H868*60+O868)/86400)</x:f>
      </x:c>
      <x:c r="R868" s="12" t="str">
        <x:f>IF(Q868="","",TEXT(Q868,"hh:mm:ss"))</x:f>
      </x:c>
      <x:c r="S868" s="12" t="str">
        <x:v>否</x:v>
      </x:c>
      <x:c r="T868" s="12" t="str">
        <x:v>否</x:v>
      </x:c>
      <x:c r="U868" s="12" t="str">
        <x:v>未提供</x:v>
      </x:c>
      <x:c r="V868" s="12" t="str">
        <x:v>未提供</x:v>
      </x:c>
      <x:c r="W868" s="12" t="str">
        <x:v>秒级预测</x:v>
      </x:c>
      <x:c r="X868" s="12" t="str">
        <x:v>基于路线秒级参数；如录入实测或手动采用秒，预计到达时间可随公式更新</x:v>
      </x:c>
    </x:row>
    <x:row r="869">
      <x:c r="A869" s="12" t="str">
        <x:v>S0070-07</x:v>
      </x:c>
      <x:c r="B869" s="12" t="str">
        <x:v>S0070</x:v>
      </x:c>
      <x:c r="C869" s="12" t="str">
        <x:v>工作日</x:v>
      </x:c>
      <x:c r="D869" s="12" t="str">
        <x:v>环线1路</x:v>
      </x:c>
      <x:c r="E869" s="12" t="str">
        <x:v>第四班（夜1）</x:v>
      </x:c>
      <x:c r="F869" s="12" t="n">
        <x:v>14</x:v>
      </x:c>
      <x:c r="G869" s="12" t="str">
        <x:v>22:15</x:v>
      </x:c>
      <x:c r="H869" s="12" t="n">
        <x:v>1335</x:v>
      </x:c>
      <x:c r="I869" s="12" t="str">
        <x:v>研究生宿舍楼</x:v>
      </x:c>
      <x:c r="J869" s="12" t="str">
        <x:v>研究生宿舍楼发车</x:v>
      </x:c>
      <x:c r="K869" s="12" t="str">
        <x:v>HX1_NORMAL</x:v>
      </x:c>
      <x:c r="L869" s="12" t="n">
        <x:v>7</x:v>
      </x:c>
      <x:c r="M869" s="12" t="str">
        <x:v>HX1_NORMAL|7</x:v>
      </x:c>
      <x:c r="N869" s="12" t="str">
        <x:v>北门</x:v>
      </x:c>
      <x:c r="O869" s="12" t="n">
        <x:f>IFERROR(INDEX('秒级路线参数_可调整'!$O:$O,MATCH(M869,'秒级路线参数_可调整'!$A:$A,0)),"")</x:f>
        <x:v>0</x:v>
      </x:c>
      <x:c r="P869" s="12" t="str">
        <x:f>IF(O869="","",O869/86400)</x:f>
      </x:c>
      <x:c r="Q869" s="12" t="str">
        <x:f>IF(O869="","",(H869*60+O869)/86400)</x:f>
      </x:c>
      <x:c r="R869" s="12" t="str">
        <x:f>IF(Q869="","",TEXT(Q869,"hh:mm:ss"))</x:f>
      </x:c>
      <x:c r="S869" s="12" t="str">
        <x:v>否</x:v>
      </x:c>
      <x:c r="T869" s="12" t="str">
        <x:v>否</x:v>
      </x:c>
      <x:c r="U869" s="12" t="str">
        <x:v>未提供</x:v>
      </x:c>
      <x:c r="V869" s="12" t="str">
        <x:v>未提供</x:v>
      </x:c>
      <x:c r="W869" s="12" t="str">
        <x:v>秒级预测</x:v>
      </x:c>
      <x:c r="X869" s="12" t="str">
        <x:v>基于路线秒级参数；如录入实测或手动采用秒，预计到达时间可随公式更新</x:v>
      </x:c>
    </x:row>
    <x:row r="870">
      <x:c r="A870" s="12" t="str">
        <x:v>S0070-08</x:v>
      </x:c>
      <x:c r="B870" s="12" t="str">
        <x:v>S0070</x:v>
      </x:c>
      <x:c r="C870" s="12" t="str">
        <x:v>工作日</x:v>
      </x:c>
      <x:c r="D870" s="12" t="str">
        <x:v>环线1路</x:v>
      </x:c>
      <x:c r="E870" s="12" t="str">
        <x:v>第四班（夜1）</x:v>
      </x:c>
      <x:c r="F870" s="12" t="n">
        <x:v>14</x:v>
      </x:c>
      <x:c r="G870" s="12" t="str">
        <x:v>22:15</x:v>
      </x:c>
      <x:c r="H870" s="12" t="n">
        <x:v>1335</x:v>
      </x:c>
      <x:c r="I870" s="12" t="str">
        <x:v>研究生宿舍楼</x:v>
      </x:c>
      <x:c r="J870" s="12" t="str">
        <x:v>研究生宿舍楼发车</x:v>
      </x:c>
      <x:c r="K870" s="12" t="str">
        <x:v>HX1_NORMAL</x:v>
      </x:c>
      <x:c r="L870" s="12" t="n">
        <x:v>8</x:v>
      </x:c>
      <x:c r="M870" s="12" t="str">
        <x:v>HX1_NORMAL|8</x:v>
      </x:c>
      <x:c r="N870" s="12" t="str">
        <x:v>高超楼</x:v>
      </x:c>
      <x:c r="O870" s="12" t="n">
        <x:f>IFERROR(INDEX('秒级路线参数_可调整'!$O:$O,MATCH(M870,'秒级路线参数_可调整'!$A:$A,0)),"")</x:f>
        <x:v>0</x:v>
      </x:c>
      <x:c r="P870" s="12" t="str">
        <x:f>IF(O870="","",O870/86400)</x:f>
      </x:c>
      <x:c r="Q870" s="12" t="str">
        <x:f>IF(O870="","",(H870*60+O870)/86400)</x:f>
      </x:c>
      <x:c r="R870" s="12" t="str">
        <x:f>IF(Q870="","",TEXT(Q870,"hh:mm:ss"))</x:f>
      </x:c>
      <x:c r="S870" s="12" t="str">
        <x:v>否</x:v>
      </x:c>
      <x:c r="T870" s="12" t="str">
        <x:v>否</x:v>
      </x:c>
      <x:c r="U870" s="12" t="str">
        <x:v>未提供</x:v>
      </x:c>
      <x:c r="V870" s="12" t="str">
        <x:v>未提供</x:v>
      </x:c>
      <x:c r="W870" s="12" t="str">
        <x:v>秒级预测</x:v>
      </x:c>
      <x:c r="X870" s="12" t="str">
        <x:v>基于路线秒级参数；如录入实测或手动采用秒，预计到达时间可随公式更新</x:v>
      </x:c>
    </x:row>
    <x:row r="871">
      <x:c r="A871" s="12" t="str">
        <x:v>S0070-09</x:v>
      </x:c>
      <x:c r="B871" s="12" t="str">
        <x:v>S0070</x:v>
      </x:c>
      <x:c r="C871" s="12" t="str">
        <x:v>工作日</x:v>
      </x:c>
      <x:c r="D871" s="12" t="str">
        <x:v>环线1路</x:v>
      </x:c>
      <x:c r="E871" s="12" t="str">
        <x:v>第四班（夜1）</x:v>
      </x:c>
      <x:c r="F871" s="12" t="n">
        <x:v>14</x:v>
      </x:c>
      <x:c r="G871" s="12" t="str">
        <x:v>22:15</x:v>
      </x:c>
      <x:c r="H871" s="12" t="n">
        <x:v>1335</x:v>
      </x:c>
      <x:c r="I871" s="12" t="str">
        <x:v>研究生宿舍楼</x:v>
      </x:c>
      <x:c r="J871" s="12" t="str">
        <x:v>研究生宿舍楼发车</x:v>
      </x:c>
      <x:c r="K871" s="12" t="str">
        <x:v>HX1_NORMAL</x:v>
      </x:c>
      <x:c r="L871" s="12" t="n">
        <x:v>9</x:v>
      </x:c>
      <x:c r="M871" s="12" t="str">
        <x:v>HX1_NORMAL|9</x:v>
      </x:c>
      <x:c r="N871" s="12" t="str">
        <x:v>理学院</x:v>
      </x:c>
      <x:c r="O871" s="12" t="n">
        <x:f>IFERROR(INDEX('秒级路线参数_可调整'!$O:$O,MATCH(M871,'秒级路线参数_可调整'!$A:$A,0)),"")</x:f>
        <x:v>0</x:v>
      </x:c>
      <x:c r="P871" s="12" t="str">
        <x:f>IF(O871="","",O871/86400)</x:f>
      </x:c>
      <x:c r="Q871" s="12" t="str">
        <x:f>IF(O871="","",(H871*60+O871)/86400)</x:f>
      </x:c>
      <x:c r="R871" s="12" t="str">
        <x:f>IF(Q871="","",TEXT(Q871,"hh:mm:ss"))</x:f>
      </x:c>
      <x:c r="S871" s="12" t="str">
        <x:v>否</x:v>
      </x:c>
      <x:c r="T871" s="12" t="str">
        <x:v>否</x:v>
      </x:c>
      <x:c r="U871" s="12" t="str">
        <x:v>未提供</x:v>
      </x:c>
      <x:c r="V871" s="12" t="str">
        <x:v>未提供</x:v>
      </x:c>
      <x:c r="W871" s="12" t="str">
        <x:v>秒级预测</x:v>
      </x:c>
      <x:c r="X871" s="12" t="str">
        <x:v>基于路线秒级参数；如录入实测或手动采用秒，预计到达时间可随公式更新</x:v>
      </x:c>
    </x:row>
    <x:row r="872">
      <x:c r="A872" s="12" t="str">
        <x:v>S0070-10</x:v>
      </x:c>
      <x:c r="B872" s="12" t="str">
        <x:v>S0070</x:v>
      </x:c>
      <x:c r="C872" s="12" t="str">
        <x:v>工作日</x:v>
      </x:c>
      <x:c r="D872" s="12" t="str">
        <x:v>环线1路</x:v>
      </x:c>
      <x:c r="E872" s="12" t="str">
        <x:v>第四班（夜1）</x:v>
      </x:c>
      <x:c r="F872" s="12" t="n">
        <x:v>14</x:v>
      </x:c>
      <x:c r="G872" s="12" t="str">
        <x:v>22:15</x:v>
      </x:c>
      <x:c r="H872" s="12" t="n">
        <x:v>1335</x:v>
      </x:c>
      <x:c r="I872" s="12" t="str">
        <x:v>研究生宿舍楼</x:v>
      </x:c>
      <x:c r="J872" s="12" t="str">
        <x:v>研究生宿舍楼发车</x:v>
      </x:c>
      <x:c r="K872" s="12" t="str">
        <x:v>HX1_NORMAL</x:v>
      </x:c>
      <x:c r="L872" s="12" t="n">
        <x:v>10</x:v>
      </x:c>
      <x:c r="M872" s="12" t="str">
        <x:v>HX1_NORMAL|10</x:v>
      </x:c>
      <x:c r="N872" s="12" t="str">
        <x:v>二食堂</x:v>
      </x:c>
      <x:c r="O872" s="12" t="n">
        <x:f>IFERROR(INDEX('秒级路线参数_可调整'!$O:$O,MATCH(M872,'秒级路线参数_可调整'!$A:$A,0)),"")</x:f>
        <x:v>0</x:v>
      </x:c>
      <x:c r="P872" s="12" t="str">
        <x:f>IF(O872="","",O872/86400)</x:f>
      </x:c>
      <x:c r="Q872" s="12" t="str">
        <x:f>IF(O872="","",(H872*60+O872)/86400)</x:f>
      </x:c>
      <x:c r="R872" s="12" t="str">
        <x:f>IF(Q872="","",TEXT(Q872,"hh:mm:ss"))</x:f>
      </x:c>
      <x:c r="S872" s="12" t="str">
        <x:v>否</x:v>
      </x:c>
      <x:c r="T872" s="12" t="str">
        <x:v>否</x:v>
      </x:c>
      <x:c r="U872" s="12" t="str">
        <x:v>未提供</x:v>
      </x:c>
      <x:c r="V872" s="12" t="str">
        <x:v>未提供</x:v>
      </x:c>
      <x:c r="W872" s="12" t="str">
        <x:v>秒级预测</x:v>
      </x:c>
      <x:c r="X872" s="12" t="str">
        <x:v>基于路线秒级参数；如录入实测或手动采用秒，预计到达时间可随公式更新</x:v>
      </x:c>
    </x:row>
    <x:row r="873">
      <x:c r="A873" s="12" t="str">
        <x:v>S0070-11</x:v>
      </x:c>
      <x:c r="B873" s="12" t="str">
        <x:v>S0070</x:v>
      </x:c>
      <x:c r="C873" s="12" t="str">
        <x:v>工作日</x:v>
      </x:c>
      <x:c r="D873" s="12" t="str">
        <x:v>环线1路</x:v>
      </x:c>
      <x:c r="E873" s="12" t="str">
        <x:v>第四班（夜1）</x:v>
      </x:c>
      <x:c r="F873" s="12" t="n">
        <x:v>14</x:v>
      </x:c>
      <x:c r="G873" s="12" t="str">
        <x:v>22:15</x:v>
      </x:c>
      <x:c r="H873" s="12" t="n">
        <x:v>1335</x:v>
      </x:c>
      <x:c r="I873" s="12" t="str">
        <x:v>研究生宿舍楼</x:v>
      </x:c>
      <x:c r="J873" s="12" t="str">
        <x:v>研究生宿舍楼发车</x:v>
      </x:c>
      <x:c r="K873" s="12" t="str">
        <x:v>HX1_NORMAL</x:v>
      </x:c>
      <x:c r="L873" s="12" t="n">
        <x:v>11</x:v>
      </x:c>
      <x:c r="M873" s="12" t="str">
        <x:v>HX1_NORMAL|11</x:v>
      </x:c>
      <x:c r="N873" s="12" t="str">
        <x:v>5号宿舍楼</x:v>
      </x:c>
      <x:c r="O873" s="12" t="n">
        <x:f>IFERROR(INDEX('秒级路线参数_可调整'!$O:$O,MATCH(M873,'秒级路线参数_可调整'!$A:$A,0)),"")</x:f>
        <x:v>0</x:v>
      </x:c>
      <x:c r="P873" s="12" t="str">
        <x:f>IF(O873="","",O873/86400)</x:f>
      </x:c>
      <x:c r="Q873" s="12" t="str">
        <x:f>IF(O873="","",(H873*60+O873)/86400)</x:f>
      </x:c>
      <x:c r="R873" s="12" t="str">
        <x:f>IF(Q873="","",TEXT(Q873,"hh:mm:ss"))</x:f>
      </x:c>
      <x:c r="S873" s="12" t="str">
        <x:v>否</x:v>
      </x:c>
      <x:c r="T873" s="12" t="str">
        <x:v>否</x:v>
      </x:c>
      <x:c r="U873" s="12" t="str">
        <x:v>未提供</x:v>
      </x:c>
      <x:c r="V873" s="12" t="str">
        <x:v>未提供</x:v>
      </x:c>
      <x:c r="W873" s="12" t="str">
        <x:v>秒级预测</x:v>
      </x:c>
      <x:c r="X873" s="12" t="str">
        <x:v>基于路线秒级参数；如录入实测或手动采用秒，预计到达时间可随公式更新</x:v>
      </x:c>
    </x:row>
    <x:row r="874">
      <x:c r="A874" s="12" t="str">
        <x:v>S0070-12</x:v>
      </x:c>
      <x:c r="B874" s="12" t="str">
        <x:v>S0070</x:v>
      </x:c>
      <x:c r="C874" s="12" t="str">
        <x:v>工作日</x:v>
      </x:c>
      <x:c r="D874" s="12" t="str">
        <x:v>环线1路</x:v>
      </x:c>
      <x:c r="E874" s="12" t="str">
        <x:v>第四班（夜1）</x:v>
      </x:c>
      <x:c r="F874" s="12" t="n">
        <x:v>14</x:v>
      </x:c>
      <x:c r="G874" s="12" t="str">
        <x:v>22:15</x:v>
      </x:c>
      <x:c r="H874" s="12" t="n">
        <x:v>1335</x:v>
      </x:c>
      <x:c r="I874" s="12" t="str">
        <x:v>研究生宿舍楼</x:v>
      </x:c>
      <x:c r="J874" s="12" t="str">
        <x:v>研究生宿舍楼发车</x:v>
      </x:c>
      <x:c r="K874" s="12" t="str">
        <x:v>HX1_NORMAL</x:v>
      </x:c>
      <x:c r="L874" s="12" t="n">
        <x:v>12</x:v>
      </x:c>
      <x:c r="M874" s="12" t="str">
        <x:v>HX1_NORMAL|12</x:v>
      </x:c>
      <x:c r="N874" s="12" t="str">
        <x:v>305教学楼</x:v>
      </x:c>
      <x:c r="O874" s="12" t="n">
        <x:f>IFERROR(INDEX('秒级路线参数_可调整'!$O:$O,MATCH(M874,'秒级路线参数_可调整'!$A:$A,0)),"")</x:f>
        <x:v>0</x:v>
      </x:c>
      <x:c r="P874" s="12" t="str">
        <x:f>IF(O874="","",O874/86400)</x:f>
      </x:c>
      <x:c r="Q874" s="12" t="str">
        <x:f>IF(O874="","",(H874*60+O874)/86400)</x:f>
      </x:c>
      <x:c r="R874" s="12" t="str">
        <x:f>IF(Q874="","",TEXT(Q874,"hh:mm:ss"))</x:f>
      </x:c>
      <x:c r="S874" s="12" t="str">
        <x:v>否</x:v>
      </x:c>
      <x:c r="T874" s="12" t="str">
        <x:v>否</x:v>
      </x:c>
      <x:c r="U874" s="12" t="str">
        <x:v>未提供</x:v>
      </x:c>
      <x:c r="V874" s="12" t="str">
        <x:v>未提供</x:v>
      </x:c>
      <x:c r="W874" s="12" t="str">
        <x:v>秒级预测</x:v>
      </x:c>
      <x:c r="X874" s="12" t="str">
        <x:v>基于路线秒级参数；如录入实测或手动采用秒，预计到达时间可随公式更新</x:v>
      </x:c>
    </x:row>
    <x:row r="875">
      <x:c r="A875" s="12" t="str">
        <x:v>S0070-13</x:v>
      </x:c>
      <x:c r="B875" s="12" t="str">
        <x:v>S0070</x:v>
      </x:c>
      <x:c r="C875" s="12" t="str">
        <x:v>工作日</x:v>
      </x:c>
      <x:c r="D875" s="12" t="str">
        <x:v>环线1路</x:v>
      </x:c>
      <x:c r="E875" s="12" t="str">
        <x:v>第四班（夜1）</x:v>
      </x:c>
      <x:c r="F875" s="12" t="n">
        <x:v>14</x:v>
      </x:c>
      <x:c r="G875" s="12" t="str">
        <x:v>22:15</x:v>
      </x:c>
      <x:c r="H875" s="12" t="n">
        <x:v>1335</x:v>
      </x:c>
      <x:c r="I875" s="12" t="str">
        <x:v>研究生宿舍楼</x:v>
      </x:c>
      <x:c r="J875" s="12" t="str">
        <x:v>研究生宿舍楼发车</x:v>
      </x:c>
      <x:c r="K875" s="12" t="str">
        <x:v>HX1_NORMAL</x:v>
      </x:c>
      <x:c r="L875" s="12" t="n">
        <x:v>13</x:v>
      </x:c>
      <x:c r="M875" s="12" t="str">
        <x:v>HX1_NORMAL|13</x:v>
      </x:c>
      <x:c r="N875" s="12" t="str">
        <x:v>研究生宿舍楼</x:v>
      </x:c>
      <x:c r="O875" s="12" t="n">
        <x:f>IFERROR(INDEX('秒级路线参数_可调整'!$O:$O,MATCH(M875,'秒级路线参数_可调整'!$A:$A,0)),"")</x:f>
        <x:v>0</x:v>
      </x:c>
      <x:c r="P875" s="12" t="str">
        <x:f>IF(O875="","",O875/86400)</x:f>
      </x:c>
      <x:c r="Q875" s="12" t="str">
        <x:f>IF(O875="","",(H875*60+O875)/86400)</x:f>
      </x:c>
      <x:c r="R875" s="12" t="str">
        <x:f>IF(Q875="","",TEXT(Q875,"hh:mm:ss"))</x:f>
      </x:c>
      <x:c r="S875" s="12" t="str">
        <x:v>否</x:v>
      </x:c>
      <x:c r="T875" s="12" t="str">
        <x:v>是</x:v>
      </x:c>
      <x:c r="U875" s="12" t="str">
        <x:v>未提供</x:v>
      </x:c>
      <x:c r="V875" s="12" t="str">
        <x:v>未提供</x:v>
      </x:c>
      <x:c r="W875" s="12" t="str">
        <x:v>秒级预测</x:v>
      </x:c>
      <x:c r="X875" s="12" t="str">
        <x:v>基于路线秒级参数；如录入实测或手动采用秒，预计到达时间可随公式更新</x:v>
      </x:c>
    </x:row>
    <x:row r="876">
      <x:c r="A876" s="12" t="str">
        <x:v>S0071-01</x:v>
      </x:c>
      <x:c r="B876" s="12" t="str">
        <x:v>S0071</x:v>
      </x:c>
      <x:c r="C876" s="12" t="str">
        <x:v>工作日</x:v>
      </x:c>
      <x:c r="D876" s="12" t="str">
        <x:v>环线2路</x:v>
      </x:c>
      <x:c r="E876" s="12" t="str">
        <x:v>第一班</x:v>
      </x:c>
      <x:c r="F876" s="12" t="n">
        <x:v>1</x:v>
      </x:c>
      <x:c r="G876" s="12" t="str">
        <x:v>7:35</x:v>
      </x:c>
      <x:c r="H876" s="12" t="n">
        <x:v>455</x:v>
      </x:c>
      <x:c r="I876" s="12" t="str">
        <x:v>研究生宿舍楼</x:v>
      </x:c>
      <x:c r="J876" s="12" t="str">
        <x:v>研究生宿舍楼发车</x:v>
      </x:c>
      <x:c r="K876" s="12" t="str">
        <x:v>HX2_NORMAL</x:v>
      </x:c>
      <x:c r="L876" s="12" t="n">
        <x:v>1</x:v>
      </x:c>
      <x:c r="M876" s="12" t="str">
        <x:v>HX2_NORMAL|1</x:v>
      </x:c>
      <x:c r="N876" s="12" t="str">
        <x:v>研究生宿舍楼</x:v>
      </x:c>
      <x:c r="O876" s="12" t="n">
        <x:f>IFERROR(INDEX('秒级路线参数_可调整'!$O:$O,MATCH(M876,'秒级路线参数_可调整'!$A:$A,0)),"")</x:f>
        <x:v>0</x:v>
      </x:c>
      <x:c r="P876" s="12" t="str">
        <x:f>IF(O876="","",O876/86400)</x:f>
      </x:c>
      <x:c r="Q876" s="12" t="str">
        <x:f>IF(O876="","",(H876*60+O876)/86400)</x:f>
      </x:c>
      <x:c r="R876" s="12" t="str">
        <x:f>IF(Q876="","",TEXT(Q876,"hh:mm:ss"))</x:f>
      </x:c>
      <x:c r="S876" s="12" t="str">
        <x:v>是</x:v>
      </x:c>
      <x:c r="T876" s="12" t="str">
        <x:v>否</x:v>
      </x:c>
      <x:c r="U876" s="12" t="str">
        <x:v>未提供</x:v>
      </x:c>
      <x:c r="V876" s="12" t="str">
        <x:v>未提供</x:v>
      </x:c>
      <x:c r="W876" s="12" t="str">
        <x:v>秒级预测</x:v>
      </x:c>
      <x:c r="X876" s="12" t="str">
        <x:v>基于路线秒级参数；如录入实测或手动采用秒，预计到达时间可随公式更新</x:v>
      </x:c>
    </x:row>
    <x:row r="877">
      <x:c r="A877" s="12" t="str">
        <x:v>S0071-02</x:v>
      </x:c>
      <x:c r="B877" s="12" t="str">
        <x:v>S0071</x:v>
      </x:c>
      <x:c r="C877" s="12" t="str">
        <x:v>工作日</x:v>
      </x:c>
      <x:c r="D877" s="12" t="str">
        <x:v>环线2路</x:v>
      </x:c>
      <x:c r="E877" s="12" t="str">
        <x:v>第一班</x:v>
      </x:c>
      <x:c r="F877" s="12" t="n">
        <x:v>1</x:v>
      </x:c>
      <x:c r="G877" s="12" t="str">
        <x:v>7:35</x:v>
      </x:c>
      <x:c r="H877" s="12" t="n">
        <x:v>455</x:v>
      </x:c>
      <x:c r="I877" s="12" t="str">
        <x:v>研究生宿舍楼</x:v>
      </x:c>
      <x:c r="J877" s="12" t="str">
        <x:v>研究生宿舍楼发车</x:v>
      </x:c>
      <x:c r="K877" s="12" t="str">
        <x:v>HX2_NORMAL</x:v>
      </x:c>
      <x:c r="L877" s="12" t="n">
        <x:v>2</x:v>
      </x:c>
      <x:c r="M877" s="12" t="str">
        <x:v>HX2_NORMAL|2</x:v>
      </x:c>
      <x:c r="N877" s="12" t="str">
        <x:v>一食堂</x:v>
      </x:c>
      <x:c r="O877" s="12" t="n">
        <x:f>IFERROR(INDEX('秒级路线参数_可调整'!$O:$O,MATCH(M877,'秒级路线参数_可调整'!$A:$A,0)),"")</x:f>
        <x:v>65</x:v>
      </x:c>
      <x:c r="P877" s="12" t="n">
        <x:f>IF(O877="","",O877/86400)</x:f>
        <x:v>0.0007523148148148148</x:v>
      </x:c>
      <x:c r="Q877" s="12" t="n">
        <x:f>IF(O877="","",(H877*60+O877)/86400)</x:f>
        <x:v>0.316724537037037</x:v>
      </x:c>
      <x:c r="R877" s="12" t="str">
        <x:f>IF(Q877="","",TEXT(Q877,"hh:mm:ss"))</x:f>
        <x:v>07:36:05</x:v>
      </x:c>
      <x:c r="S877" s="12" t="str">
        <x:v>否</x:v>
      </x:c>
      <x:c r="T877" s="12" t="str">
        <x:v>否</x:v>
      </x:c>
      <x:c r="U877" s="12" t="str">
        <x:v>未提供</x:v>
      </x:c>
      <x:c r="V877" s="12" t="str">
        <x:v>未提供</x:v>
      </x:c>
      <x:c r="W877" s="12" t="str">
        <x:v>秒级预测</x:v>
      </x:c>
      <x:c r="X877" s="12" t="str">
        <x:v>基于路线秒级参数；如录入实测或手动采用秒，预计到达时间可随公式更新</x:v>
      </x:c>
    </x:row>
    <x:row r="878">
      <x:c r="A878" s="12" t="str">
        <x:v>S0071-03</x:v>
      </x:c>
      <x:c r="B878" s="12" t="str">
        <x:v>S0071</x:v>
      </x:c>
      <x:c r="C878" s="12" t="str">
        <x:v>工作日</x:v>
      </x:c>
      <x:c r="D878" s="12" t="str">
        <x:v>环线2路</x:v>
      </x:c>
      <x:c r="E878" s="12" t="str">
        <x:v>第一班</x:v>
      </x:c>
      <x:c r="F878" s="12" t="n">
        <x:v>1</x:v>
      </x:c>
      <x:c r="G878" s="12" t="str">
        <x:v>7:35</x:v>
      </x:c>
      <x:c r="H878" s="12" t="n">
        <x:v>455</x:v>
      </x:c>
      <x:c r="I878" s="12" t="str">
        <x:v>研究生宿舍楼</x:v>
      </x:c>
      <x:c r="J878" s="12" t="str">
        <x:v>研究生宿舍楼发车</x:v>
      </x:c>
      <x:c r="K878" s="12" t="str">
        <x:v>HX2_NORMAL</x:v>
      </x:c>
      <x:c r="L878" s="12" t="n">
        <x:v>3</x:v>
      </x:c>
      <x:c r="M878" s="12" t="str">
        <x:v>HX2_NORMAL|3</x:v>
      </x:c>
      <x:c r="N878" s="12" t="str">
        <x:v>门诊部</x:v>
      </x:c>
      <x:c r="O878" s="12" t="n">
        <x:f>IFERROR(INDEX('秒级路线参数_可调整'!$O:$O,MATCH(M878,'秒级路线参数_可调整'!$A:$A,0)),"")</x:f>
        <x:v>120</x:v>
      </x:c>
      <x:c r="P878" s="12" t="n">
        <x:f>IF(O878="","",O878/86400)</x:f>
        <x:v>0.001388888888888889</x:v>
      </x:c>
      <x:c r="Q878" s="12" t="n">
        <x:f>IF(O878="","",(H878*60+O878)/86400)</x:f>
        <x:v>0.3173611111111111</x:v>
      </x:c>
      <x:c r="R878" s="12" t="str">
        <x:f>IF(Q878="","",TEXT(Q878,"hh:mm:ss"))</x:f>
        <x:v>07:37:00</x:v>
      </x:c>
      <x:c r="S878" s="12" t="str">
        <x:v>否</x:v>
      </x:c>
      <x:c r="T878" s="12" t="str">
        <x:v>否</x:v>
      </x:c>
      <x:c r="U878" s="12" t="str">
        <x:v>未提供</x:v>
      </x:c>
      <x:c r="V878" s="12" t="str">
        <x:v>未提供</x:v>
      </x:c>
      <x:c r="W878" s="12" t="str">
        <x:v>秒级预测</x:v>
      </x:c>
      <x:c r="X878" s="12" t="str">
        <x:v>基于路线秒级参数；如录入实测或手动采用秒，预计到达时间可随公式更新</x:v>
      </x:c>
    </x:row>
    <x:row r="879">
      <x:c r="A879" s="12" t="str">
        <x:v>S0071-04</x:v>
      </x:c>
      <x:c r="B879" s="12" t="str">
        <x:v>S0071</x:v>
      </x:c>
      <x:c r="C879" s="12" t="str">
        <x:v>工作日</x:v>
      </x:c>
      <x:c r="D879" s="12" t="str">
        <x:v>环线2路</x:v>
      </x:c>
      <x:c r="E879" s="12" t="str">
        <x:v>第一班</x:v>
      </x:c>
      <x:c r="F879" s="12" t="n">
        <x:v>1</x:v>
      </x:c>
      <x:c r="G879" s="12" t="str">
        <x:v>7:35</x:v>
      </x:c>
      <x:c r="H879" s="12" t="n">
        <x:v>455</x:v>
      </x:c>
      <x:c r="I879" s="12" t="str">
        <x:v>研究生宿舍楼</x:v>
      </x:c>
      <x:c r="J879" s="12" t="str">
        <x:v>研究生宿舍楼发车</x:v>
      </x:c>
      <x:c r="K879" s="12" t="str">
        <x:v>HX2_NORMAL</x:v>
      </x:c>
      <x:c r="L879" s="12" t="n">
        <x:v>4</x:v>
      </x:c>
      <x:c r="M879" s="12" t="str">
        <x:v>HX2_NORMAL|4</x:v>
      </x:c>
      <x:c r="N879" s="12" t="str">
        <x:v>1号宿舍楼</x:v>
      </x:c>
      <x:c r="O879" s="12" t="n">
        <x:f>IFERROR(INDEX('秒级路线参数_可调整'!$O:$O,MATCH(M879,'秒级路线参数_可调整'!$A:$A,0)),"")</x:f>
        <x:v>165</x:v>
      </x:c>
      <x:c r="P879" s="12" t="n">
        <x:f>IF(O879="","",O879/86400)</x:f>
        <x:v>0.0019097222222222222</x:v>
      </x:c>
      <x:c r="Q879" s="12" t="n">
        <x:f>IF(O879="","",(H879*60+O879)/86400)</x:f>
        <x:v>0.31788194444444445</x:v>
      </x:c>
      <x:c r="R879" s="12" t="str">
        <x:f>IF(Q879="","",TEXT(Q879,"hh:mm:ss"))</x:f>
        <x:v>07:37:45</x:v>
      </x:c>
      <x:c r="S879" s="12" t="str">
        <x:v>否</x:v>
      </x:c>
      <x:c r="T879" s="12" t="str">
        <x:v>否</x:v>
      </x:c>
      <x:c r="U879" s="12" t="str">
        <x:v>未提供</x:v>
      </x:c>
      <x:c r="V879" s="12" t="str">
        <x:v>未提供</x:v>
      </x:c>
      <x:c r="W879" s="12" t="str">
        <x:v>秒级预测</x:v>
      </x:c>
      <x:c r="X879" s="12" t="str">
        <x:v>基于路线秒级参数；如录入实测或手动采用秒，预计到达时间可随公式更新</x:v>
      </x:c>
    </x:row>
    <x:row r="880">
      <x:c r="A880" s="12" t="str">
        <x:v>S0071-05</x:v>
      </x:c>
      <x:c r="B880" s="12" t="str">
        <x:v>S0071</x:v>
      </x:c>
      <x:c r="C880" s="12" t="str">
        <x:v>工作日</x:v>
      </x:c>
      <x:c r="D880" s="12" t="str">
        <x:v>环线2路</x:v>
      </x:c>
      <x:c r="E880" s="12" t="str">
        <x:v>第一班</x:v>
      </x:c>
      <x:c r="F880" s="12" t="n">
        <x:v>1</x:v>
      </x:c>
      <x:c r="G880" s="12" t="str">
        <x:v>7:35</x:v>
      </x:c>
      <x:c r="H880" s="12" t="n">
        <x:v>455</x:v>
      </x:c>
      <x:c r="I880" s="12" t="str">
        <x:v>研究生宿舍楼</x:v>
      </x:c>
      <x:c r="J880" s="12" t="str">
        <x:v>研究生宿舍楼发车</x:v>
      </x:c>
      <x:c r="K880" s="12" t="str">
        <x:v>HX2_NORMAL</x:v>
      </x:c>
      <x:c r="L880" s="12" t="n">
        <x:v>5</x:v>
      </x:c>
      <x:c r="M880" s="12" t="str">
        <x:v>HX2_NORMAL|5</x:v>
      </x:c>
      <x:c r="N880" s="12" t="str">
        <x:v>水上训练中心</x:v>
      </x:c>
      <x:c r="O880" s="12" t="n">
        <x:f>IFERROR(INDEX('秒级路线参数_可调整'!$O:$O,MATCH(M880,'秒级路线参数_可调整'!$A:$A,0)),"")</x:f>
        <x:v>250</x:v>
      </x:c>
      <x:c r="P880" s="12" t="n">
        <x:f>IF(O880="","",O880/86400)</x:f>
        <x:v>0.0028935185185185184</x:v>
      </x:c>
      <x:c r="Q880" s="12" t="n">
        <x:f>IF(O880="","",(H880*60+O880)/86400)</x:f>
        <x:v>0.31886574074074076</x:v>
      </x:c>
      <x:c r="R880" s="12" t="str">
        <x:f>IF(Q880="","",TEXT(Q880,"hh:mm:ss"))</x:f>
        <x:v>07:39:10</x:v>
      </x:c>
      <x:c r="S880" s="12" t="str">
        <x:v>否</x:v>
      </x:c>
      <x:c r="T880" s="12" t="str">
        <x:v>否</x:v>
      </x:c>
      <x:c r="U880" s="12" t="str">
        <x:v>未提供</x:v>
      </x:c>
      <x:c r="V880" s="12" t="str">
        <x:v>未提供</x:v>
      </x:c>
      <x:c r="W880" s="12" t="str">
        <x:v>秒级预测</x:v>
      </x:c>
      <x:c r="X880" s="12" t="str">
        <x:v>基于路线秒级参数；如录入实测或手动采用秒，预计到达时间可随公式更新</x:v>
      </x:c>
    </x:row>
    <x:row r="881">
      <x:c r="A881" s="12" t="str">
        <x:v>S0071-06</x:v>
      </x:c>
      <x:c r="B881" s="12" t="str">
        <x:v>S0071</x:v>
      </x:c>
      <x:c r="C881" s="12" t="str">
        <x:v>工作日</x:v>
      </x:c>
      <x:c r="D881" s="12" t="str">
        <x:v>环线2路</x:v>
      </x:c>
      <x:c r="E881" s="12" t="str">
        <x:v>第一班</x:v>
      </x:c>
      <x:c r="F881" s="12" t="n">
        <x:v>1</x:v>
      </x:c>
      <x:c r="G881" s="12" t="str">
        <x:v>7:35</x:v>
      </x:c>
      <x:c r="H881" s="12" t="n">
        <x:v>455</x:v>
      </x:c>
      <x:c r="I881" s="12" t="str">
        <x:v>研究生宿舍楼</x:v>
      </x:c>
      <x:c r="J881" s="12" t="str">
        <x:v>研究生宿舍楼发车</x:v>
      </x:c>
      <x:c r="K881" s="12" t="str">
        <x:v>HX2_NORMAL</x:v>
      </x:c>
      <x:c r="L881" s="12" t="n">
        <x:v>6</x:v>
      </x:c>
      <x:c r="M881" s="12" t="str">
        <x:v>HX2_NORMAL|6</x:v>
      </x:c>
      <x:c r="N881" s="12" t="str">
        <x:v>军体活动中心</x:v>
      </x:c>
      <x:c r="O881" s="12" t="n">
        <x:f>IFERROR(INDEX('秒级路线参数_可调整'!$O:$O,MATCH(M881,'秒级路线参数_可调整'!$A:$A,0)),"")</x:f>
        <x:v>315</x:v>
      </x:c>
      <x:c r="P881" s="12" t="n">
        <x:f>IF(O881="","",O881/86400)</x:f>
        <x:v>0.0036458333333333334</x:v>
      </x:c>
      <x:c r="Q881" s="12" t="n">
        <x:f>IF(O881="","",(H881*60+O881)/86400)</x:f>
        <x:v>0.31961805555555556</x:v>
      </x:c>
      <x:c r="R881" s="12" t="str">
        <x:f>IF(Q881="","",TEXT(Q881,"hh:mm:ss"))</x:f>
        <x:v>07:40:15</x:v>
      </x:c>
      <x:c r="S881" s="12" t="str">
        <x:v>否</x:v>
      </x:c>
      <x:c r="T881" s="12" t="str">
        <x:v>否</x:v>
      </x:c>
      <x:c r="U881" s="12" t="str">
        <x:v>未提供</x:v>
      </x:c>
      <x:c r="V881" s="12" t="str">
        <x:v>未提供</x:v>
      </x:c>
      <x:c r="W881" s="12" t="str">
        <x:v>秒级预测</x:v>
      </x:c>
      <x:c r="X881" s="12" t="str">
        <x:v>基于路线秒级参数；如录入实测或手动采用秒，预计到达时间可随公式更新</x:v>
      </x:c>
    </x:row>
    <x:row r="882">
      <x:c r="A882" s="12" t="str">
        <x:v>S0071-07</x:v>
      </x:c>
      <x:c r="B882" s="12" t="str">
        <x:v>S0071</x:v>
      </x:c>
      <x:c r="C882" s="12" t="str">
        <x:v>工作日</x:v>
      </x:c>
      <x:c r="D882" s="12" t="str">
        <x:v>环线2路</x:v>
      </x:c>
      <x:c r="E882" s="12" t="str">
        <x:v>第一班</x:v>
      </x:c>
      <x:c r="F882" s="12" t="n">
        <x:v>1</x:v>
      </x:c>
      <x:c r="G882" s="12" t="str">
        <x:v>7:35</x:v>
      </x:c>
      <x:c r="H882" s="12" t="n">
        <x:v>455</x:v>
      </x:c>
      <x:c r="I882" s="12" t="str">
        <x:v>研究生宿舍楼</x:v>
      </x:c>
      <x:c r="J882" s="12" t="str">
        <x:v>研究生宿舍楼发车</x:v>
      </x:c>
      <x:c r="K882" s="12" t="str">
        <x:v>HX2_NORMAL</x:v>
      </x:c>
      <x:c r="L882" s="12" t="n">
        <x:v>7</x:v>
      </x:c>
      <x:c r="M882" s="12" t="str">
        <x:v>HX2_NORMAL|7</x:v>
      </x:c>
      <x:c r="N882" s="12" t="str">
        <x:v>二食堂</x:v>
      </x:c>
      <x:c r="O882" s="12" t="n">
        <x:f>IFERROR(INDEX('秒级路线参数_可调整'!$O:$O,MATCH(M882,'秒级路线参数_可调整'!$A:$A,0)),"")</x:f>
        <x:v>420</x:v>
      </x:c>
      <x:c r="P882" s="12" t="n">
        <x:f>IF(O882="","",O882/86400)</x:f>
        <x:v>0.004861111111111111</x:v>
      </x:c>
      <x:c r="Q882" s="12" t="n">
        <x:f>IF(O882="","",(H882*60+O882)/86400)</x:f>
        <x:v>0.32083333333333336</x:v>
      </x:c>
      <x:c r="R882" s="12" t="str">
        <x:f>IF(Q882="","",TEXT(Q882,"hh:mm:ss"))</x:f>
        <x:v>07:42:00</x:v>
      </x:c>
      <x:c r="S882" s="12" t="str">
        <x:v>否</x:v>
      </x:c>
      <x:c r="T882" s="12" t="str">
        <x:v>否</x:v>
      </x:c>
      <x:c r="U882" s="12" t="str">
        <x:v>未提供</x:v>
      </x:c>
      <x:c r="V882" s="12" t="str">
        <x:v>未提供</x:v>
      </x:c>
      <x:c r="W882" s="12" t="str">
        <x:v>秒级预测</x:v>
      </x:c>
      <x:c r="X882" s="12" t="str">
        <x:v>基于路线秒级参数；如录入实测或手动采用秒，预计到达时间可随公式更新</x:v>
      </x:c>
    </x:row>
    <x:row r="883">
      <x:c r="A883" s="12" t="str">
        <x:v>S0071-08</x:v>
      </x:c>
      <x:c r="B883" s="12" t="str">
        <x:v>S0071</x:v>
      </x:c>
      <x:c r="C883" s="12" t="str">
        <x:v>工作日</x:v>
      </x:c>
      <x:c r="D883" s="12" t="str">
        <x:v>环线2路</x:v>
      </x:c>
      <x:c r="E883" s="12" t="str">
        <x:v>第一班</x:v>
      </x:c>
      <x:c r="F883" s="12" t="n">
        <x:v>1</x:v>
      </x:c>
      <x:c r="G883" s="12" t="str">
        <x:v>7:35</x:v>
      </x:c>
      <x:c r="H883" s="12" t="n">
        <x:v>455</x:v>
      </x:c>
      <x:c r="I883" s="12" t="str">
        <x:v>研究生宿舍楼</x:v>
      </x:c>
      <x:c r="J883" s="12" t="str">
        <x:v>研究生宿舍楼发车</x:v>
      </x:c>
      <x:c r="K883" s="12" t="str">
        <x:v>HX2_NORMAL</x:v>
      </x:c>
      <x:c r="L883" s="12" t="n">
        <x:v>8</x:v>
      </x:c>
      <x:c r="M883" s="12" t="str">
        <x:v>HX2_NORMAL|8</x:v>
      </x:c>
      <x:c r="N883" s="12" t="str">
        <x:v>5号宿舍楼</x:v>
      </x:c>
      <x:c r="O883" s="12" t="n">
        <x:f>IFERROR(INDEX('秒级路线参数_可调整'!$O:$O,MATCH(M883,'秒级路线参数_可调整'!$A:$A,0)),"")</x:f>
        <x:v>480</x:v>
      </x:c>
      <x:c r="P883" s="12" t="n">
        <x:f>IF(O883="","",O883/86400)</x:f>
        <x:v>0.005555555555555556</x:v>
      </x:c>
      <x:c r="Q883" s="12" t="n">
        <x:f>IF(O883="","",(H883*60+O883)/86400)</x:f>
        <x:v>0.3215277777777778</x:v>
      </x:c>
      <x:c r="R883" s="12" t="str">
        <x:f>IF(Q883="","",TEXT(Q883,"hh:mm:ss"))</x:f>
        <x:v>07:43:00</x:v>
      </x:c>
      <x:c r="S883" s="12" t="str">
        <x:v>否</x:v>
      </x:c>
      <x:c r="T883" s="12" t="str">
        <x:v>否</x:v>
      </x:c>
      <x:c r="U883" s="12" t="str">
        <x:v>未提供</x:v>
      </x:c>
      <x:c r="V883" s="12" t="str">
        <x:v>未提供</x:v>
      </x:c>
      <x:c r="W883" s="12" t="str">
        <x:v>秒级预测</x:v>
      </x:c>
      <x:c r="X883" s="12" t="str">
        <x:v>基于路线秒级参数；如录入实测或手动采用秒，预计到达时间可随公式更新</x:v>
      </x:c>
    </x:row>
    <x:row r="884">
      <x:c r="A884" s="12" t="str">
        <x:v>S0071-09</x:v>
      </x:c>
      <x:c r="B884" s="12" t="str">
        <x:v>S0071</x:v>
      </x:c>
      <x:c r="C884" s="12" t="str">
        <x:v>工作日</x:v>
      </x:c>
      <x:c r="D884" s="12" t="str">
        <x:v>环线2路</x:v>
      </x:c>
      <x:c r="E884" s="12" t="str">
        <x:v>第一班</x:v>
      </x:c>
      <x:c r="F884" s="12" t="n">
        <x:v>1</x:v>
      </x:c>
      <x:c r="G884" s="12" t="str">
        <x:v>7:35</x:v>
      </x:c>
      <x:c r="H884" s="12" t="n">
        <x:v>455</x:v>
      </x:c>
      <x:c r="I884" s="12" t="str">
        <x:v>研究生宿舍楼</x:v>
      </x:c>
      <x:c r="J884" s="12" t="str">
        <x:v>研究生宿舍楼发车</x:v>
      </x:c>
      <x:c r="K884" s="12" t="str">
        <x:v>HX2_NORMAL</x:v>
      </x:c>
      <x:c r="L884" s="12" t="n">
        <x:v>9</x:v>
      </x:c>
      <x:c r="M884" s="12" t="str">
        <x:v>HX2_NORMAL|9</x:v>
      </x:c>
      <x:c r="N884" s="12" t="str">
        <x:v>305教学楼</x:v>
      </x:c>
      <x:c r="O884" s="12" t="n">
        <x:f>IFERROR(INDEX('秒级路线参数_可调整'!$O:$O,MATCH(M884,'秒级路线参数_可调整'!$A:$A,0)),"")</x:f>
        <x:v>535</x:v>
      </x:c>
      <x:c r="P884" s="12" t="n">
        <x:f>IF(O884="","",O884/86400)</x:f>
        <x:v>0.00619212962962963</x:v>
      </x:c>
      <x:c r="Q884" s="12" t="n">
        <x:f>IF(O884="","",(H884*60+O884)/86400)</x:f>
        <x:v>0.3221643518518518</x:v>
      </x:c>
      <x:c r="R884" s="12" t="str">
        <x:f>IF(Q884="","",TEXT(Q884,"hh:mm:ss"))</x:f>
        <x:v>07:43:55</x:v>
      </x:c>
      <x:c r="S884" s="12" t="str">
        <x:v>否</x:v>
      </x:c>
      <x:c r="T884" s="12" t="str">
        <x:v>否</x:v>
      </x:c>
      <x:c r="U884" s="12" t="str">
        <x:v>未提供</x:v>
      </x:c>
      <x:c r="V884" s="12" t="str">
        <x:v>未提供</x:v>
      </x:c>
      <x:c r="W884" s="12" t="str">
        <x:v>秒级预测</x:v>
      </x:c>
      <x:c r="X884" s="12" t="str">
        <x:v>基于路线秒级参数；如录入实测或手动采用秒，预计到达时间可随公式更新</x:v>
      </x:c>
    </x:row>
    <x:row r="885">
      <x:c r="A885" s="12" t="str">
        <x:v>S0071-10</x:v>
      </x:c>
      <x:c r="B885" s="12" t="str">
        <x:v>S0071</x:v>
      </x:c>
      <x:c r="C885" s="12" t="str">
        <x:v>工作日</x:v>
      </x:c>
      <x:c r="D885" s="12" t="str">
        <x:v>环线2路</x:v>
      </x:c>
      <x:c r="E885" s="12" t="str">
        <x:v>第一班</x:v>
      </x:c>
      <x:c r="F885" s="12" t="n">
        <x:v>1</x:v>
      </x:c>
      <x:c r="G885" s="12" t="str">
        <x:v>7:35</x:v>
      </x:c>
      <x:c r="H885" s="12" t="n">
        <x:v>455</x:v>
      </x:c>
      <x:c r="I885" s="12" t="str">
        <x:v>研究生宿舍楼</x:v>
      </x:c>
      <x:c r="J885" s="12" t="str">
        <x:v>研究生宿舍楼发车</x:v>
      </x:c>
      <x:c r="K885" s="12" t="str">
        <x:v>HX2_NORMAL</x:v>
      </x:c>
      <x:c r="L885" s="12" t="n">
        <x:v>10</x:v>
      </x:c>
      <x:c r="M885" s="12" t="str">
        <x:v>HX2_NORMAL|10</x:v>
      </x:c>
      <x:c r="N885" s="12" t="str">
        <x:v>研究生宿舍楼</x:v>
      </x:c>
      <x:c r="O885" s="12" t="n">
        <x:f>IFERROR(INDEX('秒级路线参数_可调整'!$O:$O,MATCH(M885,'秒级路线参数_可调整'!$A:$A,0)),"")</x:f>
        <x:v>715</x:v>
      </x:c>
      <x:c r="P885" s="12" t="n">
        <x:f>IF(O885="","",O885/86400)</x:f>
        <x:v>0.008275462962962964</x:v>
      </x:c>
      <x:c r="Q885" s="12" t="n">
        <x:f>IF(O885="","",(H885*60+O885)/86400)</x:f>
        <x:v>0.3242476851851852</x:v>
      </x:c>
      <x:c r="R885" s="12" t="str">
        <x:f>IF(Q885="","",TEXT(Q885,"hh:mm:ss"))</x:f>
        <x:v>07:46:55</x:v>
      </x:c>
      <x:c r="S885" s="12" t="str">
        <x:v>否</x:v>
      </x:c>
      <x:c r="T885" s="12" t="str">
        <x:v>是</x:v>
      </x:c>
      <x:c r="U885" s="12" t="str">
        <x:v>未提供</x:v>
      </x:c>
      <x:c r="V885" s="12" t="str">
        <x:v>未提供</x:v>
      </x:c>
      <x:c r="W885" s="12" t="str">
        <x:v>秒级预测</x:v>
      </x:c>
      <x:c r="X885" s="12" t="str">
        <x:v>基于路线秒级参数；如录入实测或手动采用秒，预计到达时间可随公式更新</x:v>
      </x:c>
    </x:row>
    <x:row r="886">
      <x:c r="A886" s="12" t="str">
        <x:v>S0072-01</x:v>
      </x:c>
      <x:c r="B886" s="12" t="str">
        <x:v>S0072</x:v>
      </x:c>
      <x:c r="C886" s="12" t="str">
        <x:v>工作日</x:v>
      </x:c>
      <x:c r="D886" s="12" t="str">
        <x:v>环线2路</x:v>
      </x:c>
      <x:c r="E886" s="12" t="str">
        <x:v>第一班</x:v>
      </x:c>
      <x:c r="F886" s="12" t="n">
        <x:v>2</x:v>
      </x:c>
      <x:c r="G886" s="12" t="str">
        <x:v>7:50</x:v>
      </x:c>
      <x:c r="H886" s="12" t="n">
        <x:v>470</x:v>
      </x:c>
      <x:c r="I886" s="12" t="str">
        <x:v>研究生宿舍楼</x:v>
      </x:c>
      <x:c r="J886" s="12" t="str">
        <x:v>研究生宿舍楼发车</x:v>
      </x:c>
      <x:c r="K886" s="12" t="str">
        <x:v>HX2_NORMAL</x:v>
      </x:c>
      <x:c r="L886" s="12" t="n">
        <x:v>1</x:v>
      </x:c>
      <x:c r="M886" s="12" t="str">
        <x:v>HX2_NORMAL|1</x:v>
      </x:c>
      <x:c r="N886" s="12" t="str">
        <x:v>研究生宿舍楼</x:v>
      </x:c>
      <x:c r="O886" s="12" t="n">
        <x:f>IFERROR(INDEX('秒级路线参数_可调整'!$O:$O,MATCH(M886,'秒级路线参数_可调整'!$A:$A,0)),"")</x:f>
        <x:v>0</x:v>
      </x:c>
      <x:c r="P886" s="12" t="str">
        <x:f>IF(O886="","",O886/86400)</x:f>
      </x:c>
      <x:c r="Q886" s="12" t="str">
        <x:f>IF(O886="","",(H886*60+O886)/86400)</x:f>
      </x:c>
      <x:c r="R886" s="12" t="str">
        <x:f>IF(Q886="","",TEXT(Q886,"hh:mm:ss"))</x:f>
      </x:c>
      <x:c r="S886" s="12" t="str">
        <x:v>是</x:v>
      </x:c>
      <x:c r="T886" s="12" t="str">
        <x:v>否</x:v>
      </x:c>
      <x:c r="U886" s="12" t="str">
        <x:v>未提供</x:v>
      </x:c>
      <x:c r="V886" s="12" t="str">
        <x:v>未提供</x:v>
      </x:c>
      <x:c r="W886" s="12" t="str">
        <x:v>秒级预测</x:v>
      </x:c>
      <x:c r="X886" s="12" t="str">
        <x:v>基于路线秒级参数；如录入实测或手动采用秒，预计到达时间可随公式更新</x:v>
      </x:c>
    </x:row>
    <x:row r="887">
      <x:c r="A887" s="12" t="str">
        <x:v>S0072-02</x:v>
      </x:c>
      <x:c r="B887" s="12" t="str">
        <x:v>S0072</x:v>
      </x:c>
      <x:c r="C887" s="12" t="str">
        <x:v>工作日</x:v>
      </x:c>
      <x:c r="D887" s="12" t="str">
        <x:v>环线2路</x:v>
      </x:c>
      <x:c r="E887" s="12" t="str">
        <x:v>第一班</x:v>
      </x:c>
      <x:c r="F887" s="12" t="n">
        <x:v>2</x:v>
      </x:c>
      <x:c r="G887" s="12" t="str">
        <x:v>7:50</x:v>
      </x:c>
      <x:c r="H887" s="12" t="n">
        <x:v>470</x:v>
      </x:c>
      <x:c r="I887" s="12" t="str">
        <x:v>研究生宿舍楼</x:v>
      </x:c>
      <x:c r="J887" s="12" t="str">
        <x:v>研究生宿舍楼发车</x:v>
      </x:c>
      <x:c r="K887" s="12" t="str">
        <x:v>HX2_NORMAL</x:v>
      </x:c>
      <x:c r="L887" s="12" t="n">
        <x:v>2</x:v>
      </x:c>
      <x:c r="M887" s="12" t="str">
        <x:v>HX2_NORMAL|2</x:v>
      </x:c>
      <x:c r="N887" s="12" t="str">
        <x:v>一食堂</x:v>
      </x:c>
      <x:c r="O887" s="12" t="n">
        <x:f>IFERROR(INDEX('秒级路线参数_可调整'!$O:$O,MATCH(M887,'秒级路线参数_可调整'!$A:$A,0)),"")</x:f>
        <x:v>65</x:v>
      </x:c>
      <x:c r="P887" s="12" t="n">
        <x:f>IF(O887="","",O887/86400)</x:f>
        <x:v>0.0007523148148148148</x:v>
      </x:c>
      <x:c r="Q887" s="12" t="n">
        <x:f>IF(O887="","",(H887*60+O887)/86400)</x:f>
        <x:v>0.3271412037037037</x:v>
      </x:c>
      <x:c r="R887" s="12" t="str">
        <x:f>IF(Q887="","",TEXT(Q887,"hh:mm:ss"))</x:f>
        <x:v>07:51:05</x:v>
      </x:c>
      <x:c r="S887" s="12" t="str">
        <x:v>否</x:v>
      </x:c>
      <x:c r="T887" s="12" t="str">
        <x:v>否</x:v>
      </x:c>
      <x:c r="U887" s="12" t="str">
        <x:v>未提供</x:v>
      </x:c>
      <x:c r="V887" s="12" t="str">
        <x:v>未提供</x:v>
      </x:c>
      <x:c r="W887" s="12" t="str">
        <x:v>秒级预测</x:v>
      </x:c>
      <x:c r="X887" s="12" t="str">
        <x:v>基于路线秒级参数；如录入实测或手动采用秒，预计到达时间可随公式更新</x:v>
      </x:c>
    </x:row>
    <x:row r="888">
      <x:c r="A888" s="12" t="str">
        <x:v>S0072-03</x:v>
      </x:c>
      <x:c r="B888" s="12" t="str">
        <x:v>S0072</x:v>
      </x:c>
      <x:c r="C888" s="12" t="str">
        <x:v>工作日</x:v>
      </x:c>
      <x:c r="D888" s="12" t="str">
        <x:v>环线2路</x:v>
      </x:c>
      <x:c r="E888" s="12" t="str">
        <x:v>第一班</x:v>
      </x:c>
      <x:c r="F888" s="12" t="n">
        <x:v>2</x:v>
      </x:c>
      <x:c r="G888" s="12" t="str">
        <x:v>7:50</x:v>
      </x:c>
      <x:c r="H888" s="12" t="n">
        <x:v>470</x:v>
      </x:c>
      <x:c r="I888" s="12" t="str">
        <x:v>研究生宿舍楼</x:v>
      </x:c>
      <x:c r="J888" s="12" t="str">
        <x:v>研究生宿舍楼发车</x:v>
      </x:c>
      <x:c r="K888" s="12" t="str">
        <x:v>HX2_NORMAL</x:v>
      </x:c>
      <x:c r="L888" s="12" t="n">
        <x:v>3</x:v>
      </x:c>
      <x:c r="M888" s="12" t="str">
        <x:v>HX2_NORMAL|3</x:v>
      </x:c>
      <x:c r="N888" s="12" t="str">
        <x:v>门诊部</x:v>
      </x:c>
      <x:c r="O888" s="12" t="n">
        <x:f>IFERROR(INDEX('秒级路线参数_可调整'!$O:$O,MATCH(M888,'秒级路线参数_可调整'!$A:$A,0)),"")</x:f>
        <x:v>120</x:v>
      </x:c>
      <x:c r="P888" s="12" t="n">
        <x:f>IF(O888="","",O888/86400)</x:f>
        <x:v>0.001388888888888889</x:v>
      </x:c>
      <x:c r="Q888" s="12" t="n">
        <x:f>IF(O888="","",(H888*60+O888)/86400)</x:f>
        <x:v>0.3277777777777778</x:v>
      </x:c>
      <x:c r="R888" s="12" t="str">
        <x:f>IF(Q888="","",TEXT(Q888,"hh:mm:ss"))</x:f>
        <x:v>07:52:00</x:v>
      </x:c>
      <x:c r="S888" s="12" t="str">
        <x:v>否</x:v>
      </x:c>
      <x:c r="T888" s="12" t="str">
        <x:v>否</x:v>
      </x:c>
      <x:c r="U888" s="12" t="str">
        <x:v>未提供</x:v>
      </x:c>
      <x:c r="V888" s="12" t="str">
        <x:v>未提供</x:v>
      </x:c>
      <x:c r="W888" s="12" t="str">
        <x:v>秒级预测</x:v>
      </x:c>
      <x:c r="X888" s="12" t="str">
        <x:v>基于路线秒级参数；如录入实测或手动采用秒，预计到达时间可随公式更新</x:v>
      </x:c>
    </x:row>
    <x:row r="889">
      <x:c r="A889" s="12" t="str">
        <x:v>S0072-04</x:v>
      </x:c>
      <x:c r="B889" s="12" t="str">
        <x:v>S0072</x:v>
      </x:c>
      <x:c r="C889" s="12" t="str">
        <x:v>工作日</x:v>
      </x:c>
      <x:c r="D889" s="12" t="str">
        <x:v>环线2路</x:v>
      </x:c>
      <x:c r="E889" s="12" t="str">
        <x:v>第一班</x:v>
      </x:c>
      <x:c r="F889" s="12" t="n">
        <x:v>2</x:v>
      </x:c>
      <x:c r="G889" s="12" t="str">
        <x:v>7:50</x:v>
      </x:c>
      <x:c r="H889" s="12" t="n">
        <x:v>470</x:v>
      </x:c>
      <x:c r="I889" s="12" t="str">
        <x:v>研究生宿舍楼</x:v>
      </x:c>
      <x:c r="J889" s="12" t="str">
        <x:v>研究生宿舍楼发车</x:v>
      </x:c>
      <x:c r="K889" s="12" t="str">
        <x:v>HX2_NORMAL</x:v>
      </x:c>
      <x:c r="L889" s="12" t="n">
        <x:v>4</x:v>
      </x:c>
      <x:c r="M889" s="12" t="str">
        <x:v>HX2_NORMAL|4</x:v>
      </x:c>
      <x:c r="N889" s="12" t="str">
        <x:v>1号宿舍楼</x:v>
      </x:c>
      <x:c r="O889" s="12" t="n">
        <x:f>IFERROR(INDEX('秒级路线参数_可调整'!$O:$O,MATCH(M889,'秒级路线参数_可调整'!$A:$A,0)),"")</x:f>
        <x:v>165</x:v>
      </x:c>
      <x:c r="P889" s="12" t="n">
        <x:f>IF(O889="","",O889/86400)</x:f>
        <x:v>0.0019097222222222222</x:v>
      </x:c>
      <x:c r="Q889" s="12" t="n">
        <x:f>IF(O889="","",(H889*60+O889)/86400)</x:f>
        <x:v>0.32829861111111114</x:v>
      </x:c>
      <x:c r="R889" s="12" t="str">
        <x:f>IF(Q889="","",TEXT(Q889,"hh:mm:ss"))</x:f>
        <x:v>07:52:45</x:v>
      </x:c>
      <x:c r="S889" s="12" t="str">
        <x:v>否</x:v>
      </x:c>
      <x:c r="T889" s="12" t="str">
        <x:v>否</x:v>
      </x:c>
      <x:c r="U889" s="12" t="str">
        <x:v>未提供</x:v>
      </x:c>
      <x:c r="V889" s="12" t="str">
        <x:v>未提供</x:v>
      </x:c>
      <x:c r="W889" s="12" t="str">
        <x:v>秒级预测</x:v>
      </x:c>
      <x:c r="X889" s="12" t="str">
        <x:v>基于路线秒级参数；如录入实测或手动采用秒，预计到达时间可随公式更新</x:v>
      </x:c>
    </x:row>
    <x:row r="890">
      <x:c r="A890" s="12" t="str">
        <x:v>S0072-05</x:v>
      </x:c>
      <x:c r="B890" s="12" t="str">
        <x:v>S0072</x:v>
      </x:c>
      <x:c r="C890" s="12" t="str">
        <x:v>工作日</x:v>
      </x:c>
      <x:c r="D890" s="12" t="str">
        <x:v>环线2路</x:v>
      </x:c>
      <x:c r="E890" s="12" t="str">
        <x:v>第一班</x:v>
      </x:c>
      <x:c r="F890" s="12" t="n">
        <x:v>2</x:v>
      </x:c>
      <x:c r="G890" s="12" t="str">
        <x:v>7:50</x:v>
      </x:c>
      <x:c r="H890" s="12" t="n">
        <x:v>470</x:v>
      </x:c>
      <x:c r="I890" s="12" t="str">
        <x:v>研究生宿舍楼</x:v>
      </x:c>
      <x:c r="J890" s="12" t="str">
        <x:v>研究生宿舍楼发车</x:v>
      </x:c>
      <x:c r="K890" s="12" t="str">
        <x:v>HX2_NORMAL</x:v>
      </x:c>
      <x:c r="L890" s="12" t="n">
        <x:v>5</x:v>
      </x:c>
      <x:c r="M890" s="12" t="str">
        <x:v>HX2_NORMAL|5</x:v>
      </x:c>
      <x:c r="N890" s="12" t="str">
        <x:v>水上训练中心</x:v>
      </x:c>
      <x:c r="O890" s="12" t="n">
        <x:f>IFERROR(INDEX('秒级路线参数_可调整'!$O:$O,MATCH(M890,'秒级路线参数_可调整'!$A:$A,0)),"")</x:f>
        <x:v>250</x:v>
      </x:c>
      <x:c r="P890" s="12" t="n">
        <x:f>IF(O890="","",O890/86400)</x:f>
        <x:v>0.0028935185185185184</x:v>
      </x:c>
      <x:c r="Q890" s="12" t="n">
        <x:f>IF(O890="","",(H890*60+O890)/86400)</x:f>
        <x:v>0.3292824074074074</x:v>
      </x:c>
      <x:c r="R890" s="12" t="str">
        <x:f>IF(Q890="","",TEXT(Q890,"hh:mm:ss"))</x:f>
        <x:v>07:54:10</x:v>
      </x:c>
      <x:c r="S890" s="12" t="str">
        <x:v>否</x:v>
      </x:c>
      <x:c r="T890" s="12" t="str">
        <x:v>否</x:v>
      </x:c>
      <x:c r="U890" s="12" t="str">
        <x:v>未提供</x:v>
      </x:c>
      <x:c r="V890" s="12" t="str">
        <x:v>未提供</x:v>
      </x:c>
      <x:c r="W890" s="12" t="str">
        <x:v>秒级预测</x:v>
      </x:c>
      <x:c r="X890" s="12" t="str">
        <x:v>基于路线秒级参数；如录入实测或手动采用秒，预计到达时间可随公式更新</x:v>
      </x:c>
    </x:row>
    <x:row r="891">
      <x:c r="A891" s="12" t="str">
        <x:v>S0072-06</x:v>
      </x:c>
      <x:c r="B891" s="12" t="str">
        <x:v>S0072</x:v>
      </x:c>
      <x:c r="C891" s="12" t="str">
        <x:v>工作日</x:v>
      </x:c>
      <x:c r="D891" s="12" t="str">
        <x:v>环线2路</x:v>
      </x:c>
      <x:c r="E891" s="12" t="str">
        <x:v>第一班</x:v>
      </x:c>
      <x:c r="F891" s="12" t="n">
        <x:v>2</x:v>
      </x:c>
      <x:c r="G891" s="12" t="str">
        <x:v>7:50</x:v>
      </x:c>
      <x:c r="H891" s="12" t="n">
        <x:v>470</x:v>
      </x:c>
      <x:c r="I891" s="12" t="str">
        <x:v>研究生宿舍楼</x:v>
      </x:c>
      <x:c r="J891" s="12" t="str">
        <x:v>研究生宿舍楼发车</x:v>
      </x:c>
      <x:c r="K891" s="12" t="str">
        <x:v>HX2_NORMAL</x:v>
      </x:c>
      <x:c r="L891" s="12" t="n">
        <x:v>6</x:v>
      </x:c>
      <x:c r="M891" s="12" t="str">
        <x:v>HX2_NORMAL|6</x:v>
      </x:c>
      <x:c r="N891" s="12" t="str">
        <x:v>军体活动中心</x:v>
      </x:c>
      <x:c r="O891" s="12" t="n">
        <x:f>IFERROR(INDEX('秒级路线参数_可调整'!$O:$O,MATCH(M891,'秒级路线参数_可调整'!$A:$A,0)),"")</x:f>
        <x:v>315</x:v>
      </x:c>
      <x:c r="P891" s="12" t="n">
        <x:f>IF(O891="","",O891/86400)</x:f>
        <x:v>0.0036458333333333334</x:v>
      </x:c>
      <x:c r="Q891" s="12" t="n">
        <x:f>IF(O891="","",(H891*60+O891)/86400)</x:f>
        <x:v>0.33003472222222224</x:v>
      </x:c>
      <x:c r="R891" s="12" t="str">
        <x:f>IF(Q891="","",TEXT(Q891,"hh:mm:ss"))</x:f>
        <x:v>07:55:15</x:v>
      </x:c>
      <x:c r="S891" s="12" t="str">
        <x:v>否</x:v>
      </x:c>
      <x:c r="T891" s="12" t="str">
        <x:v>否</x:v>
      </x:c>
      <x:c r="U891" s="12" t="str">
        <x:v>未提供</x:v>
      </x:c>
      <x:c r="V891" s="12" t="str">
        <x:v>未提供</x:v>
      </x:c>
      <x:c r="W891" s="12" t="str">
        <x:v>秒级预测</x:v>
      </x:c>
      <x:c r="X891" s="12" t="str">
        <x:v>基于路线秒级参数；如录入实测或手动采用秒，预计到达时间可随公式更新</x:v>
      </x:c>
    </x:row>
    <x:row r="892">
      <x:c r="A892" s="12" t="str">
        <x:v>S0072-07</x:v>
      </x:c>
      <x:c r="B892" s="12" t="str">
        <x:v>S0072</x:v>
      </x:c>
      <x:c r="C892" s="12" t="str">
        <x:v>工作日</x:v>
      </x:c>
      <x:c r="D892" s="12" t="str">
        <x:v>环线2路</x:v>
      </x:c>
      <x:c r="E892" s="12" t="str">
        <x:v>第一班</x:v>
      </x:c>
      <x:c r="F892" s="12" t="n">
        <x:v>2</x:v>
      </x:c>
      <x:c r="G892" s="12" t="str">
        <x:v>7:50</x:v>
      </x:c>
      <x:c r="H892" s="12" t="n">
        <x:v>470</x:v>
      </x:c>
      <x:c r="I892" s="12" t="str">
        <x:v>研究生宿舍楼</x:v>
      </x:c>
      <x:c r="J892" s="12" t="str">
        <x:v>研究生宿舍楼发车</x:v>
      </x:c>
      <x:c r="K892" s="12" t="str">
        <x:v>HX2_NORMAL</x:v>
      </x:c>
      <x:c r="L892" s="12" t="n">
        <x:v>7</x:v>
      </x:c>
      <x:c r="M892" s="12" t="str">
        <x:v>HX2_NORMAL|7</x:v>
      </x:c>
      <x:c r="N892" s="12" t="str">
        <x:v>二食堂</x:v>
      </x:c>
      <x:c r="O892" s="12" t="n">
        <x:f>IFERROR(INDEX('秒级路线参数_可调整'!$O:$O,MATCH(M892,'秒级路线参数_可调整'!$A:$A,0)),"")</x:f>
        <x:v>420</x:v>
      </x:c>
      <x:c r="P892" s="12" t="n">
        <x:f>IF(O892="","",O892/86400)</x:f>
        <x:v>0.004861111111111111</x:v>
      </x:c>
      <x:c r="Q892" s="12" t="n">
        <x:f>IF(O892="","",(H892*60+O892)/86400)</x:f>
        <x:v>0.33125</x:v>
      </x:c>
      <x:c r="R892" s="12" t="str">
        <x:f>IF(Q892="","",TEXT(Q892,"hh:mm:ss"))</x:f>
        <x:v>07:57:00</x:v>
      </x:c>
      <x:c r="S892" s="12" t="str">
        <x:v>否</x:v>
      </x:c>
      <x:c r="T892" s="12" t="str">
        <x:v>否</x:v>
      </x:c>
      <x:c r="U892" s="12" t="str">
        <x:v>未提供</x:v>
      </x:c>
      <x:c r="V892" s="12" t="str">
        <x:v>未提供</x:v>
      </x:c>
      <x:c r="W892" s="12" t="str">
        <x:v>秒级预测</x:v>
      </x:c>
      <x:c r="X892" s="12" t="str">
        <x:v>基于路线秒级参数；如录入实测或手动采用秒，预计到达时间可随公式更新</x:v>
      </x:c>
    </x:row>
    <x:row r="893">
      <x:c r="A893" s="12" t="str">
        <x:v>S0072-08</x:v>
      </x:c>
      <x:c r="B893" s="12" t="str">
        <x:v>S0072</x:v>
      </x:c>
      <x:c r="C893" s="12" t="str">
        <x:v>工作日</x:v>
      </x:c>
      <x:c r="D893" s="12" t="str">
        <x:v>环线2路</x:v>
      </x:c>
      <x:c r="E893" s="12" t="str">
        <x:v>第一班</x:v>
      </x:c>
      <x:c r="F893" s="12" t="n">
        <x:v>2</x:v>
      </x:c>
      <x:c r="G893" s="12" t="str">
        <x:v>7:50</x:v>
      </x:c>
      <x:c r="H893" s="12" t="n">
        <x:v>470</x:v>
      </x:c>
      <x:c r="I893" s="12" t="str">
        <x:v>研究生宿舍楼</x:v>
      </x:c>
      <x:c r="J893" s="12" t="str">
        <x:v>研究生宿舍楼发车</x:v>
      </x:c>
      <x:c r="K893" s="12" t="str">
        <x:v>HX2_NORMAL</x:v>
      </x:c>
      <x:c r="L893" s="12" t="n">
        <x:v>8</x:v>
      </x:c>
      <x:c r="M893" s="12" t="str">
        <x:v>HX2_NORMAL|8</x:v>
      </x:c>
      <x:c r="N893" s="12" t="str">
        <x:v>5号宿舍楼</x:v>
      </x:c>
      <x:c r="O893" s="12" t="n">
        <x:f>IFERROR(INDEX('秒级路线参数_可调整'!$O:$O,MATCH(M893,'秒级路线参数_可调整'!$A:$A,0)),"")</x:f>
        <x:v>480</x:v>
      </x:c>
      <x:c r="P893" s="12" t="n">
        <x:f>IF(O893="","",O893/86400)</x:f>
        <x:v>0.005555555555555556</x:v>
      </x:c>
      <x:c r="Q893" s="12" t="n">
        <x:f>IF(O893="","",(H893*60+O893)/86400)</x:f>
        <x:v>0.33194444444444443</x:v>
      </x:c>
      <x:c r="R893" s="12" t="str">
        <x:f>IF(Q893="","",TEXT(Q893,"hh:mm:ss"))</x:f>
        <x:v>07:58:00</x:v>
      </x:c>
      <x:c r="S893" s="12" t="str">
        <x:v>否</x:v>
      </x:c>
      <x:c r="T893" s="12" t="str">
        <x:v>否</x:v>
      </x:c>
      <x:c r="U893" s="12" t="str">
        <x:v>未提供</x:v>
      </x:c>
      <x:c r="V893" s="12" t="str">
        <x:v>未提供</x:v>
      </x:c>
      <x:c r="W893" s="12" t="str">
        <x:v>秒级预测</x:v>
      </x:c>
      <x:c r="X893" s="12" t="str">
        <x:v>基于路线秒级参数；如录入实测或手动采用秒，预计到达时间可随公式更新</x:v>
      </x:c>
    </x:row>
    <x:row r="894">
      <x:c r="A894" s="12" t="str">
        <x:v>S0072-09</x:v>
      </x:c>
      <x:c r="B894" s="12" t="str">
        <x:v>S0072</x:v>
      </x:c>
      <x:c r="C894" s="12" t="str">
        <x:v>工作日</x:v>
      </x:c>
      <x:c r="D894" s="12" t="str">
        <x:v>环线2路</x:v>
      </x:c>
      <x:c r="E894" s="12" t="str">
        <x:v>第一班</x:v>
      </x:c>
      <x:c r="F894" s="12" t="n">
        <x:v>2</x:v>
      </x:c>
      <x:c r="G894" s="12" t="str">
        <x:v>7:50</x:v>
      </x:c>
      <x:c r="H894" s="12" t="n">
        <x:v>470</x:v>
      </x:c>
      <x:c r="I894" s="12" t="str">
        <x:v>研究生宿舍楼</x:v>
      </x:c>
      <x:c r="J894" s="12" t="str">
        <x:v>研究生宿舍楼发车</x:v>
      </x:c>
      <x:c r="K894" s="12" t="str">
        <x:v>HX2_NORMAL</x:v>
      </x:c>
      <x:c r="L894" s="12" t="n">
        <x:v>9</x:v>
      </x:c>
      <x:c r="M894" s="12" t="str">
        <x:v>HX2_NORMAL|9</x:v>
      </x:c>
      <x:c r="N894" s="12" t="str">
        <x:v>305教学楼</x:v>
      </x:c>
      <x:c r="O894" s="12" t="n">
        <x:f>IFERROR(INDEX('秒级路线参数_可调整'!$O:$O,MATCH(M894,'秒级路线参数_可调整'!$A:$A,0)),"")</x:f>
        <x:v>535</x:v>
      </x:c>
      <x:c r="P894" s="12" t="n">
        <x:f>IF(O894="","",O894/86400)</x:f>
        <x:v>0.00619212962962963</x:v>
      </x:c>
      <x:c r="Q894" s="12" t="n">
        <x:f>IF(O894="","",(H894*60+O894)/86400)</x:f>
        <x:v>0.3325810185185185</x:v>
      </x:c>
      <x:c r="R894" s="12" t="str">
        <x:f>IF(Q894="","",TEXT(Q894,"hh:mm:ss"))</x:f>
        <x:v>07:58:55</x:v>
      </x:c>
      <x:c r="S894" s="12" t="str">
        <x:v>否</x:v>
      </x:c>
      <x:c r="T894" s="12" t="str">
        <x:v>否</x:v>
      </x:c>
      <x:c r="U894" s="12" t="str">
        <x:v>未提供</x:v>
      </x:c>
      <x:c r="V894" s="12" t="str">
        <x:v>未提供</x:v>
      </x:c>
      <x:c r="W894" s="12" t="str">
        <x:v>秒级预测</x:v>
      </x:c>
      <x:c r="X894" s="12" t="str">
        <x:v>基于路线秒级参数；如录入实测或手动采用秒，预计到达时间可随公式更新</x:v>
      </x:c>
    </x:row>
    <x:row r="895">
      <x:c r="A895" s="12" t="str">
        <x:v>S0072-10</x:v>
      </x:c>
      <x:c r="B895" s="12" t="str">
        <x:v>S0072</x:v>
      </x:c>
      <x:c r="C895" s="12" t="str">
        <x:v>工作日</x:v>
      </x:c>
      <x:c r="D895" s="12" t="str">
        <x:v>环线2路</x:v>
      </x:c>
      <x:c r="E895" s="12" t="str">
        <x:v>第一班</x:v>
      </x:c>
      <x:c r="F895" s="12" t="n">
        <x:v>2</x:v>
      </x:c>
      <x:c r="G895" s="12" t="str">
        <x:v>7:50</x:v>
      </x:c>
      <x:c r="H895" s="12" t="n">
        <x:v>470</x:v>
      </x:c>
      <x:c r="I895" s="12" t="str">
        <x:v>研究生宿舍楼</x:v>
      </x:c>
      <x:c r="J895" s="12" t="str">
        <x:v>研究生宿舍楼发车</x:v>
      </x:c>
      <x:c r="K895" s="12" t="str">
        <x:v>HX2_NORMAL</x:v>
      </x:c>
      <x:c r="L895" s="12" t="n">
        <x:v>10</x:v>
      </x:c>
      <x:c r="M895" s="12" t="str">
        <x:v>HX2_NORMAL|10</x:v>
      </x:c>
      <x:c r="N895" s="12" t="str">
        <x:v>研究生宿舍楼</x:v>
      </x:c>
      <x:c r="O895" s="12" t="n">
        <x:f>IFERROR(INDEX('秒级路线参数_可调整'!$O:$O,MATCH(M895,'秒级路线参数_可调整'!$A:$A,0)),"")</x:f>
        <x:v>715</x:v>
      </x:c>
      <x:c r="P895" s="12" t="n">
        <x:f>IF(O895="","",O895/86400)</x:f>
        <x:v>0.008275462962962964</x:v>
      </x:c>
      <x:c r="Q895" s="12" t="n">
        <x:f>IF(O895="","",(H895*60+O895)/86400)</x:f>
        <x:v>0.33466435185185184</x:v>
      </x:c>
      <x:c r="R895" s="12" t="str">
        <x:f>IF(Q895="","",TEXT(Q895,"hh:mm:ss"))</x:f>
        <x:v>08:01:55</x:v>
      </x:c>
      <x:c r="S895" s="12" t="str">
        <x:v>否</x:v>
      </x:c>
      <x:c r="T895" s="12" t="str">
        <x:v>是</x:v>
      </x:c>
      <x:c r="U895" s="12" t="str">
        <x:v>未提供</x:v>
      </x:c>
      <x:c r="V895" s="12" t="str">
        <x:v>未提供</x:v>
      </x:c>
      <x:c r="W895" s="12" t="str">
        <x:v>秒级预测</x:v>
      </x:c>
      <x:c r="X895" s="12" t="str">
        <x:v>基于路线秒级参数；如录入实测或手动采用秒，预计到达时间可随公式更新</x:v>
      </x:c>
    </x:row>
    <x:row r="896">
      <x:c r="A896" s="12" t="str">
        <x:v>S0073-01</x:v>
      </x:c>
      <x:c r="B896" s="12" t="str">
        <x:v>S0073</x:v>
      </x:c>
      <x:c r="C896" s="12" t="str">
        <x:v>工作日</x:v>
      </x:c>
      <x:c r="D896" s="12" t="str">
        <x:v>环线2路</x:v>
      </x:c>
      <x:c r="E896" s="12" t="str">
        <x:v>第一班</x:v>
      </x:c>
      <x:c r="F896" s="12" t="n">
        <x:v>3</x:v>
      </x:c>
      <x:c r="G896" s="12" t="str">
        <x:v>8:05</x:v>
      </x:c>
      <x:c r="H896" s="12" t="n">
        <x:v>485</x:v>
      </x:c>
      <x:c r="I896" s="12" t="str">
        <x:v>研究生宿舍楼</x:v>
      </x:c>
      <x:c r="J896" s="12" t="str">
        <x:v>研究生宿舍楼发车</x:v>
      </x:c>
      <x:c r="K896" s="12" t="str">
        <x:v>HX2_NORMAL</x:v>
      </x:c>
      <x:c r="L896" s="12" t="n">
        <x:v>1</x:v>
      </x:c>
      <x:c r="M896" s="12" t="str">
        <x:v>HX2_NORMAL|1</x:v>
      </x:c>
      <x:c r="N896" s="12" t="str">
        <x:v>研究生宿舍楼</x:v>
      </x:c>
      <x:c r="O896" s="12" t="n">
        <x:f>IFERROR(INDEX('秒级路线参数_可调整'!$O:$O,MATCH(M896,'秒级路线参数_可调整'!$A:$A,0)),"")</x:f>
        <x:v>0</x:v>
      </x:c>
      <x:c r="P896" s="12" t="str">
        <x:f>IF(O896="","",O896/86400)</x:f>
      </x:c>
      <x:c r="Q896" s="12" t="str">
        <x:f>IF(O896="","",(H896*60+O896)/86400)</x:f>
      </x:c>
      <x:c r="R896" s="12" t="str">
        <x:f>IF(Q896="","",TEXT(Q896,"hh:mm:ss"))</x:f>
      </x:c>
      <x:c r="S896" s="12" t="str">
        <x:v>是</x:v>
      </x:c>
      <x:c r="T896" s="12" t="str">
        <x:v>否</x:v>
      </x:c>
      <x:c r="U896" s="12" t="str">
        <x:v>未提供</x:v>
      </x:c>
      <x:c r="V896" s="12" t="str">
        <x:v>未提供</x:v>
      </x:c>
      <x:c r="W896" s="12" t="str">
        <x:v>秒级预测</x:v>
      </x:c>
      <x:c r="X896" s="12" t="str">
        <x:v>基于路线秒级参数；如录入实测或手动采用秒，预计到达时间可随公式更新</x:v>
      </x:c>
    </x:row>
    <x:row r="897">
      <x:c r="A897" s="12" t="str">
        <x:v>S0073-02</x:v>
      </x:c>
      <x:c r="B897" s="12" t="str">
        <x:v>S0073</x:v>
      </x:c>
      <x:c r="C897" s="12" t="str">
        <x:v>工作日</x:v>
      </x:c>
      <x:c r="D897" s="12" t="str">
        <x:v>环线2路</x:v>
      </x:c>
      <x:c r="E897" s="12" t="str">
        <x:v>第一班</x:v>
      </x:c>
      <x:c r="F897" s="12" t="n">
        <x:v>3</x:v>
      </x:c>
      <x:c r="G897" s="12" t="str">
        <x:v>8:05</x:v>
      </x:c>
      <x:c r="H897" s="12" t="n">
        <x:v>485</x:v>
      </x:c>
      <x:c r="I897" s="12" t="str">
        <x:v>研究生宿舍楼</x:v>
      </x:c>
      <x:c r="J897" s="12" t="str">
        <x:v>研究生宿舍楼发车</x:v>
      </x:c>
      <x:c r="K897" s="12" t="str">
        <x:v>HX2_NORMAL</x:v>
      </x:c>
      <x:c r="L897" s="12" t="n">
        <x:v>2</x:v>
      </x:c>
      <x:c r="M897" s="12" t="str">
        <x:v>HX2_NORMAL|2</x:v>
      </x:c>
      <x:c r="N897" s="12" t="str">
        <x:v>一食堂</x:v>
      </x:c>
      <x:c r="O897" s="12" t="n">
        <x:f>IFERROR(INDEX('秒级路线参数_可调整'!$O:$O,MATCH(M897,'秒级路线参数_可调整'!$A:$A,0)),"")</x:f>
        <x:v>65</x:v>
      </x:c>
      <x:c r="P897" s="12" t="n">
        <x:f>IF(O897="","",O897/86400)</x:f>
        <x:v>0.0007523148148148148</x:v>
      </x:c>
      <x:c r="Q897" s="12" t="n">
        <x:f>IF(O897="","",(H897*60+O897)/86400)</x:f>
        <x:v>0.3375578703703704</x:v>
      </x:c>
      <x:c r="R897" s="12" t="str">
        <x:f>IF(Q897="","",TEXT(Q897,"hh:mm:ss"))</x:f>
        <x:v>08:06:05</x:v>
      </x:c>
      <x:c r="S897" s="12" t="str">
        <x:v>否</x:v>
      </x:c>
      <x:c r="T897" s="12" t="str">
        <x:v>否</x:v>
      </x:c>
      <x:c r="U897" s="12" t="str">
        <x:v>未提供</x:v>
      </x:c>
      <x:c r="V897" s="12" t="str">
        <x:v>未提供</x:v>
      </x:c>
      <x:c r="W897" s="12" t="str">
        <x:v>秒级预测</x:v>
      </x:c>
      <x:c r="X897" s="12" t="str">
        <x:v>基于路线秒级参数；如录入实测或手动采用秒，预计到达时间可随公式更新</x:v>
      </x:c>
    </x:row>
    <x:row r="898">
      <x:c r="A898" s="12" t="str">
        <x:v>S0073-03</x:v>
      </x:c>
      <x:c r="B898" s="12" t="str">
        <x:v>S0073</x:v>
      </x:c>
      <x:c r="C898" s="12" t="str">
        <x:v>工作日</x:v>
      </x:c>
      <x:c r="D898" s="12" t="str">
        <x:v>环线2路</x:v>
      </x:c>
      <x:c r="E898" s="12" t="str">
        <x:v>第一班</x:v>
      </x:c>
      <x:c r="F898" s="12" t="n">
        <x:v>3</x:v>
      </x:c>
      <x:c r="G898" s="12" t="str">
        <x:v>8:05</x:v>
      </x:c>
      <x:c r="H898" s="12" t="n">
        <x:v>485</x:v>
      </x:c>
      <x:c r="I898" s="12" t="str">
        <x:v>研究生宿舍楼</x:v>
      </x:c>
      <x:c r="J898" s="12" t="str">
        <x:v>研究生宿舍楼发车</x:v>
      </x:c>
      <x:c r="K898" s="12" t="str">
        <x:v>HX2_NORMAL</x:v>
      </x:c>
      <x:c r="L898" s="12" t="n">
        <x:v>3</x:v>
      </x:c>
      <x:c r="M898" s="12" t="str">
        <x:v>HX2_NORMAL|3</x:v>
      </x:c>
      <x:c r="N898" s="12" t="str">
        <x:v>门诊部</x:v>
      </x:c>
      <x:c r="O898" s="12" t="n">
        <x:f>IFERROR(INDEX('秒级路线参数_可调整'!$O:$O,MATCH(M898,'秒级路线参数_可调整'!$A:$A,0)),"")</x:f>
        <x:v>120</x:v>
      </x:c>
      <x:c r="P898" s="12" t="n">
        <x:f>IF(O898="","",O898/86400)</x:f>
        <x:v>0.001388888888888889</x:v>
      </x:c>
      <x:c r="Q898" s="12" t="n">
        <x:f>IF(O898="","",(H898*60+O898)/86400)</x:f>
        <x:v>0.33819444444444446</x:v>
      </x:c>
      <x:c r="R898" s="12" t="str">
        <x:f>IF(Q898="","",TEXT(Q898,"hh:mm:ss"))</x:f>
        <x:v>08:07:00</x:v>
      </x:c>
      <x:c r="S898" s="12" t="str">
        <x:v>否</x:v>
      </x:c>
      <x:c r="T898" s="12" t="str">
        <x:v>否</x:v>
      </x:c>
      <x:c r="U898" s="12" t="str">
        <x:v>未提供</x:v>
      </x:c>
      <x:c r="V898" s="12" t="str">
        <x:v>未提供</x:v>
      </x:c>
      <x:c r="W898" s="12" t="str">
        <x:v>秒级预测</x:v>
      </x:c>
      <x:c r="X898" s="12" t="str">
        <x:v>基于路线秒级参数；如录入实测或手动采用秒，预计到达时间可随公式更新</x:v>
      </x:c>
    </x:row>
    <x:row r="899">
      <x:c r="A899" s="12" t="str">
        <x:v>S0073-04</x:v>
      </x:c>
      <x:c r="B899" s="12" t="str">
        <x:v>S0073</x:v>
      </x:c>
      <x:c r="C899" s="12" t="str">
        <x:v>工作日</x:v>
      </x:c>
      <x:c r="D899" s="12" t="str">
        <x:v>环线2路</x:v>
      </x:c>
      <x:c r="E899" s="12" t="str">
        <x:v>第一班</x:v>
      </x:c>
      <x:c r="F899" s="12" t="n">
        <x:v>3</x:v>
      </x:c>
      <x:c r="G899" s="12" t="str">
        <x:v>8:05</x:v>
      </x:c>
      <x:c r="H899" s="12" t="n">
        <x:v>485</x:v>
      </x:c>
      <x:c r="I899" s="12" t="str">
        <x:v>研究生宿舍楼</x:v>
      </x:c>
      <x:c r="J899" s="12" t="str">
        <x:v>研究生宿舍楼发车</x:v>
      </x:c>
      <x:c r="K899" s="12" t="str">
        <x:v>HX2_NORMAL</x:v>
      </x:c>
      <x:c r="L899" s="12" t="n">
        <x:v>4</x:v>
      </x:c>
      <x:c r="M899" s="12" t="str">
        <x:v>HX2_NORMAL|4</x:v>
      </x:c>
      <x:c r="N899" s="12" t="str">
        <x:v>1号宿舍楼</x:v>
      </x:c>
      <x:c r="O899" s="12" t="n">
        <x:f>IFERROR(INDEX('秒级路线参数_可调整'!$O:$O,MATCH(M899,'秒级路线参数_可调整'!$A:$A,0)),"")</x:f>
        <x:v>165</x:v>
      </x:c>
      <x:c r="P899" s="12" t="n">
        <x:f>IF(O899="","",O899/86400)</x:f>
        <x:v>0.0019097222222222222</x:v>
      </x:c>
      <x:c r="Q899" s="12" t="n">
        <x:f>IF(O899="","",(H899*60+O899)/86400)</x:f>
        <x:v>0.33871527777777777</x:v>
      </x:c>
      <x:c r="R899" s="12" t="str">
        <x:f>IF(Q899="","",TEXT(Q899,"hh:mm:ss"))</x:f>
        <x:v>08:07:45</x:v>
      </x:c>
      <x:c r="S899" s="12" t="str">
        <x:v>否</x:v>
      </x:c>
      <x:c r="T899" s="12" t="str">
        <x:v>否</x:v>
      </x:c>
      <x:c r="U899" s="12" t="str">
        <x:v>未提供</x:v>
      </x:c>
      <x:c r="V899" s="12" t="str">
        <x:v>未提供</x:v>
      </x:c>
      <x:c r="W899" s="12" t="str">
        <x:v>秒级预测</x:v>
      </x:c>
      <x:c r="X899" s="12" t="str">
        <x:v>基于路线秒级参数；如录入实测或手动采用秒，预计到达时间可随公式更新</x:v>
      </x:c>
    </x:row>
    <x:row r="900">
      <x:c r="A900" s="12" t="str">
        <x:v>S0073-05</x:v>
      </x:c>
      <x:c r="B900" s="12" t="str">
        <x:v>S0073</x:v>
      </x:c>
      <x:c r="C900" s="12" t="str">
        <x:v>工作日</x:v>
      </x:c>
      <x:c r="D900" s="12" t="str">
        <x:v>环线2路</x:v>
      </x:c>
      <x:c r="E900" s="12" t="str">
        <x:v>第一班</x:v>
      </x:c>
      <x:c r="F900" s="12" t="n">
        <x:v>3</x:v>
      </x:c>
      <x:c r="G900" s="12" t="str">
        <x:v>8:05</x:v>
      </x:c>
      <x:c r="H900" s="12" t="n">
        <x:v>485</x:v>
      </x:c>
      <x:c r="I900" s="12" t="str">
        <x:v>研究生宿舍楼</x:v>
      </x:c>
      <x:c r="J900" s="12" t="str">
        <x:v>研究生宿舍楼发车</x:v>
      </x:c>
      <x:c r="K900" s="12" t="str">
        <x:v>HX2_NORMAL</x:v>
      </x:c>
      <x:c r="L900" s="12" t="n">
        <x:v>5</x:v>
      </x:c>
      <x:c r="M900" s="12" t="str">
        <x:v>HX2_NORMAL|5</x:v>
      </x:c>
      <x:c r="N900" s="12" t="str">
        <x:v>水上训练中心</x:v>
      </x:c>
      <x:c r="O900" s="12" t="n">
        <x:f>IFERROR(INDEX('秒级路线参数_可调整'!$O:$O,MATCH(M900,'秒级路线参数_可调整'!$A:$A,0)),"")</x:f>
        <x:v>250</x:v>
      </x:c>
      <x:c r="P900" s="12" t="n">
        <x:f>IF(O900="","",O900/86400)</x:f>
        <x:v>0.0028935185185185184</x:v>
      </x:c>
      <x:c r="Q900" s="12" t="n">
        <x:f>IF(O900="","",(H900*60+O900)/86400)</x:f>
        <x:v>0.33969907407407407</x:v>
      </x:c>
      <x:c r="R900" s="12" t="str">
        <x:f>IF(Q900="","",TEXT(Q900,"hh:mm:ss"))</x:f>
        <x:v>08:09:10</x:v>
      </x:c>
      <x:c r="S900" s="12" t="str">
        <x:v>否</x:v>
      </x:c>
      <x:c r="T900" s="12" t="str">
        <x:v>否</x:v>
      </x:c>
      <x:c r="U900" s="12" t="str">
        <x:v>未提供</x:v>
      </x:c>
      <x:c r="V900" s="12" t="str">
        <x:v>未提供</x:v>
      </x:c>
      <x:c r="W900" s="12" t="str">
        <x:v>秒级预测</x:v>
      </x:c>
      <x:c r="X900" s="12" t="str">
        <x:v>基于路线秒级参数；如录入实测或手动采用秒，预计到达时间可随公式更新</x:v>
      </x:c>
    </x:row>
    <x:row r="901">
      <x:c r="A901" s="12" t="str">
        <x:v>S0073-06</x:v>
      </x:c>
      <x:c r="B901" s="12" t="str">
        <x:v>S0073</x:v>
      </x:c>
      <x:c r="C901" s="12" t="str">
        <x:v>工作日</x:v>
      </x:c>
      <x:c r="D901" s="12" t="str">
        <x:v>环线2路</x:v>
      </x:c>
      <x:c r="E901" s="12" t="str">
        <x:v>第一班</x:v>
      </x:c>
      <x:c r="F901" s="12" t="n">
        <x:v>3</x:v>
      </x:c>
      <x:c r="G901" s="12" t="str">
        <x:v>8:05</x:v>
      </x:c>
      <x:c r="H901" s="12" t="n">
        <x:v>485</x:v>
      </x:c>
      <x:c r="I901" s="12" t="str">
        <x:v>研究生宿舍楼</x:v>
      </x:c>
      <x:c r="J901" s="12" t="str">
        <x:v>研究生宿舍楼发车</x:v>
      </x:c>
      <x:c r="K901" s="12" t="str">
        <x:v>HX2_NORMAL</x:v>
      </x:c>
      <x:c r="L901" s="12" t="n">
        <x:v>6</x:v>
      </x:c>
      <x:c r="M901" s="12" t="str">
        <x:v>HX2_NORMAL|6</x:v>
      </x:c>
      <x:c r="N901" s="12" t="str">
        <x:v>军体活动中心</x:v>
      </x:c>
      <x:c r="O901" s="12" t="n">
        <x:f>IFERROR(INDEX('秒级路线参数_可调整'!$O:$O,MATCH(M901,'秒级路线参数_可调整'!$A:$A,0)),"")</x:f>
        <x:v>315</x:v>
      </x:c>
      <x:c r="P901" s="12" t="n">
        <x:f>IF(O901="","",O901/86400)</x:f>
        <x:v>0.0036458333333333334</x:v>
      </x:c>
      <x:c r="Q901" s="12" t="n">
        <x:f>IF(O901="","",(H901*60+O901)/86400)</x:f>
        <x:v>0.3404513888888889</x:v>
      </x:c>
      <x:c r="R901" s="12" t="str">
        <x:f>IF(Q901="","",TEXT(Q901,"hh:mm:ss"))</x:f>
        <x:v>08:10:15</x:v>
      </x:c>
      <x:c r="S901" s="12" t="str">
        <x:v>否</x:v>
      </x:c>
      <x:c r="T901" s="12" t="str">
        <x:v>否</x:v>
      </x:c>
      <x:c r="U901" s="12" t="str">
        <x:v>未提供</x:v>
      </x:c>
      <x:c r="V901" s="12" t="str">
        <x:v>未提供</x:v>
      </x:c>
      <x:c r="W901" s="12" t="str">
        <x:v>秒级预测</x:v>
      </x:c>
      <x:c r="X901" s="12" t="str">
        <x:v>基于路线秒级参数；如录入实测或手动采用秒，预计到达时间可随公式更新</x:v>
      </x:c>
    </x:row>
    <x:row r="902">
      <x:c r="A902" s="12" t="str">
        <x:v>S0073-07</x:v>
      </x:c>
      <x:c r="B902" s="12" t="str">
        <x:v>S0073</x:v>
      </x:c>
      <x:c r="C902" s="12" t="str">
        <x:v>工作日</x:v>
      </x:c>
      <x:c r="D902" s="12" t="str">
        <x:v>环线2路</x:v>
      </x:c>
      <x:c r="E902" s="12" t="str">
        <x:v>第一班</x:v>
      </x:c>
      <x:c r="F902" s="12" t="n">
        <x:v>3</x:v>
      </x:c>
      <x:c r="G902" s="12" t="str">
        <x:v>8:05</x:v>
      </x:c>
      <x:c r="H902" s="12" t="n">
        <x:v>485</x:v>
      </x:c>
      <x:c r="I902" s="12" t="str">
        <x:v>研究生宿舍楼</x:v>
      </x:c>
      <x:c r="J902" s="12" t="str">
        <x:v>研究生宿舍楼发车</x:v>
      </x:c>
      <x:c r="K902" s="12" t="str">
        <x:v>HX2_NORMAL</x:v>
      </x:c>
      <x:c r="L902" s="12" t="n">
        <x:v>7</x:v>
      </x:c>
      <x:c r="M902" s="12" t="str">
        <x:v>HX2_NORMAL|7</x:v>
      </x:c>
      <x:c r="N902" s="12" t="str">
        <x:v>二食堂</x:v>
      </x:c>
      <x:c r="O902" s="12" t="n">
        <x:f>IFERROR(INDEX('秒级路线参数_可调整'!$O:$O,MATCH(M902,'秒级路线参数_可调整'!$A:$A,0)),"")</x:f>
        <x:v>420</x:v>
      </x:c>
      <x:c r="P902" s="12" t="n">
        <x:f>IF(O902="","",O902/86400)</x:f>
        <x:v>0.004861111111111111</x:v>
      </x:c>
      <x:c r="Q902" s="12" t="n">
        <x:f>IF(O902="","",(H902*60+O902)/86400)</x:f>
        <x:v>0.3416666666666667</x:v>
      </x:c>
      <x:c r="R902" s="12" t="str">
        <x:f>IF(Q902="","",TEXT(Q902,"hh:mm:ss"))</x:f>
        <x:v>08:12:00</x:v>
      </x:c>
      <x:c r="S902" s="12" t="str">
        <x:v>否</x:v>
      </x:c>
      <x:c r="T902" s="12" t="str">
        <x:v>否</x:v>
      </x:c>
      <x:c r="U902" s="12" t="str">
        <x:v>未提供</x:v>
      </x:c>
      <x:c r="V902" s="12" t="str">
        <x:v>未提供</x:v>
      </x:c>
      <x:c r="W902" s="12" t="str">
        <x:v>秒级预测</x:v>
      </x:c>
      <x:c r="X902" s="12" t="str">
        <x:v>基于路线秒级参数；如录入实测或手动采用秒，预计到达时间可随公式更新</x:v>
      </x:c>
    </x:row>
    <x:row r="903">
      <x:c r="A903" s="12" t="str">
        <x:v>S0073-08</x:v>
      </x:c>
      <x:c r="B903" s="12" t="str">
        <x:v>S0073</x:v>
      </x:c>
      <x:c r="C903" s="12" t="str">
        <x:v>工作日</x:v>
      </x:c>
      <x:c r="D903" s="12" t="str">
        <x:v>环线2路</x:v>
      </x:c>
      <x:c r="E903" s="12" t="str">
        <x:v>第一班</x:v>
      </x:c>
      <x:c r="F903" s="12" t="n">
        <x:v>3</x:v>
      </x:c>
      <x:c r="G903" s="12" t="str">
        <x:v>8:05</x:v>
      </x:c>
      <x:c r="H903" s="12" t="n">
        <x:v>485</x:v>
      </x:c>
      <x:c r="I903" s="12" t="str">
        <x:v>研究生宿舍楼</x:v>
      </x:c>
      <x:c r="J903" s="12" t="str">
        <x:v>研究生宿舍楼发车</x:v>
      </x:c>
      <x:c r="K903" s="12" t="str">
        <x:v>HX2_NORMAL</x:v>
      </x:c>
      <x:c r="L903" s="12" t="n">
        <x:v>8</x:v>
      </x:c>
      <x:c r="M903" s="12" t="str">
        <x:v>HX2_NORMAL|8</x:v>
      </x:c>
      <x:c r="N903" s="12" t="str">
        <x:v>5号宿舍楼</x:v>
      </x:c>
      <x:c r="O903" s="12" t="n">
        <x:f>IFERROR(INDEX('秒级路线参数_可调整'!$O:$O,MATCH(M903,'秒级路线参数_可调整'!$A:$A,0)),"")</x:f>
        <x:v>480</x:v>
      </x:c>
      <x:c r="P903" s="12" t="n">
        <x:f>IF(O903="","",O903/86400)</x:f>
        <x:v>0.005555555555555556</x:v>
      </x:c>
      <x:c r="Q903" s="12" t="n">
        <x:f>IF(O903="","",(H903*60+O903)/86400)</x:f>
        <x:v>0.3423611111111111</x:v>
      </x:c>
      <x:c r="R903" s="12" t="str">
        <x:f>IF(Q903="","",TEXT(Q903,"hh:mm:ss"))</x:f>
        <x:v>08:13:00</x:v>
      </x:c>
      <x:c r="S903" s="12" t="str">
        <x:v>否</x:v>
      </x:c>
      <x:c r="T903" s="12" t="str">
        <x:v>否</x:v>
      </x:c>
      <x:c r="U903" s="12" t="str">
        <x:v>未提供</x:v>
      </x:c>
      <x:c r="V903" s="12" t="str">
        <x:v>未提供</x:v>
      </x:c>
      <x:c r="W903" s="12" t="str">
        <x:v>秒级预测</x:v>
      </x:c>
      <x:c r="X903" s="12" t="str">
        <x:v>基于路线秒级参数；如录入实测或手动采用秒，预计到达时间可随公式更新</x:v>
      </x:c>
    </x:row>
    <x:row r="904">
      <x:c r="A904" s="12" t="str">
        <x:v>S0073-09</x:v>
      </x:c>
      <x:c r="B904" s="12" t="str">
        <x:v>S0073</x:v>
      </x:c>
      <x:c r="C904" s="12" t="str">
        <x:v>工作日</x:v>
      </x:c>
      <x:c r="D904" s="12" t="str">
        <x:v>环线2路</x:v>
      </x:c>
      <x:c r="E904" s="12" t="str">
        <x:v>第一班</x:v>
      </x:c>
      <x:c r="F904" s="12" t="n">
        <x:v>3</x:v>
      </x:c>
      <x:c r="G904" s="12" t="str">
        <x:v>8:05</x:v>
      </x:c>
      <x:c r="H904" s="12" t="n">
        <x:v>485</x:v>
      </x:c>
      <x:c r="I904" s="12" t="str">
        <x:v>研究生宿舍楼</x:v>
      </x:c>
      <x:c r="J904" s="12" t="str">
        <x:v>研究生宿舍楼发车</x:v>
      </x:c>
      <x:c r="K904" s="12" t="str">
        <x:v>HX2_NORMAL</x:v>
      </x:c>
      <x:c r="L904" s="12" t="n">
        <x:v>9</x:v>
      </x:c>
      <x:c r="M904" s="12" t="str">
        <x:v>HX2_NORMAL|9</x:v>
      </x:c>
      <x:c r="N904" s="12" t="str">
        <x:v>305教学楼</x:v>
      </x:c>
      <x:c r="O904" s="12" t="n">
        <x:f>IFERROR(INDEX('秒级路线参数_可调整'!$O:$O,MATCH(M904,'秒级路线参数_可调整'!$A:$A,0)),"")</x:f>
        <x:v>535</x:v>
      </x:c>
      <x:c r="P904" s="12" t="n">
        <x:f>IF(O904="","",O904/86400)</x:f>
        <x:v>0.00619212962962963</x:v>
      </x:c>
      <x:c r="Q904" s="12" t="n">
        <x:f>IF(O904="","",(H904*60+O904)/86400)</x:f>
        <x:v>0.3429976851851852</x:v>
      </x:c>
      <x:c r="R904" s="12" t="str">
        <x:f>IF(Q904="","",TEXT(Q904,"hh:mm:ss"))</x:f>
        <x:v>08:13:55</x:v>
      </x:c>
      <x:c r="S904" s="12" t="str">
        <x:v>否</x:v>
      </x:c>
      <x:c r="T904" s="12" t="str">
        <x:v>否</x:v>
      </x:c>
      <x:c r="U904" s="12" t="str">
        <x:v>未提供</x:v>
      </x:c>
      <x:c r="V904" s="12" t="str">
        <x:v>未提供</x:v>
      </x:c>
      <x:c r="W904" s="12" t="str">
        <x:v>秒级预测</x:v>
      </x:c>
      <x:c r="X904" s="12" t="str">
        <x:v>基于路线秒级参数；如录入实测或手动采用秒，预计到达时间可随公式更新</x:v>
      </x:c>
    </x:row>
    <x:row r="905">
      <x:c r="A905" s="12" t="str">
        <x:v>S0073-10</x:v>
      </x:c>
      <x:c r="B905" s="12" t="str">
        <x:v>S0073</x:v>
      </x:c>
      <x:c r="C905" s="12" t="str">
        <x:v>工作日</x:v>
      </x:c>
      <x:c r="D905" s="12" t="str">
        <x:v>环线2路</x:v>
      </x:c>
      <x:c r="E905" s="12" t="str">
        <x:v>第一班</x:v>
      </x:c>
      <x:c r="F905" s="12" t="n">
        <x:v>3</x:v>
      </x:c>
      <x:c r="G905" s="12" t="str">
        <x:v>8:05</x:v>
      </x:c>
      <x:c r="H905" s="12" t="n">
        <x:v>485</x:v>
      </x:c>
      <x:c r="I905" s="12" t="str">
        <x:v>研究生宿舍楼</x:v>
      </x:c>
      <x:c r="J905" s="12" t="str">
        <x:v>研究生宿舍楼发车</x:v>
      </x:c>
      <x:c r="K905" s="12" t="str">
        <x:v>HX2_NORMAL</x:v>
      </x:c>
      <x:c r="L905" s="12" t="n">
        <x:v>10</x:v>
      </x:c>
      <x:c r="M905" s="12" t="str">
        <x:v>HX2_NORMAL|10</x:v>
      </x:c>
      <x:c r="N905" s="12" t="str">
        <x:v>研究生宿舍楼</x:v>
      </x:c>
      <x:c r="O905" s="12" t="n">
        <x:f>IFERROR(INDEX('秒级路线参数_可调整'!$O:$O,MATCH(M905,'秒级路线参数_可调整'!$A:$A,0)),"")</x:f>
        <x:v>715</x:v>
      </x:c>
      <x:c r="P905" s="12" t="n">
        <x:f>IF(O905="","",O905/86400)</x:f>
        <x:v>0.008275462962962964</x:v>
      </x:c>
      <x:c r="Q905" s="12" t="n">
        <x:f>IF(O905="","",(H905*60+O905)/86400)</x:f>
        <x:v>0.3450810185185185</x:v>
      </x:c>
      <x:c r="R905" s="12" t="str">
        <x:f>IF(Q905="","",TEXT(Q905,"hh:mm:ss"))</x:f>
        <x:v>08:16:55</x:v>
      </x:c>
      <x:c r="S905" s="12" t="str">
        <x:v>否</x:v>
      </x:c>
      <x:c r="T905" s="12" t="str">
        <x:v>是</x:v>
      </x:c>
      <x:c r="U905" s="12" t="str">
        <x:v>未提供</x:v>
      </x:c>
      <x:c r="V905" s="12" t="str">
        <x:v>未提供</x:v>
      </x:c>
      <x:c r="W905" s="12" t="str">
        <x:v>秒级预测</x:v>
      </x:c>
      <x:c r="X905" s="12" t="str">
        <x:v>基于路线秒级参数；如录入实测或手动采用秒，预计到达时间可随公式更新</x:v>
      </x:c>
    </x:row>
    <x:row r="906">
      <x:c r="A906" s="12" t="str">
        <x:v>S0074-01</x:v>
      </x:c>
      <x:c r="B906" s="12" t="str">
        <x:v>S0074</x:v>
      </x:c>
      <x:c r="C906" s="12" t="str">
        <x:v>工作日</x:v>
      </x:c>
      <x:c r="D906" s="12" t="str">
        <x:v>环线2路</x:v>
      </x:c>
      <x:c r="E906" s="12" t="str">
        <x:v>第一班</x:v>
      </x:c>
      <x:c r="F906" s="12" t="n">
        <x:v>4</x:v>
      </x:c>
      <x:c r="G906" s="12" t="str">
        <x:v>8:20</x:v>
      </x:c>
      <x:c r="H906" s="12" t="n">
        <x:v>500</x:v>
      </x:c>
      <x:c r="I906" s="12" t="str">
        <x:v>研究生宿舍楼</x:v>
      </x:c>
      <x:c r="J906" s="12" t="str">
        <x:v>研究生宿舍楼发车</x:v>
      </x:c>
      <x:c r="K906" s="12" t="str">
        <x:v>HX2_NORMAL</x:v>
      </x:c>
      <x:c r="L906" s="12" t="n">
        <x:v>1</x:v>
      </x:c>
      <x:c r="M906" s="12" t="str">
        <x:v>HX2_NORMAL|1</x:v>
      </x:c>
      <x:c r="N906" s="12" t="str">
        <x:v>研究生宿舍楼</x:v>
      </x:c>
      <x:c r="O906" s="12" t="n">
        <x:f>IFERROR(INDEX('秒级路线参数_可调整'!$O:$O,MATCH(M906,'秒级路线参数_可调整'!$A:$A,0)),"")</x:f>
        <x:v>0</x:v>
      </x:c>
      <x:c r="P906" s="12" t="str">
        <x:f>IF(O906="","",O906/86400)</x:f>
      </x:c>
      <x:c r="Q906" s="12" t="str">
        <x:f>IF(O906="","",(H906*60+O906)/86400)</x:f>
      </x:c>
      <x:c r="R906" s="12" t="str">
        <x:f>IF(Q906="","",TEXT(Q906,"hh:mm:ss"))</x:f>
      </x:c>
      <x:c r="S906" s="12" t="str">
        <x:v>是</x:v>
      </x:c>
      <x:c r="T906" s="12" t="str">
        <x:v>否</x:v>
      </x:c>
      <x:c r="U906" s="12" t="str">
        <x:v>未提供</x:v>
      </x:c>
      <x:c r="V906" s="12" t="str">
        <x:v>未提供</x:v>
      </x:c>
      <x:c r="W906" s="12" t="str">
        <x:v>秒级预测</x:v>
      </x:c>
      <x:c r="X906" s="12" t="str">
        <x:v>基于路线秒级参数；如录入实测或手动采用秒，预计到达时间可随公式更新</x:v>
      </x:c>
    </x:row>
    <x:row r="907">
      <x:c r="A907" s="12" t="str">
        <x:v>S0074-02</x:v>
      </x:c>
      <x:c r="B907" s="12" t="str">
        <x:v>S0074</x:v>
      </x:c>
      <x:c r="C907" s="12" t="str">
        <x:v>工作日</x:v>
      </x:c>
      <x:c r="D907" s="12" t="str">
        <x:v>环线2路</x:v>
      </x:c>
      <x:c r="E907" s="12" t="str">
        <x:v>第一班</x:v>
      </x:c>
      <x:c r="F907" s="12" t="n">
        <x:v>4</x:v>
      </x:c>
      <x:c r="G907" s="12" t="str">
        <x:v>8:20</x:v>
      </x:c>
      <x:c r="H907" s="12" t="n">
        <x:v>500</x:v>
      </x:c>
      <x:c r="I907" s="12" t="str">
        <x:v>研究生宿舍楼</x:v>
      </x:c>
      <x:c r="J907" s="12" t="str">
        <x:v>研究生宿舍楼发车</x:v>
      </x:c>
      <x:c r="K907" s="12" t="str">
        <x:v>HX2_NORMAL</x:v>
      </x:c>
      <x:c r="L907" s="12" t="n">
        <x:v>2</x:v>
      </x:c>
      <x:c r="M907" s="12" t="str">
        <x:v>HX2_NORMAL|2</x:v>
      </x:c>
      <x:c r="N907" s="12" t="str">
        <x:v>一食堂</x:v>
      </x:c>
      <x:c r="O907" s="12" t="n">
        <x:f>IFERROR(INDEX('秒级路线参数_可调整'!$O:$O,MATCH(M907,'秒级路线参数_可调整'!$A:$A,0)),"")</x:f>
        <x:v>65</x:v>
      </x:c>
      <x:c r="P907" s="12" t="n">
        <x:f>IF(O907="","",O907/86400)</x:f>
        <x:v>0.0007523148148148148</x:v>
      </x:c>
      <x:c r="Q907" s="12" t="n">
        <x:f>IF(O907="","",(H907*60+O907)/86400)</x:f>
        <x:v>0.347974537037037</x:v>
      </x:c>
      <x:c r="R907" s="12" t="str">
        <x:f>IF(Q907="","",TEXT(Q907,"hh:mm:ss"))</x:f>
        <x:v>08:21:05</x:v>
      </x:c>
      <x:c r="S907" s="12" t="str">
        <x:v>否</x:v>
      </x:c>
      <x:c r="T907" s="12" t="str">
        <x:v>否</x:v>
      </x:c>
      <x:c r="U907" s="12" t="str">
        <x:v>未提供</x:v>
      </x:c>
      <x:c r="V907" s="12" t="str">
        <x:v>未提供</x:v>
      </x:c>
      <x:c r="W907" s="12" t="str">
        <x:v>秒级预测</x:v>
      </x:c>
      <x:c r="X907" s="12" t="str">
        <x:v>基于路线秒级参数；如录入实测或手动采用秒，预计到达时间可随公式更新</x:v>
      </x:c>
    </x:row>
    <x:row r="908">
      <x:c r="A908" s="12" t="str">
        <x:v>S0074-03</x:v>
      </x:c>
      <x:c r="B908" s="12" t="str">
        <x:v>S0074</x:v>
      </x:c>
      <x:c r="C908" s="12" t="str">
        <x:v>工作日</x:v>
      </x:c>
      <x:c r="D908" s="12" t="str">
        <x:v>环线2路</x:v>
      </x:c>
      <x:c r="E908" s="12" t="str">
        <x:v>第一班</x:v>
      </x:c>
      <x:c r="F908" s="12" t="n">
        <x:v>4</x:v>
      </x:c>
      <x:c r="G908" s="12" t="str">
        <x:v>8:20</x:v>
      </x:c>
      <x:c r="H908" s="12" t="n">
        <x:v>500</x:v>
      </x:c>
      <x:c r="I908" s="12" t="str">
        <x:v>研究生宿舍楼</x:v>
      </x:c>
      <x:c r="J908" s="12" t="str">
        <x:v>研究生宿舍楼发车</x:v>
      </x:c>
      <x:c r="K908" s="12" t="str">
        <x:v>HX2_NORMAL</x:v>
      </x:c>
      <x:c r="L908" s="12" t="n">
        <x:v>3</x:v>
      </x:c>
      <x:c r="M908" s="12" t="str">
        <x:v>HX2_NORMAL|3</x:v>
      </x:c>
      <x:c r="N908" s="12" t="str">
        <x:v>门诊部</x:v>
      </x:c>
      <x:c r="O908" s="12" t="n">
        <x:f>IFERROR(INDEX('秒级路线参数_可调整'!$O:$O,MATCH(M908,'秒级路线参数_可调整'!$A:$A,0)),"")</x:f>
        <x:v>120</x:v>
      </x:c>
      <x:c r="P908" s="12" t="n">
        <x:f>IF(O908="","",O908/86400)</x:f>
        <x:v>0.001388888888888889</x:v>
      </x:c>
      <x:c r="Q908" s="12" t="n">
        <x:f>IF(O908="","",(H908*60+O908)/86400)</x:f>
        <x:v>0.3486111111111111</x:v>
      </x:c>
      <x:c r="R908" s="12" t="str">
        <x:f>IF(Q908="","",TEXT(Q908,"hh:mm:ss"))</x:f>
        <x:v>08:22:00</x:v>
      </x:c>
      <x:c r="S908" s="12" t="str">
        <x:v>否</x:v>
      </x:c>
      <x:c r="T908" s="12" t="str">
        <x:v>否</x:v>
      </x:c>
      <x:c r="U908" s="12" t="str">
        <x:v>未提供</x:v>
      </x:c>
      <x:c r="V908" s="12" t="str">
        <x:v>未提供</x:v>
      </x:c>
      <x:c r="W908" s="12" t="str">
        <x:v>秒级预测</x:v>
      </x:c>
      <x:c r="X908" s="12" t="str">
        <x:v>基于路线秒级参数；如录入实测或手动采用秒，预计到达时间可随公式更新</x:v>
      </x:c>
    </x:row>
    <x:row r="909">
      <x:c r="A909" s="12" t="str">
        <x:v>S0074-04</x:v>
      </x:c>
      <x:c r="B909" s="12" t="str">
        <x:v>S0074</x:v>
      </x:c>
      <x:c r="C909" s="12" t="str">
        <x:v>工作日</x:v>
      </x:c>
      <x:c r="D909" s="12" t="str">
        <x:v>环线2路</x:v>
      </x:c>
      <x:c r="E909" s="12" t="str">
        <x:v>第一班</x:v>
      </x:c>
      <x:c r="F909" s="12" t="n">
        <x:v>4</x:v>
      </x:c>
      <x:c r="G909" s="12" t="str">
        <x:v>8:20</x:v>
      </x:c>
      <x:c r="H909" s="12" t="n">
        <x:v>500</x:v>
      </x:c>
      <x:c r="I909" s="12" t="str">
        <x:v>研究生宿舍楼</x:v>
      </x:c>
      <x:c r="J909" s="12" t="str">
        <x:v>研究生宿舍楼发车</x:v>
      </x:c>
      <x:c r="K909" s="12" t="str">
        <x:v>HX2_NORMAL</x:v>
      </x:c>
      <x:c r="L909" s="12" t="n">
        <x:v>4</x:v>
      </x:c>
      <x:c r="M909" s="12" t="str">
        <x:v>HX2_NORMAL|4</x:v>
      </x:c>
      <x:c r="N909" s="12" t="str">
        <x:v>1号宿舍楼</x:v>
      </x:c>
      <x:c r="O909" s="12" t="n">
        <x:f>IFERROR(INDEX('秒级路线参数_可调整'!$O:$O,MATCH(M909,'秒级路线参数_可调整'!$A:$A,0)),"")</x:f>
        <x:v>165</x:v>
      </x:c>
      <x:c r="P909" s="12" t="n">
        <x:f>IF(O909="","",O909/86400)</x:f>
        <x:v>0.0019097222222222222</x:v>
      </x:c>
      <x:c r="Q909" s="12" t="n">
        <x:f>IF(O909="","",(H909*60+O909)/86400)</x:f>
        <x:v>0.34913194444444445</x:v>
      </x:c>
      <x:c r="R909" s="12" t="str">
        <x:f>IF(Q909="","",TEXT(Q909,"hh:mm:ss"))</x:f>
        <x:v>08:22:45</x:v>
      </x:c>
      <x:c r="S909" s="12" t="str">
        <x:v>否</x:v>
      </x:c>
      <x:c r="T909" s="12" t="str">
        <x:v>否</x:v>
      </x:c>
      <x:c r="U909" s="12" t="str">
        <x:v>未提供</x:v>
      </x:c>
      <x:c r="V909" s="12" t="str">
        <x:v>未提供</x:v>
      </x:c>
      <x:c r="W909" s="12" t="str">
        <x:v>秒级预测</x:v>
      </x:c>
      <x:c r="X909" s="12" t="str">
        <x:v>基于路线秒级参数；如录入实测或手动采用秒，预计到达时间可随公式更新</x:v>
      </x:c>
    </x:row>
    <x:row r="910">
      <x:c r="A910" s="12" t="str">
        <x:v>S0074-05</x:v>
      </x:c>
      <x:c r="B910" s="12" t="str">
        <x:v>S0074</x:v>
      </x:c>
      <x:c r="C910" s="12" t="str">
        <x:v>工作日</x:v>
      </x:c>
      <x:c r="D910" s="12" t="str">
        <x:v>环线2路</x:v>
      </x:c>
      <x:c r="E910" s="12" t="str">
        <x:v>第一班</x:v>
      </x:c>
      <x:c r="F910" s="12" t="n">
        <x:v>4</x:v>
      </x:c>
      <x:c r="G910" s="12" t="str">
        <x:v>8:20</x:v>
      </x:c>
      <x:c r="H910" s="12" t="n">
        <x:v>500</x:v>
      </x:c>
      <x:c r="I910" s="12" t="str">
        <x:v>研究生宿舍楼</x:v>
      </x:c>
      <x:c r="J910" s="12" t="str">
        <x:v>研究生宿舍楼发车</x:v>
      </x:c>
      <x:c r="K910" s="12" t="str">
        <x:v>HX2_NORMAL</x:v>
      </x:c>
      <x:c r="L910" s="12" t="n">
        <x:v>5</x:v>
      </x:c>
      <x:c r="M910" s="12" t="str">
        <x:v>HX2_NORMAL|5</x:v>
      </x:c>
      <x:c r="N910" s="12" t="str">
        <x:v>水上训练中心</x:v>
      </x:c>
      <x:c r="O910" s="12" t="n">
        <x:f>IFERROR(INDEX('秒级路线参数_可调整'!$O:$O,MATCH(M910,'秒级路线参数_可调整'!$A:$A,0)),"")</x:f>
        <x:v>250</x:v>
      </x:c>
      <x:c r="P910" s="12" t="n">
        <x:f>IF(O910="","",O910/86400)</x:f>
        <x:v>0.0028935185185185184</x:v>
      </x:c>
      <x:c r="Q910" s="12" t="n">
        <x:f>IF(O910="","",(H910*60+O910)/86400)</x:f>
        <x:v>0.35011574074074076</x:v>
      </x:c>
      <x:c r="R910" s="12" t="str">
        <x:f>IF(Q910="","",TEXT(Q910,"hh:mm:ss"))</x:f>
        <x:v>08:24:10</x:v>
      </x:c>
      <x:c r="S910" s="12" t="str">
        <x:v>否</x:v>
      </x:c>
      <x:c r="T910" s="12" t="str">
        <x:v>否</x:v>
      </x:c>
      <x:c r="U910" s="12" t="str">
        <x:v>未提供</x:v>
      </x:c>
      <x:c r="V910" s="12" t="str">
        <x:v>未提供</x:v>
      </x:c>
      <x:c r="W910" s="12" t="str">
        <x:v>秒级预测</x:v>
      </x:c>
      <x:c r="X910" s="12" t="str">
        <x:v>基于路线秒级参数；如录入实测或手动采用秒，预计到达时间可随公式更新</x:v>
      </x:c>
    </x:row>
    <x:row r="911">
      <x:c r="A911" s="12" t="str">
        <x:v>S0074-06</x:v>
      </x:c>
      <x:c r="B911" s="12" t="str">
        <x:v>S0074</x:v>
      </x:c>
      <x:c r="C911" s="12" t="str">
        <x:v>工作日</x:v>
      </x:c>
      <x:c r="D911" s="12" t="str">
        <x:v>环线2路</x:v>
      </x:c>
      <x:c r="E911" s="12" t="str">
        <x:v>第一班</x:v>
      </x:c>
      <x:c r="F911" s="12" t="n">
        <x:v>4</x:v>
      </x:c>
      <x:c r="G911" s="12" t="str">
        <x:v>8:20</x:v>
      </x:c>
      <x:c r="H911" s="12" t="n">
        <x:v>500</x:v>
      </x:c>
      <x:c r="I911" s="12" t="str">
        <x:v>研究生宿舍楼</x:v>
      </x:c>
      <x:c r="J911" s="12" t="str">
        <x:v>研究生宿舍楼发车</x:v>
      </x:c>
      <x:c r="K911" s="12" t="str">
        <x:v>HX2_NORMAL</x:v>
      </x:c>
      <x:c r="L911" s="12" t="n">
        <x:v>6</x:v>
      </x:c>
      <x:c r="M911" s="12" t="str">
        <x:v>HX2_NORMAL|6</x:v>
      </x:c>
      <x:c r="N911" s="12" t="str">
        <x:v>军体活动中心</x:v>
      </x:c>
      <x:c r="O911" s="12" t="n">
        <x:f>IFERROR(INDEX('秒级路线参数_可调整'!$O:$O,MATCH(M911,'秒级路线参数_可调整'!$A:$A,0)),"")</x:f>
        <x:v>315</x:v>
      </x:c>
      <x:c r="P911" s="12" t="n">
        <x:f>IF(O911="","",O911/86400)</x:f>
        <x:v>0.0036458333333333334</x:v>
      </x:c>
      <x:c r="Q911" s="12" t="n">
        <x:f>IF(O911="","",(H911*60+O911)/86400)</x:f>
        <x:v>0.35086805555555556</x:v>
      </x:c>
      <x:c r="R911" s="12" t="str">
        <x:f>IF(Q911="","",TEXT(Q911,"hh:mm:ss"))</x:f>
        <x:v>08:25:15</x:v>
      </x:c>
      <x:c r="S911" s="12" t="str">
        <x:v>否</x:v>
      </x:c>
      <x:c r="T911" s="12" t="str">
        <x:v>否</x:v>
      </x:c>
      <x:c r="U911" s="12" t="str">
        <x:v>未提供</x:v>
      </x:c>
      <x:c r="V911" s="12" t="str">
        <x:v>未提供</x:v>
      </x:c>
      <x:c r="W911" s="12" t="str">
        <x:v>秒级预测</x:v>
      </x:c>
      <x:c r="X911" s="12" t="str">
        <x:v>基于路线秒级参数；如录入实测或手动采用秒，预计到达时间可随公式更新</x:v>
      </x:c>
    </x:row>
    <x:row r="912">
      <x:c r="A912" s="12" t="str">
        <x:v>S0074-07</x:v>
      </x:c>
      <x:c r="B912" s="12" t="str">
        <x:v>S0074</x:v>
      </x:c>
      <x:c r="C912" s="12" t="str">
        <x:v>工作日</x:v>
      </x:c>
      <x:c r="D912" s="12" t="str">
        <x:v>环线2路</x:v>
      </x:c>
      <x:c r="E912" s="12" t="str">
        <x:v>第一班</x:v>
      </x:c>
      <x:c r="F912" s="12" t="n">
        <x:v>4</x:v>
      </x:c>
      <x:c r="G912" s="12" t="str">
        <x:v>8:20</x:v>
      </x:c>
      <x:c r="H912" s="12" t="n">
        <x:v>500</x:v>
      </x:c>
      <x:c r="I912" s="12" t="str">
        <x:v>研究生宿舍楼</x:v>
      </x:c>
      <x:c r="J912" s="12" t="str">
        <x:v>研究生宿舍楼发车</x:v>
      </x:c>
      <x:c r="K912" s="12" t="str">
        <x:v>HX2_NORMAL</x:v>
      </x:c>
      <x:c r="L912" s="12" t="n">
        <x:v>7</x:v>
      </x:c>
      <x:c r="M912" s="12" t="str">
        <x:v>HX2_NORMAL|7</x:v>
      </x:c>
      <x:c r="N912" s="12" t="str">
        <x:v>二食堂</x:v>
      </x:c>
      <x:c r="O912" s="12" t="n">
        <x:f>IFERROR(INDEX('秒级路线参数_可调整'!$O:$O,MATCH(M912,'秒级路线参数_可调整'!$A:$A,0)),"")</x:f>
        <x:v>420</x:v>
      </x:c>
      <x:c r="P912" s="12" t="n">
        <x:f>IF(O912="","",O912/86400)</x:f>
        <x:v>0.004861111111111111</x:v>
      </x:c>
      <x:c r="Q912" s="12" t="n">
        <x:f>IF(O912="","",(H912*60+O912)/86400)</x:f>
        <x:v>0.35208333333333336</x:v>
      </x:c>
      <x:c r="R912" s="12" t="str">
        <x:f>IF(Q912="","",TEXT(Q912,"hh:mm:ss"))</x:f>
        <x:v>08:27:00</x:v>
      </x:c>
      <x:c r="S912" s="12" t="str">
        <x:v>否</x:v>
      </x:c>
      <x:c r="T912" s="12" t="str">
        <x:v>否</x:v>
      </x:c>
      <x:c r="U912" s="12" t="str">
        <x:v>未提供</x:v>
      </x:c>
      <x:c r="V912" s="12" t="str">
        <x:v>未提供</x:v>
      </x:c>
      <x:c r="W912" s="12" t="str">
        <x:v>秒级预测</x:v>
      </x:c>
      <x:c r="X912" s="12" t="str">
        <x:v>基于路线秒级参数；如录入实测或手动采用秒，预计到达时间可随公式更新</x:v>
      </x:c>
    </x:row>
    <x:row r="913">
      <x:c r="A913" s="12" t="str">
        <x:v>S0074-08</x:v>
      </x:c>
      <x:c r="B913" s="12" t="str">
        <x:v>S0074</x:v>
      </x:c>
      <x:c r="C913" s="12" t="str">
        <x:v>工作日</x:v>
      </x:c>
      <x:c r="D913" s="12" t="str">
        <x:v>环线2路</x:v>
      </x:c>
      <x:c r="E913" s="12" t="str">
        <x:v>第一班</x:v>
      </x:c>
      <x:c r="F913" s="12" t="n">
        <x:v>4</x:v>
      </x:c>
      <x:c r="G913" s="12" t="str">
        <x:v>8:20</x:v>
      </x:c>
      <x:c r="H913" s="12" t="n">
        <x:v>500</x:v>
      </x:c>
      <x:c r="I913" s="12" t="str">
        <x:v>研究生宿舍楼</x:v>
      </x:c>
      <x:c r="J913" s="12" t="str">
        <x:v>研究生宿舍楼发车</x:v>
      </x:c>
      <x:c r="K913" s="12" t="str">
        <x:v>HX2_NORMAL</x:v>
      </x:c>
      <x:c r="L913" s="12" t="n">
        <x:v>8</x:v>
      </x:c>
      <x:c r="M913" s="12" t="str">
        <x:v>HX2_NORMAL|8</x:v>
      </x:c>
      <x:c r="N913" s="12" t="str">
        <x:v>5号宿舍楼</x:v>
      </x:c>
      <x:c r="O913" s="12" t="n">
        <x:f>IFERROR(INDEX('秒级路线参数_可调整'!$O:$O,MATCH(M913,'秒级路线参数_可调整'!$A:$A,0)),"")</x:f>
        <x:v>480</x:v>
      </x:c>
      <x:c r="P913" s="12" t="n">
        <x:f>IF(O913="","",O913/86400)</x:f>
        <x:v>0.005555555555555556</x:v>
      </x:c>
      <x:c r="Q913" s="12" t="n">
        <x:f>IF(O913="","",(H913*60+O913)/86400)</x:f>
        <x:v>0.3527777777777778</x:v>
      </x:c>
      <x:c r="R913" s="12" t="str">
        <x:f>IF(Q913="","",TEXT(Q913,"hh:mm:ss"))</x:f>
        <x:v>08:28:00</x:v>
      </x:c>
      <x:c r="S913" s="12" t="str">
        <x:v>否</x:v>
      </x:c>
      <x:c r="T913" s="12" t="str">
        <x:v>否</x:v>
      </x:c>
      <x:c r="U913" s="12" t="str">
        <x:v>未提供</x:v>
      </x:c>
      <x:c r="V913" s="12" t="str">
        <x:v>未提供</x:v>
      </x:c>
      <x:c r="W913" s="12" t="str">
        <x:v>秒级预测</x:v>
      </x:c>
      <x:c r="X913" s="12" t="str">
        <x:v>基于路线秒级参数；如录入实测或手动采用秒，预计到达时间可随公式更新</x:v>
      </x:c>
    </x:row>
    <x:row r="914">
      <x:c r="A914" s="12" t="str">
        <x:v>S0074-09</x:v>
      </x:c>
      <x:c r="B914" s="12" t="str">
        <x:v>S0074</x:v>
      </x:c>
      <x:c r="C914" s="12" t="str">
        <x:v>工作日</x:v>
      </x:c>
      <x:c r="D914" s="12" t="str">
        <x:v>环线2路</x:v>
      </x:c>
      <x:c r="E914" s="12" t="str">
        <x:v>第一班</x:v>
      </x:c>
      <x:c r="F914" s="12" t="n">
        <x:v>4</x:v>
      </x:c>
      <x:c r="G914" s="12" t="str">
        <x:v>8:20</x:v>
      </x:c>
      <x:c r="H914" s="12" t="n">
        <x:v>500</x:v>
      </x:c>
      <x:c r="I914" s="12" t="str">
        <x:v>研究生宿舍楼</x:v>
      </x:c>
      <x:c r="J914" s="12" t="str">
        <x:v>研究生宿舍楼发车</x:v>
      </x:c>
      <x:c r="K914" s="12" t="str">
        <x:v>HX2_NORMAL</x:v>
      </x:c>
      <x:c r="L914" s="12" t="n">
        <x:v>9</x:v>
      </x:c>
      <x:c r="M914" s="12" t="str">
        <x:v>HX2_NORMAL|9</x:v>
      </x:c>
      <x:c r="N914" s="12" t="str">
        <x:v>305教学楼</x:v>
      </x:c>
      <x:c r="O914" s="12" t="n">
        <x:f>IFERROR(INDEX('秒级路线参数_可调整'!$O:$O,MATCH(M914,'秒级路线参数_可调整'!$A:$A,0)),"")</x:f>
        <x:v>535</x:v>
      </x:c>
      <x:c r="P914" s="12" t="n">
        <x:f>IF(O914="","",O914/86400)</x:f>
        <x:v>0.00619212962962963</x:v>
      </x:c>
      <x:c r="Q914" s="12" t="n">
        <x:f>IF(O914="","",(H914*60+O914)/86400)</x:f>
        <x:v>0.3534143518518518</x:v>
      </x:c>
      <x:c r="R914" s="12" t="str">
        <x:f>IF(Q914="","",TEXT(Q914,"hh:mm:ss"))</x:f>
        <x:v>08:28:55</x:v>
      </x:c>
      <x:c r="S914" s="12" t="str">
        <x:v>否</x:v>
      </x:c>
      <x:c r="T914" s="12" t="str">
        <x:v>否</x:v>
      </x:c>
      <x:c r="U914" s="12" t="str">
        <x:v>未提供</x:v>
      </x:c>
      <x:c r="V914" s="12" t="str">
        <x:v>未提供</x:v>
      </x:c>
      <x:c r="W914" s="12" t="str">
        <x:v>秒级预测</x:v>
      </x:c>
      <x:c r="X914" s="12" t="str">
        <x:v>基于路线秒级参数；如录入实测或手动采用秒，预计到达时间可随公式更新</x:v>
      </x:c>
    </x:row>
    <x:row r="915">
      <x:c r="A915" s="12" t="str">
        <x:v>S0074-10</x:v>
      </x:c>
      <x:c r="B915" s="12" t="str">
        <x:v>S0074</x:v>
      </x:c>
      <x:c r="C915" s="12" t="str">
        <x:v>工作日</x:v>
      </x:c>
      <x:c r="D915" s="12" t="str">
        <x:v>环线2路</x:v>
      </x:c>
      <x:c r="E915" s="12" t="str">
        <x:v>第一班</x:v>
      </x:c>
      <x:c r="F915" s="12" t="n">
        <x:v>4</x:v>
      </x:c>
      <x:c r="G915" s="12" t="str">
        <x:v>8:20</x:v>
      </x:c>
      <x:c r="H915" s="12" t="n">
        <x:v>500</x:v>
      </x:c>
      <x:c r="I915" s="12" t="str">
        <x:v>研究生宿舍楼</x:v>
      </x:c>
      <x:c r="J915" s="12" t="str">
        <x:v>研究生宿舍楼发车</x:v>
      </x:c>
      <x:c r="K915" s="12" t="str">
        <x:v>HX2_NORMAL</x:v>
      </x:c>
      <x:c r="L915" s="12" t="n">
        <x:v>10</x:v>
      </x:c>
      <x:c r="M915" s="12" t="str">
        <x:v>HX2_NORMAL|10</x:v>
      </x:c>
      <x:c r="N915" s="12" t="str">
        <x:v>研究生宿舍楼</x:v>
      </x:c>
      <x:c r="O915" s="12" t="n">
        <x:f>IFERROR(INDEX('秒级路线参数_可调整'!$O:$O,MATCH(M915,'秒级路线参数_可调整'!$A:$A,0)),"")</x:f>
        <x:v>715</x:v>
      </x:c>
      <x:c r="P915" s="12" t="n">
        <x:f>IF(O915="","",O915/86400)</x:f>
        <x:v>0.008275462962962964</x:v>
      </x:c>
      <x:c r="Q915" s="12" t="n">
        <x:f>IF(O915="","",(H915*60+O915)/86400)</x:f>
        <x:v>0.3554976851851852</x:v>
      </x:c>
      <x:c r="R915" s="12" t="str">
        <x:f>IF(Q915="","",TEXT(Q915,"hh:mm:ss"))</x:f>
        <x:v>08:31:55</x:v>
      </x:c>
      <x:c r="S915" s="12" t="str">
        <x:v>否</x:v>
      </x:c>
      <x:c r="T915" s="12" t="str">
        <x:v>是</x:v>
      </x:c>
      <x:c r="U915" s="12" t="str">
        <x:v>未提供</x:v>
      </x:c>
      <x:c r="V915" s="12" t="str">
        <x:v>未提供</x:v>
      </x:c>
      <x:c r="W915" s="12" t="str">
        <x:v>秒级预测</x:v>
      </x:c>
      <x:c r="X915" s="12" t="str">
        <x:v>基于路线秒级参数；如录入实测或手动采用秒，预计到达时间可随公式更新</x:v>
      </x:c>
    </x:row>
    <x:row r="916">
      <x:c r="A916" s="12" t="str">
        <x:v>S0075-01</x:v>
      </x:c>
      <x:c r="B916" s="12" t="str">
        <x:v>S0075</x:v>
      </x:c>
      <x:c r="C916" s="12" t="str">
        <x:v>工作日</x:v>
      </x:c>
      <x:c r="D916" s="12" t="str">
        <x:v>环线2路</x:v>
      </x:c>
      <x:c r="E916" s="12" t="str">
        <x:v>第一班</x:v>
      </x:c>
      <x:c r="F916" s="12" t="n">
        <x:v>5</x:v>
      </x:c>
      <x:c r="G916" s="12" t="str">
        <x:v>8:35</x:v>
      </x:c>
      <x:c r="H916" s="12" t="n">
        <x:v>515</x:v>
      </x:c>
      <x:c r="I916" s="12" t="str">
        <x:v>研究生宿舍楼</x:v>
      </x:c>
      <x:c r="J916" s="12" t="str">
        <x:v>研究生宿舍楼发车</x:v>
      </x:c>
      <x:c r="K916" s="12" t="str">
        <x:v>HX2_NORMAL</x:v>
      </x:c>
      <x:c r="L916" s="12" t="n">
        <x:v>1</x:v>
      </x:c>
      <x:c r="M916" s="12" t="str">
        <x:v>HX2_NORMAL|1</x:v>
      </x:c>
      <x:c r="N916" s="12" t="str">
        <x:v>研究生宿舍楼</x:v>
      </x:c>
      <x:c r="O916" s="12" t="n">
        <x:f>IFERROR(INDEX('秒级路线参数_可调整'!$O:$O,MATCH(M916,'秒级路线参数_可调整'!$A:$A,0)),"")</x:f>
        <x:v>0</x:v>
      </x:c>
      <x:c r="P916" s="12" t="str">
        <x:f>IF(O916="","",O916/86400)</x:f>
      </x:c>
      <x:c r="Q916" s="12" t="str">
        <x:f>IF(O916="","",(H916*60+O916)/86400)</x:f>
      </x:c>
      <x:c r="R916" s="12" t="str">
        <x:f>IF(Q916="","",TEXT(Q916,"hh:mm:ss"))</x:f>
      </x:c>
      <x:c r="S916" s="12" t="str">
        <x:v>是</x:v>
      </x:c>
      <x:c r="T916" s="12" t="str">
        <x:v>否</x:v>
      </x:c>
      <x:c r="U916" s="12" t="str">
        <x:v>未提供</x:v>
      </x:c>
      <x:c r="V916" s="12" t="str">
        <x:v>未提供</x:v>
      </x:c>
      <x:c r="W916" s="12" t="str">
        <x:v>秒级预测</x:v>
      </x:c>
      <x:c r="X916" s="12" t="str">
        <x:v>基于路线秒级参数；如录入实测或手动采用秒，预计到达时间可随公式更新</x:v>
      </x:c>
    </x:row>
    <x:row r="917">
      <x:c r="A917" s="12" t="str">
        <x:v>S0075-02</x:v>
      </x:c>
      <x:c r="B917" s="12" t="str">
        <x:v>S0075</x:v>
      </x:c>
      <x:c r="C917" s="12" t="str">
        <x:v>工作日</x:v>
      </x:c>
      <x:c r="D917" s="12" t="str">
        <x:v>环线2路</x:v>
      </x:c>
      <x:c r="E917" s="12" t="str">
        <x:v>第一班</x:v>
      </x:c>
      <x:c r="F917" s="12" t="n">
        <x:v>5</x:v>
      </x:c>
      <x:c r="G917" s="12" t="str">
        <x:v>8:35</x:v>
      </x:c>
      <x:c r="H917" s="12" t="n">
        <x:v>515</x:v>
      </x:c>
      <x:c r="I917" s="12" t="str">
        <x:v>研究生宿舍楼</x:v>
      </x:c>
      <x:c r="J917" s="12" t="str">
        <x:v>研究生宿舍楼发车</x:v>
      </x:c>
      <x:c r="K917" s="12" t="str">
        <x:v>HX2_NORMAL</x:v>
      </x:c>
      <x:c r="L917" s="12" t="n">
        <x:v>2</x:v>
      </x:c>
      <x:c r="M917" s="12" t="str">
        <x:v>HX2_NORMAL|2</x:v>
      </x:c>
      <x:c r="N917" s="12" t="str">
        <x:v>一食堂</x:v>
      </x:c>
      <x:c r="O917" s="12" t="n">
        <x:f>IFERROR(INDEX('秒级路线参数_可调整'!$O:$O,MATCH(M917,'秒级路线参数_可调整'!$A:$A,0)),"")</x:f>
        <x:v>65</x:v>
      </x:c>
      <x:c r="P917" s="12" t="n">
        <x:f>IF(O917="","",O917/86400)</x:f>
        <x:v>0.0007523148148148148</x:v>
      </x:c>
      <x:c r="Q917" s="12" t="n">
        <x:f>IF(O917="","",(H917*60+O917)/86400)</x:f>
        <x:v>0.3583912037037037</x:v>
      </x:c>
      <x:c r="R917" s="12" t="str">
        <x:f>IF(Q917="","",TEXT(Q917,"hh:mm:ss"))</x:f>
        <x:v>08:36:05</x:v>
      </x:c>
      <x:c r="S917" s="12" t="str">
        <x:v>否</x:v>
      </x:c>
      <x:c r="T917" s="12" t="str">
        <x:v>否</x:v>
      </x:c>
      <x:c r="U917" s="12" t="str">
        <x:v>未提供</x:v>
      </x:c>
      <x:c r="V917" s="12" t="str">
        <x:v>未提供</x:v>
      </x:c>
      <x:c r="W917" s="12" t="str">
        <x:v>秒级预测</x:v>
      </x:c>
      <x:c r="X917" s="12" t="str">
        <x:v>基于路线秒级参数；如录入实测或手动采用秒，预计到达时间可随公式更新</x:v>
      </x:c>
    </x:row>
    <x:row r="918">
      <x:c r="A918" s="12" t="str">
        <x:v>S0075-03</x:v>
      </x:c>
      <x:c r="B918" s="12" t="str">
        <x:v>S0075</x:v>
      </x:c>
      <x:c r="C918" s="12" t="str">
        <x:v>工作日</x:v>
      </x:c>
      <x:c r="D918" s="12" t="str">
        <x:v>环线2路</x:v>
      </x:c>
      <x:c r="E918" s="12" t="str">
        <x:v>第一班</x:v>
      </x:c>
      <x:c r="F918" s="12" t="n">
        <x:v>5</x:v>
      </x:c>
      <x:c r="G918" s="12" t="str">
        <x:v>8:35</x:v>
      </x:c>
      <x:c r="H918" s="12" t="n">
        <x:v>515</x:v>
      </x:c>
      <x:c r="I918" s="12" t="str">
        <x:v>研究生宿舍楼</x:v>
      </x:c>
      <x:c r="J918" s="12" t="str">
        <x:v>研究生宿舍楼发车</x:v>
      </x:c>
      <x:c r="K918" s="12" t="str">
        <x:v>HX2_NORMAL</x:v>
      </x:c>
      <x:c r="L918" s="12" t="n">
        <x:v>3</x:v>
      </x:c>
      <x:c r="M918" s="12" t="str">
        <x:v>HX2_NORMAL|3</x:v>
      </x:c>
      <x:c r="N918" s="12" t="str">
        <x:v>门诊部</x:v>
      </x:c>
      <x:c r="O918" s="12" t="n">
        <x:f>IFERROR(INDEX('秒级路线参数_可调整'!$O:$O,MATCH(M918,'秒级路线参数_可调整'!$A:$A,0)),"")</x:f>
        <x:v>120</x:v>
      </x:c>
      <x:c r="P918" s="12" t="n">
        <x:f>IF(O918="","",O918/86400)</x:f>
        <x:v>0.001388888888888889</x:v>
      </x:c>
      <x:c r="Q918" s="12" t="n">
        <x:f>IF(O918="","",(H918*60+O918)/86400)</x:f>
        <x:v>0.3590277777777778</x:v>
      </x:c>
      <x:c r="R918" s="12" t="str">
        <x:f>IF(Q918="","",TEXT(Q918,"hh:mm:ss"))</x:f>
        <x:v>08:37:00</x:v>
      </x:c>
      <x:c r="S918" s="12" t="str">
        <x:v>否</x:v>
      </x:c>
      <x:c r="T918" s="12" t="str">
        <x:v>否</x:v>
      </x:c>
      <x:c r="U918" s="12" t="str">
        <x:v>未提供</x:v>
      </x:c>
      <x:c r="V918" s="12" t="str">
        <x:v>未提供</x:v>
      </x:c>
      <x:c r="W918" s="12" t="str">
        <x:v>秒级预测</x:v>
      </x:c>
      <x:c r="X918" s="12" t="str">
        <x:v>基于路线秒级参数；如录入实测或手动采用秒，预计到达时间可随公式更新</x:v>
      </x:c>
    </x:row>
    <x:row r="919">
      <x:c r="A919" s="12" t="str">
        <x:v>S0075-04</x:v>
      </x:c>
      <x:c r="B919" s="12" t="str">
        <x:v>S0075</x:v>
      </x:c>
      <x:c r="C919" s="12" t="str">
        <x:v>工作日</x:v>
      </x:c>
      <x:c r="D919" s="12" t="str">
        <x:v>环线2路</x:v>
      </x:c>
      <x:c r="E919" s="12" t="str">
        <x:v>第一班</x:v>
      </x:c>
      <x:c r="F919" s="12" t="n">
        <x:v>5</x:v>
      </x:c>
      <x:c r="G919" s="12" t="str">
        <x:v>8:35</x:v>
      </x:c>
      <x:c r="H919" s="12" t="n">
        <x:v>515</x:v>
      </x:c>
      <x:c r="I919" s="12" t="str">
        <x:v>研究生宿舍楼</x:v>
      </x:c>
      <x:c r="J919" s="12" t="str">
        <x:v>研究生宿舍楼发车</x:v>
      </x:c>
      <x:c r="K919" s="12" t="str">
        <x:v>HX2_NORMAL</x:v>
      </x:c>
      <x:c r="L919" s="12" t="n">
        <x:v>4</x:v>
      </x:c>
      <x:c r="M919" s="12" t="str">
        <x:v>HX2_NORMAL|4</x:v>
      </x:c>
      <x:c r="N919" s="12" t="str">
        <x:v>1号宿舍楼</x:v>
      </x:c>
      <x:c r="O919" s="12" t="n">
        <x:f>IFERROR(INDEX('秒级路线参数_可调整'!$O:$O,MATCH(M919,'秒级路线参数_可调整'!$A:$A,0)),"")</x:f>
        <x:v>165</x:v>
      </x:c>
      <x:c r="P919" s="12" t="n">
        <x:f>IF(O919="","",O919/86400)</x:f>
        <x:v>0.0019097222222222222</x:v>
      </x:c>
      <x:c r="Q919" s="12" t="n">
        <x:f>IF(O919="","",(H919*60+O919)/86400)</x:f>
        <x:v>0.35954861111111114</x:v>
      </x:c>
      <x:c r="R919" s="12" t="str">
        <x:f>IF(Q919="","",TEXT(Q919,"hh:mm:ss"))</x:f>
        <x:v>08:37:45</x:v>
      </x:c>
      <x:c r="S919" s="12" t="str">
        <x:v>否</x:v>
      </x:c>
      <x:c r="T919" s="12" t="str">
        <x:v>否</x:v>
      </x:c>
      <x:c r="U919" s="12" t="str">
        <x:v>未提供</x:v>
      </x:c>
      <x:c r="V919" s="12" t="str">
        <x:v>未提供</x:v>
      </x:c>
      <x:c r="W919" s="12" t="str">
        <x:v>秒级预测</x:v>
      </x:c>
      <x:c r="X919" s="12" t="str">
        <x:v>基于路线秒级参数；如录入实测或手动采用秒，预计到达时间可随公式更新</x:v>
      </x:c>
    </x:row>
    <x:row r="920">
      <x:c r="A920" s="12" t="str">
        <x:v>S0075-05</x:v>
      </x:c>
      <x:c r="B920" s="12" t="str">
        <x:v>S0075</x:v>
      </x:c>
      <x:c r="C920" s="12" t="str">
        <x:v>工作日</x:v>
      </x:c>
      <x:c r="D920" s="12" t="str">
        <x:v>环线2路</x:v>
      </x:c>
      <x:c r="E920" s="12" t="str">
        <x:v>第一班</x:v>
      </x:c>
      <x:c r="F920" s="12" t="n">
        <x:v>5</x:v>
      </x:c>
      <x:c r="G920" s="12" t="str">
        <x:v>8:35</x:v>
      </x:c>
      <x:c r="H920" s="12" t="n">
        <x:v>515</x:v>
      </x:c>
      <x:c r="I920" s="12" t="str">
        <x:v>研究生宿舍楼</x:v>
      </x:c>
      <x:c r="J920" s="12" t="str">
        <x:v>研究生宿舍楼发车</x:v>
      </x:c>
      <x:c r="K920" s="12" t="str">
        <x:v>HX2_NORMAL</x:v>
      </x:c>
      <x:c r="L920" s="12" t="n">
        <x:v>5</x:v>
      </x:c>
      <x:c r="M920" s="12" t="str">
        <x:v>HX2_NORMAL|5</x:v>
      </x:c>
      <x:c r="N920" s="12" t="str">
        <x:v>水上训练中心</x:v>
      </x:c>
      <x:c r="O920" s="12" t="n">
        <x:f>IFERROR(INDEX('秒级路线参数_可调整'!$O:$O,MATCH(M920,'秒级路线参数_可调整'!$A:$A,0)),"")</x:f>
        <x:v>250</x:v>
      </x:c>
      <x:c r="P920" s="12" t="n">
        <x:f>IF(O920="","",O920/86400)</x:f>
        <x:v>0.0028935185185185184</x:v>
      </x:c>
      <x:c r="Q920" s="12" t="n">
        <x:f>IF(O920="","",(H920*60+O920)/86400)</x:f>
        <x:v>0.3605324074074074</x:v>
      </x:c>
      <x:c r="R920" s="12" t="str">
        <x:f>IF(Q920="","",TEXT(Q920,"hh:mm:ss"))</x:f>
        <x:v>08:39:10</x:v>
      </x:c>
      <x:c r="S920" s="12" t="str">
        <x:v>否</x:v>
      </x:c>
      <x:c r="T920" s="12" t="str">
        <x:v>否</x:v>
      </x:c>
      <x:c r="U920" s="12" t="str">
        <x:v>未提供</x:v>
      </x:c>
      <x:c r="V920" s="12" t="str">
        <x:v>未提供</x:v>
      </x:c>
      <x:c r="W920" s="12" t="str">
        <x:v>秒级预测</x:v>
      </x:c>
      <x:c r="X920" s="12" t="str">
        <x:v>基于路线秒级参数；如录入实测或手动采用秒，预计到达时间可随公式更新</x:v>
      </x:c>
    </x:row>
    <x:row r="921">
      <x:c r="A921" s="12" t="str">
        <x:v>S0075-06</x:v>
      </x:c>
      <x:c r="B921" s="12" t="str">
        <x:v>S0075</x:v>
      </x:c>
      <x:c r="C921" s="12" t="str">
        <x:v>工作日</x:v>
      </x:c>
      <x:c r="D921" s="12" t="str">
        <x:v>环线2路</x:v>
      </x:c>
      <x:c r="E921" s="12" t="str">
        <x:v>第一班</x:v>
      </x:c>
      <x:c r="F921" s="12" t="n">
        <x:v>5</x:v>
      </x:c>
      <x:c r="G921" s="12" t="str">
        <x:v>8:35</x:v>
      </x:c>
      <x:c r="H921" s="12" t="n">
        <x:v>515</x:v>
      </x:c>
      <x:c r="I921" s="12" t="str">
        <x:v>研究生宿舍楼</x:v>
      </x:c>
      <x:c r="J921" s="12" t="str">
        <x:v>研究生宿舍楼发车</x:v>
      </x:c>
      <x:c r="K921" s="12" t="str">
        <x:v>HX2_NORMAL</x:v>
      </x:c>
      <x:c r="L921" s="12" t="n">
        <x:v>6</x:v>
      </x:c>
      <x:c r="M921" s="12" t="str">
        <x:v>HX2_NORMAL|6</x:v>
      </x:c>
      <x:c r="N921" s="12" t="str">
        <x:v>军体活动中心</x:v>
      </x:c>
      <x:c r="O921" s="12" t="n">
        <x:f>IFERROR(INDEX('秒级路线参数_可调整'!$O:$O,MATCH(M921,'秒级路线参数_可调整'!$A:$A,0)),"")</x:f>
        <x:v>315</x:v>
      </x:c>
      <x:c r="P921" s="12" t="n">
        <x:f>IF(O921="","",O921/86400)</x:f>
        <x:v>0.0036458333333333334</x:v>
      </x:c>
      <x:c r="Q921" s="12" t="n">
        <x:f>IF(O921="","",(H921*60+O921)/86400)</x:f>
        <x:v>0.36128472222222224</x:v>
      </x:c>
      <x:c r="R921" s="12" t="str">
        <x:f>IF(Q921="","",TEXT(Q921,"hh:mm:ss"))</x:f>
        <x:v>08:40:15</x:v>
      </x:c>
      <x:c r="S921" s="12" t="str">
        <x:v>否</x:v>
      </x:c>
      <x:c r="T921" s="12" t="str">
        <x:v>否</x:v>
      </x:c>
      <x:c r="U921" s="12" t="str">
        <x:v>未提供</x:v>
      </x:c>
      <x:c r="V921" s="12" t="str">
        <x:v>未提供</x:v>
      </x:c>
      <x:c r="W921" s="12" t="str">
        <x:v>秒级预测</x:v>
      </x:c>
      <x:c r="X921" s="12" t="str">
        <x:v>基于路线秒级参数；如录入实测或手动采用秒，预计到达时间可随公式更新</x:v>
      </x:c>
    </x:row>
    <x:row r="922">
      <x:c r="A922" s="12" t="str">
        <x:v>S0075-07</x:v>
      </x:c>
      <x:c r="B922" s="12" t="str">
        <x:v>S0075</x:v>
      </x:c>
      <x:c r="C922" s="12" t="str">
        <x:v>工作日</x:v>
      </x:c>
      <x:c r="D922" s="12" t="str">
        <x:v>环线2路</x:v>
      </x:c>
      <x:c r="E922" s="12" t="str">
        <x:v>第一班</x:v>
      </x:c>
      <x:c r="F922" s="12" t="n">
        <x:v>5</x:v>
      </x:c>
      <x:c r="G922" s="12" t="str">
        <x:v>8:35</x:v>
      </x:c>
      <x:c r="H922" s="12" t="n">
        <x:v>515</x:v>
      </x:c>
      <x:c r="I922" s="12" t="str">
        <x:v>研究生宿舍楼</x:v>
      </x:c>
      <x:c r="J922" s="12" t="str">
        <x:v>研究生宿舍楼发车</x:v>
      </x:c>
      <x:c r="K922" s="12" t="str">
        <x:v>HX2_NORMAL</x:v>
      </x:c>
      <x:c r="L922" s="12" t="n">
        <x:v>7</x:v>
      </x:c>
      <x:c r="M922" s="12" t="str">
        <x:v>HX2_NORMAL|7</x:v>
      </x:c>
      <x:c r="N922" s="12" t="str">
        <x:v>二食堂</x:v>
      </x:c>
      <x:c r="O922" s="12" t="n">
        <x:f>IFERROR(INDEX('秒级路线参数_可调整'!$O:$O,MATCH(M922,'秒级路线参数_可调整'!$A:$A,0)),"")</x:f>
        <x:v>420</x:v>
      </x:c>
      <x:c r="P922" s="12" t="n">
        <x:f>IF(O922="","",O922/86400)</x:f>
        <x:v>0.004861111111111111</x:v>
      </x:c>
      <x:c r="Q922" s="12" t="n">
        <x:f>IF(O922="","",(H922*60+O922)/86400)</x:f>
        <x:v>0.3625</x:v>
      </x:c>
      <x:c r="R922" s="12" t="str">
        <x:f>IF(Q922="","",TEXT(Q922,"hh:mm:ss"))</x:f>
        <x:v>08:42:00</x:v>
      </x:c>
      <x:c r="S922" s="12" t="str">
        <x:v>否</x:v>
      </x:c>
      <x:c r="T922" s="12" t="str">
        <x:v>否</x:v>
      </x:c>
      <x:c r="U922" s="12" t="str">
        <x:v>未提供</x:v>
      </x:c>
      <x:c r="V922" s="12" t="str">
        <x:v>未提供</x:v>
      </x:c>
      <x:c r="W922" s="12" t="str">
        <x:v>秒级预测</x:v>
      </x:c>
      <x:c r="X922" s="12" t="str">
        <x:v>基于路线秒级参数；如录入实测或手动采用秒，预计到达时间可随公式更新</x:v>
      </x:c>
    </x:row>
    <x:row r="923">
      <x:c r="A923" s="12" t="str">
        <x:v>S0075-08</x:v>
      </x:c>
      <x:c r="B923" s="12" t="str">
        <x:v>S0075</x:v>
      </x:c>
      <x:c r="C923" s="12" t="str">
        <x:v>工作日</x:v>
      </x:c>
      <x:c r="D923" s="12" t="str">
        <x:v>环线2路</x:v>
      </x:c>
      <x:c r="E923" s="12" t="str">
        <x:v>第一班</x:v>
      </x:c>
      <x:c r="F923" s="12" t="n">
        <x:v>5</x:v>
      </x:c>
      <x:c r="G923" s="12" t="str">
        <x:v>8:35</x:v>
      </x:c>
      <x:c r="H923" s="12" t="n">
        <x:v>515</x:v>
      </x:c>
      <x:c r="I923" s="12" t="str">
        <x:v>研究生宿舍楼</x:v>
      </x:c>
      <x:c r="J923" s="12" t="str">
        <x:v>研究生宿舍楼发车</x:v>
      </x:c>
      <x:c r="K923" s="12" t="str">
        <x:v>HX2_NORMAL</x:v>
      </x:c>
      <x:c r="L923" s="12" t="n">
        <x:v>8</x:v>
      </x:c>
      <x:c r="M923" s="12" t="str">
        <x:v>HX2_NORMAL|8</x:v>
      </x:c>
      <x:c r="N923" s="12" t="str">
        <x:v>5号宿舍楼</x:v>
      </x:c>
      <x:c r="O923" s="12" t="n">
        <x:f>IFERROR(INDEX('秒级路线参数_可调整'!$O:$O,MATCH(M923,'秒级路线参数_可调整'!$A:$A,0)),"")</x:f>
        <x:v>480</x:v>
      </x:c>
      <x:c r="P923" s="12" t="n">
        <x:f>IF(O923="","",O923/86400)</x:f>
        <x:v>0.005555555555555556</x:v>
      </x:c>
      <x:c r="Q923" s="12" t="n">
        <x:f>IF(O923="","",(H923*60+O923)/86400)</x:f>
        <x:v>0.36319444444444443</x:v>
      </x:c>
      <x:c r="R923" s="12" t="str">
        <x:f>IF(Q923="","",TEXT(Q923,"hh:mm:ss"))</x:f>
        <x:v>08:43:00</x:v>
      </x:c>
      <x:c r="S923" s="12" t="str">
        <x:v>否</x:v>
      </x:c>
      <x:c r="T923" s="12" t="str">
        <x:v>否</x:v>
      </x:c>
      <x:c r="U923" s="12" t="str">
        <x:v>未提供</x:v>
      </x:c>
      <x:c r="V923" s="12" t="str">
        <x:v>未提供</x:v>
      </x:c>
      <x:c r="W923" s="12" t="str">
        <x:v>秒级预测</x:v>
      </x:c>
      <x:c r="X923" s="12" t="str">
        <x:v>基于路线秒级参数；如录入实测或手动采用秒，预计到达时间可随公式更新</x:v>
      </x:c>
    </x:row>
    <x:row r="924">
      <x:c r="A924" s="12" t="str">
        <x:v>S0075-09</x:v>
      </x:c>
      <x:c r="B924" s="12" t="str">
        <x:v>S0075</x:v>
      </x:c>
      <x:c r="C924" s="12" t="str">
        <x:v>工作日</x:v>
      </x:c>
      <x:c r="D924" s="12" t="str">
        <x:v>环线2路</x:v>
      </x:c>
      <x:c r="E924" s="12" t="str">
        <x:v>第一班</x:v>
      </x:c>
      <x:c r="F924" s="12" t="n">
        <x:v>5</x:v>
      </x:c>
      <x:c r="G924" s="12" t="str">
        <x:v>8:35</x:v>
      </x:c>
      <x:c r="H924" s="12" t="n">
        <x:v>515</x:v>
      </x:c>
      <x:c r="I924" s="12" t="str">
        <x:v>研究生宿舍楼</x:v>
      </x:c>
      <x:c r="J924" s="12" t="str">
        <x:v>研究生宿舍楼发车</x:v>
      </x:c>
      <x:c r="K924" s="12" t="str">
        <x:v>HX2_NORMAL</x:v>
      </x:c>
      <x:c r="L924" s="12" t="n">
        <x:v>9</x:v>
      </x:c>
      <x:c r="M924" s="12" t="str">
        <x:v>HX2_NORMAL|9</x:v>
      </x:c>
      <x:c r="N924" s="12" t="str">
        <x:v>305教学楼</x:v>
      </x:c>
      <x:c r="O924" s="12" t="n">
        <x:f>IFERROR(INDEX('秒级路线参数_可调整'!$O:$O,MATCH(M924,'秒级路线参数_可调整'!$A:$A,0)),"")</x:f>
        <x:v>535</x:v>
      </x:c>
      <x:c r="P924" s="12" t="n">
        <x:f>IF(O924="","",O924/86400)</x:f>
        <x:v>0.00619212962962963</x:v>
      </x:c>
      <x:c r="Q924" s="12" t="n">
        <x:f>IF(O924="","",(H924*60+O924)/86400)</x:f>
        <x:v>0.3638310185185185</x:v>
      </x:c>
      <x:c r="R924" s="12" t="str">
        <x:f>IF(Q924="","",TEXT(Q924,"hh:mm:ss"))</x:f>
        <x:v>08:43:55</x:v>
      </x:c>
      <x:c r="S924" s="12" t="str">
        <x:v>否</x:v>
      </x:c>
      <x:c r="T924" s="12" t="str">
        <x:v>否</x:v>
      </x:c>
      <x:c r="U924" s="12" t="str">
        <x:v>未提供</x:v>
      </x:c>
      <x:c r="V924" s="12" t="str">
        <x:v>未提供</x:v>
      </x:c>
      <x:c r="W924" s="12" t="str">
        <x:v>秒级预测</x:v>
      </x:c>
      <x:c r="X924" s="12" t="str">
        <x:v>基于路线秒级参数；如录入实测或手动采用秒，预计到达时间可随公式更新</x:v>
      </x:c>
    </x:row>
    <x:row r="925">
      <x:c r="A925" s="12" t="str">
        <x:v>S0075-10</x:v>
      </x:c>
      <x:c r="B925" s="12" t="str">
        <x:v>S0075</x:v>
      </x:c>
      <x:c r="C925" s="12" t="str">
        <x:v>工作日</x:v>
      </x:c>
      <x:c r="D925" s="12" t="str">
        <x:v>环线2路</x:v>
      </x:c>
      <x:c r="E925" s="12" t="str">
        <x:v>第一班</x:v>
      </x:c>
      <x:c r="F925" s="12" t="n">
        <x:v>5</x:v>
      </x:c>
      <x:c r="G925" s="12" t="str">
        <x:v>8:35</x:v>
      </x:c>
      <x:c r="H925" s="12" t="n">
        <x:v>515</x:v>
      </x:c>
      <x:c r="I925" s="12" t="str">
        <x:v>研究生宿舍楼</x:v>
      </x:c>
      <x:c r="J925" s="12" t="str">
        <x:v>研究生宿舍楼发车</x:v>
      </x:c>
      <x:c r="K925" s="12" t="str">
        <x:v>HX2_NORMAL</x:v>
      </x:c>
      <x:c r="L925" s="12" t="n">
        <x:v>10</x:v>
      </x:c>
      <x:c r="M925" s="12" t="str">
        <x:v>HX2_NORMAL|10</x:v>
      </x:c>
      <x:c r="N925" s="12" t="str">
        <x:v>研究生宿舍楼</x:v>
      </x:c>
      <x:c r="O925" s="12" t="n">
        <x:f>IFERROR(INDEX('秒级路线参数_可调整'!$O:$O,MATCH(M925,'秒级路线参数_可调整'!$A:$A,0)),"")</x:f>
        <x:v>715</x:v>
      </x:c>
      <x:c r="P925" s="12" t="n">
        <x:f>IF(O925="","",O925/86400)</x:f>
        <x:v>0.008275462962962964</x:v>
      </x:c>
      <x:c r="Q925" s="12" t="n">
        <x:f>IF(O925="","",(H925*60+O925)/86400)</x:f>
        <x:v>0.36591435185185184</x:v>
      </x:c>
      <x:c r="R925" s="12" t="str">
        <x:f>IF(Q925="","",TEXT(Q925,"hh:mm:ss"))</x:f>
        <x:v>08:46:55</x:v>
      </x:c>
      <x:c r="S925" s="12" t="str">
        <x:v>否</x:v>
      </x:c>
      <x:c r="T925" s="12" t="str">
        <x:v>是</x:v>
      </x:c>
      <x:c r="U925" s="12" t="str">
        <x:v>未提供</x:v>
      </x:c>
      <x:c r="V925" s="12" t="str">
        <x:v>未提供</x:v>
      </x:c>
      <x:c r="W925" s="12" t="str">
        <x:v>秒级预测</x:v>
      </x:c>
      <x:c r="X925" s="12" t="str">
        <x:v>基于路线秒级参数；如录入实测或手动采用秒，预计到达时间可随公式更新</x:v>
      </x:c>
    </x:row>
    <x:row r="926">
      <x:c r="A926" s="12" t="str">
        <x:v>S0076-01</x:v>
      </x:c>
      <x:c r="B926" s="12" t="str">
        <x:v>S0076</x:v>
      </x:c>
      <x:c r="C926" s="12" t="str">
        <x:v>工作日</x:v>
      </x:c>
      <x:c r="D926" s="12" t="str">
        <x:v>环线2路</x:v>
      </x:c>
      <x:c r="E926" s="12" t="str">
        <x:v>第一班</x:v>
      </x:c>
      <x:c r="F926" s="12" t="n">
        <x:v>6</x:v>
      </x:c>
      <x:c r="G926" s="12" t="str">
        <x:v>8:50</x:v>
      </x:c>
      <x:c r="H926" s="12" t="n">
        <x:v>530</x:v>
      </x:c>
      <x:c r="I926" s="12" t="str">
        <x:v>研究生宿舍楼</x:v>
      </x:c>
      <x:c r="J926" s="12" t="str">
        <x:v>研究生宿舍楼发车</x:v>
      </x:c>
      <x:c r="K926" s="12" t="str">
        <x:v>HX2_NORMAL</x:v>
      </x:c>
      <x:c r="L926" s="12" t="n">
        <x:v>1</x:v>
      </x:c>
      <x:c r="M926" s="12" t="str">
        <x:v>HX2_NORMAL|1</x:v>
      </x:c>
      <x:c r="N926" s="12" t="str">
        <x:v>研究生宿舍楼</x:v>
      </x:c>
      <x:c r="O926" s="12" t="n">
        <x:f>IFERROR(INDEX('秒级路线参数_可调整'!$O:$O,MATCH(M926,'秒级路线参数_可调整'!$A:$A,0)),"")</x:f>
        <x:v>0</x:v>
      </x:c>
      <x:c r="P926" s="12" t="str">
        <x:f>IF(O926="","",O926/86400)</x:f>
      </x:c>
      <x:c r="Q926" s="12" t="str">
        <x:f>IF(O926="","",(H926*60+O926)/86400)</x:f>
      </x:c>
      <x:c r="R926" s="12" t="str">
        <x:f>IF(Q926="","",TEXT(Q926,"hh:mm:ss"))</x:f>
      </x:c>
      <x:c r="S926" s="12" t="str">
        <x:v>是</x:v>
      </x:c>
      <x:c r="T926" s="12" t="str">
        <x:v>否</x:v>
      </x:c>
      <x:c r="U926" s="12" t="str">
        <x:v>未提供</x:v>
      </x:c>
      <x:c r="V926" s="12" t="str">
        <x:v>未提供</x:v>
      </x:c>
      <x:c r="W926" s="12" t="str">
        <x:v>秒级预测</x:v>
      </x:c>
      <x:c r="X926" s="12" t="str">
        <x:v>基于路线秒级参数；如录入实测或手动采用秒，预计到达时间可随公式更新</x:v>
      </x:c>
    </x:row>
    <x:row r="927">
      <x:c r="A927" s="12" t="str">
        <x:v>S0076-02</x:v>
      </x:c>
      <x:c r="B927" s="12" t="str">
        <x:v>S0076</x:v>
      </x:c>
      <x:c r="C927" s="12" t="str">
        <x:v>工作日</x:v>
      </x:c>
      <x:c r="D927" s="12" t="str">
        <x:v>环线2路</x:v>
      </x:c>
      <x:c r="E927" s="12" t="str">
        <x:v>第一班</x:v>
      </x:c>
      <x:c r="F927" s="12" t="n">
        <x:v>6</x:v>
      </x:c>
      <x:c r="G927" s="12" t="str">
        <x:v>8:50</x:v>
      </x:c>
      <x:c r="H927" s="12" t="n">
        <x:v>530</x:v>
      </x:c>
      <x:c r="I927" s="12" t="str">
        <x:v>研究生宿舍楼</x:v>
      </x:c>
      <x:c r="J927" s="12" t="str">
        <x:v>研究生宿舍楼发车</x:v>
      </x:c>
      <x:c r="K927" s="12" t="str">
        <x:v>HX2_NORMAL</x:v>
      </x:c>
      <x:c r="L927" s="12" t="n">
        <x:v>2</x:v>
      </x:c>
      <x:c r="M927" s="12" t="str">
        <x:v>HX2_NORMAL|2</x:v>
      </x:c>
      <x:c r="N927" s="12" t="str">
        <x:v>一食堂</x:v>
      </x:c>
      <x:c r="O927" s="12" t="n">
        <x:f>IFERROR(INDEX('秒级路线参数_可调整'!$O:$O,MATCH(M927,'秒级路线参数_可调整'!$A:$A,0)),"")</x:f>
        <x:v>65</x:v>
      </x:c>
      <x:c r="P927" s="12" t="n">
        <x:f>IF(O927="","",O927/86400)</x:f>
        <x:v>0.0007523148148148148</x:v>
      </x:c>
      <x:c r="Q927" s="12" t="n">
        <x:f>IF(O927="","",(H927*60+O927)/86400)</x:f>
        <x:v>0.3688078703703704</x:v>
      </x:c>
      <x:c r="R927" s="12" t="str">
        <x:f>IF(Q927="","",TEXT(Q927,"hh:mm:ss"))</x:f>
        <x:v>08:51:05</x:v>
      </x:c>
      <x:c r="S927" s="12" t="str">
        <x:v>否</x:v>
      </x:c>
      <x:c r="T927" s="12" t="str">
        <x:v>否</x:v>
      </x:c>
      <x:c r="U927" s="12" t="str">
        <x:v>未提供</x:v>
      </x:c>
      <x:c r="V927" s="12" t="str">
        <x:v>未提供</x:v>
      </x:c>
      <x:c r="W927" s="12" t="str">
        <x:v>秒级预测</x:v>
      </x:c>
      <x:c r="X927" s="12" t="str">
        <x:v>基于路线秒级参数；如录入实测或手动采用秒，预计到达时间可随公式更新</x:v>
      </x:c>
    </x:row>
    <x:row r="928">
      <x:c r="A928" s="12" t="str">
        <x:v>S0076-03</x:v>
      </x:c>
      <x:c r="B928" s="12" t="str">
        <x:v>S0076</x:v>
      </x:c>
      <x:c r="C928" s="12" t="str">
        <x:v>工作日</x:v>
      </x:c>
      <x:c r="D928" s="12" t="str">
        <x:v>环线2路</x:v>
      </x:c>
      <x:c r="E928" s="12" t="str">
        <x:v>第一班</x:v>
      </x:c>
      <x:c r="F928" s="12" t="n">
        <x:v>6</x:v>
      </x:c>
      <x:c r="G928" s="12" t="str">
        <x:v>8:50</x:v>
      </x:c>
      <x:c r="H928" s="12" t="n">
        <x:v>530</x:v>
      </x:c>
      <x:c r="I928" s="12" t="str">
        <x:v>研究生宿舍楼</x:v>
      </x:c>
      <x:c r="J928" s="12" t="str">
        <x:v>研究生宿舍楼发车</x:v>
      </x:c>
      <x:c r="K928" s="12" t="str">
        <x:v>HX2_NORMAL</x:v>
      </x:c>
      <x:c r="L928" s="12" t="n">
        <x:v>3</x:v>
      </x:c>
      <x:c r="M928" s="12" t="str">
        <x:v>HX2_NORMAL|3</x:v>
      </x:c>
      <x:c r="N928" s="12" t="str">
        <x:v>门诊部</x:v>
      </x:c>
      <x:c r="O928" s="12" t="n">
        <x:f>IFERROR(INDEX('秒级路线参数_可调整'!$O:$O,MATCH(M928,'秒级路线参数_可调整'!$A:$A,0)),"")</x:f>
        <x:v>120</x:v>
      </x:c>
      <x:c r="P928" s="12" t="n">
        <x:f>IF(O928="","",O928/86400)</x:f>
        <x:v>0.001388888888888889</x:v>
      </x:c>
      <x:c r="Q928" s="12" t="n">
        <x:f>IF(O928="","",(H928*60+O928)/86400)</x:f>
        <x:v>0.36944444444444446</x:v>
      </x:c>
      <x:c r="R928" s="12" t="str">
        <x:f>IF(Q928="","",TEXT(Q928,"hh:mm:ss"))</x:f>
        <x:v>08:52:00</x:v>
      </x:c>
      <x:c r="S928" s="12" t="str">
        <x:v>否</x:v>
      </x:c>
      <x:c r="T928" s="12" t="str">
        <x:v>否</x:v>
      </x:c>
      <x:c r="U928" s="12" t="str">
        <x:v>未提供</x:v>
      </x:c>
      <x:c r="V928" s="12" t="str">
        <x:v>未提供</x:v>
      </x:c>
      <x:c r="W928" s="12" t="str">
        <x:v>秒级预测</x:v>
      </x:c>
      <x:c r="X928" s="12" t="str">
        <x:v>基于路线秒级参数；如录入实测或手动采用秒，预计到达时间可随公式更新</x:v>
      </x:c>
    </x:row>
    <x:row r="929">
      <x:c r="A929" s="12" t="str">
        <x:v>S0076-04</x:v>
      </x:c>
      <x:c r="B929" s="12" t="str">
        <x:v>S0076</x:v>
      </x:c>
      <x:c r="C929" s="12" t="str">
        <x:v>工作日</x:v>
      </x:c>
      <x:c r="D929" s="12" t="str">
        <x:v>环线2路</x:v>
      </x:c>
      <x:c r="E929" s="12" t="str">
        <x:v>第一班</x:v>
      </x:c>
      <x:c r="F929" s="12" t="n">
        <x:v>6</x:v>
      </x:c>
      <x:c r="G929" s="12" t="str">
        <x:v>8:50</x:v>
      </x:c>
      <x:c r="H929" s="12" t="n">
        <x:v>530</x:v>
      </x:c>
      <x:c r="I929" s="12" t="str">
        <x:v>研究生宿舍楼</x:v>
      </x:c>
      <x:c r="J929" s="12" t="str">
        <x:v>研究生宿舍楼发车</x:v>
      </x:c>
      <x:c r="K929" s="12" t="str">
        <x:v>HX2_NORMAL</x:v>
      </x:c>
      <x:c r="L929" s="12" t="n">
        <x:v>4</x:v>
      </x:c>
      <x:c r="M929" s="12" t="str">
        <x:v>HX2_NORMAL|4</x:v>
      </x:c>
      <x:c r="N929" s="12" t="str">
        <x:v>1号宿舍楼</x:v>
      </x:c>
      <x:c r="O929" s="12" t="n">
        <x:f>IFERROR(INDEX('秒级路线参数_可调整'!$O:$O,MATCH(M929,'秒级路线参数_可调整'!$A:$A,0)),"")</x:f>
        <x:v>165</x:v>
      </x:c>
      <x:c r="P929" s="12" t="n">
        <x:f>IF(O929="","",O929/86400)</x:f>
        <x:v>0.0019097222222222222</x:v>
      </x:c>
      <x:c r="Q929" s="12" t="n">
        <x:f>IF(O929="","",(H929*60+O929)/86400)</x:f>
        <x:v>0.36996527777777777</x:v>
      </x:c>
      <x:c r="R929" s="12" t="str">
        <x:f>IF(Q929="","",TEXT(Q929,"hh:mm:ss"))</x:f>
        <x:v>08:52:45</x:v>
      </x:c>
      <x:c r="S929" s="12" t="str">
        <x:v>否</x:v>
      </x:c>
      <x:c r="T929" s="12" t="str">
        <x:v>否</x:v>
      </x:c>
      <x:c r="U929" s="12" t="str">
        <x:v>未提供</x:v>
      </x:c>
      <x:c r="V929" s="12" t="str">
        <x:v>未提供</x:v>
      </x:c>
      <x:c r="W929" s="12" t="str">
        <x:v>秒级预测</x:v>
      </x:c>
      <x:c r="X929" s="12" t="str">
        <x:v>基于路线秒级参数；如录入实测或手动采用秒，预计到达时间可随公式更新</x:v>
      </x:c>
    </x:row>
    <x:row r="930">
      <x:c r="A930" s="12" t="str">
        <x:v>S0076-05</x:v>
      </x:c>
      <x:c r="B930" s="12" t="str">
        <x:v>S0076</x:v>
      </x:c>
      <x:c r="C930" s="12" t="str">
        <x:v>工作日</x:v>
      </x:c>
      <x:c r="D930" s="12" t="str">
        <x:v>环线2路</x:v>
      </x:c>
      <x:c r="E930" s="12" t="str">
        <x:v>第一班</x:v>
      </x:c>
      <x:c r="F930" s="12" t="n">
        <x:v>6</x:v>
      </x:c>
      <x:c r="G930" s="12" t="str">
        <x:v>8:50</x:v>
      </x:c>
      <x:c r="H930" s="12" t="n">
        <x:v>530</x:v>
      </x:c>
      <x:c r="I930" s="12" t="str">
        <x:v>研究生宿舍楼</x:v>
      </x:c>
      <x:c r="J930" s="12" t="str">
        <x:v>研究生宿舍楼发车</x:v>
      </x:c>
      <x:c r="K930" s="12" t="str">
        <x:v>HX2_NORMAL</x:v>
      </x:c>
      <x:c r="L930" s="12" t="n">
        <x:v>5</x:v>
      </x:c>
      <x:c r="M930" s="12" t="str">
        <x:v>HX2_NORMAL|5</x:v>
      </x:c>
      <x:c r="N930" s="12" t="str">
        <x:v>水上训练中心</x:v>
      </x:c>
      <x:c r="O930" s="12" t="n">
        <x:f>IFERROR(INDEX('秒级路线参数_可调整'!$O:$O,MATCH(M930,'秒级路线参数_可调整'!$A:$A,0)),"")</x:f>
        <x:v>250</x:v>
      </x:c>
      <x:c r="P930" s="12" t="n">
        <x:f>IF(O930="","",O930/86400)</x:f>
        <x:v>0.0028935185185185184</x:v>
      </x:c>
      <x:c r="Q930" s="12" t="n">
        <x:f>IF(O930="","",(H930*60+O930)/86400)</x:f>
        <x:v>0.37094907407407407</x:v>
      </x:c>
      <x:c r="R930" s="12" t="str">
        <x:f>IF(Q930="","",TEXT(Q930,"hh:mm:ss"))</x:f>
        <x:v>08:54:10</x:v>
      </x:c>
      <x:c r="S930" s="12" t="str">
        <x:v>否</x:v>
      </x:c>
      <x:c r="T930" s="12" t="str">
        <x:v>否</x:v>
      </x:c>
      <x:c r="U930" s="12" t="str">
        <x:v>未提供</x:v>
      </x:c>
      <x:c r="V930" s="12" t="str">
        <x:v>未提供</x:v>
      </x:c>
      <x:c r="W930" s="12" t="str">
        <x:v>秒级预测</x:v>
      </x:c>
      <x:c r="X930" s="12" t="str">
        <x:v>基于路线秒级参数；如录入实测或手动采用秒，预计到达时间可随公式更新</x:v>
      </x:c>
    </x:row>
    <x:row r="931">
      <x:c r="A931" s="12" t="str">
        <x:v>S0076-06</x:v>
      </x:c>
      <x:c r="B931" s="12" t="str">
        <x:v>S0076</x:v>
      </x:c>
      <x:c r="C931" s="12" t="str">
        <x:v>工作日</x:v>
      </x:c>
      <x:c r="D931" s="12" t="str">
        <x:v>环线2路</x:v>
      </x:c>
      <x:c r="E931" s="12" t="str">
        <x:v>第一班</x:v>
      </x:c>
      <x:c r="F931" s="12" t="n">
        <x:v>6</x:v>
      </x:c>
      <x:c r="G931" s="12" t="str">
        <x:v>8:50</x:v>
      </x:c>
      <x:c r="H931" s="12" t="n">
        <x:v>530</x:v>
      </x:c>
      <x:c r="I931" s="12" t="str">
        <x:v>研究生宿舍楼</x:v>
      </x:c>
      <x:c r="J931" s="12" t="str">
        <x:v>研究生宿舍楼发车</x:v>
      </x:c>
      <x:c r="K931" s="12" t="str">
        <x:v>HX2_NORMAL</x:v>
      </x:c>
      <x:c r="L931" s="12" t="n">
        <x:v>6</x:v>
      </x:c>
      <x:c r="M931" s="12" t="str">
        <x:v>HX2_NORMAL|6</x:v>
      </x:c>
      <x:c r="N931" s="12" t="str">
        <x:v>军体活动中心</x:v>
      </x:c>
      <x:c r="O931" s="12" t="n">
        <x:f>IFERROR(INDEX('秒级路线参数_可调整'!$O:$O,MATCH(M931,'秒级路线参数_可调整'!$A:$A,0)),"")</x:f>
        <x:v>315</x:v>
      </x:c>
      <x:c r="P931" s="12" t="n">
        <x:f>IF(O931="","",O931/86400)</x:f>
        <x:v>0.0036458333333333334</x:v>
      </x:c>
      <x:c r="Q931" s="12" t="n">
        <x:f>IF(O931="","",(H931*60+O931)/86400)</x:f>
        <x:v>0.3717013888888889</x:v>
      </x:c>
      <x:c r="R931" s="12" t="str">
        <x:f>IF(Q931="","",TEXT(Q931,"hh:mm:ss"))</x:f>
        <x:v>08:55:15</x:v>
      </x:c>
      <x:c r="S931" s="12" t="str">
        <x:v>否</x:v>
      </x:c>
      <x:c r="T931" s="12" t="str">
        <x:v>否</x:v>
      </x:c>
      <x:c r="U931" s="12" t="str">
        <x:v>未提供</x:v>
      </x:c>
      <x:c r="V931" s="12" t="str">
        <x:v>未提供</x:v>
      </x:c>
      <x:c r="W931" s="12" t="str">
        <x:v>秒级预测</x:v>
      </x:c>
      <x:c r="X931" s="12" t="str">
        <x:v>基于路线秒级参数；如录入实测或手动采用秒，预计到达时间可随公式更新</x:v>
      </x:c>
    </x:row>
    <x:row r="932">
      <x:c r="A932" s="12" t="str">
        <x:v>S0076-07</x:v>
      </x:c>
      <x:c r="B932" s="12" t="str">
        <x:v>S0076</x:v>
      </x:c>
      <x:c r="C932" s="12" t="str">
        <x:v>工作日</x:v>
      </x:c>
      <x:c r="D932" s="12" t="str">
        <x:v>环线2路</x:v>
      </x:c>
      <x:c r="E932" s="12" t="str">
        <x:v>第一班</x:v>
      </x:c>
      <x:c r="F932" s="12" t="n">
        <x:v>6</x:v>
      </x:c>
      <x:c r="G932" s="12" t="str">
        <x:v>8:50</x:v>
      </x:c>
      <x:c r="H932" s="12" t="n">
        <x:v>530</x:v>
      </x:c>
      <x:c r="I932" s="12" t="str">
        <x:v>研究生宿舍楼</x:v>
      </x:c>
      <x:c r="J932" s="12" t="str">
        <x:v>研究生宿舍楼发车</x:v>
      </x:c>
      <x:c r="K932" s="12" t="str">
        <x:v>HX2_NORMAL</x:v>
      </x:c>
      <x:c r="L932" s="12" t="n">
        <x:v>7</x:v>
      </x:c>
      <x:c r="M932" s="12" t="str">
        <x:v>HX2_NORMAL|7</x:v>
      </x:c>
      <x:c r="N932" s="12" t="str">
        <x:v>二食堂</x:v>
      </x:c>
      <x:c r="O932" s="12" t="n">
        <x:f>IFERROR(INDEX('秒级路线参数_可调整'!$O:$O,MATCH(M932,'秒级路线参数_可调整'!$A:$A,0)),"")</x:f>
        <x:v>420</x:v>
      </x:c>
      <x:c r="P932" s="12" t="n">
        <x:f>IF(O932="","",O932/86400)</x:f>
        <x:v>0.004861111111111111</x:v>
      </x:c>
      <x:c r="Q932" s="12" t="n">
        <x:f>IF(O932="","",(H932*60+O932)/86400)</x:f>
        <x:v>0.3729166666666667</x:v>
      </x:c>
      <x:c r="R932" s="12" t="str">
        <x:f>IF(Q932="","",TEXT(Q932,"hh:mm:ss"))</x:f>
        <x:v>08:57:00</x:v>
      </x:c>
      <x:c r="S932" s="12" t="str">
        <x:v>否</x:v>
      </x:c>
      <x:c r="T932" s="12" t="str">
        <x:v>否</x:v>
      </x:c>
      <x:c r="U932" s="12" t="str">
        <x:v>未提供</x:v>
      </x:c>
      <x:c r="V932" s="12" t="str">
        <x:v>未提供</x:v>
      </x:c>
      <x:c r="W932" s="12" t="str">
        <x:v>秒级预测</x:v>
      </x:c>
      <x:c r="X932" s="12" t="str">
        <x:v>基于路线秒级参数；如录入实测或手动采用秒，预计到达时间可随公式更新</x:v>
      </x:c>
    </x:row>
    <x:row r="933">
      <x:c r="A933" s="12" t="str">
        <x:v>S0076-08</x:v>
      </x:c>
      <x:c r="B933" s="12" t="str">
        <x:v>S0076</x:v>
      </x:c>
      <x:c r="C933" s="12" t="str">
        <x:v>工作日</x:v>
      </x:c>
      <x:c r="D933" s="12" t="str">
        <x:v>环线2路</x:v>
      </x:c>
      <x:c r="E933" s="12" t="str">
        <x:v>第一班</x:v>
      </x:c>
      <x:c r="F933" s="12" t="n">
        <x:v>6</x:v>
      </x:c>
      <x:c r="G933" s="12" t="str">
        <x:v>8:50</x:v>
      </x:c>
      <x:c r="H933" s="12" t="n">
        <x:v>530</x:v>
      </x:c>
      <x:c r="I933" s="12" t="str">
        <x:v>研究生宿舍楼</x:v>
      </x:c>
      <x:c r="J933" s="12" t="str">
        <x:v>研究生宿舍楼发车</x:v>
      </x:c>
      <x:c r="K933" s="12" t="str">
        <x:v>HX2_NORMAL</x:v>
      </x:c>
      <x:c r="L933" s="12" t="n">
        <x:v>8</x:v>
      </x:c>
      <x:c r="M933" s="12" t="str">
        <x:v>HX2_NORMAL|8</x:v>
      </x:c>
      <x:c r="N933" s="12" t="str">
        <x:v>5号宿舍楼</x:v>
      </x:c>
      <x:c r="O933" s="12" t="n">
        <x:f>IFERROR(INDEX('秒级路线参数_可调整'!$O:$O,MATCH(M933,'秒级路线参数_可调整'!$A:$A,0)),"")</x:f>
        <x:v>480</x:v>
      </x:c>
      <x:c r="P933" s="12" t="n">
        <x:f>IF(O933="","",O933/86400)</x:f>
        <x:v>0.005555555555555556</x:v>
      </x:c>
      <x:c r="Q933" s="12" t="n">
        <x:f>IF(O933="","",(H933*60+O933)/86400)</x:f>
        <x:v>0.3736111111111111</x:v>
      </x:c>
      <x:c r="R933" s="12" t="str">
        <x:f>IF(Q933="","",TEXT(Q933,"hh:mm:ss"))</x:f>
        <x:v>08:58:00</x:v>
      </x:c>
      <x:c r="S933" s="12" t="str">
        <x:v>否</x:v>
      </x:c>
      <x:c r="T933" s="12" t="str">
        <x:v>否</x:v>
      </x:c>
      <x:c r="U933" s="12" t="str">
        <x:v>未提供</x:v>
      </x:c>
      <x:c r="V933" s="12" t="str">
        <x:v>未提供</x:v>
      </x:c>
      <x:c r="W933" s="12" t="str">
        <x:v>秒级预测</x:v>
      </x:c>
      <x:c r="X933" s="12" t="str">
        <x:v>基于路线秒级参数；如录入实测或手动采用秒，预计到达时间可随公式更新</x:v>
      </x:c>
    </x:row>
    <x:row r="934">
      <x:c r="A934" s="12" t="str">
        <x:v>S0076-09</x:v>
      </x:c>
      <x:c r="B934" s="12" t="str">
        <x:v>S0076</x:v>
      </x:c>
      <x:c r="C934" s="12" t="str">
        <x:v>工作日</x:v>
      </x:c>
      <x:c r="D934" s="12" t="str">
        <x:v>环线2路</x:v>
      </x:c>
      <x:c r="E934" s="12" t="str">
        <x:v>第一班</x:v>
      </x:c>
      <x:c r="F934" s="12" t="n">
        <x:v>6</x:v>
      </x:c>
      <x:c r="G934" s="12" t="str">
        <x:v>8:50</x:v>
      </x:c>
      <x:c r="H934" s="12" t="n">
        <x:v>530</x:v>
      </x:c>
      <x:c r="I934" s="12" t="str">
        <x:v>研究生宿舍楼</x:v>
      </x:c>
      <x:c r="J934" s="12" t="str">
        <x:v>研究生宿舍楼发车</x:v>
      </x:c>
      <x:c r="K934" s="12" t="str">
        <x:v>HX2_NORMAL</x:v>
      </x:c>
      <x:c r="L934" s="12" t="n">
        <x:v>9</x:v>
      </x:c>
      <x:c r="M934" s="12" t="str">
        <x:v>HX2_NORMAL|9</x:v>
      </x:c>
      <x:c r="N934" s="12" t="str">
        <x:v>305教学楼</x:v>
      </x:c>
      <x:c r="O934" s="12" t="n">
        <x:f>IFERROR(INDEX('秒级路线参数_可调整'!$O:$O,MATCH(M934,'秒级路线参数_可调整'!$A:$A,0)),"")</x:f>
        <x:v>535</x:v>
      </x:c>
      <x:c r="P934" s="12" t="n">
        <x:f>IF(O934="","",O934/86400)</x:f>
        <x:v>0.00619212962962963</x:v>
      </x:c>
      <x:c r="Q934" s="12" t="n">
        <x:f>IF(O934="","",(H934*60+O934)/86400)</x:f>
        <x:v>0.3742476851851852</x:v>
      </x:c>
      <x:c r="R934" s="12" t="str">
        <x:f>IF(Q934="","",TEXT(Q934,"hh:mm:ss"))</x:f>
        <x:v>08:58:55</x:v>
      </x:c>
      <x:c r="S934" s="12" t="str">
        <x:v>否</x:v>
      </x:c>
      <x:c r="T934" s="12" t="str">
        <x:v>否</x:v>
      </x:c>
      <x:c r="U934" s="12" t="str">
        <x:v>未提供</x:v>
      </x:c>
      <x:c r="V934" s="12" t="str">
        <x:v>未提供</x:v>
      </x:c>
      <x:c r="W934" s="12" t="str">
        <x:v>秒级预测</x:v>
      </x:c>
      <x:c r="X934" s="12" t="str">
        <x:v>基于路线秒级参数；如录入实测或手动采用秒，预计到达时间可随公式更新</x:v>
      </x:c>
    </x:row>
    <x:row r="935">
      <x:c r="A935" s="12" t="str">
        <x:v>S0076-10</x:v>
      </x:c>
      <x:c r="B935" s="12" t="str">
        <x:v>S0076</x:v>
      </x:c>
      <x:c r="C935" s="12" t="str">
        <x:v>工作日</x:v>
      </x:c>
      <x:c r="D935" s="12" t="str">
        <x:v>环线2路</x:v>
      </x:c>
      <x:c r="E935" s="12" t="str">
        <x:v>第一班</x:v>
      </x:c>
      <x:c r="F935" s="12" t="n">
        <x:v>6</x:v>
      </x:c>
      <x:c r="G935" s="12" t="str">
        <x:v>8:50</x:v>
      </x:c>
      <x:c r="H935" s="12" t="n">
        <x:v>530</x:v>
      </x:c>
      <x:c r="I935" s="12" t="str">
        <x:v>研究生宿舍楼</x:v>
      </x:c>
      <x:c r="J935" s="12" t="str">
        <x:v>研究生宿舍楼发车</x:v>
      </x:c>
      <x:c r="K935" s="12" t="str">
        <x:v>HX2_NORMAL</x:v>
      </x:c>
      <x:c r="L935" s="12" t="n">
        <x:v>10</x:v>
      </x:c>
      <x:c r="M935" s="12" t="str">
        <x:v>HX2_NORMAL|10</x:v>
      </x:c>
      <x:c r="N935" s="12" t="str">
        <x:v>研究生宿舍楼</x:v>
      </x:c>
      <x:c r="O935" s="12" t="n">
        <x:f>IFERROR(INDEX('秒级路线参数_可调整'!$O:$O,MATCH(M935,'秒级路线参数_可调整'!$A:$A,0)),"")</x:f>
        <x:v>715</x:v>
      </x:c>
      <x:c r="P935" s="12" t="n">
        <x:f>IF(O935="","",O935/86400)</x:f>
        <x:v>0.008275462962962964</x:v>
      </x:c>
      <x:c r="Q935" s="12" t="n">
        <x:f>IF(O935="","",(H935*60+O935)/86400)</x:f>
        <x:v>0.3763310185185185</x:v>
      </x:c>
      <x:c r="R935" s="12" t="str">
        <x:f>IF(Q935="","",TEXT(Q935,"hh:mm:ss"))</x:f>
        <x:v>09:01:55</x:v>
      </x:c>
      <x:c r="S935" s="12" t="str">
        <x:v>否</x:v>
      </x:c>
      <x:c r="T935" s="12" t="str">
        <x:v>是</x:v>
      </x:c>
      <x:c r="U935" s="12" t="str">
        <x:v>未提供</x:v>
      </x:c>
      <x:c r="V935" s="12" t="str">
        <x:v>未提供</x:v>
      </x:c>
      <x:c r="W935" s="12" t="str">
        <x:v>秒级预测</x:v>
      </x:c>
      <x:c r="X935" s="12" t="str">
        <x:v>基于路线秒级参数；如录入实测或手动采用秒，预计到达时间可随公式更新</x:v>
      </x:c>
    </x:row>
    <x:row r="936">
      <x:c r="A936" s="12" t="str">
        <x:v>S0077-01</x:v>
      </x:c>
      <x:c r="B936" s="12" t="str">
        <x:v>S0077</x:v>
      </x:c>
      <x:c r="C936" s="12" t="str">
        <x:v>工作日</x:v>
      </x:c>
      <x:c r="D936" s="12" t="str">
        <x:v>环线2路</x:v>
      </x:c>
      <x:c r="E936" s="12" t="str">
        <x:v>第一班</x:v>
      </x:c>
      <x:c r="F936" s="12" t="n">
        <x:v>7</x:v>
      </x:c>
      <x:c r="G936" s="12" t="str">
        <x:v>9:10</x:v>
      </x:c>
      <x:c r="H936" s="12" t="n">
        <x:v>550</x:v>
      </x:c>
      <x:c r="I936" s="12" t="str">
        <x:v>研究生宿舍楼</x:v>
      </x:c>
      <x:c r="J936" s="12" t="str">
        <x:v>研究生宿舍楼发车</x:v>
      </x:c>
      <x:c r="K936" s="12" t="str">
        <x:v>HX2_NORMAL</x:v>
      </x:c>
      <x:c r="L936" s="12" t="n">
        <x:v>1</x:v>
      </x:c>
      <x:c r="M936" s="12" t="str">
        <x:v>HX2_NORMAL|1</x:v>
      </x:c>
      <x:c r="N936" s="12" t="str">
        <x:v>研究生宿舍楼</x:v>
      </x:c>
      <x:c r="O936" s="12" t="n">
        <x:f>IFERROR(INDEX('秒级路线参数_可调整'!$O:$O,MATCH(M936,'秒级路线参数_可调整'!$A:$A,0)),"")</x:f>
        <x:v>0</x:v>
      </x:c>
      <x:c r="P936" s="12" t="str">
        <x:f>IF(O936="","",O936/86400)</x:f>
      </x:c>
      <x:c r="Q936" s="12" t="str">
        <x:f>IF(O936="","",(H936*60+O936)/86400)</x:f>
      </x:c>
      <x:c r="R936" s="12" t="str">
        <x:f>IF(Q936="","",TEXT(Q936,"hh:mm:ss"))</x:f>
      </x:c>
      <x:c r="S936" s="12" t="str">
        <x:v>是</x:v>
      </x:c>
      <x:c r="T936" s="12" t="str">
        <x:v>否</x:v>
      </x:c>
      <x:c r="U936" s="12" t="str">
        <x:v>未提供</x:v>
      </x:c>
      <x:c r="V936" s="12" t="str">
        <x:v>未提供</x:v>
      </x:c>
      <x:c r="W936" s="12" t="str">
        <x:v>秒级预测</x:v>
      </x:c>
      <x:c r="X936" s="12" t="str">
        <x:v>基于路线秒级参数；如录入实测或手动采用秒，预计到达时间可随公式更新</x:v>
      </x:c>
    </x:row>
    <x:row r="937">
      <x:c r="A937" s="12" t="str">
        <x:v>S0077-02</x:v>
      </x:c>
      <x:c r="B937" s="12" t="str">
        <x:v>S0077</x:v>
      </x:c>
      <x:c r="C937" s="12" t="str">
        <x:v>工作日</x:v>
      </x:c>
      <x:c r="D937" s="12" t="str">
        <x:v>环线2路</x:v>
      </x:c>
      <x:c r="E937" s="12" t="str">
        <x:v>第一班</x:v>
      </x:c>
      <x:c r="F937" s="12" t="n">
        <x:v>7</x:v>
      </x:c>
      <x:c r="G937" s="12" t="str">
        <x:v>9:10</x:v>
      </x:c>
      <x:c r="H937" s="12" t="n">
        <x:v>550</x:v>
      </x:c>
      <x:c r="I937" s="12" t="str">
        <x:v>研究生宿舍楼</x:v>
      </x:c>
      <x:c r="J937" s="12" t="str">
        <x:v>研究生宿舍楼发车</x:v>
      </x:c>
      <x:c r="K937" s="12" t="str">
        <x:v>HX2_NORMAL</x:v>
      </x:c>
      <x:c r="L937" s="12" t="n">
        <x:v>2</x:v>
      </x:c>
      <x:c r="M937" s="12" t="str">
        <x:v>HX2_NORMAL|2</x:v>
      </x:c>
      <x:c r="N937" s="12" t="str">
        <x:v>一食堂</x:v>
      </x:c>
      <x:c r="O937" s="12" t="n">
        <x:f>IFERROR(INDEX('秒级路线参数_可调整'!$O:$O,MATCH(M937,'秒级路线参数_可调整'!$A:$A,0)),"")</x:f>
        <x:v>65</x:v>
      </x:c>
      <x:c r="P937" s="12" t="n">
        <x:f>IF(O937="","",O937/86400)</x:f>
        <x:v>0.0007523148148148148</x:v>
      </x:c>
      <x:c r="Q937" s="12" t="n">
        <x:f>IF(O937="","",(H937*60+O937)/86400)</x:f>
        <x:v>0.3826967592592593</x:v>
      </x:c>
      <x:c r="R937" s="12" t="str">
        <x:f>IF(Q937="","",TEXT(Q937,"hh:mm:ss"))</x:f>
        <x:v>09:11:05</x:v>
      </x:c>
      <x:c r="S937" s="12" t="str">
        <x:v>否</x:v>
      </x:c>
      <x:c r="T937" s="12" t="str">
        <x:v>否</x:v>
      </x:c>
      <x:c r="U937" s="12" t="str">
        <x:v>未提供</x:v>
      </x:c>
      <x:c r="V937" s="12" t="str">
        <x:v>未提供</x:v>
      </x:c>
      <x:c r="W937" s="12" t="str">
        <x:v>秒级预测</x:v>
      </x:c>
      <x:c r="X937" s="12" t="str">
        <x:v>基于路线秒级参数；如录入实测或手动采用秒，预计到达时间可随公式更新</x:v>
      </x:c>
    </x:row>
    <x:row r="938">
      <x:c r="A938" s="12" t="str">
        <x:v>S0077-03</x:v>
      </x:c>
      <x:c r="B938" s="12" t="str">
        <x:v>S0077</x:v>
      </x:c>
      <x:c r="C938" s="12" t="str">
        <x:v>工作日</x:v>
      </x:c>
      <x:c r="D938" s="12" t="str">
        <x:v>环线2路</x:v>
      </x:c>
      <x:c r="E938" s="12" t="str">
        <x:v>第一班</x:v>
      </x:c>
      <x:c r="F938" s="12" t="n">
        <x:v>7</x:v>
      </x:c>
      <x:c r="G938" s="12" t="str">
        <x:v>9:10</x:v>
      </x:c>
      <x:c r="H938" s="12" t="n">
        <x:v>550</x:v>
      </x:c>
      <x:c r="I938" s="12" t="str">
        <x:v>研究生宿舍楼</x:v>
      </x:c>
      <x:c r="J938" s="12" t="str">
        <x:v>研究生宿舍楼发车</x:v>
      </x:c>
      <x:c r="K938" s="12" t="str">
        <x:v>HX2_NORMAL</x:v>
      </x:c>
      <x:c r="L938" s="12" t="n">
        <x:v>3</x:v>
      </x:c>
      <x:c r="M938" s="12" t="str">
        <x:v>HX2_NORMAL|3</x:v>
      </x:c>
      <x:c r="N938" s="12" t="str">
        <x:v>门诊部</x:v>
      </x:c>
      <x:c r="O938" s="12" t="n">
        <x:f>IFERROR(INDEX('秒级路线参数_可调整'!$O:$O,MATCH(M938,'秒级路线参数_可调整'!$A:$A,0)),"")</x:f>
        <x:v>120</x:v>
      </x:c>
      <x:c r="P938" s="12" t="n">
        <x:f>IF(O938="","",O938/86400)</x:f>
        <x:v>0.001388888888888889</x:v>
      </x:c>
      <x:c r="Q938" s="12" t="n">
        <x:f>IF(O938="","",(H938*60+O938)/86400)</x:f>
        <x:v>0.38333333333333336</x:v>
      </x:c>
      <x:c r="R938" s="12" t="str">
        <x:f>IF(Q938="","",TEXT(Q938,"hh:mm:ss"))</x:f>
        <x:v>09:12:00</x:v>
      </x:c>
      <x:c r="S938" s="12" t="str">
        <x:v>否</x:v>
      </x:c>
      <x:c r="T938" s="12" t="str">
        <x:v>否</x:v>
      </x:c>
      <x:c r="U938" s="12" t="str">
        <x:v>未提供</x:v>
      </x:c>
      <x:c r="V938" s="12" t="str">
        <x:v>未提供</x:v>
      </x:c>
      <x:c r="W938" s="12" t="str">
        <x:v>秒级预测</x:v>
      </x:c>
      <x:c r="X938" s="12" t="str">
        <x:v>基于路线秒级参数；如录入实测或手动采用秒，预计到达时间可随公式更新</x:v>
      </x:c>
    </x:row>
    <x:row r="939">
      <x:c r="A939" s="12" t="str">
        <x:v>S0077-04</x:v>
      </x:c>
      <x:c r="B939" s="12" t="str">
        <x:v>S0077</x:v>
      </x:c>
      <x:c r="C939" s="12" t="str">
        <x:v>工作日</x:v>
      </x:c>
      <x:c r="D939" s="12" t="str">
        <x:v>环线2路</x:v>
      </x:c>
      <x:c r="E939" s="12" t="str">
        <x:v>第一班</x:v>
      </x:c>
      <x:c r="F939" s="12" t="n">
        <x:v>7</x:v>
      </x:c>
      <x:c r="G939" s="12" t="str">
        <x:v>9:10</x:v>
      </x:c>
      <x:c r="H939" s="12" t="n">
        <x:v>550</x:v>
      </x:c>
      <x:c r="I939" s="12" t="str">
        <x:v>研究生宿舍楼</x:v>
      </x:c>
      <x:c r="J939" s="12" t="str">
        <x:v>研究生宿舍楼发车</x:v>
      </x:c>
      <x:c r="K939" s="12" t="str">
        <x:v>HX2_NORMAL</x:v>
      </x:c>
      <x:c r="L939" s="12" t="n">
        <x:v>4</x:v>
      </x:c>
      <x:c r="M939" s="12" t="str">
        <x:v>HX2_NORMAL|4</x:v>
      </x:c>
      <x:c r="N939" s="12" t="str">
        <x:v>1号宿舍楼</x:v>
      </x:c>
      <x:c r="O939" s="12" t="n">
        <x:f>IFERROR(INDEX('秒级路线参数_可调整'!$O:$O,MATCH(M939,'秒级路线参数_可调整'!$A:$A,0)),"")</x:f>
        <x:v>165</x:v>
      </x:c>
      <x:c r="P939" s="12" t="n">
        <x:f>IF(O939="","",O939/86400)</x:f>
        <x:v>0.0019097222222222222</x:v>
      </x:c>
      <x:c r="Q939" s="12" t="n">
        <x:f>IF(O939="","",(H939*60+O939)/86400)</x:f>
        <x:v>0.38385416666666666</x:v>
      </x:c>
      <x:c r="R939" s="12" t="str">
        <x:f>IF(Q939="","",TEXT(Q939,"hh:mm:ss"))</x:f>
        <x:v>09:12:45</x:v>
      </x:c>
      <x:c r="S939" s="12" t="str">
        <x:v>否</x:v>
      </x:c>
      <x:c r="T939" s="12" t="str">
        <x:v>否</x:v>
      </x:c>
      <x:c r="U939" s="12" t="str">
        <x:v>未提供</x:v>
      </x:c>
      <x:c r="V939" s="12" t="str">
        <x:v>未提供</x:v>
      </x:c>
      <x:c r="W939" s="12" t="str">
        <x:v>秒级预测</x:v>
      </x:c>
      <x:c r="X939" s="12" t="str">
        <x:v>基于路线秒级参数；如录入实测或手动采用秒，预计到达时间可随公式更新</x:v>
      </x:c>
    </x:row>
    <x:row r="940">
      <x:c r="A940" s="12" t="str">
        <x:v>S0077-05</x:v>
      </x:c>
      <x:c r="B940" s="12" t="str">
        <x:v>S0077</x:v>
      </x:c>
      <x:c r="C940" s="12" t="str">
        <x:v>工作日</x:v>
      </x:c>
      <x:c r="D940" s="12" t="str">
        <x:v>环线2路</x:v>
      </x:c>
      <x:c r="E940" s="12" t="str">
        <x:v>第一班</x:v>
      </x:c>
      <x:c r="F940" s="12" t="n">
        <x:v>7</x:v>
      </x:c>
      <x:c r="G940" s="12" t="str">
        <x:v>9:10</x:v>
      </x:c>
      <x:c r="H940" s="12" t="n">
        <x:v>550</x:v>
      </x:c>
      <x:c r="I940" s="12" t="str">
        <x:v>研究生宿舍楼</x:v>
      </x:c>
      <x:c r="J940" s="12" t="str">
        <x:v>研究生宿舍楼发车</x:v>
      </x:c>
      <x:c r="K940" s="12" t="str">
        <x:v>HX2_NORMAL</x:v>
      </x:c>
      <x:c r="L940" s="12" t="n">
        <x:v>5</x:v>
      </x:c>
      <x:c r="M940" s="12" t="str">
        <x:v>HX2_NORMAL|5</x:v>
      </x:c>
      <x:c r="N940" s="12" t="str">
        <x:v>水上训练中心</x:v>
      </x:c>
      <x:c r="O940" s="12" t="n">
        <x:f>IFERROR(INDEX('秒级路线参数_可调整'!$O:$O,MATCH(M940,'秒级路线参数_可调整'!$A:$A,0)),"")</x:f>
        <x:v>250</x:v>
      </x:c>
      <x:c r="P940" s="12" t="n">
        <x:f>IF(O940="","",O940/86400)</x:f>
        <x:v>0.0028935185185185184</x:v>
      </x:c>
      <x:c r="Q940" s="12" t="n">
        <x:f>IF(O940="","",(H940*60+O940)/86400)</x:f>
        <x:v>0.38483796296296297</x:v>
      </x:c>
      <x:c r="R940" s="12" t="str">
        <x:f>IF(Q940="","",TEXT(Q940,"hh:mm:ss"))</x:f>
        <x:v>09:14:10</x:v>
      </x:c>
      <x:c r="S940" s="12" t="str">
        <x:v>否</x:v>
      </x:c>
      <x:c r="T940" s="12" t="str">
        <x:v>否</x:v>
      </x:c>
      <x:c r="U940" s="12" t="str">
        <x:v>未提供</x:v>
      </x:c>
      <x:c r="V940" s="12" t="str">
        <x:v>未提供</x:v>
      </x:c>
      <x:c r="W940" s="12" t="str">
        <x:v>秒级预测</x:v>
      </x:c>
      <x:c r="X940" s="12" t="str">
        <x:v>基于路线秒级参数；如录入实测或手动采用秒，预计到达时间可随公式更新</x:v>
      </x:c>
    </x:row>
    <x:row r="941">
      <x:c r="A941" s="12" t="str">
        <x:v>S0077-06</x:v>
      </x:c>
      <x:c r="B941" s="12" t="str">
        <x:v>S0077</x:v>
      </x:c>
      <x:c r="C941" s="12" t="str">
        <x:v>工作日</x:v>
      </x:c>
      <x:c r="D941" s="12" t="str">
        <x:v>环线2路</x:v>
      </x:c>
      <x:c r="E941" s="12" t="str">
        <x:v>第一班</x:v>
      </x:c>
      <x:c r="F941" s="12" t="n">
        <x:v>7</x:v>
      </x:c>
      <x:c r="G941" s="12" t="str">
        <x:v>9:10</x:v>
      </x:c>
      <x:c r="H941" s="12" t="n">
        <x:v>550</x:v>
      </x:c>
      <x:c r="I941" s="12" t="str">
        <x:v>研究生宿舍楼</x:v>
      </x:c>
      <x:c r="J941" s="12" t="str">
        <x:v>研究生宿舍楼发车</x:v>
      </x:c>
      <x:c r="K941" s="12" t="str">
        <x:v>HX2_NORMAL</x:v>
      </x:c>
      <x:c r="L941" s="12" t="n">
        <x:v>6</x:v>
      </x:c>
      <x:c r="M941" s="12" t="str">
        <x:v>HX2_NORMAL|6</x:v>
      </x:c>
      <x:c r="N941" s="12" t="str">
        <x:v>军体活动中心</x:v>
      </x:c>
      <x:c r="O941" s="12" t="n">
        <x:f>IFERROR(INDEX('秒级路线参数_可调整'!$O:$O,MATCH(M941,'秒级路线参数_可调整'!$A:$A,0)),"")</x:f>
        <x:v>315</x:v>
      </x:c>
      <x:c r="P941" s="12" t="n">
        <x:f>IF(O941="","",O941/86400)</x:f>
        <x:v>0.0036458333333333334</x:v>
      </x:c>
      <x:c r="Q941" s="12" t="n">
        <x:f>IF(O941="","",(H941*60+O941)/86400)</x:f>
        <x:v>0.38559027777777777</x:v>
      </x:c>
      <x:c r="R941" s="12" t="str">
        <x:f>IF(Q941="","",TEXT(Q941,"hh:mm:ss"))</x:f>
        <x:v>09:15:15</x:v>
      </x:c>
      <x:c r="S941" s="12" t="str">
        <x:v>否</x:v>
      </x:c>
      <x:c r="T941" s="12" t="str">
        <x:v>否</x:v>
      </x:c>
      <x:c r="U941" s="12" t="str">
        <x:v>未提供</x:v>
      </x:c>
      <x:c r="V941" s="12" t="str">
        <x:v>未提供</x:v>
      </x:c>
      <x:c r="W941" s="12" t="str">
        <x:v>秒级预测</x:v>
      </x:c>
      <x:c r="X941" s="12" t="str">
        <x:v>基于路线秒级参数；如录入实测或手动采用秒，预计到达时间可随公式更新</x:v>
      </x:c>
    </x:row>
    <x:row r="942">
      <x:c r="A942" s="12" t="str">
        <x:v>S0077-07</x:v>
      </x:c>
      <x:c r="B942" s="12" t="str">
        <x:v>S0077</x:v>
      </x:c>
      <x:c r="C942" s="12" t="str">
        <x:v>工作日</x:v>
      </x:c>
      <x:c r="D942" s="12" t="str">
        <x:v>环线2路</x:v>
      </x:c>
      <x:c r="E942" s="12" t="str">
        <x:v>第一班</x:v>
      </x:c>
      <x:c r="F942" s="12" t="n">
        <x:v>7</x:v>
      </x:c>
      <x:c r="G942" s="12" t="str">
        <x:v>9:10</x:v>
      </x:c>
      <x:c r="H942" s="12" t="n">
        <x:v>550</x:v>
      </x:c>
      <x:c r="I942" s="12" t="str">
        <x:v>研究生宿舍楼</x:v>
      </x:c>
      <x:c r="J942" s="12" t="str">
        <x:v>研究生宿舍楼发车</x:v>
      </x:c>
      <x:c r="K942" s="12" t="str">
        <x:v>HX2_NORMAL</x:v>
      </x:c>
      <x:c r="L942" s="12" t="n">
        <x:v>7</x:v>
      </x:c>
      <x:c r="M942" s="12" t="str">
        <x:v>HX2_NORMAL|7</x:v>
      </x:c>
      <x:c r="N942" s="12" t="str">
        <x:v>二食堂</x:v>
      </x:c>
      <x:c r="O942" s="12" t="n">
        <x:f>IFERROR(INDEX('秒级路线参数_可调整'!$O:$O,MATCH(M942,'秒级路线参数_可调整'!$A:$A,0)),"")</x:f>
        <x:v>420</x:v>
      </x:c>
      <x:c r="P942" s="12" t="n">
        <x:f>IF(O942="","",O942/86400)</x:f>
        <x:v>0.004861111111111111</x:v>
      </x:c>
      <x:c r="Q942" s="12" t="n">
        <x:f>IF(O942="","",(H942*60+O942)/86400)</x:f>
        <x:v>0.38680555555555557</x:v>
      </x:c>
      <x:c r="R942" s="12" t="str">
        <x:f>IF(Q942="","",TEXT(Q942,"hh:mm:ss"))</x:f>
        <x:v>09:17:00</x:v>
      </x:c>
      <x:c r="S942" s="12" t="str">
        <x:v>否</x:v>
      </x:c>
      <x:c r="T942" s="12" t="str">
        <x:v>否</x:v>
      </x:c>
      <x:c r="U942" s="12" t="str">
        <x:v>未提供</x:v>
      </x:c>
      <x:c r="V942" s="12" t="str">
        <x:v>未提供</x:v>
      </x:c>
      <x:c r="W942" s="12" t="str">
        <x:v>秒级预测</x:v>
      </x:c>
      <x:c r="X942" s="12" t="str">
        <x:v>基于路线秒级参数；如录入实测或手动采用秒，预计到达时间可随公式更新</x:v>
      </x:c>
    </x:row>
    <x:row r="943">
      <x:c r="A943" s="12" t="str">
        <x:v>S0077-08</x:v>
      </x:c>
      <x:c r="B943" s="12" t="str">
        <x:v>S0077</x:v>
      </x:c>
      <x:c r="C943" s="12" t="str">
        <x:v>工作日</x:v>
      </x:c>
      <x:c r="D943" s="12" t="str">
        <x:v>环线2路</x:v>
      </x:c>
      <x:c r="E943" s="12" t="str">
        <x:v>第一班</x:v>
      </x:c>
      <x:c r="F943" s="12" t="n">
        <x:v>7</x:v>
      </x:c>
      <x:c r="G943" s="12" t="str">
        <x:v>9:10</x:v>
      </x:c>
      <x:c r="H943" s="12" t="n">
        <x:v>550</x:v>
      </x:c>
      <x:c r="I943" s="12" t="str">
        <x:v>研究生宿舍楼</x:v>
      </x:c>
      <x:c r="J943" s="12" t="str">
        <x:v>研究生宿舍楼发车</x:v>
      </x:c>
      <x:c r="K943" s="12" t="str">
        <x:v>HX2_NORMAL</x:v>
      </x:c>
      <x:c r="L943" s="12" t="n">
        <x:v>8</x:v>
      </x:c>
      <x:c r="M943" s="12" t="str">
        <x:v>HX2_NORMAL|8</x:v>
      </x:c>
      <x:c r="N943" s="12" t="str">
        <x:v>5号宿舍楼</x:v>
      </x:c>
      <x:c r="O943" s="12" t="n">
        <x:f>IFERROR(INDEX('秒级路线参数_可调整'!$O:$O,MATCH(M943,'秒级路线参数_可调整'!$A:$A,0)),"")</x:f>
        <x:v>480</x:v>
      </x:c>
      <x:c r="P943" s="12" t="n">
        <x:f>IF(O943="","",O943/86400)</x:f>
        <x:v>0.005555555555555556</x:v>
      </x:c>
      <x:c r="Q943" s="12" t="n">
        <x:f>IF(O943="","",(H943*60+O943)/86400)</x:f>
        <x:v>0.3875</x:v>
      </x:c>
      <x:c r="R943" s="12" t="str">
        <x:f>IF(Q943="","",TEXT(Q943,"hh:mm:ss"))</x:f>
        <x:v>09:18:00</x:v>
      </x:c>
      <x:c r="S943" s="12" t="str">
        <x:v>否</x:v>
      </x:c>
      <x:c r="T943" s="12" t="str">
        <x:v>否</x:v>
      </x:c>
      <x:c r="U943" s="12" t="str">
        <x:v>未提供</x:v>
      </x:c>
      <x:c r="V943" s="12" t="str">
        <x:v>未提供</x:v>
      </x:c>
      <x:c r="W943" s="12" t="str">
        <x:v>秒级预测</x:v>
      </x:c>
      <x:c r="X943" s="12" t="str">
        <x:v>基于路线秒级参数；如录入实测或手动采用秒，预计到达时间可随公式更新</x:v>
      </x:c>
    </x:row>
    <x:row r="944">
      <x:c r="A944" s="12" t="str">
        <x:v>S0077-09</x:v>
      </x:c>
      <x:c r="B944" s="12" t="str">
        <x:v>S0077</x:v>
      </x:c>
      <x:c r="C944" s="12" t="str">
        <x:v>工作日</x:v>
      </x:c>
      <x:c r="D944" s="12" t="str">
        <x:v>环线2路</x:v>
      </x:c>
      <x:c r="E944" s="12" t="str">
        <x:v>第一班</x:v>
      </x:c>
      <x:c r="F944" s="12" t="n">
        <x:v>7</x:v>
      </x:c>
      <x:c r="G944" s="12" t="str">
        <x:v>9:10</x:v>
      </x:c>
      <x:c r="H944" s="12" t="n">
        <x:v>550</x:v>
      </x:c>
      <x:c r="I944" s="12" t="str">
        <x:v>研究生宿舍楼</x:v>
      </x:c>
      <x:c r="J944" s="12" t="str">
        <x:v>研究生宿舍楼发车</x:v>
      </x:c>
      <x:c r="K944" s="12" t="str">
        <x:v>HX2_NORMAL</x:v>
      </x:c>
      <x:c r="L944" s="12" t="n">
        <x:v>9</x:v>
      </x:c>
      <x:c r="M944" s="12" t="str">
        <x:v>HX2_NORMAL|9</x:v>
      </x:c>
      <x:c r="N944" s="12" t="str">
        <x:v>305教学楼</x:v>
      </x:c>
      <x:c r="O944" s="12" t="n">
        <x:f>IFERROR(INDEX('秒级路线参数_可调整'!$O:$O,MATCH(M944,'秒级路线参数_可调整'!$A:$A,0)),"")</x:f>
        <x:v>535</x:v>
      </x:c>
      <x:c r="P944" s="12" t="n">
        <x:f>IF(O944="","",O944/86400)</x:f>
        <x:v>0.00619212962962963</x:v>
      </x:c>
      <x:c r="Q944" s="12" t="n">
        <x:f>IF(O944="","",(H944*60+O944)/86400)</x:f>
        <x:v>0.3881365740740741</x:v>
      </x:c>
      <x:c r="R944" s="12" t="str">
        <x:f>IF(Q944="","",TEXT(Q944,"hh:mm:ss"))</x:f>
        <x:v>09:18:55</x:v>
      </x:c>
      <x:c r="S944" s="12" t="str">
        <x:v>否</x:v>
      </x:c>
      <x:c r="T944" s="12" t="str">
        <x:v>否</x:v>
      </x:c>
      <x:c r="U944" s="12" t="str">
        <x:v>未提供</x:v>
      </x:c>
      <x:c r="V944" s="12" t="str">
        <x:v>未提供</x:v>
      </x:c>
      <x:c r="W944" s="12" t="str">
        <x:v>秒级预测</x:v>
      </x:c>
      <x:c r="X944" s="12" t="str">
        <x:v>基于路线秒级参数；如录入实测或手动采用秒，预计到达时间可随公式更新</x:v>
      </x:c>
    </x:row>
    <x:row r="945">
      <x:c r="A945" s="12" t="str">
        <x:v>S0077-10</x:v>
      </x:c>
      <x:c r="B945" s="12" t="str">
        <x:v>S0077</x:v>
      </x:c>
      <x:c r="C945" s="12" t="str">
        <x:v>工作日</x:v>
      </x:c>
      <x:c r="D945" s="12" t="str">
        <x:v>环线2路</x:v>
      </x:c>
      <x:c r="E945" s="12" t="str">
        <x:v>第一班</x:v>
      </x:c>
      <x:c r="F945" s="12" t="n">
        <x:v>7</x:v>
      </x:c>
      <x:c r="G945" s="12" t="str">
        <x:v>9:10</x:v>
      </x:c>
      <x:c r="H945" s="12" t="n">
        <x:v>550</x:v>
      </x:c>
      <x:c r="I945" s="12" t="str">
        <x:v>研究生宿舍楼</x:v>
      </x:c>
      <x:c r="J945" s="12" t="str">
        <x:v>研究生宿舍楼发车</x:v>
      </x:c>
      <x:c r="K945" s="12" t="str">
        <x:v>HX2_NORMAL</x:v>
      </x:c>
      <x:c r="L945" s="12" t="n">
        <x:v>10</x:v>
      </x:c>
      <x:c r="M945" s="12" t="str">
        <x:v>HX2_NORMAL|10</x:v>
      </x:c>
      <x:c r="N945" s="12" t="str">
        <x:v>研究生宿舍楼</x:v>
      </x:c>
      <x:c r="O945" s="12" t="n">
        <x:f>IFERROR(INDEX('秒级路线参数_可调整'!$O:$O,MATCH(M945,'秒级路线参数_可调整'!$A:$A,0)),"")</x:f>
        <x:v>715</x:v>
      </x:c>
      <x:c r="P945" s="12" t="n">
        <x:f>IF(O945="","",O945/86400)</x:f>
        <x:v>0.008275462962962964</x:v>
      </x:c>
      <x:c r="Q945" s="12" t="n">
        <x:f>IF(O945="","",(H945*60+O945)/86400)</x:f>
        <x:v>0.3902199074074074</x:v>
      </x:c>
      <x:c r="R945" s="12" t="str">
        <x:f>IF(Q945="","",TEXT(Q945,"hh:mm:ss"))</x:f>
        <x:v>09:21:55</x:v>
      </x:c>
      <x:c r="S945" s="12" t="str">
        <x:v>否</x:v>
      </x:c>
      <x:c r="T945" s="12" t="str">
        <x:v>是</x:v>
      </x:c>
      <x:c r="U945" s="12" t="str">
        <x:v>未提供</x:v>
      </x:c>
      <x:c r="V945" s="12" t="str">
        <x:v>未提供</x:v>
      </x:c>
      <x:c r="W945" s="12" t="str">
        <x:v>秒级预测</x:v>
      </x:c>
      <x:c r="X945" s="12" t="str">
        <x:v>基于路线秒级参数；如录入实测或手动采用秒，预计到达时间可随公式更新</x:v>
      </x:c>
    </x:row>
    <x:row r="946">
      <x:c r="A946" s="12" t="str">
        <x:v>S0078-01</x:v>
      </x:c>
      <x:c r="B946" s="12" t="str">
        <x:v>S0078</x:v>
      </x:c>
      <x:c r="C946" s="12" t="str">
        <x:v>工作日</x:v>
      </x:c>
      <x:c r="D946" s="12" t="str">
        <x:v>环线2路</x:v>
      </x:c>
      <x:c r="E946" s="12" t="str">
        <x:v>第一班</x:v>
      </x:c>
      <x:c r="F946" s="12" t="n">
        <x:v>8</x:v>
      </x:c>
      <x:c r="G946" s="12" t="str">
        <x:v>9:40</x:v>
      </x:c>
      <x:c r="H946" s="12" t="n">
        <x:v>580</x:v>
      </x:c>
      <x:c r="I946" s="12" t="str">
        <x:v>研究生宿舍楼</x:v>
      </x:c>
      <x:c r="J946" s="12" t="str">
        <x:v>研究生宿舍楼发车</x:v>
      </x:c>
      <x:c r="K946" s="12" t="str">
        <x:v>HX2_NORMAL</x:v>
      </x:c>
      <x:c r="L946" s="12" t="n">
        <x:v>1</x:v>
      </x:c>
      <x:c r="M946" s="12" t="str">
        <x:v>HX2_NORMAL|1</x:v>
      </x:c>
      <x:c r="N946" s="12" t="str">
        <x:v>研究生宿舍楼</x:v>
      </x:c>
      <x:c r="O946" s="12" t="n">
        <x:f>IFERROR(INDEX('秒级路线参数_可调整'!$O:$O,MATCH(M946,'秒级路线参数_可调整'!$A:$A,0)),"")</x:f>
        <x:v>0</x:v>
      </x:c>
      <x:c r="P946" s="12" t="str">
        <x:f>IF(O946="","",O946/86400)</x:f>
      </x:c>
      <x:c r="Q946" s="12" t="str">
        <x:f>IF(O946="","",(H946*60+O946)/86400)</x:f>
      </x:c>
      <x:c r="R946" s="12" t="str">
        <x:f>IF(Q946="","",TEXT(Q946,"hh:mm:ss"))</x:f>
      </x:c>
      <x:c r="S946" s="12" t="str">
        <x:v>是</x:v>
      </x:c>
      <x:c r="T946" s="12" t="str">
        <x:v>否</x:v>
      </x:c>
      <x:c r="U946" s="12" t="str">
        <x:v>未提供</x:v>
      </x:c>
      <x:c r="V946" s="12" t="str">
        <x:v>未提供</x:v>
      </x:c>
      <x:c r="W946" s="12" t="str">
        <x:v>秒级预测</x:v>
      </x:c>
      <x:c r="X946" s="12" t="str">
        <x:v>基于路线秒级参数；如录入实测或手动采用秒，预计到达时间可随公式更新</x:v>
      </x:c>
    </x:row>
    <x:row r="947">
      <x:c r="A947" s="12" t="str">
        <x:v>S0078-02</x:v>
      </x:c>
      <x:c r="B947" s="12" t="str">
        <x:v>S0078</x:v>
      </x:c>
      <x:c r="C947" s="12" t="str">
        <x:v>工作日</x:v>
      </x:c>
      <x:c r="D947" s="12" t="str">
        <x:v>环线2路</x:v>
      </x:c>
      <x:c r="E947" s="12" t="str">
        <x:v>第一班</x:v>
      </x:c>
      <x:c r="F947" s="12" t="n">
        <x:v>8</x:v>
      </x:c>
      <x:c r="G947" s="12" t="str">
        <x:v>9:40</x:v>
      </x:c>
      <x:c r="H947" s="12" t="n">
        <x:v>580</x:v>
      </x:c>
      <x:c r="I947" s="12" t="str">
        <x:v>研究生宿舍楼</x:v>
      </x:c>
      <x:c r="J947" s="12" t="str">
        <x:v>研究生宿舍楼发车</x:v>
      </x:c>
      <x:c r="K947" s="12" t="str">
        <x:v>HX2_NORMAL</x:v>
      </x:c>
      <x:c r="L947" s="12" t="n">
        <x:v>2</x:v>
      </x:c>
      <x:c r="M947" s="12" t="str">
        <x:v>HX2_NORMAL|2</x:v>
      </x:c>
      <x:c r="N947" s="12" t="str">
        <x:v>一食堂</x:v>
      </x:c>
      <x:c r="O947" s="12" t="n">
        <x:f>IFERROR(INDEX('秒级路线参数_可调整'!$O:$O,MATCH(M947,'秒级路线参数_可调整'!$A:$A,0)),"")</x:f>
        <x:v>65</x:v>
      </x:c>
      <x:c r="P947" s="12" t="n">
        <x:f>IF(O947="","",O947/86400)</x:f>
        <x:v>0.0007523148148148148</x:v>
      </x:c>
      <x:c r="Q947" s="12" t="n">
        <x:f>IF(O947="","",(H947*60+O947)/86400)</x:f>
        <x:v>0.4035300925925926</x:v>
      </x:c>
      <x:c r="R947" s="12" t="str">
        <x:f>IF(Q947="","",TEXT(Q947,"hh:mm:ss"))</x:f>
        <x:v>09:41:05</x:v>
      </x:c>
      <x:c r="S947" s="12" t="str">
        <x:v>否</x:v>
      </x:c>
      <x:c r="T947" s="12" t="str">
        <x:v>否</x:v>
      </x:c>
      <x:c r="U947" s="12" t="str">
        <x:v>未提供</x:v>
      </x:c>
      <x:c r="V947" s="12" t="str">
        <x:v>未提供</x:v>
      </x:c>
      <x:c r="W947" s="12" t="str">
        <x:v>秒级预测</x:v>
      </x:c>
      <x:c r="X947" s="12" t="str">
        <x:v>基于路线秒级参数；如录入实测或手动采用秒，预计到达时间可随公式更新</x:v>
      </x:c>
    </x:row>
    <x:row r="948">
      <x:c r="A948" s="12" t="str">
        <x:v>S0078-03</x:v>
      </x:c>
      <x:c r="B948" s="12" t="str">
        <x:v>S0078</x:v>
      </x:c>
      <x:c r="C948" s="12" t="str">
        <x:v>工作日</x:v>
      </x:c>
      <x:c r="D948" s="12" t="str">
        <x:v>环线2路</x:v>
      </x:c>
      <x:c r="E948" s="12" t="str">
        <x:v>第一班</x:v>
      </x:c>
      <x:c r="F948" s="12" t="n">
        <x:v>8</x:v>
      </x:c>
      <x:c r="G948" s="12" t="str">
        <x:v>9:40</x:v>
      </x:c>
      <x:c r="H948" s="12" t="n">
        <x:v>580</x:v>
      </x:c>
      <x:c r="I948" s="12" t="str">
        <x:v>研究生宿舍楼</x:v>
      </x:c>
      <x:c r="J948" s="12" t="str">
        <x:v>研究生宿舍楼发车</x:v>
      </x:c>
      <x:c r="K948" s="12" t="str">
        <x:v>HX2_NORMAL</x:v>
      </x:c>
      <x:c r="L948" s="12" t="n">
        <x:v>3</x:v>
      </x:c>
      <x:c r="M948" s="12" t="str">
        <x:v>HX2_NORMAL|3</x:v>
      </x:c>
      <x:c r="N948" s="12" t="str">
        <x:v>门诊部</x:v>
      </x:c>
      <x:c r="O948" s="12" t="n">
        <x:f>IFERROR(INDEX('秒级路线参数_可调整'!$O:$O,MATCH(M948,'秒级路线参数_可调整'!$A:$A,0)),"")</x:f>
        <x:v>120</x:v>
      </x:c>
      <x:c r="P948" s="12" t="n">
        <x:f>IF(O948="","",O948/86400)</x:f>
        <x:v>0.001388888888888889</x:v>
      </x:c>
      <x:c r="Q948" s="12" t="n">
        <x:f>IF(O948="","",(H948*60+O948)/86400)</x:f>
        <x:v>0.4041666666666667</x:v>
      </x:c>
      <x:c r="R948" s="12" t="str">
        <x:f>IF(Q948="","",TEXT(Q948,"hh:mm:ss"))</x:f>
        <x:v>09:42:00</x:v>
      </x:c>
      <x:c r="S948" s="12" t="str">
        <x:v>否</x:v>
      </x:c>
      <x:c r="T948" s="12" t="str">
        <x:v>否</x:v>
      </x:c>
      <x:c r="U948" s="12" t="str">
        <x:v>未提供</x:v>
      </x:c>
      <x:c r="V948" s="12" t="str">
        <x:v>未提供</x:v>
      </x:c>
      <x:c r="W948" s="12" t="str">
        <x:v>秒级预测</x:v>
      </x:c>
      <x:c r="X948" s="12" t="str">
        <x:v>基于路线秒级参数；如录入实测或手动采用秒，预计到达时间可随公式更新</x:v>
      </x:c>
    </x:row>
    <x:row r="949">
      <x:c r="A949" s="12" t="str">
        <x:v>S0078-04</x:v>
      </x:c>
      <x:c r="B949" s="12" t="str">
        <x:v>S0078</x:v>
      </x:c>
      <x:c r="C949" s="12" t="str">
        <x:v>工作日</x:v>
      </x:c>
      <x:c r="D949" s="12" t="str">
        <x:v>环线2路</x:v>
      </x:c>
      <x:c r="E949" s="12" t="str">
        <x:v>第一班</x:v>
      </x:c>
      <x:c r="F949" s="12" t="n">
        <x:v>8</x:v>
      </x:c>
      <x:c r="G949" s="12" t="str">
        <x:v>9:40</x:v>
      </x:c>
      <x:c r="H949" s="12" t="n">
        <x:v>580</x:v>
      </x:c>
      <x:c r="I949" s="12" t="str">
        <x:v>研究生宿舍楼</x:v>
      </x:c>
      <x:c r="J949" s="12" t="str">
        <x:v>研究生宿舍楼发车</x:v>
      </x:c>
      <x:c r="K949" s="12" t="str">
        <x:v>HX2_NORMAL</x:v>
      </x:c>
      <x:c r="L949" s="12" t="n">
        <x:v>4</x:v>
      </x:c>
      <x:c r="M949" s="12" t="str">
        <x:v>HX2_NORMAL|4</x:v>
      </x:c>
      <x:c r="N949" s="12" t="str">
        <x:v>1号宿舍楼</x:v>
      </x:c>
      <x:c r="O949" s="12" t="n">
        <x:f>IFERROR(INDEX('秒级路线参数_可调整'!$O:$O,MATCH(M949,'秒级路线参数_可调整'!$A:$A,0)),"")</x:f>
        <x:v>165</x:v>
      </x:c>
      <x:c r="P949" s="12" t="n">
        <x:f>IF(O949="","",O949/86400)</x:f>
        <x:v>0.0019097222222222222</x:v>
      </x:c>
      <x:c r="Q949" s="12" t="n">
        <x:f>IF(O949="","",(H949*60+O949)/86400)</x:f>
        <x:v>0.4046875</x:v>
      </x:c>
      <x:c r="R949" s="12" t="str">
        <x:f>IF(Q949="","",TEXT(Q949,"hh:mm:ss"))</x:f>
        <x:v>09:42:45</x:v>
      </x:c>
      <x:c r="S949" s="12" t="str">
        <x:v>否</x:v>
      </x:c>
      <x:c r="T949" s="12" t="str">
        <x:v>否</x:v>
      </x:c>
      <x:c r="U949" s="12" t="str">
        <x:v>未提供</x:v>
      </x:c>
      <x:c r="V949" s="12" t="str">
        <x:v>未提供</x:v>
      </x:c>
      <x:c r="W949" s="12" t="str">
        <x:v>秒级预测</x:v>
      </x:c>
      <x:c r="X949" s="12" t="str">
        <x:v>基于路线秒级参数；如录入实测或手动采用秒，预计到达时间可随公式更新</x:v>
      </x:c>
    </x:row>
    <x:row r="950">
      <x:c r="A950" s="12" t="str">
        <x:v>S0078-05</x:v>
      </x:c>
      <x:c r="B950" s="12" t="str">
        <x:v>S0078</x:v>
      </x:c>
      <x:c r="C950" s="12" t="str">
        <x:v>工作日</x:v>
      </x:c>
      <x:c r="D950" s="12" t="str">
        <x:v>环线2路</x:v>
      </x:c>
      <x:c r="E950" s="12" t="str">
        <x:v>第一班</x:v>
      </x:c>
      <x:c r="F950" s="12" t="n">
        <x:v>8</x:v>
      </x:c>
      <x:c r="G950" s="12" t="str">
        <x:v>9:40</x:v>
      </x:c>
      <x:c r="H950" s="12" t="n">
        <x:v>580</x:v>
      </x:c>
      <x:c r="I950" s="12" t="str">
        <x:v>研究生宿舍楼</x:v>
      </x:c>
      <x:c r="J950" s="12" t="str">
        <x:v>研究生宿舍楼发车</x:v>
      </x:c>
      <x:c r="K950" s="12" t="str">
        <x:v>HX2_NORMAL</x:v>
      </x:c>
      <x:c r="L950" s="12" t="n">
        <x:v>5</x:v>
      </x:c>
      <x:c r="M950" s="12" t="str">
        <x:v>HX2_NORMAL|5</x:v>
      </x:c>
      <x:c r="N950" s="12" t="str">
        <x:v>水上训练中心</x:v>
      </x:c>
      <x:c r="O950" s="12" t="n">
        <x:f>IFERROR(INDEX('秒级路线参数_可调整'!$O:$O,MATCH(M950,'秒级路线参数_可调整'!$A:$A,0)),"")</x:f>
        <x:v>250</x:v>
      </x:c>
      <x:c r="P950" s="12" t="n">
        <x:f>IF(O950="","",O950/86400)</x:f>
        <x:v>0.0028935185185185184</x:v>
      </x:c>
      <x:c r="Q950" s="12" t="n">
        <x:f>IF(O950="","",(H950*60+O950)/86400)</x:f>
        <x:v>0.4056712962962963</x:v>
      </x:c>
      <x:c r="R950" s="12" t="str">
        <x:f>IF(Q950="","",TEXT(Q950,"hh:mm:ss"))</x:f>
        <x:v>09:44:10</x:v>
      </x:c>
      <x:c r="S950" s="12" t="str">
        <x:v>否</x:v>
      </x:c>
      <x:c r="T950" s="12" t="str">
        <x:v>否</x:v>
      </x:c>
      <x:c r="U950" s="12" t="str">
        <x:v>未提供</x:v>
      </x:c>
      <x:c r="V950" s="12" t="str">
        <x:v>未提供</x:v>
      </x:c>
      <x:c r="W950" s="12" t="str">
        <x:v>秒级预测</x:v>
      </x:c>
      <x:c r="X950" s="12" t="str">
        <x:v>基于路线秒级参数；如录入实测或手动采用秒，预计到达时间可随公式更新</x:v>
      </x:c>
    </x:row>
    <x:row r="951">
      <x:c r="A951" s="12" t="str">
        <x:v>S0078-06</x:v>
      </x:c>
      <x:c r="B951" s="12" t="str">
        <x:v>S0078</x:v>
      </x:c>
      <x:c r="C951" s="12" t="str">
        <x:v>工作日</x:v>
      </x:c>
      <x:c r="D951" s="12" t="str">
        <x:v>环线2路</x:v>
      </x:c>
      <x:c r="E951" s="12" t="str">
        <x:v>第一班</x:v>
      </x:c>
      <x:c r="F951" s="12" t="n">
        <x:v>8</x:v>
      </x:c>
      <x:c r="G951" s="12" t="str">
        <x:v>9:40</x:v>
      </x:c>
      <x:c r="H951" s="12" t="n">
        <x:v>580</x:v>
      </x:c>
      <x:c r="I951" s="12" t="str">
        <x:v>研究生宿舍楼</x:v>
      </x:c>
      <x:c r="J951" s="12" t="str">
        <x:v>研究生宿舍楼发车</x:v>
      </x:c>
      <x:c r="K951" s="12" t="str">
        <x:v>HX2_NORMAL</x:v>
      </x:c>
      <x:c r="L951" s="12" t="n">
        <x:v>6</x:v>
      </x:c>
      <x:c r="M951" s="12" t="str">
        <x:v>HX2_NORMAL|6</x:v>
      </x:c>
      <x:c r="N951" s="12" t="str">
        <x:v>军体活动中心</x:v>
      </x:c>
      <x:c r="O951" s="12" t="n">
        <x:f>IFERROR(INDEX('秒级路线参数_可调整'!$O:$O,MATCH(M951,'秒级路线参数_可调整'!$A:$A,0)),"")</x:f>
        <x:v>315</x:v>
      </x:c>
      <x:c r="P951" s="12" t="n">
        <x:f>IF(O951="","",O951/86400)</x:f>
        <x:v>0.0036458333333333334</x:v>
      </x:c>
      <x:c r="Q951" s="12" t="n">
        <x:f>IF(O951="","",(H951*60+O951)/86400)</x:f>
        <x:v>0.40642361111111114</x:v>
      </x:c>
      <x:c r="R951" s="12" t="str">
        <x:f>IF(Q951="","",TEXT(Q951,"hh:mm:ss"))</x:f>
        <x:v>09:45:15</x:v>
      </x:c>
      <x:c r="S951" s="12" t="str">
        <x:v>否</x:v>
      </x:c>
      <x:c r="T951" s="12" t="str">
        <x:v>否</x:v>
      </x:c>
      <x:c r="U951" s="12" t="str">
        <x:v>未提供</x:v>
      </x:c>
      <x:c r="V951" s="12" t="str">
        <x:v>未提供</x:v>
      </x:c>
      <x:c r="W951" s="12" t="str">
        <x:v>秒级预测</x:v>
      </x:c>
      <x:c r="X951" s="12" t="str">
        <x:v>基于路线秒级参数；如录入实测或手动采用秒，预计到达时间可随公式更新</x:v>
      </x:c>
    </x:row>
    <x:row r="952">
      <x:c r="A952" s="12" t="str">
        <x:v>S0078-07</x:v>
      </x:c>
      <x:c r="B952" s="12" t="str">
        <x:v>S0078</x:v>
      </x:c>
      <x:c r="C952" s="12" t="str">
        <x:v>工作日</x:v>
      </x:c>
      <x:c r="D952" s="12" t="str">
        <x:v>环线2路</x:v>
      </x:c>
      <x:c r="E952" s="12" t="str">
        <x:v>第一班</x:v>
      </x:c>
      <x:c r="F952" s="12" t="n">
        <x:v>8</x:v>
      </x:c>
      <x:c r="G952" s="12" t="str">
        <x:v>9:40</x:v>
      </x:c>
      <x:c r="H952" s="12" t="n">
        <x:v>580</x:v>
      </x:c>
      <x:c r="I952" s="12" t="str">
        <x:v>研究生宿舍楼</x:v>
      </x:c>
      <x:c r="J952" s="12" t="str">
        <x:v>研究生宿舍楼发车</x:v>
      </x:c>
      <x:c r="K952" s="12" t="str">
        <x:v>HX2_NORMAL</x:v>
      </x:c>
      <x:c r="L952" s="12" t="n">
        <x:v>7</x:v>
      </x:c>
      <x:c r="M952" s="12" t="str">
        <x:v>HX2_NORMAL|7</x:v>
      </x:c>
      <x:c r="N952" s="12" t="str">
        <x:v>二食堂</x:v>
      </x:c>
      <x:c r="O952" s="12" t="n">
        <x:f>IFERROR(INDEX('秒级路线参数_可调整'!$O:$O,MATCH(M952,'秒级路线参数_可调整'!$A:$A,0)),"")</x:f>
        <x:v>420</x:v>
      </x:c>
      <x:c r="P952" s="12" t="n">
        <x:f>IF(O952="","",O952/86400)</x:f>
        <x:v>0.004861111111111111</x:v>
      </x:c>
      <x:c r="Q952" s="12" t="n">
        <x:f>IF(O952="","",(H952*60+O952)/86400)</x:f>
        <x:v>0.4076388888888889</x:v>
      </x:c>
      <x:c r="R952" s="12" t="str">
        <x:f>IF(Q952="","",TEXT(Q952,"hh:mm:ss"))</x:f>
        <x:v>09:47:00</x:v>
      </x:c>
      <x:c r="S952" s="12" t="str">
        <x:v>否</x:v>
      </x:c>
      <x:c r="T952" s="12" t="str">
        <x:v>否</x:v>
      </x:c>
      <x:c r="U952" s="12" t="str">
        <x:v>未提供</x:v>
      </x:c>
      <x:c r="V952" s="12" t="str">
        <x:v>未提供</x:v>
      </x:c>
      <x:c r="W952" s="12" t="str">
        <x:v>秒级预测</x:v>
      </x:c>
      <x:c r="X952" s="12" t="str">
        <x:v>基于路线秒级参数；如录入实测或手动采用秒，预计到达时间可随公式更新</x:v>
      </x:c>
    </x:row>
    <x:row r="953">
      <x:c r="A953" s="12" t="str">
        <x:v>S0078-08</x:v>
      </x:c>
      <x:c r="B953" s="12" t="str">
        <x:v>S0078</x:v>
      </x:c>
      <x:c r="C953" s="12" t="str">
        <x:v>工作日</x:v>
      </x:c>
      <x:c r="D953" s="12" t="str">
        <x:v>环线2路</x:v>
      </x:c>
      <x:c r="E953" s="12" t="str">
        <x:v>第一班</x:v>
      </x:c>
      <x:c r="F953" s="12" t="n">
        <x:v>8</x:v>
      </x:c>
      <x:c r="G953" s="12" t="str">
        <x:v>9:40</x:v>
      </x:c>
      <x:c r="H953" s="12" t="n">
        <x:v>580</x:v>
      </x:c>
      <x:c r="I953" s="12" t="str">
        <x:v>研究生宿舍楼</x:v>
      </x:c>
      <x:c r="J953" s="12" t="str">
        <x:v>研究生宿舍楼发车</x:v>
      </x:c>
      <x:c r="K953" s="12" t="str">
        <x:v>HX2_NORMAL</x:v>
      </x:c>
      <x:c r="L953" s="12" t="n">
        <x:v>8</x:v>
      </x:c>
      <x:c r="M953" s="12" t="str">
        <x:v>HX2_NORMAL|8</x:v>
      </x:c>
      <x:c r="N953" s="12" t="str">
        <x:v>5号宿舍楼</x:v>
      </x:c>
      <x:c r="O953" s="12" t="n">
        <x:f>IFERROR(INDEX('秒级路线参数_可调整'!$O:$O,MATCH(M953,'秒级路线参数_可调整'!$A:$A,0)),"")</x:f>
        <x:v>480</x:v>
      </x:c>
      <x:c r="P953" s="12" t="n">
        <x:f>IF(O953="","",O953/86400)</x:f>
        <x:v>0.005555555555555556</x:v>
      </x:c>
      <x:c r="Q953" s="12" t="n">
        <x:f>IF(O953="","",(H953*60+O953)/86400)</x:f>
        <x:v>0.4083333333333333</x:v>
      </x:c>
      <x:c r="R953" s="12" t="str">
        <x:f>IF(Q953="","",TEXT(Q953,"hh:mm:ss"))</x:f>
        <x:v>09:48:00</x:v>
      </x:c>
      <x:c r="S953" s="12" t="str">
        <x:v>否</x:v>
      </x:c>
      <x:c r="T953" s="12" t="str">
        <x:v>否</x:v>
      </x:c>
      <x:c r="U953" s="12" t="str">
        <x:v>未提供</x:v>
      </x:c>
      <x:c r="V953" s="12" t="str">
        <x:v>未提供</x:v>
      </x:c>
      <x:c r="W953" s="12" t="str">
        <x:v>秒级预测</x:v>
      </x:c>
      <x:c r="X953" s="12" t="str">
        <x:v>基于路线秒级参数；如录入实测或手动采用秒，预计到达时间可随公式更新</x:v>
      </x:c>
    </x:row>
    <x:row r="954">
      <x:c r="A954" s="12" t="str">
        <x:v>S0078-09</x:v>
      </x:c>
      <x:c r="B954" s="12" t="str">
        <x:v>S0078</x:v>
      </x:c>
      <x:c r="C954" s="12" t="str">
        <x:v>工作日</x:v>
      </x:c>
      <x:c r="D954" s="12" t="str">
        <x:v>环线2路</x:v>
      </x:c>
      <x:c r="E954" s="12" t="str">
        <x:v>第一班</x:v>
      </x:c>
      <x:c r="F954" s="12" t="n">
        <x:v>8</x:v>
      </x:c>
      <x:c r="G954" s="12" t="str">
        <x:v>9:40</x:v>
      </x:c>
      <x:c r="H954" s="12" t="n">
        <x:v>580</x:v>
      </x:c>
      <x:c r="I954" s="12" t="str">
        <x:v>研究生宿舍楼</x:v>
      </x:c>
      <x:c r="J954" s="12" t="str">
        <x:v>研究生宿舍楼发车</x:v>
      </x:c>
      <x:c r="K954" s="12" t="str">
        <x:v>HX2_NORMAL</x:v>
      </x:c>
      <x:c r="L954" s="12" t="n">
        <x:v>9</x:v>
      </x:c>
      <x:c r="M954" s="12" t="str">
        <x:v>HX2_NORMAL|9</x:v>
      </x:c>
      <x:c r="N954" s="12" t="str">
        <x:v>305教学楼</x:v>
      </x:c>
      <x:c r="O954" s="12" t="n">
        <x:f>IFERROR(INDEX('秒级路线参数_可调整'!$O:$O,MATCH(M954,'秒级路线参数_可调整'!$A:$A,0)),"")</x:f>
        <x:v>535</x:v>
      </x:c>
      <x:c r="P954" s="12" t="n">
        <x:f>IF(O954="","",O954/86400)</x:f>
        <x:v>0.00619212962962963</x:v>
      </x:c>
      <x:c r="Q954" s="12" t="n">
        <x:f>IF(O954="","",(H954*60+O954)/86400)</x:f>
        <x:v>0.4089699074074074</x:v>
      </x:c>
      <x:c r="R954" s="12" t="str">
        <x:f>IF(Q954="","",TEXT(Q954,"hh:mm:ss"))</x:f>
        <x:v>09:48:55</x:v>
      </x:c>
      <x:c r="S954" s="12" t="str">
        <x:v>否</x:v>
      </x:c>
      <x:c r="T954" s="12" t="str">
        <x:v>否</x:v>
      </x:c>
      <x:c r="U954" s="12" t="str">
        <x:v>未提供</x:v>
      </x:c>
      <x:c r="V954" s="12" t="str">
        <x:v>未提供</x:v>
      </x:c>
      <x:c r="W954" s="12" t="str">
        <x:v>秒级预测</x:v>
      </x:c>
      <x:c r="X954" s="12" t="str">
        <x:v>基于路线秒级参数；如录入实测或手动采用秒，预计到达时间可随公式更新</x:v>
      </x:c>
    </x:row>
    <x:row r="955">
      <x:c r="A955" s="12" t="str">
        <x:v>S0078-10</x:v>
      </x:c>
      <x:c r="B955" s="12" t="str">
        <x:v>S0078</x:v>
      </x:c>
      <x:c r="C955" s="12" t="str">
        <x:v>工作日</x:v>
      </x:c>
      <x:c r="D955" s="12" t="str">
        <x:v>环线2路</x:v>
      </x:c>
      <x:c r="E955" s="12" t="str">
        <x:v>第一班</x:v>
      </x:c>
      <x:c r="F955" s="12" t="n">
        <x:v>8</x:v>
      </x:c>
      <x:c r="G955" s="12" t="str">
        <x:v>9:40</x:v>
      </x:c>
      <x:c r="H955" s="12" t="n">
        <x:v>580</x:v>
      </x:c>
      <x:c r="I955" s="12" t="str">
        <x:v>研究生宿舍楼</x:v>
      </x:c>
      <x:c r="J955" s="12" t="str">
        <x:v>研究生宿舍楼发车</x:v>
      </x:c>
      <x:c r="K955" s="12" t="str">
        <x:v>HX2_NORMAL</x:v>
      </x:c>
      <x:c r="L955" s="12" t="n">
        <x:v>10</x:v>
      </x:c>
      <x:c r="M955" s="12" t="str">
        <x:v>HX2_NORMAL|10</x:v>
      </x:c>
      <x:c r="N955" s="12" t="str">
        <x:v>研究生宿舍楼</x:v>
      </x:c>
      <x:c r="O955" s="12" t="n">
        <x:f>IFERROR(INDEX('秒级路线参数_可调整'!$O:$O,MATCH(M955,'秒级路线参数_可调整'!$A:$A,0)),"")</x:f>
        <x:v>715</x:v>
      </x:c>
      <x:c r="P955" s="12" t="n">
        <x:f>IF(O955="","",O955/86400)</x:f>
        <x:v>0.008275462962962964</x:v>
      </x:c>
      <x:c r="Q955" s="12" t="n">
        <x:f>IF(O955="","",(H955*60+O955)/86400)</x:f>
        <x:v>0.41105324074074073</x:v>
      </x:c>
      <x:c r="R955" s="12" t="str">
        <x:f>IF(Q955="","",TEXT(Q955,"hh:mm:ss"))</x:f>
        <x:v>09:51:55</x:v>
      </x:c>
      <x:c r="S955" s="12" t="str">
        <x:v>否</x:v>
      </x:c>
      <x:c r="T955" s="12" t="str">
        <x:v>是</x:v>
      </x:c>
      <x:c r="U955" s="12" t="str">
        <x:v>未提供</x:v>
      </x:c>
      <x:c r="V955" s="12" t="str">
        <x:v>未提供</x:v>
      </x:c>
      <x:c r="W955" s="12" t="str">
        <x:v>秒级预测</x:v>
      </x:c>
      <x:c r="X955" s="12" t="str">
        <x:v>基于路线秒级参数；如录入实测或手动采用秒，预计到达时间可随公式更新</x:v>
      </x:c>
    </x:row>
    <x:row r="956">
      <x:c r="A956" s="12" t="str">
        <x:v>S0079-01</x:v>
      </x:c>
      <x:c r="B956" s="12" t="str">
        <x:v>S0079</x:v>
      </x:c>
      <x:c r="C956" s="12" t="str">
        <x:v>工作日</x:v>
      </x:c>
      <x:c r="D956" s="12" t="str">
        <x:v>环线2路</x:v>
      </x:c>
      <x:c r="E956" s="12" t="str">
        <x:v>第一班</x:v>
      </x:c>
      <x:c r="F956" s="12" t="n">
        <x:v>9</x:v>
      </x:c>
      <x:c r="G956" s="12" t="str">
        <x:v>10:10</x:v>
      </x:c>
      <x:c r="H956" s="12" t="n">
        <x:v>610</x:v>
      </x:c>
      <x:c r="I956" s="12" t="str">
        <x:v>研究生宿舍楼</x:v>
      </x:c>
      <x:c r="J956" s="12" t="str">
        <x:v>研究生宿舍楼发车</x:v>
      </x:c>
      <x:c r="K956" s="12" t="str">
        <x:v>HX2_NORMAL</x:v>
      </x:c>
      <x:c r="L956" s="12" t="n">
        <x:v>1</x:v>
      </x:c>
      <x:c r="M956" s="12" t="str">
        <x:v>HX2_NORMAL|1</x:v>
      </x:c>
      <x:c r="N956" s="12" t="str">
        <x:v>研究生宿舍楼</x:v>
      </x:c>
      <x:c r="O956" s="12" t="n">
        <x:f>IFERROR(INDEX('秒级路线参数_可调整'!$O:$O,MATCH(M956,'秒级路线参数_可调整'!$A:$A,0)),"")</x:f>
        <x:v>0</x:v>
      </x:c>
      <x:c r="P956" s="12" t="str">
        <x:f>IF(O956="","",O956/86400)</x:f>
      </x:c>
      <x:c r="Q956" s="12" t="str">
        <x:f>IF(O956="","",(H956*60+O956)/86400)</x:f>
      </x:c>
      <x:c r="R956" s="12" t="str">
        <x:f>IF(Q956="","",TEXT(Q956,"hh:mm:ss"))</x:f>
      </x:c>
      <x:c r="S956" s="12" t="str">
        <x:v>是</x:v>
      </x:c>
      <x:c r="T956" s="12" t="str">
        <x:v>否</x:v>
      </x:c>
      <x:c r="U956" s="12" t="str">
        <x:v>未提供</x:v>
      </x:c>
      <x:c r="V956" s="12" t="str">
        <x:v>未提供</x:v>
      </x:c>
      <x:c r="W956" s="12" t="str">
        <x:v>秒级预测</x:v>
      </x:c>
      <x:c r="X956" s="12" t="str">
        <x:v>基于路线秒级参数；如录入实测或手动采用秒，预计到达时间可随公式更新</x:v>
      </x:c>
    </x:row>
    <x:row r="957">
      <x:c r="A957" s="12" t="str">
        <x:v>S0079-02</x:v>
      </x:c>
      <x:c r="B957" s="12" t="str">
        <x:v>S0079</x:v>
      </x:c>
      <x:c r="C957" s="12" t="str">
        <x:v>工作日</x:v>
      </x:c>
      <x:c r="D957" s="12" t="str">
        <x:v>环线2路</x:v>
      </x:c>
      <x:c r="E957" s="12" t="str">
        <x:v>第一班</x:v>
      </x:c>
      <x:c r="F957" s="12" t="n">
        <x:v>9</x:v>
      </x:c>
      <x:c r="G957" s="12" t="str">
        <x:v>10:10</x:v>
      </x:c>
      <x:c r="H957" s="12" t="n">
        <x:v>610</x:v>
      </x:c>
      <x:c r="I957" s="12" t="str">
        <x:v>研究生宿舍楼</x:v>
      </x:c>
      <x:c r="J957" s="12" t="str">
        <x:v>研究生宿舍楼发车</x:v>
      </x:c>
      <x:c r="K957" s="12" t="str">
        <x:v>HX2_NORMAL</x:v>
      </x:c>
      <x:c r="L957" s="12" t="n">
        <x:v>2</x:v>
      </x:c>
      <x:c r="M957" s="12" t="str">
        <x:v>HX2_NORMAL|2</x:v>
      </x:c>
      <x:c r="N957" s="12" t="str">
        <x:v>一食堂</x:v>
      </x:c>
      <x:c r="O957" s="12" t="n">
        <x:f>IFERROR(INDEX('秒级路线参数_可调整'!$O:$O,MATCH(M957,'秒级路线参数_可调整'!$A:$A,0)),"")</x:f>
        <x:v>65</x:v>
      </x:c>
      <x:c r="P957" s="12" t="n">
        <x:f>IF(O957="","",O957/86400)</x:f>
        <x:v>0.0007523148148148148</x:v>
      </x:c>
      <x:c r="Q957" s="12" t="n">
        <x:f>IF(O957="","",(H957*60+O957)/86400)</x:f>
        <x:v>0.4243634259259259</x:v>
      </x:c>
      <x:c r="R957" s="12" t="str">
        <x:f>IF(Q957="","",TEXT(Q957,"hh:mm:ss"))</x:f>
        <x:v>10:11:05</x:v>
      </x:c>
      <x:c r="S957" s="12" t="str">
        <x:v>否</x:v>
      </x:c>
      <x:c r="T957" s="12" t="str">
        <x:v>否</x:v>
      </x:c>
      <x:c r="U957" s="12" t="str">
        <x:v>未提供</x:v>
      </x:c>
      <x:c r="V957" s="12" t="str">
        <x:v>未提供</x:v>
      </x:c>
      <x:c r="W957" s="12" t="str">
        <x:v>秒级预测</x:v>
      </x:c>
      <x:c r="X957" s="12" t="str">
        <x:v>基于路线秒级参数；如录入实测或手动采用秒，预计到达时间可随公式更新</x:v>
      </x:c>
    </x:row>
    <x:row r="958">
      <x:c r="A958" s="12" t="str">
        <x:v>S0079-03</x:v>
      </x:c>
      <x:c r="B958" s="12" t="str">
        <x:v>S0079</x:v>
      </x:c>
      <x:c r="C958" s="12" t="str">
        <x:v>工作日</x:v>
      </x:c>
      <x:c r="D958" s="12" t="str">
        <x:v>环线2路</x:v>
      </x:c>
      <x:c r="E958" s="12" t="str">
        <x:v>第一班</x:v>
      </x:c>
      <x:c r="F958" s="12" t="n">
        <x:v>9</x:v>
      </x:c>
      <x:c r="G958" s="12" t="str">
        <x:v>10:10</x:v>
      </x:c>
      <x:c r="H958" s="12" t="n">
        <x:v>610</x:v>
      </x:c>
      <x:c r="I958" s="12" t="str">
        <x:v>研究生宿舍楼</x:v>
      </x:c>
      <x:c r="J958" s="12" t="str">
        <x:v>研究生宿舍楼发车</x:v>
      </x:c>
      <x:c r="K958" s="12" t="str">
        <x:v>HX2_NORMAL</x:v>
      </x:c>
      <x:c r="L958" s="12" t="n">
        <x:v>3</x:v>
      </x:c>
      <x:c r="M958" s="12" t="str">
        <x:v>HX2_NORMAL|3</x:v>
      </x:c>
      <x:c r="N958" s="12" t="str">
        <x:v>门诊部</x:v>
      </x:c>
      <x:c r="O958" s="12" t="n">
        <x:f>IFERROR(INDEX('秒级路线参数_可调整'!$O:$O,MATCH(M958,'秒级路线参数_可调整'!$A:$A,0)),"")</x:f>
        <x:v>120</x:v>
      </x:c>
      <x:c r="P958" s="12" t="n">
        <x:f>IF(O958="","",O958/86400)</x:f>
        <x:v>0.001388888888888889</x:v>
      </x:c>
      <x:c r="Q958" s="12" t="n">
        <x:f>IF(O958="","",(H958*60+O958)/86400)</x:f>
        <x:v>0.425</x:v>
      </x:c>
      <x:c r="R958" s="12" t="str">
        <x:f>IF(Q958="","",TEXT(Q958,"hh:mm:ss"))</x:f>
        <x:v>10:12:00</x:v>
      </x:c>
      <x:c r="S958" s="12" t="str">
        <x:v>否</x:v>
      </x:c>
      <x:c r="T958" s="12" t="str">
        <x:v>否</x:v>
      </x:c>
      <x:c r="U958" s="12" t="str">
        <x:v>未提供</x:v>
      </x:c>
      <x:c r="V958" s="12" t="str">
        <x:v>未提供</x:v>
      </x:c>
      <x:c r="W958" s="12" t="str">
        <x:v>秒级预测</x:v>
      </x:c>
      <x:c r="X958" s="12" t="str">
        <x:v>基于路线秒级参数；如录入实测或手动采用秒，预计到达时间可随公式更新</x:v>
      </x:c>
    </x:row>
    <x:row r="959">
      <x:c r="A959" s="12" t="str">
        <x:v>S0079-04</x:v>
      </x:c>
      <x:c r="B959" s="12" t="str">
        <x:v>S0079</x:v>
      </x:c>
      <x:c r="C959" s="12" t="str">
        <x:v>工作日</x:v>
      </x:c>
      <x:c r="D959" s="12" t="str">
        <x:v>环线2路</x:v>
      </x:c>
      <x:c r="E959" s="12" t="str">
        <x:v>第一班</x:v>
      </x:c>
      <x:c r="F959" s="12" t="n">
        <x:v>9</x:v>
      </x:c>
      <x:c r="G959" s="12" t="str">
        <x:v>10:10</x:v>
      </x:c>
      <x:c r="H959" s="12" t="n">
        <x:v>610</x:v>
      </x:c>
      <x:c r="I959" s="12" t="str">
        <x:v>研究生宿舍楼</x:v>
      </x:c>
      <x:c r="J959" s="12" t="str">
        <x:v>研究生宿舍楼发车</x:v>
      </x:c>
      <x:c r="K959" s="12" t="str">
        <x:v>HX2_NORMAL</x:v>
      </x:c>
      <x:c r="L959" s="12" t="n">
        <x:v>4</x:v>
      </x:c>
      <x:c r="M959" s="12" t="str">
        <x:v>HX2_NORMAL|4</x:v>
      </x:c>
      <x:c r="N959" s="12" t="str">
        <x:v>1号宿舍楼</x:v>
      </x:c>
      <x:c r="O959" s="12" t="n">
        <x:f>IFERROR(INDEX('秒级路线参数_可调整'!$O:$O,MATCH(M959,'秒级路线参数_可调整'!$A:$A,0)),"")</x:f>
        <x:v>165</x:v>
      </x:c>
      <x:c r="P959" s="12" t="n">
        <x:f>IF(O959="","",O959/86400)</x:f>
        <x:v>0.0019097222222222222</x:v>
      </x:c>
      <x:c r="Q959" s="12" t="n">
        <x:f>IF(O959="","",(H959*60+O959)/86400)</x:f>
        <x:v>0.42552083333333335</x:v>
      </x:c>
      <x:c r="R959" s="12" t="str">
        <x:f>IF(Q959="","",TEXT(Q959,"hh:mm:ss"))</x:f>
        <x:v>10:12:45</x:v>
      </x:c>
      <x:c r="S959" s="12" t="str">
        <x:v>否</x:v>
      </x:c>
      <x:c r="T959" s="12" t="str">
        <x:v>否</x:v>
      </x:c>
      <x:c r="U959" s="12" t="str">
        <x:v>未提供</x:v>
      </x:c>
      <x:c r="V959" s="12" t="str">
        <x:v>未提供</x:v>
      </x:c>
      <x:c r="W959" s="12" t="str">
        <x:v>秒级预测</x:v>
      </x:c>
      <x:c r="X959" s="12" t="str">
        <x:v>基于路线秒级参数；如录入实测或手动采用秒，预计到达时间可随公式更新</x:v>
      </x:c>
    </x:row>
    <x:row r="960">
      <x:c r="A960" s="12" t="str">
        <x:v>S0079-05</x:v>
      </x:c>
      <x:c r="B960" s="12" t="str">
        <x:v>S0079</x:v>
      </x:c>
      <x:c r="C960" s="12" t="str">
        <x:v>工作日</x:v>
      </x:c>
      <x:c r="D960" s="12" t="str">
        <x:v>环线2路</x:v>
      </x:c>
      <x:c r="E960" s="12" t="str">
        <x:v>第一班</x:v>
      </x:c>
      <x:c r="F960" s="12" t="n">
        <x:v>9</x:v>
      </x:c>
      <x:c r="G960" s="12" t="str">
        <x:v>10:10</x:v>
      </x:c>
      <x:c r="H960" s="12" t="n">
        <x:v>610</x:v>
      </x:c>
      <x:c r="I960" s="12" t="str">
        <x:v>研究生宿舍楼</x:v>
      </x:c>
      <x:c r="J960" s="12" t="str">
        <x:v>研究生宿舍楼发车</x:v>
      </x:c>
      <x:c r="K960" s="12" t="str">
        <x:v>HX2_NORMAL</x:v>
      </x:c>
      <x:c r="L960" s="12" t="n">
        <x:v>5</x:v>
      </x:c>
      <x:c r="M960" s="12" t="str">
        <x:v>HX2_NORMAL|5</x:v>
      </x:c>
      <x:c r="N960" s="12" t="str">
        <x:v>水上训练中心</x:v>
      </x:c>
      <x:c r="O960" s="12" t="n">
        <x:f>IFERROR(INDEX('秒级路线参数_可调整'!$O:$O,MATCH(M960,'秒级路线参数_可调整'!$A:$A,0)),"")</x:f>
        <x:v>250</x:v>
      </x:c>
      <x:c r="P960" s="12" t="n">
        <x:f>IF(O960="","",O960/86400)</x:f>
        <x:v>0.0028935185185185184</x:v>
      </x:c>
      <x:c r="Q960" s="12" t="n">
        <x:f>IF(O960="","",(H960*60+O960)/86400)</x:f>
        <x:v>0.42650462962962965</x:v>
      </x:c>
      <x:c r="R960" s="12" t="str">
        <x:f>IF(Q960="","",TEXT(Q960,"hh:mm:ss"))</x:f>
        <x:v>10:14:10</x:v>
      </x:c>
      <x:c r="S960" s="12" t="str">
        <x:v>否</x:v>
      </x:c>
      <x:c r="T960" s="12" t="str">
        <x:v>否</x:v>
      </x:c>
      <x:c r="U960" s="12" t="str">
        <x:v>未提供</x:v>
      </x:c>
      <x:c r="V960" s="12" t="str">
        <x:v>未提供</x:v>
      </x:c>
      <x:c r="W960" s="12" t="str">
        <x:v>秒级预测</x:v>
      </x:c>
      <x:c r="X960" s="12" t="str">
        <x:v>基于路线秒级参数；如录入实测或手动采用秒，预计到达时间可随公式更新</x:v>
      </x:c>
    </x:row>
    <x:row r="961">
      <x:c r="A961" s="12" t="str">
        <x:v>S0079-06</x:v>
      </x:c>
      <x:c r="B961" s="12" t="str">
        <x:v>S0079</x:v>
      </x:c>
      <x:c r="C961" s="12" t="str">
        <x:v>工作日</x:v>
      </x:c>
      <x:c r="D961" s="12" t="str">
        <x:v>环线2路</x:v>
      </x:c>
      <x:c r="E961" s="12" t="str">
        <x:v>第一班</x:v>
      </x:c>
      <x:c r="F961" s="12" t="n">
        <x:v>9</x:v>
      </x:c>
      <x:c r="G961" s="12" t="str">
        <x:v>10:10</x:v>
      </x:c>
      <x:c r="H961" s="12" t="n">
        <x:v>610</x:v>
      </x:c>
      <x:c r="I961" s="12" t="str">
        <x:v>研究生宿舍楼</x:v>
      </x:c>
      <x:c r="J961" s="12" t="str">
        <x:v>研究生宿舍楼发车</x:v>
      </x:c>
      <x:c r="K961" s="12" t="str">
        <x:v>HX2_NORMAL</x:v>
      </x:c>
      <x:c r="L961" s="12" t="n">
        <x:v>6</x:v>
      </x:c>
      <x:c r="M961" s="12" t="str">
        <x:v>HX2_NORMAL|6</x:v>
      </x:c>
      <x:c r="N961" s="12" t="str">
        <x:v>军体活动中心</x:v>
      </x:c>
      <x:c r="O961" s="12" t="n">
        <x:f>IFERROR(INDEX('秒级路线参数_可调整'!$O:$O,MATCH(M961,'秒级路线参数_可调整'!$A:$A,0)),"")</x:f>
        <x:v>315</x:v>
      </x:c>
      <x:c r="P961" s="12" t="n">
        <x:f>IF(O961="","",O961/86400)</x:f>
        <x:v>0.0036458333333333334</x:v>
      </x:c>
      <x:c r="Q961" s="12" t="n">
        <x:f>IF(O961="","",(H961*60+O961)/86400)</x:f>
        <x:v>0.42725694444444445</x:v>
      </x:c>
      <x:c r="R961" s="12" t="str">
        <x:f>IF(Q961="","",TEXT(Q961,"hh:mm:ss"))</x:f>
        <x:v>10:15:15</x:v>
      </x:c>
      <x:c r="S961" s="12" t="str">
        <x:v>否</x:v>
      </x:c>
      <x:c r="T961" s="12" t="str">
        <x:v>否</x:v>
      </x:c>
      <x:c r="U961" s="12" t="str">
        <x:v>未提供</x:v>
      </x:c>
      <x:c r="V961" s="12" t="str">
        <x:v>未提供</x:v>
      </x:c>
      <x:c r="W961" s="12" t="str">
        <x:v>秒级预测</x:v>
      </x:c>
      <x:c r="X961" s="12" t="str">
        <x:v>基于路线秒级参数；如录入实测或手动采用秒，预计到达时间可随公式更新</x:v>
      </x:c>
    </x:row>
    <x:row r="962">
      <x:c r="A962" s="12" t="str">
        <x:v>S0079-07</x:v>
      </x:c>
      <x:c r="B962" s="12" t="str">
        <x:v>S0079</x:v>
      </x:c>
      <x:c r="C962" s="12" t="str">
        <x:v>工作日</x:v>
      </x:c>
      <x:c r="D962" s="12" t="str">
        <x:v>环线2路</x:v>
      </x:c>
      <x:c r="E962" s="12" t="str">
        <x:v>第一班</x:v>
      </x:c>
      <x:c r="F962" s="12" t="n">
        <x:v>9</x:v>
      </x:c>
      <x:c r="G962" s="12" t="str">
        <x:v>10:10</x:v>
      </x:c>
      <x:c r="H962" s="12" t="n">
        <x:v>610</x:v>
      </x:c>
      <x:c r="I962" s="12" t="str">
        <x:v>研究生宿舍楼</x:v>
      </x:c>
      <x:c r="J962" s="12" t="str">
        <x:v>研究生宿舍楼发车</x:v>
      </x:c>
      <x:c r="K962" s="12" t="str">
        <x:v>HX2_NORMAL</x:v>
      </x:c>
      <x:c r="L962" s="12" t="n">
        <x:v>7</x:v>
      </x:c>
      <x:c r="M962" s="12" t="str">
        <x:v>HX2_NORMAL|7</x:v>
      </x:c>
      <x:c r="N962" s="12" t="str">
        <x:v>二食堂</x:v>
      </x:c>
      <x:c r="O962" s="12" t="n">
        <x:f>IFERROR(INDEX('秒级路线参数_可调整'!$O:$O,MATCH(M962,'秒级路线参数_可调整'!$A:$A,0)),"")</x:f>
        <x:v>420</x:v>
      </x:c>
      <x:c r="P962" s="12" t="n">
        <x:f>IF(O962="","",O962/86400)</x:f>
        <x:v>0.004861111111111111</x:v>
      </x:c>
      <x:c r="Q962" s="12" t="n">
        <x:f>IF(O962="","",(H962*60+O962)/86400)</x:f>
        <x:v>0.4284722222222222</x:v>
      </x:c>
      <x:c r="R962" s="12" t="str">
        <x:f>IF(Q962="","",TEXT(Q962,"hh:mm:ss"))</x:f>
        <x:v>10:17:00</x:v>
      </x:c>
      <x:c r="S962" s="12" t="str">
        <x:v>否</x:v>
      </x:c>
      <x:c r="T962" s="12" t="str">
        <x:v>否</x:v>
      </x:c>
      <x:c r="U962" s="12" t="str">
        <x:v>未提供</x:v>
      </x:c>
      <x:c r="V962" s="12" t="str">
        <x:v>未提供</x:v>
      </x:c>
      <x:c r="W962" s="12" t="str">
        <x:v>秒级预测</x:v>
      </x:c>
      <x:c r="X962" s="12" t="str">
        <x:v>基于路线秒级参数；如录入实测或手动采用秒，预计到达时间可随公式更新</x:v>
      </x:c>
    </x:row>
    <x:row r="963">
      <x:c r="A963" s="12" t="str">
        <x:v>S0079-08</x:v>
      </x:c>
      <x:c r="B963" s="12" t="str">
        <x:v>S0079</x:v>
      </x:c>
      <x:c r="C963" s="12" t="str">
        <x:v>工作日</x:v>
      </x:c>
      <x:c r="D963" s="12" t="str">
        <x:v>环线2路</x:v>
      </x:c>
      <x:c r="E963" s="12" t="str">
        <x:v>第一班</x:v>
      </x:c>
      <x:c r="F963" s="12" t="n">
        <x:v>9</x:v>
      </x:c>
      <x:c r="G963" s="12" t="str">
        <x:v>10:10</x:v>
      </x:c>
      <x:c r="H963" s="12" t="n">
        <x:v>610</x:v>
      </x:c>
      <x:c r="I963" s="12" t="str">
        <x:v>研究生宿舍楼</x:v>
      </x:c>
      <x:c r="J963" s="12" t="str">
        <x:v>研究生宿舍楼发车</x:v>
      </x:c>
      <x:c r="K963" s="12" t="str">
        <x:v>HX2_NORMAL</x:v>
      </x:c>
      <x:c r="L963" s="12" t="n">
        <x:v>8</x:v>
      </x:c>
      <x:c r="M963" s="12" t="str">
        <x:v>HX2_NORMAL|8</x:v>
      </x:c>
      <x:c r="N963" s="12" t="str">
        <x:v>5号宿舍楼</x:v>
      </x:c>
      <x:c r="O963" s="12" t="n">
        <x:f>IFERROR(INDEX('秒级路线参数_可调整'!$O:$O,MATCH(M963,'秒级路线参数_可调整'!$A:$A,0)),"")</x:f>
        <x:v>480</x:v>
      </x:c>
      <x:c r="P963" s="12" t="n">
        <x:f>IF(O963="","",O963/86400)</x:f>
        <x:v>0.005555555555555556</x:v>
      </x:c>
      <x:c r="Q963" s="12" t="n">
        <x:f>IF(O963="","",(H963*60+O963)/86400)</x:f>
        <x:v>0.42916666666666664</x:v>
      </x:c>
      <x:c r="R963" s="12" t="str">
        <x:f>IF(Q963="","",TEXT(Q963,"hh:mm:ss"))</x:f>
        <x:v>10:18:00</x:v>
      </x:c>
      <x:c r="S963" s="12" t="str">
        <x:v>否</x:v>
      </x:c>
      <x:c r="T963" s="12" t="str">
        <x:v>否</x:v>
      </x:c>
      <x:c r="U963" s="12" t="str">
        <x:v>未提供</x:v>
      </x:c>
      <x:c r="V963" s="12" t="str">
        <x:v>未提供</x:v>
      </x:c>
      <x:c r="W963" s="12" t="str">
        <x:v>秒级预测</x:v>
      </x:c>
      <x:c r="X963" s="12" t="str">
        <x:v>基于路线秒级参数；如录入实测或手动采用秒，预计到达时间可随公式更新</x:v>
      </x:c>
    </x:row>
    <x:row r="964">
      <x:c r="A964" s="12" t="str">
        <x:v>S0079-09</x:v>
      </x:c>
      <x:c r="B964" s="12" t="str">
        <x:v>S0079</x:v>
      </x:c>
      <x:c r="C964" s="12" t="str">
        <x:v>工作日</x:v>
      </x:c>
      <x:c r="D964" s="12" t="str">
        <x:v>环线2路</x:v>
      </x:c>
      <x:c r="E964" s="12" t="str">
        <x:v>第一班</x:v>
      </x:c>
      <x:c r="F964" s="12" t="n">
        <x:v>9</x:v>
      </x:c>
      <x:c r="G964" s="12" t="str">
        <x:v>10:10</x:v>
      </x:c>
      <x:c r="H964" s="12" t="n">
        <x:v>610</x:v>
      </x:c>
      <x:c r="I964" s="12" t="str">
        <x:v>研究生宿舍楼</x:v>
      </x:c>
      <x:c r="J964" s="12" t="str">
        <x:v>研究生宿舍楼发车</x:v>
      </x:c>
      <x:c r="K964" s="12" t="str">
        <x:v>HX2_NORMAL</x:v>
      </x:c>
      <x:c r="L964" s="12" t="n">
        <x:v>9</x:v>
      </x:c>
      <x:c r="M964" s="12" t="str">
        <x:v>HX2_NORMAL|9</x:v>
      </x:c>
      <x:c r="N964" s="12" t="str">
        <x:v>305教学楼</x:v>
      </x:c>
      <x:c r="O964" s="12" t="n">
        <x:f>IFERROR(INDEX('秒级路线参数_可调整'!$O:$O,MATCH(M964,'秒级路线参数_可调整'!$A:$A,0)),"")</x:f>
        <x:v>535</x:v>
      </x:c>
      <x:c r="P964" s="12" t="n">
        <x:f>IF(O964="","",O964/86400)</x:f>
        <x:v>0.00619212962962963</x:v>
      </x:c>
      <x:c r="Q964" s="12" t="n">
        <x:f>IF(O964="","",(H964*60+O964)/86400)</x:f>
        <x:v>0.4298032407407407</x:v>
      </x:c>
      <x:c r="R964" s="12" t="str">
        <x:f>IF(Q964="","",TEXT(Q964,"hh:mm:ss"))</x:f>
        <x:v>10:18:55</x:v>
      </x:c>
      <x:c r="S964" s="12" t="str">
        <x:v>否</x:v>
      </x:c>
      <x:c r="T964" s="12" t="str">
        <x:v>否</x:v>
      </x:c>
      <x:c r="U964" s="12" t="str">
        <x:v>未提供</x:v>
      </x:c>
      <x:c r="V964" s="12" t="str">
        <x:v>未提供</x:v>
      </x:c>
      <x:c r="W964" s="12" t="str">
        <x:v>秒级预测</x:v>
      </x:c>
      <x:c r="X964" s="12" t="str">
        <x:v>基于路线秒级参数；如录入实测或手动采用秒，预计到达时间可随公式更新</x:v>
      </x:c>
    </x:row>
    <x:row r="965">
      <x:c r="A965" s="12" t="str">
        <x:v>S0079-10</x:v>
      </x:c>
      <x:c r="B965" s="12" t="str">
        <x:v>S0079</x:v>
      </x:c>
      <x:c r="C965" s="12" t="str">
        <x:v>工作日</x:v>
      </x:c>
      <x:c r="D965" s="12" t="str">
        <x:v>环线2路</x:v>
      </x:c>
      <x:c r="E965" s="12" t="str">
        <x:v>第一班</x:v>
      </x:c>
      <x:c r="F965" s="12" t="n">
        <x:v>9</x:v>
      </x:c>
      <x:c r="G965" s="12" t="str">
        <x:v>10:10</x:v>
      </x:c>
      <x:c r="H965" s="12" t="n">
        <x:v>610</x:v>
      </x:c>
      <x:c r="I965" s="12" t="str">
        <x:v>研究生宿舍楼</x:v>
      </x:c>
      <x:c r="J965" s="12" t="str">
        <x:v>研究生宿舍楼发车</x:v>
      </x:c>
      <x:c r="K965" s="12" t="str">
        <x:v>HX2_NORMAL</x:v>
      </x:c>
      <x:c r="L965" s="12" t="n">
        <x:v>10</x:v>
      </x:c>
      <x:c r="M965" s="12" t="str">
        <x:v>HX2_NORMAL|10</x:v>
      </x:c>
      <x:c r="N965" s="12" t="str">
        <x:v>研究生宿舍楼</x:v>
      </x:c>
      <x:c r="O965" s="12" t="n">
        <x:f>IFERROR(INDEX('秒级路线参数_可调整'!$O:$O,MATCH(M965,'秒级路线参数_可调整'!$A:$A,0)),"")</x:f>
        <x:v>715</x:v>
      </x:c>
      <x:c r="P965" s="12" t="n">
        <x:f>IF(O965="","",O965/86400)</x:f>
        <x:v>0.008275462962962964</x:v>
      </x:c>
      <x:c r="Q965" s="12" t="n">
        <x:f>IF(O965="","",(H965*60+O965)/86400)</x:f>
        <x:v>0.43188657407407405</x:v>
      </x:c>
      <x:c r="R965" s="12" t="str">
        <x:f>IF(Q965="","",TEXT(Q965,"hh:mm:ss"))</x:f>
        <x:v>10:21:55</x:v>
      </x:c>
      <x:c r="S965" s="12" t="str">
        <x:v>否</x:v>
      </x:c>
      <x:c r="T965" s="12" t="str">
        <x:v>是</x:v>
      </x:c>
      <x:c r="U965" s="12" t="str">
        <x:v>未提供</x:v>
      </x:c>
      <x:c r="V965" s="12" t="str">
        <x:v>未提供</x:v>
      </x:c>
      <x:c r="W965" s="12" t="str">
        <x:v>秒级预测</x:v>
      </x:c>
      <x:c r="X965" s="12" t="str">
        <x:v>基于路线秒级参数；如录入实测或手动采用秒，预计到达时间可随公式更新</x:v>
      </x:c>
    </x:row>
    <x:row r="966">
      <x:c r="A966" s="12" t="str">
        <x:v>S0080-01</x:v>
      </x:c>
      <x:c r="B966" s="12" t="str">
        <x:v>S0080</x:v>
      </x:c>
      <x:c r="C966" s="12" t="str">
        <x:v>工作日</x:v>
      </x:c>
      <x:c r="D966" s="12" t="str">
        <x:v>环线2路</x:v>
      </x:c>
      <x:c r="E966" s="12" t="str">
        <x:v>第一班</x:v>
      </x:c>
      <x:c r="F966" s="12" t="n">
        <x:v>10</x:v>
      </x:c>
      <x:c r="G966" s="12" t="str">
        <x:v>10:40</x:v>
      </x:c>
      <x:c r="H966" s="12" t="n">
        <x:v>640</x:v>
      </x:c>
      <x:c r="I966" s="12" t="str">
        <x:v>研究生宿舍楼</x:v>
      </x:c>
      <x:c r="J966" s="12" t="str">
        <x:v>研究生宿舍楼发车</x:v>
      </x:c>
      <x:c r="K966" s="12" t="str">
        <x:v>HX2_NORMAL</x:v>
      </x:c>
      <x:c r="L966" s="12" t="n">
        <x:v>1</x:v>
      </x:c>
      <x:c r="M966" s="12" t="str">
        <x:v>HX2_NORMAL|1</x:v>
      </x:c>
      <x:c r="N966" s="12" t="str">
        <x:v>研究生宿舍楼</x:v>
      </x:c>
      <x:c r="O966" s="12" t="n">
        <x:f>IFERROR(INDEX('秒级路线参数_可调整'!$O:$O,MATCH(M966,'秒级路线参数_可调整'!$A:$A,0)),"")</x:f>
        <x:v>0</x:v>
      </x:c>
      <x:c r="P966" s="12" t="str">
        <x:f>IF(O966="","",O966/86400)</x:f>
      </x:c>
      <x:c r="Q966" s="12" t="str">
        <x:f>IF(O966="","",(H966*60+O966)/86400)</x:f>
      </x:c>
      <x:c r="R966" s="12" t="str">
        <x:f>IF(Q966="","",TEXT(Q966,"hh:mm:ss"))</x:f>
      </x:c>
      <x:c r="S966" s="12" t="str">
        <x:v>是</x:v>
      </x:c>
      <x:c r="T966" s="12" t="str">
        <x:v>否</x:v>
      </x:c>
      <x:c r="U966" s="12" t="str">
        <x:v>未提供</x:v>
      </x:c>
      <x:c r="V966" s="12" t="str">
        <x:v>未提供</x:v>
      </x:c>
      <x:c r="W966" s="12" t="str">
        <x:v>秒级预测</x:v>
      </x:c>
      <x:c r="X966" s="12" t="str">
        <x:v>基于路线秒级参数；如录入实测或手动采用秒，预计到达时间可随公式更新</x:v>
      </x:c>
    </x:row>
    <x:row r="967">
      <x:c r="A967" s="12" t="str">
        <x:v>S0080-02</x:v>
      </x:c>
      <x:c r="B967" s="12" t="str">
        <x:v>S0080</x:v>
      </x:c>
      <x:c r="C967" s="12" t="str">
        <x:v>工作日</x:v>
      </x:c>
      <x:c r="D967" s="12" t="str">
        <x:v>环线2路</x:v>
      </x:c>
      <x:c r="E967" s="12" t="str">
        <x:v>第一班</x:v>
      </x:c>
      <x:c r="F967" s="12" t="n">
        <x:v>10</x:v>
      </x:c>
      <x:c r="G967" s="12" t="str">
        <x:v>10:40</x:v>
      </x:c>
      <x:c r="H967" s="12" t="n">
        <x:v>640</x:v>
      </x:c>
      <x:c r="I967" s="12" t="str">
        <x:v>研究生宿舍楼</x:v>
      </x:c>
      <x:c r="J967" s="12" t="str">
        <x:v>研究生宿舍楼发车</x:v>
      </x:c>
      <x:c r="K967" s="12" t="str">
        <x:v>HX2_NORMAL</x:v>
      </x:c>
      <x:c r="L967" s="12" t="n">
        <x:v>2</x:v>
      </x:c>
      <x:c r="M967" s="12" t="str">
        <x:v>HX2_NORMAL|2</x:v>
      </x:c>
      <x:c r="N967" s="12" t="str">
        <x:v>一食堂</x:v>
      </x:c>
      <x:c r="O967" s="12" t="n">
        <x:f>IFERROR(INDEX('秒级路线参数_可调整'!$O:$O,MATCH(M967,'秒级路线参数_可调整'!$A:$A,0)),"")</x:f>
        <x:v>65</x:v>
      </x:c>
      <x:c r="P967" s="12" t="n">
        <x:f>IF(O967="","",O967/86400)</x:f>
        <x:v>0.0007523148148148148</x:v>
      </x:c>
      <x:c r="Q967" s="12" t="n">
        <x:f>IF(O967="","",(H967*60+O967)/86400)</x:f>
        <x:v>0.4451967592592593</x:v>
      </x:c>
      <x:c r="R967" s="12" t="str">
        <x:f>IF(Q967="","",TEXT(Q967,"hh:mm:ss"))</x:f>
        <x:v>10:41:05</x:v>
      </x:c>
      <x:c r="S967" s="12" t="str">
        <x:v>否</x:v>
      </x:c>
      <x:c r="T967" s="12" t="str">
        <x:v>否</x:v>
      </x:c>
      <x:c r="U967" s="12" t="str">
        <x:v>未提供</x:v>
      </x:c>
      <x:c r="V967" s="12" t="str">
        <x:v>未提供</x:v>
      </x:c>
      <x:c r="W967" s="12" t="str">
        <x:v>秒级预测</x:v>
      </x:c>
      <x:c r="X967" s="12" t="str">
        <x:v>基于路线秒级参数；如录入实测或手动采用秒，预计到达时间可随公式更新</x:v>
      </x:c>
    </x:row>
    <x:row r="968">
      <x:c r="A968" s="12" t="str">
        <x:v>S0080-03</x:v>
      </x:c>
      <x:c r="B968" s="12" t="str">
        <x:v>S0080</x:v>
      </x:c>
      <x:c r="C968" s="12" t="str">
        <x:v>工作日</x:v>
      </x:c>
      <x:c r="D968" s="12" t="str">
        <x:v>环线2路</x:v>
      </x:c>
      <x:c r="E968" s="12" t="str">
        <x:v>第一班</x:v>
      </x:c>
      <x:c r="F968" s="12" t="n">
        <x:v>10</x:v>
      </x:c>
      <x:c r="G968" s="12" t="str">
        <x:v>10:40</x:v>
      </x:c>
      <x:c r="H968" s="12" t="n">
        <x:v>640</x:v>
      </x:c>
      <x:c r="I968" s="12" t="str">
        <x:v>研究生宿舍楼</x:v>
      </x:c>
      <x:c r="J968" s="12" t="str">
        <x:v>研究生宿舍楼发车</x:v>
      </x:c>
      <x:c r="K968" s="12" t="str">
        <x:v>HX2_NORMAL</x:v>
      </x:c>
      <x:c r="L968" s="12" t="n">
        <x:v>3</x:v>
      </x:c>
      <x:c r="M968" s="12" t="str">
        <x:v>HX2_NORMAL|3</x:v>
      </x:c>
      <x:c r="N968" s="12" t="str">
        <x:v>门诊部</x:v>
      </x:c>
      <x:c r="O968" s="12" t="n">
        <x:f>IFERROR(INDEX('秒级路线参数_可调整'!$O:$O,MATCH(M968,'秒级路线参数_可调整'!$A:$A,0)),"")</x:f>
        <x:v>120</x:v>
      </x:c>
      <x:c r="P968" s="12" t="n">
        <x:f>IF(O968="","",O968/86400)</x:f>
        <x:v>0.001388888888888889</x:v>
      </x:c>
      <x:c r="Q968" s="12" t="n">
        <x:f>IF(O968="","",(H968*60+O968)/86400)</x:f>
        <x:v>0.44583333333333336</x:v>
      </x:c>
      <x:c r="R968" s="12" t="str">
        <x:f>IF(Q968="","",TEXT(Q968,"hh:mm:ss"))</x:f>
        <x:v>10:42:00</x:v>
      </x:c>
      <x:c r="S968" s="12" t="str">
        <x:v>否</x:v>
      </x:c>
      <x:c r="T968" s="12" t="str">
        <x:v>否</x:v>
      </x:c>
      <x:c r="U968" s="12" t="str">
        <x:v>未提供</x:v>
      </x:c>
      <x:c r="V968" s="12" t="str">
        <x:v>未提供</x:v>
      </x:c>
      <x:c r="W968" s="12" t="str">
        <x:v>秒级预测</x:v>
      </x:c>
      <x:c r="X968" s="12" t="str">
        <x:v>基于路线秒级参数；如录入实测或手动采用秒，预计到达时间可随公式更新</x:v>
      </x:c>
    </x:row>
    <x:row r="969">
      <x:c r="A969" s="12" t="str">
        <x:v>S0080-04</x:v>
      </x:c>
      <x:c r="B969" s="12" t="str">
        <x:v>S0080</x:v>
      </x:c>
      <x:c r="C969" s="12" t="str">
        <x:v>工作日</x:v>
      </x:c>
      <x:c r="D969" s="12" t="str">
        <x:v>环线2路</x:v>
      </x:c>
      <x:c r="E969" s="12" t="str">
        <x:v>第一班</x:v>
      </x:c>
      <x:c r="F969" s="12" t="n">
        <x:v>10</x:v>
      </x:c>
      <x:c r="G969" s="12" t="str">
        <x:v>10:40</x:v>
      </x:c>
      <x:c r="H969" s="12" t="n">
        <x:v>640</x:v>
      </x:c>
      <x:c r="I969" s="12" t="str">
        <x:v>研究生宿舍楼</x:v>
      </x:c>
      <x:c r="J969" s="12" t="str">
        <x:v>研究生宿舍楼发车</x:v>
      </x:c>
      <x:c r="K969" s="12" t="str">
        <x:v>HX2_NORMAL</x:v>
      </x:c>
      <x:c r="L969" s="12" t="n">
        <x:v>4</x:v>
      </x:c>
      <x:c r="M969" s="12" t="str">
        <x:v>HX2_NORMAL|4</x:v>
      </x:c>
      <x:c r="N969" s="12" t="str">
        <x:v>1号宿舍楼</x:v>
      </x:c>
      <x:c r="O969" s="12" t="n">
        <x:f>IFERROR(INDEX('秒级路线参数_可调整'!$O:$O,MATCH(M969,'秒级路线参数_可调整'!$A:$A,0)),"")</x:f>
        <x:v>165</x:v>
      </x:c>
      <x:c r="P969" s="12" t="n">
        <x:f>IF(O969="","",O969/86400)</x:f>
        <x:v>0.0019097222222222222</x:v>
      </x:c>
      <x:c r="Q969" s="12" t="n">
        <x:f>IF(O969="","",(H969*60+O969)/86400)</x:f>
        <x:v>0.44635416666666666</x:v>
      </x:c>
      <x:c r="R969" s="12" t="str">
        <x:f>IF(Q969="","",TEXT(Q969,"hh:mm:ss"))</x:f>
        <x:v>10:42:45</x:v>
      </x:c>
      <x:c r="S969" s="12" t="str">
        <x:v>否</x:v>
      </x:c>
      <x:c r="T969" s="12" t="str">
        <x:v>否</x:v>
      </x:c>
      <x:c r="U969" s="12" t="str">
        <x:v>未提供</x:v>
      </x:c>
      <x:c r="V969" s="12" t="str">
        <x:v>未提供</x:v>
      </x:c>
      <x:c r="W969" s="12" t="str">
        <x:v>秒级预测</x:v>
      </x:c>
      <x:c r="X969" s="12" t="str">
        <x:v>基于路线秒级参数；如录入实测或手动采用秒，预计到达时间可随公式更新</x:v>
      </x:c>
    </x:row>
    <x:row r="970">
      <x:c r="A970" s="12" t="str">
        <x:v>S0080-05</x:v>
      </x:c>
      <x:c r="B970" s="12" t="str">
        <x:v>S0080</x:v>
      </x:c>
      <x:c r="C970" s="12" t="str">
        <x:v>工作日</x:v>
      </x:c>
      <x:c r="D970" s="12" t="str">
        <x:v>环线2路</x:v>
      </x:c>
      <x:c r="E970" s="12" t="str">
        <x:v>第一班</x:v>
      </x:c>
      <x:c r="F970" s="12" t="n">
        <x:v>10</x:v>
      </x:c>
      <x:c r="G970" s="12" t="str">
        <x:v>10:40</x:v>
      </x:c>
      <x:c r="H970" s="12" t="n">
        <x:v>640</x:v>
      </x:c>
      <x:c r="I970" s="12" t="str">
        <x:v>研究生宿舍楼</x:v>
      </x:c>
      <x:c r="J970" s="12" t="str">
        <x:v>研究生宿舍楼发车</x:v>
      </x:c>
      <x:c r="K970" s="12" t="str">
        <x:v>HX2_NORMAL</x:v>
      </x:c>
      <x:c r="L970" s="12" t="n">
        <x:v>5</x:v>
      </x:c>
      <x:c r="M970" s="12" t="str">
        <x:v>HX2_NORMAL|5</x:v>
      </x:c>
      <x:c r="N970" s="12" t="str">
        <x:v>水上训练中心</x:v>
      </x:c>
      <x:c r="O970" s="12" t="n">
        <x:f>IFERROR(INDEX('秒级路线参数_可调整'!$O:$O,MATCH(M970,'秒级路线参数_可调整'!$A:$A,0)),"")</x:f>
        <x:v>250</x:v>
      </x:c>
      <x:c r="P970" s="12" t="n">
        <x:f>IF(O970="","",O970/86400)</x:f>
        <x:v>0.0028935185185185184</x:v>
      </x:c>
      <x:c r="Q970" s="12" t="n">
        <x:f>IF(O970="","",(H970*60+O970)/86400)</x:f>
        <x:v>0.44733796296296297</x:v>
      </x:c>
      <x:c r="R970" s="12" t="str">
        <x:f>IF(Q970="","",TEXT(Q970,"hh:mm:ss"))</x:f>
        <x:v>10:44:10</x:v>
      </x:c>
      <x:c r="S970" s="12" t="str">
        <x:v>否</x:v>
      </x:c>
      <x:c r="T970" s="12" t="str">
        <x:v>否</x:v>
      </x:c>
      <x:c r="U970" s="12" t="str">
        <x:v>未提供</x:v>
      </x:c>
      <x:c r="V970" s="12" t="str">
        <x:v>未提供</x:v>
      </x:c>
      <x:c r="W970" s="12" t="str">
        <x:v>秒级预测</x:v>
      </x:c>
      <x:c r="X970" s="12" t="str">
        <x:v>基于路线秒级参数；如录入实测或手动采用秒，预计到达时间可随公式更新</x:v>
      </x:c>
    </x:row>
    <x:row r="971">
      <x:c r="A971" s="12" t="str">
        <x:v>S0080-06</x:v>
      </x:c>
      <x:c r="B971" s="12" t="str">
        <x:v>S0080</x:v>
      </x:c>
      <x:c r="C971" s="12" t="str">
        <x:v>工作日</x:v>
      </x:c>
      <x:c r="D971" s="12" t="str">
        <x:v>环线2路</x:v>
      </x:c>
      <x:c r="E971" s="12" t="str">
        <x:v>第一班</x:v>
      </x:c>
      <x:c r="F971" s="12" t="n">
        <x:v>10</x:v>
      </x:c>
      <x:c r="G971" s="12" t="str">
        <x:v>10:40</x:v>
      </x:c>
      <x:c r="H971" s="12" t="n">
        <x:v>640</x:v>
      </x:c>
      <x:c r="I971" s="12" t="str">
        <x:v>研究生宿舍楼</x:v>
      </x:c>
      <x:c r="J971" s="12" t="str">
        <x:v>研究生宿舍楼发车</x:v>
      </x:c>
      <x:c r="K971" s="12" t="str">
        <x:v>HX2_NORMAL</x:v>
      </x:c>
      <x:c r="L971" s="12" t="n">
        <x:v>6</x:v>
      </x:c>
      <x:c r="M971" s="12" t="str">
        <x:v>HX2_NORMAL|6</x:v>
      </x:c>
      <x:c r="N971" s="12" t="str">
        <x:v>军体活动中心</x:v>
      </x:c>
      <x:c r="O971" s="12" t="n">
        <x:f>IFERROR(INDEX('秒级路线参数_可调整'!$O:$O,MATCH(M971,'秒级路线参数_可调整'!$A:$A,0)),"")</x:f>
        <x:v>315</x:v>
      </x:c>
      <x:c r="P971" s="12" t="n">
        <x:f>IF(O971="","",O971/86400)</x:f>
        <x:v>0.0036458333333333334</x:v>
      </x:c>
      <x:c r="Q971" s="12" t="n">
        <x:f>IF(O971="","",(H971*60+O971)/86400)</x:f>
        <x:v>0.44809027777777777</x:v>
      </x:c>
      <x:c r="R971" s="12" t="str">
        <x:f>IF(Q971="","",TEXT(Q971,"hh:mm:ss"))</x:f>
        <x:v>10:45:15</x:v>
      </x:c>
      <x:c r="S971" s="12" t="str">
        <x:v>否</x:v>
      </x:c>
      <x:c r="T971" s="12" t="str">
        <x:v>否</x:v>
      </x:c>
      <x:c r="U971" s="12" t="str">
        <x:v>未提供</x:v>
      </x:c>
      <x:c r="V971" s="12" t="str">
        <x:v>未提供</x:v>
      </x:c>
      <x:c r="W971" s="12" t="str">
        <x:v>秒级预测</x:v>
      </x:c>
      <x:c r="X971" s="12" t="str">
        <x:v>基于路线秒级参数；如录入实测或手动采用秒，预计到达时间可随公式更新</x:v>
      </x:c>
    </x:row>
    <x:row r="972">
      <x:c r="A972" s="12" t="str">
        <x:v>S0080-07</x:v>
      </x:c>
      <x:c r="B972" s="12" t="str">
        <x:v>S0080</x:v>
      </x:c>
      <x:c r="C972" s="12" t="str">
        <x:v>工作日</x:v>
      </x:c>
      <x:c r="D972" s="12" t="str">
        <x:v>环线2路</x:v>
      </x:c>
      <x:c r="E972" s="12" t="str">
        <x:v>第一班</x:v>
      </x:c>
      <x:c r="F972" s="12" t="n">
        <x:v>10</x:v>
      </x:c>
      <x:c r="G972" s="12" t="str">
        <x:v>10:40</x:v>
      </x:c>
      <x:c r="H972" s="12" t="n">
        <x:v>640</x:v>
      </x:c>
      <x:c r="I972" s="12" t="str">
        <x:v>研究生宿舍楼</x:v>
      </x:c>
      <x:c r="J972" s="12" t="str">
        <x:v>研究生宿舍楼发车</x:v>
      </x:c>
      <x:c r="K972" s="12" t="str">
        <x:v>HX2_NORMAL</x:v>
      </x:c>
      <x:c r="L972" s="12" t="n">
        <x:v>7</x:v>
      </x:c>
      <x:c r="M972" s="12" t="str">
        <x:v>HX2_NORMAL|7</x:v>
      </x:c>
      <x:c r="N972" s="12" t="str">
        <x:v>二食堂</x:v>
      </x:c>
      <x:c r="O972" s="12" t="n">
        <x:f>IFERROR(INDEX('秒级路线参数_可调整'!$O:$O,MATCH(M972,'秒级路线参数_可调整'!$A:$A,0)),"")</x:f>
        <x:v>420</x:v>
      </x:c>
      <x:c r="P972" s="12" t="n">
        <x:f>IF(O972="","",O972/86400)</x:f>
        <x:v>0.004861111111111111</x:v>
      </x:c>
      <x:c r="Q972" s="12" t="n">
        <x:f>IF(O972="","",(H972*60+O972)/86400)</x:f>
        <x:v>0.44930555555555557</x:v>
      </x:c>
      <x:c r="R972" s="12" t="str">
        <x:f>IF(Q972="","",TEXT(Q972,"hh:mm:ss"))</x:f>
        <x:v>10:47:00</x:v>
      </x:c>
      <x:c r="S972" s="12" t="str">
        <x:v>否</x:v>
      </x:c>
      <x:c r="T972" s="12" t="str">
        <x:v>否</x:v>
      </x:c>
      <x:c r="U972" s="12" t="str">
        <x:v>未提供</x:v>
      </x:c>
      <x:c r="V972" s="12" t="str">
        <x:v>未提供</x:v>
      </x:c>
      <x:c r="W972" s="12" t="str">
        <x:v>秒级预测</x:v>
      </x:c>
      <x:c r="X972" s="12" t="str">
        <x:v>基于路线秒级参数；如录入实测或手动采用秒，预计到达时间可随公式更新</x:v>
      </x:c>
    </x:row>
    <x:row r="973">
      <x:c r="A973" s="12" t="str">
        <x:v>S0080-08</x:v>
      </x:c>
      <x:c r="B973" s="12" t="str">
        <x:v>S0080</x:v>
      </x:c>
      <x:c r="C973" s="12" t="str">
        <x:v>工作日</x:v>
      </x:c>
      <x:c r="D973" s="12" t="str">
        <x:v>环线2路</x:v>
      </x:c>
      <x:c r="E973" s="12" t="str">
        <x:v>第一班</x:v>
      </x:c>
      <x:c r="F973" s="12" t="n">
        <x:v>10</x:v>
      </x:c>
      <x:c r="G973" s="12" t="str">
        <x:v>10:40</x:v>
      </x:c>
      <x:c r="H973" s="12" t="n">
        <x:v>640</x:v>
      </x:c>
      <x:c r="I973" s="12" t="str">
        <x:v>研究生宿舍楼</x:v>
      </x:c>
      <x:c r="J973" s="12" t="str">
        <x:v>研究生宿舍楼发车</x:v>
      </x:c>
      <x:c r="K973" s="12" t="str">
        <x:v>HX2_NORMAL</x:v>
      </x:c>
      <x:c r="L973" s="12" t="n">
        <x:v>8</x:v>
      </x:c>
      <x:c r="M973" s="12" t="str">
        <x:v>HX2_NORMAL|8</x:v>
      </x:c>
      <x:c r="N973" s="12" t="str">
        <x:v>5号宿舍楼</x:v>
      </x:c>
      <x:c r="O973" s="12" t="n">
        <x:f>IFERROR(INDEX('秒级路线参数_可调整'!$O:$O,MATCH(M973,'秒级路线参数_可调整'!$A:$A,0)),"")</x:f>
        <x:v>480</x:v>
      </x:c>
      <x:c r="P973" s="12" t="n">
        <x:f>IF(O973="","",O973/86400)</x:f>
        <x:v>0.005555555555555556</x:v>
      </x:c>
      <x:c r="Q973" s="12" t="n">
        <x:f>IF(O973="","",(H973*60+O973)/86400)</x:f>
        <x:v>0.45</x:v>
      </x:c>
      <x:c r="R973" s="12" t="str">
        <x:f>IF(Q973="","",TEXT(Q973,"hh:mm:ss"))</x:f>
        <x:v>10:48:00</x:v>
      </x:c>
      <x:c r="S973" s="12" t="str">
        <x:v>否</x:v>
      </x:c>
      <x:c r="T973" s="12" t="str">
        <x:v>否</x:v>
      </x:c>
      <x:c r="U973" s="12" t="str">
        <x:v>未提供</x:v>
      </x:c>
      <x:c r="V973" s="12" t="str">
        <x:v>未提供</x:v>
      </x:c>
      <x:c r="W973" s="12" t="str">
        <x:v>秒级预测</x:v>
      </x:c>
      <x:c r="X973" s="12" t="str">
        <x:v>基于路线秒级参数；如录入实测或手动采用秒，预计到达时间可随公式更新</x:v>
      </x:c>
    </x:row>
    <x:row r="974">
      <x:c r="A974" s="12" t="str">
        <x:v>S0080-09</x:v>
      </x:c>
      <x:c r="B974" s="12" t="str">
        <x:v>S0080</x:v>
      </x:c>
      <x:c r="C974" s="12" t="str">
        <x:v>工作日</x:v>
      </x:c>
      <x:c r="D974" s="12" t="str">
        <x:v>环线2路</x:v>
      </x:c>
      <x:c r="E974" s="12" t="str">
        <x:v>第一班</x:v>
      </x:c>
      <x:c r="F974" s="12" t="n">
        <x:v>10</x:v>
      </x:c>
      <x:c r="G974" s="12" t="str">
        <x:v>10:40</x:v>
      </x:c>
      <x:c r="H974" s="12" t="n">
        <x:v>640</x:v>
      </x:c>
      <x:c r="I974" s="12" t="str">
        <x:v>研究生宿舍楼</x:v>
      </x:c>
      <x:c r="J974" s="12" t="str">
        <x:v>研究生宿舍楼发车</x:v>
      </x:c>
      <x:c r="K974" s="12" t="str">
        <x:v>HX2_NORMAL</x:v>
      </x:c>
      <x:c r="L974" s="12" t="n">
        <x:v>9</x:v>
      </x:c>
      <x:c r="M974" s="12" t="str">
        <x:v>HX2_NORMAL|9</x:v>
      </x:c>
      <x:c r="N974" s="12" t="str">
        <x:v>305教学楼</x:v>
      </x:c>
      <x:c r="O974" s="12" t="n">
        <x:f>IFERROR(INDEX('秒级路线参数_可调整'!$O:$O,MATCH(M974,'秒级路线参数_可调整'!$A:$A,0)),"")</x:f>
        <x:v>535</x:v>
      </x:c>
      <x:c r="P974" s="12" t="n">
        <x:f>IF(O974="","",O974/86400)</x:f>
        <x:v>0.00619212962962963</x:v>
      </x:c>
      <x:c r="Q974" s="12" t="n">
        <x:f>IF(O974="","",(H974*60+O974)/86400)</x:f>
        <x:v>0.4506365740740741</x:v>
      </x:c>
      <x:c r="R974" s="12" t="str">
        <x:f>IF(Q974="","",TEXT(Q974,"hh:mm:ss"))</x:f>
        <x:v>10:48:55</x:v>
      </x:c>
      <x:c r="S974" s="12" t="str">
        <x:v>否</x:v>
      </x:c>
      <x:c r="T974" s="12" t="str">
        <x:v>否</x:v>
      </x:c>
      <x:c r="U974" s="12" t="str">
        <x:v>未提供</x:v>
      </x:c>
      <x:c r="V974" s="12" t="str">
        <x:v>未提供</x:v>
      </x:c>
      <x:c r="W974" s="12" t="str">
        <x:v>秒级预测</x:v>
      </x:c>
      <x:c r="X974" s="12" t="str">
        <x:v>基于路线秒级参数；如录入实测或手动采用秒，预计到达时间可随公式更新</x:v>
      </x:c>
    </x:row>
    <x:row r="975">
      <x:c r="A975" s="12" t="str">
        <x:v>S0080-10</x:v>
      </x:c>
      <x:c r="B975" s="12" t="str">
        <x:v>S0080</x:v>
      </x:c>
      <x:c r="C975" s="12" t="str">
        <x:v>工作日</x:v>
      </x:c>
      <x:c r="D975" s="12" t="str">
        <x:v>环线2路</x:v>
      </x:c>
      <x:c r="E975" s="12" t="str">
        <x:v>第一班</x:v>
      </x:c>
      <x:c r="F975" s="12" t="n">
        <x:v>10</x:v>
      </x:c>
      <x:c r="G975" s="12" t="str">
        <x:v>10:40</x:v>
      </x:c>
      <x:c r="H975" s="12" t="n">
        <x:v>640</x:v>
      </x:c>
      <x:c r="I975" s="12" t="str">
        <x:v>研究生宿舍楼</x:v>
      </x:c>
      <x:c r="J975" s="12" t="str">
        <x:v>研究生宿舍楼发车</x:v>
      </x:c>
      <x:c r="K975" s="12" t="str">
        <x:v>HX2_NORMAL</x:v>
      </x:c>
      <x:c r="L975" s="12" t="n">
        <x:v>10</x:v>
      </x:c>
      <x:c r="M975" s="12" t="str">
        <x:v>HX2_NORMAL|10</x:v>
      </x:c>
      <x:c r="N975" s="12" t="str">
        <x:v>研究生宿舍楼</x:v>
      </x:c>
      <x:c r="O975" s="12" t="n">
        <x:f>IFERROR(INDEX('秒级路线参数_可调整'!$O:$O,MATCH(M975,'秒级路线参数_可调整'!$A:$A,0)),"")</x:f>
        <x:v>715</x:v>
      </x:c>
      <x:c r="P975" s="12" t="n">
        <x:f>IF(O975="","",O975/86400)</x:f>
        <x:v>0.008275462962962964</x:v>
      </x:c>
      <x:c r="Q975" s="12" t="n">
        <x:f>IF(O975="","",(H975*60+O975)/86400)</x:f>
        <x:v>0.4527199074074074</x:v>
      </x:c>
      <x:c r="R975" s="12" t="str">
        <x:f>IF(Q975="","",TEXT(Q975,"hh:mm:ss"))</x:f>
        <x:v>10:51:55</x:v>
      </x:c>
      <x:c r="S975" s="12" t="str">
        <x:v>否</x:v>
      </x:c>
      <x:c r="T975" s="12" t="str">
        <x:v>是</x:v>
      </x:c>
      <x:c r="U975" s="12" t="str">
        <x:v>未提供</x:v>
      </x:c>
      <x:c r="V975" s="12" t="str">
        <x:v>未提供</x:v>
      </x:c>
      <x:c r="W975" s="12" t="str">
        <x:v>秒级预测</x:v>
      </x:c>
      <x:c r="X975" s="12" t="str">
        <x:v>基于路线秒级参数；如录入实测或手动采用秒，预计到达时间可随公式更新</x:v>
      </x:c>
    </x:row>
    <x:row r="976">
      <x:c r="A976" s="12" t="str">
        <x:v>S0081-01</x:v>
      </x:c>
      <x:c r="B976" s="12" t="str">
        <x:v>S0081</x:v>
      </x:c>
      <x:c r="C976" s="12" t="str">
        <x:v>工作日</x:v>
      </x:c>
      <x:c r="D976" s="12" t="str">
        <x:v>环线2路</x:v>
      </x:c>
      <x:c r="E976" s="12" t="str">
        <x:v>第一班</x:v>
      </x:c>
      <x:c r="F976" s="12" t="n">
        <x:v>11</x:v>
      </x:c>
      <x:c r="G976" s="12" t="str">
        <x:v>11:15</x:v>
      </x:c>
      <x:c r="H976" s="12" t="n">
        <x:v>675</x:v>
      </x:c>
      <x:c r="I976" s="12" t="str">
        <x:v>研究生宿舍楼</x:v>
      </x:c>
      <x:c r="J976" s="12" t="str">
        <x:v>研究生宿舍楼发车</x:v>
      </x:c>
      <x:c r="K976" s="12" t="str">
        <x:v>HX2_NORMAL</x:v>
      </x:c>
      <x:c r="L976" s="12" t="n">
        <x:v>1</x:v>
      </x:c>
      <x:c r="M976" s="12" t="str">
        <x:v>HX2_NORMAL|1</x:v>
      </x:c>
      <x:c r="N976" s="12" t="str">
        <x:v>研究生宿舍楼</x:v>
      </x:c>
      <x:c r="O976" s="12" t="n">
        <x:f>IFERROR(INDEX('秒级路线参数_可调整'!$O:$O,MATCH(M976,'秒级路线参数_可调整'!$A:$A,0)),"")</x:f>
        <x:v>0</x:v>
      </x:c>
      <x:c r="P976" s="12" t="str">
        <x:f>IF(O976="","",O976/86400)</x:f>
      </x:c>
      <x:c r="Q976" s="12" t="str">
        <x:f>IF(O976="","",(H976*60+O976)/86400)</x:f>
      </x:c>
      <x:c r="R976" s="12" t="str">
        <x:f>IF(Q976="","",TEXT(Q976,"hh:mm:ss"))</x:f>
      </x:c>
      <x:c r="S976" s="12" t="str">
        <x:v>是</x:v>
      </x:c>
      <x:c r="T976" s="12" t="str">
        <x:v>否</x:v>
      </x:c>
      <x:c r="U976" s="12" t="str">
        <x:v>未提供</x:v>
      </x:c>
      <x:c r="V976" s="12" t="str">
        <x:v>未提供</x:v>
      </x:c>
      <x:c r="W976" s="12" t="str">
        <x:v>秒级预测</x:v>
      </x:c>
      <x:c r="X976" s="12" t="str">
        <x:v>基于路线秒级参数；如录入实测或手动采用秒，预计到达时间可随公式更新</x:v>
      </x:c>
    </x:row>
    <x:row r="977">
      <x:c r="A977" s="12" t="str">
        <x:v>S0081-02</x:v>
      </x:c>
      <x:c r="B977" s="12" t="str">
        <x:v>S0081</x:v>
      </x:c>
      <x:c r="C977" s="12" t="str">
        <x:v>工作日</x:v>
      </x:c>
      <x:c r="D977" s="12" t="str">
        <x:v>环线2路</x:v>
      </x:c>
      <x:c r="E977" s="12" t="str">
        <x:v>第一班</x:v>
      </x:c>
      <x:c r="F977" s="12" t="n">
        <x:v>11</x:v>
      </x:c>
      <x:c r="G977" s="12" t="str">
        <x:v>11:15</x:v>
      </x:c>
      <x:c r="H977" s="12" t="n">
        <x:v>675</x:v>
      </x:c>
      <x:c r="I977" s="12" t="str">
        <x:v>研究生宿舍楼</x:v>
      </x:c>
      <x:c r="J977" s="12" t="str">
        <x:v>研究生宿舍楼发车</x:v>
      </x:c>
      <x:c r="K977" s="12" t="str">
        <x:v>HX2_NORMAL</x:v>
      </x:c>
      <x:c r="L977" s="12" t="n">
        <x:v>2</x:v>
      </x:c>
      <x:c r="M977" s="12" t="str">
        <x:v>HX2_NORMAL|2</x:v>
      </x:c>
      <x:c r="N977" s="12" t="str">
        <x:v>一食堂</x:v>
      </x:c>
      <x:c r="O977" s="12" t="n">
        <x:f>IFERROR(INDEX('秒级路线参数_可调整'!$O:$O,MATCH(M977,'秒级路线参数_可调整'!$A:$A,0)),"")</x:f>
        <x:v>65</x:v>
      </x:c>
      <x:c r="P977" s="12" t="n">
        <x:f>IF(O977="","",O977/86400)</x:f>
        <x:v>0.0007523148148148148</x:v>
      </x:c>
      <x:c r="Q977" s="12" t="n">
        <x:f>IF(O977="","",(H977*60+O977)/86400)</x:f>
        <x:v>0.4695023148148148</x:v>
      </x:c>
      <x:c r="R977" s="12" t="str">
        <x:f>IF(Q977="","",TEXT(Q977,"hh:mm:ss"))</x:f>
        <x:v>11:16:05</x:v>
      </x:c>
      <x:c r="S977" s="12" t="str">
        <x:v>否</x:v>
      </x:c>
      <x:c r="T977" s="12" t="str">
        <x:v>否</x:v>
      </x:c>
      <x:c r="U977" s="12" t="str">
        <x:v>未提供</x:v>
      </x:c>
      <x:c r="V977" s="12" t="str">
        <x:v>未提供</x:v>
      </x:c>
      <x:c r="W977" s="12" t="str">
        <x:v>秒级预测</x:v>
      </x:c>
      <x:c r="X977" s="12" t="str">
        <x:v>基于路线秒级参数；如录入实测或手动采用秒，预计到达时间可随公式更新</x:v>
      </x:c>
    </x:row>
    <x:row r="978">
      <x:c r="A978" s="12" t="str">
        <x:v>S0081-03</x:v>
      </x:c>
      <x:c r="B978" s="12" t="str">
        <x:v>S0081</x:v>
      </x:c>
      <x:c r="C978" s="12" t="str">
        <x:v>工作日</x:v>
      </x:c>
      <x:c r="D978" s="12" t="str">
        <x:v>环线2路</x:v>
      </x:c>
      <x:c r="E978" s="12" t="str">
        <x:v>第一班</x:v>
      </x:c>
      <x:c r="F978" s="12" t="n">
        <x:v>11</x:v>
      </x:c>
      <x:c r="G978" s="12" t="str">
        <x:v>11:15</x:v>
      </x:c>
      <x:c r="H978" s="12" t="n">
        <x:v>675</x:v>
      </x:c>
      <x:c r="I978" s="12" t="str">
        <x:v>研究生宿舍楼</x:v>
      </x:c>
      <x:c r="J978" s="12" t="str">
        <x:v>研究生宿舍楼发车</x:v>
      </x:c>
      <x:c r="K978" s="12" t="str">
        <x:v>HX2_NORMAL</x:v>
      </x:c>
      <x:c r="L978" s="12" t="n">
        <x:v>3</x:v>
      </x:c>
      <x:c r="M978" s="12" t="str">
        <x:v>HX2_NORMAL|3</x:v>
      </x:c>
      <x:c r="N978" s="12" t="str">
        <x:v>门诊部</x:v>
      </x:c>
      <x:c r="O978" s="12" t="n">
        <x:f>IFERROR(INDEX('秒级路线参数_可调整'!$O:$O,MATCH(M978,'秒级路线参数_可调整'!$A:$A,0)),"")</x:f>
        <x:v>120</x:v>
      </x:c>
      <x:c r="P978" s="12" t="n">
        <x:f>IF(O978="","",O978/86400)</x:f>
        <x:v>0.001388888888888889</x:v>
      </x:c>
      <x:c r="Q978" s="12" t="n">
        <x:f>IF(O978="","",(H978*60+O978)/86400)</x:f>
        <x:v>0.4701388888888889</x:v>
      </x:c>
      <x:c r="R978" s="12" t="str">
        <x:f>IF(Q978="","",TEXT(Q978,"hh:mm:ss"))</x:f>
        <x:v>11:17:00</x:v>
      </x:c>
      <x:c r="S978" s="12" t="str">
        <x:v>否</x:v>
      </x:c>
      <x:c r="T978" s="12" t="str">
        <x:v>否</x:v>
      </x:c>
      <x:c r="U978" s="12" t="str">
        <x:v>未提供</x:v>
      </x:c>
      <x:c r="V978" s="12" t="str">
        <x:v>未提供</x:v>
      </x:c>
      <x:c r="W978" s="12" t="str">
        <x:v>秒级预测</x:v>
      </x:c>
      <x:c r="X978" s="12" t="str">
        <x:v>基于路线秒级参数；如录入实测或手动采用秒，预计到达时间可随公式更新</x:v>
      </x:c>
    </x:row>
    <x:row r="979">
      <x:c r="A979" s="12" t="str">
        <x:v>S0081-04</x:v>
      </x:c>
      <x:c r="B979" s="12" t="str">
        <x:v>S0081</x:v>
      </x:c>
      <x:c r="C979" s="12" t="str">
        <x:v>工作日</x:v>
      </x:c>
      <x:c r="D979" s="12" t="str">
        <x:v>环线2路</x:v>
      </x:c>
      <x:c r="E979" s="12" t="str">
        <x:v>第一班</x:v>
      </x:c>
      <x:c r="F979" s="12" t="n">
        <x:v>11</x:v>
      </x:c>
      <x:c r="G979" s="12" t="str">
        <x:v>11:15</x:v>
      </x:c>
      <x:c r="H979" s="12" t="n">
        <x:v>675</x:v>
      </x:c>
      <x:c r="I979" s="12" t="str">
        <x:v>研究生宿舍楼</x:v>
      </x:c>
      <x:c r="J979" s="12" t="str">
        <x:v>研究生宿舍楼发车</x:v>
      </x:c>
      <x:c r="K979" s="12" t="str">
        <x:v>HX2_NORMAL</x:v>
      </x:c>
      <x:c r="L979" s="12" t="n">
        <x:v>4</x:v>
      </x:c>
      <x:c r="M979" s="12" t="str">
        <x:v>HX2_NORMAL|4</x:v>
      </x:c>
      <x:c r="N979" s="12" t="str">
        <x:v>1号宿舍楼</x:v>
      </x:c>
      <x:c r="O979" s="12" t="n">
        <x:f>IFERROR(INDEX('秒级路线参数_可调整'!$O:$O,MATCH(M979,'秒级路线参数_可调整'!$A:$A,0)),"")</x:f>
        <x:v>165</x:v>
      </x:c>
      <x:c r="P979" s="12" t="n">
        <x:f>IF(O979="","",O979/86400)</x:f>
        <x:v>0.0019097222222222222</x:v>
      </x:c>
      <x:c r="Q979" s="12" t="n">
        <x:f>IF(O979="","",(H979*60+O979)/86400)</x:f>
        <x:v>0.47065972222222224</x:v>
      </x:c>
      <x:c r="R979" s="12" t="str">
        <x:f>IF(Q979="","",TEXT(Q979,"hh:mm:ss"))</x:f>
        <x:v>11:17:45</x:v>
      </x:c>
      <x:c r="S979" s="12" t="str">
        <x:v>否</x:v>
      </x:c>
      <x:c r="T979" s="12" t="str">
        <x:v>否</x:v>
      </x:c>
      <x:c r="U979" s="12" t="str">
        <x:v>未提供</x:v>
      </x:c>
      <x:c r="V979" s="12" t="str">
        <x:v>未提供</x:v>
      </x:c>
      <x:c r="W979" s="12" t="str">
        <x:v>秒级预测</x:v>
      </x:c>
      <x:c r="X979" s="12" t="str">
        <x:v>基于路线秒级参数；如录入实测或手动采用秒，预计到达时间可随公式更新</x:v>
      </x:c>
    </x:row>
    <x:row r="980">
      <x:c r="A980" s="12" t="str">
        <x:v>S0081-05</x:v>
      </x:c>
      <x:c r="B980" s="12" t="str">
        <x:v>S0081</x:v>
      </x:c>
      <x:c r="C980" s="12" t="str">
        <x:v>工作日</x:v>
      </x:c>
      <x:c r="D980" s="12" t="str">
        <x:v>环线2路</x:v>
      </x:c>
      <x:c r="E980" s="12" t="str">
        <x:v>第一班</x:v>
      </x:c>
      <x:c r="F980" s="12" t="n">
        <x:v>11</x:v>
      </x:c>
      <x:c r="G980" s="12" t="str">
        <x:v>11:15</x:v>
      </x:c>
      <x:c r="H980" s="12" t="n">
        <x:v>675</x:v>
      </x:c>
      <x:c r="I980" s="12" t="str">
        <x:v>研究生宿舍楼</x:v>
      </x:c>
      <x:c r="J980" s="12" t="str">
        <x:v>研究生宿舍楼发车</x:v>
      </x:c>
      <x:c r="K980" s="12" t="str">
        <x:v>HX2_NORMAL</x:v>
      </x:c>
      <x:c r="L980" s="12" t="n">
        <x:v>5</x:v>
      </x:c>
      <x:c r="M980" s="12" t="str">
        <x:v>HX2_NORMAL|5</x:v>
      </x:c>
      <x:c r="N980" s="12" t="str">
        <x:v>水上训练中心</x:v>
      </x:c>
      <x:c r="O980" s="12" t="n">
        <x:f>IFERROR(INDEX('秒级路线参数_可调整'!$O:$O,MATCH(M980,'秒级路线参数_可调整'!$A:$A,0)),"")</x:f>
        <x:v>250</x:v>
      </x:c>
      <x:c r="P980" s="12" t="n">
        <x:f>IF(O980="","",O980/86400)</x:f>
        <x:v>0.0028935185185185184</x:v>
      </x:c>
      <x:c r="Q980" s="12" t="n">
        <x:f>IF(O980="","",(H980*60+O980)/86400)</x:f>
        <x:v>0.47164351851851855</x:v>
      </x:c>
      <x:c r="R980" s="12" t="str">
        <x:f>IF(Q980="","",TEXT(Q980,"hh:mm:ss"))</x:f>
        <x:v>11:19:10</x:v>
      </x:c>
      <x:c r="S980" s="12" t="str">
        <x:v>否</x:v>
      </x:c>
      <x:c r="T980" s="12" t="str">
        <x:v>否</x:v>
      </x:c>
      <x:c r="U980" s="12" t="str">
        <x:v>未提供</x:v>
      </x:c>
      <x:c r="V980" s="12" t="str">
        <x:v>未提供</x:v>
      </x:c>
      <x:c r="W980" s="12" t="str">
        <x:v>秒级预测</x:v>
      </x:c>
      <x:c r="X980" s="12" t="str">
        <x:v>基于路线秒级参数；如录入实测或手动采用秒，预计到达时间可随公式更新</x:v>
      </x:c>
    </x:row>
    <x:row r="981">
      <x:c r="A981" s="12" t="str">
        <x:v>S0081-06</x:v>
      </x:c>
      <x:c r="B981" s="12" t="str">
        <x:v>S0081</x:v>
      </x:c>
      <x:c r="C981" s="12" t="str">
        <x:v>工作日</x:v>
      </x:c>
      <x:c r="D981" s="12" t="str">
        <x:v>环线2路</x:v>
      </x:c>
      <x:c r="E981" s="12" t="str">
        <x:v>第一班</x:v>
      </x:c>
      <x:c r="F981" s="12" t="n">
        <x:v>11</x:v>
      </x:c>
      <x:c r="G981" s="12" t="str">
        <x:v>11:15</x:v>
      </x:c>
      <x:c r="H981" s="12" t="n">
        <x:v>675</x:v>
      </x:c>
      <x:c r="I981" s="12" t="str">
        <x:v>研究生宿舍楼</x:v>
      </x:c>
      <x:c r="J981" s="12" t="str">
        <x:v>研究生宿舍楼发车</x:v>
      </x:c>
      <x:c r="K981" s="12" t="str">
        <x:v>HX2_NORMAL</x:v>
      </x:c>
      <x:c r="L981" s="12" t="n">
        <x:v>6</x:v>
      </x:c>
      <x:c r="M981" s="12" t="str">
        <x:v>HX2_NORMAL|6</x:v>
      </x:c>
      <x:c r="N981" s="12" t="str">
        <x:v>军体活动中心</x:v>
      </x:c>
      <x:c r="O981" s="12" t="n">
        <x:f>IFERROR(INDEX('秒级路线参数_可调整'!$O:$O,MATCH(M981,'秒级路线参数_可调整'!$A:$A,0)),"")</x:f>
        <x:v>315</x:v>
      </x:c>
      <x:c r="P981" s="12" t="n">
        <x:f>IF(O981="","",O981/86400)</x:f>
        <x:v>0.0036458333333333334</x:v>
      </x:c>
      <x:c r="Q981" s="12" t="n">
        <x:f>IF(O981="","",(H981*60+O981)/86400)</x:f>
        <x:v>0.47239583333333335</x:v>
      </x:c>
      <x:c r="R981" s="12" t="str">
        <x:f>IF(Q981="","",TEXT(Q981,"hh:mm:ss"))</x:f>
        <x:v>11:20:15</x:v>
      </x:c>
      <x:c r="S981" s="12" t="str">
        <x:v>否</x:v>
      </x:c>
      <x:c r="T981" s="12" t="str">
        <x:v>否</x:v>
      </x:c>
      <x:c r="U981" s="12" t="str">
        <x:v>未提供</x:v>
      </x:c>
      <x:c r="V981" s="12" t="str">
        <x:v>未提供</x:v>
      </x:c>
      <x:c r="W981" s="12" t="str">
        <x:v>秒级预测</x:v>
      </x:c>
      <x:c r="X981" s="12" t="str">
        <x:v>基于路线秒级参数；如录入实测或手动采用秒，预计到达时间可随公式更新</x:v>
      </x:c>
    </x:row>
    <x:row r="982">
      <x:c r="A982" s="12" t="str">
        <x:v>S0081-07</x:v>
      </x:c>
      <x:c r="B982" s="12" t="str">
        <x:v>S0081</x:v>
      </x:c>
      <x:c r="C982" s="12" t="str">
        <x:v>工作日</x:v>
      </x:c>
      <x:c r="D982" s="12" t="str">
        <x:v>环线2路</x:v>
      </x:c>
      <x:c r="E982" s="12" t="str">
        <x:v>第一班</x:v>
      </x:c>
      <x:c r="F982" s="12" t="n">
        <x:v>11</x:v>
      </x:c>
      <x:c r="G982" s="12" t="str">
        <x:v>11:15</x:v>
      </x:c>
      <x:c r="H982" s="12" t="n">
        <x:v>675</x:v>
      </x:c>
      <x:c r="I982" s="12" t="str">
        <x:v>研究生宿舍楼</x:v>
      </x:c>
      <x:c r="J982" s="12" t="str">
        <x:v>研究生宿舍楼发车</x:v>
      </x:c>
      <x:c r="K982" s="12" t="str">
        <x:v>HX2_NORMAL</x:v>
      </x:c>
      <x:c r="L982" s="12" t="n">
        <x:v>7</x:v>
      </x:c>
      <x:c r="M982" s="12" t="str">
        <x:v>HX2_NORMAL|7</x:v>
      </x:c>
      <x:c r="N982" s="12" t="str">
        <x:v>二食堂</x:v>
      </x:c>
      <x:c r="O982" s="12" t="n">
        <x:f>IFERROR(INDEX('秒级路线参数_可调整'!$O:$O,MATCH(M982,'秒级路线参数_可调整'!$A:$A,0)),"")</x:f>
        <x:v>420</x:v>
      </x:c>
      <x:c r="P982" s="12" t="n">
        <x:f>IF(O982="","",O982/86400)</x:f>
        <x:v>0.004861111111111111</x:v>
      </x:c>
      <x:c r="Q982" s="12" t="n">
        <x:f>IF(O982="","",(H982*60+O982)/86400)</x:f>
        <x:v>0.4736111111111111</x:v>
      </x:c>
      <x:c r="R982" s="12" t="str">
        <x:f>IF(Q982="","",TEXT(Q982,"hh:mm:ss"))</x:f>
        <x:v>11:22:00</x:v>
      </x:c>
      <x:c r="S982" s="12" t="str">
        <x:v>否</x:v>
      </x:c>
      <x:c r="T982" s="12" t="str">
        <x:v>否</x:v>
      </x:c>
      <x:c r="U982" s="12" t="str">
        <x:v>未提供</x:v>
      </x:c>
      <x:c r="V982" s="12" t="str">
        <x:v>未提供</x:v>
      </x:c>
      <x:c r="W982" s="12" t="str">
        <x:v>秒级预测</x:v>
      </x:c>
      <x:c r="X982" s="12" t="str">
        <x:v>基于路线秒级参数；如录入实测或手动采用秒，预计到达时间可随公式更新</x:v>
      </x:c>
    </x:row>
    <x:row r="983">
      <x:c r="A983" s="12" t="str">
        <x:v>S0081-08</x:v>
      </x:c>
      <x:c r="B983" s="12" t="str">
        <x:v>S0081</x:v>
      </x:c>
      <x:c r="C983" s="12" t="str">
        <x:v>工作日</x:v>
      </x:c>
      <x:c r="D983" s="12" t="str">
        <x:v>环线2路</x:v>
      </x:c>
      <x:c r="E983" s="12" t="str">
        <x:v>第一班</x:v>
      </x:c>
      <x:c r="F983" s="12" t="n">
        <x:v>11</x:v>
      </x:c>
      <x:c r="G983" s="12" t="str">
        <x:v>11:15</x:v>
      </x:c>
      <x:c r="H983" s="12" t="n">
        <x:v>675</x:v>
      </x:c>
      <x:c r="I983" s="12" t="str">
        <x:v>研究生宿舍楼</x:v>
      </x:c>
      <x:c r="J983" s="12" t="str">
        <x:v>研究生宿舍楼发车</x:v>
      </x:c>
      <x:c r="K983" s="12" t="str">
        <x:v>HX2_NORMAL</x:v>
      </x:c>
      <x:c r="L983" s="12" t="n">
        <x:v>8</x:v>
      </x:c>
      <x:c r="M983" s="12" t="str">
        <x:v>HX2_NORMAL|8</x:v>
      </x:c>
      <x:c r="N983" s="12" t="str">
        <x:v>5号宿舍楼</x:v>
      </x:c>
      <x:c r="O983" s="12" t="n">
        <x:f>IFERROR(INDEX('秒级路线参数_可调整'!$O:$O,MATCH(M983,'秒级路线参数_可调整'!$A:$A,0)),"")</x:f>
        <x:v>480</x:v>
      </x:c>
      <x:c r="P983" s="12" t="n">
        <x:f>IF(O983="","",O983/86400)</x:f>
        <x:v>0.005555555555555556</x:v>
      </x:c>
      <x:c r="Q983" s="12" t="n">
        <x:f>IF(O983="","",(H983*60+O983)/86400)</x:f>
        <x:v>0.47430555555555554</x:v>
      </x:c>
      <x:c r="R983" s="12" t="str">
        <x:f>IF(Q983="","",TEXT(Q983,"hh:mm:ss"))</x:f>
        <x:v>11:23:00</x:v>
      </x:c>
      <x:c r="S983" s="12" t="str">
        <x:v>否</x:v>
      </x:c>
      <x:c r="T983" s="12" t="str">
        <x:v>否</x:v>
      </x:c>
      <x:c r="U983" s="12" t="str">
        <x:v>未提供</x:v>
      </x:c>
      <x:c r="V983" s="12" t="str">
        <x:v>未提供</x:v>
      </x:c>
      <x:c r="W983" s="12" t="str">
        <x:v>秒级预测</x:v>
      </x:c>
      <x:c r="X983" s="12" t="str">
        <x:v>基于路线秒级参数；如录入实测或手动采用秒，预计到达时间可随公式更新</x:v>
      </x:c>
    </x:row>
    <x:row r="984">
      <x:c r="A984" s="12" t="str">
        <x:v>S0081-09</x:v>
      </x:c>
      <x:c r="B984" s="12" t="str">
        <x:v>S0081</x:v>
      </x:c>
      <x:c r="C984" s="12" t="str">
        <x:v>工作日</x:v>
      </x:c>
      <x:c r="D984" s="12" t="str">
        <x:v>环线2路</x:v>
      </x:c>
      <x:c r="E984" s="12" t="str">
        <x:v>第一班</x:v>
      </x:c>
      <x:c r="F984" s="12" t="n">
        <x:v>11</x:v>
      </x:c>
      <x:c r="G984" s="12" t="str">
        <x:v>11:15</x:v>
      </x:c>
      <x:c r="H984" s="12" t="n">
        <x:v>675</x:v>
      </x:c>
      <x:c r="I984" s="12" t="str">
        <x:v>研究生宿舍楼</x:v>
      </x:c>
      <x:c r="J984" s="12" t="str">
        <x:v>研究生宿舍楼发车</x:v>
      </x:c>
      <x:c r="K984" s="12" t="str">
        <x:v>HX2_NORMAL</x:v>
      </x:c>
      <x:c r="L984" s="12" t="n">
        <x:v>9</x:v>
      </x:c>
      <x:c r="M984" s="12" t="str">
        <x:v>HX2_NORMAL|9</x:v>
      </x:c>
      <x:c r="N984" s="12" t="str">
        <x:v>305教学楼</x:v>
      </x:c>
      <x:c r="O984" s="12" t="n">
        <x:f>IFERROR(INDEX('秒级路线参数_可调整'!$O:$O,MATCH(M984,'秒级路线参数_可调整'!$A:$A,0)),"")</x:f>
        <x:v>535</x:v>
      </x:c>
      <x:c r="P984" s="12" t="n">
        <x:f>IF(O984="","",O984/86400)</x:f>
        <x:v>0.00619212962962963</x:v>
      </x:c>
      <x:c r="Q984" s="12" t="n">
        <x:f>IF(O984="","",(H984*60+O984)/86400)</x:f>
        <x:v>0.4749421296296296</x:v>
      </x:c>
      <x:c r="R984" s="12" t="str">
        <x:f>IF(Q984="","",TEXT(Q984,"hh:mm:ss"))</x:f>
        <x:v>11:23:55</x:v>
      </x:c>
      <x:c r="S984" s="12" t="str">
        <x:v>否</x:v>
      </x:c>
      <x:c r="T984" s="12" t="str">
        <x:v>否</x:v>
      </x:c>
      <x:c r="U984" s="12" t="str">
        <x:v>未提供</x:v>
      </x:c>
      <x:c r="V984" s="12" t="str">
        <x:v>未提供</x:v>
      </x:c>
      <x:c r="W984" s="12" t="str">
        <x:v>秒级预测</x:v>
      </x:c>
      <x:c r="X984" s="12" t="str">
        <x:v>基于路线秒级参数；如录入实测或手动采用秒，预计到达时间可随公式更新</x:v>
      </x:c>
    </x:row>
    <x:row r="985">
      <x:c r="A985" s="12" t="str">
        <x:v>S0081-10</x:v>
      </x:c>
      <x:c r="B985" s="12" t="str">
        <x:v>S0081</x:v>
      </x:c>
      <x:c r="C985" s="12" t="str">
        <x:v>工作日</x:v>
      </x:c>
      <x:c r="D985" s="12" t="str">
        <x:v>环线2路</x:v>
      </x:c>
      <x:c r="E985" s="12" t="str">
        <x:v>第一班</x:v>
      </x:c>
      <x:c r="F985" s="12" t="n">
        <x:v>11</x:v>
      </x:c>
      <x:c r="G985" s="12" t="str">
        <x:v>11:15</x:v>
      </x:c>
      <x:c r="H985" s="12" t="n">
        <x:v>675</x:v>
      </x:c>
      <x:c r="I985" s="12" t="str">
        <x:v>研究生宿舍楼</x:v>
      </x:c>
      <x:c r="J985" s="12" t="str">
        <x:v>研究生宿舍楼发车</x:v>
      </x:c>
      <x:c r="K985" s="12" t="str">
        <x:v>HX2_NORMAL</x:v>
      </x:c>
      <x:c r="L985" s="12" t="n">
        <x:v>10</x:v>
      </x:c>
      <x:c r="M985" s="12" t="str">
        <x:v>HX2_NORMAL|10</x:v>
      </x:c>
      <x:c r="N985" s="12" t="str">
        <x:v>研究生宿舍楼</x:v>
      </x:c>
      <x:c r="O985" s="12" t="n">
        <x:f>IFERROR(INDEX('秒级路线参数_可调整'!$O:$O,MATCH(M985,'秒级路线参数_可调整'!$A:$A,0)),"")</x:f>
        <x:v>715</x:v>
      </x:c>
      <x:c r="P985" s="12" t="n">
        <x:f>IF(O985="","",O985/86400)</x:f>
        <x:v>0.008275462962962964</x:v>
      </x:c>
      <x:c r="Q985" s="12" t="n">
        <x:f>IF(O985="","",(H985*60+O985)/86400)</x:f>
        <x:v>0.47702546296296294</x:v>
      </x:c>
      <x:c r="R985" s="12" t="str">
        <x:f>IF(Q985="","",TEXT(Q985,"hh:mm:ss"))</x:f>
        <x:v>11:26:55</x:v>
      </x:c>
      <x:c r="S985" s="12" t="str">
        <x:v>否</x:v>
      </x:c>
      <x:c r="T985" s="12" t="str">
        <x:v>是</x:v>
      </x:c>
      <x:c r="U985" s="12" t="str">
        <x:v>未提供</x:v>
      </x:c>
      <x:c r="V985" s="12" t="str">
        <x:v>未提供</x:v>
      </x:c>
      <x:c r="W985" s="12" t="str">
        <x:v>秒级预测</x:v>
      </x:c>
      <x:c r="X985" s="12" t="str">
        <x:v>基于路线秒级参数；如录入实测或手动采用秒，预计到达时间可随公式更新</x:v>
      </x:c>
    </x:row>
    <x:row r="986">
      <x:c r="A986" s="12" t="str">
        <x:v>S0082-01</x:v>
      </x:c>
      <x:c r="B986" s="12" t="str">
        <x:v>S0082</x:v>
      </x:c>
      <x:c r="C986" s="12" t="str">
        <x:v>工作日</x:v>
      </x:c>
      <x:c r="D986" s="12" t="str">
        <x:v>环线2路</x:v>
      </x:c>
      <x:c r="E986" s="12" t="str">
        <x:v>第一班</x:v>
      </x:c>
      <x:c r="F986" s="12" t="n">
        <x:v>12</x:v>
      </x:c>
      <x:c r="G986" s="12" t="str">
        <x:v>11:40</x:v>
      </x:c>
      <x:c r="H986" s="12" t="n">
        <x:v>700</x:v>
      </x:c>
      <x:c r="I986" s="12" t="str">
        <x:v>研究生宿舍楼</x:v>
      </x:c>
      <x:c r="J986" s="12" t="str">
        <x:v>研究生宿舍楼发车</x:v>
      </x:c>
      <x:c r="K986" s="12" t="str">
        <x:v>HX2_NORMAL</x:v>
      </x:c>
      <x:c r="L986" s="12" t="n">
        <x:v>1</x:v>
      </x:c>
      <x:c r="M986" s="12" t="str">
        <x:v>HX2_NORMAL|1</x:v>
      </x:c>
      <x:c r="N986" s="12" t="str">
        <x:v>研究生宿舍楼</x:v>
      </x:c>
      <x:c r="O986" s="12" t="n">
        <x:f>IFERROR(INDEX('秒级路线参数_可调整'!$O:$O,MATCH(M986,'秒级路线参数_可调整'!$A:$A,0)),"")</x:f>
        <x:v>0</x:v>
      </x:c>
      <x:c r="P986" s="12" t="str">
        <x:f>IF(O986="","",O986/86400)</x:f>
      </x:c>
      <x:c r="Q986" s="12" t="str">
        <x:f>IF(O986="","",(H986*60+O986)/86400)</x:f>
      </x:c>
      <x:c r="R986" s="12" t="str">
        <x:f>IF(Q986="","",TEXT(Q986,"hh:mm:ss"))</x:f>
      </x:c>
      <x:c r="S986" s="12" t="str">
        <x:v>是</x:v>
      </x:c>
      <x:c r="T986" s="12" t="str">
        <x:v>否</x:v>
      </x:c>
      <x:c r="U986" s="12" t="str">
        <x:v>未提供</x:v>
      </x:c>
      <x:c r="V986" s="12" t="str">
        <x:v>未提供</x:v>
      </x:c>
      <x:c r="W986" s="12" t="str">
        <x:v>秒级预测</x:v>
      </x:c>
      <x:c r="X986" s="12" t="str">
        <x:v>基于路线秒级参数；如录入实测或手动采用秒，预计到达时间可随公式更新</x:v>
      </x:c>
    </x:row>
    <x:row r="987">
      <x:c r="A987" s="12" t="str">
        <x:v>S0082-02</x:v>
      </x:c>
      <x:c r="B987" s="12" t="str">
        <x:v>S0082</x:v>
      </x:c>
      <x:c r="C987" s="12" t="str">
        <x:v>工作日</x:v>
      </x:c>
      <x:c r="D987" s="12" t="str">
        <x:v>环线2路</x:v>
      </x:c>
      <x:c r="E987" s="12" t="str">
        <x:v>第一班</x:v>
      </x:c>
      <x:c r="F987" s="12" t="n">
        <x:v>12</x:v>
      </x:c>
      <x:c r="G987" s="12" t="str">
        <x:v>11:40</x:v>
      </x:c>
      <x:c r="H987" s="12" t="n">
        <x:v>700</x:v>
      </x:c>
      <x:c r="I987" s="12" t="str">
        <x:v>研究生宿舍楼</x:v>
      </x:c>
      <x:c r="J987" s="12" t="str">
        <x:v>研究生宿舍楼发车</x:v>
      </x:c>
      <x:c r="K987" s="12" t="str">
        <x:v>HX2_NORMAL</x:v>
      </x:c>
      <x:c r="L987" s="12" t="n">
        <x:v>2</x:v>
      </x:c>
      <x:c r="M987" s="12" t="str">
        <x:v>HX2_NORMAL|2</x:v>
      </x:c>
      <x:c r="N987" s="12" t="str">
        <x:v>一食堂</x:v>
      </x:c>
      <x:c r="O987" s="12" t="n">
        <x:f>IFERROR(INDEX('秒级路线参数_可调整'!$O:$O,MATCH(M987,'秒级路线参数_可调整'!$A:$A,0)),"")</x:f>
        <x:v>65</x:v>
      </x:c>
      <x:c r="P987" s="12" t="n">
        <x:f>IF(O987="","",O987/86400)</x:f>
        <x:v>0.0007523148148148148</x:v>
      </x:c>
      <x:c r="Q987" s="12" t="n">
        <x:f>IF(O987="","",(H987*60+O987)/86400)</x:f>
        <x:v>0.4868634259259259</x:v>
      </x:c>
      <x:c r="R987" s="12" t="str">
        <x:f>IF(Q987="","",TEXT(Q987,"hh:mm:ss"))</x:f>
        <x:v>11:41:05</x:v>
      </x:c>
      <x:c r="S987" s="12" t="str">
        <x:v>否</x:v>
      </x:c>
      <x:c r="T987" s="12" t="str">
        <x:v>否</x:v>
      </x:c>
      <x:c r="U987" s="12" t="str">
        <x:v>未提供</x:v>
      </x:c>
      <x:c r="V987" s="12" t="str">
        <x:v>未提供</x:v>
      </x:c>
      <x:c r="W987" s="12" t="str">
        <x:v>秒级预测</x:v>
      </x:c>
      <x:c r="X987" s="12" t="str">
        <x:v>基于路线秒级参数；如录入实测或手动采用秒，预计到达时间可随公式更新</x:v>
      </x:c>
    </x:row>
    <x:row r="988">
      <x:c r="A988" s="12" t="str">
        <x:v>S0082-03</x:v>
      </x:c>
      <x:c r="B988" s="12" t="str">
        <x:v>S0082</x:v>
      </x:c>
      <x:c r="C988" s="12" t="str">
        <x:v>工作日</x:v>
      </x:c>
      <x:c r="D988" s="12" t="str">
        <x:v>环线2路</x:v>
      </x:c>
      <x:c r="E988" s="12" t="str">
        <x:v>第一班</x:v>
      </x:c>
      <x:c r="F988" s="12" t="n">
        <x:v>12</x:v>
      </x:c>
      <x:c r="G988" s="12" t="str">
        <x:v>11:40</x:v>
      </x:c>
      <x:c r="H988" s="12" t="n">
        <x:v>700</x:v>
      </x:c>
      <x:c r="I988" s="12" t="str">
        <x:v>研究生宿舍楼</x:v>
      </x:c>
      <x:c r="J988" s="12" t="str">
        <x:v>研究生宿舍楼发车</x:v>
      </x:c>
      <x:c r="K988" s="12" t="str">
        <x:v>HX2_NORMAL</x:v>
      </x:c>
      <x:c r="L988" s="12" t="n">
        <x:v>3</x:v>
      </x:c>
      <x:c r="M988" s="12" t="str">
        <x:v>HX2_NORMAL|3</x:v>
      </x:c>
      <x:c r="N988" s="12" t="str">
        <x:v>门诊部</x:v>
      </x:c>
      <x:c r="O988" s="12" t="n">
        <x:f>IFERROR(INDEX('秒级路线参数_可调整'!$O:$O,MATCH(M988,'秒级路线参数_可调整'!$A:$A,0)),"")</x:f>
        <x:v>120</x:v>
      </x:c>
      <x:c r="P988" s="12" t="n">
        <x:f>IF(O988="","",O988/86400)</x:f>
        <x:v>0.001388888888888889</x:v>
      </x:c>
      <x:c r="Q988" s="12" t="n">
        <x:f>IF(O988="","",(H988*60+O988)/86400)</x:f>
        <x:v>0.4875</x:v>
      </x:c>
      <x:c r="R988" s="12" t="str">
        <x:f>IF(Q988="","",TEXT(Q988,"hh:mm:ss"))</x:f>
        <x:v>11:42:00</x:v>
      </x:c>
      <x:c r="S988" s="12" t="str">
        <x:v>否</x:v>
      </x:c>
      <x:c r="T988" s="12" t="str">
        <x:v>否</x:v>
      </x:c>
      <x:c r="U988" s="12" t="str">
        <x:v>未提供</x:v>
      </x:c>
      <x:c r="V988" s="12" t="str">
        <x:v>未提供</x:v>
      </x:c>
      <x:c r="W988" s="12" t="str">
        <x:v>秒级预测</x:v>
      </x:c>
      <x:c r="X988" s="12" t="str">
        <x:v>基于路线秒级参数；如录入实测或手动采用秒，预计到达时间可随公式更新</x:v>
      </x:c>
    </x:row>
    <x:row r="989">
      <x:c r="A989" s="12" t="str">
        <x:v>S0082-04</x:v>
      </x:c>
      <x:c r="B989" s="12" t="str">
        <x:v>S0082</x:v>
      </x:c>
      <x:c r="C989" s="12" t="str">
        <x:v>工作日</x:v>
      </x:c>
      <x:c r="D989" s="12" t="str">
        <x:v>环线2路</x:v>
      </x:c>
      <x:c r="E989" s="12" t="str">
        <x:v>第一班</x:v>
      </x:c>
      <x:c r="F989" s="12" t="n">
        <x:v>12</x:v>
      </x:c>
      <x:c r="G989" s="12" t="str">
        <x:v>11:40</x:v>
      </x:c>
      <x:c r="H989" s="12" t="n">
        <x:v>700</x:v>
      </x:c>
      <x:c r="I989" s="12" t="str">
        <x:v>研究生宿舍楼</x:v>
      </x:c>
      <x:c r="J989" s="12" t="str">
        <x:v>研究生宿舍楼发车</x:v>
      </x:c>
      <x:c r="K989" s="12" t="str">
        <x:v>HX2_NORMAL</x:v>
      </x:c>
      <x:c r="L989" s="12" t="n">
        <x:v>4</x:v>
      </x:c>
      <x:c r="M989" s="12" t="str">
        <x:v>HX2_NORMAL|4</x:v>
      </x:c>
      <x:c r="N989" s="12" t="str">
        <x:v>1号宿舍楼</x:v>
      </x:c>
      <x:c r="O989" s="12" t="n">
        <x:f>IFERROR(INDEX('秒级路线参数_可调整'!$O:$O,MATCH(M989,'秒级路线参数_可调整'!$A:$A,0)),"")</x:f>
        <x:v>165</x:v>
      </x:c>
      <x:c r="P989" s="12" t="n">
        <x:f>IF(O989="","",O989/86400)</x:f>
        <x:v>0.0019097222222222222</x:v>
      </x:c>
      <x:c r="Q989" s="12" t="n">
        <x:f>IF(O989="","",(H989*60+O989)/86400)</x:f>
        <x:v>0.48802083333333335</x:v>
      </x:c>
      <x:c r="R989" s="12" t="str">
        <x:f>IF(Q989="","",TEXT(Q989,"hh:mm:ss"))</x:f>
        <x:v>11:42:45</x:v>
      </x:c>
      <x:c r="S989" s="12" t="str">
        <x:v>否</x:v>
      </x:c>
      <x:c r="T989" s="12" t="str">
        <x:v>否</x:v>
      </x:c>
      <x:c r="U989" s="12" t="str">
        <x:v>未提供</x:v>
      </x:c>
      <x:c r="V989" s="12" t="str">
        <x:v>未提供</x:v>
      </x:c>
      <x:c r="W989" s="12" t="str">
        <x:v>秒级预测</x:v>
      </x:c>
      <x:c r="X989" s="12" t="str">
        <x:v>基于路线秒级参数；如录入实测或手动采用秒，预计到达时间可随公式更新</x:v>
      </x:c>
    </x:row>
    <x:row r="990">
      <x:c r="A990" s="12" t="str">
        <x:v>S0082-05</x:v>
      </x:c>
      <x:c r="B990" s="12" t="str">
        <x:v>S0082</x:v>
      </x:c>
      <x:c r="C990" s="12" t="str">
        <x:v>工作日</x:v>
      </x:c>
      <x:c r="D990" s="12" t="str">
        <x:v>环线2路</x:v>
      </x:c>
      <x:c r="E990" s="12" t="str">
        <x:v>第一班</x:v>
      </x:c>
      <x:c r="F990" s="12" t="n">
        <x:v>12</x:v>
      </x:c>
      <x:c r="G990" s="12" t="str">
        <x:v>11:40</x:v>
      </x:c>
      <x:c r="H990" s="12" t="n">
        <x:v>700</x:v>
      </x:c>
      <x:c r="I990" s="12" t="str">
        <x:v>研究生宿舍楼</x:v>
      </x:c>
      <x:c r="J990" s="12" t="str">
        <x:v>研究生宿舍楼发车</x:v>
      </x:c>
      <x:c r="K990" s="12" t="str">
        <x:v>HX2_NORMAL</x:v>
      </x:c>
      <x:c r="L990" s="12" t="n">
        <x:v>5</x:v>
      </x:c>
      <x:c r="M990" s="12" t="str">
        <x:v>HX2_NORMAL|5</x:v>
      </x:c>
      <x:c r="N990" s="12" t="str">
        <x:v>水上训练中心</x:v>
      </x:c>
      <x:c r="O990" s="12" t="n">
        <x:f>IFERROR(INDEX('秒级路线参数_可调整'!$O:$O,MATCH(M990,'秒级路线参数_可调整'!$A:$A,0)),"")</x:f>
        <x:v>250</x:v>
      </x:c>
      <x:c r="P990" s="12" t="n">
        <x:f>IF(O990="","",O990/86400)</x:f>
        <x:v>0.0028935185185185184</x:v>
      </x:c>
      <x:c r="Q990" s="12" t="n">
        <x:f>IF(O990="","",(H990*60+O990)/86400)</x:f>
        <x:v>0.48900462962962965</x:v>
      </x:c>
      <x:c r="R990" s="12" t="str">
        <x:f>IF(Q990="","",TEXT(Q990,"hh:mm:ss"))</x:f>
        <x:v>11:44:10</x:v>
      </x:c>
      <x:c r="S990" s="12" t="str">
        <x:v>否</x:v>
      </x:c>
      <x:c r="T990" s="12" t="str">
        <x:v>否</x:v>
      </x:c>
      <x:c r="U990" s="12" t="str">
        <x:v>未提供</x:v>
      </x:c>
      <x:c r="V990" s="12" t="str">
        <x:v>未提供</x:v>
      </x:c>
      <x:c r="W990" s="12" t="str">
        <x:v>秒级预测</x:v>
      </x:c>
      <x:c r="X990" s="12" t="str">
        <x:v>基于路线秒级参数；如录入实测或手动采用秒，预计到达时间可随公式更新</x:v>
      </x:c>
    </x:row>
    <x:row r="991">
      <x:c r="A991" s="12" t="str">
        <x:v>S0082-06</x:v>
      </x:c>
      <x:c r="B991" s="12" t="str">
        <x:v>S0082</x:v>
      </x:c>
      <x:c r="C991" s="12" t="str">
        <x:v>工作日</x:v>
      </x:c>
      <x:c r="D991" s="12" t="str">
        <x:v>环线2路</x:v>
      </x:c>
      <x:c r="E991" s="12" t="str">
        <x:v>第一班</x:v>
      </x:c>
      <x:c r="F991" s="12" t="n">
        <x:v>12</x:v>
      </x:c>
      <x:c r="G991" s="12" t="str">
        <x:v>11:40</x:v>
      </x:c>
      <x:c r="H991" s="12" t="n">
        <x:v>700</x:v>
      </x:c>
      <x:c r="I991" s="12" t="str">
        <x:v>研究生宿舍楼</x:v>
      </x:c>
      <x:c r="J991" s="12" t="str">
        <x:v>研究生宿舍楼发车</x:v>
      </x:c>
      <x:c r="K991" s="12" t="str">
        <x:v>HX2_NORMAL</x:v>
      </x:c>
      <x:c r="L991" s="12" t="n">
        <x:v>6</x:v>
      </x:c>
      <x:c r="M991" s="12" t="str">
        <x:v>HX2_NORMAL|6</x:v>
      </x:c>
      <x:c r="N991" s="12" t="str">
        <x:v>军体活动中心</x:v>
      </x:c>
      <x:c r="O991" s="12" t="n">
        <x:f>IFERROR(INDEX('秒级路线参数_可调整'!$O:$O,MATCH(M991,'秒级路线参数_可调整'!$A:$A,0)),"")</x:f>
        <x:v>315</x:v>
      </x:c>
      <x:c r="P991" s="12" t="n">
        <x:f>IF(O991="","",O991/86400)</x:f>
        <x:v>0.0036458333333333334</x:v>
      </x:c>
      <x:c r="Q991" s="12" t="n">
        <x:f>IF(O991="","",(H991*60+O991)/86400)</x:f>
        <x:v>0.48975694444444445</x:v>
      </x:c>
      <x:c r="R991" s="12" t="str">
        <x:f>IF(Q991="","",TEXT(Q991,"hh:mm:ss"))</x:f>
        <x:v>11:45:15</x:v>
      </x:c>
      <x:c r="S991" s="12" t="str">
        <x:v>否</x:v>
      </x:c>
      <x:c r="T991" s="12" t="str">
        <x:v>否</x:v>
      </x:c>
      <x:c r="U991" s="12" t="str">
        <x:v>未提供</x:v>
      </x:c>
      <x:c r="V991" s="12" t="str">
        <x:v>未提供</x:v>
      </x:c>
      <x:c r="W991" s="12" t="str">
        <x:v>秒级预测</x:v>
      </x:c>
      <x:c r="X991" s="12" t="str">
        <x:v>基于路线秒级参数；如录入实测或手动采用秒，预计到达时间可随公式更新</x:v>
      </x:c>
    </x:row>
    <x:row r="992">
      <x:c r="A992" s="12" t="str">
        <x:v>S0082-07</x:v>
      </x:c>
      <x:c r="B992" s="12" t="str">
        <x:v>S0082</x:v>
      </x:c>
      <x:c r="C992" s="12" t="str">
        <x:v>工作日</x:v>
      </x:c>
      <x:c r="D992" s="12" t="str">
        <x:v>环线2路</x:v>
      </x:c>
      <x:c r="E992" s="12" t="str">
        <x:v>第一班</x:v>
      </x:c>
      <x:c r="F992" s="12" t="n">
        <x:v>12</x:v>
      </x:c>
      <x:c r="G992" s="12" t="str">
        <x:v>11:40</x:v>
      </x:c>
      <x:c r="H992" s="12" t="n">
        <x:v>700</x:v>
      </x:c>
      <x:c r="I992" s="12" t="str">
        <x:v>研究生宿舍楼</x:v>
      </x:c>
      <x:c r="J992" s="12" t="str">
        <x:v>研究生宿舍楼发车</x:v>
      </x:c>
      <x:c r="K992" s="12" t="str">
        <x:v>HX2_NORMAL</x:v>
      </x:c>
      <x:c r="L992" s="12" t="n">
        <x:v>7</x:v>
      </x:c>
      <x:c r="M992" s="12" t="str">
        <x:v>HX2_NORMAL|7</x:v>
      </x:c>
      <x:c r="N992" s="12" t="str">
        <x:v>二食堂</x:v>
      </x:c>
      <x:c r="O992" s="12" t="n">
        <x:f>IFERROR(INDEX('秒级路线参数_可调整'!$O:$O,MATCH(M992,'秒级路线参数_可调整'!$A:$A,0)),"")</x:f>
        <x:v>420</x:v>
      </x:c>
      <x:c r="P992" s="12" t="n">
        <x:f>IF(O992="","",O992/86400)</x:f>
        <x:v>0.004861111111111111</x:v>
      </x:c>
      <x:c r="Q992" s="12" t="n">
        <x:f>IF(O992="","",(H992*60+O992)/86400)</x:f>
        <x:v>0.4909722222222222</x:v>
      </x:c>
      <x:c r="R992" s="12" t="str">
        <x:f>IF(Q992="","",TEXT(Q992,"hh:mm:ss"))</x:f>
        <x:v>11:47:00</x:v>
      </x:c>
      <x:c r="S992" s="12" t="str">
        <x:v>否</x:v>
      </x:c>
      <x:c r="T992" s="12" t="str">
        <x:v>否</x:v>
      </x:c>
      <x:c r="U992" s="12" t="str">
        <x:v>未提供</x:v>
      </x:c>
      <x:c r="V992" s="12" t="str">
        <x:v>未提供</x:v>
      </x:c>
      <x:c r="W992" s="12" t="str">
        <x:v>秒级预测</x:v>
      </x:c>
      <x:c r="X992" s="12" t="str">
        <x:v>基于路线秒级参数；如录入实测或手动采用秒，预计到达时间可随公式更新</x:v>
      </x:c>
    </x:row>
    <x:row r="993">
      <x:c r="A993" s="12" t="str">
        <x:v>S0082-08</x:v>
      </x:c>
      <x:c r="B993" s="12" t="str">
        <x:v>S0082</x:v>
      </x:c>
      <x:c r="C993" s="12" t="str">
        <x:v>工作日</x:v>
      </x:c>
      <x:c r="D993" s="12" t="str">
        <x:v>环线2路</x:v>
      </x:c>
      <x:c r="E993" s="12" t="str">
        <x:v>第一班</x:v>
      </x:c>
      <x:c r="F993" s="12" t="n">
        <x:v>12</x:v>
      </x:c>
      <x:c r="G993" s="12" t="str">
        <x:v>11:40</x:v>
      </x:c>
      <x:c r="H993" s="12" t="n">
        <x:v>700</x:v>
      </x:c>
      <x:c r="I993" s="12" t="str">
        <x:v>研究生宿舍楼</x:v>
      </x:c>
      <x:c r="J993" s="12" t="str">
        <x:v>研究生宿舍楼发车</x:v>
      </x:c>
      <x:c r="K993" s="12" t="str">
        <x:v>HX2_NORMAL</x:v>
      </x:c>
      <x:c r="L993" s="12" t="n">
        <x:v>8</x:v>
      </x:c>
      <x:c r="M993" s="12" t="str">
        <x:v>HX2_NORMAL|8</x:v>
      </x:c>
      <x:c r="N993" s="12" t="str">
        <x:v>5号宿舍楼</x:v>
      </x:c>
      <x:c r="O993" s="12" t="n">
        <x:f>IFERROR(INDEX('秒级路线参数_可调整'!$O:$O,MATCH(M993,'秒级路线参数_可调整'!$A:$A,0)),"")</x:f>
        <x:v>480</x:v>
      </x:c>
      <x:c r="P993" s="12" t="n">
        <x:f>IF(O993="","",O993/86400)</x:f>
        <x:v>0.005555555555555556</x:v>
      </x:c>
      <x:c r="Q993" s="12" t="n">
        <x:f>IF(O993="","",(H993*60+O993)/86400)</x:f>
        <x:v>0.49166666666666664</x:v>
      </x:c>
      <x:c r="R993" s="12" t="str">
        <x:f>IF(Q993="","",TEXT(Q993,"hh:mm:ss"))</x:f>
        <x:v>11:48:00</x:v>
      </x:c>
      <x:c r="S993" s="12" t="str">
        <x:v>否</x:v>
      </x:c>
      <x:c r="T993" s="12" t="str">
        <x:v>否</x:v>
      </x:c>
      <x:c r="U993" s="12" t="str">
        <x:v>未提供</x:v>
      </x:c>
      <x:c r="V993" s="12" t="str">
        <x:v>未提供</x:v>
      </x:c>
      <x:c r="W993" s="12" t="str">
        <x:v>秒级预测</x:v>
      </x:c>
      <x:c r="X993" s="12" t="str">
        <x:v>基于路线秒级参数；如录入实测或手动采用秒，预计到达时间可随公式更新</x:v>
      </x:c>
    </x:row>
    <x:row r="994">
      <x:c r="A994" s="12" t="str">
        <x:v>S0082-09</x:v>
      </x:c>
      <x:c r="B994" s="12" t="str">
        <x:v>S0082</x:v>
      </x:c>
      <x:c r="C994" s="12" t="str">
        <x:v>工作日</x:v>
      </x:c>
      <x:c r="D994" s="12" t="str">
        <x:v>环线2路</x:v>
      </x:c>
      <x:c r="E994" s="12" t="str">
        <x:v>第一班</x:v>
      </x:c>
      <x:c r="F994" s="12" t="n">
        <x:v>12</x:v>
      </x:c>
      <x:c r="G994" s="12" t="str">
        <x:v>11:40</x:v>
      </x:c>
      <x:c r="H994" s="12" t="n">
        <x:v>700</x:v>
      </x:c>
      <x:c r="I994" s="12" t="str">
        <x:v>研究生宿舍楼</x:v>
      </x:c>
      <x:c r="J994" s="12" t="str">
        <x:v>研究生宿舍楼发车</x:v>
      </x:c>
      <x:c r="K994" s="12" t="str">
        <x:v>HX2_NORMAL</x:v>
      </x:c>
      <x:c r="L994" s="12" t="n">
        <x:v>9</x:v>
      </x:c>
      <x:c r="M994" s="12" t="str">
        <x:v>HX2_NORMAL|9</x:v>
      </x:c>
      <x:c r="N994" s="12" t="str">
        <x:v>305教学楼</x:v>
      </x:c>
      <x:c r="O994" s="12" t="n">
        <x:f>IFERROR(INDEX('秒级路线参数_可调整'!$O:$O,MATCH(M994,'秒级路线参数_可调整'!$A:$A,0)),"")</x:f>
        <x:v>535</x:v>
      </x:c>
      <x:c r="P994" s="12" t="n">
        <x:f>IF(O994="","",O994/86400)</x:f>
        <x:v>0.00619212962962963</x:v>
      </x:c>
      <x:c r="Q994" s="12" t="n">
        <x:f>IF(O994="","",(H994*60+O994)/86400)</x:f>
        <x:v>0.4923032407407407</x:v>
      </x:c>
      <x:c r="R994" s="12" t="str">
        <x:f>IF(Q994="","",TEXT(Q994,"hh:mm:ss"))</x:f>
        <x:v>11:48:55</x:v>
      </x:c>
      <x:c r="S994" s="12" t="str">
        <x:v>否</x:v>
      </x:c>
      <x:c r="T994" s="12" t="str">
        <x:v>否</x:v>
      </x:c>
      <x:c r="U994" s="12" t="str">
        <x:v>未提供</x:v>
      </x:c>
      <x:c r="V994" s="12" t="str">
        <x:v>未提供</x:v>
      </x:c>
      <x:c r="W994" s="12" t="str">
        <x:v>秒级预测</x:v>
      </x:c>
      <x:c r="X994" s="12" t="str">
        <x:v>基于路线秒级参数；如录入实测或手动采用秒，预计到达时间可随公式更新</x:v>
      </x:c>
    </x:row>
    <x:row r="995">
      <x:c r="A995" s="12" t="str">
        <x:v>S0082-10</x:v>
      </x:c>
      <x:c r="B995" s="12" t="str">
        <x:v>S0082</x:v>
      </x:c>
      <x:c r="C995" s="12" t="str">
        <x:v>工作日</x:v>
      </x:c>
      <x:c r="D995" s="12" t="str">
        <x:v>环线2路</x:v>
      </x:c>
      <x:c r="E995" s="12" t="str">
        <x:v>第一班</x:v>
      </x:c>
      <x:c r="F995" s="12" t="n">
        <x:v>12</x:v>
      </x:c>
      <x:c r="G995" s="12" t="str">
        <x:v>11:40</x:v>
      </x:c>
      <x:c r="H995" s="12" t="n">
        <x:v>700</x:v>
      </x:c>
      <x:c r="I995" s="12" t="str">
        <x:v>研究生宿舍楼</x:v>
      </x:c>
      <x:c r="J995" s="12" t="str">
        <x:v>研究生宿舍楼发车</x:v>
      </x:c>
      <x:c r="K995" s="12" t="str">
        <x:v>HX2_NORMAL</x:v>
      </x:c>
      <x:c r="L995" s="12" t="n">
        <x:v>10</x:v>
      </x:c>
      <x:c r="M995" s="12" t="str">
        <x:v>HX2_NORMAL|10</x:v>
      </x:c>
      <x:c r="N995" s="12" t="str">
        <x:v>研究生宿舍楼</x:v>
      </x:c>
      <x:c r="O995" s="12" t="n">
        <x:f>IFERROR(INDEX('秒级路线参数_可调整'!$O:$O,MATCH(M995,'秒级路线参数_可调整'!$A:$A,0)),"")</x:f>
        <x:v>715</x:v>
      </x:c>
      <x:c r="P995" s="12" t="n">
        <x:f>IF(O995="","",O995/86400)</x:f>
        <x:v>0.008275462962962964</x:v>
      </x:c>
      <x:c r="Q995" s="12" t="n">
        <x:f>IF(O995="","",(H995*60+O995)/86400)</x:f>
        <x:v>0.49438657407407405</x:v>
      </x:c>
      <x:c r="R995" s="12" t="str">
        <x:f>IF(Q995="","",TEXT(Q995,"hh:mm:ss"))</x:f>
        <x:v>11:51:55</x:v>
      </x:c>
      <x:c r="S995" s="12" t="str">
        <x:v>否</x:v>
      </x:c>
      <x:c r="T995" s="12" t="str">
        <x:v>是</x:v>
      </x:c>
      <x:c r="U995" s="12" t="str">
        <x:v>未提供</x:v>
      </x:c>
      <x:c r="V995" s="12" t="str">
        <x:v>未提供</x:v>
      </x:c>
      <x:c r="W995" s="12" t="str">
        <x:v>秒级预测</x:v>
      </x:c>
      <x:c r="X995" s="12" t="str">
        <x:v>基于路线秒级参数；如录入实测或手动采用秒，预计到达时间可随公式更新</x:v>
      </x:c>
    </x:row>
    <x:row r="996">
      <x:c r="A996" s="12" t="str">
        <x:v>S0083-01</x:v>
      </x:c>
      <x:c r="B996" s="12" t="str">
        <x:v>S0083</x:v>
      </x:c>
      <x:c r="C996" s="12" t="str">
        <x:v>工作日</x:v>
      </x:c>
      <x:c r="D996" s="12" t="str">
        <x:v>环线2路</x:v>
      </x:c>
      <x:c r="E996" s="12" t="str">
        <x:v>第一班</x:v>
      </x:c>
      <x:c r="F996" s="12" t="n">
        <x:v>13</x:v>
      </x:c>
      <x:c r="G996" s="12" t="str">
        <x:v>12:00</x:v>
      </x:c>
      <x:c r="H996" s="12" t="n">
        <x:v>720</x:v>
      </x:c>
      <x:c r="I996" s="12" t="str">
        <x:v>研究生宿舍楼</x:v>
      </x:c>
      <x:c r="J996" s="12" t="str">
        <x:v>研究生宿舍楼发车</x:v>
      </x:c>
      <x:c r="K996" s="12" t="str">
        <x:v>HX2_NORMAL</x:v>
      </x:c>
      <x:c r="L996" s="12" t="n">
        <x:v>1</x:v>
      </x:c>
      <x:c r="M996" s="12" t="str">
        <x:v>HX2_NORMAL|1</x:v>
      </x:c>
      <x:c r="N996" s="12" t="str">
        <x:v>研究生宿舍楼</x:v>
      </x:c>
      <x:c r="O996" s="12" t="n">
        <x:f>IFERROR(INDEX('秒级路线参数_可调整'!$O:$O,MATCH(M996,'秒级路线参数_可调整'!$A:$A,0)),"")</x:f>
        <x:v>0</x:v>
      </x:c>
      <x:c r="P996" s="12" t="str">
        <x:f>IF(O996="","",O996/86400)</x:f>
      </x:c>
      <x:c r="Q996" s="12" t="str">
        <x:f>IF(O996="","",(H996*60+O996)/86400)</x:f>
      </x:c>
      <x:c r="R996" s="12" t="str">
        <x:f>IF(Q996="","",TEXT(Q996,"hh:mm:ss"))</x:f>
      </x:c>
      <x:c r="S996" s="12" t="str">
        <x:v>是</x:v>
      </x:c>
      <x:c r="T996" s="12" t="str">
        <x:v>否</x:v>
      </x:c>
      <x:c r="U996" s="12" t="str">
        <x:v>未提供</x:v>
      </x:c>
      <x:c r="V996" s="12" t="str">
        <x:v>未提供</x:v>
      </x:c>
      <x:c r="W996" s="12" t="str">
        <x:v>秒级预测</x:v>
      </x:c>
      <x:c r="X996" s="12" t="str">
        <x:v>基于路线秒级参数；如录入实测或手动采用秒，预计到达时间可随公式更新</x:v>
      </x:c>
    </x:row>
    <x:row r="997">
      <x:c r="A997" s="12" t="str">
        <x:v>S0083-02</x:v>
      </x:c>
      <x:c r="B997" s="12" t="str">
        <x:v>S0083</x:v>
      </x:c>
      <x:c r="C997" s="12" t="str">
        <x:v>工作日</x:v>
      </x:c>
      <x:c r="D997" s="12" t="str">
        <x:v>环线2路</x:v>
      </x:c>
      <x:c r="E997" s="12" t="str">
        <x:v>第一班</x:v>
      </x:c>
      <x:c r="F997" s="12" t="n">
        <x:v>13</x:v>
      </x:c>
      <x:c r="G997" s="12" t="str">
        <x:v>12:00</x:v>
      </x:c>
      <x:c r="H997" s="12" t="n">
        <x:v>720</x:v>
      </x:c>
      <x:c r="I997" s="12" t="str">
        <x:v>研究生宿舍楼</x:v>
      </x:c>
      <x:c r="J997" s="12" t="str">
        <x:v>研究生宿舍楼发车</x:v>
      </x:c>
      <x:c r="K997" s="12" t="str">
        <x:v>HX2_NORMAL</x:v>
      </x:c>
      <x:c r="L997" s="12" t="n">
        <x:v>2</x:v>
      </x:c>
      <x:c r="M997" s="12" t="str">
        <x:v>HX2_NORMAL|2</x:v>
      </x:c>
      <x:c r="N997" s="12" t="str">
        <x:v>一食堂</x:v>
      </x:c>
      <x:c r="O997" s="12" t="n">
        <x:f>IFERROR(INDEX('秒级路线参数_可调整'!$O:$O,MATCH(M997,'秒级路线参数_可调整'!$A:$A,0)),"")</x:f>
        <x:v>65</x:v>
      </x:c>
      <x:c r="P997" s="12" t="n">
        <x:f>IF(O997="","",O997/86400)</x:f>
        <x:v>0.0007523148148148148</x:v>
      </x:c>
      <x:c r="Q997" s="12" t="n">
        <x:f>IF(O997="","",(H997*60+O997)/86400)</x:f>
        <x:v>0.5007523148148149</x:v>
      </x:c>
      <x:c r="R997" s="12" t="str">
        <x:f>IF(Q997="","",TEXT(Q997,"hh:mm:ss"))</x:f>
        <x:v>12:01:05</x:v>
      </x:c>
      <x:c r="S997" s="12" t="str">
        <x:v>否</x:v>
      </x:c>
      <x:c r="T997" s="12" t="str">
        <x:v>否</x:v>
      </x:c>
      <x:c r="U997" s="12" t="str">
        <x:v>未提供</x:v>
      </x:c>
      <x:c r="V997" s="12" t="str">
        <x:v>未提供</x:v>
      </x:c>
      <x:c r="W997" s="12" t="str">
        <x:v>秒级预测</x:v>
      </x:c>
      <x:c r="X997" s="12" t="str">
        <x:v>基于路线秒级参数；如录入实测或手动采用秒，预计到达时间可随公式更新</x:v>
      </x:c>
    </x:row>
    <x:row r="998">
      <x:c r="A998" s="12" t="str">
        <x:v>S0083-03</x:v>
      </x:c>
      <x:c r="B998" s="12" t="str">
        <x:v>S0083</x:v>
      </x:c>
      <x:c r="C998" s="12" t="str">
        <x:v>工作日</x:v>
      </x:c>
      <x:c r="D998" s="12" t="str">
        <x:v>环线2路</x:v>
      </x:c>
      <x:c r="E998" s="12" t="str">
        <x:v>第一班</x:v>
      </x:c>
      <x:c r="F998" s="12" t="n">
        <x:v>13</x:v>
      </x:c>
      <x:c r="G998" s="12" t="str">
        <x:v>12:00</x:v>
      </x:c>
      <x:c r="H998" s="12" t="n">
        <x:v>720</x:v>
      </x:c>
      <x:c r="I998" s="12" t="str">
        <x:v>研究生宿舍楼</x:v>
      </x:c>
      <x:c r="J998" s="12" t="str">
        <x:v>研究生宿舍楼发车</x:v>
      </x:c>
      <x:c r="K998" s="12" t="str">
        <x:v>HX2_NORMAL</x:v>
      </x:c>
      <x:c r="L998" s="12" t="n">
        <x:v>3</x:v>
      </x:c>
      <x:c r="M998" s="12" t="str">
        <x:v>HX2_NORMAL|3</x:v>
      </x:c>
      <x:c r="N998" s="12" t="str">
        <x:v>门诊部</x:v>
      </x:c>
      <x:c r="O998" s="12" t="n">
        <x:f>IFERROR(INDEX('秒级路线参数_可调整'!$O:$O,MATCH(M998,'秒级路线参数_可调整'!$A:$A,0)),"")</x:f>
        <x:v>120</x:v>
      </x:c>
      <x:c r="P998" s="12" t="n">
        <x:f>IF(O998="","",O998/86400)</x:f>
        <x:v>0.001388888888888889</x:v>
      </x:c>
      <x:c r="Q998" s="12" t="n">
        <x:f>IF(O998="","",(H998*60+O998)/86400)</x:f>
        <x:v>0.5013888888888889</x:v>
      </x:c>
      <x:c r="R998" s="12" t="str">
        <x:f>IF(Q998="","",TEXT(Q998,"hh:mm:ss"))</x:f>
        <x:v>12:02:00</x:v>
      </x:c>
      <x:c r="S998" s="12" t="str">
        <x:v>否</x:v>
      </x:c>
      <x:c r="T998" s="12" t="str">
        <x:v>否</x:v>
      </x:c>
      <x:c r="U998" s="12" t="str">
        <x:v>未提供</x:v>
      </x:c>
      <x:c r="V998" s="12" t="str">
        <x:v>未提供</x:v>
      </x:c>
      <x:c r="W998" s="12" t="str">
        <x:v>秒级预测</x:v>
      </x:c>
      <x:c r="X998" s="12" t="str">
        <x:v>基于路线秒级参数；如录入实测或手动采用秒，预计到达时间可随公式更新</x:v>
      </x:c>
    </x:row>
    <x:row r="999">
      <x:c r="A999" s="12" t="str">
        <x:v>S0083-04</x:v>
      </x:c>
      <x:c r="B999" s="12" t="str">
        <x:v>S0083</x:v>
      </x:c>
      <x:c r="C999" s="12" t="str">
        <x:v>工作日</x:v>
      </x:c>
      <x:c r="D999" s="12" t="str">
        <x:v>环线2路</x:v>
      </x:c>
      <x:c r="E999" s="12" t="str">
        <x:v>第一班</x:v>
      </x:c>
      <x:c r="F999" s="12" t="n">
        <x:v>13</x:v>
      </x:c>
      <x:c r="G999" s="12" t="str">
        <x:v>12:00</x:v>
      </x:c>
      <x:c r="H999" s="12" t="n">
        <x:v>720</x:v>
      </x:c>
      <x:c r="I999" s="12" t="str">
        <x:v>研究生宿舍楼</x:v>
      </x:c>
      <x:c r="J999" s="12" t="str">
        <x:v>研究生宿舍楼发车</x:v>
      </x:c>
      <x:c r="K999" s="12" t="str">
        <x:v>HX2_NORMAL</x:v>
      </x:c>
      <x:c r="L999" s="12" t="n">
        <x:v>4</x:v>
      </x:c>
      <x:c r="M999" s="12" t="str">
        <x:v>HX2_NORMAL|4</x:v>
      </x:c>
      <x:c r="N999" s="12" t="str">
        <x:v>1号宿舍楼</x:v>
      </x:c>
      <x:c r="O999" s="12" t="n">
        <x:f>IFERROR(INDEX('秒级路线参数_可调整'!$O:$O,MATCH(M999,'秒级路线参数_可调整'!$A:$A,0)),"")</x:f>
        <x:v>165</x:v>
      </x:c>
      <x:c r="P999" s="12" t="n">
        <x:f>IF(O999="","",O999/86400)</x:f>
        <x:v>0.0019097222222222222</x:v>
      </x:c>
      <x:c r="Q999" s="12" t="n">
        <x:f>IF(O999="","",(H999*60+O999)/86400)</x:f>
        <x:v>0.5019097222222222</x:v>
      </x:c>
      <x:c r="R999" s="12" t="str">
        <x:f>IF(Q999="","",TEXT(Q999,"hh:mm:ss"))</x:f>
        <x:v>12:02:45</x:v>
      </x:c>
      <x:c r="S999" s="12" t="str">
        <x:v>否</x:v>
      </x:c>
      <x:c r="T999" s="12" t="str">
        <x:v>否</x:v>
      </x:c>
      <x:c r="U999" s="12" t="str">
        <x:v>未提供</x:v>
      </x:c>
      <x:c r="V999" s="12" t="str">
        <x:v>未提供</x:v>
      </x:c>
      <x:c r="W999" s="12" t="str">
        <x:v>秒级预测</x:v>
      </x:c>
      <x:c r="X999" s="12" t="str">
        <x:v>基于路线秒级参数；如录入实测或手动采用秒，预计到达时间可随公式更新</x:v>
      </x:c>
    </x:row>
    <x:row r="1000">
      <x:c r="A1000" s="12" t="str">
        <x:v>S0083-05</x:v>
      </x:c>
      <x:c r="B1000" s="12" t="str">
        <x:v>S0083</x:v>
      </x:c>
      <x:c r="C1000" s="12" t="str">
        <x:v>工作日</x:v>
      </x:c>
      <x:c r="D1000" s="12" t="str">
        <x:v>环线2路</x:v>
      </x:c>
      <x:c r="E1000" s="12" t="str">
        <x:v>第一班</x:v>
      </x:c>
      <x:c r="F1000" s="12" t="n">
        <x:v>13</x:v>
      </x:c>
      <x:c r="G1000" s="12" t="str">
        <x:v>12:00</x:v>
      </x:c>
      <x:c r="H1000" s="12" t="n">
        <x:v>720</x:v>
      </x:c>
      <x:c r="I1000" s="12" t="str">
        <x:v>研究生宿舍楼</x:v>
      </x:c>
      <x:c r="J1000" s="12" t="str">
        <x:v>研究生宿舍楼发车</x:v>
      </x:c>
      <x:c r="K1000" s="12" t="str">
        <x:v>HX2_NORMAL</x:v>
      </x:c>
      <x:c r="L1000" s="12" t="n">
        <x:v>5</x:v>
      </x:c>
      <x:c r="M1000" s="12" t="str">
        <x:v>HX2_NORMAL|5</x:v>
      </x:c>
      <x:c r="N1000" s="12" t="str">
        <x:v>水上训练中心</x:v>
      </x:c>
      <x:c r="O1000" s="12" t="n">
        <x:f>IFERROR(INDEX('秒级路线参数_可调整'!$O:$O,MATCH(M1000,'秒级路线参数_可调整'!$A:$A,0)),"")</x:f>
        <x:v>250</x:v>
      </x:c>
      <x:c r="P1000" s="12" t="n">
        <x:f>IF(O1000="","",O1000/86400)</x:f>
        <x:v>0.0028935185185185184</x:v>
      </x:c>
      <x:c r="Q1000" s="12" t="n">
        <x:f>IF(O1000="","",(H1000*60+O1000)/86400)</x:f>
        <x:v>0.5028935185185185</x:v>
      </x:c>
      <x:c r="R1000" s="12" t="str">
        <x:f>IF(Q1000="","",TEXT(Q1000,"hh:mm:ss"))</x:f>
        <x:v>12:04:10</x:v>
      </x:c>
      <x:c r="S1000" s="12" t="str">
        <x:v>否</x:v>
      </x:c>
      <x:c r="T1000" s="12" t="str">
        <x:v>否</x:v>
      </x:c>
      <x:c r="U1000" s="12" t="str">
        <x:v>未提供</x:v>
      </x:c>
      <x:c r="V1000" s="12" t="str">
        <x:v>未提供</x:v>
      </x:c>
      <x:c r="W1000" s="12" t="str">
        <x:v>秒级预测</x:v>
      </x:c>
      <x:c r="X1000" s="12" t="str">
        <x:v>基于路线秒级参数；如录入实测或手动采用秒，预计到达时间可随公式更新</x:v>
      </x:c>
    </x:row>
    <x:row r="1001">
      <x:c r="A1001" s="12" t="str">
        <x:v>S0083-06</x:v>
      </x:c>
      <x:c r="B1001" s="12" t="str">
        <x:v>S0083</x:v>
      </x:c>
      <x:c r="C1001" s="12" t="str">
        <x:v>工作日</x:v>
      </x:c>
      <x:c r="D1001" s="12" t="str">
        <x:v>环线2路</x:v>
      </x:c>
      <x:c r="E1001" s="12" t="str">
        <x:v>第一班</x:v>
      </x:c>
      <x:c r="F1001" s="12" t="n">
        <x:v>13</x:v>
      </x:c>
      <x:c r="G1001" s="12" t="str">
        <x:v>12:00</x:v>
      </x:c>
      <x:c r="H1001" s="12" t="n">
        <x:v>720</x:v>
      </x:c>
      <x:c r="I1001" s="12" t="str">
        <x:v>研究生宿舍楼</x:v>
      </x:c>
      <x:c r="J1001" s="12" t="str">
        <x:v>研究生宿舍楼发车</x:v>
      </x:c>
      <x:c r="K1001" s="12" t="str">
        <x:v>HX2_NORMAL</x:v>
      </x:c>
      <x:c r="L1001" s="12" t="n">
        <x:v>6</x:v>
      </x:c>
      <x:c r="M1001" s="12" t="str">
        <x:v>HX2_NORMAL|6</x:v>
      </x:c>
      <x:c r="N1001" s="12" t="str">
        <x:v>军体活动中心</x:v>
      </x:c>
      <x:c r="O1001" s="12" t="n">
        <x:f>IFERROR(INDEX('秒级路线参数_可调整'!$O:$O,MATCH(M1001,'秒级路线参数_可调整'!$A:$A,0)),"")</x:f>
        <x:v>315</x:v>
      </x:c>
      <x:c r="P1001" s="12" t="n">
        <x:f>IF(O1001="","",O1001/86400)</x:f>
        <x:v>0.0036458333333333334</x:v>
      </x:c>
      <x:c r="Q1001" s="12" t="n">
        <x:f>IF(O1001="","",(H1001*60+O1001)/86400)</x:f>
        <x:v>0.5036458333333333</x:v>
      </x:c>
      <x:c r="R1001" s="12" t="str">
        <x:f>IF(Q1001="","",TEXT(Q1001,"hh:mm:ss"))</x:f>
        <x:v>12:05:15</x:v>
      </x:c>
      <x:c r="S1001" s="12" t="str">
        <x:v>否</x:v>
      </x:c>
      <x:c r="T1001" s="12" t="str">
        <x:v>否</x:v>
      </x:c>
      <x:c r="U1001" s="12" t="str">
        <x:v>未提供</x:v>
      </x:c>
      <x:c r="V1001" s="12" t="str">
        <x:v>未提供</x:v>
      </x:c>
      <x:c r="W1001" s="12" t="str">
        <x:v>秒级预测</x:v>
      </x:c>
      <x:c r="X1001" s="12" t="str">
        <x:v>基于路线秒级参数；如录入实测或手动采用秒，预计到达时间可随公式更新</x:v>
      </x:c>
    </x:row>
    <x:row r="1002">
      <x:c r="A1002" s="12" t="str">
        <x:v>S0083-07</x:v>
      </x:c>
      <x:c r="B1002" s="12" t="str">
        <x:v>S0083</x:v>
      </x:c>
      <x:c r="C1002" s="12" t="str">
        <x:v>工作日</x:v>
      </x:c>
      <x:c r="D1002" s="12" t="str">
        <x:v>环线2路</x:v>
      </x:c>
      <x:c r="E1002" s="12" t="str">
        <x:v>第一班</x:v>
      </x:c>
      <x:c r="F1002" s="12" t="n">
        <x:v>13</x:v>
      </x:c>
      <x:c r="G1002" s="12" t="str">
        <x:v>12:00</x:v>
      </x:c>
      <x:c r="H1002" s="12" t="n">
        <x:v>720</x:v>
      </x:c>
      <x:c r="I1002" s="12" t="str">
        <x:v>研究生宿舍楼</x:v>
      </x:c>
      <x:c r="J1002" s="12" t="str">
        <x:v>研究生宿舍楼发车</x:v>
      </x:c>
      <x:c r="K1002" s="12" t="str">
        <x:v>HX2_NORMAL</x:v>
      </x:c>
      <x:c r="L1002" s="12" t="n">
        <x:v>7</x:v>
      </x:c>
      <x:c r="M1002" s="12" t="str">
        <x:v>HX2_NORMAL|7</x:v>
      </x:c>
      <x:c r="N1002" s="12" t="str">
        <x:v>二食堂</x:v>
      </x:c>
      <x:c r="O1002" s="12" t="n">
        <x:f>IFERROR(INDEX('秒级路线参数_可调整'!$O:$O,MATCH(M1002,'秒级路线参数_可调整'!$A:$A,0)),"")</x:f>
        <x:v>420</x:v>
      </x:c>
      <x:c r="P1002" s="12" t="n">
        <x:f>IF(O1002="","",O1002/86400)</x:f>
        <x:v>0.004861111111111111</x:v>
      </x:c>
      <x:c r="Q1002" s="12" t="n">
        <x:f>IF(O1002="","",(H1002*60+O1002)/86400)</x:f>
        <x:v>0.5048611111111111</x:v>
      </x:c>
      <x:c r="R1002" s="12" t="str">
        <x:f>IF(Q1002="","",TEXT(Q1002,"hh:mm:ss"))</x:f>
        <x:v>12:07:00</x:v>
      </x:c>
      <x:c r="S1002" s="12" t="str">
        <x:v>否</x:v>
      </x:c>
      <x:c r="T1002" s="12" t="str">
        <x:v>否</x:v>
      </x:c>
      <x:c r="U1002" s="12" t="str">
        <x:v>未提供</x:v>
      </x:c>
      <x:c r="V1002" s="12" t="str">
        <x:v>未提供</x:v>
      </x:c>
      <x:c r="W1002" s="12" t="str">
        <x:v>秒级预测</x:v>
      </x:c>
      <x:c r="X1002" s="12" t="str">
        <x:v>基于路线秒级参数；如录入实测或手动采用秒，预计到达时间可随公式更新</x:v>
      </x:c>
    </x:row>
    <x:row r="1003">
      <x:c r="A1003" s="12" t="str">
        <x:v>S0083-08</x:v>
      </x:c>
      <x:c r="B1003" s="12" t="str">
        <x:v>S0083</x:v>
      </x:c>
      <x:c r="C1003" s="12" t="str">
        <x:v>工作日</x:v>
      </x:c>
      <x:c r="D1003" s="12" t="str">
        <x:v>环线2路</x:v>
      </x:c>
      <x:c r="E1003" s="12" t="str">
        <x:v>第一班</x:v>
      </x:c>
      <x:c r="F1003" s="12" t="n">
        <x:v>13</x:v>
      </x:c>
      <x:c r="G1003" s="12" t="str">
        <x:v>12:00</x:v>
      </x:c>
      <x:c r="H1003" s="12" t="n">
        <x:v>720</x:v>
      </x:c>
      <x:c r="I1003" s="12" t="str">
        <x:v>研究生宿舍楼</x:v>
      </x:c>
      <x:c r="J1003" s="12" t="str">
        <x:v>研究生宿舍楼发车</x:v>
      </x:c>
      <x:c r="K1003" s="12" t="str">
        <x:v>HX2_NORMAL</x:v>
      </x:c>
      <x:c r="L1003" s="12" t="n">
        <x:v>8</x:v>
      </x:c>
      <x:c r="M1003" s="12" t="str">
        <x:v>HX2_NORMAL|8</x:v>
      </x:c>
      <x:c r="N1003" s="12" t="str">
        <x:v>5号宿舍楼</x:v>
      </x:c>
      <x:c r="O1003" s="12" t="n">
        <x:f>IFERROR(INDEX('秒级路线参数_可调整'!$O:$O,MATCH(M1003,'秒级路线参数_可调整'!$A:$A,0)),"")</x:f>
        <x:v>480</x:v>
      </x:c>
      <x:c r="P1003" s="12" t="n">
        <x:f>IF(O1003="","",O1003/86400)</x:f>
        <x:v>0.005555555555555556</x:v>
      </x:c>
      <x:c r="Q1003" s="12" t="n">
        <x:f>IF(O1003="","",(H1003*60+O1003)/86400)</x:f>
        <x:v>0.5055555555555555</x:v>
      </x:c>
      <x:c r="R1003" s="12" t="str">
        <x:f>IF(Q1003="","",TEXT(Q1003,"hh:mm:ss"))</x:f>
        <x:v>12:08:00</x:v>
      </x:c>
      <x:c r="S1003" s="12" t="str">
        <x:v>否</x:v>
      </x:c>
      <x:c r="T1003" s="12" t="str">
        <x:v>否</x:v>
      </x:c>
      <x:c r="U1003" s="12" t="str">
        <x:v>未提供</x:v>
      </x:c>
      <x:c r="V1003" s="12" t="str">
        <x:v>未提供</x:v>
      </x:c>
      <x:c r="W1003" s="12" t="str">
        <x:v>秒级预测</x:v>
      </x:c>
      <x:c r="X1003" s="12" t="str">
        <x:v>基于路线秒级参数；如录入实测或手动采用秒，预计到达时间可随公式更新</x:v>
      </x:c>
    </x:row>
    <x:row r="1004">
      <x:c r="A1004" s="12" t="str">
        <x:v>S0083-09</x:v>
      </x:c>
      <x:c r="B1004" s="12" t="str">
        <x:v>S0083</x:v>
      </x:c>
      <x:c r="C1004" s="12" t="str">
        <x:v>工作日</x:v>
      </x:c>
      <x:c r="D1004" s="12" t="str">
        <x:v>环线2路</x:v>
      </x:c>
      <x:c r="E1004" s="12" t="str">
        <x:v>第一班</x:v>
      </x:c>
      <x:c r="F1004" s="12" t="n">
        <x:v>13</x:v>
      </x:c>
      <x:c r="G1004" s="12" t="str">
        <x:v>12:00</x:v>
      </x:c>
      <x:c r="H1004" s="12" t="n">
        <x:v>720</x:v>
      </x:c>
      <x:c r="I1004" s="12" t="str">
        <x:v>研究生宿舍楼</x:v>
      </x:c>
      <x:c r="J1004" s="12" t="str">
        <x:v>研究生宿舍楼发车</x:v>
      </x:c>
      <x:c r="K1004" s="12" t="str">
        <x:v>HX2_NORMAL</x:v>
      </x:c>
      <x:c r="L1004" s="12" t="n">
        <x:v>9</x:v>
      </x:c>
      <x:c r="M1004" s="12" t="str">
        <x:v>HX2_NORMAL|9</x:v>
      </x:c>
      <x:c r="N1004" s="12" t="str">
        <x:v>305教学楼</x:v>
      </x:c>
      <x:c r="O1004" s="12" t="n">
        <x:f>IFERROR(INDEX('秒级路线参数_可调整'!$O:$O,MATCH(M1004,'秒级路线参数_可调整'!$A:$A,0)),"")</x:f>
        <x:v>535</x:v>
      </x:c>
      <x:c r="P1004" s="12" t="n">
        <x:f>IF(O1004="","",O1004/86400)</x:f>
        <x:v>0.00619212962962963</x:v>
      </x:c>
      <x:c r="Q1004" s="12" t="n">
        <x:f>IF(O1004="","",(H1004*60+O1004)/86400)</x:f>
        <x:v>0.5061921296296297</x:v>
      </x:c>
      <x:c r="R1004" s="12" t="str">
        <x:f>IF(Q1004="","",TEXT(Q1004,"hh:mm:ss"))</x:f>
        <x:v>12:08:55</x:v>
      </x:c>
      <x:c r="S1004" s="12" t="str">
        <x:v>否</x:v>
      </x:c>
      <x:c r="T1004" s="12" t="str">
        <x:v>否</x:v>
      </x:c>
      <x:c r="U1004" s="12" t="str">
        <x:v>未提供</x:v>
      </x:c>
      <x:c r="V1004" s="12" t="str">
        <x:v>未提供</x:v>
      </x:c>
      <x:c r="W1004" s="12" t="str">
        <x:v>秒级预测</x:v>
      </x:c>
      <x:c r="X1004" s="12" t="str">
        <x:v>基于路线秒级参数；如录入实测或手动采用秒，预计到达时间可随公式更新</x:v>
      </x:c>
    </x:row>
    <x:row r="1005">
      <x:c r="A1005" s="12" t="str">
        <x:v>S0083-10</x:v>
      </x:c>
      <x:c r="B1005" s="12" t="str">
        <x:v>S0083</x:v>
      </x:c>
      <x:c r="C1005" s="12" t="str">
        <x:v>工作日</x:v>
      </x:c>
      <x:c r="D1005" s="12" t="str">
        <x:v>环线2路</x:v>
      </x:c>
      <x:c r="E1005" s="12" t="str">
        <x:v>第一班</x:v>
      </x:c>
      <x:c r="F1005" s="12" t="n">
        <x:v>13</x:v>
      </x:c>
      <x:c r="G1005" s="12" t="str">
        <x:v>12:00</x:v>
      </x:c>
      <x:c r="H1005" s="12" t="n">
        <x:v>720</x:v>
      </x:c>
      <x:c r="I1005" s="12" t="str">
        <x:v>研究生宿舍楼</x:v>
      </x:c>
      <x:c r="J1005" s="12" t="str">
        <x:v>研究生宿舍楼发车</x:v>
      </x:c>
      <x:c r="K1005" s="12" t="str">
        <x:v>HX2_NORMAL</x:v>
      </x:c>
      <x:c r="L1005" s="12" t="n">
        <x:v>10</x:v>
      </x:c>
      <x:c r="M1005" s="12" t="str">
        <x:v>HX2_NORMAL|10</x:v>
      </x:c>
      <x:c r="N1005" s="12" t="str">
        <x:v>研究生宿舍楼</x:v>
      </x:c>
      <x:c r="O1005" s="12" t="n">
        <x:f>IFERROR(INDEX('秒级路线参数_可调整'!$O:$O,MATCH(M1005,'秒级路线参数_可调整'!$A:$A,0)),"")</x:f>
        <x:v>715</x:v>
      </x:c>
      <x:c r="P1005" s="12" t="n">
        <x:f>IF(O1005="","",O1005/86400)</x:f>
        <x:v>0.008275462962962964</x:v>
      </x:c>
      <x:c r="Q1005" s="12" t="n">
        <x:f>IF(O1005="","",(H1005*60+O1005)/86400)</x:f>
        <x:v>0.508275462962963</x:v>
      </x:c>
      <x:c r="R1005" s="12" t="str">
        <x:f>IF(Q1005="","",TEXT(Q1005,"hh:mm:ss"))</x:f>
        <x:v>12:11:55</x:v>
      </x:c>
      <x:c r="S1005" s="12" t="str">
        <x:v>否</x:v>
      </x:c>
      <x:c r="T1005" s="12" t="str">
        <x:v>是</x:v>
      </x:c>
      <x:c r="U1005" s="12" t="str">
        <x:v>未提供</x:v>
      </x:c>
      <x:c r="V1005" s="12" t="str">
        <x:v>未提供</x:v>
      </x:c>
      <x:c r="W1005" s="12" t="str">
        <x:v>秒级预测</x:v>
      </x:c>
      <x:c r="X1005" s="12" t="str">
        <x:v>基于路线秒级参数；如录入实测或手动采用秒，预计到达时间可随公式更新</x:v>
      </x:c>
    </x:row>
    <x:row r="1006">
      <x:c r="A1006" s="12" t="str">
        <x:v>S0084-01</x:v>
      </x:c>
      <x:c r="B1006" s="12" t="str">
        <x:v>S0084</x:v>
      </x:c>
      <x:c r="C1006" s="12" t="str">
        <x:v>工作日</x:v>
      </x:c>
      <x:c r="D1006" s="12" t="str">
        <x:v>环线2路</x:v>
      </x:c>
      <x:c r="E1006" s="12" t="str">
        <x:v>第一班</x:v>
      </x:c>
      <x:c r="F1006" s="12" t="n">
        <x:v>14</x:v>
      </x:c>
      <x:c r="G1006" s="12" t="str">
        <x:v>12:15</x:v>
      </x:c>
      <x:c r="H1006" s="12" t="n">
        <x:v>735</x:v>
      </x:c>
      <x:c r="I1006" s="12" t="str">
        <x:v>研究生宿舍楼</x:v>
      </x:c>
      <x:c r="J1006" s="12" t="str">
        <x:v>研究生宿舍楼发车</x:v>
      </x:c>
      <x:c r="K1006" s="12" t="str">
        <x:v>HX2_NORMAL</x:v>
      </x:c>
      <x:c r="L1006" s="12" t="n">
        <x:v>1</x:v>
      </x:c>
      <x:c r="M1006" s="12" t="str">
        <x:v>HX2_NORMAL|1</x:v>
      </x:c>
      <x:c r="N1006" s="12" t="str">
        <x:v>研究生宿舍楼</x:v>
      </x:c>
      <x:c r="O1006" s="12" t="n">
        <x:f>IFERROR(INDEX('秒级路线参数_可调整'!$O:$O,MATCH(M1006,'秒级路线参数_可调整'!$A:$A,0)),"")</x:f>
        <x:v>0</x:v>
      </x:c>
      <x:c r="P1006" s="12" t="str">
        <x:f>IF(O1006="","",O1006/86400)</x:f>
      </x:c>
      <x:c r="Q1006" s="12" t="str">
        <x:f>IF(O1006="","",(H1006*60+O1006)/86400)</x:f>
      </x:c>
      <x:c r="R1006" s="12" t="str">
        <x:f>IF(Q1006="","",TEXT(Q1006,"hh:mm:ss"))</x:f>
      </x:c>
      <x:c r="S1006" s="12" t="str">
        <x:v>是</x:v>
      </x:c>
      <x:c r="T1006" s="12" t="str">
        <x:v>否</x:v>
      </x:c>
      <x:c r="U1006" s="12" t="str">
        <x:v>未提供</x:v>
      </x:c>
      <x:c r="V1006" s="12" t="str">
        <x:v>未提供</x:v>
      </x:c>
      <x:c r="W1006" s="12" t="str">
        <x:v>秒级预测</x:v>
      </x:c>
      <x:c r="X1006" s="12" t="str">
        <x:v>基于路线秒级参数；如录入实测或手动采用秒，预计到达时间可随公式更新</x:v>
      </x:c>
    </x:row>
    <x:row r="1007">
      <x:c r="A1007" s="12" t="str">
        <x:v>S0084-02</x:v>
      </x:c>
      <x:c r="B1007" s="12" t="str">
        <x:v>S0084</x:v>
      </x:c>
      <x:c r="C1007" s="12" t="str">
        <x:v>工作日</x:v>
      </x:c>
      <x:c r="D1007" s="12" t="str">
        <x:v>环线2路</x:v>
      </x:c>
      <x:c r="E1007" s="12" t="str">
        <x:v>第一班</x:v>
      </x:c>
      <x:c r="F1007" s="12" t="n">
        <x:v>14</x:v>
      </x:c>
      <x:c r="G1007" s="12" t="str">
        <x:v>12:15</x:v>
      </x:c>
      <x:c r="H1007" s="12" t="n">
        <x:v>735</x:v>
      </x:c>
      <x:c r="I1007" s="12" t="str">
        <x:v>研究生宿舍楼</x:v>
      </x:c>
      <x:c r="J1007" s="12" t="str">
        <x:v>研究生宿舍楼发车</x:v>
      </x:c>
      <x:c r="K1007" s="12" t="str">
        <x:v>HX2_NORMAL</x:v>
      </x:c>
      <x:c r="L1007" s="12" t="n">
        <x:v>2</x:v>
      </x:c>
      <x:c r="M1007" s="12" t="str">
        <x:v>HX2_NORMAL|2</x:v>
      </x:c>
      <x:c r="N1007" s="12" t="str">
        <x:v>一食堂</x:v>
      </x:c>
      <x:c r="O1007" s="12" t="n">
        <x:f>IFERROR(INDEX('秒级路线参数_可调整'!$O:$O,MATCH(M1007,'秒级路线参数_可调整'!$A:$A,0)),"")</x:f>
        <x:v>65</x:v>
      </x:c>
      <x:c r="P1007" s="12" t="n">
        <x:f>IF(O1007="","",O1007/86400)</x:f>
        <x:v>0.0007523148148148148</x:v>
      </x:c>
      <x:c r="Q1007" s="12" t="n">
        <x:f>IF(O1007="","",(H1007*60+O1007)/86400)</x:f>
        <x:v>0.5111689814814815</x:v>
      </x:c>
      <x:c r="R1007" s="12" t="str">
        <x:f>IF(Q1007="","",TEXT(Q1007,"hh:mm:ss"))</x:f>
        <x:v>12:16:05</x:v>
      </x:c>
      <x:c r="S1007" s="12" t="str">
        <x:v>否</x:v>
      </x:c>
      <x:c r="T1007" s="12" t="str">
        <x:v>否</x:v>
      </x:c>
      <x:c r="U1007" s="12" t="str">
        <x:v>未提供</x:v>
      </x:c>
      <x:c r="V1007" s="12" t="str">
        <x:v>未提供</x:v>
      </x:c>
      <x:c r="W1007" s="12" t="str">
        <x:v>秒级预测</x:v>
      </x:c>
      <x:c r="X1007" s="12" t="str">
        <x:v>基于路线秒级参数；如录入实测或手动采用秒，预计到达时间可随公式更新</x:v>
      </x:c>
    </x:row>
    <x:row r="1008">
      <x:c r="A1008" s="12" t="str">
        <x:v>S0084-03</x:v>
      </x:c>
      <x:c r="B1008" s="12" t="str">
        <x:v>S0084</x:v>
      </x:c>
      <x:c r="C1008" s="12" t="str">
        <x:v>工作日</x:v>
      </x:c>
      <x:c r="D1008" s="12" t="str">
        <x:v>环线2路</x:v>
      </x:c>
      <x:c r="E1008" s="12" t="str">
        <x:v>第一班</x:v>
      </x:c>
      <x:c r="F1008" s="12" t="n">
        <x:v>14</x:v>
      </x:c>
      <x:c r="G1008" s="12" t="str">
        <x:v>12:15</x:v>
      </x:c>
      <x:c r="H1008" s="12" t="n">
        <x:v>735</x:v>
      </x:c>
      <x:c r="I1008" s="12" t="str">
        <x:v>研究生宿舍楼</x:v>
      </x:c>
      <x:c r="J1008" s="12" t="str">
        <x:v>研究生宿舍楼发车</x:v>
      </x:c>
      <x:c r="K1008" s="12" t="str">
        <x:v>HX2_NORMAL</x:v>
      </x:c>
      <x:c r="L1008" s="12" t="n">
        <x:v>3</x:v>
      </x:c>
      <x:c r="M1008" s="12" t="str">
        <x:v>HX2_NORMAL|3</x:v>
      </x:c>
      <x:c r="N1008" s="12" t="str">
        <x:v>门诊部</x:v>
      </x:c>
      <x:c r="O1008" s="12" t="n">
        <x:f>IFERROR(INDEX('秒级路线参数_可调整'!$O:$O,MATCH(M1008,'秒级路线参数_可调整'!$A:$A,0)),"")</x:f>
        <x:v>120</x:v>
      </x:c>
      <x:c r="P1008" s="12" t="n">
        <x:f>IF(O1008="","",O1008/86400)</x:f>
        <x:v>0.001388888888888889</x:v>
      </x:c>
      <x:c r="Q1008" s="12" t="n">
        <x:f>IF(O1008="","",(H1008*60+O1008)/86400)</x:f>
        <x:v>0.5118055555555555</x:v>
      </x:c>
      <x:c r="R1008" s="12" t="str">
        <x:f>IF(Q1008="","",TEXT(Q1008,"hh:mm:ss"))</x:f>
        <x:v>12:17:00</x:v>
      </x:c>
      <x:c r="S1008" s="12" t="str">
        <x:v>否</x:v>
      </x:c>
      <x:c r="T1008" s="12" t="str">
        <x:v>否</x:v>
      </x:c>
      <x:c r="U1008" s="12" t="str">
        <x:v>未提供</x:v>
      </x:c>
      <x:c r="V1008" s="12" t="str">
        <x:v>未提供</x:v>
      </x:c>
      <x:c r="W1008" s="12" t="str">
        <x:v>秒级预测</x:v>
      </x:c>
      <x:c r="X1008" s="12" t="str">
        <x:v>基于路线秒级参数；如录入实测或手动采用秒，预计到达时间可随公式更新</x:v>
      </x:c>
    </x:row>
    <x:row r="1009">
      <x:c r="A1009" s="12" t="str">
        <x:v>S0084-04</x:v>
      </x:c>
      <x:c r="B1009" s="12" t="str">
        <x:v>S0084</x:v>
      </x:c>
      <x:c r="C1009" s="12" t="str">
        <x:v>工作日</x:v>
      </x:c>
      <x:c r="D1009" s="12" t="str">
        <x:v>环线2路</x:v>
      </x:c>
      <x:c r="E1009" s="12" t="str">
        <x:v>第一班</x:v>
      </x:c>
      <x:c r="F1009" s="12" t="n">
        <x:v>14</x:v>
      </x:c>
      <x:c r="G1009" s="12" t="str">
        <x:v>12:15</x:v>
      </x:c>
      <x:c r="H1009" s="12" t="n">
        <x:v>735</x:v>
      </x:c>
      <x:c r="I1009" s="12" t="str">
        <x:v>研究生宿舍楼</x:v>
      </x:c>
      <x:c r="J1009" s="12" t="str">
        <x:v>研究生宿舍楼发车</x:v>
      </x:c>
      <x:c r="K1009" s="12" t="str">
        <x:v>HX2_NORMAL</x:v>
      </x:c>
      <x:c r="L1009" s="12" t="n">
        <x:v>4</x:v>
      </x:c>
      <x:c r="M1009" s="12" t="str">
        <x:v>HX2_NORMAL|4</x:v>
      </x:c>
      <x:c r="N1009" s="12" t="str">
        <x:v>1号宿舍楼</x:v>
      </x:c>
      <x:c r="O1009" s="12" t="n">
        <x:f>IFERROR(INDEX('秒级路线参数_可调整'!$O:$O,MATCH(M1009,'秒级路线参数_可调整'!$A:$A,0)),"")</x:f>
        <x:v>165</x:v>
      </x:c>
      <x:c r="P1009" s="12" t="n">
        <x:f>IF(O1009="","",O1009/86400)</x:f>
        <x:v>0.0019097222222222222</x:v>
      </x:c>
      <x:c r="Q1009" s="12" t="n">
        <x:f>IF(O1009="","",(H1009*60+O1009)/86400)</x:f>
        <x:v>0.5123263888888889</x:v>
      </x:c>
      <x:c r="R1009" s="12" t="str">
        <x:f>IF(Q1009="","",TEXT(Q1009,"hh:mm:ss"))</x:f>
        <x:v>12:17:45</x:v>
      </x:c>
      <x:c r="S1009" s="12" t="str">
        <x:v>否</x:v>
      </x:c>
      <x:c r="T1009" s="12" t="str">
        <x:v>否</x:v>
      </x:c>
      <x:c r="U1009" s="12" t="str">
        <x:v>未提供</x:v>
      </x:c>
      <x:c r="V1009" s="12" t="str">
        <x:v>未提供</x:v>
      </x:c>
      <x:c r="W1009" s="12" t="str">
        <x:v>秒级预测</x:v>
      </x:c>
      <x:c r="X1009" s="12" t="str">
        <x:v>基于路线秒级参数；如录入实测或手动采用秒，预计到达时间可随公式更新</x:v>
      </x:c>
    </x:row>
    <x:row r="1010">
      <x:c r="A1010" s="12" t="str">
        <x:v>S0084-05</x:v>
      </x:c>
      <x:c r="B1010" s="12" t="str">
        <x:v>S0084</x:v>
      </x:c>
      <x:c r="C1010" s="12" t="str">
        <x:v>工作日</x:v>
      </x:c>
      <x:c r="D1010" s="12" t="str">
        <x:v>环线2路</x:v>
      </x:c>
      <x:c r="E1010" s="12" t="str">
        <x:v>第一班</x:v>
      </x:c>
      <x:c r="F1010" s="12" t="n">
        <x:v>14</x:v>
      </x:c>
      <x:c r="G1010" s="12" t="str">
        <x:v>12:15</x:v>
      </x:c>
      <x:c r="H1010" s="12" t="n">
        <x:v>735</x:v>
      </x:c>
      <x:c r="I1010" s="12" t="str">
        <x:v>研究生宿舍楼</x:v>
      </x:c>
      <x:c r="J1010" s="12" t="str">
        <x:v>研究生宿舍楼发车</x:v>
      </x:c>
      <x:c r="K1010" s="12" t="str">
        <x:v>HX2_NORMAL</x:v>
      </x:c>
      <x:c r="L1010" s="12" t="n">
        <x:v>5</x:v>
      </x:c>
      <x:c r="M1010" s="12" t="str">
        <x:v>HX2_NORMAL|5</x:v>
      </x:c>
      <x:c r="N1010" s="12" t="str">
        <x:v>水上训练中心</x:v>
      </x:c>
      <x:c r="O1010" s="12" t="n">
        <x:f>IFERROR(INDEX('秒级路线参数_可调整'!$O:$O,MATCH(M1010,'秒级路线参数_可调整'!$A:$A,0)),"")</x:f>
        <x:v>250</x:v>
      </x:c>
      <x:c r="P1010" s="12" t="n">
        <x:f>IF(O1010="","",O1010/86400)</x:f>
        <x:v>0.0028935185185185184</x:v>
      </x:c>
      <x:c r="Q1010" s="12" t="n">
        <x:f>IF(O1010="","",(H1010*60+O1010)/86400)</x:f>
        <x:v>0.5133101851851852</x:v>
      </x:c>
      <x:c r="R1010" s="12" t="str">
        <x:f>IF(Q1010="","",TEXT(Q1010,"hh:mm:ss"))</x:f>
        <x:v>12:19:10</x:v>
      </x:c>
      <x:c r="S1010" s="12" t="str">
        <x:v>否</x:v>
      </x:c>
      <x:c r="T1010" s="12" t="str">
        <x:v>否</x:v>
      </x:c>
      <x:c r="U1010" s="12" t="str">
        <x:v>未提供</x:v>
      </x:c>
      <x:c r="V1010" s="12" t="str">
        <x:v>未提供</x:v>
      </x:c>
      <x:c r="W1010" s="12" t="str">
        <x:v>秒级预测</x:v>
      </x:c>
      <x:c r="X1010" s="12" t="str">
        <x:v>基于路线秒级参数；如录入实测或手动采用秒，预计到达时间可随公式更新</x:v>
      </x:c>
    </x:row>
    <x:row r="1011">
      <x:c r="A1011" s="12" t="str">
        <x:v>S0084-06</x:v>
      </x:c>
      <x:c r="B1011" s="12" t="str">
        <x:v>S0084</x:v>
      </x:c>
      <x:c r="C1011" s="12" t="str">
        <x:v>工作日</x:v>
      </x:c>
      <x:c r="D1011" s="12" t="str">
        <x:v>环线2路</x:v>
      </x:c>
      <x:c r="E1011" s="12" t="str">
        <x:v>第一班</x:v>
      </x:c>
      <x:c r="F1011" s="12" t="n">
        <x:v>14</x:v>
      </x:c>
      <x:c r="G1011" s="12" t="str">
        <x:v>12:15</x:v>
      </x:c>
      <x:c r="H1011" s="12" t="n">
        <x:v>735</x:v>
      </x:c>
      <x:c r="I1011" s="12" t="str">
        <x:v>研究生宿舍楼</x:v>
      </x:c>
      <x:c r="J1011" s="12" t="str">
        <x:v>研究生宿舍楼发车</x:v>
      </x:c>
      <x:c r="K1011" s="12" t="str">
        <x:v>HX2_NORMAL</x:v>
      </x:c>
      <x:c r="L1011" s="12" t="n">
        <x:v>6</x:v>
      </x:c>
      <x:c r="M1011" s="12" t="str">
        <x:v>HX2_NORMAL|6</x:v>
      </x:c>
      <x:c r="N1011" s="12" t="str">
        <x:v>军体活动中心</x:v>
      </x:c>
      <x:c r="O1011" s="12" t="n">
        <x:f>IFERROR(INDEX('秒级路线参数_可调整'!$O:$O,MATCH(M1011,'秒级路线参数_可调整'!$A:$A,0)),"")</x:f>
        <x:v>315</x:v>
      </x:c>
      <x:c r="P1011" s="12" t="n">
        <x:f>IF(O1011="","",O1011/86400)</x:f>
        <x:v>0.0036458333333333334</x:v>
      </x:c>
      <x:c r="Q1011" s="12" t="n">
        <x:f>IF(O1011="","",(H1011*60+O1011)/86400)</x:f>
        <x:v>0.5140625</x:v>
      </x:c>
      <x:c r="R1011" s="12" t="str">
        <x:f>IF(Q1011="","",TEXT(Q1011,"hh:mm:ss"))</x:f>
        <x:v>12:20:15</x:v>
      </x:c>
      <x:c r="S1011" s="12" t="str">
        <x:v>否</x:v>
      </x:c>
      <x:c r="T1011" s="12" t="str">
        <x:v>否</x:v>
      </x:c>
      <x:c r="U1011" s="12" t="str">
        <x:v>未提供</x:v>
      </x:c>
      <x:c r="V1011" s="12" t="str">
        <x:v>未提供</x:v>
      </x:c>
      <x:c r="W1011" s="12" t="str">
        <x:v>秒级预测</x:v>
      </x:c>
      <x:c r="X1011" s="12" t="str">
        <x:v>基于路线秒级参数；如录入实测或手动采用秒，预计到达时间可随公式更新</x:v>
      </x:c>
    </x:row>
    <x:row r="1012">
      <x:c r="A1012" s="12" t="str">
        <x:v>S0084-07</x:v>
      </x:c>
      <x:c r="B1012" s="12" t="str">
        <x:v>S0084</x:v>
      </x:c>
      <x:c r="C1012" s="12" t="str">
        <x:v>工作日</x:v>
      </x:c>
      <x:c r="D1012" s="12" t="str">
        <x:v>环线2路</x:v>
      </x:c>
      <x:c r="E1012" s="12" t="str">
        <x:v>第一班</x:v>
      </x:c>
      <x:c r="F1012" s="12" t="n">
        <x:v>14</x:v>
      </x:c>
      <x:c r="G1012" s="12" t="str">
        <x:v>12:15</x:v>
      </x:c>
      <x:c r="H1012" s="12" t="n">
        <x:v>735</x:v>
      </x:c>
      <x:c r="I1012" s="12" t="str">
        <x:v>研究生宿舍楼</x:v>
      </x:c>
      <x:c r="J1012" s="12" t="str">
        <x:v>研究生宿舍楼发车</x:v>
      </x:c>
      <x:c r="K1012" s="12" t="str">
        <x:v>HX2_NORMAL</x:v>
      </x:c>
      <x:c r="L1012" s="12" t="n">
        <x:v>7</x:v>
      </x:c>
      <x:c r="M1012" s="12" t="str">
        <x:v>HX2_NORMAL|7</x:v>
      </x:c>
      <x:c r="N1012" s="12" t="str">
        <x:v>二食堂</x:v>
      </x:c>
      <x:c r="O1012" s="12" t="n">
        <x:f>IFERROR(INDEX('秒级路线参数_可调整'!$O:$O,MATCH(M1012,'秒级路线参数_可调整'!$A:$A,0)),"")</x:f>
        <x:v>420</x:v>
      </x:c>
      <x:c r="P1012" s="12" t="n">
        <x:f>IF(O1012="","",O1012/86400)</x:f>
        <x:v>0.004861111111111111</x:v>
      </x:c>
      <x:c r="Q1012" s="12" t="n">
        <x:f>IF(O1012="","",(H1012*60+O1012)/86400)</x:f>
        <x:v>0.5152777777777777</x:v>
      </x:c>
      <x:c r="R1012" s="12" t="str">
        <x:f>IF(Q1012="","",TEXT(Q1012,"hh:mm:ss"))</x:f>
        <x:v>12:22:00</x:v>
      </x:c>
      <x:c r="S1012" s="12" t="str">
        <x:v>否</x:v>
      </x:c>
      <x:c r="T1012" s="12" t="str">
        <x:v>否</x:v>
      </x:c>
      <x:c r="U1012" s="12" t="str">
        <x:v>未提供</x:v>
      </x:c>
      <x:c r="V1012" s="12" t="str">
        <x:v>未提供</x:v>
      </x:c>
      <x:c r="W1012" s="12" t="str">
        <x:v>秒级预测</x:v>
      </x:c>
      <x:c r="X1012" s="12" t="str">
        <x:v>基于路线秒级参数；如录入实测或手动采用秒，预计到达时间可随公式更新</x:v>
      </x:c>
    </x:row>
    <x:row r="1013">
      <x:c r="A1013" s="12" t="str">
        <x:v>S0084-08</x:v>
      </x:c>
      <x:c r="B1013" s="12" t="str">
        <x:v>S0084</x:v>
      </x:c>
      <x:c r="C1013" s="12" t="str">
        <x:v>工作日</x:v>
      </x:c>
      <x:c r="D1013" s="12" t="str">
        <x:v>环线2路</x:v>
      </x:c>
      <x:c r="E1013" s="12" t="str">
        <x:v>第一班</x:v>
      </x:c>
      <x:c r="F1013" s="12" t="n">
        <x:v>14</x:v>
      </x:c>
      <x:c r="G1013" s="12" t="str">
        <x:v>12:15</x:v>
      </x:c>
      <x:c r="H1013" s="12" t="n">
        <x:v>735</x:v>
      </x:c>
      <x:c r="I1013" s="12" t="str">
        <x:v>研究生宿舍楼</x:v>
      </x:c>
      <x:c r="J1013" s="12" t="str">
        <x:v>研究生宿舍楼发车</x:v>
      </x:c>
      <x:c r="K1013" s="12" t="str">
        <x:v>HX2_NORMAL</x:v>
      </x:c>
      <x:c r="L1013" s="12" t="n">
        <x:v>8</x:v>
      </x:c>
      <x:c r="M1013" s="12" t="str">
        <x:v>HX2_NORMAL|8</x:v>
      </x:c>
      <x:c r="N1013" s="12" t="str">
        <x:v>5号宿舍楼</x:v>
      </x:c>
      <x:c r="O1013" s="12" t="n">
        <x:f>IFERROR(INDEX('秒级路线参数_可调整'!$O:$O,MATCH(M1013,'秒级路线参数_可调整'!$A:$A,0)),"")</x:f>
        <x:v>480</x:v>
      </x:c>
      <x:c r="P1013" s="12" t="n">
        <x:f>IF(O1013="","",O1013/86400)</x:f>
        <x:v>0.005555555555555556</x:v>
      </x:c>
      <x:c r="Q1013" s="12" t="n">
        <x:f>IF(O1013="","",(H1013*60+O1013)/86400)</x:f>
        <x:v>0.5159722222222223</x:v>
      </x:c>
      <x:c r="R1013" s="12" t="str">
        <x:f>IF(Q1013="","",TEXT(Q1013,"hh:mm:ss"))</x:f>
        <x:v>12:23:00</x:v>
      </x:c>
      <x:c r="S1013" s="12" t="str">
        <x:v>否</x:v>
      </x:c>
      <x:c r="T1013" s="12" t="str">
        <x:v>否</x:v>
      </x:c>
      <x:c r="U1013" s="12" t="str">
        <x:v>未提供</x:v>
      </x:c>
      <x:c r="V1013" s="12" t="str">
        <x:v>未提供</x:v>
      </x:c>
      <x:c r="W1013" s="12" t="str">
        <x:v>秒级预测</x:v>
      </x:c>
      <x:c r="X1013" s="12" t="str">
        <x:v>基于路线秒级参数；如录入实测或手动采用秒，预计到达时间可随公式更新</x:v>
      </x:c>
    </x:row>
    <x:row r="1014">
      <x:c r="A1014" s="12" t="str">
        <x:v>S0084-09</x:v>
      </x:c>
      <x:c r="B1014" s="12" t="str">
        <x:v>S0084</x:v>
      </x:c>
      <x:c r="C1014" s="12" t="str">
        <x:v>工作日</x:v>
      </x:c>
      <x:c r="D1014" s="12" t="str">
        <x:v>环线2路</x:v>
      </x:c>
      <x:c r="E1014" s="12" t="str">
        <x:v>第一班</x:v>
      </x:c>
      <x:c r="F1014" s="12" t="n">
        <x:v>14</x:v>
      </x:c>
      <x:c r="G1014" s="12" t="str">
        <x:v>12:15</x:v>
      </x:c>
      <x:c r="H1014" s="12" t="n">
        <x:v>735</x:v>
      </x:c>
      <x:c r="I1014" s="12" t="str">
        <x:v>研究生宿舍楼</x:v>
      </x:c>
      <x:c r="J1014" s="12" t="str">
        <x:v>研究生宿舍楼发车</x:v>
      </x:c>
      <x:c r="K1014" s="12" t="str">
        <x:v>HX2_NORMAL</x:v>
      </x:c>
      <x:c r="L1014" s="12" t="n">
        <x:v>9</x:v>
      </x:c>
      <x:c r="M1014" s="12" t="str">
        <x:v>HX2_NORMAL|9</x:v>
      </x:c>
      <x:c r="N1014" s="12" t="str">
        <x:v>305教学楼</x:v>
      </x:c>
      <x:c r="O1014" s="12" t="n">
        <x:f>IFERROR(INDEX('秒级路线参数_可调整'!$O:$O,MATCH(M1014,'秒级路线参数_可调整'!$A:$A,0)),"")</x:f>
        <x:v>535</x:v>
      </x:c>
      <x:c r="P1014" s="12" t="n">
        <x:f>IF(O1014="","",O1014/86400)</x:f>
        <x:v>0.00619212962962963</x:v>
      </x:c>
      <x:c r="Q1014" s="12" t="n">
        <x:f>IF(O1014="","",(H1014*60+O1014)/86400)</x:f>
        <x:v>0.5166087962962963</x:v>
      </x:c>
      <x:c r="R1014" s="12" t="str">
        <x:f>IF(Q1014="","",TEXT(Q1014,"hh:mm:ss"))</x:f>
        <x:v>12:23:55</x:v>
      </x:c>
      <x:c r="S1014" s="12" t="str">
        <x:v>否</x:v>
      </x:c>
      <x:c r="T1014" s="12" t="str">
        <x:v>否</x:v>
      </x:c>
      <x:c r="U1014" s="12" t="str">
        <x:v>未提供</x:v>
      </x:c>
      <x:c r="V1014" s="12" t="str">
        <x:v>未提供</x:v>
      </x:c>
      <x:c r="W1014" s="12" t="str">
        <x:v>秒级预测</x:v>
      </x:c>
      <x:c r="X1014" s="12" t="str">
        <x:v>基于路线秒级参数；如录入实测或手动采用秒，预计到达时间可随公式更新</x:v>
      </x:c>
    </x:row>
    <x:row r="1015">
      <x:c r="A1015" s="12" t="str">
        <x:v>S0084-10</x:v>
      </x:c>
      <x:c r="B1015" s="12" t="str">
        <x:v>S0084</x:v>
      </x:c>
      <x:c r="C1015" s="12" t="str">
        <x:v>工作日</x:v>
      </x:c>
      <x:c r="D1015" s="12" t="str">
        <x:v>环线2路</x:v>
      </x:c>
      <x:c r="E1015" s="12" t="str">
        <x:v>第一班</x:v>
      </x:c>
      <x:c r="F1015" s="12" t="n">
        <x:v>14</x:v>
      </x:c>
      <x:c r="G1015" s="12" t="str">
        <x:v>12:15</x:v>
      </x:c>
      <x:c r="H1015" s="12" t="n">
        <x:v>735</x:v>
      </x:c>
      <x:c r="I1015" s="12" t="str">
        <x:v>研究生宿舍楼</x:v>
      </x:c>
      <x:c r="J1015" s="12" t="str">
        <x:v>研究生宿舍楼发车</x:v>
      </x:c>
      <x:c r="K1015" s="12" t="str">
        <x:v>HX2_NORMAL</x:v>
      </x:c>
      <x:c r="L1015" s="12" t="n">
        <x:v>10</x:v>
      </x:c>
      <x:c r="M1015" s="12" t="str">
        <x:v>HX2_NORMAL|10</x:v>
      </x:c>
      <x:c r="N1015" s="12" t="str">
        <x:v>研究生宿舍楼</x:v>
      </x:c>
      <x:c r="O1015" s="12" t="n">
        <x:f>IFERROR(INDEX('秒级路线参数_可调整'!$O:$O,MATCH(M1015,'秒级路线参数_可调整'!$A:$A,0)),"")</x:f>
        <x:v>715</x:v>
      </x:c>
      <x:c r="P1015" s="12" t="n">
        <x:f>IF(O1015="","",O1015/86400)</x:f>
        <x:v>0.008275462962962964</x:v>
      </x:c>
      <x:c r="Q1015" s="12" t="n">
        <x:f>IF(O1015="","",(H1015*60+O1015)/86400)</x:f>
        <x:v>0.5186921296296296</x:v>
      </x:c>
      <x:c r="R1015" s="12" t="str">
        <x:f>IF(Q1015="","",TEXT(Q1015,"hh:mm:ss"))</x:f>
        <x:v>12:26:55</x:v>
      </x:c>
      <x:c r="S1015" s="12" t="str">
        <x:v>否</x:v>
      </x:c>
      <x:c r="T1015" s="12" t="str">
        <x:v>是</x:v>
      </x:c>
      <x:c r="U1015" s="12" t="str">
        <x:v>未提供</x:v>
      </x:c>
      <x:c r="V1015" s="12" t="str">
        <x:v>未提供</x:v>
      </x:c>
      <x:c r="W1015" s="12" t="str">
        <x:v>秒级预测</x:v>
      </x:c>
      <x:c r="X1015" s="12" t="str">
        <x:v>基于路线秒级参数；如录入实测或手动采用秒，预计到达时间可随公式更新</x:v>
      </x:c>
    </x:row>
    <x:row r="1016">
      <x:c r="A1016" s="12" t="str">
        <x:v>S0085-01</x:v>
      </x:c>
      <x:c r="B1016" s="12" t="str">
        <x:v>S0085</x:v>
      </x:c>
      <x:c r="C1016" s="12" t="str">
        <x:v>工作日</x:v>
      </x:c>
      <x:c r="D1016" s="12" t="str">
        <x:v>环线2路</x:v>
      </x:c>
      <x:c r="E1016" s="12" t="str">
        <x:v>第一班</x:v>
      </x:c>
      <x:c r="F1016" s="12" t="n">
        <x:v>15</x:v>
      </x:c>
      <x:c r="G1016" s="12" t="str">
        <x:v>12:30</x:v>
      </x:c>
      <x:c r="H1016" s="12" t="n">
        <x:v>750</x:v>
      </x:c>
      <x:c r="I1016" s="12" t="str">
        <x:v>研究生宿舍楼</x:v>
      </x:c>
      <x:c r="J1016" s="12" t="str">
        <x:v>研究生宿舍楼发车</x:v>
      </x:c>
      <x:c r="K1016" s="12" t="str">
        <x:v>HX2_NORMAL</x:v>
      </x:c>
      <x:c r="L1016" s="12" t="n">
        <x:v>1</x:v>
      </x:c>
      <x:c r="M1016" s="12" t="str">
        <x:v>HX2_NORMAL|1</x:v>
      </x:c>
      <x:c r="N1016" s="12" t="str">
        <x:v>研究生宿舍楼</x:v>
      </x:c>
      <x:c r="O1016" s="12" t="n">
        <x:f>IFERROR(INDEX('秒级路线参数_可调整'!$O:$O,MATCH(M1016,'秒级路线参数_可调整'!$A:$A,0)),"")</x:f>
        <x:v>0</x:v>
      </x:c>
      <x:c r="P1016" s="12" t="str">
        <x:f>IF(O1016="","",O1016/86400)</x:f>
      </x:c>
      <x:c r="Q1016" s="12" t="str">
        <x:f>IF(O1016="","",(H1016*60+O1016)/86400)</x:f>
      </x:c>
      <x:c r="R1016" s="12" t="str">
        <x:f>IF(Q1016="","",TEXT(Q1016,"hh:mm:ss"))</x:f>
      </x:c>
      <x:c r="S1016" s="12" t="str">
        <x:v>是</x:v>
      </x:c>
      <x:c r="T1016" s="12" t="str">
        <x:v>否</x:v>
      </x:c>
      <x:c r="U1016" s="12" t="str">
        <x:v>未提供</x:v>
      </x:c>
      <x:c r="V1016" s="12" t="str">
        <x:v>未提供</x:v>
      </x:c>
      <x:c r="W1016" s="12" t="str">
        <x:v>秒级预测</x:v>
      </x:c>
      <x:c r="X1016" s="12" t="str">
        <x:v>基于路线秒级参数；如录入实测或手动采用秒，预计到达时间可随公式更新</x:v>
      </x:c>
    </x:row>
    <x:row r="1017">
      <x:c r="A1017" s="12" t="str">
        <x:v>S0085-02</x:v>
      </x:c>
      <x:c r="B1017" s="12" t="str">
        <x:v>S0085</x:v>
      </x:c>
      <x:c r="C1017" s="12" t="str">
        <x:v>工作日</x:v>
      </x:c>
      <x:c r="D1017" s="12" t="str">
        <x:v>环线2路</x:v>
      </x:c>
      <x:c r="E1017" s="12" t="str">
        <x:v>第一班</x:v>
      </x:c>
      <x:c r="F1017" s="12" t="n">
        <x:v>15</x:v>
      </x:c>
      <x:c r="G1017" s="12" t="str">
        <x:v>12:30</x:v>
      </x:c>
      <x:c r="H1017" s="12" t="n">
        <x:v>750</x:v>
      </x:c>
      <x:c r="I1017" s="12" t="str">
        <x:v>研究生宿舍楼</x:v>
      </x:c>
      <x:c r="J1017" s="12" t="str">
        <x:v>研究生宿舍楼发车</x:v>
      </x:c>
      <x:c r="K1017" s="12" t="str">
        <x:v>HX2_NORMAL</x:v>
      </x:c>
      <x:c r="L1017" s="12" t="n">
        <x:v>2</x:v>
      </x:c>
      <x:c r="M1017" s="12" t="str">
        <x:v>HX2_NORMAL|2</x:v>
      </x:c>
      <x:c r="N1017" s="12" t="str">
        <x:v>一食堂</x:v>
      </x:c>
      <x:c r="O1017" s="12" t="n">
        <x:f>IFERROR(INDEX('秒级路线参数_可调整'!$O:$O,MATCH(M1017,'秒级路线参数_可调整'!$A:$A,0)),"")</x:f>
        <x:v>65</x:v>
      </x:c>
      <x:c r="P1017" s="12" t="n">
        <x:f>IF(O1017="","",O1017/86400)</x:f>
        <x:v>0.0007523148148148148</x:v>
      </x:c>
      <x:c r="Q1017" s="12" t="n">
        <x:f>IF(O1017="","",(H1017*60+O1017)/86400)</x:f>
        <x:v>0.5215856481481481</x:v>
      </x:c>
      <x:c r="R1017" s="12" t="str">
        <x:f>IF(Q1017="","",TEXT(Q1017,"hh:mm:ss"))</x:f>
        <x:v>12:31:05</x:v>
      </x:c>
      <x:c r="S1017" s="12" t="str">
        <x:v>否</x:v>
      </x:c>
      <x:c r="T1017" s="12" t="str">
        <x:v>否</x:v>
      </x:c>
      <x:c r="U1017" s="12" t="str">
        <x:v>未提供</x:v>
      </x:c>
      <x:c r="V1017" s="12" t="str">
        <x:v>未提供</x:v>
      </x:c>
      <x:c r="W1017" s="12" t="str">
        <x:v>秒级预测</x:v>
      </x:c>
      <x:c r="X1017" s="12" t="str">
        <x:v>基于路线秒级参数；如录入实测或手动采用秒，预计到达时间可随公式更新</x:v>
      </x:c>
    </x:row>
    <x:row r="1018">
      <x:c r="A1018" s="12" t="str">
        <x:v>S0085-03</x:v>
      </x:c>
      <x:c r="B1018" s="12" t="str">
        <x:v>S0085</x:v>
      </x:c>
      <x:c r="C1018" s="12" t="str">
        <x:v>工作日</x:v>
      </x:c>
      <x:c r="D1018" s="12" t="str">
        <x:v>环线2路</x:v>
      </x:c>
      <x:c r="E1018" s="12" t="str">
        <x:v>第一班</x:v>
      </x:c>
      <x:c r="F1018" s="12" t="n">
        <x:v>15</x:v>
      </x:c>
      <x:c r="G1018" s="12" t="str">
        <x:v>12:30</x:v>
      </x:c>
      <x:c r="H1018" s="12" t="n">
        <x:v>750</x:v>
      </x:c>
      <x:c r="I1018" s="12" t="str">
        <x:v>研究生宿舍楼</x:v>
      </x:c>
      <x:c r="J1018" s="12" t="str">
        <x:v>研究生宿舍楼发车</x:v>
      </x:c>
      <x:c r="K1018" s="12" t="str">
        <x:v>HX2_NORMAL</x:v>
      </x:c>
      <x:c r="L1018" s="12" t="n">
        <x:v>3</x:v>
      </x:c>
      <x:c r="M1018" s="12" t="str">
        <x:v>HX2_NORMAL|3</x:v>
      </x:c>
      <x:c r="N1018" s="12" t="str">
        <x:v>门诊部</x:v>
      </x:c>
      <x:c r="O1018" s="12" t="n">
        <x:f>IFERROR(INDEX('秒级路线参数_可调整'!$O:$O,MATCH(M1018,'秒级路线参数_可调整'!$A:$A,0)),"")</x:f>
        <x:v>120</x:v>
      </x:c>
      <x:c r="P1018" s="12" t="n">
        <x:f>IF(O1018="","",O1018/86400)</x:f>
        <x:v>0.001388888888888889</x:v>
      </x:c>
      <x:c r="Q1018" s="12" t="n">
        <x:f>IF(O1018="","",(H1018*60+O1018)/86400)</x:f>
        <x:v>0.5222222222222223</x:v>
      </x:c>
      <x:c r="R1018" s="12" t="str">
        <x:f>IF(Q1018="","",TEXT(Q1018,"hh:mm:ss"))</x:f>
        <x:v>12:32:00</x:v>
      </x:c>
      <x:c r="S1018" s="12" t="str">
        <x:v>否</x:v>
      </x:c>
      <x:c r="T1018" s="12" t="str">
        <x:v>否</x:v>
      </x:c>
      <x:c r="U1018" s="12" t="str">
        <x:v>未提供</x:v>
      </x:c>
      <x:c r="V1018" s="12" t="str">
        <x:v>未提供</x:v>
      </x:c>
      <x:c r="W1018" s="12" t="str">
        <x:v>秒级预测</x:v>
      </x:c>
      <x:c r="X1018" s="12" t="str">
        <x:v>基于路线秒级参数；如录入实测或手动采用秒，预计到达时间可随公式更新</x:v>
      </x:c>
    </x:row>
    <x:row r="1019">
      <x:c r="A1019" s="12" t="str">
        <x:v>S0085-04</x:v>
      </x:c>
      <x:c r="B1019" s="12" t="str">
        <x:v>S0085</x:v>
      </x:c>
      <x:c r="C1019" s="12" t="str">
        <x:v>工作日</x:v>
      </x:c>
      <x:c r="D1019" s="12" t="str">
        <x:v>环线2路</x:v>
      </x:c>
      <x:c r="E1019" s="12" t="str">
        <x:v>第一班</x:v>
      </x:c>
      <x:c r="F1019" s="12" t="n">
        <x:v>15</x:v>
      </x:c>
      <x:c r="G1019" s="12" t="str">
        <x:v>12:30</x:v>
      </x:c>
      <x:c r="H1019" s="12" t="n">
        <x:v>750</x:v>
      </x:c>
      <x:c r="I1019" s="12" t="str">
        <x:v>研究生宿舍楼</x:v>
      </x:c>
      <x:c r="J1019" s="12" t="str">
        <x:v>研究生宿舍楼发车</x:v>
      </x:c>
      <x:c r="K1019" s="12" t="str">
        <x:v>HX2_NORMAL</x:v>
      </x:c>
      <x:c r="L1019" s="12" t="n">
        <x:v>4</x:v>
      </x:c>
      <x:c r="M1019" s="12" t="str">
        <x:v>HX2_NORMAL|4</x:v>
      </x:c>
      <x:c r="N1019" s="12" t="str">
        <x:v>1号宿舍楼</x:v>
      </x:c>
      <x:c r="O1019" s="12" t="n">
        <x:f>IFERROR(INDEX('秒级路线参数_可调整'!$O:$O,MATCH(M1019,'秒级路线参数_可调整'!$A:$A,0)),"")</x:f>
        <x:v>165</x:v>
      </x:c>
      <x:c r="P1019" s="12" t="n">
        <x:f>IF(O1019="","",O1019/86400)</x:f>
        <x:v>0.0019097222222222222</x:v>
      </x:c>
      <x:c r="Q1019" s="12" t="n">
        <x:f>IF(O1019="","",(H1019*60+O1019)/86400)</x:f>
        <x:v>0.5227430555555556</x:v>
      </x:c>
      <x:c r="R1019" s="12" t="str">
        <x:f>IF(Q1019="","",TEXT(Q1019,"hh:mm:ss"))</x:f>
        <x:v>12:32:45</x:v>
      </x:c>
      <x:c r="S1019" s="12" t="str">
        <x:v>否</x:v>
      </x:c>
      <x:c r="T1019" s="12" t="str">
        <x:v>否</x:v>
      </x:c>
      <x:c r="U1019" s="12" t="str">
        <x:v>未提供</x:v>
      </x:c>
      <x:c r="V1019" s="12" t="str">
        <x:v>未提供</x:v>
      </x:c>
      <x:c r="W1019" s="12" t="str">
        <x:v>秒级预测</x:v>
      </x:c>
      <x:c r="X1019" s="12" t="str">
        <x:v>基于路线秒级参数；如录入实测或手动采用秒，预计到达时间可随公式更新</x:v>
      </x:c>
    </x:row>
    <x:row r="1020">
      <x:c r="A1020" s="12" t="str">
        <x:v>S0085-05</x:v>
      </x:c>
      <x:c r="B1020" s="12" t="str">
        <x:v>S0085</x:v>
      </x:c>
      <x:c r="C1020" s="12" t="str">
        <x:v>工作日</x:v>
      </x:c>
      <x:c r="D1020" s="12" t="str">
        <x:v>环线2路</x:v>
      </x:c>
      <x:c r="E1020" s="12" t="str">
        <x:v>第一班</x:v>
      </x:c>
      <x:c r="F1020" s="12" t="n">
        <x:v>15</x:v>
      </x:c>
      <x:c r="G1020" s="12" t="str">
        <x:v>12:30</x:v>
      </x:c>
      <x:c r="H1020" s="12" t="n">
        <x:v>750</x:v>
      </x:c>
      <x:c r="I1020" s="12" t="str">
        <x:v>研究生宿舍楼</x:v>
      </x:c>
      <x:c r="J1020" s="12" t="str">
        <x:v>研究生宿舍楼发车</x:v>
      </x:c>
      <x:c r="K1020" s="12" t="str">
        <x:v>HX2_NORMAL</x:v>
      </x:c>
      <x:c r="L1020" s="12" t="n">
        <x:v>5</x:v>
      </x:c>
      <x:c r="M1020" s="12" t="str">
        <x:v>HX2_NORMAL|5</x:v>
      </x:c>
      <x:c r="N1020" s="12" t="str">
        <x:v>水上训练中心</x:v>
      </x:c>
      <x:c r="O1020" s="12" t="n">
        <x:f>IFERROR(INDEX('秒级路线参数_可调整'!$O:$O,MATCH(M1020,'秒级路线参数_可调整'!$A:$A,0)),"")</x:f>
        <x:v>250</x:v>
      </x:c>
      <x:c r="P1020" s="12" t="n">
        <x:f>IF(O1020="","",O1020/86400)</x:f>
        <x:v>0.0028935185185185184</x:v>
      </x:c>
      <x:c r="Q1020" s="12" t="n">
        <x:f>IF(O1020="","",(H1020*60+O1020)/86400)</x:f>
        <x:v>0.5237268518518519</x:v>
      </x:c>
      <x:c r="R1020" s="12" t="str">
        <x:f>IF(Q1020="","",TEXT(Q1020,"hh:mm:ss"))</x:f>
        <x:v>12:34:10</x:v>
      </x:c>
      <x:c r="S1020" s="12" t="str">
        <x:v>否</x:v>
      </x:c>
      <x:c r="T1020" s="12" t="str">
        <x:v>否</x:v>
      </x:c>
      <x:c r="U1020" s="12" t="str">
        <x:v>未提供</x:v>
      </x:c>
      <x:c r="V1020" s="12" t="str">
        <x:v>未提供</x:v>
      </x:c>
      <x:c r="W1020" s="12" t="str">
        <x:v>秒级预测</x:v>
      </x:c>
      <x:c r="X1020" s="12" t="str">
        <x:v>基于路线秒级参数；如录入实测或手动采用秒，预计到达时间可随公式更新</x:v>
      </x:c>
    </x:row>
    <x:row r="1021">
      <x:c r="A1021" s="12" t="str">
        <x:v>S0085-06</x:v>
      </x:c>
      <x:c r="B1021" s="12" t="str">
        <x:v>S0085</x:v>
      </x:c>
      <x:c r="C1021" s="12" t="str">
        <x:v>工作日</x:v>
      </x:c>
      <x:c r="D1021" s="12" t="str">
        <x:v>环线2路</x:v>
      </x:c>
      <x:c r="E1021" s="12" t="str">
        <x:v>第一班</x:v>
      </x:c>
      <x:c r="F1021" s="12" t="n">
        <x:v>15</x:v>
      </x:c>
      <x:c r="G1021" s="12" t="str">
        <x:v>12:30</x:v>
      </x:c>
      <x:c r="H1021" s="12" t="n">
        <x:v>750</x:v>
      </x:c>
      <x:c r="I1021" s="12" t="str">
        <x:v>研究生宿舍楼</x:v>
      </x:c>
      <x:c r="J1021" s="12" t="str">
        <x:v>研究生宿舍楼发车</x:v>
      </x:c>
      <x:c r="K1021" s="12" t="str">
        <x:v>HX2_NORMAL</x:v>
      </x:c>
      <x:c r="L1021" s="12" t="n">
        <x:v>6</x:v>
      </x:c>
      <x:c r="M1021" s="12" t="str">
        <x:v>HX2_NORMAL|6</x:v>
      </x:c>
      <x:c r="N1021" s="12" t="str">
        <x:v>军体活动中心</x:v>
      </x:c>
      <x:c r="O1021" s="12" t="n">
        <x:f>IFERROR(INDEX('秒级路线参数_可调整'!$O:$O,MATCH(M1021,'秒级路线参数_可调整'!$A:$A,0)),"")</x:f>
        <x:v>315</x:v>
      </x:c>
      <x:c r="P1021" s="12" t="n">
        <x:f>IF(O1021="","",O1021/86400)</x:f>
        <x:v>0.0036458333333333334</x:v>
      </x:c>
      <x:c r="Q1021" s="12" t="n">
        <x:f>IF(O1021="","",(H1021*60+O1021)/86400)</x:f>
        <x:v>0.5244791666666667</x:v>
      </x:c>
      <x:c r="R1021" s="12" t="str">
        <x:f>IF(Q1021="","",TEXT(Q1021,"hh:mm:ss"))</x:f>
        <x:v>12:35:15</x:v>
      </x:c>
      <x:c r="S1021" s="12" t="str">
        <x:v>否</x:v>
      </x:c>
      <x:c r="T1021" s="12" t="str">
        <x:v>否</x:v>
      </x:c>
      <x:c r="U1021" s="12" t="str">
        <x:v>未提供</x:v>
      </x:c>
      <x:c r="V1021" s="12" t="str">
        <x:v>未提供</x:v>
      </x:c>
      <x:c r="W1021" s="12" t="str">
        <x:v>秒级预测</x:v>
      </x:c>
      <x:c r="X1021" s="12" t="str">
        <x:v>基于路线秒级参数；如录入实测或手动采用秒，预计到达时间可随公式更新</x:v>
      </x:c>
    </x:row>
    <x:row r="1022">
      <x:c r="A1022" s="12" t="str">
        <x:v>S0085-07</x:v>
      </x:c>
      <x:c r="B1022" s="12" t="str">
        <x:v>S0085</x:v>
      </x:c>
      <x:c r="C1022" s="12" t="str">
        <x:v>工作日</x:v>
      </x:c>
      <x:c r="D1022" s="12" t="str">
        <x:v>环线2路</x:v>
      </x:c>
      <x:c r="E1022" s="12" t="str">
        <x:v>第一班</x:v>
      </x:c>
      <x:c r="F1022" s="12" t="n">
        <x:v>15</x:v>
      </x:c>
      <x:c r="G1022" s="12" t="str">
        <x:v>12:30</x:v>
      </x:c>
      <x:c r="H1022" s="12" t="n">
        <x:v>750</x:v>
      </x:c>
      <x:c r="I1022" s="12" t="str">
        <x:v>研究生宿舍楼</x:v>
      </x:c>
      <x:c r="J1022" s="12" t="str">
        <x:v>研究生宿舍楼发车</x:v>
      </x:c>
      <x:c r="K1022" s="12" t="str">
        <x:v>HX2_NORMAL</x:v>
      </x:c>
      <x:c r="L1022" s="12" t="n">
        <x:v>7</x:v>
      </x:c>
      <x:c r="M1022" s="12" t="str">
        <x:v>HX2_NORMAL|7</x:v>
      </x:c>
      <x:c r="N1022" s="12" t="str">
        <x:v>二食堂</x:v>
      </x:c>
      <x:c r="O1022" s="12" t="n">
        <x:f>IFERROR(INDEX('秒级路线参数_可调整'!$O:$O,MATCH(M1022,'秒级路线参数_可调整'!$A:$A,0)),"")</x:f>
        <x:v>420</x:v>
      </x:c>
      <x:c r="P1022" s="12" t="n">
        <x:f>IF(O1022="","",O1022/86400)</x:f>
        <x:v>0.004861111111111111</x:v>
      </x:c>
      <x:c r="Q1022" s="12" t="n">
        <x:f>IF(O1022="","",(H1022*60+O1022)/86400)</x:f>
        <x:v>0.5256944444444445</x:v>
      </x:c>
      <x:c r="R1022" s="12" t="str">
        <x:f>IF(Q1022="","",TEXT(Q1022,"hh:mm:ss"))</x:f>
        <x:v>12:37:00</x:v>
      </x:c>
      <x:c r="S1022" s="12" t="str">
        <x:v>否</x:v>
      </x:c>
      <x:c r="T1022" s="12" t="str">
        <x:v>否</x:v>
      </x:c>
      <x:c r="U1022" s="12" t="str">
        <x:v>未提供</x:v>
      </x:c>
      <x:c r="V1022" s="12" t="str">
        <x:v>未提供</x:v>
      </x:c>
      <x:c r="W1022" s="12" t="str">
        <x:v>秒级预测</x:v>
      </x:c>
      <x:c r="X1022" s="12" t="str">
        <x:v>基于路线秒级参数；如录入实测或手动采用秒，预计到达时间可随公式更新</x:v>
      </x:c>
    </x:row>
    <x:row r="1023">
      <x:c r="A1023" s="12" t="str">
        <x:v>S0085-08</x:v>
      </x:c>
      <x:c r="B1023" s="12" t="str">
        <x:v>S0085</x:v>
      </x:c>
      <x:c r="C1023" s="12" t="str">
        <x:v>工作日</x:v>
      </x:c>
      <x:c r="D1023" s="12" t="str">
        <x:v>环线2路</x:v>
      </x:c>
      <x:c r="E1023" s="12" t="str">
        <x:v>第一班</x:v>
      </x:c>
      <x:c r="F1023" s="12" t="n">
        <x:v>15</x:v>
      </x:c>
      <x:c r="G1023" s="12" t="str">
        <x:v>12:30</x:v>
      </x:c>
      <x:c r="H1023" s="12" t="n">
        <x:v>750</x:v>
      </x:c>
      <x:c r="I1023" s="12" t="str">
        <x:v>研究生宿舍楼</x:v>
      </x:c>
      <x:c r="J1023" s="12" t="str">
        <x:v>研究生宿舍楼发车</x:v>
      </x:c>
      <x:c r="K1023" s="12" t="str">
        <x:v>HX2_NORMAL</x:v>
      </x:c>
      <x:c r="L1023" s="12" t="n">
        <x:v>8</x:v>
      </x:c>
      <x:c r="M1023" s="12" t="str">
        <x:v>HX2_NORMAL|8</x:v>
      </x:c>
      <x:c r="N1023" s="12" t="str">
        <x:v>5号宿舍楼</x:v>
      </x:c>
      <x:c r="O1023" s="12" t="n">
        <x:f>IFERROR(INDEX('秒级路线参数_可调整'!$O:$O,MATCH(M1023,'秒级路线参数_可调整'!$A:$A,0)),"")</x:f>
        <x:v>480</x:v>
      </x:c>
      <x:c r="P1023" s="12" t="n">
        <x:f>IF(O1023="","",O1023/86400)</x:f>
        <x:v>0.005555555555555556</x:v>
      </x:c>
      <x:c r="Q1023" s="12" t="n">
        <x:f>IF(O1023="","",(H1023*60+O1023)/86400)</x:f>
        <x:v>0.5263888888888889</x:v>
      </x:c>
      <x:c r="R1023" s="12" t="str">
        <x:f>IF(Q1023="","",TEXT(Q1023,"hh:mm:ss"))</x:f>
        <x:v>12:38:00</x:v>
      </x:c>
      <x:c r="S1023" s="12" t="str">
        <x:v>否</x:v>
      </x:c>
      <x:c r="T1023" s="12" t="str">
        <x:v>否</x:v>
      </x:c>
      <x:c r="U1023" s="12" t="str">
        <x:v>未提供</x:v>
      </x:c>
      <x:c r="V1023" s="12" t="str">
        <x:v>未提供</x:v>
      </x:c>
      <x:c r="W1023" s="12" t="str">
        <x:v>秒级预测</x:v>
      </x:c>
      <x:c r="X1023" s="12" t="str">
        <x:v>基于路线秒级参数；如录入实测或手动采用秒，预计到达时间可随公式更新</x:v>
      </x:c>
    </x:row>
    <x:row r="1024">
      <x:c r="A1024" s="12" t="str">
        <x:v>S0085-09</x:v>
      </x:c>
      <x:c r="B1024" s="12" t="str">
        <x:v>S0085</x:v>
      </x:c>
      <x:c r="C1024" s="12" t="str">
        <x:v>工作日</x:v>
      </x:c>
      <x:c r="D1024" s="12" t="str">
        <x:v>环线2路</x:v>
      </x:c>
      <x:c r="E1024" s="12" t="str">
        <x:v>第一班</x:v>
      </x:c>
      <x:c r="F1024" s="12" t="n">
        <x:v>15</x:v>
      </x:c>
      <x:c r="G1024" s="12" t="str">
        <x:v>12:30</x:v>
      </x:c>
      <x:c r="H1024" s="12" t="n">
        <x:v>750</x:v>
      </x:c>
      <x:c r="I1024" s="12" t="str">
        <x:v>研究生宿舍楼</x:v>
      </x:c>
      <x:c r="J1024" s="12" t="str">
        <x:v>研究生宿舍楼发车</x:v>
      </x:c>
      <x:c r="K1024" s="12" t="str">
        <x:v>HX2_NORMAL</x:v>
      </x:c>
      <x:c r="L1024" s="12" t="n">
        <x:v>9</x:v>
      </x:c>
      <x:c r="M1024" s="12" t="str">
        <x:v>HX2_NORMAL|9</x:v>
      </x:c>
      <x:c r="N1024" s="12" t="str">
        <x:v>305教学楼</x:v>
      </x:c>
      <x:c r="O1024" s="12" t="n">
        <x:f>IFERROR(INDEX('秒级路线参数_可调整'!$O:$O,MATCH(M1024,'秒级路线参数_可调整'!$A:$A,0)),"")</x:f>
        <x:v>535</x:v>
      </x:c>
      <x:c r="P1024" s="12" t="n">
        <x:f>IF(O1024="","",O1024/86400)</x:f>
        <x:v>0.00619212962962963</x:v>
      </x:c>
      <x:c r="Q1024" s="12" t="n">
        <x:f>IF(O1024="","",(H1024*60+O1024)/86400)</x:f>
        <x:v>0.5270254629629629</x:v>
      </x:c>
      <x:c r="R1024" s="12" t="str">
        <x:f>IF(Q1024="","",TEXT(Q1024,"hh:mm:ss"))</x:f>
        <x:v>12:38:55</x:v>
      </x:c>
      <x:c r="S1024" s="12" t="str">
        <x:v>否</x:v>
      </x:c>
      <x:c r="T1024" s="12" t="str">
        <x:v>否</x:v>
      </x:c>
      <x:c r="U1024" s="12" t="str">
        <x:v>未提供</x:v>
      </x:c>
      <x:c r="V1024" s="12" t="str">
        <x:v>未提供</x:v>
      </x:c>
      <x:c r="W1024" s="12" t="str">
        <x:v>秒级预测</x:v>
      </x:c>
      <x:c r="X1024" s="12" t="str">
        <x:v>基于路线秒级参数；如录入实测或手动采用秒，预计到达时间可随公式更新</x:v>
      </x:c>
    </x:row>
    <x:row r="1025">
      <x:c r="A1025" s="12" t="str">
        <x:v>S0085-10</x:v>
      </x:c>
      <x:c r="B1025" s="12" t="str">
        <x:v>S0085</x:v>
      </x:c>
      <x:c r="C1025" s="12" t="str">
        <x:v>工作日</x:v>
      </x:c>
      <x:c r="D1025" s="12" t="str">
        <x:v>环线2路</x:v>
      </x:c>
      <x:c r="E1025" s="12" t="str">
        <x:v>第一班</x:v>
      </x:c>
      <x:c r="F1025" s="12" t="n">
        <x:v>15</x:v>
      </x:c>
      <x:c r="G1025" s="12" t="str">
        <x:v>12:30</x:v>
      </x:c>
      <x:c r="H1025" s="12" t="n">
        <x:v>750</x:v>
      </x:c>
      <x:c r="I1025" s="12" t="str">
        <x:v>研究生宿舍楼</x:v>
      </x:c>
      <x:c r="J1025" s="12" t="str">
        <x:v>研究生宿舍楼发车</x:v>
      </x:c>
      <x:c r="K1025" s="12" t="str">
        <x:v>HX2_NORMAL</x:v>
      </x:c>
      <x:c r="L1025" s="12" t="n">
        <x:v>10</x:v>
      </x:c>
      <x:c r="M1025" s="12" t="str">
        <x:v>HX2_NORMAL|10</x:v>
      </x:c>
      <x:c r="N1025" s="12" t="str">
        <x:v>研究生宿舍楼</x:v>
      </x:c>
      <x:c r="O1025" s="12" t="n">
        <x:f>IFERROR(INDEX('秒级路线参数_可调整'!$O:$O,MATCH(M1025,'秒级路线参数_可调整'!$A:$A,0)),"")</x:f>
        <x:v>715</x:v>
      </x:c>
      <x:c r="P1025" s="12" t="n">
        <x:f>IF(O1025="","",O1025/86400)</x:f>
        <x:v>0.008275462962962964</x:v>
      </x:c>
      <x:c r="Q1025" s="12" t="n">
        <x:f>IF(O1025="","",(H1025*60+O1025)/86400)</x:f>
        <x:v>0.5291087962962963</x:v>
      </x:c>
      <x:c r="R1025" s="12" t="str">
        <x:f>IF(Q1025="","",TEXT(Q1025,"hh:mm:ss"))</x:f>
        <x:v>12:41:55</x:v>
      </x:c>
      <x:c r="S1025" s="12" t="str">
        <x:v>否</x:v>
      </x:c>
      <x:c r="T1025" s="12" t="str">
        <x:v>是</x:v>
      </x:c>
      <x:c r="U1025" s="12" t="str">
        <x:v>未提供</x:v>
      </x:c>
      <x:c r="V1025" s="12" t="str">
        <x:v>未提供</x:v>
      </x:c>
      <x:c r="W1025" s="12" t="str">
        <x:v>秒级预测</x:v>
      </x:c>
      <x:c r="X1025" s="12" t="str">
        <x:v>基于路线秒级参数；如录入实测或手动采用秒，预计到达时间可随公式更新</x:v>
      </x:c>
    </x:row>
    <x:row r="1026">
      <x:c r="A1026" s="12" t="str">
        <x:v>S0086-01</x:v>
      </x:c>
      <x:c r="B1026" s="12" t="str">
        <x:v>S0086</x:v>
      </x:c>
      <x:c r="C1026" s="12" t="str">
        <x:v>工作日</x:v>
      </x:c>
      <x:c r="D1026" s="12" t="str">
        <x:v>环线2路</x:v>
      </x:c>
      <x:c r="E1026" s="12" t="str">
        <x:v>第一班</x:v>
      </x:c>
      <x:c r="F1026" s="12" t="n">
        <x:v>16</x:v>
      </x:c>
      <x:c r="G1026" s="12" t="str">
        <x:v>14:10</x:v>
      </x:c>
      <x:c r="H1026" s="12" t="n">
        <x:v>850</x:v>
      </x:c>
      <x:c r="I1026" s="12" t="str">
        <x:v>研究生宿舍楼</x:v>
      </x:c>
      <x:c r="J1026" s="12" t="str">
        <x:v>研究生宿舍楼发车</x:v>
      </x:c>
      <x:c r="K1026" s="12" t="str">
        <x:v>HX2_NORMAL</x:v>
      </x:c>
      <x:c r="L1026" s="12" t="n">
        <x:v>1</x:v>
      </x:c>
      <x:c r="M1026" s="12" t="str">
        <x:v>HX2_NORMAL|1</x:v>
      </x:c>
      <x:c r="N1026" s="12" t="str">
        <x:v>研究生宿舍楼</x:v>
      </x:c>
      <x:c r="O1026" s="12" t="n">
        <x:f>IFERROR(INDEX('秒级路线参数_可调整'!$O:$O,MATCH(M1026,'秒级路线参数_可调整'!$A:$A,0)),"")</x:f>
        <x:v>0</x:v>
      </x:c>
      <x:c r="P1026" s="12" t="str">
        <x:f>IF(O1026="","",O1026/86400)</x:f>
      </x:c>
      <x:c r="Q1026" s="12" t="str">
        <x:f>IF(O1026="","",(H1026*60+O1026)/86400)</x:f>
      </x:c>
      <x:c r="R1026" s="12" t="str">
        <x:f>IF(Q1026="","",TEXT(Q1026,"hh:mm:ss"))</x:f>
      </x:c>
      <x:c r="S1026" s="12" t="str">
        <x:v>是</x:v>
      </x:c>
      <x:c r="T1026" s="12" t="str">
        <x:v>否</x:v>
      </x:c>
      <x:c r="U1026" s="12" t="str">
        <x:v>未提供</x:v>
      </x:c>
      <x:c r="V1026" s="12" t="str">
        <x:v>未提供</x:v>
      </x:c>
      <x:c r="W1026" s="12" t="str">
        <x:v>秒级预测</x:v>
      </x:c>
      <x:c r="X1026" s="12" t="str">
        <x:v>基于路线秒级参数；如录入实测或手动采用秒，预计到达时间可随公式更新</x:v>
      </x:c>
    </x:row>
    <x:row r="1027">
      <x:c r="A1027" s="12" t="str">
        <x:v>S0086-02</x:v>
      </x:c>
      <x:c r="B1027" s="12" t="str">
        <x:v>S0086</x:v>
      </x:c>
      <x:c r="C1027" s="12" t="str">
        <x:v>工作日</x:v>
      </x:c>
      <x:c r="D1027" s="12" t="str">
        <x:v>环线2路</x:v>
      </x:c>
      <x:c r="E1027" s="12" t="str">
        <x:v>第一班</x:v>
      </x:c>
      <x:c r="F1027" s="12" t="n">
        <x:v>16</x:v>
      </x:c>
      <x:c r="G1027" s="12" t="str">
        <x:v>14:10</x:v>
      </x:c>
      <x:c r="H1027" s="12" t="n">
        <x:v>850</x:v>
      </x:c>
      <x:c r="I1027" s="12" t="str">
        <x:v>研究生宿舍楼</x:v>
      </x:c>
      <x:c r="J1027" s="12" t="str">
        <x:v>研究生宿舍楼发车</x:v>
      </x:c>
      <x:c r="K1027" s="12" t="str">
        <x:v>HX2_NORMAL</x:v>
      </x:c>
      <x:c r="L1027" s="12" t="n">
        <x:v>2</x:v>
      </x:c>
      <x:c r="M1027" s="12" t="str">
        <x:v>HX2_NORMAL|2</x:v>
      </x:c>
      <x:c r="N1027" s="12" t="str">
        <x:v>一食堂</x:v>
      </x:c>
      <x:c r="O1027" s="12" t="n">
        <x:f>IFERROR(INDEX('秒级路线参数_可调整'!$O:$O,MATCH(M1027,'秒级路线参数_可调整'!$A:$A,0)),"")</x:f>
        <x:v>65</x:v>
      </x:c>
      <x:c r="P1027" s="12" t="n">
        <x:f>IF(O1027="","",O1027/86400)</x:f>
        <x:v>0.0007523148148148148</x:v>
      </x:c>
      <x:c r="Q1027" s="12" t="n">
        <x:f>IF(O1027="","",(H1027*60+O1027)/86400)</x:f>
        <x:v>0.5910300925925925</x:v>
      </x:c>
      <x:c r="R1027" s="12" t="str">
        <x:f>IF(Q1027="","",TEXT(Q1027,"hh:mm:ss"))</x:f>
        <x:v>14:11:05</x:v>
      </x:c>
      <x:c r="S1027" s="12" t="str">
        <x:v>否</x:v>
      </x:c>
      <x:c r="T1027" s="12" t="str">
        <x:v>否</x:v>
      </x:c>
      <x:c r="U1027" s="12" t="str">
        <x:v>未提供</x:v>
      </x:c>
      <x:c r="V1027" s="12" t="str">
        <x:v>未提供</x:v>
      </x:c>
      <x:c r="W1027" s="12" t="str">
        <x:v>秒级预测</x:v>
      </x:c>
      <x:c r="X1027" s="12" t="str">
        <x:v>基于路线秒级参数；如录入实测或手动采用秒，预计到达时间可随公式更新</x:v>
      </x:c>
    </x:row>
    <x:row r="1028">
      <x:c r="A1028" s="12" t="str">
        <x:v>S0086-03</x:v>
      </x:c>
      <x:c r="B1028" s="12" t="str">
        <x:v>S0086</x:v>
      </x:c>
      <x:c r="C1028" s="12" t="str">
        <x:v>工作日</x:v>
      </x:c>
      <x:c r="D1028" s="12" t="str">
        <x:v>环线2路</x:v>
      </x:c>
      <x:c r="E1028" s="12" t="str">
        <x:v>第一班</x:v>
      </x:c>
      <x:c r="F1028" s="12" t="n">
        <x:v>16</x:v>
      </x:c>
      <x:c r="G1028" s="12" t="str">
        <x:v>14:10</x:v>
      </x:c>
      <x:c r="H1028" s="12" t="n">
        <x:v>850</x:v>
      </x:c>
      <x:c r="I1028" s="12" t="str">
        <x:v>研究生宿舍楼</x:v>
      </x:c>
      <x:c r="J1028" s="12" t="str">
        <x:v>研究生宿舍楼发车</x:v>
      </x:c>
      <x:c r="K1028" s="12" t="str">
        <x:v>HX2_NORMAL</x:v>
      </x:c>
      <x:c r="L1028" s="12" t="n">
        <x:v>3</x:v>
      </x:c>
      <x:c r="M1028" s="12" t="str">
        <x:v>HX2_NORMAL|3</x:v>
      </x:c>
      <x:c r="N1028" s="12" t="str">
        <x:v>门诊部</x:v>
      </x:c>
      <x:c r="O1028" s="12" t="n">
        <x:f>IFERROR(INDEX('秒级路线参数_可调整'!$O:$O,MATCH(M1028,'秒级路线参数_可调整'!$A:$A,0)),"")</x:f>
        <x:v>120</x:v>
      </x:c>
      <x:c r="P1028" s="12" t="n">
        <x:f>IF(O1028="","",O1028/86400)</x:f>
        <x:v>0.001388888888888889</x:v>
      </x:c>
      <x:c r="Q1028" s="12" t="n">
        <x:f>IF(O1028="","",(H1028*60+O1028)/86400)</x:f>
        <x:v>0.5916666666666667</x:v>
      </x:c>
      <x:c r="R1028" s="12" t="str">
        <x:f>IF(Q1028="","",TEXT(Q1028,"hh:mm:ss"))</x:f>
        <x:v>14:12:00</x:v>
      </x:c>
      <x:c r="S1028" s="12" t="str">
        <x:v>否</x:v>
      </x:c>
      <x:c r="T1028" s="12" t="str">
        <x:v>否</x:v>
      </x:c>
      <x:c r="U1028" s="12" t="str">
        <x:v>未提供</x:v>
      </x:c>
      <x:c r="V1028" s="12" t="str">
        <x:v>未提供</x:v>
      </x:c>
      <x:c r="W1028" s="12" t="str">
        <x:v>秒级预测</x:v>
      </x:c>
      <x:c r="X1028" s="12" t="str">
        <x:v>基于路线秒级参数；如录入实测或手动采用秒，预计到达时间可随公式更新</x:v>
      </x:c>
    </x:row>
    <x:row r="1029">
      <x:c r="A1029" s="12" t="str">
        <x:v>S0086-04</x:v>
      </x:c>
      <x:c r="B1029" s="12" t="str">
        <x:v>S0086</x:v>
      </x:c>
      <x:c r="C1029" s="12" t="str">
        <x:v>工作日</x:v>
      </x:c>
      <x:c r="D1029" s="12" t="str">
        <x:v>环线2路</x:v>
      </x:c>
      <x:c r="E1029" s="12" t="str">
        <x:v>第一班</x:v>
      </x:c>
      <x:c r="F1029" s="12" t="n">
        <x:v>16</x:v>
      </x:c>
      <x:c r="G1029" s="12" t="str">
        <x:v>14:10</x:v>
      </x:c>
      <x:c r="H1029" s="12" t="n">
        <x:v>850</x:v>
      </x:c>
      <x:c r="I1029" s="12" t="str">
        <x:v>研究生宿舍楼</x:v>
      </x:c>
      <x:c r="J1029" s="12" t="str">
        <x:v>研究生宿舍楼发车</x:v>
      </x:c>
      <x:c r="K1029" s="12" t="str">
        <x:v>HX2_NORMAL</x:v>
      </x:c>
      <x:c r="L1029" s="12" t="n">
        <x:v>4</x:v>
      </x:c>
      <x:c r="M1029" s="12" t="str">
        <x:v>HX2_NORMAL|4</x:v>
      </x:c>
      <x:c r="N1029" s="12" t="str">
        <x:v>1号宿舍楼</x:v>
      </x:c>
      <x:c r="O1029" s="12" t="n">
        <x:f>IFERROR(INDEX('秒级路线参数_可调整'!$O:$O,MATCH(M1029,'秒级路线参数_可调整'!$A:$A,0)),"")</x:f>
        <x:v>165</x:v>
      </x:c>
      <x:c r="P1029" s="12" t="n">
        <x:f>IF(O1029="","",O1029/86400)</x:f>
        <x:v>0.0019097222222222222</x:v>
      </x:c>
      <x:c r="Q1029" s="12" t="n">
        <x:f>IF(O1029="","",(H1029*60+O1029)/86400)</x:f>
        <x:v>0.5921875</x:v>
      </x:c>
      <x:c r="R1029" s="12" t="str">
        <x:f>IF(Q1029="","",TEXT(Q1029,"hh:mm:ss"))</x:f>
        <x:v>14:12:45</x:v>
      </x:c>
      <x:c r="S1029" s="12" t="str">
        <x:v>否</x:v>
      </x:c>
      <x:c r="T1029" s="12" t="str">
        <x:v>否</x:v>
      </x:c>
      <x:c r="U1029" s="12" t="str">
        <x:v>未提供</x:v>
      </x:c>
      <x:c r="V1029" s="12" t="str">
        <x:v>未提供</x:v>
      </x:c>
      <x:c r="W1029" s="12" t="str">
        <x:v>秒级预测</x:v>
      </x:c>
      <x:c r="X1029" s="12" t="str">
        <x:v>基于路线秒级参数；如录入实测或手动采用秒，预计到达时间可随公式更新</x:v>
      </x:c>
    </x:row>
    <x:row r="1030">
      <x:c r="A1030" s="12" t="str">
        <x:v>S0086-05</x:v>
      </x:c>
      <x:c r="B1030" s="12" t="str">
        <x:v>S0086</x:v>
      </x:c>
      <x:c r="C1030" s="12" t="str">
        <x:v>工作日</x:v>
      </x:c>
      <x:c r="D1030" s="12" t="str">
        <x:v>环线2路</x:v>
      </x:c>
      <x:c r="E1030" s="12" t="str">
        <x:v>第一班</x:v>
      </x:c>
      <x:c r="F1030" s="12" t="n">
        <x:v>16</x:v>
      </x:c>
      <x:c r="G1030" s="12" t="str">
        <x:v>14:10</x:v>
      </x:c>
      <x:c r="H1030" s="12" t="n">
        <x:v>850</x:v>
      </x:c>
      <x:c r="I1030" s="12" t="str">
        <x:v>研究生宿舍楼</x:v>
      </x:c>
      <x:c r="J1030" s="12" t="str">
        <x:v>研究生宿舍楼发车</x:v>
      </x:c>
      <x:c r="K1030" s="12" t="str">
        <x:v>HX2_NORMAL</x:v>
      </x:c>
      <x:c r="L1030" s="12" t="n">
        <x:v>5</x:v>
      </x:c>
      <x:c r="M1030" s="12" t="str">
        <x:v>HX2_NORMAL|5</x:v>
      </x:c>
      <x:c r="N1030" s="12" t="str">
        <x:v>水上训练中心</x:v>
      </x:c>
      <x:c r="O1030" s="12" t="n">
        <x:f>IFERROR(INDEX('秒级路线参数_可调整'!$O:$O,MATCH(M1030,'秒级路线参数_可调整'!$A:$A,0)),"")</x:f>
        <x:v>250</x:v>
      </x:c>
      <x:c r="P1030" s="12" t="n">
        <x:f>IF(O1030="","",O1030/86400)</x:f>
        <x:v>0.0028935185185185184</x:v>
      </x:c>
      <x:c r="Q1030" s="12" t="n">
        <x:f>IF(O1030="","",(H1030*60+O1030)/86400)</x:f>
        <x:v>0.5931712962962963</x:v>
      </x:c>
      <x:c r="R1030" s="12" t="str">
        <x:f>IF(Q1030="","",TEXT(Q1030,"hh:mm:ss"))</x:f>
        <x:v>14:14:10</x:v>
      </x:c>
      <x:c r="S1030" s="12" t="str">
        <x:v>否</x:v>
      </x:c>
      <x:c r="T1030" s="12" t="str">
        <x:v>否</x:v>
      </x:c>
      <x:c r="U1030" s="12" t="str">
        <x:v>未提供</x:v>
      </x:c>
      <x:c r="V1030" s="12" t="str">
        <x:v>未提供</x:v>
      </x:c>
      <x:c r="W1030" s="12" t="str">
        <x:v>秒级预测</x:v>
      </x:c>
      <x:c r="X1030" s="12" t="str">
        <x:v>基于路线秒级参数；如录入实测或手动采用秒，预计到达时间可随公式更新</x:v>
      </x:c>
    </x:row>
    <x:row r="1031">
      <x:c r="A1031" s="12" t="str">
        <x:v>S0086-06</x:v>
      </x:c>
      <x:c r="B1031" s="12" t="str">
        <x:v>S0086</x:v>
      </x:c>
      <x:c r="C1031" s="12" t="str">
        <x:v>工作日</x:v>
      </x:c>
      <x:c r="D1031" s="12" t="str">
        <x:v>环线2路</x:v>
      </x:c>
      <x:c r="E1031" s="12" t="str">
        <x:v>第一班</x:v>
      </x:c>
      <x:c r="F1031" s="12" t="n">
        <x:v>16</x:v>
      </x:c>
      <x:c r="G1031" s="12" t="str">
        <x:v>14:10</x:v>
      </x:c>
      <x:c r="H1031" s="12" t="n">
        <x:v>850</x:v>
      </x:c>
      <x:c r="I1031" s="12" t="str">
        <x:v>研究生宿舍楼</x:v>
      </x:c>
      <x:c r="J1031" s="12" t="str">
        <x:v>研究生宿舍楼发车</x:v>
      </x:c>
      <x:c r="K1031" s="12" t="str">
        <x:v>HX2_NORMAL</x:v>
      </x:c>
      <x:c r="L1031" s="12" t="n">
        <x:v>6</x:v>
      </x:c>
      <x:c r="M1031" s="12" t="str">
        <x:v>HX2_NORMAL|6</x:v>
      </x:c>
      <x:c r="N1031" s="12" t="str">
        <x:v>军体活动中心</x:v>
      </x:c>
      <x:c r="O1031" s="12" t="n">
        <x:f>IFERROR(INDEX('秒级路线参数_可调整'!$O:$O,MATCH(M1031,'秒级路线参数_可调整'!$A:$A,0)),"")</x:f>
        <x:v>315</x:v>
      </x:c>
      <x:c r="P1031" s="12" t="n">
        <x:f>IF(O1031="","",O1031/86400)</x:f>
        <x:v>0.0036458333333333334</x:v>
      </x:c>
      <x:c r="Q1031" s="12" t="n">
        <x:f>IF(O1031="","",(H1031*60+O1031)/86400)</x:f>
        <x:v>0.5939236111111111</x:v>
      </x:c>
      <x:c r="R1031" s="12" t="str">
        <x:f>IF(Q1031="","",TEXT(Q1031,"hh:mm:ss"))</x:f>
        <x:v>14:15:15</x:v>
      </x:c>
      <x:c r="S1031" s="12" t="str">
        <x:v>否</x:v>
      </x:c>
      <x:c r="T1031" s="12" t="str">
        <x:v>否</x:v>
      </x:c>
      <x:c r="U1031" s="12" t="str">
        <x:v>未提供</x:v>
      </x:c>
      <x:c r="V1031" s="12" t="str">
        <x:v>未提供</x:v>
      </x:c>
      <x:c r="W1031" s="12" t="str">
        <x:v>秒级预测</x:v>
      </x:c>
      <x:c r="X1031" s="12" t="str">
        <x:v>基于路线秒级参数；如录入实测或手动采用秒，预计到达时间可随公式更新</x:v>
      </x:c>
    </x:row>
    <x:row r="1032">
      <x:c r="A1032" s="12" t="str">
        <x:v>S0086-07</x:v>
      </x:c>
      <x:c r="B1032" s="12" t="str">
        <x:v>S0086</x:v>
      </x:c>
      <x:c r="C1032" s="12" t="str">
        <x:v>工作日</x:v>
      </x:c>
      <x:c r="D1032" s="12" t="str">
        <x:v>环线2路</x:v>
      </x:c>
      <x:c r="E1032" s="12" t="str">
        <x:v>第一班</x:v>
      </x:c>
      <x:c r="F1032" s="12" t="n">
        <x:v>16</x:v>
      </x:c>
      <x:c r="G1032" s="12" t="str">
        <x:v>14:10</x:v>
      </x:c>
      <x:c r="H1032" s="12" t="n">
        <x:v>850</x:v>
      </x:c>
      <x:c r="I1032" s="12" t="str">
        <x:v>研究生宿舍楼</x:v>
      </x:c>
      <x:c r="J1032" s="12" t="str">
        <x:v>研究生宿舍楼发车</x:v>
      </x:c>
      <x:c r="K1032" s="12" t="str">
        <x:v>HX2_NORMAL</x:v>
      </x:c>
      <x:c r="L1032" s="12" t="n">
        <x:v>7</x:v>
      </x:c>
      <x:c r="M1032" s="12" t="str">
        <x:v>HX2_NORMAL|7</x:v>
      </x:c>
      <x:c r="N1032" s="12" t="str">
        <x:v>二食堂</x:v>
      </x:c>
      <x:c r="O1032" s="12" t="n">
        <x:f>IFERROR(INDEX('秒级路线参数_可调整'!$O:$O,MATCH(M1032,'秒级路线参数_可调整'!$A:$A,0)),"")</x:f>
        <x:v>420</x:v>
      </x:c>
      <x:c r="P1032" s="12" t="n">
        <x:f>IF(O1032="","",O1032/86400)</x:f>
        <x:v>0.004861111111111111</x:v>
      </x:c>
      <x:c r="Q1032" s="12" t="n">
        <x:f>IF(O1032="","",(H1032*60+O1032)/86400)</x:f>
        <x:v>0.5951388888888889</x:v>
      </x:c>
      <x:c r="R1032" s="12" t="str">
        <x:f>IF(Q1032="","",TEXT(Q1032,"hh:mm:ss"))</x:f>
        <x:v>14:17:00</x:v>
      </x:c>
      <x:c r="S1032" s="12" t="str">
        <x:v>否</x:v>
      </x:c>
      <x:c r="T1032" s="12" t="str">
        <x:v>否</x:v>
      </x:c>
      <x:c r="U1032" s="12" t="str">
        <x:v>未提供</x:v>
      </x:c>
      <x:c r="V1032" s="12" t="str">
        <x:v>未提供</x:v>
      </x:c>
      <x:c r="W1032" s="12" t="str">
        <x:v>秒级预测</x:v>
      </x:c>
      <x:c r="X1032" s="12" t="str">
        <x:v>基于路线秒级参数；如录入实测或手动采用秒，预计到达时间可随公式更新</x:v>
      </x:c>
    </x:row>
    <x:row r="1033">
      <x:c r="A1033" s="12" t="str">
        <x:v>S0086-08</x:v>
      </x:c>
      <x:c r="B1033" s="12" t="str">
        <x:v>S0086</x:v>
      </x:c>
      <x:c r="C1033" s="12" t="str">
        <x:v>工作日</x:v>
      </x:c>
      <x:c r="D1033" s="12" t="str">
        <x:v>环线2路</x:v>
      </x:c>
      <x:c r="E1033" s="12" t="str">
        <x:v>第一班</x:v>
      </x:c>
      <x:c r="F1033" s="12" t="n">
        <x:v>16</x:v>
      </x:c>
      <x:c r="G1033" s="12" t="str">
        <x:v>14:10</x:v>
      </x:c>
      <x:c r="H1033" s="12" t="n">
        <x:v>850</x:v>
      </x:c>
      <x:c r="I1033" s="12" t="str">
        <x:v>研究生宿舍楼</x:v>
      </x:c>
      <x:c r="J1033" s="12" t="str">
        <x:v>研究生宿舍楼发车</x:v>
      </x:c>
      <x:c r="K1033" s="12" t="str">
        <x:v>HX2_NORMAL</x:v>
      </x:c>
      <x:c r="L1033" s="12" t="n">
        <x:v>8</x:v>
      </x:c>
      <x:c r="M1033" s="12" t="str">
        <x:v>HX2_NORMAL|8</x:v>
      </x:c>
      <x:c r="N1033" s="12" t="str">
        <x:v>5号宿舍楼</x:v>
      </x:c>
      <x:c r="O1033" s="12" t="n">
        <x:f>IFERROR(INDEX('秒级路线参数_可调整'!$O:$O,MATCH(M1033,'秒级路线参数_可调整'!$A:$A,0)),"")</x:f>
        <x:v>480</x:v>
      </x:c>
      <x:c r="P1033" s="12" t="n">
        <x:f>IF(O1033="","",O1033/86400)</x:f>
        <x:v>0.005555555555555556</x:v>
      </x:c>
      <x:c r="Q1033" s="12" t="n">
        <x:f>IF(O1033="","",(H1033*60+O1033)/86400)</x:f>
        <x:v>0.5958333333333333</x:v>
      </x:c>
      <x:c r="R1033" s="12" t="str">
        <x:f>IF(Q1033="","",TEXT(Q1033,"hh:mm:ss"))</x:f>
        <x:v>14:18:00</x:v>
      </x:c>
      <x:c r="S1033" s="12" t="str">
        <x:v>否</x:v>
      </x:c>
      <x:c r="T1033" s="12" t="str">
        <x:v>否</x:v>
      </x:c>
      <x:c r="U1033" s="12" t="str">
        <x:v>未提供</x:v>
      </x:c>
      <x:c r="V1033" s="12" t="str">
        <x:v>未提供</x:v>
      </x:c>
      <x:c r="W1033" s="12" t="str">
        <x:v>秒级预测</x:v>
      </x:c>
      <x:c r="X1033" s="12" t="str">
        <x:v>基于路线秒级参数；如录入实测或手动采用秒，预计到达时间可随公式更新</x:v>
      </x:c>
    </x:row>
    <x:row r="1034">
      <x:c r="A1034" s="12" t="str">
        <x:v>S0086-09</x:v>
      </x:c>
      <x:c r="B1034" s="12" t="str">
        <x:v>S0086</x:v>
      </x:c>
      <x:c r="C1034" s="12" t="str">
        <x:v>工作日</x:v>
      </x:c>
      <x:c r="D1034" s="12" t="str">
        <x:v>环线2路</x:v>
      </x:c>
      <x:c r="E1034" s="12" t="str">
        <x:v>第一班</x:v>
      </x:c>
      <x:c r="F1034" s="12" t="n">
        <x:v>16</x:v>
      </x:c>
      <x:c r="G1034" s="12" t="str">
        <x:v>14:10</x:v>
      </x:c>
      <x:c r="H1034" s="12" t="n">
        <x:v>850</x:v>
      </x:c>
      <x:c r="I1034" s="12" t="str">
        <x:v>研究生宿舍楼</x:v>
      </x:c>
      <x:c r="J1034" s="12" t="str">
        <x:v>研究生宿舍楼发车</x:v>
      </x:c>
      <x:c r="K1034" s="12" t="str">
        <x:v>HX2_NORMAL</x:v>
      </x:c>
      <x:c r="L1034" s="12" t="n">
        <x:v>9</x:v>
      </x:c>
      <x:c r="M1034" s="12" t="str">
        <x:v>HX2_NORMAL|9</x:v>
      </x:c>
      <x:c r="N1034" s="12" t="str">
        <x:v>305教学楼</x:v>
      </x:c>
      <x:c r="O1034" s="12" t="n">
        <x:f>IFERROR(INDEX('秒级路线参数_可调整'!$O:$O,MATCH(M1034,'秒级路线参数_可调整'!$A:$A,0)),"")</x:f>
        <x:v>535</x:v>
      </x:c>
      <x:c r="P1034" s="12" t="n">
        <x:f>IF(O1034="","",O1034/86400)</x:f>
        <x:v>0.00619212962962963</x:v>
      </x:c>
      <x:c r="Q1034" s="12" t="n">
        <x:f>IF(O1034="","",(H1034*60+O1034)/86400)</x:f>
        <x:v>0.5964699074074075</x:v>
      </x:c>
      <x:c r="R1034" s="12" t="str">
        <x:f>IF(Q1034="","",TEXT(Q1034,"hh:mm:ss"))</x:f>
        <x:v>14:18:55</x:v>
      </x:c>
      <x:c r="S1034" s="12" t="str">
        <x:v>否</x:v>
      </x:c>
      <x:c r="T1034" s="12" t="str">
        <x:v>否</x:v>
      </x:c>
      <x:c r="U1034" s="12" t="str">
        <x:v>未提供</x:v>
      </x:c>
      <x:c r="V1034" s="12" t="str">
        <x:v>未提供</x:v>
      </x:c>
      <x:c r="W1034" s="12" t="str">
        <x:v>秒级预测</x:v>
      </x:c>
      <x:c r="X1034" s="12" t="str">
        <x:v>基于路线秒级参数；如录入实测或手动采用秒，预计到达时间可随公式更新</x:v>
      </x:c>
    </x:row>
    <x:row r="1035">
      <x:c r="A1035" s="12" t="str">
        <x:v>S0086-10</x:v>
      </x:c>
      <x:c r="B1035" s="12" t="str">
        <x:v>S0086</x:v>
      </x:c>
      <x:c r="C1035" s="12" t="str">
        <x:v>工作日</x:v>
      </x:c>
      <x:c r="D1035" s="12" t="str">
        <x:v>环线2路</x:v>
      </x:c>
      <x:c r="E1035" s="12" t="str">
        <x:v>第一班</x:v>
      </x:c>
      <x:c r="F1035" s="12" t="n">
        <x:v>16</x:v>
      </x:c>
      <x:c r="G1035" s="12" t="str">
        <x:v>14:10</x:v>
      </x:c>
      <x:c r="H1035" s="12" t="n">
        <x:v>850</x:v>
      </x:c>
      <x:c r="I1035" s="12" t="str">
        <x:v>研究生宿舍楼</x:v>
      </x:c>
      <x:c r="J1035" s="12" t="str">
        <x:v>研究生宿舍楼发车</x:v>
      </x:c>
      <x:c r="K1035" s="12" t="str">
        <x:v>HX2_NORMAL</x:v>
      </x:c>
      <x:c r="L1035" s="12" t="n">
        <x:v>10</x:v>
      </x:c>
      <x:c r="M1035" s="12" t="str">
        <x:v>HX2_NORMAL|10</x:v>
      </x:c>
      <x:c r="N1035" s="12" t="str">
        <x:v>研究生宿舍楼</x:v>
      </x:c>
      <x:c r="O1035" s="12" t="n">
        <x:f>IFERROR(INDEX('秒级路线参数_可调整'!$O:$O,MATCH(M1035,'秒级路线参数_可调整'!$A:$A,0)),"")</x:f>
        <x:v>715</x:v>
      </x:c>
      <x:c r="P1035" s="12" t="n">
        <x:f>IF(O1035="","",O1035/86400)</x:f>
        <x:v>0.008275462962962964</x:v>
      </x:c>
      <x:c r="Q1035" s="12" t="n">
        <x:f>IF(O1035="","",(H1035*60+O1035)/86400)</x:f>
        <x:v>0.5985532407407408</x:v>
      </x:c>
      <x:c r="R1035" s="12" t="str">
        <x:f>IF(Q1035="","",TEXT(Q1035,"hh:mm:ss"))</x:f>
        <x:v>14:21:55</x:v>
      </x:c>
      <x:c r="S1035" s="12" t="str">
        <x:v>否</x:v>
      </x:c>
      <x:c r="T1035" s="12" t="str">
        <x:v>是</x:v>
      </x:c>
      <x:c r="U1035" s="12" t="str">
        <x:v>未提供</x:v>
      </x:c>
      <x:c r="V1035" s="12" t="str">
        <x:v>未提供</x:v>
      </x:c>
      <x:c r="W1035" s="12" t="str">
        <x:v>秒级预测</x:v>
      </x:c>
      <x:c r="X1035" s="12" t="str">
        <x:v>基于路线秒级参数；如录入实测或手动采用秒，预计到达时间可随公式更新</x:v>
      </x:c>
    </x:row>
    <x:row r="1036">
      <x:c r="A1036" s="12" t="str">
        <x:v>S0087-01</x:v>
      </x:c>
      <x:c r="B1036" s="12" t="str">
        <x:v>S0087</x:v>
      </x:c>
      <x:c r="C1036" s="12" t="str">
        <x:v>工作日</x:v>
      </x:c>
      <x:c r="D1036" s="12" t="str">
        <x:v>环线2路</x:v>
      </x:c>
      <x:c r="E1036" s="12" t="str">
        <x:v>第一班</x:v>
      </x:c>
      <x:c r="F1036" s="12" t="n">
        <x:v>17</x:v>
      </x:c>
      <x:c r="G1036" s="12" t="str">
        <x:v>16:20</x:v>
      </x:c>
      <x:c r="H1036" s="12" t="n">
        <x:v>980</x:v>
      </x:c>
      <x:c r="I1036" s="12" t="str">
        <x:v>研究生宿舍楼</x:v>
      </x:c>
      <x:c r="J1036" s="12" t="str">
        <x:v>研究生宿舍楼发车</x:v>
      </x:c>
      <x:c r="K1036" s="12" t="str">
        <x:v>HX2_NORMAL</x:v>
      </x:c>
      <x:c r="L1036" s="12" t="n">
        <x:v>1</x:v>
      </x:c>
      <x:c r="M1036" s="12" t="str">
        <x:v>HX2_NORMAL|1</x:v>
      </x:c>
      <x:c r="N1036" s="12" t="str">
        <x:v>研究生宿舍楼</x:v>
      </x:c>
      <x:c r="O1036" s="12" t="n">
        <x:f>IFERROR(INDEX('秒级路线参数_可调整'!$O:$O,MATCH(M1036,'秒级路线参数_可调整'!$A:$A,0)),"")</x:f>
        <x:v>0</x:v>
      </x:c>
      <x:c r="P1036" s="12" t="str">
        <x:f>IF(O1036="","",O1036/86400)</x:f>
      </x:c>
      <x:c r="Q1036" s="12" t="str">
        <x:f>IF(O1036="","",(H1036*60+O1036)/86400)</x:f>
      </x:c>
      <x:c r="R1036" s="12" t="str">
        <x:f>IF(Q1036="","",TEXT(Q1036,"hh:mm:ss"))</x:f>
      </x:c>
      <x:c r="S1036" s="12" t="str">
        <x:v>是</x:v>
      </x:c>
      <x:c r="T1036" s="12" t="str">
        <x:v>否</x:v>
      </x:c>
      <x:c r="U1036" s="12" t="str">
        <x:v>未提供</x:v>
      </x:c>
      <x:c r="V1036" s="12" t="str">
        <x:v>未提供</x:v>
      </x:c>
      <x:c r="W1036" s="12" t="str">
        <x:v>秒级预测</x:v>
      </x:c>
      <x:c r="X1036" s="12" t="str">
        <x:v>基于路线秒级参数；如录入实测或手动采用秒，预计到达时间可随公式更新</x:v>
      </x:c>
    </x:row>
    <x:row r="1037">
      <x:c r="A1037" s="12" t="str">
        <x:v>S0087-02</x:v>
      </x:c>
      <x:c r="B1037" s="12" t="str">
        <x:v>S0087</x:v>
      </x:c>
      <x:c r="C1037" s="12" t="str">
        <x:v>工作日</x:v>
      </x:c>
      <x:c r="D1037" s="12" t="str">
        <x:v>环线2路</x:v>
      </x:c>
      <x:c r="E1037" s="12" t="str">
        <x:v>第一班</x:v>
      </x:c>
      <x:c r="F1037" s="12" t="n">
        <x:v>17</x:v>
      </x:c>
      <x:c r="G1037" s="12" t="str">
        <x:v>16:20</x:v>
      </x:c>
      <x:c r="H1037" s="12" t="n">
        <x:v>980</x:v>
      </x:c>
      <x:c r="I1037" s="12" t="str">
        <x:v>研究生宿舍楼</x:v>
      </x:c>
      <x:c r="J1037" s="12" t="str">
        <x:v>研究生宿舍楼发车</x:v>
      </x:c>
      <x:c r="K1037" s="12" t="str">
        <x:v>HX2_NORMAL</x:v>
      </x:c>
      <x:c r="L1037" s="12" t="n">
        <x:v>2</x:v>
      </x:c>
      <x:c r="M1037" s="12" t="str">
        <x:v>HX2_NORMAL|2</x:v>
      </x:c>
      <x:c r="N1037" s="12" t="str">
        <x:v>一食堂</x:v>
      </x:c>
      <x:c r="O1037" s="12" t="n">
        <x:f>IFERROR(INDEX('秒级路线参数_可调整'!$O:$O,MATCH(M1037,'秒级路线参数_可调整'!$A:$A,0)),"")</x:f>
        <x:v>65</x:v>
      </x:c>
      <x:c r="P1037" s="12" t="n">
        <x:f>IF(O1037="","",O1037/86400)</x:f>
        <x:v>0.0007523148148148148</x:v>
      </x:c>
      <x:c r="Q1037" s="12" t="n">
        <x:f>IF(O1037="","",(H1037*60+O1037)/86400)</x:f>
        <x:v>0.6813078703703703</x:v>
      </x:c>
      <x:c r="R1037" s="12" t="str">
        <x:f>IF(Q1037="","",TEXT(Q1037,"hh:mm:ss"))</x:f>
        <x:v>16:21:05</x:v>
      </x:c>
      <x:c r="S1037" s="12" t="str">
        <x:v>否</x:v>
      </x:c>
      <x:c r="T1037" s="12" t="str">
        <x:v>否</x:v>
      </x:c>
      <x:c r="U1037" s="12" t="str">
        <x:v>未提供</x:v>
      </x:c>
      <x:c r="V1037" s="12" t="str">
        <x:v>未提供</x:v>
      </x:c>
      <x:c r="W1037" s="12" t="str">
        <x:v>秒级预测</x:v>
      </x:c>
      <x:c r="X1037" s="12" t="str">
        <x:v>基于路线秒级参数；如录入实测或手动采用秒，预计到达时间可随公式更新</x:v>
      </x:c>
    </x:row>
    <x:row r="1038">
      <x:c r="A1038" s="12" t="str">
        <x:v>S0087-03</x:v>
      </x:c>
      <x:c r="B1038" s="12" t="str">
        <x:v>S0087</x:v>
      </x:c>
      <x:c r="C1038" s="12" t="str">
        <x:v>工作日</x:v>
      </x:c>
      <x:c r="D1038" s="12" t="str">
        <x:v>环线2路</x:v>
      </x:c>
      <x:c r="E1038" s="12" t="str">
        <x:v>第一班</x:v>
      </x:c>
      <x:c r="F1038" s="12" t="n">
        <x:v>17</x:v>
      </x:c>
      <x:c r="G1038" s="12" t="str">
        <x:v>16:20</x:v>
      </x:c>
      <x:c r="H1038" s="12" t="n">
        <x:v>980</x:v>
      </x:c>
      <x:c r="I1038" s="12" t="str">
        <x:v>研究生宿舍楼</x:v>
      </x:c>
      <x:c r="J1038" s="12" t="str">
        <x:v>研究生宿舍楼发车</x:v>
      </x:c>
      <x:c r="K1038" s="12" t="str">
        <x:v>HX2_NORMAL</x:v>
      </x:c>
      <x:c r="L1038" s="12" t="n">
        <x:v>3</x:v>
      </x:c>
      <x:c r="M1038" s="12" t="str">
        <x:v>HX2_NORMAL|3</x:v>
      </x:c>
      <x:c r="N1038" s="12" t="str">
        <x:v>门诊部</x:v>
      </x:c>
      <x:c r="O1038" s="12" t="n">
        <x:f>IFERROR(INDEX('秒级路线参数_可调整'!$O:$O,MATCH(M1038,'秒级路线参数_可调整'!$A:$A,0)),"")</x:f>
        <x:v>120</x:v>
      </x:c>
      <x:c r="P1038" s="12" t="n">
        <x:f>IF(O1038="","",O1038/86400)</x:f>
        <x:v>0.001388888888888889</x:v>
      </x:c>
      <x:c r="Q1038" s="12" t="n">
        <x:f>IF(O1038="","",(H1038*60+O1038)/86400)</x:f>
        <x:v>0.6819444444444445</x:v>
      </x:c>
      <x:c r="R1038" s="12" t="str">
        <x:f>IF(Q1038="","",TEXT(Q1038,"hh:mm:ss"))</x:f>
        <x:v>16:22:00</x:v>
      </x:c>
      <x:c r="S1038" s="12" t="str">
        <x:v>否</x:v>
      </x:c>
      <x:c r="T1038" s="12" t="str">
        <x:v>否</x:v>
      </x:c>
      <x:c r="U1038" s="12" t="str">
        <x:v>未提供</x:v>
      </x:c>
      <x:c r="V1038" s="12" t="str">
        <x:v>未提供</x:v>
      </x:c>
      <x:c r="W1038" s="12" t="str">
        <x:v>秒级预测</x:v>
      </x:c>
      <x:c r="X1038" s="12" t="str">
        <x:v>基于路线秒级参数；如录入实测或手动采用秒，预计到达时间可随公式更新</x:v>
      </x:c>
    </x:row>
    <x:row r="1039">
      <x:c r="A1039" s="12" t="str">
        <x:v>S0087-04</x:v>
      </x:c>
      <x:c r="B1039" s="12" t="str">
        <x:v>S0087</x:v>
      </x:c>
      <x:c r="C1039" s="12" t="str">
        <x:v>工作日</x:v>
      </x:c>
      <x:c r="D1039" s="12" t="str">
        <x:v>环线2路</x:v>
      </x:c>
      <x:c r="E1039" s="12" t="str">
        <x:v>第一班</x:v>
      </x:c>
      <x:c r="F1039" s="12" t="n">
        <x:v>17</x:v>
      </x:c>
      <x:c r="G1039" s="12" t="str">
        <x:v>16:20</x:v>
      </x:c>
      <x:c r="H1039" s="12" t="n">
        <x:v>980</x:v>
      </x:c>
      <x:c r="I1039" s="12" t="str">
        <x:v>研究生宿舍楼</x:v>
      </x:c>
      <x:c r="J1039" s="12" t="str">
        <x:v>研究生宿舍楼发车</x:v>
      </x:c>
      <x:c r="K1039" s="12" t="str">
        <x:v>HX2_NORMAL</x:v>
      </x:c>
      <x:c r="L1039" s="12" t="n">
        <x:v>4</x:v>
      </x:c>
      <x:c r="M1039" s="12" t="str">
        <x:v>HX2_NORMAL|4</x:v>
      </x:c>
      <x:c r="N1039" s="12" t="str">
        <x:v>1号宿舍楼</x:v>
      </x:c>
      <x:c r="O1039" s="12" t="n">
        <x:f>IFERROR(INDEX('秒级路线参数_可调整'!$O:$O,MATCH(M1039,'秒级路线参数_可调整'!$A:$A,0)),"")</x:f>
        <x:v>165</x:v>
      </x:c>
      <x:c r="P1039" s="12" t="n">
        <x:f>IF(O1039="","",O1039/86400)</x:f>
        <x:v>0.0019097222222222222</x:v>
      </x:c>
      <x:c r="Q1039" s="12" t="n">
        <x:f>IF(O1039="","",(H1039*60+O1039)/86400)</x:f>
        <x:v>0.6824652777777778</x:v>
      </x:c>
      <x:c r="R1039" s="12" t="str">
        <x:f>IF(Q1039="","",TEXT(Q1039,"hh:mm:ss"))</x:f>
        <x:v>16:22:45</x:v>
      </x:c>
      <x:c r="S1039" s="12" t="str">
        <x:v>否</x:v>
      </x:c>
      <x:c r="T1039" s="12" t="str">
        <x:v>否</x:v>
      </x:c>
      <x:c r="U1039" s="12" t="str">
        <x:v>未提供</x:v>
      </x:c>
      <x:c r="V1039" s="12" t="str">
        <x:v>未提供</x:v>
      </x:c>
      <x:c r="W1039" s="12" t="str">
        <x:v>秒级预测</x:v>
      </x:c>
      <x:c r="X1039" s="12" t="str">
        <x:v>基于路线秒级参数；如录入实测或手动采用秒，预计到达时间可随公式更新</x:v>
      </x:c>
    </x:row>
    <x:row r="1040">
      <x:c r="A1040" s="12" t="str">
        <x:v>S0087-05</x:v>
      </x:c>
      <x:c r="B1040" s="12" t="str">
        <x:v>S0087</x:v>
      </x:c>
      <x:c r="C1040" s="12" t="str">
        <x:v>工作日</x:v>
      </x:c>
      <x:c r="D1040" s="12" t="str">
        <x:v>环线2路</x:v>
      </x:c>
      <x:c r="E1040" s="12" t="str">
        <x:v>第一班</x:v>
      </x:c>
      <x:c r="F1040" s="12" t="n">
        <x:v>17</x:v>
      </x:c>
      <x:c r="G1040" s="12" t="str">
        <x:v>16:20</x:v>
      </x:c>
      <x:c r="H1040" s="12" t="n">
        <x:v>980</x:v>
      </x:c>
      <x:c r="I1040" s="12" t="str">
        <x:v>研究生宿舍楼</x:v>
      </x:c>
      <x:c r="J1040" s="12" t="str">
        <x:v>研究生宿舍楼发车</x:v>
      </x:c>
      <x:c r="K1040" s="12" t="str">
        <x:v>HX2_NORMAL</x:v>
      </x:c>
      <x:c r="L1040" s="12" t="n">
        <x:v>5</x:v>
      </x:c>
      <x:c r="M1040" s="12" t="str">
        <x:v>HX2_NORMAL|5</x:v>
      </x:c>
      <x:c r="N1040" s="12" t="str">
        <x:v>水上训练中心</x:v>
      </x:c>
      <x:c r="O1040" s="12" t="n">
        <x:f>IFERROR(INDEX('秒级路线参数_可调整'!$O:$O,MATCH(M1040,'秒级路线参数_可调整'!$A:$A,0)),"")</x:f>
        <x:v>250</x:v>
      </x:c>
      <x:c r="P1040" s="12" t="n">
        <x:f>IF(O1040="","",O1040/86400)</x:f>
        <x:v>0.0028935185185185184</x:v>
      </x:c>
      <x:c r="Q1040" s="12" t="n">
        <x:f>IF(O1040="","",(H1040*60+O1040)/86400)</x:f>
        <x:v>0.6834490740740741</x:v>
      </x:c>
      <x:c r="R1040" s="12" t="str">
        <x:f>IF(Q1040="","",TEXT(Q1040,"hh:mm:ss"))</x:f>
        <x:v>16:24:10</x:v>
      </x:c>
      <x:c r="S1040" s="12" t="str">
        <x:v>否</x:v>
      </x:c>
      <x:c r="T1040" s="12" t="str">
        <x:v>否</x:v>
      </x:c>
      <x:c r="U1040" s="12" t="str">
        <x:v>未提供</x:v>
      </x:c>
      <x:c r="V1040" s="12" t="str">
        <x:v>未提供</x:v>
      </x:c>
      <x:c r="W1040" s="12" t="str">
        <x:v>秒级预测</x:v>
      </x:c>
      <x:c r="X1040" s="12" t="str">
        <x:v>基于路线秒级参数；如录入实测或手动采用秒，预计到达时间可随公式更新</x:v>
      </x:c>
    </x:row>
    <x:row r="1041">
      <x:c r="A1041" s="12" t="str">
        <x:v>S0087-06</x:v>
      </x:c>
      <x:c r="B1041" s="12" t="str">
        <x:v>S0087</x:v>
      </x:c>
      <x:c r="C1041" s="12" t="str">
        <x:v>工作日</x:v>
      </x:c>
      <x:c r="D1041" s="12" t="str">
        <x:v>环线2路</x:v>
      </x:c>
      <x:c r="E1041" s="12" t="str">
        <x:v>第一班</x:v>
      </x:c>
      <x:c r="F1041" s="12" t="n">
        <x:v>17</x:v>
      </x:c>
      <x:c r="G1041" s="12" t="str">
        <x:v>16:20</x:v>
      </x:c>
      <x:c r="H1041" s="12" t="n">
        <x:v>980</x:v>
      </x:c>
      <x:c r="I1041" s="12" t="str">
        <x:v>研究生宿舍楼</x:v>
      </x:c>
      <x:c r="J1041" s="12" t="str">
        <x:v>研究生宿舍楼发车</x:v>
      </x:c>
      <x:c r="K1041" s="12" t="str">
        <x:v>HX2_NORMAL</x:v>
      </x:c>
      <x:c r="L1041" s="12" t="n">
        <x:v>6</x:v>
      </x:c>
      <x:c r="M1041" s="12" t="str">
        <x:v>HX2_NORMAL|6</x:v>
      </x:c>
      <x:c r="N1041" s="12" t="str">
        <x:v>军体活动中心</x:v>
      </x:c>
      <x:c r="O1041" s="12" t="n">
        <x:f>IFERROR(INDEX('秒级路线参数_可调整'!$O:$O,MATCH(M1041,'秒级路线参数_可调整'!$A:$A,0)),"")</x:f>
        <x:v>315</x:v>
      </x:c>
      <x:c r="P1041" s="12" t="n">
        <x:f>IF(O1041="","",O1041/86400)</x:f>
        <x:v>0.0036458333333333334</x:v>
      </x:c>
      <x:c r="Q1041" s="12" t="n">
        <x:f>IF(O1041="","",(H1041*60+O1041)/86400)</x:f>
        <x:v>0.6842013888888889</x:v>
      </x:c>
      <x:c r="R1041" s="12" t="str">
        <x:f>IF(Q1041="","",TEXT(Q1041,"hh:mm:ss"))</x:f>
        <x:v>16:25:15</x:v>
      </x:c>
      <x:c r="S1041" s="12" t="str">
        <x:v>否</x:v>
      </x:c>
      <x:c r="T1041" s="12" t="str">
        <x:v>否</x:v>
      </x:c>
      <x:c r="U1041" s="12" t="str">
        <x:v>未提供</x:v>
      </x:c>
      <x:c r="V1041" s="12" t="str">
        <x:v>未提供</x:v>
      </x:c>
      <x:c r="W1041" s="12" t="str">
        <x:v>秒级预测</x:v>
      </x:c>
      <x:c r="X1041" s="12" t="str">
        <x:v>基于路线秒级参数；如录入实测或手动采用秒，预计到达时间可随公式更新</x:v>
      </x:c>
    </x:row>
    <x:row r="1042">
      <x:c r="A1042" s="12" t="str">
        <x:v>S0087-07</x:v>
      </x:c>
      <x:c r="B1042" s="12" t="str">
        <x:v>S0087</x:v>
      </x:c>
      <x:c r="C1042" s="12" t="str">
        <x:v>工作日</x:v>
      </x:c>
      <x:c r="D1042" s="12" t="str">
        <x:v>环线2路</x:v>
      </x:c>
      <x:c r="E1042" s="12" t="str">
        <x:v>第一班</x:v>
      </x:c>
      <x:c r="F1042" s="12" t="n">
        <x:v>17</x:v>
      </x:c>
      <x:c r="G1042" s="12" t="str">
        <x:v>16:20</x:v>
      </x:c>
      <x:c r="H1042" s="12" t="n">
        <x:v>980</x:v>
      </x:c>
      <x:c r="I1042" s="12" t="str">
        <x:v>研究生宿舍楼</x:v>
      </x:c>
      <x:c r="J1042" s="12" t="str">
        <x:v>研究生宿舍楼发车</x:v>
      </x:c>
      <x:c r="K1042" s="12" t="str">
        <x:v>HX2_NORMAL</x:v>
      </x:c>
      <x:c r="L1042" s="12" t="n">
        <x:v>7</x:v>
      </x:c>
      <x:c r="M1042" s="12" t="str">
        <x:v>HX2_NORMAL|7</x:v>
      </x:c>
      <x:c r="N1042" s="12" t="str">
        <x:v>二食堂</x:v>
      </x:c>
      <x:c r="O1042" s="12" t="n">
        <x:f>IFERROR(INDEX('秒级路线参数_可调整'!$O:$O,MATCH(M1042,'秒级路线参数_可调整'!$A:$A,0)),"")</x:f>
        <x:v>420</x:v>
      </x:c>
      <x:c r="P1042" s="12" t="n">
        <x:f>IF(O1042="","",O1042/86400)</x:f>
        <x:v>0.004861111111111111</x:v>
      </x:c>
      <x:c r="Q1042" s="12" t="n">
        <x:f>IF(O1042="","",(H1042*60+O1042)/86400)</x:f>
        <x:v>0.6854166666666667</x:v>
      </x:c>
      <x:c r="R1042" s="12" t="str">
        <x:f>IF(Q1042="","",TEXT(Q1042,"hh:mm:ss"))</x:f>
        <x:v>16:27:00</x:v>
      </x:c>
      <x:c r="S1042" s="12" t="str">
        <x:v>否</x:v>
      </x:c>
      <x:c r="T1042" s="12" t="str">
        <x:v>否</x:v>
      </x:c>
      <x:c r="U1042" s="12" t="str">
        <x:v>未提供</x:v>
      </x:c>
      <x:c r="V1042" s="12" t="str">
        <x:v>未提供</x:v>
      </x:c>
      <x:c r="W1042" s="12" t="str">
        <x:v>秒级预测</x:v>
      </x:c>
      <x:c r="X1042" s="12" t="str">
        <x:v>基于路线秒级参数；如录入实测或手动采用秒，预计到达时间可随公式更新</x:v>
      </x:c>
    </x:row>
    <x:row r="1043">
      <x:c r="A1043" s="12" t="str">
        <x:v>S0087-08</x:v>
      </x:c>
      <x:c r="B1043" s="12" t="str">
        <x:v>S0087</x:v>
      </x:c>
      <x:c r="C1043" s="12" t="str">
        <x:v>工作日</x:v>
      </x:c>
      <x:c r="D1043" s="12" t="str">
        <x:v>环线2路</x:v>
      </x:c>
      <x:c r="E1043" s="12" t="str">
        <x:v>第一班</x:v>
      </x:c>
      <x:c r="F1043" s="12" t="n">
        <x:v>17</x:v>
      </x:c>
      <x:c r="G1043" s="12" t="str">
        <x:v>16:20</x:v>
      </x:c>
      <x:c r="H1043" s="12" t="n">
        <x:v>980</x:v>
      </x:c>
      <x:c r="I1043" s="12" t="str">
        <x:v>研究生宿舍楼</x:v>
      </x:c>
      <x:c r="J1043" s="12" t="str">
        <x:v>研究生宿舍楼发车</x:v>
      </x:c>
      <x:c r="K1043" s="12" t="str">
        <x:v>HX2_NORMAL</x:v>
      </x:c>
      <x:c r="L1043" s="12" t="n">
        <x:v>8</x:v>
      </x:c>
      <x:c r="M1043" s="12" t="str">
        <x:v>HX2_NORMAL|8</x:v>
      </x:c>
      <x:c r="N1043" s="12" t="str">
        <x:v>5号宿舍楼</x:v>
      </x:c>
      <x:c r="O1043" s="12" t="n">
        <x:f>IFERROR(INDEX('秒级路线参数_可调整'!$O:$O,MATCH(M1043,'秒级路线参数_可调整'!$A:$A,0)),"")</x:f>
        <x:v>480</x:v>
      </x:c>
      <x:c r="P1043" s="12" t="n">
        <x:f>IF(O1043="","",O1043/86400)</x:f>
        <x:v>0.005555555555555556</x:v>
      </x:c>
      <x:c r="Q1043" s="12" t="n">
        <x:f>IF(O1043="","",(H1043*60+O1043)/86400)</x:f>
        <x:v>0.6861111111111111</x:v>
      </x:c>
      <x:c r="R1043" s="12" t="str">
        <x:f>IF(Q1043="","",TEXT(Q1043,"hh:mm:ss"))</x:f>
        <x:v>16:28:00</x:v>
      </x:c>
      <x:c r="S1043" s="12" t="str">
        <x:v>否</x:v>
      </x:c>
      <x:c r="T1043" s="12" t="str">
        <x:v>否</x:v>
      </x:c>
      <x:c r="U1043" s="12" t="str">
        <x:v>未提供</x:v>
      </x:c>
      <x:c r="V1043" s="12" t="str">
        <x:v>未提供</x:v>
      </x:c>
      <x:c r="W1043" s="12" t="str">
        <x:v>秒级预测</x:v>
      </x:c>
      <x:c r="X1043" s="12" t="str">
        <x:v>基于路线秒级参数；如录入实测或手动采用秒，预计到达时间可随公式更新</x:v>
      </x:c>
    </x:row>
    <x:row r="1044">
      <x:c r="A1044" s="12" t="str">
        <x:v>S0087-09</x:v>
      </x:c>
      <x:c r="B1044" s="12" t="str">
        <x:v>S0087</x:v>
      </x:c>
      <x:c r="C1044" s="12" t="str">
        <x:v>工作日</x:v>
      </x:c>
      <x:c r="D1044" s="12" t="str">
        <x:v>环线2路</x:v>
      </x:c>
      <x:c r="E1044" s="12" t="str">
        <x:v>第一班</x:v>
      </x:c>
      <x:c r="F1044" s="12" t="n">
        <x:v>17</x:v>
      </x:c>
      <x:c r="G1044" s="12" t="str">
        <x:v>16:20</x:v>
      </x:c>
      <x:c r="H1044" s="12" t="n">
        <x:v>980</x:v>
      </x:c>
      <x:c r="I1044" s="12" t="str">
        <x:v>研究生宿舍楼</x:v>
      </x:c>
      <x:c r="J1044" s="12" t="str">
        <x:v>研究生宿舍楼发车</x:v>
      </x:c>
      <x:c r="K1044" s="12" t="str">
        <x:v>HX2_NORMAL</x:v>
      </x:c>
      <x:c r="L1044" s="12" t="n">
        <x:v>9</x:v>
      </x:c>
      <x:c r="M1044" s="12" t="str">
        <x:v>HX2_NORMAL|9</x:v>
      </x:c>
      <x:c r="N1044" s="12" t="str">
        <x:v>305教学楼</x:v>
      </x:c>
      <x:c r="O1044" s="12" t="n">
        <x:f>IFERROR(INDEX('秒级路线参数_可调整'!$O:$O,MATCH(M1044,'秒级路线参数_可调整'!$A:$A,0)),"")</x:f>
        <x:v>535</x:v>
      </x:c>
      <x:c r="P1044" s="12" t="n">
        <x:f>IF(O1044="","",O1044/86400)</x:f>
        <x:v>0.00619212962962963</x:v>
      </x:c>
      <x:c r="Q1044" s="12" t="n">
        <x:f>IF(O1044="","",(H1044*60+O1044)/86400)</x:f>
        <x:v>0.6867476851851851</x:v>
      </x:c>
      <x:c r="R1044" s="12" t="str">
        <x:f>IF(Q1044="","",TEXT(Q1044,"hh:mm:ss"))</x:f>
        <x:v>16:28:55</x:v>
      </x:c>
      <x:c r="S1044" s="12" t="str">
        <x:v>否</x:v>
      </x:c>
      <x:c r="T1044" s="12" t="str">
        <x:v>否</x:v>
      </x:c>
      <x:c r="U1044" s="12" t="str">
        <x:v>未提供</x:v>
      </x:c>
      <x:c r="V1044" s="12" t="str">
        <x:v>未提供</x:v>
      </x:c>
      <x:c r="W1044" s="12" t="str">
        <x:v>秒级预测</x:v>
      </x:c>
      <x:c r="X1044" s="12" t="str">
        <x:v>基于路线秒级参数；如录入实测或手动采用秒，预计到达时间可随公式更新</x:v>
      </x:c>
    </x:row>
    <x:row r="1045">
      <x:c r="A1045" s="12" t="str">
        <x:v>S0087-10</x:v>
      </x:c>
      <x:c r="B1045" s="12" t="str">
        <x:v>S0087</x:v>
      </x:c>
      <x:c r="C1045" s="12" t="str">
        <x:v>工作日</x:v>
      </x:c>
      <x:c r="D1045" s="12" t="str">
        <x:v>环线2路</x:v>
      </x:c>
      <x:c r="E1045" s="12" t="str">
        <x:v>第一班</x:v>
      </x:c>
      <x:c r="F1045" s="12" t="n">
        <x:v>17</x:v>
      </x:c>
      <x:c r="G1045" s="12" t="str">
        <x:v>16:20</x:v>
      </x:c>
      <x:c r="H1045" s="12" t="n">
        <x:v>980</x:v>
      </x:c>
      <x:c r="I1045" s="12" t="str">
        <x:v>研究生宿舍楼</x:v>
      </x:c>
      <x:c r="J1045" s="12" t="str">
        <x:v>研究生宿舍楼发车</x:v>
      </x:c>
      <x:c r="K1045" s="12" t="str">
        <x:v>HX2_NORMAL</x:v>
      </x:c>
      <x:c r="L1045" s="12" t="n">
        <x:v>10</x:v>
      </x:c>
      <x:c r="M1045" s="12" t="str">
        <x:v>HX2_NORMAL|10</x:v>
      </x:c>
      <x:c r="N1045" s="12" t="str">
        <x:v>研究生宿舍楼</x:v>
      </x:c>
      <x:c r="O1045" s="12" t="n">
        <x:f>IFERROR(INDEX('秒级路线参数_可调整'!$O:$O,MATCH(M1045,'秒级路线参数_可调整'!$A:$A,0)),"")</x:f>
        <x:v>715</x:v>
      </x:c>
      <x:c r="P1045" s="12" t="n">
        <x:f>IF(O1045="","",O1045/86400)</x:f>
        <x:v>0.008275462962962964</x:v>
      </x:c>
      <x:c r="Q1045" s="12" t="n">
        <x:f>IF(O1045="","",(H1045*60+O1045)/86400)</x:f>
        <x:v>0.6888310185185185</x:v>
      </x:c>
      <x:c r="R1045" s="12" t="str">
        <x:f>IF(Q1045="","",TEXT(Q1045,"hh:mm:ss"))</x:f>
        <x:v>16:31:55</x:v>
      </x:c>
      <x:c r="S1045" s="12" t="str">
        <x:v>否</x:v>
      </x:c>
      <x:c r="T1045" s="12" t="str">
        <x:v>是</x:v>
      </x:c>
      <x:c r="U1045" s="12" t="str">
        <x:v>未提供</x:v>
      </x:c>
      <x:c r="V1045" s="12" t="str">
        <x:v>未提供</x:v>
      </x:c>
      <x:c r="W1045" s="12" t="str">
        <x:v>秒级预测</x:v>
      </x:c>
      <x:c r="X1045" s="12" t="str">
        <x:v>基于路线秒级参数；如录入实测或手动采用秒，预计到达时间可随公式更新</x:v>
      </x:c>
    </x:row>
    <x:row r="1046">
      <x:c r="A1046" s="12" t="str">
        <x:v>S0088-01</x:v>
      </x:c>
      <x:c r="B1046" s="12" t="str">
        <x:v>S0088</x:v>
      </x:c>
      <x:c r="C1046" s="12" t="str">
        <x:v>工作日</x:v>
      </x:c>
      <x:c r="D1046" s="12" t="str">
        <x:v>环线2路</x:v>
      </x:c>
      <x:c r="E1046" s="12" t="str">
        <x:v>第一班</x:v>
      </x:c>
      <x:c r="F1046" s="12" t="n">
        <x:v>18</x:v>
      </x:c>
      <x:c r="G1046" s="12" t="str">
        <x:v>16:50</x:v>
      </x:c>
      <x:c r="H1046" s="12" t="n">
        <x:v>1010</x:v>
      </x:c>
      <x:c r="I1046" s="12" t="str">
        <x:v>研究生宿舍楼</x:v>
      </x:c>
      <x:c r="J1046" s="12" t="str">
        <x:v>研究生宿舍楼发车</x:v>
      </x:c>
      <x:c r="K1046" s="12" t="str">
        <x:v>HX2_NORMAL</x:v>
      </x:c>
      <x:c r="L1046" s="12" t="n">
        <x:v>1</x:v>
      </x:c>
      <x:c r="M1046" s="12" t="str">
        <x:v>HX2_NORMAL|1</x:v>
      </x:c>
      <x:c r="N1046" s="12" t="str">
        <x:v>研究生宿舍楼</x:v>
      </x:c>
      <x:c r="O1046" s="12" t="n">
        <x:f>IFERROR(INDEX('秒级路线参数_可调整'!$O:$O,MATCH(M1046,'秒级路线参数_可调整'!$A:$A,0)),"")</x:f>
        <x:v>0</x:v>
      </x:c>
      <x:c r="P1046" s="12" t="str">
        <x:f>IF(O1046="","",O1046/86400)</x:f>
      </x:c>
      <x:c r="Q1046" s="12" t="str">
        <x:f>IF(O1046="","",(H1046*60+O1046)/86400)</x:f>
      </x:c>
      <x:c r="R1046" s="12" t="str">
        <x:f>IF(Q1046="","",TEXT(Q1046,"hh:mm:ss"))</x:f>
      </x:c>
      <x:c r="S1046" s="12" t="str">
        <x:v>是</x:v>
      </x:c>
      <x:c r="T1046" s="12" t="str">
        <x:v>否</x:v>
      </x:c>
      <x:c r="U1046" s="12" t="str">
        <x:v>未提供</x:v>
      </x:c>
      <x:c r="V1046" s="12" t="str">
        <x:v>未提供</x:v>
      </x:c>
      <x:c r="W1046" s="12" t="str">
        <x:v>秒级预测</x:v>
      </x:c>
      <x:c r="X1046" s="12" t="str">
        <x:v>基于路线秒级参数；如录入实测或手动采用秒，预计到达时间可随公式更新</x:v>
      </x:c>
    </x:row>
    <x:row r="1047">
      <x:c r="A1047" s="12" t="str">
        <x:v>S0088-02</x:v>
      </x:c>
      <x:c r="B1047" s="12" t="str">
        <x:v>S0088</x:v>
      </x:c>
      <x:c r="C1047" s="12" t="str">
        <x:v>工作日</x:v>
      </x:c>
      <x:c r="D1047" s="12" t="str">
        <x:v>环线2路</x:v>
      </x:c>
      <x:c r="E1047" s="12" t="str">
        <x:v>第一班</x:v>
      </x:c>
      <x:c r="F1047" s="12" t="n">
        <x:v>18</x:v>
      </x:c>
      <x:c r="G1047" s="12" t="str">
        <x:v>16:50</x:v>
      </x:c>
      <x:c r="H1047" s="12" t="n">
        <x:v>1010</x:v>
      </x:c>
      <x:c r="I1047" s="12" t="str">
        <x:v>研究生宿舍楼</x:v>
      </x:c>
      <x:c r="J1047" s="12" t="str">
        <x:v>研究生宿舍楼发车</x:v>
      </x:c>
      <x:c r="K1047" s="12" t="str">
        <x:v>HX2_NORMAL</x:v>
      </x:c>
      <x:c r="L1047" s="12" t="n">
        <x:v>2</x:v>
      </x:c>
      <x:c r="M1047" s="12" t="str">
        <x:v>HX2_NORMAL|2</x:v>
      </x:c>
      <x:c r="N1047" s="12" t="str">
        <x:v>一食堂</x:v>
      </x:c>
      <x:c r="O1047" s="12" t="n">
        <x:f>IFERROR(INDEX('秒级路线参数_可调整'!$O:$O,MATCH(M1047,'秒级路线参数_可调整'!$A:$A,0)),"")</x:f>
        <x:v>65</x:v>
      </x:c>
      <x:c r="P1047" s="12" t="n">
        <x:f>IF(O1047="","",O1047/86400)</x:f>
        <x:v>0.0007523148148148148</x:v>
      </x:c>
      <x:c r="Q1047" s="12" t="n">
        <x:f>IF(O1047="","",(H1047*60+O1047)/86400)</x:f>
        <x:v>0.7021412037037037</x:v>
      </x:c>
      <x:c r="R1047" s="12" t="str">
        <x:f>IF(Q1047="","",TEXT(Q1047,"hh:mm:ss"))</x:f>
        <x:v>16:51:05</x:v>
      </x:c>
      <x:c r="S1047" s="12" t="str">
        <x:v>否</x:v>
      </x:c>
      <x:c r="T1047" s="12" t="str">
        <x:v>否</x:v>
      </x:c>
      <x:c r="U1047" s="12" t="str">
        <x:v>未提供</x:v>
      </x:c>
      <x:c r="V1047" s="12" t="str">
        <x:v>未提供</x:v>
      </x:c>
      <x:c r="W1047" s="12" t="str">
        <x:v>秒级预测</x:v>
      </x:c>
      <x:c r="X1047" s="12" t="str">
        <x:v>基于路线秒级参数；如录入实测或手动采用秒，预计到达时间可随公式更新</x:v>
      </x:c>
    </x:row>
    <x:row r="1048">
      <x:c r="A1048" s="12" t="str">
        <x:v>S0088-03</x:v>
      </x:c>
      <x:c r="B1048" s="12" t="str">
        <x:v>S0088</x:v>
      </x:c>
      <x:c r="C1048" s="12" t="str">
        <x:v>工作日</x:v>
      </x:c>
      <x:c r="D1048" s="12" t="str">
        <x:v>环线2路</x:v>
      </x:c>
      <x:c r="E1048" s="12" t="str">
        <x:v>第一班</x:v>
      </x:c>
      <x:c r="F1048" s="12" t="n">
        <x:v>18</x:v>
      </x:c>
      <x:c r="G1048" s="12" t="str">
        <x:v>16:50</x:v>
      </x:c>
      <x:c r="H1048" s="12" t="n">
        <x:v>1010</x:v>
      </x:c>
      <x:c r="I1048" s="12" t="str">
        <x:v>研究生宿舍楼</x:v>
      </x:c>
      <x:c r="J1048" s="12" t="str">
        <x:v>研究生宿舍楼发车</x:v>
      </x:c>
      <x:c r="K1048" s="12" t="str">
        <x:v>HX2_NORMAL</x:v>
      </x:c>
      <x:c r="L1048" s="12" t="n">
        <x:v>3</x:v>
      </x:c>
      <x:c r="M1048" s="12" t="str">
        <x:v>HX2_NORMAL|3</x:v>
      </x:c>
      <x:c r="N1048" s="12" t="str">
        <x:v>门诊部</x:v>
      </x:c>
      <x:c r="O1048" s="12" t="n">
        <x:f>IFERROR(INDEX('秒级路线参数_可调整'!$O:$O,MATCH(M1048,'秒级路线参数_可调整'!$A:$A,0)),"")</x:f>
        <x:v>120</x:v>
      </x:c>
      <x:c r="P1048" s="12" t="n">
        <x:f>IF(O1048="","",O1048/86400)</x:f>
        <x:v>0.001388888888888889</x:v>
      </x:c>
      <x:c r="Q1048" s="12" t="n">
        <x:f>IF(O1048="","",(H1048*60+O1048)/86400)</x:f>
        <x:v>0.7027777777777777</x:v>
      </x:c>
      <x:c r="R1048" s="12" t="str">
        <x:f>IF(Q1048="","",TEXT(Q1048,"hh:mm:ss"))</x:f>
        <x:v>16:52:00</x:v>
      </x:c>
      <x:c r="S1048" s="12" t="str">
        <x:v>否</x:v>
      </x:c>
      <x:c r="T1048" s="12" t="str">
        <x:v>否</x:v>
      </x:c>
      <x:c r="U1048" s="12" t="str">
        <x:v>未提供</x:v>
      </x:c>
      <x:c r="V1048" s="12" t="str">
        <x:v>未提供</x:v>
      </x:c>
      <x:c r="W1048" s="12" t="str">
        <x:v>秒级预测</x:v>
      </x:c>
      <x:c r="X1048" s="12" t="str">
        <x:v>基于路线秒级参数；如录入实测或手动采用秒，预计到达时间可随公式更新</x:v>
      </x:c>
    </x:row>
    <x:row r="1049">
      <x:c r="A1049" s="12" t="str">
        <x:v>S0088-04</x:v>
      </x:c>
      <x:c r="B1049" s="12" t="str">
        <x:v>S0088</x:v>
      </x:c>
      <x:c r="C1049" s="12" t="str">
        <x:v>工作日</x:v>
      </x:c>
      <x:c r="D1049" s="12" t="str">
        <x:v>环线2路</x:v>
      </x:c>
      <x:c r="E1049" s="12" t="str">
        <x:v>第一班</x:v>
      </x:c>
      <x:c r="F1049" s="12" t="n">
        <x:v>18</x:v>
      </x:c>
      <x:c r="G1049" s="12" t="str">
        <x:v>16:50</x:v>
      </x:c>
      <x:c r="H1049" s="12" t="n">
        <x:v>1010</x:v>
      </x:c>
      <x:c r="I1049" s="12" t="str">
        <x:v>研究生宿舍楼</x:v>
      </x:c>
      <x:c r="J1049" s="12" t="str">
        <x:v>研究生宿舍楼发车</x:v>
      </x:c>
      <x:c r="K1049" s="12" t="str">
        <x:v>HX2_NORMAL</x:v>
      </x:c>
      <x:c r="L1049" s="12" t="n">
        <x:v>4</x:v>
      </x:c>
      <x:c r="M1049" s="12" t="str">
        <x:v>HX2_NORMAL|4</x:v>
      </x:c>
      <x:c r="N1049" s="12" t="str">
        <x:v>1号宿舍楼</x:v>
      </x:c>
      <x:c r="O1049" s="12" t="n">
        <x:f>IFERROR(INDEX('秒级路线参数_可调整'!$O:$O,MATCH(M1049,'秒级路线参数_可调整'!$A:$A,0)),"")</x:f>
        <x:v>165</x:v>
      </x:c>
      <x:c r="P1049" s="12" t="n">
        <x:f>IF(O1049="","",O1049/86400)</x:f>
        <x:v>0.0019097222222222222</x:v>
      </x:c>
      <x:c r="Q1049" s="12" t="n">
        <x:f>IF(O1049="","",(H1049*60+O1049)/86400)</x:f>
        <x:v>0.7032986111111111</x:v>
      </x:c>
      <x:c r="R1049" s="12" t="str">
        <x:f>IF(Q1049="","",TEXT(Q1049,"hh:mm:ss"))</x:f>
        <x:v>16:52:45</x:v>
      </x:c>
      <x:c r="S1049" s="12" t="str">
        <x:v>否</x:v>
      </x:c>
      <x:c r="T1049" s="12" t="str">
        <x:v>否</x:v>
      </x:c>
      <x:c r="U1049" s="12" t="str">
        <x:v>未提供</x:v>
      </x:c>
      <x:c r="V1049" s="12" t="str">
        <x:v>未提供</x:v>
      </x:c>
      <x:c r="W1049" s="12" t="str">
        <x:v>秒级预测</x:v>
      </x:c>
      <x:c r="X1049" s="12" t="str">
        <x:v>基于路线秒级参数；如录入实测或手动采用秒，预计到达时间可随公式更新</x:v>
      </x:c>
    </x:row>
    <x:row r="1050">
      <x:c r="A1050" s="12" t="str">
        <x:v>S0088-05</x:v>
      </x:c>
      <x:c r="B1050" s="12" t="str">
        <x:v>S0088</x:v>
      </x:c>
      <x:c r="C1050" s="12" t="str">
        <x:v>工作日</x:v>
      </x:c>
      <x:c r="D1050" s="12" t="str">
        <x:v>环线2路</x:v>
      </x:c>
      <x:c r="E1050" s="12" t="str">
        <x:v>第一班</x:v>
      </x:c>
      <x:c r="F1050" s="12" t="n">
        <x:v>18</x:v>
      </x:c>
      <x:c r="G1050" s="12" t="str">
        <x:v>16:50</x:v>
      </x:c>
      <x:c r="H1050" s="12" t="n">
        <x:v>1010</x:v>
      </x:c>
      <x:c r="I1050" s="12" t="str">
        <x:v>研究生宿舍楼</x:v>
      </x:c>
      <x:c r="J1050" s="12" t="str">
        <x:v>研究生宿舍楼发车</x:v>
      </x:c>
      <x:c r="K1050" s="12" t="str">
        <x:v>HX2_NORMAL</x:v>
      </x:c>
      <x:c r="L1050" s="12" t="n">
        <x:v>5</x:v>
      </x:c>
      <x:c r="M1050" s="12" t="str">
        <x:v>HX2_NORMAL|5</x:v>
      </x:c>
      <x:c r="N1050" s="12" t="str">
        <x:v>水上训练中心</x:v>
      </x:c>
      <x:c r="O1050" s="12" t="n">
        <x:f>IFERROR(INDEX('秒级路线参数_可调整'!$O:$O,MATCH(M1050,'秒级路线参数_可调整'!$A:$A,0)),"")</x:f>
        <x:v>250</x:v>
      </x:c>
      <x:c r="P1050" s="12" t="n">
        <x:f>IF(O1050="","",O1050/86400)</x:f>
        <x:v>0.0028935185185185184</x:v>
      </x:c>
      <x:c r="Q1050" s="12" t="n">
        <x:f>IF(O1050="","",(H1050*60+O1050)/86400)</x:f>
        <x:v>0.7042824074074074</x:v>
      </x:c>
      <x:c r="R1050" s="12" t="str">
        <x:f>IF(Q1050="","",TEXT(Q1050,"hh:mm:ss"))</x:f>
        <x:v>16:54:10</x:v>
      </x:c>
      <x:c r="S1050" s="12" t="str">
        <x:v>否</x:v>
      </x:c>
      <x:c r="T1050" s="12" t="str">
        <x:v>否</x:v>
      </x:c>
      <x:c r="U1050" s="12" t="str">
        <x:v>未提供</x:v>
      </x:c>
      <x:c r="V1050" s="12" t="str">
        <x:v>未提供</x:v>
      </x:c>
      <x:c r="W1050" s="12" t="str">
        <x:v>秒级预测</x:v>
      </x:c>
      <x:c r="X1050" s="12" t="str">
        <x:v>基于路线秒级参数；如录入实测或手动采用秒，预计到达时间可随公式更新</x:v>
      </x:c>
    </x:row>
    <x:row r="1051">
      <x:c r="A1051" s="12" t="str">
        <x:v>S0088-06</x:v>
      </x:c>
      <x:c r="B1051" s="12" t="str">
        <x:v>S0088</x:v>
      </x:c>
      <x:c r="C1051" s="12" t="str">
        <x:v>工作日</x:v>
      </x:c>
      <x:c r="D1051" s="12" t="str">
        <x:v>环线2路</x:v>
      </x:c>
      <x:c r="E1051" s="12" t="str">
        <x:v>第一班</x:v>
      </x:c>
      <x:c r="F1051" s="12" t="n">
        <x:v>18</x:v>
      </x:c>
      <x:c r="G1051" s="12" t="str">
        <x:v>16:50</x:v>
      </x:c>
      <x:c r="H1051" s="12" t="n">
        <x:v>1010</x:v>
      </x:c>
      <x:c r="I1051" s="12" t="str">
        <x:v>研究生宿舍楼</x:v>
      </x:c>
      <x:c r="J1051" s="12" t="str">
        <x:v>研究生宿舍楼发车</x:v>
      </x:c>
      <x:c r="K1051" s="12" t="str">
        <x:v>HX2_NORMAL</x:v>
      </x:c>
      <x:c r="L1051" s="12" t="n">
        <x:v>6</x:v>
      </x:c>
      <x:c r="M1051" s="12" t="str">
        <x:v>HX2_NORMAL|6</x:v>
      </x:c>
      <x:c r="N1051" s="12" t="str">
        <x:v>军体活动中心</x:v>
      </x:c>
      <x:c r="O1051" s="12" t="n">
        <x:f>IFERROR(INDEX('秒级路线参数_可调整'!$O:$O,MATCH(M1051,'秒级路线参数_可调整'!$A:$A,0)),"")</x:f>
        <x:v>315</x:v>
      </x:c>
      <x:c r="P1051" s="12" t="n">
        <x:f>IF(O1051="","",O1051/86400)</x:f>
        <x:v>0.0036458333333333334</x:v>
      </x:c>
      <x:c r="Q1051" s="12" t="n">
        <x:f>IF(O1051="","",(H1051*60+O1051)/86400)</x:f>
        <x:v>0.7050347222222222</x:v>
      </x:c>
      <x:c r="R1051" s="12" t="str">
        <x:f>IF(Q1051="","",TEXT(Q1051,"hh:mm:ss"))</x:f>
        <x:v>16:55:15</x:v>
      </x:c>
      <x:c r="S1051" s="12" t="str">
        <x:v>否</x:v>
      </x:c>
      <x:c r="T1051" s="12" t="str">
        <x:v>否</x:v>
      </x:c>
      <x:c r="U1051" s="12" t="str">
        <x:v>未提供</x:v>
      </x:c>
      <x:c r="V1051" s="12" t="str">
        <x:v>未提供</x:v>
      </x:c>
      <x:c r="W1051" s="12" t="str">
        <x:v>秒级预测</x:v>
      </x:c>
      <x:c r="X1051" s="12" t="str">
        <x:v>基于路线秒级参数；如录入实测或手动采用秒，预计到达时间可随公式更新</x:v>
      </x:c>
    </x:row>
    <x:row r="1052">
      <x:c r="A1052" s="12" t="str">
        <x:v>S0088-07</x:v>
      </x:c>
      <x:c r="B1052" s="12" t="str">
        <x:v>S0088</x:v>
      </x:c>
      <x:c r="C1052" s="12" t="str">
        <x:v>工作日</x:v>
      </x:c>
      <x:c r="D1052" s="12" t="str">
        <x:v>环线2路</x:v>
      </x:c>
      <x:c r="E1052" s="12" t="str">
        <x:v>第一班</x:v>
      </x:c>
      <x:c r="F1052" s="12" t="n">
        <x:v>18</x:v>
      </x:c>
      <x:c r="G1052" s="12" t="str">
        <x:v>16:50</x:v>
      </x:c>
      <x:c r="H1052" s="12" t="n">
        <x:v>1010</x:v>
      </x:c>
      <x:c r="I1052" s="12" t="str">
        <x:v>研究生宿舍楼</x:v>
      </x:c>
      <x:c r="J1052" s="12" t="str">
        <x:v>研究生宿舍楼发车</x:v>
      </x:c>
      <x:c r="K1052" s="12" t="str">
        <x:v>HX2_NORMAL</x:v>
      </x:c>
      <x:c r="L1052" s="12" t="n">
        <x:v>7</x:v>
      </x:c>
      <x:c r="M1052" s="12" t="str">
        <x:v>HX2_NORMAL|7</x:v>
      </x:c>
      <x:c r="N1052" s="12" t="str">
        <x:v>二食堂</x:v>
      </x:c>
      <x:c r="O1052" s="12" t="n">
        <x:f>IFERROR(INDEX('秒级路线参数_可调整'!$O:$O,MATCH(M1052,'秒级路线参数_可调整'!$A:$A,0)),"")</x:f>
        <x:v>420</x:v>
      </x:c>
      <x:c r="P1052" s="12" t="n">
        <x:f>IF(O1052="","",O1052/86400)</x:f>
        <x:v>0.004861111111111111</x:v>
      </x:c>
      <x:c r="Q1052" s="12" t="n">
        <x:f>IF(O1052="","",(H1052*60+O1052)/86400)</x:f>
        <x:v>0.70625</x:v>
      </x:c>
      <x:c r="R1052" s="12" t="str">
        <x:f>IF(Q1052="","",TEXT(Q1052,"hh:mm:ss"))</x:f>
        <x:v>16:57:00</x:v>
      </x:c>
      <x:c r="S1052" s="12" t="str">
        <x:v>否</x:v>
      </x:c>
      <x:c r="T1052" s="12" t="str">
        <x:v>否</x:v>
      </x:c>
      <x:c r="U1052" s="12" t="str">
        <x:v>未提供</x:v>
      </x:c>
      <x:c r="V1052" s="12" t="str">
        <x:v>未提供</x:v>
      </x:c>
      <x:c r="W1052" s="12" t="str">
        <x:v>秒级预测</x:v>
      </x:c>
      <x:c r="X1052" s="12" t="str">
        <x:v>基于路线秒级参数；如录入实测或手动采用秒，预计到达时间可随公式更新</x:v>
      </x:c>
    </x:row>
    <x:row r="1053">
      <x:c r="A1053" s="12" t="str">
        <x:v>S0088-08</x:v>
      </x:c>
      <x:c r="B1053" s="12" t="str">
        <x:v>S0088</x:v>
      </x:c>
      <x:c r="C1053" s="12" t="str">
        <x:v>工作日</x:v>
      </x:c>
      <x:c r="D1053" s="12" t="str">
        <x:v>环线2路</x:v>
      </x:c>
      <x:c r="E1053" s="12" t="str">
        <x:v>第一班</x:v>
      </x:c>
      <x:c r="F1053" s="12" t="n">
        <x:v>18</x:v>
      </x:c>
      <x:c r="G1053" s="12" t="str">
        <x:v>16:50</x:v>
      </x:c>
      <x:c r="H1053" s="12" t="n">
        <x:v>1010</x:v>
      </x:c>
      <x:c r="I1053" s="12" t="str">
        <x:v>研究生宿舍楼</x:v>
      </x:c>
      <x:c r="J1053" s="12" t="str">
        <x:v>研究生宿舍楼发车</x:v>
      </x:c>
      <x:c r="K1053" s="12" t="str">
        <x:v>HX2_NORMAL</x:v>
      </x:c>
      <x:c r="L1053" s="12" t="n">
        <x:v>8</x:v>
      </x:c>
      <x:c r="M1053" s="12" t="str">
        <x:v>HX2_NORMAL|8</x:v>
      </x:c>
      <x:c r="N1053" s="12" t="str">
        <x:v>5号宿舍楼</x:v>
      </x:c>
      <x:c r="O1053" s="12" t="n">
        <x:f>IFERROR(INDEX('秒级路线参数_可调整'!$O:$O,MATCH(M1053,'秒级路线参数_可调整'!$A:$A,0)),"")</x:f>
        <x:v>480</x:v>
      </x:c>
      <x:c r="P1053" s="12" t="n">
        <x:f>IF(O1053="","",O1053/86400)</x:f>
        <x:v>0.005555555555555556</x:v>
      </x:c>
      <x:c r="Q1053" s="12" t="n">
        <x:f>IF(O1053="","",(H1053*60+O1053)/86400)</x:f>
        <x:v>0.7069444444444445</x:v>
      </x:c>
      <x:c r="R1053" s="12" t="str">
        <x:f>IF(Q1053="","",TEXT(Q1053,"hh:mm:ss"))</x:f>
        <x:v>16:58:00</x:v>
      </x:c>
      <x:c r="S1053" s="12" t="str">
        <x:v>否</x:v>
      </x:c>
      <x:c r="T1053" s="12" t="str">
        <x:v>否</x:v>
      </x:c>
      <x:c r="U1053" s="12" t="str">
        <x:v>未提供</x:v>
      </x:c>
      <x:c r="V1053" s="12" t="str">
        <x:v>未提供</x:v>
      </x:c>
      <x:c r="W1053" s="12" t="str">
        <x:v>秒级预测</x:v>
      </x:c>
      <x:c r="X1053" s="12" t="str">
        <x:v>基于路线秒级参数；如录入实测或手动采用秒，预计到达时间可随公式更新</x:v>
      </x:c>
    </x:row>
    <x:row r="1054">
      <x:c r="A1054" s="12" t="str">
        <x:v>S0088-09</x:v>
      </x:c>
      <x:c r="B1054" s="12" t="str">
        <x:v>S0088</x:v>
      </x:c>
      <x:c r="C1054" s="12" t="str">
        <x:v>工作日</x:v>
      </x:c>
      <x:c r="D1054" s="12" t="str">
        <x:v>环线2路</x:v>
      </x:c>
      <x:c r="E1054" s="12" t="str">
        <x:v>第一班</x:v>
      </x:c>
      <x:c r="F1054" s="12" t="n">
        <x:v>18</x:v>
      </x:c>
      <x:c r="G1054" s="12" t="str">
        <x:v>16:50</x:v>
      </x:c>
      <x:c r="H1054" s="12" t="n">
        <x:v>1010</x:v>
      </x:c>
      <x:c r="I1054" s="12" t="str">
        <x:v>研究生宿舍楼</x:v>
      </x:c>
      <x:c r="J1054" s="12" t="str">
        <x:v>研究生宿舍楼发车</x:v>
      </x:c>
      <x:c r="K1054" s="12" t="str">
        <x:v>HX2_NORMAL</x:v>
      </x:c>
      <x:c r="L1054" s="12" t="n">
        <x:v>9</x:v>
      </x:c>
      <x:c r="M1054" s="12" t="str">
        <x:v>HX2_NORMAL|9</x:v>
      </x:c>
      <x:c r="N1054" s="12" t="str">
        <x:v>305教学楼</x:v>
      </x:c>
      <x:c r="O1054" s="12" t="n">
        <x:f>IFERROR(INDEX('秒级路线参数_可调整'!$O:$O,MATCH(M1054,'秒级路线参数_可调整'!$A:$A,0)),"")</x:f>
        <x:v>535</x:v>
      </x:c>
      <x:c r="P1054" s="12" t="n">
        <x:f>IF(O1054="","",O1054/86400)</x:f>
        <x:v>0.00619212962962963</x:v>
      </x:c>
      <x:c r="Q1054" s="12" t="n">
        <x:f>IF(O1054="","",(H1054*60+O1054)/86400)</x:f>
        <x:v>0.7075810185185185</x:v>
      </x:c>
      <x:c r="R1054" s="12" t="str">
        <x:f>IF(Q1054="","",TEXT(Q1054,"hh:mm:ss"))</x:f>
        <x:v>16:58:55</x:v>
      </x:c>
      <x:c r="S1054" s="12" t="str">
        <x:v>否</x:v>
      </x:c>
      <x:c r="T1054" s="12" t="str">
        <x:v>否</x:v>
      </x:c>
      <x:c r="U1054" s="12" t="str">
        <x:v>未提供</x:v>
      </x:c>
      <x:c r="V1054" s="12" t="str">
        <x:v>未提供</x:v>
      </x:c>
      <x:c r="W1054" s="12" t="str">
        <x:v>秒级预测</x:v>
      </x:c>
      <x:c r="X1054" s="12" t="str">
        <x:v>基于路线秒级参数；如录入实测或手动采用秒，预计到达时间可随公式更新</x:v>
      </x:c>
    </x:row>
    <x:row r="1055">
      <x:c r="A1055" s="12" t="str">
        <x:v>S0088-10</x:v>
      </x:c>
      <x:c r="B1055" s="12" t="str">
        <x:v>S0088</x:v>
      </x:c>
      <x:c r="C1055" s="12" t="str">
        <x:v>工作日</x:v>
      </x:c>
      <x:c r="D1055" s="12" t="str">
        <x:v>环线2路</x:v>
      </x:c>
      <x:c r="E1055" s="12" t="str">
        <x:v>第一班</x:v>
      </x:c>
      <x:c r="F1055" s="12" t="n">
        <x:v>18</x:v>
      </x:c>
      <x:c r="G1055" s="12" t="str">
        <x:v>16:50</x:v>
      </x:c>
      <x:c r="H1055" s="12" t="n">
        <x:v>1010</x:v>
      </x:c>
      <x:c r="I1055" s="12" t="str">
        <x:v>研究生宿舍楼</x:v>
      </x:c>
      <x:c r="J1055" s="12" t="str">
        <x:v>研究生宿舍楼发车</x:v>
      </x:c>
      <x:c r="K1055" s="12" t="str">
        <x:v>HX2_NORMAL</x:v>
      </x:c>
      <x:c r="L1055" s="12" t="n">
        <x:v>10</x:v>
      </x:c>
      <x:c r="M1055" s="12" t="str">
        <x:v>HX2_NORMAL|10</x:v>
      </x:c>
      <x:c r="N1055" s="12" t="str">
        <x:v>研究生宿舍楼</x:v>
      </x:c>
      <x:c r="O1055" s="12" t="n">
        <x:f>IFERROR(INDEX('秒级路线参数_可调整'!$O:$O,MATCH(M1055,'秒级路线参数_可调整'!$A:$A,0)),"")</x:f>
        <x:v>715</x:v>
      </x:c>
      <x:c r="P1055" s="12" t="n">
        <x:f>IF(O1055="","",O1055/86400)</x:f>
        <x:v>0.008275462962962964</x:v>
      </x:c>
      <x:c r="Q1055" s="12" t="n">
        <x:f>IF(O1055="","",(H1055*60+O1055)/86400)</x:f>
        <x:v>0.7096643518518518</x:v>
      </x:c>
      <x:c r="R1055" s="12" t="str">
        <x:f>IF(Q1055="","",TEXT(Q1055,"hh:mm:ss"))</x:f>
        <x:v>17:01:55</x:v>
      </x:c>
      <x:c r="S1055" s="12" t="str">
        <x:v>否</x:v>
      </x:c>
      <x:c r="T1055" s="12" t="str">
        <x:v>是</x:v>
      </x:c>
      <x:c r="U1055" s="12" t="str">
        <x:v>未提供</x:v>
      </x:c>
      <x:c r="V1055" s="12" t="str">
        <x:v>未提供</x:v>
      </x:c>
      <x:c r="W1055" s="12" t="str">
        <x:v>秒级预测</x:v>
      </x:c>
      <x:c r="X1055" s="12" t="str">
        <x:v>基于路线秒级参数；如录入实测或手动采用秒，预计到达时间可随公式更新</x:v>
      </x:c>
    </x:row>
    <x:row r="1056">
      <x:c r="A1056" s="12" t="str">
        <x:v>S0089-01</x:v>
      </x:c>
      <x:c r="B1056" s="12" t="str">
        <x:v>S0089</x:v>
      </x:c>
      <x:c r="C1056" s="12" t="str">
        <x:v>工作日</x:v>
      </x:c>
      <x:c r="D1056" s="12" t="str">
        <x:v>环线2路</x:v>
      </x:c>
      <x:c r="E1056" s="12" t="str">
        <x:v>第一班</x:v>
      </x:c>
      <x:c r="F1056" s="12" t="n">
        <x:v>19</x:v>
      </x:c>
      <x:c r="G1056" s="12" t="str">
        <x:v>17:10</x:v>
      </x:c>
      <x:c r="H1056" s="12" t="n">
        <x:v>1030</x:v>
      </x:c>
      <x:c r="I1056" s="12" t="str">
        <x:v>研究生宿舍楼</x:v>
      </x:c>
      <x:c r="J1056" s="12" t="str">
        <x:v>研究生宿舍楼发车</x:v>
      </x:c>
      <x:c r="K1056" s="12" t="str">
        <x:v>HX2_NORMAL</x:v>
      </x:c>
      <x:c r="L1056" s="12" t="n">
        <x:v>1</x:v>
      </x:c>
      <x:c r="M1056" s="12" t="str">
        <x:v>HX2_NORMAL|1</x:v>
      </x:c>
      <x:c r="N1056" s="12" t="str">
        <x:v>研究生宿舍楼</x:v>
      </x:c>
      <x:c r="O1056" s="12" t="n">
        <x:f>IFERROR(INDEX('秒级路线参数_可调整'!$O:$O,MATCH(M1056,'秒级路线参数_可调整'!$A:$A,0)),"")</x:f>
        <x:v>0</x:v>
      </x:c>
      <x:c r="P1056" s="12" t="str">
        <x:f>IF(O1056="","",O1056/86400)</x:f>
      </x:c>
      <x:c r="Q1056" s="12" t="str">
        <x:f>IF(O1056="","",(H1056*60+O1056)/86400)</x:f>
      </x:c>
      <x:c r="R1056" s="12" t="str">
        <x:f>IF(Q1056="","",TEXT(Q1056,"hh:mm:ss"))</x:f>
      </x:c>
      <x:c r="S1056" s="12" t="str">
        <x:v>是</x:v>
      </x:c>
      <x:c r="T1056" s="12" t="str">
        <x:v>否</x:v>
      </x:c>
      <x:c r="U1056" s="12" t="str">
        <x:v>未提供</x:v>
      </x:c>
      <x:c r="V1056" s="12" t="str">
        <x:v>未提供</x:v>
      </x:c>
      <x:c r="W1056" s="12" t="str">
        <x:v>秒级预测</x:v>
      </x:c>
      <x:c r="X1056" s="12" t="str">
        <x:v>基于路线秒级参数；如录入实测或手动采用秒，预计到达时间可随公式更新</x:v>
      </x:c>
    </x:row>
    <x:row r="1057">
      <x:c r="A1057" s="12" t="str">
        <x:v>S0089-02</x:v>
      </x:c>
      <x:c r="B1057" s="12" t="str">
        <x:v>S0089</x:v>
      </x:c>
      <x:c r="C1057" s="12" t="str">
        <x:v>工作日</x:v>
      </x:c>
      <x:c r="D1057" s="12" t="str">
        <x:v>环线2路</x:v>
      </x:c>
      <x:c r="E1057" s="12" t="str">
        <x:v>第一班</x:v>
      </x:c>
      <x:c r="F1057" s="12" t="n">
        <x:v>19</x:v>
      </x:c>
      <x:c r="G1057" s="12" t="str">
        <x:v>17:10</x:v>
      </x:c>
      <x:c r="H1057" s="12" t="n">
        <x:v>1030</x:v>
      </x:c>
      <x:c r="I1057" s="12" t="str">
        <x:v>研究生宿舍楼</x:v>
      </x:c>
      <x:c r="J1057" s="12" t="str">
        <x:v>研究生宿舍楼发车</x:v>
      </x:c>
      <x:c r="K1057" s="12" t="str">
        <x:v>HX2_NORMAL</x:v>
      </x:c>
      <x:c r="L1057" s="12" t="n">
        <x:v>2</x:v>
      </x:c>
      <x:c r="M1057" s="12" t="str">
        <x:v>HX2_NORMAL|2</x:v>
      </x:c>
      <x:c r="N1057" s="12" t="str">
        <x:v>一食堂</x:v>
      </x:c>
      <x:c r="O1057" s="12" t="n">
        <x:f>IFERROR(INDEX('秒级路线参数_可调整'!$O:$O,MATCH(M1057,'秒级路线参数_可调整'!$A:$A,0)),"")</x:f>
        <x:v>65</x:v>
      </x:c>
      <x:c r="P1057" s="12" t="n">
        <x:f>IF(O1057="","",O1057/86400)</x:f>
        <x:v>0.0007523148148148148</x:v>
      </x:c>
      <x:c r="Q1057" s="12" t="n">
        <x:f>IF(O1057="","",(H1057*60+O1057)/86400)</x:f>
        <x:v>0.7160300925925925</x:v>
      </x:c>
      <x:c r="R1057" s="12" t="str">
        <x:f>IF(Q1057="","",TEXT(Q1057,"hh:mm:ss"))</x:f>
        <x:v>17:11:05</x:v>
      </x:c>
      <x:c r="S1057" s="12" t="str">
        <x:v>否</x:v>
      </x:c>
      <x:c r="T1057" s="12" t="str">
        <x:v>否</x:v>
      </x:c>
      <x:c r="U1057" s="12" t="str">
        <x:v>未提供</x:v>
      </x:c>
      <x:c r="V1057" s="12" t="str">
        <x:v>未提供</x:v>
      </x:c>
      <x:c r="W1057" s="12" t="str">
        <x:v>秒级预测</x:v>
      </x:c>
      <x:c r="X1057" s="12" t="str">
        <x:v>基于路线秒级参数；如录入实测或手动采用秒，预计到达时间可随公式更新</x:v>
      </x:c>
    </x:row>
    <x:row r="1058">
      <x:c r="A1058" s="12" t="str">
        <x:v>S0089-03</x:v>
      </x:c>
      <x:c r="B1058" s="12" t="str">
        <x:v>S0089</x:v>
      </x:c>
      <x:c r="C1058" s="12" t="str">
        <x:v>工作日</x:v>
      </x:c>
      <x:c r="D1058" s="12" t="str">
        <x:v>环线2路</x:v>
      </x:c>
      <x:c r="E1058" s="12" t="str">
        <x:v>第一班</x:v>
      </x:c>
      <x:c r="F1058" s="12" t="n">
        <x:v>19</x:v>
      </x:c>
      <x:c r="G1058" s="12" t="str">
        <x:v>17:10</x:v>
      </x:c>
      <x:c r="H1058" s="12" t="n">
        <x:v>1030</x:v>
      </x:c>
      <x:c r="I1058" s="12" t="str">
        <x:v>研究生宿舍楼</x:v>
      </x:c>
      <x:c r="J1058" s="12" t="str">
        <x:v>研究生宿舍楼发车</x:v>
      </x:c>
      <x:c r="K1058" s="12" t="str">
        <x:v>HX2_NORMAL</x:v>
      </x:c>
      <x:c r="L1058" s="12" t="n">
        <x:v>3</x:v>
      </x:c>
      <x:c r="M1058" s="12" t="str">
        <x:v>HX2_NORMAL|3</x:v>
      </x:c>
      <x:c r="N1058" s="12" t="str">
        <x:v>门诊部</x:v>
      </x:c>
      <x:c r="O1058" s="12" t="n">
        <x:f>IFERROR(INDEX('秒级路线参数_可调整'!$O:$O,MATCH(M1058,'秒级路线参数_可调整'!$A:$A,0)),"")</x:f>
        <x:v>120</x:v>
      </x:c>
      <x:c r="P1058" s="12" t="n">
        <x:f>IF(O1058="","",O1058/86400)</x:f>
        <x:v>0.001388888888888889</x:v>
      </x:c>
      <x:c r="Q1058" s="12" t="n">
        <x:f>IF(O1058="","",(H1058*60+O1058)/86400)</x:f>
        <x:v>0.7166666666666667</x:v>
      </x:c>
      <x:c r="R1058" s="12" t="str">
        <x:f>IF(Q1058="","",TEXT(Q1058,"hh:mm:ss"))</x:f>
        <x:v>17:12:00</x:v>
      </x:c>
      <x:c r="S1058" s="12" t="str">
        <x:v>否</x:v>
      </x:c>
      <x:c r="T1058" s="12" t="str">
        <x:v>否</x:v>
      </x:c>
      <x:c r="U1058" s="12" t="str">
        <x:v>未提供</x:v>
      </x:c>
      <x:c r="V1058" s="12" t="str">
        <x:v>未提供</x:v>
      </x:c>
      <x:c r="W1058" s="12" t="str">
        <x:v>秒级预测</x:v>
      </x:c>
      <x:c r="X1058" s="12" t="str">
        <x:v>基于路线秒级参数；如录入实测或手动采用秒，预计到达时间可随公式更新</x:v>
      </x:c>
    </x:row>
    <x:row r="1059">
      <x:c r="A1059" s="12" t="str">
        <x:v>S0089-04</x:v>
      </x:c>
      <x:c r="B1059" s="12" t="str">
        <x:v>S0089</x:v>
      </x:c>
      <x:c r="C1059" s="12" t="str">
        <x:v>工作日</x:v>
      </x:c>
      <x:c r="D1059" s="12" t="str">
        <x:v>环线2路</x:v>
      </x:c>
      <x:c r="E1059" s="12" t="str">
        <x:v>第一班</x:v>
      </x:c>
      <x:c r="F1059" s="12" t="n">
        <x:v>19</x:v>
      </x:c>
      <x:c r="G1059" s="12" t="str">
        <x:v>17:10</x:v>
      </x:c>
      <x:c r="H1059" s="12" t="n">
        <x:v>1030</x:v>
      </x:c>
      <x:c r="I1059" s="12" t="str">
        <x:v>研究生宿舍楼</x:v>
      </x:c>
      <x:c r="J1059" s="12" t="str">
        <x:v>研究生宿舍楼发车</x:v>
      </x:c>
      <x:c r="K1059" s="12" t="str">
        <x:v>HX2_NORMAL</x:v>
      </x:c>
      <x:c r="L1059" s="12" t="n">
        <x:v>4</x:v>
      </x:c>
      <x:c r="M1059" s="12" t="str">
        <x:v>HX2_NORMAL|4</x:v>
      </x:c>
      <x:c r="N1059" s="12" t="str">
        <x:v>1号宿舍楼</x:v>
      </x:c>
      <x:c r="O1059" s="12" t="n">
        <x:f>IFERROR(INDEX('秒级路线参数_可调整'!$O:$O,MATCH(M1059,'秒级路线参数_可调整'!$A:$A,0)),"")</x:f>
        <x:v>165</x:v>
      </x:c>
      <x:c r="P1059" s="12" t="n">
        <x:f>IF(O1059="","",O1059/86400)</x:f>
        <x:v>0.0019097222222222222</x:v>
      </x:c>
      <x:c r="Q1059" s="12" t="n">
        <x:f>IF(O1059="","",(H1059*60+O1059)/86400)</x:f>
        <x:v>0.7171875</x:v>
      </x:c>
      <x:c r="R1059" s="12" t="str">
        <x:f>IF(Q1059="","",TEXT(Q1059,"hh:mm:ss"))</x:f>
        <x:v>17:12:45</x:v>
      </x:c>
      <x:c r="S1059" s="12" t="str">
        <x:v>否</x:v>
      </x:c>
      <x:c r="T1059" s="12" t="str">
        <x:v>否</x:v>
      </x:c>
      <x:c r="U1059" s="12" t="str">
        <x:v>未提供</x:v>
      </x:c>
      <x:c r="V1059" s="12" t="str">
        <x:v>未提供</x:v>
      </x:c>
      <x:c r="W1059" s="12" t="str">
        <x:v>秒级预测</x:v>
      </x:c>
      <x:c r="X1059" s="12" t="str">
        <x:v>基于路线秒级参数；如录入实测或手动采用秒，预计到达时间可随公式更新</x:v>
      </x:c>
    </x:row>
    <x:row r="1060">
      <x:c r="A1060" s="12" t="str">
        <x:v>S0089-05</x:v>
      </x:c>
      <x:c r="B1060" s="12" t="str">
        <x:v>S0089</x:v>
      </x:c>
      <x:c r="C1060" s="12" t="str">
        <x:v>工作日</x:v>
      </x:c>
      <x:c r="D1060" s="12" t="str">
        <x:v>环线2路</x:v>
      </x:c>
      <x:c r="E1060" s="12" t="str">
        <x:v>第一班</x:v>
      </x:c>
      <x:c r="F1060" s="12" t="n">
        <x:v>19</x:v>
      </x:c>
      <x:c r="G1060" s="12" t="str">
        <x:v>17:10</x:v>
      </x:c>
      <x:c r="H1060" s="12" t="n">
        <x:v>1030</x:v>
      </x:c>
      <x:c r="I1060" s="12" t="str">
        <x:v>研究生宿舍楼</x:v>
      </x:c>
      <x:c r="J1060" s="12" t="str">
        <x:v>研究生宿舍楼发车</x:v>
      </x:c>
      <x:c r="K1060" s="12" t="str">
        <x:v>HX2_NORMAL</x:v>
      </x:c>
      <x:c r="L1060" s="12" t="n">
        <x:v>5</x:v>
      </x:c>
      <x:c r="M1060" s="12" t="str">
        <x:v>HX2_NORMAL|5</x:v>
      </x:c>
      <x:c r="N1060" s="12" t="str">
        <x:v>水上训练中心</x:v>
      </x:c>
      <x:c r="O1060" s="12" t="n">
        <x:f>IFERROR(INDEX('秒级路线参数_可调整'!$O:$O,MATCH(M1060,'秒级路线参数_可调整'!$A:$A,0)),"")</x:f>
        <x:v>250</x:v>
      </x:c>
      <x:c r="P1060" s="12" t="n">
        <x:f>IF(O1060="","",O1060/86400)</x:f>
        <x:v>0.0028935185185185184</x:v>
      </x:c>
      <x:c r="Q1060" s="12" t="n">
        <x:f>IF(O1060="","",(H1060*60+O1060)/86400)</x:f>
        <x:v>0.7181712962962963</x:v>
      </x:c>
      <x:c r="R1060" s="12" t="str">
        <x:f>IF(Q1060="","",TEXT(Q1060,"hh:mm:ss"))</x:f>
        <x:v>17:14:10</x:v>
      </x:c>
      <x:c r="S1060" s="12" t="str">
        <x:v>否</x:v>
      </x:c>
      <x:c r="T1060" s="12" t="str">
        <x:v>否</x:v>
      </x:c>
      <x:c r="U1060" s="12" t="str">
        <x:v>未提供</x:v>
      </x:c>
      <x:c r="V1060" s="12" t="str">
        <x:v>未提供</x:v>
      </x:c>
      <x:c r="W1060" s="12" t="str">
        <x:v>秒级预测</x:v>
      </x:c>
      <x:c r="X1060" s="12" t="str">
        <x:v>基于路线秒级参数；如录入实测或手动采用秒，预计到达时间可随公式更新</x:v>
      </x:c>
    </x:row>
    <x:row r="1061">
      <x:c r="A1061" s="12" t="str">
        <x:v>S0089-06</x:v>
      </x:c>
      <x:c r="B1061" s="12" t="str">
        <x:v>S0089</x:v>
      </x:c>
      <x:c r="C1061" s="12" t="str">
        <x:v>工作日</x:v>
      </x:c>
      <x:c r="D1061" s="12" t="str">
        <x:v>环线2路</x:v>
      </x:c>
      <x:c r="E1061" s="12" t="str">
        <x:v>第一班</x:v>
      </x:c>
      <x:c r="F1061" s="12" t="n">
        <x:v>19</x:v>
      </x:c>
      <x:c r="G1061" s="12" t="str">
        <x:v>17:10</x:v>
      </x:c>
      <x:c r="H1061" s="12" t="n">
        <x:v>1030</x:v>
      </x:c>
      <x:c r="I1061" s="12" t="str">
        <x:v>研究生宿舍楼</x:v>
      </x:c>
      <x:c r="J1061" s="12" t="str">
        <x:v>研究生宿舍楼发车</x:v>
      </x:c>
      <x:c r="K1061" s="12" t="str">
        <x:v>HX2_NORMAL</x:v>
      </x:c>
      <x:c r="L1061" s="12" t="n">
        <x:v>6</x:v>
      </x:c>
      <x:c r="M1061" s="12" t="str">
        <x:v>HX2_NORMAL|6</x:v>
      </x:c>
      <x:c r="N1061" s="12" t="str">
        <x:v>军体活动中心</x:v>
      </x:c>
      <x:c r="O1061" s="12" t="n">
        <x:f>IFERROR(INDEX('秒级路线参数_可调整'!$O:$O,MATCH(M1061,'秒级路线参数_可调整'!$A:$A,0)),"")</x:f>
        <x:v>315</x:v>
      </x:c>
      <x:c r="P1061" s="12" t="n">
        <x:f>IF(O1061="","",O1061/86400)</x:f>
        <x:v>0.0036458333333333334</x:v>
      </x:c>
      <x:c r="Q1061" s="12" t="n">
        <x:f>IF(O1061="","",(H1061*60+O1061)/86400)</x:f>
        <x:v>0.7189236111111111</x:v>
      </x:c>
      <x:c r="R1061" s="12" t="str">
        <x:f>IF(Q1061="","",TEXT(Q1061,"hh:mm:ss"))</x:f>
        <x:v>17:15:15</x:v>
      </x:c>
      <x:c r="S1061" s="12" t="str">
        <x:v>否</x:v>
      </x:c>
      <x:c r="T1061" s="12" t="str">
        <x:v>否</x:v>
      </x:c>
      <x:c r="U1061" s="12" t="str">
        <x:v>未提供</x:v>
      </x:c>
      <x:c r="V1061" s="12" t="str">
        <x:v>未提供</x:v>
      </x:c>
      <x:c r="W1061" s="12" t="str">
        <x:v>秒级预测</x:v>
      </x:c>
      <x:c r="X1061" s="12" t="str">
        <x:v>基于路线秒级参数；如录入实测或手动采用秒，预计到达时间可随公式更新</x:v>
      </x:c>
    </x:row>
    <x:row r="1062">
      <x:c r="A1062" s="12" t="str">
        <x:v>S0089-07</x:v>
      </x:c>
      <x:c r="B1062" s="12" t="str">
        <x:v>S0089</x:v>
      </x:c>
      <x:c r="C1062" s="12" t="str">
        <x:v>工作日</x:v>
      </x:c>
      <x:c r="D1062" s="12" t="str">
        <x:v>环线2路</x:v>
      </x:c>
      <x:c r="E1062" s="12" t="str">
        <x:v>第一班</x:v>
      </x:c>
      <x:c r="F1062" s="12" t="n">
        <x:v>19</x:v>
      </x:c>
      <x:c r="G1062" s="12" t="str">
        <x:v>17:10</x:v>
      </x:c>
      <x:c r="H1062" s="12" t="n">
        <x:v>1030</x:v>
      </x:c>
      <x:c r="I1062" s="12" t="str">
        <x:v>研究生宿舍楼</x:v>
      </x:c>
      <x:c r="J1062" s="12" t="str">
        <x:v>研究生宿舍楼发车</x:v>
      </x:c>
      <x:c r="K1062" s="12" t="str">
        <x:v>HX2_NORMAL</x:v>
      </x:c>
      <x:c r="L1062" s="12" t="n">
        <x:v>7</x:v>
      </x:c>
      <x:c r="M1062" s="12" t="str">
        <x:v>HX2_NORMAL|7</x:v>
      </x:c>
      <x:c r="N1062" s="12" t="str">
        <x:v>二食堂</x:v>
      </x:c>
      <x:c r="O1062" s="12" t="n">
        <x:f>IFERROR(INDEX('秒级路线参数_可调整'!$O:$O,MATCH(M1062,'秒级路线参数_可调整'!$A:$A,0)),"")</x:f>
        <x:v>420</x:v>
      </x:c>
      <x:c r="P1062" s="12" t="n">
        <x:f>IF(O1062="","",O1062/86400)</x:f>
        <x:v>0.004861111111111111</x:v>
      </x:c>
      <x:c r="Q1062" s="12" t="n">
        <x:f>IF(O1062="","",(H1062*60+O1062)/86400)</x:f>
        <x:v>0.7201388888888889</x:v>
      </x:c>
      <x:c r="R1062" s="12" t="str">
        <x:f>IF(Q1062="","",TEXT(Q1062,"hh:mm:ss"))</x:f>
        <x:v>17:17:00</x:v>
      </x:c>
      <x:c r="S1062" s="12" t="str">
        <x:v>否</x:v>
      </x:c>
      <x:c r="T1062" s="12" t="str">
        <x:v>否</x:v>
      </x:c>
      <x:c r="U1062" s="12" t="str">
        <x:v>未提供</x:v>
      </x:c>
      <x:c r="V1062" s="12" t="str">
        <x:v>未提供</x:v>
      </x:c>
      <x:c r="W1062" s="12" t="str">
        <x:v>秒级预测</x:v>
      </x:c>
      <x:c r="X1062" s="12" t="str">
        <x:v>基于路线秒级参数；如录入实测或手动采用秒，预计到达时间可随公式更新</x:v>
      </x:c>
    </x:row>
    <x:row r="1063">
      <x:c r="A1063" s="12" t="str">
        <x:v>S0089-08</x:v>
      </x:c>
      <x:c r="B1063" s="12" t="str">
        <x:v>S0089</x:v>
      </x:c>
      <x:c r="C1063" s="12" t="str">
        <x:v>工作日</x:v>
      </x:c>
      <x:c r="D1063" s="12" t="str">
        <x:v>环线2路</x:v>
      </x:c>
      <x:c r="E1063" s="12" t="str">
        <x:v>第一班</x:v>
      </x:c>
      <x:c r="F1063" s="12" t="n">
        <x:v>19</x:v>
      </x:c>
      <x:c r="G1063" s="12" t="str">
        <x:v>17:10</x:v>
      </x:c>
      <x:c r="H1063" s="12" t="n">
        <x:v>1030</x:v>
      </x:c>
      <x:c r="I1063" s="12" t="str">
        <x:v>研究生宿舍楼</x:v>
      </x:c>
      <x:c r="J1063" s="12" t="str">
        <x:v>研究生宿舍楼发车</x:v>
      </x:c>
      <x:c r="K1063" s="12" t="str">
        <x:v>HX2_NORMAL</x:v>
      </x:c>
      <x:c r="L1063" s="12" t="n">
        <x:v>8</x:v>
      </x:c>
      <x:c r="M1063" s="12" t="str">
        <x:v>HX2_NORMAL|8</x:v>
      </x:c>
      <x:c r="N1063" s="12" t="str">
        <x:v>5号宿舍楼</x:v>
      </x:c>
      <x:c r="O1063" s="12" t="n">
        <x:f>IFERROR(INDEX('秒级路线参数_可调整'!$O:$O,MATCH(M1063,'秒级路线参数_可调整'!$A:$A,0)),"")</x:f>
        <x:v>480</x:v>
      </x:c>
      <x:c r="P1063" s="12" t="n">
        <x:f>IF(O1063="","",O1063/86400)</x:f>
        <x:v>0.005555555555555556</x:v>
      </x:c>
      <x:c r="Q1063" s="12" t="n">
        <x:f>IF(O1063="","",(H1063*60+O1063)/86400)</x:f>
        <x:v>0.7208333333333333</x:v>
      </x:c>
      <x:c r="R1063" s="12" t="str">
        <x:f>IF(Q1063="","",TEXT(Q1063,"hh:mm:ss"))</x:f>
        <x:v>17:18:00</x:v>
      </x:c>
      <x:c r="S1063" s="12" t="str">
        <x:v>否</x:v>
      </x:c>
      <x:c r="T1063" s="12" t="str">
        <x:v>否</x:v>
      </x:c>
      <x:c r="U1063" s="12" t="str">
        <x:v>未提供</x:v>
      </x:c>
      <x:c r="V1063" s="12" t="str">
        <x:v>未提供</x:v>
      </x:c>
      <x:c r="W1063" s="12" t="str">
        <x:v>秒级预测</x:v>
      </x:c>
      <x:c r="X1063" s="12" t="str">
        <x:v>基于路线秒级参数；如录入实测或手动采用秒，预计到达时间可随公式更新</x:v>
      </x:c>
    </x:row>
    <x:row r="1064">
      <x:c r="A1064" s="12" t="str">
        <x:v>S0089-09</x:v>
      </x:c>
      <x:c r="B1064" s="12" t="str">
        <x:v>S0089</x:v>
      </x:c>
      <x:c r="C1064" s="12" t="str">
        <x:v>工作日</x:v>
      </x:c>
      <x:c r="D1064" s="12" t="str">
        <x:v>环线2路</x:v>
      </x:c>
      <x:c r="E1064" s="12" t="str">
        <x:v>第一班</x:v>
      </x:c>
      <x:c r="F1064" s="12" t="n">
        <x:v>19</x:v>
      </x:c>
      <x:c r="G1064" s="12" t="str">
        <x:v>17:10</x:v>
      </x:c>
      <x:c r="H1064" s="12" t="n">
        <x:v>1030</x:v>
      </x:c>
      <x:c r="I1064" s="12" t="str">
        <x:v>研究生宿舍楼</x:v>
      </x:c>
      <x:c r="J1064" s="12" t="str">
        <x:v>研究生宿舍楼发车</x:v>
      </x:c>
      <x:c r="K1064" s="12" t="str">
        <x:v>HX2_NORMAL</x:v>
      </x:c>
      <x:c r="L1064" s="12" t="n">
        <x:v>9</x:v>
      </x:c>
      <x:c r="M1064" s="12" t="str">
        <x:v>HX2_NORMAL|9</x:v>
      </x:c>
      <x:c r="N1064" s="12" t="str">
        <x:v>305教学楼</x:v>
      </x:c>
      <x:c r="O1064" s="12" t="n">
        <x:f>IFERROR(INDEX('秒级路线参数_可调整'!$O:$O,MATCH(M1064,'秒级路线参数_可调整'!$A:$A,0)),"")</x:f>
        <x:v>535</x:v>
      </x:c>
      <x:c r="P1064" s="12" t="n">
        <x:f>IF(O1064="","",O1064/86400)</x:f>
        <x:v>0.00619212962962963</x:v>
      </x:c>
      <x:c r="Q1064" s="12" t="n">
        <x:f>IF(O1064="","",(H1064*60+O1064)/86400)</x:f>
        <x:v>0.7214699074074075</x:v>
      </x:c>
      <x:c r="R1064" s="12" t="str">
        <x:f>IF(Q1064="","",TEXT(Q1064,"hh:mm:ss"))</x:f>
        <x:v>17:18:55</x:v>
      </x:c>
      <x:c r="S1064" s="12" t="str">
        <x:v>否</x:v>
      </x:c>
      <x:c r="T1064" s="12" t="str">
        <x:v>否</x:v>
      </x:c>
      <x:c r="U1064" s="12" t="str">
        <x:v>未提供</x:v>
      </x:c>
      <x:c r="V1064" s="12" t="str">
        <x:v>未提供</x:v>
      </x:c>
      <x:c r="W1064" s="12" t="str">
        <x:v>秒级预测</x:v>
      </x:c>
      <x:c r="X1064" s="12" t="str">
        <x:v>基于路线秒级参数；如录入实测或手动采用秒，预计到达时间可随公式更新</x:v>
      </x:c>
    </x:row>
    <x:row r="1065">
      <x:c r="A1065" s="12" t="str">
        <x:v>S0089-10</x:v>
      </x:c>
      <x:c r="B1065" s="12" t="str">
        <x:v>S0089</x:v>
      </x:c>
      <x:c r="C1065" s="12" t="str">
        <x:v>工作日</x:v>
      </x:c>
      <x:c r="D1065" s="12" t="str">
        <x:v>环线2路</x:v>
      </x:c>
      <x:c r="E1065" s="12" t="str">
        <x:v>第一班</x:v>
      </x:c>
      <x:c r="F1065" s="12" t="n">
        <x:v>19</x:v>
      </x:c>
      <x:c r="G1065" s="12" t="str">
        <x:v>17:10</x:v>
      </x:c>
      <x:c r="H1065" s="12" t="n">
        <x:v>1030</x:v>
      </x:c>
      <x:c r="I1065" s="12" t="str">
        <x:v>研究生宿舍楼</x:v>
      </x:c>
      <x:c r="J1065" s="12" t="str">
        <x:v>研究生宿舍楼发车</x:v>
      </x:c>
      <x:c r="K1065" s="12" t="str">
        <x:v>HX2_NORMAL</x:v>
      </x:c>
      <x:c r="L1065" s="12" t="n">
        <x:v>10</x:v>
      </x:c>
      <x:c r="M1065" s="12" t="str">
        <x:v>HX2_NORMAL|10</x:v>
      </x:c>
      <x:c r="N1065" s="12" t="str">
        <x:v>研究生宿舍楼</x:v>
      </x:c>
      <x:c r="O1065" s="12" t="n">
        <x:f>IFERROR(INDEX('秒级路线参数_可调整'!$O:$O,MATCH(M1065,'秒级路线参数_可调整'!$A:$A,0)),"")</x:f>
        <x:v>715</x:v>
      </x:c>
      <x:c r="P1065" s="12" t="n">
        <x:f>IF(O1065="","",O1065/86400)</x:f>
        <x:v>0.008275462962962964</x:v>
      </x:c>
      <x:c r="Q1065" s="12" t="n">
        <x:f>IF(O1065="","",(H1065*60+O1065)/86400)</x:f>
        <x:v>0.7235532407407408</x:v>
      </x:c>
      <x:c r="R1065" s="12" t="str">
        <x:f>IF(Q1065="","",TEXT(Q1065,"hh:mm:ss"))</x:f>
        <x:v>17:21:55</x:v>
      </x:c>
      <x:c r="S1065" s="12" t="str">
        <x:v>否</x:v>
      </x:c>
      <x:c r="T1065" s="12" t="str">
        <x:v>是</x:v>
      </x:c>
      <x:c r="U1065" s="12" t="str">
        <x:v>未提供</x:v>
      </x:c>
      <x:c r="V1065" s="12" t="str">
        <x:v>未提供</x:v>
      </x:c>
      <x:c r="W1065" s="12" t="str">
        <x:v>秒级预测</x:v>
      </x:c>
      <x:c r="X1065" s="12" t="str">
        <x:v>基于路线秒级参数；如录入实测或手动采用秒，预计到达时间可随公式更新</x:v>
      </x:c>
    </x:row>
    <x:row r="1066">
      <x:c r="A1066" s="12" t="str">
        <x:v>S0090-01</x:v>
      </x:c>
      <x:c r="B1066" s="12" t="str">
        <x:v>S0090</x:v>
      </x:c>
      <x:c r="C1066" s="12" t="str">
        <x:v>工作日</x:v>
      </x:c>
      <x:c r="D1066" s="12" t="str">
        <x:v>环线2路</x:v>
      </x:c>
      <x:c r="E1066" s="12" t="str">
        <x:v>第二班</x:v>
      </x:c>
      <x:c r="F1066" s="12" t="n">
        <x:v>1</x:v>
      </x:c>
      <x:c r="G1066" s="12" t="str">
        <x:v>14:25</x:v>
      </x:c>
      <x:c r="H1066" s="12" t="n">
        <x:v>865</x:v>
      </x:c>
      <x:c r="I1066" s="12" t="str">
        <x:v>研究生宿舍楼</x:v>
      </x:c>
      <x:c r="J1066" s="12" t="str">
        <x:v>研究生宿舍楼发车</x:v>
      </x:c>
      <x:c r="K1066" s="12" t="str">
        <x:v>HX2_NORMAL</x:v>
      </x:c>
      <x:c r="L1066" s="12" t="n">
        <x:v>1</x:v>
      </x:c>
      <x:c r="M1066" s="12" t="str">
        <x:v>HX2_NORMAL|1</x:v>
      </x:c>
      <x:c r="N1066" s="12" t="str">
        <x:v>研究生宿舍楼</x:v>
      </x:c>
      <x:c r="O1066" s="12" t="n">
        <x:f>IFERROR(INDEX('秒级路线参数_可调整'!$O:$O,MATCH(M1066,'秒级路线参数_可调整'!$A:$A,0)),"")</x:f>
        <x:v>0</x:v>
      </x:c>
      <x:c r="P1066" s="12" t="str">
        <x:f>IF(O1066="","",O1066/86400)</x:f>
      </x:c>
      <x:c r="Q1066" s="12" t="str">
        <x:f>IF(O1066="","",(H1066*60+O1066)/86400)</x:f>
      </x:c>
      <x:c r="R1066" s="12" t="str">
        <x:f>IF(Q1066="","",TEXT(Q1066,"hh:mm:ss"))</x:f>
      </x:c>
      <x:c r="S1066" s="12" t="str">
        <x:v>是</x:v>
      </x:c>
      <x:c r="T1066" s="12" t="str">
        <x:v>否</x:v>
      </x:c>
      <x:c r="U1066" s="12" t="str">
        <x:v>未提供</x:v>
      </x:c>
      <x:c r="V1066" s="12" t="str">
        <x:v>未提供</x:v>
      </x:c>
      <x:c r="W1066" s="12" t="str">
        <x:v>秒级预测</x:v>
      </x:c>
      <x:c r="X1066" s="12" t="str">
        <x:v>基于路线秒级参数；如录入实测或手动采用秒，预计到达时间可随公式更新</x:v>
      </x:c>
    </x:row>
    <x:row r="1067">
      <x:c r="A1067" s="12" t="str">
        <x:v>S0090-02</x:v>
      </x:c>
      <x:c r="B1067" s="12" t="str">
        <x:v>S0090</x:v>
      </x:c>
      <x:c r="C1067" s="12" t="str">
        <x:v>工作日</x:v>
      </x:c>
      <x:c r="D1067" s="12" t="str">
        <x:v>环线2路</x:v>
      </x:c>
      <x:c r="E1067" s="12" t="str">
        <x:v>第二班</x:v>
      </x:c>
      <x:c r="F1067" s="12" t="n">
        <x:v>1</x:v>
      </x:c>
      <x:c r="G1067" s="12" t="str">
        <x:v>14:25</x:v>
      </x:c>
      <x:c r="H1067" s="12" t="n">
        <x:v>865</x:v>
      </x:c>
      <x:c r="I1067" s="12" t="str">
        <x:v>研究生宿舍楼</x:v>
      </x:c>
      <x:c r="J1067" s="12" t="str">
        <x:v>研究生宿舍楼发车</x:v>
      </x:c>
      <x:c r="K1067" s="12" t="str">
        <x:v>HX2_NORMAL</x:v>
      </x:c>
      <x:c r="L1067" s="12" t="n">
        <x:v>2</x:v>
      </x:c>
      <x:c r="M1067" s="12" t="str">
        <x:v>HX2_NORMAL|2</x:v>
      </x:c>
      <x:c r="N1067" s="12" t="str">
        <x:v>一食堂</x:v>
      </x:c>
      <x:c r="O1067" s="12" t="n">
        <x:f>IFERROR(INDEX('秒级路线参数_可调整'!$O:$O,MATCH(M1067,'秒级路线参数_可调整'!$A:$A,0)),"")</x:f>
        <x:v>65</x:v>
      </x:c>
      <x:c r="P1067" s="12" t="n">
        <x:f>IF(O1067="","",O1067/86400)</x:f>
        <x:v>0.0007523148148148148</x:v>
      </x:c>
      <x:c r="Q1067" s="12" t="n">
        <x:f>IF(O1067="","",(H1067*60+O1067)/86400)</x:f>
        <x:v>0.6014467592592593</x:v>
      </x:c>
      <x:c r="R1067" s="12" t="str">
        <x:f>IF(Q1067="","",TEXT(Q1067,"hh:mm:ss"))</x:f>
        <x:v>14:26:05</x:v>
      </x:c>
      <x:c r="S1067" s="12" t="str">
        <x:v>否</x:v>
      </x:c>
      <x:c r="T1067" s="12" t="str">
        <x:v>否</x:v>
      </x:c>
      <x:c r="U1067" s="12" t="str">
        <x:v>未提供</x:v>
      </x:c>
      <x:c r="V1067" s="12" t="str">
        <x:v>未提供</x:v>
      </x:c>
      <x:c r="W1067" s="12" t="str">
        <x:v>秒级预测</x:v>
      </x:c>
      <x:c r="X1067" s="12" t="str">
        <x:v>基于路线秒级参数；如录入实测或手动采用秒，预计到达时间可随公式更新</x:v>
      </x:c>
    </x:row>
    <x:row r="1068">
      <x:c r="A1068" s="12" t="str">
        <x:v>S0090-03</x:v>
      </x:c>
      <x:c r="B1068" s="12" t="str">
        <x:v>S0090</x:v>
      </x:c>
      <x:c r="C1068" s="12" t="str">
        <x:v>工作日</x:v>
      </x:c>
      <x:c r="D1068" s="12" t="str">
        <x:v>环线2路</x:v>
      </x:c>
      <x:c r="E1068" s="12" t="str">
        <x:v>第二班</x:v>
      </x:c>
      <x:c r="F1068" s="12" t="n">
        <x:v>1</x:v>
      </x:c>
      <x:c r="G1068" s="12" t="str">
        <x:v>14:25</x:v>
      </x:c>
      <x:c r="H1068" s="12" t="n">
        <x:v>865</x:v>
      </x:c>
      <x:c r="I1068" s="12" t="str">
        <x:v>研究生宿舍楼</x:v>
      </x:c>
      <x:c r="J1068" s="12" t="str">
        <x:v>研究生宿舍楼发车</x:v>
      </x:c>
      <x:c r="K1068" s="12" t="str">
        <x:v>HX2_NORMAL</x:v>
      </x:c>
      <x:c r="L1068" s="12" t="n">
        <x:v>3</x:v>
      </x:c>
      <x:c r="M1068" s="12" t="str">
        <x:v>HX2_NORMAL|3</x:v>
      </x:c>
      <x:c r="N1068" s="12" t="str">
        <x:v>门诊部</x:v>
      </x:c>
      <x:c r="O1068" s="12" t="n">
        <x:f>IFERROR(INDEX('秒级路线参数_可调整'!$O:$O,MATCH(M1068,'秒级路线参数_可调整'!$A:$A,0)),"")</x:f>
        <x:v>120</x:v>
      </x:c>
      <x:c r="P1068" s="12" t="n">
        <x:f>IF(O1068="","",O1068/86400)</x:f>
        <x:v>0.001388888888888889</x:v>
      </x:c>
      <x:c r="Q1068" s="12" t="n">
        <x:f>IF(O1068="","",(H1068*60+O1068)/86400)</x:f>
        <x:v>0.6020833333333333</x:v>
      </x:c>
      <x:c r="R1068" s="12" t="str">
        <x:f>IF(Q1068="","",TEXT(Q1068,"hh:mm:ss"))</x:f>
        <x:v>14:27:00</x:v>
      </x:c>
      <x:c r="S1068" s="12" t="str">
        <x:v>否</x:v>
      </x:c>
      <x:c r="T1068" s="12" t="str">
        <x:v>否</x:v>
      </x:c>
      <x:c r="U1068" s="12" t="str">
        <x:v>未提供</x:v>
      </x:c>
      <x:c r="V1068" s="12" t="str">
        <x:v>未提供</x:v>
      </x:c>
      <x:c r="W1068" s="12" t="str">
        <x:v>秒级预测</x:v>
      </x:c>
      <x:c r="X1068" s="12" t="str">
        <x:v>基于路线秒级参数；如录入实测或手动采用秒，预计到达时间可随公式更新</x:v>
      </x:c>
    </x:row>
    <x:row r="1069">
      <x:c r="A1069" s="12" t="str">
        <x:v>S0090-04</x:v>
      </x:c>
      <x:c r="B1069" s="12" t="str">
        <x:v>S0090</x:v>
      </x:c>
      <x:c r="C1069" s="12" t="str">
        <x:v>工作日</x:v>
      </x:c>
      <x:c r="D1069" s="12" t="str">
        <x:v>环线2路</x:v>
      </x:c>
      <x:c r="E1069" s="12" t="str">
        <x:v>第二班</x:v>
      </x:c>
      <x:c r="F1069" s="12" t="n">
        <x:v>1</x:v>
      </x:c>
      <x:c r="G1069" s="12" t="str">
        <x:v>14:25</x:v>
      </x:c>
      <x:c r="H1069" s="12" t="n">
        <x:v>865</x:v>
      </x:c>
      <x:c r="I1069" s="12" t="str">
        <x:v>研究生宿舍楼</x:v>
      </x:c>
      <x:c r="J1069" s="12" t="str">
        <x:v>研究生宿舍楼发车</x:v>
      </x:c>
      <x:c r="K1069" s="12" t="str">
        <x:v>HX2_NORMAL</x:v>
      </x:c>
      <x:c r="L1069" s="12" t="n">
        <x:v>4</x:v>
      </x:c>
      <x:c r="M1069" s="12" t="str">
        <x:v>HX2_NORMAL|4</x:v>
      </x:c>
      <x:c r="N1069" s="12" t="str">
        <x:v>1号宿舍楼</x:v>
      </x:c>
      <x:c r="O1069" s="12" t="n">
        <x:f>IFERROR(INDEX('秒级路线参数_可调整'!$O:$O,MATCH(M1069,'秒级路线参数_可调整'!$A:$A,0)),"")</x:f>
        <x:v>165</x:v>
      </x:c>
      <x:c r="P1069" s="12" t="n">
        <x:f>IF(O1069="","",O1069/86400)</x:f>
        <x:v>0.0019097222222222222</x:v>
      </x:c>
      <x:c r="Q1069" s="12" t="n">
        <x:f>IF(O1069="","",(H1069*60+O1069)/86400)</x:f>
        <x:v>0.6026041666666667</x:v>
      </x:c>
      <x:c r="R1069" s="12" t="str">
        <x:f>IF(Q1069="","",TEXT(Q1069,"hh:mm:ss"))</x:f>
        <x:v>14:27:45</x:v>
      </x:c>
      <x:c r="S1069" s="12" t="str">
        <x:v>否</x:v>
      </x:c>
      <x:c r="T1069" s="12" t="str">
        <x:v>否</x:v>
      </x:c>
      <x:c r="U1069" s="12" t="str">
        <x:v>未提供</x:v>
      </x:c>
      <x:c r="V1069" s="12" t="str">
        <x:v>未提供</x:v>
      </x:c>
      <x:c r="W1069" s="12" t="str">
        <x:v>秒级预测</x:v>
      </x:c>
      <x:c r="X1069" s="12" t="str">
        <x:v>基于路线秒级参数；如录入实测或手动采用秒，预计到达时间可随公式更新</x:v>
      </x:c>
    </x:row>
    <x:row r="1070">
      <x:c r="A1070" s="12" t="str">
        <x:v>S0090-05</x:v>
      </x:c>
      <x:c r="B1070" s="12" t="str">
        <x:v>S0090</x:v>
      </x:c>
      <x:c r="C1070" s="12" t="str">
        <x:v>工作日</x:v>
      </x:c>
      <x:c r="D1070" s="12" t="str">
        <x:v>环线2路</x:v>
      </x:c>
      <x:c r="E1070" s="12" t="str">
        <x:v>第二班</x:v>
      </x:c>
      <x:c r="F1070" s="12" t="n">
        <x:v>1</x:v>
      </x:c>
      <x:c r="G1070" s="12" t="str">
        <x:v>14:25</x:v>
      </x:c>
      <x:c r="H1070" s="12" t="n">
        <x:v>865</x:v>
      </x:c>
      <x:c r="I1070" s="12" t="str">
        <x:v>研究生宿舍楼</x:v>
      </x:c>
      <x:c r="J1070" s="12" t="str">
        <x:v>研究生宿舍楼发车</x:v>
      </x:c>
      <x:c r="K1070" s="12" t="str">
        <x:v>HX2_NORMAL</x:v>
      </x:c>
      <x:c r="L1070" s="12" t="n">
        <x:v>5</x:v>
      </x:c>
      <x:c r="M1070" s="12" t="str">
        <x:v>HX2_NORMAL|5</x:v>
      </x:c>
      <x:c r="N1070" s="12" t="str">
        <x:v>水上训练中心</x:v>
      </x:c>
      <x:c r="O1070" s="12" t="n">
        <x:f>IFERROR(INDEX('秒级路线参数_可调整'!$O:$O,MATCH(M1070,'秒级路线参数_可调整'!$A:$A,0)),"")</x:f>
        <x:v>250</x:v>
      </x:c>
      <x:c r="P1070" s="12" t="n">
        <x:f>IF(O1070="","",O1070/86400)</x:f>
        <x:v>0.0028935185185185184</x:v>
      </x:c>
      <x:c r="Q1070" s="12" t="n">
        <x:f>IF(O1070="","",(H1070*60+O1070)/86400)</x:f>
        <x:v>0.6035879629629629</x:v>
      </x:c>
      <x:c r="R1070" s="12" t="str">
        <x:f>IF(Q1070="","",TEXT(Q1070,"hh:mm:ss"))</x:f>
        <x:v>14:29:10</x:v>
      </x:c>
      <x:c r="S1070" s="12" t="str">
        <x:v>否</x:v>
      </x:c>
      <x:c r="T1070" s="12" t="str">
        <x:v>否</x:v>
      </x:c>
      <x:c r="U1070" s="12" t="str">
        <x:v>未提供</x:v>
      </x:c>
      <x:c r="V1070" s="12" t="str">
        <x:v>未提供</x:v>
      </x:c>
      <x:c r="W1070" s="12" t="str">
        <x:v>秒级预测</x:v>
      </x:c>
      <x:c r="X1070" s="12" t="str">
        <x:v>基于路线秒级参数；如录入实测或手动采用秒，预计到达时间可随公式更新</x:v>
      </x:c>
    </x:row>
    <x:row r="1071">
      <x:c r="A1071" s="12" t="str">
        <x:v>S0090-06</x:v>
      </x:c>
      <x:c r="B1071" s="12" t="str">
        <x:v>S0090</x:v>
      </x:c>
      <x:c r="C1071" s="12" t="str">
        <x:v>工作日</x:v>
      </x:c>
      <x:c r="D1071" s="12" t="str">
        <x:v>环线2路</x:v>
      </x:c>
      <x:c r="E1071" s="12" t="str">
        <x:v>第二班</x:v>
      </x:c>
      <x:c r="F1071" s="12" t="n">
        <x:v>1</x:v>
      </x:c>
      <x:c r="G1071" s="12" t="str">
        <x:v>14:25</x:v>
      </x:c>
      <x:c r="H1071" s="12" t="n">
        <x:v>865</x:v>
      </x:c>
      <x:c r="I1071" s="12" t="str">
        <x:v>研究生宿舍楼</x:v>
      </x:c>
      <x:c r="J1071" s="12" t="str">
        <x:v>研究生宿舍楼发车</x:v>
      </x:c>
      <x:c r="K1071" s="12" t="str">
        <x:v>HX2_NORMAL</x:v>
      </x:c>
      <x:c r="L1071" s="12" t="n">
        <x:v>6</x:v>
      </x:c>
      <x:c r="M1071" s="12" t="str">
        <x:v>HX2_NORMAL|6</x:v>
      </x:c>
      <x:c r="N1071" s="12" t="str">
        <x:v>军体活动中心</x:v>
      </x:c>
      <x:c r="O1071" s="12" t="n">
        <x:f>IFERROR(INDEX('秒级路线参数_可调整'!$O:$O,MATCH(M1071,'秒级路线参数_可调整'!$A:$A,0)),"")</x:f>
        <x:v>315</x:v>
      </x:c>
      <x:c r="P1071" s="12" t="n">
        <x:f>IF(O1071="","",O1071/86400)</x:f>
        <x:v>0.0036458333333333334</x:v>
      </x:c>
      <x:c r="Q1071" s="12" t="n">
        <x:f>IF(O1071="","",(H1071*60+O1071)/86400)</x:f>
        <x:v>0.6043402777777778</x:v>
      </x:c>
      <x:c r="R1071" s="12" t="str">
        <x:f>IF(Q1071="","",TEXT(Q1071,"hh:mm:ss"))</x:f>
        <x:v>14:30:15</x:v>
      </x:c>
      <x:c r="S1071" s="12" t="str">
        <x:v>否</x:v>
      </x:c>
      <x:c r="T1071" s="12" t="str">
        <x:v>否</x:v>
      </x:c>
      <x:c r="U1071" s="12" t="str">
        <x:v>未提供</x:v>
      </x:c>
      <x:c r="V1071" s="12" t="str">
        <x:v>未提供</x:v>
      </x:c>
      <x:c r="W1071" s="12" t="str">
        <x:v>秒级预测</x:v>
      </x:c>
      <x:c r="X1071" s="12" t="str">
        <x:v>基于路线秒级参数；如录入实测或手动采用秒，预计到达时间可随公式更新</x:v>
      </x:c>
    </x:row>
    <x:row r="1072">
      <x:c r="A1072" s="12" t="str">
        <x:v>S0090-07</x:v>
      </x:c>
      <x:c r="B1072" s="12" t="str">
        <x:v>S0090</x:v>
      </x:c>
      <x:c r="C1072" s="12" t="str">
        <x:v>工作日</x:v>
      </x:c>
      <x:c r="D1072" s="12" t="str">
        <x:v>环线2路</x:v>
      </x:c>
      <x:c r="E1072" s="12" t="str">
        <x:v>第二班</x:v>
      </x:c>
      <x:c r="F1072" s="12" t="n">
        <x:v>1</x:v>
      </x:c>
      <x:c r="G1072" s="12" t="str">
        <x:v>14:25</x:v>
      </x:c>
      <x:c r="H1072" s="12" t="n">
        <x:v>865</x:v>
      </x:c>
      <x:c r="I1072" s="12" t="str">
        <x:v>研究生宿舍楼</x:v>
      </x:c>
      <x:c r="J1072" s="12" t="str">
        <x:v>研究生宿舍楼发车</x:v>
      </x:c>
      <x:c r="K1072" s="12" t="str">
        <x:v>HX2_NORMAL</x:v>
      </x:c>
      <x:c r="L1072" s="12" t="n">
        <x:v>7</x:v>
      </x:c>
      <x:c r="M1072" s="12" t="str">
        <x:v>HX2_NORMAL|7</x:v>
      </x:c>
      <x:c r="N1072" s="12" t="str">
        <x:v>二食堂</x:v>
      </x:c>
      <x:c r="O1072" s="12" t="n">
        <x:f>IFERROR(INDEX('秒级路线参数_可调整'!$O:$O,MATCH(M1072,'秒级路线参数_可调整'!$A:$A,0)),"")</x:f>
        <x:v>420</x:v>
      </x:c>
      <x:c r="P1072" s="12" t="n">
        <x:f>IF(O1072="","",O1072/86400)</x:f>
        <x:v>0.004861111111111111</x:v>
      </x:c>
      <x:c r="Q1072" s="12" t="n">
        <x:f>IF(O1072="","",(H1072*60+O1072)/86400)</x:f>
        <x:v>0.6055555555555555</x:v>
      </x:c>
      <x:c r="R1072" s="12" t="str">
        <x:f>IF(Q1072="","",TEXT(Q1072,"hh:mm:ss"))</x:f>
        <x:v>14:32:00</x:v>
      </x:c>
      <x:c r="S1072" s="12" t="str">
        <x:v>否</x:v>
      </x:c>
      <x:c r="T1072" s="12" t="str">
        <x:v>否</x:v>
      </x:c>
      <x:c r="U1072" s="12" t="str">
        <x:v>未提供</x:v>
      </x:c>
      <x:c r="V1072" s="12" t="str">
        <x:v>未提供</x:v>
      </x:c>
      <x:c r="W1072" s="12" t="str">
        <x:v>秒级预测</x:v>
      </x:c>
      <x:c r="X1072" s="12" t="str">
        <x:v>基于路线秒级参数；如录入实测或手动采用秒，预计到达时间可随公式更新</x:v>
      </x:c>
    </x:row>
    <x:row r="1073">
      <x:c r="A1073" s="12" t="str">
        <x:v>S0090-08</x:v>
      </x:c>
      <x:c r="B1073" s="12" t="str">
        <x:v>S0090</x:v>
      </x:c>
      <x:c r="C1073" s="12" t="str">
        <x:v>工作日</x:v>
      </x:c>
      <x:c r="D1073" s="12" t="str">
        <x:v>环线2路</x:v>
      </x:c>
      <x:c r="E1073" s="12" t="str">
        <x:v>第二班</x:v>
      </x:c>
      <x:c r="F1073" s="12" t="n">
        <x:v>1</x:v>
      </x:c>
      <x:c r="G1073" s="12" t="str">
        <x:v>14:25</x:v>
      </x:c>
      <x:c r="H1073" s="12" t="n">
        <x:v>865</x:v>
      </x:c>
      <x:c r="I1073" s="12" t="str">
        <x:v>研究生宿舍楼</x:v>
      </x:c>
      <x:c r="J1073" s="12" t="str">
        <x:v>研究生宿舍楼发车</x:v>
      </x:c>
      <x:c r="K1073" s="12" t="str">
        <x:v>HX2_NORMAL</x:v>
      </x:c>
      <x:c r="L1073" s="12" t="n">
        <x:v>8</x:v>
      </x:c>
      <x:c r="M1073" s="12" t="str">
        <x:v>HX2_NORMAL|8</x:v>
      </x:c>
      <x:c r="N1073" s="12" t="str">
        <x:v>5号宿舍楼</x:v>
      </x:c>
      <x:c r="O1073" s="12" t="n">
        <x:f>IFERROR(INDEX('秒级路线参数_可调整'!$O:$O,MATCH(M1073,'秒级路线参数_可调整'!$A:$A,0)),"")</x:f>
        <x:v>480</x:v>
      </x:c>
      <x:c r="P1073" s="12" t="n">
        <x:f>IF(O1073="","",O1073/86400)</x:f>
        <x:v>0.005555555555555556</x:v>
      </x:c>
      <x:c r="Q1073" s="12" t="n">
        <x:f>IF(O1073="","",(H1073*60+O1073)/86400)</x:f>
        <x:v>0.60625</x:v>
      </x:c>
      <x:c r="R1073" s="12" t="str">
        <x:f>IF(Q1073="","",TEXT(Q1073,"hh:mm:ss"))</x:f>
        <x:v>14:33:00</x:v>
      </x:c>
      <x:c r="S1073" s="12" t="str">
        <x:v>否</x:v>
      </x:c>
      <x:c r="T1073" s="12" t="str">
        <x:v>否</x:v>
      </x:c>
      <x:c r="U1073" s="12" t="str">
        <x:v>未提供</x:v>
      </x:c>
      <x:c r="V1073" s="12" t="str">
        <x:v>未提供</x:v>
      </x:c>
      <x:c r="W1073" s="12" t="str">
        <x:v>秒级预测</x:v>
      </x:c>
      <x:c r="X1073" s="12" t="str">
        <x:v>基于路线秒级参数；如录入实测或手动采用秒，预计到达时间可随公式更新</x:v>
      </x:c>
    </x:row>
    <x:row r="1074">
      <x:c r="A1074" s="12" t="str">
        <x:v>S0090-09</x:v>
      </x:c>
      <x:c r="B1074" s="12" t="str">
        <x:v>S0090</x:v>
      </x:c>
      <x:c r="C1074" s="12" t="str">
        <x:v>工作日</x:v>
      </x:c>
      <x:c r="D1074" s="12" t="str">
        <x:v>环线2路</x:v>
      </x:c>
      <x:c r="E1074" s="12" t="str">
        <x:v>第二班</x:v>
      </x:c>
      <x:c r="F1074" s="12" t="n">
        <x:v>1</x:v>
      </x:c>
      <x:c r="G1074" s="12" t="str">
        <x:v>14:25</x:v>
      </x:c>
      <x:c r="H1074" s="12" t="n">
        <x:v>865</x:v>
      </x:c>
      <x:c r="I1074" s="12" t="str">
        <x:v>研究生宿舍楼</x:v>
      </x:c>
      <x:c r="J1074" s="12" t="str">
        <x:v>研究生宿舍楼发车</x:v>
      </x:c>
      <x:c r="K1074" s="12" t="str">
        <x:v>HX2_NORMAL</x:v>
      </x:c>
      <x:c r="L1074" s="12" t="n">
        <x:v>9</x:v>
      </x:c>
      <x:c r="M1074" s="12" t="str">
        <x:v>HX2_NORMAL|9</x:v>
      </x:c>
      <x:c r="N1074" s="12" t="str">
        <x:v>305教学楼</x:v>
      </x:c>
      <x:c r="O1074" s="12" t="n">
        <x:f>IFERROR(INDEX('秒级路线参数_可调整'!$O:$O,MATCH(M1074,'秒级路线参数_可调整'!$A:$A,0)),"")</x:f>
        <x:v>535</x:v>
      </x:c>
      <x:c r="P1074" s="12" t="n">
        <x:f>IF(O1074="","",O1074/86400)</x:f>
        <x:v>0.00619212962962963</x:v>
      </x:c>
      <x:c r="Q1074" s="12" t="n">
        <x:f>IF(O1074="","",(H1074*60+O1074)/86400)</x:f>
        <x:v>0.6068865740740741</x:v>
      </x:c>
      <x:c r="R1074" s="12" t="str">
        <x:f>IF(Q1074="","",TEXT(Q1074,"hh:mm:ss"))</x:f>
        <x:v>14:33:55</x:v>
      </x:c>
      <x:c r="S1074" s="12" t="str">
        <x:v>否</x:v>
      </x:c>
      <x:c r="T1074" s="12" t="str">
        <x:v>否</x:v>
      </x:c>
      <x:c r="U1074" s="12" t="str">
        <x:v>未提供</x:v>
      </x:c>
      <x:c r="V1074" s="12" t="str">
        <x:v>未提供</x:v>
      </x:c>
      <x:c r="W1074" s="12" t="str">
        <x:v>秒级预测</x:v>
      </x:c>
      <x:c r="X1074" s="12" t="str">
        <x:v>基于路线秒级参数；如录入实测或手动采用秒，预计到达时间可随公式更新</x:v>
      </x:c>
    </x:row>
    <x:row r="1075">
      <x:c r="A1075" s="12" t="str">
        <x:v>S0090-10</x:v>
      </x:c>
      <x:c r="B1075" s="12" t="str">
        <x:v>S0090</x:v>
      </x:c>
      <x:c r="C1075" s="12" t="str">
        <x:v>工作日</x:v>
      </x:c>
      <x:c r="D1075" s="12" t="str">
        <x:v>环线2路</x:v>
      </x:c>
      <x:c r="E1075" s="12" t="str">
        <x:v>第二班</x:v>
      </x:c>
      <x:c r="F1075" s="12" t="n">
        <x:v>1</x:v>
      </x:c>
      <x:c r="G1075" s="12" t="str">
        <x:v>14:25</x:v>
      </x:c>
      <x:c r="H1075" s="12" t="n">
        <x:v>865</x:v>
      </x:c>
      <x:c r="I1075" s="12" t="str">
        <x:v>研究生宿舍楼</x:v>
      </x:c>
      <x:c r="J1075" s="12" t="str">
        <x:v>研究生宿舍楼发车</x:v>
      </x:c>
      <x:c r="K1075" s="12" t="str">
        <x:v>HX2_NORMAL</x:v>
      </x:c>
      <x:c r="L1075" s="12" t="n">
        <x:v>10</x:v>
      </x:c>
      <x:c r="M1075" s="12" t="str">
        <x:v>HX2_NORMAL|10</x:v>
      </x:c>
      <x:c r="N1075" s="12" t="str">
        <x:v>研究生宿舍楼</x:v>
      </x:c>
      <x:c r="O1075" s="12" t="n">
        <x:f>IFERROR(INDEX('秒级路线参数_可调整'!$O:$O,MATCH(M1075,'秒级路线参数_可调整'!$A:$A,0)),"")</x:f>
        <x:v>715</x:v>
      </x:c>
      <x:c r="P1075" s="12" t="n">
        <x:f>IF(O1075="","",O1075/86400)</x:f>
        <x:v>0.008275462962962964</x:v>
      </x:c>
      <x:c r="Q1075" s="12" t="n">
        <x:f>IF(O1075="","",(H1075*60+O1075)/86400)</x:f>
        <x:v>0.6089699074074074</x:v>
      </x:c>
      <x:c r="R1075" s="12" t="str">
        <x:f>IF(Q1075="","",TEXT(Q1075,"hh:mm:ss"))</x:f>
        <x:v>14:36:55</x:v>
      </x:c>
      <x:c r="S1075" s="12" t="str">
        <x:v>否</x:v>
      </x:c>
      <x:c r="T1075" s="12" t="str">
        <x:v>是</x:v>
      </x:c>
      <x:c r="U1075" s="12" t="str">
        <x:v>未提供</x:v>
      </x:c>
      <x:c r="V1075" s="12" t="str">
        <x:v>未提供</x:v>
      </x:c>
      <x:c r="W1075" s="12" t="str">
        <x:v>秒级预测</x:v>
      </x:c>
      <x:c r="X1075" s="12" t="str">
        <x:v>基于路线秒级参数；如录入实测或手动采用秒，预计到达时间可随公式更新</x:v>
      </x:c>
    </x:row>
    <x:row r="1076">
      <x:c r="A1076" s="12" t="str">
        <x:v>S0091-01</x:v>
      </x:c>
      <x:c r="B1076" s="12" t="str">
        <x:v>S0091</x:v>
      </x:c>
      <x:c r="C1076" s="12" t="str">
        <x:v>工作日</x:v>
      </x:c>
      <x:c r="D1076" s="12" t="str">
        <x:v>环线2路</x:v>
      </x:c>
      <x:c r="E1076" s="12" t="str">
        <x:v>第二班</x:v>
      </x:c>
      <x:c r="F1076" s="12" t="n">
        <x:v>2</x:v>
      </x:c>
      <x:c r="G1076" s="12" t="str">
        <x:v>14:40</x:v>
      </x:c>
      <x:c r="H1076" s="12" t="n">
        <x:v>880</x:v>
      </x:c>
      <x:c r="I1076" s="12" t="str">
        <x:v>研究生宿舍楼</x:v>
      </x:c>
      <x:c r="J1076" s="12" t="str">
        <x:v>研究生宿舍楼发车</x:v>
      </x:c>
      <x:c r="K1076" s="12" t="str">
        <x:v>HX2_NORMAL</x:v>
      </x:c>
      <x:c r="L1076" s="12" t="n">
        <x:v>1</x:v>
      </x:c>
      <x:c r="M1076" s="12" t="str">
        <x:v>HX2_NORMAL|1</x:v>
      </x:c>
      <x:c r="N1076" s="12" t="str">
        <x:v>研究生宿舍楼</x:v>
      </x:c>
      <x:c r="O1076" s="12" t="n">
        <x:f>IFERROR(INDEX('秒级路线参数_可调整'!$O:$O,MATCH(M1076,'秒级路线参数_可调整'!$A:$A,0)),"")</x:f>
        <x:v>0</x:v>
      </x:c>
      <x:c r="P1076" s="12" t="str">
        <x:f>IF(O1076="","",O1076/86400)</x:f>
      </x:c>
      <x:c r="Q1076" s="12" t="str">
        <x:f>IF(O1076="","",(H1076*60+O1076)/86400)</x:f>
      </x:c>
      <x:c r="R1076" s="12" t="str">
        <x:f>IF(Q1076="","",TEXT(Q1076,"hh:mm:ss"))</x:f>
      </x:c>
      <x:c r="S1076" s="12" t="str">
        <x:v>是</x:v>
      </x:c>
      <x:c r="T1076" s="12" t="str">
        <x:v>否</x:v>
      </x:c>
      <x:c r="U1076" s="12" t="str">
        <x:v>未提供</x:v>
      </x:c>
      <x:c r="V1076" s="12" t="str">
        <x:v>未提供</x:v>
      </x:c>
      <x:c r="W1076" s="12" t="str">
        <x:v>秒级预测</x:v>
      </x:c>
      <x:c r="X1076" s="12" t="str">
        <x:v>基于路线秒级参数；如录入实测或手动采用秒，预计到达时间可随公式更新</x:v>
      </x:c>
    </x:row>
    <x:row r="1077">
      <x:c r="A1077" s="12" t="str">
        <x:v>S0091-02</x:v>
      </x:c>
      <x:c r="B1077" s="12" t="str">
        <x:v>S0091</x:v>
      </x:c>
      <x:c r="C1077" s="12" t="str">
        <x:v>工作日</x:v>
      </x:c>
      <x:c r="D1077" s="12" t="str">
        <x:v>环线2路</x:v>
      </x:c>
      <x:c r="E1077" s="12" t="str">
        <x:v>第二班</x:v>
      </x:c>
      <x:c r="F1077" s="12" t="n">
        <x:v>2</x:v>
      </x:c>
      <x:c r="G1077" s="12" t="str">
        <x:v>14:40</x:v>
      </x:c>
      <x:c r="H1077" s="12" t="n">
        <x:v>880</x:v>
      </x:c>
      <x:c r="I1077" s="12" t="str">
        <x:v>研究生宿舍楼</x:v>
      </x:c>
      <x:c r="J1077" s="12" t="str">
        <x:v>研究生宿舍楼发车</x:v>
      </x:c>
      <x:c r="K1077" s="12" t="str">
        <x:v>HX2_NORMAL</x:v>
      </x:c>
      <x:c r="L1077" s="12" t="n">
        <x:v>2</x:v>
      </x:c>
      <x:c r="M1077" s="12" t="str">
        <x:v>HX2_NORMAL|2</x:v>
      </x:c>
      <x:c r="N1077" s="12" t="str">
        <x:v>一食堂</x:v>
      </x:c>
      <x:c r="O1077" s="12" t="n">
        <x:f>IFERROR(INDEX('秒级路线参数_可调整'!$O:$O,MATCH(M1077,'秒级路线参数_可调整'!$A:$A,0)),"")</x:f>
        <x:v>65</x:v>
      </x:c>
      <x:c r="P1077" s="12" t="n">
        <x:f>IF(O1077="","",O1077/86400)</x:f>
        <x:v>0.0007523148148148148</x:v>
      </x:c>
      <x:c r="Q1077" s="12" t="n">
        <x:f>IF(O1077="","",(H1077*60+O1077)/86400)</x:f>
        <x:v>0.6118634259259259</x:v>
      </x:c>
      <x:c r="R1077" s="12" t="str">
        <x:f>IF(Q1077="","",TEXT(Q1077,"hh:mm:ss"))</x:f>
        <x:v>14:41:05</x:v>
      </x:c>
      <x:c r="S1077" s="12" t="str">
        <x:v>否</x:v>
      </x:c>
      <x:c r="T1077" s="12" t="str">
        <x:v>否</x:v>
      </x:c>
      <x:c r="U1077" s="12" t="str">
        <x:v>未提供</x:v>
      </x:c>
      <x:c r="V1077" s="12" t="str">
        <x:v>未提供</x:v>
      </x:c>
      <x:c r="W1077" s="12" t="str">
        <x:v>秒级预测</x:v>
      </x:c>
      <x:c r="X1077" s="12" t="str">
        <x:v>基于路线秒级参数；如录入实测或手动采用秒，预计到达时间可随公式更新</x:v>
      </x:c>
    </x:row>
    <x:row r="1078">
      <x:c r="A1078" s="12" t="str">
        <x:v>S0091-03</x:v>
      </x:c>
      <x:c r="B1078" s="12" t="str">
        <x:v>S0091</x:v>
      </x:c>
      <x:c r="C1078" s="12" t="str">
        <x:v>工作日</x:v>
      </x:c>
      <x:c r="D1078" s="12" t="str">
        <x:v>环线2路</x:v>
      </x:c>
      <x:c r="E1078" s="12" t="str">
        <x:v>第二班</x:v>
      </x:c>
      <x:c r="F1078" s="12" t="n">
        <x:v>2</x:v>
      </x:c>
      <x:c r="G1078" s="12" t="str">
        <x:v>14:40</x:v>
      </x:c>
      <x:c r="H1078" s="12" t="n">
        <x:v>880</x:v>
      </x:c>
      <x:c r="I1078" s="12" t="str">
        <x:v>研究生宿舍楼</x:v>
      </x:c>
      <x:c r="J1078" s="12" t="str">
        <x:v>研究生宿舍楼发车</x:v>
      </x:c>
      <x:c r="K1078" s="12" t="str">
        <x:v>HX2_NORMAL</x:v>
      </x:c>
      <x:c r="L1078" s="12" t="n">
        <x:v>3</x:v>
      </x:c>
      <x:c r="M1078" s="12" t="str">
        <x:v>HX2_NORMAL|3</x:v>
      </x:c>
      <x:c r="N1078" s="12" t="str">
        <x:v>门诊部</x:v>
      </x:c>
      <x:c r="O1078" s="12" t="n">
        <x:f>IFERROR(INDEX('秒级路线参数_可调整'!$O:$O,MATCH(M1078,'秒级路线参数_可调整'!$A:$A,0)),"")</x:f>
        <x:v>120</x:v>
      </x:c>
      <x:c r="P1078" s="12" t="n">
        <x:f>IF(O1078="","",O1078/86400)</x:f>
        <x:v>0.001388888888888889</x:v>
      </x:c>
      <x:c r="Q1078" s="12" t="n">
        <x:f>IF(O1078="","",(H1078*60+O1078)/86400)</x:f>
        <x:v>0.6125</x:v>
      </x:c>
      <x:c r="R1078" s="12" t="str">
        <x:f>IF(Q1078="","",TEXT(Q1078,"hh:mm:ss"))</x:f>
        <x:v>14:42:00</x:v>
      </x:c>
      <x:c r="S1078" s="12" t="str">
        <x:v>否</x:v>
      </x:c>
      <x:c r="T1078" s="12" t="str">
        <x:v>否</x:v>
      </x:c>
      <x:c r="U1078" s="12" t="str">
        <x:v>未提供</x:v>
      </x:c>
      <x:c r="V1078" s="12" t="str">
        <x:v>未提供</x:v>
      </x:c>
      <x:c r="W1078" s="12" t="str">
        <x:v>秒级预测</x:v>
      </x:c>
      <x:c r="X1078" s="12" t="str">
        <x:v>基于路线秒级参数；如录入实测或手动采用秒，预计到达时间可随公式更新</x:v>
      </x:c>
    </x:row>
    <x:row r="1079">
      <x:c r="A1079" s="12" t="str">
        <x:v>S0091-04</x:v>
      </x:c>
      <x:c r="B1079" s="12" t="str">
        <x:v>S0091</x:v>
      </x:c>
      <x:c r="C1079" s="12" t="str">
        <x:v>工作日</x:v>
      </x:c>
      <x:c r="D1079" s="12" t="str">
        <x:v>环线2路</x:v>
      </x:c>
      <x:c r="E1079" s="12" t="str">
        <x:v>第二班</x:v>
      </x:c>
      <x:c r="F1079" s="12" t="n">
        <x:v>2</x:v>
      </x:c>
      <x:c r="G1079" s="12" t="str">
        <x:v>14:40</x:v>
      </x:c>
      <x:c r="H1079" s="12" t="n">
        <x:v>880</x:v>
      </x:c>
      <x:c r="I1079" s="12" t="str">
        <x:v>研究生宿舍楼</x:v>
      </x:c>
      <x:c r="J1079" s="12" t="str">
        <x:v>研究生宿舍楼发车</x:v>
      </x:c>
      <x:c r="K1079" s="12" t="str">
        <x:v>HX2_NORMAL</x:v>
      </x:c>
      <x:c r="L1079" s="12" t="n">
        <x:v>4</x:v>
      </x:c>
      <x:c r="M1079" s="12" t="str">
        <x:v>HX2_NORMAL|4</x:v>
      </x:c>
      <x:c r="N1079" s="12" t="str">
        <x:v>1号宿舍楼</x:v>
      </x:c>
      <x:c r="O1079" s="12" t="n">
        <x:f>IFERROR(INDEX('秒级路线参数_可调整'!$O:$O,MATCH(M1079,'秒级路线参数_可调整'!$A:$A,0)),"")</x:f>
        <x:v>165</x:v>
      </x:c>
      <x:c r="P1079" s="12" t="n">
        <x:f>IF(O1079="","",O1079/86400)</x:f>
        <x:v>0.0019097222222222222</x:v>
      </x:c>
      <x:c r="Q1079" s="12" t="n">
        <x:f>IF(O1079="","",(H1079*60+O1079)/86400)</x:f>
        <x:v>0.6130208333333333</x:v>
      </x:c>
      <x:c r="R1079" s="12" t="str">
        <x:f>IF(Q1079="","",TEXT(Q1079,"hh:mm:ss"))</x:f>
        <x:v>14:42:45</x:v>
      </x:c>
      <x:c r="S1079" s="12" t="str">
        <x:v>否</x:v>
      </x:c>
      <x:c r="T1079" s="12" t="str">
        <x:v>否</x:v>
      </x:c>
      <x:c r="U1079" s="12" t="str">
        <x:v>未提供</x:v>
      </x:c>
      <x:c r="V1079" s="12" t="str">
        <x:v>未提供</x:v>
      </x:c>
      <x:c r="W1079" s="12" t="str">
        <x:v>秒级预测</x:v>
      </x:c>
      <x:c r="X1079" s="12" t="str">
        <x:v>基于路线秒级参数；如录入实测或手动采用秒，预计到达时间可随公式更新</x:v>
      </x:c>
    </x:row>
    <x:row r="1080">
      <x:c r="A1080" s="12" t="str">
        <x:v>S0091-05</x:v>
      </x:c>
      <x:c r="B1080" s="12" t="str">
        <x:v>S0091</x:v>
      </x:c>
      <x:c r="C1080" s="12" t="str">
        <x:v>工作日</x:v>
      </x:c>
      <x:c r="D1080" s="12" t="str">
        <x:v>环线2路</x:v>
      </x:c>
      <x:c r="E1080" s="12" t="str">
        <x:v>第二班</x:v>
      </x:c>
      <x:c r="F1080" s="12" t="n">
        <x:v>2</x:v>
      </x:c>
      <x:c r="G1080" s="12" t="str">
        <x:v>14:40</x:v>
      </x:c>
      <x:c r="H1080" s="12" t="n">
        <x:v>880</x:v>
      </x:c>
      <x:c r="I1080" s="12" t="str">
        <x:v>研究生宿舍楼</x:v>
      </x:c>
      <x:c r="J1080" s="12" t="str">
        <x:v>研究生宿舍楼发车</x:v>
      </x:c>
      <x:c r="K1080" s="12" t="str">
        <x:v>HX2_NORMAL</x:v>
      </x:c>
      <x:c r="L1080" s="12" t="n">
        <x:v>5</x:v>
      </x:c>
      <x:c r="M1080" s="12" t="str">
        <x:v>HX2_NORMAL|5</x:v>
      </x:c>
      <x:c r="N1080" s="12" t="str">
        <x:v>水上训练中心</x:v>
      </x:c>
      <x:c r="O1080" s="12" t="n">
        <x:f>IFERROR(INDEX('秒级路线参数_可调整'!$O:$O,MATCH(M1080,'秒级路线参数_可调整'!$A:$A,0)),"")</x:f>
        <x:v>250</x:v>
      </x:c>
      <x:c r="P1080" s="12" t="n">
        <x:f>IF(O1080="","",O1080/86400)</x:f>
        <x:v>0.0028935185185185184</x:v>
      </x:c>
      <x:c r="Q1080" s="12" t="n">
        <x:f>IF(O1080="","",(H1080*60+O1080)/86400)</x:f>
        <x:v>0.6140046296296297</x:v>
      </x:c>
      <x:c r="R1080" s="12" t="str">
        <x:f>IF(Q1080="","",TEXT(Q1080,"hh:mm:ss"))</x:f>
        <x:v>14:44:10</x:v>
      </x:c>
      <x:c r="S1080" s="12" t="str">
        <x:v>否</x:v>
      </x:c>
      <x:c r="T1080" s="12" t="str">
        <x:v>否</x:v>
      </x:c>
      <x:c r="U1080" s="12" t="str">
        <x:v>未提供</x:v>
      </x:c>
      <x:c r="V1080" s="12" t="str">
        <x:v>未提供</x:v>
      </x:c>
      <x:c r="W1080" s="12" t="str">
        <x:v>秒级预测</x:v>
      </x:c>
      <x:c r="X1080" s="12" t="str">
        <x:v>基于路线秒级参数；如录入实测或手动采用秒，预计到达时间可随公式更新</x:v>
      </x:c>
    </x:row>
    <x:row r="1081">
      <x:c r="A1081" s="12" t="str">
        <x:v>S0091-06</x:v>
      </x:c>
      <x:c r="B1081" s="12" t="str">
        <x:v>S0091</x:v>
      </x:c>
      <x:c r="C1081" s="12" t="str">
        <x:v>工作日</x:v>
      </x:c>
      <x:c r="D1081" s="12" t="str">
        <x:v>环线2路</x:v>
      </x:c>
      <x:c r="E1081" s="12" t="str">
        <x:v>第二班</x:v>
      </x:c>
      <x:c r="F1081" s="12" t="n">
        <x:v>2</x:v>
      </x:c>
      <x:c r="G1081" s="12" t="str">
        <x:v>14:40</x:v>
      </x:c>
      <x:c r="H1081" s="12" t="n">
        <x:v>880</x:v>
      </x:c>
      <x:c r="I1081" s="12" t="str">
        <x:v>研究生宿舍楼</x:v>
      </x:c>
      <x:c r="J1081" s="12" t="str">
        <x:v>研究生宿舍楼发车</x:v>
      </x:c>
      <x:c r="K1081" s="12" t="str">
        <x:v>HX2_NORMAL</x:v>
      </x:c>
      <x:c r="L1081" s="12" t="n">
        <x:v>6</x:v>
      </x:c>
      <x:c r="M1081" s="12" t="str">
        <x:v>HX2_NORMAL|6</x:v>
      </x:c>
      <x:c r="N1081" s="12" t="str">
        <x:v>军体活动中心</x:v>
      </x:c>
      <x:c r="O1081" s="12" t="n">
        <x:f>IFERROR(INDEX('秒级路线参数_可调整'!$O:$O,MATCH(M1081,'秒级路线参数_可调整'!$A:$A,0)),"")</x:f>
        <x:v>315</x:v>
      </x:c>
      <x:c r="P1081" s="12" t="n">
        <x:f>IF(O1081="","",O1081/86400)</x:f>
        <x:v>0.0036458333333333334</x:v>
      </x:c>
      <x:c r="Q1081" s="12" t="n">
        <x:f>IF(O1081="","",(H1081*60+O1081)/86400)</x:f>
        <x:v>0.6147569444444444</x:v>
      </x:c>
      <x:c r="R1081" s="12" t="str">
        <x:f>IF(Q1081="","",TEXT(Q1081,"hh:mm:ss"))</x:f>
        <x:v>14:45:15</x:v>
      </x:c>
      <x:c r="S1081" s="12" t="str">
        <x:v>否</x:v>
      </x:c>
      <x:c r="T1081" s="12" t="str">
        <x:v>否</x:v>
      </x:c>
      <x:c r="U1081" s="12" t="str">
        <x:v>未提供</x:v>
      </x:c>
      <x:c r="V1081" s="12" t="str">
        <x:v>未提供</x:v>
      </x:c>
      <x:c r="W1081" s="12" t="str">
        <x:v>秒级预测</x:v>
      </x:c>
      <x:c r="X1081" s="12" t="str">
        <x:v>基于路线秒级参数；如录入实测或手动采用秒，预计到达时间可随公式更新</x:v>
      </x:c>
    </x:row>
    <x:row r="1082">
      <x:c r="A1082" s="12" t="str">
        <x:v>S0091-07</x:v>
      </x:c>
      <x:c r="B1082" s="12" t="str">
        <x:v>S0091</x:v>
      </x:c>
      <x:c r="C1082" s="12" t="str">
        <x:v>工作日</x:v>
      </x:c>
      <x:c r="D1082" s="12" t="str">
        <x:v>环线2路</x:v>
      </x:c>
      <x:c r="E1082" s="12" t="str">
        <x:v>第二班</x:v>
      </x:c>
      <x:c r="F1082" s="12" t="n">
        <x:v>2</x:v>
      </x:c>
      <x:c r="G1082" s="12" t="str">
        <x:v>14:40</x:v>
      </x:c>
      <x:c r="H1082" s="12" t="n">
        <x:v>880</x:v>
      </x:c>
      <x:c r="I1082" s="12" t="str">
        <x:v>研究生宿舍楼</x:v>
      </x:c>
      <x:c r="J1082" s="12" t="str">
        <x:v>研究生宿舍楼发车</x:v>
      </x:c>
      <x:c r="K1082" s="12" t="str">
        <x:v>HX2_NORMAL</x:v>
      </x:c>
      <x:c r="L1082" s="12" t="n">
        <x:v>7</x:v>
      </x:c>
      <x:c r="M1082" s="12" t="str">
        <x:v>HX2_NORMAL|7</x:v>
      </x:c>
      <x:c r="N1082" s="12" t="str">
        <x:v>二食堂</x:v>
      </x:c>
      <x:c r="O1082" s="12" t="n">
        <x:f>IFERROR(INDEX('秒级路线参数_可调整'!$O:$O,MATCH(M1082,'秒级路线参数_可调整'!$A:$A,0)),"")</x:f>
        <x:v>420</x:v>
      </x:c>
      <x:c r="P1082" s="12" t="n">
        <x:f>IF(O1082="","",O1082/86400)</x:f>
        <x:v>0.004861111111111111</x:v>
      </x:c>
      <x:c r="Q1082" s="12" t="n">
        <x:f>IF(O1082="","",(H1082*60+O1082)/86400)</x:f>
        <x:v>0.6159722222222223</x:v>
      </x:c>
      <x:c r="R1082" s="12" t="str">
        <x:f>IF(Q1082="","",TEXT(Q1082,"hh:mm:ss"))</x:f>
        <x:v>14:47:00</x:v>
      </x:c>
      <x:c r="S1082" s="12" t="str">
        <x:v>否</x:v>
      </x:c>
      <x:c r="T1082" s="12" t="str">
        <x:v>否</x:v>
      </x:c>
      <x:c r="U1082" s="12" t="str">
        <x:v>未提供</x:v>
      </x:c>
      <x:c r="V1082" s="12" t="str">
        <x:v>未提供</x:v>
      </x:c>
      <x:c r="W1082" s="12" t="str">
        <x:v>秒级预测</x:v>
      </x:c>
      <x:c r="X1082" s="12" t="str">
        <x:v>基于路线秒级参数；如录入实测或手动采用秒，预计到达时间可随公式更新</x:v>
      </x:c>
    </x:row>
    <x:row r="1083">
      <x:c r="A1083" s="12" t="str">
        <x:v>S0091-08</x:v>
      </x:c>
      <x:c r="B1083" s="12" t="str">
        <x:v>S0091</x:v>
      </x:c>
      <x:c r="C1083" s="12" t="str">
        <x:v>工作日</x:v>
      </x:c>
      <x:c r="D1083" s="12" t="str">
        <x:v>环线2路</x:v>
      </x:c>
      <x:c r="E1083" s="12" t="str">
        <x:v>第二班</x:v>
      </x:c>
      <x:c r="F1083" s="12" t="n">
        <x:v>2</x:v>
      </x:c>
      <x:c r="G1083" s="12" t="str">
        <x:v>14:40</x:v>
      </x:c>
      <x:c r="H1083" s="12" t="n">
        <x:v>880</x:v>
      </x:c>
      <x:c r="I1083" s="12" t="str">
        <x:v>研究生宿舍楼</x:v>
      </x:c>
      <x:c r="J1083" s="12" t="str">
        <x:v>研究生宿舍楼发车</x:v>
      </x:c>
      <x:c r="K1083" s="12" t="str">
        <x:v>HX2_NORMAL</x:v>
      </x:c>
      <x:c r="L1083" s="12" t="n">
        <x:v>8</x:v>
      </x:c>
      <x:c r="M1083" s="12" t="str">
        <x:v>HX2_NORMAL|8</x:v>
      </x:c>
      <x:c r="N1083" s="12" t="str">
        <x:v>5号宿舍楼</x:v>
      </x:c>
      <x:c r="O1083" s="12" t="n">
        <x:f>IFERROR(INDEX('秒级路线参数_可调整'!$O:$O,MATCH(M1083,'秒级路线参数_可调整'!$A:$A,0)),"")</x:f>
        <x:v>480</x:v>
      </x:c>
      <x:c r="P1083" s="12" t="n">
        <x:f>IF(O1083="","",O1083/86400)</x:f>
        <x:v>0.005555555555555556</x:v>
      </x:c>
      <x:c r="Q1083" s="12" t="n">
        <x:f>IF(O1083="","",(H1083*60+O1083)/86400)</x:f>
        <x:v>0.6166666666666667</x:v>
      </x:c>
      <x:c r="R1083" s="12" t="str">
        <x:f>IF(Q1083="","",TEXT(Q1083,"hh:mm:ss"))</x:f>
        <x:v>14:48:00</x:v>
      </x:c>
      <x:c r="S1083" s="12" t="str">
        <x:v>否</x:v>
      </x:c>
      <x:c r="T1083" s="12" t="str">
        <x:v>否</x:v>
      </x:c>
      <x:c r="U1083" s="12" t="str">
        <x:v>未提供</x:v>
      </x:c>
      <x:c r="V1083" s="12" t="str">
        <x:v>未提供</x:v>
      </x:c>
      <x:c r="W1083" s="12" t="str">
        <x:v>秒级预测</x:v>
      </x:c>
      <x:c r="X1083" s="12" t="str">
        <x:v>基于路线秒级参数；如录入实测或手动采用秒，预计到达时间可随公式更新</x:v>
      </x:c>
    </x:row>
    <x:row r="1084">
      <x:c r="A1084" s="12" t="str">
        <x:v>S0091-09</x:v>
      </x:c>
      <x:c r="B1084" s="12" t="str">
        <x:v>S0091</x:v>
      </x:c>
      <x:c r="C1084" s="12" t="str">
        <x:v>工作日</x:v>
      </x:c>
      <x:c r="D1084" s="12" t="str">
        <x:v>环线2路</x:v>
      </x:c>
      <x:c r="E1084" s="12" t="str">
        <x:v>第二班</x:v>
      </x:c>
      <x:c r="F1084" s="12" t="n">
        <x:v>2</x:v>
      </x:c>
      <x:c r="G1084" s="12" t="str">
        <x:v>14:40</x:v>
      </x:c>
      <x:c r="H1084" s="12" t="n">
        <x:v>880</x:v>
      </x:c>
      <x:c r="I1084" s="12" t="str">
        <x:v>研究生宿舍楼</x:v>
      </x:c>
      <x:c r="J1084" s="12" t="str">
        <x:v>研究生宿舍楼发车</x:v>
      </x:c>
      <x:c r="K1084" s="12" t="str">
        <x:v>HX2_NORMAL</x:v>
      </x:c>
      <x:c r="L1084" s="12" t="n">
        <x:v>9</x:v>
      </x:c>
      <x:c r="M1084" s="12" t="str">
        <x:v>HX2_NORMAL|9</x:v>
      </x:c>
      <x:c r="N1084" s="12" t="str">
        <x:v>305教学楼</x:v>
      </x:c>
      <x:c r="O1084" s="12" t="n">
        <x:f>IFERROR(INDEX('秒级路线参数_可调整'!$O:$O,MATCH(M1084,'秒级路线参数_可调整'!$A:$A,0)),"")</x:f>
        <x:v>535</x:v>
      </x:c>
      <x:c r="P1084" s="12" t="n">
        <x:f>IF(O1084="","",O1084/86400)</x:f>
        <x:v>0.00619212962962963</x:v>
      </x:c>
      <x:c r="Q1084" s="12" t="n">
        <x:f>IF(O1084="","",(H1084*60+O1084)/86400)</x:f>
        <x:v>0.6173032407407407</x:v>
      </x:c>
      <x:c r="R1084" s="12" t="str">
        <x:f>IF(Q1084="","",TEXT(Q1084,"hh:mm:ss"))</x:f>
        <x:v>14:48:55</x:v>
      </x:c>
      <x:c r="S1084" s="12" t="str">
        <x:v>否</x:v>
      </x:c>
      <x:c r="T1084" s="12" t="str">
        <x:v>否</x:v>
      </x:c>
      <x:c r="U1084" s="12" t="str">
        <x:v>未提供</x:v>
      </x:c>
      <x:c r="V1084" s="12" t="str">
        <x:v>未提供</x:v>
      </x:c>
      <x:c r="W1084" s="12" t="str">
        <x:v>秒级预测</x:v>
      </x:c>
      <x:c r="X1084" s="12" t="str">
        <x:v>基于路线秒级参数；如录入实测或手动采用秒，预计到达时间可随公式更新</x:v>
      </x:c>
    </x:row>
    <x:row r="1085">
      <x:c r="A1085" s="12" t="str">
        <x:v>S0091-10</x:v>
      </x:c>
      <x:c r="B1085" s="12" t="str">
        <x:v>S0091</x:v>
      </x:c>
      <x:c r="C1085" s="12" t="str">
        <x:v>工作日</x:v>
      </x:c>
      <x:c r="D1085" s="12" t="str">
        <x:v>环线2路</x:v>
      </x:c>
      <x:c r="E1085" s="12" t="str">
        <x:v>第二班</x:v>
      </x:c>
      <x:c r="F1085" s="12" t="n">
        <x:v>2</x:v>
      </x:c>
      <x:c r="G1085" s="12" t="str">
        <x:v>14:40</x:v>
      </x:c>
      <x:c r="H1085" s="12" t="n">
        <x:v>880</x:v>
      </x:c>
      <x:c r="I1085" s="12" t="str">
        <x:v>研究生宿舍楼</x:v>
      </x:c>
      <x:c r="J1085" s="12" t="str">
        <x:v>研究生宿舍楼发车</x:v>
      </x:c>
      <x:c r="K1085" s="12" t="str">
        <x:v>HX2_NORMAL</x:v>
      </x:c>
      <x:c r="L1085" s="12" t="n">
        <x:v>10</x:v>
      </x:c>
      <x:c r="M1085" s="12" t="str">
        <x:v>HX2_NORMAL|10</x:v>
      </x:c>
      <x:c r="N1085" s="12" t="str">
        <x:v>研究生宿舍楼</x:v>
      </x:c>
      <x:c r="O1085" s="12" t="n">
        <x:f>IFERROR(INDEX('秒级路线参数_可调整'!$O:$O,MATCH(M1085,'秒级路线参数_可调整'!$A:$A,0)),"")</x:f>
        <x:v>715</x:v>
      </x:c>
      <x:c r="P1085" s="12" t="n">
        <x:f>IF(O1085="","",O1085/86400)</x:f>
        <x:v>0.008275462962962964</x:v>
      </x:c>
      <x:c r="Q1085" s="12" t="n">
        <x:f>IF(O1085="","",(H1085*60+O1085)/86400)</x:f>
        <x:v>0.619386574074074</x:v>
      </x:c>
      <x:c r="R1085" s="12" t="str">
        <x:f>IF(Q1085="","",TEXT(Q1085,"hh:mm:ss"))</x:f>
        <x:v>14:51:55</x:v>
      </x:c>
      <x:c r="S1085" s="12" t="str">
        <x:v>否</x:v>
      </x:c>
      <x:c r="T1085" s="12" t="str">
        <x:v>是</x:v>
      </x:c>
      <x:c r="U1085" s="12" t="str">
        <x:v>未提供</x:v>
      </x:c>
      <x:c r="V1085" s="12" t="str">
        <x:v>未提供</x:v>
      </x:c>
      <x:c r="W1085" s="12" t="str">
        <x:v>秒级预测</x:v>
      </x:c>
      <x:c r="X1085" s="12" t="str">
        <x:v>基于路线秒级参数；如录入实测或手动采用秒，预计到达时间可随公式更新</x:v>
      </x:c>
    </x:row>
    <x:row r="1086">
      <x:c r="A1086" s="12" t="str">
        <x:v>S0092-01</x:v>
      </x:c>
      <x:c r="B1086" s="12" t="str">
        <x:v>S0092</x:v>
      </x:c>
      <x:c r="C1086" s="12" t="str">
        <x:v>工作日</x:v>
      </x:c>
      <x:c r="D1086" s="12" t="str">
        <x:v>环线2路</x:v>
      </x:c>
      <x:c r="E1086" s="12" t="str">
        <x:v>第二班</x:v>
      </x:c>
      <x:c r="F1086" s="12" t="n">
        <x:v>3</x:v>
      </x:c>
      <x:c r="G1086" s="12" t="str">
        <x:v>15:00</x:v>
      </x:c>
      <x:c r="H1086" s="12" t="n">
        <x:v>900</x:v>
      </x:c>
      <x:c r="I1086" s="12" t="str">
        <x:v>研究生宿舍楼</x:v>
      </x:c>
      <x:c r="J1086" s="12" t="str">
        <x:v>研究生宿舍楼发车</x:v>
      </x:c>
      <x:c r="K1086" s="12" t="str">
        <x:v>HX2_NORMAL</x:v>
      </x:c>
      <x:c r="L1086" s="12" t="n">
        <x:v>1</x:v>
      </x:c>
      <x:c r="M1086" s="12" t="str">
        <x:v>HX2_NORMAL|1</x:v>
      </x:c>
      <x:c r="N1086" s="12" t="str">
        <x:v>研究生宿舍楼</x:v>
      </x:c>
      <x:c r="O1086" s="12" t="n">
        <x:f>IFERROR(INDEX('秒级路线参数_可调整'!$O:$O,MATCH(M1086,'秒级路线参数_可调整'!$A:$A,0)),"")</x:f>
        <x:v>0</x:v>
      </x:c>
      <x:c r="P1086" s="12" t="str">
        <x:f>IF(O1086="","",O1086/86400)</x:f>
      </x:c>
      <x:c r="Q1086" s="12" t="str">
        <x:f>IF(O1086="","",(H1086*60+O1086)/86400)</x:f>
      </x:c>
      <x:c r="R1086" s="12" t="str">
        <x:f>IF(Q1086="","",TEXT(Q1086,"hh:mm:ss"))</x:f>
      </x:c>
      <x:c r="S1086" s="12" t="str">
        <x:v>是</x:v>
      </x:c>
      <x:c r="T1086" s="12" t="str">
        <x:v>否</x:v>
      </x:c>
      <x:c r="U1086" s="12" t="str">
        <x:v>未提供</x:v>
      </x:c>
      <x:c r="V1086" s="12" t="str">
        <x:v>未提供</x:v>
      </x:c>
      <x:c r="W1086" s="12" t="str">
        <x:v>秒级预测</x:v>
      </x:c>
      <x:c r="X1086" s="12" t="str">
        <x:v>基于路线秒级参数；如录入实测或手动采用秒，预计到达时间可随公式更新</x:v>
      </x:c>
    </x:row>
    <x:row r="1087">
      <x:c r="A1087" s="12" t="str">
        <x:v>S0092-02</x:v>
      </x:c>
      <x:c r="B1087" s="12" t="str">
        <x:v>S0092</x:v>
      </x:c>
      <x:c r="C1087" s="12" t="str">
        <x:v>工作日</x:v>
      </x:c>
      <x:c r="D1087" s="12" t="str">
        <x:v>环线2路</x:v>
      </x:c>
      <x:c r="E1087" s="12" t="str">
        <x:v>第二班</x:v>
      </x:c>
      <x:c r="F1087" s="12" t="n">
        <x:v>3</x:v>
      </x:c>
      <x:c r="G1087" s="12" t="str">
        <x:v>15:00</x:v>
      </x:c>
      <x:c r="H1087" s="12" t="n">
        <x:v>900</x:v>
      </x:c>
      <x:c r="I1087" s="12" t="str">
        <x:v>研究生宿舍楼</x:v>
      </x:c>
      <x:c r="J1087" s="12" t="str">
        <x:v>研究生宿舍楼发车</x:v>
      </x:c>
      <x:c r="K1087" s="12" t="str">
        <x:v>HX2_NORMAL</x:v>
      </x:c>
      <x:c r="L1087" s="12" t="n">
        <x:v>2</x:v>
      </x:c>
      <x:c r="M1087" s="12" t="str">
        <x:v>HX2_NORMAL|2</x:v>
      </x:c>
      <x:c r="N1087" s="12" t="str">
        <x:v>一食堂</x:v>
      </x:c>
      <x:c r="O1087" s="12" t="n">
        <x:f>IFERROR(INDEX('秒级路线参数_可调整'!$O:$O,MATCH(M1087,'秒级路线参数_可调整'!$A:$A,0)),"")</x:f>
        <x:v>65</x:v>
      </x:c>
      <x:c r="P1087" s="12" t="n">
        <x:f>IF(O1087="","",O1087/86400)</x:f>
        <x:v>0.0007523148148148148</x:v>
      </x:c>
      <x:c r="Q1087" s="12" t="n">
        <x:f>IF(O1087="","",(H1087*60+O1087)/86400)</x:f>
        <x:v>0.6257523148148149</x:v>
      </x:c>
      <x:c r="R1087" s="12" t="str">
        <x:f>IF(Q1087="","",TEXT(Q1087,"hh:mm:ss"))</x:f>
        <x:v>15:01:05</x:v>
      </x:c>
      <x:c r="S1087" s="12" t="str">
        <x:v>否</x:v>
      </x:c>
      <x:c r="T1087" s="12" t="str">
        <x:v>否</x:v>
      </x:c>
      <x:c r="U1087" s="12" t="str">
        <x:v>未提供</x:v>
      </x:c>
      <x:c r="V1087" s="12" t="str">
        <x:v>未提供</x:v>
      </x:c>
      <x:c r="W1087" s="12" t="str">
        <x:v>秒级预测</x:v>
      </x:c>
      <x:c r="X1087" s="12" t="str">
        <x:v>基于路线秒级参数；如录入实测或手动采用秒，预计到达时间可随公式更新</x:v>
      </x:c>
    </x:row>
    <x:row r="1088">
      <x:c r="A1088" s="12" t="str">
        <x:v>S0092-03</x:v>
      </x:c>
      <x:c r="B1088" s="12" t="str">
        <x:v>S0092</x:v>
      </x:c>
      <x:c r="C1088" s="12" t="str">
        <x:v>工作日</x:v>
      </x:c>
      <x:c r="D1088" s="12" t="str">
        <x:v>环线2路</x:v>
      </x:c>
      <x:c r="E1088" s="12" t="str">
        <x:v>第二班</x:v>
      </x:c>
      <x:c r="F1088" s="12" t="n">
        <x:v>3</x:v>
      </x:c>
      <x:c r="G1088" s="12" t="str">
        <x:v>15:00</x:v>
      </x:c>
      <x:c r="H1088" s="12" t="n">
        <x:v>900</x:v>
      </x:c>
      <x:c r="I1088" s="12" t="str">
        <x:v>研究生宿舍楼</x:v>
      </x:c>
      <x:c r="J1088" s="12" t="str">
        <x:v>研究生宿舍楼发车</x:v>
      </x:c>
      <x:c r="K1088" s="12" t="str">
        <x:v>HX2_NORMAL</x:v>
      </x:c>
      <x:c r="L1088" s="12" t="n">
        <x:v>3</x:v>
      </x:c>
      <x:c r="M1088" s="12" t="str">
        <x:v>HX2_NORMAL|3</x:v>
      </x:c>
      <x:c r="N1088" s="12" t="str">
        <x:v>门诊部</x:v>
      </x:c>
      <x:c r="O1088" s="12" t="n">
        <x:f>IFERROR(INDEX('秒级路线参数_可调整'!$O:$O,MATCH(M1088,'秒级路线参数_可调整'!$A:$A,0)),"")</x:f>
        <x:v>120</x:v>
      </x:c>
      <x:c r="P1088" s="12" t="n">
        <x:f>IF(O1088="","",O1088/86400)</x:f>
        <x:v>0.001388888888888889</x:v>
      </x:c>
      <x:c r="Q1088" s="12" t="n">
        <x:f>IF(O1088="","",(H1088*60+O1088)/86400)</x:f>
        <x:v>0.6263888888888889</x:v>
      </x:c>
      <x:c r="R1088" s="12" t="str">
        <x:f>IF(Q1088="","",TEXT(Q1088,"hh:mm:ss"))</x:f>
        <x:v>15:02:00</x:v>
      </x:c>
      <x:c r="S1088" s="12" t="str">
        <x:v>否</x:v>
      </x:c>
      <x:c r="T1088" s="12" t="str">
        <x:v>否</x:v>
      </x:c>
      <x:c r="U1088" s="12" t="str">
        <x:v>未提供</x:v>
      </x:c>
      <x:c r="V1088" s="12" t="str">
        <x:v>未提供</x:v>
      </x:c>
      <x:c r="W1088" s="12" t="str">
        <x:v>秒级预测</x:v>
      </x:c>
      <x:c r="X1088" s="12" t="str">
        <x:v>基于路线秒级参数；如录入实测或手动采用秒，预计到达时间可随公式更新</x:v>
      </x:c>
    </x:row>
    <x:row r="1089">
      <x:c r="A1089" s="12" t="str">
        <x:v>S0092-04</x:v>
      </x:c>
      <x:c r="B1089" s="12" t="str">
        <x:v>S0092</x:v>
      </x:c>
      <x:c r="C1089" s="12" t="str">
        <x:v>工作日</x:v>
      </x:c>
      <x:c r="D1089" s="12" t="str">
        <x:v>环线2路</x:v>
      </x:c>
      <x:c r="E1089" s="12" t="str">
        <x:v>第二班</x:v>
      </x:c>
      <x:c r="F1089" s="12" t="n">
        <x:v>3</x:v>
      </x:c>
      <x:c r="G1089" s="12" t="str">
        <x:v>15:00</x:v>
      </x:c>
      <x:c r="H1089" s="12" t="n">
        <x:v>900</x:v>
      </x:c>
      <x:c r="I1089" s="12" t="str">
        <x:v>研究生宿舍楼</x:v>
      </x:c>
      <x:c r="J1089" s="12" t="str">
        <x:v>研究生宿舍楼发车</x:v>
      </x:c>
      <x:c r="K1089" s="12" t="str">
        <x:v>HX2_NORMAL</x:v>
      </x:c>
      <x:c r="L1089" s="12" t="n">
        <x:v>4</x:v>
      </x:c>
      <x:c r="M1089" s="12" t="str">
        <x:v>HX2_NORMAL|4</x:v>
      </x:c>
      <x:c r="N1089" s="12" t="str">
        <x:v>1号宿舍楼</x:v>
      </x:c>
      <x:c r="O1089" s="12" t="n">
        <x:f>IFERROR(INDEX('秒级路线参数_可调整'!$O:$O,MATCH(M1089,'秒级路线参数_可调整'!$A:$A,0)),"")</x:f>
        <x:v>165</x:v>
      </x:c>
      <x:c r="P1089" s="12" t="n">
        <x:f>IF(O1089="","",O1089/86400)</x:f>
        <x:v>0.0019097222222222222</x:v>
      </x:c>
      <x:c r="Q1089" s="12" t="n">
        <x:f>IF(O1089="","",(H1089*60+O1089)/86400)</x:f>
        <x:v>0.6269097222222222</x:v>
      </x:c>
      <x:c r="R1089" s="12" t="str">
        <x:f>IF(Q1089="","",TEXT(Q1089,"hh:mm:ss"))</x:f>
        <x:v>15:02:45</x:v>
      </x:c>
      <x:c r="S1089" s="12" t="str">
        <x:v>否</x:v>
      </x:c>
      <x:c r="T1089" s="12" t="str">
        <x:v>否</x:v>
      </x:c>
      <x:c r="U1089" s="12" t="str">
        <x:v>未提供</x:v>
      </x:c>
      <x:c r="V1089" s="12" t="str">
        <x:v>未提供</x:v>
      </x:c>
      <x:c r="W1089" s="12" t="str">
        <x:v>秒级预测</x:v>
      </x:c>
      <x:c r="X1089" s="12" t="str">
        <x:v>基于路线秒级参数；如录入实测或手动采用秒，预计到达时间可随公式更新</x:v>
      </x:c>
    </x:row>
    <x:row r="1090">
      <x:c r="A1090" s="12" t="str">
        <x:v>S0092-05</x:v>
      </x:c>
      <x:c r="B1090" s="12" t="str">
        <x:v>S0092</x:v>
      </x:c>
      <x:c r="C1090" s="12" t="str">
        <x:v>工作日</x:v>
      </x:c>
      <x:c r="D1090" s="12" t="str">
        <x:v>环线2路</x:v>
      </x:c>
      <x:c r="E1090" s="12" t="str">
        <x:v>第二班</x:v>
      </x:c>
      <x:c r="F1090" s="12" t="n">
        <x:v>3</x:v>
      </x:c>
      <x:c r="G1090" s="12" t="str">
        <x:v>15:00</x:v>
      </x:c>
      <x:c r="H1090" s="12" t="n">
        <x:v>900</x:v>
      </x:c>
      <x:c r="I1090" s="12" t="str">
        <x:v>研究生宿舍楼</x:v>
      </x:c>
      <x:c r="J1090" s="12" t="str">
        <x:v>研究生宿舍楼发车</x:v>
      </x:c>
      <x:c r="K1090" s="12" t="str">
        <x:v>HX2_NORMAL</x:v>
      </x:c>
      <x:c r="L1090" s="12" t="n">
        <x:v>5</x:v>
      </x:c>
      <x:c r="M1090" s="12" t="str">
        <x:v>HX2_NORMAL|5</x:v>
      </x:c>
      <x:c r="N1090" s="12" t="str">
        <x:v>水上训练中心</x:v>
      </x:c>
      <x:c r="O1090" s="12" t="n">
        <x:f>IFERROR(INDEX('秒级路线参数_可调整'!$O:$O,MATCH(M1090,'秒级路线参数_可调整'!$A:$A,0)),"")</x:f>
        <x:v>250</x:v>
      </x:c>
      <x:c r="P1090" s="12" t="n">
        <x:f>IF(O1090="","",O1090/86400)</x:f>
        <x:v>0.0028935185185185184</x:v>
      </x:c>
      <x:c r="Q1090" s="12" t="n">
        <x:f>IF(O1090="","",(H1090*60+O1090)/86400)</x:f>
        <x:v>0.6278935185185185</x:v>
      </x:c>
      <x:c r="R1090" s="12" t="str">
        <x:f>IF(Q1090="","",TEXT(Q1090,"hh:mm:ss"))</x:f>
        <x:v>15:04:10</x:v>
      </x:c>
      <x:c r="S1090" s="12" t="str">
        <x:v>否</x:v>
      </x:c>
      <x:c r="T1090" s="12" t="str">
        <x:v>否</x:v>
      </x:c>
      <x:c r="U1090" s="12" t="str">
        <x:v>未提供</x:v>
      </x:c>
      <x:c r="V1090" s="12" t="str">
        <x:v>未提供</x:v>
      </x:c>
      <x:c r="W1090" s="12" t="str">
        <x:v>秒级预测</x:v>
      </x:c>
      <x:c r="X1090" s="12" t="str">
        <x:v>基于路线秒级参数；如录入实测或手动采用秒，预计到达时间可随公式更新</x:v>
      </x:c>
    </x:row>
    <x:row r="1091">
      <x:c r="A1091" s="12" t="str">
        <x:v>S0092-06</x:v>
      </x:c>
      <x:c r="B1091" s="12" t="str">
        <x:v>S0092</x:v>
      </x:c>
      <x:c r="C1091" s="12" t="str">
        <x:v>工作日</x:v>
      </x:c>
      <x:c r="D1091" s="12" t="str">
        <x:v>环线2路</x:v>
      </x:c>
      <x:c r="E1091" s="12" t="str">
        <x:v>第二班</x:v>
      </x:c>
      <x:c r="F1091" s="12" t="n">
        <x:v>3</x:v>
      </x:c>
      <x:c r="G1091" s="12" t="str">
        <x:v>15:00</x:v>
      </x:c>
      <x:c r="H1091" s="12" t="n">
        <x:v>900</x:v>
      </x:c>
      <x:c r="I1091" s="12" t="str">
        <x:v>研究生宿舍楼</x:v>
      </x:c>
      <x:c r="J1091" s="12" t="str">
        <x:v>研究生宿舍楼发车</x:v>
      </x:c>
      <x:c r="K1091" s="12" t="str">
        <x:v>HX2_NORMAL</x:v>
      </x:c>
      <x:c r="L1091" s="12" t="n">
        <x:v>6</x:v>
      </x:c>
      <x:c r="M1091" s="12" t="str">
        <x:v>HX2_NORMAL|6</x:v>
      </x:c>
      <x:c r="N1091" s="12" t="str">
        <x:v>军体活动中心</x:v>
      </x:c>
      <x:c r="O1091" s="12" t="n">
        <x:f>IFERROR(INDEX('秒级路线参数_可调整'!$O:$O,MATCH(M1091,'秒级路线参数_可调整'!$A:$A,0)),"")</x:f>
        <x:v>315</x:v>
      </x:c>
      <x:c r="P1091" s="12" t="n">
        <x:f>IF(O1091="","",O1091/86400)</x:f>
        <x:v>0.0036458333333333334</x:v>
      </x:c>
      <x:c r="Q1091" s="12" t="n">
        <x:f>IF(O1091="","",(H1091*60+O1091)/86400)</x:f>
        <x:v>0.6286458333333333</x:v>
      </x:c>
      <x:c r="R1091" s="12" t="str">
        <x:f>IF(Q1091="","",TEXT(Q1091,"hh:mm:ss"))</x:f>
        <x:v>15:05:15</x:v>
      </x:c>
      <x:c r="S1091" s="12" t="str">
        <x:v>否</x:v>
      </x:c>
      <x:c r="T1091" s="12" t="str">
        <x:v>否</x:v>
      </x:c>
      <x:c r="U1091" s="12" t="str">
        <x:v>未提供</x:v>
      </x:c>
      <x:c r="V1091" s="12" t="str">
        <x:v>未提供</x:v>
      </x:c>
      <x:c r="W1091" s="12" t="str">
        <x:v>秒级预测</x:v>
      </x:c>
      <x:c r="X1091" s="12" t="str">
        <x:v>基于路线秒级参数；如录入实测或手动采用秒，预计到达时间可随公式更新</x:v>
      </x:c>
    </x:row>
    <x:row r="1092">
      <x:c r="A1092" s="12" t="str">
        <x:v>S0092-07</x:v>
      </x:c>
      <x:c r="B1092" s="12" t="str">
        <x:v>S0092</x:v>
      </x:c>
      <x:c r="C1092" s="12" t="str">
        <x:v>工作日</x:v>
      </x:c>
      <x:c r="D1092" s="12" t="str">
        <x:v>环线2路</x:v>
      </x:c>
      <x:c r="E1092" s="12" t="str">
        <x:v>第二班</x:v>
      </x:c>
      <x:c r="F1092" s="12" t="n">
        <x:v>3</x:v>
      </x:c>
      <x:c r="G1092" s="12" t="str">
        <x:v>15:00</x:v>
      </x:c>
      <x:c r="H1092" s="12" t="n">
        <x:v>900</x:v>
      </x:c>
      <x:c r="I1092" s="12" t="str">
        <x:v>研究生宿舍楼</x:v>
      </x:c>
      <x:c r="J1092" s="12" t="str">
        <x:v>研究生宿舍楼发车</x:v>
      </x:c>
      <x:c r="K1092" s="12" t="str">
        <x:v>HX2_NORMAL</x:v>
      </x:c>
      <x:c r="L1092" s="12" t="n">
        <x:v>7</x:v>
      </x:c>
      <x:c r="M1092" s="12" t="str">
        <x:v>HX2_NORMAL|7</x:v>
      </x:c>
      <x:c r="N1092" s="12" t="str">
        <x:v>二食堂</x:v>
      </x:c>
      <x:c r="O1092" s="12" t="n">
        <x:f>IFERROR(INDEX('秒级路线参数_可调整'!$O:$O,MATCH(M1092,'秒级路线参数_可调整'!$A:$A,0)),"")</x:f>
        <x:v>420</x:v>
      </x:c>
      <x:c r="P1092" s="12" t="n">
        <x:f>IF(O1092="","",O1092/86400)</x:f>
        <x:v>0.004861111111111111</x:v>
      </x:c>
      <x:c r="Q1092" s="12" t="n">
        <x:f>IF(O1092="","",(H1092*60+O1092)/86400)</x:f>
        <x:v>0.6298611111111111</x:v>
      </x:c>
      <x:c r="R1092" s="12" t="str">
        <x:f>IF(Q1092="","",TEXT(Q1092,"hh:mm:ss"))</x:f>
        <x:v>15:07:00</x:v>
      </x:c>
      <x:c r="S1092" s="12" t="str">
        <x:v>否</x:v>
      </x:c>
      <x:c r="T1092" s="12" t="str">
        <x:v>否</x:v>
      </x:c>
      <x:c r="U1092" s="12" t="str">
        <x:v>未提供</x:v>
      </x:c>
      <x:c r="V1092" s="12" t="str">
        <x:v>未提供</x:v>
      </x:c>
      <x:c r="W1092" s="12" t="str">
        <x:v>秒级预测</x:v>
      </x:c>
      <x:c r="X1092" s="12" t="str">
        <x:v>基于路线秒级参数；如录入实测或手动采用秒，预计到达时间可随公式更新</x:v>
      </x:c>
    </x:row>
    <x:row r="1093">
      <x:c r="A1093" s="12" t="str">
        <x:v>S0092-08</x:v>
      </x:c>
      <x:c r="B1093" s="12" t="str">
        <x:v>S0092</x:v>
      </x:c>
      <x:c r="C1093" s="12" t="str">
        <x:v>工作日</x:v>
      </x:c>
      <x:c r="D1093" s="12" t="str">
        <x:v>环线2路</x:v>
      </x:c>
      <x:c r="E1093" s="12" t="str">
        <x:v>第二班</x:v>
      </x:c>
      <x:c r="F1093" s="12" t="n">
        <x:v>3</x:v>
      </x:c>
      <x:c r="G1093" s="12" t="str">
        <x:v>15:00</x:v>
      </x:c>
      <x:c r="H1093" s="12" t="n">
        <x:v>900</x:v>
      </x:c>
      <x:c r="I1093" s="12" t="str">
        <x:v>研究生宿舍楼</x:v>
      </x:c>
      <x:c r="J1093" s="12" t="str">
        <x:v>研究生宿舍楼发车</x:v>
      </x:c>
      <x:c r="K1093" s="12" t="str">
        <x:v>HX2_NORMAL</x:v>
      </x:c>
      <x:c r="L1093" s="12" t="n">
        <x:v>8</x:v>
      </x:c>
      <x:c r="M1093" s="12" t="str">
        <x:v>HX2_NORMAL|8</x:v>
      </x:c>
      <x:c r="N1093" s="12" t="str">
        <x:v>5号宿舍楼</x:v>
      </x:c>
      <x:c r="O1093" s="12" t="n">
        <x:f>IFERROR(INDEX('秒级路线参数_可调整'!$O:$O,MATCH(M1093,'秒级路线参数_可调整'!$A:$A,0)),"")</x:f>
        <x:v>480</x:v>
      </x:c>
      <x:c r="P1093" s="12" t="n">
        <x:f>IF(O1093="","",O1093/86400)</x:f>
        <x:v>0.005555555555555556</x:v>
      </x:c>
      <x:c r="Q1093" s="12" t="n">
        <x:f>IF(O1093="","",(H1093*60+O1093)/86400)</x:f>
        <x:v>0.6305555555555555</x:v>
      </x:c>
      <x:c r="R1093" s="12" t="str">
        <x:f>IF(Q1093="","",TEXT(Q1093,"hh:mm:ss"))</x:f>
        <x:v>15:08:00</x:v>
      </x:c>
      <x:c r="S1093" s="12" t="str">
        <x:v>否</x:v>
      </x:c>
      <x:c r="T1093" s="12" t="str">
        <x:v>否</x:v>
      </x:c>
      <x:c r="U1093" s="12" t="str">
        <x:v>未提供</x:v>
      </x:c>
      <x:c r="V1093" s="12" t="str">
        <x:v>未提供</x:v>
      </x:c>
      <x:c r="W1093" s="12" t="str">
        <x:v>秒级预测</x:v>
      </x:c>
      <x:c r="X1093" s="12" t="str">
        <x:v>基于路线秒级参数；如录入实测或手动采用秒，预计到达时间可随公式更新</x:v>
      </x:c>
    </x:row>
    <x:row r="1094">
      <x:c r="A1094" s="12" t="str">
        <x:v>S0092-09</x:v>
      </x:c>
      <x:c r="B1094" s="12" t="str">
        <x:v>S0092</x:v>
      </x:c>
      <x:c r="C1094" s="12" t="str">
        <x:v>工作日</x:v>
      </x:c>
      <x:c r="D1094" s="12" t="str">
        <x:v>环线2路</x:v>
      </x:c>
      <x:c r="E1094" s="12" t="str">
        <x:v>第二班</x:v>
      </x:c>
      <x:c r="F1094" s="12" t="n">
        <x:v>3</x:v>
      </x:c>
      <x:c r="G1094" s="12" t="str">
        <x:v>15:00</x:v>
      </x:c>
      <x:c r="H1094" s="12" t="n">
        <x:v>900</x:v>
      </x:c>
      <x:c r="I1094" s="12" t="str">
        <x:v>研究生宿舍楼</x:v>
      </x:c>
      <x:c r="J1094" s="12" t="str">
        <x:v>研究生宿舍楼发车</x:v>
      </x:c>
      <x:c r="K1094" s="12" t="str">
        <x:v>HX2_NORMAL</x:v>
      </x:c>
      <x:c r="L1094" s="12" t="n">
        <x:v>9</x:v>
      </x:c>
      <x:c r="M1094" s="12" t="str">
        <x:v>HX2_NORMAL|9</x:v>
      </x:c>
      <x:c r="N1094" s="12" t="str">
        <x:v>305教学楼</x:v>
      </x:c>
      <x:c r="O1094" s="12" t="n">
        <x:f>IFERROR(INDEX('秒级路线参数_可调整'!$O:$O,MATCH(M1094,'秒级路线参数_可调整'!$A:$A,0)),"")</x:f>
        <x:v>535</x:v>
      </x:c>
      <x:c r="P1094" s="12" t="n">
        <x:f>IF(O1094="","",O1094/86400)</x:f>
        <x:v>0.00619212962962963</x:v>
      </x:c>
      <x:c r="Q1094" s="12" t="n">
        <x:f>IF(O1094="","",(H1094*60+O1094)/86400)</x:f>
        <x:v>0.6311921296296297</x:v>
      </x:c>
      <x:c r="R1094" s="12" t="str">
        <x:f>IF(Q1094="","",TEXT(Q1094,"hh:mm:ss"))</x:f>
        <x:v>15:08:55</x:v>
      </x:c>
      <x:c r="S1094" s="12" t="str">
        <x:v>否</x:v>
      </x:c>
      <x:c r="T1094" s="12" t="str">
        <x:v>否</x:v>
      </x:c>
      <x:c r="U1094" s="12" t="str">
        <x:v>未提供</x:v>
      </x:c>
      <x:c r="V1094" s="12" t="str">
        <x:v>未提供</x:v>
      </x:c>
      <x:c r="W1094" s="12" t="str">
        <x:v>秒级预测</x:v>
      </x:c>
      <x:c r="X1094" s="12" t="str">
        <x:v>基于路线秒级参数；如录入实测或手动采用秒，预计到达时间可随公式更新</x:v>
      </x:c>
    </x:row>
    <x:row r="1095">
      <x:c r="A1095" s="12" t="str">
        <x:v>S0092-10</x:v>
      </x:c>
      <x:c r="B1095" s="12" t="str">
        <x:v>S0092</x:v>
      </x:c>
      <x:c r="C1095" s="12" t="str">
        <x:v>工作日</x:v>
      </x:c>
      <x:c r="D1095" s="12" t="str">
        <x:v>环线2路</x:v>
      </x:c>
      <x:c r="E1095" s="12" t="str">
        <x:v>第二班</x:v>
      </x:c>
      <x:c r="F1095" s="12" t="n">
        <x:v>3</x:v>
      </x:c>
      <x:c r="G1095" s="12" t="str">
        <x:v>15:00</x:v>
      </x:c>
      <x:c r="H1095" s="12" t="n">
        <x:v>900</x:v>
      </x:c>
      <x:c r="I1095" s="12" t="str">
        <x:v>研究生宿舍楼</x:v>
      </x:c>
      <x:c r="J1095" s="12" t="str">
        <x:v>研究生宿舍楼发车</x:v>
      </x:c>
      <x:c r="K1095" s="12" t="str">
        <x:v>HX2_NORMAL</x:v>
      </x:c>
      <x:c r="L1095" s="12" t="n">
        <x:v>10</x:v>
      </x:c>
      <x:c r="M1095" s="12" t="str">
        <x:v>HX2_NORMAL|10</x:v>
      </x:c>
      <x:c r="N1095" s="12" t="str">
        <x:v>研究生宿舍楼</x:v>
      </x:c>
      <x:c r="O1095" s="12" t="n">
        <x:f>IFERROR(INDEX('秒级路线参数_可调整'!$O:$O,MATCH(M1095,'秒级路线参数_可调整'!$A:$A,0)),"")</x:f>
        <x:v>715</x:v>
      </x:c>
      <x:c r="P1095" s="12" t="n">
        <x:f>IF(O1095="","",O1095/86400)</x:f>
        <x:v>0.008275462962962964</x:v>
      </x:c>
      <x:c r="Q1095" s="12" t="n">
        <x:f>IF(O1095="","",(H1095*60+O1095)/86400)</x:f>
        <x:v>0.633275462962963</x:v>
      </x:c>
      <x:c r="R1095" s="12" t="str">
        <x:f>IF(Q1095="","",TEXT(Q1095,"hh:mm:ss"))</x:f>
        <x:v>15:11:55</x:v>
      </x:c>
      <x:c r="S1095" s="12" t="str">
        <x:v>否</x:v>
      </x:c>
      <x:c r="T1095" s="12" t="str">
        <x:v>是</x:v>
      </x:c>
      <x:c r="U1095" s="12" t="str">
        <x:v>未提供</x:v>
      </x:c>
      <x:c r="V1095" s="12" t="str">
        <x:v>未提供</x:v>
      </x:c>
      <x:c r="W1095" s="12" t="str">
        <x:v>秒级预测</x:v>
      </x:c>
      <x:c r="X1095" s="12" t="str">
        <x:v>基于路线秒级参数；如录入实测或手动采用秒，预计到达时间可随公式更新</x:v>
      </x:c>
    </x:row>
    <x:row r="1096">
      <x:c r="A1096" s="12" t="str">
        <x:v>S0093-01</x:v>
      </x:c>
      <x:c r="B1096" s="12" t="str">
        <x:v>S0093</x:v>
      </x:c>
      <x:c r="C1096" s="12" t="str">
        <x:v>工作日</x:v>
      </x:c>
      <x:c r="D1096" s="12" t="str">
        <x:v>环线2路</x:v>
      </x:c>
      <x:c r="E1096" s="12" t="str">
        <x:v>第二班</x:v>
      </x:c>
      <x:c r="F1096" s="12" t="n">
        <x:v>4</x:v>
      </x:c>
      <x:c r="G1096" s="12" t="str">
        <x:v>15:20</x:v>
      </x:c>
      <x:c r="H1096" s="12" t="n">
        <x:v>920</x:v>
      </x:c>
      <x:c r="I1096" s="12" t="str">
        <x:v>研究生宿舍楼</x:v>
      </x:c>
      <x:c r="J1096" s="12" t="str">
        <x:v>研究生宿舍楼发车</x:v>
      </x:c>
      <x:c r="K1096" s="12" t="str">
        <x:v>HX2_NORMAL</x:v>
      </x:c>
      <x:c r="L1096" s="12" t="n">
        <x:v>1</x:v>
      </x:c>
      <x:c r="M1096" s="12" t="str">
        <x:v>HX2_NORMAL|1</x:v>
      </x:c>
      <x:c r="N1096" s="12" t="str">
        <x:v>研究生宿舍楼</x:v>
      </x:c>
      <x:c r="O1096" s="12" t="n">
        <x:f>IFERROR(INDEX('秒级路线参数_可调整'!$O:$O,MATCH(M1096,'秒级路线参数_可调整'!$A:$A,0)),"")</x:f>
        <x:v>0</x:v>
      </x:c>
      <x:c r="P1096" s="12" t="str">
        <x:f>IF(O1096="","",O1096/86400)</x:f>
      </x:c>
      <x:c r="Q1096" s="12" t="str">
        <x:f>IF(O1096="","",(H1096*60+O1096)/86400)</x:f>
      </x:c>
      <x:c r="R1096" s="12" t="str">
        <x:f>IF(Q1096="","",TEXT(Q1096,"hh:mm:ss"))</x:f>
      </x:c>
      <x:c r="S1096" s="12" t="str">
        <x:v>是</x:v>
      </x:c>
      <x:c r="T1096" s="12" t="str">
        <x:v>否</x:v>
      </x:c>
      <x:c r="U1096" s="12" t="str">
        <x:v>未提供</x:v>
      </x:c>
      <x:c r="V1096" s="12" t="str">
        <x:v>未提供</x:v>
      </x:c>
      <x:c r="W1096" s="12" t="str">
        <x:v>秒级预测</x:v>
      </x:c>
      <x:c r="X1096" s="12" t="str">
        <x:v>基于路线秒级参数；如录入实测或手动采用秒，预计到达时间可随公式更新</x:v>
      </x:c>
    </x:row>
    <x:row r="1097">
      <x:c r="A1097" s="12" t="str">
        <x:v>S0093-02</x:v>
      </x:c>
      <x:c r="B1097" s="12" t="str">
        <x:v>S0093</x:v>
      </x:c>
      <x:c r="C1097" s="12" t="str">
        <x:v>工作日</x:v>
      </x:c>
      <x:c r="D1097" s="12" t="str">
        <x:v>环线2路</x:v>
      </x:c>
      <x:c r="E1097" s="12" t="str">
        <x:v>第二班</x:v>
      </x:c>
      <x:c r="F1097" s="12" t="n">
        <x:v>4</x:v>
      </x:c>
      <x:c r="G1097" s="12" t="str">
        <x:v>15:20</x:v>
      </x:c>
      <x:c r="H1097" s="12" t="n">
        <x:v>920</x:v>
      </x:c>
      <x:c r="I1097" s="12" t="str">
        <x:v>研究生宿舍楼</x:v>
      </x:c>
      <x:c r="J1097" s="12" t="str">
        <x:v>研究生宿舍楼发车</x:v>
      </x:c>
      <x:c r="K1097" s="12" t="str">
        <x:v>HX2_NORMAL</x:v>
      </x:c>
      <x:c r="L1097" s="12" t="n">
        <x:v>2</x:v>
      </x:c>
      <x:c r="M1097" s="12" t="str">
        <x:v>HX2_NORMAL|2</x:v>
      </x:c>
      <x:c r="N1097" s="12" t="str">
        <x:v>一食堂</x:v>
      </x:c>
      <x:c r="O1097" s="12" t="n">
        <x:f>IFERROR(INDEX('秒级路线参数_可调整'!$O:$O,MATCH(M1097,'秒级路线参数_可调整'!$A:$A,0)),"")</x:f>
        <x:v>65</x:v>
      </x:c>
      <x:c r="P1097" s="12" t="n">
        <x:f>IF(O1097="","",O1097/86400)</x:f>
        <x:v>0.0007523148148148148</x:v>
      </x:c>
      <x:c r="Q1097" s="12" t="n">
        <x:f>IF(O1097="","",(H1097*60+O1097)/86400)</x:f>
        <x:v>0.6396412037037037</x:v>
      </x:c>
      <x:c r="R1097" s="12" t="str">
        <x:f>IF(Q1097="","",TEXT(Q1097,"hh:mm:ss"))</x:f>
        <x:v>15:21:05</x:v>
      </x:c>
      <x:c r="S1097" s="12" t="str">
        <x:v>否</x:v>
      </x:c>
      <x:c r="T1097" s="12" t="str">
        <x:v>否</x:v>
      </x:c>
      <x:c r="U1097" s="12" t="str">
        <x:v>未提供</x:v>
      </x:c>
      <x:c r="V1097" s="12" t="str">
        <x:v>未提供</x:v>
      </x:c>
      <x:c r="W1097" s="12" t="str">
        <x:v>秒级预测</x:v>
      </x:c>
      <x:c r="X1097" s="12" t="str">
        <x:v>基于路线秒级参数；如录入实测或手动采用秒，预计到达时间可随公式更新</x:v>
      </x:c>
    </x:row>
    <x:row r="1098">
      <x:c r="A1098" s="12" t="str">
        <x:v>S0093-03</x:v>
      </x:c>
      <x:c r="B1098" s="12" t="str">
        <x:v>S0093</x:v>
      </x:c>
      <x:c r="C1098" s="12" t="str">
        <x:v>工作日</x:v>
      </x:c>
      <x:c r="D1098" s="12" t="str">
        <x:v>环线2路</x:v>
      </x:c>
      <x:c r="E1098" s="12" t="str">
        <x:v>第二班</x:v>
      </x:c>
      <x:c r="F1098" s="12" t="n">
        <x:v>4</x:v>
      </x:c>
      <x:c r="G1098" s="12" t="str">
        <x:v>15:20</x:v>
      </x:c>
      <x:c r="H1098" s="12" t="n">
        <x:v>920</x:v>
      </x:c>
      <x:c r="I1098" s="12" t="str">
        <x:v>研究生宿舍楼</x:v>
      </x:c>
      <x:c r="J1098" s="12" t="str">
        <x:v>研究生宿舍楼发车</x:v>
      </x:c>
      <x:c r="K1098" s="12" t="str">
        <x:v>HX2_NORMAL</x:v>
      </x:c>
      <x:c r="L1098" s="12" t="n">
        <x:v>3</x:v>
      </x:c>
      <x:c r="M1098" s="12" t="str">
        <x:v>HX2_NORMAL|3</x:v>
      </x:c>
      <x:c r="N1098" s="12" t="str">
        <x:v>门诊部</x:v>
      </x:c>
      <x:c r="O1098" s="12" t="n">
        <x:f>IFERROR(INDEX('秒级路线参数_可调整'!$O:$O,MATCH(M1098,'秒级路线参数_可调整'!$A:$A,0)),"")</x:f>
        <x:v>120</x:v>
      </x:c>
      <x:c r="P1098" s="12" t="n">
        <x:f>IF(O1098="","",O1098/86400)</x:f>
        <x:v>0.001388888888888889</x:v>
      </x:c>
      <x:c r="Q1098" s="12" t="n">
        <x:f>IF(O1098="","",(H1098*60+O1098)/86400)</x:f>
        <x:v>0.6402777777777777</x:v>
      </x:c>
      <x:c r="R1098" s="12" t="str">
        <x:f>IF(Q1098="","",TEXT(Q1098,"hh:mm:ss"))</x:f>
        <x:v>15:22:00</x:v>
      </x:c>
      <x:c r="S1098" s="12" t="str">
        <x:v>否</x:v>
      </x:c>
      <x:c r="T1098" s="12" t="str">
        <x:v>否</x:v>
      </x:c>
      <x:c r="U1098" s="12" t="str">
        <x:v>未提供</x:v>
      </x:c>
      <x:c r="V1098" s="12" t="str">
        <x:v>未提供</x:v>
      </x:c>
      <x:c r="W1098" s="12" t="str">
        <x:v>秒级预测</x:v>
      </x:c>
      <x:c r="X1098" s="12" t="str">
        <x:v>基于路线秒级参数；如录入实测或手动采用秒，预计到达时间可随公式更新</x:v>
      </x:c>
    </x:row>
    <x:row r="1099">
      <x:c r="A1099" s="12" t="str">
        <x:v>S0093-04</x:v>
      </x:c>
      <x:c r="B1099" s="12" t="str">
        <x:v>S0093</x:v>
      </x:c>
      <x:c r="C1099" s="12" t="str">
        <x:v>工作日</x:v>
      </x:c>
      <x:c r="D1099" s="12" t="str">
        <x:v>环线2路</x:v>
      </x:c>
      <x:c r="E1099" s="12" t="str">
        <x:v>第二班</x:v>
      </x:c>
      <x:c r="F1099" s="12" t="n">
        <x:v>4</x:v>
      </x:c>
      <x:c r="G1099" s="12" t="str">
        <x:v>15:20</x:v>
      </x:c>
      <x:c r="H1099" s="12" t="n">
        <x:v>920</x:v>
      </x:c>
      <x:c r="I1099" s="12" t="str">
        <x:v>研究生宿舍楼</x:v>
      </x:c>
      <x:c r="J1099" s="12" t="str">
        <x:v>研究生宿舍楼发车</x:v>
      </x:c>
      <x:c r="K1099" s="12" t="str">
        <x:v>HX2_NORMAL</x:v>
      </x:c>
      <x:c r="L1099" s="12" t="n">
        <x:v>4</x:v>
      </x:c>
      <x:c r="M1099" s="12" t="str">
        <x:v>HX2_NORMAL|4</x:v>
      </x:c>
      <x:c r="N1099" s="12" t="str">
        <x:v>1号宿舍楼</x:v>
      </x:c>
      <x:c r="O1099" s="12" t="n">
        <x:f>IFERROR(INDEX('秒级路线参数_可调整'!$O:$O,MATCH(M1099,'秒级路线参数_可调整'!$A:$A,0)),"")</x:f>
        <x:v>165</x:v>
      </x:c>
      <x:c r="P1099" s="12" t="n">
        <x:f>IF(O1099="","",O1099/86400)</x:f>
        <x:v>0.0019097222222222222</x:v>
      </x:c>
      <x:c r="Q1099" s="12" t="n">
        <x:f>IF(O1099="","",(H1099*60+O1099)/86400)</x:f>
        <x:v>0.6407986111111111</x:v>
      </x:c>
      <x:c r="R1099" s="12" t="str">
        <x:f>IF(Q1099="","",TEXT(Q1099,"hh:mm:ss"))</x:f>
        <x:v>15:22:45</x:v>
      </x:c>
      <x:c r="S1099" s="12" t="str">
        <x:v>否</x:v>
      </x:c>
      <x:c r="T1099" s="12" t="str">
        <x:v>否</x:v>
      </x:c>
      <x:c r="U1099" s="12" t="str">
        <x:v>未提供</x:v>
      </x:c>
      <x:c r="V1099" s="12" t="str">
        <x:v>未提供</x:v>
      </x:c>
      <x:c r="W1099" s="12" t="str">
        <x:v>秒级预测</x:v>
      </x:c>
      <x:c r="X1099" s="12" t="str">
        <x:v>基于路线秒级参数；如录入实测或手动采用秒，预计到达时间可随公式更新</x:v>
      </x:c>
    </x:row>
    <x:row r="1100">
      <x:c r="A1100" s="12" t="str">
        <x:v>S0093-05</x:v>
      </x:c>
      <x:c r="B1100" s="12" t="str">
        <x:v>S0093</x:v>
      </x:c>
      <x:c r="C1100" s="12" t="str">
        <x:v>工作日</x:v>
      </x:c>
      <x:c r="D1100" s="12" t="str">
        <x:v>环线2路</x:v>
      </x:c>
      <x:c r="E1100" s="12" t="str">
        <x:v>第二班</x:v>
      </x:c>
      <x:c r="F1100" s="12" t="n">
        <x:v>4</x:v>
      </x:c>
      <x:c r="G1100" s="12" t="str">
        <x:v>15:20</x:v>
      </x:c>
      <x:c r="H1100" s="12" t="n">
        <x:v>920</x:v>
      </x:c>
      <x:c r="I1100" s="12" t="str">
        <x:v>研究生宿舍楼</x:v>
      </x:c>
      <x:c r="J1100" s="12" t="str">
        <x:v>研究生宿舍楼发车</x:v>
      </x:c>
      <x:c r="K1100" s="12" t="str">
        <x:v>HX2_NORMAL</x:v>
      </x:c>
      <x:c r="L1100" s="12" t="n">
        <x:v>5</x:v>
      </x:c>
      <x:c r="M1100" s="12" t="str">
        <x:v>HX2_NORMAL|5</x:v>
      </x:c>
      <x:c r="N1100" s="12" t="str">
        <x:v>水上训练中心</x:v>
      </x:c>
      <x:c r="O1100" s="12" t="n">
        <x:f>IFERROR(INDEX('秒级路线参数_可调整'!$O:$O,MATCH(M1100,'秒级路线参数_可调整'!$A:$A,0)),"")</x:f>
        <x:v>250</x:v>
      </x:c>
      <x:c r="P1100" s="12" t="n">
        <x:f>IF(O1100="","",O1100/86400)</x:f>
        <x:v>0.0028935185185185184</x:v>
      </x:c>
      <x:c r="Q1100" s="12" t="n">
        <x:f>IF(O1100="","",(H1100*60+O1100)/86400)</x:f>
        <x:v>0.6417824074074074</x:v>
      </x:c>
      <x:c r="R1100" s="12" t="str">
        <x:f>IF(Q1100="","",TEXT(Q1100,"hh:mm:ss"))</x:f>
        <x:v>15:24:10</x:v>
      </x:c>
      <x:c r="S1100" s="12" t="str">
        <x:v>否</x:v>
      </x:c>
      <x:c r="T1100" s="12" t="str">
        <x:v>否</x:v>
      </x:c>
      <x:c r="U1100" s="12" t="str">
        <x:v>未提供</x:v>
      </x:c>
      <x:c r="V1100" s="12" t="str">
        <x:v>未提供</x:v>
      </x:c>
      <x:c r="W1100" s="12" t="str">
        <x:v>秒级预测</x:v>
      </x:c>
      <x:c r="X1100" s="12" t="str">
        <x:v>基于路线秒级参数；如录入实测或手动采用秒，预计到达时间可随公式更新</x:v>
      </x:c>
    </x:row>
    <x:row r="1101">
      <x:c r="A1101" s="12" t="str">
        <x:v>S0093-06</x:v>
      </x:c>
      <x:c r="B1101" s="12" t="str">
        <x:v>S0093</x:v>
      </x:c>
      <x:c r="C1101" s="12" t="str">
        <x:v>工作日</x:v>
      </x:c>
      <x:c r="D1101" s="12" t="str">
        <x:v>环线2路</x:v>
      </x:c>
      <x:c r="E1101" s="12" t="str">
        <x:v>第二班</x:v>
      </x:c>
      <x:c r="F1101" s="12" t="n">
        <x:v>4</x:v>
      </x:c>
      <x:c r="G1101" s="12" t="str">
        <x:v>15:20</x:v>
      </x:c>
      <x:c r="H1101" s="12" t="n">
        <x:v>920</x:v>
      </x:c>
      <x:c r="I1101" s="12" t="str">
        <x:v>研究生宿舍楼</x:v>
      </x:c>
      <x:c r="J1101" s="12" t="str">
        <x:v>研究生宿舍楼发车</x:v>
      </x:c>
      <x:c r="K1101" s="12" t="str">
        <x:v>HX2_NORMAL</x:v>
      </x:c>
      <x:c r="L1101" s="12" t="n">
        <x:v>6</x:v>
      </x:c>
      <x:c r="M1101" s="12" t="str">
        <x:v>HX2_NORMAL|6</x:v>
      </x:c>
      <x:c r="N1101" s="12" t="str">
        <x:v>军体活动中心</x:v>
      </x:c>
      <x:c r="O1101" s="12" t="n">
        <x:f>IFERROR(INDEX('秒级路线参数_可调整'!$O:$O,MATCH(M1101,'秒级路线参数_可调整'!$A:$A,0)),"")</x:f>
        <x:v>315</x:v>
      </x:c>
      <x:c r="P1101" s="12" t="n">
        <x:f>IF(O1101="","",O1101/86400)</x:f>
        <x:v>0.0036458333333333334</x:v>
      </x:c>
      <x:c r="Q1101" s="12" t="n">
        <x:f>IF(O1101="","",(H1101*60+O1101)/86400)</x:f>
        <x:v>0.6425347222222222</x:v>
      </x:c>
      <x:c r="R1101" s="12" t="str">
        <x:f>IF(Q1101="","",TEXT(Q1101,"hh:mm:ss"))</x:f>
        <x:v>15:25:15</x:v>
      </x:c>
      <x:c r="S1101" s="12" t="str">
        <x:v>否</x:v>
      </x:c>
      <x:c r="T1101" s="12" t="str">
        <x:v>否</x:v>
      </x:c>
      <x:c r="U1101" s="12" t="str">
        <x:v>未提供</x:v>
      </x:c>
      <x:c r="V1101" s="12" t="str">
        <x:v>未提供</x:v>
      </x:c>
      <x:c r="W1101" s="12" t="str">
        <x:v>秒级预测</x:v>
      </x:c>
      <x:c r="X1101" s="12" t="str">
        <x:v>基于路线秒级参数；如录入实测或手动采用秒，预计到达时间可随公式更新</x:v>
      </x:c>
    </x:row>
    <x:row r="1102">
      <x:c r="A1102" s="12" t="str">
        <x:v>S0093-07</x:v>
      </x:c>
      <x:c r="B1102" s="12" t="str">
        <x:v>S0093</x:v>
      </x:c>
      <x:c r="C1102" s="12" t="str">
        <x:v>工作日</x:v>
      </x:c>
      <x:c r="D1102" s="12" t="str">
        <x:v>环线2路</x:v>
      </x:c>
      <x:c r="E1102" s="12" t="str">
        <x:v>第二班</x:v>
      </x:c>
      <x:c r="F1102" s="12" t="n">
        <x:v>4</x:v>
      </x:c>
      <x:c r="G1102" s="12" t="str">
        <x:v>15:20</x:v>
      </x:c>
      <x:c r="H1102" s="12" t="n">
        <x:v>920</x:v>
      </x:c>
      <x:c r="I1102" s="12" t="str">
        <x:v>研究生宿舍楼</x:v>
      </x:c>
      <x:c r="J1102" s="12" t="str">
        <x:v>研究生宿舍楼发车</x:v>
      </x:c>
      <x:c r="K1102" s="12" t="str">
        <x:v>HX2_NORMAL</x:v>
      </x:c>
      <x:c r="L1102" s="12" t="n">
        <x:v>7</x:v>
      </x:c>
      <x:c r="M1102" s="12" t="str">
        <x:v>HX2_NORMAL|7</x:v>
      </x:c>
      <x:c r="N1102" s="12" t="str">
        <x:v>二食堂</x:v>
      </x:c>
      <x:c r="O1102" s="12" t="n">
        <x:f>IFERROR(INDEX('秒级路线参数_可调整'!$O:$O,MATCH(M1102,'秒级路线参数_可调整'!$A:$A,0)),"")</x:f>
        <x:v>420</x:v>
      </x:c>
      <x:c r="P1102" s="12" t="n">
        <x:f>IF(O1102="","",O1102/86400)</x:f>
        <x:v>0.004861111111111111</x:v>
      </x:c>
      <x:c r="Q1102" s="12" t="n">
        <x:f>IF(O1102="","",(H1102*60+O1102)/86400)</x:f>
        <x:v>0.64375</x:v>
      </x:c>
      <x:c r="R1102" s="12" t="str">
        <x:f>IF(Q1102="","",TEXT(Q1102,"hh:mm:ss"))</x:f>
        <x:v>15:27:00</x:v>
      </x:c>
      <x:c r="S1102" s="12" t="str">
        <x:v>否</x:v>
      </x:c>
      <x:c r="T1102" s="12" t="str">
        <x:v>否</x:v>
      </x:c>
      <x:c r="U1102" s="12" t="str">
        <x:v>未提供</x:v>
      </x:c>
      <x:c r="V1102" s="12" t="str">
        <x:v>未提供</x:v>
      </x:c>
      <x:c r="W1102" s="12" t="str">
        <x:v>秒级预测</x:v>
      </x:c>
      <x:c r="X1102" s="12" t="str">
        <x:v>基于路线秒级参数；如录入实测或手动采用秒，预计到达时间可随公式更新</x:v>
      </x:c>
    </x:row>
    <x:row r="1103">
      <x:c r="A1103" s="12" t="str">
        <x:v>S0093-08</x:v>
      </x:c>
      <x:c r="B1103" s="12" t="str">
        <x:v>S0093</x:v>
      </x:c>
      <x:c r="C1103" s="12" t="str">
        <x:v>工作日</x:v>
      </x:c>
      <x:c r="D1103" s="12" t="str">
        <x:v>环线2路</x:v>
      </x:c>
      <x:c r="E1103" s="12" t="str">
        <x:v>第二班</x:v>
      </x:c>
      <x:c r="F1103" s="12" t="n">
        <x:v>4</x:v>
      </x:c>
      <x:c r="G1103" s="12" t="str">
        <x:v>15:20</x:v>
      </x:c>
      <x:c r="H1103" s="12" t="n">
        <x:v>920</x:v>
      </x:c>
      <x:c r="I1103" s="12" t="str">
        <x:v>研究生宿舍楼</x:v>
      </x:c>
      <x:c r="J1103" s="12" t="str">
        <x:v>研究生宿舍楼发车</x:v>
      </x:c>
      <x:c r="K1103" s="12" t="str">
        <x:v>HX2_NORMAL</x:v>
      </x:c>
      <x:c r="L1103" s="12" t="n">
        <x:v>8</x:v>
      </x:c>
      <x:c r="M1103" s="12" t="str">
        <x:v>HX2_NORMAL|8</x:v>
      </x:c>
      <x:c r="N1103" s="12" t="str">
        <x:v>5号宿舍楼</x:v>
      </x:c>
      <x:c r="O1103" s="12" t="n">
        <x:f>IFERROR(INDEX('秒级路线参数_可调整'!$O:$O,MATCH(M1103,'秒级路线参数_可调整'!$A:$A,0)),"")</x:f>
        <x:v>480</x:v>
      </x:c>
      <x:c r="P1103" s="12" t="n">
        <x:f>IF(O1103="","",O1103/86400)</x:f>
        <x:v>0.005555555555555556</x:v>
      </x:c>
      <x:c r="Q1103" s="12" t="n">
        <x:f>IF(O1103="","",(H1103*60+O1103)/86400)</x:f>
        <x:v>0.6444444444444445</x:v>
      </x:c>
      <x:c r="R1103" s="12" t="str">
        <x:f>IF(Q1103="","",TEXT(Q1103,"hh:mm:ss"))</x:f>
        <x:v>15:28:00</x:v>
      </x:c>
      <x:c r="S1103" s="12" t="str">
        <x:v>否</x:v>
      </x:c>
      <x:c r="T1103" s="12" t="str">
        <x:v>否</x:v>
      </x:c>
      <x:c r="U1103" s="12" t="str">
        <x:v>未提供</x:v>
      </x:c>
      <x:c r="V1103" s="12" t="str">
        <x:v>未提供</x:v>
      </x:c>
      <x:c r="W1103" s="12" t="str">
        <x:v>秒级预测</x:v>
      </x:c>
      <x:c r="X1103" s="12" t="str">
        <x:v>基于路线秒级参数；如录入实测或手动采用秒，预计到达时间可随公式更新</x:v>
      </x:c>
    </x:row>
    <x:row r="1104">
      <x:c r="A1104" s="12" t="str">
        <x:v>S0093-09</x:v>
      </x:c>
      <x:c r="B1104" s="12" t="str">
        <x:v>S0093</x:v>
      </x:c>
      <x:c r="C1104" s="12" t="str">
        <x:v>工作日</x:v>
      </x:c>
      <x:c r="D1104" s="12" t="str">
        <x:v>环线2路</x:v>
      </x:c>
      <x:c r="E1104" s="12" t="str">
        <x:v>第二班</x:v>
      </x:c>
      <x:c r="F1104" s="12" t="n">
        <x:v>4</x:v>
      </x:c>
      <x:c r="G1104" s="12" t="str">
        <x:v>15:20</x:v>
      </x:c>
      <x:c r="H1104" s="12" t="n">
        <x:v>920</x:v>
      </x:c>
      <x:c r="I1104" s="12" t="str">
        <x:v>研究生宿舍楼</x:v>
      </x:c>
      <x:c r="J1104" s="12" t="str">
        <x:v>研究生宿舍楼发车</x:v>
      </x:c>
      <x:c r="K1104" s="12" t="str">
        <x:v>HX2_NORMAL</x:v>
      </x:c>
      <x:c r="L1104" s="12" t="n">
        <x:v>9</x:v>
      </x:c>
      <x:c r="M1104" s="12" t="str">
        <x:v>HX2_NORMAL|9</x:v>
      </x:c>
      <x:c r="N1104" s="12" t="str">
        <x:v>305教学楼</x:v>
      </x:c>
      <x:c r="O1104" s="12" t="n">
        <x:f>IFERROR(INDEX('秒级路线参数_可调整'!$O:$O,MATCH(M1104,'秒级路线参数_可调整'!$A:$A,0)),"")</x:f>
        <x:v>535</x:v>
      </x:c>
      <x:c r="P1104" s="12" t="n">
        <x:f>IF(O1104="","",O1104/86400)</x:f>
        <x:v>0.00619212962962963</x:v>
      </x:c>
      <x:c r="Q1104" s="12" t="n">
        <x:f>IF(O1104="","",(H1104*60+O1104)/86400)</x:f>
        <x:v>0.6450810185185185</x:v>
      </x:c>
      <x:c r="R1104" s="12" t="str">
        <x:f>IF(Q1104="","",TEXT(Q1104,"hh:mm:ss"))</x:f>
        <x:v>15:28:55</x:v>
      </x:c>
      <x:c r="S1104" s="12" t="str">
        <x:v>否</x:v>
      </x:c>
      <x:c r="T1104" s="12" t="str">
        <x:v>否</x:v>
      </x:c>
      <x:c r="U1104" s="12" t="str">
        <x:v>未提供</x:v>
      </x:c>
      <x:c r="V1104" s="12" t="str">
        <x:v>未提供</x:v>
      </x:c>
      <x:c r="W1104" s="12" t="str">
        <x:v>秒级预测</x:v>
      </x:c>
      <x:c r="X1104" s="12" t="str">
        <x:v>基于路线秒级参数；如录入实测或手动采用秒，预计到达时间可随公式更新</x:v>
      </x:c>
    </x:row>
    <x:row r="1105">
      <x:c r="A1105" s="12" t="str">
        <x:v>S0093-10</x:v>
      </x:c>
      <x:c r="B1105" s="12" t="str">
        <x:v>S0093</x:v>
      </x:c>
      <x:c r="C1105" s="12" t="str">
        <x:v>工作日</x:v>
      </x:c>
      <x:c r="D1105" s="12" t="str">
        <x:v>环线2路</x:v>
      </x:c>
      <x:c r="E1105" s="12" t="str">
        <x:v>第二班</x:v>
      </x:c>
      <x:c r="F1105" s="12" t="n">
        <x:v>4</x:v>
      </x:c>
      <x:c r="G1105" s="12" t="str">
        <x:v>15:20</x:v>
      </x:c>
      <x:c r="H1105" s="12" t="n">
        <x:v>920</x:v>
      </x:c>
      <x:c r="I1105" s="12" t="str">
        <x:v>研究生宿舍楼</x:v>
      </x:c>
      <x:c r="J1105" s="12" t="str">
        <x:v>研究生宿舍楼发车</x:v>
      </x:c>
      <x:c r="K1105" s="12" t="str">
        <x:v>HX2_NORMAL</x:v>
      </x:c>
      <x:c r="L1105" s="12" t="n">
        <x:v>10</x:v>
      </x:c>
      <x:c r="M1105" s="12" t="str">
        <x:v>HX2_NORMAL|10</x:v>
      </x:c>
      <x:c r="N1105" s="12" t="str">
        <x:v>研究生宿舍楼</x:v>
      </x:c>
      <x:c r="O1105" s="12" t="n">
        <x:f>IFERROR(INDEX('秒级路线参数_可调整'!$O:$O,MATCH(M1105,'秒级路线参数_可调整'!$A:$A,0)),"")</x:f>
        <x:v>715</x:v>
      </x:c>
      <x:c r="P1105" s="12" t="n">
        <x:f>IF(O1105="","",O1105/86400)</x:f>
        <x:v>0.008275462962962964</x:v>
      </x:c>
      <x:c r="Q1105" s="12" t="n">
        <x:f>IF(O1105="","",(H1105*60+O1105)/86400)</x:f>
        <x:v>0.6471643518518518</x:v>
      </x:c>
      <x:c r="R1105" s="12" t="str">
        <x:f>IF(Q1105="","",TEXT(Q1105,"hh:mm:ss"))</x:f>
        <x:v>15:31:55</x:v>
      </x:c>
      <x:c r="S1105" s="12" t="str">
        <x:v>否</x:v>
      </x:c>
      <x:c r="T1105" s="12" t="str">
        <x:v>是</x:v>
      </x:c>
      <x:c r="U1105" s="12" t="str">
        <x:v>未提供</x:v>
      </x:c>
      <x:c r="V1105" s="12" t="str">
        <x:v>未提供</x:v>
      </x:c>
      <x:c r="W1105" s="12" t="str">
        <x:v>秒级预测</x:v>
      </x:c>
      <x:c r="X1105" s="12" t="str">
        <x:v>基于路线秒级参数；如录入实测或手动采用秒，预计到达时间可随公式更新</x:v>
      </x:c>
    </x:row>
    <x:row r="1106">
      <x:c r="A1106" s="12" t="str">
        <x:v>S0094-01</x:v>
      </x:c>
      <x:c r="B1106" s="12" t="str">
        <x:v>S0094</x:v>
      </x:c>
      <x:c r="C1106" s="12" t="str">
        <x:v>工作日</x:v>
      </x:c>
      <x:c r="D1106" s="12" t="str">
        <x:v>环线2路</x:v>
      </x:c>
      <x:c r="E1106" s="12" t="str">
        <x:v>第二班</x:v>
      </x:c>
      <x:c r="F1106" s="12" t="n">
        <x:v>5</x:v>
      </x:c>
      <x:c r="G1106" s="12" t="str">
        <x:v>15:40</x:v>
      </x:c>
      <x:c r="H1106" s="12" t="n">
        <x:v>940</x:v>
      </x:c>
      <x:c r="I1106" s="12" t="str">
        <x:v>研究生宿舍楼</x:v>
      </x:c>
      <x:c r="J1106" s="12" t="str">
        <x:v>研究生宿舍楼发车</x:v>
      </x:c>
      <x:c r="K1106" s="12" t="str">
        <x:v>HX2_NORMAL</x:v>
      </x:c>
      <x:c r="L1106" s="12" t="n">
        <x:v>1</x:v>
      </x:c>
      <x:c r="M1106" s="12" t="str">
        <x:v>HX2_NORMAL|1</x:v>
      </x:c>
      <x:c r="N1106" s="12" t="str">
        <x:v>研究生宿舍楼</x:v>
      </x:c>
      <x:c r="O1106" s="12" t="n">
        <x:f>IFERROR(INDEX('秒级路线参数_可调整'!$O:$O,MATCH(M1106,'秒级路线参数_可调整'!$A:$A,0)),"")</x:f>
        <x:v>0</x:v>
      </x:c>
      <x:c r="P1106" s="12" t="str">
        <x:f>IF(O1106="","",O1106/86400)</x:f>
      </x:c>
      <x:c r="Q1106" s="12" t="str">
        <x:f>IF(O1106="","",(H1106*60+O1106)/86400)</x:f>
      </x:c>
      <x:c r="R1106" s="12" t="str">
        <x:f>IF(Q1106="","",TEXT(Q1106,"hh:mm:ss"))</x:f>
      </x:c>
      <x:c r="S1106" s="12" t="str">
        <x:v>是</x:v>
      </x:c>
      <x:c r="T1106" s="12" t="str">
        <x:v>否</x:v>
      </x:c>
      <x:c r="U1106" s="12" t="str">
        <x:v>未提供</x:v>
      </x:c>
      <x:c r="V1106" s="12" t="str">
        <x:v>未提供</x:v>
      </x:c>
      <x:c r="W1106" s="12" t="str">
        <x:v>秒级预测</x:v>
      </x:c>
      <x:c r="X1106" s="12" t="str">
        <x:v>基于路线秒级参数；如录入实测或手动采用秒，预计到达时间可随公式更新</x:v>
      </x:c>
    </x:row>
    <x:row r="1107">
      <x:c r="A1107" s="12" t="str">
        <x:v>S0094-02</x:v>
      </x:c>
      <x:c r="B1107" s="12" t="str">
        <x:v>S0094</x:v>
      </x:c>
      <x:c r="C1107" s="12" t="str">
        <x:v>工作日</x:v>
      </x:c>
      <x:c r="D1107" s="12" t="str">
        <x:v>环线2路</x:v>
      </x:c>
      <x:c r="E1107" s="12" t="str">
        <x:v>第二班</x:v>
      </x:c>
      <x:c r="F1107" s="12" t="n">
        <x:v>5</x:v>
      </x:c>
      <x:c r="G1107" s="12" t="str">
        <x:v>15:40</x:v>
      </x:c>
      <x:c r="H1107" s="12" t="n">
        <x:v>940</x:v>
      </x:c>
      <x:c r="I1107" s="12" t="str">
        <x:v>研究生宿舍楼</x:v>
      </x:c>
      <x:c r="J1107" s="12" t="str">
        <x:v>研究生宿舍楼发车</x:v>
      </x:c>
      <x:c r="K1107" s="12" t="str">
        <x:v>HX2_NORMAL</x:v>
      </x:c>
      <x:c r="L1107" s="12" t="n">
        <x:v>2</x:v>
      </x:c>
      <x:c r="M1107" s="12" t="str">
        <x:v>HX2_NORMAL|2</x:v>
      </x:c>
      <x:c r="N1107" s="12" t="str">
        <x:v>一食堂</x:v>
      </x:c>
      <x:c r="O1107" s="12" t="n">
        <x:f>IFERROR(INDEX('秒级路线参数_可调整'!$O:$O,MATCH(M1107,'秒级路线参数_可调整'!$A:$A,0)),"")</x:f>
        <x:v>65</x:v>
      </x:c>
      <x:c r="P1107" s="12" t="n">
        <x:f>IF(O1107="","",O1107/86400)</x:f>
        <x:v>0.0007523148148148148</x:v>
      </x:c>
      <x:c r="Q1107" s="12" t="n">
        <x:f>IF(O1107="","",(H1107*60+O1107)/86400)</x:f>
        <x:v>0.6535300925925925</x:v>
      </x:c>
      <x:c r="R1107" s="12" t="str">
        <x:f>IF(Q1107="","",TEXT(Q1107,"hh:mm:ss"))</x:f>
        <x:v>15:41:05</x:v>
      </x:c>
      <x:c r="S1107" s="12" t="str">
        <x:v>否</x:v>
      </x:c>
      <x:c r="T1107" s="12" t="str">
        <x:v>否</x:v>
      </x:c>
      <x:c r="U1107" s="12" t="str">
        <x:v>未提供</x:v>
      </x:c>
      <x:c r="V1107" s="12" t="str">
        <x:v>未提供</x:v>
      </x:c>
      <x:c r="W1107" s="12" t="str">
        <x:v>秒级预测</x:v>
      </x:c>
      <x:c r="X1107" s="12" t="str">
        <x:v>基于路线秒级参数；如录入实测或手动采用秒，预计到达时间可随公式更新</x:v>
      </x:c>
    </x:row>
    <x:row r="1108">
      <x:c r="A1108" s="12" t="str">
        <x:v>S0094-03</x:v>
      </x:c>
      <x:c r="B1108" s="12" t="str">
        <x:v>S0094</x:v>
      </x:c>
      <x:c r="C1108" s="12" t="str">
        <x:v>工作日</x:v>
      </x:c>
      <x:c r="D1108" s="12" t="str">
        <x:v>环线2路</x:v>
      </x:c>
      <x:c r="E1108" s="12" t="str">
        <x:v>第二班</x:v>
      </x:c>
      <x:c r="F1108" s="12" t="n">
        <x:v>5</x:v>
      </x:c>
      <x:c r="G1108" s="12" t="str">
        <x:v>15:40</x:v>
      </x:c>
      <x:c r="H1108" s="12" t="n">
        <x:v>940</x:v>
      </x:c>
      <x:c r="I1108" s="12" t="str">
        <x:v>研究生宿舍楼</x:v>
      </x:c>
      <x:c r="J1108" s="12" t="str">
        <x:v>研究生宿舍楼发车</x:v>
      </x:c>
      <x:c r="K1108" s="12" t="str">
        <x:v>HX2_NORMAL</x:v>
      </x:c>
      <x:c r="L1108" s="12" t="n">
        <x:v>3</x:v>
      </x:c>
      <x:c r="M1108" s="12" t="str">
        <x:v>HX2_NORMAL|3</x:v>
      </x:c>
      <x:c r="N1108" s="12" t="str">
        <x:v>门诊部</x:v>
      </x:c>
      <x:c r="O1108" s="12" t="n">
        <x:f>IFERROR(INDEX('秒级路线参数_可调整'!$O:$O,MATCH(M1108,'秒级路线参数_可调整'!$A:$A,0)),"")</x:f>
        <x:v>120</x:v>
      </x:c>
      <x:c r="P1108" s="12" t="n">
        <x:f>IF(O1108="","",O1108/86400)</x:f>
        <x:v>0.001388888888888889</x:v>
      </x:c>
      <x:c r="Q1108" s="12" t="n">
        <x:f>IF(O1108="","",(H1108*60+O1108)/86400)</x:f>
        <x:v>0.6541666666666667</x:v>
      </x:c>
      <x:c r="R1108" s="12" t="str">
        <x:f>IF(Q1108="","",TEXT(Q1108,"hh:mm:ss"))</x:f>
        <x:v>15:42:00</x:v>
      </x:c>
      <x:c r="S1108" s="12" t="str">
        <x:v>否</x:v>
      </x:c>
      <x:c r="T1108" s="12" t="str">
        <x:v>否</x:v>
      </x:c>
      <x:c r="U1108" s="12" t="str">
        <x:v>未提供</x:v>
      </x:c>
      <x:c r="V1108" s="12" t="str">
        <x:v>未提供</x:v>
      </x:c>
      <x:c r="W1108" s="12" t="str">
        <x:v>秒级预测</x:v>
      </x:c>
      <x:c r="X1108" s="12" t="str">
        <x:v>基于路线秒级参数；如录入实测或手动采用秒，预计到达时间可随公式更新</x:v>
      </x:c>
    </x:row>
    <x:row r="1109">
      <x:c r="A1109" s="12" t="str">
        <x:v>S0094-04</x:v>
      </x:c>
      <x:c r="B1109" s="12" t="str">
        <x:v>S0094</x:v>
      </x:c>
      <x:c r="C1109" s="12" t="str">
        <x:v>工作日</x:v>
      </x:c>
      <x:c r="D1109" s="12" t="str">
        <x:v>环线2路</x:v>
      </x:c>
      <x:c r="E1109" s="12" t="str">
        <x:v>第二班</x:v>
      </x:c>
      <x:c r="F1109" s="12" t="n">
        <x:v>5</x:v>
      </x:c>
      <x:c r="G1109" s="12" t="str">
        <x:v>15:40</x:v>
      </x:c>
      <x:c r="H1109" s="12" t="n">
        <x:v>940</x:v>
      </x:c>
      <x:c r="I1109" s="12" t="str">
        <x:v>研究生宿舍楼</x:v>
      </x:c>
      <x:c r="J1109" s="12" t="str">
        <x:v>研究生宿舍楼发车</x:v>
      </x:c>
      <x:c r="K1109" s="12" t="str">
        <x:v>HX2_NORMAL</x:v>
      </x:c>
      <x:c r="L1109" s="12" t="n">
        <x:v>4</x:v>
      </x:c>
      <x:c r="M1109" s="12" t="str">
        <x:v>HX2_NORMAL|4</x:v>
      </x:c>
      <x:c r="N1109" s="12" t="str">
        <x:v>1号宿舍楼</x:v>
      </x:c>
      <x:c r="O1109" s="12" t="n">
        <x:f>IFERROR(INDEX('秒级路线参数_可调整'!$O:$O,MATCH(M1109,'秒级路线参数_可调整'!$A:$A,0)),"")</x:f>
        <x:v>165</x:v>
      </x:c>
      <x:c r="P1109" s="12" t="n">
        <x:f>IF(O1109="","",O1109/86400)</x:f>
        <x:v>0.0019097222222222222</x:v>
      </x:c>
      <x:c r="Q1109" s="12" t="n">
        <x:f>IF(O1109="","",(H1109*60+O1109)/86400)</x:f>
        <x:v>0.6546875</x:v>
      </x:c>
      <x:c r="R1109" s="12" t="str">
        <x:f>IF(Q1109="","",TEXT(Q1109,"hh:mm:ss"))</x:f>
        <x:v>15:42:45</x:v>
      </x:c>
      <x:c r="S1109" s="12" t="str">
        <x:v>否</x:v>
      </x:c>
      <x:c r="T1109" s="12" t="str">
        <x:v>否</x:v>
      </x:c>
      <x:c r="U1109" s="12" t="str">
        <x:v>未提供</x:v>
      </x:c>
      <x:c r="V1109" s="12" t="str">
        <x:v>未提供</x:v>
      </x:c>
      <x:c r="W1109" s="12" t="str">
        <x:v>秒级预测</x:v>
      </x:c>
      <x:c r="X1109" s="12" t="str">
        <x:v>基于路线秒级参数；如录入实测或手动采用秒，预计到达时间可随公式更新</x:v>
      </x:c>
    </x:row>
    <x:row r="1110">
      <x:c r="A1110" s="12" t="str">
        <x:v>S0094-05</x:v>
      </x:c>
      <x:c r="B1110" s="12" t="str">
        <x:v>S0094</x:v>
      </x:c>
      <x:c r="C1110" s="12" t="str">
        <x:v>工作日</x:v>
      </x:c>
      <x:c r="D1110" s="12" t="str">
        <x:v>环线2路</x:v>
      </x:c>
      <x:c r="E1110" s="12" t="str">
        <x:v>第二班</x:v>
      </x:c>
      <x:c r="F1110" s="12" t="n">
        <x:v>5</x:v>
      </x:c>
      <x:c r="G1110" s="12" t="str">
        <x:v>15:40</x:v>
      </x:c>
      <x:c r="H1110" s="12" t="n">
        <x:v>940</x:v>
      </x:c>
      <x:c r="I1110" s="12" t="str">
        <x:v>研究生宿舍楼</x:v>
      </x:c>
      <x:c r="J1110" s="12" t="str">
        <x:v>研究生宿舍楼发车</x:v>
      </x:c>
      <x:c r="K1110" s="12" t="str">
        <x:v>HX2_NORMAL</x:v>
      </x:c>
      <x:c r="L1110" s="12" t="n">
        <x:v>5</x:v>
      </x:c>
      <x:c r="M1110" s="12" t="str">
        <x:v>HX2_NORMAL|5</x:v>
      </x:c>
      <x:c r="N1110" s="12" t="str">
        <x:v>水上训练中心</x:v>
      </x:c>
      <x:c r="O1110" s="12" t="n">
        <x:f>IFERROR(INDEX('秒级路线参数_可调整'!$O:$O,MATCH(M1110,'秒级路线参数_可调整'!$A:$A,0)),"")</x:f>
        <x:v>250</x:v>
      </x:c>
      <x:c r="P1110" s="12" t="n">
        <x:f>IF(O1110="","",O1110/86400)</x:f>
        <x:v>0.0028935185185185184</x:v>
      </x:c>
      <x:c r="Q1110" s="12" t="n">
        <x:f>IF(O1110="","",(H1110*60+O1110)/86400)</x:f>
        <x:v>0.6556712962962963</x:v>
      </x:c>
      <x:c r="R1110" s="12" t="str">
        <x:f>IF(Q1110="","",TEXT(Q1110,"hh:mm:ss"))</x:f>
        <x:v>15:44:10</x:v>
      </x:c>
      <x:c r="S1110" s="12" t="str">
        <x:v>否</x:v>
      </x:c>
      <x:c r="T1110" s="12" t="str">
        <x:v>否</x:v>
      </x:c>
      <x:c r="U1110" s="12" t="str">
        <x:v>未提供</x:v>
      </x:c>
      <x:c r="V1110" s="12" t="str">
        <x:v>未提供</x:v>
      </x:c>
      <x:c r="W1110" s="12" t="str">
        <x:v>秒级预测</x:v>
      </x:c>
      <x:c r="X1110" s="12" t="str">
        <x:v>基于路线秒级参数；如录入实测或手动采用秒，预计到达时间可随公式更新</x:v>
      </x:c>
    </x:row>
    <x:row r="1111">
      <x:c r="A1111" s="12" t="str">
        <x:v>S0094-06</x:v>
      </x:c>
      <x:c r="B1111" s="12" t="str">
        <x:v>S0094</x:v>
      </x:c>
      <x:c r="C1111" s="12" t="str">
        <x:v>工作日</x:v>
      </x:c>
      <x:c r="D1111" s="12" t="str">
        <x:v>环线2路</x:v>
      </x:c>
      <x:c r="E1111" s="12" t="str">
        <x:v>第二班</x:v>
      </x:c>
      <x:c r="F1111" s="12" t="n">
        <x:v>5</x:v>
      </x:c>
      <x:c r="G1111" s="12" t="str">
        <x:v>15:40</x:v>
      </x:c>
      <x:c r="H1111" s="12" t="n">
        <x:v>940</x:v>
      </x:c>
      <x:c r="I1111" s="12" t="str">
        <x:v>研究生宿舍楼</x:v>
      </x:c>
      <x:c r="J1111" s="12" t="str">
        <x:v>研究生宿舍楼发车</x:v>
      </x:c>
      <x:c r="K1111" s="12" t="str">
        <x:v>HX2_NORMAL</x:v>
      </x:c>
      <x:c r="L1111" s="12" t="n">
        <x:v>6</x:v>
      </x:c>
      <x:c r="M1111" s="12" t="str">
        <x:v>HX2_NORMAL|6</x:v>
      </x:c>
      <x:c r="N1111" s="12" t="str">
        <x:v>军体活动中心</x:v>
      </x:c>
      <x:c r="O1111" s="12" t="n">
        <x:f>IFERROR(INDEX('秒级路线参数_可调整'!$O:$O,MATCH(M1111,'秒级路线参数_可调整'!$A:$A,0)),"")</x:f>
        <x:v>315</x:v>
      </x:c>
      <x:c r="P1111" s="12" t="n">
        <x:f>IF(O1111="","",O1111/86400)</x:f>
        <x:v>0.0036458333333333334</x:v>
      </x:c>
      <x:c r="Q1111" s="12" t="n">
        <x:f>IF(O1111="","",(H1111*60+O1111)/86400)</x:f>
        <x:v>0.6564236111111111</x:v>
      </x:c>
      <x:c r="R1111" s="12" t="str">
        <x:f>IF(Q1111="","",TEXT(Q1111,"hh:mm:ss"))</x:f>
        <x:v>15:45:15</x:v>
      </x:c>
      <x:c r="S1111" s="12" t="str">
        <x:v>否</x:v>
      </x:c>
      <x:c r="T1111" s="12" t="str">
        <x:v>否</x:v>
      </x:c>
      <x:c r="U1111" s="12" t="str">
        <x:v>未提供</x:v>
      </x:c>
      <x:c r="V1111" s="12" t="str">
        <x:v>未提供</x:v>
      </x:c>
      <x:c r="W1111" s="12" t="str">
        <x:v>秒级预测</x:v>
      </x:c>
      <x:c r="X1111" s="12" t="str">
        <x:v>基于路线秒级参数；如录入实测或手动采用秒，预计到达时间可随公式更新</x:v>
      </x:c>
    </x:row>
    <x:row r="1112">
      <x:c r="A1112" s="12" t="str">
        <x:v>S0094-07</x:v>
      </x:c>
      <x:c r="B1112" s="12" t="str">
        <x:v>S0094</x:v>
      </x:c>
      <x:c r="C1112" s="12" t="str">
        <x:v>工作日</x:v>
      </x:c>
      <x:c r="D1112" s="12" t="str">
        <x:v>环线2路</x:v>
      </x:c>
      <x:c r="E1112" s="12" t="str">
        <x:v>第二班</x:v>
      </x:c>
      <x:c r="F1112" s="12" t="n">
        <x:v>5</x:v>
      </x:c>
      <x:c r="G1112" s="12" t="str">
        <x:v>15:40</x:v>
      </x:c>
      <x:c r="H1112" s="12" t="n">
        <x:v>940</x:v>
      </x:c>
      <x:c r="I1112" s="12" t="str">
        <x:v>研究生宿舍楼</x:v>
      </x:c>
      <x:c r="J1112" s="12" t="str">
        <x:v>研究生宿舍楼发车</x:v>
      </x:c>
      <x:c r="K1112" s="12" t="str">
        <x:v>HX2_NORMAL</x:v>
      </x:c>
      <x:c r="L1112" s="12" t="n">
        <x:v>7</x:v>
      </x:c>
      <x:c r="M1112" s="12" t="str">
        <x:v>HX2_NORMAL|7</x:v>
      </x:c>
      <x:c r="N1112" s="12" t="str">
        <x:v>二食堂</x:v>
      </x:c>
      <x:c r="O1112" s="12" t="n">
        <x:f>IFERROR(INDEX('秒级路线参数_可调整'!$O:$O,MATCH(M1112,'秒级路线参数_可调整'!$A:$A,0)),"")</x:f>
        <x:v>420</x:v>
      </x:c>
      <x:c r="P1112" s="12" t="n">
        <x:f>IF(O1112="","",O1112/86400)</x:f>
        <x:v>0.004861111111111111</x:v>
      </x:c>
      <x:c r="Q1112" s="12" t="n">
        <x:f>IF(O1112="","",(H1112*60+O1112)/86400)</x:f>
        <x:v>0.6576388888888889</x:v>
      </x:c>
      <x:c r="R1112" s="12" t="str">
        <x:f>IF(Q1112="","",TEXT(Q1112,"hh:mm:ss"))</x:f>
        <x:v>15:47:00</x:v>
      </x:c>
      <x:c r="S1112" s="12" t="str">
        <x:v>否</x:v>
      </x:c>
      <x:c r="T1112" s="12" t="str">
        <x:v>否</x:v>
      </x:c>
      <x:c r="U1112" s="12" t="str">
        <x:v>未提供</x:v>
      </x:c>
      <x:c r="V1112" s="12" t="str">
        <x:v>未提供</x:v>
      </x:c>
      <x:c r="W1112" s="12" t="str">
        <x:v>秒级预测</x:v>
      </x:c>
      <x:c r="X1112" s="12" t="str">
        <x:v>基于路线秒级参数；如录入实测或手动采用秒，预计到达时间可随公式更新</x:v>
      </x:c>
    </x:row>
    <x:row r="1113">
      <x:c r="A1113" s="12" t="str">
        <x:v>S0094-08</x:v>
      </x:c>
      <x:c r="B1113" s="12" t="str">
        <x:v>S0094</x:v>
      </x:c>
      <x:c r="C1113" s="12" t="str">
        <x:v>工作日</x:v>
      </x:c>
      <x:c r="D1113" s="12" t="str">
        <x:v>环线2路</x:v>
      </x:c>
      <x:c r="E1113" s="12" t="str">
        <x:v>第二班</x:v>
      </x:c>
      <x:c r="F1113" s="12" t="n">
        <x:v>5</x:v>
      </x:c>
      <x:c r="G1113" s="12" t="str">
        <x:v>15:40</x:v>
      </x:c>
      <x:c r="H1113" s="12" t="n">
        <x:v>940</x:v>
      </x:c>
      <x:c r="I1113" s="12" t="str">
        <x:v>研究生宿舍楼</x:v>
      </x:c>
      <x:c r="J1113" s="12" t="str">
        <x:v>研究生宿舍楼发车</x:v>
      </x:c>
      <x:c r="K1113" s="12" t="str">
        <x:v>HX2_NORMAL</x:v>
      </x:c>
      <x:c r="L1113" s="12" t="n">
        <x:v>8</x:v>
      </x:c>
      <x:c r="M1113" s="12" t="str">
        <x:v>HX2_NORMAL|8</x:v>
      </x:c>
      <x:c r="N1113" s="12" t="str">
        <x:v>5号宿舍楼</x:v>
      </x:c>
      <x:c r="O1113" s="12" t="n">
        <x:f>IFERROR(INDEX('秒级路线参数_可调整'!$O:$O,MATCH(M1113,'秒级路线参数_可调整'!$A:$A,0)),"")</x:f>
        <x:v>480</x:v>
      </x:c>
      <x:c r="P1113" s="12" t="n">
        <x:f>IF(O1113="","",O1113/86400)</x:f>
        <x:v>0.005555555555555556</x:v>
      </x:c>
      <x:c r="Q1113" s="12" t="n">
        <x:f>IF(O1113="","",(H1113*60+O1113)/86400)</x:f>
        <x:v>0.6583333333333333</x:v>
      </x:c>
      <x:c r="R1113" s="12" t="str">
        <x:f>IF(Q1113="","",TEXT(Q1113,"hh:mm:ss"))</x:f>
        <x:v>15:48:00</x:v>
      </x:c>
      <x:c r="S1113" s="12" t="str">
        <x:v>否</x:v>
      </x:c>
      <x:c r="T1113" s="12" t="str">
        <x:v>否</x:v>
      </x:c>
      <x:c r="U1113" s="12" t="str">
        <x:v>未提供</x:v>
      </x:c>
      <x:c r="V1113" s="12" t="str">
        <x:v>未提供</x:v>
      </x:c>
      <x:c r="W1113" s="12" t="str">
        <x:v>秒级预测</x:v>
      </x:c>
      <x:c r="X1113" s="12" t="str">
        <x:v>基于路线秒级参数；如录入实测或手动采用秒，预计到达时间可随公式更新</x:v>
      </x:c>
    </x:row>
    <x:row r="1114">
      <x:c r="A1114" s="12" t="str">
        <x:v>S0094-09</x:v>
      </x:c>
      <x:c r="B1114" s="12" t="str">
        <x:v>S0094</x:v>
      </x:c>
      <x:c r="C1114" s="12" t="str">
        <x:v>工作日</x:v>
      </x:c>
      <x:c r="D1114" s="12" t="str">
        <x:v>环线2路</x:v>
      </x:c>
      <x:c r="E1114" s="12" t="str">
        <x:v>第二班</x:v>
      </x:c>
      <x:c r="F1114" s="12" t="n">
        <x:v>5</x:v>
      </x:c>
      <x:c r="G1114" s="12" t="str">
        <x:v>15:40</x:v>
      </x:c>
      <x:c r="H1114" s="12" t="n">
        <x:v>940</x:v>
      </x:c>
      <x:c r="I1114" s="12" t="str">
        <x:v>研究生宿舍楼</x:v>
      </x:c>
      <x:c r="J1114" s="12" t="str">
        <x:v>研究生宿舍楼发车</x:v>
      </x:c>
      <x:c r="K1114" s="12" t="str">
        <x:v>HX2_NORMAL</x:v>
      </x:c>
      <x:c r="L1114" s="12" t="n">
        <x:v>9</x:v>
      </x:c>
      <x:c r="M1114" s="12" t="str">
        <x:v>HX2_NORMAL|9</x:v>
      </x:c>
      <x:c r="N1114" s="12" t="str">
        <x:v>305教学楼</x:v>
      </x:c>
      <x:c r="O1114" s="12" t="n">
        <x:f>IFERROR(INDEX('秒级路线参数_可调整'!$O:$O,MATCH(M1114,'秒级路线参数_可调整'!$A:$A,0)),"")</x:f>
        <x:v>535</x:v>
      </x:c>
      <x:c r="P1114" s="12" t="n">
        <x:f>IF(O1114="","",O1114/86400)</x:f>
        <x:v>0.00619212962962963</x:v>
      </x:c>
      <x:c r="Q1114" s="12" t="n">
        <x:f>IF(O1114="","",(H1114*60+O1114)/86400)</x:f>
        <x:v>0.6589699074074075</x:v>
      </x:c>
      <x:c r="R1114" s="12" t="str">
        <x:f>IF(Q1114="","",TEXT(Q1114,"hh:mm:ss"))</x:f>
        <x:v>15:48:55</x:v>
      </x:c>
      <x:c r="S1114" s="12" t="str">
        <x:v>否</x:v>
      </x:c>
      <x:c r="T1114" s="12" t="str">
        <x:v>否</x:v>
      </x:c>
      <x:c r="U1114" s="12" t="str">
        <x:v>未提供</x:v>
      </x:c>
      <x:c r="V1114" s="12" t="str">
        <x:v>未提供</x:v>
      </x:c>
      <x:c r="W1114" s="12" t="str">
        <x:v>秒级预测</x:v>
      </x:c>
      <x:c r="X1114" s="12" t="str">
        <x:v>基于路线秒级参数；如录入实测或手动采用秒，预计到达时间可随公式更新</x:v>
      </x:c>
    </x:row>
    <x:row r="1115">
      <x:c r="A1115" s="12" t="str">
        <x:v>S0094-10</x:v>
      </x:c>
      <x:c r="B1115" s="12" t="str">
        <x:v>S0094</x:v>
      </x:c>
      <x:c r="C1115" s="12" t="str">
        <x:v>工作日</x:v>
      </x:c>
      <x:c r="D1115" s="12" t="str">
        <x:v>环线2路</x:v>
      </x:c>
      <x:c r="E1115" s="12" t="str">
        <x:v>第二班</x:v>
      </x:c>
      <x:c r="F1115" s="12" t="n">
        <x:v>5</x:v>
      </x:c>
      <x:c r="G1115" s="12" t="str">
        <x:v>15:40</x:v>
      </x:c>
      <x:c r="H1115" s="12" t="n">
        <x:v>940</x:v>
      </x:c>
      <x:c r="I1115" s="12" t="str">
        <x:v>研究生宿舍楼</x:v>
      </x:c>
      <x:c r="J1115" s="12" t="str">
        <x:v>研究生宿舍楼发车</x:v>
      </x:c>
      <x:c r="K1115" s="12" t="str">
        <x:v>HX2_NORMAL</x:v>
      </x:c>
      <x:c r="L1115" s="12" t="n">
        <x:v>10</x:v>
      </x:c>
      <x:c r="M1115" s="12" t="str">
        <x:v>HX2_NORMAL|10</x:v>
      </x:c>
      <x:c r="N1115" s="12" t="str">
        <x:v>研究生宿舍楼</x:v>
      </x:c>
      <x:c r="O1115" s="12" t="n">
        <x:f>IFERROR(INDEX('秒级路线参数_可调整'!$O:$O,MATCH(M1115,'秒级路线参数_可调整'!$A:$A,0)),"")</x:f>
        <x:v>715</x:v>
      </x:c>
      <x:c r="P1115" s="12" t="n">
        <x:f>IF(O1115="","",O1115/86400)</x:f>
        <x:v>0.008275462962962964</x:v>
      </x:c>
      <x:c r="Q1115" s="12" t="n">
        <x:f>IF(O1115="","",(H1115*60+O1115)/86400)</x:f>
        <x:v>0.6610532407407408</x:v>
      </x:c>
      <x:c r="R1115" s="12" t="str">
        <x:f>IF(Q1115="","",TEXT(Q1115,"hh:mm:ss"))</x:f>
        <x:v>15:51:55</x:v>
      </x:c>
      <x:c r="S1115" s="12" t="str">
        <x:v>否</x:v>
      </x:c>
      <x:c r="T1115" s="12" t="str">
        <x:v>是</x:v>
      </x:c>
      <x:c r="U1115" s="12" t="str">
        <x:v>未提供</x:v>
      </x:c>
      <x:c r="V1115" s="12" t="str">
        <x:v>未提供</x:v>
      </x:c>
      <x:c r="W1115" s="12" t="str">
        <x:v>秒级预测</x:v>
      </x:c>
      <x:c r="X1115" s="12" t="str">
        <x:v>基于路线秒级参数；如录入实测或手动采用秒，预计到达时间可随公式更新</x:v>
      </x:c>
    </x:row>
    <x:row r="1116">
      <x:c r="A1116" s="12" t="str">
        <x:v>S0095-01</x:v>
      </x:c>
      <x:c r="B1116" s="12" t="str">
        <x:v>S0095</x:v>
      </x:c>
      <x:c r="C1116" s="12" t="str">
        <x:v>工作日</x:v>
      </x:c>
      <x:c r="D1116" s="12" t="str">
        <x:v>环线2路</x:v>
      </x:c>
      <x:c r="E1116" s="12" t="str">
        <x:v>第二班</x:v>
      </x:c>
      <x:c r="F1116" s="12" t="n">
        <x:v>6</x:v>
      </x:c>
      <x:c r="G1116" s="12" t="str">
        <x:v>16:00</x:v>
      </x:c>
      <x:c r="H1116" s="12" t="n">
        <x:v>960</x:v>
      </x:c>
      <x:c r="I1116" s="12" t="str">
        <x:v>研究生宿舍楼</x:v>
      </x:c>
      <x:c r="J1116" s="12" t="str">
        <x:v>研究生宿舍楼发车</x:v>
      </x:c>
      <x:c r="K1116" s="12" t="str">
        <x:v>HX2_NORMAL</x:v>
      </x:c>
      <x:c r="L1116" s="12" t="n">
        <x:v>1</x:v>
      </x:c>
      <x:c r="M1116" s="12" t="str">
        <x:v>HX2_NORMAL|1</x:v>
      </x:c>
      <x:c r="N1116" s="12" t="str">
        <x:v>研究生宿舍楼</x:v>
      </x:c>
      <x:c r="O1116" s="12" t="n">
        <x:f>IFERROR(INDEX('秒级路线参数_可调整'!$O:$O,MATCH(M1116,'秒级路线参数_可调整'!$A:$A,0)),"")</x:f>
        <x:v>0</x:v>
      </x:c>
      <x:c r="P1116" s="12" t="str">
        <x:f>IF(O1116="","",O1116/86400)</x:f>
      </x:c>
      <x:c r="Q1116" s="12" t="str">
        <x:f>IF(O1116="","",(H1116*60+O1116)/86400)</x:f>
      </x:c>
      <x:c r="R1116" s="12" t="str">
        <x:f>IF(Q1116="","",TEXT(Q1116,"hh:mm:ss"))</x:f>
      </x:c>
      <x:c r="S1116" s="12" t="str">
        <x:v>是</x:v>
      </x:c>
      <x:c r="T1116" s="12" t="str">
        <x:v>否</x:v>
      </x:c>
      <x:c r="U1116" s="12" t="str">
        <x:v>未提供</x:v>
      </x:c>
      <x:c r="V1116" s="12" t="str">
        <x:v>未提供</x:v>
      </x:c>
      <x:c r="W1116" s="12" t="str">
        <x:v>秒级预测</x:v>
      </x:c>
      <x:c r="X1116" s="12" t="str">
        <x:v>基于路线秒级参数；如录入实测或手动采用秒，预计到达时间可随公式更新</x:v>
      </x:c>
    </x:row>
    <x:row r="1117">
      <x:c r="A1117" s="12" t="str">
        <x:v>S0095-02</x:v>
      </x:c>
      <x:c r="B1117" s="12" t="str">
        <x:v>S0095</x:v>
      </x:c>
      <x:c r="C1117" s="12" t="str">
        <x:v>工作日</x:v>
      </x:c>
      <x:c r="D1117" s="12" t="str">
        <x:v>环线2路</x:v>
      </x:c>
      <x:c r="E1117" s="12" t="str">
        <x:v>第二班</x:v>
      </x:c>
      <x:c r="F1117" s="12" t="n">
        <x:v>6</x:v>
      </x:c>
      <x:c r="G1117" s="12" t="str">
        <x:v>16:00</x:v>
      </x:c>
      <x:c r="H1117" s="12" t="n">
        <x:v>960</x:v>
      </x:c>
      <x:c r="I1117" s="12" t="str">
        <x:v>研究生宿舍楼</x:v>
      </x:c>
      <x:c r="J1117" s="12" t="str">
        <x:v>研究生宿舍楼发车</x:v>
      </x:c>
      <x:c r="K1117" s="12" t="str">
        <x:v>HX2_NORMAL</x:v>
      </x:c>
      <x:c r="L1117" s="12" t="n">
        <x:v>2</x:v>
      </x:c>
      <x:c r="M1117" s="12" t="str">
        <x:v>HX2_NORMAL|2</x:v>
      </x:c>
      <x:c r="N1117" s="12" t="str">
        <x:v>一食堂</x:v>
      </x:c>
      <x:c r="O1117" s="12" t="n">
        <x:f>IFERROR(INDEX('秒级路线参数_可调整'!$O:$O,MATCH(M1117,'秒级路线参数_可调整'!$A:$A,0)),"")</x:f>
        <x:v>65</x:v>
      </x:c>
      <x:c r="P1117" s="12" t="n">
        <x:f>IF(O1117="","",O1117/86400)</x:f>
        <x:v>0.0007523148148148148</x:v>
      </x:c>
      <x:c r="Q1117" s="12" t="n">
        <x:f>IF(O1117="","",(H1117*60+O1117)/86400)</x:f>
        <x:v>0.6674189814814815</x:v>
      </x:c>
      <x:c r="R1117" s="12" t="str">
        <x:f>IF(Q1117="","",TEXT(Q1117,"hh:mm:ss"))</x:f>
        <x:v>16:01:05</x:v>
      </x:c>
      <x:c r="S1117" s="12" t="str">
        <x:v>否</x:v>
      </x:c>
      <x:c r="T1117" s="12" t="str">
        <x:v>否</x:v>
      </x:c>
      <x:c r="U1117" s="12" t="str">
        <x:v>未提供</x:v>
      </x:c>
      <x:c r="V1117" s="12" t="str">
        <x:v>未提供</x:v>
      </x:c>
      <x:c r="W1117" s="12" t="str">
        <x:v>秒级预测</x:v>
      </x:c>
      <x:c r="X1117" s="12" t="str">
        <x:v>基于路线秒级参数；如录入实测或手动采用秒，预计到达时间可随公式更新</x:v>
      </x:c>
    </x:row>
    <x:row r="1118">
      <x:c r="A1118" s="12" t="str">
        <x:v>S0095-03</x:v>
      </x:c>
      <x:c r="B1118" s="12" t="str">
        <x:v>S0095</x:v>
      </x:c>
      <x:c r="C1118" s="12" t="str">
        <x:v>工作日</x:v>
      </x:c>
      <x:c r="D1118" s="12" t="str">
        <x:v>环线2路</x:v>
      </x:c>
      <x:c r="E1118" s="12" t="str">
        <x:v>第二班</x:v>
      </x:c>
      <x:c r="F1118" s="12" t="n">
        <x:v>6</x:v>
      </x:c>
      <x:c r="G1118" s="12" t="str">
        <x:v>16:00</x:v>
      </x:c>
      <x:c r="H1118" s="12" t="n">
        <x:v>960</x:v>
      </x:c>
      <x:c r="I1118" s="12" t="str">
        <x:v>研究生宿舍楼</x:v>
      </x:c>
      <x:c r="J1118" s="12" t="str">
        <x:v>研究生宿舍楼发车</x:v>
      </x:c>
      <x:c r="K1118" s="12" t="str">
        <x:v>HX2_NORMAL</x:v>
      </x:c>
      <x:c r="L1118" s="12" t="n">
        <x:v>3</x:v>
      </x:c>
      <x:c r="M1118" s="12" t="str">
        <x:v>HX2_NORMAL|3</x:v>
      </x:c>
      <x:c r="N1118" s="12" t="str">
        <x:v>门诊部</x:v>
      </x:c>
      <x:c r="O1118" s="12" t="n">
        <x:f>IFERROR(INDEX('秒级路线参数_可调整'!$O:$O,MATCH(M1118,'秒级路线参数_可调整'!$A:$A,0)),"")</x:f>
        <x:v>120</x:v>
      </x:c>
      <x:c r="P1118" s="12" t="n">
        <x:f>IF(O1118="","",O1118/86400)</x:f>
        <x:v>0.001388888888888889</x:v>
      </x:c>
      <x:c r="Q1118" s="12" t="n">
        <x:f>IF(O1118="","",(H1118*60+O1118)/86400)</x:f>
        <x:v>0.6680555555555555</x:v>
      </x:c>
      <x:c r="R1118" s="12" t="str">
        <x:f>IF(Q1118="","",TEXT(Q1118,"hh:mm:ss"))</x:f>
        <x:v>16:02:00</x:v>
      </x:c>
      <x:c r="S1118" s="12" t="str">
        <x:v>否</x:v>
      </x:c>
      <x:c r="T1118" s="12" t="str">
        <x:v>否</x:v>
      </x:c>
      <x:c r="U1118" s="12" t="str">
        <x:v>未提供</x:v>
      </x:c>
      <x:c r="V1118" s="12" t="str">
        <x:v>未提供</x:v>
      </x:c>
      <x:c r="W1118" s="12" t="str">
        <x:v>秒级预测</x:v>
      </x:c>
      <x:c r="X1118" s="12" t="str">
        <x:v>基于路线秒级参数；如录入实测或手动采用秒，预计到达时间可随公式更新</x:v>
      </x:c>
    </x:row>
    <x:row r="1119">
      <x:c r="A1119" s="12" t="str">
        <x:v>S0095-04</x:v>
      </x:c>
      <x:c r="B1119" s="12" t="str">
        <x:v>S0095</x:v>
      </x:c>
      <x:c r="C1119" s="12" t="str">
        <x:v>工作日</x:v>
      </x:c>
      <x:c r="D1119" s="12" t="str">
        <x:v>环线2路</x:v>
      </x:c>
      <x:c r="E1119" s="12" t="str">
        <x:v>第二班</x:v>
      </x:c>
      <x:c r="F1119" s="12" t="n">
        <x:v>6</x:v>
      </x:c>
      <x:c r="G1119" s="12" t="str">
        <x:v>16:00</x:v>
      </x:c>
      <x:c r="H1119" s="12" t="n">
        <x:v>960</x:v>
      </x:c>
      <x:c r="I1119" s="12" t="str">
        <x:v>研究生宿舍楼</x:v>
      </x:c>
      <x:c r="J1119" s="12" t="str">
        <x:v>研究生宿舍楼发车</x:v>
      </x:c>
      <x:c r="K1119" s="12" t="str">
        <x:v>HX2_NORMAL</x:v>
      </x:c>
      <x:c r="L1119" s="12" t="n">
        <x:v>4</x:v>
      </x:c>
      <x:c r="M1119" s="12" t="str">
        <x:v>HX2_NORMAL|4</x:v>
      </x:c>
      <x:c r="N1119" s="12" t="str">
        <x:v>1号宿舍楼</x:v>
      </x:c>
      <x:c r="O1119" s="12" t="n">
        <x:f>IFERROR(INDEX('秒级路线参数_可调整'!$O:$O,MATCH(M1119,'秒级路线参数_可调整'!$A:$A,0)),"")</x:f>
        <x:v>165</x:v>
      </x:c>
      <x:c r="P1119" s="12" t="n">
        <x:f>IF(O1119="","",O1119/86400)</x:f>
        <x:v>0.0019097222222222222</x:v>
      </x:c>
      <x:c r="Q1119" s="12" t="n">
        <x:f>IF(O1119="","",(H1119*60+O1119)/86400)</x:f>
        <x:v>0.6685763888888889</x:v>
      </x:c>
      <x:c r="R1119" s="12" t="str">
        <x:f>IF(Q1119="","",TEXT(Q1119,"hh:mm:ss"))</x:f>
        <x:v>16:02:45</x:v>
      </x:c>
      <x:c r="S1119" s="12" t="str">
        <x:v>否</x:v>
      </x:c>
      <x:c r="T1119" s="12" t="str">
        <x:v>否</x:v>
      </x:c>
      <x:c r="U1119" s="12" t="str">
        <x:v>未提供</x:v>
      </x:c>
      <x:c r="V1119" s="12" t="str">
        <x:v>未提供</x:v>
      </x:c>
      <x:c r="W1119" s="12" t="str">
        <x:v>秒级预测</x:v>
      </x:c>
      <x:c r="X1119" s="12" t="str">
        <x:v>基于路线秒级参数；如录入实测或手动采用秒，预计到达时间可随公式更新</x:v>
      </x:c>
    </x:row>
    <x:row r="1120">
      <x:c r="A1120" s="12" t="str">
        <x:v>S0095-05</x:v>
      </x:c>
      <x:c r="B1120" s="12" t="str">
        <x:v>S0095</x:v>
      </x:c>
      <x:c r="C1120" s="12" t="str">
        <x:v>工作日</x:v>
      </x:c>
      <x:c r="D1120" s="12" t="str">
        <x:v>环线2路</x:v>
      </x:c>
      <x:c r="E1120" s="12" t="str">
        <x:v>第二班</x:v>
      </x:c>
      <x:c r="F1120" s="12" t="n">
        <x:v>6</x:v>
      </x:c>
      <x:c r="G1120" s="12" t="str">
        <x:v>16:00</x:v>
      </x:c>
      <x:c r="H1120" s="12" t="n">
        <x:v>960</x:v>
      </x:c>
      <x:c r="I1120" s="12" t="str">
        <x:v>研究生宿舍楼</x:v>
      </x:c>
      <x:c r="J1120" s="12" t="str">
        <x:v>研究生宿舍楼发车</x:v>
      </x:c>
      <x:c r="K1120" s="12" t="str">
        <x:v>HX2_NORMAL</x:v>
      </x:c>
      <x:c r="L1120" s="12" t="n">
        <x:v>5</x:v>
      </x:c>
      <x:c r="M1120" s="12" t="str">
        <x:v>HX2_NORMAL|5</x:v>
      </x:c>
      <x:c r="N1120" s="12" t="str">
        <x:v>水上训练中心</x:v>
      </x:c>
      <x:c r="O1120" s="12" t="n">
        <x:f>IFERROR(INDEX('秒级路线参数_可调整'!$O:$O,MATCH(M1120,'秒级路线参数_可调整'!$A:$A,0)),"")</x:f>
        <x:v>250</x:v>
      </x:c>
      <x:c r="P1120" s="12" t="n">
        <x:f>IF(O1120="","",O1120/86400)</x:f>
        <x:v>0.0028935185185185184</x:v>
      </x:c>
      <x:c r="Q1120" s="12" t="n">
        <x:f>IF(O1120="","",(H1120*60+O1120)/86400)</x:f>
        <x:v>0.6695601851851852</x:v>
      </x:c>
      <x:c r="R1120" s="12" t="str">
        <x:f>IF(Q1120="","",TEXT(Q1120,"hh:mm:ss"))</x:f>
        <x:v>16:04:10</x:v>
      </x:c>
      <x:c r="S1120" s="12" t="str">
        <x:v>否</x:v>
      </x:c>
      <x:c r="T1120" s="12" t="str">
        <x:v>否</x:v>
      </x:c>
      <x:c r="U1120" s="12" t="str">
        <x:v>未提供</x:v>
      </x:c>
      <x:c r="V1120" s="12" t="str">
        <x:v>未提供</x:v>
      </x:c>
      <x:c r="W1120" s="12" t="str">
        <x:v>秒级预测</x:v>
      </x:c>
      <x:c r="X1120" s="12" t="str">
        <x:v>基于路线秒级参数；如录入实测或手动采用秒，预计到达时间可随公式更新</x:v>
      </x:c>
    </x:row>
    <x:row r="1121">
      <x:c r="A1121" s="12" t="str">
        <x:v>S0095-06</x:v>
      </x:c>
      <x:c r="B1121" s="12" t="str">
        <x:v>S0095</x:v>
      </x:c>
      <x:c r="C1121" s="12" t="str">
        <x:v>工作日</x:v>
      </x:c>
      <x:c r="D1121" s="12" t="str">
        <x:v>环线2路</x:v>
      </x:c>
      <x:c r="E1121" s="12" t="str">
        <x:v>第二班</x:v>
      </x:c>
      <x:c r="F1121" s="12" t="n">
        <x:v>6</x:v>
      </x:c>
      <x:c r="G1121" s="12" t="str">
        <x:v>16:00</x:v>
      </x:c>
      <x:c r="H1121" s="12" t="n">
        <x:v>960</x:v>
      </x:c>
      <x:c r="I1121" s="12" t="str">
        <x:v>研究生宿舍楼</x:v>
      </x:c>
      <x:c r="J1121" s="12" t="str">
        <x:v>研究生宿舍楼发车</x:v>
      </x:c>
      <x:c r="K1121" s="12" t="str">
        <x:v>HX2_NORMAL</x:v>
      </x:c>
      <x:c r="L1121" s="12" t="n">
        <x:v>6</x:v>
      </x:c>
      <x:c r="M1121" s="12" t="str">
        <x:v>HX2_NORMAL|6</x:v>
      </x:c>
      <x:c r="N1121" s="12" t="str">
        <x:v>军体活动中心</x:v>
      </x:c>
      <x:c r="O1121" s="12" t="n">
        <x:f>IFERROR(INDEX('秒级路线参数_可调整'!$O:$O,MATCH(M1121,'秒级路线参数_可调整'!$A:$A,0)),"")</x:f>
        <x:v>315</x:v>
      </x:c>
      <x:c r="P1121" s="12" t="n">
        <x:f>IF(O1121="","",O1121/86400)</x:f>
        <x:v>0.0036458333333333334</x:v>
      </x:c>
      <x:c r="Q1121" s="12" t="n">
        <x:f>IF(O1121="","",(H1121*60+O1121)/86400)</x:f>
        <x:v>0.6703125</x:v>
      </x:c>
      <x:c r="R1121" s="12" t="str">
        <x:f>IF(Q1121="","",TEXT(Q1121,"hh:mm:ss"))</x:f>
        <x:v>16:05:15</x:v>
      </x:c>
      <x:c r="S1121" s="12" t="str">
        <x:v>否</x:v>
      </x:c>
      <x:c r="T1121" s="12" t="str">
        <x:v>否</x:v>
      </x:c>
      <x:c r="U1121" s="12" t="str">
        <x:v>未提供</x:v>
      </x:c>
      <x:c r="V1121" s="12" t="str">
        <x:v>未提供</x:v>
      </x:c>
      <x:c r="W1121" s="12" t="str">
        <x:v>秒级预测</x:v>
      </x:c>
      <x:c r="X1121" s="12" t="str">
        <x:v>基于路线秒级参数；如录入实测或手动采用秒，预计到达时间可随公式更新</x:v>
      </x:c>
    </x:row>
    <x:row r="1122">
      <x:c r="A1122" s="12" t="str">
        <x:v>S0095-07</x:v>
      </x:c>
      <x:c r="B1122" s="12" t="str">
        <x:v>S0095</x:v>
      </x:c>
      <x:c r="C1122" s="12" t="str">
        <x:v>工作日</x:v>
      </x:c>
      <x:c r="D1122" s="12" t="str">
        <x:v>环线2路</x:v>
      </x:c>
      <x:c r="E1122" s="12" t="str">
        <x:v>第二班</x:v>
      </x:c>
      <x:c r="F1122" s="12" t="n">
        <x:v>6</x:v>
      </x:c>
      <x:c r="G1122" s="12" t="str">
        <x:v>16:00</x:v>
      </x:c>
      <x:c r="H1122" s="12" t="n">
        <x:v>960</x:v>
      </x:c>
      <x:c r="I1122" s="12" t="str">
        <x:v>研究生宿舍楼</x:v>
      </x:c>
      <x:c r="J1122" s="12" t="str">
        <x:v>研究生宿舍楼发车</x:v>
      </x:c>
      <x:c r="K1122" s="12" t="str">
        <x:v>HX2_NORMAL</x:v>
      </x:c>
      <x:c r="L1122" s="12" t="n">
        <x:v>7</x:v>
      </x:c>
      <x:c r="M1122" s="12" t="str">
        <x:v>HX2_NORMAL|7</x:v>
      </x:c>
      <x:c r="N1122" s="12" t="str">
        <x:v>二食堂</x:v>
      </x:c>
      <x:c r="O1122" s="12" t="n">
        <x:f>IFERROR(INDEX('秒级路线参数_可调整'!$O:$O,MATCH(M1122,'秒级路线参数_可调整'!$A:$A,0)),"")</x:f>
        <x:v>420</x:v>
      </x:c>
      <x:c r="P1122" s="12" t="n">
        <x:f>IF(O1122="","",O1122/86400)</x:f>
        <x:v>0.004861111111111111</x:v>
      </x:c>
      <x:c r="Q1122" s="12" t="n">
        <x:f>IF(O1122="","",(H1122*60+O1122)/86400)</x:f>
        <x:v>0.6715277777777777</x:v>
      </x:c>
      <x:c r="R1122" s="12" t="str">
        <x:f>IF(Q1122="","",TEXT(Q1122,"hh:mm:ss"))</x:f>
        <x:v>16:07:00</x:v>
      </x:c>
      <x:c r="S1122" s="12" t="str">
        <x:v>否</x:v>
      </x:c>
      <x:c r="T1122" s="12" t="str">
        <x:v>否</x:v>
      </x:c>
      <x:c r="U1122" s="12" t="str">
        <x:v>未提供</x:v>
      </x:c>
      <x:c r="V1122" s="12" t="str">
        <x:v>未提供</x:v>
      </x:c>
      <x:c r="W1122" s="12" t="str">
        <x:v>秒级预测</x:v>
      </x:c>
      <x:c r="X1122" s="12" t="str">
        <x:v>基于路线秒级参数；如录入实测或手动采用秒，预计到达时间可随公式更新</x:v>
      </x:c>
    </x:row>
    <x:row r="1123">
      <x:c r="A1123" s="12" t="str">
        <x:v>S0095-08</x:v>
      </x:c>
      <x:c r="B1123" s="12" t="str">
        <x:v>S0095</x:v>
      </x:c>
      <x:c r="C1123" s="12" t="str">
        <x:v>工作日</x:v>
      </x:c>
      <x:c r="D1123" s="12" t="str">
        <x:v>环线2路</x:v>
      </x:c>
      <x:c r="E1123" s="12" t="str">
        <x:v>第二班</x:v>
      </x:c>
      <x:c r="F1123" s="12" t="n">
        <x:v>6</x:v>
      </x:c>
      <x:c r="G1123" s="12" t="str">
        <x:v>16:00</x:v>
      </x:c>
      <x:c r="H1123" s="12" t="n">
        <x:v>960</x:v>
      </x:c>
      <x:c r="I1123" s="12" t="str">
        <x:v>研究生宿舍楼</x:v>
      </x:c>
      <x:c r="J1123" s="12" t="str">
        <x:v>研究生宿舍楼发车</x:v>
      </x:c>
      <x:c r="K1123" s="12" t="str">
        <x:v>HX2_NORMAL</x:v>
      </x:c>
      <x:c r="L1123" s="12" t="n">
        <x:v>8</x:v>
      </x:c>
      <x:c r="M1123" s="12" t="str">
        <x:v>HX2_NORMAL|8</x:v>
      </x:c>
      <x:c r="N1123" s="12" t="str">
        <x:v>5号宿舍楼</x:v>
      </x:c>
      <x:c r="O1123" s="12" t="n">
        <x:f>IFERROR(INDEX('秒级路线参数_可调整'!$O:$O,MATCH(M1123,'秒级路线参数_可调整'!$A:$A,0)),"")</x:f>
        <x:v>480</x:v>
      </x:c>
      <x:c r="P1123" s="12" t="n">
        <x:f>IF(O1123="","",O1123/86400)</x:f>
        <x:v>0.005555555555555556</x:v>
      </x:c>
      <x:c r="Q1123" s="12" t="n">
        <x:f>IF(O1123="","",(H1123*60+O1123)/86400)</x:f>
        <x:v>0.6722222222222223</x:v>
      </x:c>
      <x:c r="R1123" s="12" t="str">
        <x:f>IF(Q1123="","",TEXT(Q1123,"hh:mm:ss"))</x:f>
        <x:v>16:08:00</x:v>
      </x:c>
      <x:c r="S1123" s="12" t="str">
        <x:v>否</x:v>
      </x:c>
      <x:c r="T1123" s="12" t="str">
        <x:v>否</x:v>
      </x:c>
      <x:c r="U1123" s="12" t="str">
        <x:v>未提供</x:v>
      </x:c>
      <x:c r="V1123" s="12" t="str">
        <x:v>未提供</x:v>
      </x:c>
      <x:c r="W1123" s="12" t="str">
        <x:v>秒级预测</x:v>
      </x:c>
      <x:c r="X1123" s="12" t="str">
        <x:v>基于路线秒级参数；如录入实测或手动采用秒，预计到达时间可随公式更新</x:v>
      </x:c>
    </x:row>
    <x:row r="1124">
      <x:c r="A1124" s="12" t="str">
        <x:v>S0095-09</x:v>
      </x:c>
      <x:c r="B1124" s="12" t="str">
        <x:v>S0095</x:v>
      </x:c>
      <x:c r="C1124" s="12" t="str">
        <x:v>工作日</x:v>
      </x:c>
      <x:c r="D1124" s="12" t="str">
        <x:v>环线2路</x:v>
      </x:c>
      <x:c r="E1124" s="12" t="str">
        <x:v>第二班</x:v>
      </x:c>
      <x:c r="F1124" s="12" t="n">
        <x:v>6</x:v>
      </x:c>
      <x:c r="G1124" s="12" t="str">
        <x:v>16:00</x:v>
      </x:c>
      <x:c r="H1124" s="12" t="n">
        <x:v>960</x:v>
      </x:c>
      <x:c r="I1124" s="12" t="str">
        <x:v>研究生宿舍楼</x:v>
      </x:c>
      <x:c r="J1124" s="12" t="str">
        <x:v>研究生宿舍楼发车</x:v>
      </x:c>
      <x:c r="K1124" s="12" t="str">
        <x:v>HX2_NORMAL</x:v>
      </x:c>
      <x:c r="L1124" s="12" t="n">
        <x:v>9</x:v>
      </x:c>
      <x:c r="M1124" s="12" t="str">
        <x:v>HX2_NORMAL|9</x:v>
      </x:c>
      <x:c r="N1124" s="12" t="str">
        <x:v>305教学楼</x:v>
      </x:c>
      <x:c r="O1124" s="12" t="n">
        <x:f>IFERROR(INDEX('秒级路线参数_可调整'!$O:$O,MATCH(M1124,'秒级路线参数_可调整'!$A:$A,0)),"")</x:f>
        <x:v>535</x:v>
      </x:c>
      <x:c r="P1124" s="12" t="n">
        <x:f>IF(O1124="","",O1124/86400)</x:f>
        <x:v>0.00619212962962963</x:v>
      </x:c>
      <x:c r="Q1124" s="12" t="n">
        <x:f>IF(O1124="","",(H1124*60+O1124)/86400)</x:f>
        <x:v>0.6728587962962963</x:v>
      </x:c>
      <x:c r="R1124" s="12" t="str">
        <x:f>IF(Q1124="","",TEXT(Q1124,"hh:mm:ss"))</x:f>
        <x:v>16:08:55</x:v>
      </x:c>
      <x:c r="S1124" s="12" t="str">
        <x:v>否</x:v>
      </x:c>
      <x:c r="T1124" s="12" t="str">
        <x:v>否</x:v>
      </x:c>
      <x:c r="U1124" s="12" t="str">
        <x:v>未提供</x:v>
      </x:c>
      <x:c r="V1124" s="12" t="str">
        <x:v>未提供</x:v>
      </x:c>
      <x:c r="W1124" s="12" t="str">
        <x:v>秒级预测</x:v>
      </x:c>
      <x:c r="X1124" s="12" t="str">
        <x:v>基于路线秒级参数；如录入实测或手动采用秒，预计到达时间可随公式更新</x:v>
      </x:c>
    </x:row>
    <x:row r="1125">
      <x:c r="A1125" s="12" t="str">
        <x:v>S0095-10</x:v>
      </x:c>
      <x:c r="B1125" s="12" t="str">
        <x:v>S0095</x:v>
      </x:c>
      <x:c r="C1125" s="12" t="str">
        <x:v>工作日</x:v>
      </x:c>
      <x:c r="D1125" s="12" t="str">
        <x:v>环线2路</x:v>
      </x:c>
      <x:c r="E1125" s="12" t="str">
        <x:v>第二班</x:v>
      </x:c>
      <x:c r="F1125" s="12" t="n">
        <x:v>6</x:v>
      </x:c>
      <x:c r="G1125" s="12" t="str">
        <x:v>16:00</x:v>
      </x:c>
      <x:c r="H1125" s="12" t="n">
        <x:v>960</x:v>
      </x:c>
      <x:c r="I1125" s="12" t="str">
        <x:v>研究生宿舍楼</x:v>
      </x:c>
      <x:c r="J1125" s="12" t="str">
        <x:v>研究生宿舍楼发车</x:v>
      </x:c>
      <x:c r="K1125" s="12" t="str">
        <x:v>HX2_NORMAL</x:v>
      </x:c>
      <x:c r="L1125" s="12" t="n">
        <x:v>10</x:v>
      </x:c>
      <x:c r="M1125" s="12" t="str">
        <x:v>HX2_NORMAL|10</x:v>
      </x:c>
      <x:c r="N1125" s="12" t="str">
        <x:v>研究生宿舍楼</x:v>
      </x:c>
      <x:c r="O1125" s="12" t="n">
        <x:f>IFERROR(INDEX('秒级路线参数_可调整'!$O:$O,MATCH(M1125,'秒级路线参数_可调整'!$A:$A,0)),"")</x:f>
        <x:v>715</x:v>
      </x:c>
      <x:c r="P1125" s="12" t="n">
        <x:f>IF(O1125="","",O1125/86400)</x:f>
        <x:v>0.008275462962962964</x:v>
      </x:c>
      <x:c r="Q1125" s="12" t="n">
        <x:f>IF(O1125="","",(H1125*60+O1125)/86400)</x:f>
        <x:v>0.6749421296296296</x:v>
      </x:c>
      <x:c r="R1125" s="12" t="str">
        <x:f>IF(Q1125="","",TEXT(Q1125,"hh:mm:ss"))</x:f>
        <x:v>16:11:55</x:v>
      </x:c>
      <x:c r="S1125" s="12" t="str">
        <x:v>否</x:v>
      </x:c>
      <x:c r="T1125" s="12" t="str">
        <x:v>是</x:v>
      </x:c>
      <x:c r="U1125" s="12" t="str">
        <x:v>未提供</x:v>
      </x:c>
      <x:c r="V1125" s="12" t="str">
        <x:v>未提供</x:v>
      </x:c>
      <x:c r="W1125" s="12" t="str">
        <x:v>秒级预测</x:v>
      </x:c>
      <x:c r="X1125" s="12" t="str">
        <x:v>基于路线秒级参数；如录入实测或手动采用秒，预计到达时间可随公式更新</x:v>
      </x:c>
    </x:row>
    <x:row r="1126">
      <x:c r="A1126" s="12" t="str">
        <x:v>S0096-01</x:v>
      </x:c>
      <x:c r="B1126" s="12" t="str">
        <x:v>S0096</x:v>
      </x:c>
      <x:c r="C1126" s="12" t="str">
        <x:v>工作日</x:v>
      </x:c>
      <x:c r="D1126" s="12" t="str">
        <x:v>环线2路</x:v>
      </x:c>
      <x:c r="E1126" s="12" t="str">
        <x:v>第二班</x:v>
      </x:c>
      <x:c r="F1126" s="12" t="n">
        <x:v>7</x:v>
      </x:c>
      <x:c r="G1126" s="12" t="str">
        <x:v>16:35</x:v>
      </x:c>
      <x:c r="H1126" s="12" t="n">
        <x:v>995</x:v>
      </x:c>
      <x:c r="I1126" s="12" t="str">
        <x:v>研究生宿舍楼</x:v>
      </x:c>
      <x:c r="J1126" s="12" t="str">
        <x:v>研究生宿舍楼发车</x:v>
      </x:c>
      <x:c r="K1126" s="12" t="str">
        <x:v>HX2_NORMAL</x:v>
      </x:c>
      <x:c r="L1126" s="12" t="n">
        <x:v>1</x:v>
      </x:c>
      <x:c r="M1126" s="12" t="str">
        <x:v>HX2_NORMAL|1</x:v>
      </x:c>
      <x:c r="N1126" s="12" t="str">
        <x:v>研究生宿舍楼</x:v>
      </x:c>
      <x:c r="O1126" s="12" t="n">
        <x:f>IFERROR(INDEX('秒级路线参数_可调整'!$O:$O,MATCH(M1126,'秒级路线参数_可调整'!$A:$A,0)),"")</x:f>
        <x:v>0</x:v>
      </x:c>
      <x:c r="P1126" s="12" t="str">
        <x:f>IF(O1126="","",O1126/86400)</x:f>
      </x:c>
      <x:c r="Q1126" s="12" t="str">
        <x:f>IF(O1126="","",(H1126*60+O1126)/86400)</x:f>
      </x:c>
      <x:c r="R1126" s="12" t="str">
        <x:f>IF(Q1126="","",TEXT(Q1126,"hh:mm:ss"))</x:f>
      </x:c>
      <x:c r="S1126" s="12" t="str">
        <x:v>是</x:v>
      </x:c>
      <x:c r="T1126" s="12" t="str">
        <x:v>否</x:v>
      </x:c>
      <x:c r="U1126" s="12" t="str">
        <x:v>未提供</x:v>
      </x:c>
      <x:c r="V1126" s="12" t="str">
        <x:v>未提供</x:v>
      </x:c>
      <x:c r="W1126" s="12" t="str">
        <x:v>秒级预测</x:v>
      </x:c>
      <x:c r="X1126" s="12" t="str">
        <x:v>基于路线秒级参数；如录入实测或手动采用秒，预计到达时间可随公式更新</x:v>
      </x:c>
    </x:row>
    <x:row r="1127">
      <x:c r="A1127" s="12" t="str">
        <x:v>S0096-02</x:v>
      </x:c>
      <x:c r="B1127" s="12" t="str">
        <x:v>S0096</x:v>
      </x:c>
      <x:c r="C1127" s="12" t="str">
        <x:v>工作日</x:v>
      </x:c>
      <x:c r="D1127" s="12" t="str">
        <x:v>环线2路</x:v>
      </x:c>
      <x:c r="E1127" s="12" t="str">
        <x:v>第二班</x:v>
      </x:c>
      <x:c r="F1127" s="12" t="n">
        <x:v>7</x:v>
      </x:c>
      <x:c r="G1127" s="12" t="str">
        <x:v>16:35</x:v>
      </x:c>
      <x:c r="H1127" s="12" t="n">
        <x:v>995</x:v>
      </x:c>
      <x:c r="I1127" s="12" t="str">
        <x:v>研究生宿舍楼</x:v>
      </x:c>
      <x:c r="J1127" s="12" t="str">
        <x:v>研究生宿舍楼发车</x:v>
      </x:c>
      <x:c r="K1127" s="12" t="str">
        <x:v>HX2_NORMAL</x:v>
      </x:c>
      <x:c r="L1127" s="12" t="n">
        <x:v>2</x:v>
      </x:c>
      <x:c r="M1127" s="12" t="str">
        <x:v>HX2_NORMAL|2</x:v>
      </x:c>
      <x:c r="N1127" s="12" t="str">
        <x:v>一食堂</x:v>
      </x:c>
      <x:c r="O1127" s="12" t="n">
        <x:f>IFERROR(INDEX('秒级路线参数_可调整'!$O:$O,MATCH(M1127,'秒级路线参数_可调整'!$A:$A,0)),"")</x:f>
        <x:v>65</x:v>
      </x:c>
      <x:c r="P1127" s="12" t="n">
        <x:f>IF(O1127="","",O1127/86400)</x:f>
        <x:v>0.0007523148148148148</x:v>
      </x:c>
      <x:c r="Q1127" s="12" t="n">
        <x:f>IF(O1127="","",(H1127*60+O1127)/86400)</x:f>
        <x:v>0.6917245370370371</x:v>
      </x:c>
      <x:c r="R1127" s="12" t="str">
        <x:f>IF(Q1127="","",TEXT(Q1127,"hh:mm:ss"))</x:f>
        <x:v>16:36:05</x:v>
      </x:c>
      <x:c r="S1127" s="12" t="str">
        <x:v>否</x:v>
      </x:c>
      <x:c r="T1127" s="12" t="str">
        <x:v>否</x:v>
      </x:c>
      <x:c r="U1127" s="12" t="str">
        <x:v>未提供</x:v>
      </x:c>
      <x:c r="V1127" s="12" t="str">
        <x:v>未提供</x:v>
      </x:c>
      <x:c r="W1127" s="12" t="str">
        <x:v>秒级预测</x:v>
      </x:c>
      <x:c r="X1127" s="12" t="str">
        <x:v>基于路线秒级参数；如录入实测或手动采用秒，预计到达时间可随公式更新</x:v>
      </x:c>
    </x:row>
    <x:row r="1128">
      <x:c r="A1128" s="12" t="str">
        <x:v>S0096-03</x:v>
      </x:c>
      <x:c r="B1128" s="12" t="str">
        <x:v>S0096</x:v>
      </x:c>
      <x:c r="C1128" s="12" t="str">
        <x:v>工作日</x:v>
      </x:c>
      <x:c r="D1128" s="12" t="str">
        <x:v>环线2路</x:v>
      </x:c>
      <x:c r="E1128" s="12" t="str">
        <x:v>第二班</x:v>
      </x:c>
      <x:c r="F1128" s="12" t="n">
        <x:v>7</x:v>
      </x:c>
      <x:c r="G1128" s="12" t="str">
        <x:v>16:35</x:v>
      </x:c>
      <x:c r="H1128" s="12" t="n">
        <x:v>995</x:v>
      </x:c>
      <x:c r="I1128" s="12" t="str">
        <x:v>研究生宿舍楼</x:v>
      </x:c>
      <x:c r="J1128" s="12" t="str">
        <x:v>研究生宿舍楼发车</x:v>
      </x:c>
      <x:c r="K1128" s="12" t="str">
        <x:v>HX2_NORMAL</x:v>
      </x:c>
      <x:c r="L1128" s="12" t="n">
        <x:v>3</x:v>
      </x:c>
      <x:c r="M1128" s="12" t="str">
        <x:v>HX2_NORMAL|3</x:v>
      </x:c>
      <x:c r="N1128" s="12" t="str">
        <x:v>门诊部</x:v>
      </x:c>
      <x:c r="O1128" s="12" t="n">
        <x:f>IFERROR(INDEX('秒级路线参数_可调整'!$O:$O,MATCH(M1128,'秒级路线参数_可调整'!$A:$A,0)),"")</x:f>
        <x:v>120</x:v>
      </x:c>
      <x:c r="P1128" s="12" t="n">
        <x:f>IF(O1128="","",O1128/86400)</x:f>
        <x:v>0.001388888888888889</x:v>
      </x:c>
      <x:c r="Q1128" s="12" t="n">
        <x:f>IF(O1128="","",(H1128*60+O1128)/86400)</x:f>
        <x:v>0.6923611111111111</x:v>
      </x:c>
      <x:c r="R1128" s="12" t="str">
        <x:f>IF(Q1128="","",TEXT(Q1128,"hh:mm:ss"))</x:f>
        <x:v>16:37:00</x:v>
      </x:c>
      <x:c r="S1128" s="12" t="str">
        <x:v>否</x:v>
      </x:c>
      <x:c r="T1128" s="12" t="str">
        <x:v>否</x:v>
      </x:c>
      <x:c r="U1128" s="12" t="str">
        <x:v>未提供</x:v>
      </x:c>
      <x:c r="V1128" s="12" t="str">
        <x:v>未提供</x:v>
      </x:c>
      <x:c r="W1128" s="12" t="str">
        <x:v>秒级预测</x:v>
      </x:c>
      <x:c r="X1128" s="12" t="str">
        <x:v>基于路线秒级参数；如录入实测或手动采用秒，预计到达时间可随公式更新</x:v>
      </x:c>
    </x:row>
    <x:row r="1129">
      <x:c r="A1129" s="12" t="str">
        <x:v>S0096-04</x:v>
      </x:c>
      <x:c r="B1129" s="12" t="str">
        <x:v>S0096</x:v>
      </x:c>
      <x:c r="C1129" s="12" t="str">
        <x:v>工作日</x:v>
      </x:c>
      <x:c r="D1129" s="12" t="str">
        <x:v>环线2路</x:v>
      </x:c>
      <x:c r="E1129" s="12" t="str">
        <x:v>第二班</x:v>
      </x:c>
      <x:c r="F1129" s="12" t="n">
        <x:v>7</x:v>
      </x:c>
      <x:c r="G1129" s="12" t="str">
        <x:v>16:35</x:v>
      </x:c>
      <x:c r="H1129" s="12" t="n">
        <x:v>995</x:v>
      </x:c>
      <x:c r="I1129" s="12" t="str">
        <x:v>研究生宿舍楼</x:v>
      </x:c>
      <x:c r="J1129" s="12" t="str">
        <x:v>研究生宿舍楼发车</x:v>
      </x:c>
      <x:c r="K1129" s="12" t="str">
        <x:v>HX2_NORMAL</x:v>
      </x:c>
      <x:c r="L1129" s="12" t="n">
        <x:v>4</x:v>
      </x:c>
      <x:c r="M1129" s="12" t="str">
        <x:v>HX2_NORMAL|4</x:v>
      </x:c>
      <x:c r="N1129" s="12" t="str">
        <x:v>1号宿舍楼</x:v>
      </x:c>
      <x:c r="O1129" s="12" t="n">
        <x:f>IFERROR(INDEX('秒级路线参数_可调整'!$O:$O,MATCH(M1129,'秒级路线参数_可调整'!$A:$A,0)),"")</x:f>
        <x:v>165</x:v>
      </x:c>
      <x:c r="P1129" s="12" t="n">
        <x:f>IF(O1129="","",O1129/86400)</x:f>
        <x:v>0.0019097222222222222</x:v>
      </x:c>
      <x:c r="Q1129" s="12" t="n">
        <x:f>IF(O1129="","",(H1129*60+O1129)/86400)</x:f>
        <x:v>0.6928819444444444</x:v>
      </x:c>
      <x:c r="R1129" s="12" t="str">
        <x:f>IF(Q1129="","",TEXT(Q1129,"hh:mm:ss"))</x:f>
        <x:v>16:37:45</x:v>
      </x:c>
      <x:c r="S1129" s="12" t="str">
        <x:v>否</x:v>
      </x:c>
      <x:c r="T1129" s="12" t="str">
        <x:v>否</x:v>
      </x:c>
      <x:c r="U1129" s="12" t="str">
        <x:v>未提供</x:v>
      </x:c>
      <x:c r="V1129" s="12" t="str">
        <x:v>未提供</x:v>
      </x:c>
      <x:c r="W1129" s="12" t="str">
        <x:v>秒级预测</x:v>
      </x:c>
      <x:c r="X1129" s="12" t="str">
        <x:v>基于路线秒级参数；如录入实测或手动采用秒，预计到达时间可随公式更新</x:v>
      </x:c>
    </x:row>
    <x:row r="1130">
      <x:c r="A1130" s="12" t="str">
        <x:v>S0096-05</x:v>
      </x:c>
      <x:c r="B1130" s="12" t="str">
        <x:v>S0096</x:v>
      </x:c>
      <x:c r="C1130" s="12" t="str">
        <x:v>工作日</x:v>
      </x:c>
      <x:c r="D1130" s="12" t="str">
        <x:v>环线2路</x:v>
      </x:c>
      <x:c r="E1130" s="12" t="str">
        <x:v>第二班</x:v>
      </x:c>
      <x:c r="F1130" s="12" t="n">
        <x:v>7</x:v>
      </x:c>
      <x:c r="G1130" s="12" t="str">
        <x:v>16:35</x:v>
      </x:c>
      <x:c r="H1130" s="12" t="n">
        <x:v>995</x:v>
      </x:c>
      <x:c r="I1130" s="12" t="str">
        <x:v>研究生宿舍楼</x:v>
      </x:c>
      <x:c r="J1130" s="12" t="str">
        <x:v>研究生宿舍楼发车</x:v>
      </x:c>
      <x:c r="K1130" s="12" t="str">
        <x:v>HX2_NORMAL</x:v>
      </x:c>
      <x:c r="L1130" s="12" t="n">
        <x:v>5</x:v>
      </x:c>
      <x:c r="M1130" s="12" t="str">
        <x:v>HX2_NORMAL|5</x:v>
      </x:c>
      <x:c r="N1130" s="12" t="str">
        <x:v>水上训练中心</x:v>
      </x:c>
      <x:c r="O1130" s="12" t="n">
        <x:f>IFERROR(INDEX('秒级路线参数_可调整'!$O:$O,MATCH(M1130,'秒级路线参数_可调整'!$A:$A,0)),"")</x:f>
        <x:v>250</x:v>
      </x:c>
      <x:c r="P1130" s="12" t="n">
        <x:f>IF(O1130="","",O1130/86400)</x:f>
        <x:v>0.0028935185185185184</x:v>
      </x:c>
      <x:c r="Q1130" s="12" t="n">
        <x:f>IF(O1130="","",(H1130*60+O1130)/86400)</x:f>
        <x:v>0.6938657407407407</x:v>
      </x:c>
      <x:c r="R1130" s="12" t="str">
        <x:f>IF(Q1130="","",TEXT(Q1130,"hh:mm:ss"))</x:f>
        <x:v>16:39:10</x:v>
      </x:c>
      <x:c r="S1130" s="12" t="str">
        <x:v>否</x:v>
      </x:c>
      <x:c r="T1130" s="12" t="str">
        <x:v>否</x:v>
      </x:c>
      <x:c r="U1130" s="12" t="str">
        <x:v>未提供</x:v>
      </x:c>
      <x:c r="V1130" s="12" t="str">
        <x:v>未提供</x:v>
      </x:c>
      <x:c r="W1130" s="12" t="str">
        <x:v>秒级预测</x:v>
      </x:c>
      <x:c r="X1130" s="12" t="str">
        <x:v>基于路线秒级参数；如录入实测或手动采用秒，预计到达时间可随公式更新</x:v>
      </x:c>
    </x:row>
    <x:row r="1131">
      <x:c r="A1131" s="12" t="str">
        <x:v>S0096-06</x:v>
      </x:c>
      <x:c r="B1131" s="12" t="str">
        <x:v>S0096</x:v>
      </x:c>
      <x:c r="C1131" s="12" t="str">
        <x:v>工作日</x:v>
      </x:c>
      <x:c r="D1131" s="12" t="str">
        <x:v>环线2路</x:v>
      </x:c>
      <x:c r="E1131" s="12" t="str">
        <x:v>第二班</x:v>
      </x:c>
      <x:c r="F1131" s="12" t="n">
        <x:v>7</x:v>
      </x:c>
      <x:c r="G1131" s="12" t="str">
        <x:v>16:35</x:v>
      </x:c>
      <x:c r="H1131" s="12" t="n">
        <x:v>995</x:v>
      </x:c>
      <x:c r="I1131" s="12" t="str">
        <x:v>研究生宿舍楼</x:v>
      </x:c>
      <x:c r="J1131" s="12" t="str">
        <x:v>研究生宿舍楼发车</x:v>
      </x:c>
      <x:c r="K1131" s="12" t="str">
        <x:v>HX2_NORMAL</x:v>
      </x:c>
      <x:c r="L1131" s="12" t="n">
        <x:v>6</x:v>
      </x:c>
      <x:c r="M1131" s="12" t="str">
        <x:v>HX2_NORMAL|6</x:v>
      </x:c>
      <x:c r="N1131" s="12" t="str">
        <x:v>军体活动中心</x:v>
      </x:c>
      <x:c r="O1131" s="12" t="n">
        <x:f>IFERROR(INDEX('秒级路线参数_可调整'!$O:$O,MATCH(M1131,'秒级路线参数_可调整'!$A:$A,0)),"")</x:f>
        <x:v>315</x:v>
      </x:c>
      <x:c r="P1131" s="12" t="n">
        <x:f>IF(O1131="","",O1131/86400)</x:f>
        <x:v>0.0036458333333333334</x:v>
      </x:c>
      <x:c r="Q1131" s="12" t="n">
        <x:f>IF(O1131="","",(H1131*60+O1131)/86400)</x:f>
        <x:v>0.6946180555555556</x:v>
      </x:c>
      <x:c r="R1131" s="12" t="str">
        <x:f>IF(Q1131="","",TEXT(Q1131,"hh:mm:ss"))</x:f>
        <x:v>16:40:15</x:v>
      </x:c>
      <x:c r="S1131" s="12" t="str">
        <x:v>否</x:v>
      </x:c>
      <x:c r="T1131" s="12" t="str">
        <x:v>否</x:v>
      </x:c>
      <x:c r="U1131" s="12" t="str">
        <x:v>未提供</x:v>
      </x:c>
      <x:c r="V1131" s="12" t="str">
        <x:v>未提供</x:v>
      </x:c>
      <x:c r="W1131" s="12" t="str">
        <x:v>秒级预测</x:v>
      </x:c>
      <x:c r="X1131" s="12" t="str">
        <x:v>基于路线秒级参数；如录入实测或手动采用秒，预计到达时间可随公式更新</x:v>
      </x:c>
    </x:row>
    <x:row r="1132">
      <x:c r="A1132" s="12" t="str">
        <x:v>S0096-07</x:v>
      </x:c>
      <x:c r="B1132" s="12" t="str">
        <x:v>S0096</x:v>
      </x:c>
      <x:c r="C1132" s="12" t="str">
        <x:v>工作日</x:v>
      </x:c>
      <x:c r="D1132" s="12" t="str">
        <x:v>环线2路</x:v>
      </x:c>
      <x:c r="E1132" s="12" t="str">
        <x:v>第二班</x:v>
      </x:c>
      <x:c r="F1132" s="12" t="n">
        <x:v>7</x:v>
      </x:c>
      <x:c r="G1132" s="12" t="str">
        <x:v>16:35</x:v>
      </x:c>
      <x:c r="H1132" s="12" t="n">
        <x:v>995</x:v>
      </x:c>
      <x:c r="I1132" s="12" t="str">
        <x:v>研究生宿舍楼</x:v>
      </x:c>
      <x:c r="J1132" s="12" t="str">
        <x:v>研究生宿舍楼发车</x:v>
      </x:c>
      <x:c r="K1132" s="12" t="str">
        <x:v>HX2_NORMAL</x:v>
      </x:c>
      <x:c r="L1132" s="12" t="n">
        <x:v>7</x:v>
      </x:c>
      <x:c r="M1132" s="12" t="str">
        <x:v>HX2_NORMAL|7</x:v>
      </x:c>
      <x:c r="N1132" s="12" t="str">
        <x:v>二食堂</x:v>
      </x:c>
      <x:c r="O1132" s="12" t="n">
        <x:f>IFERROR(INDEX('秒级路线参数_可调整'!$O:$O,MATCH(M1132,'秒级路线参数_可调整'!$A:$A,0)),"")</x:f>
        <x:v>420</x:v>
      </x:c>
      <x:c r="P1132" s="12" t="n">
        <x:f>IF(O1132="","",O1132/86400)</x:f>
        <x:v>0.004861111111111111</x:v>
      </x:c>
      <x:c r="Q1132" s="12" t="n">
        <x:f>IF(O1132="","",(H1132*60+O1132)/86400)</x:f>
        <x:v>0.6958333333333333</x:v>
      </x:c>
      <x:c r="R1132" s="12" t="str">
        <x:f>IF(Q1132="","",TEXT(Q1132,"hh:mm:ss"))</x:f>
        <x:v>16:42:00</x:v>
      </x:c>
      <x:c r="S1132" s="12" t="str">
        <x:v>否</x:v>
      </x:c>
      <x:c r="T1132" s="12" t="str">
        <x:v>否</x:v>
      </x:c>
      <x:c r="U1132" s="12" t="str">
        <x:v>未提供</x:v>
      </x:c>
      <x:c r="V1132" s="12" t="str">
        <x:v>未提供</x:v>
      </x:c>
      <x:c r="W1132" s="12" t="str">
        <x:v>秒级预测</x:v>
      </x:c>
      <x:c r="X1132" s="12" t="str">
        <x:v>基于路线秒级参数；如录入实测或手动采用秒，预计到达时间可随公式更新</x:v>
      </x:c>
    </x:row>
    <x:row r="1133">
      <x:c r="A1133" s="12" t="str">
        <x:v>S0096-08</x:v>
      </x:c>
      <x:c r="B1133" s="12" t="str">
        <x:v>S0096</x:v>
      </x:c>
      <x:c r="C1133" s="12" t="str">
        <x:v>工作日</x:v>
      </x:c>
      <x:c r="D1133" s="12" t="str">
        <x:v>环线2路</x:v>
      </x:c>
      <x:c r="E1133" s="12" t="str">
        <x:v>第二班</x:v>
      </x:c>
      <x:c r="F1133" s="12" t="n">
        <x:v>7</x:v>
      </x:c>
      <x:c r="G1133" s="12" t="str">
        <x:v>16:35</x:v>
      </x:c>
      <x:c r="H1133" s="12" t="n">
        <x:v>995</x:v>
      </x:c>
      <x:c r="I1133" s="12" t="str">
        <x:v>研究生宿舍楼</x:v>
      </x:c>
      <x:c r="J1133" s="12" t="str">
        <x:v>研究生宿舍楼发车</x:v>
      </x:c>
      <x:c r="K1133" s="12" t="str">
        <x:v>HX2_NORMAL</x:v>
      </x:c>
      <x:c r="L1133" s="12" t="n">
        <x:v>8</x:v>
      </x:c>
      <x:c r="M1133" s="12" t="str">
        <x:v>HX2_NORMAL|8</x:v>
      </x:c>
      <x:c r="N1133" s="12" t="str">
        <x:v>5号宿舍楼</x:v>
      </x:c>
      <x:c r="O1133" s="12" t="n">
        <x:f>IFERROR(INDEX('秒级路线参数_可调整'!$O:$O,MATCH(M1133,'秒级路线参数_可调整'!$A:$A,0)),"")</x:f>
        <x:v>480</x:v>
      </x:c>
      <x:c r="P1133" s="12" t="n">
        <x:f>IF(O1133="","",O1133/86400)</x:f>
        <x:v>0.005555555555555556</x:v>
      </x:c>
      <x:c r="Q1133" s="12" t="n">
        <x:f>IF(O1133="","",(H1133*60+O1133)/86400)</x:f>
        <x:v>0.6965277777777777</x:v>
      </x:c>
      <x:c r="R1133" s="12" t="str">
        <x:f>IF(Q1133="","",TEXT(Q1133,"hh:mm:ss"))</x:f>
        <x:v>16:43:00</x:v>
      </x:c>
      <x:c r="S1133" s="12" t="str">
        <x:v>否</x:v>
      </x:c>
      <x:c r="T1133" s="12" t="str">
        <x:v>否</x:v>
      </x:c>
      <x:c r="U1133" s="12" t="str">
        <x:v>未提供</x:v>
      </x:c>
      <x:c r="V1133" s="12" t="str">
        <x:v>未提供</x:v>
      </x:c>
      <x:c r="W1133" s="12" t="str">
        <x:v>秒级预测</x:v>
      </x:c>
      <x:c r="X1133" s="12" t="str">
        <x:v>基于路线秒级参数；如录入实测或手动采用秒，预计到达时间可随公式更新</x:v>
      </x:c>
    </x:row>
    <x:row r="1134">
      <x:c r="A1134" s="12" t="str">
        <x:v>S0096-09</x:v>
      </x:c>
      <x:c r="B1134" s="12" t="str">
        <x:v>S0096</x:v>
      </x:c>
      <x:c r="C1134" s="12" t="str">
        <x:v>工作日</x:v>
      </x:c>
      <x:c r="D1134" s="12" t="str">
        <x:v>环线2路</x:v>
      </x:c>
      <x:c r="E1134" s="12" t="str">
        <x:v>第二班</x:v>
      </x:c>
      <x:c r="F1134" s="12" t="n">
        <x:v>7</x:v>
      </x:c>
      <x:c r="G1134" s="12" t="str">
        <x:v>16:35</x:v>
      </x:c>
      <x:c r="H1134" s="12" t="n">
        <x:v>995</x:v>
      </x:c>
      <x:c r="I1134" s="12" t="str">
        <x:v>研究生宿舍楼</x:v>
      </x:c>
      <x:c r="J1134" s="12" t="str">
        <x:v>研究生宿舍楼发车</x:v>
      </x:c>
      <x:c r="K1134" s="12" t="str">
        <x:v>HX2_NORMAL</x:v>
      </x:c>
      <x:c r="L1134" s="12" t="n">
        <x:v>9</x:v>
      </x:c>
      <x:c r="M1134" s="12" t="str">
        <x:v>HX2_NORMAL|9</x:v>
      </x:c>
      <x:c r="N1134" s="12" t="str">
        <x:v>305教学楼</x:v>
      </x:c>
      <x:c r="O1134" s="12" t="n">
        <x:f>IFERROR(INDEX('秒级路线参数_可调整'!$O:$O,MATCH(M1134,'秒级路线参数_可调整'!$A:$A,0)),"")</x:f>
        <x:v>535</x:v>
      </x:c>
      <x:c r="P1134" s="12" t="n">
        <x:f>IF(O1134="","",O1134/86400)</x:f>
        <x:v>0.00619212962962963</x:v>
      </x:c>
      <x:c r="Q1134" s="12" t="n">
        <x:f>IF(O1134="","",(H1134*60+O1134)/86400)</x:f>
        <x:v>0.6971643518518519</x:v>
      </x:c>
      <x:c r="R1134" s="12" t="str">
        <x:f>IF(Q1134="","",TEXT(Q1134,"hh:mm:ss"))</x:f>
        <x:v>16:43:55</x:v>
      </x:c>
      <x:c r="S1134" s="12" t="str">
        <x:v>否</x:v>
      </x:c>
      <x:c r="T1134" s="12" t="str">
        <x:v>否</x:v>
      </x:c>
      <x:c r="U1134" s="12" t="str">
        <x:v>未提供</x:v>
      </x:c>
      <x:c r="V1134" s="12" t="str">
        <x:v>未提供</x:v>
      </x:c>
      <x:c r="W1134" s="12" t="str">
        <x:v>秒级预测</x:v>
      </x:c>
      <x:c r="X1134" s="12" t="str">
        <x:v>基于路线秒级参数；如录入实测或手动采用秒，预计到达时间可随公式更新</x:v>
      </x:c>
    </x:row>
    <x:row r="1135">
      <x:c r="A1135" s="12" t="str">
        <x:v>S0096-10</x:v>
      </x:c>
      <x:c r="B1135" s="12" t="str">
        <x:v>S0096</x:v>
      </x:c>
      <x:c r="C1135" s="12" t="str">
        <x:v>工作日</x:v>
      </x:c>
      <x:c r="D1135" s="12" t="str">
        <x:v>环线2路</x:v>
      </x:c>
      <x:c r="E1135" s="12" t="str">
        <x:v>第二班</x:v>
      </x:c>
      <x:c r="F1135" s="12" t="n">
        <x:v>7</x:v>
      </x:c>
      <x:c r="G1135" s="12" t="str">
        <x:v>16:35</x:v>
      </x:c>
      <x:c r="H1135" s="12" t="n">
        <x:v>995</x:v>
      </x:c>
      <x:c r="I1135" s="12" t="str">
        <x:v>研究生宿舍楼</x:v>
      </x:c>
      <x:c r="J1135" s="12" t="str">
        <x:v>研究生宿舍楼发车</x:v>
      </x:c>
      <x:c r="K1135" s="12" t="str">
        <x:v>HX2_NORMAL</x:v>
      </x:c>
      <x:c r="L1135" s="12" t="n">
        <x:v>10</x:v>
      </x:c>
      <x:c r="M1135" s="12" t="str">
        <x:v>HX2_NORMAL|10</x:v>
      </x:c>
      <x:c r="N1135" s="12" t="str">
        <x:v>研究生宿舍楼</x:v>
      </x:c>
      <x:c r="O1135" s="12" t="n">
        <x:f>IFERROR(INDEX('秒级路线参数_可调整'!$O:$O,MATCH(M1135,'秒级路线参数_可调整'!$A:$A,0)),"")</x:f>
        <x:v>715</x:v>
      </x:c>
      <x:c r="P1135" s="12" t="n">
        <x:f>IF(O1135="","",O1135/86400)</x:f>
        <x:v>0.008275462962962964</x:v>
      </x:c>
      <x:c r="Q1135" s="12" t="n">
        <x:f>IF(O1135="","",(H1135*60+O1135)/86400)</x:f>
        <x:v>0.6992476851851852</x:v>
      </x:c>
      <x:c r="R1135" s="12" t="str">
        <x:f>IF(Q1135="","",TEXT(Q1135,"hh:mm:ss"))</x:f>
        <x:v>16:46:55</x:v>
      </x:c>
      <x:c r="S1135" s="12" t="str">
        <x:v>否</x:v>
      </x:c>
      <x:c r="T1135" s="12" t="str">
        <x:v>是</x:v>
      </x:c>
      <x:c r="U1135" s="12" t="str">
        <x:v>未提供</x:v>
      </x:c>
      <x:c r="V1135" s="12" t="str">
        <x:v>未提供</x:v>
      </x:c>
      <x:c r="W1135" s="12" t="str">
        <x:v>秒级预测</x:v>
      </x:c>
      <x:c r="X1135" s="12" t="str">
        <x:v>基于路线秒级参数；如录入实测或手动采用秒，预计到达时间可随公式更新</x:v>
      </x:c>
    </x:row>
    <x:row r="1136">
      <x:c r="A1136" s="12" t="str">
        <x:v>S0097-01</x:v>
      </x:c>
      <x:c r="B1136" s="12" t="str">
        <x:v>S0097</x:v>
      </x:c>
      <x:c r="C1136" s="12" t="str">
        <x:v>工作日</x:v>
      </x:c>
      <x:c r="D1136" s="12" t="str">
        <x:v>环线2路</x:v>
      </x:c>
      <x:c r="E1136" s="12" t="str">
        <x:v>第二班</x:v>
      </x:c>
      <x:c r="F1136" s="12" t="n">
        <x:v>8</x:v>
      </x:c>
      <x:c r="G1136" s="12" t="str">
        <x:v>17:05</x:v>
      </x:c>
      <x:c r="H1136" s="12" t="n">
        <x:v>1025</x:v>
      </x:c>
      <x:c r="I1136" s="12" t="str">
        <x:v>研究生宿舍楼</x:v>
      </x:c>
      <x:c r="J1136" s="12" t="str">
        <x:v>研究生宿舍楼发车</x:v>
      </x:c>
      <x:c r="K1136" s="12" t="str">
        <x:v>HX2_NORMAL</x:v>
      </x:c>
      <x:c r="L1136" s="12" t="n">
        <x:v>1</x:v>
      </x:c>
      <x:c r="M1136" s="12" t="str">
        <x:v>HX2_NORMAL|1</x:v>
      </x:c>
      <x:c r="N1136" s="12" t="str">
        <x:v>研究生宿舍楼</x:v>
      </x:c>
      <x:c r="O1136" s="12" t="n">
        <x:f>IFERROR(INDEX('秒级路线参数_可调整'!$O:$O,MATCH(M1136,'秒级路线参数_可调整'!$A:$A,0)),"")</x:f>
        <x:v>0</x:v>
      </x:c>
      <x:c r="P1136" s="12" t="str">
        <x:f>IF(O1136="","",O1136/86400)</x:f>
      </x:c>
      <x:c r="Q1136" s="12" t="str">
        <x:f>IF(O1136="","",(H1136*60+O1136)/86400)</x:f>
      </x:c>
      <x:c r="R1136" s="12" t="str">
        <x:f>IF(Q1136="","",TEXT(Q1136,"hh:mm:ss"))</x:f>
      </x:c>
      <x:c r="S1136" s="12" t="str">
        <x:v>是</x:v>
      </x:c>
      <x:c r="T1136" s="12" t="str">
        <x:v>否</x:v>
      </x:c>
      <x:c r="U1136" s="12" t="str">
        <x:v>未提供</x:v>
      </x:c>
      <x:c r="V1136" s="12" t="str">
        <x:v>未提供</x:v>
      </x:c>
      <x:c r="W1136" s="12" t="str">
        <x:v>秒级预测</x:v>
      </x:c>
      <x:c r="X1136" s="12" t="str">
        <x:v>基于路线秒级参数；如录入实测或手动采用秒，预计到达时间可随公式更新</x:v>
      </x:c>
    </x:row>
    <x:row r="1137">
      <x:c r="A1137" s="12" t="str">
        <x:v>S0097-02</x:v>
      </x:c>
      <x:c r="B1137" s="12" t="str">
        <x:v>S0097</x:v>
      </x:c>
      <x:c r="C1137" s="12" t="str">
        <x:v>工作日</x:v>
      </x:c>
      <x:c r="D1137" s="12" t="str">
        <x:v>环线2路</x:v>
      </x:c>
      <x:c r="E1137" s="12" t="str">
        <x:v>第二班</x:v>
      </x:c>
      <x:c r="F1137" s="12" t="n">
        <x:v>8</x:v>
      </x:c>
      <x:c r="G1137" s="12" t="str">
        <x:v>17:05</x:v>
      </x:c>
      <x:c r="H1137" s="12" t="n">
        <x:v>1025</x:v>
      </x:c>
      <x:c r="I1137" s="12" t="str">
        <x:v>研究生宿舍楼</x:v>
      </x:c>
      <x:c r="J1137" s="12" t="str">
        <x:v>研究生宿舍楼发车</x:v>
      </x:c>
      <x:c r="K1137" s="12" t="str">
        <x:v>HX2_NORMAL</x:v>
      </x:c>
      <x:c r="L1137" s="12" t="n">
        <x:v>2</x:v>
      </x:c>
      <x:c r="M1137" s="12" t="str">
        <x:v>HX2_NORMAL|2</x:v>
      </x:c>
      <x:c r="N1137" s="12" t="str">
        <x:v>一食堂</x:v>
      </x:c>
      <x:c r="O1137" s="12" t="n">
        <x:f>IFERROR(INDEX('秒级路线参数_可调整'!$O:$O,MATCH(M1137,'秒级路线参数_可调整'!$A:$A,0)),"")</x:f>
        <x:v>65</x:v>
      </x:c>
      <x:c r="P1137" s="12" t="n">
        <x:f>IF(O1137="","",O1137/86400)</x:f>
        <x:v>0.0007523148148148148</x:v>
      </x:c>
      <x:c r="Q1137" s="12" t="n">
        <x:f>IF(O1137="","",(H1137*60+O1137)/86400)</x:f>
        <x:v>0.7125578703703703</x:v>
      </x:c>
      <x:c r="R1137" s="12" t="str">
        <x:f>IF(Q1137="","",TEXT(Q1137,"hh:mm:ss"))</x:f>
        <x:v>17:06:05</x:v>
      </x:c>
      <x:c r="S1137" s="12" t="str">
        <x:v>否</x:v>
      </x:c>
      <x:c r="T1137" s="12" t="str">
        <x:v>否</x:v>
      </x:c>
      <x:c r="U1137" s="12" t="str">
        <x:v>未提供</x:v>
      </x:c>
      <x:c r="V1137" s="12" t="str">
        <x:v>未提供</x:v>
      </x:c>
      <x:c r="W1137" s="12" t="str">
        <x:v>秒级预测</x:v>
      </x:c>
      <x:c r="X1137" s="12" t="str">
        <x:v>基于路线秒级参数；如录入实测或手动采用秒，预计到达时间可随公式更新</x:v>
      </x:c>
    </x:row>
    <x:row r="1138">
      <x:c r="A1138" s="12" t="str">
        <x:v>S0097-03</x:v>
      </x:c>
      <x:c r="B1138" s="12" t="str">
        <x:v>S0097</x:v>
      </x:c>
      <x:c r="C1138" s="12" t="str">
        <x:v>工作日</x:v>
      </x:c>
      <x:c r="D1138" s="12" t="str">
        <x:v>环线2路</x:v>
      </x:c>
      <x:c r="E1138" s="12" t="str">
        <x:v>第二班</x:v>
      </x:c>
      <x:c r="F1138" s="12" t="n">
        <x:v>8</x:v>
      </x:c>
      <x:c r="G1138" s="12" t="str">
        <x:v>17:05</x:v>
      </x:c>
      <x:c r="H1138" s="12" t="n">
        <x:v>1025</x:v>
      </x:c>
      <x:c r="I1138" s="12" t="str">
        <x:v>研究生宿舍楼</x:v>
      </x:c>
      <x:c r="J1138" s="12" t="str">
        <x:v>研究生宿舍楼发车</x:v>
      </x:c>
      <x:c r="K1138" s="12" t="str">
        <x:v>HX2_NORMAL</x:v>
      </x:c>
      <x:c r="L1138" s="12" t="n">
        <x:v>3</x:v>
      </x:c>
      <x:c r="M1138" s="12" t="str">
        <x:v>HX2_NORMAL|3</x:v>
      </x:c>
      <x:c r="N1138" s="12" t="str">
        <x:v>门诊部</x:v>
      </x:c>
      <x:c r="O1138" s="12" t="n">
        <x:f>IFERROR(INDEX('秒级路线参数_可调整'!$O:$O,MATCH(M1138,'秒级路线参数_可调整'!$A:$A,0)),"")</x:f>
        <x:v>120</x:v>
      </x:c>
      <x:c r="P1138" s="12" t="n">
        <x:f>IF(O1138="","",O1138/86400)</x:f>
        <x:v>0.001388888888888889</x:v>
      </x:c>
      <x:c r="Q1138" s="12" t="n">
        <x:f>IF(O1138="","",(H1138*60+O1138)/86400)</x:f>
        <x:v>0.7131944444444445</x:v>
      </x:c>
      <x:c r="R1138" s="12" t="str">
        <x:f>IF(Q1138="","",TEXT(Q1138,"hh:mm:ss"))</x:f>
        <x:v>17:07:00</x:v>
      </x:c>
      <x:c r="S1138" s="12" t="str">
        <x:v>否</x:v>
      </x:c>
      <x:c r="T1138" s="12" t="str">
        <x:v>否</x:v>
      </x:c>
      <x:c r="U1138" s="12" t="str">
        <x:v>未提供</x:v>
      </x:c>
      <x:c r="V1138" s="12" t="str">
        <x:v>未提供</x:v>
      </x:c>
      <x:c r="W1138" s="12" t="str">
        <x:v>秒级预测</x:v>
      </x:c>
      <x:c r="X1138" s="12" t="str">
        <x:v>基于路线秒级参数；如录入实测或手动采用秒，预计到达时间可随公式更新</x:v>
      </x:c>
    </x:row>
    <x:row r="1139">
      <x:c r="A1139" s="12" t="str">
        <x:v>S0097-04</x:v>
      </x:c>
      <x:c r="B1139" s="12" t="str">
        <x:v>S0097</x:v>
      </x:c>
      <x:c r="C1139" s="12" t="str">
        <x:v>工作日</x:v>
      </x:c>
      <x:c r="D1139" s="12" t="str">
        <x:v>环线2路</x:v>
      </x:c>
      <x:c r="E1139" s="12" t="str">
        <x:v>第二班</x:v>
      </x:c>
      <x:c r="F1139" s="12" t="n">
        <x:v>8</x:v>
      </x:c>
      <x:c r="G1139" s="12" t="str">
        <x:v>17:05</x:v>
      </x:c>
      <x:c r="H1139" s="12" t="n">
        <x:v>1025</x:v>
      </x:c>
      <x:c r="I1139" s="12" t="str">
        <x:v>研究生宿舍楼</x:v>
      </x:c>
      <x:c r="J1139" s="12" t="str">
        <x:v>研究生宿舍楼发车</x:v>
      </x:c>
      <x:c r="K1139" s="12" t="str">
        <x:v>HX2_NORMAL</x:v>
      </x:c>
      <x:c r="L1139" s="12" t="n">
        <x:v>4</x:v>
      </x:c>
      <x:c r="M1139" s="12" t="str">
        <x:v>HX2_NORMAL|4</x:v>
      </x:c>
      <x:c r="N1139" s="12" t="str">
        <x:v>1号宿舍楼</x:v>
      </x:c>
      <x:c r="O1139" s="12" t="n">
        <x:f>IFERROR(INDEX('秒级路线参数_可调整'!$O:$O,MATCH(M1139,'秒级路线参数_可调整'!$A:$A,0)),"")</x:f>
        <x:v>165</x:v>
      </x:c>
      <x:c r="P1139" s="12" t="n">
        <x:f>IF(O1139="","",O1139/86400)</x:f>
        <x:v>0.0019097222222222222</x:v>
      </x:c>
      <x:c r="Q1139" s="12" t="n">
        <x:f>IF(O1139="","",(H1139*60+O1139)/86400)</x:f>
        <x:v>0.7137152777777778</x:v>
      </x:c>
      <x:c r="R1139" s="12" t="str">
        <x:f>IF(Q1139="","",TEXT(Q1139,"hh:mm:ss"))</x:f>
        <x:v>17:07:45</x:v>
      </x:c>
      <x:c r="S1139" s="12" t="str">
        <x:v>否</x:v>
      </x:c>
      <x:c r="T1139" s="12" t="str">
        <x:v>否</x:v>
      </x:c>
      <x:c r="U1139" s="12" t="str">
        <x:v>未提供</x:v>
      </x:c>
      <x:c r="V1139" s="12" t="str">
        <x:v>未提供</x:v>
      </x:c>
      <x:c r="W1139" s="12" t="str">
        <x:v>秒级预测</x:v>
      </x:c>
      <x:c r="X1139" s="12" t="str">
        <x:v>基于路线秒级参数；如录入实测或手动采用秒，预计到达时间可随公式更新</x:v>
      </x:c>
    </x:row>
    <x:row r="1140">
      <x:c r="A1140" s="12" t="str">
        <x:v>S0097-05</x:v>
      </x:c>
      <x:c r="B1140" s="12" t="str">
        <x:v>S0097</x:v>
      </x:c>
      <x:c r="C1140" s="12" t="str">
        <x:v>工作日</x:v>
      </x:c>
      <x:c r="D1140" s="12" t="str">
        <x:v>环线2路</x:v>
      </x:c>
      <x:c r="E1140" s="12" t="str">
        <x:v>第二班</x:v>
      </x:c>
      <x:c r="F1140" s="12" t="n">
        <x:v>8</x:v>
      </x:c>
      <x:c r="G1140" s="12" t="str">
        <x:v>17:05</x:v>
      </x:c>
      <x:c r="H1140" s="12" t="n">
        <x:v>1025</x:v>
      </x:c>
      <x:c r="I1140" s="12" t="str">
        <x:v>研究生宿舍楼</x:v>
      </x:c>
      <x:c r="J1140" s="12" t="str">
        <x:v>研究生宿舍楼发车</x:v>
      </x:c>
      <x:c r="K1140" s="12" t="str">
        <x:v>HX2_NORMAL</x:v>
      </x:c>
      <x:c r="L1140" s="12" t="n">
        <x:v>5</x:v>
      </x:c>
      <x:c r="M1140" s="12" t="str">
        <x:v>HX2_NORMAL|5</x:v>
      </x:c>
      <x:c r="N1140" s="12" t="str">
        <x:v>水上训练中心</x:v>
      </x:c>
      <x:c r="O1140" s="12" t="n">
        <x:f>IFERROR(INDEX('秒级路线参数_可调整'!$O:$O,MATCH(M1140,'秒级路线参数_可调整'!$A:$A,0)),"")</x:f>
        <x:v>250</x:v>
      </x:c>
      <x:c r="P1140" s="12" t="n">
        <x:f>IF(O1140="","",O1140/86400)</x:f>
        <x:v>0.0028935185185185184</x:v>
      </x:c>
      <x:c r="Q1140" s="12" t="n">
        <x:f>IF(O1140="","",(H1140*60+O1140)/86400)</x:f>
        <x:v>0.7146990740740741</x:v>
      </x:c>
      <x:c r="R1140" s="12" t="str">
        <x:f>IF(Q1140="","",TEXT(Q1140,"hh:mm:ss"))</x:f>
        <x:v>17:09:10</x:v>
      </x:c>
      <x:c r="S1140" s="12" t="str">
        <x:v>否</x:v>
      </x:c>
      <x:c r="T1140" s="12" t="str">
        <x:v>否</x:v>
      </x:c>
      <x:c r="U1140" s="12" t="str">
        <x:v>未提供</x:v>
      </x:c>
      <x:c r="V1140" s="12" t="str">
        <x:v>未提供</x:v>
      </x:c>
      <x:c r="W1140" s="12" t="str">
        <x:v>秒级预测</x:v>
      </x:c>
      <x:c r="X1140" s="12" t="str">
        <x:v>基于路线秒级参数；如录入实测或手动采用秒，预计到达时间可随公式更新</x:v>
      </x:c>
    </x:row>
    <x:row r="1141">
      <x:c r="A1141" s="12" t="str">
        <x:v>S0097-06</x:v>
      </x:c>
      <x:c r="B1141" s="12" t="str">
        <x:v>S0097</x:v>
      </x:c>
      <x:c r="C1141" s="12" t="str">
        <x:v>工作日</x:v>
      </x:c>
      <x:c r="D1141" s="12" t="str">
        <x:v>环线2路</x:v>
      </x:c>
      <x:c r="E1141" s="12" t="str">
        <x:v>第二班</x:v>
      </x:c>
      <x:c r="F1141" s="12" t="n">
        <x:v>8</x:v>
      </x:c>
      <x:c r="G1141" s="12" t="str">
        <x:v>17:05</x:v>
      </x:c>
      <x:c r="H1141" s="12" t="n">
        <x:v>1025</x:v>
      </x:c>
      <x:c r="I1141" s="12" t="str">
        <x:v>研究生宿舍楼</x:v>
      </x:c>
      <x:c r="J1141" s="12" t="str">
        <x:v>研究生宿舍楼发车</x:v>
      </x:c>
      <x:c r="K1141" s="12" t="str">
        <x:v>HX2_NORMAL</x:v>
      </x:c>
      <x:c r="L1141" s="12" t="n">
        <x:v>6</x:v>
      </x:c>
      <x:c r="M1141" s="12" t="str">
        <x:v>HX2_NORMAL|6</x:v>
      </x:c>
      <x:c r="N1141" s="12" t="str">
        <x:v>军体活动中心</x:v>
      </x:c>
      <x:c r="O1141" s="12" t="n">
        <x:f>IFERROR(INDEX('秒级路线参数_可调整'!$O:$O,MATCH(M1141,'秒级路线参数_可调整'!$A:$A,0)),"")</x:f>
        <x:v>315</x:v>
      </x:c>
      <x:c r="P1141" s="12" t="n">
        <x:f>IF(O1141="","",O1141/86400)</x:f>
        <x:v>0.0036458333333333334</x:v>
      </x:c>
      <x:c r="Q1141" s="12" t="n">
        <x:f>IF(O1141="","",(H1141*60+O1141)/86400)</x:f>
        <x:v>0.7154513888888889</x:v>
      </x:c>
      <x:c r="R1141" s="12" t="str">
        <x:f>IF(Q1141="","",TEXT(Q1141,"hh:mm:ss"))</x:f>
        <x:v>17:10:15</x:v>
      </x:c>
      <x:c r="S1141" s="12" t="str">
        <x:v>否</x:v>
      </x:c>
      <x:c r="T1141" s="12" t="str">
        <x:v>否</x:v>
      </x:c>
      <x:c r="U1141" s="12" t="str">
        <x:v>未提供</x:v>
      </x:c>
      <x:c r="V1141" s="12" t="str">
        <x:v>未提供</x:v>
      </x:c>
      <x:c r="W1141" s="12" t="str">
        <x:v>秒级预测</x:v>
      </x:c>
      <x:c r="X1141" s="12" t="str">
        <x:v>基于路线秒级参数；如录入实测或手动采用秒，预计到达时间可随公式更新</x:v>
      </x:c>
    </x:row>
    <x:row r="1142">
      <x:c r="A1142" s="12" t="str">
        <x:v>S0097-07</x:v>
      </x:c>
      <x:c r="B1142" s="12" t="str">
        <x:v>S0097</x:v>
      </x:c>
      <x:c r="C1142" s="12" t="str">
        <x:v>工作日</x:v>
      </x:c>
      <x:c r="D1142" s="12" t="str">
        <x:v>环线2路</x:v>
      </x:c>
      <x:c r="E1142" s="12" t="str">
        <x:v>第二班</x:v>
      </x:c>
      <x:c r="F1142" s="12" t="n">
        <x:v>8</x:v>
      </x:c>
      <x:c r="G1142" s="12" t="str">
        <x:v>17:05</x:v>
      </x:c>
      <x:c r="H1142" s="12" t="n">
        <x:v>1025</x:v>
      </x:c>
      <x:c r="I1142" s="12" t="str">
        <x:v>研究生宿舍楼</x:v>
      </x:c>
      <x:c r="J1142" s="12" t="str">
        <x:v>研究生宿舍楼发车</x:v>
      </x:c>
      <x:c r="K1142" s="12" t="str">
        <x:v>HX2_NORMAL</x:v>
      </x:c>
      <x:c r="L1142" s="12" t="n">
        <x:v>7</x:v>
      </x:c>
      <x:c r="M1142" s="12" t="str">
        <x:v>HX2_NORMAL|7</x:v>
      </x:c>
      <x:c r="N1142" s="12" t="str">
        <x:v>二食堂</x:v>
      </x:c>
      <x:c r="O1142" s="12" t="n">
        <x:f>IFERROR(INDEX('秒级路线参数_可调整'!$O:$O,MATCH(M1142,'秒级路线参数_可调整'!$A:$A,0)),"")</x:f>
        <x:v>420</x:v>
      </x:c>
      <x:c r="P1142" s="12" t="n">
        <x:f>IF(O1142="","",O1142/86400)</x:f>
        <x:v>0.004861111111111111</x:v>
      </x:c>
      <x:c r="Q1142" s="12" t="n">
        <x:f>IF(O1142="","",(H1142*60+O1142)/86400)</x:f>
        <x:v>0.7166666666666667</x:v>
      </x:c>
      <x:c r="R1142" s="12" t="str">
        <x:f>IF(Q1142="","",TEXT(Q1142,"hh:mm:ss"))</x:f>
        <x:v>17:12:00</x:v>
      </x:c>
      <x:c r="S1142" s="12" t="str">
        <x:v>否</x:v>
      </x:c>
      <x:c r="T1142" s="12" t="str">
        <x:v>否</x:v>
      </x:c>
      <x:c r="U1142" s="12" t="str">
        <x:v>未提供</x:v>
      </x:c>
      <x:c r="V1142" s="12" t="str">
        <x:v>未提供</x:v>
      </x:c>
      <x:c r="W1142" s="12" t="str">
        <x:v>秒级预测</x:v>
      </x:c>
      <x:c r="X1142" s="12" t="str">
        <x:v>基于路线秒级参数；如录入实测或手动采用秒，预计到达时间可随公式更新</x:v>
      </x:c>
    </x:row>
    <x:row r="1143">
      <x:c r="A1143" s="12" t="str">
        <x:v>S0097-08</x:v>
      </x:c>
      <x:c r="B1143" s="12" t="str">
        <x:v>S0097</x:v>
      </x:c>
      <x:c r="C1143" s="12" t="str">
        <x:v>工作日</x:v>
      </x:c>
      <x:c r="D1143" s="12" t="str">
        <x:v>环线2路</x:v>
      </x:c>
      <x:c r="E1143" s="12" t="str">
        <x:v>第二班</x:v>
      </x:c>
      <x:c r="F1143" s="12" t="n">
        <x:v>8</x:v>
      </x:c>
      <x:c r="G1143" s="12" t="str">
        <x:v>17:05</x:v>
      </x:c>
      <x:c r="H1143" s="12" t="n">
        <x:v>1025</x:v>
      </x:c>
      <x:c r="I1143" s="12" t="str">
        <x:v>研究生宿舍楼</x:v>
      </x:c>
      <x:c r="J1143" s="12" t="str">
        <x:v>研究生宿舍楼发车</x:v>
      </x:c>
      <x:c r="K1143" s="12" t="str">
        <x:v>HX2_NORMAL</x:v>
      </x:c>
      <x:c r="L1143" s="12" t="n">
        <x:v>8</x:v>
      </x:c>
      <x:c r="M1143" s="12" t="str">
        <x:v>HX2_NORMAL|8</x:v>
      </x:c>
      <x:c r="N1143" s="12" t="str">
        <x:v>5号宿舍楼</x:v>
      </x:c>
      <x:c r="O1143" s="12" t="n">
        <x:f>IFERROR(INDEX('秒级路线参数_可调整'!$O:$O,MATCH(M1143,'秒级路线参数_可调整'!$A:$A,0)),"")</x:f>
        <x:v>480</x:v>
      </x:c>
      <x:c r="P1143" s="12" t="n">
        <x:f>IF(O1143="","",O1143/86400)</x:f>
        <x:v>0.005555555555555556</x:v>
      </x:c>
      <x:c r="Q1143" s="12" t="n">
        <x:f>IF(O1143="","",(H1143*60+O1143)/86400)</x:f>
        <x:v>0.7173611111111111</x:v>
      </x:c>
      <x:c r="R1143" s="12" t="str">
        <x:f>IF(Q1143="","",TEXT(Q1143,"hh:mm:ss"))</x:f>
        <x:v>17:13:00</x:v>
      </x:c>
      <x:c r="S1143" s="12" t="str">
        <x:v>否</x:v>
      </x:c>
      <x:c r="T1143" s="12" t="str">
        <x:v>否</x:v>
      </x:c>
      <x:c r="U1143" s="12" t="str">
        <x:v>未提供</x:v>
      </x:c>
      <x:c r="V1143" s="12" t="str">
        <x:v>未提供</x:v>
      </x:c>
      <x:c r="W1143" s="12" t="str">
        <x:v>秒级预测</x:v>
      </x:c>
      <x:c r="X1143" s="12" t="str">
        <x:v>基于路线秒级参数；如录入实测或手动采用秒，预计到达时间可随公式更新</x:v>
      </x:c>
    </x:row>
    <x:row r="1144">
      <x:c r="A1144" s="12" t="str">
        <x:v>S0097-09</x:v>
      </x:c>
      <x:c r="B1144" s="12" t="str">
        <x:v>S0097</x:v>
      </x:c>
      <x:c r="C1144" s="12" t="str">
        <x:v>工作日</x:v>
      </x:c>
      <x:c r="D1144" s="12" t="str">
        <x:v>环线2路</x:v>
      </x:c>
      <x:c r="E1144" s="12" t="str">
        <x:v>第二班</x:v>
      </x:c>
      <x:c r="F1144" s="12" t="n">
        <x:v>8</x:v>
      </x:c>
      <x:c r="G1144" s="12" t="str">
        <x:v>17:05</x:v>
      </x:c>
      <x:c r="H1144" s="12" t="n">
        <x:v>1025</x:v>
      </x:c>
      <x:c r="I1144" s="12" t="str">
        <x:v>研究生宿舍楼</x:v>
      </x:c>
      <x:c r="J1144" s="12" t="str">
        <x:v>研究生宿舍楼发车</x:v>
      </x:c>
      <x:c r="K1144" s="12" t="str">
        <x:v>HX2_NORMAL</x:v>
      </x:c>
      <x:c r="L1144" s="12" t="n">
        <x:v>9</x:v>
      </x:c>
      <x:c r="M1144" s="12" t="str">
        <x:v>HX2_NORMAL|9</x:v>
      </x:c>
      <x:c r="N1144" s="12" t="str">
        <x:v>305教学楼</x:v>
      </x:c>
      <x:c r="O1144" s="12" t="n">
        <x:f>IFERROR(INDEX('秒级路线参数_可调整'!$O:$O,MATCH(M1144,'秒级路线参数_可调整'!$A:$A,0)),"")</x:f>
        <x:v>535</x:v>
      </x:c>
      <x:c r="P1144" s="12" t="n">
        <x:f>IF(O1144="","",O1144/86400)</x:f>
        <x:v>0.00619212962962963</x:v>
      </x:c>
      <x:c r="Q1144" s="12" t="n">
        <x:f>IF(O1144="","",(H1144*60+O1144)/86400)</x:f>
        <x:v>0.7179976851851851</x:v>
      </x:c>
      <x:c r="R1144" s="12" t="str">
        <x:f>IF(Q1144="","",TEXT(Q1144,"hh:mm:ss"))</x:f>
        <x:v>17:13:55</x:v>
      </x:c>
      <x:c r="S1144" s="12" t="str">
        <x:v>否</x:v>
      </x:c>
      <x:c r="T1144" s="12" t="str">
        <x:v>否</x:v>
      </x:c>
      <x:c r="U1144" s="12" t="str">
        <x:v>未提供</x:v>
      </x:c>
      <x:c r="V1144" s="12" t="str">
        <x:v>未提供</x:v>
      </x:c>
      <x:c r="W1144" s="12" t="str">
        <x:v>秒级预测</x:v>
      </x:c>
      <x:c r="X1144" s="12" t="str">
        <x:v>基于路线秒级参数；如录入实测或手动采用秒，预计到达时间可随公式更新</x:v>
      </x:c>
    </x:row>
    <x:row r="1145">
      <x:c r="A1145" s="12" t="str">
        <x:v>S0097-10</x:v>
      </x:c>
      <x:c r="B1145" s="12" t="str">
        <x:v>S0097</x:v>
      </x:c>
      <x:c r="C1145" s="12" t="str">
        <x:v>工作日</x:v>
      </x:c>
      <x:c r="D1145" s="12" t="str">
        <x:v>环线2路</x:v>
      </x:c>
      <x:c r="E1145" s="12" t="str">
        <x:v>第二班</x:v>
      </x:c>
      <x:c r="F1145" s="12" t="n">
        <x:v>8</x:v>
      </x:c>
      <x:c r="G1145" s="12" t="str">
        <x:v>17:05</x:v>
      </x:c>
      <x:c r="H1145" s="12" t="n">
        <x:v>1025</x:v>
      </x:c>
      <x:c r="I1145" s="12" t="str">
        <x:v>研究生宿舍楼</x:v>
      </x:c>
      <x:c r="J1145" s="12" t="str">
        <x:v>研究生宿舍楼发车</x:v>
      </x:c>
      <x:c r="K1145" s="12" t="str">
        <x:v>HX2_NORMAL</x:v>
      </x:c>
      <x:c r="L1145" s="12" t="n">
        <x:v>10</x:v>
      </x:c>
      <x:c r="M1145" s="12" t="str">
        <x:v>HX2_NORMAL|10</x:v>
      </x:c>
      <x:c r="N1145" s="12" t="str">
        <x:v>研究生宿舍楼</x:v>
      </x:c>
      <x:c r="O1145" s="12" t="n">
        <x:f>IFERROR(INDEX('秒级路线参数_可调整'!$O:$O,MATCH(M1145,'秒级路线参数_可调整'!$A:$A,0)),"")</x:f>
        <x:v>715</x:v>
      </x:c>
      <x:c r="P1145" s="12" t="n">
        <x:f>IF(O1145="","",O1145/86400)</x:f>
        <x:v>0.008275462962962964</x:v>
      </x:c>
      <x:c r="Q1145" s="12" t="n">
        <x:f>IF(O1145="","",(H1145*60+O1145)/86400)</x:f>
        <x:v>0.7200810185185185</x:v>
      </x:c>
      <x:c r="R1145" s="12" t="str">
        <x:f>IF(Q1145="","",TEXT(Q1145,"hh:mm:ss"))</x:f>
        <x:v>17:16:55</x:v>
      </x:c>
      <x:c r="S1145" s="12" t="str">
        <x:v>否</x:v>
      </x:c>
      <x:c r="T1145" s="12" t="str">
        <x:v>是</x:v>
      </x:c>
      <x:c r="U1145" s="12" t="str">
        <x:v>未提供</x:v>
      </x:c>
      <x:c r="V1145" s="12" t="str">
        <x:v>未提供</x:v>
      </x:c>
      <x:c r="W1145" s="12" t="str">
        <x:v>秒级预测</x:v>
      </x:c>
      <x:c r="X1145" s="12" t="str">
        <x:v>基于路线秒级参数；如录入实测或手动采用秒，预计到达时间可随公式更新</x:v>
      </x:c>
    </x:row>
    <x:row r="1146">
      <x:c r="A1146" s="12" t="str">
        <x:v>S0098-01</x:v>
      </x:c>
      <x:c r="B1146" s="12" t="str">
        <x:v>S0098</x:v>
      </x:c>
      <x:c r="C1146" s="12" t="str">
        <x:v>工作日</x:v>
      </x:c>
      <x:c r="D1146" s="12" t="str">
        <x:v>环线2路</x:v>
      </x:c>
      <x:c r="E1146" s="12" t="str">
        <x:v>第二班</x:v>
      </x:c>
      <x:c r="F1146" s="12" t="n">
        <x:v>9</x:v>
      </x:c>
      <x:c r="G1146" s="12" t="str">
        <x:v>17:35</x:v>
      </x:c>
      <x:c r="H1146" s="12" t="n">
        <x:v>1055</x:v>
      </x:c>
      <x:c r="I1146" s="12" t="str">
        <x:v>研究生宿舍楼</x:v>
      </x:c>
      <x:c r="J1146" s="12" t="str">
        <x:v>研究生宿舍楼发车</x:v>
      </x:c>
      <x:c r="K1146" s="12" t="str">
        <x:v>HX2_NORMAL</x:v>
      </x:c>
      <x:c r="L1146" s="12" t="n">
        <x:v>1</x:v>
      </x:c>
      <x:c r="M1146" s="12" t="str">
        <x:v>HX2_NORMAL|1</x:v>
      </x:c>
      <x:c r="N1146" s="12" t="str">
        <x:v>研究生宿舍楼</x:v>
      </x:c>
      <x:c r="O1146" s="12" t="n">
        <x:f>IFERROR(INDEX('秒级路线参数_可调整'!$O:$O,MATCH(M1146,'秒级路线参数_可调整'!$A:$A,0)),"")</x:f>
        <x:v>0</x:v>
      </x:c>
      <x:c r="P1146" s="12" t="str">
        <x:f>IF(O1146="","",O1146/86400)</x:f>
      </x:c>
      <x:c r="Q1146" s="12" t="str">
        <x:f>IF(O1146="","",(H1146*60+O1146)/86400)</x:f>
      </x:c>
      <x:c r="R1146" s="12" t="str">
        <x:f>IF(Q1146="","",TEXT(Q1146,"hh:mm:ss"))</x:f>
      </x:c>
      <x:c r="S1146" s="12" t="str">
        <x:v>是</x:v>
      </x:c>
      <x:c r="T1146" s="12" t="str">
        <x:v>否</x:v>
      </x:c>
      <x:c r="U1146" s="12" t="str">
        <x:v>未提供</x:v>
      </x:c>
      <x:c r="V1146" s="12" t="str">
        <x:v>未提供</x:v>
      </x:c>
      <x:c r="W1146" s="12" t="str">
        <x:v>秒级预测</x:v>
      </x:c>
      <x:c r="X1146" s="12" t="str">
        <x:v>基于路线秒级参数；如录入实测或手动采用秒，预计到达时间可随公式更新</x:v>
      </x:c>
    </x:row>
    <x:row r="1147">
      <x:c r="A1147" s="12" t="str">
        <x:v>S0098-02</x:v>
      </x:c>
      <x:c r="B1147" s="12" t="str">
        <x:v>S0098</x:v>
      </x:c>
      <x:c r="C1147" s="12" t="str">
        <x:v>工作日</x:v>
      </x:c>
      <x:c r="D1147" s="12" t="str">
        <x:v>环线2路</x:v>
      </x:c>
      <x:c r="E1147" s="12" t="str">
        <x:v>第二班</x:v>
      </x:c>
      <x:c r="F1147" s="12" t="n">
        <x:v>9</x:v>
      </x:c>
      <x:c r="G1147" s="12" t="str">
        <x:v>17:35</x:v>
      </x:c>
      <x:c r="H1147" s="12" t="n">
        <x:v>1055</x:v>
      </x:c>
      <x:c r="I1147" s="12" t="str">
        <x:v>研究生宿舍楼</x:v>
      </x:c>
      <x:c r="J1147" s="12" t="str">
        <x:v>研究生宿舍楼发车</x:v>
      </x:c>
      <x:c r="K1147" s="12" t="str">
        <x:v>HX2_NORMAL</x:v>
      </x:c>
      <x:c r="L1147" s="12" t="n">
        <x:v>2</x:v>
      </x:c>
      <x:c r="M1147" s="12" t="str">
        <x:v>HX2_NORMAL|2</x:v>
      </x:c>
      <x:c r="N1147" s="12" t="str">
        <x:v>一食堂</x:v>
      </x:c>
      <x:c r="O1147" s="12" t="n">
        <x:f>IFERROR(INDEX('秒级路线参数_可调整'!$O:$O,MATCH(M1147,'秒级路线参数_可调整'!$A:$A,0)),"")</x:f>
        <x:v>65</x:v>
      </x:c>
      <x:c r="P1147" s="12" t="n">
        <x:f>IF(O1147="","",O1147/86400)</x:f>
        <x:v>0.0007523148148148148</x:v>
      </x:c>
      <x:c r="Q1147" s="12" t="n">
        <x:f>IF(O1147="","",(H1147*60+O1147)/86400)</x:f>
        <x:v>0.7333912037037037</x:v>
      </x:c>
      <x:c r="R1147" s="12" t="str">
        <x:f>IF(Q1147="","",TEXT(Q1147,"hh:mm:ss"))</x:f>
        <x:v>17:36:05</x:v>
      </x:c>
      <x:c r="S1147" s="12" t="str">
        <x:v>否</x:v>
      </x:c>
      <x:c r="T1147" s="12" t="str">
        <x:v>否</x:v>
      </x:c>
      <x:c r="U1147" s="12" t="str">
        <x:v>未提供</x:v>
      </x:c>
      <x:c r="V1147" s="12" t="str">
        <x:v>未提供</x:v>
      </x:c>
      <x:c r="W1147" s="12" t="str">
        <x:v>秒级预测</x:v>
      </x:c>
      <x:c r="X1147" s="12" t="str">
        <x:v>基于路线秒级参数；如录入实测或手动采用秒，预计到达时间可随公式更新</x:v>
      </x:c>
    </x:row>
    <x:row r="1148">
      <x:c r="A1148" s="12" t="str">
        <x:v>S0098-03</x:v>
      </x:c>
      <x:c r="B1148" s="12" t="str">
        <x:v>S0098</x:v>
      </x:c>
      <x:c r="C1148" s="12" t="str">
        <x:v>工作日</x:v>
      </x:c>
      <x:c r="D1148" s="12" t="str">
        <x:v>环线2路</x:v>
      </x:c>
      <x:c r="E1148" s="12" t="str">
        <x:v>第二班</x:v>
      </x:c>
      <x:c r="F1148" s="12" t="n">
        <x:v>9</x:v>
      </x:c>
      <x:c r="G1148" s="12" t="str">
        <x:v>17:35</x:v>
      </x:c>
      <x:c r="H1148" s="12" t="n">
        <x:v>1055</x:v>
      </x:c>
      <x:c r="I1148" s="12" t="str">
        <x:v>研究生宿舍楼</x:v>
      </x:c>
      <x:c r="J1148" s="12" t="str">
        <x:v>研究生宿舍楼发车</x:v>
      </x:c>
      <x:c r="K1148" s="12" t="str">
        <x:v>HX2_NORMAL</x:v>
      </x:c>
      <x:c r="L1148" s="12" t="n">
        <x:v>3</x:v>
      </x:c>
      <x:c r="M1148" s="12" t="str">
        <x:v>HX2_NORMAL|3</x:v>
      </x:c>
      <x:c r="N1148" s="12" t="str">
        <x:v>门诊部</x:v>
      </x:c>
      <x:c r="O1148" s="12" t="n">
        <x:f>IFERROR(INDEX('秒级路线参数_可调整'!$O:$O,MATCH(M1148,'秒级路线参数_可调整'!$A:$A,0)),"")</x:f>
        <x:v>120</x:v>
      </x:c>
      <x:c r="P1148" s="12" t="n">
        <x:f>IF(O1148="","",O1148/86400)</x:f>
        <x:v>0.001388888888888889</x:v>
      </x:c>
      <x:c r="Q1148" s="12" t="n">
        <x:f>IF(O1148="","",(H1148*60+O1148)/86400)</x:f>
        <x:v>0.7340277777777777</x:v>
      </x:c>
      <x:c r="R1148" s="12" t="str">
        <x:f>IF(Q1148="","",TEXT(Q1148,"hh:mm:ss"))</x:f>
        <x:v>17:37:00</x:v>
      </x:c>
      <x:c r="S1148" s="12" t="str">
        <x:v>否</x:v>
      </x:c>
      <x:c r="T1148" s="12" t="str">
        <x:v>否</x:v>
      </x:c>
      <x:c r="U1148" s="12" t="str">
        <x:v>未提供</x:v>
      </x:c>
      <x:c r="V1148" s="12" t="str">
        <x:v>未提供</x:v>
      </x:c>
      <x:c r="W1148" s="12" t="str">
        <x:v>秒级预测</x:v>
      </x:c>
      <x:c r="X1148" s="12" t="str">
        <x:v>基于路线秒级参数；如录入实测或手动采用秒，预计到达时间可随公式更新</x:v>
      </x:c>
    </x:row>
    <x:row r="1149">
      <x:c r="A1149" s="12" t="str">
        <x:v>S0098-04</x:v>
      </x:c>
      <x:c r="B1149" s="12" t="str">
        <x:v>S0098</x:v>
      </x:c>
      <x:c r="C1149" s="12" t="str">
        <x:v>工作日</x:v>
      </x:c>
      <x:c r="D1149" s="12" t="str">
        <x:v>环线2路</x:v>
      </x:c>
      <x:c r="E1149" s="12" t="str">
        <x:v>第二班</x:v>
      </x:c>
      <x:c r="F1149" s="12" t="n">
        <x:v>9</x:v>
      </x:c>
      <x:c r="G1149" s="12" t="str">
        <x:v>17:35</x:v>
      </x:c>
      <x:c r="H1149" s="12" t="n">
        <x:v>1055</x:v>
      </x:c>
      <x:c r="I1149" s="12" t="str">
        <x:v>研究生宿舍楼</x:v>
      </x:c>
      <x:c r="J1149" s="12" t="str">
        <x:v>研究生宿舍楼发车</x:v>
      </x:c>
      <x:c r="K1149" s="12" t="str">
        <x:v>HX2_NORMAL</x:v>
      </x:c>
      <x:c r="L1149" s="12" t="n">
        <x:v>4</x:v>
      </x:c>
      <x:c r="M1149" s="12" t="str">
        <x:v>HX2_NORMAL|4</x:v>
      </x:c>
      <x:c r="N1149" s="12" t="str">
        <x:v>1号宿舍楼</x:v>
      </x:c>
      <x:c r="O1149" s="12" t="n">
        <x:f>IFERROR(INDEX('秒级路线参数_可调整'!$O:$O,MATCH(M1149,'秒级路线参数_可调整'!$A:$A,0)),"")</x:f>
        <x:v>165</x:v>
      </x:c>
      <x:c r="P1149" s="12" t="n">
        <x:f>IF(O1149="","",O1149/86400)</x:f>
        <x:v>0.0019097222222222222</x:v>
      </x:c>
      <x:c r="Q1149" s="12" t="n">
        <x:f>IF(O1149="","",(H1149*60+O1149)/86400)</x:f>
        <x:v>0.7345486111111111</x:v>
      </x:c>
      <x:c r="R1149" s="12" t="str">
        <x:f>IF(Q1149="","",TEXT(Q1149,"hh:mm:ss"))</x:f>
        <x:v>17:37:45</x:v>
      </x:c>
      <x:c r="S1149" s="12" t="str">
        <x:v>否</x:v>
      </x:c>
      <x:c r="T1149" s="12" t="str">
        <x:v>否</x:v>
      </x:c>
      <x:c r="U1149" s="12" t="str">
        <x:v>未提供</x:v>
      </x:c>
      <x:c r="V1149" s="12" t="str">
        <x:v>未提供</x:v>
      </x:c>
      <x:c r="W1149" s="12" t="str">
        <x:v>秒级预测</x:v>
      </x:c>
      <x:c r="X1149" s="12" t="str">
        <x:v>基于路线秒级参数；如录入实测或手动采用秒，预计到达时间可随公式更新</x:v>
      </x:c>
    </x:row>
    <x:row r="1150">
      <x:c r="A1150" s="12" t="str">
        <x:v>S0098-05</x:v>
      </x:c>
      <x:c r="B1150" s="12" t="str">
        <x:v>S0098</x:v>
      </x:c>
      <x:c r="C1150" s="12" t="str">
        <x:v>工作日</x:v>
      </x:c>
      <x:c r="D1150" s="12" t="str">
        <x:v>环线2路</x:v>
      </x:c>
      <x:c r="E1150" s="12" t="str">
        <x:v>第二班</x:v>
      </x:c>
      <x:c r="F1150" s="12" t="n">
        <x:v>9</x:v>
      </x:c>
      <x:c r="G1150" s="12" t="str">
        <x:v>17:35</x:v>
      </x:c>
      <x:c r="H1150" s="12" t="n">
        <x:v>1055</x:v>
      </x:c>
      <x:c r="I1150" s="12" t="str">
        <x:v>研究生宿舍楼</x:v>
      </x:c>
      <x:c r="J1150" s="12" t="str">
        <x:v>研究生宿舍楼发车</x:v>
      </x:c>
      <x:c r="K1150" s="12" t="str">
        <x:v>HX2_NORMAL</x:v>
      </x:c>
      <x:c r="L1150" s="12" t="n">
        <x:v>5</x:v>
      </x:c>
      <x:c r="M1150" s="12" t="str">
        <x:v>HX2_NORMAL|5</x:v>
      </x:c>
      <x:c r="N1150" s="12" t="str">
        <x:v>水上训练中心</x:v>
      </x:c>
      <x:c r="O1150" s="12" t="n">
        <x:f>IFERROR(INDEX('秒级路线参数_可调整'!$O:$O,MATCH(M1150,'秒级路线参数_可调整'!$A:$A,0)),"")</x:f>
        <x:v>250</x:v>
      </x:c>
      <x:c r="P1150" s="12" t="n">
        <x:f>IF(O1150="","",O1150/86400)</x:f>
        <x:v>0.0028935185185185184</x:v>
      </x:c>
      <x:c r="Q1150" s="12" t="n">
        <x:f>IF(O1150="","",(H1150*60+O1150)/86400)</x:f>
        <x:v>0.7355324074074074</x:v>
      </x:c>
      <x:c r="R1150" s="12" t="str">
        <x:f>IF(Q1150="","",TEXT(Q1150,"hh:mm:ss"))</x:f>
        <x:v>17:39:10</x:v>
      </x:c>
      <x:c r="S1150" s="12" t="str">
        <x:v>否</x:v>
      </x:c>
      <x:c r="T1150" s="12" t="str">
        <x:v>否</x:v>
      </x:c>
      <x:c r="U1150" s="12" t="str">
        <x:v>未提供</x:v>
      </x:c>
      <x:c r="V1150" s="12" t="str">
        <x:v>未提供</x:v>
      </x:c>
      <x:c r="W1150" s="12" t="str">
        <x:v>秒级预测</x:v>
      </x:c>
      <x:c r="X1150" s="12" t="str">
        <x:v>基于路线秒级参数；如录入实测或手动采用秒，预计到达时间可随公式更新</x:v>
      </x:c>
    </x:row>
    <x:row r="1151">
      <x:c r="A1151" s="12" t="str">
        <x:v>S0098-06</x:v>
      </x:c>
      <x:c r="B1151" s="12" t="str">
        <x:v>S0098</x:v>
      </x:c>
      <x:c r="C1151" s="12" t="str">
        <x:v>工作日</x:v>
      </x:c>
      <x:c r="D1151" s="12" t="str">
        <x:v>环线2路</x:v>
      </x:c>
      <x:c r="E1151" s="12" t="str">
        <x:v>第二班</x:v>
      </x:c>
      <x:c r="F1151" s="12" t="n">
        <x:v>9</x:v>
      </x:c>
      <x:c r="G1151" s="12" t="str">
        <x:v>17:35</x:v>
      </x:c>
      <x:c r="H1151" s="12" t="n">
        <x:v>1055</x:v>
      </x:c>
      <x:c r="I1151" s="12" t="str">
        <x:v>研究生宿舍楼</x:v>
      </x:c>
      <x:c r="J1151" s="12" t="str">
        <x:v>研究生宿舍楼发车</x:v>
      </x:c>
      <x:c r="K1151" s="12" t="str">
        <x:v>HX2_NORMAL</x:v>
      </x:c>
      <x:c r="L1151" s="12" t="n">
        <x:v>6</x:v>
      </x:c>
      <x:c r="M1151" s="12" t="str">
        <x:v>HX2_NORMAL|6</x:v>
      </x:c>
      <x:c r="N1151" s="12" t="str">
        <x:v>军体活动中心</x:v>
      </x:c>
      <x:c r="O1151" s="12" t="n">
        <x:f>IFERROR(INDEX('秒级路线参数_可调整'!$O:$O,MATCH(M1151,'秒级路线参数_可调整'!$A:$A,0)),"")</x:f>
        <x:v>315</x:v>
      </x:c>
      <x:c r="P1151" s="12" t="n">
        <x:f>IF(O1151="","",O1151/86400)</x:f>
        <x:v>0.0036458333333333334</x:v>
      </x:c>
      <x:c r="Q1151" s="12" t="n">
        <x:f>IF(O1151="","",(H1151*60+O1151)/86400)</x:f>
        <x:v>0.7362847222222222</x:v>
      </x:c>
      <x:c r="R1151" s="12" t="str">
        <x:f>IF(Q1151="","",TEXT(Q1151,"hh:mm:ss"))</x:f>
        <x:v>17:40:15</x:v>
      </x:c>
      <x:c r="S1151" s="12" t="str">
        <x:v>否</x:v>
      </x:c>
      <x:c r="T1151" s="12" t="str">
        <x:v>否</x:v>
      </x:c>
      <x:c r="U1151" s="12" t="str">
        <x:v>未提供</x:v>
      </x:c>
      <x:c r="V1151" s="12" t="str">
        <x:v>未提供</x:v>
      </x:c>
      <x:c r="W1151" s="12" t="str">
        <x:v>秒级预测</x:v>
      </x:c>
      <x:c r="X1151" s="12" t="str">
        <x:v>基于路线秒级参数；如录入实测或手动采用秒，预计到达时间可随公式更新</x:v>
      </x:c>
    </x:row>
    <x:row r="1152">
      <x:c r="A1152" s="12" t="str">
        <x:v>S0098-07</x:v>
      </x:c>
      <x:c r="B1152" s="12" t="str">
        <x:v>S0098</x:v>
      </x:c>
      <x:c r="C1152" s="12" t="str">
        <x:v>工作日</x:v>
      </x:c>
      <x:c r="D1152" s="12" t="str">
        <x:v>环线2路</x:v>
      </x:c>
      <x:c r="E1152" s="12" t="str">
        <x:v>第二班</x:v>
      </x:c>
      <x:c r="F1152" s="12" t="n">
        <x:v>9</x:v>
      </x:c>
      <x:c r="G1152" s="12" t="str">
        <x:v>17:35</x:v>
      </x:c>
      <x:c r="H1152" s="12" t="n">
        <x:v>1055</x:v>
      </x:c>
      <x:c r="I1152" s="12" t="str">
        <x:v>研究生宿舍楼</x:v>
      </x:c>
      <x:c r="J1152" s="12" t="str">
        <x:v>研究生宿舍楼发车</x:v>
      </x:c>
      <x:c r="K1152" s="12" t="str">
        <x:v>HX2_NORMAL</x:v>
      </x:c>
      <x:c r="L1152" s="12" t="n">
        <x:v>7</x:v>
      </x:c>
      <x:c r="M1152" s="12" t="str">
        <x:v>HX2_NORMAL|7</x:v>
      </x:c>
      <x:c r="N1152" s="12" t="str">
        <x:v>二食堂</x:v>
      </x:c>
      <x:c r="O1152" s="12" t="n">
        <x:f>IFERROR(INDEX('秒级路线参数_可调整'!$O:$O,MATCH(M1152,'秒级路线参数_可调整'!$A:$A,0)),"")</x:f>
        <x:v>420</x:v>
      </x:c>
      <x:c r="P1152" s="12" t="n">
        <x:f>IF(O1152="","",O1152/86400)</x:f>
        <x:v>0.004861111111111111</x:v>
      </x:c>
      <x:c r="Q1152" s="12" t="n">
        <x:f>IF(O1152="","",(H1152*60+O1152)/86400)</x:f>
        <x:v>0.7375</x:v>
      </x:c>
      <x:c r="R1152" s="12" t="str">
        <x:f>IF(Q1152="","",TEXT(Q1152,"hh:mm:ss"))</x:f>
        <x:v>17:42:00</x:v>
      </x:c>
      <x:c r="S1152" s="12" t="str">
        <x:v>否</x:v>
      </x:c>
      <x:c r="T1152" s="12" t="str">
        <x:v>否</x:v>
      </x:c>
      <x:c r="U1152" s="12" t="str">
        <x:v>未提供</x:v>
      </x:c>
      <x:c r="V1152" s="12" t="str">
        <x:v>未提供</x:v>
      </x:c>
      <x:c r="W1152" s="12" t="str">
        <x:v>秒级预测</x:v>
      </x:c>
      <x:c r="X1152" s="12" t="str">
        <x:v>基于路线秒级参数；如录入实测或手动采用秒，预计到达时间可随公式更新</x:v>
      </x:c>
    </x:row>
    <x:row r="1153">
      <x:c r="A1153" s="12" t="str">
        <x:v>S0098-08</x:v>
      </x:c>
      <x:c r="B1153" s="12" t="str">
        <x:v>S0098</x:v>
      </x:c>
      <x:c r="C1153" s="12" t="str">
        <x:v>工作日</x:v>
      </x:c>
      <x:c r="D1153" s="12" t="str">
        <x:v>环线2路</x:v>
      </x:c>
      <x:c r="E1153" s="12" t="str">
        <x:v>第二班</x:v>
      </x:c>
      <x:c r="F1153" s="12" t="n">
        <x:v>9</x:v>
      </x:c>
      <x:c r="G1153" s="12" t="str">
        <x:v>17:35</x:v>
      </x:c>
      <x:c r="H1153" s="12" t="n">
        <x:v>1055</x:v>
      </x:c>
      <x:c r="I1153" s="12" t="str">
        <x:v>研究生宿舍楼</x:v>
      </x:c>
      <x:c r="J1153" s="12" t="str">
        <x:v>研究生宿舍楼发车</x:v>
      </x:c>
      <x:c r="K1153" s="12" t="str">
        <x:v>HX2_NORMAL</x:v>
      </x:c>
      <x:c r="L1153" s="12" t="n">
        <x:v>8</x:v>
      </x:c>
      <x:c r="M1153" s="12" t="str">
        <x:v>HX2_NORMAL|8</x:v>
      </x:c>
      <x:c r="N1153" s="12" t="str">
        <x:v>5号宿舍楼</x:v>
      </x:c>
      <x:c r="O1153" s="12" t="n">
        <x:f>IFERROR(INDEX('秒级路线参数_可调整'!$O:$O,MATCH(M1153,'秒级路线参数_可调整'!$A:$A,0)),"")</x:f>
        <x:v>480</x:v>
      </x:c>
      <x:c r="P1153" s="12" t="n">
        <x:f>IF(O1153="","",O1153/86400)</x:f>
        <x:v>0.005555555555555556</x:v>
      </x:c>
      <x:c r="Q1153" s="12" t="n">
        <x:f>IF(O1153="","",(H1153*60+O1153)/86400)</x:f>
        <x:v>0.7381944444444445</x:v>
      </x:c>
      <x:c r="R1153" s="12" t="str">
        <x:f>IF(Q1153="","",TEXT(Q1153,"hh:mm:ss"))</x:f>
        <x:v>17:43:00</x:v>
      </x:c>
      <x:c r="S1153" s="12" t="str">
        <x:v>否</x:v>
      </x:c>
      <x:c r="T1153" s="12" t="str">
        <x:v>否</x:v>
      </x:c>
      <x:c r="U1153" s="12" t="str">
        <x:v>未提供</x:v>
      </x:c>
      <x:c r="V1153" s="12" t="str">
        <x:v>未提供</x:v>
      </x:c>
      <x:c r="W1153" s="12" t="str">
        <x:v>秒级预测</x:v>
      </x:c>
      <x:c r="X1153" s="12" t="str">
        <x:v>基于路线秒级参数；如录入实测或手动采用秒，预计到达时间可随公式更新</x:v>
      </x:c>
    </x:row>
    <x:row r="1154">
      <x:c r="A1154" s="12" t="str">
        <x:v>S0098-09</x:v>
      </x:c>
      <x:c r="B1154" s="12" t="str">
        <x:v>S0098</x:v>
      </x:c>
      <x:c r="C1154" s="12" t="str">
        <x:v>工作日</x:v>
      </x:c>
      <x:c r="D1154" s="12" t="str">
        <x:v>环线2路</x:v>
      </x:c>
      <x:c r="E1154" s="12" t="str">
        <x:v>第二班</x:v>
      </x:c>
      <x:c r="F1154" s="12" t="n">
        <x:v>9</x:v>
      </x:c>
      <x:c r="G1154" s="12" t="str">
        <x:v>17:35</x:v>
      </x:c>
      <x:c r="H1154" s="12" t="n">
        <x:v>1055</x:v>
      </x:c>
      <x:c r="I1154" s="12" t="str">
        <x:v>研究生宿舍楼</x:v>
      </x:c>
      <x:c r="J1154" s="12" t="str">
        <x:v>研究生宿舍楼发车</x:v>
      </x:c>
      <x:c r="K1154" s="12" t="str">
        <x:v>HX2_NORMAL</x:v>
      </x:c>
      <x:c r="L1154" s="12" t="n">
        <x:v>9</x:v>
      </x:c>
      <x:c r="M1154" s="12" t="str">
        <x:v>HX2_NORMAL|9</x:v>
      </x:c>
      <x:c r="N1154" s="12" t="str">
        <x:v>305教学楼</x:v>
      </x:c>
      <x:c r="O1154" s="12" t="n">
        <x:f>IFERROR(INDEX('秒级路线参数_可调整'!$O:$O,MATCH(M1154,'秒级路线参数_可调整'!$A:$A,0)),"")</x:f>
        <x:v>535</x:v>
      </x:c>
      <x:c r="P1154" s="12" t="n">
        <x:f>IF(O1154="","",O1154/86400)</x:f>
        <x:v>0.00619212962962963</x:v>
      </x:c>
      <x:c r="Q1154" s="12" t="n">
        <x:f>IF(O1154="","",(H1154*60+O1154)/86400)</x:f>
        <x:v>0.7388310185185185</x:v>
      </x:c>
      <x:c r="R1154" s="12" t="str">
        <x:f>IF(Q1154="","",TEXT(Q1154,"hh:mm:ss"))</x:f>
        <x:v>17:43:55</x:v>
      </x:c>
      <x:c r="S1154" s="12" t="str">
        <x:v>否</x:v>
      </x:c>
      <x:c r="T1154" s="12" t="str">
        <x:v>否</x:v>
      </x:c>
      <x:c r="U1154" s="12" t="str">
        <x:v>未提供</x:v>
      </x:c>
      <x:c r="V1154" s="12" t="str">
        <x:v>未提供</x:v>
      </x:c>
      <x:c r="W1154" s="12" t="str">
        <x:v>秒级预测</x:v>
      </x:c>
      <x:c r="X1154" s="12" t="str">
        <x:v>基于路线秒级参数；如录入实测或手动采用秒，预计到达时间可随公式更新</x:v>
      </x:c>
    </x:row>
    <x:row r="1155">
      <x:c r="A1155" s="12" t="str">
        <x:v>S0098-10</x:v>
      </x:c>
      <x:c r="B1155" s="12" t="str">
        <x:v>S0098</x:v>
      </x:c>
      <x:c r="C1155" s="12" t="str">
        <x:v>工作日</x:v>
      </x:c>
      <x:c r="D1155" s="12" t="str">
        <x:v>环线2路</x:v>
      </x:c>
      <x:c r="E1155" s="12" t="str">
        <x:v>第二班</x:v>
      </x:c>
      <x:c r="F1155" s="12" t="n">
        <x:v>9</x:v>
      </x:c>
      <x:c r="G1155" s="12" t="str">
        <x:v>17:35</x:v>
      </x:c>
      <x:c r="H1155" s="12" t="n">
        <x:v>1055</x:v>
      </x:c>
      <x:c r="I1155" s="12" t="str">
        <x:v>研究生宿舍楼</x:v>
      </x:c>
      <x:c r="J1155" s="12" t="str">
        <x:v>研究生宿舍楼发车</x:v>
      </x:c>
      <x:c r="K1155" s="12" t="str">
        <x:v>HX2_NORMAL</x:v>
      </x:c>
      <x:c r="L1155" s="12" t="n">
        <x:v>10</x:v>
      </x:c>
      <x:c r="M1155" s="12" t="str">
        <x:v>HX2_NORMAL|10</x:v>
      </x:c>
      <x:c r="N1155" s="12" t="str">
        <x:v>研究生宿舍楼</x:v>
      </x:c>
      <x:c r="O1155" s="12" t="n">
        <x:f>IFERROR(INDEX('秒级路线参数_可调整'!$O:$O,MATCH(M1155,'秒级路线参数_可调整'!$A:$A,0)),"")</x:f>
        <x:v>715</x:v>
      </x:c>
      <x:c r="P1155" s="12" t="n">
        <x:f>IF(O1155="","",O1155/86400)</x:f>
        <x:v>0.008275462962962964</x:v>
      </x:c>
      <x:c r="Q1155" s="12" t="n">
        <x:f>IF(O1155="","",(H1155*60+O1155)/86400)</x:f>
        <x:v>0.7409143518518518</x:v>
      </x:c>
      <x:c r="R1155" s="12" t="str">
        <x:f>IF(Q1155="","",TEXT(Q1155,"hh:mm:ss"))</x:f>
        <x:v>17:46:55</x:v>
      </x:c>
      <x:c r="S1155" s="12" t="str">
        <x:v>否</x:v>
      </x:c>
      <x:c r="T1155" s="12" t="str">
        <x:v>是</x:v>
      </x:c>
      <x:c r="U1155" s="12" t="str">
        <x:v>未提供</x:v>
      </x:c>
      <x:c r="V1155" s="12" t="str">
        <x:v>未提供</x:v>
      </x:c>
      <x:c r="W1155" s="12" t="str">
        <x:v>秒级预测</x:v>
      </x:c>
      <x:c r="X1155" s="12" t="str">
        <x:v>基于路线秒级参数；如录入实测或手动采用秒，预计到达时间可随公式更新</x:v>
      </x:c>
    </x:row>
    <x:row r="1156">
      <x:c r="A1156" s="12" t="str">
        <x:v>S0099-01</x:v>
      </x:c>
      <x:c r="B1156" s="12" t="str">
        <x:v>S0099</x:v>
      </x:c>
      <x:c r="C1156" s="12" t="str">
        <x:v>工作日</x:v>
      </x:c>
      <x:c r="D1156" s="12" t="str">
        <x:v>环线2路</x:v>
      </x:c>
      <x:c r="E1156" s="12" t="str">
        <x:v>第二班</x:v>
      </x:c>
      <x:c r="F1156" s="12" t="n">
        <x:v>10</x:v>
      </x:c>
      <x:c r="G1156" s="12" t="str">
        <x:v>18:10</x:v>
      </x:c>
      <x:c r="H1156" s="12" t="n">
        <x:v>1090</x:v>
      </x:c>
      <x:c r="I1156" s="12" t="str">
        <x:v>研究生宿舍楼</x:v>
      </x:c>
      <x:c r="J1156" s="12" t="str">
        <x:v>研究生宿舍楼发车</x:v>
      </x:c>
      <x:c r="K1156" s="12" t="str">
        <x:v>HX2_NORMAL</x:v>
      </x:c>
      <x:c r="L1156" s="12" t="n">
        <x:v>1</x:v>
      </x:c>
      <x:c r="M1156" s="12" t="str">
        <x:v>HX2_NORMAL|1</x:v>
      </x:c>
      <x:c r="N1156" s="12" t="str">
        <x:v>研究生宿舍楼</x:v>
      </x:c>
      <x:c r="O1156" s="12" t="n">
        <x:f>IFERROR(INDEX('秒级路线参数_可调整'!$O:$O,MATCH(M1156,'秒级路线参数_可调整'!$A:$A,0)),"")</x:f>
        <x:v>0</x:v>
      </x:c>
      <x:c r="P1156" s="12" t="str">
        <x:f>IF(O1156="","",O1156/86400)</x:f>
      </x:c>
      <x:c r="Q1156" s="12" t="str">
        <x:f>IF(O1156="","",(H1156*60+O1156)/86400)</x:f>
      </x:c>
      <x:c r="R1156" s="12" t="str">
        <x:f>IF(Q1156="","",TEXT(Q1156,"hh:mm:ss"))</x:f>
      </x:c>
      <x:c r="S1156" s="12" t="str">
        <x:v>是</x:v>
      </x:c>
      <x:c r="T1156" s="12" t="str">
        <x:v>否</x:v>
      </x:c>
      <x:c r="U1156" s="12" t="str">
        <x:v>未提供</x:v>
      </x:c>
      <x:c r="V1156" s="12" t="str">
        <x:v>未提供</x:v>
      </x:c>
      <x:c r="W1156" s="12" t="str">
        <x:v>秒级预测</x:v>
      </x:c>
      <x:c r="X1156" s="12" t="str">
        <x:v>基于路线秒级参数；如录入实测或手动采用秒，预计到达时间可随公式更新</x:v>
      </x:c>
    </x:row>
    <x:row r="1157">
      <x:c r="A1157" s="12" t="str">
        <x:v>S0099-02</x:v>
      </x:c>
      <x:c r="B1157" s="12" t="str">
        <x:v>S0099</x:v>
      </x:c>
      <x:c r="C1157" s="12" t="str">
        <x:v>工作日</x:v>
      </x:c>
      <x:c r="D1157" s="12" t="str">
        <x:v>环线2路</x:v>
      </x:c>
      <x:c r="E1157" s="12" t="str">
        <x:v>第二班</x:v>
      </x:c>
      <x:c r="F1157" s="12" t="n">
        <x:v>10</x:v>
      </x:c>
      <x:c r="G1157" s="12" t="str">
        <x:v>18:10</x:v>
      </x:c>
      <x:c r="H1157" s="12" t="n">
        <x:v>1090</x:v>
      </x:c>
      <x:c r="I1157" s="12" t="str">
        <x:v>研究生宿舍楼</x:v>
      </x:c>
      <x:c r="J1157" s="12" t="str">
        <x:v>研究生宿舍楼发车</x:v>
      </x:c>
      <x:c r="K1157" s="12" t="str">
        <x:v>HX2_NORMAL</x:v>
      </x:c>
      <x:c r="L1157" s="12" t="n">
        <x:v>2</x:v>
      </x:c>
      <x:c r="M1157" s="12" t="str">
        <x:v>HX2_NORMAL|2</x:v>
      </x:c>
      <x:c r="N1157" s="12" t="str">
        <x:v>一食堂</x:v>
      </x:c>
      <x:c r="O1157" s="12" t="n">
        <x:f>IFERROR(INDEX('秒级路线参数_可调整'!$O:$O,MATCH(M1157,'秒级路线参数_可调整'!$A:$A,0)),"")</x:f>
        <x:v>65</x:v>
      </x:c>
      <x:c r="P1157" s="12" t="n">
        <x:f>IF(O1157="","",O1157/86400)</x:f>
        <x:v>0.0007523148148148148</x:v>
      </x:c>
      <x:c r="Q1157" s="12" t="n">
        <x:f>IF(O1157="","",(H1157*60+O1157)/86400)</x:f>
        <x:v>0.7576967592592593</x:v>
      </x:c>
      <x:c r="R1157" s="12" t="str">
        <x:f>IF(Q1157="","",TEXT(Q1157,"hh:mm:ss"))</x:f>
        <x:v>18:11:05</x:v>
      </x:c>
      <x:c r="S1157" s="12" t="str">
        <x:v>否</x:v>
      </x:c>
      <x:c r="T1157" s="12" t="str">
        <x:v>否</x:v>
      </x:c>
      <x:c r="U1157" s="12" t="str">
        <x:v>未提供</x:v>
      </x:c>
      <x:c r="V1157" s="12" t="str">
        <x:v>未提供</x:v>
      </x:c>
      <x:c r="W1157" s="12" t="str">
        <x:v>秒级预测</x:v>
      </x:c>
      <x:c r="X1157" s="12" t="str">
        <x:v>基于路线秒级参数；如录入实测或手动采用秒，预计到达时间可随公式更新</x:v>
      </x:c>
    </x:row>
    <x:row r="1158">
      <x:c r="A1158" s="12" t="str">
        <x:v>S0099-03</x:v>
      </x:c>
      <x:c r="B1158" s="12" t="str">
        <x:v>S0099</x:v>
      </x:c>
      <x:c r="C1158" s="12" t="str">
        <x:v>工作日</x:v>
      </x:c>
      <x:c r="D1158" s="12" t="str">
        <x:v>环线2路</x:v>
      </x:c>
      <x:c r="E1158" s="12" t="str">
        <x:v>第二班</x:v>
      </x:c>
      <x:c r="F1158" s="12" t="n">
        <x:v>10</x:v>
      </x:c>
      <x:c r="G1158" s="12" t="str">
        <x:v>18:10</x:v>
      </x:c>
      <x:c r="H1158" s="12" t="n">
        <x:v>1090</x:v>
      </x:c>
      <x:c r="I1158" s="12" t="str">
        <x:v>研究生宿舍楼</x:v>
      </x:c>
      <x:c r="J1158" s="12" t="str">
        <x:v>研究生宿舍楼发车</x:v>
      </x:c>
      <x:c r="K1158" s="12" t="str">
        <x:v>HX2_NORMAL</x:v>
      </x:c>
      <x:c r="L1158" s="12" t="n">
        <x:v>3</x:v>
      </x:c>
      <x:c r="M1158" s="12" t="str">
        <x:v>HX2_NORMAL|3</x:v>
      </x:c>
      <x:c r="N1158" s="12" t="str">
        <x:v>门诊部</x:v>
      </x:c>
      <x:c r="O1158" s="12" t="n">
        <x:f>IFERROR(INDEX('秒级路线参数_可调整'!$O:$O,MATCH(M1158,'秒级路线参数_可调整'!$A:$A,0)),"")</x:f>
        <x:v>120</x:v>
      </x:c>
      <x:c r="P1158" s="12" t="n">
        <x:f>IF(O1158="","",O1158/86400)</x:f>
        <x:v>0.001388888888888889</x:v>
      </x:c>
      <x:c r="Q1158" s="12" t="n">
        <x:f>IF(O1158="","",(H1158*60+O1158)/86400)</x:f>
        <x:v>0.7583333333333333</x:v>
      </x:c>
      <x:c r="R1158" s="12" t="str">
        <x:f>IF(Q1158="","",TEXT(Q1158,"hh:mm:ss"))</x:f>
        <x:v>18:12:00</x:v>
      </x:c>
      <x:c r="S1158" s="12" t="str">
        <x:v>否</x:v>
      </x:c>
      <x:c r="T1158" s="12" t="str">
        <x:v>否</x:v>
      </x:c>
      <x:c r="U1158" s="12" t="str">
        <x:v>未提供</x:v>
      </x:c>
      <x:c r="V1158" s="12" t="str">
        <x:v>未提供</x:v>
      </x:c>
      <x:c r="W1158" s="12" t="str">
        <x:v>秒级预测</x:v>
      </x:c>
      <x:c r="X1158" s="12" t="str">
        <x:v>基于路线秒级参数；如录入实测或手动采用秒，预计到达时间可随公式更新</x:v>
      </x:c>
    </x:row>
    <x:row r="1159">
      <x:c r="A1159" s="12" t="str">
        <x:v>S0099-04</x:v>
      </x:c>
      <x:c r="B1159" s="12" t="str">
        <x:v>S0099</x:v>
      </x:c>
      <x:c r="C1159" s="12" t="str">
        <x:v>工作日</x:v>
      </x:c>
      <x:c r="D1159" s="12" t="str">
        <x:v>环线2路</x:v>
      </x:c>
      <x:c r="E1159" s="12" t="str">
        <x:v>第二班</x:v>
      </x:c>
      <x:c r="F1159" s="12" t="n">
        <x:v>10</x:v>
      </x:c>
      <x:c r="G1159" s="12" t="str">
        <x:v>18:10</x:v>
      </x:c>
      <x:c r="H1159" s="12" t="n">
        <x:v>1090</x:v>
      </x:c>
      <x:c r="I1159" s="12" t="str">
        <x:v>研究生宿舍楼</x:v>
      </x:c>
      <x:c r="J1159" s="12" t="str">
        <x:v>研究生宿舍楼发车</x:v>
      </x:c>
      <x:c r="K1159" s="12" t="str">
        <x:v>HX2_NORMAL</x:v>
      </x:c>
      <x:c r="L1159" s="12" t="n">
        <x:v>4</x:v>
      </x:c>
      <x:c r="M1159" s="12" t="str">
        <x:v>HX2_NORMAL|4</x:v>
      </x:c>
      <x:c r="N1159" s="12" t="str">
        <x:v>1号宿舍楼</x:v>
      </x:c>
      <x:c r="O1159" s="12" t="n">
        <x:f>IFERROR(INDEX('秒级路线参数_可调整'!$O:$O,MATCH(M1159,'秒级路线参数_可调整'!$A:$A,0)),"")</x:f>
        <x:v>165</x:v>
      </x:c>
      <x:c r="P1159" s="12" t="n">
        <x:f>IF(O1159="","",O1159/86400)</x:f>
        <x:v>0.0019097222222222222</x:v>
      </x:c>
      <x:c r="Q1159" s="12" t="n">
        <x:f>IF(O1159="","",(H1159*60+O1159)/86400)</x:f>
        <x:v>0.7588541666666667</x:v>
      </x:c>
      <x:c r="R1159" s="12" t="str">
        <x:f>IF(Q1159="","",TEXT(Q1159,"hh:mm:ss"))</x:f>
        <x:v>18:12:45</x:v>
      </x:c>
      <x:c r="S1159" s="12" t="str">
        <x:v>否</x:v>
      </x:c>
      <x:c r="T1159" s="12" t="str">
        <x:v>否</x:v>
      </x:c>
      <x:c r="U1159" s="12" t="str">
        <x:v>未提供</x:v>
      </x:c>
      <x:c r="V1159" s="12" t="str">
        <x:v>未提供</x:v>
      </x:c>
      <x:c r="W1159" s="12" t="str">
        <x:v>秒级预测</x:v>
      </x:c>
      <x:c r="X1159" s="12" t="str">
        <x:v>基于路线秒级参数；如录入实测或手动采用秒，预计到达时间可随公式更新</x:v>
      </x:c>
    </x:row>
    <x:row r="1160">
      <x:c r="A1160" s="12" t="str">
        <x:v>S0099-05</x:v>
      </x:c>
      <x:c r="B1160" s="12" t="str">
        <x:v>S0099</x:v>
      </x:c>
      <x:c r="C1160" s="12" t="str">
        <x:v>工作日</x:v>
      </x:c>
      <x:c r="D1160" s="12" t="str">
        <x:v>环线2路</x:v>
      </x:c>
      <x:c r="E1160" s="12" t="str">
        <x:v>第二班</x:v>
      </x:c>
      <x:c r="F1160" s="12" t="n">
        <x:v>10</x:v>
      </x:c>
      <x:c r="G1160" s="12" t="str">
        <x:v>18:10</x:v>
      </x:c>
      <x:c r="H1160" s="12" t="n">
        <x:v>1090</x:v>
      </x:c>
      <x:c r="I1160" s="12" t="str">
        <x:v>研究生宿舍楼</x:v>
      </x:c>
      <x:c r="J1160" s="12" t="str">
        <x:v>研究生宿舍楼发车</x:v>
      </x:c>
      <x:c r="K1160" s="12" t="str">
        <x:v>HX2_NORMAL</x:v>
      </x:c>
      <x:c r="L1160" s="12" t="n">
        <x:v>5</x:v>
      </x:c>
      <x:c r="M1160" s="12" t="str">
        <x:v>HX2_NORMAL|5</x:v>
      </x:c>
      <x:c r="N1160" s="12" t="str">
        <x:v>水上训练中心</x:v>
      </x:c>
      <x:c r="O1160" s="12" t="n">
        <x:f>IFERROR(INDEX('秒级路线参数_可调整'!$O:$O,MATCH(M1160,'秒级路线参数_可调整'!$A:$A,0)),"")</x:f>
        <x:v>250</x:v>
      </x:c>
      <x:c r="P1160" s="12" t="n">
        <x:f>IF(O1160="","",O1160/86400)</x:f>
        <x:v>0.0028935185185185184</x:v>
      </x:c>
      <x:c r="Q1160" s="12" t="n">
        <x:f>IF(O1160="","",(H1160*60+O1160)/86400)</x:f>
        <x:v>0.7598379629629629</x:v>
      </x:c>
      <x:c r="R1160" s="12" t="str">
        <x:f>IF(Q1160="","",TEXT(Q1160,"hh:mm:ss"))</x:f>
        <x:v>18:14:10</x:v>
      </x:c>
      <x:c r="S1160" s="12" t="str">
        <x:v>否</x:v>
      </x:c>
      <x:c r="T1160" s="12" t="str">
        <x:v>否</x:v>
      </x:c>
      <x:c r="U1160" s="12" t="str">
        <x:v>未提供</x:v>
      </x:c>
      <x:c r="V1160" s="12" t="str">
        <x:v>未提供</x:v>
      </x:c>
      <x:c r="W1160" s="12" t="str">
        <x:v>秒级预测</x:v>
      </x:c>
      <x:c r="X1160" s="12" t="str">
        <x:v>基于路线秒级参数；如录入实测或手动采用秒，预计到达时间可随公式更新</x:v>
      </x:c>
    </x:row>
    <x:row r="1161">
      <x:c r="A1161" s="12" t="str">
        <x:v>S0099-06</x:v>
      </x:c>
      <x:c r="B1161" s="12" t="str">
        <x:v>S0099</x:v>
      </x:c>
      <x:c r="C1161" s="12" t="str">
        <x:v>工作日</x:v>
      </x:c>
      <x:c r="D1161" s="12" t="str">
        <x:v>环线2路</x:v>
      </x:c>
      <x:c r="E1161" s="12" t="str">
        <x:v>第二班</x:v>
      </x:c>
      <x:c r="F1161" s="12" t="n">
        <x:v>10</x:v>
      </x:c>
      <x:c r="G1161" s="12" t="str">
        <x:v>18:10</x:v>
      </x:c>
      <x:c r="H1161" s="12" t="n">
        <x:v>1090</x:v>
      </x:c>
      <x:c r="I1161" s="12" t="str">
        <x:v>研究生宿舍楼</x:v>
      </x:c>
      <x:c r="J1161" s="12" t="str">
        <x:v>研究生宿舍楼发车</x:v>
      </x:c>
      <x:c r="K1161" s="12" t="str">
        <x:v>HX2_NORMAL</x:v>
      </x:c>
      <x:c r="L1161" s="12" t="n">
        <x:v>6</x:v>
      </x:c>
      <x:c r="M1161" s="12" t="str">
        <x:v>HX2_NORMAL|6</x:v>
      </x:c>
      <x:c r="N1161" s="12" t="str">
        <x:v>军体活动中心</x:v>
      </x:c>
      <x:c r="O1161" s="12" t="n">
        <x:f>IFERROR(INDEX('秒级路线参数_可调整'!$O:$O,MATCH(M1161,'秒级路线参数_可调整'!$A:$A,0)),"")</x:f>
        <x:v>315</x:v>
      </x:c>
      <x:c r="P1161" s="12" t="n">
        <x:f>IF(O1161="","",O1161/86400)</x:f>
        <x:v>0.0036458333333333334</x:v>
      </x:c>
      <x:c r="Q1161" s="12" t="n">
        <x:f>IF(O1161="","",(H1161*60+O1161)/86400)</x:f>
        <x:v>0.7605902777777778</x:v>
      </x:c>
      <x:c r="R1161" s="12" t="str">
        <x:f>IF(Q1161="","",TEXT(Q1161,"hh:mm:ss"))</x:f>
        <x:v>18:15:15</x:v>
      </x:c>
      <x:c r="S1161" s="12" t="str">
        <x:v>否</x:v>
      </x:c>
      <x:c r="T1161" s="12" t="str">
        <x:v>否</x:v>
      </x:c>
      <x:c r="U1161" s="12" t="str">
        <x:v>未提供</x:v>
      </x:c>
      <x:c r="V1161" s="12" t="str">
        <x:v>未提供</x:v>
      </x:c>
      <x:c r="W1161" s="12" t="str">
        <x:v>秒级预测</x:v>
      </x:c>
      <x:c r="X1161" s="12" t="str">
        <x:v>基于路线秒级参数；如录入实测或手动采用秒，预计到达时间可随公式更新</x:v>
      </x:c>
    </x:row>
    <x:row r="1162">
      <x:c r="A1162" s="12" t="str">
        <x:v>S0099-07</x:v>
      </x:c>
      <x:c r="B1162" s="12" t="str">
        <x:v>S0099</x:v>
      </x:c>
      <x:c r="C1162" s="12" t="str">
        <x:v>工作日</x:v>
      </x:c>
      <x:c r="D1162" s="12" t="str">
        <x:v>环线2路</x:v>
      </x:c>
      <x:c r="E1162" s="12" t="str">
        <x:v>第二班</x:v>
      </x:c>
      <x:c r="F1162" s="12" t="n">
        <x:v>10</x:v>
      </x:c>
      <x:c r="G1162" s="12" t="str">
        <x:v>18:10</x:v>
      </x:c>
      <x:c r="H1162" s="12" t="n">
        <x:v>1090</x:v>
      </x:c>
      <x:c r="I1162" s="12" t="str">
        <x:v>研究生宿舍楼</x:v>
      </x:c>
      <x:c r="J1162" s="12" t="str">
        <x:v>研究生宿舍楼发车</x:v>
      </x:c>
      <x:c r="K1162" s="12" t="str">
        <x:v>HX2_NORMAL</x:v>
      </x:c>
      <x:c r="L1162" s="12" t="n">
        <x:v>7</x:v>
      </x:c>
      <x:c r="M1162" s="12" t="str">
        <x:v>HX2_NORMAL|7</x:v>
      </x:c>
      <x:c r="N1162" s="12" t="str">
        <x:v>二食堂</x:v>
      </x:c>
      <x:c r="O1162" s="12" t="n">
        <x:f>IFERROR(INDEX('秒级路线参数_可调整'!$O:$O,MATCH(M1162,'秒级路线参数_可调整'!$A:$A,0)),"")</x:f>
        <x:v>420</x:v>
      </x:c>
      <x:c r="P1162" s="12" t="n">
        <x:f>IF(O1162="","",O1162/86400)</x:f>
        <x:v>0.004861111111111111</x:v>
      </x:c>
      <x:c r="Q1162" s="12" t="n">
        <x:f>IF(O1162="","",(H1162*60+O1162)/86400)</x:f>
        <x:v>0.7618055555555555</x:v>
      </x:c>
      <x:c r="R1162" s="12" t="str">
        <x:f>IF(Q1162="","",TEXT(Q1162,"hh:mm:ss"))</x:f>
        <x:v>18:17:00</x:v>
      </x:c>
      <x:c r="S1162" s="12" t="str">
        <x:v>否</x:v>
      </x:c>
      <x:c r="T1162" s="12" t="str">
        <x:v>否</x:v>
      </x:c>
      <x:c r="U1162" s="12" t="str">
        <x:v>未提供</x:v>
      </x:c>
      <x:c r="V1162" s="12" t="str">
        <x:v>未提供</x:v>
      </x:c>
      <x:c r="W1162" s="12" t="str">
        <x:v>秒级预测</x:v>
      </x:c>
      <x:c r="X1162" s="12" t="str">
        <x:v>基于路线秒级参数；如录入实测或手动采用秒，预计到达时间可随公式更新</x:v>
      </x:c>
    </x:row>
    <x:row r="1163">
      <x:c r="A1163" s="12" t="str">
        <x:v>S0099-08</x:v>
      </x:c>
      <x:c r="B1163" s="12" t="str">
        <x:v>S0099</x:v>
      </x:c>
      <x:c r="C1163" s="12" t="str">
        <x:v>工作日</x:v>
      </x:c>
      <x:c r="D1163" s="12" t="str">
        <x:v>环线2路</x:v>
      </x:c>
      <x:c r="E1163" s="12" t="str">
        <x:v>第二班</x:v>
      </x:c>
      <x:c r="F1163" s="12" t="n">
        <x:v>10</x:v>
      </x:c>
      <x:c r="G1163" s="12" t="str">
        <x:v>18:10</x:v>
      </x:c>
      <x:c r="H1163" s="12" t="n">
        <x:v>1090</x:v>
      </x:c>
      <x:c r="I1163" s="12" t="str">
        <x:v>研究生宿舍楼</x:v>
      </x:c>
      <x:c r="J1163" s="12" t="str">
        <x:v>研究生宿舍楼发车</x:v>
      </x:c>
      <x:c r="K1163" s="12" t="str">
        <x:v>HX2_NORMAL</x:v>
      </x:c>
      <x:c r="L1163" s="12" t="n">
        <x:v>8</x:v>
      </x:c>
      <x:c r="M1163" s="12" t="str">
        <x:v>HX2_NORMAL|8</x:v>
      </x:c>
      <x:c r="N1163" s="12" t="str">
        <x:v>5号宿舍楼</x:v>
      </x:c>
      <x:c r="O1163" s="12" t="n">
        <x:f>IFERROR(INDEX('秒级路线参数_可调整'!$O:$O,MATCH(M1163,'秒级路线参数_可调整'!$A:$A,0)),"")</x:f>
        <x:v>480</x:v>
      </x:c>
      <x:c r="P1163" s="12" t="n">
        <x:f>IF(O1163="","",O1163/86400)</x:f>
        <x:v>0.005555555555555556</x:v>
      </x:c>
      <x:c r="Q1163" s="12" t="n">
        <x:f>IF(O1163="","",(H1163*60+O1163)/86400)</x:f>
        <x:v>0.7625</x:v>
      </x:c>
      <x:c r="R1163" s="12" t="str">
        <x:f>IF(Q1163="","",TEXT(Q1163,"hh:mm:ss"))</x:f>
        <x:v>18:18:00</x:v>
      </x:c>
      <x:c r="S1163" s="12" t="str">
        <x:v>否</x:v>
      </x:c>
      <x:c r="T1163" s="12" t="str">
        <x:v>否</x:v>
      </x:c>
      <x:c r="U1163" s="12" t="str">
        <x:v>未提供</x:v>
      </x:c>
      <x:c r="V1163" s="12" t="str">
        <x:v>未提供</x:v>
      </x:c>
      <x:c r="W1163" s="12" t="str">
        <x:v>秒级预测</x:v>
      </x:c>
      <x:c r="X1163" s="12" t="str">
        <x:v>基于路线秒级参数；如录入实测或手动采用秒，预计到达时间可随公式更新</x:v>
      </x:c>
    </x:row>
    <x:row r="1164">
      <x:c r="A1164" s="12" t="str">
        <x:v>S0099-09</x:v>
      </x:c>
      <x:c r="B1164" s="12" t="str">
        <x:v>S0099</x:v>
      </x:c>
      <x:c r="C1164" s="12" t="str">
        <x:v>工作日</x:v>
      </x:c>
      <x:c r="D1164" s="12" t="str">
        <x:v>环线2路</x:v>
      </x:c>
      <x:c r="E1164" s="12" t="str">
        <x:v>第二班</x:v>
      </x:c>
      <x:c r="F1164" s="12" t="n">
        <x:v>10</x:v>
      </x:c>
      <x:c r="G1164" s="12" t="str">
        <x:v>18:10</x:v>
      </x:c>
      <x:c r="H1164" s="12" t="n">
        <x:v>1090</x:v>
      </x:c>
      <x:c r="I1164" s="12" t="str">
        <x:v>研究生宿舍楼</x:v>
      </x:c>
      <x:c r="J1164" s="12" t="str">
        <x:v>研究生宿舍楼发车</x:v>
      </x:c>
      <x:c r="K1164" s="12" t="str">
        <x:v>HX2_NORMAL</x:v>
      </x:c>
      <x:c r="L1164" s="12" t="n">
        <x:v>9</x:v>
      </x:c>
      <x:c r="M1164" s="12" t="str">
        <x:v>HX2_NORMAL|9</x:v>
      </x:c>
      <x:c r="N1164" s="12" t="str">
        <x:v>305教学楼</x:v>
      </x:c>
      <x:c r="O1164" s="12" t="n">
        <x:f>IFERROR(INDEX('秒级路线参数_可调整'!$O:$O,MATCH(M1164,'秒级路线参数_可调整'!$A:$A,0)),"")</x:f>
        <x:v>535</x:v>
      </x:c>
      <x:c r="P1164" s="12" t="n">
        <x:f>IF(O1164="","",O1164/86400)</x:f>
        <x:v>0.00619212962962963</x:v>
      </x:c>
      <x:c r="Q1164" s="12" t="n">
        <x:f>IF(O1164="","",(H1164*60+O1164)/86400)</x:f>
        <x:v>0.7631365740740741</x:v>
      </x:c>
      <x:c r="R1164" s="12" t="str">
        <x:f>IF(Q1164="","",TEXT(Q1164,"hh:mm:ss"))</x:f>
        <x:v>18:18:55</x:v>
      </x:c>
      <x:c r="S1164" s="12" t="str">
        <x:v>否</x:v>
      </x:c>
      <x:c r="T1164" s="12" t="str">
        <x:v>否</x:v>
      </x:c>
      <x:c r="U1164" s="12" t="str">
        <x:v>未提供</x:v>
      </x:c>
      <x:c r="V1164" s="12" t="str">
        <x:v>未提供</x:v>
      </x:c>
      <x:c r="W1164" s="12" t="str">
        <x:v>秒级预测</x:v>
      </x:c>
      <x:c r="X1164" s="12" t="str">
        <x:v>基于路线秒级参数；如录入实测或手动采用秒，预计到达时间可随公式更新</x:v>
      </x:c>
    </x:row>
    <x:row r="1165">
      <x:c r="A1165" s="12" t="str">
        <x:v>S0099-10</x:v>
      </x:c>
      <x:c r="B1165" s="12" t="str">
        <x:v>S0099</x:v>
      </x:c>
      <x:c r="C1165" s="12" t="str">
        <x:v>工作日</x:v>
      </x:c>
      <x:c r="D1165" s="12" t="str">
        <x:v>环线2路</x:v>
      </x:c>
      <x:c r="E1165" s="12" t="str">
        <x:v>第二班</x:v>
      </x:c>
      <x:c r="F1165" s="12" t="n">
        <x:v>10</x:v>
      </x:c>
      <x:c r="G1165" s="12" t="str">
        <x:v>18:10</x:v>
      </x:c>
      <x:c r="H1165" s="12" t="n">
        <x:v>1090</x:v>
      </x:c>
      <x:c r="I1165" s="12" t="str">
        <x:v>研究生宿舍楼</x:v>
      </x:c>
      <x:c r="J1165" s="12" t="str">
        <x:v>研究生宿舍楼发车</x:v>
      </x:c>
      <x:c r="K1165" s="12" t="str">
        <x:v>HX2_NORMAL</x:v>
      </x:c>
      <x:c r="L1165" s="12" t="n">
        <x:v>10</x:v>
      </x:c>
      <x:c r="M1165" s="12" t="str">
        <x:v>HX2_NORMAL|10</x:v>
      </x:c>
      <x:c r="N1165" s="12" t="str">
        <x:v>研究生宿舍楼</x:v>
      </x:c>
      <x:c r="O1165" s="12" t="n">
        <x:f>IFERROR(INDEX('秒级路线参数_可调整'!$O:$O,MATCH(M1165,'秒级路线参数_可调整'!$A:$A,0)),"")</x:f>
        <x:v>715</x:v>
      </x:c>
      <x:c r="P1165" s="12" t="n">
        <x:f>IF(O1165="","",O1165/86400)</x:f>
        <x:v>0.008275462962962964</x:v>
      </x:c>
      <x:c r="Q1165" s="12" t="n">
        <x:f>IF(O1165="","",(H1165*60+O1165)/86400)</x:f>
        <x:v>0.7652199074074074</x:v>
      </x:c>
      <x:c r="R1165" s="12" t="str">
        <x:f>IF(Q1165="","",TEXT(Q1165,"hh:mm:ss"))</x:f>
        <x:v>18:21:55</x:v>
      </x:c>
      <x:c r="S1165" s="12" t="str">
        <x:v>否</x:v>
      </x:c>
      <x:c r="T1165" s="12" t="str">
        <x:v>是</x:v>
      </x:c>
      <x:c r="U1165" s="12" t="str">
        <x:v>未提供</x:v>
      </x:c>
      <x:c r="V1165" s="12" t="str">
        <x:v>未提供</x:v>
      </x:c>
      <x:c r="W1165" s="12" t="str">
        <x:v>秒级预测</x:v>
      </x:c>
      <x:c r="X1165" s="12" t="str">
        <x:v>基于路线秒级参数；如录入实测或手动采用秒，预计到达时间可随公式更新</x:v>
      </x:c>
    </x:row>
    <x:row r="1166">
      <x:c r="A1166" s="12" t="str">
        <x:v>S0100-01</x:v>
      </x:c>
      <x:c r="B1166" s="12" t="str">
        <x:v>S0100</x:v>
      </x:c>
      <x:c r="C1166" s="12" t="str">
        <x:v>工作日</x:v>
      </x:c>
      <x:c r="D1166" s="12" t="str">
        <x:v>环线2路</x:v>
      </x:c>
      <x:c r="E1166" s="12" t="str">
        <x:v>第二班</x:v>
      </x:c>
      <x:c r="F1166" s="12" t="n">
        <x:v>11</x:v>
      </x:c>
      <x:c r="G1166" s="12" t="str">
        <x:v>18:25</x:v>
      </x:c>
      <x:c r="H1166" s="12" t="n">
        <x:v>1105</x:v>
      </x:c>
      <x:c r="I1166" s="12" t="str">
        <x:v>研究生宿舍楼</x:v>
      </x:c>
      <x:c r="J1166" s="12" t="str">
        <x:v>研究生宿舍楼发车</x:v>
      </x:c>
      <x:c r="K1166" s="12" t="str">
        <x:v>HX2_NORMAL</x:v>
      </x:c>
      <x:c r="L1166" s="12" t="n">
        <x:v>1</x:v>
      </x:c>
      <x:c r="M1166" s="12" t="str">
        <x:v>HX2_NORMAL|1</x:v>
      </x:c>
      <x:c r="N1166" s="12" t="str">
        <x:v>研究生宿舍楼</x:v>
      </x:c>
      <x:c r="O1166" s="12" t="n">
        <x:f>IFERROR(INDEX('秒级路线参数_可调整'!$O:$O,MATCH(M1166,'秒级路线参数_可调整'!$A:$A,0)),"")</x:f>
        <x:v>0</x:v>
      </x:c>
      <x:c r="P1166" s="12" t="str">
        <x:f>IF(O1166="","",O1166/86400)</x:f>
      </x:c>
      <x:c r="Q1166" s="12" t="str">
        <x:f>IF(O1166="","",(H1166*60+O1166)/86400)</x:f>
      </x:c>
      <x:c r="R1166" s="12" t="str">
        <x:f>IF(Q1166="","",TEXT(Q1166,"hh:mm:ss"))</x:f>
      </x:c>
      <x:c r="S1166" s="12" t="str">
        <x:v>是</x:v>
      </x:c>
      <x:c r="T1166" s="12" t="str">
        <x:v>否</x:v>
      </x:c>
      <x:c r="U1166" s="12" t="str">
        <x:v>未提供</x:v>
      </x:c>
      <x:c r="V1166" s="12" t="str">
        <x:v>未提供</x:v>
      </x:c>
      <x:c r="W1166" s="12" t="str">
        <x:v>秒级预测</x:v>
      </x:c>
      <x:c r="X1166" s="12" t="str">
        <x:v>基于路线秒级参数；如录入实测或手动采用秒，预计到达时间可随公式更新</x:v>
      </x:c>
    </x:row>
    <x:row r="1167">
      <x:c r="A1167" s="12" t="str">
        <x:v>S0100-02</x:v>
      </x:c>
      <x:c r="B1167" s="12" t="str">
        <x:v>S0100</x:v>
      </x:c>
      <x:c r="C1167" s="12" t="str">
        <x:v>工作日</x:v>
      </x:c>
      <x:c r="D1167" s="12" t="str">
        <x:v>环线2路</x:v>
      </x:c>
      <x:c r="E1167" s="12" t="str">
        <x:v>第二班</x:v>
      </x:c>
      <x:c r="F1167" s="12" t="n">
        <x:v>11</x:v>
      </x:c>
      <x:c r="G1167" s="12" t="str">
        <x:v>18:25</x:v>
      </x:c>
      <x:c r="H1167" s="12" t="n">
        <x:v>1105</x:v>
      </x:c>
      <x:c r="I1167" s="12" t="str">
        <x:v>研究生宿舍楼</x:v>
      </x:c>
      <x:c r="J1167" s="12" t="str">
        <x:v>研究生宿舍楼发车</x:v>
      </x:c>
      <x:c r="K1167" s="12" t="str">
        <x:v>HX2_NORMAL</x:v>
      </x:c>
      <x:c r="L1167" s="12" t="n">
        <x:v>2</x:v>
      </x:c>
      <x:c r="M1167" s="12" t="str">
        <x:v>HX2_NORMAL|2</x:v>
      </x:c>
      <x:c r="N1167" s="12" t="str">
        <x:v>一食堂</x:v>
      </x:c>
      <x:c r="O1167" s="12" t="n">
        <x:f>IFERROR(INDEX('秒级路线参数_可调整'!$O:$O,MATCH(M1167,'秒级路线参数_可调整'!$A:$A,0)),"")</x:f>
        <x:v>65</x:v>
      </x:c>
      <x:c r="P1167" s="12" t="n">
        <x:f>IF(O1167="","",O1167/86400)</x:f>
        <x:v>0.0007523148148148148</x:v>
      </x:c>
      <x:c r="Q1167" s="12" t="n">
        <x:f>IF(O1167="","",(H1167*60+O1167)/86400)</x:f>
        <x:v>0.7681134259259259</x:v>
      </x:c>
      <x:c r="R1167" s="12" t="str">
        <x:f>IF(Q1167="","",TEXT(Q1167,"hh:mm:ss"))</x:f>
        <x:v>18:26:05</x:v>
      </x:c>
      <x:c r="S1167" s="12" t="str">
        <x:v>否</x:v>
      </x:c>
      <x:c r="T1167" s="12" t="str">
        <x:v>否</x:v>
      </x:c>
      <x:c r="U1167" s="12" t="str">
        <x:v>未提供</x:v>
      </x:c>
      <x:c r="V1167" s="12" t="str">
        <x:v>未提供</x:v>
      </x:c>
      <x:c r="W1167" s="12" t="str">
        <x:v>秒级预测</x:v>
      </x:c>
      <x:c r="X1167" s="12" t="str">
        <x:v>基于路线秒级参数；如录入实测或手动采用秒，预计到达时间可随公式更新</x:v>
      </x:c>
    </x:row>
    <x:row r="1168">
      <x:c r="A1168" s="12" t="str">
        <x:v>S0100-03</x:v>
      </x:c>
      <x:c r="B1168" s="12" t="str">
        <x:v>S0100</x:v>
      </x:c>
      <x:c r="C1168" s="12" t="str">
        <x:v>工作日</x:v>
      </x:c>
      <x:c r="D1168" s="12" t="str">
        <x:v>环线2路</x:v>
      </x:c>
      <x:c r="E1168" s="12" t="str">
        <x:v>第二班</x:v>
      </x:c>
      <x:c r="F1168" s="12" t="n">
        <x:v>11</x:v>
      </x:c>
      <x:c r="G1168" s="12" t="str">
        <x:v>18:25</x:v>
      </x:c>
      <x:c r="H1168" s="12" t="n">
        <x:v>1105</x:v>
      </x:c>
      <x:c r="I1168" s="12" t="str">
        <x:v>研究生宿舍楼</x:v>
      </x:c>
      <x:c r="J1168" s="12" t="str">
        <x:v>研究生宿舍楼发车</x:v>
      </x:c>
      <x:c r="K1168" s="12" t="str">
        <x:v>HX2_NORMAL</x:v>
      </x:c>
      <x:c r="L1168" s="12" t="n">
        <x:v>3</x:v>
      </x:c>
      <x:c r="M1168" s="12" t="str">
        <x:v>HX2_NORMAL|3</x:v>
      </x:c>
      <x:c r="N1168" s="12" t="str">
        <x:v>门诊部</x:v>
      </x:c>
      <x:c r="O1168" s="12" t="n">
        <x:f>IFERROR(INDEX('秒级路线参数_可调整'!$O:$O,MATCH(M1168,'秒级路线参数_可调整'!$A:$A,0)),"")</x:f>
        <x:v>120</x:v>
      </x:c>
      <x:c r="P1168" s="12" t="n">
        <x:f>IF(O1168="","",O1168/86400)</x:f>
        <x:v>0.001388888888888889</x:v>
      </x:c>
      <x:c r="Q1168" s="12" t="n">
        <x:f>IF(O1168="","",(H1168*60+O1168)/86400)</x:f>
        <x:v>0.76875</x:v>
      </x:c>
      <x:c r="R1168" s="12" t="str">
        <x:f>IF(Q1168="","",TEXT(Q1168,"hh:mm:ss"))</x:f>
        <x:v>18:27:00</x:v>
      </x:c>
      <x:c r="S1168" s="12" t="str">
        <x:v>否</x:v>
      </x:c>
      <x:c r="T1168" s="12" t="str">
        <x:v>否</x:v>
      </x:c>
      <x:c r="U1168" s="12" t="str">
        <x:v>未提供</x:v>
      </x:c>
      <x:c r="V1168" s="12" t="str">
        <x:v>未提供</x:v>
      </x:c>
      <x:c r="W1168" s="12" t="str">
        <x:v>秒级预测</x:v>
      </x:c>
      <x:c r="X1168" s="12" t="str">
        <x:v>基于路线秒级参数；如录入实测或手动采用秒，预计到达时间可随公式更新</x:v>
      </x:c>
    </x:row>
    <x:row r="1169">
      <x:c r="A1169" s="12" t="str">
        <x:v>S0100-04</x:v>
      </x:c>
      <x:c r="B1169" s="12" t="str">
        <x:v>S0100</x:v>
      </x:c>
      <x:c r="C1169" s="12" t="str">
        <x:v>工作日</x:v>
      </x:c>
      <x:c r="D1169" s="12" t="str">
        <x:v>环线2路</x:v>
      </x:c>
      <x:c r="E1169" s="12" t="str">
        <x:v>第二班</x:v>
      </x:c>
      <x:c r="F1169" s="12" t="n">
        <x:v>11</x:v>
      </x:c>
      <x:c r="G1169" s="12" t="str">
        <x:v>18:25</x:v>
      </x:c>
      <x:c r="H1169" s="12" t="n">
        <x:v>1105</x:v>
      </x:c>
      <x:c r="I1169" s="12" t="str">
        <x:v>研究生宿舍楼</x:v>
      </x:c>
      <x:c r="J1169" s="12" t="str">
        <x:v>研究生宿舍楼发车</x:v>
      </x:c>
      <x:c r="K1169" s="12" t="str">
        <x:v>HX2_NORMAL</x:v>
      </x:c>
      <x:c r="L1169" s="12" t="n">
        <x:v>4</x:v>
      </x:c>
      <x:c r="M1169" s="12" t="str">
        <x:v>HX2_NORMAL|4</x:v>
      </x:c>
      <x:c r="N1169" s="12" t="str">
        <x:v>1号宿舍楼</x:v>
      </x:c>
      <x:c r="O1169" s="12" t="n">
        <x:f>IFERROR(INDEX('秒级路线参数_可调整'!$O:$O,MATCH(M1169,'秒级路线参数_可调整'!$A:$A,0)),"")</x:f>
        <x:v>165</x:v>
      </x:c>
      <x:c r="P1169" s="12" t="n">
        <x:f>IF(O1169="","",O1169/86400)</x:f>
        <x:v>0.0019097222222222222</x:v>
      </x:c>
      <x:c r="Q1169" s="12" t="n">
        <x:f>IF(O1169="","",(H1169*60+O1169)/86400)</x:f>
        <x:v>0.7692708333333333</x:v>
      </x:c>
      <x:c r="R1169" s="12" t="str">
        <x:f>IF(Q1169="","",TEXT(Q1169,"hh:mm:ss"))</x:f>
        <x:v>18:27:45</x:v>
      </x:c>
      <x:c r="S1169" s="12" t="str">
        <x:v>否</x:v>
      </x:c>
      <x:c r="T1169" s="12" t="str">
        <x:v>否</x:v>
      </x:c>
      <x:c r="U1169" s="12" t="str">
        <x:v>未提供</x:v>
      </x:c>
      <x:c r="V1169" s="12" t="str">
        <x:v>未提供</x:v>
      </x:c>
      <x:c r="W1169" s="12" t="str">
        <x:v>秒级预测</x:v>
      </x:c>
      <x:c r="X1169" s="12" t="str">
        <x:v>基于路线秒级参数；如录入实测或手动采用秒，预计到达时间可随公式更新</x:v>
      </x:c>
    </x:row>
    <x:row r="1170">
      <x:c r="A1170" s="12" t="str">
        <x:v>S0100-05</x:v>
      </x:c>
      <x:c r="B1170" s="12" t="str">
        <x:v>S0100</x:v>
      </x:c>
      <x:c r="C1170" s="12" t="str">
        <x:v>工作日</x:v>
      </x:c>
      <x:c r="D1170" s="12" t="str">
        <x:v>环线2路</x:v>
      </x:c>
      <x:c r="E1170" s="12" t="str">
        <x:v>第二班</x:v>
      </x:c>
      <x:c r="F1170" s="12" t="n">
        <x:v>11</x:v>
      </x:c>
      <x:c r="G1170" s="12" t="str">
        <x:v>18:25</x:v>
      </x:c>
      <x:c r="H1170" s="12" t="n">
        <x:v>1105</x:v>
      </x:c>
      <x:c r="I1170" s="12" t="str">
        <x:v>研究生宿舍楼</x:v>
      </x:c>
      <x:c r="J1170" s="12" t="str">
        <x:v>研究生宿舍楼发车</x:v>
      </x:c>
      <x:c r="K1170" s="12" t="str">
        <x:v>HX2_NORMAL</x:v>
      </x:c>
      <x:c r="L1170" s="12" t="n">
        <x:v>5</x:v>
      </x:c>
      <x:c r="M1170" s="12" t="str">
        <x:v>HX2_NORMAL|5</x:v>
      </x:c>
      <x:c r="N1170" s="12" t="str">
        <x:v>水上训练中心</x:v>
      </x:c>
      <x:c r="O1170" s="12" t="n">
        <x:f>IFERROR(INDEX('秒级路线参数_可调整'!$O:$O,MATCH(M1170,'秒级路线参数_可调整'!$A:$A,0)),"")</x:f>
        <x:v>250</x:v>
      </x:c>
      <x:c r="P1170" s="12" t="n">
        <x:f>IF(O1170="","",O1170/86400)</x:f>
        <x:v>0.0028935185185185184</x:v>
      </x:c>
      <x:c r="Q1170" s="12" t="n">
        <x:f>IF(O1170="","",(H1170*60+O1170)/86400)</x:f>
        <x:v>0.7702546296296297</x:v>
      </x:c>
      <x:c r="R1170" s="12" t="str">
        <x:f>IF(Q1170="","",TEXT(Q1170,"hh:mm:ss"))</x:f>
        <x:v>18:29:10</x:v>
      </x:c>
      <x:c r="S1170" s="12" t="str">
        <x:v>否</x:v>
      </x:c>
      <x:c r="T1170" s="12" t="str">
        <x:v>否</x:v>
      </x:c>
      <x:c r="U1170" s="12" t="str">
        <x:v>未提供</x:v>
      </x:c>
      <x:c r="V1170" s="12" t="str">
        <x:v>未提供</x:v>
      </x:c>
      <x:c r="W1170" s="12" t="str">
        <x:v>秒级预测</x:v>
      </x:c>
      <x:c r="X1170" s="12" t="str">
        <x:v>基于路线秒级参数；如录入实测或手动采用秒，预计到达时间可随公式更新</x:v>
      </x:c>
    </x:row>
    <x:row r="1171">
      <x:c r="A1171" s="12" t="str">
        <x:v>S0100-06</x:v>
      </x:c>
      <x:c r="B1171" s="12" t="str">
        <x:v>S0100</x:v>
      </x:c>
      <x:c r="C1171" s="12" t="str">
        <x:v>工作日</x:v>
      </x:c>
      <x:c r="D1171" s="12" t="str">
        <x:v>环线2路</x:v>
      </x:c>
      <x:c r="E1171" s="12" t="str">
        <x:v>第二班</x:v>
      </x:c>
      <x:c r="F1171" s="12" t="n">
        <x:v>11</x:v>
      </x:c>
      <x:c r="G1171" s="12" t="str">
        <x:v>18:25</x:v>
      </x:c>
      <x:c r="H1171" s="12" t="n">
        <x:v>1105</x:v>
      </x:c>
      <x:c r="I1171" s="12" t="str">
        <x:v>研究生宿舍楼</x:v>
      </x:c>
      <x:c r="J1171" s="12" t="str">
        <x:v>研究生宿舍楼发车</x:v>
      </x:c>
      <x:c r="K1171" s="12" t="str">
        <x:v>HX2_NORMAL</x:v>
      </x:c>
      <x:c r="L1171" s="12" t="n">
        <x:v>6</x:v>
      </x:c>
      <x:c r="M1171" s="12" t="str">
        <x:v>HX2_NORMAL|6</x:v>
      </x:c>
      <x:c r="N1171" s="12" t="str">
        <x:v>军体活动中心</x:v>
      </x:c>
      <x:c r="O1171" s="12" t="n">
        <x:f>IFERROR(INDEX('秒级路线参数_可调整'!$O:$O,MATCH(M1171,'秒级路线参数_可调整'!$A:$A,0)),"")</x:f>
        <x:v>315</x:v>
      </x:c>
      <x:c r="P1171" s="12" t="n">
        <x:f>IF(O1171="","",O1171/86400)</x:f>
        <x:v>0.0036458333333333334</x:v>
      </x:c>
      <x:c r="Q1171" s="12" t="n">
        <x:f>IF(O1171="","",(H1171*60+O1171)/86400)</x:f>
        <x:v>0.7710069444444444</x:v>
      </x:c>
      <x:c r="R1171" s="12" t="str">
        <x:f>IF(Q1171="","",TEXT(Q1171,"hh:mm:ss"))</x:f>
        <x:v>18:30:15</x:v>
      </x:c>
      <x:c r="S1171" s="12" t="str">
        <x:v>否</x:v>
      </x:c>
      <x:c r="T1171" s="12" t="str">
        <x:v>否</x:v>
      </x:c>
      <x:c r="U1171" s="12" t="str">
        <x:v>未提供</x:v>
      </x:c>
      <x:c r="V1171" s="12" t="str">
        <x:v>未提供</x:v>
      </x:c>
      <x:c r="W1171" s="12" t="str">
        <x:v>秒级预测</x:v>
      </x:c>
      <x:c r="X1171" s="12" t="str">
        <x:v>基于路线秒级参数；如录入实测或手动采用秒，预计到达时间可随公式更新</x:v>
      </x:c>
    </x:row>
    <x:row r="1172">
      <x:c r="A1172" s="12" t="str">
        <x:v>S0100-07</x:v>
      </x:c>
      <x:c r="B1172" s="12" t="str">
        <x:v>S0100</x:v>
      </x:c>
      <x:c r="C1172" s="12" t="str">
        <x:v>工作日</x:v>
      </x:c>
      <x:c r="D1172" s="12" t="str">
        <x:v>环线2路</x:v>
      </x:c>
      <x:c r="E1172" s="12" t="str">
        <x:v>第二班</x:v>
      </x:c>
      <x:c r="F1172" s="12" t="n">
        <x:v>11</x:v>
      </x:c>
      <x:c r="G1172" s="12" t="str">
        <x:v>18:25</x:v>
      </x:c>
      <x:c r="H1172" s="12" t="n">
        <x:v>1105</x:v>
      </x:c>
      <x:c r="I1172" s="12" t="str">
        <x:v>研究生宿舍楼</x:v>
      </x:c>
      <x:c r="J1172" s="12" t="str">
        <x:v>研究生宿舍楼发车</x:v>
      </x:c>
      <x:c r="K1172" s="12" t="str">
        <x:v>HX2_NORMAL</x:v>
      </x:c>
      <x:c r="L1172" s="12" t="n">
        <x:v>7</x:v>
      </x:c>
      <x:c r="M1172" s="12" t="str">
        <x:v>HX2_NORMAL|7</x:v>
      </x:c>
      <x:c r="N1172" s="12" t="str">
        <x:v>二食堂</x:v>
      </x:c>
      <x:c r="O1172" s="12" t="n">
        <x:f>IFERROR(INDEX('秒级路线参数_可调整'!$O:$O,MATCH(M1172,'秒级路线参数_可调整'!$A:$A,0)),"")</x:f>
        <x:v>420</x:v>
      </x:c>
      <x:c r="P1172" s="12" t="n">
        <x:f>IF(O1172="","",O1172/86400)</x:f>
        <x:v>0.004861111111111111</x:v>
      </x:c>
      <x:c r="Q1172" s="12" t="n">
        <x:f>IF(O1172="","",(H1172*60+O1172)/86400)</x:f>
        <x:v>0.7722222222222223</x:v>
      </x:c>
      <x:c r="R1172" s="12" t="str">
        <x:f>IF(Q1172="","",TEXT(Q1172,"hh:mm:ss"))</x:f>
        <x:v>18:32:00</x:v>
      </x:c>
      <x:c r="S1172" s="12" t="str">
        <x:v>否</x:v>
      </x:c>
      <x:c r="T1172" s="12" t="str">
        <x:v>否</x:v>
      </x:c>
      <x:c r="U1172" s="12" t="str">
        <x:v>未提供</x:v>
      </x:c>
      <x:c r="V1172" s="12" t="str">
        <x:v>未提供</x:v>
      </x:c>
      <x:c r="W1172" s="12" t="str">
        <x:v>秒级预测</x:v>
      </x:c>
      <x:c r="X1172" s="12" t="str">
        <x:v>基于路线秒级参数；如录入实测或手动采用秒，预计到达时间可随公式更新</x:v>
      </x:c>
    </x:row>
    <x:row r="1173">
      <x:c r="A1173" s="12" t="str">
        <x:v>S0100-08</x:v>
      </x:c>
      <x:c r="B1173" s="12" t="str">
        <x:v>S0100</x:v>
      </x:c>
      <x:c r="C1173" s="12" t="str">
        <x:v>工作日</x:v>
      </x:c>
      <x:c r="D1173" s="12" t="str">
        <x:v>环线2路</x:v>
      </x:c>
      <x:c r="E1173" s="12" t="str">
        <x:v>第二班</x:v>
      </x:c>
      <x:c r="F1173" s="12" t="n">
        <x:v>11</x:v>
      </x:c>
      <x:c r="G1173" s="12" t="str">
        <x:v>18:25</x:v>
      </x:c>
      <x:c r="H1173" s="12" t="n">
        <x:v>1105</x:v>
      </x:c>
      <x:c r="I1173" s="12" t="str">
        <x:v>研究生宿舍楼</x:v>
      </x:c>
      <x:c r="J1173" s="12" t="str">
        <x:v>研究生宿舍楼发车</x:v>
      </x:c>
      <x:c r="K1173" s="12" t="str">
        <x:v>HX2_NORMAL</x:v>
      </x:c>
      <x:c r="L1173" s="12" t="n">
        <x:v>8</x:v>
      </x:c>
      <x:c r="M1173" s="12" t="str">
        <x:v>HX2_NORMAL|8</x:v>
      </x:c>
      <x:c r="N1173" s="12" t="str">
        <x:v>5号宿舍楼</x:v>
      </x:c>
      <x:c r="O1173" s="12" t="n">
        <x:f>IFERROR(INDEX('秒级路线参数_可调整'!$O:$O,MATCH(M1173,'秒级路线参数_可调整'!$A:$A,0)),"")</x:f>
        <x:v>480</x:v>
      </x:c>
      <x:c r="P1173" s="12" t="n">
        <x:f>IF(O1173="","",O1173/86400)</x:f>
        <x:v>0.005555555555555556</x:v>
      </x:c>
      <x:c r="Q1173" s="12" t="n">
        <x:f>IF(O1173="","",(H1173*60+O1173)/86400)</x:f>
        <x:v>0.7729166666666667</x:v>
      </x:c>
      <x:c r="R1173" s="12" t="str">
        <x:f>IF(Q1173="","",TEXT(Q1173,"hh:mm:ss"))</x:f>
        <x:v>18:33:00</x:v>
      </x:c>
      <x:c r="S1173" s="12" t="str">
        <x:v>否</x:v>
      </x:c>
      <x:c r="T1173" s="12" t="str">
        <x:v>否</x:v>
      </x:c>
      <x:c r="U1173" s="12" t="str">
        <x:v>未提供</x:v>
      </x:c>
      <x:c r="V1173" s="12" t="str">
        <x:v>未提供</x:v>
      </x:c>
      <x:c r="W1173" s="12" t="str">
        <x:v>秒级预测</x:v>
      </x:c>
      <x:c r="X1173" s="12" t="str">
        <x:v>基于路线秒级参数；如录入实测或手动采用秒，预计到达时间可随公式更新</x:v>
      </x:c>
    </x:row>
    <x:row r="1174">
      <x:c r="A1174" s="12" t="str">
        <x:v>S0100-09</x:v>
      </x:c>
      <x:c r="B1174" s="12" t="str">
        <x:v>S0100</x:v>
      </x:c>
      <x:c r="C1174" s="12" t="str">
        <x:v>工作日</x:v>
      </x:c>
      <x:c r="D1174" s="12" t="str">
        <x:v>环线2路</x:v>
      </x:c>
      <x:c r="E1174" s="12" t="str">
        <x:v>第二班</x:v>
      </x:c>
      <x:c r="F1174" s="12" t="n">
        <x:v>11</x:v>
      </x:c>
      <x:c r="G1174" s="12" t="str">
        <x:v>18:25</x:v>
      </x:c>
      <x:c r="H1174" s="12" t="n">
        <x:v>1105</x:v>
      </x:c>
      <x:c r="I1174" s="12" t="str">
        <x:v>研究生宿舍楼</x:v>
      </x:c>
      <x:c r="J1174" s="12" t="str">
        <x:v>研究生宿舍楼发车</x:v>
      </x:c>
      <x:c r="K1174" s="12" t="str">
        <x:v>HX2_NORMAL</x:v>
      </x:c>
      <x:c r="L1174" s="12" t="n">
        <x:v>9</x:v>
      </x:c>
      <x:c r="M1174" s="12" t="str">
        <x:v>HX2_NORMAL|9</x:v>
      </x:c>
      <x:c r="N1174" s="12" t="str">
        <x:v>305教学楼</x:v>
      </x:c>
      <x:c r="O1174" s="12" t="n">
        <x:f>IFERROR(INDEX('秒级路线参数_可调整'!$O:$O,MATCH(M1174,'秒级路线参数_可调整'!$A:$A,0)),"")</x:f>
        <x:v>535</x:v>
      </x:c>
      <x:c r="P1174" s="12" t="n">
        <x:f>IF(O1174="","",O1174/86400)</x:f>
        <x:v>0.00619212962962963</x:v>
      </x:c>
      <x:c r="Q1174" s="12" t="n">
        <x:f>IF(O1174="","",(H1174*60+O1174)/86400)</x:f>
        <x:v>0.7735532407407407</x:v>
      </x:c>
      <x:c r="R1174" s="12" t="str">
        <x:f>IF(Q1174="","",TEXT(Q1174,"hh:mm:ss"))</x:f>
        <x:v>18:33:55</x:v>
      </x:c>
      <x:c r="S1174" s="12" t="str">
        <x:v>否</x:v>
      </x:c>
      <x:c r="T1174" s="12" t="str">
        <x:v>否</x:v>
      </x:c>
      <x:c r="U1174" s="12" t="str">
        <x:v>未提供</x:v>
      </x:c>
      <x:c r="V1174" s="12" t="str">
        <x:v>未提供</x:v>
      </x:c>
      <x:c r="W1174" s="12" t="str">
        <x:v>秒级预测</x:v>
      </x:c>
      <x:c r="X1174" s="12" t="str">
        <x:v>基于路线秒级参数；如录入实测或手动采用秒，预计到达时间可随公式更新</x:v>
      </x:c>
    </x:row>
    <x:row r="1175">
      <x:c r="A1175" s="12" t="str">
        <x:v>S0100-10</x:v>
      </x:c>
      <x:c r="B1175" s="12" t="str">
        <x:v>S0100</x:v>
      </x:c>
      <x:c r="C1175" s="12" t="str">
        <x:v>工作日</x:v>
      </x:c>
      <x:c r="D1175" s="12" t="str">
        <x:v>环线2路</x:v>
      </x:c>
      <x:c r="E1175" s="12" t="str">
        <x:v>第二班</x:v>
      </x:c>
      <x:c r="F1175" s="12" t="n">
        <x:v>11</x:v>
      </x:c>
      <x:c r="G1175" s="12" t="str">
        <x:v>18:25</x:v>
      </x:c>
      <x:c r="H1175" s="12" t="n">
        <x:v>1105</x:v>
      </x:c>
      <x:c r="I1175" s="12" t="str">
        <x:v>研究生宿舍楼</x:v>
      </x:c>
      <x:c r="J1175" s="12" t="str">
        <x:v>研究生宿舍楼发车</x:v>
      </x:c>
      <x:c r="K1175" s="12" t="str">
        <x:v>HX2_NORMAL</x:v>
      </x:c>
      <x:c r="L1175" s="12" t="n">
        <x:v>10</x:v>
      </x:c>
      <x:c r="M1175" s="12" t="str">
        <x:v>HX2_NORMAL|10</x:v>
      </x:c>
      <x:c r="N1175" s="12" t="str">
        <x:v>研究生宿舍楼</x:v>
      </x:c>
      <x:c r="O1175" s="12" t="n">
        <x:f>IFERROR(INDEX('秒级路线参数_可调整'!$O:$O,MATCH(M1175,'秒级路线参数_可调整'!$A:$A,0)),"")</x:f>
        <x:v>715</x:v>
      </x:c>
      <x:c r="P1175" s="12" t="n">
        <x:f>IF(O1175="","",O1175/86400)</x:f>
        <x:v>0.008275462962962964</x:v>
      </x:c>
      <x:c r="Q1175" s="12" t="n">
        <x:f>IF(O1175="","",(H1175*60+O1175)/86400)</x:f>
        <x:v>0.775636574074074</x:v>
      </x:c>
      <x:c r="R1175" s="12" t="str">
        <x:f>IF(Q1175="","",TEXT(Q1175,"hh:mm:ss"))</x:f>
        <x:v>18:36:55</x:v>
      </x:c>
      <x:c r="S1175" s="12" t="str">
        <x:v>否</x:v>
      </x:c>
      <x:c r="T1175" s="12" t="str">
        <x:v>是</x:v>
      </x:c>
      <x:c r="U1175" s="12" t="str">
        <x:v>未提供</x:v>
      </x:c>
      <x:c r="V1175" s="12" t="str">
        <x:v>未提供</x:v>
      </x:c>
      <x:c r="W1175" s="12" t="str">
        <x:v>秒级预测</x:v>
      </x:c>
      <x:c r="X1175" s="12" t="str">
        <x:v>基于路线秒级参数；如录入实测或手动采用秒，预计到达时间可随公式更新</x:v>
      </x:c>
    </x:row>
    <x:row r="1176">
      <x:c r="A1176" s="12" t="str">
        <x:v>S0101-01</x:v>
      </x:c>
      <x:c r="B1176" s="12" t="str">
        <x:v>S0101</x:v>
      </x:c>
      <x:c r="C1176" s="12" t="str">
        <x:v>工作日</x:v>
      </x:c>
      <x:c r="D1176" s="12" t="str">
        <x:v>环线2路</x:v>
      </x:c>
      <x:c r="E1176" s="12" t="str">
        <x:v>第二班</x:v>
      </x:c>
      <x:c r="F1176" s="12" t="n">
        <x:v>12</x:v>
      </x:c>
      <x:c r="G1176" s="12" t="str">
        <x:v>18:45</x:v>
      </x:c>
      <x:c r="H1176" s="12" t="n">
        <x:v>1125</x:v>
      </x:c>
      <x:c r="I1176" s="12" t="str">
        <x:v>研究生宿舍楼</x:v>
      </x:c>
      <x:c r="J1176" s="12" t="str">
        <x:v>研究生宿舍楼发车</x:v>
      </x:c>
      <x:c r="K1176" s="12" t="str">
        <x:v>HX2_NORMAL</x:v>
      </x:c>
      <x:c r="L1176" s="12" t="n">
        <x:v>1</x:v>
      </x:c>
      <x:c r="M1176" s="12" t="str">
        <x:v>HX2_NORMAL|1</x:v>
      </x:c>
      <x:c r="N1176" s="12" t="str">
        <x:v>研究生宿舍楼</x:v>
      </x:c>
      <x:c r="O1176" s="12" t="n">
        <x:f>IFERROR(INDEX('秒级路线参数_可调整'!$O:$O,MATCH(M1176,'秒级路线参数_可调整'!$A:$A,0)),"")</x:f>
        <x:v>0</x:v>
      </x:c>
      <x:c r="P1176" s="12" t="str">
        <x:f>IF(O1176="","",O1176/86400)</x:f>
      </x:c>
      <x:c r="Q1176" s="12" t="str">
        <x:f>IF(O1176="","",(H1176*60+O1176)/86400)</x:f>
      </x:c>
      <x:c r="R1176" s="12" t="str">
        <x:f>IF(Q1176="","",TEXT(Q1176,"hh:mm:ss"))</x:f>
      </x:c>
      <x:c r="S1176" s="12" t="str">
        <x:v>是</x:v>
      </x:c>
      <x:c r="T1176" s="12" t="str">
        <x:v>否</x:v>
      </x:c>
      <x:c r="U1176" s="12" t="str">
        <x:v>未提供</x:v>
      </x:c>
      <x:c r="V1176" s="12" t="str">
        <x:v>未提供</x:v>
      </x:c>
      <x:c r="W1176" s="12" t="str">
        <x:v>秒级预测</x:v>
      </x:c>
      <x:c r="X1176" s="12" t="str">
        <x:v>基于路线秒级参数；如录入实测或手动采用秒，预计到达时间可随公式更新</x:v>
      </x:c>
    </x:row>
    <x:row r="1177">
      <x:c r="A1177" s="12" t="str">
        <x:v>S0101-02</x:v>
      </x:c>
      <x:c r="B1177" s="12" t="str">
        <x:v>S0101</x:v>
      </x:c>
      <x:c r="C1177" s="12" t="str">
        <x:v>工作日</x:v>
      </x:c>
      <x:c r="D1177" s="12" t="str">
        <x:v>环线2路</x:v>
      </x:c>
      <x:c r="E1177" s="12" t="str">
        <x:v>第二班</x:v>
      </x:c>
      <x:c r="F1177" s="12" t="n">
        <x:v>12</x:v>
      </x:c>
      <x:c r="G1177" s="12" t="str">
        <x:v>18:45</x:v>
      </x:c>
      <x:c r="H1177" s="12" t="n">
        <x:v>1125</x:v>
      </x:c>
      <x:c r="I1177" s="12" t="str">
        <x:v>研究生宿舍楼</x:v>
      </x:c>
      <x:c r="J1177" s="12" t="str">
        <x:v>研究生宿舍楼发车</x:v>
      </x:c>
      <x:c r="K1177" s="12" t="str">
        <x:v>HX2_NORMAL</x:v>
      </x:c>
      <x:c r="L1177" s="12" t="n">
        <x:v>2</x:v>
      </x:c>
      <x:c r="M1177" s="12" t="str">
        <x:v>HX2_NORMAL|2</x:v>
      </x:c>
      <x:c r="N1177" s="12" t="str">
        <x:v>一食堂</x:v>
      </x:c>
      <x:c r="O1177" s="12" t="n">
        <x:f>IFERROR(INDEX('秒级路线参数_可调整'!$O:$O,MATCH(M1177,'秒级路线参数_可调整'!$A:$A,0)),"")</x:f>
        <x:v>65</x:v>
      </x:c>
      <x:c r="P1177" s="12" t="n">
        <x:f>IF(O1177="","",O1177/86400)</x:f>
        <x:v>0.0007523148148148148</x:v>
      </x:c>
      <x:c r="Q1177" s="12" t="n">
        <x:f>IF(O1177="","",(H1177*60+O1177)/86400)</x:f>
        <x:v>0.7820023148148149</x:v>
      </x:c>
      <x:c r="R1177" s="12" t="str">
        <x:f>IF(Q1177="","",TEXT(Q1177,"hh:mm:ss"))</x:f>
        <x:v>18:46:05</x:v>
      </x:c>
      <x:c r="S1177" s="12" t="str">
        <x:v>否</x:v>
      </x:c>
      <x:c r="T1177" s="12" t="str">
        <x:v>否</x:v>
      </x:c>
      <x:c r="U1177" s="12" t="str">
        <x:v>未提供</x:v>
      </x:c>
      <x:c r="V1177" s="12" t="str">
        <x:v>未提供</x:v>
      </x:c>
      <x:c r="W1177" s="12" t="str">
        <x:v>秒级预测</x:v>
      </x:c>
      <x:c r="X1177" s="12" t="str">
        <x:v>基于路线秒级参数；如录入实测或手动采用秒，预计到达时间可随公式更新</x:v>
      </x:c>
    </x:row>
    <x:row r="1178">
      <x:c r="A1178" s="12" t="str">
        <x:v>S0101-03</x:v>
      </x:c>
      <x:c r="B1178" s="12" t="str">
        <x:v>S0101</x:v>
      </x:c>
      <x:c r="C1178" s="12" t="str">
        <x:v>工作日</x:v>
      </x:c>
      <x:c r="D1178" s="12" t="str">
        <x:v>环线2路</x:v>
      </x:c>
      <x:c r="E1178" s="12" t="str">
        <x:v>第二班</x:v>
      </x:c>
      <x:c r="F1178" s="12" t="n">
        <x:v>12</x:v>
      </x:c>
      <x:c r="G1178" s="12" t="str">
        <x:v>18:45</x:v>
      </x:c>
      <x:c r="H1178" s="12" t="n">
        <x:v>1125</x:v>
      </x:c>
      <x:c r="I1178" s="12" t="str">
        <x:v>研究生宿舍楼</x:v>
      </x:c>
      <x:c r="J1178" s="12" t="str">
        <x:v>研究生宿舍楼发车</x:v>
      </x:c>
      <x:c r="K1178" s="12" t="str">
        <x:v>HX2_NORMAL</x:v>
      </x:c>
      <x:c r="L1178" s="12" t="n">
        <x:v>3</x:v>
      </x:c>
      <x:c r="M1178" s="12" t="str">
        <x:v>HX2_NORMAL|3</x:v>
      </x:c>
      <x:c r="N1178" s="12" t="str">
        <x:v>门诊部</x:v>
      </x:c>
      <x:c r="O1178" s="12" t="n">
        <x:f>IFERROR(INDEX('秒级路线参数_可调整'!$O:$O,MATCH(M1178,'秒级路线参数_可调整'!$A:$A,0)),"")</x:f>
        <x:v>120</x:v>
      </x:c>
      <x:c r="P1178" s="12" t="n">
        <x:f>IF(O1178="","",O1178/86400)</x:f>
        <x:v>0.001388888888888889</x:v>
      </x:c>
      <x:c r="Q1178" s="12" t="n">
        <x:f>IF(O1178="","",(H1178*60+O1178)/86400)</x:f>
        <x:v>0.7826388888888889</x:v>
      </x:c>
      <x:c r="R1178" s="12" t="str">
        <x:f>IF(Q1178="","",TEXT(Q1178,"hh:mm:ss"))</x:f>
        <x:v>18:47:00</x:v>
      </x:c>
      <x:c r="S1178" s="12" t="str">
        <x:v>否</x:v>
      </x:c>
      <x:c r="T1178" s="12" t="str">
        <x:v>否</x:v>
      </x:c>
      <x:c r="U1178" s="12" t="str">
        <x:v>未提供</x:v>
      </x:c>
      <x:c r="V1178" s="12" t="str">
        <x:v>未提供</x:v>
      </x:c>
      <x:c r="W1178" s="12" t="str">
        <x:v>秒级预测</x:v>
      </x:c>
      <x:c r="X1178" s="12" t="str">
        <x:v>基于路线秒级参数；如录入实测或手动采用秒，预计到达时间可随公式更新</x:v>
      </x:c>
    </x:row>
    <x:row r="1179">
      <x:c r="A1179" s="12" t="str">
        <x:v>S0101-04</x:v>
      </x:c>
      <x:c r="B1179" s="12" t="str">
        <x:v>S0101</x:v>
      </x:c>
      <x:c r="C1179" s="12" t="str">
        <x:v>工作日</x:v>
      </x:c>
      <x:c r="D1179" s="12" t="str">
        <x:v>环线2路</x:v>
      </x:c>
      <x:c r="E1179" s="12" t="str">
        <x:v>第二班</x:v>
      </x:c>
      <x:c r="F1179" s="12" t="n">
        <x:v>12</x:v>
      </x:c>
      <x:c r="G1179" s="12" t="str">
        <x:v>18:45</x:v>
      </x:c>
      <x:c r="H1179" s="12" t="n">
        <x:v>1125</x:v>
      </x:c>
      <x:c r="I1179" s="12" t="str">
        <x:v>研究生宿舍楼</x:v>
      </x:c>
      <x:c r="J1179" s="12" t="str">
        <x:v>研究生宿舍楼发车</x:v>
      </x:c>
      <x:c r="K1179" s="12" t="str">
        <x:v>HX2_NORMAL</x:v>
      </x:c>
      <x:c r="L1179" s="12" t="n">
        <x:v>4</x:v>
      </x:c>
      <x:c r="M1179" s="12" t="str">
        <x:v>HX2_NORMAL|4</x:v>
      </x:c>
      <x:c r="N1179" s="12" t="str">
        <x:v>1号宿舍楼</x:v>
      </x:c>
      <x:c r="O1179" s="12" t="n">
        <x:f>IFERROR(INDEX('秒级路线参数_可调整'!$O:$O,MATCH(M1179,'秒级路线参数_可调整'!$A:$A,0)),"")</x:f>
        <x:v>165</x:v>
      </x:c>
      <x:c r="P1179" s="12" t="n">
        <x:f>IF(O1179="","",O1179/86400)</x:f>
        <x:v>0.0019097222222222222</x:v>
      </x:c>
      <x:c r="Q1179" s="12" t="n">
        <x:f>IF(O1179="","",(H1179*60+O1179)/86400)</x:f>
        <x:v>0.7831597222222222</x:v>
      </x:c>
      <x:c r="R1179" s="12" t="str">
        <x:f>IF(Q1179="","",TEXT(Q1179,"hh:mm:ss"))</x:f>
        <x:v>18:47:45</x:v>
      </x:c>
      <x:c r="S1179" s="12" t="str">
        <x:v>否</x:v>
      </x:c>
      <x:c r="T1179" s="12" t="str">
        <x:v>否</x:v>
      </x:c>
      <x:c r="U1179" s="12" t="str">
        <x:v>未提供</x:v>
      </x:c>
      <x:c r="V1179" s="12" t="str">
        <x:v>未提供</x:v>
      </x:c>
      <x:c r="W1179" s="12" t="str">
        <x:v>秒级预测</x:v>
      </x:c>
      <x:c r="X1179" s="12" t="str">
        <x:v>基于路线秒级参数；如录入实测或手动采用秒，预计到达时间可随公式更新</x:v>
      </x:c>
    </x:row>
    <x:row r="1180">
      <x:c r="A1180" s="12" t="str">
        <x:v>S0101-05</x:v>
      </x:c>
      <x:c r="B1180" s="12" t="str">
        <x:v>S0101</x:v>
      </x:c>
      <x:c r="C1180" s="12" t="str">
        <x:v>工作日</x:v>
      </x:c>
      <x:c r="D1180" s="12" t="str">
        <x:v>环线2路</x:v>
      </x:c>
      <x:c r="E1180" s="12" t="str">
        <x:v>第二班</x:v>
      </x:c>
      <x:c r="F1180" s="12" t="n">
        <x:v>12</x:v>
      </x:c>
      <x:c r="G1180" s="12" t="str">
        <x:v>18:45</x:v>
      </x:c>
      <x:c r="H1180" s="12" t="n">
        <x:v>1125</x:v>
      </x:c>
      <x:c r="I1180" s="12" t="str">
        <x:v>研究生宿舍楼</x:v>
      </x:c>
      <x:c r="J1180" s="12" t="str">
        <x:v>研究生宿舍楼发车</x:v>
      </x:c>
      <x:c r="K1180" s="12" t="str">
        <x:v>HX2_NORMAL</x:v>
      </x:c>
      <x:c r="L1180" s="12" t="n">
        <x:v>5</x:v>
      </x:c>
      <x:c r="M1180" s="12" t="str">
        <x:v>HX2_NORMAL|5</x:v>
      </x:c>
      <x:c r="N1180" s="12" t="str">
        <x:v>水上训练中心</x:v>
      </x:c>
      <x:c r="O1180" s="12" t="n">
        <x:f>IFERROR(INDEX('秒级路线参数_可调整'!$O:$O,MATCH(M1180,'秒级路线参数_可调整'!$A:$A,0)),"")</x:f>
        <x:v>250</x:v>
      </x:c>
      <x:c r="P1180" s="12" t="n">
        <x:f>IF(O1180="","",O1180/86400)</x:f>
        <x:v>0.0028935185185185184</x:v>
      </x:c>
      <x:c r="Q1180" s="12" t="n">
        <x:f>IF(O1180="","",(H1180*60+O1180)/86400)</x:f>
        <x:v>0.7841435185185185</x:v>
      </x:c>
      <x:c r="R1180" s="12" t="str">
        <x:f>IF(Q1180="","",TEXT(Q1180,"hh:mm:ss"))</x:f>
        <x:v>18:49:10</x:v>
      </x:c>
      <x:c r="S1180" s="12" t="str">
        <x:v>否</x:v>
      </x:c>
      <x:c r="T1180" s="12" t="str">
        <x:v>否</x:v>
      </x:c>
      <x:c r="U1180" s="12" t="str">
        <x:v>未提供</x:v>
      </x:c>
      <x:c r="V1180" s="12" t="str">
        <x:v>未提供</x:v>
      </x:c>
      <x:c r="W1180" s="12" t="str">
        <x:v>秒级预测</x:v>
      </x:c>
      <x:c r="X1180" s="12" t="str">
        <x:v>基于路线秒级参数；如录入实测或手动采用秒，预计到达时间可随公式更新</x:v>
      </x:c>
    </x:row>
    <x:row r="1181">
      <x:c r="A1181" s="12" t="str">
        <x:v>S0101-06</x:v>
      </x:c>
      <x:c r="B1181" s="12" t="str">
        <x:v>S0101</x:v>
      </x:c>
      <x:c r="C1181" s="12" t="str">
        <x:v>工作日</x:v>
      </x:c>
      <x:c r="D1181" s="12" t="str">
        <x:v>环线2路</x:v>
      </x:c>
      <x:c r="E1181" s="12" t="str">
        <x:v>第二班</x:v>
      </x:c>
      <x:c r="F1181" s="12" t="n">
        <x:v>12</x:v>
      </x:c>
      <x:c r="G1181" s="12" t="str">
        <x:v>18:45</x:v>
      </x:c>
      <x:c r="H1181" s="12" t="n">
        <x:v>1125</x:v>
      </x:c>
      <x:c r="I1181" s="12" t="str">
        <x:v>研究生宿舍楼</x:v>
      </x:c>
      <x:c r="J1181" s="12" t="str">
        <x:v>研究生宿舍楼发车</x:v>
      </x:c>
      <x:c r="K1181" s="12" t="str">
        <x:v>HX2_NORMAL</x:v>
      </x:c>
      <x:c r="L1181" s="12" t="n">
        <x:v>6</x:v>
      </x:c>
      <x:c r="M1181" s="12" t="str">
        <x:v>HX2_NORMAL|6</x:v>
      </x:c>
      <x:c r="N1181" s="12" t="str">
        <x:v>军体活动中心</x:v>
      </x:c>
      <x:c r="O1181" s="12" t="n">
        <x:f>IFERROR(INDEX('秒级路线参数_可调整'!$O:$O,MATCH(M1181,'秒级路线参数_可调整'!$A:$A,0)),"")</x:f>
        <x:v>315</x:v>
      </x:c>
      <x:c r="P1181" s="12" t="n">
        <x:f>IF(O1181="","",O1181/86400)</x:f>
        <x:v>0.0036458333333333334</x:v>
      </x:c>
      <x:c r="Q1181" s="12" t="n">
        <x:f>IF(O1181="","",(H1181*60+O1181)/86400)</x:f>
        <x:v>0.7848958333333333</x:v>
      </x:c>
      <x:c r="R1181" s="12" t="str">
        <x:f>IF(Q1181="","",TEXT(Q1181,"hh:mm:ss"))</x:f>
        <x:v>18:50:15</x:v>
      </x:c>
      <x:c r="S1181" s="12" t="str">
        <x:v>否</x:v>
      </x:c>
      <x:c r="T1181" s="12" t="str">
        <x:v>否</x:v>
      </x:c>
      <x:c r="U1181" s="12" t="str">
        <x:v>未提供</x:v>
      </x:c>
      <x:c r="V1181" s="12" t="str">
        <x:v>未提供</x:v>
      </x:c>
      <x:c r="W1181" s="12" t="str">
        <x:v>秒级预测</x:v>
      </x:c>
      <x:c r="X1181" s="12" t="str">
        <x:v>基于路线秒级参数；如录入实测或手动采用秒，预计到达时间可随公式更新</x:v>
      </x:c>
    </x:row>
    <x:row r="1182">
      <x:c r="A1182" s="12" t="str">
        <x:v>S0101-07</x:v>
      </x:c>
      <x:c r="B1182" s="12" t="str">
        <x:v>S0101</x:v>
      </x:c>
      <x:c r="C1182" s="12" t="str">
        <x:v>工作日</x:v>
      </x:c>
      <x:c r="D1182" s="12" t="str">
        <x:v>环线2路</x:v>
      </x:c>
      <x:c r="E1182" s="12" t="str">
        <x:v>第二班</x:v>
      </x:c>
      <x:c r="F1182" s="12" t="n">
        <x:v>12</x:v>
      </x:c>
      <x:c r="G1182" s="12" t="str">
        <x:v>18:45</x:v>
      </x:c>
      <x:c r="H1182" s="12" t="n">
        <x:v>1125</x:v>
      </x:c>
      <x:c r="I1182" s="12" t="str">
        <x:v>研究生宿舍楼</x:v>
      </x:c>
      <x:c r="J1182" s="12" t="str">
        <x:v>研究生宿舍楼发车</x:v>
      </x:c>
      <x:c r="K1182" s="12" t="str">
        <x:v>HX2_NORMAL</x:v>
      </x:c>
      <x:c r="L1182" s="12" t="n">
        <x:v>7</x:v>
      </x:c>
      <x:c r="M1182" s="12" t="str">
        <x:v>HX2_NORMAL|7</x:v>
      </x:c>
      <x:c r="N1182" s="12" t="str">
        <x:v>二食堂</x:v>
      </x:c>
      <x:c r="O1182" s="12" t="n">
        <x:f>IFERROR(INDEX('秒级路线参数_可调整'!$O:$O,MATCH(M1182,'秒级路线参数_可调整'!$A:$A,0)),"")</x:f>
        <x:v>420</x:v>
      </x:c>
      <x:c r="P1182" s="12" t="n">
        <x:f>IF(O1182="","",O1182/86400)</x:f>
        <x:v>0.004861111111111111</x:v>
      </x:c>
      <x:c r="Q1182" s="12" t="n">
        <x:f>IF(O1182="","",(H1182*60+O1182)/86400)</x:f>
        <x:v>0.7861111111111111</x:v>
      </x:c>
      <x:c r="R1182" s="12" t="str">
        <x:f>IF(Q1182="","",TEXT(Q1182,"hh:mm:ss"))</x:f>
        <x:v>18:52:00</x:v>
      </x:c>
      <x:c r="S1182" s="12" t="str">
        <x:v>否</x:v>
      </x:c>
      <x:c r="T1182" s="12" t="str">
        <x:v>否</x:v>
      </x:c>
      <x:c r="U1182" s="12" t="str">
        <x:v>未提供</x:v>
      </x:c>
      <x:c r="V1182" s="12" t="str">
        <x:v>未提供</x:v>
      </x:c>
      <x:c r="W1182" s="12" t="str">
        <x:v>秒级预测</x:v>
      </x:c>
      <x:c r="X1182" s="12" t="str">
        <x:v>基于路线秒级参数；如录入实测或手动采用秒，预计到达时间可随公式更新</x:v>
      </x:c>
    </x:row>
    <x:row r="1183">
      <x:c r="A1183" s="12" t="str">
        <x:v>S0101-08</x:v>
      </x:c>
      <x:c r="B1183" s="12" t="str">
        <x:v>S0101</x:v>
      </x:c>
      <x:c r="C1183" s="12" t="str">
        <x:v>工作日</x:v>
      </x:c>
      <x:c r="D1183" s="12" t="str">
        <x:v>环线2路</x:v>
      </x:c>
      <x:c r="E1183" s="12" t="str">
        <x:v>第二班</x:v>
      </x:c>
      <x:c r="F1183" s="12" t="n">
        <x:v>12</x:v>
      </x:c>
      <x:c r="G1183" s="12" t="str">
        <x:v>18:45</x:v>
      </x:c>
      <x:c r="H1183" s="12" t="n">
        <x:v>1125</x:v>
      </x:c>
      <x:c r="I1183" s="12" t="str">
        <x:v>研究生宿舍楼</x:v>
      </x:c>
      <x:c r="J1183" s="12" t="str">
        <x:v>研究生宿舍楼发车</x:v>
      </x:c>
      <x:c r="K1183" s="12" t="str">
        <x:v>HX2_NORMAL</x:v>
      </x:c>
      <x:c r="L1183" s="12" t="n">
        <x:v>8</x:v>
      </x:c>
      <x:c r="M1183" s="12" t="str">
        <x:v>HX2_NORMAL|8</x:v>
      </x:c>
      <x:c r="N1183" s="12" t="str">
        <x:v>5号宿舍楼</x:v>
      </x:c>
      <x:c r="O1183" s="12" t="n">
        <x:f>IFERROR(INDEX('秒级路线参数_可调整'!$O:$O,MATCH(M1183,'秒级路线参数_可调整'!$A:$A,0)),"")</x:f>
        <x:v>480</x:v>
      </x:c>
      <x:c r="P1183" s="12" t="n">
        <x:f>IF(O1183="","",O1183/86400)</x:f>
        <x:v>0.005555555555555556</x:v>
      </x:c>
      <x:c r="Q1183" s="12" t="n">
        <x:f>IF(O1183="","",(H1183*60+O1183)/86400)</x:f>
        <x:v>0.7868055555555555</x:v>
      </x:c>
      <x:c r="R1183" s="12" t="str">
        <x:f>IF(Q1183="","",TEXT(Q1183,"hh:mm:ss"))</x:f>
        <x:v>18:53:00</x:v>
      </x:c>
      <x:c r="S1183" s="12" t="str">
        <x:v>否</x:v>
      </x:c>
      <x:c r="T1183" s="12" t="str">
        <x:v>否</x:v>
      </x:c>
      <x:c r="U1183" s="12" t="str">
        <x:v>未提供</x:v>
      </x:c>
      <x:c r="V1183" s="12" t="str">
        <x:v>未提供</x:v>
      </x:c>
      <x:c r="W1183" s="12" t="str">
        <x:v>秒级预测</x:v>
      </x:c>
      <x:c r="X1183" s="12" t="str">
        <x:v>基于路线秒级参数；如录入实测或手动采用秒，预计到达时间可随公式更新</x:v>
      </x:c>
    </x:row>
    <x:row r="1184">
      <x:c r="A1184" s="12" t="str">
        <x:v>S0101-09</x:v>
      </x:c>
      <x:c r="B1184" s="12" t="str">
        <x:v>S0101</x:v>
      </x:c>
      <x:c r="C1184" s="12" t="str">
        <x:v>工作日</x:v>
      </x:c>
      <x:c r="D1184" s="12" t="str">
        <x:v>环线2路</x:v>
      </x:c>
      <x:c r="E1184" s="12" t="str">
        <x:v>第二班</x:v>
      </x:c>
      <x:c r="F1184" s="12" t="n">
        <x:v>12</x:v>
      </x:c>
      <x:c r="G1184" s="12" t="str">
        <x:v>18:45</x:v>
      </x:c>
      <x:c r="H1184" s="12" t="n">
        <x:v>1125</x:v>
      </x:c>
      <x:c r="I1184" s="12" t="str">
        <x:v>研究生宿舍楼</x:v>
      </x:c>
      <x:c r="J1184" s="12" t="str">
        <x:v>研究生宿舍楼发车</x:v>
      </x:c>
      <x:c r="K1184" s="12" t="str">
        <x:v>HX2_NORMAL</x:v>
      </x:c>
      <x:c r="L1184" s="12" t="n">
        <x:v>9</x:v>
      </x:c>
      <x:c r="M1184" s="12" t="str">
        <x:v>HX2_NORMAL|9</x:v>
      </x:c>
      <x:c r="N1184" s="12" t="str">
        <x:v>305教学楼</x:v>
      </x:c>
      <x:c r="O1184" s="12" t="n">
        <x:f>IFERROR(INDEX('秒级路线参数_可调整'!$O:$O,MATCH(M1184,'秒级路线参数_可调整'!$A:$A,0)),"")</x:f>
        <x:v>535</x:v>
      </x:c>
      <x:c r="P1184" s="12" t="n">
        <x:f>IF(O1184="","",O1184/86400)</x:f>
        <x:v>0.00619212962962963</x:v>
      </x:c>
      <x:c r="Q1184" s="12" t="n">
        <x:f>IF(O1184="","",(H1184*60+O1184)/86400)</x:f>
        <x:v>0.7874421296296297</x:v>
      </x:c>
      <x:c r="R1184" s="12" t="str">
        <x:f>IF(Q1184="","",TEXT(Q1184,"hh:mm:ss"))</x:f>
        <x:v>18:53:55</x:v>
      </x:c>
      <x:c r="S1184" s="12" t="str">
        <x:v>否</x:v>
      </x:c>
      <x:c r="T1184" s="12" t="str">
        <x:v>否</x:v>
      </x:c>
      <x:c r="U1184" s="12" t="str">
        <x:v>未提供</x:v>
      </x:c>
      <x:c r="V1184" s="12" t="str">
        <x:v>未提供</x:v>
      </x:c>
      <x:c r="W1184" s="12" t="str">
        <x:v>秒级预测</x:v>
      </x:c>
      <x:c r="X1184" s="12" t="str">
        <x:v>基于路线秒级参数；如录入实测或手动采用秒，预计到达时间可随公式更新</x:v>
      </x:c>
    </x:row>
    <x:row r="1185">
      <x:c r="A1185" s="12" t="str">
        <x:v>S0101-10</x:v>
      </x:c>
      <x:c r="B1185" s="12" t="str">
        <x:v>S0101</x:v>
      </x:c>
      <x:c r="C1185" s="12" t="str">
        <x:v>工作日</x:v>
      </x:c>
      <x:c r="D1185" s="12" t="str">
        <x:v>环线2路</x:v>
      </x:c>
      <x:c r="E1185" s="12" t="str">
        <x:v>第二班</x:v>
      </x:c>
      <x:c r="F1185" s="12" t="n">
        <x:v>12</x:v>
      </x:c>
      <x:c r="G1185" s="12" t="str">
        <x:v>18:45</x:v>
      </x:c>
      <x:c r="H1185" s="12" t="n">
        <x:v>1125</x:v>
      </x:c>
      <x:c r="I1185" s="12" t="str">
        <x:v>研究生宿舍楼</x:v>
      </x:c>
      <x:c r="J1185" s="12" t="str">
        <x:v>研究生宿舍楼发车</x:v>
      </x:c>
      <x:c r="K1185" s="12" t="str">
        <x:v>HX2_NORMAL</x:v>
      </x:c>
      <x:c r="L1185" s="12" t="n">
        <x:v>10</x:v>
      </x:c>
      <x:c r="M1185" s="12" t="str">
        <x:v>HX2_NORMAL|10</x:v>
      </x:c>
      <x:c r="N1185" s="12" t="str">
        <x:v>研究生宿舍楼</x:v>
      </x:c>
      <x:c r="O1185" s="12" t="n">
        <x:f>IFERROR(INDEX('秒级路线参数_可调整'!$O:$O,MATCH(M1185,'秒级路线参数_可调整'!$A:$A,0)),"")</x:f>
        <x:v>715</x:v>
      </x:c>
      <x:c r="P1185" s="12" t="n">
        <x:f>IF(O1185="","",O1185/86400)</x:f>
        <x:v>0.008275462962962964</x:v>
      </x:c>
      <x:c r="Q1185" s="12" t="n">
        <x:f>IF(O1185="","",(H1185*60+O1185)/86400)</x:f>
        <x:v>0.789525462962963</x:v>
      </x:c>
      <x:c r="R1185" s="12" t="str">
        <x:f>IF(Q1185="","",TEXT(Q1185,"hh:mm:ss"))</x:f>
        <x:v>18:56:55</x:v>
      </x:c>
      <x:c r="S1185" s="12" t="str">
        <x:v>否</x:v>
      </x:c>
      <x:c r="T1185" s="12" t="str">
        <x:v>是</x:v>
      </x:c>
      <x:c r="U1185" s="12" t="str">
        <x:v>未提供</x:v>
      </x:c>
      <x:c r="V1185" s="12" t="str">
        <x:v>未提供</x:v>
      </x:c>
      <x:c r="W1185" s="12" t="str">
        <x:v>秒级预测</x:v>
      </x:c>
      <x:c r="X1185" s="12" t="str">
        <x:v>基于路线秒级参数；如录入实测或手动采用秒，预计到达时间可随公式更新</x:v>
      </x:c>
    </x:row>
    <x:row r="1186">
      <x:c r="A1186" s="12" t="str">
        <x:v>S0102-01</x:v>
      </x:c>
      <x:c r="B1186" s="12" t="str">
        <x:v>S0102</x:v>
      </x:c>
      <x:c r="C1186" s="12" t="str">
        <x:v>工作日</x:v>
      </x:c>
      <x:c r="D1186" s="12" t="str">
        <x:v>环线2路</x:v>
      </x:c>
      <x:c r="E1186" s="12" t="str">
        <x:v>第二班</x:v>
      </x:c>
      <x:c r="F1186" s="12" t="n">
        <x:v>13</x:v>
      </x:c>
      <x:c r="G1186" s="12" t="str">
        <x:v>19:15</x:v>
      </x:c>
      <x:c r="H1186" s="12" t="n">
        <x:v>1155</x:v>
      </x:c>
      <x:c r="I1186" s="12" t="str">
        <x:v>研究生宿舍楼</x:v>
      </x:c>
      <x:c r="J1186" s="12" t="str">
        <x:v>研究生宿舍楼发车</x:v>
      </x:c>
      <x:c r="K1186" s="12" t="str">
        <x:v>HX2_NORMAL</x:v>
      </x:c>
      <x:c r="L1186" s="12" t="n">
        <x:v>1</x:v>
      </x:c>
      <x:c r="M1186" s="12" t="str">
        <x:v>HX2_NORMAL|1</x:v>
      </x:c>
      <x:c r="N1186" s="12" t="str">
        <x:v>研究生宿舍楼</x:v>
      </x:c>
      <x:c r="O1186" s="12" t="n">
        <x:f>IFERROR(INDEX('秒级路线参数_可调整'!$O:$O,MATCH(M1186,'秒级路线参数_可调整'!$A:$A,0)),"")</x:f>
        <x:v>0</x:v>
      </x:c>
      <x:c r="P1186" s="12" t="str">
        <x:f>IF(O1186="","",O1186/86400)</x:f>
      </x:c>
      <x:c r="Q1186" s="12" t="str">
        <x:f>IF(O1186="","",(H1186*60+O1186)/86400)</x:f>
      </x:c>
      <x:c r="R1186" s="12" t="str">
        <x:f>IF(Q1186="","",TEXT(Q1186,"hh:mm:ss"))</x:f>
      </x:c>
      <x:c r="S1186" s="12" t="str">
        <x:v>是</x:v>
      </x:c>
      <x:c r="T1186" s="12" t="str">
        <x:v>否</x:v>
      </x:c>
      <x:c r="U1186" s="12" t="str">
        <x:v>未提供</x:v>
      </x:c>
      <x:c r="V1186" s="12" t="str">
        <x:v>未提供</x:v>
      </x:c>
      <x:c r="W1186" s="12" t="str">
        <x:v>秒级预测</x:v>
      </x:c>
      <x:c r="X1186" s="12" t="str">
        <x:v>基于路线秒级参数；如录入实测或手动采用秒，预计到达时间可随公式更新</x:v>
      </x:c>
    </x:row>
    <x:row r="1187">
      <x:c r="A1187" s="12" t="str">
        <x:v>S0102-02</x:v>
      </x:c>
      <x:c r="B1187" s="12" t="str">
        <x:v>S0102</x:v>
      </x:c>
      <x:c r="C1187" s="12" t="str">
        <x:v>工作日</x:v>
      </x:c>
      <x:c r="D1187" s="12" t="str">
        <x:v>环线2路</x:v>
      </x:c>
      <x:c r="E1187" s="12" t="str">
        <x:v>第二班</x:v>
      </x:c>
      <x:c r="F1187" s="12" t="n">
        <x:v>13</x:v>
      </x:c>
      <x:c r="G1187" s="12" t="str">
        <x:v>19:15</x:v>
      </x:c>
      <x:c r="H1187" s="12" t="n">
        <x:v>1155</x:v>
      </x:c>
      <x:c r="I1187" s="12" t="str">
        <x:v>研究生宿舍楼</x:v>
      </x:c>
      <x:c r="J1187" s="12" t="str">
        <x:v>研究生宿舍楼发车</x:v>
      </x:c>
      <x:c r="K1187" s="12" t="str">
        <x:v>HX2_NORMAL</x:v>
      </x:c>
      <x:c r="L1187" s="12" t="n">
        <x:v>2</x:v>
      </x:c>
      <x:c r="M1187" s="12" t="str">
        <x:v>HX2_NORMAL|2</x:v>
      </x:c>
      <x:c r="N1187" s="12" t="str">
        <x:v>一食堂</x:v>
      </x:c>
      <x:c r="O1187" s="12" t="n">
        <x:f>IFERROR(INDEX('秒级路线参数_可调整'!$O:$O,MATCH(M1187,'秒级路线参数_可调整'!$A:$A,0)),"")</x:f>
        <x:v>65</x:v>
      </x:c>
      <x:c r="P1187" s="12" t="n">
        <x:f>IF(O1187="","",O1187/86400)</x:f>
        <x:v>0.0007523148148148148</x:v>
      </x:c>
      <x:c r="Q1187" s="12" t="n">
        <x:f>IF(O1187="","",(H1187*60+O1187)/86400)</x:f>
        <x:v>0.8028356481481481</x:v>
      </x:c>
      <x:c r="R1187" s="12" t="str">
        <x:f>IF(Q1187="","",TEXT(Q1187,"hh:mm:ss"))</x:f>
        <x:v>19:16:05</x:v>
      </x:c>
      <x:c r="S1187" s="12" t="str">
        <x:v>否</x:v>
      </x:c>
      <x:c r="T1187" s="12" t="str">
        <x:v>否</x:v>
      </x:c>
      <x:c r="U1187" s="12" t="str">
        <x:v>未提供</x:v>
      </x:c>
      <x:c r="V1187" s="12" t="str">
        <x:v>未提供</x:v>
      </x:c>
      <x:c r="W1187" s="12" t="str">
        <x:v>秒级预测</x:v>
      </x:c>
      <x:c r="X1187" s="12" t="str">
        <x:v>基于路线秒级参数；如录入实测或手动采用秒，预计到达时间可随公式更新</x:v>
      </x:c>
    </x:row>
    <x:row r="1188">
      <x:c r="A1188" s="12" t="str">
        <x:v>S0102-03</x:v>
      </x:c>
      <x:c r="B1188" s="12" t="str">
        <x:v>S0102</x:v>
      </x:c>
      <x:c r="C1188" s="12" t="str">
        <x:v>工作日</x:v>
      </x:c>
      <x:c r="D1188" s="12" t="str">
        <x:v>环线2路</x:v>
      </x:c>
      <x:c r="E1188" s="12" t="str">
        <x:v>第二班</x:v>
      </x:c>
      <x:c r="F1188" s="12" t="n">
        <x:v>13</x:v>
      </x:c>
      <x:c r="G1188" s="12" t="str">
        <x:v>19:15</x:v>
      </x:c>
      <x:c r="H1188" s="12" t="n">
        <x:v>1155</x:v>
      </x:c>
      <x:c r="I1188" s="12" t="str">
        <x:v>研究生宿舍楼</x:v>
      </x:c>
      <x:c r="J1188" s="12" t="str">
        <x:v>研究生宿舍楼发车</x:v>
      </x:c>
      <x:c r="K1188" s="12" t="str">
        <x:v>HX2_NORMAL</x:v>
      </x:c>
      <x:c r="L1188" s="12" t="n">
        <x:v>3</x:v>
      </x:c>
      <x:c r="M1188" s="12" t="str">
        <x:v>HX2_NORMAL|3</x:v>
      </x:c>
      <x:c r="N1188" s="12" t="str">
        <x:v>门诊部</x:v>
      </x:c>
      <x:c r="O1188" s="12" t="n">
        <x:f>IFERROR(INDEX('秒级路线参数_可调整'!$O:$O,MATCH(M1188,'秒级路线参数_可调整'!$A:$A,0)),"")</x:f>
        <x:v>120</x:v>
      </x:c>
      <x:c r="P1188" s="12" t="n">
        <x:f>IF(O1188="","",O1188/86400)</x:f>
        <x:v>0.001388888888888889</x:v>
      </x:c>
      <x:c r="Q1188" s="12" t="n">
        <x:f>IF(O1188="","",(H1188*60+O1188)/86400)</x:f>
        <x:v>0.8034722222222223</x:v>
      </x:c>
      <x:c r="R1188" s="12" t="str">
        <x:f>IF(Q1188="","",TEXT(Q1188,"hh:mm:ss"))</x:f>
        <x:v>19:17:00</x:v>
      </x:c>
      <x:c r="S1188" s="12" t="str">
        <x:v>否</x:v>
      </x:c>
      <x:c r="T1188" s="12" t="str">
        <x:v>否</x:v>
      </x:c>
      <x:c r="U1188" s="12" t="str">
        <x:v>未提供</x:v>
      </x:c>
      <x:c r="V1188" s="12" t="str">
        <x:v>未提供</x:v>
      </x:c>
      <x:c r="W1188" s="12" t="str">
        <x:v>秒级预测</x:v>
      </x:c>
      <x:c r="X1188" s="12" t="str">
        <x:v>基于路线秒级参数；如录入实测或手动采用秒，预计到达时间可随公式更新</x:v>
      </x:c>
    </x:row>
    <x:row r="1189">
      <x:c r="A1189" s="12" t="str">
        <x:v>S0102-04</x:v>
      </x:c>
      <x:c r="B1189" s="12" t="str">
        <x:v>S0102</x:v>
      </x:c>
      <x:c r="C1189" s="12" t="str">
        <x:v>工作日</x:v>
      </x:c>
      <x:c r="D1189" s="12" t="str">
        <x:v>环线2路</x:v>
      </x:c>
      <x:c r="E1189" s="12" t="str">
        <x:v>第二班</x:v>
      </x:c>
      <x:c r="F1189" s="12" t="n">
        <x:v>13</x:v>
      </x:c>
      <x:c r="G1189" s="12" t="str">
        <x:v>19:15</x:v>
      </x:c>
      <x:c r="H1189" s="12" t="n">
        <x:v>1155</x:v>
      </x:c>
      <x:c r="I1189" s="12" t="str">
        <x:v>研究生宿舍楼</x:v>
      </x:c>
      <x:c r="J1189" s="12" t="str">
        <x:v>研究生宿舍楼发车</x:v>
      </x:c>
      <x:c r="K1189" s="12" t="str">
        <x:v>HX2_NORMAL</x:v>
      </x:c>
      <x:c r="L1189" s="12" t="n">
        <x:v>4</x:v>
      </x:c>
      <x:c r="M1189" s="12" t="str">
        <x:v>HX2_NORMAL|4</x:v>
      </x:c>
      <x:c r="N1189" s="12" t="str">
        <x:v>1号宿舍楼</x:v>
      </x:c>
      <x:c r="O1189" s="12" t="n">
        <x:f>IFERROR(INDEX('秒级路线参数_可调整'!$O:$O,MATCH(M1189,'秒级路线参数_可调整'!$A:$A,0)),"")</x:f>
        <x:v>165</x:v>
      </x:c>
      <x:c r="P1189" s="12" t="n">
        <x:f>IF(O1189="","",O1189/86400)</x:f>
        <x:v>0.0019097222222222222</x:v>
      </x:c>
      <x:c r="Q1189" s="12" t="n">
        <x:f>IF(O1189="","",(H1189*60+O1189)/86400)</x:f>
        <x:v>0.8039930555555556</x:v>
      </x:c>
      <x:c r="R1189" s="12" t="str">
        <x:f>IF(Q1189="","",TEXT(Q1189,"hh:mm:ss"))</x:f>
        <x:v>19:17:45</x:v>
      </x:c>
      <x:c r="S1189" s="12" t="str">
        <x:v>否</x:v>
      </x:c>
      <x:c r="T1189" s="12" t="str">
        <x:v>否</x:v>
      </x:c>
      <x:c r="U1189" s="12" t="str">
        <x:v>未提供</x:v>
      </x:c>
      <x:c r="V1189" s="12" t="str">
        <x:v>未提供</x:v>
      </x:c>
      <x:c r="W1189" s="12" t="str">
        <x:v>秒级预测</x:v>
      </x:c>
      <x:c r="X1189" s="12" t="str">
        <x:v>基于路线秒级参数；如录入实测或手动采用秒，预计到达时间可随公式更新</x:v>
      </x:c>
    </x:row>
    <x:row r="1190">
      <x:c r="A1190" s="12" t="str">
        <x:v>S0102-05</x:v>
      </x:c>
      <x:c r="B1190" s="12" t="str">
        <x:v>S0102</x:v>
      </x:c>
      <x:c r="C1190" s="12" t="str">
        <x:v>工作日</x:v>
      </x:c>
      <x:c r="D1190" s="12" t="str">
        <x:v>环线2路</x:v>
      </x:c>
      <x:c r="E1190" s="12" t="str">
        <x:v>第二班</x:v>
      </x:c>
      <x:c r="F1190" s="12" t="n">
        <x:v>13</x:v>
      </x:c>
      <x:c r="G1190" s="12" t="str">
        <x:v>19:15</x:v>
      </x:c>
      <x:c r="H1190" s="12" t="n">
        <x:v>1155</x:v>
      </x:c>
      <x:c r="I1190" s="12" t="str">
        <x:v>研究生宿舍楼</x:v>
      </x:c>
      <x:c r="J1190" s="12" t="str">
        <x:v>研究生宿舍楼发车</x:v>
      </x:c>
      <x:c r="K1190" s="12" t="str">
        <x:v>HX2_NORMAL</x:v>
      </x:c>
      <x:c r="L1190" s="12" t="n">
        <x:v>5</x:v>
      </x:c>
      <x:c r="M1190" s="12" t="str">
        <x:v>HX2_NORMAL|5</x:v>
      </x:c>
      <x:c r="N1190" s="12" t="str">
        <x:v>水上训练中心</x:v>
      </x:c>
      <x:c r="O1190" s="12" t="n">
        <x:f>IFERROR(INDEX('秒级路线参数_可调整'!$O:$O,MATCH(M1190,'秒级路线参数_可调整'!$A:$A,0)),"")</x:f>
        <x:v>250</x:v>
      </x:c>
      <x:c r="P1190" s="12" t="n">
        <x:f>IF(O1190="","",O1190/86400)</x:f>
        <x:v>0.0028935185185185184</x:v>
      </x:c>
      <x:c r="Q1190" s="12" t="n">
        <x:f>IF(O1190="","",(H1190*60+O1190)/86400)</x:f>
        <x:v>0.8049768518518519</x:v>
      </x:c>
      <x:c r="R1190" s="12" t="str">
        <x:f>IF(Q1190="","",TEXT(Q1190,"hh:mm:ss"))</x:f>
        <x:v>19:19:10</x:v>
      </x:c>
      <x:c r="S1190" s="12" t="str">
        <x:v>否</x:v>
      </x:c>
      <x:c r="T1190" s="12" t="str">
        <x:v>否</x:v>
      </x:c>
      <x:c r="U1190" s="12" t="str">
        <x:v>未提供</x:v>
      </x:c>
      <x:c r="V1190" s="12" t="str">
        <x:v>未提供</x:v>
      </x:c>
      <x:c r="W1190" s="12" t="str">
        <x:v>秒级预测</x:v>
      </x:c>
      <x:c r="X1190" s="12" t="str">
        <x:v>基于路线秒级参数；如录入实测或手动采用秒，预计到达时间可随公式更新</x:v>
      </x:c>
    </x:row>
    <x:row r="1191">
      <x:c r="A1191" s="12" t="str">
        <x:v>S0102-06</x:v>
      </x:c>
      <x:c r="B1191" s="12" t="str">
        <x:v>S0102</x:v>
      </x:c>
      <x:c r="C1191" s="12" t="str">
        <x:v>工作日</x:v>
      </x:c>
      <x:c r="D1191" s="12" t="str">
        <x:v>环线2路</x:v>
      </x:c>
      <x:c r="E1191" s="12" t="str">
        <x:v>第二班</x:v>
      </x:c>
      <x:c r="F1191" s="12" t="n">
        <x:v>13</x:v>
      </x:c>
      <x:c r="G1191" s="12" t="str">
        <x:v>19:15</x:v>
      </x:c>
      <x:c r="H1191" s="12" t="n">
        <x:v>1155</x:v>
      </x:c>
      <x:c r="I1191" s="12" t="str">
        <x:v>研究生宿舍楼</x:v>
      </x:c>
      <x:c r="J1191" s="12" t="str">
        <x:v>研究生宿舍楼发车</x:v>
      </x:c>
      <x:c r="K1191" s="12" t="str">
        <x:v>HX2_NORMAL</x:v>
      </x:c>
      <x:c r="L1191" s="12" t="n">
        <x:v>6</x:v>
      </x:c>
      <x:c r="M1191" s="12" t="str">
        <x:v>HX2_NORMAL|6</x:v>
      </x:c>
      <x:c r="N1191" s="12" t="str">
        <x:v>军体活动中心</x:v>
      </x:c>
      <x:c r="O1191" s="12" t="n">
        <x:f>IFERROR(INDEX('秒级路线参数_可调整'!$O:$O,MATCH(M1191,'秒级路线参数_可调整'!$A:$A,0)),"")</x:f>
        <x:v>315</x:v>
      </x:c>
      <x:c r="P1191" s="12" t="n">
        <x:f>IF(O1191="","",O1191/86400)</x:f>
        <x:v>0.0036458333333333334</x:v>
      </x:c>
      <x:c r="Q1191" s="12" t="n">
        <x:f>IF(O1191="","",(H1191*60+O1191)/86400)</x:f>
        <x:v>0.8057291666666667</x:v>
      </x:c>
      <x:c r="R1191" s="12" t="str">
        <x:f>IF(Q1191="","",TEXT(Q1191,"hh:mm:ss"))</x:f>
        <x:v>19:20:15</x:v>
      </x:c>
      <x:c r="S1191" s="12" t="str">
        <x:v>否</x:v>
      </x:c>
      <x:c r="T1191" s="12" t="str">
        <x:v>否</x:v>
      </x:c>
      <x:c r="U1191" s="12" t="str">
        <x:v>未提供</x:v>
      </x:c>
      <x:c r="V1191" s="12" t="str">
        <x:v>未提供</x:v>
      </x:c>
      <x:c r="W1191" s="12" t="str">
        <x:v>秒级预测</x:v>
      </x:c>
      <x:c r="X1191" s="12" t="str">
        <x:v>基于路线秒级参数；如录入实测或手动采用秒，预计到达时间可随公式更新</x:v>
      </x:c>
    </x:row>
    <x:row r="1192">
      <x:c r="A1192" s="12" t="str">
        <x:v>S0102-07</x:v>
      </x:c>
      <x:c r="B1192" s="12" t="str">
        <x:v>S0102</x:v>
      </x:c>
      <x:c r="C1192" s="12" t="str">
        <x:v>工作日</x:v>
      </x:c>
      <x:c r="D1192" s="12" t="str">
        <x:v>环线2路</x:v>
      </x:c>
      <x:c r="E1192" s="12" t="str">
        <x:v>第二班</x:v>
      </x:c>
      <x:c r="F1192" s="12" t="n">
        <x:v>13</x:v>
      </x:c>
      <x:c r="G1192" s="12" t="str">
        <x:v>19:15</x:v>
      </x:c>
      <x:c r="H1192" s="12" t="n">
        <x:v>1155</x:v>
      </x:c>
      <x:c r="I1192" s="12" t="str">
        <x:v>研究生宿舍楼</x:v>
      </x:c>
      <x:c r="J1192" s="12" t="str">
        <x:v>研究生宿舍楼发车</x:v>
      </x:c>
      <x:c r="K1192" s="12" t="str">
        <x:v>HX2_NORMAL</x:v>
      </x:c>
      <x:c r="L1192" s="12" t="n">
        <x:v>7</x:v>
      </x:c>
      <x:c r="M1192" s="12" t="str">
        <x:v>HX2_NORMAL|7</x:v>
      </x:c>
      <x:c r="N1192" s="12" t="str">
        <x:v>二食堂</x:v>
      </x:c>
      <x:c r="O1192" s="12" t="n">
        <x:f>IFERROR(INDEX('秒级路线参数_可调整'!$O:$O,MATCH(M1192,'秒级路线参数_可调整'!$A:$A,0)),"")</x:f>
        <x:v>420</x:v>
      </x:c>
      <x:c r="P1192" s="12" t="n">
        <x:f>IF(O1192="","",O1192/86400)</x:f>
        <x:v>0.004861111111111111</x:v>
      </x:c>
      <x:c r="Q1192" s="12" t="n">
        <x:f>IF(O1192="","",(H1192*60+O1192)/86400)</x:f>
        <x:v>0.8069444444444445</x:v>
      </x:c>
      <x:c r="R1192" s="12" t="str">
        <x:f>IF(Q1192="","",TEXT(Q1192,"hh:mm:ss"))</x:f>
        <x:v>19:22:00</x:v>
      </x:c>
      <x:c r="S1192" s="12" t="str">
        <x:v>否</x:v>
      </x:c>
      <x:c r="T1192" s="12" t="str">
        <x:v>否</x:v>
      </x:c>
      <x:c r="U1192" s="12" t="str">
        <x:v>未提供</x:v>
      </x:c>
      <x:c r="V1192" s="12" t="str">
        <x:v>未提供</x:v>
      </x:c>
      <x:c r="W1192" s="12" t="str">
        <x:v>秒级预测</x:v>
      </x:c>
      <x:c r="X1192" s="12" t="str">
        <x:v>基于路线秒级参数；如录入实测或手动采用秒，预计到达时间可随公式更新</x:v>
      </x:c>
    </x:row>
    <x:row r="1193">
      <x:c r="A1193" s="12" t="str">
        <x:v>S0102-08</x:v>
      </x:c>
      <x:c r="B1193" s="12" t="str">
        <x:v>S0102</x:v>
      </x:c>
      <x:c r="C1193" s="12" t="str">
        <x:v>工作日</x:v>
      </x:c>
      <x:c r="D1193" s="12" t="str">
        <x:v>环线2路</x:v>
      </x:c>
      <x:c r="E1193" s="12" t="str">
        <x:v>第二班</x:v>
      </x:c>
      <x:c r="F1193" s="12" t="n">
        <x:v>13</x:v>
      </x:c>
      <x:c r="G1193" s="12" t="str">
        <x:v>19:15</x:v>
      </x:c>
      <x:c r="H1193" s="12" t="n">
        <x:v>1155</x:v>
      </x:c>
      <x:c r="I1193" s="12" t="str">
        <x:v>研究生宿舍楼</x:v>
      </x:c>
      <x:c r="J1193" s="12" t="str">
        <x:v>研究生宿舍楼发车</x:v>
      </x:c>
      <x:c r="K1193" s="12" t="str">
        <x:v>HX2_NORMAL</x:v>
      </x:c>
      <x:c r="L1193" s="12" t="n">
        <x:v>8</x:v>
      </x:c>
      <x:c r="M1193" s="12" t="str">
        <x:v>HX2_NORMAL|8</x:v>
      </x:c>
      <x:c r="N1193" s="12" t="str">
        <x:v>5号宿舍楼</x:v>
      </x:c>
      <x:c r="O1193" s="12" t="n">
        <x:f>IFERROR(INDEX('秒级路线参数_可调整'!$O:$O,MATCH(M1193,'秒级路线参数_可调整'!$A:$A,0)),"")</x:f>
        <x:v>480</x:v>
      </x:c>
      <x:c r="P1193" s="12" t="n">
        <x:f>IF(O1193="","",O1193/86400)</x:f>
        <x:v>0.005555555555555556</x:v>
      </x:c>
      <x:c r="Q1193" s="12" t="n">
        <x:f>IF(O1193="","",(H1193*60+O1193)/86400)</x:f>
        <x:v>0.8076388888888889</x:v>
      </x:c>
      <x:c r="R1193" s="12" t="str">
        <x:f>IF(Q1193="","",TEXT(Q1193,"hh:mm:ss"))</x:f>
        <x:v>19:23:00</x:v>
      </x:c>
      <x:c r="S1193" s="12" t="str">
        <x:v>否</x:v>
      </x:c>
      <x:c r="T1193" s="12" t="str">
        <x:v>否</x:v>
      </x:c>
      <x:c r="U1193" s="12" t="str">
        <x:v>未提供</x:v>
      </x:c>
      <x:c r="V1193" s="12" t="str">
        <x:v>未提供</x:v>
      </x:c>
      <x:c r="W1193" s="12" t="str">
        <x:v>秒级预测</x:v>
      </x:c>
      <x:c r="X1193" s="12" t="str">
        <x:v>基于路线秒级参数；如录入实测或手动采用秒，预计到达时间可随公式更新</x:v>
      </x:c>
    </x:row>
    <x:row r="1194">
      <x:c r="A1194" s="12" t="str">
        <x:v>S0102-09</x:v>
      </x:c>
      <x:c r="B1194" s="12" t="str">
        <x:v>S0102</x:v>
      </x:c>
      <x:c r="C1194" s="12" t="str">
        <x:v>工作日</x:v>
      </x:c>
      <x:c r="D1194" s="12" t="str">
        <x:v>环线2路</x:v>
      </x:c>
      <x:c r="E1194" s="12" t="str">
        <x:v>第二班</x:v>
      </x:c>
      <x:c r="F1194" s="12" t="n">
        <x:v>13</x:v>
      </x:c>
      <x:c r="G1194" s="12" t="str">
        <x:v>19:15</x:v>
      </x:c>
      <x:c r="H1194" s="12" t="n">
        <x:v>1155</x:v>
      </x:c>
      <x:c r="I1194" s="12" t="str">
        <x:v>研究生宿舍楼</x:v>
      </x:c>
      <x:c r="J1194" s="12" t="str">
        <x:v>研究生宿舍楼发车</x:v>
      </x:c>
      <x:c r="K1194" s="12" t="str">
        <x:v>HX2_NORMAL</x:v>
      </x:c>
      <x:c r="L1194" s="12" t="n">
        <x:v>9</x:v>
      </x:c>
      <x:c r="M1194" s="12" t="str">
        <x:v>HX2_NORMAL|9</x:v>
      </x:c>
      <x:c r="N1194" s="12" t="str">
        <x:v>305教学楼</x:v>
      </x:c>
      <x:c r="O1194" s="12" t="n">
        <x:f>IFERROR(INDEX('秒级路线参数_可调整'!$O:$O,MATCH(M1194,'秒级路线参数_可调整'!$A:$A,0)),"")</x:f>
        <x:v>535</x:v>
      </x:c>
      <x:c r="P1194" s="12" t="n">
        <x:f>IF(O1194="","",O1194/86400)</x:f>
        <x:v>0.00619212962962963</x:v>
      </x:c>
      <x:c r="Q1194" s="12" t="n">
        <x:f>IF(O1194="","",(H1194*60+O1194)/86400)</x:f>
        <x:v>0.8082754629629629</x:v>
      </x:c>
      <x:c r="R1194" s="12" t="str">
        <x:f>IF(Q1194="","",TEXT(Q1194,"hh:mm:ss"))</x:f>
        <x:v>19:23:55</x:v>
      </x:c>
      <x:c r="S1194" s="12" t="str">
        <x:v>否</x:v>
      </x:c>
      <x:c r="T1194" s="12" t="str">
        <x:v>否</x:v>
      </x:c>
      <x:c r="U1194" s="12" t="str">
        <x:v>未提供</x:v>
      </x:c>
      <x:c r="V1194" s="12" t="str">
        <x:v>未提供</x:v>
      </x:c>
      <x:c r="W1194" s="12" t="str">
        <x:v>秒级预测</x:v>
      </x:c>
      <x:c r="X1194" s="12" t="str">
        <x:v>基于路线秒级参数；如录入实测或手动采用秒，预计到达时间可随公式更新</x:v>
      </x:c>
    </x:row>
    <x:row r="1195">
      <x:c r="A1195" s="12" t="str">
        <x:v>S0102-10</x:v>
      </x:c>
      <x:c r="B1195" s="12" t="str">
        <x:v>S0102</x:v>
      </x:c>
      <x:c r="C1195" s="12" t="str">
        <x:v>工作日</x:v>
      </x:c>
      <x:c r="D1195" s="12" t="str">
        <x:v>环线2路</x:v>
      </x:c>
      <x:c r="E1195" s="12" t="str">
        <x:v>第二班</x:v>
      </x:c>
      <x:c r="F1195" s="12" t="n">
        <x:v>13</x:v>
      </x:c>
      <x:c r="G1195" s="12" t="str">
        <x:v>19:15</x:v>
      </x:c>
      <x:c r="H1195" s="12" t="n">
        <x:v>1155</x:v>
      </x:c>
      <x:c r="I1195" s="12" t="str">
        <x:v>研究生宿舍楼</x:v>
      </x:c>
      <x:c r="J1195" s="12" t="str">
        <x:v>研究生宿舍楼发车</x:v>
      </x:c>
      <x:c r="K1195" s="12" t="str">
        <x:v>HX2_NORMAL</x:v>
      </x:c>
      <x:c r="L1195" s="12" t="n">
        <x:v>10</x:v>
      </x:c>
      <x:c r="M1195" s="12" t="str">
        <x:v>HX2_NORMAL|10</x:v>
      </x:c>
      <x:c r="N1195" s="12" t="str">
        <x:v>研究生宿舍楼</x:v>
      </x:c>
      <x:c r="O1195" s="12" t="n">
        <x:f>IFERROR(INDEX('秒级路线参数_可调整'!$O:$O,MATCH(M1195,'秒级路线参数_可调整'!$A:$A,0)),"")</x:f>
        <x:v>715</x:v>
      </x:c>
      <x:c r="P1195" s="12" t="n">
        <x:f>IF(O1195="","",O1195/86400)</x:f>
        <x:v>0.008275462962962964</x:v>
      </x:c>
      <x:c r="Q1195" s="12" t="n">
        <x:f>IF(O1195="","",(H1195*60+O1195)/86400)</x:f>
        <x:v>0.8103587962962963</x:v>
      </x:c>
      <x:c r="R1195" s="12" t="str">
        <x:f>IF(Q1195="","",TEXT(Q1195,"hh:mm:ss"))</x:f>
        <x:v>19:26:55</x:v>
      </x:c>
      <x:c r="S1195" s="12" t="str">
        <x:v>否</x:v>
      </x:c>
      <x:c r="T1195" s="12" t="str">
        <x:v>是</x:v>
      </x:c>
      <x:c r="U1195" s="12" t="str">
        <x:v>未提供</x:v>
      </x:c>
      <x:c r="V1195" s="12" t="str">
        <x:v>未提供</x:v>
      </x:c>
      <x:c r="W1195" s="12" t="str">
        <x:v>秒级预测</x:v>
      </x:c>
      <x:c r="X1195" s="12" t="str">
        <x:v>基于路线秒级参数；如录入实测或手动采用秒，预计到达时间可随公式更新</x:v>
      </x:c>
    </x:row>
    <x:row r="1196">
      <x:c r="A1196" s="12" t="str">
        <x:v>S0103-01</x:v>
      </x:c>
      <x:c r="B1196" s="12" t="str">
        <x:v>S0103</x:v>
      </x:c>
      <x:c r="C1196" s="12" t="str">
        <x:v>工作日</x:v>
      </x:c>
      <x:c r="D1196" s="12" t="str">
        <x:v>环线2路</x:v>
      </x:c>
      <x:c r="E1196" s="12" t="str">
        <x:v>第二班</x:v>
      </x:c>
      <x:c r="F1196" s="12" t="n">
        <x:v>14</x:v>
      </x:c>
      <x:c r="G1196" s="12" t="str">
        <x:v>19:30</x:v>
      </x:c>
      <x:c r="H1196" s="12" t="n">
        <x:v>1170</x:v>
      </x:c>
      <x:c r="I1196" s="12" t="str">
        <x:v>研究生宿舍楼</x:v>
      </x:c>
      <x:c r="J1196" s="12" t="str">
        <x:v>研究生宿舍楼发车</x:v>
      </x:c>
      <x:c r="K1196" s="12" t="str">
        <x:v>HX2_NORMAL</x:v>
      </x:c>
      <x:c r="L1196" s="12" t="n">
        <x:v>1</x:v>
      </x:c>
      <x:c r="M1196" s="12" t="str">
        <x:v>HX2_NORMAL|1</x:v>
      </x:c>
      <x:c r="N1196" s="12" t="str">
        <x:v>研究生宿舍楼</x:v>
      </x:c>
      <x:c r="O1196" s="12" t="n">
        <x:f>IFERROR(INDEX('秒级路线参数_可调整'!$O:$O,MATCH(M1196,'秒级路线参数_可调整'!$A:$A,0)),"")</x:f>
        <x:v>0</x:v>
      </x:c>
      <x:c r="P1196" s="12" t="str">
        <x:f>IF(O1196="","",O1196/86400)</x:f>
      </x:c>
      <x:c r="Q1196" s="12" t="str">
        <x:f>IF(O1196="","",(H1196*60+O1196)/86400)</x:f>
      </x:c>
      <x:c r="R1196" s="12" t="str">
        <x:f>IF(Q1196="","",TEXT(Q1196,"hh:mm:ss"))</x:f>
      </x:c>
      <x:c r="S1196" s="12" t="str">
        <x:v>是</x:v>
      </x:c>
      <x:c r="T1196" s="12" t="str">
        <x:v>否</x:v>
      </x:c>
      <x:c r="U1196" s="12" t="str">
        <x:v>未提供</x:v>
      </x:c>
      <x:c r="V1196" s="12" t="str">
        <x:v>未提供</x:v>
      </x:c>
      <x:c r="W1196" s="12" t="str">
        <x:v>秒级预测</x:v>
      </x:c>
      <x:c r="X1196" s="12" t="str">
        <x:v>基于路线秒级参数；如录入实测或手动采用秒，预计到达时间可随公式更新</x:v>
      </x:c>
    </x:row>
    <x:row r="1197">
      <x:c r="A1197" s="12" t="str">
        <x:v>S0103-02</x:v>
      </x:c>
      <x:c r="B1197" s="12" t="str">
        <x:v>S0103</x:v>
      </x:c>
      <x:c r="C1197" s="12" t="str">
        <x:v>工作日</x:v>
      </x:c>
      <x:c r="D1197" s="12" t="str">
        <x:v>环线2路</x:v>
      </x:c>
      <x:c r="E1197" s="12" t="str">
        <x:v>第二班</x:v>
      </x:c>
      <x:c r="F1197" s="12" t="n">
        <x:v>14</x:v>
      </x:c>
      <x:c r="G1197" s="12" t="str">
        <x:v>19:30</x:v>
      </x:c>
      <x:c r="H1197" s="12" t="n">
        <x:v>1170</x:v>
      </x:c>
      <x:c r="I1197" s="12" t="str">
        <x:v>研究生宿舍楼</x:v>
      </x:c>
      <x:c r="J1197" s="12" t="str">
        <x:v>研究生宿舍楼发车</x:v>
      </x:c>
      <x:c r="K1197" s="12" t="str">
        <x:v>HX2_NORMAL</x:v>
      </x:c>
      <x:c r="L1197" s="12" t="n">
        <x:v>2</x:v>
      </x:c>
      <x:c r="M1197" s="12" t="str">
        <x:v>HX2_NORMAL|2</x:v>
      </x:c>
      <x:c r="N1197" s="12" t="str">
        <x:v>一食堂</x:v>
      </x:c>
      <x:c r="O1197" s="12" t="n">
        <x:f>IFERROR(INDEX('秒级路线参数_可调整'!$O:$O,MATCH(M1197,'秒级路线参数_可调整'!$A:$A,0)),"")</x:f>
        <x:v>65</x:v>
      </x:c>
      <x:c r="P1197" s="12" t="n">
        <x:f>IF(O1197="","",O1197/86400)</x:f>
        <x:v>0.0007523148148148148</x:v>
      </x:c>
      <x:c r="Q1197" s="12" t="n">
        <x:f>IF(O1197="","",(H1197*60+O1197)/86400)</x:f>
        <x:v>0.8132523148148149</x:v>
      </x:c>
      <x:c r="R1197" s="12" t="str">
        <x:f>IF(Q1197="","",TEXT(Q1197,"hh:mm:ss"))</x:f>
        <x:v>19:31:05</x:v>
      </x:c>
      <x:c r="S1197" s="12" t="str">
        <x:v>否</x:v>
      </x:c>
      <x:c r="T1197" s="12" t="str">
        <x:v>否</x:v>
      </x:c>
      <x:c r="U1197" s="12" t="str">
        <x:v>未提供</x:v>
      </x:c>
      <x:c r="V1197" s="12" t="str">
        <x:v>未提供</x:v>
      </x:c>
      <x:c r="W1197" s="12" t="str">
        <x:v>秒级预测</x:v>
      </x:c>
      <x:c r="X1197" s="12" t="str">
        <x:v>基于路线秒级参数；如录入实测或手动采用秒，预计到达时间可随公式更新</x:v>
      </x:c>
    </x:row>
    <x:row r="1198">
      <x:c r="A1198" s="12" t="str">
        <x:v>S0103-03</x:v>
      </x:c>
      <x:c r="B1198" s="12" t="str">
        <x:v>S0103</x:v>
      </x:c>
      <x:c r="C1198" s="12" t="str">
        <x:v>工作日</x:v>
      </x:c>
      <x:c r="D1198" s="12" t="str">
        <x:v>环线2路</x:v>
      </x:c>
      <x:c r="E1198" s="12" t="str">
        <x:v>第二班</x:v>
      </x:c>
      <x:c r="F1198" s="12" t="n">
        <x:v>14</x:v>
      </x:c>
      <x:c r="G1198" s="12" t="str">
        <x:v>19:30</x:v>
      </x:c>
      <x:c r="H1198" s="12" t="n">
        <x:v>1170</x:v>
      </x:c>
      <x:c r="I1198" s="12" t="str">
        <x:v>研究生宿舍楼</x:v>
      </x:c>
      <x:c r="J1198" s="12" t="str">
        <x:v>研究生宿舍楼发车</x:v>
      </x:c>
      <x:c r="K1198" s="12" t="str">
        <x:v>HX2_NORMAL</x:v>
      </x:c>
      <x:c r="L1198" s="12" t="n">
        <x:v>3</x:v>
      </x:c>
      <x:c r="M1198" s="12" t="str">
        <x:v>HX2_NORMAL|3</x:v>
      </x:c>
      <x:c r="N1198" s="12" t="str">
        <x:v>门诊部</x:v>
      </x:c>
      <x:c r="O1198" s="12" t="n">
        <x:f>IFERROR(INDEX('秒级路线参数_可调整'!$O:$O,MATCH(M1198,'秒级路线参数_可调整'!$A:$A,0)),"")</x:f>
        <x:v>120</x:v>
      </x:c>
      <x:c r="P1198" s="12" t="n">
        <x:f>IF(O1198="","",O1198/86400)</x:f>
        <x:v>0.001388888888888889</x:v>
      </x:c>
      <x:c r="Q1198" s="12" t="n">
        <x:f>IF(O1198="","",(H1198*60+O1198)/86400)</x:f>
        <x:v>0.8138888888888889</x:v>
      </x:c>
      <x:c r="R1198" s="12" t="str">
        <x:f>IF(Q1198="","",TEXT(Q1198,"hh:mm:ss"))</x:f>
        <x:v>19:32:00</x:v>
      </x:c>
      <x:c r="S1198" s="12" t="str">
        <x:v>否</x:v>
      </x:c>
      <x:c r="T1198" s="12" t="str">
        <x:v>否</x:v>
      </x:c>
      <x:c r="U1198" s="12" t="str">
        <x:v>未提供</x:v>
      </x:c>
      <x:c r="V1198" s="12" t="str">
        <x:v>未提供</x:v>
      </x:c>
      <x:c r="W1198" s="12" t="str">
        <x:v>秒级预测</x:v>
      </x:c>
      <x:c r="X1198" s="12" t="str">
        <x:v>基于路线秒级参数；如录入实测或手动采用秒，预计到达时间可随公式更新</x:v>
      </x:c>
    </x:row>
    <x:row r="1199">
      <x:c r="A1199" s="12" t="str">
        <x:v>S0103-04</x:v>
      </x:c>
      <x:c r="B1199" s="12" t="str">
        <x:v>S0103</x:v>
      </x:c>
      <x:c r="C1199" s="12" t="str">
        <x:v>工作日</x:v>
      </x:c>
      <x:c r="D1199" s="12" t="str">
        <x:v>环线2路</x:v>
      </x:c>
      <x:c r="E1199" s="12" t="str">
        <x:v>第二班</x:v>
      </x:c>
      <x:c r="F1199" s="12" t="n">
        <x:v>14</x:v>
      </x:c>
      <x:c r="G1199" s="12" t="str">
        <x:v>19:30</x:v>
      </x:c>
      <x:c r="H1199" s="12" t="n">
        <x:v>1170</x:v>
      </x:c>
      <x:c r="I1199" s="12" t="str">
        <x:v>研究生宿舍楼</x:v>
      </x:c>
      <x:c r="J1199" s="12" t="str">
        <x:v>研究生宿舍楼发车</x:v>
      </x:c>
      <x:c r="K1199" s="12" t="str">
        <x:v>HX2_NORMAL</x:v>
      </x:c>
      <x:c r="L1199" s="12" t="n">
        <x:v>4</x:v>
      </x:c>
      <x:c r="M1199" s="12" t="str">
        <x:v>HX2_NORMAL|4</x:v>
      </x:c>
      <x:c r="N1199" s="12" t="str">
        <x:v>1号宿舍楼</x:v>
      </x:c>
      <x:c r="O1199" s="12" t="n">
        <x:f>IFERROR(INDEX('秒级路线参数_可调整'!$O:$O,MATCH(M1199,'秒级路线参数_可调整'!$A:$A,0)),"")</x:f>
        <x:v>165</x:v>
      </x:c>
      <x:c r="P1199" s="12" t="n">
        <x:f>IF(O1199="","",O1199/86400)</x:f>
        <x:v>0.0019097222222222222</x:v>
      </x:c>
      <x:c r="Q1199" s="12" t="n">
        <x:f>IF(O1199="","",(H1199*60+O1199)/86400)</x:f>
        <x:v>0.8144097222222222</x:v>
      </x:c>
      <x:c r="R1199" s="12" t="str">
        <x:f>IF(Q1199="","",TEXT(Q1199,"hh:mm:ss"))</x:f>
        <x:v>19:32:45</x:v>
      </x:c>
      <x:c r="S1199" s="12" t="str">
        <x:v>否</x:v>
      </x:c>
      <x:c r="T1199" s="12" t="str">
        <x:v>否</x:v>
      </x:c>
      <x:c r="U1199" s="12" t="str">
        <x:v>未提供</x:v>
      </x:c>
      <x:c r="V1199" s="12" t="str">
        <x:v>未提供</x:v>
      </x:c>
      <x:c r="W1199" s="12" t="str">
        <x:v>秒级预测</x:v>
      </x:c>
      <x:c r="X1199" s="12" t="str">
        <x:v>基于路线秒级参数；如录入实测或手动采用秒，预计到达时间可随公式更新</x:v>
      </x:c>
    </x:row>
    <x:row r="1200">
      <x:c r="A1200" s="12" t="str">
        <x:v>S0103-05</x:v>
      </x:c>
      <x:c r="B1200" s="12" t="str">
        <x:v>S0103</x:v>
      </x:c>
      <x:c r="C1200" s="12" t="str">
        <x:v>工作日</x:v>
      </x:c>
      <x:c r="D1200" s="12" t="str">
        <x:v>环线2路</x:v>
      </x:c>
      <x:c r="E1200" s="12" t="str">
        <x:v>第二班</x:v>
      </x:c>
      <x:c r="F1200" s="12" t="n">
        <x:v>14</x:v>
      </x:c>
      <x:c r="G1200" s="12" t="str">
        <x:v>19:30</x:v>
      </x:c>
      <x:c r="H1200" s="12" t="n">
        <x:v>1170</x:v>
      </x:c>
      <x:c r="I1200" s="12" t="str">
        <x:v>研究生宿舍楼</x:v>
      </x:c>
      <x:c r="J1200" s="12" t="str">
        <x:v>研究生宿舍楼发车</x:v>
      </x:c>
      <x:c r="K1200" s="12" t="str">
        <x:v>HX2_NORMAL</x:v>
      </x:c>
      <x:c r="L1200" s="12" t="n">
        <x:v>5</x:v>
      </x:c>
      <x:c r="M1200" s="12" t="str">
        <x:v>HX2_NORMAL|5</x:v>
      </x:c>
      <x:c r="N1200" s="12" t="str">
        <x:v>水上训练中心</x:v>
      </x:c>
      <x:c r="O1200" s="12" t="n">
        <x:f>IFERROR(INDEX('秒级路线参数_可调整'!$O:$O,MATCH(M1200,'秒级路线参数_可调整'!$A:$A,0)),"")</x:f>
        <x:v>250</x:v>
      </x:c>
      <x:c r="P1200" s="12" t="n">
        <x:f>IF(O1200="","",O1200/86400)</x:f>
        <x:v>0.0028935185185185184</x:v>
      </x:c>
      <x:c r="Q1200" s="12" t="n">
        <x:f>IF(O1200="","",(H1200*60+O1200)/86400)</x:f>
        <x:v>0.8153935185185185</x:v>
      </x:c>
      <x:c r="R1200" s="12" t="str">
        <x:f>IF(Q1200="","",TEXT(Q1200,"hh:mm:ss"))</x:f>
        <x:v>19:34:10</x:v>
      </x:c>
      <x:c r="S1200" s="12" t="str">
        <x:v>否</x:v>
      </x:c>
      <x:c r="T1200" s="12" t="str">
        <x:v>否</x:v>
      </x:c>
      <x:c r="U1200" s="12" t="str">
        <x:v>未提供</x:v>
      </x:c>
      <x:c r="V1200" s="12" t="str">
        <x:v>未提供</x:v>
      </x:c>
      <x:c r="W1200" s="12" t="str">
        <x:v>秒级预测</x:v>
      </x:c>
      <x:c r="X1200" s="12" t="str">
        <x:v>基于路线秒级参数；如录入实测或手动采用秒，预计到达时间可随公式更新</x:v>
      </x:c>
    </x:row>
    <x:row r="1201">
      <x:c r="A1201" s="12" t="str">
        <x:v>S0103-06</x:v>
      </x:c>
      <x:c r="B1201" s="12" t="str">
        <x:v>S0103</x:v>
      </x:c>
      <x:c r="C1201" s="12" t="str">
        <x:v>工作日</x:v>
      </x:c>
      <x:c r="D1201" s="12" t="str">
        <x:v>环线2路</x:v>
      </x:c>
      <x:c r="E1201" s="12" t="str">
        <x:v>第二班</x:v>
      </x:c>
      <x:c r="F1201" s="12" t="n">
        <x:v>14</x:v>
      </x:c>
      <x:c r="G1201" s="12" t="str">
        <x:v>19:30</x:v>
      </x:c>
      <x:c r="H1201" s="12" t="n">
        <x:v>1170</x:v>
      </x:c>
      <x:c r="I1201" s="12" t="str">
        <x:v>研究生宿舍楼</x:v>
      </x:c>
      <x:c r="J1201" s="12" t="str">
        <x:v>研究生宿舍楼发车</x:v>
      </x:c>
      <x:c r="K1201" s="12" t="str">
        <x:v>HX2_NORMAL</x:v>
      </x:c>
      <x:c r="L1201" s="12" t="n">
        <x:v>6</x:v>
      </x:c>
      <x:c r="M1201" s="12" t="str">
        <x:v>HX2_NORMAL|6</x:v>
      </x:c>
      <x:c r="N1201" s="12" t="str">
        <x:v>军体活动中心</x:v>
      </x:c>
      <x:c r="O1201" s="12" t="n">
        <x:f>IFERROR(INDEX('秒级路线参数_可调整'!$O:$O,MATCH(M1201,'秒级路线参数_可调整'!$A:$A,0)),"")</x:f>
        <x:v>315</x:v>
      </x:c>
      <x:c r="P1201" s="12" t="n">
        <x:f>IF(O1201="","",O1201/86400)</x:f>
        <x:v>0.0036458333333333334</x:v>
      </x:c>
      <x:c r="Q1201" s="12" t="n">
        <x:f>IF(O1201="","",(H1201*60+O1201)/86400)</x:f>
        <x:v>0.8161458333333333</x:v>
      </x:c>
      <x:c r="R1201" s="12" t="str">
        <x:f>IF(Q1201="","",TEXT(Q1201,"hh:mm:ss"))</x:f>
        <x:v>19:35:15</x:v>
      </x:c>
      <x:c r="S1201" s="12" t="str">
        <x:v>否</x:v>
      </x:c>
      <x:c r="T1201" s="12" t="str">
        <x:v>否</x:v>
      </x:c>
      <x:c r="U1201" s="12" t="str">
        <x:v>未提供</x:v>
      </x:c>
      <x:c r="V1201" s="12" t="str">
        <x:v>未提供</x:v>
      </x:c>
      <x:c r="W1201" s="12" t="str">
        <x:v>秒级预测</x:v>
      </x:c>
      <x:c r="X1201" s="12" t="str">
        <x:v>基于路线秒级参数；如录入实测或手动采用秒，预计到达时间可随公式更新</x:v>
      </x:c>
    </x:row>
    <x:row r="1202">
      <x:c r="A1202" s="12" t="str">
        <x:v>S0103-07</x:v>
      </x:c>
      <x:c r="B1202" s="12" t="str">
        <x:v>S0103</x:v>
      </x:c>
      <x:c r="C1202" s="12" t="str">
        <x:v>工作日</x:v>
      </x:c>
      <x:c r="D1202" s="12" t="str">
        <x:v>环线2路</x:v>
      </x:c>
      <x:c r="E1202" s="12" t="str">
        <x:v>第二班</x:v>
      </x:c>
      <x:c r="F1202" s="12" t="n">
        <x:v>14</x:v>
      </x:c>
      <x:c r="G1202" s="12" t="str">
        <x:v>19:30</x:v>
      </x:c>
      <x:c r="H1202" s="12" t="n">
        <x:v>1170</x:v>
      </x:c>
      <x:c r="I1202" s="12" t="str">
        <x:v>研究生宿舍楼</x:v>
      </x:c>
      <x:c r="J1202" s="12" t="str">
        <x:v>研究生宿舍楼发车</x:v>
      </x:c>
      <x:c r="K1202" s="12" t="str">
        <x:v>HX2_NORMAL</x:v>
      </x:c>
      <x:c r="L1202" s="12" t="n">
        <x:v>7</x:v>
      </x:c>
      <x:c r="M1202" s="12" t="str">
        <x:v>HX2_NORMAL|7</x:v>
      </x:c>
      <x:c r="N1202" s="12" t="str">
        <x:v>二食堂</x:v>
      </x:c>
      <x:c r="O1202" s="12" t="n">
        <x:f>IFERROR(INDEX('秒级路线参数_可调整'!$O:$O,MATCH(M1202,'秒级路线参数_可调整'!$A:$A,0)),"")</x:f>
        <x:v>420</x:v>
      </x:c>
      <x:c r="P1202" s="12" t="n">
        <x:f>IF(O1202="","",O1202/86400)</x:f>
        <x:v>0.004861111111111111</x:v>
      </x:c>
      <x:c r="Q1202" s="12" t="n">
        <x:f>IF(O1202="","",(H1202*60+O1202)/86400)</x:f>
        <x:v>0.8173611111111111</x:v>
      </x:c>
      <x:c r="R1202" s="12" t="str">
        <x:f>IF(Q1202="","",TEXT(Q1202,"hh:mm:ss"))</x:f>
        <x:v>19:37:00</x:v>
      </x:c>
      <x:c r="S1202" s="12" t="str">
        <x:v>否</x:v>
      </x:c>
      <x:c r="T1202" s="12" t="str">
        <x:v>否</x:v>
      </x:c>
      <x:c r="U1202" s="12" t="str">
        <x:v>未提供</x:v>
      </x:c>
      <x:c r="V1202" s="12" t="str">
        <x:v>未提供</x:v>
      </x:c>
      <x:c r="W1202" s="12" t="str">
        <x:v>秒级预测</x:v>
      </x:c>
      <x:c r="X1202" s="12" t="str">
        <x:v>基于路线秒级参数；如录入实测或手动采用秒，预计到达时间可随公式更新</x:v>
      </x:c>
    </x:row>
    <x:row r="1203">
      <x:c r="A1203" s="12" t="str">
        <x:v>S0103-08</x:v>
      </x:c>
      <x:c r="B1203" s="12" t="str">
        <x:v>S0103</x:v>
      </x:c>
      <x:c r="C1203" s="12" t="str">
        <x:v>工作日</x:v>
      </x:c>
      <x:c r="D1203" s="12" t="str">
        <x:v>环线2路</x:v>
      </x:c>
      <x:c r="E1203" s="12" t="str">
        <x:v>第二班</x:v>
      </x:c>
      <x:c r="F1203" s="12" t="n">
        <x:v>14</x:v>
      </x:c>
      <x:c r="G1203" s="12" t="str">
        <x:v>19:30</x:v>
      </x:c>
      <x:c r="H1203" s="12" t="n">
        <x:v>1170</x:v>
      </x:c>
      <x:c r="I1203" s="12" t="str">
        <x:v>研究生宿舍楼</x:v>
      </x:c>
      <x:c r="J1203" s="12" t="str">
        <x:v>研究生宿舍楼发车</x:v>
      </x:c>
      <x:c r="K1203" s="12" t="str">
        <x:v>HX2_NORMAL</x:v>
      </x:c>
      <x:c r="L1203" s="12" t="n">
        <x:v>8</x:v>
      </x:c>
      <x:c r="M1203" s="12" t="str">
        <x:v>HX2_NORMAL|8</x:v>
      </x:c>
      <x:c r="N1203" s="12" t="str">
        <x:v>5号宿舍楼</x:v>
      </x:c>
      <x:c r="O1203" s="12" t="n">
        <x:f>IFERROR(INDEX('秒级路线参数_可调整'!$O:$O,MATCH(M1203,'秒级路线参数_可调整'!$A:$A,0)),"")</x:f>
        <x:v>480</x:v>
      </x:c>
      <x:c r="P1203" s="12" t="n">
        <x:f>IF(O1203="","",O1203/86400)</x:f>
        <x:v>0.005555555555555556</x:v>
      </x:c>
      <x:c r="Q1203" s="12" t="n">
        <x:f>IF(O1203="","",(H1203*60+O1203)/86400)</x:f>
        <x:v>0.8180555555555555</x:v>
      </x:c>
      <x:c r="R1203" s="12" t="str">
        <x:f>IF(Q1203="","",TEXT(Q1203,"hh:mm:ss"))</x:f>
        <x:v>19:38:00</x:v>
      </x:c>
      <x:c r="S1203" s="12" t="str">
        <x:v>否</x:v>
      </x:c>
      <x:c r="T1203" s="12" t="str">
        <x:v>否</x:v>
      </x:c>
      <x:c r="U1203" s="12" t="str">
        <x:v>未提供</x:v>
      </x:c>
      <x:c r="V1203" s="12" t="str">
        <x:v>未提供</x:v>
      </x:c>
      <x:c r="W1203" s="12" t="str">
        <x:v>秒级预测</x:v>
      </x:c>
      <x:c r="X1203" s="12" t="str">
        <x:v>基于路线秒级参数；如录入实测或手动采用秒，预计到达时间可随公式更新</x:v>
      </x:c>
    </x:row>
    <x:row r="1204">
      <x:c r="A1204" s="12" t="str">
        <x:v>S0103-09</x:v>
      </x:c>
      <x:c r="B1204" s="12" t="str">
        <x:v>S0103</x:v>
      </x:c>
      <x:c r="C1204" s="12" t="str">
        <x:v>工作日</x:v>
      </x:c>
      <x:c r="D1204" s="12" t="str">
        <x:v>环线2路</x:v>
      </x:c>
      <x:c r="E1204" s="12" t="str">
        <x:v>第二班</x:v>
      </x:c>
      <x:c r="F1204" s="12" t="n">
        <x:v>14</x:v>
      </x:c>
      <x:c r="G1204" s="12" t="str">
        <x:v>19:30</x:v>
      </x:c>
      <x:c r="H1204" s="12" t="n">
        <x:v>1170</x:v>
      </x:c>
      <x:c r="I1204" s="12" t="str">
        <x:v>研究生宿舍楼</x:v>
      </x:c>
      <x:c r="J1204" s="12" t="str">
        <x:v>研究生宿舍楼发车</x:v>
      </x:c>
      <x:c r="K1204" s="12" t="str">
        <x:v>HX2_NORMAL</x:v>
      </x:c>
      <x:c r="L1204" s="12" t="n">
        <x:v>9</x:v>
      </x:c>
      <x:c r="M1204" s="12" t="str">
        <x:v>HX2_NORMAL|9</x:v>
      </x:c>
      <x:c r="N1204" s="12" t="str">
        <x:v>305教学楼</x:v>
      </x:c>
      <x:c r="O1204" s="12" t="n">
        <x:f>IFERROR(INDEX('秒级路线参数_可调整'!$O:$O,MATCH(M1204,'秒级路线参数_可调整'!$A:$A,0)),"")</x:f>
        <x:v>535</x:v>
      </x:c>
      <x:c r="P1204" s="12" t="n">
        <x:f>IF(O1204="","",O1204/86400)</x:f>
        <x:v>0.00619212962962963</x:v>
      </x:c>
      <x:c r="Q1204" s="12" t="n">
        <x:f>IF(O1204="","",(H1204*60+O1204)/86400)</x:f>
        <x:v>0.8186921296296297</x:v>
      </x:c>
      <x:c r="R1204" s="12" t="str">
        <x:f>IF(Q1204="","",TEXT(Q1204,"hh:mm:ss"))</x:f>
        <x:v>19:38:55</x:v>
      </x:c>
      <x:c r="S1204" s="12" t="str">
        <x:v>否</x:v>
      </x:c>
      <x:c r="T1204" s="12" t="str">
        <x:v>否</x:v>
      </x:c>
      <x:c r="U1204" s="12" t="str">
        <x:v>未提供</x:v>
      </x:c>
      <x:c r="V1204" s="12" t="str">
        <x:v>未提供</x:v>
      </x:c>
      <x:c r="W1204" s="12" t="str">
        <x:v>秒级预测</x:v>
      </x:c>
      <x:c r="X1204" s="12" t="str">
        <x:v>基于路线秒级参数；如录入实测或手动采用秒，预计到达时间可随公式更新</x:v>
      </x:c>
    </x:row>
    <x:row r="1205">
      <x:c r="A1205" s="12" t="str">
        <x:v>S0103-10</x:v>
      </x:c>
      <x:c r="B1205" s="12" t="str">
        <x:v>S0103</x:v>
      </x:c>
      <x:c r="C1205" s="12" t="str">
        <x:v>工作日</x:v>
      </x:c>
      <x:c r="D1205" s="12" t="str">
        <x:v>环线2路</x:v>
      </x:c>
      <x:c r="E1205" s="12" t="str">
        <x:v>第二班</x:v>
      </x:c>
      <x:c r="F1205" s="12" t="n">
        <x:v>14</x:v>
      </x:c>
      <x:c r="G1205" s="12" t="str">
        <x:v>19:30</x:v>
      </x:c>
      <x:c r="H1205" s="12" t="n">
        <x:v>1170</x:v>
      </x:c>
      <x:c r="I1205" s="12" t="str">
        <x:v>研究生宿舍楼</x:v>
      </x:c>
      <x:c r="J1205" s="12" t="str">
        <x:v>研究生宿舍楼发车</x:v>
      </x:c>
      <x:c r="K1205" s="12" t="str">
        <x:v>HX2_NORMAL</x:v>
      </x:c>
      <x:c r="L1205" s="12" t="n">
        <x:v>10</x:v>
      </x:c>
      <x:c r="M1205" s="12" t="str">
        <x:v>HX2_NORMAL|10</x:v>
      </x:c>
      <x:c r="N1205" s="12" t="str">
        <x:v>研究生宿舍楼</x:v>
      </x:c>
      <x:c r="O1205" s="12" t="n">
        <x:f>IFERROR(INDEX('秒级路线参数_可调整'!$O:$O,MATCH(M1205,'秒级路线参数_可调整'!$A:$A,0)),"")</x:f>
        <x:v>715</x:v>
      </x:c>
      <x:c r="P1205" s="12" t="n">
        <x:f>IF(O1205="","",O1205/86400)</x:f>
        <x:v>0.008275462962962964</x:v>
      </x:c>
      <x:c r="Q1205" s="12" t="n">
        <x:f>IF(O1205="","",(H1205*60+O1205)/86400)</x:f>
        <x:v>0.820775462962963</x:v>
      </x:c>
      <x:c r="R1205" s="12" t="str">
        <x:f>IF(Q1205="","",TEXT(Q1205,"hh:mm:ss"))</x:f>
        <x:v>19:41:55</x:v>
      </x:c>
      <x:c r="S1205" s="12" t="str">
        <x:v>否</x:v>
      </x:c>
      <x:c r="T1205" s="12" t="str">
        <x:v>是</x:v>
      </x:c>
      <x:c r="U1205" s="12" t="str">
        <x:v>未提供</x:v>
      </x:c>
      <x:c r="V1205" s="12" t="str">
        <x:v>未提供</x:v>
      </x:c>
      <x:c r="W1205" s="12" t="str">
        <x:v>秒级预测</x:v>
      </x:c>
      <x:c r="X1205" s="12" t="str">
        <x:v>基于路线秒级参数；如录入实测或手动采用秒，预计到达时间可随公式更新</x:v>
      </x:c>
    </x:row>
    <x:row r="1206">
      <x:c r="A1206" s="12" t="str">
        <x:v>S0104-01</x:v>
      </x:c>
      <x:c r="B1206" s="12" t="str">
        <x:v>S0104</x:v>
      </x:c>
      <x:c r="C1206" s="12" t="str">
        <x:v>工作日</x:v>
      </x:c>
      <x:c r="D1206" s="12" t="str">
        <x:v>环线2路</x:v>
      </x:c>
      <x:c r="E1206" s="12" t="str">
        <x:v>第二班</x:v>
      </x:c>
      <x:c r="F1206" s="12" t="n">
        <x:v>15</x:v>
      </x:c>
      <x:c r="G1206" s="12" t="str">
        <x:v>19:50</x:v>
      </x:c>
      <x:c r="H1206" s="12" t="n">
        <x:v>1190</x:v>
      </x:c>
      <x:c r="I1206" s="12" t="str">
        <x:v>研究生宿舍楼</x:v>
      </x:c>
      <x:c r="J1206" s="12" t="str">
        <x:v>研究生宿舍楼发车</x:v>
      </x:c>
      <x:c r="K1206" s="12" t="str">
        <x:v>HX2_NORMAL</x:v>
      </x:c>
      <x:c r="L1206" s="12" t="n">
        <x:v>1</x:v>
      </x:c>
      <x:c r="M1206" s="12" t="str">
        <x:v>HX2_NORMAL|1</x:v>
      </x:c>
      <x:c r="N1206" s="12" t="str">
        <x:v>研究生宿舍楼</x:v>
      </x:c>
      <x:c r="O1206" s="12" t="n">
        <x:f>IFERROR(INDEX('秒级路线参数_可调整'!$O:$O,MATCH(M1206,'秒级路线参数_可调整'!$A:$A,0)),"")</x:f>
        <x:v>0</x:v>
      </x:c>
      <x:c r="P1206" s="12" t="str">
        <x:f>IF(O1206="","",O1206/86400)</x:f>
      </x:c>
      <x:c r="Q1206" s="12" t="str">
        <x:f>IF(O1206="","",(H1206*60+O1206)/86400)</x:f>
      </x:c>
      <x:c r="R1206" s="12" t="str">
        <x:f>IF(Q1206="","",TEXT(Q1206,"hh:mm:ss"))</x:f>
      </x:c>
      <x:c r="S1206" s="12" t="str">
        <x:v>是</x:v>
      </x:c>
      <x:c r="T1206" s="12" t="str">
        <x:v>否</x:v>
      </x:c>
      <x:c r="U1206" s="12" t="str">
        <x:v>未提供</x:v>
      </x:c>
      <x:c r="V1206" s="12" t="str">
        <x:v>未提供</x:v>
      </x:c>
      <x:c r="W1206" s="12" t="str">
        <x:v>秒级预测</x:v>
      </x:c>
      <x:c r="X1206" s="12" t="str">
        <x:v>基于路线秒级参数；如录入实测或手动采用秒，预计到达时间可随公式更新</x:v>
      </x:c>
    </x:row>
    <x:row r="1207">
      <x:c r="A1207" s="12" t="str">
        <x:v>S0104-02</x:v>
      </x:c>
      <x:c r="B1207" s="12" t="str">
        <x:v>S0104</x:v>
      </x:c>
      <x:c r="C1207" s="12" t="str">
        <x:v>工作日</x:v>
      </x:c>
      <x:c r="D1207" s="12" t="str">
        <x:v>环线2路</x:v>
      </x:c>
      <x:c r="E1207" s="12" t="str">
        <x:v>第二班</x:v>
      </x:c>
      <x:c r="F1207" s="12" t="n">
        <x:v>15</x:v>
      </x:c>
      <x:c r="G1207" s="12" t="str">
        <x:v>19:50</x:v>
      </x:c>
      <x:c r="H1207" s="12" t="n">
        <x:v>1190</x:v>
      </x:c>
      <x:c r="I1207" s="12" t="str">
        <x:v>研究生宿舍楼</x:v>
      </x:c>
      <x:c r="J1207" s="12" t="str">
        <x:v>研究生宿舍楼发车</x:v>
      </x:c>
      <x:c r="K1207" s="12" t="str">
        <x:v>HX2_NORMAL</x:v>
      </x:c>
      <x:c r="L1207" s="12" t="n">
        <x:v>2</x:v>
      </x:c>
      <x:c r="M1207" s="12" t="str">
        <x:v>HX2_NORMAL|2</x:v>
      </x:c>
      <x:c r="N1207" s="12" t="str">
        <x:v>一食堂</x:v>
      </x:c>
      <x:c r="O1207" s="12" t="n">
        <x:f>IFERROR(INDEX('秒级路线参数_可调整'!$O:$O,MATCH(M1207,'秒级路线参数_可调整'!$A:$A,0)),"")</x:f>
        <x:v>65</x:v>
      </x:c>
      <x:c r="P1207" s="12" t="n">
        <x:f>IF(O1207="","",O1207/86400)</x:f>
        <x:v>0.0007523148148148148</x:v>
      </x:c>
      <x:c r="Q1207" s="12" t="n">
        <x:f>IF(O1207="","",(H1207*60+O1207)/86400)</x:f>
        <x:v>0.8271412037037037</x:v>
      </x:c>
      <x:c r="R1207" s="12" t="str">
        <x:f>IF(Q1207="","",TEXT(Q1207,"hh:mm:ss"))</x:f>
        <x:v>19:51:05</x:v>
      </x:c>
      <x:c r="S1207" s="12" t="str">
        <x:v>否</x:v>
      </x:c>
      <x:c r="T1207" s="12" t="str">
        <x:v>否</x:v>
      </x:c>
      <x:c r="U1207" s="12" t="str">
        <x:v>未提供</x:v>
      </x:c>
      <x:c r="V1207" s="12" t="str">
        <x:v>未提供</x:v>
      </x:c>
      <x:c r="W1207" s="12" t="str">
        <x:v>秒级预测</x:v>
      </x:c>
      <x:c r="X1207" s="12" t="str">
        <x:v>基于路线秒级参数；如录入实测或手动采用秒，预计到达时间可随公式更新</x:v>
      </x:c>
    </x:row>
    <x:row r="1208">
      <x:c r="A1208" s="12" t="str">
        <x:v>S0104-03</x:v>
      </x:c>
      <x:c r="B1208" s="12" t="str">
        <x:v>S0104</x:v>
      </x:c>
      <x:c r="C1208" s="12" t="str">
        <x:v>工作日</x:v>
      </x:c>
      <x:c r="D1208" s="12" t="str">
        <x:v>环线2路</x:v>
      </x:c>
      <x:c r="E1208" s="12" t="str">
        <x:v>第二班</x:v>
      </x:c>
      <x:c r="F1208" s="12" t="n">
        <x:v>15</x:v>
      </x:c>
      <x:c r="G1208" s="12" t="str">
        <x:v>19:50</x:v>
      </x:c>
      <x:c r="H1208" s="12" t="n">
        <x:v>1190</x:v>
      </x:c>
      <x:c r="I1208" s="12" t="str">
        <x:v>研究生宿舍楼</x:v>
      </x:c>
      <x:c r="J1208" s="12" t="str">
        <x:v>研究生宿舍楼发车</x:v>
      </x:c>
      <x:c r="K1208" s="12" t="str">
        <x:v>HX2_NORMAL</x:v>
      </x:c>
      <x:c r="L1208" s="12" t="n">
        <x:v>3</x:v>
      </x:c>
      <x:c r="M1208" s="12" t="str">
        <x:v>HX2_NORMAL|3</x:v>
      </x:c>
      <x:c r="N1208" s="12" t="str">
        <x:v>门诊部</x:v>
      </x:c>
      <x:c r="O1208" s="12" t="n">
        <x:f>IFERROR(INDEX('秒级路线参数_可调整'!$O:$O,MATCH(M1208,'秒级路线参数_可调整'!$A:$A,0)),"")</x:f>
        <x:v>120</x:v>
      </x:c>
      <x:c r="P1208" s="12" t="n">
        <x:f>IF(O1208="","",O1208/86400)</x:f>
        <x:v>0.001388888888888889</x:v>
      </x:c>
      <x:c r="Q1208" s="12" t="n">
        <x:f>IF(O1208="","",(H1208*60+O1208)/86400)</x:f>
        <x:v>0.8277777777777777</x:v>
      </x:c>
      <x:c r="R1208" s="12" t="str">
        <x:f>IF(Q1208="","",TEXT(Q1208,"hh:mm:ss"))</x:f>
        <x:v>19:52:00</x:v>
      </x:c>
      <x:c r="S1208" s="12" t="str">
        <x:v>否</x:v>
      </x:c>
      <x:c r="T1208" s="12" t="str">
        <x:v>否</x:v>
      </x:c>
      <x:c r="U1208" s="12" t="str">
        <x:v>未提供</x:v>
      </x:c>
      <x:c r="V1208" s="12" t="str">
        <x:v>未提供</x:v>
      </x:c>
      <x:c r="W1208" s="12" t="str">
        <x:v>秒级预测</x:v>
      </x:c>
      <x:c r="X1208" s="12" t="str">
        <x:v>基于路线秒级参数；如录入实测或手动采用秒，预计到达时间可随公式更新</x:v>
      </x:c>
    </x:row>
    <x:row r="1209">
      <x:c r="A1209" s="12" t="str">
        <x:v>S0104-04</x:v>
      </x:c>
      <x:c r="B1209" s="12" t="str">
        <x:v>S0104</x:v>
      </x:c>
      <x:c r="C1209" s="12" t="str">
        <x:v>工作日</x:v>
      </x:c>
      <x:c r="D1209" s="12" t="str">
        <x:v>环线2路</x:v>
      </x:c>
      <x:c r="E1209" s="12" t="str">
        <x:v>第二班</x:v>
      </x:c>
      <x:c r="F1209" s="12" t="n">
        <x:v>15</x:v>
      </x:c>
      <x:c r="G1209" s="12" t="str">
        <x:v>19:50</x:v>
      </x:c>
      <x:c r="H1209" s="12" t="n">
        <x:v>1190</x:v>
      </x:c>
      <x:c r="I1209" s="12" t="str">
        <x:v>研究生宿舍楼</x:v>
      </x:c>
      <x:c r="J1209" s="12" t="str">
        <x:v>研究生宿舍楼发车</x:v>
      </x:c>
      <x:c r="K1209" s="12" t="str">
        <x:v>HX2_NORMAL</x:v>
      </x:c>
      <x:c r="L1209" s="12" t="n">
        <x:v>4</x:v>
      </x:c>
      <x:c r="M1209" s="12" t="str">
        <x:v>HX2_NORMAL|4</x:v>
      </x:c>
      <x:c r="N1209" s="12" t="str">
        <x:v>1号宿舍楼</x:v>
      </x:c>
      <x:c r="O1209" s="12" t="n">
        <x:f>IFERROR(INDEX('秒级路线参数_可调整'!$O:$O,MATCH(M1209,'秒级路线参数_可调整'!$A:$A,0)),"")</x:f>
        <x:v>165</x:v>
      </x:c>
      <x:c r="P1209" s="12" t="n">
        <x:f>IF(O1209="","",O1209/86400)</x:f>
        <x:v>0.0019097222222222222</x:v>
      </x:c>
      <x:c r="Q1209" s="12" t="n">
        <x:f>IF(O1209="","",(H1209*60+O1209)/86400)</x:f>
        <x:v>0.8282986111111111</x:v>
      </x:c>
      <x:c r="R1209" s="12" t="str">
        <x:f>IF(Q1209="","",TEXT(Q1209,"hh:mm:ss"))</x:f>
        <x:v>19:52:45</x:v>
      </x:c>
      <x:c r="S1209" s="12" t="str">
        <x:v>否</x:v>
      </x:c>
      <x:c r="T1209" s="12" t="str">
        <x:v>否</x:v>
      </x:c>
      <x:c r="U1209" s="12" t="str">
        <x:v>未提供</x:v>
      </x:c>
      <x:c r="V1209" s="12" t="str">
        <x:v>未提供</x:v>
      </x:c>
      <x:c r="W1209" s="12" t="str">
        <x:v>秒级预测</x:v>
      </x:c>
      <x:c r="X1209" s="12" t="str">
        <x:v>基于路线秒级参数；如录入实测或手动采用秒，预计到达时间可随公式更新</x:v>
      </x:c>
    </x:row>
    <x:row r="1210">
      <x:c r="A1210" s="12" t="str">
        <x:v>S0104-05</x:v>
      </x:c>
      <x:c r="B1210" s="12" t="str">
        <x:v>S0104</x:v>
      </x:c>
      <x:c r="C1210" s="12" t="str">
        <x:v>工作日</x:v>
      </x:c>
      <x:c r="D1210" s="12" t="str">
        <x:v>环线2路</x:v>
      </x:c>
      <x:c r="E1210" s="12" t="str">
        <x:v>第二班</x:v>
      </x:c>
      <x:c r="F1210" s="12" t="n">
        <x:v>15</x:v>
      </x:c>
      <x:c r="G1210" s="12" t="str">
        <x:v>19:50</x:v>
      </x:c>
      <x:c r="H1210" s="12" t="n">
        <x:v>1190</x:v>
      </x:c>
      <x:c r="I1210" s="12" t="str">
        <x:v>研究生宿舍楼</x:v>
      </x:c>
      <x:c r="J1210" s="12" t="str">
        <x:v>研究生宿舍楼发车</x:v>
      </x:c>
      <x:c r="K1210" s="12" t="str">
        <x:v>HX2_NORMAL</x:v>
      </x:c>
      <x:c r="L1210" s="12" t="n">
        <x:v>5</x:v>
      </x:c>
      <x:c r="M1210" s="12" t="str">
        <x:v>HX2_NORMAL|5</x:v>
      </x:c>
      <x:c r="N1210" s="12" t="str">
        <x:v>水上训练中心</x:v>
      </x:c>
      <x:c r="O1210" s="12" t="n">
        <x:f>IFERROR(INDEX('秒级路线参数_可调整'!$O:$O,MATCH(M1210,'秒级路线参数_可调整'!$A:$A,0)),"")</x:f>
        <x:v>250</x:v>
      </x:c>
      <x:c r="P1210" s="12" t="n">
        <x:f>IF(O1210="","",O1210/86400)</x:f>
        <x:v>0.0028935185185185184</x:v>
      </x:c>
      <x:c r="Q1210" s="12" t="n">
        <x:f>IF(O1210="","",(H1210*60+O1210)/86400)</x:f>
        <x:v>0.8292824074074074</x:v>
      </x:c>
      <x:c r="R1210" s="12" t="str">
        <x:f>IF(Q1210="","",TEXT(Q1210,"hh:mm:ss"))</x:f>
        <x:v>19:54:10</x:v>
      </x:c>
      <x:c r="S1210" s="12" t="str">
        <x:v>否</x:v>
      </x:c>
      <x:c r="T1210" s="12" t="str">
        <x:v>否</x:v>
      </x:c>
      <x:c r="U1210" s="12" t="str">
        <x:v>未提供</x:v>
      </x:c>
      <x:c r="V1210" s="12" t="str">
        <x:v>未提供</x:v>
      </x:c>
      <x:c r="W1210" s="12" t="str">
        <x:v>秒级预测</x:v>
      </x:c>
      <x:c r="X1210" s="12" t="str">
        <x:v>基于路线秒级参数；如录入实测或手动采用秒，预计到达时间可随公式更新</x:v>
      </x:c>
    </x:row>
    <x:row r="1211">
      <x:c r="A1211" s="12" t="str">
        <x:v>S0104-06</x:v>
      </x:c>
      <x:c r="B1211" s="12" t="str">
        <x:v>S0104</x:v>
      </x:c>
      <x:c r="C1211" s="12" t="str">
        <x:v>工作日</x:v>
      </x:c>
      <x:c r="D1211" s="12" t="str">
        <x:v>环线2路</x:v>
      </x:c>
      <x:c r="E1211" s="12" t="str">
        <x:v>第二班</x:v>
      </x:c>
      <x:c r="F1211" s="12" t="n">
        <x:v>15</x:v>
      </x:c>
      <x:c r="G1211" s="12" t="str">
        <x:v>19:50</x:v>
      </x:c>
      <x:c r="H1211" s="12" t="n">
        <x:v>1190</x:v>
      </x:c>
      <x:c r="I1211" s="12" t="str">
        <x:v>研究生宿舍楼</x:v>
      </x:c>
      <x:c r="J1211" s="12" t="str">
        <x:v>研究生宿舍楼发车</x:v>
      </x:c>
      <x:c r="K1211" s="12" t="str">
        <x:v>HX2_NORMAL</x:v>
      </x:c>
      <x:c r="L1211" s="12" t="n">
        <x:v>6</x:v>
      </x:c>
      <x:c r="M1211" s="12" t="str">
        <x:v>HX2_NORMAL|6</x:v>
      </x:c>
      <x:c r="N1211" s="12" t="str">
        <x:v>军体活动中心</x:v>
      </x:c>
      <x:c r="O1211" s="12" t="n">
        <x:f>IFERROR(INDEX('秒级路线参数_可调整'!$O:$O,MATCH(M1211,'秒级路线参数_可调整'!$A:$A,0)),"")</x:f>
        <x:v>315</x:v>
      </x:c>
      <x:c r="P1211" s="12" t="n">
        <x:f>IF(O1211="","",O1211/86400)</x:f>
        <x:v>0.0036458333333333334</x:v>
      </x:c>
      <x:c r="Q1211" s="12" t="n">
        <x:f>IF(O1211="","",(H1211*60+O1211)/86400)</x:f>
        <x:v>0.8300347222222222</x:v>
      </x:c>
      <x:c r="R1211" s="12" t="str">
        <x:f>IF(Q1211="","",TEXT(Q1211,"hh:mm:ss"))</x:f>
        <x:v>19:55:15</x:v>
      </x:c>
      <x:c r="S1211" s="12" t="str">
        <x:v>否</x:v>
      </x:c>
      <x:c r="T1211" s="12" t="str">
        <x:v>否</x:v>
      </x:c>
      <x:c r="U1211" s="12" t="str">
        <x:v>未提供</x:v>
      </x:c>
      <x:c r="V1211" s="12" t="str">
        <x:v>未提供</x:v>
      </x:c>
      <x:c r="W1211" s="12" t="str">
        <x:v>秒级预测</x:v>
      </x:c>
      <x:c r="X1211" s="12" t="str">
        <x:v>基于路线秒级参数；如录入实测或手动采用秒，预计到达时间可随公式更新</x:v>
      </x:c>
    </x:row>
    <x:row r="1212">
      <x:c r="A1212" s="12" t="str">
        <x:v>S0104-07</x:v>
      </x:c>
      <x:c r="B1212" s="12" t="str">
        <x:v>S0104</x:v>
      </x:c>
      <x:c r="C1212" s="12" t="str">
        <x:v>工作日</x:v>
      </x:c>
      <x:c r="D1212" s="12" t="str">
        <x:v>环线2路</x:v>
      </x:c>
      <x:c r="E1212" s="12" t="str">
        <x:v>第二班</x:v>
      </x:c>
      <x:c r="F1212" s="12" t="n">
        <x:v>15</x:v>
      </x:c>
      <x:c r="G1212" s="12" t="str">
        <x:v>19:50</x:v>
      </x:c>
      <x:c r="H1212" s="12" t="n">
        <x:v>1190</x:v>
      </x:c>
      <x:c r="I1212" s="12" t="str">
        <x:v>研究生宿舍楼</x:v>
      </x:c>
      <x:c r="J1212" s="12" t="str">
        <x:v>研究生宿舍楼发车</x:v>
      </x:c>
      <x:c r="K1212" s="12" t="str">
        <x:v>HX2_NORMAL</x:v>
      </x:c>
      <x:c r="L1212" s="12" t="n">
        <x:v>7</x:v>
      </x:c>
      <x:c r="M1212" s="12" t="str">
        <x:v>HX2_NORMAL|7</x:v>
      </x:c>
      <x:c r="N1212" s="12" t="str">
        <x:v>二食堂</x:v>
      </x:c>
      <x:c r="O1212" s="12" t="n">
        <x:f>IFERROR(INDEX('秒级路线参数_可调整'!$O:$O,MATCH(M1212,'秒级路线参数_可调整'!$A:$A,0)),"")</x:f>
        <x:v>420</x:v>
      </x:c>
      <x:c r="P1212" s="12" t="n">
        <x:f>IF(O1212="","",O1212/86400)</x:f>
        <x:v>0.004861111111111111</x:v>
      </x:c>
      <x:c r="Q1212" s="12" t="n">
        <x:f>IF(O1212="","",(H1212*60+O1212)/86400)</x:f>
        <x:v>0.83125</x:v>
      </x:c>
      <x:c r="R1212" s="12" t="str">
        <x:f>IF(Q1212="","",TEXT(Q1212,"hh:mm:ss"))</x:f>
        <x:v>19:57:00</x:v>
      </x:c>
      <x:c r="S1212" s="12" t="str">
        <x:v>否</x:v>
      </x:c>
      <x:c r="T1212" s="12" t="str">
        <x:v>否</x:v>
      </x:c>
      <x:c r="U1212" s="12" t="str">
        <x:v>未提供</x:v>
      </x:c>
      <x:c r="V1212" s="12" t="str">
        <x:v>未提供</x:v>
      </x:c>
      <x:c r="W1212" s="12" t="str">
        <x:v>秒级预测</x:v>
      </x:c>
      <x:c r="X1212" s="12" t="str">
        <x:v>基于路线秒级参数；如录入实测或手动采用秒，预计到达时间可随公式更新</x:v>
      </x:c>
    </x:row>
    <x:row r="1213">
      <x:c r="A1213" s="12" t="str">
        <x:v>S0104-08</x:v>
      </x:c>
      <x:c r="B1213" s="12" t="str">
        <x:v>S0104</x:v>
      </x:c>
      <x:c r="C1213" s="12" t="str">
        <x:v>工作日</x:v>
      </x:c>
      <x:c r="D1213" s="12" t="str">
        <x:v>环线2路</x:v>
      </x:c>
      <x:c r="E1213" s="12" t="str">
        <x:v>第二班</x:v>
      </x:c>
      <x:c r="F1213" s="12" t="n">
        <x:v>15</x:v>
      </x:c>
      <x:c r="G1213" s="12" t="str">
        <x:v>19:50</x:v>
      </x:c>
      <x:c r="H1213" s="12" t="n">
        <x:v>1190</x:v>
      </x:c>
      <x:c r="I1213" s="12" t="str">
        <x:v>研究生宿舍楼</x:v>
      </x:c>
      <x:c r="J1213" s="12" t="str">
        <x:v>研究生宿舍楼发车</x:v>
      </x:c>
      <x:c r="K1213" s="12" t="str">
        <x:v>HX2_NORMAL</x:v>
      </x:c>
      <x:c r="L1213" s="12" t="n">
        <x:v>8</x:v>
      </x:c>
      <x:c r="M1213" s="12" t="str">
        <x:v>HX2_NORMAL|8</x:v>
      </x:c>
      <x:c r="N1213" s="12" t="str">
        <x:v>5号宿舍楼</x:v>
      </x:c>
      <x:c r="O1213" s="12" t="n">
        <x:f>IFERROR(INDEX('秒级路线参数_可调整'!$O:$O,MATCH(M1213,'秒级路线参数_可调整'!$A:$A,0)),"")</x:f>
        <x:v>480</x:v>
      </x:c>
      <x:c r="P1213" s="12" t="n">
        <x:f>IF(O1213="","",O1213/86400)</x:f>
        <x:v>0.005555555555555556</x:v>
      </x:c>
      <x:c r="Q1213" s="12" t="n">
        <x:f>IF(O1213="","",(H1213*60+O1213)/86400)</x:f>
        <x:v>0.8319444444444445</x:v>
      </x:c>
      <x:c r="R1213" s="12" t="str">
        <x:f>IF(Q1213="","",TEXT(Q1213,"hh:mm:ss"))</x:f>
        <x:v>19:58:00</x:v>
      </x:c>
      <x:c r="S1213" s="12" t="str">
        <x:v>否</x:v>
      </x:c>
      <x:c r="T1213" s="12" t="str">
        <x:v>否</x:v>
      </x:c>
      <x:c r="U1213" s="12" t="str">
        <x:v>未提供</x:v>
      </x:c>
      <x:c r="V1213" s="12" t="str">
        <x:v>未提供</x:v>
      </x:c>
      <x:c r="W1213" s="12" t="str">
        <x:v>秒级预测</x:v>
      </x:c>
      <x:c r="X1213" s="12" t="str">
        <x:v>基于路线秒级参数；如录入实测或手动采用秒，预计到达时间可随公式更新</x:v>
      </x:c>
    </x:row>
    <x:row r="1214">
      <x:c r="A1214" s="12" t="str">
        <x:v>S0104-09</x:v>
      </x:c>
      <x:c r="B1214" s="12" t="str">
        <x:v>S0104</x:v>
      </x:c>
      <x:c r="C1214" s="12" t="str">
        <x:v>工作日</x:v>
      </x:c>
      <x:c r="D1214" s="12" t="str">
        <x:v>环线2路</x:v>
      </x:c>
      <x:c r="E1214" s="12" t="str">
        <x:v>第二班</x:v>
      </x:c>
      <x:c r="F1214" s="12" t="n">
        <x:v>15</x:v>
      </x:c>
      <x:c r="G1214" s="12" t="str">
        <x:v>19:50</x:v>
      </x:c>
      <x:c r="H1214" s="12" t="n">
        <x:v>1190</x:v>
      </x:c>
      <x:c r="I1214" s="12" t="str">
        <x:v>研究生宿舍楼</x:v>
      </x:c>
      <x:c r="J1214" s="12" t="str">
        <x:v>研究生宿舍楼发车</x:v>
      </x:c>
      <x:c r="K1214" s="12" t="str">
        <x:v>HX2_NORMAL</x:v>
      </x:c>
      <x:c r="L1214" s="12" t="n">
        <x:v>9</x:v>
      </x:c>
      <x:c r="M1214" s="12" t="str">
        <x:v>HX2_NORMAL|9</x:v>
      </x:c>
      <x:c r="N1214" s="12" t="str">
        <x:v>305教学楼</x:v>
      </x:c>
      <x:c r="O1214" s="12" t="n">
        <x:f>IFERROR(INDEX('秒级路线参数_可调整'!$O:$O,MATCH(M1214,'秒级路线参数_可调整'!$A:$A,0)),"")</x:f>
        <x:v>535</x:v>
      </x:c>
      <x:c r="P1214" s="12" t="n">
        <x:f>IF(O1214="","",O1214/86400)</x:f>
        <x:v>0.00619212962962963</x:v>
      </x:c>
      <x:c r="Q1214" s="12" t="n">
        <x:f>IF(O1214="","",(H1214*60+O1214)/86400)</x:f>
        <x:v>0.8325810185185185</x:v>
      </x:c>
      <x:c r="R1214" s="12" t="str">
        <x:f>IF(Q1214="","",TEXT(Q1214,"hh:mm:ss"))</x:f>
        <x:v>19:58:55</x:v>
      </x:c>
      <x:c r="S1214" s="12" t="str">
        <x:v>否</x:v>
      </x:c>
      <x:c r="T1214" s="12" t="str">
        <x:v>否</x:v>
      </x:c>
      <x:c r="U1214" s="12" t="str">
        <x:v>未提供</x:v>
      </x:c>
      <x:c r="V1214" s="12" t="str">
        <x:v>未提供</x:v>
      </x:c>
      <x:c r="W1214" s="12" t="str">
        <x:v>秒级预测</x:v>
      </x:c>
      <x:c r="X1214" s="12" t="str">
        <x:v>基于路线秒级参数；如录入实测或手动采用秒，预计到达时间可随公式更新</x:v>
      </x:c>
    </x:row>
    <x:row r="1215">
      <x:c r="A1215" s="12" t="str">
        <x:v>S0104-10</x:v>
      </x:c>
      <x:c r="B1215" s="12" t="str">
        <x:v>S0104</x:v>
      </x:c>
      <x:c r="C1215" s="12" t="str">
        <x:v>工作日</x:v>
      </x:c>
      <x:c r="D1215" s="12" t="str">
        <x:v>环线2路</x:v>
      </x:c>
      <x:c r="E1215" s="12" t="str">
        <x:v>第二班</x:v>
      </x:c>
      <x:c r="F1215" s="12" t="n">
        <x:v>15</x:v>
      </x:c>
      <x:c r="G1215" s="12" t="str">
        <x:v>19:50</x:v>
      </x:c>
      <x:c r="H1215" s="12" t="n">
        <x:v>1190</x:v>
      </x:c>
      <x:c r="I1215" s="12" t="str">
        <x:v>研究生宿舍楼</x:v>
      </x:c>
      <x:c r="J1215" s="12" t="str">
        <x:v>研究生宿舍楼发车</x:v>
      </x:c>
      <x:c r="K1215" s="12" t="str">
        <x:v>HX2_NORMAL</x:v>
      </x:c>
      <x:c r="L1215" s="12" t="n">
        <x:v>10</x:v>
      </x:c>
      <x:c r="M1215" s="12" t="str">
        <x:v>HX2_NORMAL|10</x:v>
      </x:c>
      <x:c r="N1215" s="12" t="str">
        <x:v>研究生宿舍楼</x:v>
      </x:c>
      <x:c r="O1215" s="12" t="n">
        <x:f>IFERROR(INDEX('秒级路线参数_可调整'!$O:$O,MATCH(M1215,'秒级路线参数_可调整'!$A:$A,0)),"")</x:f>
        <x:v>715</x:v>
      </x:c>
      <x:c r="P1215" s="12" t="n">
        <x:f>IF(O1215="","",O1215/86400)</x:f>
        <x:v>0.008275462962962964</x:v>
      </x:c>
      <x:c r="Q1215" s="12" t="n">
        <x:f>IF(O1215="","",(H1215*60+O1215)/86400)</x:f>
        <x:v>0.8346643518518518</x:v>
      </x:c>
      <x:c r="R1215" s="12" t="str">
        <x:f>IF(Q1215="","",TEXT(Q1215,"hh:mm:ss"))</x:f>
        <x:v>20:01:55</x:v>
      </x:c>
      <x:c r="S1215" s="12" t="str">
        <x:v>否</x:v>
      </x:c>
      <x:c r="T1215" s="12" t="str">
        <x:v>是</x:v>
      </x:c>
      <x:c r="U1215" s="12" t="str">
        <x:v>未提供</x:v>
      </x:c>
      <x:c r="V1215" s="12" t="str">
        <x:v>未提供</x:v>
      </x:c>
      <x:c r="W1215" s="12" t="str">
        <x:v>秒级预测</x:v>
      </x:c>
      <x:c r="X1215" s="12" t="str">
        <x:v>基于路线秒级参数；如录入实测或手动采用秒，预计到达时间可随公式更新</x:v>
      </x:c>
    </x:row>
    <x:row r="1216">
      <x:c r="A1216" s="12" t="str">
        <x:v>S0105-01</x:v>
      </x:c>
      <x:c r="B1216" s="12" t="str">
        <x:v>S0105</x:v>
      </x:c>
      <x:c r="C1216" s="12" t="str">
        <x:v>工作日</x:v>
      </x:c>
      <x:c r="D1216" s="12" t="str">
        <x:v>环线2路</x:v>
      </x:c>
      <x:c r="E1216" s="12" t="str">
        <x:v>第二班</x:v>
      </x:c>
      <x:c r="F1216" s="12" t="n">
        <x:v>16</x:v>
      </x:c>
      <x:c r="G1216" s="12" t="str">
        <x:v>20:10</x:v>
      </x:c>
      <x:c r="H1216" s="12" t="n">
        <x:v>1210</x:v>
      </x:c>
      <x:c r="I1216" s="12" t="str">
        <x:v>研究生宿舍楼</x:v>
      </x:c>
      <x:c r="J1216" s="12" t="str">
        <x:v>研究生宿舍楼发车</x:v>
      </x:c>
      <x:c r="K1216" s="12" t="str">
        <x:v>HX2_NORMAL</x:v>
      </x:c>
      <x:c r="L1216" s="12" t="n">
        <x:v>1</x:v>
      </x:c>
      <x:c r="M1216" s="12" t="str">
        <x:v>HX2_NORMAL|1</x:v>
      </x:c>
      <x:c r="N1216" s="12" t="str">
        <x:v>研究生宿舍楼</x:v>
      </x:c>
      <x:c r="O1216" s="12" t="n">
        <x:f>IFERROR(INDEX('秒级路线参数_可调整'!$O:$O,MATCH(M1216,'秒级路线参数_可调整'!$A:$A,0)),"")</x:f>
        <x:v>0</x:v>
      </x:c>
      <x:c r="P1216" s="12" t="str">
        <x:f>IF(O1216="","",O1216/86400)</x:f>
      </x:c>
      <x:c r="Q1216" s="12" t="str">
        <x:f>IF(O1216="","",(H1216*60+O1216)/86400)</x:f>
      </x:c>
      <x:c r="R1216" s="12" t="str">
        <x:f>IF(Q1216="","",TEXT(Q1216,"hh:mm:ss"))</x:f>
      </x:c>
      <x:c r="S1216" s="12" t="str">
        <x:v>是</x:v>
      </x:c>
      <x:c r="T1216" s="12" t="str">
        <x:v>否</x:v>
      </x:c>
      <x:c r="U1216" s="12" t="str">
        <x:v>未提供</x:v>
      </x:c>
      <x:c r="V1216" s="12" t="str">
        <x:v>未提供</x:v>
      </x:c>
      <x:c r="W1216" s="12" t="str">
        <x:v>秒级预测</x:v>
      </x:c>
      <x:c r="X1216" s="12" t="str">
        <x:v>基于路线秒级参数；如录入实测或手动采用秒，预计到达时间可随公式更新</x:v>
      </x:c>
    </x:row>
    <x:row r="1217">
      <x:c r="A1217" s="12" t="str">
        <x:v>S0105-02</x:v>
      </x:c>
      <x:c r="B1217" s="12" t="str">
        <x:v>S0105</x:v>
      </x:c>
      <x:c r="C1217" s="12" t="str">
        <x:v>工作日</x:v>
      </x:c>
      <x:c r="D1217" s="12" t="str">
        <x:v>环线2路</x:v>
      </x:c>
      <x:c r="E1217" s="12" t="str">
        <x:v>第二班</x:v>
      </x:c>
      <x:c r="F1217" s="12" t="n">
        <x:v>16</x:v>
      </x:c>
      <x:c r="G1217" s="12" t="str">
        <x:v>20:10</x:v>
      </x:c>
      <x:c r="H1217" s="12" t="n">
        <x:v>1210</x:v>
      </x:c>
      <x:c r="I1217" s="12" t="str">
        <x:v>研究生宿舍楼</x:v>
      </x:c>
      <x:c r="J1217" s="12" t="str">
        <x:v>研究生宿舍楼发车</x:v>
      </x:c>
      <x:c r="K1217" s="12" t="str">
        <x:v>HX2_NORMAL</x:v>
      </x:c>
      <x:c r="L1217" s="12" t="n">
        <x:v>2</x:v>
      </x:c>
      <x:c r="M1217" s="12" t="str">
        <x:v>HX2_NORMAL|2</x:v>
      </x:c>
      <x:c r="N1217" s="12" t="str">
        <x:v>一食堂</x:v>
      </x:c>
      <x:c r="O1217" s="12" t="n">
        <x:f>IFERROR(INDEX('秒级路线参数_可调整'!$O:$O,MATCH(M1217,'秒级路线参数_可调整'!$A:$A,0)),"")</x:f>
        <x:v>65</x:v>
      </x:c>
      <x:c r="P1217" s="12" t="n">
        <x:f>IF(O1217="","",O1217/86400)</x:f>
        <x:v>0.0007523148148148148</x:v>
      </x:c>
      <x:c r="Q1217" s="12" t="n">
        <x:f>IF(O1217="","",(H1217*60+O1217)/86400)</x:f>
        <x:v>0.8410300925925925</x:v>
      </x:c>
      <x:c r="R1217" s="12" t="str">
        <x:f>IF(Q1217="","",TEXT(Q1217,"hh:mm:ss"))</x:f>
        <x:v>20:11:05</x:v>
      </x:c>
      <x:c r="S1217" s="12" t="str">
        <x:v>否</x:v>
      </x:c>
      <x:c r="T1217" s="12" t="str">
        <x:v>否</x:v>
      </x:c>
      <x:c r="U1217" s="12" t="str">
        <x:v>未提供</x:v>
      </x:c>
      <x:c r="V1217" s="12" t="str">
        <x:v>未提供</x:v>
      </x:c>
      <x:c r="W1217" s="12" t="str">
        <x:v>秒级预测</x:v>
      </x:c>
      <x:c r="X1217" s="12" t="str">
        <x:v>基于路线秒级参数；如录入实测或手动采用秒，预计到达时间可随公式更新</x:v>
      </x:c>
    </x:row>
    <x:row r="1218">
      <x:c r="A1218" s="12" t="str">
        <x:v>S0105-03</x:v>
      </x:c>
      <x:c r="B1218" s="12" t="str">
        <x:v>S0105</x:v>
      </x:c>
      <x:c r="C1218" s="12" t="str">
        <x:v>工作日</x:v>
      </x:c>
      <x:c r="D1218" s="12" t="str">
        <x:v>环线2路</x:v>
      </x:c>
      <x:c r="E1218" s="12" t="str">
        <x:v>第二班</x:v>
      </x:c>
      <x:c r="F1218" s="12" t="n">
        <x:v>16</x:v>
      </x:c>
      <x:c r="G1218" s="12" t="str">
        <x:v>20:10</x:v>
      </x:c>
      <x:c r="H1218" s="12" t="n">
        <x:v>1210</x:v>
      </x:c>
      <x:c r="I1218" s="12" t="str">
        <x:v>研究生宿舍楼</x:v>
      </x:c>
      <x:c r="J1218" s="12" t="str">
        <x:v>研究生宿舍楼发车</x:v>
      </x:c>
      <x:c r="K1218" s="12" t="str">
        <x:v>HX2_NORMAL</x:v>
      </x:c>
      <x:c r="L1218" s="12" t="n">
        <x:v>3</x:v>
      </x:c>
      <x:c r="M1218" s="12" t="str">
        <x:v>HX2_NORMAL|3</x:v>
      </x:c>
      <x:c r="N1218" s="12" t="str">
        <x:v>门诊部</x:v>
      </x:c>
      <x:c r="O1218" s="12" t="n">
        <x:f>IFERROR(INDEX('秒级路线参数_可调整'!$O:$O,MATCH(M1218,'秒级路线参数_可调整'!$A:$A,0)),"")</x:f>
        <x:v>120</x:v>
      </x:c>
      <x:c r="P1218" s="12" t="n">
        <x:f>IF(O1218="","",O1218/86400)</x:f>
        <x:v>0.001388888888888889</x:v>
      </x:c>
      <x:c r="Q1218" s="12" t="n">
        <x:f>IF(O1218="","",(H1218*60+O1218)/86400)</x:f>
        <x:v>0.8416666666666667</x:v>
      </x:c>
      <x:c r="R1218" s="12" t="str">
        <x:f>IF(Q1218="","",TEXT(Q1218,"hh:mm:ss"))</x:f>
        <x:v>20:12:00</x:v>
      </x:c>
      <x:c r="S1218" s="12" t="str">
        <x:v>否</x:v>
      </x:c>
      <x:c r="T1218" s="12" t="str">
        <x:v>否</x:v>
      </x:c>
      <x:c r="U1218" s="12" t="str">
        <x:v>未提供</x:v>
      </x:c>
      <x:c r="V1218" s="12" t="str">
        <x:v>未提供</x:v>
      </x:c>
      <x:c r="W1218" s="12" t="str">
        <x:v>秒级预测</x:v>
      </x:c>
      <x:c r="X1218" s="12" t="str">
        <x:v>基于路线秒级参数；如录入实测或手动采用秒，预计到达时间可随公式更新</x:v>
      </x:c>
    </x:row>
    <x:row r="1219">
      <x:c r="A1219" s="12" t="str">
        <x:v>S0105-04</x:v>
      </x:c>
      <x:c r="B1219" s="12" t="str">
        <x:v>S0105</x:v>
      </x:c>
      <x:c r="C1219" s="12" t="str">
        <x:v>工作日</x:v>
      </x:c>
      <x:c r="D1219" s="12" t="str">
        <x:v>环线2路</x:v>
      </x:c>
      <x:c r="E1219" s="12" t="str">
        <x:v>第二班</x:v>
      </x:c>
      <x:c r="F1219" s="12" t="n">
        <x:v>16</x:v>
      </x:c>
      <x:c r="G1219" s="12" t="str">
        <x:v>20:10</x:v>
      </x:c>
      <x:c r="H1219" s="12" t="n">
        <x:v>1210</x:v>
      </x:c>
      <x:c r="I1219" s="12" t="str">
        <x:v>研究生宿舍楼</x:v>
      </x:c>
      <x:c r="J1219" s="12" t="str">
        <x:v>研究生宿舍楼发车</x:v>
      </x:c>
      <x:c r="K1219" s="12" t="str">
        <x:v>HX2_NORMAL</x:v>
      </x:c>
      <x:c r="L1219" s="12" t="n">
        <x:v>4</x:v>
      </x:c>
      <x:c r="M1219" s="12" t="str">
        <x:v>HX2_NORMAL|4</x:v>
      </x:c>
      <x:c r="N1219" s="12" t="str">
        <x:v>1号宿舍楼</x:v>
      </x:c>
      <x:c r="O1219" s="12" t="n">
        <x:f>IFERROR(INDEX('秒级路线参数_可调整'!$O:$O,MATCH(M1219,'秒级路线参数_可调整'!$A:$A,0)),"")</x:f>
        <x:v>165</x:v>
      </x:c>
      <x:c r="P1219" s="12" t="n">
        <x:f>IF(O1219="","",O1219/86400)</x:f>
        <x:v>0.0019097222222222222</x:v>
      </x:c>
      <x:c r="Q1219" s="12" t="n">
        <x:f>IF(O1219="","",(H1219*60+O1219)/86400)</x:f>
        <x:v>0.8421875</x:v>
      </x:c>
      <x:c r="R1219" s="12" t="str">
        <x:f>IF(Q1219="","",TEXT(Q1219,"hh:mm:ss"))</x:f>
        <x:v>20:12:45</x:v>
      </x:c>
      <x:c r="S1219" s="12" t="str">
        <x:v>否</x:v>
      </x:c>
      <x:c r="T1219" s="12" t="str">
        <x:v>否</x:v>
      </x:c>
      <x:c r="U1219" s="12" t="str">
        <x:v>未提供</x:v>
      </x:c>
      <x:c r="V1219" s="12" t="str">
        <x:v>未提供</x:v>
      </x:c>
      <x:c r="W1219" s="12" t="str">
        <x:v>秒级预测</x:v>
      </x:c>
      <x:c r="X1219" s="12" t="str">
        <x:v>基于路线秒级参数；如录入实测或手动采用秒，预计到达时间可随公式更新</x:v>
      </x:c>
    </x:row>
    <x:row r="1220">
      <x:c r="A1220" s="12" t="str">
        <x:v>S0105-05</x:v>
      </x:c>
      <x:c r="B1220" s="12" t="str">
        <x:v>S0105</x:v>
      </x:c>
      <x:c r="C1220" s="12" t="str">
        <x:v>工作日</x:v>
      </x:c>
      <x:c r="D1220" s="12" t="str">
        <x:v>环线2路</x:v>
      </x:c>
      <x:c r="E1220" s="12" t="str">
        <x:v>第二班</x:v>
      </x:c>
      <x:c r="F1220" s="12" t="n">
        <x:v>16</x:v>
      </x:c>
      <x:c r="G1220" s="12" t="str">
        <x:v>20:10</x:v>
      </x:c>
      <x:c r="H1220" s="12" t="n">
        <x:v>1210</x:v>
      </x:c>
      <x:c r="I1220" s="12" t="str">
        <x:v>研究生宿舍楼</x:v>
      </x:c>
      <x:c r="J1220" s="12" t="str">
        <x:v>研究生宿舍楼发车</x:v>
      </x:c>
      <x:c r="K1220" s="12" t="str">
        <x:v>HX2_NORMAL</x:v>
      </x:c>
      <x:c r="L1220" s="12" t="n">
        <x:v>5</x:v>
      </x:c>
      <x:c r="M1220" s="12" t="str">
        <x:v>HX2_NORMAL|5</x:v>
      </x:c>
      <x:c r="N1220" s="12" t="str">
        <x:v>水上训练中心</x:v>
      </x:c>
      <x:c r="O1220" s="12" t="n">
        <x:f>IFERROR(INDEX('秒级路线参数_可调整'!$O:$O,MATCH(M1220,'秒级路线参数_可调整'!$A:$A,0)),"")</x:f>
        <x:v>250</x:v>
      </x:c>
      <x:c r="P1220" s="12" t="n">
        <x:f>IF(O1220="","",O1220/86400)</x:f>
        <x:v>0.0028935185185185184</x:v>
      </x:c>
      <x:c r="Q1220" s="12" t="n">
        <x:f>IF(O1220="","",(H1220*60+O1220)/86400)</x:f>
        <x:v>0.8431712962962963</x:v>
      </x:c>
      <x:c r="R1220" s="12" t="str">
        <x:f>IF(Q1220="","",TEXT(Q1220,"hh:mm:ss"))</x:f>
        <x:v>20:14:10</x:v>
      </x:c>
      <x:c r="S1220" s="12" t="str">
        <x:v>否</x:v>
      </x:c>
      <x:c r="T1220" s="12" t="str">
        <x:v>否</x:v>
      </x:c>
      <x:c r="U1220" s="12" t="str">
        <x:v>未提供</x:v>
      </x:c>
      <x:c r="V1220" s="12" t="str">
        <x:v>未提供</x:v>
      </x:c>
      <x:c r="W1220" s="12" t="str">
        <x:v>秒级预测</x:v>
      </x:c>
      <x:c r="X1220" s="12" t="str">
        <x:v>基于路线秒级参数；如录入实测或手动采用秒，预计到达时间可随公式更新</x:v>
      </x:c>
    </x:row>
    <x:row r="1221">
      <x:c r="A1221" s="12" t="str">
        <x:v>S0105-06</x:v>
      </x:c>
      <x:c r="B1221" s="12" t="str">
        <x:v>S0105</x:v>
      </x:c>
      <x:c r="C1221" s="12" t="str">
        <x:v>工作日</x:v>
      </x:c>
      <x:c r="D1221" s="12" t="str">
        <x:v>环线2路</x:v>
      </x:c>
      <x:c r="E1221" s="12" t="str">
        <x:v>第二班</x:v>
      </x:c>
      <x:c r="F1221" s="12" t="n">
        <x:v>16</x:v>
      </x:c>
      <x:c r="G1221" s="12" t="str">
        <x:v>20:10</x:v>
      </x:c>
      <x:c r="H1221" s="12" t="n">
        <x:v>1210</x:v>
      </x:c>
      <x:c r="I1221" s="12" t="str">
        <x:v>研究生宿舍楼</x:v>
      </x:c>
      <x:c r="J1221" s="12" t="str">
        <x:v>研究生宿舍楼发车</x:v>
      </x:c>
      <x:c r="K1221" s="12" t="str">
        <x:v>HX2_NORMAL</x:v>
      </x:c>
      <x:c r="L1221" s="12" t="n">
        <x:v>6</x:v>
      </x:c>
      <x:c r="M1221" s="12" t="str">
        <x:v>HX2_NORMAL|6</x:v>
      </x:c>
      <x:c r="N1221" s="12" t="str">
        <x:v>军体活动中心</x:v>
      </x:c>
      <x:c r="O1221" s="12" t="n">
        <x:f>IFERROR(INDEX('秒级路线参数_可调整'!$O:$O,MATCH(M1221,'秒级路线参数_可调整'!$A:$A,0)),"")</x:f>
        <x:v>315</x:v>
      </x:c>
      <x:c r="P1221" s="12" t="n">
        <x:f>IF(O1221="","",O1221/86400)</x:f>
        <x:v>0.0036458333333333334</x:v>
      </x:c>
      <x:c r="Q1221" s="12" t="n">
        <x:f>IF(O1221="","",(H1221*60+O1221)/86400)</x:f>
        <x:v>0.8439236111111111</x:v>
      </x:c>
      <x:c r="R1221" s="12" t="str">
        <x:f>IF(Q1221="","",TEXT(Q1221,"hh:mm:ss"))</x:f>
        <x:v>20:15:15</x:v>
      </x:c>
      <x:c r="S1221" s="12" t="str">
        <x:v>否</x:v>
      </x:c>
      <x:c r="T1221" s="12" t="str">
        <x:v>否</x:v>
      </x:c>
      <x:c r="U1221" s="12" t="str">
        <x:v>未提供</x:v>
      </x:c>
      <x:c r="V1221" s="12" t="str">
        <x:v>未提供</x:v>
      </x:c>
      <x:c r="W1221" s="12" t="str">
        <x:v>秒级预测</x:v>
      </x:c>
      <x:c r="X1221" s="12" t="str">
        <x:v>基于路线秒级参数；如录入实测或手动采用秒，预计到达时间可随公式更新</x:v>
      </x:c>
    </x:row>
    <x:row r="1222">
      <x:c r="A1222" s="12" t="str">
        <x:v>S0105-07</x:v>
      </x:c>
      <x:c r="B1222" s="12" t="str">
        <x:v>S0105</x:v>
      </x:c>
      <x:c r="C1222" s="12" t="str">
        <x:v>工作日</x:v>
      </x:c>
      <x:c r="D1222" s="12" t="str">
        <x:v>环线2路</x:v>
      </x:c>
      <x:c r="E1222" s="12" t="str">
        <x:v>第二班</x:v>
      </x:c>
      <x:c r="F1222" s="12" t="n">
        <x:v>16</x:v>
      </x:c>
      <x:c r="G1222" s="12" t="str">
        <x:v>20:10</x:v>
      </x:c>
      <x:c r="H1222" s="12" t="n">
        <x:v>1210</x:v>
      </x:c>
      <x:c r="I1222" s="12" t="str">
        <x:v>研究生宿舍楼</x:v>
      </x:c>
      <x:c r="J1222" s="12" t="str">
        <x:v>研究生宿舍楼发车</x:v>
      </x:c>
      <x:c r="K1222" s="12" t="str">
        <x:v>HX2_NORMAL</x:v>
      </x:c>
      <x:c r="L1222" s="12" t="n">
        <x:v>7</x:v>
      </x:c>
      <x:c r="M1222" s="12" t="str">
        <x:v>HX2_NORMAL|7</x:v>
      </x:c>
      <x:c r="N1222" s="12" t="str">
        <x:v>二食堂</x:v>
      </x:c>
      <x:c r="O1222" s="12" t="n">
        <x:f>IFERROR(INDEX('秒级路线参数_可调整'!$O:$O,MATCH(M1222,'秒级路线参数_可调整'!$A:$A,0)),"")</x:f>
        <x:v>420</x:v>
      </x:c>
      <x:c r="P1222" s="12" t="n">
        <x:f>IF(O1222="","",O1222/86400)</x:f>
        <x:v>0.004861111111111111</x:v>
      </x:c>
      <x:c r="Q1222" s="12" t="n">
        <x:f>IF(O1222="","",(H1222*60+O1222)/86400)</x:f>
        <x:v>0.8451388888888889</x:v>
      </x:c>
      <x:c r="R1222" s="12" t="str">
        <x:f>IF(Q1222="","",TEXT(Q1222,"hh:mm:ss"))</x:f>
        <x:v>20:17:00</x:v>
      </x:c>
      <x:c r="S1222" s="12" t="str">
        <x:v>否</x:v>
      </x:c>
      <x:c r="T1222" s="12" t="str">
        <x:v>否</x:v>
      </x:c>
      <x:c r="U1222" s="12" t="str">
        <x:v>未提供</x:v>
      </x:c>
      <x:c r="V1222" s="12" t="str">
        <x:v>未提供</x:v>
      </x:c>
      <x:c r="W1222" s="12" t="str">
        <x:v>秒级预测</x:v>
      </x:c>
      <x:c r="X1222" s="12" t="str">
        <x:v>基于路线秒级参数；如录入实测或手动采用秒，预计到达时间可随公式更新</x:v>
      </x:c>
    </x:row>
    <x:row r="1223">
      <x:c r="A1223" s="12" t="str">
        <x:v>S0105-08</x:v>
      </x:c>
      <x:c r="B1223" s="12" t="str">
        <x:v>S0105</x:v>
      </x:c>
      <x:c r="C1223" s="12" t="str">
        <x:v>工作日</x:v>
      </x:c>
      <x:c r="D1223" s="12" t="str">
        <x:v>环线2路</x:v>
      </x:c>
      <x:c r="E1223" s="12" t="str">
        <x:v>第二班</x:v>
      </x:c>
      <x:c r="F1223" s="12" t="n">
        <x:v>16</x:v>
      </x:c>
      <x:c r="G1223" s="12" t="str">
        <x:v>20:10</x:v>
      </x:c>
      <x:c r="H1223" s="12" t="n">
        <x:v>1210</x:v>
      </x:c>
      <x:c r="I1223" s="12" t="str">
        <x:v>研究生宿舍楼</x:v>
      </x:c>
      <x:c r="J1223" s="12" t="str">
        <x:v>研究生宿舍楼发车</x:v>
      </x:c>
      <x:c r="K1223" s="12" t="str">
        <x:v>HX2_NORMAL</x:v>
      </x:c>
      <x:c r="L1223" s="12" t="n">
        <x:v>8</x:v>
      </x:c>
      <x:c r="M1223" s="12" t="str">
        <x:v>HX2_NORMAL|8</x:v>
      </x:c>
      <x:c r="N1223" s="12" t="str">
        <x:v>5号宿舍楼</x:v>
      </x:c>
      <x:c r="O1223" s="12" t="n">
        <x:f>IFERROR(INDEX('秒级路线参数_可调整'!$O:$O,MATCH(M1223,'秒级路线参数_可调整'!$A:$A,0)),"")</x:f>
        <x:v>480</x:v>
      </x:c>
      <x:c r="P1223" s="12" t="n">
        <x:f>IF(O1223="","",O1223/86400)</x:f>
        <x:v>0.005555555555555556</x:v>
      </x:c>
      <x:c r="Q1223" s="12" t="n">
        <x:f>IF(O1223="","",(H1223*60+O1223)/86400)</x:f>
        <x:v>0.8458333333333333</x:v>
      </x:c>
      <x:c r="R1223" s="12" t="str">
        <x:f>IF(Q1223="","",TEXT(Q1223,"hh:mm:ss"))</x:f>
        <x:v>20:18:00</x:v>
      </x:c>
      <x:c r="S1223" s="12" t="str">
        <x:v>否</x:v>
      </x:c>
      <x:c r="T1223" s="12" t="str">
        <x:v>否</x:v>
      </x:c>
      <x:c r="U1223" s="12" t="str">
        <x:v>未提供</x:v>
      </x:c>
      <x:c r="V1223" s="12" t="str">
        <x:v>未提供</x:v>
      </x:c>
      <x:c r="W1223" s="12" t="str">
        <x:v>秒级预测</x:v>
      </x:c>
      <x:c r="X1223" s="12" t="str">
        <x:v>基于路线秒级参数；如录入实测或手动采用秒，预计到达时间可随公式更新</x:v>
      </x:c>
    </x:row>
    <x:row r="1224">
      <x:c r="A1224" s="12" t="str">
        <x:v>S0105-09</x:v>
      </x:c>
      <x:c r="B1224" s="12" t="str">
        <x:v>S0105</x:v>
      </x:c>
      <x:c r="C1224" s="12" t="str">
        <x:v>工作日</x:v>
      </x:c>
      <x:c r="D1224" s="12" t="str">
        <x:v>环线2路</x:v>
      </x:c>
      <x:c r="E1224" s="12" t="str">
        <x:v>第二班</x:v>
      </x:c>
      <x:c r="F1224" s="12" t="n">
        <x:v>16</x:v>
      </x:c>
      <x:c r="G1224" s="12" t="str">
        <x:v>20:10</x:v>
      </x:c>
      <x:c r="H1224" s="12" t="n">
        <x:v>1210</x:v>
      </x:c>
      <x:c r="I1224" s="12" t="str">
        <x:v>研究生宿舍楼</x:v>
      </x:c>
      <x:c r="J1224" s="12" t="str">
        <x:v>研究生宿舍楼发车</x:v>
      </x:c>
      <x:c r="K1224" s="12" t="str">
        <x:v>HX2_NORMAL</x:v>
      </x:c>
      <x:c r="L1224" s="12" t="n">
        <x:v>9</x:v>
      </x:c>
      <x:c r="M1224" s="12" t="str">
        <x:v>HX2_NORMAL|9</x:v>
      </x:c>
      <x:c r="N1224" s="12" t="str">
        <x:v>305教学楼</x:v>
      </x:c>
      <x:c r="O1224" s="12" t="n">
        <x:f>IFERROR(INDEX('秒级路线参数_可调整'!$O:$O,MATCH(M1224,'秒级路线参数_可调整'!$A:$A,0)),"")</x:f>
        <x:v>535</x:v>
      </x:c>
      <x:c r="P1224" s="12" t="n">
        <x:f>IF(O1224="","",O1224/86400)</x:f>
        <x:v>0.00619212962962963</x:v>
      </x:c>
      <x:c r="Q1224" s="12" t="n">
        <x:f>IF(O1224="","",(H1224*60+O1224)/86400)</x:f>
        <x:v>0.8464699074074075</x:v>
      </x:c>
      <x:c r="R1224" s="12" t="str">
        <x:f>IF(Q1224="","",TEXT(Q1224,"hh:mm:ss"))</x:f>
        <x:v>20:18:55</x:v>
      </x:c>
      <x:c r="S1224" s="12" t="str">
        <x:v>否</x:v>
      </x:c>
      <x:c r="T1224" s="12" t="str">
        <x:v>否</x:v>
      </x:c>
      <x:c r="U1224" s="12" t="str">
        <x:v>未提供</x:v>
      </x:c>
      <x:c r="V1224" s="12" t="str">
        <x:v>未提供</x:v>
      </x:c>
      <x:c r="W1224" s="12" t="str">
        <x:v>秒级预测</x:v>
      </x:c>
      <x:c r="X1224" s="12" t="str">
        <x:v>基于路线秒级参数；如录入实测或手动采用秒，预计到达时间可随公式更新</x:v>
      </x:c>
    </x:row>
    <x:row r="1225">
      <x:c r="A1225" s="12" t="str">
        <x:v>S0105-10</x:v>
      </x:c>
      <x:c r="B1225" s="12" t="str">
        <x:v>S0105</x:v>
      </x:c>
      <x:c r="C1225" s="12" t="str">
        <x:v>工作日</x:v>
      </x:c>
      <x:c r="D1225" s="12" t="str">
        <x:v>环线2路</x:v>
      </x:c>
      <x:c r="E1225" s="12" t="str">
        <x:v>第二班</x:v>
      </x:c>
      <x:c r="F1225" s="12" t="n">
        <x:v>16</x:v>
      </x:c>
      <x:c r="G1225" s="12" t="str">
        <x:v>20:10</x:v>
      </x:c>
      <x:c r="H1225" s="12" t="n">
        <x:v>1210</x:v>
      </x:c>
      <x:c r="I1225" s="12" t="str">
        <x:v>研究生宿舍楼</x:v>
      </x:c>
      <x:c r="J1225" s="12" t="str">
        <x:v>研究生宿舍楼发车</x:v>
      </x:c>
      <x:c r="K1225" s="12" t="str">
        <x:v>HX2_NORMAL</x:v>
      </x:c>
      <x:c r="L1225" s="12" t="n">
        <x:v>10</x:v>
      </x:c>
      <x:c r="M1225" s="12" t="str">
        <x:v>HX2_NORMAL|10</x:v>
      </x:c>
      <x:c r="N1225" s="12" t="str">
        <x:v>研究生宿舍楼</x:v>
      </x:c>
      <x:c r="O1225" s="12" t="n">
        <x:f>IFERROR(INDEX('秒级路线参数_可调整'!$O:$O,MATCH(M1225,'秒级路线参数_可调整'!$A:$A,0)),"")</x:f>
        <x:v>715</x:v>
      </x:c>
      <x:c r="P1225" s="12" t="n">
        <x:f>IF(O1225="","",O1225/86400)</x:f>
        <x:v>0.008275462962962964</x:v>
      </x:c>
      <x:c r="Q1225" s="12" t="n">
        <x:f>IF(O1225="","",(H1225*60+O1225)/86400)</x:f>
        <x:v>0.8485532407407408</x:v>
      </x:c>
      <x:c r="R1225" s="12" t="str">
        <x:f>IF(Q1225="","",TEXT(Q1225,"hh:mm:ss"))</x:f>
        <x:v>20:21:55</x:v>
      </x:c>
      <x:c r="S1225" s="12" t="str">
        <x:v>否</x:v>
      </x:c>
      <x:c r="T1225" s="12" t="str">
        <x:v>是</x:v>
      </x:c>
      <x:c r="U1225" s="12" t="str">
        <x:v>未提供</x:v>
      </x:c>
      <x:c r="V1225" s="12" t="str">
        <x:v>未提供</x:v>
      </x:c>
      <x:c r="W1225" s="12" t="str">
        <x:v>秒级预测</x:v>
      </x:c>
      <x:c r="X1225" s="12" t="str">
        <x:v>基于路线秒级参数；如录入实测或手动采用秒，预计到达时间可随公式更新</x:v>
      </x:c>
    </x:row>
    <x:row r="1226">
      <x:c r="A1226" s="12" t="str">
        <x:v>S0106-01</x:v>
      </x:c>
      <x:c r="B1226" s="12" t="str">
        <x:v>S0106</x:v>
      </x:c>
      <x:c r="C1226" s="12" t="str">
        <x:v>工作日</x:v>
      </x:c>
      <x:c r="D1226" s="12" t="str">
        <x:v>环线2路</x:v>
      </x:c>
      <x:c r="E1226" s="12" t="str">
        <x:v>第二班</x:v>
      </x:c>
      <x:c r="F1226" s="12" t="n">
        <x:v>17</x:v>
      </x:c>
      <x:c r="G1226" s="12" t="str">
        <x:v>20:40</x:v>
      </x:c>
      <x:c r="H1226" s="12" t="n">
        <x:v>1240</x:v>
      </x:c>
      <x:c r="I1226" s="12" t="str">
        <x:v>研究生宿舍楼</x:v>
      </x:c>
      <x:c r="J1226" s="12" t="str">
        <x:v>研究生宿舍楼发车</x:v>
      </x:c>
      <x:c r="K1226" s="12" t="str">
        <x:v>HX2_NORMAL</x:v>
      </x:c>
      <x:c r="L1226" s="12" t="n">
        <x:v>1</x:v>
      </x:c>
      <x:c r="M1226" s="12" t="str">
        <x:v>HX2_NORMAL|1</x:v>
      </x:c>
      <x:c r="N1226" s="12" t="str">
        <x:v>研究生宿舍楼</x:v>
      </x:c>
      <x:c r="O1226" s="12" t="n">
        <x:f>IFERROR(INDEX('秒级路线参数_可调整'!$O:$O,MATCH(M1226,'秒级路线参数_可调整'!$A:$A,0)),"")</x:f>
        <x:v>0</x:v>
      </x:c>
      <x:c r="P1226" s="12" t="str">
        <x:f>IF(O1226="","",O1226/86400)</x:f>
      </x:c>
      <x:c r="Q1226" s="12" t="str">
        <x:f>IF(O1226="","",(H1226*60+O1226)/86400)</x:f>
      </x:c>
      <x:c r="R1226" s="12" t="str">
        <x:f>IF(Q1226="","",TEXT(Q1226,"hh:mm:ss"))</x:f>
      </x:c>
      <x:c r="S1226" s="12" t="str">
        <x:v>是</x:v>
      </x:c>
      <x:c r="T1226" s="12" t="str">
        <x:v>否</x:v>
      </x:c>
      <x:c r="U1226" s="12" t="str">
        <x:v>未提供</x:v>
      </x:c>
      <x:c r="V1226" s="12" t="str">
        <x:v>未提供</x:v>
      </x:c>
      <x:c r="W1226" s="12" t="str">
        <x:v>秒级预测</x:v>
      </x:c>
      <x:c r="X1226" s="12" t="str">
        <x:v>基于路线秒级参数；如录入实测或手动采用秒，预计到达时间可随公式更新</x:v>
      </x:c>
    </x:row>
    <x:row r="1227">
      <x:c r="A1227" s="12" t="str">
        <x:v>S0106-02</x:v>
      </x:c>
      <x:c r="B1227" s="12" t="str">
        <x:v>S0106</x:v>
      </x:c>
      <x:c r="C1227" s="12" t="str">
        <x:v>工作日</x:v>
      </x:c>
      <x:c r="D1227" s="12" t="str">
        <x:v>环线2路</x:v>
      </x:c>
      <x:c r="E1227" s="12" t="str">
        <x:v>第二班</x:v>
      </x:c>
      <x:c r="F1227" s="12" t="n">
        <x:v>17</x:v>
      </x:c>
      <x:c r="G1227" s="12" t="str">
        <x:v>20:40</x:v>
      </x:c>
      <x:c r="H1227" s="12" t="n">
        <x:v>1240</x:v>
      </x:c>
      <x:c r="I1227" s="12" t="str">
        <x:v>研究生宿舍楼</x:v>
      </x:c>
      <x:c r="J1227" s="12" t="str">
        <x:v>研究生宿舍楼发车</x:v>
      </x:c>
      <x:c r="K1227" s="12" t="str">
        <x:v>HX2_NORMAL</x:v>
      </x:c>
      <x:c r="L1227" s="12" t="n">
        <x:v>2</x:v>
      </x:c>
      <x:c r="M1227" s="12" t="str">
        <x:v>HX2_NORMAL|2</x:v>
      </x:c>
      <x:c r="N1227" s="12" t="str">
        <x:v>一食堂</x:v>
      </x:c>
      <x:c r="O1227" s="12" t="n">
        <x:f>IFERROR(INDEX('秒级路线参数_可调整'!$O:$O,MATCH(M1227,'秒级路线参数_可调整'!$A:$A,0)),"")</x:f>
        <x:v>65</x:v>
      </x:c>
      <x:c r="P1227" s="12" t="n">
        <x:f>IF(O1227="","",O1227/86400)</x:f>
        <x:v>0.0007523148148148148</x:v>
      </x:c>
      <x:c r="Q1227" s="12" t="n">
        <x:f>IF(O1227="","",(H1227*60+O1227)/86400)</x:f>
        <x:v>0.8618634259259259</x:v>
      </x:c>
      <x:c r="R1227" s="12" t="str">
        <x:f>IF(Q1227="","",TEXT(Q1227,"hh:mm:ss"))</x:f>
        <x:v>20:41:05</x:v>
      </x:c>
      <x:c r="S1227" s="12" t="str">
        <x:v>否</x:v>
      </x:c>
      <x:c r="T1227" s="12" t="str">
        <x:v>否</x:v>
      </x:c>
      <x:c r="U1227" s="12" t="str">
        <x:v>未提供</x:v>
      </x:c>
      <x:c r="V1227" s="12" t="str">
        <x:v>未提供</x:v>
      </x:c>
      <x:c r="W1227" s="12" t="str">
        <x:v>秒级预测</x:v>
      </x:c>
      <x:c r="X1227" s="12" t="str">
        <x:v>基于路线秒级参数；如录入实测或手动采用秒，预计到达时间可随公式更新</x:v>
      </x:c>
    </x:row>
    <x:row r="1228">
      <x:c r="A1228" s="12" t="str">
        <x:v>S0106-03</x:v>
      </x:c>
      <x:c r="B1228" s="12" t="str">
        <x:v>S0106</x:v>
      </x:c>
      <x:c r="C1228" s="12" t="str">
        <x:v>工作日</x:v>
      </x:c>
      <x:c r="D1228" s="12" t="str">
        <x:v>环线2路</x:v>
      </x:c>
      <x:c r="E1228" s="12" t="str">
        <x:v>第二班</x:v>
      </x:c>
      <x:c r="F1228" s="12" t="n">
        <x:v>17</x:v>
      </x:c>
      <x:c r="G1228" s="12" t="str">
        <x:v>20:40</x:v>
      </x:c>
      <x:c r="H1228" s="12" t="n">
        <x:v>1240</x:v>
      </x:c>
      <x:c r="I1228" s="12" t="str">
        <x:v>研究生宿舍楼</x:v>
      </x:c>
      <x:c r="J1228" s="12" t="str">
        <x:v>研究生宿舍楼发车</x:v>
      </x:c>
      <x:c r="K1228" s="12" t="str">
        <x:v>HX2_NORMAL</x:v>
      </x:c>
      <x:c r="L1228" s="12" t="n">
        <x:v>3</x:v>
      </x:c>
      <x:c r="M1228" s="12" t="str">
        <x:v>HX2_NORMAL|3</x:v>
      </x:c>
      <x:c r="N1228" s="12" t="str">
        <x:v>门诊部</x:v>
      </x:c>
      <x:c r="O1228" s="12" t="n">
        <x:f>IFERROR(INDEX('秒级路线参数_可调整'!$O:$O,MATCH(M1228,'秒级路线参数_可调整'!$A:$A,0)),"")</x:f>
        <x:v>120</x:v>
      </x:c>
      <x:c r="P1228" s="12" t="n">
        <x:f>IF(O1228="","",O1228/86400)</x:f>
        <x:v>0.001388888888888889</x:v>
      </x:c>
      <x:c r="Q1228" s="12" t="n">
        <x:f>IF(O1228="","",(H1228*60+O1228)/86400)</x:f>
        <x:v>0.8625</x:v>
      </x:c>
      <x:c r="R1228" s="12" t="str">
        <x:f>IF(Q1228="","",TEXT(Q1228,"hh:mm:ss"))</x:f>
        <x:v>20:42:00</x:v>
      </x:c>
      <x:c r="S1228" s="12" t="str">
        <x:v>否</x:v>
      </x:c>
      <x:c r="T1228" s="12" t="str">
        <x:v>否</x:v>
      </x:c>
      <x:c r="U1228" s="12" t="str">
        <x:v>未提供</x:v>
      </x:c>
      <x:c r="V1228" s="12" t="str">
        <x:v>未提供</x:v>
      </x:c>
      <x:c r="W1228" s="12" t="str">
        <x:v>秒级预测</x:v>
      </x:c>
      <x:c r="X1228" s="12" t="str">
        <x:v>基于路线秒级参数；如录入实测或手动采用秒，预计到达时间可随公式更新</x:v>
      </x:c>
    </x:row>
    <x:row r="1229">
      <x:c r="A1229" s="12" t="str">
        <x:v>S0106-04</x:v>
      </x:c>
      <x:c r="B1229" s="12" t="str">
        <x:v>S0106</x:v>
      </x:c>
      <x:c r="C1229" s="12" t="str">
        <x:v>工作日</x:v>
      </x:c>
      <x:c r="D1229" s="12" t="str">
        <x:v>环线2路</x:v>
      </x:c>
      <x:c r="E1229" s="12" t="str">
        <x:v>第二班</x:v>
      </x:c>
      <x:c r="F1229" s="12" t="n">
        <x:v>17</x:v>
      </x:c>
      <x:c r="G1229" s="12" t="str">
        <x:v>20:40</x:v>
      </x:c>
      <x:c r="H1229" s="12" t="n">
        <x:v>1240</x:v>
      </x:c>
      <x:c r="I1229" s="12" t="str">
        <x:v>研究生宿舍楼</x:v>
      </x:c>
      <x:c r="J1229" s="12" t="str">
        <x:v>研究生宿舍楼发车</x:v>
      </x:c>
      <x:c r="K1229" s="12" t="str">
        <x:v>HX2_NORMAL</x:v>
      </x:c>
      <x:c r="L1229" s="12" t="n">
        <x:v>4</x:v>
      </x:c>
      <x:c r="M1229" s="12" t="str">
        <x:v>HX2_NORMAL|4</x:v>
      </x:c>
      <x:c r="N1229" s="12" t="str">
        <x:v>1号宿舍楼</x:v>
      </x:c>
      <x:c r="O1229" s="12" t="n">
        <x:f>IFERROR(INDEX('秒级路线参数_可调整'!$O:$O,MATCH(M1229,'秒级路线参数_可调整'!$A:$A,0)),"")</x:f>
        <x:v>165</x:v>
      </x:c>
      <x:c r="P1229" s="12" t="n">
        <x:f>IF(O1229="","",O1229/86400)</x:f>
        <x:v>0.0019097222222222222</x:v>
      </x:c>
      <x:c r="Q1229" s="12" t="n">
        <x:f>IF(O1229="","",(H1229*60+O1229)/86400)</x:f>
        <x:v>0.8630208333333333</x:v>
      </x:c>
      <x:c r="R1229" s="12" t="str">
        <x:f>IF(Q1229="","",TEXT(Q1229,"hh:mm:ss"))</x:f>
        <x:v>20:42:45</x:v>
      </x:c>
      <x:c r="S1229" s="12" t="str">
        <x:v>否</x:v>
      </x:c>
      <x:c r="T1229" s="12" t="str">
        <x:v>否</x:v>
      </x:c>
      <x:c r="U1229" s="12" t="str">
        <x:v>未提供</x:v>
      </x:c>
      <x:c r="V1229" s="12" t="str">
        <x:v>未提供</x:v>
      </x:c>
      <x:c r="W1229" s="12" t="str">
        <x:v>秒级预测</x:v>
      </x:c>
      <x:c r="X1229" s="12" t="str">
        <x:v>基于路线秒级参数；如录入实测或手动采用秒，预计到达时间可随公式更新</x:v>
      </x:c>
    </x:row>
    <x:row r="1230">
      <x:c r="A1230" s="12" t="str">
        <x:v>S0106-05</x:v>
      </x:c>
      <x:c r="B1230" s="12" t="str">
        <x:v>S0106</x:v>
      </x:c>
      <x:c r="C1230" s="12" t="str">
        <x:v>工作日</x:v>
      </x:c>
      <x:c r="D1230" s="12" t="str">
        <x:v>环线2路</x:v>
      </x:c>
      <x:c r="E1230" s="12" t="str">
        <x:v>第二班</x:v>
      </x:c>
      <x:c r="F1230" s="12" t="n">
        <x:v>17</x:v>
      </x:c>
      <x:c r="G1230" s="12" t="str">
        <x:v>20:40</x:v>
      </x:c>
      <x:c r="H1230" s="12" t="n">
        <x:v>1240</x:v>
      </x:c>
      <x:c r="I1230" s="12" t="str">
        <x:v>研究生宿舍楼</x:v>
      </x:c>
      <x:c r="J1230" s="12" t="str">
        <x:v>研究生宿舍楼发车</x:v>
      </x:c>
      <x:c r="K1230" s="12" t="str">
        <x:v>HX2_NORMAL</x:v>
      </x:c>
      <x:c r="L1230" s="12" t="n">
        <x:v>5</x:v>
      </x:c>
      <x:c r="M1230" s="12" t="str">
        <x:v>HX2_NORMAL|5</x:v>
      </x:c>
      <x:c r="N1230" s="12" t="str">
        <x:v>水上训练中心</x:v>
      </x:c>
      <x:c r="O1230" s="12" t="n">
        <x:f>IFERROR(INDEX('秒级路线参数_可调整'!$O:$O,MATCH(M1230,'秒级路线参数_可调整'!$A:$A,0)),"")</x:f>
        <x:v>250</x:v>
      </x:c>
      <x:c r="P1230" s="12" t="n">
        <x:f>IF(O1230="","",O1230/86400)</x:f>
        <x:v>0.0028935185185185184</x:v>
      </x:c>
      <x:c r="Q1230" s="12" t="n">
        <x:f>IF(O1230="","",(H1230*60+O1230)/86400)</x:f>
        <x:v>0.8640046296296297</x:v>
      </x:c>
      <x:c r="R1230" s="12" t="str">
        <x:f>IF(Q1230="","",TEXT(Q1230,"hh:mm:ss"))</x:f>
        <x:v>20:44:10</x:v>
      </x:c>
      <x:c r="S1230" s="12" t="str">
        <x:v>否</x:v>
      </x:c>
      <x:c r="T1230" s="12" t="str">
        <x:v>否</x:v>
      </x:c>
      <x:c r="U1230" s="12" t="str">
        <x:v>未提供</x:v>
      </x:c>
      <x:c r="V1230" s="12" t="str">
        <x:v>未提供</x:v>
      </x:c>
      <x:c r="W1230" s="12" t="str">
        <x:v>秒级预测</x:v>
      </x:c>
      <x:c r="X1230" s="12" t="str">
        <x:v>基于路线秒级参数；如录入实测或手动采用秒，预计到达时间可随公式更新</x:v>
      </x:c>
    </x:row>
    <x:row r="1231">
      <x:c r="A1231" s="12" t="str">
        <x:v>S0106-06</x:v>
      </x:c>
      <x:c r="B1231" s="12" t="str">
        <x:v>S0106</x:v>
      </x:c>
      <x:c r="C1231" s="12" t="str">
        <x:v>工作日</x:v>
      </x:c>
      <x:c r="D1231" s="12" t="str">
        <x:v>环线2路</x:v>
      </x:c>
      <x:c r="E1231" s="12" t="str">
        <x:v>第二班</x:v>
      </x:c>
      <x:c r="F1231" s="12" t="n">
        <x:v>17</x:v>
      </x:c>
      <x:c r="G1231" s="12" t="str">
        <x:v>20:40</x:v>
      </x:c>
      <x:c r="H1231" s="12" t="n">
        <x:v>1240</x:v>
      </x:c>
      <x:c r="I1231" s="12" t="str">
        <x:v>研究生宿舍楼</x:v>
      </x:c>
      <x:c r="J1231" s="12" t="str">
        <x:v>研究生宿舍楼发车</x:v>
      </x:c>
      <x:c r="K1231" s="12" t="str">
        <x:v>HX2_NORMAL</x:v>
      </x:c>
      <x:c r="L1231" s="12" t="n">
        <x:v>6</x:v>
      </x:c>
      <x:c r="M1231" s="12" t="str">
        <x:v>HX2_NORMAL|6</x:v>
      </x:c>
      <x:c r="N1231" s="12" t="str">
        <x:v>军体活动中心</x:v>
      </x:c>
      <x:c r="O1231" s="12" t="n">
        <x:f>IFERROR(INDEX('秒级路线参数_可调整'!$O:$O,MATCH(M1231,'秒级路线参数_可调整'!$A:$A,0)),"")</x:f>
        <x:v>315</x:v>
      </x:c>
      <x:c r="P1231" s="12" t="n">
        <x:f>IF(O1231="","",O1231/86400)</x:f>
        <x:v>0.0036458333333333334</x:v>
      </x:c>
      <x:c r="Q1231" s="12" t="n">
        <x:f>IF(O1231="","",(H1231*60+O1231)/86400)</x:f>
        <x:v>0.8647569444444444</x:v>
      </x:c>
      <x:c r="R1231" s="12" t="str">
        <x:f>IF(Q1231="","",TEXT(Q1231,"hh:mm:ss"))</x:f>
        <x:v>20:45:15</x:v>
      </x:c>
      <x:c r="S1231" s="12" t="str">
        <x:v>否</x:v>
      </x:c>
      <x:c r="T1231" s="12" t="str">
        <x:v>否</x:v>
      </x:c>
      <x:c r="U1231" s="12" t="str">
        <x:v>未提供</x:v>
      </x:c>
      <x:c r="V1231" s="12" t="str">
        <x:v>未提供</x:v>
      </x:c>
      <x:c r="W1231" s="12" t="str">
        <x:v>秒级预测</x:v>
      </x:c>
      <x:c r="X1231" s="12" t="str">
        <x:v>基于路线秒级参数；如录入实测或手动采用秒，预计到达时间可随公式更新</x:v>
      </x:c>
    </x:row>
    <x:row r="1232">
      <x:c r="A1232" s="12" t="str">
        <x:v>S0106-07</x:v>
      </x:c>
      <x:c r="B1232" s="12" t="str">
        <x:v>S0106</x:v>
      </x:c>
      <x:c r="C1232" s="12" t="str">
        <x:v>工作日</x:v>
      </x:c>
      <x:c r="D1232" s="12" t="str">
        <x:v>环线2路</x:v>
      </x:c>
      <x:c r="E1232" s="12" t="str">
        <x:v>第二班</x:v>
      </x:c>
      <x:c r="F1232" s="12" t="n">
        <x:v>17</x:v>
      </x:c>
      <x:c r="G1232" s="12" t="str">
        <x:v>20:40</x:v>
      </x:c>
      <x:c r="H1232" s="12" t="n">
        <x:v>1240</x:v>
      </x:c>
      <x:c r="I1232" s="12" t="str">
        <x:v>研究生宿舍楼</x:v>
      </x:c>
      <x:c r="J1232" s="12" t="str">
        <x:v>研究生宿舍楼发车</x:v>
      </x:c>
      <x:c r="K1232" s="12" t="str">
        <x:v>HX2_NORMAL</x:v>
      </x:c>
      <x:c r="L1232" s="12" t="n">
        <x:v>7</x:v>
      </x:c>
      <x:c r="M1232" s="12" t="str">
        <x:v>HX2_NORMAL|7</x:v>
      </x:c>
      <x:c r="N1232" s="12" t="str">
        <x:v>二食堂</x:v>
      </x:c>
      <x:c r="O1232" s="12" t="n">
        <x:f>IFERROR(INDEX('秒级路线参数_可调整'!$O:$O,MATCH(M1232,'秒级路线参数_可调整'!$A:$A,0)),"")</x:f>
        <x:v>420</x:v>
      </x:c>
      <x:c r="P1232" s="12" t="n">
        <x:f>IF(O1232="","",O1232/86400)</x:f>
        <x:v>0.004861111111111111</x:v>
      </x:c>
      <x:c r="Q1232" s="12" t="n">
        <x:f>IF(O1232="","",(H1232*60+O1232)/86400)</x:f>
        <x:v>0.8659722222222223</x:v>
      </x:c>
      <x:c r="R1232" s="12" t="str">
        <x:f>IF(Q1232="","",TEXT(Q1232,"hh:mm:ss"))</x:f>
        <x:v>20:47:00</x:v>
      </x:c>
      <x:c r="S1232" s="12" t="str">
        <x:v>否</x:v>
      </x:c>
      <x:c r="T1232" s="12" t="str">
        <x:v>否</x:v>
      </x:c>
      <x:c r="U1232" s="12" t="str">
        <x:v>未提供</x:v>
      </x:c>
      <x:c r="V1232" s="12" t="str">
        <x:v>未提供</x:v>
      </x:c>
      <x:c r="W1232" s="12" t="str">
        <x:v>秒级预测</x:v>
      </x:c>
      <x:c r="X1232" s="12" t="str">
        <x:v>基于路线秒级参数；如录入实测或手动采用秒，预计到达时间可随公式更新</x:v>
      </x:c>
    </x:row>
    <x:row r="1233">
      <x:c r="A1233" s="12" t="str">
        <x:v>S0106-08</x:v>
      </x:c>
      <x:c r="B1233" s="12" t="str">
        <x:v>S0106</x:v>
      </x:c>
      <x:c r="C1233" s="12" t="str">
        <x:v>工作日</x:v>
      </x:c>
      <x:c r="D1233" s="12" t="str">
        <x:v>环线2路</x:v>
      </x:c>
      <x:c r="E1233" s="12" t="str">
        <x:v>第二班</x:v>
      </x:c>
      <x:c r="F1233" s="12" t="n">
        <x:v>17</x:v>
      </x:c>
      <x:c r="G1233" s="12" t="str">
        <x:v>20:40</x:v>
      </x:c>
      <x:c r="H1233" s="12" t="n">
        <x:v>1240</x:v>
      </x:c>
      <x:c r="I1233" s="12" t="str">
        <x:v>研究生宿舍楼</x:v>
      </x:c>
      <x:c r="J1233" s="12" t="str">
        <x:v>研究生宿舍楼发车</x:v>
      </x:c>
      <x:c r="K1233" s="12" t="str">
        <x:v>HX2_NORMAL</x:v>
      </x:c>
      <x:c r="L1233" s="12" t="n">
        <x:v>8</x:v>
      </x:c>
      <x:c r="M1233" s="12" t="str">
        <x:v>HX2_NORMAL|8</x:v>
      </x:c>
      <x:c r="N1233" s="12" t="str">
        <x:v>5号宿舍楼</x:v>
      </x:c>
      <x:c r="O1233" s="12" t="n">
        <x:f>IFERROR(INDEX('秒级路线参数_可调整'!$O:$O,MATCH(M1233,'秒级路线参数_可调整'!$A:$A,0)),"")</x:f>
        <x:v>480</x:v>
      </x:c>
      <x:c r="P1233" s="12" t="n">
        <x:f>IF(O1233="","",O1233/86400)</x:f>
        <x:v>0.005555555555555556</x:v>
      </x:c>
      <x:c r="Q1233" s="12" t="n">
        <x:f>IF(O1233="","",(H1233*60+O1233)/86400)</x:f>
        <x:v>0.8666666666666667</x:v>
      </x:c>
      <x:c r="R1233" s="12" t="str">
        <x:f>IF(Q1233="","",TEXT(Q1233,"hh:mm:ss"))</x:f>
        <x:v>20:48:00</x:v>
      </x:c>
      <x:c r="S1233" s="12" t="str">
        <x:v>否</x:v>
      </x:c>
      <x:c r="T1233" s="12" t="str">
        <x:v>否</x:v>
      </x:c>
      <x:c r="U1233" s="12" t="str">
        <x:v>未提供</x:v>
      </x:c>
      <x:c r="V1233" s="12" t="str">
        <x:v>未提供</x:v>
      </x:c>
      <x:c r="W1233" s="12" t="str">
        <x:v>秒级预测</x:v>
      </x:c>
      <x:c r="X1233" s="12" t="str">
        <x:v>基于路线秒级参数；如录入实测或手动采用秒，预计到达时间可随公式更新</x:v>
      </x:c>
    </x:row>
    <x:row r="1234">
      <x:c r="A1234" s="12" t="str">
        <x:v>S0106-09</x:v>
      </x:c>
      <x:c r="B1234" s="12" t="str">
        <x:v>S0106</x:v>
      </x:c>
      <x:c r="C1234" s="12" t="str">
        <x:v>工作日</x:v>
      </x:c>
      <x:c r="D1234" s="12" t="str">
        <x:v>环线2路</x:v>
      </x:c>
      <x:c r="E1234" s="12" t="str">
        <x:v>第二班</x:v>
      </x:c>
      <x:c r="F1234" s="12" t="n">
        <x:v>17</x:v>
      </x:c>
      <x:c r="G1234" s="12" t="str">
        <x:v>20:40</x:v>
      </x:c>
      <x:c r="H1234" s="12" t="n">
        <x:v>1240</x:v>
      </x:c>
      <x:c r="I1234" s="12" t="str">
        <x:v>研究生宿舍楼</x:v>
      </x:c>
      <x:c r="J1234" s="12" t="str">
        <x:v>研究生宿舍楼发车</x:v>
      </x:c>
      <x:c r="K1234" s="12" t="str">
        <x:v>HX2_NORMAL</x:v>
      </x:c>
      <x:c r="L1234" s="12" t="n">
        <x:v>9</x:v>
      </x:c>
      <x:c r="M1234" s="12" t="str">
        <x:v>HX2_NORMAL|9</x:v>
      </x:c>
      <x:c r="N1234" s="12" t="str">
        <x:v>305教学楼</x:v>
      </x:c>
      <x:c r="O1234" s="12" t="n">
        <x:f>IFERROR(INDEX('秒级路线参数_可调整'!$O:$O,MATCH(M1234,'秒级路线参数_可调整'!$A:$A,0)),"")</x:f>
        <x:v>535</x:v>
      </x:c>
      <x:c r="P1234" s="12" t="n">
        <x:f>IF(O1234="","",O1234/86400)</x:f>
        <x:v>0.00619212962962963</x:v>
      </x:c>
      <x:c r="Q1234" s="12" t="n">
        <x:f>IF(O1234="","",(H1234*60+O1234)/86400)</x:f>
        <x:v>0.8673032407407407</x:v>
      </x:c>
      <x:c r="R1234" s="12" t="str">
        <x:f>IF(Q1234="","",TEXT(Q1234,"hh:mm:ss"))</x:f>
        <x:v>20:48:55</x:v>
      </x:c>
      <x:c r="S1234" s="12" t="str">
        <x:v>否</x:v>
      </x:c>
      <x:c r="T1234" s="12" t="str">
        <x:v>否</x:v>
      </x:c>
      <x:c r="U1234" s="12" t="str">
        <x:v>未提供</x:v>
      </x:c>
      <x:c r="V1234" s="12" t="str">
        <x:v>未提供</x:v>
      </x:c>
      <x:c r="W1234" s="12" t="str">
        <x:v>秒级预测</x:v>
      </x:c>
      <x:c r="X1234" s="12" t="str">
        <x:v>基于路线秒级参数；如录入实测或手动采用秒，预计到达时间可随公式更新</x:v>
      </x:c>
    </x:row>
    <x:row r="1235">
      <x:c r="A1235" s="12" t="str">
        <x:v>S0106-10</x:v>
      </x:c>
      <x:c r="B1235" s="12" t="str">
        <x:v>S0106</x:v>
      </x:c>
      <x:c r="C1235" s="12" t="str">
        <x:v>工作日</x:v>
      </x:c>
      <x:c r="D1235" s="12" t="str">
        <x:v>环线2路</x:v>
      </x:c>
      <x:c r="E1235" s="12" t="str">
        <x:v>第二班</x:v>
      </x:c>
      <x:c r="F1235" s="12" t="n">
        <x:v>17</x:v>
      </x:c>
      <x:c r="G1235" s="12" t="str">
        <x:v>20:40</x:v>
      </x:c>
      <x:c r="H1235" s="12" t="n">
        <x:v>1240</x:v>
      </x:c>
      <x:c r="I1235" s="12" t="str">
        <x:v>研究生宿舍楼</x:v>
      </x:c>
      <x:c r="J1235" s="12" t="str">
        <x:v>研究生宿舍楼发车</x:v>
      </x:c>
      <x:c r="K1235" s="12" t="str">
        <x:v>HX2_NORMAL</x:v>
      </x:c>
      <x:c r="L1235" s="12" t="n">
        <x:v>10</x:v>
      </x:c>
      <x:c r="M1235" s="12" t="str">
        <x:v>HX2_NORMAL|10</x:v>
      </x:c>
      <x:c r="N1235" s="12" t="str">
        <x:v>研究生宿舍楼</x:v>
      </x:c>
      <x:c r="O1235" s="12" t="n">
        <x:f>IFERROR(INDEX('秒级路线参数_可调整'!$O:$O,MATCH(M1235,'秒级路线参数_可调整'!$A:$A,0)),"")</x:f>
        <x:v>715</x:v>
      </x:c>
      <x:c r="P1235" s="12" t="n">
        <x:f>IF(O1235="","",O1235/86400)</x:f>
        <x:v>0.008275462962962964</x:v>
      </x:c>
      <x:c r="Q1235" s="12" t="n">
        <x:f>IF(O1235="","",(H1235*60+O1235)/86400)</x:f>
        <x:v>0.869386574074074</x:v>
      </x:c>
      <x:c r="R1235" s="12" t="str">
        <x:f>IF(Q1235="","",TEXT(Q1235,"hh:mm:ss"))</x:f>
        <x:v>20:51:55</x:v>
      </x:c>
      <x:c r="S1235" s="12" t="str">
        <x:v>否</x:v>
      </x:c>
      <x:c r="T1235" s="12" t="str">
        <x:v>是</x:v>
      </x:c>
      <x:c r="U1235" s="12" t="str">
        <x:v>未提供</x:v>
      </x:c>
      <x:c r="V1235" s="12" t="str">
        <x:v>未提供</x:v>
      </x:c>
      <x:c r="W1235" s="12" t="str">
        <x:v>秒级预测</x:v>
      </x:c>
      <x:c r="X1235" s="12" t="str">
        <x:v>基于路线秒级参数；如录入实测或手动采用秒，预计到达时间可随公式更新</x:v>
      </x:c>
    </x:row>
    <x:row r="1236">
      <x:c r="A1236" s="12" t="str">
        <x:v>S0107-01</x:v>
      </x:c>
      <x:c r="B1236" s="12" t="str">
        <x:v>S0107</x:v>
      </x:c>
      <x:c r="C1236" s="12" t="str">
        <x:v>工作日</x:v>
      </x:c>
      <x:c r="D1236" s="12" t="str">
        <x:v>环线2路</x:v>
      </x:c>
      <x:c r="E1236" s="12" t="str">
        <x:v>第二班</x:v>
      </x:c>
      <x:c r="F1236" s="12" t="n">
        <x:v>18</x:v>
      </x:c>
      <x:c r="G1236" s="12" t="str">
        <x:v>21:05</x:v>
      </x:c>
      <x:c r="H1236" s="12" t="n">
        <x:v>1265</x:v>
      </x:c>
      <x:c r="I1236" s="12" t="str">
        <x:v>研究生宿舍楼</x:v>
      </x:c>
      <x:c r="J1236" s="12" t="str">
        <x:v>研究生宿舍楼发车</x:v>
      </x:c>
      <x:c r="K1236" s="12" t="str">
        <x:v>HX2_NORMAL</x:v>
      </x:c>
      <x:c r="L1236" s="12" t="n">
        <x:v>1</x:v>
      </x:c>
      <x:c r="M1236" s="12" t="str">
        <x:v>HX2_NORMAL|1</x:v>
      </x:c>
      <x:c r="N1236" s="12" t="str">
        <x:v>研究生宿舍楼</x:v>
      </x:c>
      <x:c r="O1236" s="12" t="n">
        <x:f>IFERROR(INDEX('秒级路线参数_可调整'!$O:$O,MATCH(M1236,'秒级路线参数_可调整'!$A:$A,0)),"")</x:f>
        <x:v>0</x:v>
      </x:c>
      <x:c r="P1236" s="12" t="str">
        <x:f>IF(O1236="","",O1236/86400)</x:f>
      </x:c>
      <x:c r="Q1236" s="12" t="str">
        <x:f>IF(O1236="","",(H1236*60+O1236)/86400)</x:f>
      </x:c>
      <x:c r="R1236" s="12" t="str">
        <x:f>IF(Q1236="","",TEXT(Q1236,"hh:mm:ss"))</x:f>
      </x:c>
      <x:c r="S1236" s="12" t="str">
        <x:v>是</x:v>
      </x:c>
      <x:c r="T1236" s="12" t="str">
        <x:v>否</x:v>
      </x:c>
      <x:c r="U1236" s="12" t="str">
        <x:v>未提供</x:v>
      </x:c>
      <x:c r="V1236" s="12" t="str">
        <x:v>未提供</x:v>
      </x:c>
      <x:c r="W1236" s="12" t="str">
        <x:v>秒级预测</x:v>
      </x:c>
      <x:c r="X1236" s="12" t="str">
        <x:v>基于路线秒级参数；如录入实测或手动采用秒，预计到达时间可随公式更新</x:v>
      </x:c>
    </x:row>
    <x:row r="1237">
      <x:c r="A1237" s="12" t="str">
        <x:v>S0107-02</x:v>
      </x:c>
      <x:c r="B1237" s="12" t="str">
        <x:v>S0107</x:v>
      </x:c>
      <x:c r="C1237" s="12" t="str">
        <x:v>工作日</x:v>
      </x:c>
      <x:c r="D1237" s="12" t="str">
        <x:v>环线2路</x:v>
      </x:c>
      <x:c r="E1237" s="12" t="str">
        <x:v>第二班</x:v>
      </x:c>
      <x:c r="F1237" s="12" t="n">
        <x:v>18</x:v>
      </x:c>
      <x:c r="G1237" s="12" t="str">
        <x:v>21:05</x:v>
      </x:c>
      <x:c r="H1237" s="12" t="n">
        <x:v>1265</x:v>
      </x:c>
      <x:c r="I1237" s="12" t="str">
        <x:v>研究生宿舍楼</x:v>
      </x:c>
      <x:c r="J1237" s="12" t="str">
        <x:v>研究生宿舍楼发车</x:v>
      </x:c>
      <x:c r="K1237" s="12" t="str">
        <x:v>HX2_NORMAL</x:v>
      </x:c>
      <x:c r="L1237" s="12" t="n">
        <x:v>2</x:v>
      </x:c>
      <x:c r="M1237" s="12" t="str">
        <x:v>HX2_NORMAL|2</x:v>
      </x:c>
      <x:c r="N1237" s="12" t="str">
        <x:v>一食堂</x:v>
      </x:c>
      <x:c r="O1237" s="12" t="n">
        <x:f>IFERROR(INDEX('秒级路线参数_可调整'!$O:$O,MATCH(M1237,'秒级路线参数_可调整'!$A:$A,0)),"")</x:f>
        <x:v>65</x:v>
      </x:c>
      <x:c r="P1237" s="12" t="n">
        <x:f>IF(O1237="","",O1237/86400)</x:f>
        <x:v>0.0007523148148148148</x:v>
      </x:c>
      <x:c r="Q1237" s="12" t="n">
        <x:f>IF(O1237="","",(H1237*60+O1237)/86400)</x:f>
        <x:v>0.8792245370370371</x:v>
      </x:c>
      <x:c r="R1237" s="12" t="str">
        <x:f>IF(Q1237="","",TEXT(Q1237,"hh:mm:ss"))</x:f>
        <x:v>21:06:05</x:v>
      </x:c>
      <x:c r="S1237" s="12" t="str">
        <x:v>否</x:v>
      </x:c>
      <x:c r="T1237" s="12" t="str">
        <x:v>否</x:v>
      </x:c>
      <x:c r="U1237" s="12" t="str">
        <x:v>未提供</x:v>
      </x:c>
      <x:c r="V1237" s="12" t="str">
        <x:v>未提供</x:v>
      </x:c>
      <x:c r="W1237" s="12" t="str">
        <x:v>秒级预测</x:v>
      </x:c>
      <x:c r="X1237" s="12" t="str">
        <x:v>基于路线秒级参数；如录入实测或手动采用秒，预计到达时间可随公式更新</x:v>
      </x:c>
    </x:row>
    <x:row r="1238">
      <x:c r="A1238" s="12" t="str">
        <x:v>S0107-03</x:v>
      </x:c>
      <x:c r="B1238" s="12" t="str">
        <x:v>S0107</x:v>
      </x:c>
      <x:c r="C1238" s="12" t="str">
        <x:v>工作日</x:v>
      </x:c>
      <x:c r="D1238" s="12" t="str">
        <x:v>环线2路</x:v>
      </x:c>
      <x:c r="E1238" s="12" t="str">
        <x:v>第二班</x:v>
      </x:c>
      <x:c r="F1238" s="12" t="n">
        <x:v>18</x:v>
      </x:c>
      <x:c r="G1238" s="12" t="str">
        <x:v>21:05</x:v>
      </x:c>
      <x:c r="H1238" s="12" t="n">
        <x:v>1265</x:v>
      </x:c>
      <x:c r="I1238" s="12" t="str">
        <x:v>研究生宿舍楼</x:v>
      </x:c>
      <x:c r="J1238" s="12" t="str">
        <x:v>研究生宿舍楼发车</x:v>
      </x:c>
      <x:c r="K1238" s="12" t="str">
        <x:v>HX2_NORMAL</x:v>
      </x:c>
      <x:c r="L1238" s="12" t="n">
        <x:v>3</x:v>
      </x:c>
      <x:c r="M1238" s="12" t="str">
        <x:v>HX2_NORMAL|3</x:v>
      </x:c>
      <x:c r="N1238" s="12" t="str">
        <x:v>门诊部</x:v>
      </x:c>
      <x:c r="O1238" s="12" t="n">
        <x:f>IFERROR(INDEX('秒级路线参数_可调整'!$O:$O,MATCH(M1238,'秒级路线参数_可调整'!$A:$A,0)),"")</x:f>
        <x:v>120</x:v>
      </x:c>
      <x:c r="P1238" s="12" t="n">
        <x:f>IF(O1238="","",O1238/86400)</x:f>
        <x:v>0.001388888888888889</x:v>
      </x:c>
      <x:c r="Q1238" s="12" t="n">
        <x:f>IF(O1238="","",(H1238*60+O1238)/86400)</x:f>
        <x:v>0.8798611111111111</x:v>
      </x:c>
      <x:c r="R1238" s="12" t="str">
        <x:f>IF(Q1238="","",TEXT(Q1238,"hh:mm:ss"))</x:f>
        <x:v>21:07:00</x:v>
      </x:c>
      <x:c r="S1238" s="12" t="str">
        <x:v>否</x:v>
      </x:c>
      <x:c r="T1238" s="12" t="str">
        <x:v>否</x:v>
      </x:c>
      <x:c r="U1238" s="12" t="str">
        <x:v>未提供</x:v>
      </x:c>
      <x:c r="V1238" s="12" t="str">
        <x:v>未提供</x:v>
      </x:c>
      <x:c r="W1238" s="12" t="str">
        <x:v>秒级预测</x:v>
      </x:c>
      <x:c r="X1238" s="12" t="str">
        <x:v>基于路线秒级参数；如录入实测或手动采用秒，预计到达时间可随公式更新</x:v>
      </x:c>
    </x:row>
    <x:row r="1239">
      <x:c r="A1239" s="12" t="str">
        <x:v>S0107-04</x:v>
      </x:c>
      <x:c r="B1239" s="12" t="str">
        <x:v>S0107</x:v>
      </x:c>
      <x:c r="C1239" s="12" t="str">
        <x:v>工作日</x:v>
      </x:c>
      <x:c r="D1239" s="12" t="str">
        <x:v>环线2路</x:v>
      </x:c>
      <x:c r="E1239" s="12" t="str">
        <x:v>第二班</x:v>
      </x:c>
      <x:c r="F1239" s="12" t="n">
        <x:v>18</x:v>
      </x:c>
      <x:c r="G1239" s="12" t="str">
        <x:v>21:05</x:v>
      </x:c>
      <x:c r="H1239" s="12" t="n">
        <x:v>1265</x:v>
      </x:c>
      <x:c r="I1239" s="12" t="str">
        <x:v>研究生宿舍楼</x:v>
      </x:c>
      <x:c r="J1239" s="12" t="str">
        <x:v>研究生宿舍楼发车</x:v>
      </x:c>
      <x:c r="K1239" s="12" t="str">
        <x:v>HX2_NORMAL</x:v>
      </x:c>
      <x:c r="L1239" s="12" t="n">
        <x:v>4</x:v>
      </x:c>
      <x:c r="M1239" s="12" t="str">
        <x:v>HX2_NORMAL|4</x:v>
      </x:c>
      <x:c r="N1239" s="12" t="str">
        <x:v>1号宿舍楼</x:v>
      </x:c>
      <x:c r="O1239" s="12" t="n">
        <x:f>IFERROR(INDEX('秒级路线参数_可调整'!$O:$O,MATCH(M1239,'秒级路线参数_可调整'!$A:$A,0)),"")</x:f>
        <x:v>165</x:v>
      </x:c>
      <x:c r="P1239" s="12" t="n">
        <x:f>IF(O1239="","",O1239/86400)</x:f>
        <x:v>0.0019097222222222222</x:v>
      </x:c>
      <x:c r="Q1239" s="12" t="n">
        <x:f>IF(O1239="","",(H1239*60+O1239)/86400)</x:f>
        <x:v>0.8803819444444444</x:v>
      </x:c>
      <x:c r="R1239" s="12" t="str">
        <x:f>IF(Q1239="","",TEXT(Q1239,"hh:mm:ss"))</x:f>
        <x:v>21:07:45</x:v>
      </x:c>
      <x:c r="S1239" s="12" t="str">
        <x:v>否</x:v>
      </x:c>
      <x:c r="T1239" s="12" t="str">
        <x:v>否</x:v>
      </x:c>
      <x:c r="U1239" s="12" t="str">
        <x:v>未提供</x:v>
      </x:c>
      <x:c r="V1239" s="12" t="str">
        <x:v>未提供</x:v>
      </x:c>
      <x:c r="W1239" s="12" t="str">
        <x:v>秒级预测</x:v>
      </x:c>
      <x:c r="X1239" s="12" t="str">
        <x:v>基于路线秒级参数；如录入实测或手动采用秒，预计到达时间可随公式更新</x:v>
      </x:c>
    </x:row>
    <x:row r="1240">
      <x:c r="A1240" s="12" t="str">
        <x:v>S0107-05</x:v>
      </x:c>
      <x:c r="B1240" s="12" t="str">
        <x:v>S0107</x:v>
      </x:c>
      <x:c r="C1240" s="12" t="str">
        <x:v>工作日</x:v>
      </x:c>
      <x:c r="D1240" s="12" t="str">
        <x:v>环线2路</x:v>
      </x:c>
      <x:c r="E1240" s="12" t="str">
        <x:v>第二班</x:v>
      </x:c>
      <x:c r="F1240" s="12" t="n">
        <x:v>18</x:v>
      </x:c>
      <x:c r="G1240" s="12" t="str">
        <x:v>21:05</x:v>
      </x:c>
      <x:c r="H1240" s="12" t="n">
        <x:v>1265</x:v>
      </x:c>
      <x:c r="I1240" s="12" t="str">
        <x:v>研究生宿舍楼</x:v>
      </x:c>
      <x:c r="J1240" s="12" t="str">
        <x:v>研究生宿舍楼发车</x:v>
      </x:c>
      <x:c r="K1240" s="12" t="str">
        <x:v>HX2_NORMAL</x:v>
      </x:c>
      <x:c r="L1240" s="12" t="n">
        <x:v>5</x:v>
      </x:c>
      <x:c r="M1240" s="12" t="str">
        <x:v>HX2_NORMAL|5</x:v>
      </x:c>
      <x:c r="N1240" s="12" t="str">
        <x:v>水上训练中心</x:v>
      </x:c>
      <x:c r="O1240" s="12" t="n">
        <x:f>IFERROR(INDEX('秒级路线参数_可调整'!$O:$O,MATCH(M1240,'秒级路线参数_可调整'!$A:$A,0)),"")</x:f>
        <x:v>250</x:v>
      </x:c>
      <x:c r="P1240" s="12" t="n">
        <x:f>IF(O1240="","",O1240/86400)</x:f>
        <x:v>0.0028935185185185184</x:v>
      </x:c>
      <x:c r="Q1240" s="12" t="n">
        <x:f>IF(O1240="","",(H1240*60+O1240)/86400)</x:f>
        <x:v>0.8813657407407407</x:v>
      </x:c>
      <x:c r="R1240" s="12" t="str">
        <x:f>IF(Q1240="","",TEXT(Q1240,"hh:mm:ss"))</x:f>
        <x:v>21:09:10</x:v>
      </x:c>
      <x:c r="S1240" s="12" t="str">
        <x:v>否</x:v>
      </x:c>
      <x:c r="T1240" s="12" t="str">
        <x:v>否</x:v>
      </x:c>
      <x:c r="U1240" s="12" t="str">
        <x:v>未提供</x:v>
      </x:c>
      <x:c r="V1240" s="12" t="str">
        <x:v>未提供</x:v>
      </x:c>
      <x:c r="W1240" s="12" t="str">
        <x:v>秒级预测</x:v>
      </x:c>
      <x:c r="X1240" s="12" t="str">
        <x:v>基于路线秒级参数；如录入实测或手动采用秒，预计到达时间可随公式更新</x:v>
      </x:c>
    </x:row>
    <x:row r="1241">
      <x:c r="A1241" s="12" t="str">
        <x:v>S0107-06</x:v>
      </x:c>
      <x:c r="B1241" s="12" t="str">
        <x:v>S0107</x:v>
      </x:c>
      <x:c r="C1241" s="12" t="str">
        <x:v>工作日</x:v>
      </x:c>
      <x:c r="D1241" s="12" t="str">
        <x:v>环线2路</x:v>
      </x:c>
      <x:c r="E1241" s="12" t="str">
        <x:v>第二班</x:v>
      </x:c>
      <x:c r="F1241" s="12" t="n">
        <x:v>18</x:v>
      </x:c>
      <x:c r="G1241" s="12" t="str">
        <x:v>21:05</x:v>
      </x:c>
      <x:c r="H1241" s="12" t="n">
        <x:v>1265</x:v>
      </x:c>
      <x:c r="I1241" s="12" t="str">
        <x:v>研究生宿舍楼</x:v>
      </x:c>
      <x:c r="J1241" s="12" t="str">
        <x:v>研究生宿舍楼发车</x:v>
      </x:c>
      <x:c r="K1241" s="12" t="str">
        <x:v>HX2_NORMAL</x:v>
      </x:c>
      <x:c r="L1241" s="12" t="n">
        <x:v>6</x:v>
      </x:c>
      <x:c r="M1241" s="12" t="str">
        <x:v>HX2_NORMAL|6</x:v>
      </x:c>
      <x:c r="N1241" s="12" t="str">
        <x:v>军体活动中心</x:v>
      </x:c>
      <x:c r="O1241" s="12" t="n">
        <x:f>IFERROR(INDEX('秒级路线参数_可调整'!$O:$O,MATCH(M1241,'秒级路线参数_可调整'!$A:$A,0)),"")</x:f>
        <x:v>315</x:v>
      </x:c>
      <x:c r="P1241" s="12" t="n">
        <x:f>IF(O1241="","",O1241/86400)</x:f>
        <x:v>0.0036458333333333334</x:v>
      </x:c>
      <x:c r="Q1241" s="12" t="n">
        <x:f>IF(O1241="","",(H1241*60+O1241)/86400)</x:f>
        <x:v>0.8821180555555556</x:v>
      </x:c>
      <x:c r="R1241" s="12" t="str">
        <x:f>IF(Q1241="","",TEXT(Q1241,"hh:mm:ss"))</x:f>
        <x:v>21:10:15</x:v>
      </x:c>
      <x:c r="S1241" s="12" t="str">
        <x:v>否</x:v>
      </x:c>
      <x:c r="T1241" s="12" t="str">
        <x:v>否</x:v>
      </x:c>
      <x:c r="U1241" s="12" t="str">
        <x:v>未提供</x:v>
      </x:c>
      <x:c r="V1241" s="12" t="str">
        <x:v>未提供</x:v>
      </x:c>
      <x:c r="W1241" s="12" t="str">
        <x:v>秒级预测</x:v>
      </x:c>
      <x:c r="X1241" s="12" t="str">
        <x:v>基于路线秒级参数；如录入实测或手动采用秒，预计到达时间可随公式更新</x:v>
      </x:c>
    </x:row>
    <x:row r="1242">
      <x:c r="A1242" s="12" t="str">
        <x:v>S0107-07</x:v>
      </x:c>
      <x:c r="B1242" s="12" t="str">
        <x:v>S0107</x:v>
      </x:c>
      <x:c r="C1242" s="12" t="str">
        <x:v>工作日</x:v>
      </x:c>
      <x:c r="D1242" s="12" t="str">
        <x:v>环线2路</x:v>
      </x:c>
      <x:c r="E1242" s="12" t="str">
        <x:v>第二班</x:v>
      </x:c>
      <x:c r="F1242" s="12" t="n">
        <x:v>18</x:v>
      </x:c>
      <x:c r="G1242" s="12" t="str">
        <x:v>21:05</x:v>
      </x:c>
      <x:c r="H1242" s="12" t="n">
        <x:v>1265</x:v>
      </x:c>
      <x:c r="I1242" s="12" t="str">
        <x:v>研究生宿舍楼</x:v>
      </x:c>
      <x:c r="J1242" s="12" t="str">
        <x:v>研究生宿舍楼发车</x:v>
      </x:c>
      <x:c r="K1242" s="12" t="str">
        <x:v>HX2_NORMAL</x:v>
      </x:c>
      <x:c r="L1242" s="12" t="n">
        <x:v>7</x:v>
      </x:c>
      <x:c r="M1242" s="12" t="str">
        <x:v>HX2_NORMAL|7</x:v>
      </x:c>
      <x:c r="N1242" s="12" t="str">
        <x:v>二食堂</x:v>
      </x:c>
      <x:c r="O1242" s="12" t="n">
        <x:f>IFERROR(INDEX('秒级路线参数_可调整'!$O:$O,MATCH(M1242,'秒级路线参数_可调整'!$A:$A,0)),"")</x:f>
        <x:v>420</x:v>
      </x:c>
      <x:c r="P1242" s="12" t="n">
        <x:f>IF(O1242="","",O1242/86400)</x:f>
        <x:v>0.004861111111111111</x:v>
      </x:c>
      <x:c r="Q1242" s="12" t="n">
        <x:f>IF(O1242="","",(H1242*60+O1242)/86400)</x:f>
        <x:v>0.8833333333333333</x:v>
      </x:c>
      <x:c r="R1242" s="12" t="str">
        <x:f>IF(Q1242="","",TEXT(Q1242,"hh:mm:ss"))</x:f>
        <x:v>21:12:00</x:v>
      </x:c>
      <x:c r="S1242" s="12" t="str">
        <x:v>否</x:v>
      </x:c>
      <x:c r="T1242" s="12" t="str">
        <x:v>否</x:v>
      </x:c>
      <x:c r="U1242" s="12" t="str">
        <x:v>未提供</x:v>
      </x:c>
      <x:c r="V1242" s="12" t="str">
        <x:v>未提供</x:v>
      </x:c>
      <x:c r="W1242" s="12" t="str">
        <x:v>秒级预测</x:v>
      </x:c>
      <x:c r="X1242" s="12" t="str">
        <x:v>基于路线秒级参数；如录入实测或手动采用秒，预计到达时间可随公式更新</x:v>
      </x:c>
    </x:row>
    <x:row r="1243">
      <x:c r="A1243" s="12" t="str">
        <x:v>S0107-08</x:v>
      </x:c>
      <x:c r="B1243" s="12" t="str">
        <x:v>S0107</x:v>
      </x:c>
      <x:c r="C1243" s="12" t="str">
        <x:v>工作日</x:v>
      </x:c>
      <x:c r="D1243" s="12" t="str">
        <x:v>环线2路</x:v>
      </x:c>
      <x:c r="E1243" s="12" t="str">
        <x:v>第二班</x:v>
      </x:c>
      <x:c r="F1243" s="12" t="n">
        <x:v>18</x:v>
      </x:c>
      <x:c r="G1243" s="12" t="str">
        <x:v>21:05</x:v>
      </x:c>
      <x:c r="H1243" s="12" t="n">
        <x:v>1265</x:v>
      </x:c>
      <x:c r="I1243" s="12" t="str">
        <x:v>研究生宿舍楼</x:v>
      </x:c>
      <x:c r="J1243" s="12" t="str">
        <x:v>研究生宿舍楼发车</x:v>
      </x:c>
      <x:c r="K1243" s="12" t="str">
        <x:v>HX2_NORMAL</x:v>
      </x:c>
      <x:c r="L1243" s="12" t="n">
        <x:v>8</x:v>
      </x:c>
      <x:c r="M1243" s="12" t="str">
        <x:v>HX2_NORMAL|8</x:v>
      </x:c>
      <x:c r="N1243" s="12" t="str">
        <x:v>5号宿舍楼</x:v>
      </x:c>
      <x:c r="O1243" s="12" t="n">
        <x:f>IFERROR(INDEX('秒级路线参数_可调整'!$O:$O,MATCH(M1243,'秒级路线参数_可调整'!$A:$A,0)),"")</x:f>
        <x:v>480</x:v>
      </x:c>
      <x:c r="P1243" s="12" t="n">
        <x:f>IF(O1243="","",O1243/86400)</x:f>
        <x:v>0.005555555555555556</x:v>
      </x:c>
      <x:c r="Q1243" s="12" t="n">
        <x:f>IF(O1243="","",(H1243*60+O1243)/86400)</x:f>
        <x:v>0.8840277777777777</x:v>
      </x:c>
      <x:c r="R1243" s="12" t="str">
        <x:f>IF(Q1243="","",TEXT(Q1243,"hh:mm:ss"))</x:f>
        <x:v>21:13:00</x:v>
      </x:c>
      <x:c r="S1243" s="12" t="str">
        <x:v>否</x:v>
      </x:c>
      <x:c r="T1243" s="12" t="str">
        <x:v>否</x:v>
      </x:c>
      <x:c r="U1243" s="12" t="str">
        <x:v>未提供</x:v>
      </x:c>
      <x:c r="V1243" s="12" t="str">
        <x:v>未提供</x:v>
      </x:c>
      <x:c r="W1243" s="12" t="str">
        <x:v>秒级预测</x:v>
      </x:c>
      <x:c r="X1243" s="12" t="str">
        <x:v>基于路线秒级参数；如录入实测或手动采用秒，预计到达时间可随公式更新</x:v>
      </x:c>
    </x:row>
    <x:row r="1244">
      <x:c r="A1244" s="12" t="str">
        <x:v>S0107-09</x:v>
      </x:c>
      <x:c r="B1244" s="12" t="str">
        <x:v>S0107</x:v>
      </x:c>
      <x:c r="C1244" s="12" t="str">
        <x:v>工作日</x:v>
      </x:c>
      <x:c r="D1244" s="12" t="str">
        <x:v>环线2路</x:v>
      </x:c>
      <x:c r="E1244" s="12" t="str">
        <x:v>第二班</x:v>
      </x:c>
      <x:c r="F1244" s="12" t="n">
        <x:v>18</x:v>
      </x:c>
      <x:c r="G1244" s="12" t="str">
        <x:v>21:05</x:v>
      </x:c>
      <x:c r="H1244" s="12" t="n">
        <x:v>1265</x:v>
      </x:c>
      <x:c r="I1244" s="12" t="str">
        <x:v>研究生宿舍楼</x:v>
      </x:c>
      <x:c r="J1244" s="12" t="str">
        <x:v>研究生宿舍楼发车</x:v>
      </x:c>
      <x:c r="K1244" s="12" t="str">
        <x:v>HX2_NORMAL</x:v>
      </x:c>
      <x:c r="L1244" s="12" t="n">
        <x:v>9</x:v>
      </x:c>
      <x:c r="M1244" s="12" t="str">
        <x:v>HX2_NORMAL|9</x:v>
      </x:c>
      <x:c r="N1244" s="12" t="str">
        <x:v>305教学楼</x:v>
      </x:c>
      <x:c r="O1244" s="12" t="n">
        <x:f>IFERROR(INDEX('秒级路线参数_可调整'!$O:$O,MATCH(M1244,'秒级路线参数_可调整'!$A:$A,0)),"")</x:f>
        <x:v>535</x:v>
      </x:c>
      <x:c r="P1244" s="12" t="n">
        <x:f>IF(O1244="","",O1244/86400)</x:f>
        <x:v>0.00619212962962963</x:v>
      </x:c>
      <x:c r="Q1244" s="12" t="n">
        <x:f>IF(O1244="","",(H1244*60+O1244)/86400)</x:f>
        <x:v>0.8846643518518519</x:v>
      </x:c>
      <x:c r="R1244" s="12" t="str">
        <x:f>IF(Q1244="","",TEXT(Q1244,"hh:mm:ss"))</x:f>
        <x:v>21:13:55</x:v>
      </x:c>
      <x:c r="S1244" s="12" t="str">
        <x:v>否</x:v>
      </x:c>
      <x:c r="T1244" s="12" t="str">
        <x:v>否</x:v>
      </x:c>
      <x:c r="U1244" s="12" t="str">
        <x:v>未提供</x:v>
      </x:c>
      <x:c r="V1244" s="12" t="str">
        <x:v>未提供</x:v>
      </x:c>
      <x:c r="W1244" s="12" t="str">
        <x:v>秒级预测</x:v>
      </x:c>
      <x:c r="X1244" s="12" t="str">
        <x:v>基于路线秒级参数；如录入实测或手动采用秒，预计到达时间可随公式更新</x:v>
      </x:c>
    </x:row>
    <x:row r="1245">
      <x:c r="A1245" s="12" t="str">
        <x:v>S0107-10</x:v>
      </x:c>
      <x:c r="B1245" s="12" t="str">
        <x:v>S0107</x:v>
      </x:c>
      <x:c r="C1245" s="12" t="str">
        <x:v>工作日</x:v>
      </x:c>
      <x:c r="D1245" s="12" t="str">
        <x:v>环线2路</x:v>
      </x:c>
      <x:c r="E1245" s="12" t="str">
        <x:v>第二班</x:v>
      </x:c>
      <x:c r="F1245" s="12" t="n">
        <x:v>18</x:v>
      </x:c>
      <x:c r="G1245" s="12" t="str">
        <x:v>21:05</x:v>
      </x:c>
      <x:c r="H1245" s="12" t="n">
        <x:v>1265</x:v>
      </x:c>
      <x:c r="I1245" s="12" t="str">
        <x:v>研究生宿舍楼</x:v>
      </x:c>
      <x:c r="J1245" s="12" t="str">
        <x:v>研究生宿舍楼发车</x:v>
      </x:c>
      <x:c r="K1245" s="12" t="str">
        <x:v>HX2_NORMAL</x:v>
      </x:c>
      <x:c r="L1245" s="12" t="n">
        <x:v>10</x:v>
      </x:c>
      <x:c r="M1245" s="12" t="str">
        <x:v>HX2_NORMAL|10</x:v>
      </x:c>
      <x:c r="N1245" s="12" t="str">
        <x:v>研究生宿舍楼</x:v>
      </x:c>
      <x:c r="O1245" s="12" t="n">
        <x:f>IFERROR(INDEX('秒级路线参数_可调整'!$O:$O,MATCH(M1245,'秒级路线参数_可调整'!$A:$A,0)),"")</x:f>
        <x:v>715</x:v>
      </x:c>
      <x:c r="P1245" s="12" t="n">
        <x:f>IF(O1245="","",O1245/86400)</x:f>
        <x:v>0.008275462962962964</x:v>
      </x:c>
      <x:c r="Q1245" s="12" t="n">
        <x:f>IF(O1245="","",(H1245*60+O1245)/86400)</x:f>
        <x:v>0.8867476851851852</x:v>
      </x:c>
      <x:c r="R1245" s="12" t="str">
        <x:f>IF(Q1245="","",TEXT(Q1245,"hh:mm:ss"))</x:f>
        <x:v>21:16:55</x:v>
      </x:c>
      <x:c r="S1245" s="12" t="str">
        <x:v>否</x:v>
      </x:c>
      <x:c r="T1245" s="12" t="str">
        <x:v>是</x:v>
      </x:c>
      <x:c r="U1245" s="12" t="str">
        <x:v>未提供</x:v>
      </x:c>
      <x:c r="V1245" s="12" t="str">
        <x:v>未提供</x:v>
      </x:c>
      <x:c r="W1245" s="12" t="str">
        <x:v>秒级预测</x:v>
      </x:c>
      <x:c r="X1245" s="12" t="str">
        <x:v>基于路线秒级参数；如录入实测或手动采用秒，预计到达时间可随公式更新</x:v>
      </x:c>
    </x:row>
    <x:row r="1246">
      <x:c r="A1246" s="12" t="str">
        <x:v>S0108-01</x:v>
      </x:c>
      <x:c r="B1246" s="12" t="str">
        <x:v>S0108</x:v>
      </x:c>
      <x:c r="C1246" s="12" t="str">
        <x:v>工作日</x:v>
      </x:c>
      <x:c r="D1246" s="12" t="str">
        <x:v>环线2路</x:v>
      </x:c>
      <x:c r="E1246" s="12" t="str">
        <x:v>第二班</x:v>
      </x:c>
      <x:c r="F1246" s="12" t="n">
        <x:v>19</x:v>
      </x:c>
      <x:c r="G1246" s="12" t="str">
        <x:v>21:30</x:v>
      </x:c>
      <x:c r="H1246" s="12" t="n">
        <x:v>1290</x:v>
      </x:c>
      <x:c r="I1246" s="12" t="str">
        <x:v>研究生宿舍楼</x:v>
      </x:c>
      <x:c r="J1246" s="12" t="str">
        <x:v>研究生宿舍楼发车</x:v>
      </x:c>
      <x:c r="K1246" s="12" t="str">
        <x:v>HX2_NORMAL</x:v>
      </x:c>
      <x:c r="L1246" s="12" t="n">
        <x:v>1</x:v>
      </x:c>
      <x:c r="M1246" s="12" t="str">
        <x:v>HX2_NORMAL|1</x:v>
      </x:c>
      <x:c r="N1246" s="12" t="str">
        <x:v>研究生宿舍楼</x:v>
      </x:c>
      <x:c r="O1246" s="12" t="n">
        <x:f>IFERROR(INDEX('秒级路线参数_可调整'!$O:$O,MATCH(M1246,'秒级路线参数_可调整'!$A:$A,0)),"")</x:f>
        <x:v>0</x:v>
      </x:c>
      <x:c r="P1246" s="12" t="str">
        <x:f>IF(O1246="","",O1246/86400)</x:f>
      </x:c>
      <x:c r="Q1246" s="12" t="str">
        <x:f>IF(O1246="","",(H1246*60+O1246)/86400)</x:f>
      </x:c>
      <x:c r="R1246" s="12" t="str">
        <x:f>IF(Q1246="","",TEXT(Q1246,"hh:mm:ss"))</x:f>
      </x:c>
      <x:c r="S1246" s="12" t="str">
        <x:v>是</x:v>
      </x:c>
      <x:c r="T1246" s="12" t="str">
        <x:v>否</x:v>
      </x:c>
      <x:c r="U1246" s="12" t="str">
        <x:v>未提供</x:v>
      </x:c>
      <x:c r="V1246" s="12" t="str">
        <x:v>未提供</x:v>
      </x:c>
      <x:c r="W1246" s="12" t="str">
        <x:v>秒级预测</x:v>
      </x:c>
      <x:c r="X1246" s="12" t="str">
        <x:v>基于路线秒级参数；如录入实测或手动采用秒，预计到达时间可随公式更新</x:v>
      </x:c>
    </x:row>
    <x:row r="1247">
      <x:c r="A1247" s="12" t="str">
        <x:v>S0108-02</x:v>
      </x:c>
      <x:c r="B1247" s="12" t="str">
        <x:v>S0108</x:v>
      </x:c>
      <x:c r="C1247" s="12" t="str">
        <x:v>工作日</x:v>
      </x:c>
      <x:c r="D1247" s="12" t="str">
        <x:v>环线2路</x:v>
      </x:c>
      <x:c r="E1247" s="12" t="str">
        <x:v>第二班</x:v>
      </x:c>
      <x:c r="F1247" s="12" t="n">
        <x:v>19</x:v>
      </x:c>
      <x:c r="G1247" s="12" t="str">
        <x:v>21:30</x:v>
      </x:c>
      <x:c r="H1247" s="12" t="n">
        <x:v>1290</x:v>
      </x:c>
      <x:c r="I1247" s="12" t="str">
        <x:v>研究生宿舍楼</x:v>
      </x:c>
      <x:c r="J1247" s="12" t="str">
        <x:v>研究生宿舍楼发车</x:v>
      </x:c>
      <x:c r="K1247" s="12" t="str">
        <x:v>HX2_NORMAL</x:v>
      </x:c>
      <x:c r="L1247" s="12" t="n">
        <x:v>2</x:v>
      </x:c>
      <x:c r="M1247" s="12" t="str">
        <x:v>HX2_NORMAL|2</x:v>
      </x:c>
      <x:c r="N1247" s="12" t="str">
        <x:v>一食堂</x:v>
      </x:c>
      <x:c r="O1247" s="12" t="n">
        <x:f>IFERROR(INDEX('秒级路线参数_可调整'!$O:$O,MATCH(M1247,'秒级路线参数_可调整'!$A:$A,0)),"")</x:f>
        <x:v>65</x:v>
      </x:c>
      <x:c r="P1247" s="12" t="n">
        <x:f>IF(O1247="","",O1247/86400)</x:f>
        <x:v>0.0007523148148148148</x:v>
      </x:c>
      <x:c r="Q1247" s="12" t="n">
        <x:f>IF(O1247="","",(H1247*60+O1247)/86400)</x:f>
        <x:v>0.8965856481481481</x:v>
      </x:c>
      <x:c r="R1247" s="12" t="str">
        <x:f>IF(Q1247="","",TEXT(Q1247,"hh:mm:ss"))</x:f>
        <x:v>21:31:05</x:v>
      </x:c>
      <x:c r="S1247" s="12" t="str">
        <x:v>否</x:v>
      </x:c>
      <x:c r="T1247" s="12" t="str">
        <x:v>否</x:v>
      </x:c>
      <x:c r="U1247" s="12" t="str">
        <x:v>未提供</x:v>
      </x:c>
      <x:c r="V1247" s="12" t="str">
        <x:v>未提供</x:v>
      </x:c>
      <x:c r="W1247" s="12" t="str">
        <x:v>秒级预测</x:v>
      </x:c>
      <x:c r="X1247" s="12" t="str">
        <x:v>基于路线秒级参数；如录入实测或手动采用秒，预计到达时间可随公式更新</x:v>
      </x:c>
    </x:row>
    <x:row r="1248">
      <x:c r="A1248" s="12" t="str">
        <x:v>S0108-03</x:v>
      </x:c>
      <x:c r="B1248" s="12" t="str">
        <x:v>S0108</x:v>
      </x:c>
      <x:c r="C1248" s="12" t="str">
        <x:v>工作日</x:v>
      </x:c>
      <x:c r="D1248" s="12" t="str">
        <x:v>环线2路</x:v>
      </x:c>
      <x:c r="E1248" s="12" t="str">
        <x:v>第二班</x:v>
      </x:c>
      <x:c r="F1248" s="12" t="n">
        <x:v>19</x:v>
      </x:c>
      <x:c r="G1248" s="12" t="str">
        <x:v>21:30</x:v>
      </x:c>
      <x:c r="H1248" s="12" t="n">
        <x:v>1290</x:v>
      </x:c>
      <x:c r="I1248" s="12" t="str">
        <x:v>研究生宿舍楼</x:v>
      </x:c>
      <x:c r="J1248" s="12" t="str">
        <x:v>研究生宿舍楼发车</x:v>
      </x:c>
      <x:c r="K1248" s="12" t="str">
        <x:v>HX2_NORMAL</x:v>
      </x:c>
      <x:c r="L1248" s="12" t="n">
        <x:v>3</x:v>
      </x:c>
      <x:c r="M1248" s="12" t="str">
        <x:v>HX2_NORMAL|3</x:v>
      </x:c>
      <x:c r="N1248" s="12" t="str">
        <x:v>门诊部</x:v>
      </x:c>
      <x:c r="O1248" s="12" t="n">
        <x:f>IFERROR(INDEX('秒级路线参数_可调整'!$O:$O,MATCH(M1248,'秒级路线参数_可调整'!$A:$A,0)),"")</x:f>
        <x:v>120</x:v>
      </x:c>
      <x:c r="P1248" s="12" t="n">
        <x:f>IF(O1248="","",O1248/86400)</x:f>
        <x:v>0.001388888888888889</x:v>
      </x:c>
      <x:c r="Q1248" s="12" t="n">
        <x:f>IF(O1248="","",(H1248*60+O1248)/86400)</x:f>
        <x:v>0.8972222222222223</x:v>
      </x:c>
      <x:c r="R1248" s="12" t="str">
        <x:f>IF(Q1248="","",TEXT(Q1248,"hh:mm:ss"))</x:f>
        <x:v>21:32:00</x:v>
      </x:c>
      <x:c r="S1248" s="12" t="str">
        <x:v>否</x:v>
      </x:c>
      <x:c r="T1248" s="12" t="str">
        <x:v>否</x:v>
      </x:c>
      <x:c r="U1248" s="12" t="str">
        <x:v>未提供</x:v>
      </x:c>
      <x:c r="V1248" s="12" t="str">
        <x:v>未提供</x:v>
      </x:c>
      <x:c r="W1248" s="12" t="str">
        <x:v>秒级预测</x:v>
      </x:c>
      <x:c r="X1248" s="12" t="str">
        <x:v>基于路线秒级参数；如录入实测或手动采用秒，预计到达时间可随公式更新</x:v>
      </x:c>
    </x:row>
    <x:row r="1249">
      <x:c r="A1249" s="12" t="str">
        <x:v>S0108-04</x:v>
      </x:c>
      <x:c r="B1249" s="12" t="str">
        <x:v>S0108</x:v>
      </x:c>
      <x:c r="C1249" s="12" t="str">
        <x:v>工作日</x:v>
      </x:c>
      <x:c r="D1249" s="12" t="str">
        <x:v>环线2路</x:v>
      </x:c>
      <x:c r="E1249" s="12" t="str">
        <x:v>第二班</x:v>
      </x:c>
      <x:c r="F1249" s="12" t="n">
        <x:v>19</x:v>
      </x:c>
      <x:c r="G1249" s="12" t="str">
        <x:v>21:30</x:v>
      </x:c>
      <x:c r="H1249" s="12" t="n">
        <x:v>1290</x:v>
      </x:c>
      <x:c r="I1249" s="12" t="str">
        <x:v>研究生宿舍楼</x:v>
      </x:c>
      <x:c r="J1249" s="12" t="str">
        <x:v>研究生宿舍楼发车</x:v>
      </x:c>
      <x:c r="K1249" s="12" t="str">
        <x:v>HX2_NORMAL</x:v>
      </x:c>
      <x:c r="L1249" s="12" t="n">
        <x:v>4</x:v>
      </x:c>
      <x:c r="M1249" s="12" t="str">
        <x:v>HX2_NORMAL|4</x:v>
      </x:c>
      <x:c r="N1249" s="12" t="str">
        <x:v>1号宿舍楼</x:v>
      </x:c>
      <x:c r="O1249" s="12" t="n">
        <x:f>IFERROR(INDEX('秒级路线参数_可调整'!$O:$O,MATCH(M1249,'秒级路线参数_可调整'!$A:$A,0)),"")</x:f>
        <x:v>165</x:v>
      </x:c>
      <x:c r="P1249" s="12" t="n">
        <x:f>IF(O1249="","",O1249/86400)</x:f>
        <x:v>0.0019097222222222222</x:v>
      </x:c>
      <x:c r="Q1249" s="12" t="n">
        <x:f>IF(O1249="","",(H1249*60+O1249)/86400)</x:f>
        <x:v>0.8977430555555556</x:v>
      </x:c>
      <x:c r="R1249" s="12" t="str">
        <x:f>IF(Q1249="","",TEXT(Q1249,"hh:mm:ss"))</x:f>
        <x:v>21:32:45</x:v>
      </x:c>
      <x:c r="S1249" s="12" t="str">
        <x:v>否</x:v>
      </x:c>
      <x:c r="T1249" s="12" t="str">
        <x:v>否</x:v>
      </x:c>
      <x:c r="U1249" s="12" t="str">
        <x:v>未提供</x:v>
      </x:c>
      <x:c r="V1249" s="12" t="str">
        <x:v>未提供</x:v>
      </x:c>
      <x:c r="W1249" s="12" t="str">
        <x:v>秒级预测</x:v>
      </x:c>
      <x:c r="X1249" s="12" t="str">
        <x:v>基于路线秒级参数；如录入实测或手动采用秒，预计到达时间可随公式更新</x:v>
      </x:c>
    </x:row>
    <x:row r="1250">
      <x:c r="A1250" s="12" t="str">
        <x:v>S0108-05</x:v>
      </x:c>
      <x:c r="B1250" s="12" t="str">
        <x:v>S0108</x:v>
      </x:c>
      <x:c r="C1250" s="12" t="str">
        <x:v>工作日</x:v>
      </x:c>
      <x:c r="D1250" s="12" t="str">
        <x:v>环线2路</x:v>
      </x:c>
      <x:c r="E1250" s="12" t="str">
        <x:v>第二班</x:v>
      </x:c>
      <x:c r="F1250" s="12" t="n">
        <x:v>19</x:v>
      </x:c>
      <x:c r="G1250" s="12" t="str">
        <x:v>21:30</x:v>
      </x:c>
      <x:c r="H1250" s="12" t="n">
        <x:v>1290</x:v>
      </x:c>
      <x:c r="I1250" s="12" t="str">
        <x:v>研究生宿舍楼</x:v>
      </x:c>
      <x:c r="J1250" s="12" t="str">
        <x:v>研究生宿舍楼发车</x:v>
      </x:c>
      <x:c r="K1250" s="12" t="str">
        <x:v>HX2_NORMAL</x:v>
      </x:c>
      <x:c r="L1250" s="12" t="n">
        <x:v>5</x:v>
      </x:c>
      <x:c r="M1250" s="12" t="str">
        <x:v>HX2_NORMAL|5</x:v>
      </x:c>
      <x:c r="N1250" s="12" t="str">
        <x:v>水上训练中心</x:v>
      </x:c>
      <x:c r="O1250" s="12" t="n">
        <x:f>IFERROR(INDEX('秒级路线参数_可调整'!$O:$O,MATCH(M1250,'秒级路线参数_可调整'!$A:$A,0)),"")</x:f>
        <x:v>250</x:v>
      </x:c>
      <x:c r="P1250" s="12" t="n">
        <x:f>IF(O1250="","",O1250/86400)</x:f>
        <x:v>0.0028935185185185184</x:v>
      </x:c>
      <x:c r="Q1250" s="12" t="n">
        <x:f>IF(O1250="","",(H1250*60+O1250)/86400)</x:f>
        <x:v>0.8987268518518519</x:v>
      </x:c>
      <x:c r="R1250" s="12" t="str">
        <x:f>IF(Q1250="","",TEXT(Q1250,"hh:mm:ss"))</x:f>
        <x:v>21:34:10</x:v>
      </x:c>
      <x:c r="S1250" s="12" t="str">
        <x:v>否</x:v>
      </x:c>
      <x:c r="T1250" s="12" t="str">
        <x:v>否</x:v>
      </x:c>
      <x:c r="U1250" s="12" t="str">
        <x:v>未提供</x:v>
      </x:c>
      <x:c r="V1250" s="12" t="str">
        <x:v>未提供</x:v>
      </x:c>
      <x:c r="W1250" s="12" t="str">
        <x:v>秒级预测</x:v>
      </x:c>
      <x:c r="X1250" s="12" t="str">
        <x:v>基于路线秒级参数；如录入实测或手动采用秒，预计到达时间可随公式更新</x:v>
      </x:c>
    </x:row>
    <x:row r="1251">
      <x:c r="A1251" s="12" t="str">
        <x:v>S0108-06</x:v>
      </x:c>
      <x:c r="B1251" s="12" t="str">
        <x:v>S0108</x:v>
      </x:c>
      <x:c r="C1251" s="12" t="str">
        <x:v>工作日</x:v>
      </x:c>
      <x:c r="D1251" s="12" t="str">
        <x:v>环线2路</x:v>
      </x:c>
      <x:c r="E1251" s="12" t="str">
        <x:v>第二班</x:v>
      </x:c>
      <x:c r="F1251" s="12" t="n">
        <x:v>19</x:v>
      </x:c>
      <x:c r="G1251" s="12" t="str">
        <x:v>21:30</x:v>
      </x:c>
      <x:c r="H1251" s="12" t="n">
        <x:v>1290</x:v>
      </x:c>
      <x:c r="I1251" s="12" t="str">
        <x:v>研究生宿舍楼</x:v>
      </x:c>
      <x:c r="J1251" s="12" t="str">
        <x:v>研究生宿舍楼发车</x:v>
      </x:c>
      <x:c r="K1251" s="12" t="str">
        <x:v>HX2_NORMAL</x:v>
      </x:c>
      <x:c r="L1251" s="12" t="n">
        <x:v>6</x:v>
      </x:c>
      <x:c r="M1251" s="12" t="str">
        <x:v>HX2_NORMAL|6</x:v>
      </x:c>
      <x:c r="N1251" s="12" t="str">
        <x:v>军体活动中心</x:v>
      </x:c>
      <x:c r="O1251" s="12" t="n">
        <x:f>IFERROR(INDEX('秒级路线参数_可调整'!$O:$O,MATCH(M1251,'秒级路线参数_可调整'!$A:$A,0)),"")</x:f>
        <x:v>315</x:v>
      </x:c>
      <x:c r="P1251" s="12" t="n">
        <x:f>IF(O1251="","",O1251/86400)</x:f>
        <x:v>0.0036458333333333334</x:v>
      </x:c>
      <x:c r="Q1251" s="12" t="n">
        <x:f>IF(O1251="","",(H1251*60+O1251)/86400)</x:f>
        <x:v>0.8994791666666667</x:v>
      </x:c>
      <x:c r="R1251" s="12" t="str">
        <x:f>IF(Q1251="","",TEXT(Q1251,"hh:mm:ss"))</x:f>
        <x:v>21:35:15</x:v>
      </x:c>
      <x:c r="S1251" s="12" t="str">
        <x:v>否</x:v>
      </x:c>
      <x:c r="T1251" s="12" t="str">
        <x:v>否</x:v>
      </x:c>
      <x:c r="U1251" s="12" t="str">
        <x:v>未提供</x:v>
      </x:c>
      <x:c r="V1251" s="12" t="str">
        <x:v>未提供</x:v>
      </x:c>
      <x:c r="W1251" s="12" t="str">
        <x:v>秒级预测</x:v>
      </x:c>
      <x:c r="X1251" s="12" t="str">
        <x:v>基于路线秒级参数；如录入实测或手动采用秒，预计到达时间可随公式更新</x:v>
      </x:c>
    </x:row>
    <x:row r="1252">
      <x:c r="A1252" s="12" t="str">
        <x:v>S0108-07</x:v>
      </x:c>
      <x:c r="B1252" s="12" t="str">
        <x:v>S0108</x:v>
      </x:c>
      <x:c r="C1252" s="12" t="str">
        <x:v>工作日</x:v>
      </x:c>
      <x:c r="D1252" s="12" t="str">
        <x:v>环线2路</x:v>
      </x:c>
      <x:c r="E1252" s="12" t="str">
        <x:v>第二班</x:v>
      </x:c>
      <x:c r="F1252" s="12" t="n">
        <x:v>19</x:v>
      </x:c>
      <x:c r="G1252" s="12" t="str">
        <x:v>21:30</x:v>
      </x:c>
      <x:c r="H1252" s="12" t="n">
        <x:v>1290</x:v>
      </x:c>
      <x:c r="I1252" s="12" t="str">
        <x:v>研究生宿舍楼</x:v>
      </x:c>
      <x:c r="J1252" s="12" t="str">
        <x:v>研究生宿舍楼发车</x:v>
      </x:c>
      <x:c r="K1252" s="12" t="str">
        <x:v>HX2_NORMAL</x:v>
      </x:c>
      <x:c r="L1252" s="12" t="n">
        <x:v>7</x:v>
      </x:c>
      <x:c r="M1252" s="12" t="str">
        <x:v>HX2_NORMAL|7</x:v>
      </x:c>
      <x:c r="N1252" s="12" t="str">
        <x:v>二食堂</x:v>
      </x:c>
      <x:c r="O1252" s="12" t="n">
        <x:f>IFERROR(INDEX('秒级路线参数_可调整'!$O:$O,MATCH(M1252,'秒级路线参数_可调整'!$A:$A,0)),"")</x:f>
        <x:v>420</x:v>
      </x:c>
      <x:c r="P1252" s="12" t="n">
        <x:f>IF(O1252="","",O1252/86400)</x:f>
        <x:v>0.004861111111111111</x:v>
      </x:c>
      <x:c r="Q1252" s="12" t="n">
        <x:f>IF(O1252="","",(H1252*60+O1252)/86400)</x:f>
        <x:v>0.9006944444444445</x:v>
      </x:c>
      <x:c r="R1252" s="12" t="str">
        <x:f>IF(Q1252="","",TEXT(Q1252,"hh:mm:ss"))</x:f>
        <x:v>21:37:00</x:v>
      </x:c>
      <x:c r="S1252" s="12" t="str">
        <x:v>否</x:v>
      </x:c>
      <x:c r="T1252" s="12" t="str">
        <x:v>否</x:v>
      </x:c>
      <x:c r="U1252" s="12" t="str">
        <x:v>未提供</x:v>
      </x:c>
      <x:c r="V1252" s="12" t="str">
        <x:v>未提供</x:v>
      </x:c>
      <x:c r="W1252" s="12" t="str">
        <x:v>秒级预测</x:v>
      </x:c>
      <x:c r="X1252" s="12" t="str">
        <x:v>基于路线秒级参数；如录入实测或手动采用秒，预计到达时间可随公式更新</x:v>
      </x:c>
    </x:row>
    <x:row r="1253">
      <x:c r="A1253" s="12" t="str">
        <x:v>S0108-08</x:v>
      </x:c>
      <x:c r="B1253" s="12" t="str">
        <x:v>S0108</x:v>
      </x:c>
      <x:c r="C1253" s="12" t="str">
        <x:v>工作日</x:v>
      </x:c>
      <x:c r="D1253" s="12" t="str">
        <x:v>环线2路</x:v>
      </x:c>
      <x:c r="E1253" s="12" t="str">
        <x:v>第二班</x:v>
      </x:c>
      <x:c r="F1253" s="12" t="n">
        <x:v>19</x:v>
      </x:c>
      <x:c r="G1253" s="12" t="str">
        <x:v>21:30</x:v>
      </x:c>
      <x:c r="H1253" s="12" t="n">
        <x:v>1290</x:v>
      </x:c>
      <x:c r="I1253" s="12" t="str">
        <x:v>研究生宿舍楼</x:v>
      </x:c>
      <x:c r="J1253" s="12" t="str">
        <x:v>研究生宿舍楼发车</x:v>
      </x:c>
      <x:c r="K1253" s="12" t="str">
        <x:v>HX2_NORMAL</x:v>
      </x:c>
      <x:c r="L1253" s="12" t="n">
        <x:v>8</x:v>
      </x:c>
      <x:c r="M1253" s="12" t="str">
        <x:v>HX2_NORMAL|8</x:v>
      </x:c>
      <x:c r="N1253" s="12" t="str">
        <x:v>5号宿舍楼</x:v>
      </x:c>
      <x:c r="O1253" s="12" t="n">
        <x:f>IFERROR(INDEX('秒级路线参数_可调整'!$O:$O,MATCH(M1253,'秒级路线参数_可调整'!$A:$A,0)),"")</x:f>
        <x:v>480</x:v>
      </x:c>
      <x:c r="P1253" s="12" t="n">
        <x:f>IF(O1253="","",O1253/86400)</x:f>
        <x:v>0.005555555555555556</x:v>
      </x:c>
      <x:c r="Q1253" s="12" t="n">
        <x:f>IF(O1253="","",(H1253*60+O1253)/86400)</x:f>
        <x:v>0.9013888888888889</x:v>
      </x:c>
      <x:c r="R1253" s="12" t="str">
        <x:f>IF(Q1253="","",TEXT(Q1253,"hh:mm:ss"))</x:f>
        <x:v>21:38:00</x:v>
      </x:c>
      <x:c r="S1253" s="12" t="str">
        <x:v>否</x:v>
      </x:c>
      <x:c r="T1253" s="12" t="str">
        <x:v>否</x:v>
      </x:c>
      <x:c r="U1253" s="12" t="str">
        <x:v>未提供</x:v>
      </x:c>
      <x:c r="V1253" s="12" t="str">
        <x:v>未提供</x:v>
      </x:c>
      <x:c r="W1253" s="12" t="str">
        <x:v>秒级预测</x:v>
      </x:c>
      <x:c r="X1253" s="12" t="str">
        <x:v>基于路线秒级参数；如录入实测或手动采用秒，预计到达时间可随公式更新</x:v>
      </x:c>
    </x:row>
    <x:row r="1254">
      <x:c r="A1254" s="12" t="str">
        <x:v>S0108-09</x:v>
      </x:c>
      <x:c r="B1254" s="12" t="str">
        <x:v>S0108</x:v>
      </x:c>
      <x:c r="C1254" s="12" t="str">
        <x:v>工作日</x:v>
      </x:c>
      <x:c r="D1254" s="12" t="str">
        <x:v>环线2路</x:v>
      </x:c>
      <x:c r="E1254" s="12" t="str">
        <x:v>第二班</x:v>
      </x:c>
      <x:c r="F1254" s="12" t="n">
        <x:v>19</x:v>
      </x:c>
      <x:c r="G1254" s="12" t="str">
        <x:v>21:30</x:v>
      </x:c>
      <x:c r="H1254" s="12" t="n">
        <x:v>1290</x:v>
      </x:c>
      <x:c r="I1254" s="12" t="str">
        <x:v>研究生宿舍楼</x:v>
      </x:c>
      <x:c r="J1254" s="12" t="str">
        <x:v>研究生宿舍楼发车</x:v>
      </x:c>
      <x:c r="K1254" s="12" t="str">
        <x:v>HX2_NORMAL</x:v>
      </x:c>
      <x:c r="L1254" s="12" t="n">
        <x:v>9</x:v>
      </x:c>
      <x:c r="M1254" s="12" t="str">
        <x:v>HX2_NORMAL|9</x:v>
      </x:c>
      <x:c r="N1254" s="12" t="str">
        <x:v>305教学楼</x:v>
      </x:c>
      <x:c r="O1254" s="12" t="n">
        <x:f>IFERROR(INDEX('秒级路线参数_可调整'!$O:$O,MATCH(M1254,'秒级路线参数_可调整'!$A:$A,0)),"")</x:f>
        <x:v>535</x:v>
      </x:c>
      <x:c r="P1254" s="12" t="n">
        <x:f>IF(O1254="","",O1254/86400)</x:f>
        <x:v>0.00619212962962963</x:v>
      </x:c>
      <x:c r="Q1254" s="12" t="n">
        <x:f>IF(O1254="","",(H1254*60+O1254)/86400)</x:f>
        <x:v>0.9020254629629629</x:v>
      </x:c>
      <x:c r="R1254" s="12" t="str">
        <x:f>IF(Q1254="","",TEXT(Q1254,"hh:mm:ss"))</x:f>
        <x:v>21:38:55</x:v>
      </x:c>
      <x:c r="S1254" s="12" t="str">
        <x:v>否</x:v>
      </x:c>
      <x:c r="T1254" s="12" t="str">
        <x:v>否</x:v>
      </x:c>
      <x:c r="U1254" s="12" t="str">
        <x:v>未提供</x:v>
      </x:c>
      <x:c r="V1254" s="12" t="str">
        <x:v>未提供</x:v>
      </x:c>
      <x:c r="W1254" s="12" t="str">
        <x:v>秒级预测</x:v>
      </x:c>
      <x:c r="X1254" s="12" t="str">
        <x:v>基于路线秒级参数；如录入实测或手动采用秒，预计到达时间可随公式更新</x:v>
      </x:c>
    </x:row>
    <x:row r="1255">
      <x:c r="A1255" s="12" t="str">
        <x:v>S0108-10</x:v>
      </x:c>
      <x:c r="B1255" s="12" t="str">
        <x:v>S0108</x:v>
      </x:c>
      <x:c r="C1255" s="12" t="str">
        <x:v>工作日</x:v>
      </x:c>
      <x:c r="D1255" s="12" t="str">
        <x:v>环线2路</x:v>
      </x:c>
      <x:c r="E1255" s="12" t="str">
        <x:v>第二班</x:v>
      </x:c>
      <x:c r="F1255" s="12" t="n">
        <x:v>19</x:v>
      </x:c>
      <x:c r="G1255" s="12" t="str">
        <x:v>21:30</x:v>
      </x:c>
      <x:c r="H1255" s="12" t="n">
        <x:v>1290</x:v>
      </x:c>
      <x:c r="I1255" s="12" t="str">
        <x:v>研究生宿舍楼</x:v>
      </x:c>
      <x:c r="J1255" s="12" t="str">
        <x:v>研究生宿舍楼发车</x:v>
      </x:c>
      <x:c r="K1255" s="12" t="str">
        <x:v>HX2_NORMAL</x:v>
      </x:c>
      <x:c r="L1255" s="12" t="n">
        <x:v>10</x:v>
      </x:c>
      <x:c r="M1255" s="12" t="str">
        <x:v>HX2_NORMAL|10</x:v>
      </x:c>
      <x:c r="N1255" s="12" t="str">
        <x:v>研究生宿舍楼</x:v>
      </x:c>
      <x:c r="O1255" s="12" t="n">
        <x:f>IFERROR(INDEX('秒级路线参数_可调整'!$O:$O,MATCH(M1255,'秒级路线参数_可调整'!$A:$A,0)),"")</x:f>
        <x:v>715</x:v>
      </x:c>
      <x:c r="P1255" s="12" t="n">
        <x:f>IF(O1255="","",O1255/86400)</x:f>
        <x:v>0.008275462962962964</x:v>
      </x:c>
      <x:c r="Q1255" s="12" t="n">
        <x:f>IF(O1255="","",(H1255*60+O1255)/86400)</x:f>
        <x:v>0.9041087962962963</x:v>
      </x:c>
      <x:c r="R1255" s="12" t="str">
        <x:f>IF(Q1255="","",TEXT(Q1255,"hh:mm:ss"))</x:f>
        <x:v>21:41:55</x:v>
      </x:c>
      <x:c r="S1255" s="12" t="str">
        <x:v>否</x:v>
      </x:c>
      <x:c r="T1255" s="12" t="str">
        <x:v>是</x:v>
      </x:c>
      <x:c r="U1255" s="12" t="str">
        <x:v>未提供</x:v>
      </x:c>
      <x:c r="V1255" s="12" t="str">
        <x:v>未提供</x:v>
      </x:c>
      <x:c r="W1255" s="12" t="str">
        <x:v>秒级预测</x:v>
      </x:c>
      <x:c r="X1255" s="12" t="str">
        <x:v>基于路线秒级参数；如录入实测或手动采用秒，预计到达时间可随公式更新</x:v>
      </x:c>
    </x:row>
    <x:row r="1256">
      <x:c r="A1256" s="12" t="str">
        <x:v>S0109-01</x:v>
      </x:c>
      <x:c r="B1256" s="12" t="str">
        <x:v>S0109</x:v>
      </x:c>
      <x:c r="C1256" s="12" t="str">
        <x:v>工作日</x:v>
      </x:c>
      <x:c r="D1256" s="12" t="str">
        <x:v>环线3路</x:v>
      </x:c>
      <x:c r="E1256" s="12" t="str">
        <x:v>第一班</x:v>
      </x:c>
      <x:c r="F1256" s="12" t="n">
        <x:v>1</x:v>
      </x:c>
      <x:c r="G1256" s="12" t="str">
        <x:v>7:35</x:v>
      </x:c>
      <x:c r="H1256" s="12" t="n">
        <x:v>455</x:v>
      </x:c>
      <x:c r="I1256" s="12" t="str">
        <x:v>研究生宿舍楼</x:v>
      </x:c>
      <x:c r="J1256" s="12" t="str">
        <x:v>研究生宿舍楼发车</x:v>
      </x:c>
      <x:c r="K1256" s="12" t="str">
        <x:v>HX3_NORMAL</x:v>
      </x:c>
      <x:c r="L1256" s="12" t="n">
        <x:v>1</x:v>
      </x:c>
      <x:c r="M1256" s="12" t="str">
        <x:v>HX3_NORMAL|1</x:v>
      </x:c>
      <x:c r="N1256" s="12" t="str">
        <x:v>研究生宿舍楼</x:v>
      </x:c>
      <x:c r="O1256" s="12" t="n">
        <x:f>IFERROR(INDEX('秒级路线参数_可调整'!$O:$O,MATCH(M1256,'秒级路线参数_可调整'!$A:$A,0)),"")</x:f>
        <x:v>0</x:v>
      </x:c>
      <x:c r="P1256" s="12" t="str">
        <x:f>IF(O1256="","",O1256/86400)</x:f>
      </x:c>
      <x:c r="Q1256" s="12" t="str">
        <x:f>IF(O1256="","",(H1256*60+O1256)/86400)</x:f>
      </x:c>
      <x:c r="R1256" s="12" t="str">
        <x:f>IF(Q1256="","",TEXT(Q1256,"hh:mm:ss"))</x:f>
      </x:c>
      <x:c r="S1256" s="12" t="str">
        <x:v>是</x:v>
      </x:c>
      <x:c r="T1256" s="12" t="str">
        <x:v>否</x:v>
      </x:c>
      <x:c r="U1256" s="12" t="str">
        <x:v>刘虎</x:v>
      </x:c>
      <x:c r="V1256" s="12" t="str">
        <x:v>3号车</x:v>
      </x:c>
      <x:c r="W1256" s="12" t="str">
        <x:v>秒级预测</x:v>
      </x:c>
      <x:c r="X1256" s="12" t="str">
        <x:v>基于路线秒级参数；如录入实测或手动采用秒，预计到达时间可随公式更新</x:v>
      </x:c>
    </x:row>
    <x:row r="1257">
      <x:c r="A1257" s="12" t="str">
        <x:v>S0109-02</x:v>
      </x:c>
      <x:c r="B1257" s="12" t="str">
        <x:v>S0109</x:v>
      </x:c>
      <x:c r="C1257" s="12" t="str">
        <x:v>工作日</x:v>
      </x:c>
      <x:c r="D1257" s="12" t="str">
        <x:v>环线3路</x:v>
      </x:c>
      <x:c r="E1257" s="12" t="str">
        <x:v>第一班</x:v>
      </x:c>
      <x:c r="F1257" s="12" t="n">
        <x:v>1</x:v>
      </x:c>
      <x:c r="G1257" s="12" t="str">
        <x:v>7:35</x:v>
      </x:c>
      <x:c r="H1257" s="12" t="n">
        <x:v>455</x:v>
      </x:c>
      <x:c r="I1257" s="12" t="str">
        <x:v>研究生宿舍楼</x:v>
      </x:c>
      <x:c r="J1257" s="12" t="str">
        <x:v>研究生宿舍楼发车</x:v>
      </x:c>
      <x:c r="K1257" s="12" t="str">
        <x:v>HX3_NORMAL</x:v>
      </x:c>
      <x:c r="L1257" s="12" t="n">
        <x:v>2</x:v>
      </x:c>
      <x:c r="M1257" s="12" t="str">
        <x:v>HX3_NORMAL|2</x:v>
      </x:c>
      <x:c r="N1257" s="12" t="str">
        <x:v>一食堂</x:v>
      </x:c>
      <x:c r="O1257" s="12" t="n">
        <x:f>IFERROR(INDEX('秒级路线参数_可调整'!$O:$O,MATCH(M1257,'秒级路线参数_可调整'!$A:$A,0)),"")</x:f>
        <x:v>65</x:v>
      </x:c>
      <x:c r="P1257" s="12" t="n">
        <x:f>IF(O1257="","",O1257/86400)</x:f>
        <x:v>0.0007523148148148148</x:v>
      </x:c>
      <x:c r="Q1257" s="12" t="n">
        <x:f>IF(O1257="","",(H1257*60+O1257)/86400)</x:f>
        <x:v>0.316724537037037</x:v>
      </x:c>
      <x:c r="R1257" s="12" t="str">
        <x:f>IF(Q1257="","",TEXT(Q1257,"hh:mm:ss"))</x:f>
        <x:v>07:36:05</x:v>
      </x:c>
      <x:c r="S1257" s="12" t="str">
        <x:v>否</x:v>
      </x:c>
      <x:c r="T1257" s="12" t="str">
        <x:v>否</x:v>
      </x:c>
      <x:c r="U1257" s="12" t="str">
        <x:v>刘虎</x:v>
      </x:c>
      <x:c r="V1257" s="12" t="str">
        <x:v>3号车</x:v>
      </x:c>
      <x:c r="W1257" s="12" t="str">
        <x:v>秒级预测</x:v>
      </x:c>
      <x:c r="X1257" s="12" t="str">
        <x:v>基于路线秒级参数；如录入实测或手动采用秒，预计到达时间可随公式更新</x:v>
      </x:c>
    </x:row>
    <x:row r="1258">
      <x:c r="A1258" s="12" t="str">
        <x:v>S0109-03</x:v>
      </x:c>
      <x:c r="B1258" s="12" t="str">
        <x:v>S0109</x:v>
      </x:c>
      <x:c r="C1258" s="12" t="str">
        <x:v>工作日</x:v>
      </x:c>
      <x:c r="D1258" s="12" t="str">
        <x:v>环线3路</x:v>
      </x:c>
      <x:c r="E1258" s="12" t="str">
        <x:v>第一班</x:v>
      </x:c>
      <x:c r="F1258" s="12" t="n">
        <x:v>1</x:v>
      </x:c>
      <x:c r="G1258" s="12" t="str">
        <x:v>7:35</x:v>
      </x:c>
      <x:c r="H1258" s="12" t="n">
        <x:v>455</x:v>
      </x:c>
      <x:c r="I1258" s="12" t="str">
        <x:v>研究生宿舍楼</x:v>
      </x:c>
      <x:c r="J1258" s="12" t="str">
        <x:v>研究生宿舍楼发车</x:v>
      </x:c>
      <x:c r="K1258" s="12" t="str">
        <x:v>HX3_NORMAL</x:v>
      </x:c>
      <x:c r="L1258" s="12" t="n">
        <x:v>3</x:v>
      </x:c>
      <x:c r="M1258" s="12" t="str">
        <x:v>HX3_NORMAL|3</x:v>
      </x:c>
      <x:c r="N1258" s="12" t="str">
        <x:v>2号宿舍楼</x:v>
      </x:c>
      <x:c r="O1258" s="12" t="n">
        <x:f>IFERROR(INDEX('秒级路线参数_可调整'!$O:$O,MATCH(M1258,'秒级路线参数_可调整'!$A:$A,0)),"")</x:f>
        <x:v>120</x:v>
      </x:c>
      <x:c r="P1258" s="12" t="n">
        <x:f>IF(O1258="","",O1258/86400)</x:f>
        <x:v>0.001388888888888889</x:v>
      </x:c>
      <x:c r="Q1258" s="12" t="n">
        <x:f>IF(O1258="","",(H1258*60+O1258)/86400)</x:f>
        <x:v>0.3173611111111111</x:v>
      </x:c>
      <x:c r="R1258" s="12" t="str">
        <x:f>IF(Q1258="","",TEXT(Q1258,"hh:mm:ss"))</x:f>
        <x:v>07:37:00</x:v>
      </x:c>
      <x:c r="S1258" s="12" t="str">
        <x:v>否</x:v>
      </x:c>
      <x:c r="T1258" s="12" t="str">
        <x:v>否</x:v>
      </x:c>
      <x:c r="U1258" s="12" t="str">
        <x:v>刘虎</x:v>
      </x:c>
      <x:c r="V1258" s="12" t="str">
        <x:v>3号车</x:v>
      </x:c>
      <x:c r="W1258" s="12" t="str">
        <x:v>秒级预测</x:v>
      </x:c>
      <x:c r="X1258" s="12" t="str">
        <x:v>基于路线秒级参数；如录入实测或手动采用秒，预计到达时间可随公式更新</x:v>
      </x:c>
    </x:row>
    <x:row r="1259">
      <x:c r="A1259" s="12" t="str">
        <x:v>S0109-04</x:v>
      </x:c>
      <x:c r="B1259" s="12" t="str">
        <x:v>S0109</x:v>
      </x:c>
      <x:c r="C1259" s="12" t="str">
        <x:v>工作日</x:v>
      </x:c>
      <x:c r="D1259" s="12" t="str">
        <x:v>环线3路</x:v>
      </x:c>
      <x:c r="E1259" s="12" t="str">
        <x:v>第一班</x:v>
      </x:c>
      <x:c r="F1259" s="12" t="n">
        <x:v>1</x:v>
      </x:c>
      <x:c r="G1259" s="12" t="str">
        <x:v>7:35</x:v>
      </x:c>
      <x:c r="H1259" s="12" t="n">
        <x:v>455</x:v>
      </x:c>
      <x:c r="I1259" s="12" t="str">
        <x:v>研究生宿舍楼</x:v>
      </x:c>
      <x:c r="J1259" s="12" t="str">
        <x:v>研究生宿舍楼发车</x:v>
      </x:c>
      <x:c r="K1259" s="12" t="str">
        <x:v>HX3_NORMAL</x:v>
      </x:c>
      <x:c r="L1259" s="12" t="n">
        <x:v>4</x:v>
      </x:c>
      <x:c r="M1259" s="12" t="str">
        <x:v>HX3_NORMAL|4</x:v>
      </x:c>
      <x:c r="N1259" s="12" t="str">
        <x:v>军体活动中心</x:v>
      </x:c>
      <x:c r="O1259" s="12" t="n">
        <x:f>IFERROR(INDEX('秒级路线参数_可调整'!$O:$O,MATCH(M1259,'秒级路线参数_可调整'!$A:$A,0)),"")</x:f>
        <x:v>165</x:v>
      </x:c>
      <x:c r="P1259" s="12" t="n">
        <x:f>IF(O1259="","",O1259/86400)</x:f>
        <x:v>0.0019097222222222222</x:v>
      </x:c>
      <x:c r="Q1259" s="12" t="n">
        <x:f>IF(O1259="","",(H1259*60+O1259)/86400)</x:f>
        <x:v>0.31788194444444445</x:v>
      </x:c>
      <x:c r="R1259" s="12" t="str">
        <x:f>IF(Q1259="","",TEXT(Q1259,"hh:mm:ss"))</x:f>
        <x:v>07:37:45</x:v>
      </x:c>
      <x:c r="S1259" s="12" t="str">
        <x:v>否</x:v>
      </x:c>
      <x:c r="T1259" s="12" t="str">
        <x:v>否</x:v>
      </x:c>
      <x:c r="U1259" s="12" t="str">
        <x:v>刘虎</x:v>
      </x:c>
      <x:c r="V1259" s="12" t="str">
        <x:v>3号车</x:v>
      </x:c>
      <x:c r="W1259" s="12" t="str">
        <x:v>秒级预测</x:v>
      </x:c>
      <x:c r="X1259" s="12" t="str">
        <x:v>基于路线秒级参数；如录入实测或手动采用秒，预计到达时间可随公式更新</x:v>
      </x:c>
    </x:row>
    <x:row r="1260">
      <x:c r="A1260" s="12" t="str">
        <x:v>S0109-05</x:v>
      </x:c>
      <x:c r="B1260" s="12" t="str">
        <x:v>S0109</x:v>
      </x:c>
      <x:c r="C1260" s="12" t="str">
        <x:v>工作日</x:v>
      </x:c>
      <x:c r="D1260" s="12" t="str">
        <x:v>环线3路</x:v>
      </x:c>
      <x:c r="E1260" s="12" t="str">
        <x:v>第一班</x:v>
      </x:c>
      <x:c r="F1260" s="12" t="n">
        <x:v>1</x:v>
      </x:c>
      <x:c r="G1260" s="12" t="str">
        <x:v>7:35</x:v>
      </x:c>
      <x:c r="H1260" s="12" t="n">
        <x:v>455</x:v>
      </x:c>
      <x:c r="I1260" s="12" t="str">
        <x:v>研究生宿舍楼</x:v>
      </x:c>
      <x:c r="J1260" s="12" t="str">
        <x:v>研究生宿舍楼发车</x:v>
      </x:c>
      <x:c r="K1260" s="12" t="str">
        <x:v>HX3_NORMAL</x:v>
      </x:c>
      <x:c r="L1260" s="12" t="n">
        <x:v>5</x:v>
      </x:c>
      <x:c r="M1260" s="12" t="str">
        <x:v>HX3_NORMAL|5</x:v>
      </x:c>
      <x:c r="N1260" s="12" t="str">
        <x:v>教勤连</x:v>
      </x:c>
      <x:c r="O1260" s="12" t="n">
        <x:f>IFERROR(INDEX('秒级路线参数_可调整'!$O:$O,MATCH(M1260,'秒级路线参数_可调整'!$A:$A,0)),"")</x:f>
        <x:v>250</x:v>
      </x:c>
      <x:c r="P1260" s="12" t="n">
        <x:f>IF(O1260="","",O1260/86400)</x:f>
        <x:v>0.0028935185185185184</x:v>
      </x:c>
      <x:c r="Q1260" s="12" t="n">
        <x:f>IF(O1260="","",(H1260*60+O1260)/86400)</x:f>
        <x:v>0.31886574074074076</x:v>
      </x:c>
      <x:c r="R1260" s="12" t="str">
        <x:f>IF(Q1260="","",TEXT(Q1260,"hh:mm:ss"))</x:f>
        <x:v>07:39:10</x:v>
      </x:c>
      <x:c r="S1260" s="12" t="str">
        <x:v>否</x:v>
      </x:c>
      <x:c r="T1260" s="12" t="str">
        <x:v>否</x:v>
      </x:c>
      <x:c r="U1260" s="12" t="str">
        <x:v>刘虎</x:v>
      </x:c>
      <x:c r="V1260" s="12" t="str">
        <x:v>3号车</x:v>
      </x:c>
      <x:c r="W1260" s="12" t="str">
        <x:v>秒级预测</x:v>
      </x:c>
      <x:c r="X1260" s="12" t="str">
        <x:v>基于路线秒级参数；如录入实测或手动采用秒，预计到达时间可随公式更新</x:v>
      </x:c>
    </x:row>
    <x:row r="1261">
      <x:c r="A1261" s="12" t="str">
        <x:v>S0109-06</x:v>
      </x:c>
      <x:c r="B1261" s="12" t="str">
        <x:v>S0109</x:v>
      </x:c>
      <x:c r="C1261" s="12" t="str">
        <x:v>工作日</x:v>
      </x:c>
      <x:c r="D1261" s="12" t="str">
        <x:v>环线3路</x:v>
      </x:c>
      <x:c r="E1261" s="12" t="str">
        <x:v>第一班</x:v>
      </x:c>
      <x:c r="F1261" s="12" t="n">
        <x:v>1</x:v>
      </x:c>
      <x:c r="G1261" s="12" t="str">
        <x:v>7:35</x:v>
      </x:c>
      <x:c r="H1261" s="12" t="n">
        <x:v>455</x:v>
      </x:c>
      <x:c r="I1261" s="12" t="str">
        <x:v>研究生宿舍楼</x:v>
      </x:c>
      <x:c r="J1261" s="12" t="str">
        <x:v>研究生宿舍楼发车</x:v>
      </x:c>
      <x:c r="K1261" s="12" t="str">
        <x:v>HX3_NORMAL</x:v>
      </x:c>
      <x:c r="L1261" s="12" t="n">
        <x:v>6</x:v>
      </x:c>
      <x:c r="M1261" s="12" t="str">
        <x:v>HX3_NORMAL|6</x:v>
      </x:c>
      <x:c r="N1261" s="12" t="str">
        <x:v>激光所</x:v>
      </x:c>
      <x:c r="O1261" s="12" t="n">
        <x:f>IFERROR(INDEX('秒级路线参数_可调整'!$O:$O,MATCH(M1261,'秒级路线参数_可调整'!$A:$A,0)),"")</x:f>
        <x:v>315</x:v>
      </x:c>
      <x:c r="P1261" s="12" t="n">
        <x:f>IF(O1261="","",O1261/86400)</x:f>
        <x:v>0.0036458333333333334</x:v>
      </x:c>
      <x:c r="Q1261" s="12" t="n">
        <x:f>IF(O1261="","",(H1261*60+O1261)/86400)</x:f>
        <x:v>0.31961805555555556</x:v>
      </x:c>
      <x:c r="R1261" s="12" t="str">
        <x:f>IF(Q1261="","",TEXT(Q1261,"hh:mm:ss"))</x:f>
        <x:v>07:40:15</x:v>
      </x:c>
      <x:c r="S1261" s="12" t="str">
        <x:v>否</x:v>
      </x:c>
      <x:c r="T1261" s="12" t="str">
        <x:v>否</x:v>
      </x:c>
      <x:c r="U1261" s="12" t="str">
        <x:v>刘虎</x:v>
      </x:c>
      <x:c r="V1261" s="12" t="str">
        <x:v>3号车</x:v>
      </x:c>
      <x:c r="W1261" s="12" t="str">
        <x:v>秒级预测</x:v>
      </x:c>
      <x:c r="X1261" s="12" t="str">
        <x:v>基于路线秒级参数；如录入实测或手动采用秒，预计到达时间可随公式更新</x:v>
      </x:c>
    </x:row>
    <x:row r="1262">
      <x:c r="A1262" s="12" t="str">
        <x:v>S0109-07</x:v>
      </x:c>
      <x:c r="B1262" s="12" t="str">
        <x:v>S0109</x:v>
      </x:c>
      <x:c r="C1262" s="12" t="str">
        <x:v>工作日</x:v>
      </x:c>
      <x:c r="D1262" s="12" t="str">
        <x:v>环线3路</x:v>
      </x:c>
      <x:c r="E1262" s="12" t="str">
        <x:v>第一班</x:v>
      </x:c>
      <x:c r="F1262" s="12" t="n">
        <x:v>1</x:v>
      </x:c>
      <x:c r="G1262" s="12" t="str">
        <x:v>7:35</x:v>
      </x:c>
      <x:c r="H1262" s="12" t="n">
        <x:v>455</x:v>
      </x:c>
      <x:c r="I1262" s="12" t="str">
        <x:v>研究生宿舍楼</x:v>
      </x:c>
      <x:c r="J1262" s="12" t="str">
        <x:v>研究生宿舍楼发车</x:v>
      </x:c>
      <x:c r="K1262" s="12" t="str">
        <x:v>HX3_NORMAL</x:v>
      </x:c>
      <x:c r="L1262" s="12" t="n">
        <x:v>7</x:v>
      </x:c>
      <x:c r="M1262" s="12" t="str">
        <x:v>HX3_NORMAL|7</x:v>
      </x:c>
      <x:c r="N1262" s="12" t="str">
        <x:v>高超楼</x:v>
      </x:c>
      <x:c r="O1262" s="12" t="n">
        <x:f>IFERROR(INDEX('秒级路线参数_可调整'!$O:$O,MATCH(M1262,'秒级路线参数_可调整'!$A:$A,0)),"")</x:f>
        <x:v>420</x:v>
      </x:c>
      <x:c r="P1262" s="12" t="n">
        <x:f>IF(O1262="","",O1262/86400)</x:f>
        <x:v>0.004861111111111111</x:v>
      </x:c>
      <x:c r="Q1262" s="12" t="n">
        <x:f>IF(O1262="","",(H1262*60+O1262)/86400)</x:f>
        <x:v>0.32083333333333336</x:v>
      </x:c>
      <x:c r="R1262" s="12" t="str">
        <x:f>IF(Q1262="","",TEXT(Q1262,"hh:mm:ss"))</x:f>
        <x:v>07:42:00</x:v>
      </x:c>
      <x:c r="S1262" s="12" t="str">
        <x:v>否</x:v>
      </x:c>
      <x:c r="T1262" s="12" t="str">
        <x:v>否</x:v>
      </x:c>
      <x:c r="U1262" s="12" t="str">
        <x:v>刘虎</x:v>
      </x:c>
      <x:c r="V1262" s="12" t="str">
        <x:v>3号车</x:v>
      </x:c>
      <x:c r="W1262" s="12" t="str">
        <x:v>秒级预测</x:v>
      </x:c>
      <x:c r="X1262" s="12" t="str">
        <x:v>基于路线秒级参数；如录入实测或手动采用秒，预计到达时间可随公式更新</x:v>
      </x:c>
    </x:row>
    <x:row r="1263">
      <x:c r="A1263" s="12" t="str">
        <x:v>S0109-08</x:v>
      </x:c>
      <x:c r="B1263" s="12" t="str">
        <x:v>S0109</x:v>
      </x:c>
      <x:c r="C1263" s="12" t="str">
        <x:v>工作日</x:v>
      </x:c>
      <x:c r="D1263" s="12" t="str">
        <x:v>环线3路</x:v>
      </x:c>
      <x:c r="E1263" s="12" t="str">
        <x:v>第一班</x:v>
      </x:c>
      <x:c r="F1263" s="12" t="n">
        <x:v>1</x:v>
      </x:c>
      <x:c r="G1263" s="12" t="str">
        <x:v>7:35</x:v>
      </x:c>
      <x:c r="H1263" s="12" t="n">
        <x:v>455</x:v>
      </x:c>
      <x:c r="I1263" s="12" t="str">
        <x:v>研究生宿舍楼</x:v>
      </x:c>
      <x:c r="J1263" s="12" t="str">
        <x:v>研究生宿舍楼发车</x:v>
      </x:c>
      <x:c r="K1263" s="12" t="str">
        <x:v>HX3_NORMAL</x:v>
      </x:c>
      <x:c r="L1263" s="12" t="n">
        <x:v>8</x:v>
      </x:c>
      <x:c r="M1263" s="12" t="str">
        <x:v>HX3_NORMAL|8</x:v>
      </x:c>
      <x:c r="N1263" s="12" t="str">
        <x:v>理学院</x:v>
      </x:c>
      <x:c r="O1263" s="12" t="n">
        <x:f>IFERROR(INDEX('秒级路线参数_可调整'!$O:$O,MATCH(M1263,'秒级路线参数_可调整'!$A:$A,0)),"")</x:f>
        <x:v>480</x:v>
      </x:c>
      <x:c r="P1263" s="12" t="n">
        <x:f>IF(O1263="","",O1263/86400)</x:f>
        <x:v>0.005555555555555556</x:v>
      </x:c>
      <x:c r="Q1263" s="12" t="n">
        <x:f>IF(O1263="","",(H1263*60+O1263)/86400)</x:f>
        <x:v>0.3215277777777778</x:v>
      </x:c>
      <x:c r="R1263" s="12" t="str">
        <x:f>IF(Q1263="","",TEXT(Q1263,"hh:mm:ss"))</x:f>
        <x:v>07:43:00</x:v>
      </x:c>
      <x:c r="S1263" s="12" t="str">
        <x:v>否</x:v>
      </x:c>
      <x:c r="T1263" s="12" t="str">
        <x:v>否</x:v>
      </x:c>
      <x:c r="U1263" s="12" t="str">
        <x:v>刘虎</x:v>
      </x:c>
      <x:c r="V1263" s="12" t="str">
        <x:v>3号车</x:v>
      </x:c>
      <x:c r="W1263" s="12" t="str">
        <x:v>秒级预测</x:v>
      </x:c>
      <x:c r="X1263" s="12" t="str">
        <x:v>基于路线秒级参数；如录入实测或手动采用秒，预计到达时间可随公式更新</x:v>
      </x:c>
    </x:row>
    <x:row r="1264">
      <x:c r="A1264" s="12" t="str">
        <x:v>S0109-09</x:v>
      </x:c>
      <x:c r="B1264" s="12" t="str">
        <x:v>S0109</x:v>
      </x:c>
      <x:c r="C1264" s="12" t="str">
        <x:v>工作日</x:v>
      </x:c>
      <x:c r="D1264" s="12" t="str">
        <x:v>环线3路</x:v>
      </x:c>
      <x:c r="E1264" s="12" t="str">
        <x:v>第一班</x:v>
      </x:c>
      <x:c r="F1264" s="12" t="n">
        <x:v>1</x:v>
      </x:c>
      <x:c r="G1264" s="12" t="str">
        <x:v>7:35</x:v>
      </x:c>
      <x:c r="H1264" s="12" t="n">
        <x:v>455</x:v>
      </x:c>
      <x:c r="I1264" s="12" t="str">
        <x:v>研究生宿舍楼</x:v>
      </x:c>
      <x:c r="J1264" s="12" t="str">
        <x:v>研究生宿舍楼发车</x:v>
      </x:c>
      <x:c r="K1264" s="12" t="str">
        <x:v>HX3_NORMAL</x:v>
      </x:c>
      <x:c r="L1264" s="12" t="n">
        <x:v>9</x:v>
      </x:c>
      <x:c r="M1264" s="12" t="str">
        <x:v>HX3_NORMAL|9</x:v>
      </x:c>
      <x:c r="N1264" s="12" t="str">
        <x:v>二食堂</x:v>
      </x:c>
      <x:c r="O1264" s="12" t="n">
        <x:f>IFERROR(INDEX('秒级路线参数_可调整'!$O:$O,MATCH(M1264,'秒级路线参数_可调整'!$A:$A,0)),"")</x:f>
        <x:v>535</x:v>
      </x:c>
      <x:c r="P1264" s="12" t="n">
        <x:f>IF(O1264="","",O1264/86400)</x:f>
        <x:v>0.00619212962962963</x:v>
      </x:c>
      <x:c r="Q1264" s="12" t="n">
        <x:f>IF(O1264="","",(H1264*60+O1264)/86400)</x:f>
        <x:v>0.3221643518518518</x:v>
      </x:c>
      <x:c r="R1264" s="12" t="str">
        <x:f>IF(Q1264="","",TEXT(Q1264,"hh:mm:ss"))</x:f>
        <x:v>07:43:55</x:v>
      </x:c>
      <x:c r="S1264" s="12" t="str">
        <x:v>否</x:v>
      </x:c>
      <x:c r="T1264" s="12" t="str">
        <x:v>否</x:v>
      </x:c>
      <x:c r="U1264" s="12" t="str">
        <x:v>刘虎</x:v>
      </x:c>
      <x:c r="V1264" s="12" t="str">
        <x:v>3号车</x:v>
      </x:c>
      <x:c r="W1264" s="12" t="str">
        <x:v>秒级预测</x:v>
      </x:c>
      <x:c r="X1264" s="12" t="str">
        <x:v>基于路线秒级参数；如录入实测或手动采用秒，预计到达时间可随公式更新</x:v>
      </x:c>
    </x:row>
    <x:row r="1265">
      <x:c r="A1265" s="12" t="str">
        <x:v>S0109-10</x:v>
      </x:c>
      <x:c r="B1265" s="12" t="str">
        <x:v>S0109</x:v>
      </x:c>
      <x:c r="C1265" s="12" t="str">
        <x:v>工作日</x:v>
      </x:c>
      <x:c r="D1265" s="12" t="str">
        <x:v>环线3路</x:v>
      </x:c>
      <x:c r="E1265" s="12" t="str">
        <x:v>第一班</x:v>
      </x:c>
      <x:c r="F1265" s="12" t="n">
        <x:v>1</x:v>
      </x:c>
      <x:c r="G1265" s="12" t="str">
        <x:v>7:35</x:v>
      </x:c>
      <x:c r="H1265" s="12" t="n">
        <x:v>455</x:v>
      </x:c>
      <x:c r="I1265" s="12" t="str">
        <x:v>研究生宿舍楼</x:v>
      </x:c>
      <x:c r="J1265" s="12" t="str">
        <x:v>研究生宿舍楼发车</x:v>
      </x:c>
      <x:c r="K1265" s="12" t="str">
        <x:v>HX3_NORMAL</x:v>
      </x:c>
      <x:c r="L1265" s="12" t="n">
        <x:v>10</x:v>
      </x:c>
      <x:c r="M1265" s="12" t="str">
        <x:v>HX3_NORMAL|10</x:v>
      </x:c>
      <x:c r="N1265" s="12" t="str">
        <x:v>图书馆</x:v>
      </x:c>
      <x:c r="O1265" s="12" t="n">
        <x:f>IFERROR(INDEX('秒级路线参数_可调整'!$O:$O,MATCH(M1265,'秒级路线参数_可调整'!$A:$A,0)),"")</x:f>
        <x:v>715</x:v>
      </x:c>
      <x:c r="P1265" s="12" t="n">
        <x:f>IF(O1265="","",O1265/86400)</x:f>
        <x:v>0.008275462962962964</x:v>
      </x:c>
      <x:c r="Q1265" s="12" t="n">
        <x:f>IF(O1265="","",(H1265*60+O1265)/86400)</x:f>
        <x:v>0.3242476851851852</x:v>
      </x:c>
      <x:c r="R1265" s="12" t="str">
        <x:f>IF(Q1265="","",TEXT(Q1265,"hh:mm:ss"))</x:f>
        <x:v>07:46:55</x:v>
      </x:c>
      <x:c r="S1265" s="12" t="str">
        <x:v>否</x:v>
      </x:c>
      <x:c r="T1265" s="12" t="str">
        <x:v>否</x:v>
      </x:c>
      <x:c r="U1265" s="12" t="str">
        <x:v>刘虎</x:v>
      </x:c>
      <x:c r="V1265" s="12" t="str">
        <x:v>3号车</x:v>
      </x:c>
      <x:c r="W1265" s="12" t="str">
        <x:v>秒级预测</x:v>
      </x:c>
      <x:c r="X1265" s="12" t="str">
        <x:v>基于路线秒级参数；如录入实测或手动采用秒，预计到达时间可随公式更新</x:v>
      </x:c>
    </x:row>
    <x:row r="1266">
      <x:c r="A1266" s="12" t="str">
        <x:v>S0109-11</x:v>
      </x:c>
      <x:c r="B1266" s="12" t="str">
        <x:v>S0109</x:v>
      </x:c>
      <x:c r="C1266" s="12" t="str">
        <x:v>工作日</x:v>
      </x:c>
      <x:c r="D1266" s="12" t="str">
        <x:v>环线3路</x:v>
      </x:c>
      <x:c r="E1266" s="12" t="str">
        <x:v>第一班</x:v>
      </x:c>
      <x:c r="F1266" s="12" t="n">
        <x:v>1</x:v>
      </x:c>
      <x:c r="G1266" s="12" t="str">
        <x:v>7:35</x:v>
      </x:c>
      <x:c r="H1266" s="12" t="n">
        <x:v>455</x:v>
      </x:c>
      <x:c r="I1266" s="12" t="str">
        <x:v>研究生宿舍楼</x:v>
      </x:c>
      <x:c r="J1266" s="12" t="str">
        <x:v>研究生宿舍楼发车</x:v>
      </x:c>
      <x:c r="K1266" s="12" t="str">
        <x:v>HX3_NORMAL</x:v>
      </x:c>
      <x:c r="L1266" s="12" t="n">
        <x:v>11</x:v>
      </x:c>
      <x:c r="M1266" s="12" t="str">
        <x:v>HX3_NORMAL|11</x:v>
      </x:c>
      <x:c r="N1266" s="12" t="str">
        <x:v>305教学楼</x:v>
      </x:c>
      <x:c r="O1266" s="12" t="n">
        <x:f>IFERROR(INDEX('秒级路线参数_可调整'!$O:$O,MATCH(M1266,'秒级路线参数_可调整'!$A:$A,0)),"")</x:f>
        <x:v>775</x:v>
      </x:c>
      <x:c r="P1266" s="12" t="n">
        <x:f>IF(O1266="","",O1266/86400)</x:f>
        <x:v>0.008969907407407407</x:v>
      </x:c>
      <x:c r="Q1266" s="12" t="n">
        <x:f>IF(O1266="","",(H1266*60+O1266)/86400)</x:f>
        <x:v>0.32494212962962965</x:v>
      </x:c>
      <x:c r="R1266" s="12" t="str">
        <x:f>IF(Q1266="","",TEXT(Q1266,"hh:mm:ss"))</x:f>
        <x:v>07:47:55</x:v>
      </x:c>
      <x:c r="S1266" s="12" t="str">
        <x:v>否</x:v>
      </x:c>
      <x:c r="T1266" s="12" t="str">
        <x:v>否</x:v>
      </x:c>
      <x:c r="U1266" s="12" t="str">
        <x:v>刘虎</x:v>
      </x:c>
      <x:c r="V1266" s="12" t="str">
        <x:v>3号车</x:v>
      </x:c>
      <x:c r="W1266" s="12" t="str">
        <x:v>秒级预测</x:v>
      </x:c>
      <x:c r="X1266" s="12" t="str">
        <x:v>基于路线秒级参数；如录入实测或手动采用秒，预计到达时间可随公式更新</x:v>
      </x:c>
    </x:row>
    <x:row r="1267">
      <x:c r="A1267" s="12" t="str">
        <x:v>S0109-12</x:v>
      </x:c>
      <x:c r="B1267" s="12" t="str">
        <x:v>S0109</x:v>
      </x:c>
      <x:c r="C1267" s="12" t="str">
        <x:v>工作日</x:v>
      </x:c>
      <x:c r="D1267" s="12" t="str">
        <x:v>环线3路</x:v>
      </x:c>
      <x:c r="E1267" s="12" t="str">
        <x:v>第一班</x:v>
      </x:c>
      <x:c r="F1267" s="12" t="n">
        <x:v>1</x:v>
      </x:c>
      <x:c r="G1267" s="12" t="str">
        <x:v>7:35</x:v>
      </x:c>
      <x:c r="H1267" s="12" t="n">
        <x:v>455</x:v>
      </x:c>
      <x:c r="I1267" s="12" t="str">
        <x:v>研究生宿舍楼</x:v>
      </x:c>
      <x:c r="J1267" s="12" t="str">
        <x:v>研究生宿舍楼发车</x:v>
      </x:c>
      <x:c r="K1267" s="12" t="str">
        <x:v>HX3_NORMAL</x:v>
      </x:c>
      <x:c r="L1267" s="12" t="n">
        <x:v>12</x:v>
      </x:c>
      <x:c r="M1267" s="12" t="str">
        <x:v>HX3_NORMAL|12</x:v>
      </x:c>
      <x:c r="N1267" s="12" t="str">
        <x:v>研究生宿舍楼</x:v>
      </x:c>
      <x:c r="O1267" s="12" t="n">
        <x:f>IFERROR(INDEX('秒级路线参数_可调整'!$O:$O,MATCH(M1267,'秒级路线参数_可调整'!$A:$A,0)),"")</x:f>
        <x:v>840</x:v>
      </x:c>
      <x:c r="P1267" s="12" t="n">
        <x:f>IF(O1267="","",O1267/86400)</x:f>
        <x:v>0.009722222222222222</x:v>
      </x:c>
      <x:c r="Q1267" s="12" t="n">
        <x:f>IF(O1267="","",(H1267*60+O1267)/86400)</x:f>
        <x:v>0.32569444444444445</x:v>
      </x:c>
      <x:c r="R1267" s="12" t="str">
        <x:f>IF(Q1267="","",TEXT(Q1267,"hh:mm:ss"))</x:f>
        <x:v>07:49:00</x:v>
      </x:c>
      <x:c r="S1267" s="12" t="str">
        <x:v>否</x:v>
      </x:c>
      <x:c r="T1267" s="12" t="str">
        <x:v>是</x:v>
      </x:c>
      <x:c r="U1267" s="12" t="str">
        <x:v>刘虎</x:v>
      </x:c>
      <x:c r="V1267" s="12" t="str">
        <x:v>3号车</x:v>
      </x:c>
      <x:c r="W1267" s="12" t="str">
        <x:v>秒级预测</x:v>
      </x:c>
      <x:c r="X1267" s="12" t="str">
        <x:v>基于路线秒级参数；如录入实测或手动采用秒，预计到达时间可随公式更新</x:v>
      </x:c>
    </x:row>
    <x:row r="1268">
      <x:c r="A1268" s="12" t="str">
        <x:v>S0110-01</x:v>
      </x:c>
      <x:c r="B1268" s="12" t="str">
        <x:v>S0110</x:v>
      </x:c>
      <x:c r="C1268" s="12" t="str">
        <x:v>工作日</x:v>
      </x:c>
      <x:c r="D1268" s="12" t="str">
        <x:v>环线3路</x:v>
      </x:c>
      <x:c r="E1268" s="12" t="str">
        <x:v>第一班</x:v>
      </x:c>
      <x:c r="F1268" s="12" t="n">
        <x:v>2</x:v>
      </x:c>
      <x:c r="G1268" s="12" t="str">
        <x:v>8:05</x:v>
      </x:c>
      <x:c r="H1268" s="12" t="n">
        <x:v>485</x:v>
      </x:c>
      <x:c r="I1268" s="12" t="str">
        <x:v>研究生宿舍楼</x:v>
      </x:c>
      <x:c r="J1268" s="12" t="str">
        <x:v>研究生宿舍楼发车</x:v>
      </x:c>
      <x:c r="K1268" s="12" t="str">
        <x:v>HX3_NORMAL</x:v>
      </x:c>
      <x:c r="L1268" s="12" t="n">
        <x:v>1</x:v>
      </x:c>
      <x:c r="M1268" s="12" t="str">
        <x:v>HX3_NORMAL|1</x:v>
      </x:c>
      <x:c r="N1268" s="12" t="str">
        <x:v>研究生宿舍楼</x:v>
      </x:c>
      <x:c r="O1268" s="12" t="n">
        <x:f>IFERROR(INDEX('秒级路线参数_可调整'!$O:$O,MATCH(M1268,'秒级路线参数_可调整'!$A:$A,0)),"")</x:f>
        <x:v>0</x:v>
      </x:c>
      <x:c r="P1268" s="12" t="str">
        <x:f>IF(O1268="","",O1268/86400)</x:f>
      </x:c>
      <x:c r="Q1268" s="12" t="str">
        <x:f>IF(O1268="","",(H1268*60+O1268)/86400)</x:f>
      </x:c>
      <x:c r="R1268" s="12" t="str">
        <x:f>IF(Q1268="","",TEXT(Q1268,"hh:mm:ss"))</x:f>
      </x:c>
      <x:c r="S1268" s="12" t="str">
        <x:v>是</x:v>
      </x:c>
      <x:c r="T1268" s="12" t="str">
        <x:v>否</x:v>
      </x:c>
      <x:c r="U1268" s="12" t="str">
        <x:v>刘虎</x:v>
      </x:c>
      <x:c r="V1268" s="12" t="str">
        <x:v>3号车</x:v>
      </x:c>
      <x:c r="W1268" s="12" t="str">
        <x:v>秒级预测</x:v>
      </x:c>
      <x:c r="X1268" s="12" t="str">
        <x:v>基于路线秒级参数；如录入实测或手动采用秒，预计到达时间可随公式更新</x:v>
      </x:c>
    </x:row>
    <x:row r="1269">
      <x:c r="A1269" s="12" t="str">
        <x:v>S0110-02</x:v>
      </x:c>
      <x:c r="B1269" s="12" t="str">
        <x:v>S0110</x:v>
      </x:c>
      <x:c r="C1269" s="12" t="str">
        <x:v>工作日</x:v>
      </x:c>
      <x:c r="D1269" s="12" t="str">
        <x:v>环线3路</x:v>
      </x:c>
      <x:c r="E1269" s="12" t="str">
        <x:v>第一班</x:v>
      </x:c>
      <x:c r="F1269" s="12" t="n">
        <x:v>2</x:v>
      </x:c>
      <x:c r="G1269" s="12" t="str">
        <x:v>8:05</x:v>
      </x:c>
      <x:c r="H1269" s="12" t="n">
        <x:v>485</x:v>
      </x:c>
      <x:c r="I1269" s="12" t="str">
        <x:v>研究生宿舍楼</x:v>
      </x:c>
      <x:c r="J1269" s="12" t="str">
        <x:v>研究生宿舍楼发车</x:v>
      </x:c>
      <x:c r="K1269" s="12" t="str">
        <x:v>HX3_NORMAL</x:v>
      </x:c>
      <x:c r="L1269" s="12" t="n">
        <x:v>2</x:v>
      </x:c>
      <x:c r="M1269" s="12" t="str">
        <x:v>HX3_NORMAL|2</x:v>
      </x:c>
      <x:c r="N1269" s="12" t="str">
        <x:v>一食堂</x:v>
      </x:c>
      <x:c r="O1269" s="12" t="n">
        <x:f>IFERROR(INDEX('秒级路线参数_可调整'!$O:$O,MATCH(M1269,'秒级路线参数_可调整'!$A:$A,0)),"")</x:f>
        <x:v>65</x:v>
      </x:c>
      <x:c r="P1269" s="12" t="n">
        <x:f>IF(O1269="","",O1269/86400)</x:f>
        <x:v>0.0007523148148148148</x:v>
      </x:c>
      <x:c r="Q1269" s="12" t="n">
        <x:f>IF(O1269="","",(H1269*60+O1269)/86400)</x:f>
        <x:v>0.3375578703703704</x:v>
      </x:c>
      <x:c r="R1269" s="12" t="str">
        <x:f>IF(Q1269="","",TEXT(Q1269,"hh:mm:ss"))</x:f>
        <x:v>08:06:05</x:v>
      </x:c>
      <x:c r="S1269" s="12" t="str">
        <x:v>否</x:v>
      </x:c>
      <x:c r="T1269" s="12" t="str">
        <x:v>否</x:v>
      </x:c>
      <x:c r="U1269" s="12" t="str">
        <x:v>刘虎</x:v>
      </x:c>
      <x:c r="V1269" s="12" t="str">
        <x:v>3号车</x:v>
      </x:c>
      <x:c r="W1269" s="12" t="str">
        <x:v>秒级预测</x:v>
      </x:c>
      <x:c r="X1269" s="12" t="str">
        <x:v>基于路线秒级参数；如录入实测或手动采用秒，预计到达时间可随公式更新</x:v>
      </x:c>
    </x:row>
    <x:row r="1270">
      <x:c r="A1270" s="12" t="str">
        <x:v>S0110-03</x:v>
      </x:c>
      <x:c r="B1270" s="12" t="str">
        <x:v>S0110</x:v>
      </x:c>
      <x:c r="C1270" s="12" t="str">
        <x:v>工作日</x:v>
      </x:c>
      <x:c r="D1270" s="12" t="str">
        <x:v>环线3路</x:v>
      </x:c>
      <x:c r="E1270" s="12" t="str">
        <x:v>第一班</x:v>
      </x:c>
      <x:c r="F1270" s="12" t="n">
        <x:v>2</x:v>
      </x:c>
      <x:c r="G1270" s="12" t="str">
        <x:v>8:05</x:v>
      </x:c>
      <x:c r="H1270" s="12" t="n">
        <x:v>485</x:v>
      </x:c>
      <x:c r="I1270" s="12" t="str">
        <x:v>研究生宿舍楼</x:v>
      </x:c>
      <x:c r="J1270" s="12" t="str">
        <x:v>研究生宿舍楼发车</x:v>
      </x:c>
      <x:c r="K1270" s="12" t="str">
        <x:v>HX3_NORMAL</x:v>
      </x:c>
      <x:c r="L1270" s="12" t="n">
        <x:v>3</x:v>
      </x:c>
      <x:c r="M1270" s="12" t="str">
        <x:v>HX3_NORMAL|3</x:v>
      </x:c>
      <x:c r="N1270" s="12" t="str">
        <x:v>2号宿舍楼</x:v>
      </x:c>
      <x:c r="O1270" s="12" t="n">
        <x:f>IFERROR(INDEX('秒级路线参数_可调整'!$O:$O,MATCH(M1270,'秒级路线参数_可调整'!$A:$A,0)),"")</x:f>
        <x:v>120</x:v>
      </x:c>
      <x:c r="P1270" s="12" t="n">
        <x:f>IF(O1270="","",O1270/86400)</x:f>
        <x:v>0.001388888888888889</x:v>
      </x:c>
      <x:c r="Q1270" s="12" t="n">
        <x:f>IF(O1270="","",(H1270*60+O1270)/86400)</x:f>
        <x:v>0.33819444444444446</x:v>
      </x:c>
      <x:c r="R1270" s="12" t="str">
        <x:f>IF(Q1270="","",TEXT(Q1270,"hh:mm:ss"))</x:f>
        <x:v>08:07:00</x:v>
      </x:c>
      <x:c r="S1270" s="12" t="str">
        <x:v>否</x:v>
      </x:c>
      <x:c r="T1270" s="12" t="str">
        <x:v>否</x:v>
      </x:c>
      <x:c r="U1270" s="12" t="str">
        <x:v>刘虎</x:v>
      </x:c>
      <x:c r="V1270" s="12" t="str">
        <x:v>3号车</x:v>
      </x:c>
      <x:c r="W1270" s="12" t="str">
        <x:v>秒级预测</x:v>
      </x:c>
      <x:c r="X1270" s="12" t="str">
        <x:v>基于路线秒级参数；如录入实测或手动采用秒，预计到达时间可随公式更新</x:v>
      </x:c>
    </x:row>
    <x:row r="1271">
      <x:c r="A1271" s="12" t="str">
        <x:v>S0110-04</x:v>
      </x:c>
      <x:c r="B1271" s="12" t="str">
        <x:v>S0110</x:v>
      </x:c>
      <x:c r="C1271" s="12" t="str">
        <x:v>工作日</x:v>
      </x:c>
      <x:c r="D1271" s="12" t="str">
        <x:v>环线3路</x:v>
      </x:c>
      <x:c r="E1271" s="12" t="str">
        <x:v>第一班</x:v>
      </x:c>
      <x:c r="F1271" s="12" t="n">
        <x:v>2</x:v>
      </x:c>
      <x:c r="G1271" s="12" t="str">
        <x:v>8:05</x:v>
      </x:c>
      <x:c r="H1271" s="12" t="n">
        <x:v>485</x:v>
      </x:c>
      <x:c r="I1271" s="12" t="str">
        <x:v>研究生宿舍楼</x:v>
      </x:c>
      <x:c r="J1271" s="12" t="str">
        <x:v>研究生宿舍楼发车</x:v>
      </x:c>
      <x:c r="K1271" s="12" t="str">
        <x:v>HX3_NORMAL</x:v>
      </x:c>
      <x:c r="L1271" s="12" t="n">
        <x:v>4</x:v>
      </x:c>
      <x:c r="M1271" s="12" t="str">
        <x:v>HX3_NORMAL|4</x:v>
      </x:c>
      <x:c r="N1271" s="12" t="str">
        <x:v>军体活动中心</x:v>
      </x:c>
      <x:c r="O1271" s="12" t="n">
        <x:f>IFERROR(INDEX('秒级路线参数_可调整'!$O:$O,MATCH(M1271,'秒级路线参数_可调整'!$A:$A,0)),"")</x:f>
        <x:v>165</x:v>
      </x:c>
      <x:c r="P1271" s="12" t="n">
        <x:f>IF(O1271="","",O1271/86400)</x:f>
        <x:v>0.0019097222222222222</x:v>
      </x:c>
      <x:c r="Q1271" s="12" t="n">
        <x:f>IF(O1271="","",(H1271*60+O1271)/86400)</x:f>
        <x:v>0.33871527777777777</x:v>
      </x:c>
      <x:c r="R1271" s="12" t="str">
        <x:f>IF(Q1271="","",TEXT(Q1271,"hh:mm:ss"))</x:f>
        <x:v>08:07:45</x:v>
      </x:c>
      <x:c r="S1271" s="12" t="str">
        <x:v>否</x:v>
      </x:c>
      <x:c r="T1271" s="12" t="str">
        <x:v>否</x:v>
      </x:c>
      <x:c r="U1271" s="12" t="str">
        <x:v>刘虎</x:v>
      </x:c>
      <x:c r="V1271" s="12" t="str">
        <x:v>3号车</x:v>
      </x:c>
      <x:c r="W1271" s="12" t="str">
        <x:v>秒级预测</x:v>
      </x:c>
      <x:c r="X1271" s="12" t="str">
        <x:v>基于路线秒级参数；如录入实测或手动采用秒，预计到达时间可随公式更新</x:v>
      </x:c>
    </x:row>
    <x:row r="1272">
      <x:c r="A1272" s="12" t="str">
        <x:v>S0110-05</x:v>
      </x:c>
      <x:c r="B1272" s="12" t="str">
        <x:v>S0110</x:v>
      </x:c>
      <x:c r="C1272" s="12" t="str">
        <x:v>工作日</x:v>
      </x:c>
      <x:c r="D1272" s="12" t="str">
        <x:v>环线3路</x:v>
      </x:c>
      <x:c r="E1272" s="12" t="str">
        <x:v>第一班</x:v>
      </x:c>
      <x:c r="F1272" s="12" t="n">
        <x:v>2</x:v>
      </x:c>
      <x:c r="G1272" s="12" t="str">
        <x:v>8:05</x:v>
      </x:c>
      <x:c r="H1272" s="12" t="n">
        <x:v>485</x:v>
      </x:c>
      <x:c r="I1272" s="12" t="str">
        <x:v>研究生宿舍楼</x:v>
      </x:c>
      <x:c r="J1272" s="12" t="str">
        <x:v>研究生宿舍楼发车</x:v>
      </x:c>
      <x:c r="K1272" s="12" t="str">
        <x:v>HX3_NORMAL</x:v>
      </x:c>
      <x:c r="L1272" s="12" t="n">
        <x:v>5</x:v>
      </x:c>
      <x:c r="M1272" s="12" t="str">
        <x:v>HX3_NORMAL|5</x:v>
      </x:c>
      <x:c r="N1272" s="12" t="str">
        <x:v>教勤连</x:v>
      </x:c>
      <x:c r="O1272" s="12" t="n">
        <x:f>IFERROR(INDEX('秒级路线参数_可调整'!$O:$O,MATCH(M1272,'秒级路线参数_可调整'!$A:$A,0)),"")</x:f>
        <x:v>250</x:v>
      </x:c>
      <x:c r="P1272" s="12" t="n">
        <x:f>IF(O1272="","",O1272/86400)</x:f>
        <x:v>0.0028935185185185184</x:v>
      </x:c>
      <x:c r="Q1272" s="12" t="n">
        <x:f>IF(O1272="","",(H1272*60+O1272)/86400)</x:f>
        <x:v>0.33969907407407407</x:v>
      </x:c>
      <x:c r="R1272" s="12" t="str">
        <x:f>IF(Q1272="","",TEXT(Q1272,"hh:mm:ss"))</x:f>
        <x:v>08:09:10</x:v>
      </x:c>
      <x:c r="S1272" s="12" t="str">
        <x:v>否</x:v>
      </x:c>
      <x:c r="T1272" s="12" t="str">
        <x:v>否</x:v>
      </x:c>
      <x:c r="U1272" s="12" t="str">
        <x:v>刘虎</x:v>
      </x:c>
      <x:c r="V1272" s="12" t="str">
        <x:v>3号车</x:v>
      </x:c>
      <x:c r="W1272" s="12" t="str">
        <x:v>秒级预测</x:v>
      </x:c>
      <x:c r="X1272" s="12" t="str">
        <x:v>基于路线秒级参数；如录入实测或手动采用秒，预计到达时间可随公式更新</x:v>
      </x:c>
    </x:row>
    <x:row r="1273">
      <x:c r="A1273" s="12" t="str">
        <x:v>S0110-06</x:v>
      </x:c>
      <x:c r="B1273" s="12" t="str">
        <x:v>S0110</x:v>
      </x:c>
      <x:c r="C1273" s="12" t="str">
        <x:v>工作日</x:v>
      </x:c>
      <x:c r="D1273" s="12" t="str">
        <x:v>环线3路</x:v>
      </x:c>
      <x:c r="E1273" s="12" t="str">
        <x:v>第一班</x:v>
      </x:c>
      <x:c r="F1273" s="12" t="n">
        <x:v>2</x:v>
      </x:c>
      <x:c r="G1273" s="12" t="str">
        <x:v>8:05</x:v>
      </x:c>
      <x:c r="H1273" s="12" t="n">
        <x:v>485</x:v>
      </x:c>
      <x:c r="I1273" s="12" t="str">
        <x:v>研究生宿舍楼</x:v>
      </x:c>
      <x:c r="J1273" s="12" t="str">
        <x:v>研究生宿舍楼发车</x:v>
      </x:c>
      <x:c r="K1273" s="12" t="str">
        <x:v>HX3_NORMAL</x:v>
      </x:c>
      <x:c r="L1273" s="12" t="n">
        <x:v>6</x:v>
      </x:c>
      <x:c r="M1273" s="12" t="str">
        <x:v>HX3_NORMAL|6</x:v>
      </x:c>
      <x:c r="N1273" s="12" t="str">
        <x:v>激光所</x:v>
      </x:c>
      <x:c r="O1273" s="12" t="n">
        <x:f>IFERROR(INDEX('秒级路线参数_可调整'!$O:$O,MATCH(M1273,'秒级路线参数_可调整'!$A:$A,0)),"")</x:f>
        <x:v>315</x:v>
      </x:c>
      <x:c r="P1273" s="12" t="n">
        <x:f>IF(O1273="","",O1273/86400)</x:f>
        <x:v>0.0036458333333333334</x:v>
      </x:c>
      <x:c r="Q1273" s="12" t="n">
        <x:f>IF(O1273="","",(H1273*60+O1273)/86400)</x:f>
        <x:v>0.3404513888888889</x:v>
      </x:c>
      <x:c r="R1273" s="12" t="str">
        <x:f>IF(Q1273="","",TEXT(Q1273,"hh:mm:ss"))</x:f>
        <x:v>08:10:15</x:v>
      </x:c>
      <x:c r="S1273" s="12" t="str">
        <x:v>否</x:v>
      </x:c>
      <x:c r="T1273" s="12" t="str">
        <x:v>否</x:v>
      </x:c>
      <x:c r="U1273" s="12" t="str">
        <x:v>刘虎</x:v>
      </x:c>
      <x:c r="V1273" s="12" t="str">
        <x:v>3号车</x:v>
      </x:c>
      <x:c r="W1273" s="12" t="str">
        <x:v>秒级预测</x:v>
      </x:c>
      <x:c r="X1273" s="12" t="str">
        <x:v>基于路线秒级参数；如录入实测或手动采用秒，预计到达时间可随公式更新</x:v>
      </x:c>
    </x:row>
    <x:row r="1274">
      <x:c r="A1274" s="12" t="str">
        <x:v>S0110-07</x:v>
      </x:c>
      <x:c r="B1274" s="12" t="str">
        <x:v>S0110</x:v>
      </x:c>
      <x:c r="C1274" s="12" t="str">
        <x:v>工作日</x:v>
      </x:c>
      <x:c r="D1274" s="12" t="str">
        <x:v>环线3路</x:v>
      </x:c>
      <x:c r="E1274" s="12" t="str">
        <x:v>第一班</x:v>
      </x:c>
      <x:c r="F1274" s="12" t="n">
        <x:v>2</x:v>
      </x:c>
      <x:c r="G1274" s="12" t="str">
        <x:v>8:05</x:v>
      </x:c>
      <x:c r="H1274" s="12" t="n">
        <x:v>485</x:v>
      </x:c>
      <x:c r="I1274" s="12" t="str">
        <x:v>研究生宿舍楼</x:v>
      </x:c>
      <x:c r="J1274" s="12" t="str">
        <x:v>研究生宿舍楼发车</x:v>
      </x:c>
      <x:c r="K1274" s="12" t="str">
        <x:v>HX3_NORMAL</x:v>
      </x:c>
      <x:c r="L1274" s="12" t="n">
        <x:v>7</x:v>
      </x:c>
      <x:c r="M1274" s="12" t="str">
        <x:v>HX3_NORMAL|7</x:v>
      </x:c>
      <x:c r="N1274" s="12" t="str">
        <x:v>高超楼</x:v>
      </x:c>
      <x:c r="O1274" s="12" t="n">
        <x:f>IFERROR(INDEX('秒级路线参数_可调整'!$O:$O,MATCH(M1274,'秒级路线参数_可调整'!$A:$A,0)),"")</x:f>
        <x:v>420</x:v>
      </x:c>
      <x:c r="P1274" s="12" t="n">
        <x:f>IF(O1274="","",O1274/86400)</x:f>
        <x:v>0.004861111111111111</x:v>
      </x:c>
      <x:c r="Q1274" s="12" t="n">
        <x:f>IF(O1274="","",(H1274*60+O1274)/86400)</x:f>
        <x:v>0.3416666666666667</x:v>
      </x:c>
      <x:c r="R1274" s="12" t="str">
        <x:f>IF(Q1274="","",TEXT(Q1274,"hh:mm:ss"))</x:f>
        <x:v>08:12:00</x:v>
      </x:c>
      <x:c r="S1274" s="12" t="str">
        <x:v>否</x:v>
      </x:c>
      <x:c r="T1274" s="12" t="str">
        <x:v>否</x:v>
      </x:c>
      <x:c r="U1274" s="12" t="str">
        <x:v>刘虎</x:v>
      </x:c>
      <x:c r="V1274" s="12" t="str">
        <x:v>3号车</x:v>
      </x:c>
      <x:c r="W1274" s="12" t="str">
        <x:v>秒级预测</x:v>
      </x:c>
      <x:c r="X1274" s="12" t="str">
        <x:v>基于路线秒级参数；如录入实测或手动采用秒，预计到达时间可随公式更新</x:v>
      </x:c>
    </x:row>
    <x:row r="1275">
      <x:c r="A1275" s="12" t="str">
        <x:v>S0110-08</x:v>
      </x:c>
      <x:c r="B1275" s="12" t="str">
        <x:v>S0110</x:v>
      </x:c>
      <x:c r="C1275" s="12" t="str">
        <x:v>工作日</x:v>
      </x:c>
      <x:c r="D1275" s="12" t="str">
        <x:v>环线3路</x:v>
      </x:c>
      <x:c r="E1275" s="12" t="str">
        <x:v>第一班</x:v>
      </x:c>
      <x:c r="F1275" s="12" t="n">
        <x:v>2</x:v>
      </x:c>
      <x:c r="G1275" s="12" t="str">
        <x:v>8:05</x:v>
      </x:c>
      <x:c r="H1275" s="12" t="n">
        <x:v>485</x:v>
      </x:c>
      <x:c r="I1275" s="12" t="str">
        <x:v>研究生宿舍楼</x:v>
      </x:c>
      <x:c r="J1275" s="12" t="str">
        <x:v>研究生宿舍楼发车</x:v>
      </x:c>
      <x:c r="K1275" s="12" t="str">
        <x:v>HX3_NORMAL</x:v>
      </x:c>
      <x:c r="L1275" s="12" t="n">
        <x:v>8</x:v>
      </x:c>
      <x:c r="M1275" s="12" t="str">
        <x:v>HX3_NORMAL|8</x:v>
      </x:c>
      <x:c r="N1275" s="12" t="str">
        <x:v>理学院</x:v>
      </x:c>
      <x:c r="O1275" s="12" t="n">
        <x:f>IFERROR(INDEX('秒级路线参数_可调整'!$O:$O,MATCH(M1275,'秒级路线参数_可调整'!$A:$A,0)),"")</x:f>
        <x:v>480</x:v>
      </x:c>
      <x:c r="P1275" s="12" t="n">
        <x:f>IF(O1275="","",O1275/86400)</x:f>
        <x:v>0.005555555555555556</x:v>
      </x:c>
      <x:c r="Q1275" s="12" t="n">
        <x:f>IF(O1275="","",(H1275*60+O1275)/86400)</x:f>
        <x:v>0.3423611111111111</x:v>
      </x:c>
      <x:c r="R1275" s="12" t="str">
        <x:f>IF(Q1275="","",TEXT(Q1275,"hh:mm:ss"))</x:f>
        <x:v>08:13:00</x:v>
      </x:c>
      <x:c r="S1275" s="12" t="str">
        <x:v>否</x:v>
      </x:c>
      <x:c r="T1275" s="12" t="str">
        <x:v>否</x:v>
      </x:c>
      <x:c r="U1275" s="12" t="str">
        <x:v>刘虎</x:v>
      </x:c>
      <x:c r="V1275" s="12" t="str">
        <x:v>3号车</x:v>
      </x:c>
      <x:c r="W1275" s="12" t="str">
        <x:v>秒级预测</x:v>
      </x:c>
      <x:c r="X1275" s="12" t="str">
        <x:v>基于路线秒级参数；如录入实测或手动采用秒，预计到达时间可随公式更新</x:v>
      </x:c>
    </x:row>
    <x:row r="1276">
      <x:c r="A1276" s="12" t="str">
        <x:v>S0110-09</x:v>
      </x:c>
      <x:c r="B1276" s="12" t="str">
        <x:v>S0110</x:v>
      </x:c>
      <x:c r="C1276" s="12" t="str">
        <x:v>工作日</x:v>
      </x:c>
      <x:c r="D1276" s="12" t="str">
        <x:v>环线3路</x:v>
      </x:c>
      <x:c r="E1276" s="12" t="str">
        <x:v>第一班</x:v>
      </x:c>
      <x:c r="F1276" s="12" t="n">
        <x:v>2</x:v>
      </x:c>
      <x:c r="G1276" s="12" t="str">
        <x:v>8:05</x:v>
      </x:c>
      <x:c r="H1276" s="12" t="n">
        <x:v>485</x:v>
      </x:c>
      <x:c r="I1276" s="12" t="str">
        <x:v>研究生宿舍楼</x:v>
      </x:c>
      <x:c r="J1276" s="12" t="str">
        <x:v>研究生宿舍楼发车</x:v>
      </x:c>
      <x:c r="K1276" s="12" t="str">
        <x:v>HX3_NORMAL</x:v>
      </x:c>
      <x:c r="L1276" s="12" t="n">
        <x:v>9</x:v>
      </x:c>
      <x:c r="M1276" s="12" t="str">
        <x:v>HX3_NORMAL|9</x:v>
      </x:c>
      <x:c r="N1276" s="12" t="str">
        <x:v>二食堂</x:v>
      </x:c>
      <x:c r="O1276" s="12" t="n">
        <x:f>IFERROR(INDEX('秒级路线参数_可调整'!$O:$O,MATCH(M1276,'秒级路线参数_可调整'!$A:$A,0)),"")</x:f>
        <x:v>535</x:v>
      </x:c>
      <x:c r="P1276" s="12" t="n">
        <x:f>IF(O1276="","",O1276/86400)</x:f>
        <x:v>0.00619212962962963</x:v>
      </x:c>
      <x:c r="Q1276" s="12" t="n">
        <x:f>IF(O1276="","",(H1276*60+O1276)/86400)</x:f>
        <x:v>0.3429976851851852</x:v>
      </x:c>
      <x:c r="R1276" s="12" t="str">
        <x:f>IF(Q1276="","",TEXT(Q1276,"hh:mm:ss"))</x:f>
        <x:v>08:13:55</x:v>
      </x:c>
      <x:c r="S1276" s="12" t="str">
        <x:v>否</x:v>
      </x:c>
      <x:c r="T1276" s="12" t="str">
        <x:v>否</x:v>
      </x:c>
      <x:c r="U1276" s="12" t="str">
        <x:v>刘虎</x:v>
      </x:c>
      <x:c r="V1276" s="12" t="str">
        <x:v>3号车</x:v>
      </x:c>
      <x:c r="W1276" s="12" t="str">
        <x:v>秒级预测</x:v>
      </x:c>
      <x:c r="X1276" s="12" t="str">
        <x:v>基于路线秒级参数；如录入实测或手动采用秒，预计到达时间可随公式更新</x:v>
      </x:c>
    </x:row>
    <x:row r="1277">
      <x:c r="A1277" s="12" t="str">
        <x:v>S0110-10</x:v>
      </x:c>
      <x:c r="B1277" s="12" t="str">
        <x:v>S0110</x:v>
      </x:c>
      <x:c r="C1277" s="12" t="str">
        <x:v>工作日</x:v>
      </x:c>
      <x:c r="D1277" s="12" t="str">
        <x:v>环线3路</x:v>
      </x:c>
      <x:c r="E1277" s="12" t="str">
        <x:v>第一班</x:v>
      </x:c>
      <x:c r="F1277" s="12" t="n">
        <x:v>2</x:v>
      </x:c>
      <x:c r="G1277" s="12" t="str">
        <x:v>8:05</x:v>
      </x:c>
      <x:c r="H1277" s="12" t="n">
        <x:v>485</x:v>
      </x:c>
      <x:c r="I1277" s="12" t="str">
        <x:v>研究生宿舍楼</x:v>
      </x:c>
      <x:c r="J1277" s="12" t="str">
        <x:v>研究生宿舍楼发车</x:v>
      </x:c>
      <x:c r="K1277" s="12" t="str">
        <x:v>HX3_NORMAL</x:v>
      </x:c>
      <x:c r="L1277" s="12" t="n">
        <x:v>10</x:v>
      </x:c>
      <x:c r="M1277" s="12" t="str">
        <x:v>HX3_NORMAL|10</x:v>
      </x:c>
      <x:c r="N1277" s="12" t="str">
        <x:v>图书馆</x:v>
      </x:c>
      <x:c r="O1277" s="12" t="n">
        <x:f>IFERROR(INDEX('秒级路线参数_可调整'!$O:$O,MATCH(M1277,'秒级路线参数_可调整'!$A:$A,0)),"")</x:f>
        <x:v>715</x:v>
      </x:c>
      <x:c r="P1277" s="12" t="n">
        <x:f>IF(O1277="","",O1277/86400)</x:f>
        <x:v>0.008275462962962964</x:v>
      </x:c>
      <x:c r="Q1277" s="12" t="n">
        <x:f>IF(O1277="","",(H1277*60+O1277)/86400)</x:f>
        <x:v>0.3450810185185185</x:v>
      </x:c>
      <x:c r="R1277" s="12" t="str">
        <x:f>IF(Q1277="","",TEXT(Q1277,"hh:mm:ss"))</x:f>
        <x:v>08:16:55</x:v>
      </x:c>
      <x:c r="S1277" s="12" t="str">
        <x:v>否</x:v>
      </x:c>
      <x:c r="T1277" s="12" t="str">
        <x:v>否</x:v>
      </x:c>
      <x:c r="U1277" s="12" t="str">
        <x:v>刘虎</x:v>
      </x:c>
      <x:c r="V1277" s="12" t="str">
        <x:v>3号车</x:v>
      </x:c>
      <x:c r="W1277" s="12" t="str">
        <x:v>秒级预测</x:v>
      </x:c>
      <x:c r="X1277" s="12" t="str">
        <x:v>基于路线秒级参数；如录入实测或手动采用秒，预计到达时间可随公式更新</x:v>
      </x:c>
    </x:row>
    <x:row r="1278">
      <x:c r="A1278" s="12" t="str">
        <x:v>S0110-11</x:v>
      </x:c>
      <x:c r="B1278" s="12" t="str">
        <x:v>S0110</x:v>
      </x:c>
      <x:c r="C1278" s="12" t="str">
        <x:v>工作日</x:v>
      </x:c>
      <x:c r="D1278" s="12" t="str">
        <x:v>环线3路</x:v>
      </x:c>
      <x:c r="E1278" s="12" t="str">
        <x:v>第一班</x:v>
      </x:c>
      <x:c r="F1278" s="12" t="n">
        <x:v>2</x:v>
      </x:c>
      <x:c r="G1278" s="12" t="str">
        <x:v>8:05</x:v>
      </x:c>
      <x:c r="H1278" s="12" t="n">
        <x:v>485</x:v>
      </x:c>
      <x:c r="I1278" s="12" t="str">
        <x:v>研究生宿舍楼</x:v>
      </x:c>
      <x:c r="J1278" s="12" t="str">
        <x:v>研究生宿舍楼发车</x:v>
      </x:c>
      <x:c r="K1278" s="12" t="str">
        <x:v>HX3_NORMAL</x:v>
      </x:c>
      <x:c r="L1278" s="12" t="n">
        <x:v>11</x:v>
      </x:c>
      <x:c r="M1278" s="12" t="str">
        <x:v>HX3_NORMAL|11</x:v>
      </x:c>
      <x:c r="N1278" s="12" t="str">
        <x:v>305教学楼</x:v>
      </x:c>
      <x:c r="O1278" s="12" t="n">
        <x:f>IFERROR(INDEX('秒级路线参数_可调整'!$O:$O,MATCH(M1278,'秒级路线参数_可调整'!$A:$A,0)),"")</x:f>
        <x:v>775</x:v>
      </x:c>
      <x:c r="P1278" s="12" t="n">
        <x:f>IF(O1278="","",O1278/86400)</x:f>
        <x:v>0.008969907407407407</x:v>
      </x:c>
      <x:c r="Q1278" s="12" t="n">
        <x:f>IF(O1278="","",(H1278*60+O1278)/86400)</x:f>
        <x:v>0.34577546296296297</x:v>
      </x:c>
      <x:c r="R1278" s="12" t="str">
        <x:f>IF(Q1278="","",TEXT(Q1278,"hh:mm:ss"))</x:f>
        <x:v>08:17:55</x:v>
      </x:c>
      <x:c r="S1278" s="12" t="str">
        <x:v>否</x:v>
      </x:c>
      <x:c r="T1278" s="12" t="str">
        <x:v>否</x:v>
      </x:c>
      <x:c r="U1278" s="12" t="str">
        <x:v>刘虎</x:v>
      </x:c>
      <x:c r="V1278" s="12" t="str">
        <x:v>3号车</x:v>
      </x:c>
      <x:c r="W1278" s="12" t="str">
        <x:v>秒级预测</x:v>
      </x:c>
      <x:c r="X1278" s="12" t="str">
        <x:v>基于路线秒级参数；如录入实测或手动采用秒，预计到达时间可随公式更新</x:v>
      </x:c>
    </x:row>
    <x:row r="1279">
      <x:c r="A1279" s="12" t="str">
        <x:v>S0110-12</x:v>
      </x:c>
      <x:c r="B1279" s="12" t="str">
        <x:v>S0110</x:v>
      </x:c>
      <x:c r="C1279" s="12" t="str">
        <x:v>工作日</x:v>
      </x:c>
      <x:c r="D1279" s="12" t="str">
        <x:v>环线3路</x:v>
      </x:c>
      <x:c r="E1279" s="12" t="str">
        <x:v>第一班</x:v>
      </x:c>
      <x:c r="F1279" s="12" t="n">
        <x:v>2</x:v>
      </x:c>
      <x:c r="G1279" s="12" t="str">
        <x:v>8:05</x:v>
      </x:c>
      <x:c r="H1279" s="12" t="n">
        <x:v>485</x:v>
      </x:c>
      <x:c r="I1279" s="12" t="str">
        <x:v>研究生宿舍楼</x:v>
      </x:c>
      <x:c r="J1279" s="12" t="str">
        <x:v>研究生宿舍楼发车</x:v>
      </x:c>
      <x:c r="K1279" s="12" t="str">
        <x:v>HX3_NORMAL</x:v>
      </x:c>
      <x:c r="L1279" s="12" t="n">
        <x:v>12</x:v>
      </x:c>
      <x:c r="M1279" s="12" t="str">
        <x:v>HX3_NORMAL|12</x:v>
      </x:c>
      <x:c r="N1279" s="12" t="str">
        <x:v>研究生宿舍楼</x:v>
      </x:c>
      <x:c r="O1279" s="12" t="n">
        <x:f>IFERROR(INDEX('秒级路线参数_可调整'!$O:$O,MATCH(M1279,'秒级路线参数_可调整'!$A:$A,0)),"")</x:f>
        <x:v>840</x:v>
      </x:c>
      <x:c r="P1279" s="12" t="n">
        <x:f>IF(O1279="","",O1279/86400)</x:f>
        <x:v>0.009722222222222222</x:v>
      </x:c>
      <x:c r="Q1279" s="12" t="n">
        <x:f>IF(O1279="","",(H1279*60+O1279)/86400)</x:f>
        <x:v>0.34652777777777777</x:v>
      </x:c>
      <x:c r="R1279" s="12" t="str">
        <x:f>IF(Q1279="","",TEXT(Q1279,"hh:mm:ss"))</x:f>
        <x:v>08:19:00</x:v>
      </x:c>
      <x:c r="S1279" s="12" t="str">
        <x:v>否</x:v>
      </x:c>
      <x:c r="T1279" s="12" t="str">
        <x:v>是</x:v>
      </x:c>
      <x:c r="U1279" s="12" t="str">
        <x:v>刘虎</x:v>
      </x:c>
      <x:c r="V1279" s="12" t="str">
        <x:v>3号车</x:v>
      </x:c>
      <x:c r="W1279" s="12" t="str">
        <x:v>秒级预测</x:v>
      </x:c>
      <x:c r="X1279" s="12" t="str">
        <x:v>基于路线秒级参数；如录入实测或手动采用秒，预计到达时间可随公式更新</x:v>
      </x:c>
    </x:row>
    <x:row r="1280">
      <x:c r="A1280" s="12" t="str">
        <x:v>S0111-01</x:v>
      </x:c>
      <x:c r="B1280" s="12" t="str">
        <x:v>S0111</x:v>
      </x:c>
      <x:c r="C1280" s="12" t="str">
        <x:v>工作日</x:v>
      </x:c>
      <x:c r="D1280" s="12" t="str">
        <x:v>环线3路</x:v>
      </x:c>
      <x:c r="E1280" s="12" t="str">
        <x:v>第一班</x:v>
      </x:c>
      <x:c r="F1280" s="12" t="n">
        <x:v>3</x:v>
      </x:c>
      <x:c r="G1280" s="12" t="str">
        <x:v>8:35</x:v>
      </x:c>
      <x:c r="H1280" s="12" t="n">
        <x:v>515</x:v>
      </x:c>
      <x:c r="I1280" s="12" t="str">
        <x:v>研究生宿舍楼</x:v>
      </x:c>
      <x:c r="J1280" s="12" t="str">
        <x:v>研究生宿舍楼发车</x:v>
      </x:c>
      <x:c r="K1280" s="12" t="str">
        <x:v>HX3_NORMAL</x:v>
      </x:c>
      <x:c r="L1280" s="12" t="n">
        <x:v>1</x:v>
      </x:c>
      <x:c r="M1280" s="12" t="str">
        <x:v>HX3_NORMAL|1</x:v>
      </x:c>
      <x:c r="N1280" s="12" t="str">
        <x:v>研究生宿舍楼</x:v>
      </x:c>
      <x:c r="O1280" s="12" t="n">
        <x:f>IFERROR(INDEX('秒级路线参数_可调整'!$O:$O,MATCH(M1280,'秒级路线参数_可调整'!$A:$A,0)),"")</x:f>
        <x:v>0</x:v>
      </x:c>
      <x:c r="P1280" s="12" t="str">
        <x:f>IF(O1280="","",O1280/86400)</x:f>
      </x:c>
      <x:c r="Q1280" s="12" t="str">
        <x:f>IF(O1280="","",(H1280*60+O1280)/86400)</x:f>
      </x:c>
      <x:c r="R1280" s="12" t="str">
        <x:f>IF(Q1280="","",TEXT(Q1280,"hh:mm:ss"))</x:f>
      </x:c>
      <x:c r="S1280" s="12" t="str">
        <x:v>是</x:v>
      </x:c>
      <x:c r="T1280" s="12" t="str">
        <x:v>否</x:v>
      </x:c>
      <x:c r="U1280" s="12" t="str">
        <x:v>刘虎</x:v>
      </x:c>
      <x:c r="V1280" s="12" t="str">
        <x:v>3号车</x:v>
      </x:c>
      <x:c r="W1280" s="12" t="str">
        <x:v>秒级预测</x:v>
      </x:c>
      <x:c r="X1280" s="12" t="str">
        <x:v>基于路线秒级参数；如录入实测或手动采用秒，预计到达时间可随公式更新</x:v>
      </x:c>
    </x:row>
    <x:row r="1281">
      <x:c r="A1281" s="12" t="str">
        <x:v>S0111-02</x:v>
      </x:c>
      <x:c r="B1281" s="12" t="str">
        <x:v>S0111</x:v>
      </x:c>
      <x:c r="C1281" s="12" t="str">
        <x:v>工作日</x:v>
      </x:c>
      <x:c r="D1281" s="12" t="str">
        <x:v>环线3路</x:v>
      </x:c>
      <x:c r="E1281" s="12" t="str">
        <x:v>第一班</x:v>
      </x:c>
      <x:c r="F1281" s="12" t="n">
        <x:v>3</x:v>
      </x:c>
      <x:c r="G1281" s="12" t="str">
        <x:v>8:35</x:v>
      </x:c>
      <x:c r="H1281" s="12" t="n">
        <x:v>515</x:v>
      </x:c>
      <x:c r="I1281" s="12" t="str">
        <x:v>研究生宿舍楼</x:v>
      </x:c>
      <x:c r="J1281" s="12" t="str">
        <x:v>研究生宿舍楼发车</x:v>
      </x:c>
      <x:c r="K1281" s="12" t="str">
        <x:v>HX3_NORMAL</x:v>
      </x:c>
      <x:c r="L1281" s="12" t="n">
        <x:v>2</x:v>
      </x:c>
      <x:c r="M1281" s="12" t="str">
        <x:v>HX3_NORMAL|2</x:v>
      </x:c>
      <x:c r="N1281" s="12" t="str">
        <x:v>一食堂</x:v>
      </x:c>
      <x:c r="O1281" s="12" t="n">
        <x:f>IFERROR(INDEX('秒级路线参数_可调整'!$O:$O,MATCH(M1281,'秒级路线参数_可调整'!$A:$A,0)),"")</x:f>
        <x:v>65</x:v>
      </x:c>
      <x:c r="P1281" s="12" t="n">
        <x:f>IF(O1281="","",O1281/86400)</x:f>
        <x:v>0.0007523148148148148</x:v>
      </x:c>
      <x:c r="Q1281" s="12" t="n">
        <x:f>IF(O1281="","",(H1281*60+O1281)/86400)</x:f>
        <x:v>0.3583912037037037</x:v>
      </x:c>
      <x:c r="R1281" s="12" t="str">
        <x:f>IF(Q1281="","",TEXT(Q1281,"hh:mm:ss"))</x:f>
        <x:v>08:36:05</x:v>
      </x:c>
      <x:c r="S1281" s="12" t="str">
        <x:v>否</x:v>
      </x:c>
      <x:c r="T1281" s="12" t="str">
        <x:v>否</x:v>
      </x:c>
      <x:c r="U1281" s="12" t="str">
        <x:v>刘虎</x:v>
      </x:c>
      <x:c r="V1281" s="12" t="str">
        <x:v>3号车</x:v>
      </x:c>
      <x:c r="W1281" s="12" t="str">
        <x:v>秒级预测</x:v>
      </x:c>
      <x:c r="X1281" s="12" t="str">
        <x:v>基于路线秒级参数；如录入实测或手动采用秒，预计到达时间可随公式更新</x:v>
      </x:c>
    </x:row>
    <x:row r="1282">
      <x:c r="A1282" s="12" t="str">
        <x:v>S0111-03</x:v>
      </x:c>
      <x:c r="B1282" s="12" t="str">
        <x:v>S0111</x:v>
      </x:c>
      <x:c r="C1282" s="12" t="str">
        <x:v>工作日</x:v>
      </x:c>
      <x:c r="D1282" s="12" t="str">
        <x:v>环线3路</x:v>
      </x:c>
      <x:c r="E1282" s="12" t="str">
        <x:v>第一班</x:v>
      </x:c>
      <x:c r="F1282" s="12" t="n">
        <x:v>3</x:v>
      </x:c>
      <x:c r="G1282" s="12" t="str">
        <x:v>8:35</x:v>
      </x:c>
      <x:c r="H1282" s="12" t="n">
        <x:v>515</x:v>
      </x:c>
      <x:c r="I1282" s="12" t="str">
        <x:v>研究生宿舍楼</x:v>
      </x:c>
      <x:c r="J1282" s="12" t="str">
        <x:v>研究生宿舍楼发车</x:v>
      </x:c>
      <x:c r="K1282" s="12" t="str">
        <x:v>HX3_NORMAL</x:v>
      </x:c>
      <x:c r="L1282" s="12" t="n">
        <x:v>3</x:v>
      </x:c>
      <x:c r="M1282" s="12" t="str">
        <x:v>HX3_NORMAL|3</x:v>
      </x:c>
      <x:c r="N1282" s="12" t="str">
        <x:v>2号宿舍楼</x:v>
      </x:c>
      <x:c r="O1282" s="12" t="n">
        <x:f>IFERROR(INDEX('秒级路线参数_可调整'!$O:$O,MATCH(M1282,'秒级路线参数_可调整'!$A:$A,0)),"")</x:f>
        <x:v>120</x:v>
      </x:c>
      <x:c r="P1282" s="12" t="n">
        <x:f>IF(O1282="","",O1282/86400)</x:f>
        <x:v>0.001388888888888889</x:v>
      </x:c>
      <x:c r="Q1282" s="12" t="n">
        <x:f>IF(O1282="","",(H1282*60+O1282)/86400)</x:f>
        <x:v>0.3590277777777778</x:v>
      </x:c>
      <x:c r="R1282" s="12" t="str">
        <x:f>IF(Q1282="","",TEXT(Q1282,"hh:mm:ss"))</x:f>
        <x:v>08:37:00</x:v>
      </x:c>
      <x:c r="S1282" s="12" t="str">
        <x:v>否</x:v>
      </x:c>
      <x:c r="T1282" s="12" t="str">
        <x:v>否</x:v>
      </x:c>
      <x:c r="U1282" s="12" t="str">
        <x:v>刘虎</x:v>
      </x:c>
      <x:c r="V1282" s="12" t="str">
        <x:v>3号车</x:v>
      </x:c>
      <x:c r="W1282" s="12" t="str">
        <x:v>秒级预测</x:v>
      </x:c>
      <x:c r="X1282" s="12" t="str">
        <x:v>基于路线秒级参数；如录入实测或手动采用秒，预计到达时间可随公式更新</x:v>
      </x:c>
    </x:row>
    <x:row r="1283">
      <x:c r="A1283" s="12" t="str">
        <x:v>S0111-04</x:v>
      </x:c>
      <x:c r="B1283" s="12" t="str">
        <x:v>S0111</x:v>
      </x:c>
      <x:c r="C1283" s="12" t="str">
        <x:v>工作日</x:v>
      </x:c>
      <x:c r="D1283" s="12" t="str">
        <x:v>环线3路</x:v>
      </x:c>
      <x:c r="E1283" s="12" t="str">
        <x:v>第一班</x:v>
      </x:c>
      <x:c r="F1283" s="12" t="n">
        <x:v>3</x:v>
      </x:c>
      <x:c r="G1283" s="12" t="str">
        <x:v>8:35</x:v>
      </x:c>
      <x:c r="H1283" s="12" t="n">
        <x:v>515</x:v>
      </x:c>
      <x:c r="I1283" s="12" t="str">
        <x:v>研究生宿舍楼</x:v>
      </x:c>
      <x:c r="J1283" s="12" t="str">
        <x:v>研究生宿舍楼发车</x:v>
      </x:c>
      <x:c r="K1283" s="12" t="str">
        <x:v>HX3_NORMAL</x:v>
      </x:c>
      <x:c r="L1283" s="12" t="n">
        <x:v>4</x:v>
      </x:c>
      <x:c r="M1283" s="12" t="str">
        <x:v>HX3_NORMAL|4</x:v>
      </x:c>
      <x:c r="N1283" s="12" t="str">
        <x:v>军体活动中心</x:v>
      </x:c>
      <x:c r="O1283" s="12" t="n">
        <x:f>IFERROR(INDEX('秒级路线参数_可调整'!$O:$O,MATCH(M1283,'秒级路线参数_可调整'!$A:$A,0)),"")</x:f>
        <x:v>165</x:v>
      </x:c>
      <x:c r="P1283" s="12" t="n">
        <x:f>IF(O1283="","",O1283/86400)</x:f>
        <x:v>0.0019097222222222222</x:v>
      </x:c>
      <x:c r="Q1283" s="12" t="n">
        <x:f>IF(O1283="","",(H1283*60+O1283)/86400)</x:f>
        <x:v>0.35954861111111114</x:v>
      </x:c>
      <x:c r="R1283" s="12" t="str">
        <x:f>IF(Q1283="","",TEXT(Q1283,"hh:mm:ss"))</x:f>
        <x:v>08:37:45</x:v>
      </x:c>
      <x:c r="S1283" s="12" t="str">
        <x:v>否</x:v>
      </x:c>
      <x:c r="T1283" s="12" t="str">
        <x:v>否</x:v>
      </x:c>
      <x:c r="U1283" s="12" t="str">
        <x:v>刘虎</x:v>
      </x:c>
      <x:c r="V1283" s="12" t="str">
        <x:v>3号车</x:v>
      </x:c>
      <x:c r="W1283" s="12" t="str">
        <x:v>秒级预测</x:v>
      </x:c>
      <x:c r="X1283" s="12" t="str">
        <x:v>基于路线秒级参数；如录入实测或手动采用秒，预计到达时间可随公式更新</x:v>
      </x:c>
    </x:row>
    <x:row r="1284">
      <x:c r="A1284" s="12" t="str">
        <x:v>S0111-05</x:v>
      </x:c>
      <x:c r="B1284" s="12" t="str">
        <x:v>S0111</x:v>
      </x:c>
      <x:c r="C1284" s="12" t="str">
        <x:v>工作日</x:v>
      </x:c>
      <x:c r="D1284" s="12" t="str">
        <x:v>环线3路</x:v>
      </x:c>
      <x:c r="E1284" s="12" t="str">
        <x:v>第一班</x:v>
      </x:c>
      <x:c r="F1284" s="12" t="n">
        <x:v>3</x:v>
      </x:c>
      <x:c r="G1284" s="12" t="str">
        <x:v>8:35</x:v>
      </x:c>
      <x:c r="H1284" s="12" t="n">
        <x:v>515</x:v>
      </x:c>
      <x:c r="I1284" s="12" t="str">
        <x:v>研究生宿舍楼</x:v>
      </x:c>
      <x:c r="J1284" s="12" t="str">
        <x:v>研究生宿舍楼发车</x:v>
      </x:c>
      <x:c r="K1284" s="12" t="str">
        <x:v>HX3_NORMAL</x:v>
      </x:c>
      <x:c r="L1284" s="12" t="n">
        <x:v>5</x:v>
      </x:c>
      <x:c r="M1284" s="12" t="str">
        <x:v>HX3_NORMAL|5</x:v>
      </x:c>
      <x:c r="N1284" s="12" t="str">
        <x:v>教勤连</x:v>
      </x:c>
      <x:c r="O1284" s="12" t="n">
        <x:f>IFERROR(INDEX('秒级路线参数_可调整'!$O:$O,MATCH(M1284,'秒级路线参数_可调整'!$A:$A,0)),"")</x:f>
        <x:v>250</x:v>
      </x:c>
      <x:c r="P1284" s="12" t="n">
        <x:f>IF(O1284="","",O1284/86400)</x:f>
        <x:v>0.0028935185185185184</x:v>
      </x:c>
      <x:c r="Q1284" s="12" t="n">
        <x:f>IF(O1284="","",(H1284*60+O1284)/86400)</x:f>
        <x:v>0.3605324074074074</x:v>
      </x:c>
      <x:c r="R1284" s="12" t="str">
        <x:f>IF(Q1284="","",TEXT(Q1284,"hh:mm:ss"))</x:f>
        <x:v>08:39:10</x:v>
      </x:c>
      <x:c r="S1284" s="12" t="str">
        <x:v>否</x:v>
      </x:c>
      <x:c r="T1284" s="12" t="str">
        <x:v>否</x:v>
      </x:c>
      <x:c r="U1284" s="12" t="str">
        <x:v>刘虎</x:v>
      </x:c>
      <x:c r="V1284" s="12" t="str">
        <x:v>3号车</x:v>
      </x:c>
      <x:c r="W1284" s="12" t="str">
        <x:v>秒级预测</x:v>
      </x:c>
      <x:c r="X1284" s="12" t="str">
        <x:v>基于路线秒级参数；如录入实测或手动采用秒，预计到达时间可随公式更新</x:v>
      </x:c>
    </x:row>
    <x:row r="1285">
      <x:c r="A1285" s="12" t="str">
        <x:v>S0111-06</x:v>
      </x:c>
      <x:c r="B1285" s="12" t="str">
        <x:v>S0111</x:v>
      </x:c>
      <x:c r="C1285" s="12" t="str">
        <x:v>工作日</x:v>
      </x:c>
      <x:c r="D1285" s="12" t="str">
        <x:v>环线3路</x:v>
      </x:c>
      <x:c r="E1285" s="12" t="str">
        <x:v>第一班</x:v>
      </x:c>
      <x:c r="F1285" s="12" t="n">
        <x:v>3</x:v>
      </x:c>
      <x:c r="G1285" s="12" t="str">
        <x:v>8:35</x:v>
      </x:c>
      <x:c r="H1285" s="12" t="n">
        <x:v>515</x:v>
      </x:c>
      <x:c r="I1285" s="12" t="str">
        <x:v>研究生宿舍楼</x:v>
      </x:c>
      <x:c r="J1285" s="12" t="str">
        <x:v>研究生宿舍楼发车</x:v>
      </x:c>
      <x:c r="K1285" s="12" t="str">
        <x:v>HX3_NORMAL</x:v>
      </x:c>
      <x:c r="L1285" s="12" t="n">
        <x:v>6</x:v>
      </x:c>
      <x:c r="M1285" s="12" t="str">
        <x:v>HX3_NORMAL|6</x:v>
      </x:c>
      <x:c r="N1285" s="12" t="str">
        <x:v>激光所</x:v>
      </x:c>
      <x:c r="O1285" s="12" t="n">
        <x:f>IFERROR(INDEX('秒级路线参数_可调整'!$O:$O,MATCH(M1285,'秒级路线参数_可调整'!$A:$A,0)),"")</x:f>
        <x:v>315</x:v>
      </x:c>
      <x:c r="P1285" s="12" t="n">
        <x:f>IF(O1285="","",O1285/86400)</x:f>
        <x:v>0.0036458333333333334</x:v>
      </x:c>
      <x:c r="Q1285" s="12" t="n">
        <x:f>IF(O1285="","",(H1285*60+O1285)/86400)</x:f>
        <x:v>0.36128472222222224</x:v>
      </x:c>
      <x:c r="R1285" s="12" t="str">
        <x:f>IF(Q1285="","",TEXT(Q1285,"hh:mm:ss"))</x:f>
        <x:v>08:40:15</x:v>
      </x:c>
      <x:c r="S1285" s="12" t="str">
        <x:v>否</x:v>
      </x:c>
      <x:c r="T1285" s="12" t="str">
        <x:v>否</x:v>
      </x:c>
      <x:c r="U1285" s="12" t="str">
        <x:v>刘虎</x:v>
      </x:c>
      <x:c r="V1285" s="12" t="str">
        <x:v>3号车</x:v>
      </x:c>
      <x:c r="W1285" s="12" t="str">
        <x:v>秒级预测</x:v>
      </x:c>
      <x:c r="X1285" s="12" t="str">
        <x:v>基于路线秒级参数；如录入实测或手动采用秒，预计到达时间可随公式更新</x:v>
      </x:c>
    </x:row>
    <x:row r="1286">
      <x:c r="A1286" s="12" t="str">
        <x:v>S0111-07</x:v>
      </x:c>
      <x:c r="B1286" s="12" t="str">
        <x:v>S0111</x:v>
      </x:c>
      <x:c r="C1286" s="12" t="str">
        <x:v>工作日</x:v>
      </x:c>
      <x:c r="D1286" s="12" t="str">
        <x:v>环线3路</x:v>
      </x:c>
      <x:c r="E1286" s="12" t="str">
        <x:v>第一班</x:v>
      </x:c>
      <x:c r="F1286" s="12" t="n">
        <x:v>3</x:v>
      </x:c>
      <x:c r="G1286" s="12" t="str">
        <x:v>8:35</x:v>
      </x:c>
      <x:c r="H1286" s="12" t="n">
        <x:v>515</x:v>
      </x:c>
      <x:c r="I1286" s="12" t="str">
        <x:v>研究生宿舍楼</x:v>
      </x:c>
      <x:c r="J1286" s="12" t="str">
        <x:v>研究生宿舍楼发车</x:v>
      </x:c>
      <x:c r="K1286" s="12" t="str">
        <x:v>HX3_NORMAL</x:v>
      </x:c>
      <x:c r="L1286" s="12" t="n">
        <x:v>7</x:v>
      </x:c>
      <x:c r="M1286" s="12" t="str">
        <x:v>HX3_NORMAL|7</x:v>
      </x:c>
      <x:c r="N1286" s="12" t="str">
        <x:v>高超楼</x:v>
      </x:c>
      <x:c r="O1286" s="12" t="n">
        <x:f>IFERROR(INDEX('秒级路线参数_可调整'!$O:$O,MATCH(M1286,'秒级路线参数_可调整'!$A:$A,0)),"")</x:f>
        <x:v>420</x:v>
      </x:c>
      <x:c r="P1286" s="12" t="n">
        <x:f>IF(O1286="","",O1286/86400)</x:f>
        <x:v>0.004861111111111111</x:v>
      </x:c>
      <x:c r="Q1286" s="12" t="n">
        <x:f>IF(O1286="","",(H1286*60+O1286)/86400)</x:f>
        <x:v>0.3625</x:v>
      </x:c>
      <x:c r="R1286" s="12" t="str">
        <x:f>IF(Q1286="","",TEXT(Q1286,"hh:mm:ss"))</x:f>
        <x:v>08:42:00</x:v>
      </x:c>
      <x:c r="S1286" s="12" t="str">
        <x:v>否</x:v>
      </x:c>
      <x:c r="T1286" s="12" t="str">
        <x:v>否</x:v>
      </x:c>
      <x:c r="U1286" s="12" t="str">
        <x:v>刘虎</x:v>
      </x:c>
      <x:c r="V1286" s="12" t="str">
        <x:v>3号车</x:v>
      </x:c>
      <x:c r="W1286" s="12" t="str">
        <x:v>秒级预测</x:v>
      </x:c>
      <x:c r="X1286" s="12" t="str">
        <x:v>基于路线秒级参数；如录入实测或手动采用秒，预计到达时间可随公式更新</x:v>
      </x:c>
    </x:row>
    <x:row r="1287">
      <x:c r="A1287" s="12" t="str">
        <x:v>S0111-08</x:v>
      </x:c>
      <x:c r="B1287" s="12" t="str">
        <x:v>S0111</x:v>
      </x:c>
      <x:c r="C1287" s="12" t="str">
        <x:v>工作日</x:v>
      </x:c>
      <x:c r="D1287" s="12" t="str">
        <x:v>环线3路</x:v>
      </x:c>
      <x:c r="E1287" s="12" t="str">
        <x:v>第一班</x:v>
      </x:c>
      <x:c r="F1287" s="12" t="n">
        <x:v>3</x:v>
      </x:c>
      <x:c r="G1287" s="12" t="str">
        <x:v>8:35</x:v>
      </x:c>
      <x:c r="H1287" s="12" t="n">
        <x:v>515</x:v>
      </x:c>
      <x:c r="I1287" s="12" t="str">
        <x:v>研究生宿舍楼</x:v>
      </x:c>
      <x:c r="J1287" s="12" t="str">
        <x:v>研究生宿舍楼发车</x:v>
      </x:c>
      <x:c r="K1287" s="12" t="str">
        <x:v>HX3_NORMAL</x:v>
      </x:c>
      <x:c r="L1287" s="12" t="n">
        <x:v>8</x:v>
      </x:c>
      <x:c r="M1287" s="12" t="str">
        <x:v>HX3_NORMAL|8</x:v>
      </x:c>
      <x:c r="N1287" s="12" t="str">
        <x:v>理学院</x:v>
      </x:c>
      <x:c r="O1287" s="12" t="n">
        <x:f>IFERROR(INDEX('秒级路线参数_可调整'!$O:$O,MATCH(M1287,'秒级路线参数_可调整'!$A:$A,0)),"")</x:f>
        <x:v>480</x:v>
      </x:c>
      <x:c r="P1287" s="12" t="n">
        <x:f>IF(O1287="","",O1287/86400)</x:f>
        <x:v>0.005555555555555556</x:v>
      </x:c>
      <x:c r="Q1287" s="12" t="n">
        <x:f>IF(O1287="","",(H1287*60+O1287)/86400)</x:f>
        <x:v>0.36319444444444443</x:v>
      </x:c>
      <x:c r="R1287" s="12" t="str">
        <x:f>IF(Q1287="","",TEXT(Q1287,"hh:mm:ss"))</x:f>
        <x:v>08:43:00</x:v>
      </x:c>
      <x:c r="S1287" s="12" t="str">
        <x:v>否</x:v>
      </x:c>
      <x:c r="T1287" s="12" t="str">
        <x:v>否</x:v>
      </x:c>
      <x:c r="U1287" s="12" t="str">
        <x:v>刘虎</x:v>
      </x:c>
      <x:c r="V1287" s="12" t="str">
        <x:v>3号车</x:v>
      </x:c>
      <x:c r="W1287" s="12" t="str">
        <x:v>秒级预测</x:v>
      </x:c>
      <x:c r="X1287" s="12" t="str">
        <x:v>基于路线秒级参数；如录入实测或手动采用秒，预计到达时间可随公式更新</x:v>
      </x:c>
    </x:row>
    <x:row r="1288">
      <x:c r="A1288" s="12" t="str">
        <x:v>S0111-09</x:v>
      </x:c>
      <x:c r="B1288" s="12" t="str">
        <x:v>S0111</x:v>
      </x:c>
      <x:c r="C1288" s="12" t="str">
        <x:v>工作日</x:v>
      </x:c>
      <x:c r="D1288" s="12" t="str">
        <x:v>环线3路</x:v>
      </x:c>
      <x:c r="E1288" s="12" t="str">
        <x:v>第一班</x:v>
      </x:c>
      <x:c r="F1288" s="12" t="n">
        <x:v>3</x:v>
      </x:c>
      <x:c r="G1288" s="12" t="str">
        <x:v>8:35</x:v>
      </x:c>
      <x:c r="H1288" s="12" t="n">
        <x:v>515</x:v>
      </x:c>
      <x:c r="I1288" s="12" t="str">
        <x:v>研究生宿舍楼</x:v>
      </x:c>
      <x:c r="J1288" s="12" t="str">
        <x:v>研究生宿舍楼发车</x:v>
      </x:c>
      <x:c r="K1288" s="12" t="str">
        <x:v>HX3_NORMAL</x:v>
      </x:c>
      <x:c r="L1288" s="12" t="n">
        <x:v>9</x:v>
      </x:c>
      <x:c r="M1288" s="12" t="str">
        <x:v>HX3_NORMAL|9</x:v>
      </x:c>
      <x:c r="N1288" s="12" t="str">
        <x:v>二食堂</x:v>
      </x:c>
      <x:c r="O1288" s="12" t="n">
        <x:f>IFERROR(INDEX('秒级路线参数_可调整'!$O:$O,MATCH(M1288,'秒级路线参数_可调整'!$A:$A,0)),"")</x:f>
        <x:v>535</x:v>
      </x:c>
      <x:c r="P1288" s="12" t="n">
        <x:f>IF(O1288="","",O1288/86400)</x:f>
        <x:v>0.00619212962962963</x:v>
      </x:c>
      <x:c r="Q1288" s="12" t="n">
        <x:f>IF(O1288="","",(H1288*60+O1288)/86400)</x:f>
        <x:v>0.3638310185185185</x:v>
      </x:c>
      <x:c r="R1288" s="12" t="str">
        <x:f>IF(Q1288="","",TEXT(Q1288,"hh:mm:ss"))</x:f>
        <x:v>08:43:55</x:v>
      </x:c>
      <x:c r="S1288" s="12" t="str">
        <x:v>否</x:v>
      </x:c>
      <x:c r="T1288" s="12" t="str">
        <x:v>否</x:v>
      </x:c>
      <x:c r="U1288" s="12" t="str">
        <x:v>刘虎</x:v>
      </x:c>
      <x:c r="V1288" s="12" t="str">
        <x:v>3号车</x:v>
      </x:c>
      <x:c r="W1288" s="12" t="str">
        <x:v>秒级预测</x:v>
      </x:c>
      <x:c r="X1288" s="12" t="str">
        <x:v>基于路线秒级参数；如录入实测或手动采用秒，预计到达时间可随公式更新</x:v>
      </x:c>
    </x:row>
    <x:row r="1289">
      <x:c r="A1289" s="12" t="str">
        <x:v>S0111-10</x:v>
      </x:c>
      <x:c r="B1289" s="12" t="str">
        <x:v>S0111</x:v>
      </x:c>
      <x:c r="C1289" s="12" t="str">
        <x:v>工作日</x:v>
      </x:c>
      <x:c r="D1289" s="12" t="str">
        <x:v>环线3路</x:v>
      </x:c>
      <x:c r="E1289" s="12" t="str">
        <x:v>第一班</x:v>
      </x:c>
      <x:c r="F1289" s="12" t="n">
        <x:v>3</x:v>
      </x:c>
      <x:c r="G1289" s="12" t="str">
        <x:v>8:35</x:v>
      </x:c>
      <x:c r="H1289" s="12" t="n">
        <x:v>515</x:v>
      </x:c>
      <x:c r="I1289" s="12" t="str">
        <x:v>研究生宿舍楼</x:v>
      </x:c>
      <x:c r="J1289" s="12" t="str">
        <x:v>研究生宿舍楼发车</x:v>
      </x:c>
      <x:c r="K1289" s="12" t="str">
        <x:v>HX3_NORMAL</x:v>
      </x:c>
      <x:c r="L1289" s="12" t="n">
        <x:v>10</x:v>
      </x:c>
      <x:c r="M1289" s="12" t="str">
        <x:v>HX3_NORMAL|10</x:v>
      </x:c>
      <x:c r="N1289" s="12" t="str">
        <x:v>图书馆</x:v>
      </x:c>
      <x:c r="O1289" s="12" t="n">
        <x:f>IFERROR(INDEX('秒级路线参数_可调整'!$O:$O,MATCH(M1289,'秒级路线参数_可调整'!$A:$A,0)),"")</x:f>
        <x:v>715</x:v>
      </x:c>
      <x:c r="P1289" s="12" t="n">
        <x:f>IF(O1289="","",O1289/86400)</x:f>
        <x:v>0.008275462962962964</x:v>
      </x:c>
      <x:c r="Q1289" s="12" t="n">
        <x:f>IF(O1289="","",(H1289*60+O1289)/86400)</x:f>
        <x:v>0.36591435185185184</x:v>
      </x:c>
      <x:c r="R1289" s="12" t="str">
        <x:f>IF(Q1289="","",TEXT(Q1289,"hh:mm:ss"))</x:f>
        <x:v>08:46:55</x:v>
      </x:c>
      <x:c r="S1289" s="12" t="str">
        <x:v>否</x:v>
      </x:c>
      <x:c r="T1289" s="12" t="str">
        <x:v>否</x:v>
      </x:c>
      <x:c r="U1289" s="12" t="str">
        <x:v>刘虎</x:v>
      </x:c>
      <x:c r="V1289" s="12" t="str">
        <x:v>3号车</x:v>
      </x:c>
      <x:c r="W1289" s="12" t="str">
        <x:v>秒级预测</x:v>
      </x:c>
      <x:c r="X1289" s="12" t="str">
        <x:v>基于路线秒级参数；如录入实测或手动采用秒，预计到达时间可随公式更新</x:v>
      </x:c>
    </x:row>
    <x:row r="1290">
      <x:c r="A1290" s="12" t="str">
        <x:v>S0111-11</x:v>
      </x:c>
      <x:c r="B1290" s="12" t="str">
        <x:v>S0111</x:v>
      </x:c>
      <x:c r="C1290" s="12" t="str">
        <x:v>工作日</x:v>
      </x:c>
      <x:c r="D1290" s="12" t="str">
        <x:v>环线3路</x:v>
      </x:c>
      <x:c r="E1290" s="12" t="str">
        <x:v>第一班</x:v>
      </x:c>
      <x:c r="F1290" s="12" t="n">
        <x:v>3</x:v>
      </x:c>
      <x:c r="G1290" s="12" t="str">
        <x:v>8:35</x:v>
      </x:c>
      <x:c r="H1290" s="12" t="n">
        <x:v>515</x:v>
      </x:c>
      <x:c r="I1290" s="12" t="str">
        <x:v>研究生宿舍楼</x:v>
      </x:c>
      <x:c r="J1290" s="12" t="str">
        <x:v>研究生宿舍楼发车</x:v>
      </x:c>
      <x:c r="K1290" s="12" t="str">
        <x:v>HX3_NORMAL</x:v>
      </x:c>
      <x:c r="L1290" s="12" t="n">
        <x:v>11</x:v>
      </x:c>
      <x:c r="M1290" s="12" t="str">
        <x:v>HX3_NORMAL|11</x:v>
      </x:c>
      <x:c r="N1290" s="12" t="str">
        <x:v>305教学楼</x:v>
      </x:c>
      <x:c r="O1290" s="12" t="n">
        <x:f>IFERROR(INDEX('秒级路线参数_可调整'!$O:$O,MATCH(M1290,'秒级路线参数_可调整'!$A:$A,0)),"")</x:f>
        <x:v>775</x:v>
      </x:c>
      <x:c r="P1290" s="12" t="n">
        <x:f>IF(O1290="","",O1290/86400)</x:f>
        <x:v>0.008969907407407407</x:v>
      </x:c>
      <x:c r="Q1290" s="12" t="n">
        <x:f>IF(O1290="","",(H1290*60+O1290)/86400)</x:f>
        <x:v>0.3666087962962963</x:v>
      </x:c>
      <x:c r="R1290" s="12" t="str">
        <x:f>IF(Q1290="","",TEXT(Q1290,"hh:mm:ss"))</x:f>
        <x:v>08:47:55</x:v>
      </x:c>
      <x:c r="S1290" s="12" t="str">
        <x:v>否</x:v>
      </x:c>
      <x:c r="T1290" s="12" t="str">
        <x:v>否</x:v>
      </x:c>
      <x:c r="U1290" s="12" t="str">
        <x:v>刘虎</x:v>
      </x:c>
      <x:c r="V1290" s="12" t="str">
        <x:v>3号车</x:v>
      </x:c>
      <x:c r="W1290" s="12" t="str">
        <x:v>秒级预测</x:v>
      </x:c>
      <x:c r="X1290" s="12" t="str">
        <x:v>基于路线秒级参数；如录入实测或手动采用秒，预计到达时间可随公式更新</x:v>
      </x:c>
    </x:row>
    <x:row r="1291">
      <x:c r="A1291" s="12" t="str">
        <x:v>S0111-12</x:v>
      </x:c>
      <x:c r="B1291" s="12" t="str">
        <x:v>S0111</x:v>
      </x:c>
      <x:c r="C1291" s="12" t="str">
        <x:v>工作日</x:v>
      </x:c>
      <x:c r="D1291" s="12" t="str">
        <x:v>环线3路</x:v>
      </x:c>
      <x:c r="E1291" s="12" t="str">
        <x:v>第一班</x:v>
      </x:c>
      <x:c r="F1291" s="12" t="n">
        <x:v>3</x:v>
      </x:c>
      <x:c r="G1291" s="12" t="str">
        <x:v>8:35</x:v>
      </x:c>
      <x:c r="H1291" s="12" t="n">
        <x:v>515</x:v>
      </x:c>
      <x:c r="I1291" s="12" t="str">
        <x:v>研究生宿舍楼</x:v>
      </x:c>
      <x:c r="J1291" s="12" t="str">
        <x:v>研究生宿舍楼发车</x:v>
      </x:c>
      <x:c r="K1291" s="12" t="str">
        <x:v>HX3_NORMAL</x:v>
      </x:c>
      <x:c r="L1291" s="12" t="n">
        <x:v>12</x:v>
      </x:c>
      <x:c r="M1291" s="12" t="str">
        <x:v>HX3_NORMAL|12</x:v>
      </x:c>
      <x:c r="N1291" s="12" t="str">
        <x:v>研究生宿舍楼</x:v>
      </x:c>
      <x:c r="O1291" s="12" t="n">
        <x:f>IFERROR(INDEX('秒级路线参数_可调整'!$O:$O,MATCH(M1291,'秒级路线参数_可调整'!$A:$A,0)),"")</x:f>
        <x:v>840</x:v>
      </x:c>
      <x:c r="P1291" s="12" t="n">
        <x:f>IF(O1291="","",O1291/86400)</x:f>
        <x:v>0.009722222222222222</x:v>
      </x:c>
      <x:c r="Q1291" s="12" t="n">
        <x:f>IF(O1291="","",(H1291*60+O1291)/86400)</x:f>
        <x:v>0.36736111111111114</x:v>
      </x:c>
      <x:c r="R1291" s="12" t="str">
        <x:f>IF(Q1291="","",TEXT(Q1291,"hh:mm:ss"))</x:f>
        <x:v>08:49:00</x:v>
      </x:c>
      <x:c r="S1291" s="12" t="str">
        <x:v>否</x:v>
      </x:c>
      <x:c r="T1291" s="12" t="str">
        <x:v>是</x:v>
      </x:c>
      <x:c r="U1291" s="12" t="str">
        <x:v>刘虎</x:v>
      </x:c>
      <x:c r="V1291" s="12" t="str">
        <x:v>3号车</x:v>
      </x:c>
      <x:c r="W1291" s="12" t="str">
        <x:v>秒级预测</x:v>
      </x:c>
      <x:c r="X1291" s="12" t="str">
        <x:v>基于路线秒级参数；如录入实测或手动采用秒，预计到达时间可随公式更新</x:v>
      </x:c>
    </x:row>
    <x:row r="1292">
      <x:c r="A1292" s="12" t="str">
        <x:v>S0112-01</x:v>
      </x:c>
      <x:c r="B1292" s="12" t="str">
        <x:v>S0112</x:v>
      </x:c>
      <x:c r="C1292" s="12" t="str">
        <x:v>工作日</x:v>
      </x:c>
      <x:c r="D1292" s="12" t="str">
        <x:v>环线3路</x:v>
      </x:c>
      <x:c r="E1292" s="12" t="str">
        <x:v>第一班</x:v>
      </x:c>
      <x:c r="F1292" s="12" t="n">
        <x:v>4</x:v>
      </x:c>
      <x:c r="G1292" s="12" t="str">
        <x:v>9:05</x:v>
      </x:c>
      <x:c r="H1292" s="12" t="n">
        <x:v>545</x:v>
      </x:c>
      <x:c r="I1292" s="12" t="str">
        <x:v>研究生宿舍楼</x:v>
      </x:c>
      <x:c r="J1292" s="12" t="str">
        <x:v>研究生宿舍楼发车</x:v>
      </x:c>
      <x:c r="K1292" s="12" t="str">
        <x:v>HX3_NORMAL</x:v>
      </x:c>
      <x:c r="L1292" s="12" t="n">
        <x:v>1</x:v>
      </x:c>
      <x:c r="M1292" s="12" t="str">
        <x:v>HX3_NORMAL|1</x:v>
      </x:c>
      <x:c r="N1292" s="12" t="str">
        <x:v>研究生宿舍楼</x:v>
      </x:c>
      <x:c r="O1292" s="12" t="n">
        <x:f>IFERROR(INDEX('秒级路线参数_可调整'!$O:$O,MATCH(M1292,'秒级路线参数_可调整'!$A:$A,0)),"")</x:f>
        <x:v>0</x:v>
      </x:c>
      <x:c r="P1292" s="12" t="str">
        <x:f>IF(O1292="","",O1292/86400)</x:f>
      </x:c>
      <x:c r="Q1292" s="12" t="str">
        <x:f>IF(O1292="","",(H1292*60+O1292)/86400)</x:f>
      </x:c>
      <x:c r="R1292" s="12" t="str">
        <x:f>IF(Q1292="","",TEXT(Q1292,"hh:mm:ss"))</x:f>
      </x:c>
      <x:c r="S1292" s="12" t="str">
        <x:v>是</x:v>
      </x:c>
      <x:c r="T1292" s="12" t="str">
        <x:v>否</x:v>
      </x:c>
      <x:c r="U1292" s="12" t="str">
        <x:v>刘虎</x:v>
      </x:c>
      <x:c r="V1292" s="12" t="str">
        <x:v>3号车</x:v>
      </x:c>
      <x:c r="W1292" s="12" t="str">
        <x:v>秒级预测</x:v>
      </x:c>
      <x:c r="X1292" s="12" t="str">
        <x:v>基于路线秒级参数；如录入实测或手动采用秒，预计到达时间可随公式更新</x:v>
      </x:c>
    </x:row>
    <x:row r="1293">
      <x:c r="A1293" s="12" t="str">
        <x:v>S0112-02</x:v>
      </x:c>
      <x:c r="B1293" s="12" t="str">
        <x:v>S0112</x:v>
      </x:c>
      <x:c r="C1293" s="12" t="str">
        <x:v>工作日</x:v>
      </x:c>
      <x:c r="D1293" s="12" t="str">
        <x:v>环线3路</x:v>
      </x:c>
      <x:c r="E1293" s="12" t="str">
        <x:v>第一班</x:v>
      </x:c>
      <x:c r="F1293" s="12" t="n">
        <x:v>4</x:v>
      </x:c>
      <x:c r="G1293" s="12" t="str">
        <x:v>9:05</x:v>
      </x:c>
      <x:c r="H1293" s="12" t="n">
        <x:v>545</x:v>
      </x:c>
      <x:c r="I1293" s="12" t="str">
        <x:v>研究生宿舍楼</x:v>
      </x:c>
      <x:c r="J1293" s="12" t="str">
        <x:v>研究生宿舍楼发车</x:v>
      </x:c>
      <x:c r="K1293" s="12" t="str">
        <x:v>HX3_NORMAL</x:v>
      </x:c>
      <x:c r="L1293" s="12" t="n">
        <x:v>2</x:v>
      </x:c>
      <x:c r="M1293" s="12" t="str">
        <x:v>HX3_NORMAL|2</x:v>
      </x:c>
      <x:c r="N1293" s="12" t="str">
        <x:v>一食堂</x:v>
      </x:c>
      <x:c r="O1293" s="12" t="n">
        <x:f>IFERROR(INDEX('秒级路线参数_可调整'!$O:$O,MATCH(M1293,'秒级路线参数_可调整'!$A:$A,0)),"")</x:f>
        <x:v>65</x:v>
      </x:c>
      <x:c r="P1293" s="12" t="n">
        <x:f>IF(O1293="","",O1293/86400)</x:f>
        <x:v>0.0007523148148148148</x:v>
      </x:c>
      <x:c r="Q1293" s="12" t="n">
        <x:f>IF(O1293="","",(H1293*60+O1293)/86400)</x:f>
        <x:v>0.379224537037037</x:v>
      </x:c>
      <x:c r="R1293" s="12" t="str">
        <x:f>IF(Q1293="","",TEXT(Q1293,"hh:mm:ss"))</x:f>
        <x:v>09:06:05</x:v>
      </x:c>
      <x:c r="S1293" s="12" t="str">
        <x:v>否</x:v>
      </x:c>
      <x:c r="T1293" s="12" t="str">
        <x:v>否</x:v>
      </x:c>
      <x:c r="U1293" s="12" t="str">
        <x:v>刘虎</x:v>
      </x:c>
      <x:c r="V1293" s="12" t="str">
        <x:v>3号车</x:v>
      </x:c>
      <x:c r="W1293" s="12" t="str">
        <x:v>秒级预测</x:v>
      </x:c>
      <x:c r="X1293" s="12" t="str">
        <x:v>基于路线秒级参数；如录入实测或手动采用秒，预计到达时间可随公式更新</x:v>
      </x:c>
    </x:row>
    <x:row r="1294">
      <x:c r="A1294" s="12" t="str">
        <x:v>S0112-03</x:v>
      </x:c>
      <x:c r="B1294" s="12" t="str">
        <x:v>S0112</x:v>
      </x:c>
      <x:c r="C1294" s="12" t="str">
        <x:v>工作日</x:v>
      </x:c>
      <x:c r="D1294" s="12" t="str">
        <x:v>环线3路</x:v>
      </x:c>
      <x:c r="E1294" s="12" t="str">
        <x:v>第一班</x:v>
      </x:c>
      <x:c r="F1294" s="12" t="n">
        <x:v>4</x:v>
      </x:c>
      <x:c r="G1294" s="12" t="str">
        <x:v>9:05</x:v>
      </x:c>
      <x:c r="H1294" s="12" t="n">
        <x:v>545</x:v>
      </x:c>
      <x:c r="I1294" s="12" t="str">
        <x:v>研究生宿舍楼</x:v>
      </x:c>
      <x:c r="J1294" s="12" t="str">
        <x:v>研究生宿舍楼发车</x:v>
      </x:c>
      <x:c r="K1294" s="12" t="str">
        <x:v>HX3_NORMAL</x:v>
      </x:c>
      <x:c r="L1294" s="12" t="n">
        <x:v>3</x:v>
      </x:c>
      <x:c r="M1294" s="12" t="str">
        <x:v>HX3_NORMAL|3</x:v>
      </x:c>
      <x:c r="N1294" s="12" t="str">
        <x:v>2号宿舍楼</x:v>
      </x:c>
      <x:c r="O1294" s="12" t="n">
        <x:f>IFERROR(INDEX('秒级路线参数_可调整'!$O:$O,MATCH(M1294,'秒级路线参数_可调整'!$A:$A,0)),"")</x:f>
        <x:v>120</x:v>
      </x:c>
      <x:c r="P1294" s="12" t="n">
        <x:f>IF(O1294="","",O1294/86400)</x:f>
        <x:v>0.001388888888888889</x:v>
      </x:c>
      <x:c r="Q1294" s="12" t="n">
        <x:f>IF(O1294="","",(H1294*60+O1294)/86400)</x:f>
        <x:v>0.3798611111111111</x:v>
      </x:c>
      <x:c r="R1294" s="12" t="str">
        <x:f>IF(Q1294="","",TEXT(Q1294,"hh:mm:ss"))</x:f>
        <x:v>09:07:00</x:v>
      </x:c>
      <x:c r="S1294" s="12" t="str">
        <x:v>否</x:v>
      </x:c>
      <x:c r="T1294" s="12" t="str">
        <x:v>否</x:v>
      </x:c>
      <x:c r="U1294" s="12" t="str">
        <x:v>刘虎</x:v>
      </x:c>
      <x:c r="V1294" s="12" t="str">
        <x:v>3号车</x:v>
      </x:c>
      <x:c r="W1294" s="12" t="str">
        <x:v>秒级预测</x:v>
      </x:c>
      <x:c r="X1294" s="12" t="str">
        <x:v>基于路线秒级参数；如录入实测或手动采用秒，预计到达时间可随公式更新</x:v>
      </x:c>
    </x:row>
    <x:row r="1295">
      <x:c r="A1295" s="12" t="str">
        <x:v>S0112-04</x:v>
      </x:c>
      <x:c r="B1295" s="12" t="str">
        <x:v>S0112</x:v>
      </x:c>
      <x:c r="C1295" s="12" t="str">
        <x:v>工作日</x:v>
      </x:c>
      <x:c r="D1295" s="12" t="str">
        <x:v>环线3路</x:v>
      </x:c>
      <x:c r="E1295" s="12" t="str">
        <x:v>第一班</x:v>
      </x:c>
      <x:c r="F1295" s="12" t="n">
        <x:v>4</x:v>
      </x:c>
      <x:c r="G1295" s="12" t="str">
        <x:v>9:05</x:v>
      </x:c>
      <x:c r="H1295" s="12" t="n">
        <x:v>545</x:v>
      </x:c>
      <x:c r="I1295" s="12" t="str">
        <x:v>研究生宿舍楼</x:v>
      </x:c>
      <x:c r="J1295" s="12" t="str">
        <x:v>研究生宿舍楼发车</x:v>
      </x:c>
      <x:c r="K1295" s="12" t="str">
        <x:v>HX3_NORMAL</x:v>
      </x:c>
      <x:c r="L1295" s="12" t="n">
        <x:v>4</x:v>
      </x:c>
      <x:c r="M1295" s="12" t="str">
        <x:v>HX3_NORMAL|4</x:v>
      </x:c>
      <x:c r="N1295" s="12" t="str">
        <x:v>军体活动中心</x:v>
      </x:c>
      <x:c r="O1295" s="12" t="n">
        <x:f>IFERROR(INDEX('秒级路线参数_可调整'!$O:$O,MATCH(M1295,'秒级路线参数_可调整'!$A:$A,0)),"")</x:f>
        <x:v>165</x:v>
      </x:c>
      <x:c r="P1295" s="12" t="n">
        <x:f>IF(O1295="","",O1295/86400)</x:f>
        <x:v>0.0019097222222222222</x:v>
      </x:c>
      <x:c r="Q1295" s="12" t="n">
        <x:f>IF(O1295="","",(H1295*60+O1295)/86400)</x:f>
        <x:v>0.38038194444444445</x:v>
      </x:c>
      <x:c r="R1295" s="12" t="str">
        <x:f>IF(Q1295="","",TEXT(Q1295,"hh:mm:ss"))</x:f>
        <x:v>09:07:45</x:v>
      </x:c>
      <x:c r="S1295" s="12" t="str">
        <x:v>否</x:v>
      </x:c>
      <x:c r="T1295" s="12" t="str">
        <x:v>否</x:v>
      </x:c>
      <x:c r="U1295" s="12" t="str">
        <x:v>刘虎</x:v>
      </x:c>
      <x:c r="V1295" s="12" t="str">
        <x:v>3号车</x:v>
      </x:c>
      <x:c r="W1295" s="12" t="str">
        <x:v>秒级预测</x:v>
      </x:c>
      <x:c r="X1295" s="12" t="str">
        <x:v>基于路线秒级参数；如录入实测或手动采用秒，预计到达时间可随公式更新</x:v>
      </x:c>
    </x:row>
    <x:row r="1296">
      <x:c r="A1296" s="12" t="str">
        <x:v>S0112-05</x:v>
      </x:c>
      <x:c r="B1296" s="12" t="str">
        <x:v>S0112</x:v>
      </x:c>
      <x:c r="C1296" s="12" t="str">
        <x:v>工作日</x:v>
      </x:c>
      <x:c r="D1296" s="12" t="str">
        <x:v>环线3路</x:v>
      </x:c>
      <x:c r="E1296" s="12" t="str">
        <x:v>第一班</x:v>
      </x:c>
      <x:c r="F1296" s="12" t="n">
        <x:v>4</x:v>
      </x:c>
      <x:c r="G1296" s="12" t="str">
        <x:v>9:05</x:v>
      </x:c>
      <x:c r="H1296" s="12" t="n">
        <x:v>545</x:v>
      </x:c>
      <x:c r="I1296" s="12" t="str">
        <x:v>研究生宿舍楼</x:v>
      </x:c>
      <x:c r="J1296" s="12" t="str">
        <x:v>研究生宿舍楼发车</x:v>
      </x:c>
      <x:c r="K1296" s="12" t="str">
        <x:v>HX3_NORMAL</x:v>
      </x:c>
      <x:c r="L1296" s="12" t="n">
        <x:v>5</x:v>
      </x:c>
      <x:c r="M1296" s="12" t="str">
        <x:v>HX3_NORMAL|5</x:v>
      </x:c>
      <x:c r="N1296" s="12" t="str">
        <x:v>教勤连</x:v>
      </x:c>
      <x:c r="O1296" s="12" t="n">
        <x:f>IFERROR(INDEX('秒级路线参数_可调整'!$O:$O,MATCH(M1296,'秒级路线参数_可调整'!$A:$A,0)),"")</x:f>
        <x:v>250</x:v>
      </x:c>
      <x:c r="P1296" s="12" t="n">
        <x:f>IF(O1296="","",O1296/86400)</x:f>
        <x:v>0.0028935185185185184</x:v>
      </x:c>
      <x:c r="Q1296" s="12" t="n">
        <x:f>IF(O1296="","",(H1296*60+O1296)/86400)</x:f>
        <x:v>0.38136574074074076</x:v>
      </x:c>
      <x:c r="R1296" s="12" t="str">
        <x:f>IF(Q1296="","",TEXT(Q1296,"hh:mm:ss"))</x:f>
        <x:v>09:09:10</x:v>
      </x:c>
      <x:c r="S1296" s="12" t="str">
        <x:v>否</x:v>
      </x:c>
      <x:c r="T1296" s="12" t="str">
        <x:v>否</x:v>
      </x:c>
      <x:c r="U1296" s="12" t="str">
        <x:v>刘虎</x:v>
      </x:c>
      <x:c r="V1296" s="12" t="str">
        <x:v>3号车</x:v>
      </x:c>
      <x:c r="W1296" s="12" t="str">
        <x:v>秒级预测</x:v>
      </x:c>
      <x:c r="X1296" s="12" t="str">
        <x:v>基于路线秒级参数；如录入实测或手动采用秒，预计到达时间可随公式更新</x:v>
      </x:c>
    </x:row>
    <x:row r="1297">
      <x:c r="A1297" s="12" t="str">
        <x:v>S0112-06</x:v>
      </x:c>
      <x:c r="B1297" s="12" t="str">
        <x:v>S0112</x:v>
      </x:c>
      <x:c r="C1297" s="12" t="str">
        <x:v>工作日</x:v>
      </x:c>
      <x:c r="D1297" s="12" t="str">
        <x:v>环线3路</x:v>
      </x:c>
      <x:c r="E1297" s="12" t="str">
        <x:v>第一班</x:v>
      </x:c>
      <x:c r="F1297" s="12" t="n">
        <x:v>4</x:v>
      </x:c>
      <x:c r="G1297" s="12" t="str">
        <x:v>9:05</x:v>
      </x:c>
      <x:c r="H1297" s="12" t="n">
        <x:v>545</x:v>
      </x:c>
      <x:c r="I1297" s="12" t="str">
        <x:v>研究生宿舍楼</x:v>
      </x:c>
      <x:c r="J1297" s="12" t="str">
        <x:v>研究生宿舍楼发车</x:v>
      </x:c>
      <x:c r="K1297" s="12" t="str">
        <x:v>HX3_NORMAL</x:v>
      </x:c>
      <x:c r="L1297" s="12" t="n">
        <x:v>6</x:v>
      </x:c>
      <x:c r="M1297" s="12" t="str">
        <x:v>HX3_NORMAL|6</x:v>
      </x:c>
      <x:c r="N1297" s="12" t="str">
        <x:v>激光所</x:v>
      </x:c>
      <x:c r="O1297" s="12" t="n">
        <x:f>IFERROR(INDEX('秒级路线参数_可调整'!$O:$O,MATCH(M1297,'秒级路线参数_可调整'!$A:$A,0)),"")</x:f>
        <x:v>315</x:v>
      </x:c>
      <x:c r="P1297" s="12" t="n">
        <x:f>IF(O1297="","",O1297/86400)</x:f>
        <x:v>0.0036458333333333334</x:v>
      </x:c>
      <x:c r="Q1297" s="12" t="n">
        <x:f>IF(O1297="","",(H1297*60+O1297)/86400)</x:f>
        <x:v>0.38211805555555556</x:v>
      </x:c>
      <x:c r="R1297" s="12" t="str">
        <x:f>IF(Q1297="","",TEXT(Q1297,"hh:mm:ss"))</x:f>
        <x:v>09:10:15</x:v>
      </x:c>
      <x:c r="S1297" s="12" t="str">
        <x:v>否</x:v>
      </x:c>
      <x:c r="T1297" s="12" t="str">
        <x:v>否</x:v>
      </x:c>
      <x:c r="U1297" s="12" t="str">
        <x:v>刘虎</x:v>
      </x:c>
      <x:c r="V1297" s="12" t="str">
        <x:v>3号车</x:v>
      </x:c>
      <x:c r="W1297" s="12" t="str">
        <x:v>秒级预测</x:v>
      </x:c>
      <x:c r="X1297" s="12" t="str">
        <x:v>基于路线秒级参数；如录入实测或手动采用秒，预计到达时间可随公式更新</x:v>
      </x:c>
    </x:row>
    <x:row r="1298">
      <x:c r="A1298" s="12" t="str">
        <x:v>S0112-07</x:v>
      </x:c>
      <x:c r="B1298" s="12" t="str">
        <x:v>S0112</x:v>
      </x:c>
      <x:c r="C1298" s="12" t="str">
        <x:v>工作日</x:v>
      </x:c>
      <x:c r="D1298" s="12" t="str">
        <x:v>环线3路</x:v>
      </x:c>
      <x:c r="E1298" s="12" t="str">
        <x:v>第一班</x:v>
      </x:c>
      <x:c r="F1298" s="12" t="n">
        <x:v>4</x:v>
      </x:c>
      <x:c r="G1298" s="12" t="str">
        <x:v>9:05</x:v>
      </x:c>
      <x:c r="H1298" s="12" t="n">
        <x:v>545</x:v>
      </x:c>
      <x:c r="I1298" s="12" t="str">
        <x:v>研究生宿舍楼</x:v>
      </x:c>
      <x:c r="J1298" s="12" t="str">
        <x:v>研究生宿舍楼发车</x:v>
      </x:c>
      <x:c r="K1298" s="12" t="str">
        <x:v>HX3_NORMAL</x:v>
      </x:c>
      <x:c r="L1298" s="12" t="n">
        <x:v>7</x:v>
      </x:c>
      <x:c r="M1298" s="12" t="str">
        <x:v>HX3_NORMAL|7</x:v>
      </x:c>
      <x:c r="N1298" s="12" t="str">
        <x:v>高超楼</x:v>
      </x:c>
      <x:c r="O1298" s="12" t="n">
        <x:f>IFERROR(INDEX('秒级路线参数_可调整'!$O:$O,MATCH(M1298,'秒级路线参数_可调整'!$A:$A,0)),"")</x:f>
        <x:v>420</x:v>
      </x:c>
      <x:c r="P1298" s="12" t="n">
        <x:f>IF(O1298="","",O1298/86400)</x:f>
        <x:v>0.004861111111111111</x:v>
      </x:c>
      <x:c r="Q1298" s="12" t="n">
        <x:f>IF(O1298="","",(H1298*60+O1298)/86400)</x:f>
        <x:v>0.38333333333333336</x:v>
      </x:c>
      <x:c r="R1298" s="12" t="str">
        <x:f>IF(Q1298="","",TEXT(Q1298,"hh:mm:ss"))</x:f>
        <x:v>09:12:00</x:v>
      </x:c>
      <x:c r="S1298" s="12" t="str">
        <x:v>否</x:v>
      </x:c>
      <x:c r="T1298" s="12" t="str">
        <x:v>否</x:v>
      </x:c>
      <x:c r="U1298" s="12" t="str">
        <x:v>刘虎</x:v>
      </x:c>
      <x:c r="V1298" s="12" t="str">
        <x:v>3号车</x:v>
      </x:c>
      <x:c r="W1298" s="12" t="str">
        <x:v>秒级预测</x:v>
      </x:c>
      <x:c r="X1298" s="12" t="str">
        <x:v>基于路线秒级参数；如录入实测或手动采用秒，预计到达时间可随公式更新</x:v>
      </x:c>
    </x:row>
    <x:row r="1299">
      <x:c r="A1299" s="12" t="str">
        <x:v>S0112-08</x:v>
      </x:c>
      <x:c r="B1299" s="12" t="str">
        <x:v>S0112</x:v>
      </x:c>
      <x:c r="C1299" s="12" t="str">
        <x:v>工作日</x:v>
      </x:c>
      <x:c r="D1299" s="12" t="str">
        <x:v>环线3路</x:v>
      </x:c>
      <x:c r="E1299" s="12" t="str">
        <x:v>第一班</x:v>
      </x:c>
      <x:c r="F1299" s="12" t="n">
        <x:v>4</x:v>
      </x:c>
      <x:c r="G1299" s="12" t="str">
        <x:v>9:05</x:v>
      </x:c>
      <x:c r="H1299" s="12" t="n">
        <x:v>545</x:v>
      </x:c>
      <x:c r="I1299" s="12" t="str">
        <x:v>研究生宿舍楼</x:v>
      </x:c>
      <x:c r="J1299" s="12" t="str">
        <x:v>研究生宿舍楼发车</x:v>
      </x:c>
      <x:c r="K1299" s="12" t="str">
        <x:v>HX3_NORMAL</x:v>
      </x:c>
      <x:c r="L1299" s="12" t="n">
        <x:v>8</x:v>
      </x:c>
      <x:c r="M1299" s="12" t="str">
        <x:v>HX3_NORMAL|8</x:v>
      </x:c>
      <x:c r="N1299" s="12" t="str">
        <x:v>理学院</x:v>
      </x:c>
      <x:c r="O1299" s="12" t="n">
        <x:f>IFERROR(INDEX('秒级路线参数_可调整'!$O:$O,MATCH(M1299,'秒级路线参数_可调整'!$A:$A,0)),"")</x:f>
        <x:v>480</x:v>
      </x:c>
      <x:c r="P1299" s="12" t="n">
        <x:f>IF(O1299="","",O1299/86400)</x:f>
        <x:v>0.005555555555555556</x:v>
      </x:c>
      <x:c r="Q1299" s="12" t="n">
        <x:f>IF(O1299="","",(H1299*60+O1299)/86400)</x:f>
        <x:v>0.3840277777777778</x:v>
      </x:c>
      <x:c r="R1299" s="12" t="str">
        <x:f>IF(Q1299="","",TEXT(Q1299,"hh:mm:ss"))</x:f>
        <x:v>09:13:00</x:v>
      </x:c>
      <x:c r="S1299" s="12" t="str">
        <x:v>否</x:v>
      </x:c>
      <x:c r="T1299" s="12" t="str">
        <x:v>否</x:v>
      </x:c>
      <x:c r="U1299" s="12" t="str">
        <x:v>刘虎</x:v>
      </x:c>
      <x:c r="V1299" s="12" t="str">
        <x:v>3号车</x:v>
      </x:c>
      <x:c r="W1299" s="12" t="str">
        <x:v>秒级预测</x:v>
      </x:c>
      <x:c r="X1299" s="12" t="str">
        <x:v>基于路线秒级参数；如录入实测或手动采用秒，预计到达时间可随公式更新</x:v>
      </x:c>
    </x:row>
    <x:row r="1300">
      <x:c r="A1300" s="12" t="str">
        <x:v>S0112-09</x:v>
      </x:c>
      <x:c r="B1300" s="12" t="str">
        <x:v>S0112</x:v>
      </x:c>
      <x:c r="C1300" s="12" t="str">
        <x:v>工作日</x:v>
      </x:c>
      <x:c r="D1300" s="12" t="str">
        <x:v>环线3路</x:v>
      </x:c>
      <x:c r="E1300" s="12" t="str">
        <x:v>第一班</x:v>
      </x:c>
      <x:c r="F1300" s="12" t="n">
        <x:v>4</x:v>
      </x:c>
      <x:c r="G1300" s="12" t="str">
        <x:v>9:05</x:v>
      </x:c>
      <x:c r="H1300" s="12" t="n">
        <x:v>545</x:v>
      </x:c>
      <x:c r="I1300" s="12" t="str">
        <x:v>研究生宿舍楼</x:v>
      </x:c>
      <x:c r="J1300" s="12" t="str">
        <x:v>研究生宿舍楼发车</x:v>
      </x:c>
      <x:c r="K1300" s="12" t="str">
        <x:v>HX3_NORMAL</x:v>
      </x:c>
      <x:c r="L1300" s="12" t="n">
        <x:v>9</x:v>
      </x:c>
      <x:c r="M1300" s="12" t="str">
        <x:v>HX3_NORMAL|9</x:v>
      </x:c>
      <x:c r="N1300" s="12" t="str">
        <x:v>二食堂</x:v>
      </x:c>
      <x:c r="O1300" s="12" t="n">
        <x:f>IFERROR(INDEX('秒级路线参数_可调整'!$O:$O,MATCH(M1300,'秒级路线参数_可调整'!$A:$A,0)),"")</x:f>
        <x:v>535</x:v>
      </x:c>
      <x:c r="P1300" s="12" t="n">
        <x:f>IF(O1300="","",O1300/86400)</x:f>
        <x:v>0.00619212962962963</x:v>
      </x:c>
      <x:c r="Q1300" s="12" t="n">
        <x:f>IF(O1300="","",(H1300*60+O1300)/86400)</x:f>
        <x:v>0.3846643518518518</x:v>
      </x:c>
      <x:c r="R1300" s="12" t="str">
        <x:f>IF(Q1300="","",TEXT(Q1300,"hh:mm:ss"))</x:f>
        <x:v>09:13:55</x:v>
      </x:c>
      <x:c r="S1300" s="12" t="str">
        <x:v>否</x:v>
      </x:c>
      <x:c r="T1300" s="12" t="str">
        <x:v>否</x:v>
      </x:c>
      <x:c r="U1300" s="12" t="str">
        <x:v>刘虎</x:v>
      </x:c>
      <x:c r="V1300" s="12" t="str">
        <x:v>3号车</x:v>
      </x:c>
      <x:c r="W1300" s="12" t="str">
        <x:v>秒级预测</x:v>
      </x:c>
      <x:c r="X1300" s="12" t="str">
        <x:v>基于路线秒级参数；如录入实测或手动采用秒，预计到达时间可随公式更新</x:v>
      </x:c>
    </x:row>
    <x:row r="1301">
      <x:c r="A1301" s="12" t="str">
        <x:v>S0112-10</x:v>
      </x:c>
      <x:c r="B1301" s="12" t="str">
        <x:v>S0112</x:v>
      </x:c>
      <x:c r="C1301" s="12" t="str">
        <x:v>工作日</x:v>
      </x:c>
      <x:c r="D1301" s="12" t="str">
        <x:v>环线3路</x:v>
      </x:c>
      <x:c r="E1301" s="12" t="str">
        <x:v>第一班</x:v>
      </x:c>
      <x:c r="F1301" s="12" t="n">
        <x:v>4</x:v>
      </x:c>
      <x:c r="G1301" s="12" t="str">
        <x:v>9:05</x:v>
      </x:c>
      <x:c r="H1301" s="12" t="n">
        <x:v>545</x:v>
      </x:c>
      <x:c r="I1301" s="12" t="str">
        <x:v>研究生宿舍楼</x:v>
      </x:c>
      <x:c r="J1301" s="12" t="str">
        <x:v>研究生宿舍楼发车</x:v>
      </x:c>
      <x:c r="K1301" s="12" t="str">
        <x:v>HX3_NORMAL</x:v>
      </x:c>
      <x:c r="L1301" s="12" t="n">
        <x:v>10</x:v>
      </x:c>
      <x:c r="M1301" s="12" t="str">
        <x:v>HX3_NORMAL|10</x:v>
      </x:c>
      <x:c r="N1301" s="12" t="str">
        <x:v>图书馆</x:v>
      </x:c>
      <x:c r="O1301" s="12" t="n">
        <x:f>IFERROR(INDEX('秒级路线参数_可调整'!$O:$O,MATCH(M1301,'秒级路线参数_可调整'!$A:$A,0)),"")</x:f>
        <x:v>715</x:v>
      </x:c>
      <x:c r="P1301" s="12" t="n">
        <x:f>IF(O1301="","",O1301/86400)</x:f>
        <x:v>0.008275462962962964</x:v>
      </x:c>
      <x:c r="Q1301" s="12" t="n">
        <x:f>IF(O1301="","",(H1301*60+O1301)/86400)</x:f>
        <x:v>0.3867476851851852</x:v>
      </x:c>
      <x:c r="R1301" s="12" t="str">
        <x:f>IF(Q1301="","",TEXT(Q1301,"hh:mm:ss"))</x:f>
        <x:v>09:16:55</x:v>
      </x:c>
      <x:c r="S1301" s="12" t="str">
        <x:v>否</x:v>
      </x:c>
      <x:c r="T1301" s="12" t="str">
        <x:v>否</x:v>
      </x:c>
      <x:c r="U1301" s="12" t="str">
        <x:v>刘虎</x:v>
      </x:c>
      <x:c r="V1301" s="12" t="str">
        <x:v>3号车</x:v>
      </x:c>
      <x:c r="W1301" s="12" t="str">
        <x:v>秒级预测</x:v>
      </x:c>
      <x:c r="X1301" s="12" t="str">
        <x:v>基于路线秒级参数；如录入实测或手动采用秒，预计到达时间可随公式更新</x:v>
      </x:c>
    </x:row>
    <x:row r="1302">
      <x:c r="A1302" s="12" t="str">
        <x:v>S0112-11</x:v>
      </x:c>
      <x:c r="B1302" s="12" t="str">
        <x:v>S0112</x:v>
      </x:c>
      <x:c r="C1302" s="12" t="str">
        <x:v>工作日</x:v>
      </x:c>
      <x:c r="D1302" s="12" t="str">
        <x:v>环线3路</x:v>
      </x:c>
      <x:c r="E1302" s="12" t="str">
        <x:v>第一班</x:v>
      </x:c>
      <x:c r="F1302" s="12" t="n">
        <x:v>4</x:v>
      </x:c>
      <x:c r="G1302" s="12" t="str">
        <x:v>9:05</x:v>
      </x:c>
      <x:c r="H1302" s="12" t="n">
        <x:v>545</x:v>
      </x:c>
      <x:c r="I1302" s="12" t="str">
        <x:v>研究生宿舍楼</x:v>
      </x:c>
      <x:c r="J1302" s="12" t="str">
        <x:v>研究生宿舍楼发车</x:v>
      </x:c>
      <x:c r="K1302" s="12" t="str">
        <x:v>HX3_NORMAL</x:v>
      </x:c>
      <x:c r="L1302" s="12" t="n">
        <x:v>11</x:v>
      </x:c>
      <x:c r="M1302" s="12" t="str">
        <x:v>HX3_NORMAL|11</x:v>
      </x:c>
      <x:c r="N1302" s="12" t="str">
        <x:v>305教学楼</x:v>
      </x:c>
      <x:c r="O1302" s="12" t="n">
        <x:f>IFERROR(INDEX('秒级路线参数_可调整'!$O:$O,MATCH(M1302,'秒级路线参数_可调整'!$A:$A,0)),"")</x:f>
        <x:v>775</x:v>
      </x:c>
      <x:c r="P1302" s="12" t="n">
        <x:f>IF(O1302="","",O1302/86400)</x:f>
        <x:v>0.008969907407407407</x:v>
      </x:c>
      <x:c r="Q1302" s="12" t="n">
        <x:f>IF(O1302="","",(H1302*60+O1302)/86400)</x:f>
        <x:v>0.38744212962962965</x:v>
      </x:c>
      <x:c r="R1302" s="12" t="str">
        <x:f>IF(Q1302="","",TEXT(Q1302,"hh:mm:ss"))</x:f>
        <x:v>09:17:55</x:v>
      </x:c>
      <x:c r="S1302" s="12" t="str">
        <x:v>否</x:v>
      </x:c>
      <x:c r="T1302" s="12" t="str">
        <x:v>否</x:v>
      </x:c>
      <x:c r="U1302" s="12" t="str">
        <x:v>刘虎</x:v>
      </x:c>
      <x:c r="V1302" s="12" t="str">
        <x:v>3号车</x:v>
      </x:c>
      <x:c r="W1302" s="12" t="str">
        <x:v>秒级预测</x:v>
      </x:c>
      <x:c r="X1302" s="12" t="str">
        <x:v>基于路线秒级参数；如录入实测或手动采用秒，预计到达时间可随公式更新</x:v>
      </x:c>
    </x:row>
    <x:row r="1303">
      <x:c r="A1303" s="12" t="str">
        <x:v>S0112-12</x:v>
      </x:c>
      <x:c r="B1303" s="12" t="str">
        <x:v>S0112</x:v>
      </x:c>
      <x:c r="C1303" s="12" t="str">
        <x:v>工作日</x:v>
      </x:c>
      <x:c r="D1303" s="12" t="str">
        <x:v>环线3路</x:v>
      </x:c>
      <x:c r="E1303" s="12" t="str">
        <x:v>第一班</x:v>
      </x:c>
      <x:c r="F1303" s="12" t="n">
        <x:v>4</x:v>
      </x:c>
      <x:c r="G1303" s="12" t="str">
        <x:v>9:05</x:v>
      </x:c>
      <x:c r="H1303" s="12" t="n">
        <x:v>545</x:v>
      </x:c>
      <x:c r="I1303" s="12" t="str">
        <x:v>研究生宿舍楼</x:v>
      </x:c>
      <x:c r="J1303" s="12" t="str">
        <x:v>研究生宿舍楼发车</x:v>
      </x:c>
      <x:c r="K1303" s="12" t="str">
        <x:v>HX3_NORMAL</x:v>
      </x:c>
      <x:c r="L1303" s="12" t="n">
        <x:v>12</x:v>
      </x:c>
      <x:c r="M1303" s="12" t="str">
        <x:v>HX3_NORMAL|12</x:v>
      </x:c>
      <x:c r="N1303" s="12" t="str">
        <x:v>研究生宿舍楼</x:v>
      </x:c>
      <x:c r="O1303" s="12" t="n">
        <x:f>IFERROR(INDEX('秒级路线参数_可调整'!$O:$O,MATCH(M1303,'秒级路线参数_可调整'!$A:$A,0)),"")</x:f>
        <x:v>840</x:v>
      </x:c>
      <x:c r="P1303" s="12" t="n">
        <x:f>IF(O1303="","",O1303/86400)</x:f>
        <x:v>0.009722222222222222</x:v>
      </x:c>
      <x:c r="Q1303" s="12" t="n">
        <x:f>IF(O1303="","",(H1303*60+O1303)/86400)</x:f>
        <x:v>0.38819444444444445</x:v>
      </x:c>
      <x:c r="R1303" s="12" t="str">
        <x:f>IF(Q1303="","",TEXT(Q1303,"hh:mm:ss"))</x:f>
        <x:v>09:19:00</x:v>
      </x:c>
      <x:c r="S1303" s="12" t="str">
        <x:v>否</x:v>
      </x:c>
      <x:c r="T1303" s="12" t="str">
        <x:v>是</x:v>
      </x:c>
      <x:c r="U1303" s="12" t="str">
        <x:v>刘虎</x:v>
      </x:c>
      <x:c r="V1303" s="12" t="str">
        <x:v>3号车</x:v>
      </x:c>
      <x:c r="W1303" s="12" t="str">
        <x:v>秒级预测</x:v>
      </x:c>
      <x:c r="X1303" s="12" t="str">
        <x:v>基于路线秒级参数；如录入实测或手动采用秒，预计到达时间可随公式更新</x:v>
      </x:c>
    </x:row>
    <x:row r="1304">
      <x:c r="A1304" s="12" t="str">
        <x:v>S0113-01</x:v>
      </x:c>
      <x:c r="B1304" s="12" t="str">
        <x:v>S0113</x:v>
      </x:c>
      <x:c r="C1304" s="12" t="str">
        <x:v>工作日</x:v>
      </x:c>
      <x:c r="D1304" s="12" t="str">
        <x:v>环线3路</x:v>
      </x:c>
      <x:c r="E1304" s="12" t="str">
        <x:v>第一班</x:v>
      </x:c>
      <x:c r="F1304" s="12" t="n">
        <x:v>5</x:v>
      </x:c>
      <x:c r="G1304" s="12" t="str">
        <x:v>10:50</x:v>
      </x:c>
      <x:c r="H1304" s="12" t="n">
        <x:v>650</x:v>
      </x:c>
      <x:c r="I1304" s="12" t="str">
        <x:v>高超楼（系统工程学院旁）</x:v>
      </x:c>
      <x:c r="J1304" s="12" t="str">
        <x:v>高超楼发车</x:v>
      </x:c>
      <x:c r="K1304" s="12" t="str">
        <x:v>HX3_GAOCHAO</x:v>
      </x:c>
      <x:c r="L1304" s="12" t="n">
        <x:v>1</x:v>
      </x:c>
      <x:c r="M1304" s="12" t="str">
        <x:v>HX3_GAOCHAO|1</x:v>
      </x:c>
      <x:c r="N1304" s="12" t="str">
        <x:v>高超楼</x:v>
      </x:c>
      <x:c r="O1304" s="12" t="n">
        <x:f>IFERROR(INDEX('秒级路线参数_可调整'!$O:$O,MATCH(M1304,'秒级路线参数_可调整'!$A:$A,0)),"")</x:f>
        <x:v>0</x:v>
      </x:c>
      <x:c r="P1304" s="12" t="str">
        <x:f>IF(O1304="","",O1304/86400)</x:f>
      </x:c>
      <x:c r="Q1304" s="12" t="str">
        <x:f>IF(O1304="","",(H1304*60+O1304)/86400)</x:f>
      </x:c>
      <x:c r="R1304" s="12" t="str">
        <x:f>IF(Q1304="","",TEXT(Q1304,"hh:mm:ss"))</x:f>
      </x:c>
      <x:c r="S1304" s="12" t="str">
        <x:v>是</x:v>
      </x:c>
      <x:c r="T1304" s="12" t="str">
        <x:v>否</x:v>
      </x:c>
      <x:c r="U1304" s="12" t="str">
        <x:v>刘虎</x:v>
      </x:c>
      <x:c r="V1304" s="12" t="str">
        <x:v>3号车</x:v>
      </x:c>
      <x:c r="W1304" s="12" t="str">
        <x:v>秒级预测</x:v>
      </x:c>
      <x:c r="X1304" s="12" t="str">
        <x:v>基于路线秒级参数；如录入实测或手动采用秒，预计到达时间可随公式更新</x:v>
      </x:c>
    </x:row>
    <x:row r="1305">
      <x:c r="A1305" s="12" t="str">
        <x:v>S0113-02</x:v>
      </x:c>
      <x:c r="B1305" s="12" t="str">
        <x:v>S0113</x:v>
      </x:c>
      <x:c r="C1305" s="12" t="str">
        <x:v>工作日</x:v>
      </x:c>
      <x:c r="D1305" s="12" t="str">
        <x:v>环线3路</x:v>
      </x:c>
      <x:c r="E1305" s="12" t="str">
        <x:v>第一班</x:v>
      </x:c>
      <x:c r="F1305" s="12" t="n">
        <x:v>5</x:v>
      </x:c>
      <x:c r="G1305" s="12" t="str">
        <x:v>10:50</x:v>
      </x:c>
      <x:c r="H1305" s="12" t="n">
        <x:v>650</x:v>
      </x:c>
      <x:c r="I1305" s="12" t="str">
        <x:v>高超楼（系统工程学院旁）</x:v>
      </x:c>
      <x:c r="J1305" s="12" t="str">
        <x:v>高超楼发车</x:v>
      </x:c>
      <x:c r="K1305" s="12" t="str">
        <x:v>HX3_GAOCHAO</x:v>
      </x:c>
      <x:c r="L1305" s="12" t="n">
        <x:v>2</x:v>
      </x:c>
      <x:c r="M1305" s="12" t="str">
        <x:v>HX3_GAOCHAO|2</x:v>
      </x:c>
      <x:c r="N1305" s="12" t="str">
        <x:v>理学院</x:v>
      </x:c>
      <x:c r="O1305" s="12" t="n">
        <x:f>IFERROR(INDEX('秒级路线参数_可调整'!$O:$O,MATCH(M1305,'秒级路线参数_可调整'!$A:$A,0)),"")</x:f>
        <x:v>65</x:v>
      </x:c>
      <x:c r="P1305" s="12" t="n">
        <x:f>IF(O1305="","",O1305/86400)</x:f>
        <x:v>0.0007523148148148148</x:v>
      </x:c>
      <x:c r="Q1305" s="12" t="n">
        <x:f>IF(O1305="","",(H1305*60+O1305)/86400)</x:f>
        <x:v>0.4521412037037037</x:v>
      </x:c>
      <x:c r="R1305" s="12" t="str">
        <x:f>IF(Q1305="","",TEXT(Q1305,"hh:mm:ss"))</x:f>
        <x:v>10:51:05</x:v>
      </x:c>
      <x:c r="S1305" s="12" t="str">
        <x:v>否</x:v>
      </x:c>
      <x:c r="T1305" s="12" t="str">
        <x:v>否</x:v>
      </x:c>
      <x:c r="U1305" s="12" t="str">
        <x:v>刘虎</x:v>
      </x:c>
      <x:c r="V1305" s="12" t="str">
        <x:v>3号车</x:v>
      </x:c>
      <x:c r="W1305" s="12" t="str">
        <x:v>秒级预测</x:v>
      </x:c>
      <x:c r="X1305" s="12" t="str">
        <x:v>基于路线秒级参数；如录入实测或手动采用秒，预计到达时间可随公式更新</x:v>
      </x:c>
    </x:row>
    <x:row r="1306">
      <x:c r="A1306" s="12" t="str">
        <x:v>S0113-03</x:v>
      </x:c>
      <x:c r="B1306" s="12" t="str">
        <x:v>S0113</x:v>
      </x:c>
      <x:c r="C1306" s="12" t="str">
        <x:v>工作日</x:v>
      </x:c>
      <x:c r="D1306" s="12" t="str">
        <x:v>环线3路</x:v>
      </x:c>
      <x:c r="E1306" s="12" t="str">
        <x:v>第一班</x:v>
      </x:c>
      <x:c r="F1306" s="12" t="n">
        <x:v>5</x:v>
      </x:c>
      <x:c r="G1306" s="12" t="str">
        <x:v>10:50</x:v>
      </x:c>
      <x:c r="H1306" s="12" t="n">
        <x:v>650</x:v>
      </x:c>
      <x:c r="I1306" s="12" t="str">
        <x:v>高超楼（系统工程学院旁）</x:v>
      </x:c>
      <x:c r="J1306" s="12" t="str">
        <x:v>高超楼发车</x:v>
      </x:c>
      <x:c r="K1306" s="12" t="str">
        <x:v>HX3_GAOCHAO</x:v>
      </x:c>
      <x:c r="L1306" s="12" t="n">
        <x:v>3</x:v>
      </x:c>
      <x:c r="M1306" s="12" t="str">
        <x:v>HX3_GAOCHAO|3</x:v>
      </x:c>
      <x:c r="N1306" s="12" t="str">
        <x:v>二食堂</x:v>
      </x:c>
      <x:c r="O1306" s="12" t="n">
        <x:f>IFERROR(INDEX('秒级路线参数_可调整'!$O:$O,MATCH(M1306,'秒级路线参数_可调整'!$A:$A,0)),"")</x:f>
        <x:v>120</x:v>
      </x:c>
      <x:c r="P1306" s="12" t="n">
        <x:f>IF(O1306="","",O1306/86400)</x:f>
        <x:v>0.001388888888888889</x:v>
      </x:c>
      <x:c r="Q1306" s="12" t="n">
        <x:f>IF(O1306="","",(H1306*60+O1306)/86400)</x:f>
        <x:v>0.4527777777777778</x:v>
      </x:c>
      <x:c r="R1306" s="12" t="str">
        <x:f>IF(Q1306="","",TEXT(Q1306,"hh:mm:ss"))</x:f>
        <x:v>10:52:00</x:v>
      </x:c>
      <x:c r="S1306" s="12" t="str">
        <x:v>否</x:v>
      </x:c>
      <x:c r="T1306" s="12" t="str">
        <x:v>否</x:v>
      </x:c>
      <x:c r="U1306" s="12" t="str">
        <x:v>刘虎</x:v>
      </x:c>
      <x:c r="V1306" s="12" t="str">
        <x:v>3号车</x:v>
      </x:c>
      <x:c r="W1306" s="12" t="str">
        <x:v>秒级预测</x:v>
      </x:c>
      <x:c r="X1306" s="12" t="str">
        <x:v>基于路线秒级参数；如录入实测或手动采用秒，预计到达时间可随公式更新</x:v>
      </x:c>
    </x:row>
    <x:row r="1307">
      <x:c r="A1307" s="12" t="str">
        <x:v>S0113-04</x:v>
      </x:c>
      <x:c r="B1307" s="12" t="str">
        <x:v>S0113</x:v>
      </x:c>
      <x:c r="C1307" s="12" t="str">
        <x:v>工作日</x:v>
      </x:c>
      <x:c r="D1307" s="12" t="str">
        <x:v>环线3路</x:v>
      </x:c>
      <x:c r="E1307" s="12" t="str">
        <x:v>第一班</x:v>
      </x:c>
      <x:c r="F1307" s="12" t="n">
        <x:v>5</x:v>
      </x:c>
      <x:c r="G1307" s="12" t="str">
        <x:v>10:50</x:v>
      </x:c>
      <x:c r="H1307" s="12" t="n">
        <x:v>650</x:v>
      </x:c>
      <x:c r="I1307" s="12" t="str">
        <x:v>高超楼（系统工程学院旁）</x:v>
      </x:c>
      <x:c r="J1307" s="12" t="str">
        <x:v>高超楼发车</x:v>
      </x:c>
      <x:c r="K1307" s="12" t="str">
        <x:v>HX3_GAOCHAO</x:v>
      </x:c>
      <x:c r="L1307" s="12" t="n">
        <x:v>4</x:v>
      </x:c>
      <x:c r="M1307" s="12" t="str">
        <x:v>HX3_GAOCHAO|4</x:v>
      </x:c>
      <x:c r="N1307" s="12" t="str">
        <x:v>图书馆</x:v>
      </x:c>
      <x:c r="O1307" s="12" t="n">
        <x:f>IFERROR(INDEX('秒级路线参数_可调整'!$O:$O,MATCH(M1307,'秒级路线参数_可调整'!$A:$A,0)),"")</x:f>
        <x:v>165</x:v>
      </x:c>
      <x:c r="P1307" s="12" t="n">
        <x:f>IF(O1307="","",O1307/86400)</x:f>
        <x:v>0.0019097222222222222</x:v>
      </x:c>
      <x:c r="Q1307" s="12" t="n">
        <x:f>IF(O1307="","",(H1307*60+O1307)/86400)</x:f>
        <x:v>0.45329861111111114</x:v>
      </x:c>
      <x:c r="R1307" s="12" t="str">
        <x:f>IF(Q1307="","",TEXT(Q1307,"hh:mm:ss"))</x:f>
        <x:v>10:52:45</x:v>
      </x:c>
      <x:c r="S1307" s="12" t="str">
        <x:v>否</x:v>
      </x:c>
      <x:c r="T1307" s="12" t="str">
        <x:v>否</x:v>
      </x:c>
      <x:c r="U1307" s="12" t="str">
        <x:v>刘虎</x:v>
      </x:c>
      <x:c r="V1307" s="12" t="str">
        <x:v>3号车</x:v>
      </x:c>
      <x:c r="W1307" s="12" t="str">
        <x:v>秒级预测</x:v>
      </x:c>
      <x:c r="X1307" s="12" t="str">
        <x:v>基于路线秒级参数；如录入实测或手动采用秒，预计到达时间可随公式更新</x:v>
      </x:c>
    </x:row>
    <x:row r="1308">
      <x:c r="A1308" s="12" t="str">
        <x:v>S0113-05</x:v>
      </x:c>
      <x:c r="B1308" s="12" t="str">
        <x:v>S0113</x:v>
      </x:c>
      <x:c r="C1308" s="12" t="str">
        <x:v>工作日</x:v>
      </x:c>
      <x:c r="D1308" s="12" t="str">
        <x:v>环线3路</x:v>
      </x:c>
      <x:c r="E1308" s="12" t="str">
        <x:v>第一班</x:v>
      </x:c>
      <x:c r="F1308" s="12" t="n">
        <x:v>5</x:v>
      </x:c>
      <x:c r="G1308" s="12" t="str">
        <x:v>10:50</x:v>
      </x:c>
      <x:c r="H1308" s="12" t="n">
        <x:v>650</x:v>
      </x:c>
      <x:c r="I1308" s="12" t="str">
        <x:v>高超楼（系统工程学院旁）</x:v>
      </x:c>
      <x:c r="J1308" s="12" t="str">
        <x:v>高超楼发车</x:v>
      </x:c>
      <x:c r="K1308" s="12" t="str">
        <x:v>HX3_GAOCHAO</x:v>
      </x:c>
      <x:c r="L1308" s="12" t="n">
        <x:v>5</x:v>
      </x:c>
      <x:c r="M1308" s="12" t="str">
        <x:v>HX3_GAOCHAO|5</x:v>
      </x:c>
      <x:c r="N1308" s="12" t="str">
        <x:v>305教学楼</x:v>
      </x:c>
      <x:c r="O1308" s="12" t="n">
        <x:f>IFERROR(INDEX('秒级路线参数_可调整'!$O:$O,MATCH(M1308,'秒级路线参数_可调整'!$A:$A,0)),"")</x:f>
        <x:v>250</x:v>
      </x:c>
      <x:c r="P1308" s="12" t="n">
        <x:f>IF(O1308="","",O1308/86400)</x:f>
        <x:v>0.0028935185185185184</x:v>
      </x:c>
      <x:c r="Q1308" s="12" t="n">
        <x:f>IF(O1308="","",(H1308*60+O1308)/86400)</x:f>
        <x:v>0.4542824074074074</x:v>
      </x:c>
      <x:c r="R1308" s="12" t="str">
        <x:f>IF(Q1308="","",TEXT(Q1308,"hh:mm:ss"))</x:f>
        <x:v>10:54:10</x:v>
      </x:c>
      <x:c r="S1308" s="12" t="str">
        <x:v>否</x:v>
      </x:c>
      <x:c r="T1308" s="12" t="str">
        <x:v>否</x:v>
      </x:c>
      <x:c r="U1308" s="12" t="str">
        <x:v>刘虎</x:v>
      </x:c>
      <x:c r="V1308" s="12" t="str">
        <x:v>3号车</x:v>
      </x:c>
      <x:c r="W1308" s="12" t="str">
        <x:v>秒级预测</x:v>
      </x:c>
      <x:c r="X1308" s="12" t="str">
        <x:v>基于路线秒级参数；如录入实测或手动采用秒，预计到达时间可随公式更新</x:v>
      </x:c>
    </x:row>
    <x:row r="1309">
      <x:c r="A1309" s="12" t="str">
        <x:v>S0113-06</x:v>
      </x:c>
      <x:c r="B1309" s="12" t="str">
        <x:v>S0113</x:v>
      </x:c>
      <x:c r="C1309" s="12" t="str">
        <x:v>工作日</x:v>
      </x:c>
      <x:c r="D1309" s="12" t="str">
        <x:v>环线3路</x:v>
      </x:c>
      <x:c r="E1309" s="12" t="str">
        <x:v>第一班</x:v>
      </x:c>
      <x:c r="F1309" s="12" t="n">
        <x:v>5</x:v>
      </x:c>
      <x:c r="G1309" s="12" t="str">
        <x:v>10:50</x:v>
      </x:c>
      <x:c r="H1309" s="12" t="n">
        <x:v>650</x:v>
      </x:c>
      <x:c r="I1309" s="12" t="str">
        <x:v>高超楼（系统工程学院旁）</x:v>
      </x:c>
      <x:c r="J1309" s="12" t="str">
        <x:v>高超楼发车</x:v>
      </x:c>
      <x:c r="K1309" s="12" t="str">
        <x:v>HX3_GAOCHAO</x:v>
      </x:c>
      <x:c r="L1309" s="12" t="n">
        <x:v>6</x:v>
      </x:c>
      <x:c r="M1309" s="12" t="str">
        <x:v>HX3_GAOCHAO|6</x:v>
      </x:c>
      <x:c r="N1309" s="12" t="str">
        <x:v>研究生宿舍楼</x:v>
      </x:c>
      <x:c r="O1309" s="12" t="n">
        <x:f>IFERROR(INDEX('秒级路线参数_可调整'!$O:$O,MATCH(M1309,'秒级路线参数_可调整'!$A:$A,0)),"")</x:f>
        <x:v>315</x:v>
      </x:c>
      <x:c r="P1309" s="12" t="n">
        <x:f>IF(O1309="","",O1309/86400)</x:f>
        <x:v>0.0036458333333333334</x:v>
      </x:c>
      <x:c r="Q1309" s="12" t="n">
        <x:f>IF(O1309="","",(H1309*60+O1309)/86400)</x:f>
        <x:v>0.45503472222222224</x:v>
      </x:c>
      <x:c r="R1309" s="12" t="str">
        <x:f>IF(Q1309="","",TEXT(Q1309,"hh:mm:ss"))</x:f>
        <x:v>10:55:15</x:v>
      </x:c>
      <x:c r="S1309" s="12" t="str">
        <x:v>否</x:v>
      </x:c>
      <x:c r="T1309" s="12" t="str">
        <x:v>否</x:v>
      </x:c>
      <x:c r="U1309" s="12" t="str">
        <x:v>刘虎</x:v>
      </x:c>
      <x:c r="V1309" s="12" t="str">
        <x:v>3号车</x:v>
      </x:c>
      <x:c r="W1309" s="12" t="str">
        <x:v>秒级预测</x:v>
      </x:c>
      <x:c r="X1309" s="12" t="str">
        <x:v>基于路线秒级参数；如录入实测或手动采用秒，预计到达时间可随公式更新</x:v>
      </x:c>
    </x:row>
    <x:row r="1310">
      <x:c r="A1310" s="12" t="str">
        <x:v>S0113-07</x:v>
      </x:c>
      <x:c r="B1310" s="12" t="str">
        <x:v>S0113</x:v>
      </x:c>
      <x:c r="C1310" s="12" t="str">
        <x:v>工作日</x:v>
      </x:c>
      <x:c r="D1310" s="12" t="str">
        <x:v>环线3路</x:v>
      </x:c>
      <x:c r="E1310" s="12" t="str">
        <x:v>第一班</x:v>
      </x:c>
      <x:c r="F1310" s="12" t="n">
        <x:v>5</x:v>
      </x:c>
      <x:c r="G1310" s="12" t="str">
        <x:v>10:50</x:v>
      </x:c>
      <x:c r="H1310" s="12" t="n">
        <x:v>650</x:v>
      </x:c>
      <x:c r="I1310" s="12" t="str">
        <x:v>高超楼（系统工程学院旁）</x:v>
      </x:c>
      <x:c r="J1310" s="12" t="str">
        <x:v>高超楼发车</x:v>
      </x:c>
      <x:c r="K1310" s="12" t="str">
        <x:v>HX3_GAOCHAO</x:v>
      </x:c>
      <x:c r="L1310" s="12" t="n">
        <x:v>7</x:v>
      </x:c>
      <x:c r="M1310" s="12" t="str">
        <x:v>HX3_GAOCHAO|7</x:v>
      </x:c>
      <x:c r="N1310" s="12" t="str">
        <x:v>一食堂</x:v>
      </x:c>
      <x:c r="O1310" s="12" t="n">
        <x:f>IFERROR(INDEX('秒级路线参数_可调整'!$O:$O,MATCH(M1310,'秒级路线参数_可调整'!$A:$A,0)),"")</x:f>
        <x:v>420</x:v>
      </x:c>
      <x:c r="P1310" s="12" t="n">
        <x:f>IF(O1310="","",O1310/86400)</x:f>
        <x:v>0.004861111111111111</x:v>
      </x:c>
      <x:c r="Q1310" s="12" t="n">
        <x:f>IF(O1310="","",(H1310*60+O1310)/86400)</x:f>
        <x:v>0.45625</x:v>
      </x:c>
      <x:c r="R1310" s="12" t="str">
        <x:f>IF(Q1310="","",TEXT(Q1310,"hh:mm:ss"))</x:f>
        <x:v>10:57:00</x:v>
      </x:c>
      <x:c r="S1310" s="12" t="str">
        <x:v>否</x:v>
      </x:c>
      <x:c r="T1310" s="12" t="str">
        <x:v>否</x:v>
      </x:c>
      <x:c r="U1310" s="12" t="str">
        <x:v>刘虎</x:v>
      </x:c>
      <x:c r="V1310" s="12" t="str">
        <x:v>3号车</x:v>
      </x:c>
      <x:c r="W1310" s="12" t="str">
        <x:v>秒级预测</x:v>
      </x:c>
      <x:c r="X1310" s="12" t="str">
        <x:v>基于路线秒级参数；如录入实测或手动采用秒，预计到达时间可随公式更新</x:v>
      </x:c>
    </x:row>
    <x:row r="1311">
      <x:c r="A1311" s="12" t="str">
        <x:v>S0113-08</x:v>
      </x:c>
      <x:c r="B1311" s="12" t="str">
        <x:v>S0113</x:v>
      </x:c>
      <x:c r="C1311" s="12" t="str">
        <x:v>工作日</x:v>
      </x:c>
      <x:c r="D1311" s="12" t="str">
        <x:v>环线3路</x:v>
      </x:c>
      <x:c r="E1311" s="12" t="str">
        <x:v>第一班</x:v>
      </x:c>
      <x:c r="F1311" s="12" t="n">
        <x:v>5</x:v>
      </x:c>
      <x:c r="G1311" s="12" t="str">
        <x:v>10:50</x:v>
      </x:c>
      <x:c r="H1311" s="12" t="n">
        <x:v>650</x:v>
      </x:c>
      <x:c r="I1311" s="12" t="str">
        <x:v>高超楼（系统工程学院旁）</x:v>
      </x:c>
      <x:c r="J1311" s="12" t="str">
        <x:v>高超楼发车</x:v>
      </x:c>
      <x:c r="K1311" s="12" t="str">
        <x:v>HX3_GAOCHAO</x:v>
      </x:c>
      <x:c r="L1311" s="12" t="n">
        <x:v>8</x:v>
      </x:c>
      <x:c r="M1311" s="12" t="str">
        <x:v>HX3_GAOCHAO|8</x:v>
      </x:c>
      <x:c r="N1311" s="12" t="str">
        <x:v>2号宿舍楼</x:v>
      </x:c>
      <x:c r="O1311" s="12" t="n">
        <x:f>IFERROR(INDEX('秒级路线参数_可调整'!$O:$O,MATCH(M1311,'秒级路线参数_可调整'!$A:$A,0)),"")</x:f>
        <x:v>480</x:v>
      </x:c>
      <x:c r="P1311" s="12" t="n">
        <x:f>IF(O1311="","",O1311/86400)</x:f>
        <x:v>0.005555555555555556</x:v>
      </x:c>
      <x:c r="Q1311" s="12" t="n">
        <x:f>IF(O1311="","",(H1311*60+O1311)/86400)</x:f>
        <x:v>0.45694444444444443</x:v>
      </x:c>
      <x:c r="R1311" s="12" t="str">
        <x:f>IF(Q1311="","",TEXT(Q1311,"hh:mm:ss"))</x:f>
        <x:v>10:58:00</x:v>
      </x:c>
      <x:c r="S1311" s="12" t="str">
        <x:v>否</x:v>
      </x:c>
      <x:c r="T1311" s="12" t="str">
        <x:v>否</x:v>
      </x:c>
      <x:c r="U1311" s="12" t="str">
        <x:v>刘虎</x:v>
      </x:c>
      <x:c r="V1311" s="12" t="str">
        <x:v>3号车</x:v>
      </x:c>
      <x:c r="W1311" s="12" t="str">
        <x:v>秒级预测</x:v>
      </x:c>
      <x:c r="X1311" s="12" t="str">
        <x:v>基于路线秒级参数；如录入实测或手动采用秒，预计到达时间可随公式更新</x:v>
      </x:c>
    </x:row>
    <x:row r="1312">
      <x:c r="A1312" s="12" t="str">
        <x:v>S0113-09</x:v>
      </x:c>
      <x:c r="B1312" s="12" t="str">
        <x:v>S0113</x:v>
      </x:c>
      <x:c r="C1312" s="12" t="str">
        <x:v>工作日</x:v>
      </x:c>
      <x:c r="D1312" s="12" t="str">
        <x:v>环线3路</x:v>
      </x:c>
      <x:c r="E1312" s="12" t="str">
        <x:v>第一班</x:v>
      </x:c>
      <x:c r="F1312" s="12" t="n">
        <x:v>5</x:v>
      </x:c>
      <x:c r="G1312" s="12" t="str">
        <x:v>10:50</x:v>
      </x:c>
      <x:c r="H1312" s="12" t="n">
        <x:v>650</x:v>
      </x:c>
      <x:c r="I1312" s="12" t="str">
        <x:v>高超楼（系统工程学院旁）</x:v>
      </x:c>
      <x:c r="J1312" s="12" t="str">
        <x:v>高超楼发车</x:v>
      </x:c>
      <x:c r="K1312" s="12" t="str">
        <x:v>HX3_GAOCHAO</x:v>
      </x:c>
      <x:c r="L1312" s="12" t="n">
        <x:v>9</x:v>
      </x:c>
      <x:c r="M1312" s="12" t="str">
        <x:v>HX3_GAOCHAO|9</x:v>
      </x:c>
      <x:c r="N1312" s="12" t="str">
        <x:v>军体活动中心</x:v>
      </x:c>
      <x:c r="O1312" s="12" t="n">
        <x:f>IFERROR(INDEX('秒级路线参数_可调整'!$O:$O,MATCH(M1312,'秒级路线参数_可调整'!$A:$A,0)),"")</x:f>
        <x:v>535</x:v>
      </x:c>
      <x:c r="P1312" s="12" t="n">
        <x:f>IF(O1312="","",O1312/86400)</x:f>
        <x:v>0.00619212962962963</x:v>
      </x:c>
      <x:c r="Q1312" s="12" t="n">
        <x:f>IF(O1312="","",(H1312*60+O1312)/86400)</x:f>
        <x:v>0.4575810185185185</x:v>
      </x:c>
      <x:c r="R1312" s="12" t="str">
        <x:f>IF(Q1312="","",TEXT(Q1312,"hh:mm:ss"))</x:f>
        <x:v>10:58:55</x:v>
      </x:c>
      <x:c r="S1312" s="12" t="str">
        <x:v>否</x:v>
      </x:c>
      <x:c r="T1312" s="12" t="str">
        <x:v>否</x:v>
      </x:c>
      <x:c r="U1312" s="12" t="str">
        <x:v>刘虎</x:v>
      </x:c>
      <x:c r="V1312" s="12" t="str">
        <x:v>3号车</x:v>
      </x:c>
      <x:c r="W1312" s="12" t="str">
        <x:v>秒级预测</x:v>
      </x:c>
      <x:c r="X1312" s="12" t="str">
        <x:v>基于路线秒级参数；如录入实测或手动采用秒，预计到达时间可随公式更新</x:v>
      </x:c>
    </x:row>
    <x:row r="1313">
      <x:c r="A1313" s="12" t="str">
        <x:v>S0113-10</x:v>
      </x:c>
      <x:c r="B1313" s="12" t="str">
        <x:v>S0113</x:v>
      </x:c>
      <x:c r="C1313" s="12" t="str">
        <x:v>工作日</x:v>
      </x:c>
      <x:c r="D1313" s="12" t="str">
        <x:v>环线3路</x:v>
      </x:c>
      <x:c r="E1313" s="12" t="str">
        <x:v>第一班</x:v>
      </x:c>
      <x:c r="F1313" s="12" t="n">
        <x:v>5</x:v>
      </x:c>
      <x:c r="G1313" s="12" t="str">
        <x:v>10:50</x:v>
      </x:c>
      <x:c r="H1313" s="12" t="n">
        <x:v>650</x:v>
      </x:c>
      <x:c r="I1313" s="12" t="str">
        <x:v>高超楼（系统工程学院旁）</x:v>
      </x:c>
      <x:c r="J1313" s="12" t="str">
        <x:v>高超楼发车</x:v>
      </x:c>
      <x:c r="K1313" s="12" t="str">
        <x:v>HX3_GAOCHAO</x:v>
      </x:c>
      <x:c r="L1313" s="12" t="n">
        <x:v>10</x:v>
      </x:c>
      <x:c r="M1313" s="12" t="str">
        <x:v>HX3_GAOCHAO|10</x:v>
      </x:c>
      <x:c r="N1313" s="12" t="str">
        <x:v>教勤连</x:v>
      </x:c>
      <x:c r="O1313" s="12" t="n">
        <x:f>IFERROR(INDEX('秒级路线参数_可调整'!$O:$O,MATCH(M1313,'秒级路线参数_可调整'!$A:$A,0)),"")</x:f>
        <x:v>715</x:v>
      </x:c>
      <x:c r="P1313" s="12" t="n">
        <x:f>IF(O1313="","",O1313/86400)</x:f>
        <x:v>0.008275462962962964</x:v>
      </x:c>
      <x:c r="Q1313" s="12" t="n">
        <x:f>IF(O1313="","",(H1313*60+O1313)/86400)</x:f>
        <x:v>0.45966435185185184</x:v>
      </x:c>
      <x:c r="R1313" s="12" t="str">
        <x:f>IF(Q1313="","",TEXT(Q1313,"hh:mm:ss"))</x:f>
        <x:v>11:01:55</x:v>
      </x:c>
      <x:c r="S1313" s="12" t="str">
        <x:v>否</x:v>
      </x:c>
      <x:c r="T1313" s="12" t="str">
        <x:v>否</x:v>
      </x:c>
      <x:c r="U1313" s="12" t="str">
        <x:v>刘虎</x:v>
      </x:c>
      <x:c r="V1313" s="12" t="str">
        <x:v>3号车</x:v>
      </x:c>
      <x:c r="W1313" s="12" t="str">
        <x:v>秒级预测</x:v>
      </x:c>
      <x:c r="X1313" s="12" t="str">
        <x:v>基于路线秒级参数；如录入实测或手动采用秒，预计到达时间可随公式更新</x:v>
      </x:c>
    </x:row>
    <x:row r="1314">
      <x:c r="A1314" s="12" t="str">
        <x:v>S0113-11</x:v>
      </x:c>
      <x:c r="B1314" s="12" t="str">
        <x:v>S0113</x:v>
      </x:c>
      <x:c r="C1314" s="12" t="str">
        <x:v>工作日</x:v>
      </x:c>
      <x:c r="D1314" s="12" t="str">
        <x:v>环线3路</x:v>
      </x:c>
      <x:c r="E1314" s="12" t="str">
        <x:v>第一班</x:v>
      </x:c>
      <x:c r="F1314" s="12" t="n">
        <x:v>5</x:v>
      </x:c>
      <x:c r="G1314" s="12" t="str">
        <x:v>10:50</x:v>
      </x:c>
      <x:c r="H1314" s="12" t="n">
        <x:v>650</x:v>
      </x:c>
      <x:c r="I1314" s="12" t="str">
        <x:v>高超楼（系统工程学院旁）</x:v>
      </x:c>
      <x:c r="J1314" s="12" t="str">
        <x:v>高超楼发车</x:v>
      </x:c>
      <x:c r="K1314" s="12" t="str">
        <x:v>HX3_GAOCHAO</x:v>
      </x:c>
      <x:c r="L1314" s="12" t="n">
        <x:v>11</x:v>
      </x:c>
      <x:c r="M1314" s="12" t="str">
        <x:v>HX3_GAOCHAO|11</x:v>
      </x:c>
      <x:c r="N1314" s="12" t="str">
        <x:v>激光所</x:v>
      </x:c>
      <x:c r="O1314" s="12" t="n">
        <x:f>IFERROR(INDEX('秒级路线参数_可调整'!$O:$O,MATCH(M1314,'秒级路线参数_可调整'!$A:$A,0)),"")</x:f>
        <x:v>775</x:v>
      </x:c>
      <x:c r="P1314" s="12" t="n">
        <x:f>IF(O1314="","",O1314/86400)</x:f>
        <x:v>0.008969907407407407</x:v>
      </x:c>
      <x:c r="Q1314" s="12" t="n">
        <x:f>IF(O1314="","",(H1314*60+O1314)/86400)</x:f>
        <x:v>0.4603587962962963</x:v>
      </x:c>
      <x:c r="R1314" s="12" t="str">
        <x:f>IF(Q1314="","",TEXT(Q1314,"hh:mm:ss"))</x:f>
        <x:v>11:02:55</x:v>
      </x:c>
      <x:c r="S1314" s="12" t="str">
        <x:v>否</x:v>
      </x:c>
      <x:c r="T1314" s="12" t="str">
        <x:v>否</x:v>
      </x:c>
      <x:c r="U1314" s="12" t="str">
        <x:v>刘虎</x:v>
      </x:c>
      <x:c r="V1314" s="12" t="str">
        <x:v>3号车</x:v>
      </x:c>
      <x:c r="W1314" s="12" t="str">
        <x:v>秒级预测</x:v>
      </x:c>
      <x:c r="X1314" s="12" t="str">
        <x:v>基于路线秒级参数；如录入实测或手动采用秒，预计到达时间可随公式更新</x:v>
      </x:c>
    </x:row>
    <x:row r="1315">
      <x:c r="A1315" s="12" t="str">
        <x:v>S0113-12</x:v>
      </x:c>
      <x:c r="B1315" s="12" t="str">
        <x:v>S0113</x:v>
      </x:c>
      <x:c r="C1315" s="12" t="str">
        <x:v>工作日</x:v>
      </x:c>
      <x:c r="D1315" s="12" t="str">
        <x:v>环线3路</x:v>
      </x:c>
      <x:c r="E1315" s="12" t="str">
        <x:v>第一班</x:v>
      </x:c>
      <x:c r="F1315" s="12" t="n">
        <x:v>5</x:v>
      </x:c>
      <x:c r="G1315" s="12" t="str">
        <x:v>10:50</x:v>
      </x:c>
      <x:c r="H1315" s="12" t="n">
        <x:v>650</x:v>
      </x:c>
      <x:c r="I1315" s="12" t="str">
        <x:v>高超楼（系统工程学院旁）</x:v>
      </x:c>
      <x:c r="J1315" s="12" t="str">
        <x:v>高超楼发车</x:v>
      </x:c>
      <x:c r="K1315" s="12" t="str">
        <x:v>HX3_GAOCHAO</x:v>
      </x:c>
      <x:c r="L1315" s="12" t="n">
        <x:v>12</x:v>
      </x:c>
      <x:c r="M1315" s="12" t="str">
        <x:v>HX3_GAOCHAO|12</x:v>
      </x:c>
      <x:c r="N1315" s="12" t="str">
        <x:v>高超楼</x:v>
      </x:c>
      <x:c r="O1315" s="12" t="n">
        <x:f>IFERROR(INDEX('秒级路线参数_可调整'!$O:$O,MATCH(M1315,'秒级路线参数_可调整'!$A:$A,0)),"")</x:f>
        <x:v>840</x:v>
      </x:c>
      <x:c r="P1315" s="12" t="n">
        <x:f>IF(O1315="","",O1315/86400)</x:f>
        <x:v>0.009722222222222222</x:v>
      </x:c>
      <x:c r="Q1315" s="12" t="n">
        <x:f>IF(O1315="","",(H1315*60+O1315)/86400)</x:f>
        <x:v>0.46111111111111114</x:v>
      </x:c>
      <x:c r="R1315" s="12" t="str">
        <x:f>IF(Q1315="","",TEXT(Q1315,"hh:mm:ss"))</x:f>
        <x:v>11:04:00</x:v>
      </x:c>
      <x:c r="S1315" s="12" t="str">
        <x:v>否</x:v>
      </x:c>
      <x:c r="T1315" s="12" t="str">
        <x:v>是</x:v>
      </x:c>
      <x:c r="U1315" s="12" t="str">
        <x:v>刘虎</x:v>
      </x:c>
      <x:c r="V1315" s="12" t="str">
        <x:v>3号车</x:v>
      </x:c>
      <x:c r="W1315" s="12" t="str">
        <x:v>秒级预测</x:v>
      </x:c>
      <x:c r="X1315" s="12" t="str">
        <x:v>基于路线秒级参数；如录入实测或手动采用秒，预计到达时间可随公式更新</x:v>
      </x:c>
    </x:row>
    <x:row r="1316">
      <x:c r="A1316" s="12" t="str">
        <x:v>S0114-01</x:v>
      </x:c>
      <x:c r="B1316" s="12" t="str">
        <x:v>S0114</x:v>
      </x:c>
      <x:c r="C1316" s="12" t="str">
        <x:v>工作日</x:v>
      </x:c>
      <x:c r="D1316" s="12" t="str">
        <x:v>环线3路</x:v>
      </x:c>
      <x:c r="E1316" s="12" t="str">
        <x:v>第一班</x:v>
      </x:c>
      <x:c r="F1316" s="12" t="n">
        <x:v>6</x:v>
      </x:c>
      <x:c r="G1316" s="12" t="str">
        <x:v>11:20</x:v>
      </x:c>
      <x:c r="H1316" s="12" t="n">
        <x:v>680</x:v>
      </x:c>
      <x:c r="I1316" s="12" t="str">
        <x:v>研究生宿舍楼</x:v>
      </x:c>
      <x:c r="J1316" s="12" t="str">
        <x:v>研究生宿舍楼发车</x:v>
      </x:c>
      <x:c r="K1316" s="12" t="str">
        <x:v>HX3_NORMAL</x:v>
      </x:c>
      <x:c r="L1316" s="12" t="n">
        <x:v>1</x:v>
      </x:c>
      <x:c r="M1316" s="12" t="str">
        <x:v>HX3_NORMAL|1</x:v>
      </x:c>
      <x:c r="N1316" s="12" t="str">
        <x:v>研究生宿舍楼</x:v>
      </x:c>
      <x:c r="O1316" s="12" t="n">
        <x:f>IFERROR(INDEX('秒级路线参数_可调整'!$O:$O,MATCH(M1316,'秒级路线参数_可调整'!$A:$A,0)),"")</x:f>
        <x:v>0</x:v>
      </x:c>
      <x:c r="P1316" s="12" t="str">
        <x:f>IF(O1316="","",O1316/86400)</x:f>
      </x:c>
      <x:c r="Q1316" s="12" t="str">
        <x:f>IF(O1316="","",(H1316*60+O1316)/86400)</x:f>
      </x:c>
      <x:c r="R1316" s="12" t="str">
        <x:f>IF(Q1316="","",TEXT(Q1316,"hh:mm:ss"))</x:f>
      </x:c>
      <x:c r="S1316" s="12" t="str">
        <x:v>是</x:v>
      </x:c>
      <x:c r="T1316" s="12" t="str">
        <x:v>否</x:v>
      </x:c>
      <x:c r="U1316" s="12" t="str">
        <x:v>刘虎</x:v>
      </x:c>
      <x:c r="V1316" s="12" t="str">
        <x:v>3号车</x:v>
      </x:c>
      <x:c r="W1316" s="12" t="str">
        <x:v>秒级预测</x:v>
      </x:c>
      <x:c r="X1316" s="12" t="str">
        <x:v>基于路线秒级参数；如录入实测或手动采用秒，预计到达时间可随公式更新</x:v>
      </x:c>
    </x:row>
    <x:row r="1317">
      <x:c r="A1317" s="12" t="str">
        <x:v>S0114-02</x:v>
      </x:c>
      <x:c r="B1317" s="12" t="str">
        <x:v>S0114</x:v>
      </x:c>
      <x:c r="C1317" s="12" t="str">
        <x:v>工作日</x:v>
      </x:c>
      <x:c r="D1317" s="12" t="str">
        <x:v>环线3路</x:v>
      </x:c>
      <x:c r="E1317" s="12" t="str">
        <x:v>第一班</x:v>
      </x:c>
      <x:c r="F1317" s="12" t="n">
        <x:v>6</x:v>
      </x:c>
      <x:c r="G1317" s="12" t="str">
        <x:v>11:20</x:v>
      </x:c>
      <x:c r="H1317" s="12" t="n">
        <x:v>680</x:v>
      </x:c>
      <x:c r="I1317" s="12" t="str">
        <x:v>研究生宿舍楼</x:v>
      </x:c>
      <x:c r="J1317" s="12" t="str">
        <x:v>研究生宿舍楼发车</x:v>
      </x:c>
      <x:c r="K1317" s="12" t="str">
        <x:v>HX3_NORMAL</x:v>
      </x:c>
      <x:c r="L1317" s="12" t="n">
        <x:v>2</x:v>
      </x:c>
      <x:c r="M1317" s="12" t="str">
        <x:v>HX3_NORMAL|2</x:v>
      </x:c>
      <x:c r="N1317" s="12" t="str">
        <x:v>一食堂</x:v>
      </x:c>
      <x:c r="O1317" s="12" t="n">
        <x:f>IFERROR(INDEX('秒级路线参数_可调整'!$O:$O,MATCH(M1317,'秒级路线参数_可调整'!$A:$A,0)),"")</x:f>
        <x:v>65</x:v>
      </x:c>
      <x:c r="P1317" s="12" t="n">
        <x:f>IF(O1317="","",O1317/86400)</x:f>
        <x:v>0.0007523148148148148</x:v>
      </x:c>
      <x:c r="Q1317" s="12" t="n">
        <x:f>IF(O1317="","",(H1317*60+O1317)/86400)</x:f>
        <x:v>0.472974537037037</x:v>
      </x:c>
      <x:c r="R1317" s="12" t="str">
        <x:f>IF(Q1317="","",TEXT(Q1317,"hh:mm:ss"))</x:f>
        <x:v>11:21:05</x:v>
      </x:c>
      <x:c r="S1317" s="12" t="str">
        <x:v>否</x:v>
      </x:c>
      <x:c r="T1317" s="12" t="str">
        <x:v>否</x:v>
      </x:c>
      <x:c r="U1317" s="12" t="str">
        <x:v>刘虎</x:v>
      </x:c>
      <x:c r="V1317" s="12" t="str">
        <x:v>3号车</x:v>
      </x:c>
      <x:c r="W1317" s="12" t="str">
        <x:v>秒级预测</x:v>
      </x:c>
      <x:c r="X1317" s="12" t="str">
        <x:v>基于路线秒级参数；如录入实测或手动采用秒，预计到达时间可随公式更新</x:v>
      </x:c>
    </x:row>
    <x:row r="1318">
      <x:c r="A1318" s="12" t="str">
        <x:v>S0114-03</x:v>
      </x:c>
      <x:c r="B1318" s="12" t="str">
        <x:v>S0114</x:v>
      </x:c>
      <x:c r="C1318" s="12" t="str">
        <x:v>工作日</x:v>
      </x:c>
      <x:c r="D1318" s="12" t="str">
        <x:v>环线3路</x:v>
      </x:c>
      <x:c r="E1318" s="12" t="str">
        <x:v>第一班</x:v>
      </x:c>
      <x:c r="F1318" s="12" t="n">
        <x:v>6</x:v>
      </x:c>
      <x:c r="G1318" s="12" t="str">
        <x:v>11:20</x:v>
      </x:c>
      <x:c r="H1318" s="12" t="n">
        <x:v>680</x:v>
      </x:c>
      <x:c r="I1318" s="12" t="str">
        <x:v>研究生宿舍楼</x:v>
      </x:c>
      <x:c r="J1318" s="12" t="str">
        <x:v>研究生宿舍楼发车</x:v>
      </x:c>
      <x:c r="K1318" s="12" t="str">
        <x:v>HX3_NORMAL</x:v>
      </x:c>
      <x:c r="L1318" s="12" t="n">
        <x:v>3</x:v>
      </x:c>
      <x:c r="M1318" s="12" t="str">
        <x:v>HX3_NORMAL|3</x:v>
      </x:c>
      <x:c r="N1318" s="12" t="str">
        <x:v>2号宿舍楼</x:v>
      </x:c>
      <x:c r="O1318" s="12" t="n">
        <x:f>IFERROR(INDEX('秒级路线参数_可调整'!$O:$O,MATCH(M1318,'秒级路线参数_可调整'!$A:$A,0)),"")</x:f>
        <x:v>120</x:v>
      </x:c>
      <x:c r="P1318" s="12" t="n">
        <x:f>IF(O1318="","",O1318/86400)</x:f>
        <x:v>0.001388888888888889</x:v>
      </x:c>
      <x:c r="Q1318" s="12" t="n">
        <x:f>IF(O1318="","",(H1318*60+O1318)/86400)</x:f>
        <x:v>0.4736111111111111</x:v>
      </x:c>
      <x:c r="R1318" s="12" t="str">
        <x:f>IF(Q1318="","",TEXT(Q1318,"hh:mm:ss"))</x:f>
        <x:v>11:22:00</x:v>
      </x:c>
      <x:c r="S1318" s="12" t="str">
        <x:v>否</x:v>
      </x:c>
      <x:c r="T1318" s="12" t="str">
        <x:v>否</x:v>
      </x:c>
      <x:c r="U1318" s="12" t="str">
        <x:v>刘虎</x:v>
      </x:c>
      <x:c r="V1318" s="12" t="str">
        <x:v>3号车</x:v>
      </x:c>
      <x:c r="W1318" s="12" t="str">
        <x:v>秒级预测</x:v>
      </x:c>
      <x:c r="X1318" s="12" t="str">
        <x:v>基于路线秒级参数；如录入实测或手动采用秒，预计到达时间可随公式更新</x:v>
      </x:c>
    </x:row>
    <x:row r="1319">
      <x:c r="A1319" s="12" t="str">
        <x:v>S0114-04</x:v>
      </x:c>
      <x:c r="B1319" s="12" t="str">
        <x:v>S0114</x:v>
      </x:c>
      <x:c r="C1319" s="12" t="str">
        <x:v>工作日</x:v>
      </x:c>
      <x:c r="D1319" s="12" t="str">
        <x:v>环线3路</x:v>
      </x:c>
      <x:c r="E1319" s="12" t="str">
        <x:v>第一班</x:v>
      </x:c>
      <x:c r="F1319" s="12" t="n">
        <x:v>6</x:v>
      </x:c>
      <x:c r="G1319" s="12" t="str">
        <x:v>11:20</x:v>
      </x:c>
      <x:c r="H1319" s="12" t="n">
        <x:v>680</x:v>
      </x:c>
      <x:c r="I1319" s="12" t="str">
        <x:v>研究生宿舍楼</x:v>
      </x:c>
      <x:c r="J1319" s="12" t="str">
        <x:v>研究生宿舍楼发车</x:v>
      </x:c>
      <x:c r="K1319" s="12" t="str">
        <x:v>HX3_NORMAL</x:v>
      </x:c>
      <x:c r="L1319" s="12" t="n">
        <x:v>4</x:v>
      </x:c>
      <x:c r="M1319" s="12" t="str">
        <x:v>HX3_NORMAL|4</x:v>
      </x:c>
      <x:c r="N1319" s="12" t="str">
        <x:v>军体活动中心</x:v>
      </x:c>
      <x:c r="O1319" s="12" t="n">
        <x:f>IFERROR(INDEX('秒级路线参数_可调整'!$O:$O,MATCH(M1319,'秒级路线参数_可调整'!$A:$A,0)),"")</x:f>
        <x:v>165</x:v>
      </x:c>
      <x:c r="P1319" s="12" t="n">
        <x:f>IF(O1319="","",O1319/86400)</x:f>
        <x:v>0.0019097222222222222</x:v>
      </x:c>
      <x:c r="Q1319" s="12" t="n">
        <x:f>IF(O1319="","",(H1319*60+O1319)/86400)</x:f>
        <x:v>0.47413194444444445</x:v>
      </x:c>
      <x:c r="R1319" s="12" t="str">
        <x:f>IF(Q1319="","",TEXT(Q1319,"hh:mm:ss"))</x:f>
        <x:v>11:22:45</x:v>
      </x:c>
      <x:c r="S1319" s="12" t="str">
        <x:v>否</x:v>
      </x:c>
      <x:c r="T1319" s="12" t="str">
        <x:v>否</x:v>
      </x:c>
      <x:c r="U1319" s="12" t="str">
        <x:v>刘虎</x:v>
      </x:c>
      <x:c r="V1319" s="12" t="str">
        <x:v>3号车</x:v>
      </x:c>
      <x:c r="W1319" s="12" t="str">
        <x:v>秒级预测</x:v>
      </x:c>
      <x:c r="X1319" s="12" t="str">
        <x:v>基于路线秒级参数；如录入实测或手动采用秒，预计到达时间可随公式更新</x:v>
      </x:c>
    </x:row>
    <x:row r="1320">
      <x:c r="A1320" s="12" t="str">
        <x:v>S0114-05</x:v>
      </x:c>
      <x:c r="B1320" s="12" t="str">
        <x:v>S0114</x:v>
      </x:c>
      <x:c r="C1320" s="12" t="str">
        <x:v>工作日</x:v>
      </x:c>
      <x:c r="D1320" s="12" t="str">
        <x:v>环线3路</x:v>
      </x:c>
      <x:c r="E1320" s="12" t="str">
        <x:v>第一班</x:v>
      </x:c>
      <x:c r="F1320" s="12" t="n">
        <x:v>6</x:v>
      </x:c>
      <x:c r="G1320" s="12" t="str">
        <x:v>11:20</x:v>
      </x:c>
      <x:c r="H1320" s="12" t="n">
        <x:v>680</x:v>
      </x:c>
      <x:c r="I1320" s="12" t="str">
        <x:v>研究生宿舍楼</x:v>
      </x:c>
      <x:c r="J1320" s="12" t="str">
        <x:v>研究生宿舍楼发车</x:v>
      </x:c>
      <x:c r="K1320" s="12" t="str">
        <x:v>HX3_NORMAL</x:v>
      </x:c>
      <x:c r="L1320" s="12" t="n">
        <x:v>5</x:v>
      </x:c>
      <x:c r="M1320" s="12" t="str">
        <x:v>HX3_NORMAL|5</x:v>
      </x:c>
      <x:c r="N1320" s="12" t="str">
        <x:v>教勤连</x:v>
      </x:c>
      <x:c r="O1320" s="12" t="n">
        <x:f>IFERROR(INDEX('秒级路线参数_可调整'!$O:$O,MATCH(M1320,'秒级路线参数_可调整'!$A:$A,0)),"")</x:f>
        <x:v>250</x:v>
      </x:c>
      <x:c r="P1320" s="12" t="n">
        <x:f>IF(O1320="","",O1320/86400)</x:f>
        <x:v>0.0028935185185185184</x:v>
      </x:c>
      <x:c r="Q1320" s="12" t="n">
        <x:f>IF(O1320="","",(H1320*60+O1320)/86400)</x:f>
        <x:v>0.47511574074074076</x:v>
      </x:c>
      <x:c r="R1320" s="12" t="str">
        <x:f>IF(Q1320="","",TEXT(Q1320,"hh:mm:ss"))</x:f>
        <x:v>11:24:10</x:v>
      </x:c>
      <x:c r="S1320" s="12" t="str">
        <x:v>否</x:v>
      </x:c>
      <x:c r="T1320" s="12" t="str">
        <x:v>否</x:v>
      </x:c>
      <x:c r="U1320" s="12" t="str">
        <x:v>刘虎</x:v>
      </x:c>
      <x:c r="V1320" s="12" t="str">
        <x:v>3号车</x:v>
      </x:c>
      <x:c r="W1320" s="12" t="str">
        <x:v>秒级预测</x:v>
      </x:c>
      <x:c r="X1320" s="12" t="str">
        <x:v>基于路线秒级参数；如录入实测或手动采用秒，预计到达时间可随公式更新</x:v>
      </x:c>
    </x:row>
    <x:row r="1321">
      <x:c r="A1321" s="12" t="str">
        <x:v>S0114-06</x:v>
      </x:c>
      <x:c r="B1321" s="12" t="str">
        <x:v>S0114</x:v>
      </x:c>
      <x:c r="C1321" s="12" t="str">
        <x:v>工作日</x:v>
      </x:c>
      <x:c r="D1321" s="12" t="str">
        <x:v>环线3路</x:v>
      </x:c>
      <x:c r="E1321" s="12" t="str">
        <x:v>第一班</x:v>
      </x:c>
      <x:c r="F1321" s="12" t="n">
        <x:v>6</x:v>
      </x:c>
      <x:c r="G1321" s="12" t="str">
        <x:v>11:20</x:v>
      </x:c>
      <x:c r="H1321" s="12" t="n">
        <x:v>680</x:v>
      </x:c>
      <x:c r="I1321" s="12" t="str">
        <x:v>研究生宿舍楼</x:v>
      </x:c>
      <x:c r="J1321" s="12" t="str">
        <x:v>研究生宿舍楼发车</x:v>
      </x:c>
      <x:c r="K1321" s="12" t="str">
        <x:v>HX3_NORMAL</x:v>
      </x:c>
      <x:c r="L1321" s="12" t="n">
        <x:v>6</x:v>
      </x:c>
      <x:c r="M1321" s="12" t="str">
        <x:v>HX3_NORMAL|6</x:v>
      </x:c>
      <x:c r="N1321" s="12" t="str">
        <x:v>激光所</x:v>
      </x:c>
      <x:c r="O1321" s="12" t="n">
        <x:f>IFERROR(INDEX('秒级路线参数_可调整'!$O:$O,MATCH(M1321,'秒级路线参数_可调整'!$A:$A,0)),"")</x:f>
        <x:v>315</x:v>
      </x:c>
      <x:c r="P1321" s="12" t="n">
        <x:f>IF(O1321="","",O1321/86400)</x:f>
        <x:v>0.0036458333333333334</x:v>
      </x:c>
      <x:c r="Q1321" s="12" t="n">
        <x:f>IF(O1321="","",(H1321*60+O1321)/86400)</x:f>
        <x:v>0.47586805555555556</x:v>
      </x:c>
      <x:c r="R1321" s="12" t="str">
        <x:f>IF(Q1321="","",TEXT(Q1321,"hh:mm:ss"))</x:f>
        <x:v>11:25:15</x:v>
      </x:c>
      <x:c r="S1321" s="12" t="str">
        <x:v>否</x:v>
      </x:c>
      <x:c r="T1321" s="12" t="str">
        <x:v>否</x:v>
      </x:c>
      <x:c r="U1321" s="12" t="str">
        <x:v>刘虎</x:v>
      </x:c>
      <x:c r="V1321" s="12" t="str">
        <x:v>3号车</x:v>
      </x:c>
      <x:c r="W1321" s="12" t="str">
        <x:v>秒级预测</x:v>
      </x:c>
      <x:c r="X1321" s="12" t="str">
        <x:v>基于路线秒级参数；如录入实测或手动采用秒，预计到达时间可随公式更新</x:v>
      </x:c>
    </x:row>
    <x:row r="1322">
      <x:c r="A1322" s="12" t="str">
        <x:v>S0114-07</x:v>
      </x:c>
      <x:c r="B1322" s="12" t="str">
        <x:v>S0114</x:v>
      </x:c>
      <x:c r="C1322" s="12" t="str">
        <x:v>工作日</x:v>
      </x:c>
      <x:c r="D1322" s="12" t="str">
        <x:v>环线3路</x:v>
      </x:c>
      <x:c r="E1322" s="12" t="str">
        <x:v>第一班</x:v>
      </x:c>
      <x:c r="F1322" s="12" t="n">
        <x:v>6</x:v>
      </x:c>
      <x:c r="G1322" s="12" t="str">
        <x:v>11:20</x:v>
      </x:c>
      <x:c r="H1322" s="12" t="n">
        <x:v>680</x:v>
      </x:c>
      <x:c r="I1322" s="12" t="str">
        <x:v>研究生宿舍楼</x:v>
      </x:c>
      <x:c r="J1322" s="12" t="str">
        <x:v>研究生宿舍楼发车</x:v>
      </x:c>
      <x:c r="K1322" s="12" t="str">
        <x:v>HX3_NORMAL</x:v>
      </x:c>
      <x:c r="L1322" s="12" t="n">
        <x:v>7</x:v>
      </x:c>
      <x:c r="M1322" s="12" t="str">
        <x:v>HX3_NORMAL|7</x:v>
      </x:c>
      <x:c r="N1322" s="12" t="str">
        <x:v>高超楼</x:v>
      </x:c>
      <x:c r="O1322" s="12" t="n">
        <x:f>IFERROR(INDEX('秒级路线参数_可调整'!$O:$O,MATCH(M1322,'秒级路线参数_可调整'!$A:$A,0)),"")</x:f>
        <x:v>420</x:v>
      </x:c>
      <x:c r="P1322" s="12" t="n">
        <x:f>IF(O1322="","",O1322/86400)</x:f>
        <x:v>0.004861111111111111</x:v>
      </x:c>
      <x:c r="Q1322" s="12" t="n">
        <x:f>IF(O1322="","",(H1322*60+O1322)/86400)</x:f>
        <x:v>0.47708333333333336</x:v>
      </x:c>
      <x:c r="R1322" s="12" t="str">
        <x:f>IF(Q1322="","",TEXT(Q1322,"hh:mm:ss"))</x:f>
        <x:v>11:27:00</x:v>
      </x:c>
      <x:c r="S1322" s="12" t="str">
        <x:v>否</x:v>
      </x:c>
      <x:c r="T1322" s="12" t="str">
        <x:v>否</x:v>
      </x:c>
      <x:c r="U1322" s="12" t="str">
        <x:v>刘虎</x:v>
      </x:c>
      <x:c r="V1322" s="12" t="str">
        <x:v>3号车</x:v>
      </x:c>
      <x:c r="W1322" s="12" t="str">
        <x:v>秒级预测</x:v>
      </x:c>
      <x:c r="X1322" s="12" t="str">
        <x:v>基于路线秒级参数；如录入实测或手动采用秒，预计到达时间可随公式更新</x:v>
      </x:c>
    </x:row>
    <x:row r="1323">
      <x:c r="A1323" s="12" t="str">
        <x:v>S0114-08</x:v>
      </x:c>
      <x:c r="B1323" s="12" t="str">
        <x:v>S0114</x:v>
      </x:c>
      <x:c r="C1323" s="12" t="str">
        <x:v>工作日</x:v>
      </x:c>
      <x:c r="D1323" s="12" t="str">
        <x:v>环线3路</x:v>
      </x:c>
      <x:c r="E1323" s="12" t="str">
        <x:v>第一班</x:v>
      </x:c>
      <x:c r="F1323" s="12" t="n">
        <x:v>6</x:v>
      </x:c>
      <x:c r="G1323" s="12" t="str">
        <x:v>11:20</x:v>
      </x:c>
      <x:c r="H1323" s="12" t="n">
        <x:v>680</x:v>
      </x:c>
      <x:c r="I1323" s="12" t="str">
        <x:v>研究生宿舍楼</x:v>
      </x:c>
      <x:c r="J1323" s="12" t="str">
        <x:v>研究生宿舍楼发车</x:v>
      </x:c>
      <x:c r="K1323" s="12" t="str">
        <x:v>HX3_NORMAL</x:v>
      </x:c>
      <x:c r="L1323" s="12" t="n">
        <x:v>8</x:v>
      </x:c>
      <x:c r="M1323" s="12" t="str">
        <x:v>HX3_NORMAL|8</x:v>
      </x:c>
      <x:c r="N1323" s="12" t="str">
        <x:v>理学院</x:v>
      </x:c>
      <x:c r="O1323" s="12" t="n">
        <x:f>IFERROR(INDEX('秒级路线参数_可调整'!$O:$O,MATCH(M1323,'秒级路线参数_可调整'!$A:$A,0)),"")</x:f>
        <x:v>480</x:v>
      </x:c>
      <x:c r="P1323" s="12" t="n">
        <x:f>IF(O1323="","",O1323/86400)</x:f>
        <x:v>0.005555555555555556</x:v>
      </x:c>
      <x:c r="Q1323" s="12" t="n">
        <x:f>IF(O1323="","",(H1323*60+O1323)/86400)</x:f>
        <x:v>0.4777777777777778</x:v>
      </x:c>
      <x:c r="R1323" s="12" t="str">
        <x:f>IF(Q1323="","",TEXT(Q1323,"hh:mm:ss"))</x:f>
        <x:v>11:28:00</x:v>
      </x:c>
      <x:c r="S1323" s="12" t="str">
        <x:v>否</x:v>
      </x:c>
      <x:c r="T1323" s="12" t="str">
        <x:v>否</x:v>
      </x:c>
      <x:c r="U1323" s="12" t="str">
        <x:v>刘虎</x:v>
      </x:c>
      <x:c r="V1323" s="12" t="str">
        <x:v>3号车</x:v>
      </x:c>
      <x:c r="W1323" s="12" t="str">
        <x:v>秒级预测</x:v>
      </x:c>
      <x:c r="X1323" s="12" t="str">
        <x:v>基于路线秒级参数；如录入实测或手动采用秒，预计到达时间可随公式更新</x:v>
      </x:c>
    </x:row>
    <x:row r="1324">
      <x:c r="A1324" s="12" t="str">
        <x:v>S0114-09</x:v>
      </x:c>
      <x:c r="B1324" s="12" t="str">
        <x:v>S0114</x:v>
      </x:c>
      <x:c r="C1324" s="12" t="str">
        <x:v>工作日</x:v>
      </x:c>
      <x:c r="D1324" s="12" t="str">
        <x:v>环线3路</x:v>
      </x:c>
      <x:c r="E1324" s="12" t="str">
        <x:v>第一班</x:v>
      </x:c>
      <x:c r="F1324" s="12" t="n">
        <x:v>6</x:v>
      </x:c>
      <x:c r="G1324" s="12" t="str">
        <x:v>11:20</x:v>
      </x:c>
      <x:c r="H1324" s="12" t="n">
        <x:v>680</x:v>
      </x:c>
      <x:c r="I1324" s="12" t="str">
        <x:v>研究生宿舍楼</x:v>
      </x:c>
      <x:c r="J1324" s="12" t="str">
        <x:v>研究生宿舍楼发车</x:v>
      </x:c>
      <x:c r="K1324" s="12" t="str">
        <x:v>HX3_NORMAL</x:v>
      </x:c>
      <x:c r="L1324" s="12" t="n">
        <x:v>9</x:v>
      </x:c>
      <x:c r="M1324" s="12" t="str">
        <x:v>HX3_NORMAL|9</x:v>
      </x:c>
      <x:c r="N1324" s="12" t="str">
        <x:v>二食堂</x:v>
      </x:c>
      <x:c r="O1324" s="12" t="n">
        <x:f>IFERROR(INDEX('秒级路线参数_可调整'!$O:$O,MATCH(M1324,'秒级路线参数_可调整'!$A:$A,0)),"")</x:f>
        <x:v>535</x:v>
      </x:c>
      <x:c r="P1324" s="12" t="n">
        <x:f>IF(O1324="","",O1324/86400)</x:f>
        <x:v>0.00619212962962963</x:v>
      </x:c>
      <x:c r="Q1324" s="12" t="n">
        <x:f>IF(O1324="","",(H1324*60+O1324)/86400)</x:f>
        <x:v>0.4784143518518518</x:v>
      </x:c>
      <x:c r="R1324" s="12" t="str">
        <x:f>IF(Q1324="","",TEXT(Q1324,"hh:mm:ss"))</x:f>
        <x:v>11:28:55</x:v>
      </x:c>
      <x:c r="S1324" s="12" t="str">
        <x:v>否</x:v>
      </x:c>
      <x:c r="T1324" s="12" t="str">
        <x:v>否</x:v>
      </x:c>
      <x:c r="U1324" s="12" t="str">
        <x:v>刘虎</x:v>
      </x:c>
      <x:c r="V1324" s="12" t="str">
        <x:v>3号车</x:v>
      </x:c>
      <x:c r="W1324" s="12" t="str">
        <x:v>秒级预测</x:v>
      </x:c>
      <x:c r="X1324" s="12" t="str">
        <x:v>基于路线秒级参数；如录入实测或手动采用秒，预计到达时间可随公式更新</x:v>
      </x:c>
    </x:row>
    <x:row r="1325">
      <x:c r="A1325" s="12" t="str">
        <x:v>S0114-10</x:v>
      </x:c>
      <x:c r="B1325" s="12" t="str">
        <x:v>S0114</x:v>
      </x:c>
      <x:c r="C1325" s="12" t="str">
        <x:v>工作日</x:v>
      </x:c>
      <x:c r="D1325" s="12" t="str">
        <x:v>环线3路</x:v>
      </x:c>
      <x:c r="E1325" s="12" t="str">
        <x:v>第一班</x:v>
      </x:c>
      <x:c r="F1325" s="12" t="n">
        <x:v>6</x:v>
      </x:c>
      <x:c r="G1325" s="12" t="str">
        <x:v>11:20</x:v>
      </x:c>
      <x:c r="H1325" s="12" t="n">
        <x:v>680</x:v>
      </x:c>
      <x:c r="I1325" s="12" t="str">
        <x:v>研究生宿舍楼</x:v>
      </x:c>
      <x:c r="J1325" s="12" t="str">
        <x:v>研究生宿舍楼发车</x:v>
      </x:c>
      <x:c r="K1325" s="12" t="str">
        <x:v>HX3_NORMAL</x:v>
      </x:c>
      <x:c r="L1325" s="12" t="n">
        <x:v>10</x:v>
      </x:c>
      <x:c r="M1325" s="12" t="str">
        <x:v>HX3_NORMAL|10</x:v>
      </x:c>
      <x:c r="N1325" s="12" t="str">
        <x:v>图书馆</x:v>
      </x:c>
      <x:c r="O1325" s="12" t="n">
        <x:f>IFERROR(INDEX('秒级路线参数_可调整'!$O:$O,MATCH(M1325,'秒级路线参数_可调整'!$A:$A,0)),"")</x:f>
        <x:v>715</x:v>
      </x:c>
      <x:c r="P1325" s="12" t="n">
        <x:f>IF(O1325="","",O1325/86400)</x:f>
        <x:v>0.008275462962962964</x:v>
      </x:c>
      <x:c r="Q1325" s="12" t="n">
        <x:f>IF(O1325="","",(H1325*60+O1325)/86400)</x:f>
        <x:v>0.4804976851851852</x:v>
      </x:c>
      <x:c r="R1325" s="12" t="str">
        <x:f>IF(Q1325="","",TEXT(Q1325,"hh:mm:ss"))</x:f>
        <x:v>11:31:55</x:v>
      </x:c>
      <x:c r="S1325" s="12" t="str">
        <x:v>否</x:v>
      </x:c>
      <x:c r="T1325" s="12" t="str">
        <x:v>否</x:v>
      </x:c>
      <x:c r="U1325" s="12" t="str">
        <x:v>刘虎</x:v>
      </x:c>
      <x:c r="V1325" s="12" t="str">
        <x:v>3号车</x:v>
      </x:c>
      <x:c r="W1325" s="12" t="str">
        <x:v>秒级预测</x:v>
      </x:c>
      <x:c r="X1325" s="12" t="str">
        <x:v>基于路线秒级参数；如录入实测或手动采用秒，预计到达时间可随公式更新</x:v>
      </x:c>
    </x:row>
    <x:row r="1326">
      <x:c r="A1326" s="12" t="str">
        <x:v>S0114-11</x:v>
      </x:c>
      <x:c r="B1326" s="12" t="str">
        <x:v>S0114</x:v>
      </x:c>
      <x:c r="C1326" s="12" t="str">
        <x:v>工作日</x:v>
      </x:c>
      <x:c r="D1326" s="12" t="str">
        <x:v>环线3路</x:v>
      </x:c>
      <x:c r="E1326" s="12" t="str">
        <x:v>第一班</x:v>
      </x:c>
      <x:c r="F1326" s="12" t="n">
        <x:v>6</x:v>
      </x:c>
      <x:c r="G1326" s="12" t="str">
        <x:v>11:20</x:v>
      </x:c>
      <x:c r="H1326" s="12" t="n">
        <x:v>680</x:v>
      </x:c>
      <x:c r="I1326" s="12" t="str">
        <x:v>研究生宿舍楼</x:v>
      </x:c>
      <x:c r="J1326" s="12" t="str">
        <x:v>研究生宿舍楼发车</x:v>
      </x:c>
      <x:c r="K1326" s="12" t="str">
        <x:v>HX3_NORMAL</x:v>
      </x:c>
      <x:c r="L1326" s="12" t="n">
        <x:v>11</x:v>
      </x:c>
      <x:c r="M1326" s="12" t="str">
        <x:v>HX3_NORMAL|11</x:v>
      </x:c>
      <x:c r="N1326" s="12" t="str">
        <x:v>305教学楼</x:v>
      </x:c>
      <x:c r="O1326" s="12" t="n">
        <x:f>IFERROR(INDEX('秒级路线参数_可调整'!$O:$O,MATCH(M1326,'秒级路线参数_可调整'!$A:$A,0)),"")</x:f>
        <x:v>775</x:v>
      </x:c>
      <x:c r="P1326" s="12" t="n">
        <x:f>IF(O1326="","",O1326/86400)</x:f>
        <x:v>0.008969907407407407</x:v>
      </x:c>
      <x:c r="Q1326" s="12" t="n">
        <x:f>IF(O1326="","",(H1326*60+O1326)/86400)</x:f>
        <x:v>0.48119212962962965</x:v>
      </x:c>
      <x:c r="R1326" s="12" t="str">
        <x:f>IF(Q1326="","",TEXT(Q1326,"hh:mm:ss"))</x:f>
        <x:v>11:32:55</x:v>
      </x:c>
      <x:c r="S1326" s="12" t="str">
        <x:v>否</x:v>
      </x:c>
      <x:c r="T1326" s="12" t="str">
        <x:v>否</x:v>
      </x:c>
      <x:c r="U1326" s="12" t="str">
        <x:v>刘虎</x:v>
      </x:c>
      <x:c r="V1326" s="12" t="str">
        <x:v>3号车</x:v>
      </x:c>
      <x:c r="W1326" s="12" t="str">
        <x:v>秒级预测</x:v>
      </x:c>
      <x:c r="X1326" s="12" t="str">
        <x:v>基于路线秒级参数；如录入实测或手动采用秒，预计到达时间可随公式更新</x:v>
      </x:c>
    </x:row>
    <x:row r="1327">
      <x:c r="A1327" s="12" t="str">
        <x:v>S0114-12</x:v>
      </x:c>
      <x:c r="B1327" s="12" t="str">
        <x:v>S0114</x:v>
      </x:c>
      <x:c r="C1327" s="12" t="str">
        <x:v>工作日</x:v>
      </x:c>
      <x:c r="D1327" s="12" t="str">
        <x:v>环线3路</x:v>
      </x:c>
      <x:c r="E1327" s="12" t="str">
        <x:v>第一班</x:v>
      </x:c>
      <x:c r="F1327" s="12" t="n">
        <x:v>6</x:v>
      </x:c>
      <x:c r="G1327" s="12" t="str">
        <x:v>11:20</x:v>
      </x:c>
      <x:c r="H1327" s="12" t="n">
        <x:v>680</x:v>
      </x:c>
      <x:c r="I1327" s="12" t="str">
        <x:v>研究生宿舍楼</x:v>
      </x:c>
      <x:c r="J1327" s="12" t="str">
        <x:v>研究生宿舍楼发车</x:v>
      </x:c>
      <x:c r="K1327" s="12" t="str">
        <x:v>HX3_NORMAL</x:v>
      </x:c>
      <x:c r="L1327" s="12" t="n">
        <x:v>12</x:v>
      </x:c>
      <x:c r="M1327" s="12" t="str">
        <x:v>HX3_NORMAL|12</x:v>
      </x:c>
      <x:c r="N1327" s="12" t="str">
        <x:v>研究生宿舍楼</x:v>
      </x:c>
      <x:c r="O1327" s="12" t="n">
        <x:f>IFERROR(INDEX('秒级路线参数_可调整'!$O:$O,MATCH(M1327,'秒级路线参数_可调整'!$A:$A,0)),"")</x:f>
        <x:v>840</x:v>
      </x:c>
      <x:c r="P1327" s="12" t="n">
        <x:f>IF(O1327="","",O1327/86400)</x:f>
        <x:v>0.009722222222222222</x:v>
      </x:c>
      <x:c r="Q1327" s="12" t="n">
        <x:f>IF(O1327="","",(H1327*60+O1327)/86400)</x:f>
        <x:v>0.48194444444444445</x:v>
      </x:c>
      <x:c r="R1327" s="12" t="str">
        <x:f>IF(Q1327="","",TEXT(Q1327,"hh:mm:ss"))</x:f>
        <x:v>11:34:00</x:v>
      </x:c>
      <x:c r="S1327" s="12" t="str">
        <x:v>否</x:v>
      </x:c>
      <x:c r="T1327" s="12" t="str">
        <x:v>是</x:v>
      </x:c>
      <x:c r="U1327" s="12" t="str">
        <x:v>刘虎</x:v>
      </x:c>
      <x:c r="V1327" s="12" t="str">
        <x:v>3号车</x:v>
      </x:c>
      <x:c r="W1327" s="12" t="str">
        <x:v>秒级预测</x:v>
      </x:c>
      <x:c r="X1327" s="12" t="str">
        <x:v>基于路线秒级参数；如录入实测或手动采用秒，预计到达时间可随公式更新</x:v>
      </x:c>
    </x:row>
    <x:row r="1328">
      <x:c r="A1328" s="12" t="str">
        <x:v>S0115-01</x:v>
      </x:c>
      <x:c r="B1328" s="12" t="str">
        <x:v>S0115</x:v>
      </x:c>
      <x:c r="C1328" s="12" t="str">
        <x:v>工作日</x:v>
      </x:c>
      <x:c r="D1328" s="12" t="str">
        <x:v>环线3路</x:v>
      </x:c>
      <x:c r="E1328" s="12" t="str">
        <x:v>第一班</x:v>
      </x:c>
      <x:c r="F1328" s="12" t="n">
        <x:v>7</x:v>
      </x:c>
      <x:c r="G1328" s="12" t="str">
        <x:v>12:05</x:v>
      </x:c>
      <x:c r="H1328" s="12" t="n">
        <x:v>725</x:v>
      </x:c>
      <x:c r="I1328" s="12" t="str">
        <x:v>研究生宿舍楼</x:v>
      </x:c>
      <x:c r="J1328" s="12" t="str">
        <x:v>研究生宿舍楼发车</x:v>
      </x:c>
      <x:c r="K1328" s="12" t="str">
        <x:v>HX3_NORMAL</x:v>
      </x:c>
      <x:c r="L1328" s="12" t="n">
        <x:v>1</x:v>
      </x:c>
      <x:c r="M1328" s="12" t="str">
        <x:v>HX3_NORMAL|1</x:v>
      </x:c>
      <x:c r="N1328" s="12" t="str">
        <x:v>研究生宿舍楼</x:v>
      </x:c>
      <x:c r="O1328" s="12" t="n">
        <x:f>IFERROR(INDEX('秒级路线参数_可调整'!$O:$O,MATCH(M1328,'秒级路线参数_可调整'!$A:$A,0)),"")</x:f>
        <x:v>0</x:v>
      </x:c>
      <x:c r="P1328" s="12" t="str">
        <x:f>IF(O1328="","",O1328/86400)</x:f>
      </x:c>
      <x:c r="Q1328" s="12" t="str">
        <x:f>IF(O1328="","",(H1328*60+O1328)/86400)</x:f>
      </x:c>
      <x:c r="R1328" s="12" t="str">
        <x:f>IF(Q1328="","",TEXT(Q1328,"hh:mm:ss"))</x:f>
      </x:c>
      <x:c r="S1328" s="12" t="str">
        <x:v>是</x:v>
      </x:c>
      <x:c r="T1328" s="12" t="str">
        <x:v>否</x:v>
      </x:c>
      <x:c r="U1328" s="12" t="str">
        <x:v>刘虎</x:v>
      </x:c>
      <x:c r="V1328" s="12" t="str">
        <x:v>3号车</x:v>
      </x:c>
      <x:c r="W1328" s="12" t="str">
        <x:v>秒级预测</x:v>
      </x:c>
      <x:c r="X1328" s="12" t="str">
        <x:v>基于路线秒级参数；如录入实测或手动采用秒，预计到达时间可随公式更新</x:v>
      </x:c>
    </x:row>
    <x:row r="1329">
      <x:c r="A1329" s="12" t="str">
        <x:v>S0115-02</x:v>
      </x:c>
      <x:c r="B1329" s="12" t="str">
        <x:v>S0115</x:v>
      </x:c>
      <x:c r="C1329" s="12" t="str">
        <x:v>工作日</x:v>
      </x:c>
      <x:c r="D1329" s="12" t="str">
        <x:v>环线3路</x:v>
      </x:c>
      <x:c r="E1329" s="12" t="str">
        <x:v>第一班</x:v>
      </x:c>
      <x:c r="F1329" s="12" t="n">
        <x:v>7</x:v>
      </x:c>
      <x:c r="G1329" s="12" t="str">
        <x:v>12:05</x:v>
      </x:c>
      <x:c r="H1329" s="12" t="n">
        <x:v>725</x:v>
      </x:c>
      <x:c r="I1329" s="12" t="str">
        <x:v>研究生宿舍楼</x:v>
      </x:c>
      <x:c r="J1329" s="12" t="str">
        <x:v>研究生宿舍楼发车</x:v>
      </x:c>
      <x:c r="K1329" s="12" t="str">
        <x:v>HX3_NORMAL</x:v>
      </x:c>
      <x:c r="L1329" s="12" t="n">
        <x:v>2</x:v>
      </x:c>
      <x:c r="M1329" s="12" t="str">
        <x:v>HX3_NORMAL|2</x:v>
      </x:c>
      <x:c r="N1329" s="12" t="str">
        <x:v>一食堂</x:v>
      </x:c>
      <x:c r="O1329" s="12" t="n">
        <x:f>IFERROR(INDEX('秒级路线参数_可调整'!$O:$O,MATCH(M1329,'秒级路线参数_可调整'!$A:$A,0)),"")</x:f>
        <x:v>65</x:v>
      </x:c>
      <x:c r="P1329" s="12" t="n">
        <x:f>IF(O1329="","",O1329/86400)</x:f>
        <x:v>0.0007523148148148148</x:v>
      </x:c>
      <x:c r="Q1329" s="12" t="n">
        <x:f>IF(O1329="","",(H1329*60+O1329)/86400)</x:f>
        <x:v>0.5042245370370371</x:v>
      </x:c>
      <x:c r="R1329" s="12" t="str">
        <x:f>IF(Q1329="","",TEXT(Q1329,"hh:mm:ss"))</x:f>
        <x:v>12:06:05</x:v>
      </x:c>
      <x:c r="S1329" s="12" t="str">
        <x:v>否</x:v>
      </x:c>
      <x:c r="T1329" s="12" t="str">
        <x:v>否</x:v>
      </x:c>
      <x:c r="U1329" s="12" t="str">
        <x:v>刘虎</x:v>
      </x:c>
      <x:c r="V1329" s="12" t="str">
        <x:v>3号车</x:v>
      </x:c>
      <x:c r="W1329" s="12" t="str">
        <x:v>秒级预测</x:v>
      </x:c>
      <x:c r="X1329" s="12" t="str">
        <x:v>基于路线秒级参数；如录入实测或手动采用秒，预计到达时间可随公式更新</x:v>
      </x:c>
    </x:row>
    <x:row r="1330">
      <x:c r="A1330" s="12" t="str">
        <x:v>S0115-03</x:v>
      </x:c>
      <x:c r="B1330" s="12" t="str">
        <x:v>S0115</x:v>
      </x:c>
      <x:c r="C1330" s="12" t="str">
        <x:v>工作日</x:v>
      </x:c>
      <x:c r="D1330" s="12" t="str">
        <x:v>环线3路</x:v>
      </x:c>
      <x:c r="E1330" s="12" t="str">
        <x:v>第一班</x:v>
      </x:c>
      <x:c r="F1330" s="12" t="n">
        <x:v>7</x:v>
      </x:c>
      <x:c r="G1330" s="12" t="str">
        <x:v>12:05</x:v>
      </x:c>
      <x:c r="H1330" s="12" t="n">
        <x:v>725</x:v>
      </x:c>
      <x:c r="I1330" s="12" t="str">
        <x:v>研究生宿舍楼</x:v>
      </x:c>
      <x:c r="J1330" s="12" t="str">
        <x:v>研究生宿舍楼发车</x:v>
      </x:c>
      <x:c r="K1330" s="12" t="str">
        <x:v>HX3_NORMAL</x:v>
      </x:c>
      <x:c r="L1330" s="12" t="n">
        <x:v>3</x:v>
      </x:c>
      <x:c r="M1330" s="12" t="str">
        <x:v>HX3_NORMAL|3</x:v>
      </x:c>
      <x:c r="N1330" s="12" t="str">
        <x:v>2号宿舍楼</x:v>
      </x:c>
      <x:c r="O1330" s="12" t="n">
        <x:f>IFERROR(INDEX('秒级路线参数_可调整'!$O:$O,MATCH(M1330,'秒级路线参数_可调整'!$A:$A,0)),"")</x:f>
        <x:v>120</x:v>
      </x:c>
      <x:c r="P1330" s="12" t="n">
        <x:f>IF(O1330="","",O1330/86400)</x:f>
        <x:v>0.001388888888888889</x:v>
      </x:c>
      <x:c r="Q1330" s="12" t="n">
        <x:f>IF(O1330="","",(H1330*60+O1330)/86400)</x:f>
        <x:v>0.5048611111111111</x:v>
      </x:c>
      <x:c r="R1330" s="12" t="str">
        <x:f>IF(Q1330="","",TEXT(Q1330,"hh:mm:ss"))</x:f>
        <x:v>12:07:00</x:v>
      </x:c>
      <x:c r="S1330" s="12" t="str">
        <x:v>否</x:v>
      </x:c>
      <x:c r="T1330" s="12" t="str">
        <x:v>否</x:v>
      </x:c>
      <x:c r="U1330" s="12" t="str">
        <x:v>刘虎</x:v>
      </x:c>
      <x:c r="V1330" s="12" t="str">
        <x:v>3号车</x:v>
      </x:c>
      <x:c r="W1330" s="12" t="str">
        <x:v>秒级预测</x:v>
      </x:c>
      <x:c r="X1330" s="12" t="str">
        <x:v>基于路线秒级参数；如录入实测或手动采用秒，预计到达时间可随公式更新</x:v>
      </x:c>
    </x:row>
    <x:row r="1331">
      <x:c r="A1331" s="12" t="str">
        <x:v>S0115-04</x:v>
      </x:c>
      <x:c r="B1331" s="12" t="str">
        <x:v>S0115</x:v>
      </x:c>
      <x:c r="C1331" s="12" t="str">
        <x:v>工作日</x:v>
      </x:c>
      <x:c r="D1331" s="12" t="str">
        <x:v>环线3路</x:v>
      </x:c>
      <x:c r="E1331" s="12" t="str">
        <x:v>第一班</x:v>
      </x:c>
      <x:c r="F1331" s="12" t="n">
        <x:v>7</x:v>
      </x:c>
      <x:c r="G1331" s="12" t="str">
        <x:v>12:05</x:v>
      </x:c>
      <x:c r="H1331" s="12" t="n">
        <x:v>725</x:v>
      </x:c>
      <x:c r="I1331" s="12" t="str">
        <x:v>研究生宿舍楼</x:v>
      </x:c>
      <x:c r="J1331" s="12" t="str">
        <x:v>研究生宿舍楼发车</x:v>
      </x:c>
      <x:c r="K1331" s="12" t="str">
        <x:v>HX3_NORMAL</x:v>
      </x:c>
      <x:c r="L1331" s="12" t="n">
        <x:v>4</x:v>
      </x:c>
      <x:c r="M1331" s="12" t="str">
        <x:v>HX3_NORMAL|4</x:v>
      </x:c>
      <x:c r="N1331" s="12" t="str">
        <x:v>军体活动中心</x:v>
      </x:c>
      <x:c r="O1331" s="12" t="n">
        <x:f>IFERROR(INDEX('秒级路线参数_可调整'!$O:$O,MATCH(M1331,'秒级路线参数_可调整'!$A:$A,0)),"")</x:f>
        <x:v>165</x:v>
      </x:c>
      <x:c r="P1331" s="12" t="n">
        <x:f>IF(O1331="","",O1331/86400)</x:f>
        <x:v>0.0019097222222222222</x:v>
      </x:c>
      <x:c r="Q1331" s="12" t="n">
        <x:f>IF(O1331="","",(H1331*60+O1331)/86400)</x:f>
        <x:v>0.5053819444444444</x:v>
      </x:c>
      <x:c r="R1331" s="12" t="str">
        <x:f>IF(Q1331="","",TEXT(Q1331,"hh:mm:ss"))</x:f>
        <x:v>12:07:45</x:v>
      </x:c>
      <x:c r="S1331" s="12" t="str">
        <x:v>否</x:v>
      </x:c>
      <x:c r="T1331" s="12" t="str">
        <x:v>否</x:v>
      </x:c>
      <x:c r="U1331" s="12" t="str">
        <x:v>刘虎</x:v>
      </x:c>
      <x:c r="V1331" s="12" t="str">
        <x:v>3号车</x:v>
      </x:c>
      <x:c r="W1331" s="12" t="str">
        <x:v>秒级预测</x:v>
      </x:c>
      <x:c r="X1331" s="12" t="str">
        <x:v>基于路线秒级参数；如录入实测或手动采用秒，预计到达时间可随公式更新</x:v>
      </x:c>
    </x:row>
    <x:row r="1332">
      <x:c r="A1332" s="12" t="str">
        <x:v>S0115-05</x:v>
      </x:c>
      <x:c r="B1332" s="12" t="str">
        <x:v>S0115</x:v>
      </x:c>
      <x:c r="C1332" s="12" t="str">
        <x:v>工作日</x:v>
      </x:c>
      <x:c r="D1332" s="12" t="str">
        <x:v>环线3路</x:v>
      </x:c>
      <x:c r="E1332" s="12" t="str">
        <x:v>第一班</x:v>
      </x:c>
      <x:c r="F1332" s="12" t="n">
        <x:v>7</x:v>
      </x:c>
      <x:c r="G1332" s="12" t="str">
        <x:v>12:05</x:v>
      </x:c>
      <x:c r="H1332" s="12" t="n">
        <x:v>725</x:v>
      </x:c>
      <x:c r="I1332" s="12" t="str">
        <x:v>研究生宿舍楼</x:v>
      </x:c>
      <x:c r="J1332" s="12" t="str">
        <x:v>研究生宿舍楼发车</x:v>
      </x:c>
      <x:c r="K1332" s="12" t="str">
        <x:v>HX3_NORMAL</x:v>
      </x:c>
      <x:c r="L1332" s="12" t="n">
        <x:v>5</x:v>
      </x:c>
      <x:c r="M1332" s="12" t="str">
        <x:v>HX3_NORMAL|5</x:v>
      </x:c>
      <x:c r="N1332" s="12" t="str">
        <x:v>教勤连</x:v>
      </x:c>
      <x:c r="O1332" s="12" t="n">
        <x:f>IFERROR(INDEX('秒级路线参数_可调整'!$O:$O,MATCH(M1332,'秒级路线参数_可调整'!$A:$A,0)),"")</x:f>
        <x:v>250</x:v>
      </x:c>
      <x:c r="P1332" s="12" t="n">
        <x:f>IF(O1332="","",O1332/86400)</x:f>
        <x:v>0.0028935185185185184</x:v>
      </x:c>
      <x:c r="Q1332" s="12" t="n">
        <x:f>IF(O1332="","",(H1332*60+O1332)/86400)</x:f>
        <x:v>0.5063657407407407</x:v>
      </x:c>
      <x:c r="R1332" s="12" t="str">
        <x:f>IF(Q1332="","",TEXT(Q1332,"hh:mm:ss"))</x:f>
        <x:v>12:09:10</x:v>
      </x:c>
      <x:c r="S1332" s="12" t="str">
        <x:v>否</x:v>
      </x:c>
      <x:c r="T1332" s="12" t="str">
        <x:v>否</x:v>
      </x:c>
      <x:c r="U1332" s="12" t="str">
        <x:v>刘虎</x:v>
      </x:c>
      <x:c r="V1332" s="12" t="str">
        <x:v>3号车</x:v>
      </x:c>
      <x:c r="W1332" s="12" t="str">
        <x:v>秒级预测</x:v>
      </x:c>
      <x:c r="X1332" s="12" t="str">
        <x:v>基于路线秒级参数；如录入实测或手动采用秒，预计到达时间可随公式更新</x:v>
      </x:c>
    </x:row>
    <x:row r="1333">
      <x:c r="A1333" s="12" t="str">
        <x:v>S0115-06</x:v>
      </x:c>
      <x:c r="B1333" s="12" t="str">
        <x:v>S0115</x:v>
      </x:c>
      <x:c r="C1333" s="12" t="str">
        <x:v>工作日</x:v>
      </x:c>
      <x:c r="D1333" s="12" t="str">
        <x:v>环线3路</x:v>
      </x:c>
      <x:c r="E1333" s="12" t="str">
        <x:v>第一班</x:v>
      </x:c>
      <x:c r="F1333" s="12" t="n">
        <x:v>7</x:v>
      </x:c>
      <x:c r="G1333" s="12" t="str">
        <x:v>12:05</x:v>
      </x:c>
      <x:c r="H1333" s="12" t="n">
        <x:v>725</x:v>
      </x:c>
      <x:c r="I1333" s="12" t="str">
        <x:v>研究生宿舍楼</x:v>
      </x:c>
      <x:c r="J1333" s="12" t="str">
        <x:v>研究生宿舍楼发车</x:v>
      </x:c>
      <x:c r="K1333" s="12" t="str">
        <x:v>HX3_NORMAL</x:v>
      </x:c>
      <x:c r="L1333" s="12" t="n">
        <x:v>6</x:v>
      </x:c>
      <x:c r="M1333" s="12" t="str">
        <x:v>HX3_NORMAL|6</x:v>
      </x:c>
      <x:c r="N1333" s="12" t="str">
        <x:v>激光所</x:v>
      </x:c>
      <x:c r="O1333" s="12" t="n">
        <x:f>IFERROR(INDEX('秒级路线参数_可调整'!$O:$O,MATCH(M1333,'秒级路线参数_可调整'!$A:$A,0)),"")</x:f>
        <x:v>315</x:v>
      </x:c>
      <x:c r="P1333" s="12" t="n">
        <x:f>IF(O1333="","",O1333/86400)</x:f>
        <x:v>0.0036458333333333334</x:v>
      </x:c>
      <x:c r="Q1333" s="12" t="n">
        <x:f>IF(O1333="","",(H1333*60+O1333)/86400)</x:f>
        <x:v>0.5071180555555556</x:v>
      </x:c>
      <x:c r="R1333" s="12" t="str">
        <x:f>IF(Q1333="","",TEXT(Q1333,"hh:mm:ss"))</x:f>
        <x:v>12:10:15</x:v>
      </x:c>
      <x:c r="S1333" s="12" t="str">
        <x:v>否</x:v>
      </x:c>
      <x:c r="T1333" s="12" t="str">
        <x:v>否</x:v>
      </x:c>
      <x:c r="U1333" s="12" t="str">
        <x:v>刘虎</x:v>
      </x:c>
      <x:c r="V1333" s="12" t="str">
        <x:v>3号车</x:v>
      </x:c>
      <x:c r="W1333" s="12" t="str">
        <x:v>秒级预测</x:v>
      </x:c>
      <x:c r="X1333" s="12" t="str">
        <x:v>基于路线秒级参数；如录入实测或手动采用秒，预计到达时间可随公式更新</x:v>
      </x:c>
    </x:row>
    <x:row r="1334">
      <x:c r="A1334" s="12" t="str">
        <x:v>S0115-07</x:v>
      </x:c>
      <x:c r="B1334" s="12" t="str">
        <x:v>S0115</x:v>
      </x:c>
      <x:c r="C1334" s="12" t="str">
        <x:v>工作日</x:v>
      </x:c>
      <x:c r="D1334" s="12" t="str">
        <x:v>环线3路</x:v>
      </x:c>
      <x:c r="E1334" s="12" t="str">
        <x:v>第一班</x:v>
      </x:c>
      <x:c r="F1334" s="12" t="n">
        <x:v>7</x:v>
      </x:c>
      <x:c r="G1334" s="12" t="str">
        <x:v>12:05</x:v>
      </x:c>
      <x:c r="H1334" s="12" t="n">
        <x:v>725</x:v>
      </x:c>
      <x:c r="I1334" s="12" t="str">
        <x:v>研究生宿舍楼</x:v>
      </x:c>
      <x:c r="J1334" s="12" t="str">
        <x:v>研究生宿舍楼发车</x:v>
      </x:c>
      <x:c r="K1334" s="12" t="str">
        <x:v>HX3_NORMAL</x:v>
      </x:c>
      <x:c r="L1334" s="12" t="n">
        <x:v>7</x:v>
      </x:c>
      <x:c r="M1334" s="12" t="str">
        <x:v>HX3_NORMAL|7</x:v>
      </x:c>
      <x:c r="N1334" s="12" t="str">
        <x:v>高超楼</x:v>
      </x:c>
      <x:c r="O1334" s="12" t="n">
        <x:f>IFERROR(INDEX('秒级路线参数_可调整'!$O:$O,MATCH(M1334,'秒级路线参数_可调整'!$A:$A,0)),"")</x:f>
        <x:v>420</x:v>
      </x:c>
      <x:c r="P1334" s="12" t="n">
        <x:f>IF(O1334="","",O1334/86400)</x:f>
        <x:v>0.004861111111111111</x:v>
      </x:c>
      <x:c r="Q1334" s="12" t="n">
        <x:f>IF(O1334="","",(H1334*60+O1334)/86400)</x:f>
        <x:v>0.5083333333333333</x:v>
      </x:c>
      <x:c r="R1334" s="12" t="str">
        <x:f>IF(Q1334="","",TEXT(Q1334,"hh:mm:ss"))</x:f>
        <x:v>12:12:00</x:v>
      </x:c>
      <x:c r="S1334" s="12" t="str">
        <x:v>否</x:v>
      </x:c>
      <x:c r="T1334" s="12" t="str">
        <x:v>否</x:v>
      </x:c>
      <x:c r="U1334" s="12" t="str">
        <x:v>刘虎</x:v>
      </x:c>
      <x:c r="V1334" s="12" t="str">
        <x:v>3号车</x:v>
      </x:c>
      <x:c r="W1334" s="12" t="str">
        <x:v>秒级预测</x:v>
      </x:c>
      <x:c r="X1334" s="12" t="str">
        <x:v>基于路线秒级参数；如录入实测或手动采用秒，预计到达时间可随公式更新</x:v>
      </x:c>
    </x:row>
    <x:row r="1335">
      <x:c r="A1335" s="12" t="str">
        <x:v>S0115-08</x:v>
      </x:c>
      <x:c r="B1335" s="12" t="str">
        <x:v>S0115</x:v>
      </x:c>
      <x:c r="C1335" s="12" t="str">
        <x:v>工作日</x:v>
      </x:c>
      <x:c r="D1335" s="12" t="str">
        <x:v>环线3路</x:v>
      </x:c>
      <x:c r="E1335" s="12" t="str">
        <x:v>第一班</x:v>
      </x:c>
      <x:c r="F1335" s="12" t="n">
        <x:v>7</x:v>
      </x:c>
      <x:c r="G1335" s="12" t="str">
        <x:v>12:05</x:v>
      </x:c>
      <x:c r="H1335" s="12" t="n">
        <x:v>725</x:v>
      </x:c>
      <x:c r="I1335" s="12" t="str">
        <x:v>研究生宿舍楼</x:v>
      </x:c>
      <x:c r="J1335" s="12" t="str">
        <x:v>研究生宿舍楼发车</x:v>
      </x:c>
      <x:c r="K1335" s="12" t="str">
        <x:v>HX3_NORMAL</x:v>
      </x:c>
      <x:c r="L1335" s="12" t="n">
        <x:v>8</x:v>
      </x:c>
      <x:c r="M1335" s="12" t="str">
        <x:v>HX3_NORMAL|8</x:v>
      </x:c>
      <x:c r="N1335" s="12" t="str">
        <x:v>理学院</x:v>
      </x:c>
      <x:c r="O1335" s="12" t="n">
        <x:f>IFERROR(INDEX('秒级路线参数_可调整'!$O:$O,MATCH(M1335,'秒级路线参数_可调整'!$A:$A,0)),"")</x:f>
        <x:v>480</x:v>
      </x:c>
      <x:c r="P1335" s="12" t="n">
        <x:f>IF(O1335="","",O1335/86400)</x:f>
        <x:v>0.005555555555555556</x:v>
      </x:c>
      <x:c r="Q1335" s="12" t="n">
        <x:f>IF(O1335="","",(H1335*60+O1335)/86400)</x:f>
        <x:v>0.5090277777777777</x:v>
      </x:c>
      <x:c r="R1335" s="12" t="str">
        <x:f>IF(Q1335="","",TEXT(Q1335,"hh:mm:ss"))</x:f>
        <x:v>12:13:00</x:v>
      </x:c>
      <x:c r="S1335" s="12" t="str">
        <x:v>否</x:v>
      </x:c>
      <x:c r="T1335" s="12" t="str">
        <x:v>否</x:v>
      </x:c>
      <x:c r="U1335" s="12" t="str">
        <x:v>刘虎</x:v>
      </x:c>
      <x:c r="V1335" s="12" t="str">
        <x:v>3号车</x:v>
      </x:c>
      <x:c r="W1335" s="12" t="str">
        <x:v>秒级预测</x:v>
      </x:c>
      <x:c r="X1335" s="12" t="str">
        <x:v>基于路线秒级参数；如录入实测或手动采用秒，预计到达时间可随公式更新</x:v>
      </x:c>
    </x:row>
    <x:row r="1336">
      <x:c r="A1336" s="12" t="str">
        <x:v>S0115-09</x:v>
      </x:c>
      <x:c r="B1336" s="12" t="str">
        <x:v>S0115</x:v>
      </x:c>
      <x:c r="C1336" s="12" t="str">
        <x:v>工作日</x:v>
      </x:c>
      <x:c r="D1336" s="12" t="str">
        <x:v>环线3路</x:v>
      </x:c>
      <x:c r="E1336" s="12" t="str">
        <x:v>第一班</x:v>
      </x:c>
      <x:c r="F1336" s="12" t="n">
        <x:v>7</x:v>
      </x:c>
      <x:c r="G1336" s="12" t="str">
        <x:v>12:05</x:v>
      </x:c>
      <x:c r="H1336" s="12" t="n">
        <x:v>725</x:v>
      </x:c>
      <x:c r="I1336" s="12" t="str">
        <x:v>研究生宿舍楼</x:v>
      </x:c>
      <x:c r="J1336" s="12" t="str">
        <x:v>研究生宿舍楼发车</x:v>
      </x:c>
      <x:c r="K1336" s="12" t="str">
        <x:v>HX3_NORMAL</x:v>
      </x:c>
      <x:c r="L1336" s="12" t="n">
        <x:v>9</x:v>
      </x:c>
      <x:c r="M1336" s="12" t="str">
        <x:v>HX3_NORMAL|9</x:v>
      </x:c>
      <x:c r="N1336" s="12" t="str">
        <x:v>二食堂</x:v>
      </x:c>
      <x:c r="O1336" s="12" t="n">
        <x:f>IFERROR(INDEX('秒级路线参数_可调整'!$O:$O,MATCH(M1336,'秒级路线参数_可调整'!$A:$A,0)),"")</x:f>
        <x:v>535</x:v>
      </x:c>
      <x:c r="P1336" s="12" t="n">
        <x:f>IF(O1336="","",O1336/86400)</x:f>
        <x:v>0.00619212962962963</x:v>
      </x:c>
      <x:c r="Q1336" s="12" t="n">
        <x:f>IF(O1336="","",(H1336*60+O1336)/86400)</x:f>
        <x:v>0.5096643518518519</x:v>
      </x:c>
      <x:c r="R1336" s="12" t="str">
        <x:f>IF(Q1336="","",TEXT(Q1336,"hh:mm:ss"))</x:f>
        <x:v>12:13:55</x:v>
      </x:c>
      <x:c r="S1336" s="12" t="str">
        <x:v>否</x:v>
      </x:c>
      <x:c r="T1336" s="12" t="str">
        <x:v>否</x:v>
      </x:c>
      <x:c r="U1336" s="12" t="str">
        <x:v>刘虎</x:v>
      </x:c>
      <x:c r="V1336" s="12" t="str">
        <x:v>3号车</x:v>
      </x:c>
      <x:c r="W1336" s="12" t="str">
        <x:v>秒级预测</x:v>
      </x:c>
      <x:c r="X1336" s="12" t="str">
        <x:v>基于路线秒级参数；如录入实测或手动采用秒，预计到达时间可随公式更新</x:v>
      </x:c>
    </x:row>
    <x:row r="1337">
      <x:c r="A1337" s="12" t="str">
        <x:v>S0115-10</x:v>
      </x:c>
      <x:c r="B1337" s="12" t="str">
        <x:v>S0115</x:v>
      </x:c>
      <x:c r="C1337" s="12" t="str">
        <x:v>工作日</x:v>
      </x:c>
      <x:c r="D1337" s="12" t="str">
        <x:v>环线3路</x:v>
      </x:c>
      <x:c r="E1337" s="12" t="str">
        <x:v>第一班</x:v>
      </x:c>
      <x:c r="F1337" s="12" t="n">
        <x:v>7</x:v>
      </x:c>
      <x:c r="G1337" s="12" t="str">
        <x:v>12:05</x:v>
      </x:c>
      <x:c r="H1337" s="12" t="n">
        <x:v>725</x:v>
      </x:c>
      <x:c r="I1337" s="12" t="str">
        <x:v>研究生宿舍楼</x:v>
      </x:c>
      <x:c r="J1337" s="12" t="str">
        <x:v>研究生宿舍楼发车</x:v>
      </x:c>
      <x:c r="K1337" s="12" t="str">
        <x:v>HX3_NORMAL</x:v>
      </x:c>
      <x:c r="L1337" s="12" t="n">
        <x:v>10</x:v>
      </x:c>
      <x:c r="M1337" s="12" t="str">
        <x:v>HX3_NORMAL|10</x:v>
      </x:c>
      <x:c r="N1337" s="12" t="str">
        <x:v>图书馆</x:v>
      </x:c>
      <x:c r="O1337" s="12" t="n">
        <x:f>IFERROR(INDEX('秒级路线参数_可调整'!$O:$O,MATCH(M1337,'秒级路线参数_可调整'!$A:$A,0)),"")</x:f>
        <x:v>715</x:v>
      </x:c>
      <x:c r="P1337" s="12" t="n">
        <x:f>IF(O1337="","",O1337/86400)</x:f>
        <x:v>0.008275462962962964</x:v>
      </x:c>
      <x:c r="Q1337" s="12" t="n">
        <x:f>IF(O1337="","",(H1337*60+O1337)/86400)</x:f>
        <x:v>0.5117476851851852</x:v>
      </x:c>
      <x:c r="R1337" s="12" t="str">
        <x:f>IF(Q1337="","",TEXT(Q1337,"hh:mm:ss"))</x:f>
        <x:v>12:16:55</x:v>
      </x:c>
      <x:c r="S1337" s="12" t="str">
        <x:v>否</x:v>
      </x:c>
      <x:c r="T1337" s="12" t="str">
        <x:v>否</x:v>
      </x:c>
      <x:c r="U1337" s="12" t="str">
        <x:v>刘虎</x:v>
      </x:c>
      <x:c r="V1337" s="12" t="str">
        <x:v>3号车</x:v>
      </x:c>
      <x:c r="W1337" s="12" t="str">
        <x:v>秒级预测</x:v>
      </x:c>
      <x:c r="X1337" s="12" t="str">
        <x:v>基于路线秒级参数；如录入实测或手动采用秒，预计到达时间可随公式更新</x:v>
      </x:c>
    </x:row>
    <x:row r="1338">
      <x:c r="A1338" s="12" t="str">
        <x:v>S0115-11</x:v>
      </x:c>
      <x:c r="B1338" s="12" t="str">
        <x:v>S0115</x:v>
      </x:c>
      <x:c r="C1338" s="12" t="str">
        <x:v>工作日</x:v>
      </x:c>
      <x:c r="D1338" s="12" t="str">
        <x:v>环线3路</x:v>
      </x:c>
      <x:c r="E1338" s="12" t="str">
        <x:v>第一班</x:v>
      </x:c>
      <x:c r="F1338" s="12" t="n">
        <x:v>7</x:v>
      </x:c>
      <x:c r="G1338" s="12" t="str">
        <x:v>12:05</x:v>
      </x:c>
      <x:c r="H1338" s="12" t="n">
        <x:v>725</x:v>
      </x:c>
      <x:c r="I1338" s="12" t="str">
        <x:v>研究生宿舍楼</x:v>
      </x:c>
      <x:c r="J1338" s="12" t="str">
        <x:v>研究生宿舍楼发车</x:v>
      </x:c>
      <x:c r="K1338" s="12" t="str">
        <x:v>HX3_NORMAL</x:v>
      </x:c>
      <x:c r="L1338" s="12" t="n">
        <x:v>11</x:v>
      </x:c>
      <x:c r="M1338" s="12" t="str">
        <x:v>HX3_NORMAL|11</x:v>
      </x:c>
      <x:c r="N1338" s="12" t="str">
        <x:v>305教学楼</x:v>
      </x:c>
      <x:c r="O1338" s="12" t="n">
        <x:f>IFERROR(INDEX('秒级路线参数_可调整'!$O:$O,MATCH(M1338,'秒级路线参数_可调整'!$A:$A,0)),"")</x:f>
        <x:v>775</x:v>
      </x:c>
      <x:c r="P1338" s="12" t="n">
        <x:f>IF(O1338="","",O1338/86400)</x:f>
        <x:v>0.008969907407407407</x:v>
      </x:c>
      <x:c r="Q1338" s="12" t="n">
        <x:f>IF(O1338="","",(H1338*60+O1338)/86400)</x:f>
        <x:v>0.5124421296296297</x:v>
      </x:c>
      <x:c r="R1338" s="12" t="str">
        <x:f>IF(Q1338="","",TEXT(Q1338,"hh:mm:ss"))</x:f>
        <x:v>12:17:55</x:v>
      </x:c>
      <x:c r="S1338" s="12" t="str">
        <x:v>否</x:v>
      </x:c>
      <x:c r="T1338" s="12" t="str">
        <x:v>否</x:v>
      </x:c>
      <x:c r="U1338" s="12" t="str">
        <x:v>刘虎</x:v>
      </x:c>
      <x:c r="V1338" s="12" t="str">
        <x:v>3号车</x:v>
      </x:c>
      <x:c r="W1338" s="12" t="str">
        <x:v>秒级预测</x:v>
      </x:c>
      <x:c r="X1338" s="12" t="str">
        <x:v>基于路线秒级参数；如录入实测或手动采用秒，预计到达时间可随公式更新</x:v>
      </x:c>
    </x:row>
    <x:row r="1339">
      <x:c r="A1339" s="12" t="str">
        <x:v>S0115-12</x:v>
      </x:c>
      <x:c r="B1339" s="12" t="str">
        <x:v>S0115</x:v>
      </x:c>
      <x:c r="C1339" s="12" t="str">
        <x:v>工作日</x:v>
      </x:c>
      <x:c r="D1339" s="12" t="str">
        <x:v>环线3路</x:v>
      </x:c>
      <x:c r="E1339" s="12" t="str">
        <x:v>第一班</x:v>
      </x:c>
      <x:c r="F1339" s="12" t="n">
        <x:v>7</x:v>
      </x:c>
      <x:c r="G1339" s="12" t="str">
        <x:v>12:05</x:v>
      </x:c>
      <x:c r="H1339" s="12" t="n">
        <x:v>725</x:v>
      </x:c>
      <x:c r="I1339" s="12" t="str">
        <x:v>研究生宿舍楼</x:v>
      </x:c>
      <x:c r="J1339" s="12" t="str">
        <x:v>研究生宿舍楼发车</x:v>
      </x:c>
      <x:c r="K1339" s="12" t="str">
        <x:v>HX3_NORMAL</x:v>
      </x:c>
      <x:c r="L1339" s="12" t="n">
        <x:v>12</x:v>
      </x:c>
      <x:c r="M1339" s="12" t="str">
        <x:v>HX3_NORMAL|12</x:v>
      </x:c>
      <x:c r="N1339" s="12" t="str">
        <x:v>研究生宿舍楼</x:v>
      </x:c>
      <x:c r="O1339" s="12" t="n">
        <x:f>IFERROR(INDEX('秒级路线参数_可调整'!$O:$O,MATCH(M1339,'秒级路线参数_可调整'!$A:$A,0)),"")</x:f>
        <x:v>840</x:v>
      </x:c>
      <x:c r="P1339" s="12" t="n">
        <x:f>IF(O1339="","",O1339/86400)</x:f>
        <x:v>0.009722222222222222</x:v>
      </x:c>
      <x:c r="Q1339" s="12" t="n">
        <x:f>IF(O1339="","",(H1339*60+O1339)/86400)</x:f>
        <x:v>0.5131944444444444</x:v>
      </x:c>
      <x:c r="R1339" s="12" t="str">
        <x:f>IF(Q1339="","",TEXT(Q1339,"hh:mm:ss"))</x:f>
        <x:v>12:19:00</x:v>
      </x:c>
      <x:c r="S1339" s="12" t="str">
        <x:v>否</x:v>
      </x:c>
      <x:c r="T1339" s="12" t="str">
        <x:v>是</x:v>
      </x:c>
      <x:c r="U1339" s="12" t="str">
        <x:v>刘虎</x:v>
      </x:c>
      <x:c r="V1339" s="12" t="str">
        <x:v>3号车</x:v>
      </x:c>
      <x:c r="W1339" s="12" t="str">
        <x:v>秒级预测</x:v>
      </x:c>
      <x:c r="X1339" s="12" t="str">
        <x:v>基于路线秒级参数；如录入实测或手动采用秒，预计到达时间可随公式更新</x:v>
      </x:c>
    </x:row>
    <x:row r="1340">
      <x:c r="A1340" s="12" t="str">
        <x:v>S0116-01</x:v>
      </x:c>
      <x:c r="B1340" s="12" t="str">
        <x:v>S0116</x:v>
      </x:c>
      <x:c r="C1340" s="12" t="str">
        <x:v>工作日</x:v>
      </x:c>
      <x:c r="D1340" s="12" t="str">
        <x:v>环线3路</x:v>
      </x:c>
      <x:c r="E1340" s="12" t="str">
        <x:v>第一班</x:v>
      </x:c>
      <x:c r="F1340" s="12" t="n">
        <x:v>8</x:v>
      </x:c>
      <x:c r="G1340" s="12" t="str">
        <x:v>14:10</x:v>
      </x:c>
      <x:c r="H1340" s="12" t="n">
        <x:v>850</x:v>
      </x:c>
      <x:c r="I1340" s="12" t="str">
        <x:v>研究生宿舍楼</x:v>
      </x:c>
      <x:c r="J1340" s="12" t="str">
        <x:v>研究生宿舍楼发车</x:v>
      </x:c>
      <x:c r="K1340" s="12" t="str">
        <x:v>HX3_NORMAL</x:v>
      </x:c>
      <x:c r="L1340" s="12" t="n">
        <x:v>1</x:v>
      </x:c>
      <x:c r="M1340" s="12" t="str">
        <x:v>HX3_NORMAL|1</x:v>
      </x:c>
      <x:c r="N1340" s="12" t="str">
        <x:v>研究生宿舍楼</x:v>
      </x:c>
      <x:c r="O1340" s="12" t="n">
        <x:f>IFERROR(INDEX('秒级路线参数_可调整'!$O:$O,MATCH(M1340,'秒级路线参数_可调整'!$A:$A,0)),"")</x:f>
        <x:v>0</x:v>
      </x:c>
      <x:c r="P1340" s="12" t="str">
        <x:f>IF(O1340="","",O1340/86400)</x:f>
      </x:c>
      <x:c r="Q1340" s="12" t="str">
        <x:f>IF(O1340="","",(H1340*60+O1340)/86400)</x:f>
      </x:c>
      <x:c r="R1340" s="12" t="str">
        <x:f>IF(Q1340="","",TEXT(Q1340,"hh:mm:ss"))</x:f>
      </x:c>
      <x:c r="S1340" s="12" t="str">
        <x:v>是</x:v>
      </x:c>
      <x:c r="T1340" s="12" t="str">
        <x:v>否</x:v>
      </x:c>
      <x:c r="U1340" s="12" t="str">
        <x:v>刘虎</x:v>
      </x:c>
      <x:c r="V1340" s="12" t="str">
        <x:v>3号车</x:v>
      </x:c>
      <x:c r="W1340" s="12" t="str">
        <x:v>秒级预测</x:v>
      </x:c>
      <x:c r="X1340" s="12" t="str">
        <x:v>基于路线秒级参数；如录入实测或手动采用秒，预计到达时间可随公式更新</x:v>
      </x:c>
    </x:row>
    <x:row r="1341">
      <x:c r="A1341" s="12" t="str">
        <x:v>S0116-02</x:v>
      </x:c>
      <x:c r="B1341" s="12" t="str">
        <x:v>S0116</x:v>
      </x:c>
      <x:c r="C1341" s="12" t="str">
        <x:v>工作日</x:v>
      </x:c>
      <x:c r="D1341" s="12" t="str">
        <x:v>环线3路</x:v>
      </x:c>
      <x:c r="E1341" s="12" t="str">
        <x:v>第一班</x:v>
      </x:c>
      <x:c r="F1341" s="12" t="n">
        <x:v>8</x:v>
      </x:c>
      <x:c r="G1341" s="12" t="str">
        <x:v>14:10</x:v>
      </x:c>
      <x:c r="H1341" s="12" t="n">
        <x:v>850</x:v>
      </x:c>
      <x:c r="I1341" s="12" t="str">
        <x:v>研究生宿舍楼</x:v>
      </x:c>
      <x:c r="J1341" s="12" t="str">
        <x:v>研究生宿舍楼发车</x:v>
      </x:c>
      <x:c r="K1341" s="12" t="str">
        <x:v>HX3_NORMAL</x:v>
      </x:c>
      <x:c r="L1341" s="12" t="n">
        <x:v>2</x:v>
      </x:c>
      <x:c r="M1341" s="12" t="str">
        <x:v>HX3_NORMAL|2</x:v>
      </x:c>
      <x:c r="N1341" s="12" t="str">
        <x:v>一食堂</x:v>
      </x:c>
      <x:c r="O1341" s="12" t="n">
        <x:f>IFERROR(INDEX('秒级路线参数_可调整'!$O:$O,MATCH(M1341,'秒级路线参数_可调整'!$A:$A,0)),"")</x:f>
        <x:v>65</x:v>
      </x:c>
      <x:c r="P1341" s="12" t="n">
        <x:f>IF(O1341="","",O1341/86400)</x:f>
        <x:v>0.0007523148148148148</x:v>
      </x:c>
      <x:c r="Q1341" s="12" t="n">
        <x:f>IF(O1341="","",(H1341*60+O1341)/86400)</x:f>
        <x:v>0.5910300925925925</x:v>
      </x:c>
      <x:c r="R1341" s="12" t="str">
        <x:f>IF(Q1341="","",TEXT(Q1341,"hh:mm:ss"))</x:f>
        <x:v>14:11:05</x:v>
      </x:c>
      <x:c r="S1341" s="12" t="str">
        <x:v>否</x:v>
      </x:c>
      <x:c r="T1341" s="12" t="str">
        <x:v>否</x:v>
      </x:c>
      <x:c r="U1341" s="12" t="str">
        <x:v>刘虎</x:v>
      </x:c>
      <x:c r="V1341" s="12" t="str">
        <x:v>3号车</x:v>
      </x:c>
      <x:c r="W1341" s="12" t="str">
        <x:v>秒级预测</x:v>
      </x:c>
      <x:c r="X1341" s="12" t="str">
        <x:v>基于路线秒级参数；如录入实测或手动采用秒，预计到达时间可随公式更新</x:v>
      </x:c>
    </x:row>
    <x:row r="1342">
      <x:c r="A1342" s="12" t="str">
        <x:v>S0116-03</x:v>
      </x:c>
      <x:c r="B1342" s="12" t="str">
        <x:v>S0116</x:v>
      </x:c>
      <x:c r="C1342" s="12" t="str">
        <x:v>工作日</x:v>
      </x:c>
      <x:c r="D1342" s="12" t="str">
        <x:v>环线3路</x:v>
      </x:c>
      <x:c r="E1342" s="12" t="str">
        <x:v>第一班</x:v>
      </x:c>
      <x:c r="F1342" s="12" t="n">
        <x:v>8</x:v>
      </x:c>
      <x:c r="G1342" s="12" t="str">
        <x:v>14:10</x:v>
      </x:c>
      <x:c r="H1342" s="12" t="n">
        <x:v>850</x:v>
      </x:c>
      <x:c r="I1342" s="12" t="str">
        <x:v>研究生宿舍楼</x:v>
      </x:c>
      <x:c r="J1342" s="12" t="str">
        <x:v>研究生宿舍楼发车</x:v>
      </x:c>
      <x:c r="K1342" s="12" t="str">
        <x:v>HX3_NORMAL</x:v>
      </x:c>
      <x:c r="L1342" s="12" t="n">
        <x:v>3</x:v>
      </x:c>
      <x:c r="M1342" s="12" t="str">
        <x:v>HX3_NORMAL|3</x:v>
      </x:c>
      <x:c r="N1342" s="12" t="str">
        <x:v>2号宿舍楼</x:v>
      </x:c>
      <x:c r="O1342" s="12" t="n">
        <x:f>IFERROR(INDEX('秒级路线参数_可调整'!$O:$O,MATCH(M1342,'秒级路线参数_可调整'!$A:$A,0)),"")</x:f>
        <x:v>120</x:v>
      </x:c>
      <x:c r="P1342" s="12" t="n">
        <x:f>IF(O1342="","",O1342/86400)</x:f>
        <x:v>0.001388888888888889</x:v>
      </x:c>
      <x:c r="Q1342" s="12" t="n">
        <x:f>IF(O1342="","",(H1342*60+O1342)/86400)</x:f>
        <x:v>0.5916666666666667</x:v>
      </x:c>
      <x:c r="R1342" s="12" t="str">
        <x:f>IF(Q1342="","",TEXT(Q1342,"hh:mm:ss"))</x:f>
        <x:v>14:12:00</x:v>
      </x:c>
      <x:c r="S1342" s="12" t="str">
        <x:v>否</x:v>
      </x:c>
      <x:c r="T1342" s="12" t="str">
        <x:v>否</x:v>
      </x:c>
      <x:c r="U1342" s="12" t="str">
        <x:v>刘虎</x:v>
      </x:c>
      <x:c r="V1342" s="12" t="str">
        <x:v>3号车</x:v>
      </x:c>
      <x:c r="W1342" s="12" t="str">
        <x:v>秒级预测</x:v>
      </x:c>
      <x:c r="X1342" s="12" t="str">
        <x:v>基于路线秒级参数；如录入实测或手动采用秒，预计到达时间可随公式更新</x:v>
      </x:c>
    </x:row>
    <x:row r="1343">
      <x:c r="A1343" s="12" t="str">
        <x:v>S0116-04</x:v>
      </x:c>
      <x:c r="B1343" s="12" t="str">
        <x:v>S0116</x:v>
      </x:c>
      <x:c r="C1343" s="12" t="str">
        <x:v>工作日</x:v>
      </x:c>
      <x:c r="D1343" s="12" t="str">
        <x:v>环线3路</x:v>
      </x:c>
      <x:c r="E1343" s="12" t="str">
        <x:v>第一班</x:v>
      </x:c>
      <x:c r="F1343" s="12" t="n">
        <x:v>8</x:v>
      </x:c>
      <x:c r="G1343" s="12" t="str">
        <x:v>14:10</x:v>
      </x:c>
      <x:c r="H1343" s="12" t="n">
        <x:v>850</x:v>
      </x:c>
      <x:c r="I1343" s="12" t="str">
        <x:v>研究生宿舍楼</x:v>
      </x:c>
      <x:c r="J1343" s="12" t="str">
        <x:v>研究生宿舍楼发车</x:v>
      </x:c>
      <x:c r="K1343" s="12" t="str">
        <x:v>HX3_NORMAL</x:v>
      </x:c>
      <x:c r="L1343" s="12" t="n">
        <x:v>4</x:v>
      </x:c>
      <x:c r="M1343" s="12" t="str">
        <x:v>HX3_NORMAL|4</x:v>
      </x:c>
      <x:c r="N1343" s="12" t="str">
        <x:v>军体活动中心</x:v>
      </x:c>
      <x:c r="O1343" s="12" t="n">
        <x:f>IFERROR(INDEX('秒级路线参数_可调整'!$O:$O,MATCH(M1343,'秒级路线参数_可调整'!$A:$A,0)),"")</x:f>
        <x:v>165</x:v>
      </x:c>
      <x:c r="P1343" s="12" t="n">
        <x:f>IF(O1343="","",O1343/86400)</x:f>
        <x:v>0.0019097222222222222</x:v>
      </x:c>
      <x:c r="Q1343" s="12" t="n">
        <x:f>IF(O1343="","",(H1343*60+O1343)/86400)</x:f>
        <x:v>0.5921875</x:v>
      </x:c>
      <x:c r="R1343" s="12" t="str">
        <x:f>IF(Q1343="","",TEXT(Q1343,"hh:mm:ss"))</x:f>
        <x:v>14:12:45</x:v>
      </x:c>
      <x:c r="S1343" s="12" t="str">
        <x:v>否</x:v>
      </x:c>
      <x:c r="T1343" s="12" t="str">
        <x:v>否</x:v>
      </x:c>
      <x:c r="U1343" s="12" t="str">
        <x:v>刘虎</x:v>
      </x:c>
      <x:c r="V1343" s="12" t="str">
        <x:v>3号车</x:v>
      </x:c>
      <x:c r="W1343" s="12" t="str">
        <x:v>秒级预测</x:v>
      </x:c>
      <x:c r="X1343" s="12" t="str">
        <x:v>基于路线秒级参数；如录入实测或手动采用秒，预计到达时间可随公式更新</x:v>
      </x:c>
    </x:row>
    <x:row r="1344">
      <x:c r="A1344" s="12" t="str">
        <x:v>S0116-05</x:v>
      </x:c>
      <x:c r="B1344" s="12" t="str">
        <x:v>S0116</x:v>
      </x:c>
      <x:c r="C1344" s="12" t="str">
        <x:v>工作日</x:v>
      </x:c>
      <x:c r="D1344" s="12" t="str">
        <x:v>环线3路</x:v>
      </x:c>
      <x:c r="E1344" s="12" t="str">
        <x:v>第一班</x:v>
      </x:c>
      <x:c r="F1344" s="12" t="n">
        <x:v>8</x:v>
      </x:c>
      <x:c r="G1344" s="12" t="str">
        <x:v>14:10</x:v>
      </x:c>
      <x:c r="H1344" s="12" t="n">
        <x:v>850</x:v>
      </x:c>
      <x:c r="I1344" s="12" t="str">
        <x:v>研究生宿舍楼</x:v>
      </x:c>
      <x:c r="J1344" s="12" t="str">
        <x:v>研究生宿舍楼发车</x:v>
      </x:c>
      <x:c r="K1344" s="12" t="str">
        <x:v>HX3_NORMAL</x:v>
      </x:c>
      <x:c r="L1344" s="12" t="n">
        <x:v>5</x:v>
      </x:c>
      <x:c r="M1344" s="12" t="str">
        <x:v>HX3_NORMAL|5</x:v>
      </x:c>
      <x:c r="N1344" s="12" t="str">
        <x:v>教勤连</x:v>
      </x:c>
      <x:c r="O1344" s="12" t="n">
        <x:f>IFERROR(INDEX('秒级路线参数_可调整'!$O:$O,MATCH(M1344,'秒级路线参数_可调整'!$A:$A,0)),"")</x:f>
        <x:v>250</x:v>
      </x:c>
      <x:c r="P1344" s="12" t="n">
        <x:f>IF(O1344="","",O1344/86400)</x:f>
        <x:v>0.0028935185185185184</x:v>
      </x:c>
      <x:c r="Q1344" s="12" t="n">
        <x:f>IF(O1344="","",(H1344*60+O1344)/86400)</x:f>
        <x:v>0.5931712962962963</x:v>
      </x:c>
      <x:c r="R1344" s="12" t="str">
        <x:f>IF(Q1344="","",TEXT(Q1344,"hh:mm:ss"))</x:f>
        <x:v>14:14:10</x:v>
      </x:c>
      <x:c r="S1344" s="12" t="str">
        <x:v>否</x:v>
      </x:c>
      <x:c r="T1344" s="12" t="str">
        <x:v>否</x:v>
      </x:c>
      <x:c r="U1344" s="12" t="str">
        <x:v>刘虎</x:v>
      </x:c>
      <x:c r="V1344" s="12" t="str">
        <x:v>3号车</x:v>
      </x:c>
      <x:c r="W1344" s="12" t="str">
        <x:v>秒级预测</x:v>
      </x:c>
      <x:c r="X1344" s="12" t="str">
        <x:v>基于路线秒级参数；如录入实测或手动采用秒，预计到达时间可随公式更新</x:v>
      </x:c>
    </x:row>
    <x:row r="1345">
      <x:c r="A1345" s="12" t="str">
        <x:v>S0116-06</x:v>
      </x:c>
      <x:c r="B1345" s="12" t="str">
        <x:v>S0116</x:v>
      </x:c>
      <x:c r="C1345" s="12" t="str">
        <x:v>工作日</x:v>
      </x:c>
      <x:c r="D1345" s="12" t="str">
        <x:v>环线3路</x:v>
      </x:c>
      <x:c r="E1345" s="12" t="str">
        <x:v>第一班</x:v>
      </x:c>
      <x:c r="F1345" s="12" t="n">
        <x:v>8</x:v>
      </x:c>
      <x:c r="G1345" s="12" t="str">
        <x:v>14:10</x:v>
      </x:c>
      <x:c r="H1345" s="12" t="n">
        <x:v>850</x:v>
      </x:c>
      <x:c r="I1345" s="12" t="str">
        <x:v>研究生宿舍楼</x:v>
      </x:c>
      <x:c r="J1345" s="12" t="str">
        <x:v>研究生宿舍楼发车</x:v>
      </x:c>
      <x:c r="K1345" s="12" t="str">
        <x:v>HX3_NORMAL</x:v>
      </x:c>
      <x:c r="L1345" s="12" t="n">
        <x:v>6</x:v>
      </x:c>
      <x:c r="M1345" s="12" t="str">
        <x:v>HX3_NORMAL|6</x:v>
      </x:c>
      <x:c r="N1345" s="12" t="str">
        <x:v>激光所</x:v>
      </x:c>
      <x:c r="O1345" s="12" t="n">
        <x:f>IFERROR(INDEX('秒级路线参数_可调整'!$O:$O,MATCH(M1345,'秒级路线参数_可调整'!$A:$A,0)),"")</x:f>
        <x:v>315</x:v>
      </x:c>
      <x:c r="P1345" s="12" t="n">
        <x:f>IF(O1345="","",O1345/86400)</x:f>
        <x:v>0.0036458333333333334</x:v>
      </x:c>
      <x:c r="Q1345" s="12" t="n">
        <x:f>IF(O1345="","",(H1345*60+O1345)/86400)</x:f>
        <x:v>0.5939236111111111</x:v>
      </x:c>
      <x:c r="R1345" s="12" t="str">
        <x:f>IF(Q1345="","",TEXT(Q1345,"hh:mm:ss"))</x:f>
        <x:v>14:15:15</x:v>
      </x:c>
      <x:c r="S1345" s="12" t="str">
        <x:v>否</x:v>
      </x:c>
      <x:c r="T1345" s="12" t="str">
        <x:v>否</x:v>
      </x:c>
      <x:c r="U1345" s="12" t="str">
        <x:v>刘虎</x:v>
      </x:c>
      <x:c r="V1345" s="12" t="str">
        <x:v>3号车</x:v>
      </x:c>
      <x:c r="W1345" s="12" t="str">
        <x:v>秒级预测</x:v>
      </x:c>
      <x:c r="X1345" s="12" t="str">
        <x:v>基于路线秒级参数；如录入实测或手动采用秒，预计到达时间可随公式更新</x:v>
      </x:c>
    </x:row>
    <x:row r="1346">
      <x:c r="A1346" s="12" t="str">
        <x:v>S0116-07</x:v>
      </x:c>
      <x:c r="B1346" s="12" t="str">
        <x:v>S0116</x:v>
      </x:c>
      <x:c r="C1346" s="12" t="str">
        <x:v>工作日</x:v>
      </x:c>
      <x:c r="D1346" s="12" t="str">
        <x:v>环线3路</x:v>
      </x:c>
      <x:c r="E1346" s="12" t="str">
        <x:v>第一班</x:v>
      </x:c>
      <x:c r="F1346" s="12" t="n">
        <x:v>8</x:v>
      </x:c>
      <x:c r="G1346" s="12" t="str">
        <x:v>14:10</x:v>
      </x:c>
      <x:c r="H1346" s="12" t="n">
        <x:v>850</x:v>
      </x:c>
      <x:c r="I1346" s="12" t="str">
        <x:v>研究生宿舍楼</x:v>
      </x:c>
      <x:c r="J1346" s="12" t="str">
        <x:v>研究生宿舍楼发车</x:v>
      </x:c>
      <x:c r="K1346" s="12" t="str">
        <x:v>HX3_NORMAL</x:v>
      </x:c>
      <x:c r="L1346" s="12" t="n">
        <x:v>7</x:v>
      </x:c>
      <x:c r="M1346" s="12" t="str">
        <x:v>HX3_NORMAL|7</x:v>
      </x:c>
      <x:c r="N1346" s="12" t="str">
        <x:v>高超楼</x:v>
      </x:c>
      <x:c r="O1346" s="12" t="n">
        <x:f>IFERROR(INDEX('秒级路线参数_可调整'!$O:$O,MATCH(M1346,'秒级路线参数_可调整'!$A:$A,0)),"")</x:f>
        <x:v>420</x:v>
      </x:c>
      <x:c r="P1346" s="12" t="n">
        <x:f>IF(O1346="","",O1346/86400)</x:f>
        <x:v>0.004861111111111111</x:v>
      </x:c>
      <x:c r="Q1346" s="12" t="n">
        <x:f>IF(O1346="","",(H1346*60+O1346)/86400)</x:f>
        <x:v>0.5951388888888889</x:v>
      </x:c>
      <x:c r="R1346" s="12" t="str">
        <x:f>IF(Q1346="","",TEXT(Q1346,"hh:mm:ss"))</x:f>
        <x:v>14:17:00</x:v>
      </x:c>
      <x:c r="S1346" s="12" t="str">
        <x:v>否</x:v>
      </x:c>
      <x:c r="T1346" s="12" t="str">
        <x:v>否</x:v>
      </x:c>
      <x:c r="U1346" s="12" t="str">
        <x:v>刘虎</x:v>
      </x:c>
      <x:c r="V1346" s="12" t="str">
        <x:v>3号车</x:v>
      </x:c>
      <x:c r="W1346" s="12" t="str">
        <x:v>秒级预测</x:v>
      </x:c>
      <x:c r="X1346" s="12" t="str">
        <x:v>基于路线秒级参数；如录入实测或手动采用秒，预计到达时间可随公式更新</x:v>
      </x:c>
    </x:row>
    <x:row r="1347">
      <x:c r="A1347" s="12" t="str">
        <x:v>S0116-08</x:v>
      </x:c>
      <x:c r="B1347" s="12" t="str">
        <x:v>S0116</x:v>
      </x:c>
      <x:c r="C1347" s="12" t="str">
        <x:v>工作日</x:v>
      </x:c>
      <x:c r="D1347" s="12" t="str">
        <x:v>环线3路</x:v>
      </x:c>
      <x:c r="E1347" s="12" t="str">
        <x:v>第一班</x:v>
      </x:c>
      <x:c r="F1347" s="12" t="n">
        <x:v>8</x:v>
      </x:c>
      <x:c r="G1347" s="12" t="str">
        <x:v>14:10</x:v>
      </x:c>
      <x:c r="H1347" s="12" t="n">
        <x:v>850</x:v>
      </x:c>
      <x:c r="I1347" s="12" t="str">
        <x:v>研究生宿舍楼</x:v>
      </x:c>
      <x:c r="J1347" s="12" t="str">
        <x:v>研究生宿舍楼发车</x:v>
      </x:c>
      <x:c r="K1347" s="12" t="str">
        <x:v>HX3_NORMAL</x:v>
      </x:c>
      <x:c r="L1347" s="12" t="n">
        <x:v>8</x:v>
      </x:c>
      <x:c r="M1347" s="12" t="str">
        <x:v>HX3_NORMAL|8</x:v>
      </x:c>
      <x:c r="N1347" s="12" t="str">
        <x:v>理学院</x:v>
      </x:c>
      <x:c r="O1347" s="12" t="n">
        <x:f>IFERROR(INDEX('秒级路线参数_可调整'!$O:$O,MATCH(M1347,'秒级路线参数_可调整'!$A:$A,0)),"")</x:f>
        <x:v>480</x:v>
      </x:c>
      <x:c r="P1347" s="12" t="n">
        <x:f>IF(O1347="","",O1347/86400)</x:f>
        <x:v>0.005555555555555556</x:v>
      </x:c>
      <x:c r="Q1347" s="12" t="n">
        <x:f>IF(O1347="","",(H1347*60+O1347)/86400)</x:f>
        <x:v>0.5958333333333333</x:v>
      </x:c>
      <x:c r="R1347" s="12" t="str">
        <x:f>IF(Q1347="","",TEXT(Q1347,"hh:mm:ss"))</x:f>
        <x:v>14:18:00</x:v>
      </x:c>
      <x:c r="S1347" s="12" t="str">
        <x:v>否</x:v>
      </x:c>
      <x:c r="T1347" s="12" t="str">
        <x:v>否</x:v>
      </x:c>
      <x:c r="U1347" s="12" t="str">
        <x:v>刘虎</x:v>
      </x:c>
      <x:c r="V1347" s="12" t="str">
        <x:v>3号车</x:v>
      </x:c>
      <x:c r="W1347" s="12" t="str">
        <x:v>秒级预测</x:v>
      </x:c>
      <x:c r="X1347" s="12" t="str">
        <x:v>基于路线秒级参数；如录入实测或手动采用秒，预计到达时间可随公式更新</x:v>
      </x:c>
    </x:row>
    <x:row r="1348">
      <x:c r="A1348" s="12" t="str">
        <x:v>S0116-09</x:v>
      </x:c>
      <x:c r="B1348" s="12" t="str">
        <x:v>S0116</x:v>
      </x:c>
      <x:c r="C1348" s="12" t="str">
        <x:v>工作日</x:v>
      </x:c>
      <x:c r="D1348" s="12" t="str">
        <x:v>环线3路</x:v>
      </x:c>
      <x:c r="E1348" s="12" t="str">
        <x:v>第一班</x:v>
      </x:c>
      <x:c r="F1348" s="12" t="n">
        <x:v>8</x:v>
      </x:c>
      <x:c r="G1348" s="12" t="str">
        <x:v>14:10</x:v>
      </x:c>
      <x:c r="H1348" s="12" t="n">
        <x:v>850</x:v>
      </x:c>
      <x:c r="I1348" s="12" t="str">
        <x:v>研究生宿舍楼</x:v>
      </x:c>
      <x:c r="J1348" s="12" t="str">
        <x:v>研究生宿舍楼发车</x:v>
      </x:c>
      <x:c r="K1348" s="12" t="str">
        <x:v>HX3_NORMAL</x:v>
      </x:c>
      <x:c r="L1348" s="12" t="n">
        <x:v>9</x:v>
      </x:c>
      <x:c r="M1348" s="12" t="str">
        <x:v>HX3_NORMAL|9</x:v>
      </x:c>
      <x:c r="N1348" s="12" t="str">
        <x:v>二食堂</x:v>
      </x:c>
      <x:c r="O1348" s="12" t="n">
        <x:f>IFERROR(INDEX('秒级路线参数_可调整'!$O:$O,MATCH(M1348,'秒级路线参数_可调整'!$A:$A,0)),"")</x:f>
        <x:v>535</x:v>
      </x:c>
      <x:c r="P1348" s="12" t="n">
        <x:f>IF(O1348="","",O1348/86400)</x:f>
        <x:v>0.00619212962962963</x:v>
      </x:c>
      <x:c r="Q1348" s="12" t="n">
        <x:f>IF(O1348="","",(H1348*60+O1348)/86400)</x:f>
        <x:v>0.5964699074074075</x:v>
      </x:c>
      <x:c r="R1348" s="12" t="str">
        <x:f>IF(Q1348="","",TEXT(Q1348,"hh:mm:ss"))</x:f>
        <x:v>14:18:55</x:v>
      </x:c>
      <x:c r="S1348" s="12" t="str">
        <x:v>否</x:v>
      </x:c>
      <x:c r="T1348" s="12" t="str">
        <x:v>否</x:v>
      </x:c>
      <x:c r="U1348" s="12" t="str">
        <x:v>刘虎</x:v>
      </x:c>
      <x:c r="V1348" s="12" t="str">
        <x:v>3号车</x:v>
      </x:c>
      <x:c r="W1348" s="12" t="str">
        <x:v>秒级预测</x:v>
      </x:c>
      <x:c r="X1348" s="12" t="str">
        <x:v>基于路线秒级参数；如录入实测或手动采用秒，预计到达时间可随公式更新</x:v>
      </x:c>
    </x:row>
    <x:row r="1349">
      <x:c r="A1349" s="12" t="str">
        <x:v>S0116-10</x:v>
      </x:c>
      <x:c r="B1349" s="12" t="str">
        <x:v>S0116</x:v>
      </x:c>
      <x:c r="C1349" s="12" t="str">
        <x:v>工作日</x:v>
      </x:c>
      <x:c r="D1349" s="12" t="str">
        <x:v>环线3路</x:v>
      </x:c>
      <x:c r="E1349" s="12" t="str">
        <x:v>第一班</x:v>
      </x:c>
      <x:c r="F1349" s="12" t="n">
        <x:v>8</x:v>
      </x:c>
      <x:c r="G1349" s="12" t="str">
        <x:v>14:10</x:v>
      </x:c>
      <x:c r="H1349" s="12" t="n">
        <x:v>850</x:v>
      </x:c>
      <x:c r="I1349" s="12" t="str">
        <x:v>研究生宿舍楼</x:v>
      </x:c>
      <x:c r="J1349" s="12" t="str">
        <x:v>研究生宿舍楼发车</x:v>
      </x:c>
      <x:c r="K1349" s="12" t="str">
        <x:v>HX3_NORMAL</x:v>
      </x:c>
      <x:c r="L1349" s="12" t="n">
        <x:v>10</x:v>
      </x:c>
      <x:c r="M1349" s="12" t="str">
        <x:v>HX3_NORMAL|10</x:v>
      </x:c>
      <x:c r="N1349" s="12" t="str">
        <x:v>图书馆</x:v>
      </x:c>
      <x:c r="O1349" s="12" t="n">
        <x:f>IFERROR(INDEX('秒级路线参数_可调整'!$O:$O,MATCH(M1349,'秒级路线参数_可调整'!$A:$A,0)),"")</x:f>
        <x:v>715</x:v>
      </x:c>
      <x:c r="P1349" s="12" t="n">
        <x:f>IF(O1349="","",O1349/86400)</x:f>
        <x:v>0.008275462962962964</x:v>
      </x:c>
      <x:c r="Q1349" s="12" t="n">
        <x:f>IF(O1349="","",(H1349*60+O1349)/86400)</x:f>
        <x:v>0.5985532407407408</x:v>
      </x:c>
      <x:c r="R1349" s="12" t="str">
        <x:f>IF(Q1349="","",TEXT(Q1349,"hh:mm:ss"))</x:f>
        <x:v>14:21:55</x:v>
      </x:c>
      <x:c r="S1349" s="12" t="str">
        <x:v>否</x:v>
      </x:c>
      <x:c r="T1349" s="12" t="str">
        <x:v>否</x:v>
      </x:c>
      <x:c r="U1349" s="12" t="str">
        <x:v>刘虎</x:v>
      </x:c>
      <x:c r="V1349" s="12" t="str">
        <x:v>3号车</x:v>
      </x:c>
      <x:c r="W1349" s="12" t="str">
        <x:v>秒级预测</x:v>
      </x:c>
      <x:c r="X1349" s="12" t="str">
        <x:v>基于路线秒级参数；如录入实测或手动采用秒，预计到达时间可随公式更新</x:v>
      </x:c>
    </x:row>
    <x:row r="1350">
      <x:c r="A1350" s="12" t="str">
        <x:v>S0116-11</x:v>
      </x:c>
      <x:c r="B1350" s="12" t="str">
        <x:v>S0116</x:v>
      </x:c>
      <x:c r="C1350" s="12" t="str">
        <x:v>工作日</x:v>
      </x:c>
      <x:c r="D1350" s="12" t="str">
        <x:v>环线3路</x:v>
      </x:c>
      <x:c r="E1350" s="12" t="str">
        <x:v>第一班</x:v>
      </x:c>
      <x:c r="F1350" s="12" t="n">
        <x:v>8</x:v>
      </x:c>
      <x:c r="G1350" s="12" t="str">
        <x:v>14:10</x:v>
      </x:c>
      <x:c r="H1350" s="12" t="n">
        <x:v>850</x:v>
      </x:c>
      <x:c r="I1350" s="12" t="str">
        <x:v>研究生宿舍楼</x:v>
      </x:c>
      <x:c r="J1350" s="12" t="str">
        <x:v>研究生宿舍楼发车</x:v>
      </x:c>
      <x:c r="K1350" s="12" t="str">
        <x:v>HX3_NORMAL</x:v>
      </x:c>
      <x:c r="L1350" s="12" t="n">
        <x:v>11</x:v>
      </x:c>
      <x:c r="M1350" s="12" t="str">
        <x:v>HX3_NORMAL|11</x:v>
      </x:c>
      <x:c r="N1350" s="12" t="str">
        <x:v>305教学楼</x:v>
      </x:c>
      <x:c r="O1350" s="12" t="n">
        <x:f>IFERROR(INDEX('秒级路线参数_可调整'!$O:$O,MATCH(M1350,'秒级路线参数_可调整'!$A:$A,0)),"")</x:f>
        <x:v>775</x:v>
      </x:c>
      <x:c r="P1350" s="12" t="n">
        <x:f>IF(O1350="","",O1350/86400)</x:f>
        <x:v>0.008969907407407407</x:v>
      </x:c>
      <x:c r="Q1350" s="12" t="n">
        <x:f>IF(O1350="","",(H1350*60+O1350)/86400)</x:f>
        <x:v>0.5992476851851852</x:v>
      </x:c>
      <x:c r="R1350" s="12" t="str">
        <x:f>IF(Q1350="","",TEXT(Q1350,"hh:mm:ss"))</x:f>
        <x:v>14:22:55</x:v>
      </x:c>
      <x:c r="S1350" s="12" t="str">
        <x:v>否</x:v>
      </x:c>
      <x:c r="T1350" s="12" t="str">
        <x:v>否</x:v>
      </x:c>
      <x:c r="U1350" s="12" t="str">
        <x:v>刘虎</x:v>
      </x:c>
      <x:c r="V1350" s="12" t="str">
        <x:v>3号车</x:v>
      </x:c>
      <x:c r="W1350" s="12" t="str">
        <x:v>秒级预测</x:v>
      </x:c>
      <x:c r="X1350" s="12" t="str">
        <x:v>基于路线秒级参数；如录入实测或手动采用秒，预计到达时间可随公式更新</x:v>
      </x:c>
    </x:row>
    <x:row r="1351">
      <x:c r="A1351" s="12" t="str">
        <x:v>S0116-12</x:v>
      </x:c>
      <x:c r="B1351" s="12" t="str">
        <x:v>S0116</x:v>
      </x:c>
      <x:c r="C1351" s="12" t="str">
        <x:v>工作日</x:v>
      </x:c>
      <x:c r="D1351" s="12" t="str">
        <x:v>环线3路</x:v>
      </x:c>
      <x:c r="E1351" s="12" t="str">
        <x:v>第一班</x:v>
      </x:c>
      <x:c r="F1351" s="12" t="n">
        <x:v>8</x:v>
      </x:c>
      <x:c r="G1351" s="12" t="str">
        <x:v>14:10</x:v>
      </x:c>
      <x:c r="H1351" s="12" t="n">
        <x:v>850</x:v>
      </x:c>
      <x:c r="I1351" s="12" t="str">
        <x:v>研究生宿舍楼</x:v>
      </x:c>
      <x:c r="J1351" s="12" t="str">
        <x:v>研究生宿舍楼发车</x:v>
      </x:c>
      <x:c r="K1351" s="12" t="str">
        <x:v>HX3_NORMAL</x:v>
      </x:c>
      <x:c r="L1351" s="12" t="n">
        <x:v>12</x:v>
      </x:c>
      <x:c r="M1351" s="12" t="str">
        <x:v>HX3_NORMAL|12</x:v>
      </x:c>
      <x:c r="N1351" s="12" t="str">
        <x:v>研究生宿舍楼</x:v>
      </x:c>
      <x:c r="O1351" s="12" t="n">
        <x:f>IFERROR(INDEX('秒级路线参数_可调整'!$O:$O,MATCH(M1351,'秒级路线参数_可调整'!$A:$A,0)),"")</x:f>
        <x:v>840</x:v>
      </x:c>
      <x:c r="P1351" s="12" t="n">
        <x:f>IF(O1351="","",O1351/86400)</x:f>
        <x:v>0.009722222222222222</x:v>
      </x:c>
      <x:c r="Q1351" s="12" t="n">
        <x:f>IF(O1351="","",(H1351*60+O1351)/86400)</x:f>
        <x:v>0.6</x:v>
      </x:c>
      <x:c r="R1351" s="12" t="str">
        <x:f>IF(Q1351="","",TEXT(Q1351,"hh:mm:ss"))</x:f>
        <x:v>14:24:00</x:v>
      </x:c>
      <x:c r="S1351" s="12" t="str">
        <x:v>否</x:v>
      </x:c>
      <x:c r="T1351" s="12" t="str">
        <x:v>是</x:v>
      </x:c>
      <x:c r="U1351" s="12" t="str">
        <x:v>刘虎</x:v>
      </x:c>
      <x:c r="V1351" s="12" t="str">
        <x:v>3号车</x:v>
      </x:c>
      <x:c r="W1351" s="12" t="str">
        <x:v>秒级预测</x:v>
      </x:c>
      <x:c r="X1351" s="12" t="str">
        <x:v>基于路线秒级参数；如录入实测或手动采用秒，预计到达时间可随公式更新</x:v>
      </x:c>
    </x:row>
    <x:row r="1352">
      <x:c r="A1352" s="12" t="str">
        <x:v>S0117-01</x:v>
      </x:c>
      <x:c r="B1352" s="12" t="str">
        <x:v>S0117</x:v>
      </x:c>
      <x:c r="C1352" s="12" t="str">
        <x:v>工作日</x:v>
      </x:c>
      <x:c r="D1352" s="12" t="str">
        <x:v>环线3路</x:v>
      </x:c>
      <x:c r="E1352" s="12" t="str">
        <x:v>第一班</x:v>
      </x:c>
      <x:c r="F1352" s="12" t="n">
        <x:v>9</x:v>
      </x:c>
      <x:c r="G1352" s="12" t="str">
        <x:v>14:40</x:v>
      </x:c>
      <x:c r="H1352" s="12" t="n">
        <x:v>880</x:v>
      </x:c>
      <x:c r="I1352" s="12" t="str">
        <x:v>研究生宿舍楼</x:v>
      </x:c>
      <x:c r="J1352" s="12" t="str">
        <x:v>研究生宿舍楼发车</x:v>
      </x:c>
      <x:c r="K1352" s="12" t="str">
        <x:v>HX3_NORMAL</x:v>
      </x:c>
      <x:c r="L1352" s="12" t="n">
        <x:v>1</x:v>
      </x:c>
      <x:c r="M1352" s="12" t="str">
        <x:v>HX3_NORMAL|1</x:v>
      </x:c>
      <x:c r="N1352" s="12" t="str">
        <x:v>研究生宿舍楼</x:v>
      </x:c>
      <x:c r="O1352" s="12" t="n">
        <x:f>IFERROR(INDEX('秒级路线参数_可调整'!$O:$O,MATCH(M1352,'秒级路线参数_可调整'!$A:$A,0)),"")</x:f>
        <x:v>0</x:v>
      </x:c>
      <x:c r="P1352" s="12" t="str">
        <x:f>IF(O1352="","",O1352/86400)</x:f>
      </x:c>
      <x:c r="Q1352" s="12" t="str">
        <x:f>IF(O1352="","",(H1352*60+O1352)/86400)</x:f>
      </x:c>
      <x:c r="R1352" s="12" t="str">
        <x:f>IF(Q1352="","",TEXT(Q1352,"hh:mm:ss"))</x:f>
      </x:c>
      <x:c r="S1352" s="12" t="str">
        <x:v>是</x:v>
      </x:c>
      <x:c r="T1352" s="12" t="str">
        <x:v>否</x:v>
      </x:c>
      <x:c r="U1352" s="12" t="str">
        <x:v>刘虎</x:v>
      </x:c>
      <x:c r="V1352" s="12" t="str">
        <x:v>3号车</x:v>
      </x:c>
      <x:c r="W1352" s="12" t="str">
        <x:v>秒级预测</x:v>
      </x:c>
      <x:c r="X1352" s="12" t="str">
        <x:v>基于路线秒级参数；如录入实测或手动采用秒，预计到达时间可随公式更新</x:v>
      </x:c>
    </x:row>
    <x:row r="1353">
      <x:c r="A1353" s="12" t="str">
        <x:v>S0117-02</x:v>
      </x:c>
      <x:c r="B1353" s="12" t="str">
        <x:v>S0117</x:v>
      </x:c>
      <x:c r="C1353" s="12" t="str">
        <x:v>工作日</x:v>
      </x:c>
      <x:c r="D1353" s="12" t="str">
        <x:v>环线3路</x:v>
      </x:c>
      <x:c r="E1353" s="12" t="str">
        <x:v>第一班</x:v>
      </x:c>
      <x:c r="F1353" s="12" t="n">
        <x:v>9</x:v>
      </x:c>
      <x:c r="G1353" s="12" t="str">
        <x:v>14:40</x:v>
      </x:c>
      <x:c r="H1353" s="12" t="n">
        <x:v>880</x:v>
      </x:c>
      <x:c r="I1353" s="12" t="str">
        <x:v>研究生宿舍楼</x:v>
      </x:c>
      <x:c r="J1353" s="12" t="str">
        <x:v>研究生宿舍楼发车</x:v>
      </x:c>
      <x:c r="K1353" s="12" t="str">
        <x:v>HX3_NORMAL</x:v>
      </x:c>
      <x:c r="L1353" s="12" t="n">
        <x:v>2</x:v>
      </x:c>
      <x:c r="M1353" s="12" t="str">
        <x:v>HX3_NORMAL|2</x:v>
      </x:c>
      <x:c r="N1353" s="12" t="str">
        <x:v>一食堂</x:v>
      </x:c>
      <x:c r="O1353" s="12" t="n">
        <x:f>IFERROR(INDEX('秒级路线参数_可调整'!$O:$O,MATCH(M1353,'秒级路线参数_可调整'!$A:$A,0)),"")</x:f>
        <x:v>65</x:v>
      </x:c>
      <x:c r="P1353" s="12" t="n">
        <x:f>IF(O1353="","",O1353/86400)</x:f>
        <x:v>0.0007523148148148148</x:v>
      </x:c>
      <x:c r="Q1353" s="12" t="n">
        <x:f>IF(O1353="","",(H1353*60+O1353)/86400)</x:f>
        <x:v>0.6118634259259259</x:v>
      </x:c>
      <x:c r="R1353" s="12" t="str">
        <x:f>IF(Q1353="","",TEXT(Q1353,"hh:mm:ss"))</x:f>
        <x:v>14:41:05</x:v>
      </x:c>
      <x:c r="S1353" s="12" t="str">
        <x:v>否</x:v>
      </x:c>
      <x:c r="T1353" s="12" t="str">
        <x:v>否</x:v>
      </x:c>
      <x:c r="U1353" s="12" t="str">
        <x:v>刘虎</x:v>
      </x:c>
      <x:c r="V1353" s="12" t="str">
        <x:v>3号车</x:v>
      </x:c>
      <x:c r="W1353" s="12" t="str">
        <x:v>秒级预测</x:v>
      </x:c>
      <x:c r="X1353" s="12" t="str">
        <x:v>基于路线秒级参数；如录入实测或手动采用秒，预计到达时间可随公式更新</x:v>
      </x:c>
    </x:row>
    <x:row r="1354">
      <x:c r="A1354" s="12" t="str">
        <x:v>S0117-03</x:v>
      </x:c>
      <x:c r="B1354" s="12" t="str">
        <x:v>S0117</x:v>
      </x:c>
      <x:c r="C1354" s="12" t="str">
        <x:v>工作日</x:v>
      </x:c>
      <x:c r="D1354" s="12" t="str">
        <x:v>环线3路</x:v>
      </x:c>
      <x:c r="E1354" s="12" t="str">
        <x:v>第一班</x:v>
      </x:c>
      <x:c r="F1354" s="12" t="n">
        <x:v>9</x:v>
      </x:c>
      <x:c r="G1354" s="12" t="str">
        <x:v>14:40</x:v>
      </x:c>
      <x:c r="H1354" s="12" t="n">
        <x:v>880</x:v>
      </x:c>
      <x:c r="I1354" s="12" t="str">
        <x:v>研究生宿舍楼</x:v>
      </x:c>
      <x:c r="J1354" s="12" t="str">
        <x:v>研究生宿舍楼发车</x:v>
      </x:c>
      <x:c r="K1354" s="12" t="str">
        <x:v>HX3_NORMAL</x:v>
      </x:c>
      <x:c r="L1354" s="12" t="n">
        <x:v>3</x:v>
      </x:c>
      <x:c r="M1354" s="12" t="str">
        <x:v>HX3_NORMAL|3</x:v>
      </x:c>
      <x:c r="N1354" s="12" t="str">
        <x:v>2号宿舍楼</x:v>
      </x:c>
      <x:c r="O1354" s="12" t="n">
        <x:f>IFERROR(INDEX('秒级路线参数_可调整'!$O:$O,MATCH(M1354,'秒级路线参数_可调整'!$A:$A,0)),"")</x:f>
        <x:v>120</x:v>
      </x:c>
      <x:c r="P1354" s="12" t="n">
        <x:f>IF(O1354="","",O1354/86400)</x:f>
        <x:v>0.001388888888888889</x:v>
      </x:c>
      <x:c r="Q1354" s="12" t="n">
        <x:f>IF(O1354="","",(H1354*60+O1354)/86400)</x:f>
        <x:v>0.6125</x:v>
      </x:c>
      <x:c r="R1354" s="12" t="str">
        <x:f>IF(Q1354="","",TEXT(Q1354,"hh:mm:ss"))</x:f>
        <x:v>14:42:00</x:v>
      </x:c>
      <x:c r="S1354" s="12" t="str">
        <x:v>否</x:v>
      </x:c>
      <x:c r="T1354" s="12" t="str">
        <x:v>否</x:v>
      </x:c>
      <x:c r="U1354" s="12" t="str">
        <x:v>刘虎</x:v>
      </x:c>
      <x:c r="V1354" s="12" t="str">
        <x:v>3号车</x:v>
      </x:c>
      <x:c r="W1354" s="12" t="str">
        <x:v>秒级预测</x:v>
      </x:c>
      <x:c r="X1354" s="12" t="str">
        <x:v>基于路线秒级参数；如录入实测或手动采用秒，预计到达时间可随公式更新</x:v>
      </x:c>
    </x:row>
    <x:row r="1355">
      <x:c r="A1355" s="12" t="str">
        <x:v>S0117-04</x:v>
      </x:c>
      <x:c r="B1355" s="12" t="str">
        <x:v>S0117</x:v>
      </x:c>
      <x:c r="C1355" s="12" t="str">
        <x:v>工作日</x:v>
      </x:c>
      <x:c r="D1355" s="12" t="str">
        <x:v>环线3路</x:v>
      </x:c>
      <x:c r="E1355" s="12" t="str">
        <x:v>第一班</x:v>
      </x:c>
      <x:c r="F1355" s="12" t="n">
        <x:v>9</x:v>
      </x:c>
      <x:c r="G1355" s="12" t="str">
        <x:v>14:40</x:v>
      </x:c>
      <x:c r="H1355" s="12" t="n">
        <x:v>880</x:v>
      </x:c>
      <x:c r="I1355" s="12" t="str">
        <x:v>研究生宿舍楼</x:v>
      </x:c>
      <x:c r="J1355" s="12" t="str">
        <x:v>研究生宿舍楼发车</x:v>
      </x:c>
      <x:c r="K1355" s="12" t="str">
        <x:v>HX3_NORMAL</x:v>
      </x:c>
      <x:c r="L1355" s="12" t="n">
        <x:v>4</x:v>
      </x:c>
      <x:c r="M1355" s="12" t="str">
        <x:v>HX3_NORMAL|4</x:v>
      </x:c>
      <x:c r="N1355" s="12" t="str">
        <x:v>军体活动中心</x:v>
      </x:c>
      <x:c r="O1355" s="12" t="n">
        <x:f>IFERROR(INDEX('秒级路线参数_可调整'!$O:$O,MATCH(M1355,'秒级路线参数_可调整'!$A:$A,0)),"")</x:f>
        <x:v>165</x:v>
      </x:c>
      <x:c r="P1355" s="12" t="n">
        <x:f>IF(O1355="","",O1355/86400)</x:f>
        <x:v>0.0019097222222222222</x:v>
      </x:c>
      <x:c r="Q1355" s="12" t="n">
        <x:f>IF(O1355="","",(H1355*60+O1355)/86400)</x:f>
        <x:v>0.6130208333333333</x:v>
      </x:c>
      <x:c r="R1355" s="12" t="str">
        <x:f>IF(Q1355="","",TEXT(Q1355,"hh:mm:ss"))</x:f>
        <x:v>14:42:45</x:v>
      </x:c>
      <x:c r="S1355" s="12" t="str">
        <x:v>否</x:v>
      </x:c>
      <x:c r="T1355" s="12" t="str">
        <x:v>否</x:v>
      </x:c>
      <x:c r="U1355" s="12" t="str">
        <x:v>刘虎</x:v>
      </x:c>
      <x:c r="V1355" s="12" t="str">
        <x:v>3号车</x:v>
      </x:c>
      <x:c r="W1355" s="12" t="str">
        <x:v>秒级预测</x:v>
      </x:c>
      <x:c r="X1355" s="12" t="str">
        <x:v>基于路线秒级参数；如录入实测或手动采用秒，预计到达时间可随公式更新</x:v>
      </x:c>
    </x:row>
    <x:row r="1356">
      <x:c r="A1356" s="12" t="str">
        <x:v>S0117-05</x:v>
      </x:c>
      <x:c r="B1356" s="12" t="str">
        <x:v>S0117</x:v>
      </x:c>
      <x:c r="C1356" s="12" t="str">
        <x:v>工作日</x:v>
      </x:c>
      <x:c r="D1356" s="12" t="str">
        <x:v>环线3路</x:v>
      </x:c>
      <x:c r="E1356" s="12" t="str">
        <x:v>第一班</x:v>
      </x:c>
      <x:c r="F1356" s="12" t="n">
        <x:v>9</x:v>
      </x:c>
      <x:c r="G1356" s="12" t="str">
        <x:v>14:40</x:v>
      </x:c>
      <x:c r="H1356" s="12" t="n">
        <x:v>880</x:v>
      </x:c>
      <x:c r="I1356" s="12" t="str">
        <x:v>研究生宿舍楼</x:v>
      </x:c>
      <x:c r="J1356" s="12" t="str">
        <x:v>研究生宿舍楼发车</x:v>
      </x:c>
      <x:c r="K1356" s="12" t="str">
        <x:v>HX3_NORMAL</x:v>
      </x:c>
      <x:c r="L1356" s="12" t="n">
        <x:v>5</x:v>
      </x:c>
      <x:c r="M1356" s="12" t="str">
        <x:v>HX3_NORMAL|5</x:v>
      </x:c>
      <x:c r="N1356" s="12" t="str">
        <x:v>教勤连</x:v>
      </x:c>
      <x:c r="O1356" s="12" t="n">
        <x:f>IFERROR(INDEX('秒级路线参数_可调整'!$O:$O,MATCH(M1356,'秒级路线参数_可调整'!$A:$A,0)),"")</x:f>
        <x:v>250</x:v>
      </x:c>
      <x:c r="P1356" s="12" t="n">
        <x:f>IF(O1356="","",O1356/86400)</x:f>
        <x:v>0.0028935185185185184</x:v>
      </x:c>
      <x:c r="Q1356" s="12" t="n">
        <x:f>IF(O1356="","",(H1356*60+O1356)/86400)</x:f>
        <x:v>0.6140046296296297</x:v>
      </x:c>
      <x:c r="R1356" s="12" t="str">
        <x:f>IF(Q1356="","",TEXT(Q1356,"hh:mm:ss"))</x:f>
        <x:v>14:44:10</x:v>
      </x:c>
      <x:c r="S1356" s="12" t="str">
        <x:v>否</x:v>
      </x:c>
      <x:c r="T1356" s="12" t="str">
        <x:v>否</x:v>
      </x:c>
      <x:c r="U1356" s="12" t="str">
        <x:v>刘虎</x:v>
      </x:c>
      <x:c r="V1356" s="12" t="str">
        <x:v>3号车</x:v>
      </x:c>
      <x:c r="W1356" s="12" t="str">
        <x:v>秒级预测</x:v>
      </x:c>
      <x:c r="X1356" s="12" t="str">
        <x:v>基于路线秒级参数；如录入实测或手动采用秒，预计到达时间可随公式更新</x:v>
      </x:c>
    </x:row>
    <x:row r="1357">
      <x:c r="A1357" s="12" t="str">
        <x:v>S0117-06</x:v>
      </x:c>
      <x:c r="B1357" s="12" t="str">
        <x:v>S0117</x:v>
      </x:c>
      <x:c r="C1357" s="12" t="str">
        <x:v>工作日</x:v>
      </x:c>
      <x:c r="D1357" s="12" t="str">
        <x:v>环线3路</x:v>
      </x:c>
      <x:c r="E1357" s="12" t="str">
        <x:v>第一班</x:v>
      </x:c>
      <x:c r="F1357" s="12" t="n">
        <x:v>9</x:v>
      </x:c>
      <x:c r="G1357" s="12" t="str">
        <x:v>14:40</x:v>
      </x:c>
      <x:c r="H1357" s="12" t="n">
        <x:v>880</x:v>
      </x:c>
      <x:c r="I1357" s="12" t="str">
        <x:v>研究生宿舍楼</x:v>
      </x:c>
      <x:c r="J1357" s="12" t="str">
        <x:v>研究生宿舍楼发车</x:v>
      </x:c>
      <x:c r="K1357" s="12" t="str">
        <x:v>HX3_NORMAL</x:v>
      </x:c>
      <x:c r="L1357" s="12" t="n">
        <x:v>6</x:v>
      </x:c>
      <x:c r="M1357" s="12" t="str">
        <x:v>HX3_NORMAL|6</x:v>
      </x:c>
      <x:c r="N1357" s="12" t="str">
        <x:v>激光所</x:v>
      </x:c>
      <x:c r="O1357" s="12" t="n">
        <x:f>IFERROR(INDEX('秒级路线参数_可调整'!$O:$O,MATCH(M1357,'秒级路线参数_可调整'!$A:$A,0)),"")</x:f>
        <x:v>315</x:v>
      </x:c>
      <x:c r="P1357" s="12" t="n">
        <x:f>IF(O1357="","",O1357/86400)</x:f>
        <x:v>0.0036458333333333334</x:v>
      </x:c>
      <x:c r="Q1357" s="12" t="n">
        <x:f>IF(O1357="","",(H1357*60+O1357)/86400)</x:f>
        <x:v>0.6147569444444444</x:v>
      </x:c>
      <x:c r="R1357" s="12" t="str">
        <x:f>IF(Q1357="","",TEXT(Q1357,"hh:mm:ss"))</x:f>
        <x:v>14:45:15</x:v>
      </x:c>
      <x:c r="S1357" s="12" t="str">
        <x:v>否</x:v>
      </x:c>
      <x:c r="T1357" s="12" t="str">
        <x:v>否</x:v>
      </x:c>
      <x:c r="U1357" s="12" t="str">
        <x:v>刘虎</x:v>
      </x:c>
      <x:c r="V1357" s="12" t="str">
        <x:v>3号车</x:v>
      </x:c>
      <x:c r="W1357" s="12" t="str">
        <x:v>秒级预测</x:v>
      </x:c>
      <x:c r="X1357" s="12" t="str">
        <x:v>基于路线秒级参数；如录入实测或手动采用秒，预计到达时间可随公式更新</x:v>
      </x:c>
    </x:row>
    <x:row r="1358">
      <x:c r="A1358" s="12" t="str">
        <x:v>S0117-07</x:v>
      </x:c>
      <x:c r="B1358" s="12" t="str">
        <x:v>S0117</x:v>
      </x:c>
      <x:c r="C1358" s="12" t="str">
        <x:v>工作日</x:v>
      </x:c>
      <x:c r="D1358" s="12" t="str">
        <x:v>环线3路</x:v>
      </x:c>
      <x:c r="E1358" s="12" t="str">
        <x:v>第一班</x:v>
      </x:c>
      <x:c r="F1358" s="12" t="n">
        <x:v>9</x:v>
      </x:c>
      <x:c r="G1358" s="12" t="str">
        <x:v>14:40</x:v>
      </x:c>
      <x:c r="H1358" s="12" t="n">
        <x:v>880</x:v>
      </x:c>
      <x:c r="I1358" s="12" t="str">
        <x:v>研究生宿舍楼</x:v>
      </x:c>
      <x:c r="J1358" s="12" t="str">
        <x:v>研究生宿舍楼发车</x:v>
      </x:c>
      <x:c r="K1358" s="12" t="str">
        <x:v>HX3_NORMAL</x:v>
      </x:c>
      <x:c r="L1358" s="12" t="n">
        <x:v>7</x:v>
      </x:c>
      <x:c r="M1358" s="12" t="str">
        <x:v>HX3_NORMAL|7</x:v>
      </x:c>
      <x:c r="N1358" s="12" t="str">
        <x:v>高超楼</x:v>
      </x:c>
      <x:c r="O1358" s="12" t="n">
        <x:f>IFERROR(INDEX('秒级路线参数_可调整'!$O:$O,MATCH(M1358,'秒级路线参数_可调整'!$A:$A,0)),"")</x:f>
        <x:v>420</x:v>
      </x:c>
      <x:c r="P1358" s="12" t="n">
        <x:f>IF(O1358="","",O1358/86400)</x:f>
        <x:v>0.004861111111111111</x:v>
      </x:c>
      <x:c r="Q1358" s="12" t="n">
        <x:f>IF(O1358="","",(H1358*60+O1358)/86400)</x:f>
        <x:v>0.6159722222222223</x:v>
      </x:c>
      <x:c r="R1358" s="12" t="str">
        <x:f>IF(Q1358="","",TEXT(Q1358,"hh:mm:ss"))</x:f>
        <x:v>14:47:00</x:v>
      </x:c>
      <x:c r="S1358" s="12" t="str">
        <x:v>否</x:v>
      </x:c>
      <x:c r="T1358" s="12" t="str">
        <x:v>否</x:v>
      </x:c>
      <x:c r="U1358" s="12" t="str">
        <x:v>刘虎</x:v>
      </x:c>
      <x:c r="V1358" s="12" t="str">
        <x:v>3号车</x:v>
      </x:c>
      <x:c r="W1358" s="12" t="str">
        <x:v>秒级预测</x:v>
      </x:c>
      <x:c r="X1358" s="12" t="str">
        <x:v>基于路线秒级参数；如录入实测或手动采用秒，预计到达时间可随公式更新</x:v>
      </x:c>
    </x:row>
    <x:row r="1359">
      <x:c r="A1359" s="12" t="str">
        <x:v>S0117-08</x:v>
      </x:c>
      <x:c r="B1359" s="12" t="str">
        <x:v>S0117</x:v>
      </x:c>
      <x:c r="C1359" s="12" t="str">
        <x:v>工作日</x:v>
      </x:c>
      <x:c r="D1359" s="12" t="str">
        <x:v>环线3路</x:v>
      </x:c>
      <x:c r="E1359" s="12" t="str">
        <x:v>第一班</x:v>
      </x:c>
      <x:c r="F1359" s="12" t="n">
        <x:v>9</x:v>
      </x:c>
      <x:c r="G1359" s="12" t="str">
        <x:v>14:40</x:v>
      </x:c>
      <x:c r="H1359" s="12" t="n">
        <x:v>880</x:v>
      </x:c>
      <x:c r="I1359" s="12" t="str">
        <x:v>研究生宿舍楼</x:v>
      </x:c>
      <x:c r="J1359" s="12" t="str">
        <x:v>研究生宿舍楼发车</x:v>
      </x:c>
      <x:c r="K1359" s="12" t="str">
        <x:v>HX3_NORMAL</x:v>
      </x:c>
      <x:c r="L1359" s="12" t="n">
        <x:v>8</x:v>
      </x:c>
      <x:c r="M1359" s="12" t="str">
        <x:v>HX3_NORMAL|8</x:v>
      </x:c>
      <x:c r="N1359" s="12" t="str">
        <x:v>理学院</x:v>
      </x:c>
      <x:c r="O1359" s="12" t="n">
        <x:f>IFERROR(INDEX('秒级路线参数_可调整'!$O:$O,MATCH(M1359,'秒级路线参数_可调整'!$A:$A,0)),"")</x:f>
        <x:v>480</x:v>
      </x:c>
      <x:c r="P1359" s="12" t="n">
        <x:f>IF(O1359="","",O1359/86400)</x:f>
        <x:v>0.005555555555555556</x:v>
      </x:c>
      <x:c r="Q1359" s="12" t="n">
        <x:f>IF(O1359="","",(H1359*60+O1359)/86400)</x:f>
        <x:v>0.6166666666666667</x:v>
      </x:c>
      <x:c r="R1359" s="12" t="str">
        <x:f>IF(Q1359="","",TEXT(Q1359,"hh:mm:ss"))</x:f>
        <x:v>14:48:00</x:v>
      </x:c>
      <x:c r="S1359" s="12" t="str">
        <x:v>否</x:v>
      </x:c>
      <x:c r="T1359" s="12" t="str">
        <x:v>否</x:v>
      </x:c>
      <x:c r="U1359" s="12" t="str">
        <x:v>刘虎</x:v>
      </x:c>
      <x:c r="V1359" s="12" t="str">
        <x:v>3号车</x:v>
      </x:c>
      <x:c r="W1359" s="12" t="str">
        <x:v>秒级预测</x:v>
      </x:c>
      <x:c r="X1359" s="12" t="str">
        <x:v>基于路线秒级参数；如录入实测或手动采用秒，预计到达时间可随公式更新</x:v>
      </x:c>
    </x:row>
    <x:row r="1360">
      <x:c r="A1360" s="12" t="str">
        <x:v>S0117-09</x:v>
      </x:c>
      <x:c r="B1360" s="12" t="str">
        <x:v>S0117</x:v>
      </x:c>
      <x:c r="C1360" s="12" t="str">
        <x:v>工作日</x:v>
      </x:c>
      <x:c r="D1360" s="12" t="str">
        <x:v>环线3路</x:v>
      </x:c>
      <x:c r="E1360" s="12" t="str">
        <x:v>第一班</x:v>
      </x:c>
      <x:c r="F1360" s="12" t="n">
        <x:v>9</x:v>
      </x:c>
      <x:c r="G1360" s="12" t="str">
        <x:v>14:40</x:v>
      </x:c>
      <x:c r="H1360" s="12" t="n">
        <x:v>880</x:v>
      </x:c>
      <x:c r="I1360" s="12" t="str">
        <x:v>研究生宿舍楼</x:v>
      </x:c>
      <x:c r="J1360" s="12" t="str">
        <x:v>研究生宿舍楼发车</x:v>
      </x:c>
      <x:c r="K1360" s="12" t="str">
        <x:v>HX3_NORMAL</x:v>
      </x:c>
      <x:c r="L1360" s="12" t="n">
        <x:v>9</x:v>
      </x:c>
      <x:c r="M1360" s="12" t="str">
        <x:v>HX3_NORMAL|9</x:v>
      </x:c>
      <x:c r="N1360" s="12" t="str">
        <x:v>二食堂</x:v>
      </x:c>
      <x:c r="O1360" s="12" t="n">
        <x:f>IFERROR(INDEX('秒级路线参数_可调整'!$O:$O,MATCH(M1360,'秒级路线参数_可调整'!$A:$A,0)),"")</x:f>
        <x:v>535</x:v>
      </x:c>
      <x:c r="P1360" s="12" t="n">
        <x:f>IF(O1360="","",O1360/86400)</x:f>
        <x:v>0.00619212962962963</x:v>
      </x:c>
      <x:c r="Q1360" s="12" t="n">
        <x:f>IF(O1360="","",(H1360*60+O1360)/86400)</x:f>
        <x:v>0.6173032407407407</x:v>
      </x:c>
      <x:c r="R1360" s="12" t="str">
        <x:f>IF(Q1360="","",TEXT(Q1360,"hh:mm:ss"))</x:f>
        <x:v>14:48:55</x:v>
      </x:c>
      <x:c r="S1360" s="12" t="str">
        <x:v>否</x:v>
      </x:c>
      <x:c r="T1360" s="12" t="str">
        <x:v>否</x:v>
      </x:c>
      <x:c r="U1360" s="12" t="str">
        <x:v>刘虎</x:v>
      </x:c>
      <x:c r="V1360" s="12" t="str">
        <x:v>3号车</x:v>
      </x:c>
      <x:c r="W1360" s="12" t="str">
        <x:v>秒级预测</x:v>
      </x:c>
      <x:c r="X1360" s="12" t="str">
        <x:v>基于路线秒级参数；如录入实测或手动采用秒，预计到达时间可随公式更新</x:v>
      </x:c>
    </x:row>
    <x:row r="1361">
      <x:c r="A1361" s="12" t="str">
        <x:v>S0117-10</x:v>
      </x:c>
      <x:c r="B1361" s="12" t="str">
        <x:v>S0117</x:v>
      </x:c>
      <x:c r="C1361" s="12" t="str">
        <x:v>工作日</x:v>
      </x:c>
      <x:c r="D1361" s="12" t="str">
        <x:v>环线3路</x:v>
      </x:c>
      <x:c r="E1361" s="12" t="str">
        <x:v>第一班</x:v>
      </x:c>
      <x:c r="F1361" s="12" t="n">
        <x:v>9</x:v>
      </x:c>
      <x:c r="G1361" s="12" t="str">
        <x:v>14:40</x:v>
      </x:c>
      <x:c r="H1361" s="12" t="n">
        <x:v>880</x:v>
      </x:c>
      <x:c r="I1361" s="12" t="str">
        <x:v>研究生宿舍楼</x:v>
      </x:c>
      <x:c r="J1361" s="12" t="str">
        <x:v>研究生宿舍楼发车</x:v>
      </x:c>
      <x:c r="K1361" s="12" t="str">
        <x:v>HX3_NORMAL</x:v>
      </x:c>
      <x:c r="L1361" s="12" t="n">
        <x:v>10</x:v>
      </x:c>
      <x:c r="M1361" s="12" t="str">
        <x:v>HX3_NORMAL|10</x:v>
      </x:c>
      <x:c r="N1361" s="12" t="str">
        <x:v>图书馆</x:v>
      </x:c>
      <x:c r="O1361" s="12" t="n">
        <x:f>IFERROR(INDEX('秒级路线参数_可调整'!$O:$O,MATCH(M1361,'秒级路线参数_可调整'!$A:$A,0)),"")</x:f>
        <x:v>715</x:v>
      </x:c>
      <x:c r="P1361" s="12" t="n">
        <x:f>IF(O1361="","",O1361/86400)</x:f>
        <x:v>0.008275462962962964</x:v>
      </x:c>
      <x:c r="Q1361" s="12" t="n">
        <x:f>IF(O1361="","",(H1361*60+O1361)/86400)</x:f>
        <x:v>0.619386574074074</x:v>
      </x:c>
      <x:c r="R1361" s="12" t="str">
        <x:f>IF(Q1361="","",TEXT(Q1361,"hh:mm:ss"))</x:f>
        <x:v>14:51:55</x:v>
      </x:c>
      <x:c r="S1361" s="12" t="str">
        <x:v>否</x:v>
      </x:c>
      <x:c r="T1361" s="12" t="str">
        <x:v>否</x:v>
      </x:c>
      <x:c r="U1361" s="12" t="str">
        <x:v>刘虎</x:v>
      </x:c>
      <x:c r="V1361" s="12" t="str">
        <x:v>3号车</x:v>
      </x:c>
      <x:c r="W1361" s="12" t="str">
        <x:v>秒级预测</x:v>
      </x:c>
      <x:c r="X1361" s="12" t="str">
        <x:v>基于路线秒级参数；如录入实测或手动采用秒，预计到达时间可随公式更新</x:v>
      </x:c>
    </x:row>
    <x:row r="1362">
      <x:c r="A1362" s="12" t="str">
        <x:v>S0117-11</x:v>
      </x:c>
      <x:c r="B1362" s="12" t="str">
        <x:v>S0117</x:v>
      </x:c>
      <x:c r="C1362" s="12" t="str">
        <x:v>工作日</x:v>
      </x:c>
      <x:c r="D1362" s="12" t="str">
        <x:v>环线3路</x:v>
      </x:c>
      <x:c r="E1362" s="12" t="str">
        <x:v>第一班</x:v>
      </x:c>
      <x:c r="F1362" s="12" t="n">
        <x:v>9</x:v>
      </x:c>
      <x:c r="G1362" s="12" t="str">
        <x:v>14:40</x:v>
      </x:c>
      <x:c r="H1362" s="12" t="n">
        <x:v>880</x:v>
      </x:c>
      <x:c r="I1362" s="12" t="str">
        <x:v>研究生宿舍楼</x:v>
      </x:c>
      <x:c r="J1362" s="12" t="str">
        <x:v>研究生宿舍楼发车</x:v>
      </x:c>
      <x:c r="K1362" s="12" t="str">
        <x:v>HX3_NORMAL</x:v>
      </x:c>
      <x:c r="L1362" s="12" t="n">
        <x:v>11</x:v>
      </x:c>
      <x:c r="M1362" s="12" t="str">
        <x:v>HX3_NORMAL|11</x:v>
      </x:c>
      <x:c r="N1362" s="12" t="str">
        <x:v>305教学楼</x:v>
      </x:c>
      <x:c r="O1362" s="12" t="n">
        <x:f>IFERROR(INDEX('秒级路线参数_可调整'!$O:$O,MATCH(M1362,'秒级路线参数_可调整'!$A:$A,0)),"")</x:f>
        <x:v>775</x:v>
      </x:c>
      <x:c r="P1362" s="12" t="n">
        <x:f>IF(O1362="","",O1362/86400)</x:f>
        <x:v>0.008969907407407407</x:v>
      </x:c>
      <x:c r="Q1362" s="12" t="n">
        <x:f>IF(O1362="","",(H1362*60+O1362)/86400)</x:f>
        <x:v>0.6200810185185185</x:v>
      </x:c>
      <x:c r="R1362" s="12" t="str">
        <x:f>IF(Q1362="","",TEXT(Q1362,"hh:mm:ss"))</x:f>
        <x:v>14:52:55</x:v>
      </x:c>
      <x:c r="S1362" s="12" t="str">
        <x:v>否</x:v>
      </x:c>
      <x:c r="T1362" s="12" t="str">
        <x:v>否</x:v>
      </x:c>
      <x:c r="U1362" s="12" t="str">
        <x:v>刘虎</x:v>
      </x:c>
      <x:c r="V1362" s="12" t="str">
        <x:v>3号车</x:v>
      </x:c>
      <x:c r="W1362" s="12" t="str">
        <x:v>秒级预测</x:v>
      </x:c>
      <x:c r="X1362" s="12" t="str">
        <x:v>基于路线秒级参数；如录入实测或手动采用秒，预计到达时间可随公式更新</x:v>
      </x:c>
    </x:row>
    <x:row r="1363">
      <x:c r="A1363" s="12" t="str">
        <x:v>S0117-12</x:v>
      </x:c>
      <x:c r="B1363" s="12" t="str">
        <x:v>S0117</x:v>
      </x:c>
      <x:c r="C1363" s="12" t="str">
        <x:v>工作日</x:v>
      </x:c>
      <x:c r="D1363" s="12" t="str">
        <x:v>环线3路</x:v>
      </x:c>
      <x:c r="E1363" s="12" t="str">
        <x:v>第一班</x:v>
      </x:c>
      <x:c r="F1363" s="12" t="n">
        <x:v>9</x:v>
      </x:c>
      <x:c r="G1363" s="12" t="str">
        <x:v>14:40</x:v>
      </x:c>
      <x:c r="H1363" s="12" t="n">
        <x:v>880</x:v>
      </x:c>
      <x:c r="I1363" s="12" t="str">
        <x:v>研究生宿舍楼</x:v>
      </x:c>
      <x:c r="J1363" s="12" t="str">
        <x:v>研究生宿舍楼发车</x:v>
      </x:c>
      <x:c r="K1363" s="12" t="str">
        <x:v>HX3_NORMAL</x:v>
      </x:c>
      <x:c r="L1363" s="12" t="n">
        <x:v>12</x:v>
      </x:c>
      <x:c r="M1363" s="12" t="str">
        <x:v>HX3_NORMAL|12</x:v>
      </x:c>
      <x:c r="N1363" s="12" t="str">
        <x:v>研究生宿舍楼</x:v>
      </x:c>
      <x:c r="O1363" s="12" t="n">
        <x:f>IFERROR(INDEX('秒级路线参数_可调整'!$O:$O,MATCH(M1363,'秒级路线参数_可调整'!$A:$A,0)),"")</x:f>
        <x:v>840</x:v>
      </x:c>
      <x:c r="P1363" s="12" t="n">
        <x:f>IF(O1363="","",O1363/86400)</x:f>
        <x:v>0.009722222222222222</x:v>
      </x:c>
      <x:c r="Q1363" s="12" t="n">
        <x:f>IF(O1363="","",(H1363*60+O1363)/86400)</x:f>
        <x:v>0.6208333333333333</x:v>
      </x:c>
      <x:c r="R1363" s="12" t="str">
        <x:f>IF(Q1363="","",TEXT(Q1363,"hh:mm:ss"))</x:f>
        <x:v>14:54:00</x:v>
      </x:c>
      <x:c r="S1363" s="12" t="str">
        <x:v>否</x:v>
      </x:c>
      <x:c r="T1363" s="12" t="str">
        <x:v>是</x:v>
      </x:c>
      <x:c r="U1363" s="12" t="str">
        <x:v>刘虎</x:v>
      </x:c>
      <x:c r="V1363" s="12" t="str">
        <x:v>3号车</x:v>
      </x:c>
      <x:c r="W1363" s="12" t="str">
        <x:v>秒级预测</x:v>
      </x:c>
      <x:c r="X1363" s="12" t="str">
        <x:v>基于路线秒级参数；如录入实测或手动采用秒，预计到达时间可随公式更新</x:v>
      </x:c>
    </x:row>
    <x:row r="1364">
      <x:c r="A1364" s="12" t="str">
        <x:v>S0118-01</x:v>
      </x:c>
      <x:c r="B1364" s="12" t="str">
        <x:v>S0118</x:v>
      </x:c>
      <x:c r="C1364" s="12" t="str">
        <x:v>工作日</x:v>
      </x:c>
      <x:c r="D1364" s="12" t="str">
        <x:v>环线3路</x:v>
      </x:c>
      <x:c r="E1364" s="12" t="str">
        <x:v>第一班</x:v>
      </x:c>
      <x:c r="F1364" s="12" t="n">
        <x:v>10</x:v>
      </x:c>
      <x:c r="G1364" s="12" t="str">
        <x:v>15:10</x:v>
      </x:c>
      <x:c r="H1364" s="12" t="n">
        <x:v>910</x:v>
      </x:c>
      <x:c r="I1364" s="12" t="str">
        <x:v>研究生宿舍楼</x:v>
      </x:c>
      <x:c r="J1364" s="12" t="str">
        <x:v>研究生宿舍楼发车</x:v>
      </x:c>
      <x:c r="K1364" s="12" t="str">
        <x:v>HX3_NORMAL</x:v>
      </x:c>
      <x:c r="L1364" s="12" t="n">
        <x:v>1</x:v>
      </x:c>
      <x:c r="M1364" s="12" t="str">
        <x:v>HX3_NORMAL|1</x:v>
      </x:c>
      <x:c r="N1364" s="12" t="str">
        <x:v>研究生宿舍楼</x:v>
      </x:c>
      <x:c r="O1364" s="12" t="n">
        <x:f>IFERROR(INDEX('秒级路线参数_可调整'!$O:$O,MATCH(M1364,'秒级路线参数_可调整'!$A:$A,0)),"")</x:f>
        <x:v>0</x:v>
      </x:c>
      <x:c r="P1364" s="12" t="str">
        <x:f>IF(O1364="","",O1364/86400)</x:f>
      </x:c>
      <x:c r="Q1364" s="12" t="str">
        <x:f>IF(O1364="","",(H1364*60+O1364)/86400)</x:f>
      </x:c>
      <x:c r="R1364" s="12" t="str">
        <x:f>IF(Q1364="","",TEXT(Q1364,"hh:mm:ss"))</x:f>
      </x:c>
      <x:c r="S1364" s="12" t="str">
        <x:v>是</x:v>
      </x:c>
      <x:c r="T1364" s="12" t="str">
        <x:v>否</x:v>
      </x:c>
      <x:c r="U1364" s="12" t="str">
        <x:v>刘虎</x:v>
      </x:c>
      <x:c r="V1364" s="12" t="str">
        <x:v>3号车</x:v>
      </x:c>
      <x:c r="W1364" s="12" t="str">
        <x:v>秒级预测</x:v>
      </x:c>
      <x:c r="X1364" s="12" t="str">
        <x:v>基于路线秒级参数；如录入实测或手动采用秒，预计到达时间可随公式更新</x:v>
      </x:c>
    </x:row>
    <x:row r="1365">
      <x:c r="A1365" s="12" t="str">
        <x:v>S0118-02</x:v>
      </x:c>
      <x:c r="B1365" s="12" t="str">
        <x:v>S0118</x:v>
      </x:c>
      <x:c r="C1365" s="12" t="str">
        <x:v>工作日</x:v>
      </x:c>
      <x:c r="D1365" s="12" t="str">
        <x:v>环线3路</x:v>
      </x:c>
      <x:c r="E1365" s="12" t="str">
        <x:v>第一班</x:v>
      </x:c>
      <x:c r="F1365" s="12" t="n">
        <x:v>10</x:v>
      </x:c>
      <x:c r="G1365" s="12" t="str">
        <x:v>15:10</x:v>
      </x:c>
      <x:c r="H1365" s="12" t="n">
        <x:v>910</x:v>
      </x:c>
      <x:c r="I1365" s="12" t="str">
        <x:v>研究生宿舍楼</x:v>
      </x:c>
      <x:c r="J1365" s="12" t="str">
        <x:v>研究生宿舍楼发车</x:v>
      </x:c>
      <x:c r="K1365" s="12" t="str">
        <x:v>HX3_NORMAL</x:v>
      </x:c>
      <x:c r="L1365" s="12" t="n">
        <x:v>2</x:v>
      </x:c>
      <x:c r="M1365" s="12" t="str">
        <x:v>HX3_NORMAL|2</x:v>
      </x:c>
      <x:c r="N1365" s="12" t="str">
        <x:v>一食堂</x:v>
      </x:c>
      <x:c r="O1365" s="12" t="n">
        <x:f>IFERROR(INDEX('秒级路线参数_可调整'!$O:$O,MATCH(M1365,'秒级路线参数_可调整'!$A:$A,0)),"")</x:f>
        <x:v>65</x:v>
      </x:c>
      <x:c r="P1365" s="12" t="n">
        <x:f>IF(O1365="","",O1365/86400)</x:f>
        <x:v>0.0007523148148148148</x:v>
      </x:c>
      <x:c r="Q1365" s="12" t="n">
        <x:f>IF(O1365="","",(H1365*60+O1365)/86400)</x:f>
        <x:v>0.6326967592592593</x:v>
      </x:c>
      <x:c r="R1365" s="12" t="str">
        <x:f>IF(Q1365="","",TEXT(Q1365,"hh:mm:ss"))</x:f>
        <x:v>15:11:05</x:v>
      </x:c>
      <x:c r="S1365" s="12" t="str">
        <x:v>否</x:v>
      </x:c>
      <x:c r="T1365" s="12" t="str">
        <x:v>否</x:v>
      </x:c>
      <x:c r="U1365" s="12" t="str">
        <x:v>刘虎</x:v>
      </x:c>
      <x:c r="V1365" s="12" t="str">
        <x:v>3号车</x:v>
      </x:c>
      <x:c r="W1365" s="12" t="str">
        <x:v>秒级预测</x:v>
      </x:c>
      <x:c r="X1365" s="12" t="str">
        <x:v>基于路线秒级参数；如录入实测或手动采用秒，预计到达时间可随公式更新</x:v>
      </x:c>
    </x:row>
    <x:row r="1366">
      <x:c r="A1366" s="12" t="str">
        <x:v>S0118-03</x:v>
      </x:c>
      <x:c r="B1366" s="12" t="str">
        <x:v>S0118</x:v>
      </x:c>
      <x:c r="C1366" s="12" t="str">
        <x:v>工作日</x:v>
      </x:c>
      <x:c r="D1366" s="12" t="str">
        <x:v>环线3路</x:v>
      </x:c>
      <x:c r="E1366" s="12" t="str">
        <x:v>第一班</x:v>
      </x:c>
      <x:c r="F1366" s="12" t="n">
        <x:v>10</x:v>
      </x:c>
      <x:c r="G1366" s="12" t="str">
        <x:v>15:10</x:v>
      </x:c>
      <x:c r="H1366" s="12" t="n">
        <x:v>910</x:v>
      </x:c>
      <x:c r="I1366" s="12" t="str">
        <x:v>研究生宿舍楼</x:v>
      </x:c>
      <x:c r="J1366" s="12" t="str">
        <x:v>研究生宿舍楼发车</x:v>
      </x:c>
      <x:c r="K1366" s="12" t="str">
        <x:v>HX3_NORMAL</x:v>
      </x:c>
      <x:c r="L1366" s="12" t="n">
        <x:v>3</x:v>
      </x:c>
      <x:c r="M1366" s="12" t="str">
        <x:v>HX3_NORMAL|3</x:v>
      </x:c>
      <x:c r="N1366" s="12" t="str">
        <x:v>2号宿舍楼</x:v>
      </x:c>
      <x:c r="O1366" s="12" t="n">
        <x:f>IFERROR(INDEX('秒级路线参数_可调整'!$O:$O,MATCH(M1366,'秒级路线参数_可调整'!$A:$A,0)),"")</x:f>
        <x:v>120</x:v>
      </x:c>
      <x:c r="P1366" s="12" t="n">
        <x:f>IF(O1366="","",O1366/86400)</x:f>
        <x:v>0.001388888888888889</x:v>
      </x:c>
      <x:c r="Q1366" s="12" t="n">
        <x:f>IF(O1366="","",(H1366*60+O1366)/86400)</x:f>
        <x:v>0.6333333333333333</x:v>
      </x:c>
      <x:c r="R1366" s="12" t="str">
        <x:f>IF(Q1366="","",TEXT(Q1366,"hh:mm:ss"))</x:f>
        <x:v>15:12:00</x:v>
      </x:c>
      <x:c r="S1366" s="12" t="str">
        <x:v>否</x:v>
      </x:c>
      <x:c r="T1366" s="12" t="str">
        <x:v>否</x:v>
      </x:c>
      <x:c r="U1366" s="12" t="str">
        <x:v>刘虎</x:v>
      </x:c>
      <x:c r="V1366" s="12" t="str">
        <x:v>3号车</x:v>
      </x:c>
      <x:c r="W1366" s="12" t="str">
        <x:v>秒级预测</x:v>
      </x:c>
      <x:c r="X1366" s="12" t="str">
        <x:v>基于路线秒级参数；如录入实测或手动采用秒，预计到达时间可随公式更新</x:v>
      </x:c>
    </x:row>
    <x:row r="1367">
      <x:c r="A1367" s="12" t="str">
        <x:v>S0118-04</x:v>
      </x:c>
      <x:c r="B1367" s="12" t="str">
        <x:v>S0118</x:v>
      </x:c>
      <x:c r="C1367" s="12" t="str">
        <x:v>工作日</x:v>
      </x:c>
      <x:c r="D1367" s="12" t="str">
        <x:v>环线3路</x:v>
      </x:c>
      <x:c r="E1367" s="12" t="str">
        <x:v>第一班</x:v>
      </x:c>
      <x:c r="F1367" s="12" t="n">
        <x:v>10</x:v>
      </x:c>
      <x:c r="G1367" s="12" t="str">
        <x:v>15:10</x:v>
      </x:c>
      <x:c r="H1367" s="12" t="n">
        <x:v>910</x:v>
      </x:c>
      <x:c r="I1367" s="12" t="str">
        <x:v>研究生宿舍楼</x:v>
      </x:c>
      <x:c r="J1367" s="12" t="str">
        <x:v>研究生宿舍楼发车</x:v>
      </x:c>
      <x:c r="K1367" s="12" t="str">
        <x:v>HX3_NORMAL</x:v>
      </x:c>
      <x:c r="L1367" s="12" t="n">
        <x:v>4</x:v>
      </x:c>
      <x:c r="M1367" s="12" t="str">
        <x:v>HX3_NORMAL|4</x:v>
      </x:c>
      <x:c r="N1367" s="12" t="str">
        <x:v>军体活动中心</x:v>
      </x:c>
      <x:c r="O1367" s="12" t="n">
        <x:f>IFERROR(INDEX('秒级路线参数_可调整'!$O:$O,MATCH(M1367,'秒级路线参数_可调整'!$A:$A,0)),"")</x:f>
        <x:v>165</x:v>
      </x:c>
      <x:c r="P1367" s="12" t="n">
        <x:f>IF(O1367="","",O1367/86400)</x:f>
        <x:v>0.0019097222222222222</x:v>
      </x:c>
      <x:c r="Q1367" s="12" t="n">
        <x:f>IF(O1367="","",(H1367*60+O1367)/86400)</x:f>
        <x:v>0.6338541666666667</x:v>
      </x:c>
      <x:c r="R1367" s="12" t="str">
        <x:f>IF(Q1367="","",TEXT(Q1367,"hh:mm:ss"))</x:f>
        <x:v>15:12:45</x:v>
      </x:c>
      <x:c r="S1367" s="12" t="str">
        <x:v>否</x:v>
      </x:c>
      <x:c r="T1367" s="12" t="str">
        <x:v>否</x:v>
      </x:c>
      <x:c r="U1367" s="12" t="str">
        <x:v>刘虎</x:v>
      </x:c>
      <x:c r="V1367" s="12" t="str">
        <x:v>3号车</x:v>
      </x:c>
      <x:c r="W1367" s="12" t="str">
        <x:v>秒级预测</x:v>
      </x:c>
      <x:c r="X1367" s="12" t="str">
        <x:v>基于路线秒级参数；如录入实测或手动采用秒，预计到达时间可随公式更新</x:v>
      </x:c>
    </x:row>
    <x:row r="1368">
      <x:c r="A1368" s="12" t="str">
        <x:v>S0118-05</x:v>
      </x:c>
      <x:c r="B1368" s="12" t="str">
        <x:v>S0118</x:v>
      </x:c>
      <x:c r="C1368" s="12" t="str">
        <x:v>工作日</x:v>
      </x:c>
      <x:c r="D1368" s="12" t="str">
        <x:v>环线3路</x:v>
      </x:c>
      <x:c r="E1368" s="12" t="str">
        <x:v>第一班</x:v>
      </x:c>
      <x:c r="F1368" s="12" t="n">
        <x:v>10</x:v>
      </x:c>
      <x:c r="G1368" s="12" t="str">
        <x:v>15:10</x:v>
      </x:c>
      <x:c r="H1368" s="12" t="n">
        <x:v>910</x:v>
      </x:c>
      <x:c r="I1368" s="12" t="str">
        <x:v>研究生宿舍楼</x:v>
      </x:c>
      <x:c r="J1368" s="12" t="str">
        <x:v>研究生宿舍楼发车</x:v>
      </x:c>
      <x:c r="K1368" s="12" t="str">
        <x:v>HX3_NORMAL</x:v>
      </x:c>
      <x:c r="L1368" s="12" t="n">
        <x:v>5</x:v>
      </x:c>
      <x:c r="M1368" s="12" t="str">
        <x:v>HX3_NORMAL|5</x:v>
      </x:c>
      <x:c r="N1368" s="12" t="str">
        <x:v>教勤连</x:v>
      </x:c>
      <x:c r="O1368" s="12" t="n">
        <x:f>IFERROR(INDEX('秒级路线参数_可调整'!$O:$O,MATCH(M1368,'秒级路线参数_可调整'!$A:$A,0)),"")</x:f>
        <x:v>250</x:v>
      </x:c>
      <x:c r="P1368" s="12" t="n">
        <x:f>IF(O1368="","",O1368/86400)</x:f>
        <x:v>0.0028935185185185184</x:v>
      </x:c>
      <x:c r="Q1368" s="12" t="n">
        <x:f>IF(O1368="","",(H1368*60+O1368)/86400)</x:f>
        <x:v>0.6348379629629629</x:v>
      </x:c>
      <x:c r="R1368" s="12" t="str">
        <x:f>IF(Q1368="","",TEXT(Q1368,"hh:mm:ss"))</x:f>
        <x:v>15:14:10</x:v>
      </x:c>
      <x:c r="S1368" s="12" t="str">
        <x:v>否</x:v>
      </x:c>
      <x:c r="T1368" s="12" t="str">
        <x:v>否</x:v>
      </x:c>
      <x:c r="U1368" s="12" t="str">
        <x:v>刘虎</x:v>
      </x:c>
      <x:c r="V1368" s="12" t="str">
        <x:v>3号车</x:v>
      </x:c>
      <x:c r="W1368" s="12" t="str">
        <x:v>秒级预测</x:v>
      </x:c>
      <x:c r="X1368" s="12" t="str">
        <x:v>基于路线秒级参数；如录入实测或手动采用秒，预计到达时间可随公式更新</x:v>
      </x:c>
    </x:row>
    <x:row r="1369">
      <x:c r="A1369" s="12" t="str">
        <x:v>S0118-06</x:v>
      </x:c>
      <x:c r="B1369" s="12" t="str">
        <x:v>S0118</x:v>
      </x:c>
      <x:c r="C1369" s="12" t="str">
        <x:v>工作日</x:v>
      </x:c>
      <x:c r="D1369" s="12" t="str">
        <x:v>环线3路</x:v>
      </x:c>
      <x:c r="E1369" s="12" t="str">
        <x:v>第一班</x:v>
      </x:c>
      <x:c r="F1369" s="12" t="n">
        <x:v>10</x:v>
      </x:c>
      <x:c r="G1369" s="12" t="str">
        <x:v>15:10</x:v>
      </x:c>
      <x:c r="H1369" s="12" t="n">
        <x:v>910</x:v>
      </x:c>
      <x:c r="I1369" s="12" t="str">
        <x:v>研究生宿舍楼</x:v>
      </x:c>
      <x:c r="J1369" s="12" t="str">
        <x:v>研究生宿舍楼发车</x:v>
      </x:c>
      <x:c r="K1369" s="12" t="str">
        <x:v>HX3_NORMAL</x:v>
      </x:c>
      <x:c r="L1369" s="12" t="n">
        <x:v>6</x:v>
      </x:c>
      <x:c r="M1369" s="12" t="str">
        <x:v>HX3_NORMAL|6</x:v>
      </x:c>
      <x:c r="N1369" s="12" t="str">
        <x:v>激光所</x:v>
      </x:c>
      <x:c r="O1369" s="12" t="n">
        <x:f>IFERROR(INDEX('秒级路线参数_可调整'!$O:$O,MATCH(M1369,'秒级路线参数_可调整'!$A:$A,0)),"")</x:f>
        <x:v>315</x:v>
      </x:c>
      <x:c r="P1369" s="12" t="n">
        <x:f>IF(O1369="","",O1369/86400)</x:f>
        <x:v>0.0036458333333333334</x:v>
      </x:c>
      <x:c r="Q1369" s="12" t="n">
        <x:f>IF(O1369="","",(H1369*60+O1369)/86400)</x:f>
        <x:v>0.6355902777777778</x:v>
      </x:c>
      <x:c r="R1369" s="12" t="str">
        <x:f>IF(Q1369="","",TEXT(Q1369,"hh:mm:ss"))</x:f>
        <x:v>15:15:15</x:v>
      </x:c>
      <x:c r="S1369" s="12" t="str">
        <x:v>否</x:v>
      </x:c>
      <x:c r="T1369" s="12" t="str">
        <x:v>否</x:v>
      </x:c>
      <x:c r="U1369" s="12" t="str">
        <x:v>刘虎</x:v>
      </x:c>
      <x:c r="V1369" s="12" t="str">
        <x:v>3号车</x:v>
      </x:c>
      <x:c r="W1369" s="12" t="str">
        <x:v>秒级预测</x:v>
      </x:c>
      <x:c r="X1369" s="12" t="str">
        <x:v>基于路线秒级参数；如录入实测或手动采用秒，预计到达时间可随公式更新</x:v>
      </x:c>
    </x:row>
    <x:row r="1370">
      <x:c r="A1370" s="12" t="str">
        <x:v>S0118-07</x:v>
      </x:c>
      <x:c r="B1370" s="12" t="str">
        <x:v>S0118</x:v>
      </x:c>
      <x:c r="C1370" s="12" t="str">
        <x:v>工作日</x:v>
      </x:c>
      <x:c r="D1370" s="12" t="str">
        <x:v>环线3路</x:v>
      </x:c>
      <x:c r="E1370" s="12" t="str">
        <x:v>第一班</x:v>
      </x:c>
      <x:c r="F1370" s="12" t="n">
        <x:v>10</x:v>
      </x:c>
      <x:c r="G1370" s="12" t="str">
        <x:v>15:10</x:v>
      </x:c>
      <x:c r="H1370" s="12" t="n">
        <x:v>910</x:v>
      </x:c>
      <x:c r="I1370" s="12" t="str">
        <x:v>研究生宿舍楼</x:v>
      </x:c>
      <x:c r="J1370" s="12" t="str">
        <x:v>研究生宿舍楼发车</x:v>
      </x:c>
      <x:c r="K1370" s="12" t="str">
        <x:v>HX3_NORMAL</x:v>
      </x:c>
      <x:c r="L1370" s="12" t="n">
        <x:v>7</x:v>
      </x:c>
      <x:c r="M1370" s="12" t="str">
        <x:v>HX3_NORMAL|7</x:v>
      </x:c>
      <x:c r="N1370" s="12" t="str">
        <x:v>高超楼</x:v>
      </x:c>
      <x:c r="O1370" s="12" t="n">
        <x:f>IFERROR(INDEX('秒级路线参数_可调整'!$O:$O,MATCH(M1370,'秒级路线参数_可调整'!$A:$A,0)),"")</x:f>
        <x:v>420</x:v>
      </x:c>
      <x:c r="P1370" s="12" t="n">
        <x:f>IF(O1370="","",O1370/86400)</x:f>
        <x:v>0.004861111111111111</x:v>
      </x:c>
      <x:c r="Q1370" s="12" t="n">
        <x:f>IF(O1370="","",(H1370*60+O1370)/86400)</x:f>
        <x:v>0.6368055555555555</x:v>
      </x:c>
      <x:c r="R1370" s="12" t="str">
        <x:f>IF(Q1370="","",TEXT(Q1370,"hh:mm:ss"))</x:f>
        <x:v>15:17:00</x:v>
      </x:c>
      <x:c r="S1370" s="12" t="str">
        <x:v>否</x:v>
      </x:c>
      <x:c r="T1370" s="12" t="str">
        <x:v>否</x:v>
      </x:c>
      <x:c r="U1370" s="12" t="str">
        <x:v>刘虎</x:v>
      </x:c>
      <x:c r="V1370" s="12" t="str">
        <x:v>3号车</x:v>
      </x:c>
      <x:c r="W1370" s="12" t="str">
        <x:v>秒级预测</x:v>
      </x:c>
      <x:c r="X1370" s="12" t="str">
        <x:v>基于路线秒级参数；如录入实测或手动采用秒，预计到达时间可随公式更新</x:v>
      </x:c>
    </x:row>
    <x:row r="1371">
      <x:c r="A1371" s="12" t="str">
        <x:v>S0118-08</x:v>
      </x:c>
      <x:c r="B1371" s="12" t="str">
        <x:v>S0118</x:v>
      </x:c>
      <x:c r="C1371" s="12" t="str">
        <x:v>工作日</x:v>
      </x:c>
      <x:c r="D1371" s="12" t="str">
        <x:v>环线3路</x:v>
      </x:c>
      <x:c r="E1371" s="12" t="str">
        <x:v>第一班</x:v>
      </x:c>
      <x:c r="F1371" s="12" t="n">
        <x:v>10</x:v>
      </x:c>
      <x:c r="G1371" s="12" t="str">
        <x:v>15:10</x:v>
      </x:c>
      <x:c r="H1371" s="12" t="n">
        <x:v>910</x:v>
      </x:c>
      <x:c r="I1371" s="12" t="str">
        <x:v>研究生宿舍楼</x:v>
      </x:c>
      <x:c r="J1371" s="12" t="str">
        <x:v>研究生宿舍楼发车</x:v>
      </x:c>
      <x:c r="K1371" s="12" t="str">
        <x:v>HX3_NORMAL</x:v>
      </x:c>
      <x:c r="L1371" s="12" t="n">
        <x:v>8</x:v>
      </x:c>
      <x:c r="M1371" s="12" t="str">
        <x:v>HX3_NORMAL|8</x:v>
      </x:c>
      <x:c r="N1371" s="12" t="str">
        <x:v>理学院</x:v>
      </x:c>
      <x:c r="O1371" s="12" t="n">
        <x:f>IFERROR(INDEX('秒级路线参数_可调整'!$O:$O,MATCH(M1371,'秒级路线参数_可调整'!$A:$A,0)),"")</x:f>
        <x:v>480</x:v>
      </x:c>
      <x:c r="P1371" s="12" t="n">
        <x:f>IF(O1371="","",O1371/86400)</x:f>
        <x:v>0.005555555555555556</x:v>
      </x:c>
      <x:c r="Q1371" s="12" t="n">
        <x:f>IF(O1371="","",(H1371*60+O1371)/86400)</x:f>
        <x:v>0.6375</x:v>
      </x:c>
      <x:c r="R1371" s="12" t="str">
        <x:f>IF(Q1371="","",TEXT(Q1371,"hh:mm:ss"))</x:f>
        <x:v>15:18:00</x:v>
      </x:c>
      <x:c r="S1371" s="12" t="str">
        <x:v>否</x:v>
      </x:c>
      <x:c r="T1371" s="12" t="str">
        <x:v>否</x:v>
      </x:c>
      <x:c r="U1371" s="12" t="str">
        <x:v>刘虎</x:v>
      </x:c>
      <x:c r="V1371" s="12" t="str">
        <x:v>3号车</x:v>
      </x:c>
      <x:c r="W1371" s="12" t="str">
        <x:v>秒级预测</x:v>
      </x:c>
      <x:c r="X1371" s="12" t="str">
        <x:v>基于路线秒级参数；如录入实测或手动采用秒，预计到达时间可随公式更新</x:v>
      </x:c>
    </x:row>
    <x:row r="1372">
      <x:c r="A1372" s="12" t="str">
        <x:v>S0118-09</x:v>
      </x:c>
      <x:c r="B1372" s="12" t="str">
        <x:v>S0118</x:v>
      </x:c>
      <x:c r="C1372" s="12" t="str">
        <x:v>工作日</x:v>
      </x:c>
      <x:c r="D1372" s="12" t="str">
        <x:v>环线3路</x:v>
      </x:c>
      <x:c r="E1372" s="12" t="str">
        <x:v>第一班</x:v>
      </x:c>
      <x:c r="F1372" s="12" t="n">
        <x:v>10</x:v>
      </x:c>
      <x:c r="G1372" s="12" t="str">
        <x:v>15:10</x:v>
      </x:c>
      <x:c r="H1372" s="12" t="n">
        <x:v>910</x:v>
      </x:c>
      <x:c r="I1372" s="12" t="str">
        <x:v>研究生宿舍楼</x:v>
      </x:c>
      <x:c r="J1372" s="12" t="str">
        <x:v>研究生宿舍楼发车</x:v>
      </x:c>
      <x:c r="K1372" s="12" t="str">
        <x:v>HX3_NORMAL</x:v>
      </x:c>
      <x:c r="L1372" s="12" t="n">
        <x:v>9</x:v>
      </x:c>
      <x:c r="M1372" s="12" t="str">
        <x:v>HX3_NORMAL|9</x:v>
      </x:c>
      <x:c r="N1372" s="12" t="str">
        <x:v>二食堂</x:v>
      </x:c>
      <x:c r="O1372" s="12" t="n">
        <x:f>IFERROR(INDEX('秒级路线参数_可调整'!$O:$O,MATCH(M1372,'秒级路线参数_可调整'!$A:$A,0)),"")</x:f>
        <x:v>535</x:v>
      </x:c>
      <x:c r="P1372" s="12" t="n">
        <x:f>IF(O1372="","",O1372/86400)</x:f>
        <x:v>0.00619212962962963</x:v>
      </x:c>
      <x:c r="Q1372" s="12" t="n">
        <x:f>IF(O1372="","",(H1372*60+O1372)/86400)</x:f>
        <x:v>0.6381365740740741</x:v>
      </x:c>
      <x:c r="R1372" s="12" t="str">
        <x:f>IF(Q1372="","",TEXT(Q1372,"hh:mm:ss"))</x:f>
        <x:v>15:18:55</x:v>
      </x:c>
      <x:c r="S1372" s="12" t="str">
        <x:v>否</x:v>
      </x:c>
      <x:c r="T1372" s="12" t="str">
        <x:v>否</x:v>
      </x:c>
      <x:c r="U1372" s="12" t="str">
        <x:v>刘虎</x:v>
      </x:c>
      <x:c r="V1372" s="12" t="str">
        <x:v>3号车</x:v>
      </x:c>
      <x:c r="W1372" s="12" t="str">
        <x:v>秒级预测</x:v>
      </x:c>
      <x:c r="X1372" s="12" t="str">
        <x:v>基于路线秒级参数；如录入实测或手动采用秒，预计到达时间可随公式更新</x:v>
      </x:c>
    </x:row>
    <x:row r="1373">
      <x:c r="A1373" s="12" t="str">
        <x:v>S0118-10</x:v>
      </x:c>
      <x:c r="B1373" s="12" t="str">
        <x:v>S0118</x:v>
      </x:c>
      <x:c r="C1373" s="12" t="str">
        <x:v>工作日</x:v>
      </x:c>
      <x:c r="D1373" s="12" t="str">
        <x:v>环线3路</x:v>
      </x:c>
      <x:c r="E1373" s="12" t="str">
        <x:v>第一班</x:v>
      </x:c>
      <x:c r="F1373" s="12" t="n">
        <x:v>10</x:v>
      </x:c>
      <x:c r="G1373" s="12" t="str">
        <x:v>15:10</x:v>
      </x:c>
      <x:c r="H1373" s="12" t="n">
        <x:v>910</x:v>
      </x:c>
      <x:c r="I1373" s="12" t="str">
        <x:v>研究生宿舍楼</x:v>
      </x:c>
      <x:c r="J1373" s="12" t="str">
        <x:v>研究生宿舍楼发车</x:v>
      </x:c>
      <x:c r="K1373" s="12" t="str">
        <x:v>HX3_NORMAL</x:v>
      </x:c>
      <x:c r="L1373" s="12" t="n">
        <x:v>10</x:v>
      </x:c>
      <x:c r="M1373" s="12" t="str">
        <x:v>HX3_NORMAL|10</x:v>
      </x:c>
      <x:c r="N1373" s="12" t="str">
        <x:v>图书馆</x:v>
      </x:c>
      <x:c r="O1373" s="12" t="n">
        <x:f>IFERROR(INDEX('秒级路线参数_可调整'!$O:$O,MATCH(M1373,'秒级路线参数_可调整'!$A:$A,0)),"")</x:f>
        <x:v>715</x:v>
      </x:c>
      <x:c r="P1373" s="12" t="n">
        <x:f>IF(O1373="","",O1373/86400)</x:f>
        <x:v>0.008275462962962964</x:v>
      </x:c>
      <x:c r="Q1373" s="12" t="n">
        <x:f>IF(O1373="","",(H1373*60+O1373)/86400)</x:f>
        <x:v>0.6402199074074074</x:v>
      </x:c>
      <x:c r="R1373" s="12" t="str">
        <x:f>IF(Q1373="","",TEXT(Q1373,"hh:mm:ss"))</x:f>
        <x:v>15:21:55</x:v>
      </x:c>
      <x:c r="S1373" s="12" t="str">
        <x:v>否</x:v>
      </x:c>
      <x:c r="T1373" s="12" t="str">
        <x:v>否</x:v>
      </x:c>
      <x:c r="U1373" s="12" t="str">
        <x:v>刘虎</x:v>
      </x:c>
      <x:c r="V1373" s="12" t="str">
        <x:v>3号车</x:v>
      </x:c>
      <x:c r="W1373" s="12" t="str">
        <x:v>秒级预测</x:v>
      </x:c>
      <x:c r="X1373" s="12" t="str">
        <x:v>基于路线秒级参数；如录入实测或手动采用秒，预计到达时间可随公式更新</x:v>
      </x:c>
    </x:row>
    <x:row r="1374">
      <x:c r="A1374" s="12" t="str">
        <x:v>S0118-11</x:v>
      </x:c>
      <x:c r="B1374" s="12" t="str">
        <x:v>S0118</x:v>
      </x:c>
      <x:c r="C1374" s="12" t="str">
        <x:v>工作日</x:v>
      </x:c>
      <x:c r="D1374" s="12" t="str">
        <x:v>环线3路</x:v>
      </x:c>
      <x:c r="E1374" s="12" t="str">
        <x:v>第一班</x:v>
      </x:c>
      <x:c r="F1374" s="12" t="n">
        <x:v>10</x:v>
      </x:c>
      <x:c r="G1374" s="12" t="str">
        <x:v>15:10</x:v>
      </x:c>
      <x:c r="H1374" s="12" t="n">
        <x:v>910</x:v>
      </x:c>
      <x:c r="I1374" s="12" t="str">
        <x:v>研究生宿舍楼</x:v>
      </x:c>
      <x:c r="J1374" s="12" t="str">
        <x:v>研究生宿舍楼发车</x:v>
      </x:c>
      <x:c r="K1374" s="12" t="str">
        <x:v>HX3_NORMAL</x:v>
      </x:c>
      <x:c r="L1374" s="12" t="n">
        <x:v>11</x:v>
      </x:c>
      <x:c r="M1374" s="12" t="str">
        <x:v>HX3_NORMAL|11</x:v>
      </x:c>
      <x:c r="N1374" s="12" t="str">
        <x:v>305教学楼</x:v>
      </x:c>
      <x:c r="O1374" s="12" t="n">
        <x:f>IFERROR(INDEX('秒级路线参数_可调整'!$O:$O,MATCH(M1374,'秒级路线参数_可调整'!$A:$A,0)),"")</x:f>
        <x:v>775</x:v>
      </x:c>
      <x:c r="P1374" s="12" t="n">
        <x:f>IF(O1374="","",O1374/86400)</x:f>
        <x:v>0.008969907407407407</x:v>
      </x:c>
      <x:c r="Q1374" s="12" t="n">
        <x:f>IF(O1374="","",(H1374*60+O1374)/86400)</x:f>
        <x:v>0.6409143518518519</x:v>
      </x:c>
      <x:c r="R1374" s="12" t="str">
        <x:f>IF(Q1374="","",TEXT(Q1374,"hh:mm:ss"))</x:f>
        <x:v>15:22:55</x:v>
      </x:c>
      <x:c r="S1374" s="12" t="str">
        <x:v>否</x:v>
      </x:c>
      <x:c r="T1374" s="12" t="str">
        <x:v>否</x:v>
      </x:c>
      <x:c r="U1374" s="12" t="str">
        <x:v>刘虎</x:v>
      </x:c>
      <x:c r="V1374" s="12" t="str">
        <x:v>3号车</x:v>
      </x:c>
      <x:c r="W1374" s="12" t="str">
        <x:v>秒级预测</x:v>
      </x:c>
      <x:c r="X1374" s="12" t="str">
        <x:v>基于路线秒级参数；如录入实测或手动采用秒，预计到达时间可随公式更新</x:v>
      </x:c>
    </x:row>
    <x:row r="1375">
      <x:c r="A1375" s="12" t="str">
        <x:v>S0118-12</x:v>
      </x:c>
      <x:c r="B1375" s="12" t="str">
        <x:v>S0118</x:v>
      </x:c>
      <x:c r="C1375" s="12" t="str">
        <x:v>工作日</x:v>
      </x:c>
      <x:c r="D1375" s="12" t="str">
        <x:v>环线3路</x:v>
      </x:c>
      <x:c r="E1375" s="12" t="str">
        <x:v>第一班</x:v>
      </x:c>
      <x:c r="F1375" s="12" t="n">
        <x:v>10</x:v>
      </x:c>
      <x:c r="G1375" s="12" t="str">
        <x:v>15:10</x:v>
      </x:c>
      <x:c r="H1375" s="12" t="n">
        <x:v>910</x:v>
      </x:c>
      <x:c r="I1375" s="12" t="str">
        <x:v>研究生宿舍楼</x:v>
      </x:c>
      <x:c r="J1375" s="12" t="str">
        <x:v>研究生宿舍楼发车</x:v>
      </x:c>
      <x:c r="K1375" s="12" t="str">
        <x:v>HX3_NORMAL</x:v>
      </x:c>
      <x:c r="L1375" s="12" t="n">
        <x:v>12</x:v>
      </x:c>
      <x:c r="M1375" s="12" t="str">
        <x:v>HX3_NORMAL|12</x:v>
      </x:c>
      <x:c r="N1375" s="12" t="str">
        <x:v>研究生宿舍楼</x:v>
      </x:c>
      <x:c r="O1375" s="12" t="n">
        <x:f>IFERROR(INDEX('秒级路线参数_可调整'!$O:$O,MATCH(M1375,'秒级路线参数_可调整'!$A:$A,0)),"")</x:f>
        <x:v>840</x:v>
      </x:c>
      <x:c r="P1375" s="12" t="n">
        <x:f>IF(O1375="","",O1375/86400)</x:f>
        <x:v>0.009722222222222222</x:v>
      </x:c>
      <x:c r="Q1375" s="12" t="n">
        <x:f>IF(O1375="","",(H1375*60+O1375)/86400)</x:f>
        <x:v>0.6416666666666667</x:v>
      </x:c>
      <x:c r="R1375" s="12" t="str">
        <x:f>IF(Q1375="","",TEXT(Q1375,"hh:mm:ss"))</x:f>
        <x:v>15:24:00</x:v>
      </x:c>
      <x:c r="S1375" s="12" t="str">
        <x:v>否</x:v>
      </x:c>
      <x:c r="T1375" s="12" t="str">
        <x:v>是</x:v>
      </x:c>
      <x:c r="U1375" s="12" t="str">
        <x:v>刘虎</x:v>
      </x:c>
      <x:c r="V1375" s="12" t="str">
        <x:v>3号车</x:v>
      </x:c>
      <x:c r="W1375" s="12" t="str">
        <x:v>秒级预测</x:v>
      </x:c>
      <x:c r="X1375" s="12" t="str">
        <x:v>基于路线秒级参数；如录入实测或手动采用秒，预计到达时间可随公式更新</x:v>
      </x:c>
    </x:row>
    <x:row r="1376">
      <x:c r="A1376" s="12" t="str">
        <x:v>S0119-01</x:v>
      </x:c>
      <x:c r="B1376" s="12" t="str">
        <x:v>S0119</x:v>
      </x:c>
      <x:c r="C1376" s="12" t="str">
        <x:v>工作日</x:v>
      </x:c>
      <x:c r="D1376" s="12" t="str">
        <x:v>环线3路</x:v>
      </x:c>
      <x:c r="E1376" s="12" t="str">
        <x:v>第一班</x:v>
      </x:c>
      <x:c r="F1376" s="12" t="n">
        <x:v>11</x:v>
      </x:c>
      <x:c r="G1376" s="12" t="str">
        <x:v>16:00</x:v>
      </x:c>
      <x:c r="H1376" s="12" t="n">
        <x:v>960</x:v>
      </x:c>
      <x:c r="I1376" s="12" t="str">
        <x:v>研究生宿舍楼</x:v>
      </x:c>
      <x:c r="J1376" s="12" t="str">
        <x:v>研究生宿舍楼发车</x:v>
      </x:c>
      <x:c r="K1376" s="12" t="str">
        <x:v>HX3_NORMAL</x:v>
      </x:c>
      <x:c r="L1376" s="12" t="n">
        <x:v>1</x:v>
      </x:c>
      <x:c r="M1376" s="12" t="str">
        <x:v>HX3_NORMAL|1</x:v>
      </x:c>
      <x:c r="N1376" s="12" t="str">
        <x:v>研究生宿舍楼</x:v>
      </x:c>
      <x:c r="O1376" s="12" t="n">
        <x:f>IFERROR(INDEX('秒级路线参数_可调整'!$O:$O,MATCH(M1376,'秒级路线参数_可调整'!$A:$A,0)),"")</x:f>
        <x:v>0</x:v>
      </x:c>
      <x:c r="P1376" s="12" t="str">
        <x:f>IF(O1376="","",O1376/86400)</x:f>
      </x:c>
      <x:c r="Q1376" s="12" t="str">
        <x:f>IF(O1376="","",(H1376*60+O1376)/86400)</x:f>
      </x:c>
      <x:c r="R1376" s="12" t="str">
        <x:f>IF(Q1376="","",TEXT(Q1376,"hh:mm:ss"))</x:f>
      </x:c>
      <x:c r="S1376" s="12" t="str">
        <x:v>是</x:v>
      </x:c>
      <x:c r="T1376" s="12" t="str">
        <x:v>否</x:v>
      </x:c>
      <x:c r="U1376" s="12" t="str">
        <x:v>刘虎</x:v>
      </x:c>
      <x:c r="V1376" s="12" t="str">
        <x:v>3号车</x:v>
      </x:c>
      <x:c r="W1376" s="12" t="str">
        <x:v>秒级预测</x:v>
      </x:c>
      <x:c r="X1376" s="12" t="str">
        <x:v>基于路线秒级参数；如录入实测或手动采用秒，预计到达时间可随公式更新</x:v>
      </x:c>
    </x:row>
    <x:row r="1377">
      <x:c r="A1377" s="12" t="str">
        <x:v>S0119-02</x:v>
      </x:c>
      <x:c r="B1377" s="12" t="str">
        <x:v>S0119</x:v>
      </x:c>
      <x:c r="C1377" s="12" t="str">
        <x:v>工作日</x:v>
      </x:c>
      <x:c r="D1377" s="12" t="str">
        <x:v>环线3路</x:v>
      </x:c>
      <x:c r="E1377" s="12" t="str">
        <x:v>第一班</x:v>
      </x:c>
      <x:c r="F1377" s="12" t="n">
        <x:v>11</x:v>
      </x:c>
      <x:c r="G1377" s="12" t="str">
        <x:v>16:00</x:v>
      </x:c>
      <x:c r="H1377" s="12" t="n">
        <x:v>960</x:v>
      </x:c>
      <x:c r="I1377" s="12" t="str">
        <x:v>研究生宿舍楼</x:v>
      </x:c>
      <x:c r="J1377" s="12" t="str">
        <x:v>研究生宿舍楼发车</x:v>
      </x:c>
      <x:c r="K1377" s="12" t="str">
        <x:v>HX3_NORMAL</x:v>
      </x:c>
      <x:c r="L1377" s="12" t="n">
        <x:v>2</x:v>
      </x:c>
      <x:c r="M1377" s="12" t="str">
        <x:v>HX3_NORMAL|2</x:v>
      </x:c>
      <x:c r="N1377" s="12" t="str">
        <x:v>一食堂</x:v>
      </x:c>
      <x:c r="O1377" s="12" t="n">
        <x:f>IFERROR(INDEX('秒级路线参数_可调整'!$O:$O,MATCH(M1377,'秒级路线参数_可调整'!$A:$A,0)),"")</x:f>
        <x:v>65</x:v>
      </x:c>
      <x:c r="P1377" s="12" t="n">
        <x:f>IF(O1377="","",O1377/86400)</x:f>
        <x:v>0.0007523148148148148</x:v>
      </x:c>
      <x:c r="Q1377" s="12" t="n">
        <x:f>IF(O1377="","",(H1377*60+O1377)/86400)</x:f>
        <x:v>0.6674189814814815</x:v>
      </x:c>
      <x:c r="R1377" s="12" t="str">
        <x:f>IF(Q1377="","",TEXT(Q1377,"hh:mm:ss"))</x:f>
        <x:v>16:01:05</x:v>
      </x:c>
      <x:c r="S1377" s="12" t="str">
        <x:v>否</x:v>
      </x:c>
      <x:c r="T1377" s="12" t="str">
        <x:v>否</x:v>
      </x:c>
      <x:c r="U1377" s="12" t="str">
        <x:v>刘虎</x:v>
      </x:c>
      <x:c r="V1377" s="12" t="str">
        <x:v>3号车</x:v>
      </x:c>
      <x:c r="W1377" s="12" t="str">
        <x:v>秒级预测</x:v>
      </x:c>
      <x:c r="X1377" s="12" t="str">
        <x:v>基于路线秒级参数；如录入实测或手动采用秒，预计到达时间可随公式更新</x:v>
      </x:c>
    </x:row>
    <x:row r="1378">
      <x:c r="A1378" s="12" t="str">
        <x:v>S0119-03</x:v>
      </x:c>
      <x:c r="B1378" s="12" t="str">
        <x:v>S0119</x:v>
      </x:c>
      <x:c r="C1378" s="12" t="str">
        <x:v>工作日</x:v>
      </x:c>
      <x:c r="D1378" s="12" t="str">
        <x:v>环线3路</x:v>
      </x:c>
      <x:c r="E1378" s="12" t="str">
        <x:v>第一班</x:v>
      </x:c>
      <x:c r="F1378" s="12" t="n">
        <x:v>11</x:v>
      </x:c>
      <x:c r="G1378" s="12" t="str">
        <x:v>16:00</x:v>
      </x:c>
      <x:c r="H1378" s="12" t="n">
        <x:v>960</x:v>
      </x:c>
      <x:c r="I1378" s="12" t="str">
        <x:v>研究生宿舍楼</x:v>
      </x:c>
      <x:c r="J1378" s="12" t="str">
        <x:v>研究生宿舍楼发车</x:v>
      </x:c>
      <x:c r="K1378" s="12" t="str">
        <x:v>HX3_NORMAL</x:v>
      </x:c>
      <x:c r="L1378" s="12" t="n">
        <x:v>3</x:v>
      </x:c>
      <x:c r="M1378" s="12" t="str">
        <x:v>HX3_NORMAL|3</x:v>
      </x:c>
      <x:c r="N1378" s="12" t="str">
        <x:v>2号宿舍楼</x:v>
      </x:c>
      <x:c r="O1378" s="12" t="n">
        <x:f>IFERROR(INDEX('秒级路线参数_可调整'!$O:$O,MATCH(M1378,'秒级路线参数_可调整'!$A:$A,0)),"")</x:f>
        <x:v>120</x:v>
      </x:c>
      <x:c r="P1378" s="12" t="n">
        <x:f>IF(O1378="","",O1378/86400)</x:f>
        <x:v>0.001388888888888889</x:v>
      </x:c>
      <x:c r="Q1378" s="12" t="n">
        <x:f>IF(O1378="","",(H1378*60+O1378)/86400)</x:f>
        <x:v>0.6680555555555555</x:v>
      </x:c>
      <x:c r="R1378" s="12" t="str">
        <x:f>IF(Q1378="","",TEXT(Q1378,"hh:mm:ss"))</x:f>
        <x:v>16:02:00</x:v>
      </x:c>
      <x:c r="S1378" s="12" t="str">
        <x:v>否</x:v>
      </x:c>
      <x:c r="T1378" s="12" t="str">
        <x:v>否</x:v>
      </x:c>
      <x:c r="U1378" s="12" t="str">
        <x:v>刘虎</x:v>
      </x:c>
      <x:c r="V1378" s="12" t="str">
        <x:v>3号车</x:v>
      </x:c>
      <x:c r="W1378" s="12" t="str">
        <x:v>秒级预测</x:v>
      </x:c>
      <x:c r="X1378" s="12" t="str">
        <x:v>基于路线秒级参数；如录入实测或手动采用秒，预计到达时间可随公式更新</x:v>
      </x:c>
    </x:row>
    <x:row r="1379">
      <x:c r="A1379" s="12" t="str">
        <x:v>S0119-04</x:v>
      </x:c>
      <x:c r="B1379" s="12" t="str">
        <x:v>S0119</x:v>
      </x:c>
      <x:c r="C1379" s="12" t="str">
        <x:v>工作日</x:v>
      </x:c>
      <x:c r="D1379" s="12" t="str">
        <x:v>环线3路</x:v>
      </x:c>
      <x:c r="E1379" s="12" t="str">
        <x:v>第一班</x:v>
      </x:c>
      <x:c r="F1379" s="12" t="n">
        <x:v>11</x:v>
      </x:c>
      <x:c r="G1379" s="12" t="str">
        <x:v>16:00</x:v>
      </x:c>
      <x:c r="H1379" s="12" t="n">
        <x:v>960</x:v>
      </x:c>
      <x:c r="I1379" s="12" t="str">
        <x:v>研究生宿舍楼</x:v>
      </x:c>
      <x:c r="J1379" s="12" t="str">
        <x:v>研究生宿舍楼发车</x:v>
      </x:c>
      <x:c r="K1379" s="12" t="str">
        <x:v>HX3_NORMAL</x:v>
      </x:c>
      <x:c r="L1379" s="12" t="n">
        <x:v>4</x:v>
      </x:c>
      <x:c r="M1379" s="12" t="str">
        <x:v>HX3_NORMAL|4</x:v>
      </x:c>
      <x:c r="N1379" s="12" t="str">
        <x:v>军体活动中心</x:v>
      </x:c>
      <x:c r="O1379" s="12" t="n">
        <x:f>IFERROR(INDEX('秒级路线参数_可调整'!$O:$O,MATCH(M1379,'秒级路线参数_可调整'!$A:$A,0)),"")</x:f>
        <x:v>165</x:v>
      </x:c>
      <x:c r="P1379" s="12" t="n">
        <x:f>IF(O1379="","",O1379/86400)</x:f>
        <x:v>0.0019097222222222222</x:v>
      </x:c>
      <x:c r="Q1379" s="12" t="n">
        <x:f>IF(O1379="","",(H1379*60+O1379)/86400)</x:f>
        <x:v>0.6685763888888889</x:v>
      </x:c>
      <x:c r="R1379" s="12" t="str">
        <x:f>IF(Q1379="","",TEXT(Q1379,"hh:mm:ss"))</x:f>
        <x:v>16:02:45</x:v>
      </x:c>
      <x:c r="S1379" s="12" t="str">
        <x:v>否</x:v>
      </x:c>
      <x:c r="T1379" s="12" t="str">
        <x:v>否</x:v>
      </x:c>
      <x:c r="U1379" s="12" t="str">
        <x:v>刘虎</x:v>
      </x:c>
      <x:c r="V1379" s="12" t="str">
        <x:v>3号车</x:v>
      </x:c>
      <x:c r="W1379" s="12" t="str">
        <x:v>秒级预测</x:v>
      </x:c>
      <x:c r="X1379" s="12" t="str">
        <x:v>基于路线秒级参数；如录入实测或手动采用秒，预计到达时间可随公式更新</x:v>
      </x:c>
    </x:row>
    <x:row r="1380">
      <x:c r="A1380" s="12" t="str">
        <x:v>S0119-05</x:v>
      </x:c>
      <x:c r="B1380" s="12" t="str">
        <x:v>S0119</x:v>
      </x:c>
      <x:c r="C1380" s="12" t="str">
        <x:v>工作日</x:v>
      </x:c>
      <x:c r="D1380" s="12" t="str">
        <x:v>环线3路</x:v>
      </x:c>
      <x:c r="E1380" s="12" t="str">
        <x:v>第一班</x:v>
      </x:c>
      <x:c r="F1380" s="12" t="n">
        <x:v>11</x:v>
      </x:c>
      <x:c r="G1380" s="12" t="str">
        <x:v>16:00</x:v>
      </x:c>
      <x:c r="H1380" s="12" t="n">
        <x:v>960</x:v>
      </x:c>
      <x:c r="I1380" s="12" t="str">
        <x:v>研究生宿舍楼</x:v>
      </x:c>
      <x:c r="J1380" s="12" t="str">
        <x:v>研究生宿舍楼发车</x:v>
      </x:c>
      <x:c r="K1380" s="12" t="str">
        <x:v>HX3_NORMAL</x:v>
      </x:c>
      <x:c r="L1380" s="12" t="n">
        <x:v>5</x:v>
      </x:c>
      <x:c r="M1380" s="12" t="str">
        <x:v>HX3_NORMAL|5</x:v>
      </x:c>
      <x:c r="N1380" s="12" t="str">
        <x:v>教勤连</x:v>
      </x:c>
      <x:c r="O1380" s="12" t="n">
        <x:f>IFERROR(INDEX('秒级路线参数_可调整'!$O:$O,MATCH(M1380,'秒级路线参数_可调整'!$A:$A,0)),"")</x:f>
        <x:v>250</x:v>
      </x:c>
      <x:c r="P1380" s="12" t="n">
        <x:f>IF(O1380="","",O1380/86400)</x:f>
        <x:v>0.0028935185185185184</x:v>
      </x:c>
      <x:c r="Q1380" s="12" t="n">
        <x:f>IF(O1380="","",(H1380*60+O1380)/86400)</x:f>
        <x:v>0.6695601851851852</x:v>
      </x:c>
      <x:c r="R1380" s="12" t="str">
        <x:f>IF(Q1380="","",TEXT(Q1380,"hh:mm:ss"))</x:f>
        <x:v>16:04:10</x:v>
      </x:c>
      <x:c r="S1380" s="12" t="str">
        <x:v>否</x:v>
      </x:c>
      <x:c r="T1380" s="12" t="str">
        <x:v>否</x:v>
      </x:c>
      <x:c r="U1380" s="12" t="str">
        <x:v>刘虎</x:v>
      </x:c>
      <x:c r="V1380" s="12" t="str">
        <x:v>3号车</x:v>
      </x:c>
      <x:c r="W1380" s="12" t="str">
        <x:v>秒级预测</x:v>
      </x:c>
      <x:c r="X1380" s="12" t="str">
        <x:v>基于路线秒级参数；如录入实测或手动采用秒，预计到达时间可随公式更新</x:v>
      </x:c>
    </x:row>
    <x:row r="1381">
      <x:c r="A1381" s="12" t="str">
        <x:v>S0119-06</x:v>
      </x:c>
      <x:c r="B1381" s="12" t="str">
        <x:v>S0119</x:v>
      </x:c>
      <x:c r="C1381" s="12" t="str">
        <x:v>工作日</x:v>
      </x:c>
      <x:c r="D1381" s="12" t="str">
        <x:v>环线3路</x:v>
      </x:c>
      <x:c r="E1381" s="12" t="str">
        <x:v>第一班</x:v>
      </x:c>
      <x:c r="F1381" s="12" t="n">
        <x:v>11</x:v>
      </x:c>
      <x:c r="G1381" s="12" t="str">
        <x:v>16:00</x:v>
      </x:c>
      <x:c r="H1381" s="12" t="n">
        <x:v>960</x:v>
      </x:c>
      <x:c r="I1381" s="12" t="str">
        <x:v>研究生宿舍楼</x:v>
      </x:c>
      <x:c r="J1381" s="12" t="str">
        <x:v>研究生宿舍楼发车</x:v>
      </x:c>
      <x:c r="K1381" s="12" t="str">
        <x:v>HX3_NORMAL</x:v>
      </x:c>
      <x:c r="L1381" s="12" t="n">
        <x:v>6</x:v>
      </x:c>
      <x:c r="M1381" s="12" t="str">
        <x:v>HX3_NORMAL|6</x:v>
      </x:c>
      <x:c r="N1381" s="12" t="str">
        <x:v>激光所</x:v>
      </x:c>
      <x:c r="O1381" s="12" t="n">
        <x:f>IFERROR(INDEX('秒级路线参数_可调整'!$O:$O,MATCH(M1381,'秒级路线参数_可调整'!$A:$A,0)),"")</x:f>
        <x:v>315</x:v>
      </x:c>
      <x:c r="P1381" s="12" t="n">
        <x:f>IF(O1381="","",O1381/86400)</x:f>
        <x:v>0.0036458333333333334</x:v>
      </x:c>
      <x:c r="Q1381" s="12" t="n">
        <x:f>IF(O1381="","",(H1381*60+O1381)/86400)</x:f>
        <x:v>0.6703125</x:v>
      </x:c>
      <x:c r="R1381" s="12" t="str">
        <x:f>IF(Q1381="","",TEXT(Q1381,"hh:mm:ss"))</x:f>
        <x:v>16:05:15</x:v>
      </x:c>
      <x:c r="S1381" s="12" t="str">
        <x:v>否</x:v>
      </x:c>
      <x:c r="T1381" s="12" t="str">
        <x:v>否</x:v>
      </x:c>
      <x:c r="U1381" s="12" t="str">
        <x:v>刘虎</x:v>
      </x:c>
      <x:c r="V1381" s="12" t="str">
        <x:v>3号车</x:v>
      </x:c>
      <x:c r="W1381" s="12" t="str">
        <x:v>秒级预测</x:v>
      </x:c>
      <x:c r="X1381" s="12" t="str">
        <x:v>基于路线秒级参数；如录入实测或手动采用秒，预计到达时间可随公式更新</x:v>
      </x:c>
    </x:row>
    <x:row r="1382">
      <x:c r="A1382" s="12" t="str">
        <x:v>S0119-07</x:v>
      </x:c>
      <x:c r="B1382" s="12" t="str">
        <x:v>S0119</x:v>
      </x:c>
      <x:c r="C1382" s="12" t="str">
        <x:v>工作日</x:v>
      </x:c>
      <x:c r="D1382" s="12" t="str">
        <x:v>环线3路</x:v>
      </x:c>
      <x:c r="E1382" s="12" t="str">
        <x:v>第一班</x:v>
      </x:c>
      <x:c r="F1382" s="12" t="n">
        <x:v>11</x:v>
      </x:c>
      <x:c r="G1382" s="12" t="str">
        <x:v>16:00</x:v>
      </x:c>
      <x:c r="H1382" s="12" t="n">
        <x:v>960</x:v>
      </x:c>
      <x:c r="I1382" s="12" t="str">
        <x:v>研究生宿舍楼</x:v>
      </x:c>
      <x:c r="J1382" s="12" t="str">
        <x:v>研究生宿舍楼发车</x:v>
      </x:c>
      <x:c r="K1382" s="12" t="str">
        <x:v>HX3_NORMAL</x:v>
      </x:c>
      <x:c r="L1382" s="12" t="n">
        <x:v>7</x:v>
      </x:c>
      <x:c r="M1382" s="12" t="str">
        <x:v>HX3_NORMAL|7</x:v>
      </x:c>
      <x:c r="N1382" s="12" t="str">
        <x:v>高超楼</x:v>
      </x:c>
      <x:c r="O1382" s="12" t="n">
        <x:f>IFERROR(INDEX('秒级路线参数_可调整'!$O:$O,MATCH(M1382,'秒级路线参数_可调整'!$A:$A,0)),"")</x:f>
        <x:v>420</x:v>
      </x:c>
      <x:c r="P1382" s="12" t="n">
        <x:f>IF(O1382="","",O1382/86400)</x:f>
        <x:v>0.004861111111111111</x:v>
      </x:c>
      <x:c r="Q1382" s="12" t="n">
        <x:f>IF(O1382="","",(H1382*60+O1382)/86400)</x:f>
        <x:v>0.6715277777777777</x:v>
      </x:c>
      <x:c r="R1382" s="12" t="str">
        <x:f>IF(Q1382="","",TEXT(Q1382,"hh:mm:ss"))</x:f>
        <x:v>16:07:00</x:v>
      </x:c>
      <x:c r="S1382" s="12" t="str">
        <x:v>否</x:v>
      </x:c>
      <x:c r="T1382" s="12" t="str">
        <x:v>否</x:v>
      </x:c>
      <x:c r="U1382" s="12" t="str">
        <x:v>刘虎</x:v>
      </x:c>
      <x:c r="V1382" s="12" t="str">
        <x:v>3号车</x:v>
      </x:c>
      <x:c r="W1382" s="12" t="str">
        <x:v>秒级预测</x:v>
      </x:c>
      <x:c r="X1382" s="12" t="str">
        <x:v>基于路线秒级参数；如录入实测或手动采用秒，预计到达时间可随公式更新</x:v>
      </x:c>
    </x:row>
    <x:row r="1383">
      <x:c r="A1383" s="12" t="str">
        <x:v>S0119-08</x:v>
      </x:c>
      <x:c r="B1383" s="12" t="str">
        <x:v>S0119</x:v>
      </x:c>
      <x:c r="C1383" s="12" t="str">
        <x:v>工作日</x:v>
      </x:c>
      <x:c r="D1383" s="12" t="str">
        <x:v>环线3路</x:v>
      </x:c>
      <x:c r="E1383" s="12" t="str">
        <x:v>第一班</x:v>
      </x:c>
      <x:c r="F1383" s="12" t="n">
        <x:v>11</x:v>
      </x:c>
      <x:c r="G1383" s="12" t="str">
        <x:v>16:00</x:v>
      </x:c>
      <x:c r="H1383" s="12" t="n">
        <x:v>960</x:v>
      </x:c>
      <x:c r="I1383" s="12" t="str">
        <x:v>研究生宿舍楼</x:v>
      </x:c>
      <x:c r="J1383" s="12" t="str">
        <x:v>研究生宿舍楼发车</x:v>
      </x:c>
      <x:c r="K1383" s="12" t="str">
        <x:v>HX3_NORMAL</x:v>
      </x:c>
      <x:c r="L1383" s="12" t="n">
        <x:v>8</x:v>
      </x:c>
      <x:c r="M1383" s="12" t="str">
        <x:v>HX3_NORMAL|8</x:v>
      </x:c>
      <x:c r="N1383" s="12" t="str">
        <x:v>理学院</x:v>
      </x:c>
      <x:c r="O1383" s="12" t="n">
        <x:f>IFERROR(INDEX('秒级路线参数_可调整'!$O:$O,MATCH(M1383,'秒级路线参数_可调整'!$A:$A,0)),"")</x:f>
        <x:v>480</x:v>
      </x:c>
      <x:c r="P1383" s="12" t="n">
        <x:f>IF(O1383="","",O1383/86400)</x:f>
        <x:v>0.005555555555555556</x:v>
      </x:c>
      <x:c r="Q1383" s="12" t="n">
        <x:f>IF(O1383="","",(H1383*60+O1383)/86400)</x:f>
        <x:v>0.6722222222222223</x:v>
      </x:c>
      <x:c r="R1383" s="12" t="str">
        <x:f>IF(Q1383="","",TEXT(Q1383,"hh:mm:ss"))</x:f>
        <x:v>16:08:00</x:v>
      </x:c>
      <x:c r="S1383" s="12" t="str">
        <x:v>否</x:v>
      </x:c>
      <x:c r="T1383" s="12" t="str">
        <x:v>否</x:v>
      </x:c>
      <x:c r="U1383" s="12" t="str">
        <x:v>刘虎</x:v>
      </x:c>
      <x:c r="V1383" s="12" t="str">
        <x:v>3号车</x:v>
      </x:c>
      <x:c r="W1383" s="12" t="str">
        <x:v>秒级预测</x:v>
      </x:c>
      <x:c r="X1383" s="12" t="str">
        <x:v>基于路线秒级参数；如录入实测或手动采用秒，预计到达时间可随公式更新</x:v>
      </x:c>
    </x:row>
    <x:row r="1384">
      <x:c r="A1384" s="12" t="str">
        <x:v>S0119-09</x:v>
      </x:c>
      <x:c r="B1384" s="12" t="str">
        <x:v>S0119</x:v>
      </x:c>
      <x:c r="C1384" s="12" t="str">
        <x:v>工作日</x:v>
      </x:c>
      <x:c r="D1384" s="12" t="str">
        <x:v>环线3路</x:v>
      </x:c>
      <x:c r="E1384" s="12" t="str">
        <x:v>第一班</x:v>
      </x:c>
      <x:c r="F1384" s="12" t="n">
        <x:v>11</x:v>
      </x:c>
      <x:c r="G1384" s="12" t="str">
        <x:v>16:00</x:v>
      </x:c>
      <x:c r="H1384" s="12" t="n">
        <x:v>960</x:v>
      </x:c>
      <x:c r="I1384" s="12" t="str">
        <x:v>研究生宿舍楼</x:v>
      </x:c>
      <x:c r="J1384" s="12" t="str">
        <x:v>研究生宿舍楼发车</x:v>
      </x:c>
      <x:c r="K1384" s="12" t="str">
        <x:v>HX3_NORMAL</x:v>
      </x:c>
      <x:c r="L1384" s="12" t="n">
        <x:v>9</x:v>
      </x:c>
      <x:c r="M1384" s="12" t="str">
        <x:v>HX3_NORMAL|9</x:v>
      </x:c>
      <x:c r="N1384" s="12" t="str">
        <x:v>二食堂</x:v>
      </x:c>
      <x:c r="O1384" s="12" t="n">
        <x:f>IFERROR(INDEX('秒级路线参数_可调整'!$O:$O,MATCH(M1384,'秒级路线参数_可调整'!$A:$A,0)),"")</x:f>
        <x:v>535</x:v>
      </x:c>
      <x:c r="P1384" s="12" t="n">
        <x:f>IF(O1384="","",O1384/86400)</x:f>
        <x:v>0.00619212962962963</x:v>
      </x:c>
      <x:c r="Q1384" s="12" t="n">
        <x:f>IF(O1384="","",(H1384*60+O1384)/86400)</x:f>
        <x:v>0.6728587962962963</x:v>
      </x:c>
      <x:c r="R1384" s="12" t="str">
        <x:f>IF(Q1384="","",TEXT(Q1384,"hh:mm:ss"))</x:f>
        <x:v>16:08:55</x:v>
      </x:c>
      <x:c r="S1384" s="12" t="str">
        <x:v>否</x:v>
      </x:c>
      <x:c r="T1384" s="12" t="str">
        <x:v>否</x:v>
      </x:c>
      <x:c r="U1384" s="12" t="str">
        <x:v>刘虎</x:v>
      </x:c>
      <x:c r="V1384" s="12" t="str">
        <x:v>3号车</x:v>
      </x:c>
      <x:c r="W1384" s="12" t="str">
        <x:v>秒级预测</x:v>
      </x:c>
      <x:c r="X1384" s="12" t="str">
        <x:v>基于路线秒级参数；如录入实测或手动采用秒，预计到达时间可随公式更新</x:v>
      </x:c>
    </x:row>
    <x:row r="1385">
      <x:c r="A1385" s="12" t="str">
        <x:v>S0119-10</x:v>
      </x:c>
      <x:c r="B1385" s="12" t="str">
        <x:v>S0119</x:v>
      </x:c>
      <x:c r="C1385" s="12" t="str">
        <x:v>工作日</x:v>
      </x:c>
      <x:c r="D1385" s="12" t="str">
        <x:v>环线3路</x:v>
      </x:c>
      <x:c r="E1385" s="12" t="str">
        <x:v>第一班</x:v>
      </x:c>
      <x:c r="F1385" s="12" t="n">
        <x:v>11</x:v>
      </x:c>
      <x:c r="G1385" s="12" t="str">
        <x:v>16:00</x:v>
      </x:c>
      <x:c r="H1385" s="12" t="n">
        <x:v>960</x:v>
      </x:c>
      <x:c r="I1385" s="12" t="str">
        <x:v>研究生宿舍楼</x:v>
      </x:c>
      <x:c r="J1385" s="12" t="str">
        <x:v>研究生宿舍楼发车</x:v>
      </x:c>
      <x:c r="K1385" s="12" t="str">
        <x:v>HX3_NORMAL</x:v>
      </x:c>
      <x:c r="L1385" s="12" t="n">
        <x:v>10</x:v>
      </x:c>
      <x:c r="M1385" s="12" t="str">
        <x:v>HX3_NORMAL|10</x:v>
      </x:c>
      <x:c r="N1385" s="12" t="str">
        <x:v>图书馆</x:v>
      </x:c>
      <x:c r="O1385" s="12" t="n">
        <x:f>IFERROR(INDEX('秒级路线参数_可调整'!$O:$O,MATCH(M1385,'秒级路线参数_可调整'!$A:$A,0)),"")</x:f>
        <x:v>715</x:v>
      </x:c>
      <x:c r="P1385" s="12" t="n">
        <x:f>IF(O1385="","",O1385/86400)</x:f>
        <x:v>0.008275462962962964</x:v>
      </x:c>
      <x:c r="Q1385" s="12" t="n">
        <x:f>IF(O1385="","",(H1385*60+O1385)/86400)</x:f>
        <x:v>0.6749421296296296</x:v>
      </x:c>
      <x:c r="R1385" s="12" t="str">
        <x:f>IF(Q1385="","",TEXT(Q1385,"hh:mm:ss"))</x:f>
        <x:v>16:11:55</x:v>
      </x:c>
      <x:c r="S1385" s="12" t="str">
        <x:v>否</x:v>
      </x:c>
      <x:c r="T1385" s="12" t="str">
        <x:v>否</x:v>
      </x:c>
      <x:c r="U1385" s="12" t="str">
        <x:v>刘虎</x:v>
      </x:c>
      <x:c r="V1385" s="12" t="str">
        <x:v>3号车</x:v>
      </x:c>
      <x:c r="W1385" s="12" t="str">
        <x:v>秒级预测</x:v>
      </x:c>
      <x:c r="X1385" s="12" t="str">
        <x:v>基于路线秒级参数；如录入实测或手动采用秒，预计到达时间可随公式更新</x:v>
      </x:c>
    </x:row>
    <x:row r="1386">
      <x:c r="A1386" s="12" t="str">
        <x:v>S0119-11</x:v>
      </x:c>
      <x:c r="B1386" s="12" t="str">
        <x:v>S0119</x:v>
      </x:c>
      <x:c r="C1386" s="12" t="str">
        <x:v>工作日</x:v>
      </x:c>
      <x:c r="D1386" s="12" t="str">
        <x:v>环线3路</x:v>
      </x:c>
      <x:c r="E1386" s="12" t="str">
        <x:v>第一班</x:v>
      </x:c>
      <x:c r="F1386" s="12" t="n">
        <x:v>11</x:v>
      </x:c>
      <x:c r="G1386" s="12" t="str">
        <x:v>16:00</x:v>
      </x:c>
      <x:c r="H1386" s="12" t="n">
        <x:v>960</x:v>
      </x:c>
      <x:c r="I1386" s="12" t="str">
        <x:v>研究生宿舍楼</x:v>
      </x:c>
      <x:c r="J1386" s="12" t="str">
        <x:v>研究生宿舍楼发车</x:v>
      </x:c>
      <x:c r="K1386" s="12" t="str">
        <x:v>HX3_NORMAL</x:v>
      </x:c>
      <x:c r="L1386" s="12" t="n">
        <x:v>11</x:v>
      </x:c>
      <x:c r="M1386" s="12" t="str">
        <x:v>HX3_NORMAL|11</x:v>
      </x:c>
      <x:c r="N1386" s="12" t="str">
        <x:v>305教学楼</x:v>
      </x:c>
      <x:c r="O1386" s="12" t="n">
        <x:f>IFERROR(INDEX('秒级路线参数_可调整'!$O:$O,MATCH(M1386,'秒级路线参数_可调整'!$A:$A,0)),"")</x:f>
        <x:v>775</x:v>
      </x:c>
      <x:c r="P1386" s="12" t="n">
        <x:f>IF(O1386="","",O1386/86400)</x:f>
        <x:v>0.008969907407407407</x:v>
      </x:c>
      <x:c r="Q1386" s="12" t="n">
        <x:f>IF(O1386="","",(H1386*60+O1386)/86400)</x:f>
        <x:v>0.6756365740740741</x:v>
      </x:c>
      <x:c r="R1386" s="12" t="str">
        <x:f>IF(Q1386="","",TEXT(Q1386,"hh:mm:ss"))</x:f>
        <x:v>16:12:55</x:v>
      </x:c>
      <x:c r="S1386" s="12" t="str">
        <x:v>否</x:v>
      </x:c>
      <x:c r="T1386" s="12" t="str">
        <x:v>否</x:v>
      </x:c>
      <x:c r="U1386" s="12" t="str">
        <x:v>刘虎</x:v>
      </x:c>
      <x:c r="V1386" s="12" t="str">
        <x:v>3号车</x:v>
      </x:c>
      <x:c r="W1386" s="12" t="str">
        <x:v>秒级预测</x:v>
      </x:c>
      <x:c r="X1386" s="12" t="str">
        <x:v>基于路线秒级参数；如录入实测或手动采用秒，预计到达时间可随公式更新</x:v>
      </x:c>
    </x:row>
    <x:row r="1387">
      <x:c r="A1387" s="12" t="str">
        <x:v>S0119-12</x:v>
      </x:c>
      <x:c r="B1387" s="12" t="str">
        <x:v>S0119</x:v>
      </x:c>
      <x:c r="C1387" s="12" t="str">
        <x:v>工作日</x:v>
      </x:c>
      <x:c r="D1387" s="12" t="str">
        <x:v>环线3路</x:v>
      </x:c>
      <x:c r="E1387" s="12" t="str">
        <x:v>第一班</x:v>
      </x:c>
      <x:c r="F1387" s="12" t="n">
        <x:v>11</x:v>
      </x:c>
      <x:c r="G1387" s="12" t="str">
        <x:v>16:00</x:v>
      </x:c>
      <x:c r="H1387" s="12" t="n">
        <x:v>960</x:v>
      </x:c>
      <x:c r="I1387" s="12" t="str">
        <x:v>研究生宿舍楼</x:v>
      </x:c>
      <x:c r="J1387" s="12" t="str">
        <x:v>研究生宿舍楼发车</x:v>
      </x:c>
      <x:c r="K1387" s="12" t="str">
        <x:v>HX3_NORMAL</x:v>
      </x:c>
      <x:c r="L1387" s="12" t="n">
        <x:v>12</x:v>
      </x:c>
      <x:c r="M1387" s="12" t="str">
        <x:v>HX3_NORMAL|12</x:v>
      </x:c>
      <x:c r="N1387" s="12" t="str">
        <x:v>研究生宿舍楼</x:v>
      </x:c>
      <x:c r="O1387" s="12" t="n">
        <x:f>IFERROR(INDEX('秒级路线参数_可调整'!$O:$O,MATCH(M1387,'秒级路线参数_可调整'!$A:$A,0)),"")</x:f>
        <x:v>840</x:v>
      </x:c>
      <x:c r="P1387" s="12" t="n">
        <x:f>IF(O1387="","",O1387/86400)</x:f>
        <x:v>0.009722222222222222</x:v>
      </x:c>
      <x:c r="Q1387" s="12" t="n">
        <x:f>IF(O1387="","",(H1387*60+O1387)/86400)</x:f>
        <x:v>0.6763888888888889</x:v>
      </x:c>
      <x:c r="R1387" s="12" t="str">
        <x:f>IF(Q1387="","",TEXT(Q1387,"hh:mm:ss"))</x:f>
        <x:v>16:14:00</x:v>
      </x:c>
      <x:c r="S1387" s="12" t="str">
        <x:v>否</x:v>
      </x:c>
      <x:c r="T1387" s="12" t="str">
        <x:v>是</x:v>
      </x:c>
      <x:c r="U1387" s="12" t="str">
        <x:v>刘虎</x:v>
      </x:c>
      <x:c r="V1387" s="12" t="str">
        <x:v>3号车</x:v>
      </x:c>
      <x:c r="W1387" s="12" t="str">
        <x:v>秒级预测</x:v>
      </x:c>
      <x:c r="X1387" s="12" t="str">
        <x:v>基于路线秒级参数；如录入实测或手动采用秒，预计到达时间可随公式更新</x:v>
      </x:c>
    </x:row>
    <x:row r="1388">
      <x:c r="A1388" s="12" t="str">
        <x:v>S0120-01</x:v>
      </x:c>
      <x:c r="B1388" s="12" t="str">
        <x:v>S0120</x:v>
      </x:c>
      <x:c r="C1388" s="12" t="str">
        <x:v>工作日</x:v>
      </x:c>
      <x:c r="D1388" s="12" t="str">
        <x:v>环线3路</x:v>
      </x:c>
      <x:c r="E1388" s="12" t="str">
        <x:v>第一班</x:v>
      </x:c>
      <x:c r="F1388" s="12" t="n">
        <x:v>12</x:v>
      </x:c>
      <x:c r="G1388" s="12" t="str">
        <x:v>16:35</x:v>
      </x:c>
      <x:c r="H1388" s="12" t="n">
        <x:v>995</x:v>
      </x:c>
      <x:c r="I1388" s="12" t="str">
        <x:v>研究生宿舍楼</x:v>
      </x:c>
      <x:c r="J1388" s="12" t="str">
        <x:v>研究生宿舍楼发车</x:v>
      </x:c>
      <x:c r="K1388" s="12" t="str">
        <x:v>HX3_NORMAL</x:v>
      </x:c>
      <x:c r="L1388" s="12" t="n">
        <x:v>1</x:v>
      </x:c>
      <x:c r="M1388" s="12" t="str">
        <x:v>HX3_NORMAL|1</x:v>
      </x:c>
      <x:c r="N1388" s="12" t="str">
        <x:v>研究生宿舍楼</x:v>
      </x:c>
      <x:c r="O1388" s="12" t="n">
        <x:f>IFERROR(INDEX('秒级路线参数_可调整'!$O:$O,MATCH(M1388,'秒级路线参数_可调整'!$A:$A,0)),"")</x:f>
        <x:v>0</x:v>
      </x:c>
      <x:c r="P1388" s="12" t="str">
        <x:f>IF(O1388="","",O1388/86400)</x:f>
      </x:c>
      <x:c r="Q1388" s="12" t="str">
        <x:f>IF(O1388="","",(H1388*60+O1388)/86400)</x:f>
      </x:c>
      <x:c r="R1388" s="12" t="str">
        <x:f>IF(Q1388="","",TEXT(Q1388,"hh:mm:ss"))</x:f>
      </x:c>
      <x:c r="S1388" s="12" t="str">
        <x:v>是</x:v>
      </x:c>
      <x:c r="T1388" s="12" t="str">
        <x:v>否</x:v>
      </x:c>
      <x:c r="U1388" s="12" t="str">
        <x:v>刘虎</x:v>
      </x:c>
      <x:c r="V1388" s="12" t="str">
        <x:v>3号车</x:v>
      </x:c>
      <x:c r="W1388" s="12" t="str">
        <x:v>秒级预测</x:v>
      </x:c>
      <x:c r="X1388" s="12" t="str">
        <x:v>基于路线秒级参数；如录入实测或手动采用秒，预计到达时间可随公式更新</x:v>
      </x:c>
    </x:row>
    <x:row r="1389">
      <x:c r="A1389" s="12" t="str">
        <x:v>S0120-02</x:v>
      </x:c>
      <x:c r="B1389" s="12" t="str">
        <x:v>S0120</x:v>
      </x:c>
      <x:c r="C1389" s="12" t="str">
        <x:v>工作日</x:v>
      </x:c>
      <x:c r="D1389" s="12" t="str">
        <x:v>环线3路</x:v>
      </x:c>
      <x:c r="E1389" s="12" t="str">
        <x:v>第一班</x:v>
      </x:c>
      <x:c r="F1389" s="12" t="n">
        <x:v>12</x:v>
      </x:c>
      <x:c r="G1389" s="12" t="str">
        <x:v>16:35</x:v>
      </x:c>
      <x:c r="H1389" s="12" t="n">
        <x:v>995</x:v>
      </x:c>
      <x:c r="I1389" s="12" t="str">
        <x:v>研究生宿舍楼</x:v>
      </x:c>
      <x:c r="J1389" s="12" t="str">
        <x:v>研究生宿舍楼发车</x:v>
      </x:c>
      <x:c r="K1389" s="12" t="str">
        <x:v>HX3_NORMAL</x:v>
      </x:c>
      <x:c r="L1389" s="12" t="n">
        <x:v>2</x:v>
      </x:c>
      <x:c r="M1389" s="12" t="str">
        <x:v>HX3_NORMAL|2</x:v>
      </x:c>
      <x:c r="N1389" s="12" t="str">
        <x:v>一食堂</x:v>
      </x:c>
      <x:c r="O1389" s="12" t="n">
        <x:f>IFERROR(INDEX('秒级路线参数_可调整'!$O:$O,MATCH(M1389,'秒级路线参数_可调整'!$A:$A,0)),"")</x:f>
        <x:v>65</x:v>
      </x:c>
      <x:c r="P1389" s="12" t="n">
        <x:f>IF(O1389="","",O1389/86400)</x:f>
        <x:v>0.0007523148148148148</x:v>
      </x:c>
      <x:c r="Q1389" s="12" t="n">
        <x:f>IF(O1389="","",(H1389*60+O1389)/86400)</x:f>
        <x:v>0.6917245370370371</x:v>
      </x:c>
      <x:c r="R1389" s="12" t="str">
        <x:f>IF(Q1389="","",TEXT(Q1389,"hh:mm:ss"))</x:f>
        <x:v>16:36:05</x:v>
      </x:c>
      <x:c r="S1389" s="12" t="str">
        <x:v>否</x:v>
      </x:c>
      <x:c r="T1389" s="12" t="str">
        <x:v>否</x:v>
      </x:c>
      <x:c r="U1389" s="12" t="str">
        <x:v>刘虎</x:v>
      </x:c>
      <x:c r="V1389" s="12" t="str">
        <x:v>3号车</x:v>
      </x:c>
      <x:c r="W1389" s="12" t="str">
        <x:v>秒级预测</x:v>
      </x:c>
      <x:c r="X1389" s="12" t="str">
        <x:v>基于路线秒级参数；如录入实测或手动采用秒，预计到达时间可随公式更新</x:v>
      </x:c>
    </x:row>
    <x:row r="1390">
      <x:c r="A1390" s="12" t="str">
        <x:v>S0120-03</x:v>
      </x:c>
      <x:c r="B1390" s="12" t="str">
        <x:v>S0120</x:v>
      </x:c>
      <x:c r="C1390" s="12" t="str">
        <x:v>工作日</x:v>
      </x:c>
      <x:c r="D1390" s="12" t="str">
        <x:v>环线3路</x:v>
      </x:c>
      <x:c r="E1390" s="12" t="str">
        <x:v>第一班</x:v>
      </x:c>
      <x:c r="F1390" s="12" t="n">
        <x:v>12</x:v>
      </x:c>
      <x:c r="G1390" s="12" t="str">
        <x:v>16:35</x:v>
      </x:c>
      <x:c r="H1390" s="12" t="n">
        <x:v>995</x:v>
      </x:c>
      <x:c r="I1390" s="12" t="str">
        <x:v>研究生宿舍楼</x:v>
      </x:c>
      <x:c r="J1390" s="12" t="str">
        <x:v>研究生宿舍楼发车</x:v>
      </x:c>
      <x:c r="K1390" s="12" t="str">
        <x:v>HX3_NORMAL</x:v>
      </x:c>
      <x:c r="L1390" s="12" t="n">
        <x:v>3</x:v>
      </x:c>
      <x:c r="M1390" s="12" t="str">
        <x:v>HX3_NORMAL|3</x:v>
      </x:c>
      <x:c r="N1390" s="12" t="str">
        <x:v>2号宿舍楼</x:v>
      </x:c>
      <x:c r="O1390" s="12" t="n">
        <x:f>IFERROR(INDEX('秒级路线参数_可调整'!$O:$O,MATCH(M1390,'秒级路线参数_可调整'!$A:$A,0)),"")</x:f>
        <x:v>120</x:v>
      </x:c>
      <x:c r="P1390" s="12" t="n">
        <x:f>IF(O1390="","",O1390/86400)</x:f>
        <x:v>0.001388888888888889</x:v>
      </x:c>
      <x:c r="Q1390" s="12" t="n">
        <x:f>IF(O1390="","",(H1390*60+O1390)/86400)</x:f>
        <x:v>0.6923611111111111</x:v>
      </x:c>
      <x:c r="R1390" s="12" t="str">
        <x:f>IF(Q1390="","",TEXT(Q1390,"hh:mm:ss"))</x:f>
        <x:v>16:37:00</x:v>
      </x:c>
      <x:c r="S1390" s="12" t="str">
        <x:v>否</x:v>
      </x:c>
      <x:c r="T1390" s="12" t="str">
        <x:v>否</x:v>
      </x:c>
      <x:c r="U1390" s="12" t="str">
        <x:v>刘虎</x:v>
      </x:c>
      <x:c r="V1390" s="12" t="str">
        <x:v>3号车</x:v>
      </x:c>
      <x:c r="W1390" s="12" t="str">
        <x:v>秒级预测</x:v>
      </x:c>
      <x:c r="X1390" s="12" t="str">
        <x:v>基于路线秒级参数；如录入实测或手动采用秒，预计到达时间可随公式更新</x:v>
      </x:c>
    </x:row>
    <x:row r="1391">
      <x:c r="A1391" s="12" t="str">
        <x:v>S0120-04</x:v>
      </x:c>
      <x:c r="B1391" s="12" t="str">
        <x:v>S0120</x:v>
      </x:c>
      <x:c r="C1391" s="12" t="str">
        <x:v>工作日</x:v>
      </x:c>
      <x:c r="D1391" s="12" t="str">
        <x:v>环线3路</x:v>
      </x:c>
      <x:c r="E1391" s="12" t="str">
        <x:v>第一班</x:v>
      </x:c>
      <x:c r="F1391" s="12" t="n">
        <x:v>12</x:v>
      </x:c>
      <x:c r="G1391" s="12" t="str">
        <x:v>16:35</x:v>
      </x:c>
      <x:c r="H1391" s="12" t="n">
        <x:v>995</x:v>
      </x:c>
      <x:c r="I1391" s="12" t="str">
        <x:v>研究生宿舍楼</x:v>
      </x:c>
      <x:c r="J1391" s="12" t="str">
        <x:v>研究生宿舍楼发车</x:v>
      </x:c>
      <x:c r="K1391" s="12" t="str">
        <x:v>HX3_NORMAL</x:v>
      </x:c>
      <x:c r="L1391" s="12" t="n">
        <x:v>4</x:v>
      </x:c>
      <x:c r="M1391" s="12" t="str">
        <x:v>HX3_NORMAL|4</x:v>
      </x:c>
      <x:c r="N1391" s="12" t="str">
        <x:v>军体活动中心</x:v>
      </x:c>
      <x:c r="O1391" s="12" t="n">
        <x:f>IFERROR(INDEX('秒级路线参数_可调整'!$O:$O,MATCH(M1391,'秒级路线参数_可调整'!$A:$A,0)),"")</x:f>
        <x:v>165</x:v>
      </x:c>
      <x:c r="P1391" s="12" t="n">
        <x:f>IF(O1391="","",O1391/86400)</x:f>
        <x:v>0.0019097222222222222</x:v>
      </x:c>
      <x:c r="Q1391" s="12" t="n">
        <x:f>IF(O1391="","",(H1391*60+O1391)/86400)</x:f>
        <x:v>0.6928819444444444</x:v>
      </x:c>
      <x:c r="R1391" s="12" t="str">
        <x:f>IF(Q1391="","",TEXT(Q1391,"hh:mm:ss"))</x:f>
        <x:v>16:37:45</x:v>
      </x:c>
      <x:c r="S1391" s="12" t="str">
        <x:v>否</x:v>
      </x:c>
      <x:c r="T1391" s="12" t="str">
        <x:v>否</x:v>
      </x:c>
      <x:c r="U1391" s="12" t="str">
        <x:v>刘虎</x:v>
      </x:c>
      <x:c r="V1391" s="12" t="str">
        <x:v>3号车</x:v>
      </x:c>
      <x:c r="W1391" s="12" t="str">
        <x:v>秒级预测</x:v>
      </x:c>
      <x:c r="X1391" s="12" t="str">
        <x:v>基于路线秒级参数；如录入实测或手动采用秒，预计到达时间可随公式更新</x:v>
      </x:c>
    </x:row>
    <x:row r="1392">
      <x:c r="A1392" s="12" t="str">
        <x:v>S0120-05</x:v>
      </x:c>
      <x:c r="B1392" s="12" t="str">
        <x:v>S0120</x:v>
      </x:c>
      <x:c r="C1392" s="12" t="str">
        <x:v>工作日</x:v>
      </x:c>
      <x:c r="D1392" s="12" t="str">
        <x:v>环线3路</x:v>
      </x:c>
      <x:c r="E1392" s="12" t="str">
        <x:v>第一班</x:v>
      </x:c>
      <x:c r="F1392" s="12" t="n">
        <x:v>12</x:v>
      </x:c>
      <x:c r="G1392" s="12" t="str">
        <x:v>16:35</x:v>
      </x:c>
      <x:c r="H1392" s="12" t="n">
        <x:v>995</x:v>
      </x:c>
      <x:c r="I1392" s="12" t="str">
        <x:v>研究生宿舍楼</x:v>
      </x:c>
      <x:c r="J1392" s="12" t="str">
        <x:v>研究生宿舍楼发车</x:v>
      </x:c>
      <x:c r="K1392" s="12" t="str">
        <x:v>HX3_NORMAL</x:v>
      </x:c>
      <x:c r="L1392" s="12" t="n">
        <x:v>5</x:v>
      </x:c>
      <x:c r="M1392" s="12" t="str">
        <x:v>HX3_NORMAL|5</x:v>
      </x:c>
      <x:c r="N1392" s="12" t="str">
        <x:v>教勤连</x:v>
      </x:c>
      <x:c r="O1392" s="12" t="n">
        <x:f>IFERROR(INDEX('秒级路线参数_可调整'!$O:$O,MATCH(M1392,'秒级路线参数_可调整'!$A:$A,0)),"")</x:f>
        <x:v>250</x:v>
      </x:c>
      <x:c r="P1392" s="12" t="n">
        <x:f>IF(O1392="","",O1392/86400)</x:f>
        <x:v>0.0028935185185185184</x:v>
      </x:c>
      <x:c r="Q1392" s="12" t="n">
        <x:f>IF(O1392="","",(H1392*60+O1392)/86400)</x:f>
        <x:v>0.6938657407407407</x:v>
      </x:c>
      <x:c r="R1392" s="12" t="str">
        <x:f>IF(Q1392="","",TEXT(Q1392,"hh:mm:ss"))</x:f>
        <x:v>16:39:10</x:v>
      </x:c>
      <x:c r="S1392" s="12" t="str">
        <x:v>否</x:v>
      </x:c>
      <x:c r="T1392" s="12" t="str">
        <x:v>否</x:v>
      </x:c>
      <x:c r="U1392" s="12" t="str">
        <x:v>刘虎</x:v>
      </x:c>
      <x:c r="V1392" s="12" t="str">
        <x:v>3号车</x:v>
      </x:c>
      <x:c r="W1392" s="12" t="str">
        <x:v>秒级预测</x:v>
      </x:c>
      <x:c r="X1392" s="12" t="str">
        <x:v>基于路线秒级参数；如录入实测或手动采用秒，预计到达时间可随公式更新</x:v>
      </x:c>
    </x:row>
    <x:row r="1393">
      <x:c r="A1393" s="12" t="str">
        <x:v>S0120-06</x:v>
      </x:c>
      <x:c r="B1393" s="12" t="str">
        <x:v>S0120</x:v>
      </x:c>
      <x:c r="C1393" s="12" t="str">
        <x:v>工作日</x:v>
      </x:c>
      <x:c r="D1393" s="12" t="str">
        <x:v>环线3路</x:v>
      </x:c>
      <x:c r="E1393" s="12" t="str">
        <x:v>第一班</x:v>
      </x:c>
      <x:c r="F1393" s="12" t="n">
        <x:v>12</x:v>
      </x:c>
      <x:c r="G1393" s="12" t="str">
        <x:v>16:35</x:v>
      </x:c>
      <x:c r="H1393" s="12" t="n">
        <x:v>995</x:v>
      </x:c>
      <x:c r="I1393" s="12" t="str">
        <x:v>研究生宿舍楼</x:v>
      </x:c>
      <x:c r="J1393" s="12" t="str">
        <x:v>研究生宿舍楼发车</x:v>
      </x:c>
      <x:c r="K1393" s="12" t="str">
        <x:v>HX3_NORMAL</x:v>
      </x:c>
      <x:c r="L1393" s="12" t="n">
        <x:v>6</x:v>
      </x:c>
      <x:c r="M1393" s="12" t="str">
        <x:v>HX3_NORMAL|6</x:v>
      </x:c>
      <x:c r="N1393" s="12" t="str">
        <x:v>激光所</x:v>
      </x:c>
      <x:c r="O1393" s="12" t="n">
        <x:f>IFERROR(INDEX('秒级路线参数_可调整'!$O:$O,MATCH(M1393,'秒级路线参数_可调整'!$A:$A,0)),"")</x:f>
        <x:v>315</x:v>
      </x:c>
      <x:c r="P1393" s="12" t="n">
        <x:f>IF(O1393="","",O1393/86400)</x:f>
        <x:v>0.0036458333333333334</x:v>
      </x:c>
      <x:c r="Q1393" s="12" t="n">
        <x:f>IF(O1393="","",(H1393*60+O1393)/86400)</x:f>
        <x:v>0.6946180555555556</x:v>
      </x:c>
      <x:c r="R1393" s="12" t="str">
        <x:f>IF(Q1393="","",TEXT(Q1393,"hh:mm:ss"))</x:f>
        <x:v>16:40:15</x:v>
      </x:c>
      <x:c r="S1393" s="12" t="str">
        <x:v>否</x:v>
      </x:c>
      <x:c r="T1393" s="12" t="str">
        <x:v>否</x:v>
      </x:c>
      <x:c r="U1393" s="12" t="str">
        <x:v>刘虎</x:v>
      </x:c>
      <x:c r="V1393" s="12" t="str">
        <x:v>3号车</x:v>
      </x:c>
      <x:c r="W1393" s="12" t="str">
        <x:v>秒级预测</x:v>
      </x:c>
      <x:c r="X1393" s="12" t="str">
        <x:v>基于路线秒级参数；如录入实测或手动采用秒，预计到达时间可随公式更新</x:v>
      </x:c>
    </x:row>
    <x:row r="1394">
      <x:c r="A1394" s="12" t="str">
        <x:v>S0120-07</x:v>
      </x:c>
      <x:c r="B1394" s="12" t="str">
        <x:v>S0120</x:v>
      </x:c>
      <x:c r="C1394" s="12" t="str">
        <x:v>工作日</x:v>
      </x:c>
      <x:c r="D1394" s="12" t="str">
        <x:v>环线3路</x:v>
      </x:c>
      <x:c r="E1394" s="12" t="str">
        <x:v>第一班</x:v>
      </x:c>
      <x:c r="F1394" s="12" t="n">
        <x:v>12</x:v>
      </x:c>
      <x:c r="G1394" s="12" t="str">
        <x:v>16:35</x:v>
      </x:c>
      <x:c r="H1394" s="12" t="n">
        <x:v>995</x:v>
      </x:c>
      <x:c r="I1394" s="12" t="str">
        <x:v>研究生宿舍楼</x:v>
      </x:c>
      <x:c r="J1394" s="12" t="str">
        <x:v>研究生宿舍楼发车</x:v>
      </x:c>
      <x:c r="K1394" s="12" t="str">
        <x:v>HX3_NORMAL</x:v>
      </x:c>
      <x:c r="L1394" s="12" t="n">
        <x:v>7</x:v>
      </x:c>
      <x:c r="M1394" s="12" t="str">
        <x:v>HX3_NORMAL|7</x:v>
      </x:c>
      <x:c r="N1394" s="12" t="str">
        <x:v>高超楼</x:v>
      </x:c>
      <x:c r="O1394" s="12" t="n">
        <x:f>IFERROR(INDEX('秒级路线参数_可调整'!$O:$O,MATCH(M1394,'秒级路线参数_可调整'!$A:$A,0)),"")</x:f>
        <x:v>420</x:v>
      </x:c>
      <x:c r="P1394" s="12" t="n">
        <x:f>IF(O1394="","",O1394/86400)</x:f>
        <x:v>0.004861111111111111</x:v>
      </x:c>
      <x:c r="Q1394" s="12" t="n">
        <x:f>IF(O1394="","",(H1394*60+O1394)/86400)</x:f>
        <x:v>0.6958333333333333</x:v>
      </x:c>
      <x:c r="R1394" s="12" t="str">
        <x:f>IF(Q1394="","",TEXT(Q1394,"hh:mm:ss"))</x:f>
        <x:v>16:42:00</x:v>
      </x:c>
      <x:c r="S1394" s="12" t="str">
        <x:v>否</x:v>
      </x:c>
      <x:c r="T1394" s="12" t="str">
        <x:v>否</x:v>
      </x:c>
      <x:c r="U1394" s="12" t="str">
        <x:v>刘虎</x:v>
      </x:c>
      <x:c r="V1394" s="12" t="str">
        <x:v>3号车</x:v>
      </x:c>
      <x:c r="W1394" s="12" t="str">
        <x:v>秒级预测</x:v>
      </x:c>
      <x:c r="X1394" s="12" t="str">
        <x:v>基于路线秒级参数；如录入实测或手动采用秒，预计到达时间可随公式更新</x:v>
      </x:c>
    </x:row>
    <x:row r="1395">
      <x:c r="A1395" s="12" t="str">
        <x:v>S0120-08</x:v>
      </x:c>
      <x:c r="B1395" s="12" t="str">
        <x:v>S0120</x:v>
      </x:c>
      <x:c r="C1395" s="12" t="str">
        <x:v>工作日</x:v>
      </x:c>
      <x:c r="D1395" s="12" t="str">
        <x:v>环线3路</x:v>
      </x:c>
      <x:c r="E1395" s="12" t="str">
        <x:v>第一班</x:v>
      </x:c>
      <x:c r="F1395" s="12" t="n">
        <x:v>12</x:v>
      </x:c>
      <x:c r="G1395" s="12" t="str">
        <x:v>16:35</x:v>
      </x:c>
      <x:c r="H1395" s="12" t="n">
        <x:v>995</x:v>
      </x:c>
      <x:c r="I1395" s="12" t="str">
        <x:v>研究生宿舍楼</x:v>
      </x:c>
      <x:c r="J1395" s="12" t="str">
        <x:v>研究生宿舍楼发车</x:v>
      </x:c>
      <x:c r="K1395" s="12" t="str">
        <x:v>HX3_NORMAL</x:v>
      </x:c>
      <x:c r="L1395" s="12" t="n">
        <x:v>8</x:v>
      </x:c>
      <x:c r="M1395" s="12" t="str">
        <x:v>HX3_NORMAL|8</x:v>
      </x:c>
      <x:c r="N1395" s="12" t="str">
        <x:v>理学院</x:v>
      </x:c>
      <x:c r="O1395" s="12" t="n">
        <x:f>IFERROR(INDEX('秒级路线参数_可调整'!$O:$O,MATCH(M1395,'秒级路线参数_可调整'!$A:$A,0)),"")</x:f>
        <x:v>480</x:v>
      </x:c>
      <x:c r="P1395" s="12" t="n">
        <x:f>IF(O1395="","",O1395/86400)</x:f>
        <x:v>0.005555555555555556</x:v>
      </x:c>
      <x:c r="Q1395" s="12" t="n">
        <x:f>IF(O1395="","",(H1395*60+O1395)/86400)</x:f>
        <x:v>0.6965277777777777</x:v>
      </x:c>
      <x:c r="R1395" s="12" t="str">
        <x:f>IF(Q1395="","",TEXT(Q1395,"hh:mm:ss"))</x:f>
        <x:v>16:43:00</x:v>
      </x:c>
      <x:c r="S1395" s="12" t="str">
        <x:v>否</x:v>
      </x:c>
      <x:c r="T1395" s="12" t="str">
        <x:v>否</x:v>
      </x:c>
      <x:c r="U1395" s="12" t="str">
        <x:v>刘虎</x:v>
      </x:c>
      <x:c r="V1395" s="12" t="str">
        <x:v>3号车</x:v>
      </x:c>
      <x:c r="W1395" s="12" t="str">
        <x:v>秒级预测</x:v>
      </x:c>
      <x:c r="X1395" s="12" t="str">
        <x:v>基于路线秒级参数；如录入实测或手动采用秒，预计到达时间可随公式更新</x:v>
      </x:c>
    </x:row>
    <x:row r="1396">
      <x:c r="A1396" s="12" t="str">
        <x:v>S0120-09</x:v>
      </x:c>
      <x:c r="B1396" s="12" t="str">
        <x:v>S0120</x:v>
      </x:c>
      <x:c r="C1396" s="12" t="str">
        <x:v>工作日</x:v>
      </x:c>
      <x:c r="D1396" s="12" t="str">
        <x:v>环线3路</x:v>
      </x:c>
      <x:c r="E1396" s="12" t="str">
        <x:v>第一班</x:v>
      </x:c>
      <x:c r="F1396" s="12" t="n">
        <x:v>12</x:v>
      </x:c>
      <x:c r="G1396" s="12" t="str">
        <x:v>16:35</x:v>
      </x:c>
      <x:c r="H1396" s="12" t="n">
        <x:v>995</x:v>
      </x:c>
      <x:c r="I1396" s="12" t="str">
        <x:v>研究生宿舍楼</x:v>
      </x:c>
      <x:c r="J1396" s="12" t="str">
        <x:v>研究生宿舍楼发车</x:v>
      </x:c>
      <x:c r="K1396" s="12" t="str">
        <x:v>HX3_NORMAL</x:v>
      </x:c>
      <x:c r="L1396" s="12" t="n">
        <x:v>9</x:v>
      </x:c>
      <x:c r="M1396" s="12" t="str">
        <x:v>HX3_NORMAL|9</x:v>
      </x:c>
      <x:c r="N1396" s="12" t="str">
        <x:v>二食堂</x:v>
      </x:c>
      <x:c r="O1396" s="12" t="n">
        <x:f>IFERROR(INDEX('秒级路线参数_可调整'!$O:$O,MATCH(M1396,'秒级路线参数_可调整'!$A:$A,0)),"")</x:f>
        <x:v>535</x:v>
      </x:c>
      <x:c r="P1396" s="12" t="n">
        <x:f>IF(O1396="","",O1396/86400)</x:f>
        <x:v>0.00619212962962963</x:v>
      </x:c>
      <x:c r="Q1396" s="12" t="n">
        <x:f>IF(O1396="","",(H1396*60+O1396)/86400)</x:f>
        <x:v>0.6971643518518519</x:v>
      </x:c>
      <x:c r="R1396" s="12" t="str">
        <x:f>IF(Q1396="","",TEXT(Q1396,"hh:mm:ss"))</x:f>
        <x:v>16:43:55</x:v>
      </x:c>
      <x:c r="S1396" s="12" t="str">
        <x:v>否</x:v>
      </x:c>
      <x:c r="T1396" s="12" t="str">
        <x:v>否</x:v>
      </x:c>
      <x:c r="U1396" s="12" t="str">
        <x:v>刘虎</x:v>
      </x:c>
      <x:c r="V1396" s="12" t="str">
        <x:v>3号车</x:v>
      </x:c>
      <x:c r="W1396" s="12" t="str">
        <x:v>秒级预测</x:v>
      </x:c>
      <x:c r="X1396" s="12" t="str">
        <x:v>基于路线秒级参数；如录入实测或手动采用秒，预计到达时间可随公式更新</x:v>
      </x:c>
    </x:row>
    <x:row r="1397">
      <x:c r="A1397" s="12" t="str">
        <x:v>S0120-10</x:v>
      </x:c>
      <x:c r="B1397" s="12" t="str">
        <x:v>S0120</x:v>
      </x:c>
      <x:c r="C1397" s="12" t="str">
        <x:v>工作日</x:v>
      </x:c>
      <x:c r="D1397" s="12" t="str">
        <x:v>环线3路</x:v>
      </x:c>
      <x:c r="E1397" s="12" t="str">
        <x:v>第一班</x:v>
      </x:c>
      <x:c r="F1397" s="12" t="n">
        <x:v>12</x:v>
      </x:c>
      <x:c r="G1397" s="12" t="str">
        <x:v>16:35</x:v>
      </x:c>
      <x:c r="H1397" s="12" t="n">
        <x:v>995</x:v>
      </x:c>
      <x:c r="I1397" s="12" t="str">
        <x:v>研究生宿舍楼</x:v>
      </x:c>
      <x:c r="J1397" s="12" t="str">
        <x:v>研究生宿舍楼发车</x:v>
      </x:c>
      <x:c r="K1397" s="12" t="str">
        <x:v>HX3_NORMAL</x:v>
      </x:c>
      <x:c r="L1397" s="12" t="n">
        <x:v>10</x:v>
      </x:c>
      <x:c r="M1397" s="12" t="str">
        <x:v>HX3_NORMAL|10</x:v>
      </x:c>
      <x:c r="N1397" s="12" t="str">
        <x:v>图书馆</x:v>
      </x:c>
      <x:c r="O1397" s="12" t="n">
        <x:f>IFERROR(INDEX('秒级路线参数_可调整'!$O:$O,MATCH(M1397,'秒级路线参数_可调整'!$A:$A,0)),"")</x:f>
        <x:v>715</x:v>
      </x:c>
      <x:c r="P1397" s="12" t="n">
        <x:f>IF(O1397="","",O1397/86400)</x:f>
        <x:v>0.008275462962962964</x:v>
      </x:c>
      <x:c r="Q1397" s="12" t="n">
        <x:f>IF(O1397="","",(H1397*60+O1397)/86400)</x:f>
        <x:v>0.6992476851851852</x:v>
      </x:c>
      <x:c r="R1397" s="12" t="str">
        <x:f>IF(Q1397="","",TEXT(Q1397,"hh:mm:ss"))</x:f>
        <x:v>16:46:55</x:v>
      </x:c>
      <x:c r="S1397" s="12" t="str">
        <x:v>否</x:v>
      </x:c>
      <x:c r="T1397" s="12" t="str">
        <x:v>否</x:v>
      </x:c>
      <x:c r="U1397" s="12" t="str">
        <x:v>刘虎</x:v>
      </x:c>
      <x:c r="V1397" s="12" t="str">
        <x:v>3号车</x:v>
      </x:c>
      <x:c r="W1397" s="12" t="str">
        <x:v>秒级预测</x:v>
      </x:c>
      <x:c r="X1397" s="12" t="str">
        <x:v>基于路线秒级参数；如录入实测或手动采用秒，预计到达时间可随公式更新</x:v>
      </x:c>
    </x:row>
    <x:row r="1398">
      <x:c r="A1398" s="12" t="str">
        <x:v>S0120-11</x:v>
      </x:c>
      <x:c r="B1398" s="12" t="str">
        <x:v>S0120</x:v>
      </x:c>
      <x:c r="C1398" s="12" t="str">
        <x:v>工作日</x:v>
      </x:c>
      <x:c r="D1398" s="12" t="str">
        <x:v>环线3路</x:v>
      </x:c>
      <x:c r="E1398" s="12" t="str">
        <x:v>第一班</x:v>
      </x:c>
      <x:c r="F1398" s="12" t="n">
        <x:v>12</x:v>
      </x:c>
      <x:c r="G1398" s="12" t="str">
        <x:v>16:35</x:v>
      </x:c>
      <x:c r="H1398" s="12" t="n">
        <x:v>995</x:v>
      </x:c>
      <x:c r="I1398" s="12" t="str">
        <x:v>研究生宿舍楼</x:v>
      </x:c>
      <x:c r="J1398" s="12" t="str">
        <x:v>研究生宿舍楼发车</x:v>
      </x:c>
      <x:c r="K1398" s="12" t="str">
        <x:v>HX3_NORMAL</x:v>
      </x:c>
      <x:c r="L1398" s="12" t="n">
        <x:v>11</x:v>
      </x:c>
      <x:c r="M1398" s="12" t="str">
        <x:v>HX3_NORMAL|11</x:v>
      </x:c>
      <x:c r="N1398" s="12" t="str">
        <x:v>305教学楼</x:v>
      </x:c>
      <x:c r="O1398" s="12" t="n">
        <x:f>IFERROR(INDEX('秒级路线参数_可调整'!$O:$O,MATCH(M1398,'秒级路线参数_可调整'!$A:$A,0)),"")</x:f>
        <x:v>775</x:v>
      </x:c>
      <x:c r="P1398" s="12" t="n">
        <x:f>IF(O1398="","",O1398/86400)</x:f>
        <x:v>0.008969907407407407</x:v>
      </x:c>
      <x:c r="Q1398" s="12" t="n">
        <x:f>IF(O1398="","",(H1398*60+O1398)/86400)</x:f>
        <x:v>0.6999421296296297</x:v>
      </x:c>
      <x:c r="R1398" s="12" t="str">
        <x:f>IF(Q1398="","",TEXT(Q1398,"hh:mm:ss"))</x:f>
        <x:v>16:47:55</x:v>
      </x:c>
      <x:c r="S1398" s="12" t="str">
        <x:v>否</x:v>
      </x:c>
      <x:c r="T1398" s="12" t="str">
        <x:v>否</x:v>
      </x:c>
      <x:c r="U1398" s="12" t="str">
        <x:v>刘虎</x:v>
      </x:c>
      <x:c r="V1398" s="12" t="str">
        <x:v>3号车</x:v>
      </x:c>
      <x:c r="W1398" s="12" t="str">
        <x:v>秒级预测</x:v>
      </x:c>
      <x:c r="X1398" s="12" t="str">
        <x:v>基于路线秒级参数；如录入实测或手动采用秒，预计到达时间可随公式更新</x:v>
      </x:c>
    </x:row>
    <x:row r="1399">
      <x:c r="A1399" s="12" t="str">
        <x:v>S0120-12</x:v>
      </x:c>
      <x:c r="B1399" s="12" t="str">
        <x:v>S0120</x:v>
      </x:c>
      <x:c r="C1399" s="12" t="str">
        <x:v>工作日</x:v>
      </x:c>
      <x:c r="D1399" s="12" t="str">
        <x:v>环线3路</x:v>
      </x:c>
      <x:c r="E1399" s="12" t="str">
        <x:v>第一班</x:v>
      </x:c>
      <x:c r="F1399" s="12" t="n">
        <x:v>12</x:v>
      </x:c>
      <x:c r="G1399" s="12" t="str">
        <x:v>16:35</x:v>
      </x:c>
      <x:c r="H1399" s="12" t="n">
        <x:v>995</x:v>
      </x:c>
      <x:c r="I1399" s="12" t="str">
        <x:v>研究生宿舍楼</x:v>
      </x:c>
      <x:c r="J1399" s="12" t="str">
        <x:v>研究生宿舍楼发车</x:v>
      </x:c>
      <x:c r="K1399" s="12" t="str">
        <x:v>HX3_NORMAL</x:v>
      </x:c>
      <x:c r="L1399" s="12" t="n">
        <x:v>12</x:v>
      </x:c>
      <x:c r="M1399" s="12" t="str">
        <x:v>HX3_NORMAL|12</x:v>
      </x:c>
      <x:c r="N1399" s="12" t="str">
        <x:v>研究生宿舍楼</x:v>
      </x:c>
      <x:c r="O1399" s="12" t="n">
        <x:f>IFERROR(INDEX('秒级路线参数_可调整'!$O:$O,MATCH(M1399,'秒级路线参数_可调整'!$A:$A,0)),"")</x:f>
        <x:v>840</x:v>
      </x:c>
      <x:c r="P1399" s="12" t="n">
        <x:f>IF(O1399="","",O1399/86400)</x:f>
        <x:v>0.009722222222222222</x:v>
      </x:c>
      <x:c r="Q1399" s="12" t="n">
        <x:f>IF(O1399="","",(H1399*60+O1399)/86400)</x:f>
        <x:v>0.7006944444444444</x:v>
      </x:c>
      <x:c r="R1399" s="12" t="str">
        <x:f>IF(Q1399="","",TEXT(Q1399,"hh:mm:ss"))</x:f>
        <x:v>16:49:00</x:v>
      </x:c>
      <x:c r="S1399" s="12" t="str">
        <x:v>否</x:v>
      </x:c>
      <x:c r="T1399" s="12" t="str">
        <x:v>是</x:v>
      </x:c>
      <x:c r="U1399" s="12" t="str">
        <x:v>刘虎</x:v>
      </x:c>
      <x:c r="V1399" s="12" t="str">
        <x:v>3号车</x:v>
      </x:c>
      <x:c r="W1399" s="12" t="str">
        <x:v>秒级预测</x:v>
      </x:c>
      <x:c r="X1399" s="12" t="str">
        <x:v>基于路线秒级参数；如录入实测或手动采用秒，预计到达时间可随公式更新</x:v>
      </x:c>
    </x:row>
    <x:row r="1400">
      <x:c r="A1400" s="12" t="str">
        <x:v>S0121-01</x:v>
      </x:c>
      <x:c r="B1400" s="12" t="str">
        <x:v>S0121</x:v>
      </x:c>
      <x:c r="C1400" s="12" t="str">
        <x:v>工作日</x:v>
      </x:c>
      <x:c r="D1400" s="12" t="str">
        <x:v>环线3路</x:v>
      </x:c>
      <x:c r="E1400" s="12" t="str">
        <x:v>第一班</x:v>
      </x:c>
      <x:c r="F1400" s="12" t="n">
        <x:v>13</x:v>
      </x:c>
      <x:c r="G1400" s="12" t="str">
        <x:v>17:00</x:v>
      </x:c>
      <x:c r="H1400" s="12" t="n">
        <x:v>1020</x:v>
      </x:c>
      <x:c r="I1400" s="12" t="str">
        <x:v>研究生宿舍楼</x:v>
      </x:c>
      <x:c r="J1400" s="12" t="str">
        <x:v>研究生宿舍楼发车</x:v>
      </x:c>
      <x:c r="K1400" s="12" t="str">
        <x:v>HX3_NORMAL</x:v>
      </x:c>
      <x:c r="L1400" s="12" t="n">
        <x:v>1</x:v>
      </x:c>
      <x:c r="M1400" s="12" t="str">
        <x:v>HX3_NORMAL|1</x:v>
      </x:c>
      <x:c r="N1400" s="12" t="str">
        <x:v>研究生宿舍楼</x:v>
      </x:c>
      <x:c r="O1400" s="12" t="n">
        <x:f>IFERROR(INDEX('秒级路线参数_可调整'!$O:$O,MATCH(M1400,'秒级路线参数_可调整'!$A:$A,0)),"")</x:f>
        <x:v>0</x:v>
      </x:c>
      <x:c r="P1400" s="12" t="str">
        <x:f>IF(O1400="","",O1400/86400)</x:f>
      </x:c>
      <x:c r="Q1400" s="12" t="str">
        <x:f>IF(O1400="","",(H1400*60+O1400)/86400)</x:f>
      </x:c>
      <x:c r="R1400" s="12" t="str">
        <x:f>IF(Q1400="","",TEXT(Q1400,"hh:mm:ss"))</x:f>
      </x:c>
      <x:c r="S1400" s="12" t="str">
        <x:v>是</x:v>
      </x:c>
      <x:c r="T1400" s="12" t="str">
        <x:v>否</x:v>
      </x:c>
      <x:c r="U1400" s="12" t="str">
        <x:v>刘虎</x:v>
      </x:c>
      <x:c r="V1400" s="12" t="str">
        <x:v>3号车</x:v>
      </x:c>
      <x:c r="W1400" s="12" t="str">
        <x:v>秒级预测</x:v>
      </x:c>
      <x:c r="X1400" s="12" t="str">
        <x:v>基于路线秒级参数；如录入实测或手动采用秒，预计到达时间可随公式更新</x:v>
      </x:c>
    </x:row>
    <x:row r="1401">
      <x:c r="A1401" s="12" t="str">
        <x:v>S0121-02</x:v>
      </x:c>
      <x:c r="B1401" s="12" t="str">
        <x:v>S0121</x:v>
      </x:c>
      <x:c r="C1401" s="12" t="str">
        <x:v>工作日</x:v>
      </x:c>
      <x:c r="D1401" s="12" t="str">
        <x:v>环线3路</x:v>
      </x:c>
      <x:c r="E1401" s="12" t="str">
        <x:v>第一班</x:v>
      </x:c>
      <x:c r="F1401" s="12" t="n">
        <x:v>13</x:v>
      </x:c>
      <x:c r="G1401" s="12" t="str">
        <x:v>17:00</x:v>
      </x:c>
      <x:c r="H1401" s="12" t="n">
        <x:v>1020</x:v>
      </x:c>
      <x:c r="I1401" s="12" t="str">
        <x:v>研究生宿舍楼</x:v>
      </x:c>
      <x:c r="J1401" s="12" t="str">
        <x:v>研究生宿舍楼发车</x:v>
      </x:c>
      <x:c r="K1401" s="12" t="str">
        <x:v>HX3_NORMAL</x:v>
      </x:c>
      <x:c r="L1401" s="12" t="n">
        <x:v>2</x:v>
      </x:c>
      <x:c r="M1401" s="12" t="str">
        <x:v>HX3_NORMAL|2</x:v>
      </x:c>
      <x:c r="N1401" s="12" t="str">
        <x:v>一食堂</x:v>
      </x:c>
      <x:c r="O1401" s="12" t="n">
        <x:f>IFERROR(INDEX('秒级路线参数_可调整'!$O:$O,MATCH(M1401,'秒级路线参数_可调整'!$A:$A,0)),"")</x:f>
        <x:v>65</x:v>
      </x:c>
      <x:c r="P1401" s="12" t="n">
        <x:f>IF(O1401="","",O1401/86400)</x:f>
        <x:v>0.0007523148148148148</x:v>
      </x:c>
      <x:c r="Q1401" s="12" t="n">
        <x:f>IF(O1401="","",(H1401*60+O1401)/86400)</x:f>
        <x:v>0.7090856481481481</x:v>
      </x:c>
      <x:c r="R1401" s="12" t="str">
        <x:f>IF(Q1401="","",TEXT(Q1401,"hh:mm:ss"))</x:f>
        <x:v>17:01:05</x:v>
      </x:c>
      <x:c r="S1401" s="12" t="str">
        <x:v>否</x:v>
      </x:c>
      <x:c r="T1401" s="12" t="str">
        <x:v>否</x:v>
      </x:c>
      <x:c r="U1401" s="12" t="str">
        <x:v>刘虎</x:v>
      </x:c>
      <x:c r="V1401" s="12" t="str">
        <x:v>3号车</x:v>
      </x:c>
      <x:c r="W1401" s="12" t="str">
        <x:v>秒级预测</x:v>
      </x:c>
      <x:c r="X1401" s="12" t="str">
        <x:v>基于路线秒级参数；如录入实测或手动采用秒，预计到达时间可随公式更新</x:v>
      </x:c>
    </x:row>
    <x:row r="1402">
      <x:c r="A1402" s="12" t="str">
        <x:v>S0121-03</x:v>
      </x:c>
      <x:c r="B1402" s="12" t="str">
        <x:v>S0121</x:v>
      </x:c>
      <x:c r="C1402" s="12" t="str">
        <x:v>工作日</x:v>
      </x:c>
      <x:c r="D1402" s="12" t="str">
        <x:v>环线3路</x:v>
      </x:c>
      <x:c r="E1402" s="12" t="str">
        <x:v>第一班</x:v>
      </x:c>
      <x:c r="F1402" s="12" t="n">
        <x:v>13</x:v>
      </x:c>
      <x:c r="G1402" s="12" t="str">
        <x:v>17:00</x:v>
      </x:c>
      <x:c r="H1402" s="12" t="n">
        <x:v>1020</x:v>
      </x:c>
      <x:c r="I1402" s="12" t="str">
        <x:v>研究生宿舍楼</x:v>
      </x:c>
      <x:c r="J1402" s="12" t="str">
        <x:v>研究生宿舍楼发车</x:v>
      </x:c>
      <x:c r="K1402" s="12" t="str">
        <x:v>HX3_NORMAL</x:v>
      </x:c>
      <x:c r="L1402" s="12" t="n">
        <x:v>3</x:v>
      </x:c>
      <x:c r="M1402" s="12" t="str">
        <x:v>HX3_NORMAL|3</x:v>
      </x:c>
      <x:c r="N1402" s="12" t="str">
        <x:v>2号宿舍楼</x:v>
      </x:c>
      <x:c r="O1402" s="12" t="n">
        <x:f>IFERROR(INDEX('秒级路线参数_可调整'!$O:$O,MATCH(M1402,'秒级路线参数_可调整'!$A:$A,0)),"")</x:f>
        <x:v>120</x:v>
      </x:c>
      <x:c r="P1402" s="12" t="n">
        <x:f>IF(O1402="","",O1402/86400)</x:f>
        <x:v>0.001388888888888889</x:v>
      </x:c>
      <x:c r="Q1402" s="12" t="n">
        <x:f>IF(O1402="","",(H1402*60+O1402)/86400)</x:f>
        <x:v>0.7097222222222223</x:v>
      </x:c>
      <x:c r="R1402" s="12" t="str">
        <x:f>IF(Q1402="","",TEXT(Q1402,"hh:mm:ss"))</x:f>
        <x:v>17:02:00</x:v>
      </x:c>
      <x:c r="S1402" s="12" t="str">
        <x:v>否</x:v>
      </x:c>
      <x:c r="T1402" s="12" t="str">
        <x:v>否</x:v>
      </x:c>
      <x:c r="U1402" s="12" t="str">
        <x:v>刘虎</x:v>
      </x:c>
      <x:c r="V1402" s="12" t="str">
        <x:v>3号车</x:v>
      </x:c>
      <x:c r="W1402" s="12" t="str">
        <x:v>秒级预测</x:v>
      </x:c>
      <x:c r="X1402" s="12" t="str">
        <x:v>基于路线秒级参数；如录入实测或手动采用秒，预计到达时间可随公式更新</x:v>
      </x:c>
    </x:row>
    <x:row r="1403">
      <x:c r="A1403" s="12" t="str">
        <x:v>S0121-04</x:v>
      </x:c>
      <x:c r="B1403" s="12" t="str">
        <x:v>S0121</x:v>
      </x:c>
      <x:c r="C1403" s="12" t="str">
        <x:v>工作日</x:v>
      </x:c>
      <x:c r="D1403" s="12" t="str">
        <x:v>环线3路</x:v>
      </x:c>
      <x:c r="E1403" s="12" t="str">
        <x:v>第一班</x:v>
      </x:c>
      <x:c r="F1403" s="12" t="n">
        <x:v>13</x:v>
      </x:c>
      <x:c r="G1403" s="12" t="str">
        <x:v>17:00</x:v>
      </x:c>
      <x:c r="H1403" s="12" t="n">
        <x:v>1020</x:v>
      </x:c>
      <x:c r="I1403" s="12" t="str">
        <x:v>研究生宿舍楼</x:v>
      </x:c>
      <x:c r="J1403" s="12" t="str">
        <x:v>研究生宿舍楼发车</x:v>
      </x:c>
      <x:c r="K1403" s="12" t="str">
        <x:v>HX3_NORMAL</x:v>
      </x:c>
      <x:c r="L1403" s="12" t="n">
        <x:v>4</x:v>
      </x:c>
      <x:c r="M1403" s="12" t="str">
        <x:v>HX3_NORMAL|4</x:v>
      </x:c>
      <x:c r="N1403" s="12" t="str">
        <x:v>军体活动中心</x:v>
      </x:c>
      <x:c r="O1403" s="12" t="n">
        <x:f>IFERROR(INDEX('秒级路线参数_可调整'!$O:$O,MATCH(M1403,'秒级路线参数_可调整'!$A:$A,0)),"")</x:f>
        <x:v>165</x:v>
      </x:c>
      <x:c r="P1403" s="12" t="n">
        <x:f>IF(O1403="","",O1403/86400)</x:f>
        <x:v>0.0019097222222222222</x:v>
      </x:c>
      <x:c r="Q1403" s="12" t="n">
        <x:f>IF(O1403="","",(H1403*60+O1403)/86400)</x:f>
        <x:v>0.7102430555555556</x:v>
      </x:c>
      <x:c r="R1403" s="12" t="str">
        <x:f>IF(Q1403="","",TEXT(Q1403,"hh:mm:ss"))</x:f>
        <x:v>17:02:45</x:v>
      </x:c>
      <x:c r="S1403" s="12" t="str">
        <x:v>否</x:v>
      </x:c>
      <x:c r="T1403" s="12" t="str">
        <x:v>否</x:v>
      </x:c>
      <x:c r="U1403" s="12" t="str">
        <x:v>刘虎</x:v>
      </x:c>
      <x:c r="V1403" s="12" t="str">
        <x:v>3号车</x:v>
      </x:c>
      <x:c r="W1403" s="12" t="str">
        <x:v>秒级预测</x:v>
      </x:c>
      <x:c r="X1403" s="12" t="str">
        <x:v>基于路线秒级参数；如录入实测或手动采用秒，预计到达时间可随公式更新</x:v>
      </x:c>
    </x:row>
    <x:row r="1404">
      <x:c r="A1404" s="12" t="str">
        <x:v>S0121-05</x:v>
      </x:c>
      <x:c r="B1404" s="12" t="str">
        <x:v>S0121</x:v>
      </x:c>
      <x:c r="C1404" s="12" t="str">
        <x:v>工作日</x:v>
      </x:c>
      <x:c r="D1404" s="12" t="str">
        <x:v>环线3路</x:v>
      </x:c>
      <x:c r="E1404" s="12" t="str">
        <x:v>第一班</x:v>
      </x:c>
      <x:c r="F1404" s="12" t="n">
        <x:v>13</x:v>
      </x:c>
      <x:c r="G1404" s="12" t="str">
        <x:v>17:00</x:v>
      </x:c>
      <x:c r="H1404" s="12" t="n">
        <x:v>1020</x:v>
      </x:c>
      <x:c r="I1404" s="12" t="str">
        <x:v>研究生宿舍楼</x:v>
      </x:c>
      <x:c r="J1404" s="12" t="str">
        <x:v>研究生宿舍楼发车</x:v>
      </x:c>
      <x:c r="K1404" s="12" t="str">
        <x:v>HX3_NORMAL</x:v>
      </x:c>
      <x:c r="L1404" s="12" t="n">
        <x:v>5</x:v>
      </x:c>
      <x:c r="M1404" s="12" t="str">
        <x:v>HX3_NORMAL|5</x:v>
      </x:c>
      <x:c r="N1404" s="12" t="str">
        <x:v>教勤连</x:v>
      </x:c>
      <x:c r="O1404" s="12" t="n">
        <x:f>IFERROR(INDEX('秒级路线参数_可调整'!$O:$O,MATCH(M1404,'秒级路线参数_可调整'!$A:$A,0)),"")</x:f>
        <x:v>250</x:v>
      </x:c>
      <x:c r="P1404" s="12" t="n">
        <x:f>IF(O1404="","",O1404/86400)</x:f>
        <x:v>0.0028935185185185184</x:v>
      </x:c>
      <x:c r="Q1404" s="12" t="n">
        <x:f>IF(O1404="","",(H1404*60+O1404)/86400)</x:f>
        <x:v>0.7112268518518519</x:v>
      </x:c>
      <x:c r="R1404" s="12" t="str">
        <x:f>IF(Q1404="","",TEXT(Q1404,"hh:mm:ss"))</x:f>
        <x:v>17:04:10</x:v>
      </x:c>
      <x:c r="S1404" s="12" t="str">
        <x:v>否</x:v>
      </x:c>
      <x:c r="T1404" s="12" t="str">
        <x:v>否</x:v>
      </x:c>
      <x:c r="U1404" s="12" t="str">
        <x:v>刘虎</x:v>
      </x:c>
      <x:c r="V1404" s="12" t="str">
        <x:v>3号车</x:v>
      </x:c>
      <x:c r="W1404" s="12" t="str">
        <x:v>秒级预测</x:v>
      </x:c>
      <x:c r="X1404" s="12" t="str">
        <x:v>基于路线秒级参数；如录入实测或手动采用秒，预计到达时间可随公式更新</x:v>
      </x:c>
    </x:row>
    <x:row r="1405">
      <x:c r="A1405" s="12" t="str">
        <x:v>S0121-06</x:v>
      </x:c>
      <x:c r="B1405" s="12" t="str">
        <x:v>S0121</x:v>
      </x:c>
      <x:c r="C1405" s="12" t="str">
        <x:v>工作日</x:v>
      </x:c>
      <x:c r="D1405" s="12" t="str">
        <x:v>环线3路</x:v>
      </x:c>
      <x:c r="E1405" s="12" t="str">
        <x:v>第一班</x:v>
      </x:c>
      <x:c r="F1405" s="12" t="n">
        <x:v>13</x:v>
      </x:c>
      <x:c r="G1405" s="12" t="str">
        <x:v>17:00</x:v>
      </x:c>
      <x:c r="H1405" s="12" t="n">
        <x:v>1020</x:v>
      </x:c>
      <x:c r="I1405" s="12" t="str">
        <x:v>研究生宿舍楼</x:v>
      </x:c>
      <x:c r="J1405" s="12" t="str">
        <x:v>研究生宿舍楼发车</x:v>
      </x:c>
      <x:c r="K1405" s="12" t="str">
        <x:v>HX3_NORMAL</x:v>
      </x:c>
      <x:c r="L1405" s="12" t="n">
        <x:v>6</x:v>
      </x:c>
      <x:c r="M1405" s="12" t="str">
        <x:v>HX3_NORMAL|6</x:v>
      </x:c>
      <x:c r="N1405" s="12" t="str">
        <x:v>激光所</x:v>
      </x:c>
      <x:c r="O1405" s="12" t="n">
        <x:f>IFERROR(INDEX('秒级路线参数_可调整'!$O:$O,MATCH(M1405,'秒级路线参数_可调整'!$A:$A,0)),"")</x:f>
        <x:v>315</x:v>
      </x:c>
      <x:c r="P1405" s="12" t="n">
        <x:f>IF(O1405="","",O1405/86400)</x:f>
        <x:v>0.0036458333333333334</x:v>
      </x:c>
      <x:c r="Q1405" s="12" t="n">
        <x:f>IF(O1405="","",(H1405*60+O1405)/86400)</x:f>
        <x:v>0.7119791666666667</x:v>
      </x:c>
      <x:c r="R1405" s="12" t="str">
        <x:f>IF(Q1405="","",TEXT(Q1405,"hh:mm:ss"))</x:f>
        <x:v>17:05:15</x:v>
      </x:c>
      <x:c r="S1405" s="12" t="str">
        <x:v>否</x:v>
      </x:c>
      <x:c r="T1405" s="12" t="str">
        <x:v>否</x:v>
      </x:c>
      <x:c r="U1405" s="12" t="str">
        <x:v>刘虎</x:v>
      </x:c>
      <x:c r="V1405" s="12" t="str">
        <x:v>3号车</x:v>
      </x:c>
      <x:c r="W1405" s="12" t="str">
        <x:v>秒级预测</x:v>
      </x:c>
      <x:c r="X1405" s="12" t="str">
        <x:v>基于路线秒级参数；如录入实测或手动采用秒，预计到达时间可随公式更新</x:v>
      </x:c>
    </x:row>
    <x:row r="1406">
      <x:c r="A1406" s="12" t="str">
        <x:v>S0121-07</x:v>
      </x:c>
      <x:c r="B1406" s="12" t="str">
        <x:v>S0121</x:v>
      </x:c>
      <x:c r="C1406" s="12" t="str">
        <x:v>工作日</x:v>
      </x:c>
      <x:c r="D1406" s="12" t="str">
        <x:v>环线3路</x:v>
      </x:c>
      <x:c r="E1406" s="12" t="str">
        <x:v>第一班</x:v>
      </x:c>
      <x:c r="F1406" s="12" t="n">
        <x:v>13</x:v>
      </x:c>
      <x:c r="G1406" s="12" t="str">
        <x:v>17:00</x:v>
      </x:c>
      <x:c r="H1406" s="12" t="n">
        <x:v>1020</x:v>
      </x:c>
      <x:c r="I1406" s="12" t="str">
        <x:v>研究生宿舍楼</x:v>
      </x:c>
      <x:c r="J1406" s="12" t="str">
        <x:v>研究生宿舍楼发车</x:v>
      </x:c>
      <x:c r="K1406" s="12" t="str">
        <x:v>HX3_NORMAL</x:v>
      </x:c>
      <x:c r="L1406" s="12" t="n">
        <x:v>7</x:v>
      </x:c>
      <x:c r="M1406" s="12" t="str">
        <x:v>HX3_NORMAL|7</x:v>
      </x:c>
      <x:c r="N1406" s="12" t="str">
        <x:v>高超楼</x:v>
      </x:c>
      <x:c r="O1406" s="12" t="n">
        <x:f>IFERROR(INDEX('秒级路线参数_可调整'!$O:$O,MATCH(M1406,'秒级路线参数_可调整'!$A:$A,0)),"")</x:f>
        <x:v>420</x:v>
      </x:c>
      <x:c r="P1406" s="12" t="n">
        <x:f>IF(O1406="","",O1406/86400)</x:f>
        <x:v>0.004861111111111111</x:v>
      </x:c>
      <x:c r="Q1406" s="12" t="n">
        <x:f>IF(O1406="","",(H1406*60+O1406)/86400)</x:f>
        <x:v>0.7131944444444445</x:v>
      </x:c>
      <x:c r="R1406" s="12" t="str">
        <x:f>IF(Q1406="","",TEXT(Q1406,"hh:mm:ss"))</x:f>
        <x:v>17:07:00</x:v>
      </x:c>
      <x:c r="S1406" s="12" t="str">
        <x:v>否</x:v>
      </x:c>
      <x:c r="T1406" s="12" t="str">
        <x:v>否</x:v>
      </x:c>
      <x:c r="U1406" s="12" t="str">
        <x:v>刘虎</x:v>
      </x:c>
      <x:c r="V1406" s="12" t="str">
        <x:v>3号车</x:v>
      </x:c>
      <x:c r="W1406" s="12" t="str">
        <x:v>秒级预测</x:v>
      </x:c>
      <x:c r="X1406" s="12" t="str">
        <x:v>基于路线秒级参数；如录入实测或手动采用秒，预计到达时间可随公式更新</x:v>
      </x:c>
    </x:row>
    <x:row r="1407">
      <x:c r="A1407" s="12" t="str">
        <x:v>S0121-08</x:v>
      </x:c>
      <x:c r="B1407" s="12" t="str">
        <x:v>S0121</x:v>
      </x:c>
      <x:c r="C1407" s="12" t="str">
        <x:v>工作日</x:v>
      </x:c>
      <x:c r="D1407" s="12" t="str">
        <x:v>环线3路</x:v>
      </x:c>
      <x:c r="E1407" s="12" t="str">
        <x:v>第一班</x:v>
      </x:c>
      <x:c r="F1407" s="12" t="n">
        <x:v>13</x:v>
      </x:c>
      <x:c r="G1407" s="12" t="str">
        <x:v>17:00</x:v>
      </x:c>
      <x:c r="H1407" s="12" t="n">
        <x:v>1020</x:v>
      </x:c>
      <x:c r="I1407" s="12" t="str">
        <x:v>研究生宿舍楼</x:v>
      </x:c>
      <x:c r="J1407" s="12" t="str">
        <x:v>研究生宿舍楼发车</x:v>
      </x:c>
      <x:c r="K1407" s="12" t="str">
        <x:v>HX3_NORMAL</x:v>
      </x:c>
      <x:c r="L1407" s="12" t="n">
        <x:v>8</x:v>
      </x:c>
      <x:c r="M1407" s="12" t="str">
        <x:v>HX3_NORMAL|8</x:v>
      </x:c>
      <x:c r="N1407" s="12" t="str">
        <x:v>理学院</x:v>
      </x:c>
      <x:c r="O1407" s="12" t="n">
        <x:f>IFERROR(INDEX('秒级路线参数_可调整'!$O:$O,MATCH(M1407,'秒级路线参数_可调整'!$A:$A,0)),"")</x:f>
        <x:v>480</x:v>
      </x:c>
      <x:c r="P1407" s="12" t="n">
        <x:f>IF(O1407="","",O1407/86400)</x:f>
        <x:v>0.005555555555555556</x:v>
      </x:c>
      <x:c r="Q1407" s="12" t="n">
        <x:f>IF(O1407="","",(H1407*60+O1407)/86400)</x:f>
        <x:v>0.7138888888888889</x:v>
      </x:c>
      <x:c r="R1407" s="12" t="str">
        <x:f>IF(Q1407="","",TEXT(Q1407,"hh:mm:ss"))</x:f>
        <x:v>17:08:00</x:v>
      </x:c>
      <x:c r="S1407" s="12" t="str">
        <x:v>否</x:v>
      </x:c>
      <x:c r="T1407" s="12" t="str">
        <x:v>否</x:v>
      </x:c>
      <x:c r="U1407" s="12" t="str">
        <x:v>刘虎</x:v>
      </x:c>
      <x:c r="V1407" s="12" t="str">
        <x:v>3号车</x:v>
      </x:c>
      <x:c r="W1407" s="12" t="str">
        <x:v>秒级预测</x:v>
      </x:c>
      <x:c r="X1407" s="12" t="str">
        <x:v>基于路线秒级参数；如录入实测或手动采用秒，预计到达时间可随公式更新</x:v>
      </x:c>
    </x:row>
    <x:row r="1408">
      <x:c r="A1408" s="12" t="str">
        <x:v>S0121-09</x:v>
      </x:c>
      <x:c r="B1408" s="12" t="str">
        <x:v>S0121</x:v>
      </x:c>
      <x:c r="C1408" s="12" t="str">
        <x:v>工作日</x:v>
      </x:c>
      <x:c r="D1408" s="12" t="str">
        <x:v>环线3路</x:v>
      </x:c>
      <x:c r="E1408" s="12" t="str">
        <x:v>第一班</x:v>
      </x:c>
      <x:c r="F1408" s="12" t="n">
        <x:v>13</x:v>
      </x:c>
      <x:c r="G1408" s="12" t="str">
        <x:v>17:00</x:v>
      </x:c>
      <x:c r="H1408" s="12" t="n">
        <x:v>1020</x:v>
      </x:c>
      <x:c r="I1408" s="12" t="str">
        <x:v>研究生宿舍楼</x:v>
      </x:c>
      <x:c r="J1408" s="12" t="str">
        <x:v>研究生宿舍楼发车</x:v>
      </x:c>
      <x:c r="K1408" s="12" t="str">
        <x:v>HX3_NORMAL</x:v>
      </x:c>
      <x:c r="L1408" s="12" t="n">
        <x:v>9</x:v>
      </x:c>
      <x:c r="M1408" s="12" t="str">
        <x:v>HX3_NORMAL|9</x:v>
      </x:c>
      <x:c r="N1408" s="12" t="str">
        <x:v>二食堂</x:v>
      </x:c>
      <x:c r="O1408" s="12" t="n">
        <x:f>IFERROR(INDEX('秒级路线参数_可调整'!$O:$O,MATCH(M1408,'秒级路线参数_可调整'!$A:$A,0)),"")</x:f>
        <x:v>535</x:v>
      </x:c>
      <x:c r="P1408" s="12" t="n">
        <x:f>IF(O1408="","",O1408/86400)</x:f>
        <x:v>0.00619212962962963</x:v>
      </x:c>
      <x:c r="Q1408" s="12" t="n">
        <x:f>IF(O1408="","",(H1408*60+O1408)/86400)</x:f>
        <x:v>0.7145254629629629</x:v>
      </x:c>
      <x:c r="R1408" s="12" t="str">
        <x:f>IF(Q1408="","",TEXT(Q1408,"hh:mm:ss"))</x:f>
        <x:v>17:08:55</x:v>
      </x:c>
      <x:c r="S1408" s="12" t="str">
        <x:v>否</x:v>
      </x:c>
      <x:c r="T1408" s="12" t="str">
        <x:v>否</x:v>
      </x:c>
      <x:c r="U1408" s="12" t="str">
        <x:v>刘虎</x:v>
      </x:c>
      <x:c r="V1408" s="12" t="str">
        <x:v>3号车</x:v>
      </x:c>
      <x:c r="W1408" s="12" t="str">
        <x:v>秒级预测</x:v>
      </x:c>
      <x:c r="X1408" s="12" t="str">
        <x:v>基于路线秒级参数；如录入实测或手动采用秒，预计到达时间可随公式更新</x:v>
      </x:c>
    </x:row>
    <x:row r="1409">
      <x:c r="A1409" s="12" t="str">
        <x:v>S0121-10</x:v>
      </x:c>
      <x:c r="B1409" s="12" t="str">
        <x:v>S0121</x:v>
      </x:c>
      <x:c r="C1409" s="12" t="str">
        <x:v>工作日</x:v>
      </x:c>
      <x:c r="D1409" s="12" t="str">
        <x:v>环线3路</x:v>
      </x:c>
      <x:c r="E1409" s="12" t="str">
        <x:v>第一班</x:v>
      </x:c>
      <x:c r="F1409" s="12" t="n">
        <x:v>13</x:v>
      </x:c>
      <x:c r="G1409" s="12" t="str">
        <x:v>17:00</x:v>
      </x:c>
      <x:c r="H1409" s="12" t="n">
        <x:v>1020</x:v>
      </x:c>
      <x:c r="I1409" s="12" t="str">
        <x:v>研究生宿舍楼</x:v>
      </x:c>
      <x:c r="J1409" s="12" t="str">
        <x:v>研究生宿舍楼发车</x:v>
      </x:c>
      <x:c r="K1409" s="12" t="str">
        <x:v>HX3_NORMAL</x:v>
      </x:c>
      <x:c r="L1409" s="12" t="n">
        <x:v>10</x:v>
      </x:c>
      <x:c r="M1409" s="12" t="str">
        <x:v>HX3_NORMAL|10</x:v>
      </x:c>
      <x:c r="N1409" s="12" t="str">
        <x:v>图书馆</x:v>
      </x:c>
      <x:c r="O1409" s="12" t="n">
        <x:f>IFERROR(INDEX('秒级路线参数_可调整'!$O:$O,MATCH(M1409,'秒级路线参数_可调整'!$A:$A,0)),"")</x:f>
        <x:v>715</x:v>
      </x:c>
      <x:c r="P1409" s="12" t="n">
        <x:f>IF(O1409="","",O1409/86400)</x:f>
        <x:v>0.008275462962962964</x:v>
      </x:c>
      <x:c r="Q1409" s="12" t="n">
        <x:f>IF(O1409="","",(H1409*60+O1409)/86400)</x:f>
        <x:v>0.7166087962962963</x:v>
      </x:c>
      <x:c r="R1409" s="12" t="str">
        <x:f>IF(Q1409="","",TEXT(Q1409,"hh:mm:ss"))</x:f>
        <x:v>17:11:55</x:v>
      </x:c>
      <x:c r="S1409" s="12" t="str">
        <x:v>否</x:v>
      </x:c>
      <x:c r="T1409" s="12" t="str">
        <x:v>否</x:v>
      </x:c>
      <x:c r="U1409" s="12" t="str">
        <x:v>刘虎</x:v>
      </x:c>
      <x:c r="V1409" s="12" t="str">
        <x:v>3号车</x:v>
      </x:c>
      <x:c r="W1409" s="12" t="str">
        <x:v>秒级预测</x:v>
      </x:c>
      <x:c r="X1409" s="12" t="str">
        <x:v>基于路线秒级参数；如录入实测或手动采用秒，预计到达时间可随公式更新</x:v>
      </x:c>
    </x:row>
    <x:row r="1410">
      <x:c r="A1410" s="12" t="str">
        <x:v>S0121-11</x:v>
      </x:c>
      <x:c r="B1410" s="12" t="str">
        <x:v>S0121</x:v>
      </x:c>
      <x:c r="C1410" s="12" t="str">
        <x:v>工作日</x:v>
      </x:c>
      <x:c r="D1410" s="12" t="str">
        <x:v>环线3路</x:v>
      </x:c>
      <x:c r="E1410" s="12" t="str">
        <x:v>第一班</x:v>
      </x:c>
      <x:c r="F1410" s="12" t="n">
        <x:v>13</x:v>
      </x:c>
      <x:c r="G1410" s="12" t="str">
        <x:v>17:00</x:v>
      </x:c>
      <x:c r="H1410" s="12" t="n">
        <x:v>1020</x:v>
      </x:c>
      <x:c r="I1410" s="12" t="str">
        <x:v>研究生宿舍楼</x:v>
      </x:c>
      <x:c r="J1410" s="12" t="str">
        <x:v>研究生宿舍楼发车</x:v>
      </x:c>
      <x:c r="K1410" s="12" t="str">
        <x:v>HX3_NORMAL</x:v>
      </x:c>
      <x:c r="L1410" s="12" t="n">
        <x:v>11</x:v>
      </x:c>
      <x:c r="M1410" s="12" t="str">
        <x:v>HX3_NORMAL|11</x:v>
      </x:c>
      <x:c r="N1410" s="12" t="str">
        <x:v>305教学楼</x:v>
      </x:c>
      <x:c r="O1410" s="12" t="n">
        <x:f>IFERROR(INDEX('秒级路线参数_可调整'!$O:$O,MATCH(M1410,'秒级路线参数_可调整'!$A:$A,0)),"")</x:f>
        <x:v>775</x:v>
      </x:c>
      <x:c r="P1410" s="12" t="n">
        <x:f>IF(O1410="","",O1410/86400)</x:f>
        <x:v>0.008969907407407407</x:v>
      </x:c>
      <x:c r="Q1410" s="12" t="n">
        <x:f>IF(O1410="","",(H1410*60+O1410)/86400)</x:f>
        <x:v>0.7173032407407407</x:v>
      </x:c>
      <x:c r="R1410" s="12" t="str">
        <x:f>IF(Q1410="","",TEXT(Q1410,"hh:mm:ss"))</x:f>
        <x:v>17:12:55</x:v>
      </x:c>
      <x:c r="S1410" s="12" t="str">
        <x:v>否</x:v>
      </x:c>
      <x:c r="T1410" s="12" t="str">
        <x:v>否</x:v>
      </x:c>
      <x:c r="U1410" s="12" t="str">
        <x:v>刘虎</x:v>
      </x:c>
      <x:c r="V1410" s="12" t="str">
        <x:v>3号车</x:v>
      </x:c>
      <x:c r="W1410" s="12" t="str">
        <x:v>秒级预测</x:v>
      </x:c>
      <x:c r="X1410" s="12" t="str">
        <x:v>基于路线秒级参数；如录入实测或手动采用秒，预计到达时间可随公式更新</x:v>
      </x:c>
    </x:row>
    <x:row r="1411">
      <x:c r="A1411" s="12" t="str">
        <x:v>S0121-12</x:v>
      </x:c>
      <x:c r="B1411" s="12" t="str">
        <x:v>S0121</x:v>
      </x:c>
      <x:c r="C1411" s="12" t="str">
        <x:v>工作日</x:v>
      </x:c>
      <x:c r="D1411" s="12" t="str">
        <x:v>环线3路</x:v>
      </x:c>
      <x:c r="E1411" s="12" t="str">
        <x:v>第一班</x:v>
      </x:c>
      <x:c r="F1411" s="12" t="n">
        <x:v>13</x:v>
      </x:c>
      <x:c r="G1411" s="12" t="str">
        <x:v>17:00</x:v>
      </x:c>
      <x:c r="H1411" s="12" t="n">
        <x:v>1020</x:v>
      </x:c>
      <x:c r="I1411" s="12" t="str">
        <x:v>研究生宿舍楼</x:v>
      </x:c>
      <x:c r="J1411" s="12" t="str">
        <x:v>研究生宿舍楼发车</x:v>
      </x:c>
      <x:c r="K1411" s="12" t="str">
        <x:v>HX3_NORMAL</x:v>
      </x:c>
      <x:c r="L1411" s="12" t="n">
        <x:v>12</x:v>
      </x:c>
      <x:c r="M1411" s="12" t="str">
        <x:v>HX3_NORMAL|12</x:v>
      </x:c>
      <x:c r="N1411" s="12" t="str">
        <x:v>研究生宿舍楼</x:v>
      </x:c>
      <x:c r="O1411" s="12" t="n">
        <x:f>IFERROR(INDEX('秒级路线参数_可调整'!$O:$O,MATCH(M1411,'秒级路线参数_可调整'!$A:$A,0)),"")</x:f>
        <x:v>840</x:v>
      </x:c>
      <x:c r="P1411" s="12" t="n">
        <x:f>IF(O1411="","",O1411/86400)</x:f>
        <x:v>0.009722222222222222</x:v>
      </x:c>
      <x:c r="Q1411" s="12" t="n">
        <x:f>IF(O1411="","",(H1411*60+O1411)/86400)</x:f>
        <x:v>0.7180555555555556</x:v>
      </x:c>
      <x:c r="R1411" s="12" t="str">
        <x:f>IF(Q1411="","",TEXT(Q1411,"hh:mm:ss"))</x:f>
        <x:v>17:14:00</x:v>
      </x:c>
      <x:c r="S1411" s="12" t="str">
        <x:v>否</x:v>
      </x:c>
      <x:c r="T1411" s="12" t="str">
        <x:v>是</x:v>
      </x:c>
      <x:c r="U1411" s="12" t="str">
        <x:v>刘虎</x:v>
      </x:c>
      <x:c r="V1411" s="12" t="str">
        <x:v>3号车</x:v>
      </x:c>
      <x:c r="W1411" s="12" t="str">
        <x:v>秒级预测</x:v>
      </x:c>
      <x:c r="X1411" s="12" t="str">
        <x:v>基于路线秒级参数；如录入实测或手动采用秒，预计到达时间可随公式更新</x:v>
      </x:c>
    </x:row>
    <x:row r="1412">
      <x:c r="A1412" s="12" t="str">
        <x:v>S0122-01</x:v>
      </x:c>
      <x:c r="B1412" s="12" t="str">
        <x:v>S0122</x:v>
      </x:c>
      <x:c r="C1412" s="12" t="str">
        <x:v>工作日</x:v>
      </x:c>
      <x:c r="D1412" s="12" t="str">
        <x:v>环线3路</x:v>
      </x:c>
      <x:c r="E1412" s="12" t="str">
        <x:v>第三班</x:v>
      </x:c>
      <x:c r="F1412" s="12" t="n">
        <x:v>1</x:v>
      </x:c>
      <x:c r="G1412" s="12" t="str">
        <x:v>7:55</x:v>
      </x:c>
      <x:c r="H1412" s="12" t="n">
        <x:v>475</x:v>
      </x:c>
      <x:c r="I1412" s="12" t="str">
        <x:v>研究生宿舍楼</x:v>
      </x:c>
      <x:c r="J1412" s="12" t="str">
        <x:v>研究生宿舍楼发车</x:v>
      </x:c>
      <x:c r="K1412" s="12" t="str">
        <x:v>HX3_NORMAL</x:v>
      </x:c>
      <x:c r="L1412" s="12" t="n">
        <x:v>1</x:v>
      </x:c>
      <x:c r="M1412" s="12" t="str">
        <x:v>HX3_NORMAL|1</x:v>
      </x:c>
      <x:c r="N1412" s="12" t="str">
        <x:v>研究生宿舍楼</x:v>
      </x:c>
      <x:c r="O1412" s="12" t="n">
        <x:f>IFERROR(INDEX('秒级路线参数_可调整'!$O:$O,MATCH(M1412,'秒级路线参数_可调整'!$A:$A,0)),"")</x:f>
        <x:v>0</x:v>
      </x:c>
      <x:c r="P1412" s="12" t="str">
        <x:f>IF(O1412="","",O1412/86400)</x:f>
      </x:c>
      <x:c r="Q1412" s="12" t="str">
        <x:f>IF(O1412="","",(H1412*60+O1412)/86400)</x:f>
      </x:c>
      <x:c r="R1412" s="12" t="str">
        <x:f>IF(Q1412="","",TEXT(Q1412,"hh:mm:ss"))</x:f>
      </x:c>
      <x:c r="S1412" s="12" t="str">
        <x:v>是</x:v>
      </x:c>
      <x:c r="T1412" s="12" t="str">
        <x:v>否</x:v>
      </x:c>
      <x:c r="U1412" s="12" t="str">
        <x:v>刘晓燕</x:v>
      </x:c>
      <x:c r="V1412" s="12" t="str">
        <x:v>4号车</x:v>
      </x:c>
      <x:c r="W1412" s="12" t="str">
        <x:v>秒级预测</x:v>
      </x:c>
      <x:c r="X1412" s="12" t="str">
        <x:v>基于路线秒级参数；如录入实测或手动采用秒，预计到达时间可随公式更新</x:v>
      </x:c>
    </x:row>
    <x:row r="1413">
      <x:c r="A1413" s="12" t="str">
        <x:v>S0122-02</x:v>
      </x:c>
      <x:c r="B1413" s="12" t="str">
        <x:v>S0122</x:v>
      </x:c>
      <x:c r="C1413" s="12" t="str">
        <x:v>工作日</x:v>
      </x:c>
      <x:c r="D1413" s="12" t="str">
        <x:v>环线3路</x:v>
      </x:c>
      <x:c r="E1413" s="12" t="str">
        <x:v>第三班</x:v>
      </x:c>
      <x:c r="F1413" s="12" t="n">
        <x:v>1</x:v>
      </x:c>
      <x:c r="G1413" s="12" t="str">
        <x:v>7:55</x:v>
      </x:c>
      <x:c r="H1413" s="12" t="n">
        <x:v>475</x:v>
      </x:c>
      <x:c r="I1413" s="12" t="str">
        <x:v>研究生宿舍楼</x:v>
      </x:c>
      <x:c r="J1413" s="12" t="str">
        <x:v>研究生宿舍楼发车</x:v>
      </x:c>
      <x:c r="K1413" s="12" t="str">
        <x:v>HX3_NORMAL</x:v>
      </x:c>
      <x:c r="L1413" s="12" t="n">
        <x:v>2</x:v>
      </x:c>
      <x:c r="M1413" s="12" t="str">
        <x:v>HX3_NORMAL|2</x:v>
      </x:c>
      <x:c r="N1413" s="12" t="str">
        <x:v>一食堂</x:v>
      </x:c>
      <x:c r="O1413" s="12" t="n">
        <x:f>IFERROR(INDEX('秒级路线参数_可调整'!$O:$O,MATCH(M1413,'秒级路线参数_可调整'!$A:$A,0)),"")</x:f>
        <x:v>65</x:v>
      </x:c>
      <x:c r="P1413" s="12" t="n">
        <x:f>IF(O1413="","",O1413/86400)</x:f>
        <x:v>0.0007523148148148148</x:v>
      </x:c>
      <x:c r="Q1413" s="12" t="n">
        <x:f>IF(O1413="","",(H1413*60+O1413)/86400)</x:f>
        <x:v>0.3306134259259259</x:v>
      </x:c>
      <x:c r="R1413" s="12" t="str">
        <x:f>IF(Q1413="","",TEXT(Q1413,"hh:mm:ss"))</x:f>
        <x:v>07:56:05</x:v>
      </x:c>
      <x:c r="S1413" s="12" t="str">
        <x:v>否</x:v>
      </x:c>
      <x:c r="T1413" s="12" t="str">
        <x:v>否</x:v>
      </x:c>
      <x:c r="U1413" s="12" t="str">
        <x:v>刘晓燕</x:v>
      </x:c>
      <x:c r="V1413" s="12" t="str">
        <x:v>4号车</x:v>
      </x:c>
      <x:c r="W1413" s="12" t="str">
        <x:v>秒级预测</x:v>
      </x:c>
      <x:c r="X1413" s="12" t="str">
        <x:v>基于路线秒级参数；如录入实测或手动采用秒，预计到达时间可随公式更新</x:v>
      </x:c>
    </x:row>
    <x:row r="1414">
      <x:c r="A1414" s="12" t="str">
        <x:v>S0122-03</x:v>
      </x:c>
      <x:c r="B1414" s="12" t="str">
        <x:v>S0122</x:v>
      </x:c>
      <x:c r="C1414" s="12" t="str">
        <x:v>工作日</x:v>
      </x:c>
      <x:c r="D1414" s="12" t="str">
        <x:v>环线3路</x:v>
      </x:c>
      <x:c r="E1414" s="12" t="str">
        <x:v>第三班</x:v>
      </x:c>
      <x:c r="F1414" s="12" t="n">
        <x:v>1</x:v>
      </x:c>
      <x:c r="G1414" s="12" t="str">
        <x:v>7:55</x:v>
      </x:c>
      <x:c r="H1414" s="12" t="n">
        <x:v>475</x:v>
      </x:c>
      <x:c r="I1414" s="12" t="str">
        <x:v>研究生宿舍楼</x:v>
      </x:c>
      <x:c r="J1414" s="12" t="str">
        <x:v>研究生宿舍楼发车</x:v>
      </x:c>
      <x:c r="K1414" s="12" t="str">
        <x:v>HX3_NORMAL</x:v>
      </x:c>
      <x:c r="L1414" s="12" t="n">
        <x:v>3</x:v>
      </x:c>
      <x:c r="M1414" s="12" t="str">
        <x:v>HX3_NORMAL|3</x:v>
      </x:c>
      <x:c r="N1414" s="12" t="str">
        <x:v>2号宿舍楼</x:v>
      </x:c>
      <x:c r="O1414" s="12" t="n">
        <x:f>IFERROR(INDEX('秒级路线参数_可调整'!$O:$O,MATCH(M1414,'秒级路线参数_可调整'!$A:$A,0)),"")</x:f>
        <x:v>120</x:v>
      </x:c>
      <x:c r="P1414" s="12" t="n">
        <x:f>IF(O1414="","",O1414/86400)</x:f>
        <x:v>0.001388888888888889</x:v>
      </x:c>
      <x:c r="Q1414" s="12" t="n">
        <x:f>IF(O1414="","",(H1414*60+O1414)/86400)</x:f>
        <x:v>0.33125</x:v>
      </x:c>
      <x:c r="R1414" s="12" t="str">
        <x:f>IF(Q1414="","",TEXT(Q1414,"hh:mm:ss"))</x:f>
        <x:v>07:57:00</x:v>
      </x:c>
      <x:c r="S1414" s="12" t="str">
        <x:v>否</x:v>
      </x:c>
      <x:c r="T1414" s="12" t="str">
        <x:v>否</x:v>
      </x:c>
      <x:c r="U1414" s="12" t="str">
        <x:v>刘晓燕</x:v>
      </x:c>
      <x:c r="V1414" s="12" t="str">
        <x:v>4号车</x:v>
      </x:c>
      <x:c r="W1414" s="12" t="str">
        <x:v>秒级预测</x:v>
      </x:c>
      <x:c r="X1414" s="12" t="str">
        <x:v>基于路线秒级参数；如录入实测或手动采用秒，预计到达时间可随公式更新</x:v>
      </x:c>
    </x:row>
    <x:row r="1415">
      <x:c r="A1415" s="12" t="str">
        <x:v>S0122-04</x:v>
      </x:c>
      <x:c r="B1415" s="12" t="str">
        <x:v>S0122</x:v>
      </x:c>
      <x:c r="C1415" s="12" t="str">
        <x:v>工作日</x:v>
      </x:c>
      <x:c r="D1415" s="12" t="str">
        <x:v>环线3路</x:v>
      </x:c>
      <x:c r="E1415" s="12" t="str">
        <x:v>第三班</x:v>
      </x:c>
      <x:c r="F1415" s="12" t="n">
        <x:v>1</x:v>
      </x:c>
      <x:c r="G1415" s="12" t="str">
        <x:v>7:55</x:v>
      </x:c>
      <x:c r="H1415" s="12" t="n">
        <x:v>475</x:v>
      </x:c>
      <x:c r="I1415" s="12" t="str">
        <x:v>研究生宿舍楼</x:v>
      </x:c>
      <x:c r="J1415" s="12" t="str">
        <x:v>研究生宿舍楼发车</x:v>
      </x:c>
      <x:c r="K1415" s="12" t="str">
        <x:v>HX3_NORMAL</x:v>
      </x:c>
      <x:c r="L1415" s="12" t="n">
        <x:v>4</x:v>
      </x:c>
      <x:c r="M1415" s="12" t="str">
        <x:v>HX3_NORMAL|4</x:v>
      </x:c>
      <x:c r="N1415" s="12" t="str">
        <x:v>军体活动中心</x:v>
      </x:c>
      <x:c r="O1415" s="12" t="n">
        <x:f>IFERROR(INDEX('秒级路线参数_可调整'!$O:$O,MATCH(M1415,'秒级路线参数_可调整'!$A:$A,0)),"")</x:f>
        <x:v>165</x:v>
      </x:c>
      <x:c r="P1415" s="12" t="n">
        <x:f>IF(O1415="","",O1415/86400)</x:f>
        <x:v>0.0019097222222222222</x:v>
      </x:c>
      <x:c r="Q1415" s="12" t="n">
        <x:f>IF(O1415="","",(H1415*60+O1415)/86400)</x:f>
        <x:v>0.33177083333333335</x:v>
      </x:c>
      <x:c r="R1415" s="12" t="str">
        <x:f>IF(Q1415="","",TEXT(Q1415,"hh:mm:ss"))</x:f>
        <x:v>07:57:45</x:v>
      </x:c>
      <x:c r="S1415" s="12" t="str">
        <x:v>否</x:v>
      </x:c>
      <x:c r="T1415" s="12" t="str">
        <x:v>否</x:v>
      </x:c>
      <x:c r="U1415" s="12" t="str">
        <x:v>刘晓燕</x:v>
      </x:c>
      <x:c r="V1415" s="12" t="str">
        <x:v>4号车</x:v>
      </x:c>
      <x:c r="W1415" s="12" t="str">
        <x:v>秒级预测</x:v>
      </x:c>
      <x:c r="X1415" s="12" t="str">
        <x:v>基于路线秒级参数；如录入实测或手动采用秒，预计到达时间可随公式更新</x:v>
      </x:c>
    </x:row>
    <x:row r="1416">
      <x:c r="A1416" s="12" t="str">
        <x:v>S0122-05</x:v>
      </x:c>
      <x:c r="B1416" s="12" t="str">
        <x:v>S0122</x:v>
      </x:c>
      <x:c r="C1416" s="12" t="str">
        <x:v>工作日</x:v>
      </x:c>
      <x:c r="D1416" s="12" t="str">
        <x:v>环线3路</x:v>
      </x:c>
      <x:c r="E1416" s="12" t="str">
        <x:v>第三班</x:v>
      </x:c>
      <x:c r="F1416" s="12" t="n">
        <x:v>1</x:v>
      </x:c>
      <x:c r="G1416" s="12" t="str">
        <x:v>7:55</x:v>
      </x:c>
      <x:c r="H1416" s="12" t="n">
        <x:v>475</x:v>
      </x:c>
      <x:c r="I1416" s="12" t="str">
        <x:v>研究生宿舍楼</x:v>
      </x:c>
      <x:c r="J1416" s="12" t="str">
        <x:v>研究生宿舍楼发车</x:v>
      </x:c>
      <x:c r="K1416" s="12" t="str">
        <x:v>HX3_NORMAL</x:v>
      </x:c>
      <x:c r="L1416" s="12" t="n">
        <x:v>5</x:v>
      </x:c>
      <x:c r="M1416" s="12" t="str">
        <x:v>HX3_NORMAL|5</x:v>
      </x:c>
      <x:c r="N1416" s="12" t="str">
        <x:v>教勤连</x:v>
      </x:c>
      <x:c r="O1416" s="12" t="n">
        <x:f>IFERROR(INDEX('秒级路线参数_可调整'!$O:$O,MATCH(M1416,'秒级路线参数_可调整'!$A:$A,0)),"")</x:f>
        <x:v>250</x:v>
      </x:c>
      <x:c r="P1416" s="12" t="n">
        <x:f>IF(O1416="","",O1416/86400)</x:f>
        <x:v>0.0028935185185185184</x:v>
      </x:c>
      <x:c r="Q1416" s="12" t="n">
        <x:f>IF(O1416="","",(H1416*60+O1416)/86400)</x:f>
        <x:v>0.33275462962962965</x:v>
      </x:c>
      <x:c r="R1416" s="12" t="str">
        <x:f>IF(Q1416="","",TEXT(Q1416,"hh:mm:ss"))</x:f>
        <x:v>07:59:10</x:v>
      </x:c>
      <x:c r="S1416" s="12" t="str">
        <x:v>否</x:v>
      </x:c>
      <x:c r="T1416" s="12" t="str">
        <x:v>否</x:v>
      </x:c>
      <x:c r="U1416" s="12" t="str">
        <x:v>刘晓燕</x:v>
      </x:c>
      <x:c r="V1416" s="12" t="str">
        <x:v>4号车</x:v>
      </x:c>
      <x:c r="W1416" s="12" t="str">
        <x:v>秒级预测</x:v>
      </x:c>
      <x:c r="X1416" s="12" t="str">
        <x:v>基于路线秒级参数；如录入实测或手动采用秒，预计到达时间可随公式更新</x:v>
      </x:c>
    </x:row>
    <x:row r="1417">
      <x:c r="A1417" s="12" t="str">
        <x:v>S0122-06</x:v>
      </x:c>
      <x:c r="B1417" s="12" t="str">
        <x:v>S0122</x:v>
      </x:c>
      <x:c r="C1417" s="12" t="str">
        <x:v>工作日</x:v>
      </x:c>
      <x:c r="D1417" s="12" t="str">
        <x:v>环线3路</x:v>
      </x:c>
      <x:c r="E1417" s="12" t="str">
        <x:v>第三班</x:v>
      </x:c>
      <x:c r="F1417" s="12" t="n">
        <x:v>1</x:v>
      </x:c>
      <x:c r="G1417" s="12" t="str">
        <x:v>7:55</x:v>
      </x:c>
      <x:c r="H1417" s="12" t="n">
        <x:v>475</x:v>
      </x:c>
      <x:c r="I1417" s="12" t="str">
        <x:v>研究生宿舍楼</x:v>
      </x:c>
      <x:c r="J1417" s="12" t="str">
        <x:v>研究生宿舍楼发车</x:v>
      </x:c>
      <x:c r="K1417" s="12" t="str">
        <x:v>HX3_NORMAL</x:v>
      </x:c>
      <x:c r="L1417" s="12" t="n">
        <x:v>6</x:v>
      </x:c>
      <x:c r="M1417" s="12" t="str">
        <x:v>HX3_NORMAL|6</x:v>
      </x:c>
      <x:c r="N1417" s="12" t="str">
        <x:v>激光所</x:v>
      </x:c>
      <x:c r="O1417" s="12" t="n">
        <x:f>IFERROR(INDEX('秒级路线参数_可调整'!$O:$O,MATCH(M1417,'秒级路线参数_可调整'!$A:$A,0)),"")</x:f>
        <x:v>315</x:v>
      </x:c>
      <x:c r="P1417" s="12" t="n">
        <x:f>IF(O1417="","",O1417/86400)</x:f>
        <x:v>0.0036458333333333334</x:v>
      </x:c>
      <x:c r="Q1417" s="12" t="n">
        <x:f>IF(O1417="","",(H1417*60+O1417)/86400)</x:f>
        <x:v>0.33350694444444445</x:v>
      </x:c>
      <x:c r="R1417" s="12" t="str">
        <x:f>IF(Q1417="","",TEXT(Q1417,"hh:mm:ss"))</x:f>
        <x:v>08:00:15</x:v>
      </x:c>
      <x:c r="S1417" s="12" t="str">
        <x:v>否</x:v>
      </x:c>
      <x:c r="T1417" s="12" t="str">
        <x:v>否</x:v>
      </x:c>
      <x:c r="U1417" s="12" t="str">
        <x:v>刘晓燕</x:v>
      </x:c>
      <x:c r="V1417" s="12" t="str">
        <x:v>4号车</x:v>
      </x:c>
      <x:c r="W1417" s="12" t="str">
        <x:v>秒级预测</x:v>
      </x:c>
      <x:c r="X1417" s="12" t="str">
        <x:v>基于路线秒级参数；如录入实测或手动采用秒，预计到达时间可随公式更新</x:v>
      </x:c>
    </x:row>
    <x:row r="1418">
      <x:c r="A1418" s="12" t="str">
        <x:v>S0122-07</x:v>
      </x:c>
      <x:c r="B1418" s="12" t="str">
        <x:v>S0122</x:v>
      </x:c>
      <x:c r="C1418" s="12" t="str">
        <x:v>工作日</x:v>
      </x:c>
      <x:c r="D1418" s="12" t="str">
        <x:v>环线3路</x:v>
      </x:c>
      <x:c r="E1418" s="12" t="str">
        <x:v>第三班</x:v>
      </x:c>
      <x:c r="F1418" s="12" t="n">
        <x:v>1</x:v>
      </x:c>
      <x:c r="G1418" s="12" t="str">
        <x:v>7:55</x:v>
      </x:c>
      <x:c r="H1418" s="12" t="n">
        <x:v>475</x:v>
      </x:c>
      <x:c r="I1418" s="12" t="str">
        <x:v>研究生宿舍楼</x:v>
      </x:c>
      <x:c r="J1418" s="12" t="str">
        <x:v>研究生宿舍楼发车</x:v>
      </x:c>
      <x:c r="K1418" s="12" t="str">
        <x:v>HX3_NORMAL</x:v>
      </x:c>
      <x:c r="L1418" s="12" t="n">
        <x:v>7</x:v>
      </x:c>
      <x:c r="M1418" s="12" t="str">
        <x:v>HX3_NORMAL|7</x:v>
      </x:c>
      <x:c r="N1418" s="12" t="str">
        <x:v>高超楼</x:v>
      </x:c>
      <x:c r="O1418" s="12" t="n">
        <x:f>IFERROR(INDEX('秒级路线参数_可调整'!$O:$O,MATCH(M1418,'秒级路线参数_可调整'!$A:$A,0)),"")</x:f>
        <x:v>420</x:v>
      </x:c>
      <x:c r="P1418" s="12" t="n">
        <x:f>IF(O1418="","",O1418/86400)</x:f>
        <x:v>0.004861111111111111</x:v>
      </x:c>
      <x:c r="Q1418" s="12" t="n">
        <x:f>IF(O1418="","",(H1418*60+O1418)/86400)</x:f>
        <x:v>0.3347222222222222</x:v>
      </x:c>
      <x:c r="R1418" s="12" t="str">
        <x:f>IF(Q1418="","",TEXT(Q1418,"hh:mm:ss"))</x:f>
        <x:v>08:02:00</x:v>
      </x:c>
      <x:c r="S1418" s="12" t="str">
        <x:v>否</x:v>
      </x:c>
      <x:c r="T1418" s="12" t="str">
        <x:v>否</x:v>
      </x:c>
      <x:c r="U1418" s="12" t="str">
        <x:v>刘晓燕</x:v>
      </x:c>
      <x:c r="V1418" s="12" t="str">
        <x:v>4号车</x:v>
      </x:c>
      <x:c r="W1418" s="12" t="str">
        <x:v>秒级预测</x:v>
      </x:c>
      <x:c r="X1418" s="12" t="str">
        <x:v>基于路线秒级参数；如录入实测或手动采用秒，预计到达时间可随公式更新</x:v>
      </x:c>
    </x:row>
    <x:row r="1419">
      <x:c r="A1419" s="12" t="str">
        <x:v>S0122-08</x:v>
      </x:c>
      <x:c r="B1419" s="12" t="str">
        <x:v>S0122</x:v>
      </x:c>
      <x:c r="C1419" s="12" t="str">
        <x:v>工作日</x:v>
      </x:c>
      <x:c r="D1419" s="12" t="str">
        <x:v>环线3路</x:v>
      </x:c>
      <x:c r="E1419" s="12" t="str">
        <x:v>第三班</x:v>
      </x:c>
      <x:c r="F1419" s="12" t="n">
        <x:v>1</x:v>
      </x:c>
      <x:c r="G1419" s="12" t="str">
        <x:v>7:55</x:v>
      </x:c>
      <x:c r="H1419" s="12" t="n">
        <x:v>475</x:v>
      </x:c>
      <x:c r="I1419" s="12" t="str">
        <x:v>研究生宿舍楼</x:v>
      </x:c>
      <x:c r="J1419" s="12" t="str">
        <x:v>研究生宿舍楼发车</x:v>
      </x:c>
      <x:c r="K1419" s="12" t="str">
        <x:v>HX3_NORMAL</x:v>
      </x:c>
      <x:c r="L1419" s="12" t="n">
        <x:v>8</x:v>
      </x:c>
      <x:c r="M1419" s="12" t="str">
        <x:v>HX3_NORMAL|8</x:v>
      </x:c>
      <x:c r="N1419" s="12" t="str">
        <x:v>理学院</x:v>
      </x:c>
      <x:c r="O1419" s="12" t="n">
        <x:f>IFERROR(INDEX('秒级路线参数_可调整'!$O:$O,MATCH(M1419,'秒级路线参数_可调整'!$A:$A,0)),"")</x:f>
        <x:v>480</x:v>
      </x:c>
      <x:c r="P1419" s="12" t="n">
        <x:f>IF(O1419="","",O1419/86400)</x:f>
        <x:v>0.005555555555555556</x:v>
      </x:c>
      <x:c r="Q1419" s="12" t="n">
        <x:f>IF(O1419="","",(H1419*60+O1419)/86400)</x:f>
        <x:v>0.33541666666666664</x:v>
      </x:c>
      <x:c r="R1419" s="12" t="str">
        <x:f>IF(Q1419="","",TEXT(Q1419,"hh:mm:ss"))</x:f>
        <x:v>08:03:00</x:v>
      </x:c>
      <x:c r="S1419" s="12" t="str">
        <x:v>否</x:v>
      </x:c>
      <x:c r="T1419" s="12" t="str">
        <x:v>否</x:v>
      </x:c>
      <x:c r="U1419" s="12" t="str">
        <x:v>刘晓燕</x:v>
      </x:c>
      <x:c r="V1419" s="12" t="str">
        <x:v>4号车</x:v>
      </x:c>
      <x:c r="W1419" s="12" t="str">
        <x:v>秒级预测</x:v>
      </x:c>
      <x:c r="X1419" s="12" t="str">
        <x:v>基于路线秒级参数；如录入实测或手动采用秒，预计到达时间可随公式更新</x:v>
      </x:c>
    </x:row>
    <x:row r="1420">
      <x:c r="A1420" s="12" t="str">
        <x:v>S0122-09</x:v>
      </x:c>
      <x:c r="B1420" s="12" t="str">
        <x:v>S0122</x:v>
      </x:c>
      <x:c r="C1420" s="12" t="str">
        <x:v>工作日</x:v>
      </x:c>
      <x:c r="D1420" s="12" t="str">
        <x:v>环线3路</x:v>
      </x:c>
      <x:c r="E1420" s="12" t="str">
        <x:v>第三班</x:v>
      </x:c>
      <x:c r="F1420" s="12" t="n">
        <x:v>1</x:v>
      </x:c>
      <x:c r="G1420" s="12" t="str">
        <x:v>7:55</x:v>
      </x:c>
      <x:c r="H1420" s="12" t="n">
        <x:v>475</x:v>
      </x:c>
      <x:c r="I1420" s="12" t="str">
        <x:v>研究生宿舍楼</x:v>
      </x:c>
      <x:c r="J1420" s="12" t="str">
        <x:v>研究生宿舍楼发车</x:v>
      </x:c>
      <x:c r="K1420" s="12" t="str">
        <x:v>HX3_NORMAL</x:v>
      </x:c>
      <x:c r="L1420" s="12" t="n">
        <x:v>9</x:v>
      </x:c>
      <x:c r="M1420" s="12" t="str">
        <x:v>HX3_NORMAL|9</x:v>
      </x:c>
      <x:c r="N1420" s="12" t="str">
        <x:v>二食堂</x:v>
      </x:c>
      <x:c r="O1420" s="12" t="n">
        <x:f>IFERROR(INDEX('秒级路线参数_可调整'!$O:$O,MATCH(M1420,'秒级路线参数_可调整'!$A:$A,0)),"")</x:f>
        <x:v>535</x:v>
      </x:c>
      <x:c r="P1420" s="12" t="n">
        <x:f>IF(O1420="","",O1420/86400)</x:f>
        <x:v>0.00619212962962963</x:v>
      </x:c>
      <x:c r="Q1420" s="12" t="n">
        <x:f>IF(O1420="","",(H1420*60+O1420)/86400)</x:f>
        <x:v>0.3360532407407407</x:v>
      </x:c>
      <x:c r="R1420" s="12" t="str">
        <x:f>IF(Q1420="","",TEXT(Q1420,"hh:mm:ss"))</x:f>
        <x:v>08:03:55</x:v>
      </x:c>
      <x:c r="S1420" s="12" t="str">
        <x:v>否</x:v>
      </x:c>
      <x:c r="T1420" s="12" t="str">
        <x:v>否</x:v>
      </x:c>
      <x:c r="U1420" s="12" t="str">
        <x:v>刘晓燕</x:v>
      </x:c>
      <x:c r="V1420" s="12" t="str">
        <x:v>4号车</x:v>
      </x:c>
      <x:c r="W1420" s="12" t="str">
        <x:v>秒级预测</x:v>
      </x:c>
      <x:c r="X1420" s="12" t="str">
        <x:v>基于路线秒级参数；如录入实测或手动采用秒，预计到达时间可随公式更新</x:v>
      </x:c>
    </x:row>
    <x:row r="1421">
      <x:c r="A1421" s="12" t="str">
        <x:v>S0122-10</x:v>
      </x:c>
      <x:c r="B1421" s="12" t="str">
        <x:v>S0122</x:v>
      </x:c>
      <x:c r="C1421" s="12" t="str">
        <x:v>工作日</x:v>
      </x:c>
      <x:c r="D1421" s="12" t="str">
        <x:v>环线3路</x:v>
      </x:c>
      <x:c r="E1421" s="12" t="str">
        <x:v>第三班</x:v>
      </x:c>
      <x:c r="F1421" s="12" t="n">
        <x:v>1</x:v>
      </x:c>
      <x:c r="G1421" s="12" t="str">
        <x:v>7:55</x:v>
      </x:c>
      <x:c r="H1421" s="12" t="n">
        <x:v>475</x:v>
      </x:c>
      <x:c r="I1421" s="12" t="str">
        <x:v>研究生宿舍楼</x:v>
      </x:c>
      <x:c r="J1421" s="12" t="str">
        <x:v>研究生宿舍楼发车</x:v>
      </x:c>
      <x:c r="K1421" s="12" t="str">
        <x:v>HX3_NORMAL</x:v>
      </x:c>
      <x:c r="L1421" s="12" t="n">
        <x:v>10</x:v>
      </x:c>
      <x:c r="M1421" s="12" t="str">
        <x:v>HX3_NORMAL|10</x:v>
      </x:c>
      <x:c r="N1421" s="12" t="str">
        <x:v>图书馆</x:v>
      </x:c>
      <x:c r="O1421" s="12" t="n">
        <x:f>IFERROR(INDEX('秒级路线参数_可调整'!$O:$O,MATCH(M1421,'秒级路线参数_可调整'!$A:$A,0)),"")</x:f>
        <x:v>715</x:v>
      </x:c>
      <x:c r="P1421" s="12" t="n">
        <x:f>IF(O1421="","",O1421/86400)</x:f>
        <x:v>0.008275462962962964</x:v>
      </x:c>
      <x:c r="Q1421" s="12" t="n">
        <x:f>IF(O1421="","",(H1421*60+O1421)/86400)</x:f>
        <x:v>0.33813657407407405</x:v>
      </x:c>
      <x:c r="R1421" s="12" t="str">
        <x:f>IF(Q1421="","",TEXT(Q1421,"hh:mm:ss"))</x:f>
        <x:v>08:06:55</x:v>
      </x:c>
      <x:c r="S1421" s="12" t="str">
        <x:v>否</x:v>
      </x:c>
      <x:c r="T1421" s="12" t="str">
        <x:v>否</x:v>
      </x:c>
      <x:c r="U1421" s="12" t="str">
        <x:v>刘晓燕</x:v>
      </x:c>
      <x:c r="V1421" s="12" t="str">
        <x:v>4号车</x:v>
      </x:c>
      <x:c r="W1421" s="12" t="str">
        <x:v>秒级预测</x:v>
      </x:c>
      <x:c r="X1421" s="12" t="str">
        <x:v>基于路线秒级参数；如录入实测或手动采用秒，预计到达时间可随公式更新</x:v>
      </x:c>
    </x:row>
    <x:row r="1422">
      <x:c r="A1422" s="12" t="str">
        <x:v>S0122-11</x:v>
      </x:c>
      <x:c r="B1422" s="12" t="str">
        <x:v>S0122</x:v>
      </x:c>
      <x:c r="C1422" s="12" t="str">
        <x:v>工作日</x:v>
      </x:c>
      <x:c r="D1422" s="12" t="str">
        <x:v>环线3路</x:v>
      </x:c>
      <x:c r="E1422" s="12" t="str">
        <x:v>第三班</x:v>
      </x:c>
      <x:c r="F1422" s="12" t="n">
        <x:v>1</x:v>
      </x:c>
      <x:c r="G1422" s="12" t="str">
        <x:v>7:55</x:v>
      </x:c>
      <x:c r="H1422" s="12" t="n">
        <x:v>475</x:v>
      </x:c>
      <x:c r="I1422" s="12" t="str">
        <x:v>研究生宿舍楼</x:v>
      </x:c>
      <x:c r="J1422" s="12" t="str">
        <x:v>研究生宿舍楼发车</x:v>
      </x:c>
      <x:c r="K1422" s="12" t="str">
        <x:v>HX3_NORMAL</x:v>
      </x:c>
      <x:c r="L1422" s="12" t="n">
        <x:v>11</x:v>
      </x:c>
      <x:c r="M1422" s="12" t="str">
        <x:v>HX3_NORMAL|11</x:v>
      </x:c>
      <x:c r="N1422" s="12" t="str">
        <x:v>305教学楼</x:v>
      </x:c>
      <x:c r="O1422" s="12" t="n">
        <x:f>IFERROR(INDEX('秒级路线参数_可调整'!$O:$O,MATCH(M1422,'秒级路线参数_可调整'!$A:$A,0)),"")</x:f>
        <x:v>775</x:v>
      </x:c>
      <x:c r="P1422" s="12" t="n">
        <x:f>IF(O1422="","",O1422/86400)</x:f>
        <x:v>0.008969907407407407</x:v>
      </x:c>
      <x:c r="Q1422" s="12" t="n">
        <x:f>IF(O1422="","",(H1422*60+O1422)/86400)</x:f>
        <x:v>0.33883101851851855</x:v>
      </x:c>
      <x:c r="R1422" s="12" t="str">
        <x:f>IF(Q1422="","",TEXT(Q1422,"hh:mm:ss"))</x:f>
        <x:v>08:07:55</x:v>
      </x:c>
      <x:c r="S1422" s="12" t="str">
        <x:v>否</x:v>
      </x:c>
      <x:c r="T1422" s="12" t="str">
        <x:v>否</x:v>
      </x:c>
      <x:c r="U1422" s="12" t="str">
        <x:v>刘晓燕</x:v>
      </x:c>
      <x:c r="V1422" s="12" t="str">
        <x:v>4号车</x:v>
      </x:c>
      <x:c r="W1422" s="12" t="str">
        <x:v>秒级预测</x:v>
      </x:c>
      <x:c r="X1422" s="12" t="str">
        <x:v>基于路线秒级参数；如录入实测或手动采用秒，预计到达时间可随公式更新</x:v>
      </x:c>
    </x:row>
    <x:row r="1423">
      <x:c r="A1423" s="12" t="str">
        <x:v>S0122-12</x:v>
      </x:c>
      <x:c r="B1423" s="12" t="str">
        <x:v>S0122</x:v>
      </x:c>
      <x:c r="C1423" s="12" t="str">
        <x:v>工作日</x:v>
      </x:c>
      <x:c r="D1423" s="12" t="str">
        <x:v>环线3路</x:v>
      </x:c>
      <x:c r="E1423" s="12" t="str">
        <x:v>第三班</x:v>
      </x:c>
      <x:c r="F1423" s="12" t="n">
        <x:v>1</x:v>
      </x:c>
      <x:c r="G1423" s="12" t="str">
        <x:v>7:55</x:v>
      </x:c>
      <x:c r="H1423" s="12" t="n">
        <x:v>475</x:v>
      </x:c>
      <x:c r="I1423" s="12" t="str">
        <x:v>研究生宿舍楼</x:v>
      </x:c>
      <x:c r="J1423" s="12" t="str">
        <x:v>研究生宿舍楼发车</x:v>
      </x:c>
      <x:c r="K1423" s="12" t="str">
        <x:v>HX3_NORMAL</x:v>
      </x:c>
      <x:c r="L1423" s="12" t="n">
        <x:v>12</x:v>
      </x:c>
      <x:c r="M1423" s="12" t="str">
        <x:v>HX3_NORMAL|12</x:v>
      </x:c>
      <x:c r="N1423" s="12" t="str">
        <x:v>研究生宿舍楼</x:v>
      </x:c>
      <x:c r="O1423" s="12" t="n">
        <x:f>IFERROR(INDEX('秒级路线参数_可调整'!$O:$O,MATCH(M1423,'秒级路线参数_可调整'!$A:$A,0)),"")</x:f>
        <x:v>840</x:v>
      </x:c>
      <x:c r="P1423" s="12" t="n">
        <x:f>IF(O1423="","",O1423/86400)</x:f>
        <x:v>0.009722222222222222</x:v>
      </x:c>
      <x:c r="Q1423" s="12" t="n">
        <x:f>IF(O1423="","",(H1423*60+O1423)/86400)</x:f>
        <x:v>0.33958333333333335</x:v>
      </x:c>
      <x:c r="R1423" s="12" t="str">
        <x:f>IF(Q1423="","",TEXT(Q1423,"hh:mm:ss"))</x:f>
        <x:v>08:09:00</x:v>
      </x:c>
      <x:c r="S1423" s="12" t="str">
        <x:v>否</x:v>
      </x:c>
      <x:c r="T1423" s="12" t="str">
        <x:v>是</x:v>
      </x:c>
      <x:c r="U1423" s="12" t="str">
        <x:v>刘晓燕</x:v>
      </x:c>
      <x:c r="V1423" s="12" t="str">
        <x:v>4号车</x:v>
      </x:c>
      <x:c r="W1423" s="12" t="str">
        <x:v>秒级预测</x:v>
      </x:c>
      <x:c r="X1423" s="12" t="str">
        <x:v>基于路线秒级参数；如录入实测或手动采用秒，预计到达时间可随公式更新</x:v>
      </x:c>
    </x:row>
    <x:row r="1424">
      <x:c r="A1424" s="12" t="str">
        <x:v>S0123-01</x:v>
      </x:c>
      <x:c r="B1424" s="12" t="str">
        <x:v>S0123</x:v>
      </x:c>
      <x:c r="C1424" s="12" t="str">
        <x:v>工作日</x:v>
      </x:c>
      <x:c r="D1424" s="12" t="str">
        <x:v>环线3路</x:v>
      </x:c>
      <x:c r="E1424" s="12" t="str">
        <x:v>第三班</x:v>
      </x:c>
      <x:c r="F1424" s="12" t="n">
        <x:v>2</x:v>
      </x:c>
      <x:c r="G1424" s="12" t="str">
        <x:v>8:25</x:v>
      </x:c>
      <x:c r="H1424" s="12" t="n">
        <x:v>505</x:v>
      </x:c>
      <x:c r="I1424" s="12" t="str">
        <x:v>研究生宿舍楼</x:v>
      </x:c>
      <x:c r="J1424" s="12" t="str">
        <x:v>研究生宿舍楼发车</x:v>
      </x:c>
      <x:c r="K1424" s="12" t="str">
        <x:v>HX3_NORMAL</x:v>
      </x:c>
      <x:c r="L1424" s="12" t="n">
        <x:v>1</x:v>
      </x:c>
      <x:c r="M1424" s="12" t="str">
        <x:v>HX3_NORMAL|1</x:v>
      </x:c>
      <x:c r="N1424" s="12" t="str">
        <x:v>研究生宿舍楼</x:v>
      </x:c>
      <x:c r="O1424" s="12" t="n">
        <x:f>IFERROR(INDEX('秒级路线参数_可调整'!$O:$O,MATCH(M1424,'秒级路线参数_可调整'!$A:$A,0)),"")</x:f>
        <x:v>0</x:v>
      </x:c>
      <x:c r="P1424" s="12" t="str">
        <x:f>IF(O1424="","",O1424/86400)</x:f>
      </x:c>
      <x:c r="Q1424" s="12" t="str">
        <x:f>IF(O1424="","",(H1424*60+O1424)/86400)</x:f>
      </x:c>
      <x:c r="R1424" s="12" t="str">
        <x:f>IF(Q1424="","",TEXT(Q1424,"hh:mm:ss"))</x:f>
      </x:c>
      <x:c r="S1424" s="12" t="str">
        <x:v>是</x:v>
      </x:c>
      <x:c r="T1424" s="12" t="str">
        <x:v>否</x:v>
      </x:c>
      <x:c r="U1424" s="12" t="str">
        <x:v>刘晓燕</x:v>
      </x:c>
      <x:c r="V1424" s="12" t="str">
        <x:v>4号车</x:v>
      </x:c>
      <x:c r="W1424" s="12" t="str">
        <x:v>秒级预测</x:v>
      </x:c>
      <x:c r="X1424" s="12" t="str">
        <x:v>基于路线秒级参数；如录入实测或手动采用秒，预计到达时间可随公式更新</x:v>
      </x:c>
    </x:row>
    <x:row r="1425">
      <x:c r="A1425" s="12" t="str">
        <x:v>S0123-02</x:v>
      </x:c>
      <x:c r="B1425" s="12" t="str">
        <x:v>S0123</x:v>
      </x:c>
      <x:c r="C1425" s="12" t="str">
        <x:v>工作日</x:v>
      </x:c>
      <x:c r="D1425" s="12" t="str">
        <x:v>环线3路</x:v>
      </x:c>
      <x:c r="E1425" s="12" t="str">
        <x:v>第三班</x:v>
      </x:c>
      <x:c r="F1425" s="12" t="n">
        <x:v>2</x:v>
      </x:c>
      <x:c r="G1425" s="12" t="str">
        <x:v>8:25</x:v>
      </x:c>
      <x:c r="H1425" s="12" t="n">
        <x:v>505</x:v>
      </x:c>
      <x:c r="I1425" s="12" t="str">
        <x:v>研究生宿舍楼</x:v>
      </x:c>
      <x:c r="J1425" s="12" t="str">
        <x:v>研究生宿舍楼发车</x:v>
      </x:c>
      <x:c r="K1425" s="12" t="str">
        <x:v>HX3_NORMAL</x:v>
      </x:c>
      <x:c r="L1425" s="12" t="n">
        <x:v>2</x:v>
      </x:c>
      <x:c r="M1425" s="12" t="str">
        <x:v>HX3_NORMAL|2</x:v>
      </x:c>
      <x:c r="N1425" s="12" t="str">
        <x:v>一食堂</x:v>
      </x:c>
      <x:c r="O1425" s="12" t="n">
        <x:f>IFERROR(INDEX('秒级路线参数_可调整'!$O:$O,MATCH(M1425,'秒级路线参数_可调整'!$A:$A,0)),"")</x:f>
        <x:v>65</x:v>
      </x:c>
      <x:c r="P1425" s="12" t="n">
        <x:f>IF(O1425="","",O1425/86400)</x:f>
        <x:v>0.0007523148148148148</x:v>
      </x:c>
      <x:c r="Q1425" s="12" t="n">
        <x:f>IF(O1425="","",(H1425*60+O1425)/86400)</x:f>
        <x:v>0.3514467592592593</x:v>
      </x:c>
      <x:c r="R1425" s="12" t="str">
        <x:f>IF(Q1425="","",TEXT(Q1425,"hh:mm:ss"))</x:f>
        <x:v>08:26:05</x:v>
      </x:c>
      <x:c r="S1425" s="12" t="str">
        <x:v>否</x:v>
      </x:c>
      <x:c r="T1425" s="12" t="str">
        <x:v>否</x:v>
      </x:c>
      <x:c r="U1425" s="12" t="str">
        <x:v>刘晓燕</x:v>
      </x:c>
      <x:c r="V1425" s="12" t="str">
        <x:v>4号车</x:v>
      </x:c>
      <x:c r="W1425" s="12" t="str">
        <x:v>秒级预测</x:v>
      </x:c>
      <x:c r="X1425" s="12" t="str">
        <x:v>基于路线秒级参数；如录入实测或手动采用秒，预计到达时间可随公式更新</x:v>
      </x:c>
    </x:row>
    <x:row r="1426">
      <x:c r="A1426" s="12" t="str">
        <x:v>S0123-03</x:v>
      </x:c>
      <x:c r="B1426" s="12" t="str">
        <x:v>S0123</x:v>
      </x:c>
      <x:c r="C1426" s="12" t="str">
        <x:v>工作日</x:v>
      </x:c>
      <x:c r="D1426" s="12" t="str">
        <x:v>环线3路</x:v>
      </x:c>
      <x:c r="E1426" s="12" t="str">
        <x:v>第三班</x:v>
      </x:c>
      <x:c r="F1426" s="12" t="n">
        <x:v>2</x:v>
      </x:c>
      <x:c r="G1426" s="12" t="str">
        <x:v>8:25</x:v>
      </x:c>
      <x:c r="H1426" s="12" t="n">
        <x:v>505</x:v>
      </x:c>
      <x:c r="I1426" s="12" t="str">
        <x:v>研究生宿舍楼</x:v>
      </x:c>
      <x:c r="J1426" s="12" t="str">
        <x:v>研究生宿舍楼发车</x:v>
      </x:c>
      <x:c r="K1426" s="12" t="str">
        <x:v>HX3_NORMAL</x:v>
      </x:c>
      <x:c r="L1426" s="12" t="n">
        <x:v>3</x:v>
      </x:c>
      <x:c r="M1426" s="12" t="str">
        <x:v>HX3_NORMAL|3</x:v>
      </x:c>
      <x:c r="N1426" s="12" t="str">
        <x:v>2号宿舍楼</x:v>
      </x:c>
      <x:c r="O1426" s="12" t="n">
        <x:f>IFERROR(INDEX('秒级路线参数_可调整'!$O:$O,MATCH(M1426,'秒级路线参数_可调整'!$A:$A,0)),"")</x:f>
        <x:v>120</x:v>
      </x:c>
      <x:c r="P1426" s="12" t="n">
        <x:f>IF(O1426="","",O1426/86400)</x:f>
        <x:v>0.001388888888888889</x:v>
      </x:c>
      <x:c r="Q1426" s="12" t="n">
        <x:f>IF(O1426="","",(H1426*60+O1426)/86400)</x:f>
        <x:v>0.35208333333333336</x:v>
      </x:c>
      <x:c r="R1426" s="12" t="str">
        <x:f>IF(Q1426="","",TEXT(Q1426,"hh:mm:ss"))</x:f>
        <x:v>08:27:00</x:v>
      </x:c>
      <x:c r="S1426" s="12" t="str">
        <x:v>否</x:v>
      </x:c>
      <x:c r="T1426" s="12" t="str">
        <x:v>否</x:v>
      </x:c>
      <x:c r="U1426" s="12" t="str">
        <x:v>刘晓燕</x:v>
      </x:c>
      <x:c r="V1426" s="12" t="str">
        <x:v>4号车</x:v>
      </x:c>
      <x:c r="W1426" s="12" t="str">
        <x:v>秒级预测</x:v>
      </x:c>
      <x:c r="X1426" s="12" t="str">
        <x:v>基于路线秒级参数；如录入实测或手动采用秒，预计到达时间可随公式更新</x:v>
      </x:c>
    </x:row>
    <x:row r="1427">
      <x:c r="A1427" s="12" t="str">
        <x:v>S0123-04</x:v>
      </x:c>
      <x:c r="B1427" s="12" t="str">
        <x:v>S0123</x:v>
      </x:c>
      <x:c r="C1427" s="12" t="str">
        <x:v>工作日</x:v>
      </x:c>
      <x:c r="D1427" s="12" t="str">
        <x:v>环线3路</x:v>
      </x:c>
      <x:c r="E1427" s="12" t="str">
        <x:v>第三班</x:v>
      </x:c>
      <x:c r="F1427" s="12" t="n">
        <x:v>2</x:v>
      </x:c>
      <x:c r="G1427" s="12" t="str">
        <x:v>8:25</x:v>
      </x:c>
      <x:c r="H1427" s="12" t="n">
        <x:v>505</x:v>
      </x:c>
      <x:c r="I1427" s="12" t="str">
        <x:v>研究生宿舍楼</x:v>
      </x:c>
      <x:c r="J1427" s="12" t="str">
        <x:v>研究生宿舍楼发车</x:v>
      </x:c>
      <x:c r="K1427" s="12" t="str">
        <x:v>HX3_NORMAL</x:v>
      </x:c>
      <x:c r="L1427" s="12" t="n">
        <x:v>4</x:v>
      </x:c>
      <x:c r="M1427" s="12" t="str">
        <x:v>HX3_NORMAL|4</x:v>
      </x:c>
      <x:c r="N1427" s="12" t="str">
        <x:v>军体活动中心</x:v>
      </x:c>
      <x:c r="O1427" s="12" t="n">
        <x:f>IFERROR(INDEX('秒级路线参数_可调整'!$O:$O,MATCH(M1427,'秒级路线参数_可调整'!$A:$A,0)),"")</x:f>
        <x:v>165</x:v>
      </x:c>
      <x:c r="P1427" s="12" t="n">
        <x:f>IF(O1427="","",O1427/86400)</x:f>
        <x:v>0.0019097222222222222</x:v>
      </x:c>
      <x:c r="Q1427" s="12" t="n">
        <x:f>IF(O1427="","",(H1427*60+O1427)/86400)</x:f>
        <x:v>0.35260416666666666</x:v>
      </x:c>
      <x:c r="R1427" s="12" t="str">
        <x:f>IF(Q1427="","",TEXT(Q1427,"hh:mm:ss"))</x:f>
        <x:v>08:27:45</x:v>
      </x:c>
      <x:c r="S1427" s="12" t="str">
        <x:v>否</x:v>
      </x:c>
      <x:c r="T1427" s="12" t="str">
        <x:v>否</x:v>
      </x:c>
      <x:c r="U1427" s="12" t="str">
        <x:v>刘晓燕</x:v>
      </x:c>
      <x:c r="V1427" s="12" t="str">
        <x:v>4号车</x:v>
      </x:c>
      <x:c r="W1427" s="12" t="str">
        <x:v>秒级预测</x:v>
      </x:c>
      <x:c r="X1427" s="12" t="str">
        <x:v>基于路线秒级参数；如录入实测或手动采用秒，预计到达时间可随公式更新</x:v>
      </x:c>
    </x:row>
    <x:row r="1428">
      <x:c r="A1428" s="12" t="str">
        <x:v>S0123-05</x:v>
      </x:c>
      <x:c r="B1428" s="12" t="str">
        <x:v>S0123</x:v>
      </x:c>
      <x:c r="C1428" s="12" t="str">
        <x:v>工作日</x:v>
      </x:c>
      <x:c r="D1428" s="12" t="str">
        <x:v>环线3路</x:v>
      </x:c>
      <x:c r="E1428" s="12" t="str">
        <x:v>第三班</x:v>
      </x:c>
      <x:c r="F1428" s="12" t="n">
        <x:v>2</x:v>
      </x:c>
      <x:c r="G1428" s="12" t="str">
        <x:v>8:25</x:v>
      </x:c>
      <x:c r="H1428" s="12" t="n">
        <x:v>505</x:v>
      </x:c>
      <x:c r="I1428" s="12" t="str">
        <x:v>研究生宿舍楼</x:v>
      </x:c>
      <x:c r="J1428" s="12" t="str">
        <x:v>研究生宿舍楼发车</x:v>
      </x:c>
      <x:c r="K1428" s="12" t="str">
        <x:v>HX3_NORMAL</x:v>
      </x:c>
      <x:c r="L1428" s="12" t="n">
        <x:v>5</x:v>
      </x:c>
      <x:c r="M1428" s="12" t="str">
        <x:v>HX3_NORMAL|5</x:v>
      </x:c>
      <x:c r="N1428" s="12" t="str">
        <x:v>教勤连</x:v>
      </x:c>
      <x:c r="O1428" s="12" t="n">
        <x:f>IFERROR(INDEX('秒级路线参数_可调整'!$O:$O,MATCH(M1428,'秒级路线参数_可调整'!$A:$A,0)),"")</x:f>
        <x:v>250</x:v>
      </x:c>
      <x:c r="P1428" s="12" t="n">
        <x:f>IF(O1428="","",O1428/86400)</x:f>
        <x:v>0.0028935185185185184</x:v>
      </x:c>
      <x:c r="Q1428" s="12" t="n">
        <x:f>IF(O1428="","",(H1428*60+O1428)/86400)</x:f>
        <x:v>0.35358796296296297</x:v>
      </x:c>
      <x:c r="R1428" s="12" t="str">
        <x:f>IF(Q1428="","",TEXT(Q1428,"hh:mm:ss"))</x:f>
        <x:v>08:29:10</x:v>
      </x:c>
      <x:c r="S1428" s="12" t="str">
        <x:v>否</x:v>
      </x:c>
      <x:c r="T1428" s="12" t="str">
        <x:v>否</x:v>
      </x:c>
      <x:c r="U1428" s="12" t="str">
        <x:v>刘晓燕</x:v>
      </x:c>
      <x:c r="V1428" s="12" t="str">
        <x:v>4号车</x:v>
      </x:c>
      <x:c r="W1428" s="12" t="str">
        <x:v>秒级预测</x:v>
      </x:c>
      <x:c r="X1428" s="12" t="str">
        <x:v>基于路线秒级参数；如录入实测或手动采用秒，预计到达时间可随公式更新</x:v>
      </x:c>
    </x:row>
    <x:row r="1429">
      <x:c r="A1429" s="12" t="str">
        <x:v>S0123-06</x:v>
      </x:c>
      <x:c r="B1429" s="12" t="str">
        <x:v>S0123</x:v>
      </x:c>
      <x:c r="C1429" s="12" t="str">
        <x:v>工作日</x:v>
      </x:c>
      <x:c r="D1429" s="12" t="str">
        <x:v>环线3路</x:v>
      </x:c>
      <x:c r="E1429" s="12" t="str">
        <x:v>第三班</x:v>
      </x:c>
      <x:c r="F1429" s="12" t="n">
        <x:v>2</x:v>
      </x:c>
      <x:c r="G1429" s="12" t="str">
        <x:v>8:25</x:v>
      </x:c>
      <x:c r="H1429" s="12" t="n">
        <x:v>505</x:v>
      </x:c>
      <x:c r="I1429" s="12" t="str">
        <x:v>研究生宿舍楼</x:v>
      </x:c>
      <x:c r="J1429" s="12" t="str">
        <x:v>研究生宿舍楼发车</x:v>
      </x:c>
      <x:c r="K1429" s="12" t="str">
        <x:v>HX3_NORMAL</x:v>
      </x:c>
      <x:c r="L1429" s="12" t="n">
        <x:v>6</x:v>
      </x:c>
      <x:c r="M1429" s="12" t="str">
        <x:v>HX3_NORMAL|6</x:v>
      </x:c>
      <x:c r="N1429" s="12" t="str">
        <x:v>激光所</x:v>
      </x:c>
      <x:c r="O1429" s="12" t="n">
        <x:f>IFERROR(INDEX('秒级路线参数_可调整'!$O:$O,MATCH(M1429,'秒级路线参数_可调整'!$A:$A,0)),"")</x:f>
        <x:v>315</x:v>
      </x:c>
      <x:c r="P1429" s="12" t="n">
        <x:f>IF(O1429="","",O1429/86400)</x:f>
        <x:v>0.0036458333333333334</x:v>
      </x:c>
      <x:c r="Q1429" s="12" t="n">
        <x:f>IF(O1429="","",(H1429*60+O1429)/86400)</x:f>
        <x:v>0.35434027777777777</x:v>
      </x:c>
      <x:c r="R1429" s="12" t="str">
        <x:f>IF(Q1429="","",TEXT(Q1429,"hh:mm:ss"))</x:f>
        <x:v>08:30:15</x:v>
      </x:c>
      <x:c r="S1429" s="12" t="str">
        <x:v>否</x:v>
      </x:c>
      <x:c r="T1429" s="12" t="str">
        <x:v>否</x:v>
      </x:c>
      <x:c r="U1429" s="12" t="str">
        <x:v>刘晓燕</x:v>
      </x:c>
      <x:c r="V1429" s="12" t="str">
        <x:v>4号车</x:v>
      </x:c>
      <x:c r="W1429" s="12" t="str">
        <x:v>秒级预测</x:v>
      </x:c>
      <x:c r="X1429" s="12" t="str">
        <x:v>基于路线秒级参数；如录入实测或手动采用秒，预计到达时间可随公式更新</x:v>
      </x:c>
    </x:row>
    <x:row r="1430">
      <x:c r="A1430" s="12" t="str">
        <x:v>S0123-07</x:v>
      </x:c>
      <x:c r="B1430" s="12" t="str">
        <x:v>S0123</x:v>
      </x:c>
      <x:c r="C1430" s="12" t="str">
        <x:v>工作日</x:v>
      </x:c>
      <x:c r="D1430" s="12" t="str">
        <x:v>环线3路</x:v>
      </x:c>
      <x:c r="E1430" s="12" t="str">
        <x:v>第三班</x:v>
      </x:c>
      <x:c r="F1430" s="12" t="n">
        <x:v>2</x:v>
      </x:c>
      <x:c r="G1430" s="12" t="str">
        <x:v>8:25</x:v>
      </x:c>
      <x:c r="H1430" s="12" t="n">
        <x:v>505</x:v>
      </x:c>
      <x:c r="I1430" s="12" t="str">
        <x:v>研究生宿舍楼</x:v>
      </x:c>
      <x:c r="J1430" s="12" t="str">
        <x:v>研究生宿舍楼发车</x:v>
      </x:c>
      <x:c r="K1430" s="12" t="str">
        <x:v>HX3_NORMAL</x:v>
      </x:c>
      <x:c r="L1430" s="12" t="n">
        <x:v>7</x:v>
      </x:c>
      <x:c r="M1430" s="12" t="str">
        <x:v>HX3_NORMAL|7</x:v>
      </x:c>
      <x:c r="N1430" s="12" t="str">
        <x:v>高超楼</x:v>
      </x:c>
      <x:c r="O1430" s="12" t="n">
        <x:f>IFERROR(INDEX('秒级路线参数_可调整'!$O:$O,MATCH(M1430,'秒级路线参数_可调整'!$A:$A,0)),"")</x:f>
        <x:v>420</x:v>
      </x:c>
      <x:c r="P1430" s="12" t="n">
        <x:f>IF(O1430="","",O1430/86400)</x:f>
        <x:v>0.004861111111111111</x:v>
      </x:c>
      <x:c r="Q1430" s="12" t="n">
        <x:f>IF(O1430="","",(H1430*60+O1430)/86400)</x:f>
        <x:v>0.35555555555555557</x:v>
      </x:c>
      <x:c r="R1430" s="12" t="str">
        <x:f>IF(Q1430="","",TEXT(Q1430,"hh:mm:ss"))</x:f>
        <x:v>08:32:00</x:v>
      </x:c>
      <x:c r="S1430" s="12" t="str">
        <x:v>否</x:v>
      </x:c>
      <x:c r="T1430" s="12" t="str">
        <x:v>否</x:v>
      </x:c>
      <x:c r="U1430" s="12" t="str">
        <x:v>刘晓燕</x:v>
      </x:c>
      <x:c r="V1430" s="12" t="str">
        <x:v>4号车</x:v>
      </x:c>
      <x:c r="W1430" s="12" t="str">
        <x:v>秒级预测</x:v>
      </x:c>
      <x:c r="X1430" s="12" t="str">
        <x:v>基于路线秒级参数；如录入实测或手动采用秒，预计到达时间可随公式更新</x:v>
      </x:c>
    </x:row>
    <x:row r="1431">
      <x:c r="A1431" s="12" t="str">
        <x:v>S0123-08</x:v>
      </x:c>
      <x:c r="B1431" s="12" t="str">
        <x:v>S0123</x:v>
      </x:c>
      <x:c r="C1431" s="12" t="str">
        <x:v>工作日</x:v>
      </x:c>
      <x:c r="D1431" s="12" t="str">
        <x:v>环线3路</x:v>
      </x:c>
      <x:c r="E1431" s="12" t="str">
        <x:v>第三班</x:v>
      </x:c>
      <x:c r="F1431" s="12" t="n">
        <x:v>2</x:v>
      </x:c>
      <x:c r="G1431" s="12" t="str">
        <x:v>8:25</x:v>
      </x:c>
      <x:c r="H1431" s="12" t="n">
        <x:v>505</x:v>
      </x:c>
      <x:c r="I1431" s="12" t="str">
        <x:v>研究生宿舍楼</x:v>
      </x:c>
      <x:c r="J1431" s="12" t="str">
        <x:v>研究生宿舍楼发车</x:v>
      </x:c>
      <x:c r="K1431" s="12" t="str">
        <x:v>HX3_NORMAL</x:v>
      </x:c>
      <x:c r="L1431" s="12" t="n">
        <x:v>8</x:v>
      </x:c>
      <x:c r="M1431" s="12" t="str">
        <x:v>HX3_NORMAL|8</x:v>
      </x:c>
      <x:c r="N1431" s="12" t="str">
        <x:v>理学院</x:v>
      </x:c>
      <x:c r="O1431" s="12" t="n">
        <x:f>IFERROR(INDEX('秒级路线参数_可调整'!$O:$O,MATCH(M1431,'秒级路线参数_可调整'!$A:$A,0)),"")</x:f>
        <x:v>480</x:v>
      </x:c>
      <x:c r="P1431" s="12" t="n">
        <x:f>IF(O1431="","",O1431/86400)</x:f>
        <x:v>0.005555555555555556</x:v>
      </x:c>
      <x:c r="Q1431" s="12" t="n">
        <x:f>IF(O1431="","",(H1431*60+O1431)/86400)</x:f>
        <x:v>0.35625</x:v>
      </x:c>
      <x:c r="R1431" s="12" t="str">
        <x:f>IF(Q1431="","",TEXT(Q1431,"hh:mm:ss"))</x:f>
        <x:v>08:33:00</x:v>
      </x:c>
      <x:c r="S1431" s="12" t="str">
        <x:v>否</x:v>
      </x:c>
      <x:c r="T1431" s="12" t="str">
        <x:v>否</x:v>
      </x:c>
      <x:c r="U1431" s="12" t="str">
        <x:v>刘晓燕</x:v>
      </x:c>
      <x:c r="V1431" s="12" t="str">
        <x:v>4号车</x:v>
      </x:c>
      <x:c r="W1431" s="12" t="str">
        <x:v>秒级预测</x:v>
      </x:c>
      <x:c r="X1431" s="12" t="str">
        <x:v>基于路线秒级参数；如录入实测或手动采用秒，预计到达时间可随公式更新</x:v>
      </x:c>
    </x:row>
    <x:row r="1432">
      <x:c r="A1432" s="12" t="str">
        <x:v>S0123-09</x:v>
      </x:c>
      <x:c r="B1432" s="12" t="str">
        <x:v>S0123</x:v>
      </x:c>
      <x:c r="C1432" s="12" t="str">
        <x:v>工作日</x:v>
      </x:c>
      <x:c r="D1432" s="12" t="str">
        <x:v>环线3路</x:v>
      </x:c>
      <x:c r="E1432" s="12" t="str">
        <x:v>第三班</x:v>
      </x:c>
      <x:c r="F1432" s="12" t="n">
        <x:v>2</x:v>
      </x:c>
      <x:c r="G1432" s="12" t="str">
        <x:v>8:25</x:v>
      </x:c>
      <x:c r="H1432" s="12" t="n">
        <x:v>505</x:v>
      </x:c>
      <x:c r="I1432" s="12" t="str">
        <x:v>研究生宿舍楼</x:v>
      </x:c>
      <x:c r="J1432" s="12" t="str">
        <x:v>研究生宿舍楼发车</x:v>
      </x:c>
      <x:c r="K1432" s="12" t="str">
        <x:v>HX3_NORMAL</x:v>
      </x:c>
      <x:c r="L1432" s="12" t="n">
        <x:v>9</x:v>
      </x:c>
      <x:c r="M1432" s="12" t="str">
        <x:v>HX3_NORMAL|9</x:v>
      </x:c>
      <x:c r="N1432" s="12" t="str">
        <x:v>二食堂</x:v>
      </x:c>
      <x:c r="O1432" s="12" t="n">
        <x:f>IFERROR(INDEX('秒级路线参数_可调整'!$O:$O,MATCH(M1432,'秒级路线参数_可调整'!$A:$A,0)),"")</x:f>
        <x:v>535</x:v>
      </x:c>
      <x:c r="P1432" s="12" t="n">
        <x:f>IF(O1432="","",O1432/86400)</x:f>
        <x:v>0.00619212962962963</x:v>
      </x:c>
      <x:c r="Q1432" s="12" t="n">
        <x:f>IF(O1432="","",(H1432*60+O1432)/86400)</x:f>
        <x:v>0.3568865740740741</x:v>
      </x:c>
      <x:c r="R1432" s="12" t="str">
        <x:f>IF(Q1432="","",TEXT(Q1432,"hh:mm:ss"))</x:f>
        <x:v>08:33:55</x:v>
      </x:c>
      <x:c r="S1432" s="12" t="str">
        <x:v>否</x:v>
      </x:c>
      <x:c r="T1432" s="12" t="str">
        <x:v>否</x:v>
      </x:c>
      <x:c r="U1432" s="12" t="str">
        <x:v>刘晓燕</x:v>
      </x:c>
      <x:c r="V1432" s="12" t="str">
        <x:v>4号车</x:v>
      </x:c>
      <x:c r="W1432" s="12" t="str">
        <x:v>秒级预测</x:v>
      </x:c>
      <x:c r="X1432" s="12" t="str">
        <x:v>基于路线秒级参数；如录入实测或手动采用秒，预计到达时间可随公式更新</x:v>
      </x:c>
    </x:row>
    <x:row r="1433">
      <x:c r="A1433" s="12" t="str">
        <x:v>S0123-10</x:v>
      </x:c>
      <x:c r="B1433" s="12" t="str">
        <x:v>S0123</x:v>
      </x:c>
      <x:c r="C1433" s="12" t="str">
        <x:v>工作日</x:v>
      </x:c>
      <x:c r="D1433" s="12" t="str">
        <x:v>环线3路</x:v>
      </x:c>
      <x:c r="E1433" s="12" t="str">
        <x:v>第三班</x:v>
      </x:c>
      <x:c r="F1433" s="12" t="n">
        <x:v>2</x:v>
      </x:c>
      <x:c r="G1433" s="12" t="str">
        <x:v>8:25</x:v>
      </x:c>
      <x:c r="H1433" s="12" t="n">
        <x:v>505</x:v>
      </x:c>
      <x:c r="I1433" s="12" t="str">
        <x:v>研究生宿舍楼</x:v>
      </x:c>
      <x:c r="J1433" s="12" t="str">
        <x:v>研究生宿舍楼发车</x:v>
      </x:c>
      <x:c r="K1433" s="12" t="str">
        <x:v>HX3_NORMAL</x:v>
      </x:c>
      <x:c r="L1433" s="12" t="n">
        <x:v>10</x:v>
      </x:c>
      <x:c r="M1433" s="12" t="str">
        <x:v>HX3_NORMAL|10</x:v>
      </x:c>
      <x:c r="N1433" s="12" t="str">
        <x:v>图书馆</x:v>
      </x:c>
      <x:c r="O1433" s="12" t="n">
        <x:f>IFERROR(INDEX('秒级路线参数_可调整'!$O:$O,MATCH(M1433,'秒级路线参数_可调整'!$A:$A,0)),"")</x:f>
        <x:v>715</x:v>
      </x:c>
      <x:c r="P1433" s="12" t="n">
        <x:f>IF(O1433="","",O1433/86400)</x:f>
        <x:v>0.008275462962962964</x:v>
      </x:c>
      <x:c r="Q1433" s="12" t="n">
        <x:f>IF(O1433="","",(H1433*60+O1433)/86400)</x:f>
        <x:v>0.3589699074074074</x:v>
      </x:c>
      <x:c r="R1433" s="12" t="str">
        <x:f>IF(Q1433="","",TEXT(Q1433,"hh:mm:ss"))</x:f>
        <x:v>08:36:55</x:v>
      </x:c>
      <x:c r="S1433" s="12" t="str">
        <x:v>否</x:v>
      </x:c>
      <x:c r="T1433" s="12" t="str">
        <x:v>否</x:v>
      </x:c>
      <x:c r="U1433" s="12" t="str">
        <x:v>刘晓燕</x:v>
      </x:c>
      <x:c r="V1433" s="12" t="str">
        <x:v>4号车</x:v>
      </x:c>
      <x:c r="W1433" s="12" t="str">
        <x:v>秒级预测</x:v>
      </x:c>
      <x:c r="X1433" s="12" t="str">
        <x:v>基于路线秒级参数；如录入实测或手动采用秒，预计到达时间可随公式更新</x:v>
      </x:c>
    </x:row>
    <x:row r="1434">
      <x:c r="A1434" s="12" t="str">
        <x:v>S0123-11</x:v>
      </x:c>
      <x:c r="B1434" s="12" t="str">
        <x:v>S0123</x:v>
      </x:c>
      <x:c r="C1434" s="12" t="str">
        <x:v>工作日</x:v>
      </x:c>
      <x:c r="D1434" s="12" t="str">
        <x:v>环线3路</x:v>
      </x:c>
      <x:c r="E1434" s="12" t="str">
        <x:v>第三班</x:v>
      </x:c>
      <x:c r="F1434" s="12" t="n">
        <x:v>2</x:v>
      </x:c>
      <x:c r="G1434" s="12" t="str">
        <x:v>8:25</x:v>
      </x:c>
      <x:c r="H1434" s="12" t="n">
        <x:v>505</x:v>
      </x:c>
      <x:c r="I1434" s="12" t="str">
        <x:v>研究生宿舍楼</x:v>
      </x:c>
      <x:c r="J1434" s="12" t="str">
        <x:v>研究生宿舍楼发车</x:v>
      </x:c>
      <x:c r="K1434" s="12" t="str">
        <x:v>HX3_NORMAL</x:v>
      </x:c>
      <x:c r="L1434" s="12" t="n">
        <x:v>11</x:v>
      </x:c>
      <x:c r="M1434" s="12" t="str">
        <x:v>HX3_NORMAL|11</x:v>
      </x:c>
      <x:c r="N1434" s="12" t="str">
        <x:v>305教学楼</x:v>
      </x:c>
      <x:c r="O1434" s="12" t="n">
        <x:f>IFERROR(INDEX('秒级路线参数_可调整'!$O:$O,MATCH(M1434,'秒级路线参数_可调整'!$A:$A,0)),"")</x:f>
        <x:v>775</x:v>
      </x:c>
      <x:c r="P1434" s="12" t="n">
        <x:f>IF(O1434="","",O1434/86400)</x:f>
        <x:v>0.008969907407407407</x:v>
      </x:c>
      <x:c r="Q1434" s="12" t="n">
        <x:f>IF(O1434="","",(H1434*60+O1434)/86400)</x:f>
        <x:v>0.35966435185185186</x:v>
      </x:c>
      <x:c r="R1434" s="12" t="str">
        <x:f>IF(Q1434="","",TEXT(Q1434,"hh:mm:ss"))</x:f>
        <x:v>08:37:55</x:v>
      </x:c>
      <x:c r="S1434" s="12" t="str">
        <x:v>否</x:v>
      </x:c>
      <x:c r="T1434" s="12" t="str">
        <x:v>否</x:v>
      </x:c>
      <x:c r="U1434" s="12" t="str">
        <x:v>刘晓燕</x:v>
      </x:c>
      <x:c r="V1434" s="12" t="str">
        <x:v>4号车</x:v>
      </x:c>
      <x:c r="W1434" s="12" t="str">
        <x:v>秒级预测</x:v>
      </x:c>
      <x:c r="X1434" s="12" t="str">
        <x:v>基于路线秒级参数；如录入实测或手动采用秒，预计到达时间可随公式更新</x:v>
      </x:c>
    </x:row>
    <x:row r="1435">
      <x:c r="A1435" s="12" t="str">
        <x:v>S0123-12</x:v>
      </x:c>
      <x:c r="B1435" s="12" t="str">
        <x:v>S0123</x:v>
      </x:c>
      <x:c r="C1435" s="12" t="str">
        <x:v>工作日</x:v>
      </x:c>
      <x:c r="D1435" s="12" t="str">
        <x:v>环线3路</x:v>
      </x:c>
      <x:c r="E1435" s="12" t="str">
        <x:v>第三班</x:v>
      </x:c>
      <x:c r="F1435" s="12" t="n">
        <x:v>2</x:v>
      </x:c>
      <x:c r="G1435" s="12" t="str">
        <x:v>8:25</x:v>
      </x:c>
      <x:c r="H1435" s="12" t="n">
        <x:v>505</x:v>
      </x:c>
      <x:c r="I1435" s="12" t="str">
        <x:v>研究生宿舍楼</x:v>
      </x:c>
      <x:c r="J1435" s="12" t="str">
        <x:v>研究生宿舍楼发车</x:v>
      </x:c>
      <x:c r="K1435" s="12" t="str">
        <x:v>HX3_NORMAL</x:v>
      </x:c>
      <x:c r="L1435" s="12" t="n">
        <x:v>12</x:v>
      </x:c>
      <x:c r="M1435" s="12" t="str">
        <x:v>HX3_NORMAL|12</x:v>
      </x:c>
      <x:c r="N1435" s="12" t="str">
        <x:v>研究生宿舍楼</x:v>
      </x:c>
      <x:c r="O1435" s="12" t="n">
        <x:f>IFERROR(INDEX('秒级路线参数_可调整'!$O:$O,MATCH(M1435,'秒级路线参数_可调整'!$A:$A,0)),"")</x:f>
        <x:v>840</x:v>
      </x:c>
      <x:c r="P1435" s="12" t="n">
        <x:f>IF(O1435="","",O1435/86400)</x:f>
        <x:v>0.009722222222222222</x:v>
      </x:c>
      <x:c r="Q1435" s="12" t="n">
        <x:f>IF(O1435="","",(H1435*60+O1435)/86400)</x:f>
        <x:v>0.36041666666666666</x:v>
      </x:c>
      <x:c r="R1435" s="12" t="str">
        <x:f>IF(Q1435="","",TEXT(Q1435,"hh:mm:ss"))</x:f>
        <x:v>08:39:00</x:v>
      </x:c>
      <x:c r="S1435" s="12" t="str">
        <x:v>否</x:v>
      </x:c>
      <x:c r="T1435" s="12" t="str">
        <x:v>是</x:v>
      </x:c>
      <x:c r="U1435" s="12" t="str">
        <x:v>刘晓燕</x:v>
      </x:c>
      <x:c r="V1435" s="12" t="str">
        <x:v>4号车</x:v>
      </x:c>
      <x:c r="W1435" s="12" t="str">
        <x:v>秒级预测</x:v>
      </x:c>
      <x:c r="X1435" s="12" t="str">
        <x:v>基于路线秒级参数；如录入实测或手动采用秒，预计到达时间可随公式更新</x:v>
      </x:c>
    </x:row>
    <x:row r="1436">
      <x:c r="A1436" s="12" t="str">
        <x:v>S0124-01</x:v>
      </x:c>
      <x:c r="B1436" s="12" t="str">
        <x:v>S0124</x:v>
      </x:c>
      <x:c r="C1436" s="12" t="str">
        <x:v>工作日</x:v>
      </x:c>
      <x:c r="D1436" s="12" t="str">
        <x:v>环线3路</x:v>
      </x:c>
      <x:c r="E1436" s="12" t="str">
        <x:v>第三班</x:v>
      </x:c>
      <x:c r="F1436" s="12" t="n">
        <x:v>3</x:v>
      </x:c>
      <x:c r="G1436" s="12" t="str">
        <x:v>8:55</x:v>
      </x:c>
      <x:c r="H1436" s="12" t="n">
        <x:v>535</x:v>
      </x:c>
      <x:c r="I1436" s="12" t="str">
        <x:v>研究生宿舍楼</x:v>
      </x:c>
      <x:c r="J1436" s="12" t="str">
        <x:v>研究生宿舍楼发车</x:v>
      </x:c>
      <x:c r="K1436" s="12" t="str">
        <x:v>HX3_NORMAL</x:v>
      </x:c>
      <x:c r="L1436" s="12" t="n">
        <x:v>1</x:v>
      </x:c>
      <x:c r="M1436" s="12" t="str">
        <x:v>HX3_NORMAL|1</x:v>
      </x:c>
      <x:c r="N1436" s="12" t="str">
        <x:v>研究生宿舍楼</x:v>
      </x:c>
      <x:c r="O1436" s="12" t="n">
        <x:f>IFERROR(INDEX('秒级路线参数_可调整'!$O:$O,MATCH(M1436,'秒级路线参数_可调整'!$A:$A,0)),"")</x:f>
        <x:v>0</x:v>
      </x:c>
      <x:c r="P1436" s="12" t="str">
        <x:f>IF(O1436="","",O1436/86400)</x:f>
      </x:c>
      <x:c r="Q1436" s="12" t="str">
        <x:f>IF(O1436="","",(H1436*60+O1436)/86400)</x:f>
      </x:c>
      <x:c r="R1436" s="12" t="str">
        <x:f>IF(Q1436="","",TEXT(Q1436,"hh:mm:ss"))</x:f>
      </x:c>
      <x:c r="S1436" s="12" t="str">
        <x:v>是</x:v>
      </x:c>
      <x:c r="T1436" s="12" t="str">
        <x:v>否</x:v>
      </x:c>
      <x:c r="U1436" s="12" t="str">
        <x:v>刘晓燕</x:v>
      </x:c>
      <x:c r="V1436" s="12" t="str">
        <x:v>4号车</x:v>
      </x:c>
      <x:c r="W1436" s="12" t="str">
        <x:v>秒级预测</x:v>
      </x:c>
      <x:c r="X1436" s="12" t="str">
        <x:v>基于路线秒级参数；如录入实测或手动采用秒，预计到达时间可随公式更新</x:v>
      </x:c>
    </x:row>
    <x:row r="1437">
      <x:c r="A1437" s="12" t="str">
        <x:v>S0124-02</x:v>
      </x:c>
      <x:c r="B1437" s="12" t="str">
        <x:v>S0124</x:v>
      </x:c>
      <x:c r="C1437" s="12" t="str">
        <x:v>工作日</x:v>
      </x:c>
      <x:c r="D1437" s="12" t="str">
        <x:v>环线3路</x:v>
      </x:c>
      <x:c r="E1437" s="12" t="str">
        <x:v>第三班</x:v>
      </x:c>
      <x:c r="F1437" s="12" t="n">
        <x:v>3</x:v>
      </x:c>
      <x:c r="G1437" s="12" t="str">
        <x:v>8:55</x:v>
      </x:c>
      <x:c r="H1437" s="12" t="n">
        <x:v>535</x:v>
      </x:c>
      <x:c r="I1437" s="12" t="str">
        <x:v>研究生宿舍楼</x:v>
      </x:c>
      <x:c r="J1437" s="12" t="str">
        <x:v>研究生宿舍楼发车</x:v>
      </x:c>
      <x:c r="K1437" s="12" t="str">
        <x:v>HX3_NORMAL</x:v>
      </x:c>
      <x:c r="L1437" s="12" t="n">
        <x:v>2</x:v>
      </x:c>
      <x:c r="M1437" s="12" t="str">
        <x:v>HX3_NORMAL|2</x:v>
      </x:c>
      <x:c r="N1437" s="12" t="str">
        <x:v>一食堂</x:v>
      </x:c>
      <x:c r="O1437" s="12" t="n">
        <x:f>IFERROR(INDEX('秒级路线参数_可调整'!$O:$O,MATCH(M1437,'秒级路线参数_可调整'!$A:$A,0)),"")</x:f>
        <x:v>65</x:v>
      </x:c>
      <x:c r="P1437" s="12" t="n">
        <x:f>IF(O1437="","",O1437/86400)</x:f>
        <x:v>0.0007523148148148148</x:v>
      </x:c>
      <x:c r="Q1437" s="12" t="n">
        <x:f>IF(O1437="","",(H1437*60+O1437)/86400)</x:f>
        <x:v>0.3722800925925926</x:v>
      </x:c>
      <x:c r="R1437" s="12" t="str">
        <x:f>IF(Q1437="","",TEXT(Q1437,"hh:mm:ss"))</x:f>
        <x:v>08:56:05</x:v>
      </x:c>
      <x:c r="S1437" s="12" t="str">
        <x:v>否</x:v>
      </x:c>
      <x:c r="T1437" s="12" t="str">
        <x:v>否</x:v>
      </x:c>
      <x:c r="U1437" s="12" t="str">
        <x:v>刘晓燕</x:v>
      </x:c>
      <x:c r="V1437" s="12" t="str">
        <x:v>4号车</x:v>
      </x:c>
      <x:c r="W1437" s="12" t="str">
        <x:v>秒级预测</x:v>
      </x:c>
      <x:c r="X1437" s="12" t="str">
        <x:v>基于路线秒级参数；如录入实测或手动采用秒，预计到达时间可随公式更新</x:v>
      </x:c>
    </x:row>
    <x:row r="1438">
      <x:c r="A1438" s="12" t="str">
        <x:v>S0124-03</x:v>
      </x:c>
      <x:c r="B1438" s="12" t="str">
        <x:v>S0124</x:v>
      </x:c>
      <x:c r="C1438" s="12" t="str">
        <x:v>工作日</x:v>
      </x:c>
      <x:c r="D1438" s="12" t="str">
        <x:v>环线3路</x:v>
      </x:c>
      <x:c r="E1438" s="12" t="str">
        <x:v>第三班</x:v>
      </x:c>
      <x:c r="F1438" s="12" t="n">
        <x:v>3</x:v>
      </x:c>
      <x:c r="G1438" s="12" t="str">
        <x:v>8:55</x:v>
      </x:c>
      <x:c r="H1438" s="12" t="n">
        <x:v>535</x:v>
      </x:c>
      <x:c r="I1438" s="12" t="str">
        <x:v>研究生宿舍楼</x:v>
      </x:c>
      <x:c r="J1438" s="12" t="str">
        <x:v>研究生宿舍楼发车</x:v>
      </x:c>
      <x:c r="K1438" s="12" t="str">
        <x:v>HX3_NORMAL</x:v>
      </x:c>
      <x:c r="L1438" s="12" t="n">
        <x:v>3</x:v>
      </x:c>
      <x:c r="M1438" s="12" t="str">
        <x:v>HX3_NORMAL|3</x:v>
      </x:c>
      <x:c r="N1438" s="12" t="str">
        <x:v>2号宿舍楼</x:v>
      </x:c>
      <x:c r="O1438" s="12" t="n">
        <x:f>IFERROR(INDEX('秒级路线参数_可调整'!$O:$O,MATCH(M1438,'秒级路线参数_可调整'!$A:$A,0)),"")</x:f>
        <x:v>120</x:v>
      </x:c>
      <x:c r="P1438" s="12" t="n">
        <x:f>IF(O1438="","",O1438/86400)</x:f>
        <x:v>0.001388888888888889</x:v>
      </x:c>
      <x:c r="Q1438" s="12" t="n">
        <x:f>IF(O1438="","",(H1438*60+O1438)/86400)</x:f>
        <x:v>0.3729166666666667</x:v>
      </x:c>
      <x:c r="R1438" s="12" t="str">
        <x:f>IF(Q1438="","",TEXT(Q1438,"hh:mm:ss"))</x:f>
        <x:v>08:57:00</x:v>
      </x:c>
      <x:c r="S1438" s="12" t="str">
        <x:v>否</x:v>
      </x:c>
      <x:c r="T1438" s="12" t="str">
        <x:v>否</x:v>
      </x:c>
      <x:c r="U1438" s="12" t="str">
        <x:v>刘晓燕</x:v>
      </x:c>
      <x:c r="V1438" s="12" t="str">
        <x:v>4号车</x:v>
      </x:c>
      <x:c r="W1438" s="12" t="str">
        <x:v>秒级预测</x:v>
      </x:c>
      <x:c r="X1438" s="12" t="str">
        <x:v>基于路线秒级参数；如录入实测或手动采用秒，预计到达时间可随公式更新</x:v>
      </x:c>
    </x:row>
    <x:row r="1439">
      <x:c r="A1439" s="12" t="str">
        <x:v>S0124-04</x:v>
      </x:c>
      <x:c r="B1439" s="12" t="str">
        <x:v>S0124</x:v>
      </x:c>
      <x:c r="C1439" s="12" t="str">
        <x:v>工作日</x:v>
      </x:c>
      <x:c r="D1439" s="12" t="str">
        <x:v>环线3路</x:v>
      </x:c>
      <x:c r="E1439" s="12" t="str">
        <x:v>第三班</x:v>
      </x:c>
      <x:c r="F1439" s="12" t="n">
        <x:v>3</x:v>
      </x:c>
      <x:c r="G1439" s="12" t="str">
        <x:v>8:55</x:v>
      </x:c>
      <x:c r="H1439" s="12" t="n">
        <x:v>535</x:v>
      </x:c>
      <x:c r="I1439" s="12" t="str">
        <x:v>研究生宿舍楼</x:v>
      </x:c>
      <x:c r="J1439" s="12" t="str">
        <x:v>研究生宿舍楼发车</x:v>
      </x:c>
      <x:c r="K1439" s="12" t="str">
        <x:v>HX3_NORMAL</x:v>
      </x:c>
      <x:c r="L1439" s="12" t="n">
        <x:v>4</x:v>
      </x:c>
      <x:c r="M1439" s="12" t="str">
        <x:v>HX3_NORMAL|4</x:v>
      </x:c>
      <x:c r="N1439" s="12" t="str">
        <x:v>军体活动中心</x:v>
      </x:c>
      <x:c r="O1439" s="12" t="n">
        <x:f>IFERROR(INDEX('秒级路线参数_可调整'!$O:$O,MATCH(M1439,'秒级路线参数_可调整'!$A:$A,0)),"")</x:f>
        <x:v>165</x:v>
      </x:c>
      <x:c r="P1439" s="12" t="n">
        <x:f>IF(O1439="","",O1439/86400)</x:f>
        <x:v>0.0019097222222222222</x:v>
      </x:c>
      <x:c r="Q1439" s="12" t="n">
        <x:f>IF(O1439="","",(H1439*60+O1439)/86400)</x:f>
        <x:v>0.3734375</x:v>
      </x:c>
      <x:c r="R1439" s="12" t="str">
        <x:f>IF(Q1439="","",TEXT(Q1439,"hh:mm:ss"))</x:f>
        <x:v>08:57:45</x:v>
      </x:c>
      <x:c r="S1439" s="12" t="str">
        <x:v>否</x:v>
      </x:c>
      <x:c r="T1439" s="12" t="str">
        <x:v>否</x:v>
      </x:c>
      <x:c r="U1439" s="12" t="str">
        <x:v>刘晓燕</x:v>
      </x:c>
      <x:c r="V1439" s="12" t="str">
        <x:v>4号车</x:v>
      </x:c>
      <x:c r="W1439" s="12" t="str">
        <x:v>秒级预测</x:v>
      </x:c>
      <x:c r="X1439" s="12" t="str">
        <x:v>基于路线秒级参数；如录入实测或手动采用秒，预计到达时间可随公式更新</x:v>
      </x:c>
    </x:row>
    <x:row r="1440">
      <x:c r="A1440" s="12" t="str">
        <x:v>S0124-05</x:v>
      </x:c>
      <x:c r="B1440" s="12" t="str">
        <x:v>S0124</x:v>
      </x:c>
      <x:c r="C1440" s="12" t="str">
        <x:v>工作日</x:v>
      </x:c>
      <x:c r="D1440" s="12" t="str">
        <x:v>环线3路</x:v>
      </x:c>
      <x:c r="E1440" s="12" t="str">
        <x:v>第三班</x:v>
      </x:c>
      <x:c r="F1440" s="12" t="n">
        <x:v>3</x:v>
      </x:c>
      <x:c r="G1440" s="12" t="str">
        <x:v>8:55</x:v>
      </x:c>
      <x:c r="H1440" s="12" t="n">
        <x:v>535</x:v>
      </x:c>
      <x:c r="I1440" s="12" t="str">
        <x:v>研究生宿舍楼</x:v>
      </x:c>
      <x:c r="J1440" s="12" t="str">
        <x:v>研究生宿舍楼发车</x:v>
      </x:c>
      <x:c r="K1440" s="12" t="str">
        <x:v>HX3_NORMAL</x:v>
      </x:c>
      <x:c r="L1440" s="12" t="n">
        <x:v>5</x:v>
      </x:c>
      <x:c r="M1440" s="12" t="str">
        <x:v>HX3_NORMAL|5</x:v>
      </x:c>
      <x:c r="N1440" s="12" t="str">
        <x:v>教勤连</x:v>
      </x:c>
      <x:c r="O1440" s="12" t="n">
        <x:f>IFERROR(INDEX('秒级路线参数_可调整'!$O:$O,MATCH(M1440,'秒级路线参数_可调整'!$A:$A,0)),"")</x:f>
        <x:v>250</x:v>
      </x:c>
      <x:c r="P1440" s="12" t="n">
        <x:f>IF(O1440="","",O1440/86400)</x:f>
        <x:v>0.0028935185185185184</x:v>
      </x:c>
      <x:c r="Q1440" s="12" t="n">
        <x:f>IF(O1440="","",(H1440*60+O1440)/86400)</x:f>
        <x:v>0.3744212962962963</x:v>
      </x:c>
      <x:c r="R1440" s="12" t="str">
        <x:f>IF(Q1440="","",TEXT(Q1440,"hh:mm:ss"))</x:f>
        <x:v>08:59:10</x:v>
      </x:c>
      <x:c r="S1440" s="12" t="str">
        <x:v>否</x:v>
      </x:c>
      <x:c r="T1440" s="12" t="str">
        <x:v>否</x:v>
      </x:c>
      <x:c r="U1440" s="12" t="str">
        <x:v>刘晓燕</x:v>
      </x:c>
      <x:c r="V1440" s="12" t="str">
        <x:v>4号车</x:v>
      </x:c>
      <x:c r="W1440" s="12" t="str">
        <x:v>秒级预测</x:v>
      </x:c>
      <x:c r="X1440" s="12" t="str">
        <x:v>基于路线秒级参数；如录入实测或手动采用秒，预计到达时间可随公式更新</x:v>
      </x:c>
    </x:row>
    <x:row r="1441">
      <x:c r="A1441" s="12" t="str">
        <x:v>S0124-06</x:v>
      </x:c>
      <x:c r="B1441" s="12" t="str">
        <x:v>S0124</x:v>
      </x:c>
      <x:c r="C1441" s="12" t="str">
        <x:v>工作日</x:v>
      </x:c>
      <x:c r="D1441" s="12" t="str">
        <x:v>环线3路</x:v>
      </x:c>
      <x:c r="E1441" s="12" t="str">
        <x:v>第三班</x:v>
      </x:c>
      <x:c r="F1441" s="12" t="n">
        <x:v>3</x:v>
      </x:c>
      <x:c r="G1441" s="12" t="str">
        <x:v>8:55</x:v>
      </x:c>
      <x:c r="H1441" s="12" t="n">
        <x:v>535</x:v>
      </x:c>
      <x:c r="I1441" s="12" t="str">
        <x:v>研究生宿舍楼</x:v>
      </x:c>
      <x:c r="J1441" s="12" t="str">
        <x:v>研究生宿舍楼发车</x:v>
      </x:c>
      <x:c r="K1441" s="12" t="str">
        <x:v>HX3_NORMAL</x:v>
      </x:c>
      <x:c r="L1441" s="12" t="n">
        <x:v>6</x:v>
      </x:c>
      <x:c r="M1441" s="12" t="str">
        <x:v>HX3_NORMAL|6</x:v>
      </x:c>
      <x:c r="N1441" s="12" t="str">
        <x:v>激光所</x:v>
      </x:c>
      <x:c r="O1441" s="12" t="n">
        <x:f>IFERROR(INDEX('秒级路线参数_可调整'!$O:$O,MATCH(M1441,'秒级路线参数_可调整'!$A:$A,0)),"")</x:f>
        <x:v>315</x:v>
      </x:c>
      <x:c r="P1441" s="12" t="n">
        <x:f>IF(O1441="","",O1441/86400)</x:f>
        <x:v>0.0036458333333333334</x:v>
      </x:c>
      <x:c r="Q1441" s="12" t="n">
        <x:f>IF(O1441="","",(H1441*60+O1441)/86400)</x:f>
        <x:v>0.37517361111111114</x:v>
      </x:c>
      <x:c r="R1441" s="12" t="str">
        <x:f>IF(Q1441="","",TEXT(Q1441,"hh:mm:ss"))</x:f>
        <x:v>09:00:15</x:v>
      </x:c>
      <x:c r="S1441" s="12" t="str">
        <x:v>否</x:v>
      </x:c>
      <x:c r="T1441" s="12" t="str">
        <x:v>否</x:v>
      </x:c>
      <x:c r="U1441" s="12" t="str">
        <x:v>刘晓燕</x:v>
      </x:c>
      <x:c r="V1441" s="12" t="str">
        <x:v>4号车</x:v>
      </x:c>
      <x:c r="W1441" s="12" t="str">
        <x:v>秒级预测</x:v>
      </x:c>
      <x:c r="X1441" s="12" t="str">
        <x:v>基于路线秒级参数；如录入实测或手动采用秒，预计到达时间可随公式更新</x:v>
      </x:c>
    </x:row>
    <x:row r="1442">
      <x:c r="A1442" s="12" t="str">
        <x:v>S0124-07</x:v>
      </x:c>
      <x:c r="B1442" s="12" t="str">
        <x:v>S0124</x:v>
      </x:c>
      <x:c r="C1442" s="12" t="str">
        <x:v>工作日</x:v>
      </x:c>
      <x:c r="D1442" s="12" t="str">
        <x:v>环线3路</x:v>
      </x:c>
      <x:c r="E1442" s="12" t="str">
        <x:v>第三班</x:v>
      </x:c>
      <x:c r="F1442" s="12" t="n">
        <x:v>3</x:v>
      </x:c>
      <x:c r="G1442" s="12" t="str">
        <x:v>8:55</x:v>
      </x:c>
      <x:c r="H1442" s="12" t="n">
        <x:v>535</x:v>
      </x:c>
      <x:c r="I1442" s="12" t="str">
        <x:v>研究生宿舍楼</x:v>
      </x:c>
      <x:c r="J1442" s="12" t="str">
        <x:v>研究生宿舍楼发车</x:v>
      </x:c>
      <x:c r="K1442" s="12" t="str">
        <x:v>HX3_NORMAL</x:v>
      </x:c>
      <x:c r="L1442" s="12" t="n">
        <x:v>7</x:v>
      </x:c>
      <x:c r="M1442" s="12" t="str">
        <x:v>HX3_NORMAL|7</x:v>
      </x:c>
      <x:c r="N1442" s="12" t="str">
        <x:v>高超楼</x:v>
      </x:c>
      <x:c r="O1442" s="12" t="n">
        <x:f>IFERROR(INDEX('秒级路线参数_可调整'!$O:$O,MATCH(M1442,'秒级路线参数_可调整'!$A:$A,0)),"")</x:f>
        <x:v>420</x:v>
      </x:c>
      <x:c r="P1442" s="12" t="n">
        <x:f>IF(O1442="","",O1442/86400)</x:f>
        <x:v>0.004861111111111111</x:v>
      </x:c>
      <x:c r="Q1442" s="12" t="n">
        <x:f>IF(O1442="","",(H1442*60+O1442)/86400)</x:f>
        <x:v>0.3763888888888889</x:v>
      </x:c>
      <x:c r="R1442" s="12" t="str">
        <x:f>IF(Q1442="","",TEXT(Q1442,"hh:mm:ss"))</x:f>
        <x:v>09:02:00</x:v>
      </x:c>
      <x:c r="S1442" s="12" t="str">
        <x:v>否</x:v>
      </x:c>
      <x:c r="T1442" s="12" t="str">
        <x:v>否</x:v>
      </x:c>
      <x:c r="U1442" s="12" t="str">
        <x:v>刘晓燕</x:v>
      </x:c>
      <x:c r="V1442" s="12" t="str">
        <x:v>4号车</x:v>
      </x:c>
      <x:c r="W1442" s="12" t="str">
        <x:v>秒级预测</x:v>
      </x:c>
      <x:c r="X1442" s="12" t="str">
        <x:v>基于路线秒级参数；如录入实测或手动采用秒，预计到达时间可随公式更新</x:v>
      </x:c>
    </x:row>
    <x:row r="1443">
      <x:c r="A1443" s="12" t="str">
        <x:v>S0124-08</x:v>
      </x:c>
      <x:c r="B1443" s="12" t="str">
        <x:v>S0124</x:v>
      </x:c>
      <x:c r="C1443" s="12" t="str">
        <x:v>工作日</x:v>
      </x:c>
      <x:c r="D1443" s="12" t="str">
        <x:v>环线3路</x:v>
      </x:c>
      <x:c r="E1443" s="12" t="str">
        <x:v>第三班</x:v>
      </x:c>
      <x:c r="F1443" s="12" t="n">
        <x:v>3</x:v>
      </x:c>
      <x:c r="G1443" s="12" t="str">
        <x:v>8:55</x:v>
      </x:c>
      <x:c r="H1443" s="12" t="n">
        <x:v>535</x:v>
      </x:c>
      <x:c r="I1443" s="12" t="str">
        <x:v>研究生宿舍楼</x:v>
      </x:c>
      <x:c r="J1443" s="12" t="str">
        <x:v>研究生宿舍楼发车</x:v>
      </x:c>
      <x:c r="K1443" s="12" t="str">
        <x:v>HX3_NORMAL</x:v>
      </x:c>
      <x:c r="L1443" s="12" t="n">
        <x:v>8</x:v>
      </x:c>
      <x:c r="M1443" s="12" t="str">
        <x:v>HX3_NORMAL|8</x:v>
      </x:c>
      <x:c r="N1443" s="12" t="str">
        <x:v>理学院</x:v>
      </x:c>
      <x:c r="O1443" s="12" t="n">
        <x:f>IFERROR(INDEX('秒级路线参数_可调整'!$O:$O,MATCH(M1443,'秒级路线参数_可调整'!$A:$A,0)),"")</x:f>
        <x:v>480</x:v>
      </x:c>
      <x:c r="P1443" s="12" t="n">
        <x:f>IF(O1443="","",O1443/86400)</x:f>
        <x:v>0.005555555555555556</x:v>
      </x:c>
      <x:c r="Q1443" s="12" t="n">
        <x:f>IF(O1443="","",(H1443*60+O1443)/86400)</x:f>
        <x:v>0.3770833333333333</x:v>
      </x:c>
      <x:c r="R1443" s="12" t="str">
        <x:f>IF(Q1443="","",TEXT(Q1443,"hh:mm:ss"))</x:f>
        <x:v>09:03:00</x:v>
      </x:c>
      <x:c r="S1443" s="12" t="str">
        <x:v>否</x:v>
      </x:c>
      <x:c r="T1443" s="12" t="str">
        <x:v>否</x:v>
      </x:c>
      <x:c r="U1443" s="12" t="str">
        <x:v>刘晓燕</x:v>
      </x:c>
      <x:c r="V1443" s="12" t="str">
        <x:v>4号车</x:v>
      </x:c>
      <x:c r="W1443" s="12" t="str">
        <x:v>秒级预测</x:v>
      </x:c>
      <x:c r="X1443" s="12" t="str">
        <x:v>基于路线秒级参数；如录入实测或手动采用秒，预计到达时间可随公式更新</x:v>
      </x:c>
    </x:row>
    <x:row r="1444">
      <x:c r="A1444" s="12" t="str">
        <x:v>S0124-09</x:v>
      </x:c>
      <x:c r="B1444" s="12" t="str">
        <x:v>S0124</x:v>
      </x:c>
      <x:c r="C1444" s="12" t="str">
        <x:v>工作日</x:v>
      </x:c>
      <x:c r="D1444" s="12" t="str">
        <x:v>环线3路</x:v>
      </x:c>
      <x:c r="E1444" s="12" t="str">
        <x:v>第三班</x:v>
      </x:c>
      <x:c r="F1444" s="12" t="n">
        <x:v>3</x:v>
      </x:c>
      <x:c r="G1444" s="12" t="str">
        <x:v>8:55</x:v>
      </x:c>
      <x:c r="H1444" s="12" t="n">
        <x:v>535</x:v>
      </x:c>
      <x:c r="I1444" s="12" t="str">
        <x:v>研究生宿舍楼</x:v>
      </x:c>
      <x:c r="J1444" s="12" t="str">
        <x:v>研究生宿舍楼发车</x:v>
      </x:c>
      <x:c r="K1444" s="12" t="str">
        <x:v>HX3_NORMAL</x:v>
      </x:c>
      <x:c r="L1444" s="12" t="n">
        <x:v>9</x:v>
      </x:c>
      <x:c r="M1444" s="12" t="str">
        <x:v>HX3_NORMAL|9</x:v>
      </x:c>
      <x:c r="N1444" s="12" t="str">
        <x:v>二食堂</x:v>
      </x:c>
      <x:c r="O1444" s="12" t="n">
        <x:f>IFERROR(INDEX('秒级路线参数_可调整'!$O:$O,MATCH(M1444,'秒级路线参数_可调整'!$A:$A,0)),"")</x:f>
        <x:v>535</x:v>
      </x:c>
      <x:c r="P1444" s="12" t="n">
        <x:f>IF(O1444="","",O1444/86400)</x:f>
        <x:v>0.00619212962962963</x:v>
      </x:c>
      <x:c r="Q1444" s="12" t="n">
        <x:f>IF(O1444="","",(H1444*60+O1444)/86400)</x:f>
        <x:v>0.3777199074074074</x:v>
      </x:c>
      <x:c r="R1444" s="12" t="str">
        <x:f>IF(Q1444="","",TEXT(Q1444,"hh:mm:ss"))</x:f>
        <x:v>09:03:55</x:v>
      </x:c>
      <x:c r="S1444" s="12" t="str">
        <x:v>否</x:v>
      </x:c>
      <x:c r="T1444" s="12" t="str">
        <x:v>否</x:v>
      </x:c>
      <x:c r="U1444" s="12" t="str">
        <x:v>刘晓燕</x:v>
      </x:c>
      <x:c r="V1444" s="12" t="str">
        <x:v>4号车</x:v>
      </x:c>
      <x:c r="W1444" s="12" t="str">
        <x:v>秒级预测</x:v>
      </x:c>
      <x:c r="X1444" s="12" t="str">
        <x:v>基于路线秒级参数；如录入实测或手动采用秒，预计到达时间可随公式更新</x:v>
      </x:c>
    </x:row>
    <x:row r="1445">
      <x:c r="A1445" s="12" t="str">
        <x:v>S0124-10</x:v>
      </x:c>
      <x:c r="B1445" s="12" t="str">
        <x:v>S0124</x:v>
      </x:c>
      <x:c r="C1445" s="12" t="str">
        <x:v>工作日</x:v>
      </x:c>
      <x:c r="D1445" s="12" t="str">
        <x:v>环线3路</x:v>
      </x:c>
      <x:c r="E1445" s="12" t="str">
        <x:v>第三班</x:v>
      </x:c>
      <x:c r="F1445" s="12" t="n">
        <x:v>3</x:v>
      </x:c>
      <x:c r="G1445" s="12" t="str">
        <x:v>8:55</x:v>
      </x:c>
      <x:c r="H1445" s="12" t="n">
        <x:v>535</x:v>
      </x:c>
      <x:c r="I1445" s="12" t="str">
        <x:v>研究生宿舍楼</x:v>
      </x:c>
      <x:c r="J1445" s="12" t="str">
        <x:v>研究生宿舍楼发车</x:v>
      </x:c>
      <x:c r="K1445" s="12" t="str">
        <x:v>HX3_NORMAL</x:v>
      </x:c>
      <x:c r="L1445" s="12" t="n">
        <x:v>10</x:v>
      </x:c>
      <x:c r="M1445" s="12" t="str">
        <x:v>HX3_NORMAL|10</x:v>
      </x:c>
      <x:c r="N1445" s="12" t="str">
        <x:v>图书馆</x:v>
      </x:c>
      <x:c r="O1445" s="12" t="n">
        <x:f>IFERROR(INDEX('秒级路线参数_可调整'!$O:$O,MATCH(M1445,'秒级路线参数_可调整'!$A:$A,0)),"")</x:f>
        <x:v>715</x:v>
      </x:c>
      <x:c r="P1445" s="12" t="n">
        <x:f>IF(O1445="","",O1445/86400)</x:f>
        <x:v>0.008275462962962964</x:v>
      </x:c>
      <x:c r="Q1445" s="12" t="n">
        <x:f>IF(O1445="","",(H1445*60+O1445)/86400)</x:f>
        <x:v>0.37980324074074073</x:v>
      </x:c>
      <x:c r="R1445" s="12" t="str">
        <x:f>IF(Q1445="","",TEXT(Q1445,"hh:mm:ss"))</x:f>
        <x:v>09:06:55</x:v>
      </x:c>
      <x:c r="S1445" s="12" t="str">
        <x:v>否</x:v>
      </x:c>
      <x:c r="T1445" s="12" t="str">
        <x:v>否</x:v>
      </x:c>
      <x:c r="U1445" s="12" t="str">
        <x:v>刘晓燕</x:v>
      </x:c>
      <x:c r="V1445" s="12" t="str">
        <x:v>4号车</x:v>
      </x:c>
      <x:c r="W1445" s="12" t="str">
        <x:v>秒级预测</x:v>
      </x:c>
      <x:c r="X1445" s="12" t="str">
        <x:v>基于路线秒级参数；如录入实测或手动采用秒，预计到达时间可随公式更新</x:v>
      </x:c>
    </x:row>
    <x:row r="1446">
      <x:c r="A1446" s="12" t="str">
        <x:v>S0124-11</x:v>
      </x:c>
      <x:c r="B1446" s="12" t="str">
        <x:v>S0124</x:v>
      </x:c>
      <x:c r="C1446" s="12" t="str">
        <x:v>工作日</x:v>
      </x:c>
      <x:c r="D1446" s="12" t="str">
        <x:v>环线3路</x:v>
      </x:c>
      <x:c r="E1446" s="12" t="str">
        <x:v>第三班</x:v>
      </x:c>
      <x:c r="F1446" s="12" t="n">
        <x:v>3</x:v>
      </x:c>
      <x:c r="G1446" s="12" t="str">
        <x:v>8:55</x:v>
      </x:c>
      <x:c r="H1446" s="12" t="n">
        <x:v>535</x:v>
      </x:c>
      <x:c r="I1446" s="12" t="str">
        <x:v>研究生宿舍楼</x:v>
      </x:c>
      <x:c r="J1446" s="12" t="str">
        <x:v>研究生宿舍楼发车</x:v>
      </x:c>
      <x:c r="K1446" s="12" t="str">
        <x:v>HX3_NORMAL</x:v>
      </x:c>
      <x:c r="L1446" s="12" t="n">
        <x:v>11</x:v>
      </x:c>
      <x:c r="M1446" s="12" t="str">
        <x:v>HX3_NORMAL|11</x:v>
      </x:c>
      <x:c r="N1446" s="12" t="str">
        <x:v>305教学楼</x:v>
      </x:c>
      <x:c r="O1446" s="12" t="n">
        <x:f>IFERROR(INDEX('秒级路线参数_可调整'!$O:$O,MATCH(M1446,'秒级路线参数_可调整'!$A:$A,0)),"")</x:f>
        <x:v>775</x:v>
      </x:c>
      <x:c r="P1446" s="12" t="n">
        <x:f>IF(O1446="","",O1446/86400)</x:f>
        <x:v>0.008969907407407407</x:v>
      </x:c>
      <x:c r="Q1446" s="12" t="n">
        <x:f>IF(O1446="","",(H1446*60+O1446)/86400)</x:f>
        <x:v>0.3804976851851852</x:v>
      </x:c>
      <x:c r="R1446" s="12" t="str">
        <x:f>IF(Q1446="","",TEXT(Q1446,"hh:mm:ss"))</x:f>
        <x:v>09:07:55</x:v>
      </x:c>
      <x:c r="S1446" s="12" t="str">
        <x:v>否</x:v>
      </x:c>
      <x:c r="T1446" s="12" t="str">
        <x:v>否</x:v>
      </x:c>
      <x:c r="U1446" s="12" t="str">
        <x:v>刘晓燕</x:v>
      </x:c>
      <x:c r="V1446" s="12" t="str">
        <x:v>4号车</x:v>
      </x:c>
      <x:c r="W1446" s="12" t="str">
        <x:v>秒级预测</x:v>
      </x:c>
      <x:c r="X1446" s="12" t="str">
        <x:v>基于路线秒级参数；如录入实测或手动采用秒，预计到达时间可随公式更新</x:v>
      </x:c>
    </x:row>
    <x:row r="1447">
      <x:c r="A1447" s="12" t="str">
        <x:v>S0124-12</x:v>
      </x:c>
      <x:c r="B1447" s="12" t="str">
        <x:v>S0124</x:v>
      </x:c>
      <x:c r="C1447" s="12" t="str">
        <x:v>工作日</x:v>
      </x:c>
      <x:c r="D1447" s="12" t="str">
        <x:v>环线3路</x:v>
      </x:c>
      <x:c r="E1447" s="12" t="str">
        <x:v>第三班</x:v>
      </x:c>
      <x:c r="F1447" s="12" t="n">
        <x:v>3</x:v>
      </x:c>
      <x:c r="G1447" s="12" t="str">
        <x:v>8:55</x:v>
      </x:c>
      <x:c r="H1447" s="12" t="n">
        <x:v>535</x:v>
      </x:c>
      <x:c r="I1447" s="12" t="str">
        <x:v>研究生宿舍楼</x:v>
      </x:c>
      <x:c r="J1447" s="12" t="str">
        <x:v>研究生宿舍楼发车</x:v>
      </x:c>
      <x:c r="K1447" s="12" t="str">
        <x:v>HX3_NORMAL</x:v>
      </x:c>
      <x:c r="L1447" s="12" t="n">
        <x:v>12</x:v>
      </x:c>
      <x:c r="M1447" s="12" t="str">
        <x:v>HX3_NORMAL|12</x:v>
      </x:c>
      <x:c r="N1447" s="12" t="str">
        <x:v>研究生宿舍楼</x:v>
      </x:c>
      <x:c r="O1447" s="12" t="n">
        <x:f>IFERROR(INDEX('秒级路线参数_可调整'!$O:$O,MATCH(M1447,'秒级路线参数_可调整'!$A:$A,0)),"")</x:f>
        <x:v>840</x:v>
      </x:c>
      <x:c r="P1447" s="12" t="n">
        <x:f>IF(O1447="","",O1447/86400)</x:f>
        <x:v>0.009722222222222222</x:v>
      </x:c>
      <x:c r="Q1447" s="12" t="n">
        <x:f>IF(O1447="","",(H1447*60+O1447)/86400)</x:f>
        <x:v>0.38125</x:v>
      </x:c>
      <x:c r="R1447" s="12" t="str">
        <x:f>IF(Q1447="","",TEXT(Q1447,"hh:mm:ss"))</x:f>
        <x:v>09:09:00</x:v>
      </x:c>
      <x:c r="S1447" s="12" t="str">
        <x:v>否</x:v>
      </x:c>
      <x:c r="T1447" s="12" t="str">
        <x:v>是</x:v>
      </x:c>
      <x:c r="U1447" s="12" t="str">
        <x:v>刘晓燕</x:v>
      </x:c>
      <x:c r="V1447" s="12" t="str">
        <x:v>4号车</x:v>
      </x:c>
      <x:c r="W1447" s="12" t="str">
        <x:v>秒级预测</x:v>
      </x:c>
      <x:c r="X1447" s="12" t="str">
        <x:v>基于路线秒级参数；如录入实测或手动采用秒，预计到达时间可随公式更新</x:v>
      </x:c>
    </x:row>
    <x:row r="1448">
      <x:c r="A1448" s="12" t="str">
        <x:v>S0125-01</x:v>
      </x:c>
      <x:c r="B1448" s="12" t="str">
        <x:v>S0125</x:v>
      </x:c>
      <x:c r="C1448" s="12" t="str">
        <x:v>工作日</x:v>
      </x:c>
      <x:c r="D1448" s="12" t="str">
        <x:v>环线3路</x:v>
      </x:c>
      <x:c r="E1448" s="12" t="str">
        <x:v>第三班</x:v>
      </x:c>
      <x:c r="F1448" s="12" t="n">
        <x:v>4</x:v>
      </x:c>
      <x:c r="G1448" s="12" t="str">
        <x:v>9:35</x:v>
      </x:c>
      <x:c r="H1448" s="12" t="n">
        <x:v>575</x:v>
      </x:c>
      <x:c r="I1448" s="12" t="str">
        <x:v>研究生宿舍楼</x:v>
      </x:c>
      <x:c r="J1448" s="12" t="str">
        <x:v>研究生宿舍楼发车</x:v>
      </x:c>
      <x:c r="K1448" s="12" t="str">
        <x:v>HX3_NORMAL</x:v>
      </x:c>
      <x:c r="L1448" s="12" t="n">
        <x:v>1</x:v>
      </x:c>
      <x:c r="M1448" s="12" t="str">
        <x:v>HX3_NORMAL|1</x:v>
      </x:c>
      <x:c r="N1448" s="12" t="str">
        <x:v>研究生宿舍楼</x:v>
      </x:c>
      <x:c r="O1448" s="12" t="n">
        <x:f>IFERROR(INDEX('秒级路线参数_可调整'!$O:$O,MATCH(M1448,'秒级路线参数_可调整'!$A:$A,0)),"")</x:f>
        <x:v>0</x:v>
      </x:c>
      <x:c r="P1448" s="12" t="str">
        <x:f>IF(O1448="","",O1448/86400)</x:f>
      </x:c>
      <x:c r="Q1448" s="12" t="str">
        <x:f>IF(O1448="","",(H1448*60+O1448)/86400)</x:f>
      </x:c>
      <x:c r="R1448" s="12" t="str">
        <x:f>IF(Q1448="","",TEXT(Q1448,"hh:mm:ss"))</x:f>
      </x:c>
      <x:c r="S1448" s="12" t="str">
        <x:v>是</x:v>
      </x:c>
      <x:c r="T1448" s="12" t="str">
        <x:v>否</x:v>
      </x:c>
      <x:c r="U1448" s="12" t="str">
        <x:v>刘晓燕</x:v>
      </x:c>
      <x:c r="V1448" s="12" t="str">
        <x:v>4号车</x:v>
      </x:c>
      <x:c r="W1448" s="12" t="str">
        <x:v>秒级预测</x:v>
      </x:c>
      <x:c r="X1448" s="12" t="str">
        <x:v>基于路线秒级参数；如录入实测或手动采用秒，预计到达时间可随公式更新</x:v>
      </x:c>
    </x:row>
    <x:row r="1449">
      <x:c r="A1449" s="12" t="str">
        <x:v>S0125-02</x:v>
      </x:c>
      <x:c r="B1449" s="12" t="str">
        <x:v>S0125</x:v>
      </x:c>
      <x:c r="C1449" s="12" t="str">
        <x:v>工作日</x:v>
      </x:c>
      <x:c r="D1449" s="12" t="str">
        <x:v>环线3路</x:v>
      </x:c>
      <x:c r="E1449" s="12" t="str">
        <x:v>第三班</x:v>
      </x:c>
      <x:c r="F1449" s="12" t="n">
        <x:v>4</x:v>
      </x:c>
      <x:c r="G1449" s="12" t="str">
        <x:v>9:35</x:v>
      </x:c>
      <x:c r="H1449" s="12" t="n">
        <x:v>575</x:v>
      </x:c>
      <x:c r="I1449" s="12" t="str">
        <x:v>研究生宿舍楼</x:v>
      </x:c>
      <x:c r="J1449" s="12" t="str">
        <x:v>研究生宿舍楼发车</x:v>
      </x:c>
      <x:c r="K1449" s="12" t="str">
        <x:v>HX3_NORMAL</x:v>
      </x:c>
      <x:c r="L1449" s="12" t="n">
        <x:v>2</x:v>
      </x:c>
      <x:c r="M1449" s="12" t="str">
        <x:v>HX3_NORMAL|2</x:v>
      </x:c>
      <x:c r="N1449" s="12" t="str">
        <x:v>一食堂</x:v>
      </x:c>
      <x:c r="O1449" s="12" t="n">
        <x:f>IFERROR(INDEX('秒级路线参数_可调整'!$O:$O,MATCH(M1449,'秒级路线参数_可调整'!$A:$A,0)),"")</x:f>
        <x:v>65</x:v>
      </x:c>
      <x:c r="P1449" s="12" t="n">
        <x:f>IF(O1449="","",O1449/86400)</x:f>
        <x:v>0.0007523148148148148</x:v>
      </x:c>
      <x:c r="Q1449" s="12" t="n">
        <x:f>IF(O1449="","",(H1449*60+O1449)/86400)</x:f>
        <x:v>0.4000578703703704</x:v>
      </x:c>
      <x:c r="R1449" s="12" t="str">
        <x:f>IF(Q1449="","",TEXT(Q1449,"hh:mm:ss"))</x:f>
        <x:v>09:36:05</x:v>
      </x:c>
      <x:c r="S1449" s="12" t="str">
        <x:v>否</x:v>
      </x:c>
      <x:c r="T1449" s="12" t="str">
        <x:v>否</x:v>
      </x:c>
      <x:c r="U1449" s="12" t="str">
        <x:v>刘晓燕</x:v>
      </x:c>
      <x:c r="V1449" s="12" t="str">
        <x:v>4号车</x:v>
      </x:c>
      <x:c r="W1449" s="12" t="str">
        <x:v>秒级预测</x:v>
      </x:c>
      <x:c r="X1449" s="12" t="str">
        <x:v>基于路线秒级参数；如录入实测或手动采用秒，预计到达时间可随公式更新</x:v>
      </x:c>
    </x:row>
    <x:row r="1450">
      <x:c r="A1450" s="12" t="str">
        <x:v>S0125-03</x:v>
      </x:c>
      <x:c r="B1450" s="12" t="str">
        <x:v>S0125</x:v>
      </x:c>
      <x:c r="C1450" s="12" t="str">
        <x:v>工作日</x:v>
      </x:c>
      <x:c r="D1450" s="12" t="str">
        <x:v>环线3路</x:v>
      </x:c>
      <x:c r="E1450" s="12" t="str">
        <x:v>第三班</x:v>
      </x:c>
      <x:c r="F1450" s="12" t="n">
        <x:v>4</x:v>
      </x:c>
      <x:c r="G1450" s="12" t="str">
        <x:v>9:35</x:v>
      </x:c>
      <x:c r="H1450" s="12" t="n">
        <x:v>575</x:v>
      </x:c>
      <x:c r="I1450" s="12" t="str">
        <x:v>研究生宿舍楼</x:v>
      </x:c>
      <x:c r="J1450" s="12" t="str">
        <x:v>研究生宿舍楼发车</x:v>
      </x:c>
      <x:c r="K1450" s="12" t="str">
        <x:v>HX3_NORMAL</x:v>
      </x:c>
      <x:c r="L1450" s="12" t="n">
        <x:v>3</x:v>
      </x:c>
      <x:c r="M1450" s="12" t="str">
        <x:v>HX3_NORMAL|3</x:v>
      </x:c>
      <x:c r="N1450" s="12" t="str">
        <x:v>2号宿舍楼</x:v>
      </x:c>
      <x:c r="O1450" s="12" t="n">
        <x:f>IFERROR(INDEX('秒级路线参数_可调整'!$O:$O,MATCH(M1450,'秒级路线参数_可调整'!$A:$A,0)),"")</x:f>
        <x:v>120</x:v>
      </x:c>
      <x:c r="P1450" s="12" t="n">
        <x:f>IF(O1450="","",O1450/86400)</x:f>
        <x:v>0.001388888888888889</x:v>
      </x:c>
      <x:c r="Q1450" s="12" t="n">
        <x:f>IF(O1450="","",(H1450*60+O1450)/86400)</x:f>
        <x:v>0.40069444444444446</x:v>
      </x:c>
      <x:c r="R1450" s="12" t="str">
        <x:f>IF(Q1450="","",TEXT(Q1450,"hh:mm:ss"))</x:f>
        <x:v>09:37:00</x:v>
      </x:c>
      <x:c r="S1450" s="12" t="str">
        <x:v>否</x:v>
      </x:c>
      <x:c r="T1450" s="12" t="str">
        <x:v>否</x:v>
      </x:c>
      <x:c r="U1450" s="12" t="str">
        <x:v>刘晓燕</x:v>
      </x:c>
      <x:c r="V1450" s="12" t="str">
        <x:v>4号车</x:v>
      </x:c>
      <x:c r="W1450" s="12" t="str">
        <x:v>秒级预测</x:v>
      </x:c>
      <x:c r="X1450" s="12" t="str">
        <x:v>基于路线秒级参数；如录入实测或手动采用秒，预计到达时间可随公式更新</x:v>
      </x:c>
    </x:row>
    <x:row r="1451">
      <x:c r="A1451" s="12" t="str">
        <x:v>S0125-04</x:v>
      </x:c>
      <x:c r="B1451" s="12" t="str">
        <x:v>S0125</x:v>
      </x:c>
      <x:c r="C1451" s="12" t="str">
        <x:v>工作日</x:v>
      </x:c>
      <x:c r="D1451" s="12" t="str">
        <x:v>环线3路</x:v>
      </x:c>
      <x:c r="E1451" s="12" t="str">
        <x:v>第三班</x:v>
      </x:c>
      <x:c r="F1451" s="12" t="n">
        <x:v>4</x:v>
      </x:c>
      <x:c r="G1451" s="12" t="str">
        <x:v>9:35</x:v>
      </x:c>
      <x:c r="H1451" s="12" t="n">
        <x:v>575</x:v>
      </x:c>
      <x:c r="I1451" s="12" t="str">
        <x:v>研究生宿舍楼</x:v>
      </x:c>
      <x:c r="J1451" s="12" t="str">
        <x:v>研究生宿舍楼发车</x:v>
      </x:c>
      <x:c r="K1451" s="12" t="str">
        <x:v>HX3_NORMAL</x:v>
      </x:c>
      <x:c r="L1451" s="12" t="n">
        <x:v>4</x:v>
      </x:c>
      <x:c r="M1451" s="12" t="str">
        <x:v>HX3_NORMAL|4</x:v>
      </x:c>
      <x:c r="N1451" s="12" t="str">
        <x:v>军体活动中心</x:v>
      </x:c>
      <x:c r="O1451" s="12" t="n">
        <x:f>IFERROR(INDEX('秒级路线参数_可调整'!$O:$O,MATCH(M1451,'秒级路线参数_可调整'!$A:$A,0)),"")</x:f>
        <x:v>165</x:v>
      </x:c>
      <x:c r="P1451" s="12" t="n">
        <x:f>IF(O1451="","",O1451/86400)</x:f>
        <x:v>0.0019097222222222222</x:v>
      </x:c>
      <x:c r="Q1451" s="12" t="n">
        <x:f>IF(O1451="","",(H1451*60+O1451)/86400)</x:f>
        <x:v>0.40121527777777777</x:v>
      </x:c>
      <x:c r="R1451" s="12" t="str">
        <x:f>IF(Q1451="","",TEXT(Q1451,"hh:mm:ss"))</x:f>
        <x:v>09:37:45</x:v>
      </x:c>
      <x:c r="S1451" s="12" t="str">
        <x:v>否</x:v>
      </x:c>
      <x:c r="T1451" s="12" t="str">
        <x:v>否</x:v>
      </x:c>
      <x:c r="U1451" s="12" t="str">
        <x:v>刘晓燕</x:v>
      </x:c>
      <x:c r="V1451" s="12" t="str">
        <x:v>4号车</x:v>
      </x:c>
      <x:c r="W1451" s="12" t="str">
        <x:v>秒级预测</x:v>
      </x:c>
      <x:c r="X1451" s="12" t="str">
        <x:v>基于路线秒级参数；如录入实测或手动采用秒，预计到达时间可随公式更新</x:v>
      </x:c>
    </x:row>
    <x:row r="1452">
      <x:c r="A1452" s="12" t="str">
        <x:v>S0125-05</x:v>
      </x:c>
      <x:c r="B1452" s="12" t="str">
        <x:v>S0125</x:v>
      </x:c>
      <x:c r="C1452" s="12" t="str">
        <x:v>工作日</x:v>
      </x:c>
      <x:c r="D1452" s="12" t="str">
        <x:v>环线3路</x:v>
      </x:c>
      <x:c r="E1452" s="12" t="str">
        <x:v>第三班</x:v>
      </x:c>
      <x:c r="F1452" s="12" t="n">
        <x:v>4</x:v>
      </x:c>
      <x:c r="G1452" s="12" t="str">
        <x:v>9:35</x:v>
      </x:c>
      <x:c r="H1452" s="12" t="n">
        <x:v>575</x:v>
      </x:c>
      <x:c r="I1452" s="12" t="str">
        <x:v>研究生宿舍楼</x:v>
      </x:c>
      <x:c r="J1452" s="12" t="str">
        <x:v>研究生宿舍楼发车</x:v>
      </x:c>
      <x:c r="K1452" s="12" t="str">
        <x:v>HX3_NORMAL</x:v>
      </x:c>
      <x:c r="L1452" s="12" t="n">
        <x:v>5</x:v>
      </x:c>
      <x:c r="M1452" s="12" t="str">
        <x:v>HX3_NORMAL|5</x:v>
      </x:c>
      <x:c r="N1452" s="12" t="str">
        <x:v>教勤连</x:v>
      </x:c>
      <x:c r="O1452" s="12" t="n">
        <x:f>IFERROR(INDEX('秒级路线参数_可调整'!$O:$O,MATCH(M1452,'秒级路线参数_可调整'!$A:$A,0)),"")</x:f>
        <x:v>250</x:v>
      </x:c>
      <x:c r="P1452" s="12" t="n">
        <x:f>IF(O1452="","",O1452/86400)</x:f>
        <x:v>0.0028935185185185184</x:v>
      </x:c>
      <x:c r="Q1452" s="12" t="n">
        <x:f>IF(O1452="","",(H1452*60+O1452)/86400)</x:f>
        <x:v>0.40219907407407407</x:v>
      </x:c>
      <x:c r="R1452" s="12" t="str">
        <x:f>IF(Q1452="","",TEXT(Q1452,"hh:mm:ss"))</x:f>
        <x:v>09:39:10</x:v>
      </x:c>
      <x:c r="S1452" s="12" t="str">
        <x:v>否</x:v>
      </x:c>
      <x:c r="T1452" s="12" t="str">
        <x:v>否</x:v>
      </x:c>
      <x:c r="U1452" s="12" t="str">
        <x:v>刘晓燕</x:v>
      </x:c>
      <x:c r="V1452" s="12" t="str">
        <x:v>4号车</x:v>
      </x:c>
      <x:c r="W1452" s="12" t="str">
        <x:v>秒级预测</x:v>
      </x:c>
      <x:c r="X1452" s="12" t="str">
        <x:v>基于路线秒级参数；如录入实测或手动采用秒，预计到达时间可随公式更新</x:v>
      </x:c>
    </x:row>
    <x:row r="1453">
      <x:c r="A1453" s="12" t="str">
        <x:v>S0125-06</x:v>
      </x:c>
      <x:c r="B1453" s="12" t="str">
        <x:v>S0125</x:v>
      </x:c>
      <x:c r="C1453" s="12" t="str">
        <x:v>工作日</x:v>
      </x:c>
      <x:c r="D1453" s="12" t="str">
        <x:v>环线3路</x:v>
      </x:c>
      <x:c r="E1453" s="12" t="str">
        <x:v>第三班</x:v>
      </x:c>
      <x:c r="F1453" s="12" t="n">
        <x:v>4</x:v>
      </x:c>
      <x:c r="G1453" s="12" t="str">
        <x:v>9:35</x:v>
      </x:c>
      <x:c r="H1453" s="12" t="n">
        <x:v>575</x:v>
      </x:c>
      <x:c r="I1453" s="12" t="str">
        <x:v>研究生宿舍楼</x:v>
      </x:c>
      <x:c r="J1453" s="12" t="str">
        <x:v>研究生宿舍楼发车</x:v>
      </x:c>
      <x:c r="K1453" s="12" t="str">
        <x:v>HX3_NORMAL</x:v>
      </x:c>
      <x:c r="L1453" s="12" t="n">
        <x:v>6</x:v>
      </x:c>
      <x:c r="M1453" s="12" t="str">
        <x:v>HX3_NORMAL|6</x:v>
      </x:c>
      <x:c r="N1453" s="12" t="str">
        <x:v>激光所</x:v>
      </x:c>
      <x:c r="O1453" s="12" t="n">
        <x:f>IFERROR(INDEX('秒级路线参数_可调整'!$O:$O,MATCH(M1453,'秒级路线参数_可调整'!$A:$A,0)),"")</x:f>
        <x:v>315</x:v>
      </x:c>
      <x:c r="P1453" s="12" t="n">
        <x:f>IF(O1453="","",O1453/86400)</x:f>
        <x:v>0.0036458333333333334</x:v>
      </x:c>
      <x:c r="Q1453" s="12" t="n">
        <x:f>IF(O1453="","",(H1453*60+O1453)/86400)</x:f>
        <x:v>0.4029513888888889</x:v>
      </x:c>
      <x:c r="R1453" s="12" t="str">
        <x:f>IF(Q1453="","",TEXT(Q1453,"hh:mm:ss"))</x:f>
        <x:v>09:40:15</x:v>
      </x:c>
      <x:c r="S1453" s="12" t="str">
        <x:v>否</x:v>
      </x:c>
      <x:c r="T1453" s="12" t="str">
        <x:v>否</x:v>
      </x:c>
      <x:c r="U1453" s="12" t="str">
        <x:v>刘晓燕</x:v>
      </x:c>
      <x:c r="V1453" s="12" t="str">
        <x:v>4号车</x:v>
      </x:c>
      <x:c r="W1453" s="12" t="str">
        <x:v>秒级预测</x:v>
      </x:c>
      <x:c r="X1453" s="12" t="str">
        <x:v>基于路线秒级参数；如录入实测或手动采用秒，预计到达时间可随公式更新</x:v>
      </x:c>
    </x:row>
    <x:row r="1454">
      <x:c r="A1454" s="12" t="str">
        <x:v>S0125-07</x:v>
      </x:c>
      <x:c r="B1454" s="12" t="str">
        <x:v>S0125</x:v>
      </x:c>
      <x:c r="C1454" s="12" t="str">
        <x:v>工作日</x:v>
      </x:c>
      <x:c r="D1454" s="12" t="str">
        <x:v>环线3路</x:v>
      </x:c>
      <x:c r="E1454" s="12" t="str">
        <x:v>第三班</x:v>
      </x:c>
      <x:c r="F1454" s="12" t="n">
        <x:v>4</x:v>
      </x:c>
      <x:c r="G1454" s="12" t="str">
        <x:v>9:35</x:v>
      </x:c>
      <x:c r="H1454" s="12" t="n">
        <x:v>575</x:v>
      </x:c>
      <x:c r="I1454" s="12" t="str">
        <x:v>研究生宿舍楼</x:v>
      </x:c>
      <x:c r="J1454" s="12" t="str">
        <x:v>研究生宿舍楼发车</x:v>
      </x:c>
      <x:c r="K1454" s="12" t="str">
        <x:v>HX3_NORMAL</x:v>
      </x:c>
      <x:c r="L1454" s="12" t="n">
        <x:v>7</x:v>
      </x:c>
      <x:c r="M1454" s="12" t="str">
        <x:v>HX3_NORMAL|7</x:v>
      </x:c>
      <x:c r="N1454" s="12" t="str">
        <x:v>高超楼</x:v>
      </x:c>
      <x:c r="O1454" s="12" t="n">
        <x:f>IFERROR(INDEX('秒级路线参数_可调整'!$O:$O,MATCH(M1454,'秒级路线参数_可调整'!$A:$A,0)),"")</x:f>
        <x:v>420</x:v>
      </x:c>
      <x:c r="P1454" s="12" t="n">
        <x:f>IF(O1454="","",O1454/86400)</x:f>
        <x:v>0.004861111111111111</x:v>
      </x:c>
      <x:c r="Q1454" s="12" t="n">
        <x:f>IF(O1454="","",(H1454*60+O1454)/86400)</x:f>
        <x:v>0.4041666666666667</x:v>
      </x:c>
      <x:c r="R1454" s="12" t="str">
        <x:f>IF(Q1454="","",TEXT(Q1454,"hh:mm:ss"))</x:f>
        <x:v>09:42:00</x:v>
      </x:c>
      <x:c r="S1454" s="12" t="str">
        <x:v>否</x:v>
      </x:c>
      <x:c r="T1454" s="12" t="str">
        <x:v>否</x:v>
      </x:c>
      <x:c r="U1454" s="12" t="str">
        <x:v>刘晓燕</x:v>
      </x:c>
      <x:c r="V1454" s="12" t="str">
        <x:v>4号车</x:v>
      </x:c>
      <x:c r="W1454" s="12" t="str">
        <x:v>秒级预测</x:v>
      </x:c>
      <x:c r="X1454" s="12" t="str">
        <x:v>基于路线秒级参数；如录入实测或手动采用秒，预计到达时间可随公式更新</x:v>
      </x:c>
    </x:row>
    <x:row r="1455">
      <x:c r="A1455" s="12" t="str">
        <x:v>S0125-08</x:v>
      </x:c>
      <x:c r="B1455" s="12" t="str">
        <x:v>S0125</x:v>
      </x:c>
      <x:c r="C1455" s="12" t="str">
        <x:v>工作日</x:v>
      </x:c>
      <x:c r="D1455" s="12" t="str">
        <x:v>环线3路</x:v>
      </x:c>
      <x:c r="E1455" s="12" t="str">
        <x:v>第三班</x:v>
      </x:c>
      <x:c r="F1455" s="12" t="n">
        <x:v>4</x:v>
      </x:c>
      <x:c r="G1455" s="12" t="str">
        <x:v>9:35</x:v>
      </x:c>
      <x:c r="H1455" s="12" t="n">
        <x:v>575</x:v>
      </x:c>
      <x:c r="I1455" s="12" t="str">
        <x:v>研究生宿舍楼</x:v>
      </x:c>
      <x:c r="J1455" s="12" t="str">
        <x:v>研究生宿舍楼发车</x:v>
      </x:c>
      <x:c r="K1455" s="12" t="str">
        <x:v>HX3_NORMAL</x:v>
      </x:c>
      <x:c r="L1455" s="12" t="n">
        <x:v>8</x:v>
      </x:c>
      <x:c r="M1455" s="12" t="str">
        <x:v>HX3_NORMAL|8</x:v>
      </x:c>
      <x:c r="N1455" s="12" t="str">
        <x:v>理学院</x:v>
      </x:c>
      <x:c r="O1455" s="12" t="n">
        <x:f>IFERROR(INDEX('秒级路线参数_可调整'!$O:$O,MATCH(M1455,'秒级路线参数_可调整'!$A:$A,0)),"")</x:f>
        <x:v>480</x:v>
      </x:c>
      <x:c r="P1455" s="12" t="n">
        <x:f>IF(O1455="","",O1455/86400)</x:f>
        <x:v>0.005555555555555556</x:v>
      </x:c>
      <x:c r="Q1455" s="12" t="n">
        <x:f>IF(O1455="","",(H1455*60+O1455)/86400)</x:f>
        <x:v>0.4048611111111111</x:v>
      </x:c>
      <x:c r="R1455" s="12" t="str">
        <x:f>IF(Q1455="","",TEXT(Q1455,"hh:mm:ss"))</x:f>
        <x:v>09:43:00</x:v>
      </x:c>
      <x:c r="S1455" s="12" t="str">
        <x:v>否</x:v>
      </x:c>
      <x:c r="T1455" s="12" t="str">
        <x:v>否</x:v>
      </x:c>
      <x:c r="U1455" s="12" t="str">
        <x:v>刘晓燕</x:v>
      </x:c>
      <x:c r="V1455" s="12" t="str">
        <x:v>4号车</x:v>
      </x:c>
      <x:c r="W1455" s="12" t="str">
        <x:v>秒级预测</x:v>
      </x:c>
      <x:c r="X1455" s="12" t="str">
        <x:v>基于路线秒级参数；如录入实测或手动采用秒，预计到达时间可随公式更新</x:v>
      </x:c>
    </x:row>
    <x:row r="1456">
      <x:c r="A1456" s="12" t="str">
        <x:v>S0125-09</x:v>
      </x:c>
      <x:c r="B1456" s="12" t="str">
        <x:v>S0125</x:v>
      </x:c>
      <x:c r="C1456" s="12" t="str">
        <x:v>工作日</x:v>
      </x:c>
      <x:c r="D1456" s="12" t="str">
        <x:v>环线3路</x:v>
      </x:c>
      <x:c r="E1456" s="12" t="str">
        <x:v>第三班</x:v>
      </x:c>
      <x:c r="F1456" s="12" t="n">
        <x:v>4</x:v>
      </x:c>
      <x:c r="G1456" s="12" t="str">
        <x:v>9:35</x:v>
      </x:c>
      <x:c r="H1456" s="12" t="n">
        <x:v>575</x:v>
      </x:c>
      <x:c r="I1456" s="12" t="str">
        <x:v>研究生宿舍楼</x:v>
      </x:c>
      <x:c r="J1456" s="12" t="str">
        <x:v>研究生宿舍楼发车</x:v>
      </x:c>
      <x:c r="K1456" s="12" t="str">
        <x:v>HX3_NORMAL</x:v>
      </x:c>
      <x:c r="L1456" s="12" t="n">
        <x:v>9</x:v>
      </x:c>
      <x:c r="M1456" s="12" t="str">
        <x:v>HX3_NORMAL|9</x:v>
      </x:c>
      <x:c r="N1456" s="12" t="str">
        <x:v>二食堂</x:v>
      </x:c>
      <x:c r="O1456" s="12" t="n">
        <x:f>IFERROR(INDEX('秒级路线参数_可调整'!$O:$O,MATCH(M1456,'秒级路线参数_可调整'!$A:$A,0)),"")</x:f>
        <x:v>535</x:v>
      </x:c>
      <x:c r="P1456" s="12" t="n">
        <x:f>IF(O1456="","",O1456/86400)</x:f>
        <x:v>0.00619212962962963</x:v>
      </x:c>
      <x:c r="Q1456" s="12" t="n">
        <x:f>IF(O1456="","",(H1456*60+O1456)/86400)</x:f>
        <x:v>0.4054976851851852</x:v>
      </x:c>
      <x:c r="R1456" s="12" t="str">
        <x:f>IF(Q1456="","",TEXT(Q1456,"hh:mm:ss"))</x:f>
        <x:v>09:43:55</x:v>
      </x:c>
      <x:c r="S1456" s="12" t="str">
        <x:v>否</x:v>
      </x:c>
      <x:c r="T1456" s="12" t="str">
        <x:v>否</x:v>
      </x:c>
      <x:c r="U1456" s="12" t="str">
        <x:v>刘晓燕</x:v>
      </x:c>
      <x:c r="V1456" s="12" t="str">
        <x:v>4号车</x:v>
      </x:c>
      <x:c r="W1456" s="12" t="str">
        <x:v>秒级预测</x:v>
      </x:c>
      <x:c r="X1456" s="12" t="str">
        <x:v>基于路线秒级参数；如录入实测或手动采用秒，预计到达时间可随公式更新</x:v>
      </x:c>
    </x:row>
    <x:row r="1457">
      <x:c r="A1457" s="12" t="str">
        <x:v>S0125-10</x:v>
      </x:c>
      <x:c r="B1457" s="12" t="str">
        <x:v>S0125</x:v>
      </x:c>
      <x:c r="C1457" s="12" t="str">
        <x:v>工作日</x:v>
      </x:c>
      <x:c r="D1457" s="12" t="str">
        <x:v>环线3路</x:v>
      </x:c>
      <x:c r="E1457" s="12" t="str">
        <x:v>第三班</x:v>
      </x:c>
      <x:c r="F1457" s="12" t="n">
        <x:v>4</x:v>
      </x:c>
      <x:c r="G1457" s="12" t="str">
        <x:v>9:35</x:v>
      </x:c>
      <x:c r="H1457" s="12" t="n">
        <x:v>575</x:v>
      </x:c>
      <x:c r="I1457" s="12" t="str">
        <x:v>研究生宿舍楼</x:v>
      </x:c>
      <x:c r="J1457" s="12" t="str">
        <x:v>研究生宿舍楼发车</x:v>
      </x:c>
      <x:c r="K1457" s="12" t="str">
        <x:v>HX3_NORMAL</x:v>
      </x:c>
      <x:c r="L1457" s="12" t="n">
        <x:v>10</x:v>
      </x:c>
      <x:c r="M1457" s="12" t="str">
        <x:v>HX3_NORMAL|10</x:v>
      </x:c>
      <x:c r="N1457" s="12" t="str">
        <x:v>图书馆</x:v>
      </x:c>
      <x:c r="O1457" s="12" t="n">
        <x:f>IFERROR(INDEX('秒级路线参数_可调整'!$O:$O,MATCH(M1457,'秒级路线参数_可调整'!$A:$A,0)),"")</x:f>
        <x:v>715</x:v>
      </x:c>
      <x:c r="P1457" s="12" t="n">
        <x:f>IF(O1457="","",O1457/86400)</x:f>
        <x:v>0.008275462962962964</x:v>
      </x:c>
      <x:c r="Q1457" s="12" t="n">
        <x:f>IF(O1457="","",(H1457*60+O1457)/86400)</x:f>
        <x:v>0.4075810185185185</x:v>
      </x:c>
      <x:c r="R1457" s="12" t="str">
        <x:f>IF(Q1457="","",TEXT(Q1457,"hh:mm:ss"))</x:f>
        <x:v>09:46:55</x:v>
      </x:c>
      <x:c r="S1457" s="12" t="str">
        <x:v>否</x:v>
      </x:c>
      <x:c r="T1457" s="12" t="str">
        <x:v>否</x:v>
      </x:c>
      <x:c r="U1457" s="12" t="str">
        <x:v>刘晓燕</x:v>
      </x:c>
      <x:c r="V1457" s="12" t="str">
        <x:v>4号车</x:v>
      </x:c>
      <x:c r="W1457" s="12" t="str">
        <x:v>秒级预测</x:v>
      </x:c>
      <x:c r="X1457" s="12" t="str">
        <x:v>基于路线秒级参数；如录入实测或手动采用秒，预计到达时间可随公式更新</x:v>
      </x:c>
    </x:row>
    <x:row r="1458">
      <x:c r="A1458" s="12" t="str">
        <x:v>S0125-11</x:v>
      </x:c>
      <x:c r="B1458" s="12" t="str">
        <x:v>S0125</x:v>
      </x:c>
      <x:c r="C1458" s="12" t="str">
        <x:v>工作日</x:v>
      </x:c>
      <x:c r="D1458" s="12" t="str">
        <x:v>环线3路</x:v>
      </x:c>
      <x:c r="E1458" s="12" t="str">
        <x:v>第三班</x:v>
      </x:c>
      <x:c r="F1458" s="12" t="n">
        <x:v>4</x:v>
      </x:c>
      <x:c r="G1458" s="12" t="str">
        <x:v>9:35</x:v>
      </x:c>
      <x:c r="H1458" s="12" t="n">
        <x:v>575</x:v>
      </x:c>
      <x:c r="I1458" s="12" t="str">
        <x:v>研究生宿舍楼</x:v>
      </x:c>
      <x:c r="J1458" s="12" t="str">
        <x:v>研究生宿舍楼发车</x:v>
      </x:c>
      <x:c r="K1458" s="12" t="str">
        <x:v>HX3_NORMAL</x:v>
      </x:c>
      <x:c r="L1458" s="12" t="n">
        <x:v>11</x:v>
      </x:c>
      <x:c r="M1458" s="12" t="str">
        <x:v>HX3_NORMAL|11</x:v>
      </x:c>
      <x:c r="N1458" s="12" t="str">
        <x:v>305教学楼</x:v>
      </x:c>
      <x:c r="O1458" s="12" t="n">
        <x:f>IFERROR(INDEX('秒级路线参数_可调整'!$O:$O,MATCH(M1458,'秒级路线参数_可调整'!$A:$A,0)),"")</x:f>
        <x:v>775</x:v>
      </x:c>
      <x:c r="P1458" s="12" t="n">
        <x:f>IF(O1458="","",O1458/86400)</x:f>
        <x:v>0.008969907407407407</x:v>
      </x:c>
      <x:c r="Q1458" s="12" t="n">
        <x:f>IF(O1458="","",(H1458*60+O1458)/86400)</x:f>
        <x:v>0.40827546296296297</x:v>
      </x:c>
      <x:c r="R1458" s="12" t="str">
        <x:f>IF(Q1458="","",TEXT(Q1458,"hh:mm:ss"))</x:f>
        <x:v>09:47:55</x:v>
      </x:c>
      <x:c r="S1458" s="12" t="str">
        <x:v>否</x:v>
      </x:c>
      <x:c r="T1458" s="12" t="str">
        <x:v>否</x:v>
      </x:c>
      <x:c r="U1458" s="12" t="str">
        <x:v>刘晓燕</x:v>
      </x:c>
      <x:c r="V1458" s="12" t="str">
        <x:v>4号车</x:v>
      </x:c>
      <x:c r="W1458" s="12" t="str">
        <x:v>秒级预测</x:v>
      </x:c>
      <x:c r="X1458" s="12" t="str">
        <x:v>基于路线秒级参数；如录入实测或手动采用秒，预计到达时间可随公式更新</x:v>
      </x:c>
    </x:row>
    <x:row r="1459">
      <x:c r="A1459" s="12" t="str">
        <x:v>S0125-12</x:v>
      </x:c>
      <x:c r="B1459" s="12" t="str">
        <x:v>S0125</x:v>
      </x:c>
      <x:c r="C1459" s="12" t="str">
        <x:v>工作日</x:v>
      </x:c>
      <x:c r="D1459" s="12" t="str">
        <x:v>环线3路</x:v>
      </x:c>
      <x:c r="E1459" s="12" t="str">
        <x:v>第三班</x:v>
      </x:c>
      <x:c r="F1459" s="12" t="n">
        <x:v>4</x:v>
      </x:c>
      <x:c r="G1459" s="12" t="str">
        <x:v>9:35</x:v>
      </x:c>
      <x:c r="H1459" s="12" t="n">
        <x:v>575</x:v>
      </x:c>
      <x:c r="I1459" s="12" t="str">
        <x:v>研究生宿舍楼</x:v>
      </x:c>
      <x:c r="J1459" s="12" t="str">
        <x:v>研究生宿舍楼发车</x:v>
      </x:c>
      <x:c r="K1459" s="12" t="str">
        <x:v>HX3_NORMAL</x:v>
      </x:c>
      <x:c r="L1459" s="12" t="n">
        <x:v>12</x:v>
      </x:c>
      <x:c r="M1459" s="12" t="str">
        <x:v>HX3_NORMAL|12</x:v>
      </x:c>
      <x:c r="N1459" s="12" t="str">
        <x:v>研究生宿舍楼</x:v>
      </x:c>
      <x:c r="O1459" s="12" t="n">
        <x:f>IFERROR(INDEX('秒级路线参数_可调整'!$O:$O,MATCH(M1459,'秒级路线参数_可调整'!$A:$A,0)),"")</x:f>
        <x:v>840</x:v>
      </x:c>
      <x:c r="P1459" s="12" t="n">
        <x:f>IF(O1459="","",O1459/86400)</x:f>
        <x:v>0.009722222222222222</x:v>
      </x:c>
      <x:c r="Q1459" s="12" t="n">
        <x:f>IF(O1459="","",(H1459*60+O1459)/86400)</x:f>
        <x:v>0.40902777777777777</x:v>
      </x:c>
      <x:c r="R1459" s="12" t="str">
        <x:f>IF(Q1459="","",TEXT(Q1459,"hh:mm:ss"))</x:f>
        <x:v>09:49:00</x:v>
      </x:c>
      <x:c r="S1459" s="12" t="str">
        <x:v>否</x:v>
      </x:c>
      <x:c r="T1459" s="12" t="str">
        <x:v>是</x:v>
      </x:c>
      <x:c r="U1459" s="12" t="str">
        <x:v>刘晓燕</x:v>
      </x:c>
      <x:c r="V1459" s="12" t="str">
        <x:v>4号车</x:v>
      </x:c>
      <x:c r="W1459" s="12" t="str">
        <x:v>秒级预测</x:v>
      </x:c>
      <x:c r="X1459" s="12" t="str">
        <x:v>基于路线秒级参数；如录入实测或手动采用秒，预计到达时间可随公式更新</x:v>
      </x:c>
    </x:row>
    <x:row r="1460">
      <x:c r="A1460" s="12" t="str">
        <x:v>S0126-01</x:v>
      </x:c>
      <x:c r="B1460" s="12" t="str">
        <x:v>S0126</x:v>
      </x:c>
      <x:c r="C1460" s="12" t="str">
        <x:v>工作日</x:v>
      </x:c>
      <x:c r="D1460" s="12" t="str">
        <x:v>环线3路</x:v>
      </x:c>
      <x:c r="E1460" s="12" t="str">
        <x:v>第三班</x:v>
      </x:c>
      <x:c r="F1460" s="12" t="n">
        <x:v>5</x:v>
      </x:c>
      <x:c r="G1460" s="12" t="str">
        <x:v>10:10</x:v>
      </x:c>
      <x:c r="H1460" s="12" t="n">
        <x:v>610</x:v>
      </x:c>
      <x:c r="I1460" s="12" t="str">
        <x:v>研究生宿舍楼</x:v>
      </x:c>
      <x:c r="J1460" s="12" t="str">
        <x:v>研究生宿舍楼发车</x:v>
      </x:c>
      <x:c r="K1460" s="12" t="str">
        <x:v>HX3_NORMAL</x:v>
      </x:c>
      <x:c r="L1460" s="12" t="n">
        <x:v>1</x:v>
      </x:c>
      <x:c r="M1460" s="12" t="str">
        <x:v>HX3_NORMAL|1</x:v>
      </x:c>
      <x:c r="N1460" s="12" t="str">
        <x:v>研究生宿舍楼</x:v>
      </x:c>
      <x:c r="O1460" s="12" t="n">
        <x:f>IFERROR(INDEX('秒级路线参数_可调整'!$O:$O,MATCH(M1460,'秒级路线参数_可调整'!$A:$A,0)),"")</x:f>
        <x:v>0</x:v>
      </x:c>
      <x:c r="P1460" s="12" t="str">
        <x:f>IF(O1460="","",O1460/86400)</x:f>
      </x:c>
      <x:c r="Q1460" s="12" t="str">
        <x:f>IF(O1460="","",(H1460*60+O1460)/86400)</x:f>
      </x:c>
      <x:c r="R1460" s="12" t="str">
        <x:f>IF(Q1460="","",TEXT(Q1460,"hh:mm:ss"))</x:f>
      </x:c>
      <x:c r="S1460" s="12" t="str">
        <x:v>是</x:v>
      </x:c>
      <x:c r="T1460" s="12" t="str">
        <x:v>否</x:v>
      </x:c>
      <x:c r="U1460" s="12" t="str">
        <x:v>刘晓燕</x:v>
      </x:c>
      <x:c r="V1460" s="12" t="str">
        <x:v>4号车</x:v>
      </x:c>
      <x:c r="W1460" s="12" t="str">
        <x:v>秒级预测</x:v>
      </x:c>
      <x:c r="X1460" s="12" t="str">
        <x:v>基于路线秒级参数；如录入实测或手动采用秒，预计到达时间可随公式更新</x:v>
      </x:c>
    </x:row>
    <x:row r="1461">
      <x:c r="A1461" s="12" t="str">
        <x:v>S0126-02</x:v>
      </x:c>
      <x:c r="B1461" s="12" t="str">
        <x:v>S0126</x:v>
      </x:c>
      <x:c r="C1461" s="12" t="str">
        <x:v>工作日</x:v>
      </x:c>
      <x:c r="D1461" s="12" t="str">
        <x:v>环线3路</x:v>
      </x:c>
      <x:c r="E1461" s="12" t="str">
        <x:v>第三班</x:v>
      </x:c>
      <x:c r="F1461" s="12" t="n">
        <x:v>5</x:v>
      </x:c>
      <x:c r="G1461" s="12" t="str">
        <x:v>10:10</x:v>
      </x:c>
      <x:c r="H1461" s="12" t="n">
        <x:v>610</x:v>
      </x:c>
      <x:c r="I1461" s="12" t="str">
        <x:v>研究生宿舍楼</x:v>
      </x:c>
      <x:c r="J1461" s="12" t="str">
        <x:v>研究生宿舍楼发车</x:v>
      </x:c>
      <x:c r="K1461" s="12" t="str">
        <x:v>HX3_NORMAL</x:v>
      </x:c>
      <x:c r="L1461" s="12" t="n">
        <x:v>2</x:v>
      </x:c>
      <x:c r="M1461" s="12" t="str">
        <x:v>HX3_NORMAL|2</x:v>
      </x:c>
      <x:c r="N1461" s="12" t="str">
        <x:v>一食堂</x:v>
      </x:c>
      <x:c r="O1461" s="12" t="n">
        <x:f>IFERROR(INDEX('秒级路线参数_可调整'!$O:$O,MATCH(M1461,'秒级路线参数_可调整'!$A:$A,0)),"")</x:f>
        <x:v>65</x:v>
      </x:c>
      <x:c r="P1461" s="12" t="n">
        <x:f>IF(O1461="","",O1461/86400)</x:f>
        <x:v>0.0007523148148148148</x:v>
      </x:c>
      <x:c r="Q1461" s="12" t="n">
        <x:f>IF(O1461="","",(H1461*60+O1461)/86400)</x:f>
        <x:v>0.4243634259259259</x:v>
      </x:c>
      <x:c r="R1461" s="12" t="str">
        <x:f>IF(Q1461="","",TEXT(Q1461,"hh:mm:ss"))</x:f>
        <x:v>10:11:05</x:v>
      </x:c>
      <x:c r="S1461" s="12" t="str">
        <x:v>否</x:v>
      </x:c>
      <x:c r="T1461" s="12" t="str">
        <x:v>否</x:v>
      </x:c>
      <x:c r="U1461" s="12" t="str">
        <x:v>刘晓燕</x:v>
      </x:c>
      <x:c r="V1461" s="12" t="str">
        <x:v>4号车</x:v>
      </x:c>
      <x:c r="W1461" s="12" t="str">
        <x:v>秒级预测</x:v>
      </x:c>
      <x:c r="X1461" s="12" t="str">
        <x:v>基于路线秒级参数；如录入实测或手动采用秒，预计到达时间可随公式更新</x:v>
      </x:c>
    </x:row>
    <x:row r="1462">
      <x:c r="A1462" s="12" t="str">
        <x:v>S0126-03</x:v>
      </x:c>
      <x:c r="B1462" s="12" t="str">
        <x:v>S0126</x:v>
      </x:c>
      <x:c r="C1462" s="12" t="str">
        <x:v>工作日</x:v>
      </x:c>
      <x:c r="D1462" s="12" t="str">
        <x:v>环线3路</x:v>
      </x:c>
      <x:c r="E1462" s="12" t="str">
        <x:v>第三班</x:v>
      </x:c>
      <x:c r="F1462" s="12" t="n">
        <x:v>5</x:v>
      </x:c>
      <x:c r="G1462" s="12" t="str">
        <x:v>10:10</x:v>
      </x:c>
      <x:c r="H1462" s="12" t="n">
        <x:v>610</x:v>
      </x:c>
      <x:c r="I1462" s="12" t="str">
        <x:v>研究生宿舍楼</x:v>
      </x:c>
      <x:c r="J1462" s="12" t="str">
        <x:v>研究生宿舍楼发车</x:v>
      </x:c>
      <x:c r="K1462" s="12" t="str">
        <x:v>HX3_NORMAL</x:v>
      </x:c>
      <x:c r="L1462" s="12" t="n">
        <x:v>3</x:v>
      </x:c>
      <x:c r="M1462" s="12" t="str">
        <x:v>HX3_NORMAL|3</x:v>
      </x:c>
      <x:c r="N1462" s="12" t="str">
        <x:v>2号宿舍楼</x:v>
      </x:c>
      <x:c r="O1462" s="12" t="n">
        <x:f>IFERROR(INDEX('秒级路线参数_可调整'!$O:$O,MATCH(M1462,'秒级路线参数_可调整'!$A:$A,0)),"")</x:f>
        <x:v>120</x:v>
      </x:c>
      <x:c r="P1462" s="12" t="n">
        <x:f>IF(O1462="","",O1462/86400)</x:f>
        <x:v>0.001388888888888889</x:v>
      </x:c>
      <x:c r="Q1462" s="12" t="n">
        <x:f>IF(O1462="","",(H1462*60+O1462)/86400)</x:f>
        <x:v>0.425</x:v>
      </x:c>
      <x:c r="R1462" s="12" t="str">
        <x:f>IF(Q1462="","",TEXT(Q1462,"hh:mm:ss"))</x:f>
        <x:v>10:12:00</x:v>
      </x:c>
      <x:c r="S1462" s="12" t="str">
        <x:v>否</x:v>
      </x:c>
      <x:c r="T1462" s="12" t="str">
        <x:v>否</x:v>
      </x:c>
      <x:c r="U1462" s="12" t="str">
        <x:v>刘晓燕</x:v>
      </x:c>
      <x:c r="V1462" s="12" t="str">
        <x:v>4号车</x:v>
      </x:c>
      <x:c r="W1462" s="12" t="str">
        <x:v>秒级预测</x:v>
      </x:c>
      <x:c r="X1462" s="12" t="str">
        <x:v>基于路线秒级参数；如录入实测或手动采用秒，预计到达时间可随公式更新</x:v>
      </x:c>
    </x:row>
    <x:row r="1463">
      <x:c r="A1463" s="12" t="str">
        <x:v>S0126-04</x:v>
      </x:c>
      <x:c r="B1463" s="12" t="str">
        <x:v>S0126</x:v>
      </x:c>
      <x:c r="C1463" s="12" t="str">
        <x:v>工作日</x:v>
      </x:c>
      <x:c r="D1463" s="12" t="str">
        <x:v>环线3路</x:v>
      </x:c>
      <x:c r="E1463" s="12" t="str">
        <x:v>第三班</x:v>
      </x:c>
      <x:c r="F1463" s="12" t="n">
        <x:v>5</x:v>
      </x:c>
      <x:c r="G1463" s="12" t="str">
        <x:v>10:10</x:v>
      </x:c>
      <x:c r="H1463" s="12" t="n">
        <x:v>610</x:v>
      </x:c>
      <x:c r="I1463" s="12" t="str">
        <x:v>研究生宿舍楼</x:v>
      </x:c>
      <x:c r="J1463" s="12" t="str">
        <x:v>研究生宿舍楼发车</x:v>
      </x:c>
      <x:c r="K1463" s="12" t="str">
        <x:v>HX3_NORMAL</x:v>
      </x:c>
      <x:c r="L1463" s="12" t="n">
        <x:v>4</x:v>
      </x:c>
      <x:c r="M1463" s="12" t="str">
        <x:v>HX3_NORMAL|4</x:v>
      </x:c>
      <x:c r="N1463" s="12" t="str">
        <x:v>军体活动中心</x:v>
      </x:c>
      <x:c r="O1463" s="12" t="n">
        <x:f>IFERROR(INDEX('秒级路线参数_可调整'!$O:$O,MATCH(M1463,'秒级路线参数_可调整'!$A:$A,0)),"")</x:f>
        <x:v>165</x:v>
      </x:c>
      <x:c r="P1463" s="12" t="n">
        <x:f>IF(O1463="","",O1463/86400)</x:f>
        <x:v>0.0019097222222222222</x:v>
      </x:c>
      <x:c r="Q1463" s="12" t="n">
        <x:f>IF(O1463="","",(H1463*60+O1463)/86400)</x:f>
        <x:v>0.42552083333333335</x:v>
      </x:c>
      <x:c r="R1463" s="12" t="str">
        <x:f>IF(Q1463="","",TEXT(Q1463,"hh:mm:ss"))</x:f>
        <x:v>10:12:45</x:v>
      </x:c>
      <x:c r="S1463" s="12" t="str">
        <x:v>否</x:v>
      </x:c>
      <x:c r="T1463" s="12" t="str">
        <x:v>否</x:v>
      </x:c>
      <x:c r="U1463" s="12" t="str">
        <x:v>刘晓燕</x:v>
      </x:c>
      <x:c r="V1463" s="12" t="str">
        <x:v>4号车</x:v>
      </x:c>
      <x:c r="W1463" s="12" t="str">
        <x:v>秒级预测</x:v>
      </x:c>
      <x:c r="X1463" s="12" t="str">
        <x:v>基于路线秒级参数；如录入实测或手动采用秒，预计到达时间可随公式更新</x:v>
      </x:c>
    </x:row>
    <x:row r="1464">
      <x:c r="A1464" s="12" t="str">
        <x:v>S0126-05</x:v>
      </x:c>
      <x:c r="B1464" s="12" t="str">
        <x:v>S0126</x:v>
      </x:c>
      <x:c r="C1464" s="12" t="str">
        <x:v>工作日</x:v>
      </x:c>
      <x:c r="D1464" s="12" t="str">
        <x:v>环线3路</x:v>
      </x:c>
      <x:c r="E1464" s="12" t="str">
        <x:v>第三班</x:v>
      </x:c>
      <x:c r="F1464" s="12" t="n">
        <x:v>5</x:v>
      </x:c>
      <x:c r="G1464" s="12" t="str">
        <x:v>10:10</x:v>
      </x:c>
      <x:c r="H1464" s="12" t="n">
        <x:v>610</x:v>
      </x:c>
      <x:c r="I1464" s="12" t="str">
        <x:v>研究生宿舍楼</x:v>
      </x:c>
      <x:c r="J1464" s="12" t="str">
        <x:v>研究生宿舍楼发车</x:v>
      </x:c>
      <x:c r="K1464" s="12" t="str">
        <x:v>HX3_NORMAL</x:v>
      </x:c>
      <x:c r="L1464" s="12" t="n">
        <x:v>5</x:v>
      </x:c>
      <x:c r="M1464" s="12" t="str">
        <x:v>HX3_NORMAL|5</x:v>
      </x:c>
      <x:c r="N1464" s="12" t="str">
        <x:v>教勤连</x:v>
      </x:c>
      <x:c r="O1464" s="12" t="n">
        <x:f>IFERROR(INDEX('秒级路线参数_可调整'!$O:$O,MATCH(M1464,'秒级路线参数_可调整'!$A:$A,0)),"")</x:f>
        <x:v>250</x:v>
      </x:c>
      <x:c r="P1464" s="12" t="n">
        <x:f>IF(O1464="","",O1464/86400)</x:f>
        <x:v>0.0028935185185185184</x:v>
      </x:c>
      <x:c r="Q1464" s="12" t="n">
        <x:f>IF(O1464="","",(H1464*60+O1464)/86400)</x:f>
        <x:v>0.42650462962962965</x:v>
      </x:c>
      <x:c r="R1464" s="12" t="str">
        <x:f>IF(Q1464="","",TEXT(Q1464,"hh:mm:ss"))</x:f>
        <x:v>10:14:10</x:v>
      </x:c>
      <x:c r="S1464" s="12" t="str">
        <x:v>否</x:v>
      </x:c>
      <x:c r="T1464" s="12" t="str">
        <x:v>否</x:v>
      </x:c>
      <x:c r="U1464" s="12" t="str">
        <x:v>刘晓燕</x:v>
      </x:c>
      <x:c r="V1464" s="12" t="str">
        <x:v>4号车</x:v>
      </x:c>
      <x:c r="W1464" s="12" t="str">
        <x:v>秒级预测</x:v>
      </x:c>
      <x:c r="X1464" s="12" t="str">
        <x:v>基于路线秒级参数；如录入实测或手动采用秒，预计到达时间可随公式更新</x:v>
      </x:c>
    </x:row>
    <x:row r="1465">
      <x:c r="A1465" s="12" t="str">
        <x:v>S0126-06</x:v>
      </x:c>
      <x:c r="B1465" s="12" t="str">
        <x:v>S0126</x:v>
      </x:c>
      <x:c r="C1465" s="12" t="str">
        <x:v>工作日</x:v>
      </x:c>
      <x:c r="D1465" s="12" t="str">
        <x:v>环线3路</x:v>
      </x:c>
      <x:c r="E1465" s="12" t="str">
        <x:v>第三班</x:v>
      </x:c>
      <x:c r="F1465" s="12" t="n">
        <x:v>5</x:v>
      </x:c>
      <x:c r="G1465" s="12" t="str">
        <x:v>10:10</x:v>
      </x:c>
      <x:c r="H1465" s="12" t="n">
        <x:v>610</x:v>
      </x:c>
      <x:c r="I1465" s="12" t="str">
        <x:v>研究生宿舍楼</x:v>
      </x:c>
      <x:c r="J1465" s="12" t="str">
        <x:v>研究生宿舍楼发车</x:v>
      </x:c>
      <x:c r="K1465" s="12" t="str">
        <x:v>HX3_NORMAL</x:v>
      </x:c>
      <x:c r="L1465" s="12" t="n">
        <x:v>6</x:v>
      </x:c>
      <x:c r="M1465" s="12" t="str">
        <x:v>HX3_NORMAL|6</x:v>
      </x:c>
      <x:c r="N1465" s="12" t="str">
        <x:v>激光所</x:v>
      </x:c>
      <x:c r="O1465" s="12" t="n">
        <x:f>IFERROR(INDEX('秒级路线参数_可调整'!$O:$O,MATCH(M1465,'秒级路线参数_可调整'!$A:$A,0)),"")</x:f>
        <x:v>315</x:v>
      </x:c>
      <x:c r="P1465" s="12" t="n">
        <x:f>IF(O1465="","",O1465/86400)</x:f>
        <x:v>0.0036458333333333334</x:v>
      </x:c>
      <x:c r="Q1465" s="12" t="n">
        <x:f>IF(O1465="","",(H1465*60+O1465)/86400)</x:f>
        <x:v>0.42725694444444445</x:v>
      </x:c>
      <x:c r="R1465" s="12" t="str">
        <x:f>IF(Q1465="","",TEXT(Q1465,"hh:mm:ss"))</x:f>
        <x:v>10:15:15</x:v>
      </x:c>
      <x:c r="S1465" s="12" t="str">
        <x:v>否</x:v>
      </x:c>
      <x:c r="T1465" s="12" t="str">
        <x:v>否</x:v>
      </x:c>
      <x:c r="U1465" s="12" t="str">
        <x:v>刘晓燕</x:v>
      </x:c>
      <x:c r="V1465" s="12" t="str">
        <x:v>4号车</x:v>
      </x:c>
      <x:c r="W1465" s="12" t="str">
        <x:v>秒级预测</x:v>
      </x:c>
      <x:c r="X1465" s="12" t="str">
        <x:v>基于路线秒级参数；如录入实测或手动采用秒，预计到达时间可随公式更新</x:v>
      </x:c>
    </x:row>
    <x:row r="1466">
      <x:c r="A1466" s="12" t="str">
        <x:v>S0126-07</x:v>
      </x:c>
      <x:c r="B1466" s="12" t="str">
        <x:v>S0126</x:v>
      </x:c>
      <x:c r="C1466" s="12" t="str">
        <x:v>工作日</x:v>
      </x:c>
      <x:c r="D1466" s="12" t="str">
        <x:v>环线3路</x:v>
      </x:c>
      <x:c r="E1466" s="12" t="str">
        <x:v>第三班</x:v>
      </x:c>
      <x:c r="F1466" s="12" t="n">
        <x:v>5</x:v>
      </x:c>
      <x:c r="G1466" s="12" t="str">
        <x:v>10:10</x:v>
      </x:c>
      <x:c r="H1466" s="12" t="n">
        <x:v>610</x:v>
      </x:c>
      <x:c r="I1466" s="12" t="str">
        <x:v>研究生宿舍楼</x:v>
      </x:c>
      <x:c r="J1466" s="12" t="str">
        <x:v>研究生宿舍楼发车</x:v>
      </x:c>
      <x:c r="K1466" s="12" t="str">
        <x:v>HX3_NORMAL</x:v>
      </x:c>
      <x:c r="L1466" s="12" t="n">
        <x:v>7</x:v>
      </x:c>
      <x:c r="M1466" s="12" t="str">
        <x:v>HX3_NORMAL|7</x:v>
      </x:c>
      <x:c r="N1466" s="12" t="str">
        <x:v>高超楼</x:v>
      </x:c>
      <x:c r="O1466" s="12" t="n">
        <x:f>IFERROR(INDEX('秒级路线参数_可调整'!$O:$O,MATCH(M1466,'秒级路线参数_可调整'!$A:$A,0)),"")</x:f>
        <x:v>420</x:v>
      </x:c>
      <x:c r="P1466" s="12" t="n">
        <x:f>IF(O1466="","",O1466/86400)</x:f>
        <x:v>0.004861111111111111</x:v>
      </x:c>
      <x:c r="Q1466" s="12" t="n">
        <x:f>IF(O1466="","",(H1466*60+O1466)/86400)</x:f>
        <x:v>0.4284722222222222</x:v>
      </x:c>
      <x:c r="R1466" s="12" t="str">
        <x:f>IF(Q1466="","",TEXT(Q1466,"hh:mm:ss"))</x:f>
        <x:v>10:17:00</x:v>
      </x:c>
      <x:c r="S1466" s="12" t="str">
        <x:v>否</x:v>
      </x:c>
      <x:c r="T1466" s="12" t="str">
        <x:v>否</x:v>
      </x:c>
      <x:c r="U1466" s="12" t="str">
        <x:v>刘晓燕</x:v>
      </x:c>
      <x:c r="V1466" s="12" t="str">
        <x:v>4号车</x:v>
      </x:c>
      <x:c r="W1466" s="12" t="str">
        <x:v>秒级预测</x:v>
      </x:c>
      <x:c r="X1466" s="12" t="str">
        <x:v>基于路线秒级参数；如录入实测或手动采用秒，预计到达时间可随公式更新</x:v>
      </x:c>
    </x:row>
    <x:row r="1467">
      <x:c r="A1467" s="12" t="str">
        <x:v>S0126-08</x:v>
      </x:c>
      <x:c r="B1467" s="12" t="str">
        <x:v>S0126</x:v>
      </x:c>
      <x:c r="C1467" s="12" t="str">
        <x:v>工作日</x:v>
      </x:c>
      <x:c r="D1467" s="12" t="str">
        <x:v>环线3路</x:v>
      </x:c>
      <x:c r="E1467" s="12" t="str">
        <x:v>第三班</x:v>
      </x:c>
      <x:c r="F1467" s="12" t="n">
        <x:v>5</x:v>
      </x:c>
      <x:c r="G1467" s="12" t="str">
        <x:v>10:10</x:v>
      </x:c>
      <x:c r="H1467" s="12" t="n">
        <x:v>610</x:v>
      </x:c>
      <x:c r="I1467" s="12" t="str">
        <x:v>研究生宿舍楼</x:v>
      </x:c>
      <x:c r="J1467" s="12" t="str">
        <x:v>研究生宿舍楼发车</x:v>
      </x:c>
      <x:c r="K1467" s="12" t="str">
        <x:v>HX3_NORMAL</x:v>
      </x:c>
      <x:c r="L1467" s="12" t="n">
        <x:v>8</x:v>
      </x:c>
      <x:c r="M1467" s="12" t="str">
        <x:v>HX3_NORMAL|8</x:v>
      </x:c>
      <x:c r="N1467" s="12" t="str">
        <x:v>理学院</x:v>
      </x:c>
      <x:c r="O1467" s="12" t="n">
        <x:f>IFERROR(INDEX('秒级路线参数_可调整'!$O:$O,MATCH(M1467,'秒级路线参数_可调整'!$A:$A,0)),"")</x:f>
        <x:v>480</x:v>
      </x:c>
      <x:c r="P1467" s="12" t="n">
        <x:f>IF(O1467="","",O1467/86400)</x:f>
        <x:v>0.005555555555555556</x:v>
      </x:c>
      <x:c r="Q1467" s="12" t="n">
        <x:f>IF(O1467="","",(H1467*60+O1467)/86400)</x:f>
        <x:v>0.42916666666666664</x:v>
      </x:c>
      <x:c r="R1467" s="12" t="str">
        <x:f>IF(Q1467="","",TEXT(Q1467,"hh:mm:ss"))</x:f>
        <x:v>10:18:00</x:v>
      </x:c>
      <x:c r="S1467" s="12" t="str">
        <x:v>否</x:v>
      </x:c>
      <x:c r="T1467" s="12" t="str">
        <x:v>否</x:v>
      </x:c>
      <x:c r="U1467" s="12" t="str">
        <x:v>刘晓燕</x:v>
      </x:c>
      <x:c r="V1467" s="12" t="str">
        <x:v>4号车</x:v>
      </x:c>
      <x:c r="W1467" s="12" t="str">
        <x:v>秒级预测</x:v>
      </x:c>
      <x:c r="X1467" s="12" t="str">
        <x:v>基于路线秒级参数；如录入实测或手动采用秒，预计到达时间可随公式更新</x:v>
      </x:c>
    </x:row>
    <x:row r="1468">
      <x:c r="A1468" s="12" t="str">
        <x:v>S0126-09</x:v>
      </x:c>
      <x:c r="B1468" s="12" t="str">
        <x:v>S0126</x:v>
      </x:c>
      <x:c r="C1468" s="12" t="str">
        <x:v>工作日</x:v>
      </x:c>
      <x:c r="D1468" s="12" t="str">
        <x:v>环线3路</x:v>
      </x:c>
      <x:c r="E1468" s="12" t="str">
        <x:v>第三班</x:v>
      </x:c>
      <x:c r="F1468" s="12" t="n">
        <x:v>5</x:v>
      </x:c>
      <x:c r="G1468" s="12" t="str">
        <x:v>10:10</x:v>
      </x:c>
      <x:c r="H1468" s="12" t="n">
        <x:v>610</x:v>
      </x:c>
      <x:c r="I1468" s="12" t="str">
        <x:v>研究生宿舍楼</x:v>
      </x:c>
      <x:c r="J1468" s="12" t="str">
        <x:v>研究生宿舍楼发车</x:v>
      </x:c>
      <x:c r="K1468" s="12" t="str">
        <x:v>HX3_NORMAL</x:v>
      </x:c>
      <x:c r="L1468" s="12" t="n">
        <x:v>9</x:v>
      </x:c>
      <x:c r="M1468" s="12" t="str">
        <x:v>HX3_NORMAL|9</x:v>
      </x:c>
      <x:c r="N1468" s="12" t="str">
        <x:v>二食堂</x:v>
      </x:c>
      <x:c r="O1468" s="12" t="n">
        <x:f>IFERROR(INDEX('秒级路线参数_可调整'!$O:$O,MATCH(M1468,'秒级路线参数_可调整'!$A:$A,0)),"")</x:f>
        <x:v>535</x:v>
      </x:c>
      <x:c r="P1468" s="12" t="n">
        <x:f>IF(O1468="","",O1468/86400)</x:f>
        <x:v>0.00619212962962963</x:v>
      </x:c>
      <x:c r="Q1468" s="12" t="n">
        <x:f>IF(O1468="","",(H1468*60+O1468)/86400)</x:f>
        <x:v>0.4298032407407407</x:v>
      </x:c>
      <x:c r="R1468" s="12" t="str">
        <x:f>IF(Q1468="","",TEXT(Q1468,"hh:mm:ss"))</x:f>
        <x:v>10:18:55</x:v>
      </x:c>
      <x:c r="S1468" s="12" t="str">
        <x:v>否</x:v>
      </x:c>
      <x:c r="T1468" s="12" t="str">
        <x:v>否</x:v>
      </x:c>
      <x:c r="U1468" s="12" t="str">
        <x:v>刘晓燕</x:v>
      </x:c>
      <x:c r="V1468" s="12" t="str">
        <x:v>4号车</x:v>
      </x:c>
      <x:c r="W1468" s="12" t="str">
        <x:v>秒级预测</x:v>
      </x:c>
      <x:c r="X1468" s="12" t="str">
        <x:v>基于路线秒级参数；如录入实测或手动采用秒，预计到达时间可随公式更新</x:v>
      </x:c>
    </x:row>
    <x:row r="1469">
      <x:c r="A1469" s="12" t="str">
        <x:v>S0126-10</x:v>
      </x:c>
      <x:c r="B1469" s="12" t="str">
        <x:v>S0126</x:v>
      </x:c>
      <x:c r="C1469" s="12" t="str">
        <x:v>工作日</x:v>
      </x:c>
      <x:c r="D1469" s="12" t="str">
        <x:v>环线3路</x:v>
      </x:c>
      <x:c r="E1469" s="12" t="str">
        <x:v>第三班</x:v>
      </x:c>
      <x:c r="F1469" s="12" t="n">
        <x:v>5</x:v>
      </x:c>
      <x:c r="G1469" s="12" t="str">
        <x:v>10:10</x:v>
      </x:c>
      <x:c r="H1469" s="12" t="n">
        <x:v>610</x:v>
      </x:c>
      <x:c r="I1469" s="12" t="str">
        <x:v>研究生宿舍楼</x:v>
      </x:c>
      <x:c r="J1469" s="12" t="str">
        <x:v>研究生宿舍楼发车</x:v>
      </x:c>
      <x:c r="K1469" s="12" t="str">
        <x:v>HX3_NORMAL</x:v>
      </x:c>
      <x:c r="L1469" s="12" t="n">
        <x:v>10</x:v>
      </x:c>
      <x:c r="M1469" s="12" t="str">
        <x:v>HX3_NORMAL|10</x:v>
      </x:c>
      <x:c r="N1469" s="12" t="str">
        <x:v>图书馆</x:v>
      </x:c>
      <x:c r="O1469" s="12" t="n">
        <x:f>IFERROR(INDEX('秒级路线参数_可调整'!$O:$O,MATCH(M1469,'秒级路线参数_可调整'!$A:$A,0)),"")</x:f>
        <x:v>715</x:v>
      </x:c>
      <x:c r="P1469" s="12" t="n">
        <x:f>IF(O1469="","",O1469/86400)</x:f>
        <x:v>0.008275462962962964</x:v>
      </x:c>
      <x:c r="Q1469" s="12" t="n">
        <x:f>IF(O1469="","",(H1469*60+O1469)/86400)</x:f>
        <x:v>0.43188657407407405</x:v>
      </x:c>
      <x:c r="R1469" s="12" t="str">
        <x:f>IF(Q1469="","",TEXT(Q1469,"hh:mm:ss"))</x:f>
        <x:v>10:21:55</x:v>
      </x:c>
      <x:c r="S1469" s="12" t="str">
        <x:v>否</x:v>
      </x:c>
      <x:c r="T1469" s="12" t="str">
        <x:v>否</x:v>
      </x:c>
      <x:c r="U1469" s="12" t="str">
        <x:v>刘晓燕</x:v>
      </x:c>
      <x:c r="V1469" s="12" t="str">
        <x:v>4号车</x:v>
      </x:c>
      <x:c r="W1469" s="12" t="str">
        <x:v>秒级预测</x:v>
      </x:c>
      <x:c r="X1469" s="12" t="str">
        <x:v>基于路线秒级参数；如录入实测或手动采用秒，预计到达时间可随公式更新</x:v>
      </x:c>
    </x:row>
    <x:row r="1470">
      <x:c r="A1470" s="12" t="str">
        <x:v>S0126-11</x:v>
      </x:c>
      <x:c r="B1470" s="12" t="str">
        <x:v>S0126</x:v>
      </x:c>
      <x:c r="C1470" s="12" t="str">
        <x:v>工作日</x:v>
      </x:c>
      <x:c r="D1470" s="12" t="str">
        <x:v>环线3路</x:v>
      </x:c>
      <x:c r="E1470" s="12" t="str">
        <x:v>第三班</x:v>
      </x:c>
      <x:c r="F1470" s="12" t="n">
        <x:v>5</x:v>
      </x:c>
      <x:c r="G1470" s="12" t="str">
        <x:v>10:10</x:v>
      </x:c>
      <x:c r="H1470" s="12" t="n">
        <x:v>610</x:v>
      </x:c>
      <x:c r="I1470" s="12" t="str">
        <x:v>研究生宿舍楼</x:v>
      </x:c>
      <x:c r="J1470" s="12" t="str">
        <x:v>研究生宿舍楼发车</x:v>
      </x:c>
      <x:c r="K1470" s="12" t="str">
        <x:v>HX3_NORMAL</x:v>
      </x:c>
      <x:c r="L1470" s="12" t="n">
        <x:v>11</x:v>
      </x:c>
      <x:c r="M1470" s="12" t="str">
        <x:v>HX3_NORMAL|11</x:v>
      </x:c>
      <x:c r="N1470" s="12" t="str">
        <x:v>305教学楼</x:v>
      </x:c>
      <x:c r="O1470" s="12" t="n">
        <x:f>IFERROR(INDEX('秒级路线参数_可调整'!$O:$O,MATCH(M1470,'秒级路线参数_可调整'!$A:$A,0)),"")</x:f>
        <x:v>775</x:v>
      </x:c>
      <x:c r="P1470" s="12" t="n">
        <x:f>IF(O1470="","",O1470/86400)</x:f>
        <x:v>0.008969907407407407</x:v>
      </x:c>
      <x:c r="Q1470" s="12" t="n">
        <x:f>IF(O1470="","",(H1470*60+O1470)/86400)</x:f>
        <x:v>0.43258101851851855</x:v>
      </x:c>
      <x:c r="R1470" s="12" t="str">
        <x:f>IF(Q1470="","",TEXT(Q1470,"hh:mm:ss"))</x:f>
        <x:v>10:22:55</x:v>
      </x:c>
      <x:c r="S1470" s="12" t="str">
        <x:v>否</x:v>
      </x:c>
      <x:c r="T1470" s="12" t="str">
        <x:v>否</x:v>
      </x:c>
      <x:c r="U1470" s="12" t="str">
        <x:v>刘晓燕</x:v>
      </x:c>
      <x:c r="V1470" s="12" t="str">
        <x:v>4号车</x:v>
      </x:c>
      <x:c r="W1470" s="12" t="str">
        <x:v>秒级预测</x:v>
      </x:c>
      <x:c r="X1470" s="12" t="str">
        <x:v>基于路线秒级参数；如录入实测或手动采用秒，预计到达时间可随公式更新</x:v>
      </x:c>
    </x:row>
    <x:row r="1471">
      <x:c r="A1471" s="12" t="str">
        <x:v>S0126-12</x:v>
      </x:c>
      <x:c r="B1471" s="12" t="str">
        <x:v>S0126</x:v>
      </x:c>
      <x:c r="C1471" s="12" t="str">
        <x:v>工作日</x:v>
      </x:c>
      <x:c r="D1471" s="12" t="str">
        <x:v>环线3路</x:v>
      </x:c>
      <x:c r="E1471" s="12" t="str">
        <x:v>第三班</x:v>
      </x:c>
      <x:c r="F1471" s="12" t="n">
        <x:v>5</x:v>
      </x:c>
      <x:c r="G1471" s="12" t="str">
        <x:v>10:10</x:v>
      </x:c>
      <x:c r="H1471" s="12" t="n">
        <x:v>610</x:v>
      </x:c>
      <x:c r="I1471" s="12" t="str">
        <x:v>研究生宿舍楼</x:v>
      </x:c>
      <x:c r="J1471" s="12" t="str">
        <x:v>研究生宿舍楼发车</x:v>
      </x:c>
      <x:c r="K1471" s="12" t="str">
        <x:v>HX3_NORMAL</x:v>
      </x:c>
      <x:c r="L1471" s="12" t="n">
        <x:v>12</x:v>
      </x:c>
      <x:c r="M1471" s="12" t="str">
        <x:v>HX3_NORMAL|12</x:v>
      </x:c>
      <x:c r="N1471" s="12" t="str">
        <x:v>研究生宿舍楼</x:v>
      </x:c>
      <x:c r="O1471" s="12" t="n">
        <x:f>IFERROR(INDEX('秒级路线参数_可调整'!$O:$O,MATCH(M1471,'秒级路线参数_可调整'!$A:$A,0)),"")</x:f>
        <x:v>840</x:v>
      </x:c>
      <x:c r="P1471" s="12" t="n">
        <x:f>IF(O1471="","",O1471/86400)</x:f>
        <x:v>0.009722222222222222</x:v>
      </x:c>
      <x:c r="Q1471" s="12" t="n">
        <x:f>IF(O1471="","",(H1471*60+O1471)/86400)</x:f>
        <x:v>0.43333333333333335</x:v>
      </x:c>
      <x:c r="R1471" s="12" t="str">
        <x:f>IF(Q1471="","",TEXT(Q1471,"hh:mm:ss"))</x:f>
        <x:v>10:24:00</x:v>
      </x:c>
      <x:c r="S1471" s="12" t="str">
        <x:v>否</x:v>
      </x:c>
      <x:c r="T1471" s="12" t="str">
        <x:v>是</x:v>
      </x:c>
      <x:c r="U1471" s="12" t="str">
        <x:v>刘晓燕</x:v>
      </x:c>
      <x:c r="V1471" s="12" t="str">
        <x:v>4号车</x:v>
      </x:c>
      <x:c r="W1471" s="12" t="str">
        <x:v>秒级预测</x:v>
      </x:c>
      <x:c r="X1471" s="12" t="str">
        <x:v>基于路线秒级参数；如录入实测或手动采用秒，预计到达时间可随公式更新</x:v>
      </x:c>
    </x:row>
    <x:row r="1472">
      <x:c r="A1472" s="12" t="str">
        <x:v>S0127-01</x:v>
      </x:c>
      <x:c r="B1472" s="12" t="str">
        <x:v>S0127</x:v>
      </x:c>
      <x:c r="C1472" s="12" t="str">
        <x:v>工作日</x:v>
      </x:c>
      <x:c r="D1472" s="12" t="str">
        <x:v>环线3路</x:v>
      </x:c>
      <x:c r="E1472" s="12" t="str">
        <x:v>第三班</x:v>
      </x:c>
      <x:c r="F1472" s="12" t="n">
        <x:v>6</x:v>
      </x:c>
      <x:c r="G1472" s="12" t="str">
        <x:v>10:45</x:v>
      </x:c>
      <x:c r="H1472" s="12" t="n">
        <x:v>645</x:v>
      </x:c>
      <x:c r="I1472" s="12" t="str">
        <x:v>高超楼（系统工程学院旁）</x:v>
      </x:c>
      <x:c r="J1472" s="12" t="str">
        <x:v>高超楼发车</x:v>
      </x:c>
      <x:c r="K1472" s="12" t="str">
        <x:v>HX3_GAOCHAO</x:v>
      </x:c>
      <x:c r="L1472" s="12" t="n">
        <x:v>1</x:v>
      </x:c>
      <x:c r="M1472" s="12" t="str">
        <x:v>HX3_GAOCHAO|1</x:v>
      </x:c>
      <x:c r="N1472" s="12" t="str">
        <x:v>高超楼</x:v>
      </x:c>
      <x:c r="O1472" s="12" t="n">
        <x:f>IFERROR(INDEX('秒级路线参数_可调整'!$O:$O,MATCH(M1472,'秒级路线参数_可调整'!$A:$A,0)),"")</x:f>
        <x:v>0</x:v>
      </x:c>
      <x:c r="P1472" s="12" t="str">
        <x:f>IF(O1472="","",O1472/86400)</x:f>
      </x:c>
      <x:c r="Q1472" s="12" t="str">
        <x:f>IF(O1472="","",(H1472*60+O1472)/86400)</x:f>
      </x:c>
      <x:c r="R1472" s="12" t="str">
        <x:f>IF(Q1472="","",TEXT(Q1472,"hh:mm:ss"))</x:f>
      </x:c>
      <x:c r="S1472" s="12" t="str">
        <x:v>是</x:v>
      </x:c>
      <x:c r="T1472" s="12" t="str">
        <x:v>否</x:v>
      </x:c>
      <x:c r="U1472" s="12" t="str">
        <x:v>刘晓燕</x:v>
      </x:c>
      <x:c r="V1472" s="12" t="str">
        <x:v>4号车</x:v>
      </x:c>
      <x:c r="W1472" s="12" t="str">
        <x:v>秒级预测</x:v>
      </x:c>
      <x:c r="X1472" s="12" t="str">
        <x:v>基于路线秒级参数；如录入实测或手动采用秒，预计到达时间可随公式更新</x:v>
      </x:c>
    </x:row>
    <x:row r="1473">
      <x:c r="A1473" s="12" t="str">
        <x:v>S0127-02</x:v>
      </x:c>
      <x:c r="B1473" s="12" t="str">
        <x:v>S0127</x:v>
      </x:c>
      <x:c r="C1473" s="12" t="str">
        <x:v>工作日</x:v>
      </x:c>
      <x:c r="D1473" s="12" t="str">
        <x:v>环线3路</x:v>
      </x:c>
      <x:c r="E1473" s="12" t="str">
        <x:v>第三班</x:v>
      </x:c>
      <x:c r="F1473" s="12" t="n">
        <x:v>6</x:v>
      </x:c>
      <x:c r="G1473" s="12" t="str">
        <x:v>10:45</x:v>
      </x:c>
      <x:c r="H1473" s="12" t="n">
        <x:v>645</x:v>
      </x:c>
      <x:c r="I1473" s="12" t="str">
        <x:v>高超楼（系统工程学院旁）</x:v>
      </x:c>
      <x:c r="J1473" s="12" t="str">
        <x:v>高超楼发车</x:v>
      </x:c>
      <x:c r="K1473" s="12" t="str">
        <x:v>HX3_GAOCHAO</x:v>
      </x:c>
      <x:c r="L1473" s="12" t="n">
        <x:v>2</x:v>
      </x:c>
      <x:c r="M1473" s="12" t="str">
        <x:v>HX3_GAOCHAO|2</x:v>
      </x:c>
      <x:c r="N1473" s="12" t="str">
        <x:v>理学院</x:v>
      </x:c>
      <x:c r="O1473" s="12" t="n">
        <x:f>IFERROR(INDEX('秒级路线参数_可调整'!$O:$O,MATCH(M1473,'秒级路线参数_可调整'!$A:$A,0)),"")</x:f>
        <x:v>65</x:v>
      </x:c>
      <x:c r="P1473" s="12" t="n">
        <x:f>IF(O1473="","",O1473/86400)</x:f>
        <x:v>0.0007523148148148148</x:v>
      </x:c>
      <x:c r="Q1473" s="12" t="n">
        <x:f>IF(O1473="","",(H1473*60+O1473)/86400)</x:f>
        <x:v>0.4486689814814815</x:v>
      </x:c>
      <x:c r="R1473" s="12" t="str">
        <x:f>IF(Q1473="","",TEXT(Q1473,"hh:mm:ss"))</x:f>
        <x:v>10:46:05</x:v>
      </x:c>
      <x:c r="S1473" s="12" t="str">
        <x:v>否</x:v>
      </x:c>
      <x:c r="T1473" s="12" t="str">
        <x:v>否</x:v>
      </x:c>
      <x:c r="U1473" s="12" t="str">
        <x:v>刘晓燕</x:v>
      </x:c>
      <x:c r="V1473" s="12" t="str">
        <x:v>4号车</x:v>
      </x:c>
      <x:c r="W1473" s="12" t="str">
        <x:v>秒级预测</x:v>
      </x:c>
      <x:c r="X1473" s="12" t="str">
        <x:v>基于路线秒级参数；如录入实测或手动采用秒，预计到达时间可随公式更新</x:v>
      </x:c>
    </x:row>
    <x:row r="1474">
      <x:c r="A1474" s="12" t="str">
        <x:v>S0127-03</x:v>
      </x:c>
      <x:c r="B1474" s="12" t="str">
        <x:v>S0127</x:v>
      </x:c>
      <x:c r="C1474" s="12" t="str">
        <x:v>工作日</x:v>
      </x:c>
      <x:c r="D1474" s="12" t="str">
        <x:v>环线3路</x:v>
      </x:c>
      <x:c r="E1474" s="12" t="str">
        <x:v>第三班</x:v>
      </x:c>
      <x:c r="F1474" s="12" t="n">
        <x:v>6</x:v>
      </x:c>
      <x:c r="G1474" s="12" t="str">
        <x:v>10:45</x:v>
      </x:c>
      <x:c r="H1474" s="12" t="n">
        <x:v>645</x:v>
      </x:c>
      <x:c r="I1474" s="12" t="str">
        <x:v>高超楼（系统工程学院旁）</x:v>
      </x:c>
      <x:c r="J1474" s="12" t="str">
        <x:v>高超楼发车</x:v>
      </x:c>
      <x:c r="K1474" s="12" t="str">
        <x:v>HX3_GAOCHAO</x:v>
      </x:c>
      <x:c r="L1474" s="12" t="n">
        <x:v>3</x:v>
      </x:c>
      <x:c r="M1474" s="12" t="str">
        <x:v>HX3_GAOCHAO|3</x:v>
      </x:c>
      <x:c r="N1474" s="12" t="str">
        <x:v>二食堂</x:v>
      </x:c>
      <x:c r="O1474" s="12" t="n">
        <x:f>IFERROR(INDEX('秒级路线参数_可调整'!$O:$O,MATCH(M1474,'秒级路线参数_可调整'!$A:$A,0)),"")</x:f>
        <x:v>120</x:v>
      </x:c>
      <x:c r="P1474" s="12" t="n">
        <x:f>IF(O1474="","",O1474/86400)</x:f>
        <x:v>0.001388888888888889</x:v>
      </x:c>
      <x:c r="Q1474" s="12" t="n">
        <x:f>IF(O1474="","",(H1474*60+O1474)/86400)</x:f>
        <x:v>0.44930555555555557</x:v>
      </x:c>
      <x:c r="R1474" s="12" t="str">
        <x:f>IF(Q1474="","",TEXT(Q1474,"hh:mm:ss"))</x:f>
        <x:v>10:47:00</x:v>
      </x:c>
      <x:c r="S1474" s="12" t="str">
        <x:v>否</x:v>
      </x:c>
      <x:c r="T1474" s="12" t="str">
        <x:v>否</x:v>
      </x:c>
      <x:c r="U1474" s="12" t="str">
        <x:v>刘晓燕</x:v>
      </x:c>
      <x:c r="V1474" s="12" t="str">
        <x:v>4号车</x:v>
      </x:c>
      <x:c r="W1474" s="12" t="str">
        <x:v>秒级预测</x:v>
      </x:c>
      <x:c r="X1474" s="12" t="str">
        <x:v>基于路线秒级参数；如录入实测或手动采用秒，预计到达时间可随公式更新</x:v>
      </x:c>
    </x:row>
    <x:row r="1475">
      <x:c r="A1475" s="12" t="str">
        <x:v>S0127-04</x:v>
      </x:c>
      <x:c r="B1475" s="12" t="str">
        <x:v>S0127</x:v>
      </x:c>
      <x:c r="C1475" s="12" t="str">
        <x:v>工作日</x:v>
      </x:c>
      <x:c r="D1475" s="12" t="str">
        <x:v>环线3路</x:v>
      </x:c>
      <x:c r="E1475" s="12" t="str">
        <x:v>第三班</x:v>
      </x:c>
      <x:c r="F1475" s="12" t="n">
        <x:v>6</x:v>
      </x:c>
      <x:c r="G1475" s="12" t="str">
        <x:v>10:45</x:v>
      </x:c>
      <x:c r="H1475" s="12" t="n">
        <x:v>645</x:v>
      </x:c>
      <x:c r="I1475" s="12" t="str">
        <x:v>高超楼（系统工程学院旁）</x:v>
      </x:c>
      <x:c r="J1475" s="12" t="str">
        <x:v>高超楼发车</x:v>
      </x:c>
      <x:c r="K1475" s="12" t="str">
        <x:v>HX3_GAOCHAO</x:v>
      </x:c>
      <x:c r="L1475" s="12" t="n">
        <x:v>4</x:v>
      </x:c>
      <x:c r="M1475" s="12" t="str">
        <x:v>HX3_GAOCHAO|4</x:v>
      </x:c>
      <x:c r="N1475" s="12" t="str">
        <x:v>图书馆</x:v>
      </x:c>
      <x:c r="O1475" s="12" t="n">
        <x:f>IFERROR(INDEX('秒级路线参数_可调整'!$O:$O,MATCH(M1475,'秒级路线参数_可调整'!$A:$A,0)),"")</x:f>
        <x:v>165</x:v>
      </x:c>
      <x:c r="P1475" s="12" t="n">
        <x:f>IF(O1475="","",O1475/86400)</x:f>
        <x:v>0.0019097222222222222</x:v>
      </x:c>
      <x:c r="Q1475" s="12" t="n">
        <x:f>IF(O1475="","",(H1475*60+O1475)/86400)</x:f>
        <x:v>0.4498263888888889</x:v>
      </x:c>
      <x:c r="R1475" s="12" t="str">
        <x:f>IF(Q1475="","",TEXT(Q1475,"hh:mm:ss"))</x:f>
        <x:v>10:47:45</x:v>
      </x:c>
      <x:c r="S1475" s="12" t="str">
        <x:v>否</x:v>
      </x:c>
      <x:c r="T1475" s="12" t="str">
        <x:v>否</x:v>
      </x:c>
      <x:c r="U1475" s="12" t="str">
        <x:v>刘晓燕</x:v>
      </x:c>
      <x:c r="V1475" s="12" t="str">
        <x:v>4号车</x:v>
      </x:c>
      <x:c r="W1475" s="12" t="str">
        <x:v>秒级预测</x:v>
      </x:c>
      <x:c r="X1475" s="12" t="str">
        <x:v>基于路线秒级参数；如录入实测或手动采用秒，预计到达时间可随公式更新</x:v>
      </x:c>
    </x:row>
    <x:row r="1476">
      <x:c r="A1476" s="12" t="str">
        <x:v>S0127-05</x:v>
      </x:c>
      <x:c r="B1476" s="12" t="str">
        <x:v>S0127</x:v>
      </x:c>
      <x:c r="C1476" s="12" t="str">
        <x:v>工作日</x:v>
      </x:c>
      <x:c r="D1476" s="12" t="str">
        <x:v>环线3路</x:v>
      </x:c>
      <x:c r="E1476" s="12" t="str">
        <x:v>第三班</x:v>
      </x:c>
      <x:c r="F1476" s="12" t="n">
        <x:v>6</x:v>
      </x:c>
      <x:c r="G1476" s="12" t="str">
        <x:v>10:45</x:v>
      </x:c>
      <x:c r="H1476" s="12" t="n">
        <x:v>645</x:v>
      </x:c>
      <x:c r="I1476" s="12" t="str">
        <x:v>高超楼（系统工程学院旁）</x:v>
      </x:c>
      <x:c r="J1476" s="12" t="str">
        <x:v>高超楼发车</x:v>
      </x:c>
      <x:c r="K1476" s="12" t="str">
        <x:v>HX3_GAOCHAO</x:v>
      </x:c>
      <x:c r="L1476" s="12" t="n">
        <x:v>5</x:v>
      </x:c>
      <x:c r="M1476" s="12" t="str">
        <x:v>HX3_GAOCHAO|5</x:v>
      </x:c>
      <x:c r="N1476" s="12" t="str">
        <x:v>305教学楼</x:v>
      </x:c>
      <x:c r="O1476" s="12" t="n">
        <x:f>IFERROR(INDEX('秒级路线参数_可调整'!$O:$O,MATCH(M1476,'秒级路线参数_可调整'!$A:$A,0)),"")</x:f>
        <x:v>250</x:v>
      </x:c>
      <x:c r="P1476" s="12" t="n">
        <x:f>IF(O1476="","",O1476/86400)</x:f>
        <x:v>0.0028935185185185184</x:v>
      </x:c>
      <x:c r="Q1476" s="12" t="n">
        <x:f>IF(O1476="","",(H1476*60+O1476)/86400)</x:f>
        <x:v>0.4508101851851852</x:v>
      </x:c>
      <x:c r="R1476" s="12" t="str">
        <x:f>IF(Q1476="","",TEXT(Q1476,"hh:mm:ss"))</x:f>
        <x:v>10:49:10</x:v>
      </x:c>
      <x:c r="S1476" s="12" t="str">
        <x:v>否</x:v>
      </x:c>
      <x:c r="T1476" s="12" t="str">
        <x:v>否</x:v>
      </x:c>
      <x:c r="U1476" s="12" t="str">
        <x:v>刘晓燕</x:v>
      </x:c>
      <x:c r="V1476" s="12" t="str">
        <x:v>4号车</x:v>
      </x:c>
      <x:c r="W1476" s="12" t="str">
        <x:v>秒级预测</x:v>
      </x:c>
      <x:c r="X1476" s="12" t="str">
        <x:v>基于路线秒级参数；如录入实测或手动采用秒，预计到达时间可随公式更新</x:v>
      </x:c>
    </x:row>
    <x:row r="1477">
      <x:c r="A1477" s="12" t="str">
        <x:v>S0127-06</x:v>
      </x:c>
      <x:c r="B1477" s="12" t="str">
        <x:v>S0127</x:v>
      </x:c>
      <x:c r="C1477" s="12" t="str">
        <x:v>工作日</x:v>
      </x:c>
      <x:c r="D1477" s="12" t="str">
        <x:v>环线3路</x:v>
      </x:c>
      <x:c r="E1477" s="12" t="str">
        <x:v>第三班</x:v>
      </x:c>
      <x:c r="F1477" s="12" t="n">
        <x:v>6</x:v>
      </x:c>
      <x:c r="G1477" s="12" t="str">
        <x:v>10:45</x:v>
      </x:c>
      <x:c r="H1477" s="12" t="n">
        <x:v>645</x:v>
      </x:c>
      <x:c r="I1477" s="12" t="str">
        <x:v>高超楼（系统工程学院旁）</x:v>
      </x:c>
      <x:c r="J1477" s="12" t="str">
        <x:v>高超楼发车</x:v>
      </x:c>
      <x:c r="K1477" s="12" t="str">
        <x:v>HX3_GAOCHAO</x:v>
      </x:c>
      <x:c r="L1477" s="12" t="n">
        <x:v>6</x:v>
      </x:c>
      <x:c r="M1477" s="12" t="str">
        <x:v>HX3_GAOCHAO|6</x:v>
      </x:c>
      <x:c r="N1477" s="12" t="str">
        <x:v>研究生宿舍楼</x:v>
      </x:c>
      <x:c r="O1477" s="12" t="n">
        <x:f>IFERROR(INDEX('秒级路线参数_可调整'!$O:$O,MATCH(M1477,'秒级路线参数_可调整'!$A:$A,0)),"")</x:f>
        <x:v>315</x:v>
      </x:c>
      <x:c r="P1477" s="12" t="n">
        <x:f>IF(O1477="","",O1477/86400)</x:f>
        <x:v>0.0036458333333333334</x:v>
      </x:c>
      <x:c r="Q1477" s="12" t="n">
        <x:f>IF(O1477="","",(H1477*60+O1477)/86400)</x:f>
        <x:v>0.4515625</x:v>
      </x:c>
      <x:c r="R1477" s="12" t="str">
        <x:f>IF(Q1477="","",TEXT(Q1477,"hh:mm:ss"))</x:f>
        <x:v>10:50:15</x:v>
      </x:c>
      <x:c r="S1477" s="12" t="str">
        <x:v>否</x:v>
      </x:c>
      <x:c r="T1477" s="12" t="str">
        <x:v>否</x:v>
      </x:c>
      <x:c r="U1477" s="12" t="str">
        <x:v>刘晓燕</x:v>
      </x:c>
      <x:c r="V1477" s="12" t="str">
        <x:v>4号车</x:v>
      </x:c>
      <x:c r="W1477" s="12" t="str">
        <x:v>秒级预测</x:v>
      </x:c>
      <x:c r="X1477" s="12" t="str">
        <x:v>基于路线秒级参数；如录入实测或手动采用秒，预计到达时间可随公式更新</x:v>
      </x:c>
    </x:row>
    <x:row r="1478">
      <x:c r="A1478" s="12" t="str">
        <x:v>S0127-07</x:v>
      </x:c>
      <x:c r="B1478" s="12" t="str">
        <x:v>S0127</x:v>
      </x:c>
      <x:c r="C1478" s="12" t="str">
        <x:v>工作日</x:v>
      </x:c>
      <x:c r="D1478" s="12" t="str">
        <x:v>环线3路</x:v>
      </x:c>
      <x:c r="E1478" s="12" t="str">
        <x:v>第三班</x:v>
      </x:c>
      <x:c r="F1478" s="12" t="n">
        <x:v>6</x:v>
      </x:c>
      <x:c r="G1478" s="12" t="str">
        <x:v>10:45</x:v>
      </x:c>
      <x:c r="H1478" s="12" t="n">
        <x:v>645</x:v>
      </x:c>
      <x:c r="I1478" s="12" t="str">
        <x:v>高超楼（系统工程学院旁）</x:v>
      </x:c>
      <x:c r="J1478" s="12" t="str">
        <x:v>高超楼发车</x:v>
      </x:c>
      <x:c r="K1478" s="12" t="str">
        <x:v>HX3_GAOCHAO</x:v>
      </x:c>
      <x:c r="L1478" s="12" t="n">
        <x:v>7</x:v>
      </x:c>
      <x:c r="M1478" s="12" t="str">
        <x:v>HX3_GAOCHAO|7</x:v>
      </x:c>
      <x:c r="N1478" s="12" t="str">
        <x:v>一食堂</x:v>
      </x:c>
      <x:c r="O1478" s="12" t="n">
        <x:f>IFERROR(INDEX('秒级路线参数_可调整'!$O:$O,MATCH(M1478,'秒级路线参数_可调整'!$A:$A,0)),"")</x:f>
        <x:v>420</x:v>
      </x:c>
      <x:c r="P1478" s="12" t="n">
        <x:f>IF(O1478="","",O1478/86400)</x:f>
        <x:v>0.004861111111111111</x:v>
      </x:c>
      <x:c r="Q1478" s="12" t="n">
        <x:f>IF(O1478="","",(H1478*60+O1478)/86400)</x:f>
        <x:v>0.4527777777777778</x:v>
      </x:c>
      <x:c r="R1478" s="12" t="str">
        <x:f>IF(Q1478="","",TEXT(Q1478,"hh:mm:ss"))</x:f>
        <x:v>10:52:00</x:v>
      </x:c>
      <x:c r="S1478" s="12" t="str">
        <x:v>否</x:v>
      </x:c>
      <x:c r="T1478" s="12" t="str">
        <x:v>否</x:v>
      </x:c>
      <x:c r="U1478" s="12" t="str">
        <x:v>刘晓燕</x:v>
      </x:c>
      <x:c r="V1478" s="12" t="str">
        <x:v>4号车</x:v>
      </x:c>
      <x:c r="W1478" s="12" t="str">
        <x:v>秒级预测</x:v>
      </x:c>
      <x:c r="X1478" s="12" t="str">
        <x:v>基于路线秒级参数；如录入实测或手动采用秒，预计到达时间可随公式更新</x:v>
      </x:c>
    </x:row>
    <x:row r="1479">
      <x:c r="A1479" s="12" t="str">
        <x:v>S0127-08</x:v>
      </x:c>
      <x:c r="B1479" s="12" t="str">
        <x:v>S0127</x:v>
      </x:c>
      <x:c r="C1479" s="12" t="str">
        <x:v>工作日</x:v>
      </x:c>
      <x:c r="D1479" s="12" t="str">
        <x:v>环线3路</x:v>
      </x:c>
      <x:c r="E1479" s="12" t="str">
        <x:v>第三班</x:v>
      </x:c>
      <x:c r="F1479" s="12" t="n">
        <x:v>6</x:v>
      </x:c>
      <x:c r="G1479" s="12" t="str">
        <x:v>10:45</x:v>
      </x:c>
      <x:c r="H1479" s="12" t="n">
        <x:v>645</x:v>
      </x:c>
      <x:c r="I1479" s="12" t="str">
        <x:v>高超楼（系统工程学院旁）</x:v>
      </x:c>
      <x:c r="J1479" s="12" t="str">
        <x:v>高超楼发车</x:v>
      </x:c>
      <x:c r="K1479" s="12" t="str">
        <x:v>HX3_GAOCHAO</x:v>
      </x:c>
      <x:c r="L1479" s="12" t="n">
        <x:v>8</x:v>
      </x:c>
      <x:c r="M1479" s="12" t="str">
        <x:v>HX3_GAOCHAO|8</x:v>
      </x:c>
      <x:c r="N1479" s="12" t="str">
        <x:v>2号宿舍楼</x:v>
      </x:c>
      <x:c r="O1479" s="12" t="n">
        <x:f>IFERROR(INDEX('秒级路线参数_可调整'!$O:$O,MATCH(M1479,'秒级路线参数_可调整'!$A:$A,0)),"")</x:f>
        <x:v>480</x:v>
      </x:c>
      <x:c r="P1479" s="12" t="n">
        <x:f>IF(O1479="","",O1479/86400)</x:f>
        <x:v>0.005555555555555556</x:v>
      </x:c>
      <x:c r="Q1479" s="12" t="n">
        <x:f>IF(O1479="","",(H1479*60+O1479)/86400)</x:f>
        <x:v>0.4534722222222222</x:v>
      </x:c>
      <x:c r="R1479" s="12" t="str">
        <x:f>IF(Q1479="","",TEXT(Q1479,"hh:mm:ss"))</x:f>
        <x:v>10:53:00</x:v>
      </x:c>
      <x:c r="S1479" s="12" t="str">
        <x:v>否</x:v>
      </x:c>
      <x:c r="T1479" s="12" t="str">
        <x:v>否</x:v>
      </x:c>
      <x:c r="U1479" s="12" t="str">
        <x:v>刘晓燕</x:v>
      </x:c>
      <x:c r="V1479" s="12" t="str">
        <x:v>4号车</x:v>
      </x:c>
      <x:c r="W1479" s="12" t="str">
        <x:v>秒级预测</x:v>
      </x:c>
      <x:c r="X1479" s="12" t="str">
        <x:v>基于路线秒级参数；如录入实测或手动采用秒，预计到达时间可随公式更新</x:v>
      </x:c>
    </x:row>
    <x:row r="1480">
      <x:c r="A1480" s="12" t="str">
        <x:v>S0127-09</x:v>
      </x:c>
      <x:c r="B1480" s="12" t="str">
        <x:v>S0127</x:v>
      </x:c>
      <x:c r="C1480" s="12" t="str">
        <x:v>工作日</x:v>
      </x:c>
      <x:c r="D1480" s="12" t="str">
        <x:v>环线3路</x:v>
      </x:c>
      <x:c r="E1480" s="12" t="str">
        <x:v>第三班</x:v>
      </x:c>
      <x:c r="F1480" s="12" t="n">
        <x:v>6</x:v>
      </x:c>
      <x:c r="G1480" s="12" t="str">
        <x:v>10:45</x:v>
      </x:c>
      <x:c r="H1480" s="12" t="n">
        <x:v>645</x:v>
      </x:c>
      <x:c r="I1480" s="12" t="str">
        <x:v>高超楼（系统工程学院旁）</x:v>
      </x:c>
      <x:c r="J1480" s="12" t="str">
        <x:v>高超楼发车</x:v>
      </x:c>
      <x:c r="K1480" s="12" t="str">
        <x:v>HX3_GAOCHAO</x:v>
      </x:c>
      <x:c r="L1480" s="12" t="n">
        <x:v>9</x:v>
      </x:c>
      <x:c r="M1480" s="12" t="str">
        <x:v>HX3_GAOCHAO|9</x:v>
      </x:c>
      <x:c r="N1480" s="12" t="str">
        <x:v>军体活动中心</x:v>
      </x:c>
      <x:c r="O1480" s="12" t="n">
        <x:f>IFERROR(INDEX('秒级路线参数_可调整'!$O:$O,MATCH(M1480,'秒级路线参数_可调整'!$A:$A,0)),"")</x:f>
        <x:v>535</x:v>
      </x:c>
      <x:c r="P1480" s="12" t="n">
        <x:f>IF(O1480="","",O1480/86400)</x:f>
        <x:v>0.00619212962962963</x:v>
      </x:c>
      <x:c r="Q1480" s="12" t="n">
        <x:f>IF(O1480="","",(H1480*60+O1480)/86400)</x:f>
        <x:v>0.4541087962962963</x:v>
      </x:c>
      <x:c r="R1480" s="12" t="str">
        <x:f>IF(Q1480="","",TEXT(Q1480,"hh:mm:ss"))</x:f>
        <x:v>10:53:55</x:v>
      </x:c>
      <x:c r="S1480" s="12" t="str">
        <x:v>否</x:v>
      </x:c>
      <x:c r="T1480" s="12" t="str">
        <x:v>否</x:v>
      </x:c>
      <x:c r="U1480" s="12" t="str">
        <x:v>刘晓燕</x:v>
      </x:c>
      <x:c r="V1480" s="12" t="str">
        <x:v>4号车</x:v>
      </x:c>
      <x:c r="W1480" s="12" t="str">
        <x:v>秒级预测</x:v>
      </x:c>
      <x:c r="X1480" s="12" t="str">
        <x:v>基于路线秒级参数；如录入实测或手动采用秒，预计到达时间可随公式更新</x:v>
      </x:c>
    </x:row>
    <x:row r="1481">
      <x:c r="A1481" s="12" t="str">
        <x:v>S0127-10</x:v>
      </x:c>
      <x:c r="B1481" s="12" t="str">
        <x:v>S0127</x:v>
      </x:c>
      <x:c r="C1481" s="12" t="str">
        <x:v>工作日</x:v>
      </x:c>
      <x:c r="D1481" s="12" t="str">
        <x:v>环线3路</x:v>
      </x:c>
      <x:c r="E1481" s="12" t="str">
        <x:v>第三班</x:v>
      </x:c>
      <x:c r="F1481" s="12" t="n">
        <x:v>6</x:v>
      </x:c>
      <x:c r="G1481" s="12" t="str">
        <x:v>10:45</x:v>
      </x:c>
      <x:c r="H1481" s="12" t="n">
        <x:v>645</x:v>
      </x:c>
      <x:c r="I1481" s="12" t="str">
        <x:v>高超楼（系统工程学院旁）</x:v>
      </x:c>
      <x:c r="J1481" s="12" t="str">
        <x:v>高超楼发车</x:v>
      </x:c>
      <x:c r="K1481" s="12" t="str">
        <x:v>HX3_GAOCHAO</x:v>
      </x:c>
      <x:c r="L1481" s="12" t="n">
        <x:v>10</x:v>
      </x:c>
      <x:c r="M1481" s="12" t="str">
        <x:v>HX3_GAOCHAO|10</x:v>
      </x:c>
      <x:c r="N1481" s="12" t="str">
        <x:v>教勤连</x:v>
      </x:c>
      <x:c r="O1481" s="12" t="n">
        <x:f>IFERROR(INDEX('秒级路线参数_可调整'!$O:$O,MATCH(M1481,'秒级路线参数_可调整'!$A:$A,0)),"")</x:f>
        <x:v>715</x:v>
      </x:c>
      <x:c r="P1481" s="12" t="n">
        <x:f>IF(O1481="","",O1481/86400)</x:f>
        <x:v>0.008275462962962964</x:v>
      </x:c>
      <x:c r="Q1481" s="12" t="n">
        <x:f>IF(O1481="","",(H1481*60+O1481)/86400)</x:f>
        <x:v>0.45619212962962963</x:v>
      </x:c>
      <x:c r="R1481" s="12" t="str">
        <x:f>IF(Q1481="","",TEXT(Q1481,"hh:mm:ss"))</x:f>
        <x:v>10:56:55</x:v>
      </x:c>
      <x:c r="S1481" s="12" t="str">
        <x:v>否</x:v>
      </x:c>
      <x:c r="T1481" s="12" t="str">
        <x:v>否</x:v>
      </x:c>
      <x:c r="U1481" s="12" t="str">
        <x:v>刘晓燕</x:v>
      </x:c>
      <x:c r="V1481" s="12" t="str">
        <x:v>4号车</x:v>
      </x:c>
      <x:c r="W1481" s="12" t="str">
        <x:v>秒级预测</x:v>
      </x:c>
      <x:c r="X1481" s="12" t="str">
        <x:v>基于路线秒级参数；如录入实测或手动采用秒，预计到达时间可随公式更新</x:v>
      </x:c>
    </x:row>
    <x:row r="1482">
      <x:c r="A1482" s="12" t="str">
        <x:v>S0127-11</x:v>
      </x:c>
      <x:c r="B1482" s="12" t="str">
        <x:v>S0127</x:v>
      </x:c>
      <x:c r="C1482" s="12" t="str">
        <x:v>工作日</x:v>
      </x:c>
      <x:c r="D1482" s="12" t="str">
        <x:v>环线3路</x:v>
      </x:c>
      <x:c r="E1482" s="12" t="str">
        <x:v>第三班</x:v>
      </x:c>
      <x:c r="F1482" s="12" t="n">
        <x:v>6</x:v>
      </x:c>
      <x:c r="G1482" s="12" t="str">
        <x:v>10:45</x:v>
      </x:c>
      <x:c r="H1482" s="12" t="n">
        <x:v>645</x:v>
      </x:c>
      <x:c r="I1482" s="12" t="str">
        <x:v>高超楼（系统工程学院旁）</x:v>
      </x:c>
      <x:c r="J1482" s="12" t="str">
        <x:v>高超楼发车</x:v>
      </x:c>
      <x:c r="K1482" s="12" t="str">
        <x:v>HX3_GAOCHAO</x:v>
      </x:c>
      <x:c r="L1482" s="12" t="n">
        <x:v>11</x:v>
      </x:c>
      <x:c r="M1482" s="12" t="str">
        <x:v>HX3_GAOCHAO|11</x:v>
      </x:c>
      <x:c r="N1482" s="12" t="str">
        <x:v>激光所</x:v>
      </x:c>
      <x:c r="O1482" s="12" t="n">
        <x:f>IFERROR(INDEX('秒级路线参数_可调整'!$O:$O,MATCH(M1482,'秒级路线参数_可调整'!$A:$A,0)),"")</x:f>
        <x:v>775</x:v>
      </x:c>
      <x:c r="P1482" s="12" t="n">
        <x:f>IF(O1482="","",O1482/86400)</x:f>
        <x:v>0.008969907407407407</x:v>
      </x:c>
      <x:c r="Q1482" s="12" t="n">
        <x:f>IF(O1482="","",(H1482*60+O1482)/86400)</x:f>
        <x:v>0.45688657407407407</x:v>
      </x:c>
      <x:c r="R1482" s="12" t="str">
        <x:f>IF(Q1482="","",TEXT(Q1482,"hh:mm:ss"))</x:f>
        <x:v>10:57:55</x:v>
      </x:c>
      <x:c r="S1482" s="12" t="str">
        <x:v>否</x:v>
      </x:c>
      <x:c r="T1482" s="12" t="str">
        <x:v>否</x:v>
      </x:c>
      <x:c r="U1482" s="12" t="str">
        <x:v>刘晓燕</x:v>
      </x:c>
      <x:c r="V1482" s="12" t="str">
        <x:v>4号车</x:v>
      </x:c>
      <x:c r="W1482" s="12" t="str">
        <x:v>秒级预测</x:v>
      </x:c>
      <x:c r="X1482" s="12" t="str">
        <x:v>基于路线秒级参数；如录入实测或手动采用秒，预计到达时间可随公式更新</x:v>
      </x:c>
    </x:row>
    <x:row r="1483">
      <x:c r="A1483" s="12" t="str">
        <x:v>S0127-12</x:v>
      </x:c>
      <x:c r="B1483" s="12" t="str">
        <x:v>S0127</x:v>
      </x:c>
      <x:c r="C1483" s="12" t="str">
        <x:v>工作日</x:v>
      </x:c>
      <x:c r="D1483" s="12" t="str">
        <x:v>环线3路</x:v>
      </x:c>
      <x:c r="E1483" s="12" t="str">
        <x:v>第三班</x:v>
      </x:c>
      <x:c r="F1483" s="12" t="n">
        <x:v>6</x:v>
      </x:c>
      <x:c r="G1483" s="12" t="str">
        <x:v>10:45</x:v>
      </x:c>
      <x:c r="H1483" s="12" t="n">
        <x:v>645</x:v>
      </x:c>
      <x:c r="I1483" s="12" t="str">
        <x:v>高超楼（系统工程学院旁）</x:v>
      </x:c>
      <x:c r="J1483" s="12" t="str">
        <x:v>高超楼发车</x:v>
      </x:c>
      <x:c r="K1483" s="12" t="str">
        <x:v>HX3_GAOCHAO</x:v>
      </x:c>
      <x:c r="L1483" s="12" t="n">
        <x:v>12</x:v>
      </x:c>
      <x:c r="M1483" s="12" t="str">
        <x:v>HX3_GAOCHAO|12</x:v>
      </x:c>
      <x:c r="N1483" s="12" t="str">
        <x:v>高超楼</x:v>
      </x:c>
      <x:c r="O1483" s="12" t="n">
        <x:f>IFERROR(INDEX('秒级路线参数_可调整'!$O:$O,MATCH(M1483,'秒级路线参数_可调整'!$A:$A,0)),"")</x:f>
        <x:v>840</x:v>
      </x:c>
      <x:c r="P1483" s="12" t="n">
        <x:f>IF(O1483="","",O1483/86400)</x:f>
        <x:v>0.009722222222222222</x:v>
      </x:c>
      <x:c r="Q1483" s="12" t="n">
        <x:f>IF(O1483="","",(H1483*60+O1483)/86400)</x:f>
        <x:v>0.4576388888888889</x:v>
      </x:c>
      <x:c r="R1483" s="12" t="str">
        <x:f>IF(Q1483="","",TEXT(Q1483,"hh:mm:ss"))</x:f>
        <x:v>10:59:00</x:v>
      </x:c>
      <x:c r="S1483" s="12" t="str">
        <x:v>否</x:v>
      </x:c>
      <x:c r="T1483" s="12" t="str">
        <x:v>是</x:v>
      </x:c>
      <x:c r="U1483" s="12" t="str">
        <x:v>刘晓燕</x:v>
      </x:c>
      <x:c r="V1483" s="12" t="str">
        <x:v>4号车</x:v>
      </x:c>
      <x:c r="W1483" s="12" t="str">
        <x:v>秒级预测</x:v>
      </x:c>
      <x:c r="X1483" s="12" t="str">
        <x:v>基于路线秒级参数；如录入实测或手动采用秒，预计到达时间可随公式更新</x:v>
      </x:c>
    </x:row>
    <x:row r="1484">
      <x:c r="A1484" s="12" t="str">
        <x:v>S0128-01</x:v>
      </x:c>
      <x:c r="B1484" s="12" t="str">
        <x:v>S0128</x:v>
      </x:c>
      <x:c r="C1484" s="12" t="str">
        <x:v>工作日</x:v>
      </x:c>
      <x:c r="D1484" s="12" t="str">
        <x:v>环线3路</x:v>
      </x:c>
      <x:c r="E1484" s="12" t="str">
        <x:v>第三班</x:v>
      </x:c>
      <x:c r="F1484" s="12" t="n">
        <x:v>7</x:v>
      </x:c>
      <x:c r="G1484" s="12" t="str">
        <x:v>11:35</x:v>
      </x:c>
      <x:c r="H1484" s="12" t="n">
        <x:v>695</x:v>
      </x:c>
      <x:c r="I1484" s="12" t="str">
        <x:v>研究生宿舍楼</x:v>
      </x:c>
      <x:c r="J1484" s="12" t="str">
        <x:v>研究生宿舍楼发车</x:v>
      </x:c>
      <x:c r="K1484" s="12" t="str">
        <x:v>HX3_NORMAL</x:v>
      </x:c>
      <x:c r="L1484" s="12" t="n">
        <x:v>1</x:v>
      </x:c>
      <x:c r="M1484" s="12" t="str">
        <x:v>HX3_NORMAL|1</x:v>
      </x:c>
      <x:c r="N1484" s="12" t="str">
        <x:v>研究生宿舍楼</x:v>
      </x:c>
      <x:c r="O1484" s="12" t="n">
        <x:f>IFERROR(INDEX('秒级路线参数_可调整'!$O:$O,MATCH(M1484,'秒级路线参数_可调整'!$A:$A,0)),"")</x:f>
        <x:v>0</x:v>
      </x:c>
      <x:c r="P1484" s="12" t="str">
        <x:f>IF(O1484="","",O1484/86400)</x:f>
      </x:c>
      <x:c r="Q1484" s="12" t="str">
        <x:f>IF(O1484="","",(H1484*60+O1484)/86400)</x:f>
      </x:c>
      <x:c r="R1484" s="12" t="str">
        <x:f>IF(Q1484="","",TEXT(Q1484,"hh:mm:ss"))</x:f>
      </x:c>
      <x:c r="S1484" s="12" t="str">
        <x:v>是</x:v>
      </x:c>
      <x:c r="T1484" s="12" t="str">
        <x:v>否</x:v>
      </x:c>
      <x:c r="U1484" s="12" t="str">
        <x:v>刘晓燕</x:v>
      </x:c>
      <x:c r="V1484" s="12" t="str">
        <x:v>4号车</x:v>
      </x:c>
      <x:c r="W1484" s="12" t="str">
        <x:v>秒级预测</x:v>
      </x:c>
      <x:c r="X1484" s="12" t="str">
        <x:v>基于路线秒级参数；如录入实测或手动采用秒，预计到达时间可随公式更新</x:v>
      </x:c>
    </x:row>
    <x:row r="1485">
      <x:c r="A1485" s="12" t="str">
        <x:v>S0128-02</x:v>
      </x:c>
      <x:c r="B1485" s="12" t="str">
        <x:v>S0128</x:v>
      </x:c>
      <x:c r="C1485" s="12" t="str">
        <x:v>工作日</x:v>
      </x:c>
      <x:c r="D1485" s="12" t="str">
        <x:v>环线3路</x:v>
      </x:c>
      <x:c r="E1485" s="12" t="str">
        <x:v>第三班</x:v>
      </x:c>
      <x:c r="F1485" s="12" t="n">
        <x:v>7</x:v>
      </x:c>
      <x:c r="G1485" s="12" t="str">
        <x:v>11:35</x:v>
      </x:c>
      <x:c r="H1485" s="12" t="n">
        <x:v>695</x:v>
      </x:c>
      <x:c r="I1485" s="12" t="str">
        <x:v>研究生宿舍楼</x:v>
      </x:c>
      <x:c r="J1485" s="12" t="str">
        <x:v>研究生宿舍楼发车</x:v>
      </x:c>
      <x:c r="K1485" s="12" t="str">
        <x:v>HX3_NORMAL</x:v>
      </x:c>
      <x:c r="L1485" s="12" t="n">
        <x:v>2</x:v>
      </x:c>
      <x:c r="M1485" s="12" t="str">
        <x:v>HX3_NORMAL|2</x:v>
      </x:c>
      <x:c r="N1485" s="12" t="str">
        <x:v>一食堂</x:v>
      </x:c>
      <x:c r="O1485" s="12" t="n">
        <x:f>IFERROR(INDEX('秒级路线参数_可调整'!$O:$O,MATCH(M1485,'秒级路线参数_可调整'!$A:$A,0)),"")</x:f>
        <x:v>65</x:v>
      </x:c>
      <x:c r="P1485" s="12" t="n">
        <x:f>IF(O1485="","",O1485/86400)</x:f>
        <x:v>0.0007523148148148148</x:v>
      </x:c>
      <x:c r="Q1485" s="12" t="n">
        <x:f>IF(O1485="","",(H1485*60+O1485)/86400)</x:f>
        <x:v>0.4833912037037037</x:v>
      </x:c>
      <x:c r="R1485" s="12" t="str">
        <x:f>IF(Q1485="","",TEXT(Q1485,"hh:mm:ss"))</x:f>
        <x:v>11:36:05</x:v>
      </x:c>
      <x:c r="S1485" s="12" t="str">
        <x:v>否</x:v>
      </x:c>
      <x:c r="T1485" s="12" t="str">
        <x:v>否</x:v>
      </x:c>
      <x:c r="U1485" s="12" t="str">
        <x:v>刘晓燕</x:v>
      </x:c>
      <x:c r="V1485" s="12" t="str">
        <x:v>4号车</x:v>
      </x:c>
      <x:c r="W1485" s="12" t="str">
        <x:v>秒级预测</x:v>
      </x:c>
      <x:c r="X1485" s="12" t="str">
        <x:v>基于路线秒级参数；如录入实测或手动采用秒，预计到达时间可随公式更新</x:v>
      </x:c>
    </x:row>
    <x:row r="1486">
      <x:c r="A1486" s="12" t="str">
        <x:v>S0128-03</x:v>
      </x:c>
      <x:c r="B1486" s="12" t="str">
        <x:v>S0128</x:v>
      </x:c>
      <x:c r="C1486" s="12" t="str">
        <x:v>工作日</x:v>
      </x:c>
      <x:c r="D1486" s="12" t="str">
        <x:v>环线3路</x:v>
      </x:c>
      <x:c r="E1486" s="12" t="str">
        <x:v>第三班</x:v>
      </x:c>
      <x:c r="F1486" s="12" t="n">
        <x:v>7</x:v>
      </x:c>
      <x:c r="G1486" s="12" t="str">
        <x:v>11:35</x:v>
      </x:c>
      <x:c r="H1486" s="12" t="n">
        <x:v>695</x:v>
      </x:c>
      <x:c r="I1486" s="12" t="str">
        <x:v>研究生宿舍楼</x:v>
      </x:c>
      <x:c r="J1486" s="12" t="str">
        <x:v>研究生宿舍楼发车</x:v>
      </x:c>
      <x:c r="K1486" s="12" t="str">
        <x:v>HX3_NORMAL</x:v>
      </x:c>
      <x:c r="L1486" s="12" t="n">
        <x:v>3</x:v>
      </x:c>
      <x:c r="M1486" s="12" t="str">
        <x:v>HX3_NORMAL|3</x:v>
      </x:c>
      <x:c r="N1486" s="12" t="str">
        <x:v>2号宿舍楼</x:v>
      </x:c>
      <x:c r="O1486" s="12" t="n">
        <x:f>IFERROR(INDEX('秒级路线参数_可调整'!$O:$O,MATCH(M1486,'秒级路线参数_可调整'!$A:$A,0)),"")</x:f>
        <x:v>120</x:v>
      </x:c>
      <x:c r="P1486" s="12" t="n">
        <x:f>IF(O1486="","",O1486/86400)</x:f>
        <x:v>0.001388888888888889</x:v>
      </x:c>
      <x:c r="Q1486" s="12" t="n">
        <x:f>IF(O1486="","",(H1486*60+O1486)/86400)</x:f>
        <x:v>0.4840277777777778</x:v>
      </x:c>
      <x:c r="R1486" s="12" t="str">
        <x:f>IF(Q1486="","",TEXT(Q1486,"hh:mm:ss"))</x:f>
        <x:v>11:37:00</x:v>
      </x:c>
      <x:c r="S1486" s="12" t="str">
        <x:v>否</x:v>
      </x:c>
      <x:c r="T1486" s="12" t="str">
        <x:v>否</x:v>
      </x:c>
      <x:c r="U1486" s="12" t="str">
        <x:v>刘晓燕</x:v>
      </x:c>
      <x:c r="V1486" s="12" t="str">
        <x:v>4号车</x:v>
      </x:c>
      <x:c r="W1486" s="12" t="str">
        <x:v>秒级预测</x:v>
      </x:c>
      <x:c r="X1486" s="12" t="str">
        <x:v>基于路线秒级参数；如录入实测或手动采用秒，预计到达时间可随公式更新</x:v>
      </x:c>
    </x:row>
    <x:row r="1487">
      <x:c r="A1487" s="12" t="str">
        <x:v>S0128-04</x:v>
      </x:c>
      <x:c r="B1487" s="12" t="str">
        <x:v>S0128</x:v>
      </x:c>
      <x:c r="C1487" s="12" t="str">
        <x:v>工作日</x:v>
      </x:c>
      <x:c r="D1487" s="12" t="str">
        <x:v>环线3路</x:v>
      </x:c>
      <x:c r="E1487" s="12" t="str">
        <x:v>第三班</x:v>
      </x:c>
      <x:c r="F1487" s="12" t="n">
        <x:v>7</x:v>
      </x:c>
      <x:c r="G1487" s="12" t="str">
        <x:v>11:35</x:v>
      </x:c>
      <x:c r="H1487" s="12" t="n">
        <x:v>695</x:v>
      </x:c>
      <x:c r="I1487" s="12" t="str">
        <x:v>研究生宿舍楼</x:v>
      </x:c>
      <x:c r="J1487" s="12" t="str">
        <x:v>研究生宿舍楼发车</x:v>
      </x:c>
      <x:c r="K1487" s="12" t="str">
        <x:v>HX3_NORMAL</x:v>
      </x:c>
      <x:c r="L1487" s="12" t="n">
        <x:v>4</x:v>
      </x:c>
      <x:c r="M1487" s="12" t="str">
        <x:v>HX3_NORMAL|4</x:v>
      </x:c>
      <x:c r="N1487" s="12" t="str">
        <x:v>军体活动中心</x:v>
      </x:c>
      <x:c r="O1487" s="12" t="n">
        <x:f>IFERROR(INDEX('秒级路线参数_可调整'!$O:$O,MATCH(M1487,'秒级路线参数_可调整'!$A:$A,0)),"")</x:f>
        <x:v>165</x:v>
      </x:c>
      <x:c r="P1487" s="12" t="n">
        <x:f>IF(O1487="","",O1487/86400)</x:f>
        <x:v>0.0019097222222222222</x:v>
      </x:c>
      <x:c r="Q1487" s="12" t="n">
        <x:f>IF(O1487="","",(H1487*60+O1487)/86400)</x:f>
        <x:v>0.48454861111111114</x:v>
      </x:c>
      <x:c r="R1487" s="12" t="str">
        <x:f>IF(Q1487="","",TEXT(Q1487,"hh:mm:ss"))</x:f>
        <x:v>11:37:45</x:v>
      </x:c>
      <x:c r="S1487" s="12" t="str">
        <x:v>否</x:v>
      </x:c>
      <x:c r="T1487" s="12" t="str">
        <x:v>否</x:v>
      </x:c>
      <x:c r="U1487" s="12" t="str">
        <x:v>刘晓燕</x:v>
      </x:c>
      <x:c r="V1487" s="12" t="str">
        <x:v>4号车</x:v>
      </x:c>
      <x:c r="W1487" s="12" t="str">
        <x:v>秒级预测</x:v>
      </x:c>
      <x:c r="X1487" s="12" t="str">
        <x:v>基于路线秒级参数；如录入实测或手动采用秒，预计到达时间可随公式更新</x:v>
      </x:c>
    </x:row>
    <x:row r="1488">
      <x:c r="A1488" s="12" t="str">
        <x:v>S0128-05</x:v>
      </x:c>
      <x:c r="B1488" s="12" t="str">
        <x:v>S0128</x:v>
      </x:c>
      <x:c r="C1488" s="12" t="str">
        <x:v>工作日</x:v>
      </x:c>
      <x:c r="D1488" s="12" t="str">
        <x:v>环线3路</x:v>
      </x:c>
      <x:c r="E1488" s="12" t="str">
        <x:v>第三班</x:v>
      </x:c>
      <x:c r="F1488" s="12" t="n">
        <x:v>7</x:v>
      </x:c>
      <x:c r="G1488" s="12" t="str">
        <x:v>11:35</x:v>
      </x:c>
      <x:c r="H1488" s="12" t="n">
        <x:v>695</x:v>
      </x:c>
      <x:c r="I1488" s="12" t="str">
        <x:v>研究生宿舍楼</x:v>
      </x:c>
      <x:c r="J1488" s="12" t="str">
        <x:v>研究生宿舍楼发车</x:v>
      </x:c>
      <x:c r="K1488" s="12" t="str">
        <x:v>HX3_NORMAL</x:v>
      </x:c>
      <x:c r="L1488" s="12" t="n">
        <x:v>5</x:v>
      </x:c>
      <x:c r="M1488" s="12" t="str">
        <x:v>HX3_NORMAL|5</x:v>
      </x:c>
      <x:c r="N1488" s="12" t="str">
        <x:v>教勤连</x:v>
      </x:c>
      <x:c r="O1488" s="12" t="n">
        <x:f>IFERROR(INDEX('秒级路线参数_可调整'!$O:$O,MATCH(M1488,'秒级路线参数_可调整'!$A:$A,0)),"")</x:f>
        <x:v>250</x:v>
      </x:c>
      <x:c r="P1488" s="12" t="n">
        <x:f>IF(O1488="","",O1488/86400)</x:f>
        <x:v>0.0028935185185185184</x:v>
      </x:c>
      <x:c r="Q1488" s="12" t="n">
        <x:f>IF(O1488="","",(H1488*60+O1488)/86400)</x:f>
        <x:v>0.4855324074074074</x:v>
      </x:c>
      <x:c r="R1488" s="12" t="str">
        <x:f>IF(Q1488="","",TEXT(Q1488,"hh:mm:ss"))</x:f>
        <x:v>11:39:10</x:v>
      </x:c>
      <x:c r="S1488" s="12" t="str">
        <x:v>否</x:v>
      </x:c>
      <x:c r="T1488" s="12" t="str">
        <x:v>否</x:v>
      </x:c>
      <x:c r="U1488" s="12" t="str">
        <x:v>刘晓燕</x:v>
      </x:c>
      <x:c r="V1488" s="12" t="str">
        <x:v>4号车</x:v>
      </x:c>
      <x:c r="W1488" s="12" t="str">
        <x:v>秒级预测</x:v>
      </x:c>
      <x:c r="X1488" s="12" t="str">
        <x:v>基于路线秒级参数；如录入实测或手动采用秒，预计到达时间可随公式更新</x:v>
      </x:c>
    </x:row>
    <x:row r="1489">
      <x:c r="A1489" s="12" t="str">
        <x:v>S0128-06</x:v>
      </x:c>
      <x:c r="B1489" s="12" t="str">
        <x:v>S0128</x:v>
      </x:c>
      <x:c r="C1489" s="12" t="str">
        <x:v>工作日</x:v>
      </x:c>
      <x:c r="D1489" s="12" t="str">
        <x:v>环线3路</x:v>
      </x:c>
      <x:c r="E1489" s="12" t="str">
        <x:v>第三班</x:v>
      </x:c>
      <x:c r="F1489" s="12" t="n">
        <x:v>7</x:v>
      </x:c>
      <x:c r="G1489" s="12" t="str">
        <x:v>11:35</x:v>
      </x:c>
      <x:c r="H1489" s="12" t="n">
        <x:v>695</x:v>
      </x:c>
      <x:c r="I1489" s="12" t="str">
        <x:v>研究生宿舍楼</x:v>
      </x:c>
      <x:c r="J1489" s="12" t="str">
        <x:v>研究生宿舍楼发车</x:v>
      </x:c>
      <x:c r="K1489" s="12" t="str">
        <x:v>HX3_NORMAL</x:v>
      </x:c>
      <x:c r="L1489" s="12" t="n">
        <x:v>6</x:v>
      </x:c>
      <x:c r="M1489" s="12" t="str">
        <x:v>HX3_NORMAL|6</x:v>
      </x:c>
      <x:c r="N1489" s="12" t="str">
        <x:v>激光所</x:v>
      </x:c>
      <x:c r="O1489" s="12" t="n">
        <x:f>IFERROR(INDEX('秒级路线参数_可调整'!$O:$O,MATCH(M1489,'秒级路线参数_可调整'!$A:$A,0)),"")</x:f>
        <x:v>315</x:v>
      </x:c>
      <x:c r="P1489" s="12" t="n">
        <x:f>IF(O1489="","",O1489/86400)</x:f>
        <x:v>0.0036458333333333334</x:v>
      </x:c>
      <x:c r="Q1489" s="12" t="n">
        <x:f>IF(O1489="","",(H1489*60+O1489)/86400)</x:f>
        <x:v>0.48628472222222224</x:v>
      </x:c>
      <x:c r="R1489" s="12" t="str">
        <x:f>IF(Q1489="","",TEXT(Q1489,"hh:mm:ss"))</x:f>
        <x:v>11:40:15</x:v>
      </x:c>
      <x:c r="S1489" s="12" t="str">
        <x:v>否</x:v>
      </x:c>
      <x:c r="T1489" s="12" t="str">
        <x:v>否</x:v>
      </x:c>
      <x:c r="U1489" s="12" t="str">
        <x:v>刘晓燕</x:v>
      </x:c>
      <x:c r="V1489" s="12" t="str">
        <x:v>4号车</x:v>
      </x:c>
      <x:c r="W1489" s="12" t="str">
        <x:v>秒级预测</x:v>
      </x:c>
      <x:c r="X1489" s="12" t="str">
        <x:v>基于路线秒级参数；如录入实测或手动采用秒，预计到达时间可随公式更新</x:v>
      </x:c>
    </x:row>
    <x:row r="1490">
      <x:c r="A1490" s="12" t="str">
        <x:v>S0128-07</x:v>
      </x:c>
      <x:c r="B1490" s="12" t="str">
        <x:v>S0128</x:v>
      </x:c>
      <x:c r="C1490" s="12" t="str">
        <x:v>工作日</x:v>
      </x:c>
      <x:c r="D1490" s="12" t="str">
        <x:v>环线3路</x:v>
      </x:c>
      <x:c r="E1490" s="12" t="str">
        <x:v>第三班</x:v>
      </x:c>
      <x:c r="F1490" s="12" t="n">
        <x:v>7</x:v>
      </x:c>
      <x:c r="G1490" s="12" t="str">
        <x:v>11:35</x:v>
      </x:c>
      <x:c r="H1490" s="12" t="n">
        <x:v>695</x:v>
      </x:c>
      <x:c r="I1490" s="12" t="str">
        <x:v>研究生宿舍楼</x:v>
      </x:c>
      <x:c r="J1490" s="12" t="str">
        <x:v>研究生宿舍楼发车</x:v>
      </x:c>
      <x:c r="K1490" s="12" t="str">
        <x:v>HX3_NORMAL</x:v>
      </x:c>
      <x:c r="L1490" s="12" t="n">
        <x:v>7</x:v>
      </x:c>
      <x:c r="M1490" s="12" t="str">
        <x:v>HX3_NORMAL|7</x:v>
      </x:c>
      <x:c r="N1490" s="12" t="str">
        <x:v>高超楼</x:v>
      </x:c>
      <x:c r="O1490" s="12" t="n">
        <x:f>IFERROR(INDEX('秒级路线参数_可调整'!$O:$O,MATCH(M1490,'秒级路线参数_可调整'!$A:$A,0)),"")</x:f>
        <x:v>420</x:v>
      </x:c>
      <x:c r="P1490" s="12" t="n">
        <x:f>IF(O1490="","",O1490/86400)</x:f>
        <x:v>0.004861111111111111</x:v>
      </x:c>
      <x:c r="Q1490" s="12" t="n">
        <x:f>IF(O1490="","",(H1490*60+O1490)/86400)</x:f>
        <x:v>0.4875</x:v>
      </x:c>
      <x:c r="R1490" s="12" t="str">
        <x:f>IF(Q1490="","",TEXT(Q1490,"hh:mm:ss"))</x:f>
        <x:v>11:42:00</x:v>
      </x:c>
      <x:c r="S1490" s="12" t="str">
        <x:v>否</x:v>
      </x:c>
      <x:c r="T1490" s="12" t="str">
        <x:v>否</x:v>
      </x:c>
      <x:c r="U1490" s="12" t="str">
        <x:v>刘晓燕</x:v>
      </x:c>
      <x:c r="V1490" s="12" t="str">
        <x:v>4号车</x:v>
      </x:c>
      <x:c r="W1490" s="12" t="str">
        <x:v>秒级预测</x:v>
      </x:c>
      <x:c r="X1490" s="12" t="str">
        <x:v>基于路线秒级参数；如录入实测或手动采用秒，预计到达时间可随公式更新</x:v>
      </x:c>
    </x:row>
    <x:row r="1491">
      <x:c r="A1491" s="12" t="str">
        <x:v>S0128-08</x:v>
      </x:c>
      <x:c r="B1491" s="12" t="str">
        <x:v>S0128</x:v>
      </x:c>
      <x:c r="C1491" s="12" t="str">
        <x:v>工作日</x:v>
      </x:c>
      <x:c r="D1491" s="12" t="str">
        <x:v>环线3路</x:v>
      </x:c>
      <x:c r="E1491" s="12" t="str">
        <x:v>第三班</x:v>
      </x:c>
      <x:c r="F1491" s="12" t="n">
        <x:v>7</x:v>
      </x:c>
      <x:c r="G1491" s="12" t="str">
        <x:v>11:35</x:v>
      </x:c>
      <x:c r="H1491" s="12" t="n">
        <x:v>695</x:v>
      </x:c>
      <x:c r="I1491" s="12" t="str">
        <x:v>研究生宿舍楼</x:v>
      </x:c>
      <x:c r="J1491" s="12" t="str">
        <x:v>研究生宿舍楼发车</x:v>
      </x:c>
      <x:c r="K1491" s="12" t="str">
        <x:v>HX3_NORMAL</x:v>
      </x:c>
      <x:c r="L1491" s="12" t="n">
        <x:v>8</x:v>
      </x:c>
      <x:c r="M1491" s="12" t="str">
        <x:v>HX3_NORMAL|8</x:v>
      </x:c>
      <x:c r="N1491" s="12" t="str">
        <x:v>理学院</x:v>
      </x:c>
      <x:c r="O1491" s="12" t="n">
        <x:f>IFERROR(INDEX('秒级路线参数_可调整'!$O:$O,MATCH(M1491,'秒级路线参数_可调整'!$A:$A,0)),"")</x:f>
        <x:v>480</x:v>
      </x:c>
      <x:c r="P1491" s="12" t="n">
        <x:f>IF(O1491="","",O1491/86400)</x:f>
        <x:v>0.005555555555555556</x:v>
      </x:c>
      <x:c r="Q1491" s="12" t="n">
        <x:f>IF(O1491="","",(H1491*60+O1491)/86400)</x:f>
        <x:v>0.48819444444444443</x:v>
      </x:c>
      <x:c r="R1491" s="12" t="str">
        <x:f>IF(Q1491="","",TEXT(Q1491,"hh:mm:ss"))</x:f>
        <x:v>11:43:00</x:v>
      </x:c>
      <x:c r="S1491" s="12" t="str">
        <x:v>否</x:v>
      </x:c>
      <x:c r="T1491" s="12" t="str">
        <x:v>否</x:v>
      </x:c>
      <x:c r="U1491" s="12" t="str">
        <x:v>刘晓燕</x:v>
      </x:c>
      <x:c r="V1491" s="12" t="str">
        <x:v>4号车</x:v>
      </x:c>
      <x:c r="W1491" s="12" t="str">
        <x:v>秒级预测</x:v>
      </x:c>
      <x:c r="X1491" s="12" t="str">
        <x:v>基于路线秒级参数；如录入实测或手动采用秒，预计到达时间可随公式更新</x:v>
      </x:c>
    </x:row>
    <x:row r="1492">
      <x:c r="A1492" s="12" t="str">
        <x:v>S0128-09</x:v>
      </x:c>
      <x:c r="B1492" s="12" t="str">
        <x:v>S0128</x:v>
      </x:c>
      <x:c r="C1492" s="12" t="str">
        <x:v>工作日</x:v>
      </x:c>
      <x:c r="D1492" s="12" t="str">
        <x:v>环线3路</x:v>
      </x:c>
      <x:c r="E1492" s="12" t="str">
        <x:v>第三班</x:v>
      </x:c>
      <x:c r="F1492" s="12" t="n">
        <x:v>7</x:v>
      </x:c>
      <x:c r="G1492" s="12" t="str">
        <x:v>11:35</x:v>
      </x:c>
      <x:c r="H1492" s="12" t="n">
        <x:v>695</x:v>
      </x:c>
      <x:c r="I1492" s="12" t="str">
        <x:v>研究生宿舍楼</x:v>
      </x:c>
      <x:c r="J1492" s="12" t="str">
        <x:v>研究生宿舍楼发车</x:v>
      </x:c>
      <x:c r="K1492" s="12" t="str">
        <x:v>HX3_NORMAL</x:v>
      </x:c>
      <x:c r="L1492" s="12" t="n">
        <x:v>9</x:v>
      </x:c>
      <x:c r="M1492" s="12" t="str">
        <x:v>HX3_NORMAL|9</x:v>
      </x:c>
      <x:c r="N1492" s="12" t="str">
        <x:v>二食堂</x:v>
      </x:c>
      <x:c r="O1492" s="12" t="n">
        <x:f>IFERROR(INDEX('秒级路线参数_可调整'!$O:$O,MATCH(M1492,'秒级路线参数_可调整'!$A:$A,0)),"")</x:f>
        <x:v>535</x:v>
      </x:c>
      <x:c r="P1492" s="12" t="n">
        <x:f>IF(O1492="","",O1492/86400)</x:f>
        <x:v>0.00619212962962963</x:v>
      </x:c>
      <x:c r="Q1492" s="12" t="n">
        <x:f>IF(O1492="","",(H1492*60+O1492)/86400)</x:f>
        <x:v>0.4888310185185185</x:v>
      </x:c>
      <x:c r="R1492" s="12" t="str">
        <x:f>IF(Q1492="","",TEXT(Q1492,"hh:mm:ss"))</x:f>
        <x:v>11:43:55</x:v>
      </x:c>
      <x:c r="S1492" s="12" t="str">
        <x:v>否</x:v>
      </x:c>
      <x:c r="T1492" s="12" t="str">
        <x:v>否</x:v>
      </x:c>
      <x:c r="U1492" s="12" t="str">
        <x:v>刘晓燕</x:v>
      </x:c>
      <x:c r="V1492" s="12" t="str">
        <x:v>4号车</x:v>
      </x:c>
      <x:c r="W1492" s="12" t="str">
        <x:v>秒级预测</x:v>
      </x:c>
      <x:c r="X1492" s="12" t="str">
        <x:v>基于路线秒级参数；如录入实测或手动采用秒，预计到达时间可随公式更新</x:v>
      </x:c>
    </x:row>
    <x:row r="1493">
      <x:c r="A1493" s="12" t="str">
        <x:v>S0128-10</x:v>
      </x:c>
      <x:c r="B1493" s="12" t="str">
        <x:v>S0128</x:v>
      </x:c>
      <x:c r="C1493" s="12" t="str">
        <x:v>工作日</x:v>
      </x:c>
      <x:c r="D1493" s="12" t="str">
        <x:v>环线3路</x:v>
      </x:c>
      <x:c r="E1493" s="12" t="str">
        <x:v>第三班</x:v>
      </x:c>
      <x:c r="F1493" s="12" t="n">
        <x:v>7</x:v>
      </x:c>
      <x:c r="G1493" s="12" t="str">
        <x:v>11:35</x:v>
      </x:c>
      <x:c r="H1493" s="12" t="n">
        <x:v>695</x:v>
      </x:c>
      <x:c r="I1493" s="12" t="str">
        <x:v>研究生宿舍楼</x:v>
      </x:c>
      <x:c r="J1493" s="12" t="str">
        <x:v>研究生宿舍楼发车</x:v>
      </x:c>
      <x:c r="K1493" s="12" t="str">
        <x:v>HX3_NORMAL</x:v>
      </x:c>
      <x:c r="L1493" s="12" t="n">
        <x:v>10</x:v>
      </x:c>
      <x:c r="M1493" s="12" t="str">
        <x:v>HX3_NORMAL|10</x:v>
      </x:c>
      <x:c r="N1493" s="12" t="str">
        <x:v>图书馆</x:v>
      </x:c>
      <x:c r="O1493" s="12" t="n">
        <x:f>IFERROR(INDEX('秒级路线参数_可调整'!$O:$O,MATCH(M1493,'秒级路线参数_可调整'!$A:$A,0)),"")</x:f>
        <x:v>715</x:v>
      </x:c>
      <x:c r="P1493" s="12" t="n">
        <x:f>IF(O1493="","",O1493/86400)</x:f>
        <x:v>0.008275462962962964</x:v>
      </x:c>
      <x:c r="Q1493" s="12" t="n">
        <x:f>IF(O1493="","",(H1493*60+O1493)/86400)</x:f>
        <x:v>0.49091435185185184</x:v>
      </x:c>
      <x:c r="R1493" s="12" t="str">
        <x:f>IF(Q1493="","",TEXT(Q1493,"hh:mm:ss"))</x:f>
        <x:v>11:46:55</x:v>
      </x:c>
      <x:c r="S1493" s="12" t="str">
        <x:v>否</x:v>
      </x:c>
      <x:c r="T1493" s="12" t="str">
        <x:v>否</x:v>
      </x:c>
      <x:c r="U1493" s="12" t="str">
        <x:v>刘晓燕</x:v>
      </x:c>
      <x:c r="V1493" s="12" t="str">
        <x:v>4号车</x:v>
      </x:c>
      <x:c r="W1493" s="12" t="str">
        <x:v>秒级预测</x:v>
      </x:c>
      <x:c r="X1493" s="12" t="str">
        <x:v>基于路线秒级参数；如录入实测或手动采用秒，预计到达时间可随公式更新</x:v>
      </x:c>
    </x:row>
    <x:row r="1494">
      <x:c r="A1494" s="12" t="str">
        <x:v>S0128-11</x:v>
      </x:c>
      <x:c r="B1494" s="12" t="str">
        <x:v>S0128</x:v>
      </x:c>
      <x:c r="C1494" s="12" t="str">
        <x:v>工作日</x:v>
      </x:c>
      <x:c r="D1494" s="12" t="str">
        <x:v>环线3路</x:v>
      </x:c>
      <x:c r="E1494" s="12" t="str">
        <x:v>第三班</x:v>
      </x:c>
      <x:c r="F1494" s="12" t="n">
        <x:v>7</x:v>
      </x:c>
      <x:c r="G1494" s="12" t="str">
        <x:v>11:35</x:v>
      </x:c>
      <x:c r="H1494" s="12" t="n">
        <x:v>695</x:v>
      </x:c>
      <x:c r="I1494" s="12" t="str">
        <x:v>研究生宿舍楼</x:v>
      </x:c>
      <x:c r="J1494" s="12" t="str">
        <x:v>研究生宿舍楼发车</x:v>
      </x:c>
      <x:c r="K1494" s="12" t="str">
        <x:v>HX3_NORMAL</x:v>
      </x:c>
      <x:c r="L1494" s="12" t="n">
        <x:v>11</x:v>
      </x:c>
      <x:c r="M1494" s="12" t="str">
        <x:v>HX3_NORMAL|11</x:v>
      </x:c>
      <x:c r="N1494" s="12" t="str">
        <x:v>305教学楼</x:v>
      </x:c>
      <x:c r="O1494" s="12" t="n">
        <x:f>IFERROR(INDEX('秒级路线参数_可调整'!$O:$O,MATCH(M1494,'秒级路线参数_可调整'!$A:$A,0)),"")</x:f>
        <x:v>775</x:v>
      </x:c>
      <x:c r="P1494" s="12" t="n">
        <x:f>IF(O1494="","",O1494/86400)</x:f>
        <x:v>0.008969907407407407</x:v>
      </x:c>
      <x:c r="Q1494" s="12" t="n">
        <x:f>IF(O1494="","",(H1494*60+O1494)/86400)</x:f>
        <x:v>0.4916087962962963</x:v>
      </x:c>
      <x:c r="R1494" s="12" t="str">
        <x:f>IF(Q1494="","",TEXT(Q1494,"hh:mm:ss"))</x:f>
        <x:v>11:47:55</x:v>
      </x:c>
      <x:c r="S1494" s="12" t="str">
        <x:v>否</x:v>
      </x:c>
      <x:c r="T1494" s="12" t="str">
        <x:v>否</x:v>
      </x:c>
      <x:c r="U1494" s="12" t="str">
        <x:v>刘晓燕</x:v>
      </x:c>
      <x:c r="V1494" s="12" t="str">
        <x:v>4号车</x:v>
      </x:c>
      <x:c r="W1494" s="12" t="str">
        <x:v>秒级预测</x:v>
      </x:c>
      <x:c r="X1494" s="12" t="str">
        <x:v>基于路线秒级参数；如录入实测或手动采用秒，预计到达时间可随公式更新</x:v>
      </x:c>
    </x:row>
    <x:row r="1495">
      <x:c r="A1495" s="12" t="str">
        <x:v>S0128-12</x:v>
      </x:c>
      <x:c r="B1495" s="12" t="str">
        <x:v>S0128</x:v>
      </x:c>
      <x:c r="C1495" s="12" t="str">
        <x:v>工作日</x:v>
      </x:c>
      <x:c r="D1495" s="12" t="str">
        <x:v>环线3路</x:v>
      </x:c>
      <x:c r="E1495" s="12" t="str">
        <x:v>第三班</x:v>
      </x:c>
      <x:c r="F1495" s="12" t="n">
        <x:v>7</x:v>
      </x:c>
      <x:c r="G1495" s="12" t="str">
        <x:v>11:35</x:v>
      </x:c>
      <x:c r="H1495" s="12" t="n">
        <x:v>695</x:v>
      </x:c>
      <x:c r="I1495" s="12" t="str">
        <x:v>研究生宿舍楼</x:v>
      </x:c>
      <x:c r="J1495" s="12" t="str">
        <x:v>研究生宿舍楼发车</x:v>
      </x:c>
      <x:c r="K1495" s="12" t="str">
        <x:v>HX3_NORMAL</x:v>
      </x:c>
      <x:c r="L1495" s="12" t="n">
        <x:v>12</x:v>
      </x:c>
      <x:c r="M1495" s="12" t="str">
        <x:v>HX3_NORMAL|12</x:v>
      </x:c>
      <x:c r="N1495" s="12" t="str">
        <x:v>研究生宿舍楼</x:v>
      </x:c>
      <x:c r="O1495" s="12" t="n">
        <x:f>IFERROR(INDEX('秒级路线参数_可调整'!$O:$O,MATCH(M1495,'秒级路线参数_可调整'!$A:$A,0)),"")</x:f>
        <x:v>840</x:v>
      </x:c>
      <x:c r="P1495" s="12" t="n">
        <x:f>IF(O1495="","",O1495/86400)</x:f>
        <x:v>0.009722222222222222</x:v>
      </x:c>
      <x:c r="Q1495" s="12" t="n">
        <x:f>IF(O1495="","",(H1495*60+O1495)/86400)</x:f>
        <x:v>0.49236111111111114</x:v>
      </x:c>
      <x:c r="R1495" s="12" t="str">
        <x:f>IF(Q1495="","",TEXT(Q1495,"hh:mm:ss"))</x:f>
        <x:v>11:49:00</x:v>
      </x:c>
      <x:c r="S1495" s="12" t="str">
        <x:v>否</x:v>
      </x:c>
      <x:c r="T1495" s="12" t="str">
        <x:v>是</x:v>
      </x:c>
      <x:c r="U1495" s="12" t="str">
        <x:v>刘晓燕</x:v>
      </x:c>
      <x:c r="V1495" s="12" t="str">
        <x:v>4号车</x:v>
      </x:c>
      <x:c r="W1495" s="12" t="str">
        <x:v>秒级预测</x:v>
      </x:c>
      <x:c r="X1495" s="12" t="str">
        <x:v>基于路线秒级参数；如录入实测或手动采用秒，预计到达时间可随公式更新</x:v>
      </x:c>
    </x:row>
    <x:row r="1496">
      <x:c r="A1496" s="12" t="str">
        <x:v>S0129-01</x:v>
      </x:c>
      <x:c r="B1496" s="12" t="str">
        <x:v>S0129</x:v>
      </x:c>
      <x:c r="C1496" s="12" t="str">
        <x:v>工作日</x:v>
      </x:c>
      <x:c r="D1496" s="12" t="str">
        <x:v>环线3路</x:v>
      </x:c>
      <x:c r="E1496" s="12" t="str">
        <x:v>第三班</x:v>
      </x:c>
      <x:c r="F1496" s="12" t="n">
        <x:v>8</x:v>
      </x:c>
      <x:c r="G1496" s="12" t="str">
        <x:v>12:20</x:v>
      </x:c>
      <x:c r="H1496" s="12" t="n">
        <x:v>740</x:v>
      </x:c>
      <x:c r="I1496" s="12" t="str">
        <x:v>研究生宿舍楼</x:v>
      </x:c>
      <x:c r="J1496" s="12" t="str">
        <x:v>研究生宿舍楼发车</x:v>
      </x:c>
      <x:c r="K1496" s="12" t="str">
        <x:v>HX3_NORMAL</x:v>
      </x:c>
      <x:c r="L1496" s="12" t="n">
        <x:v>1</x:v>
      </x:c>
      <x:c r="M1496" s="12" t="str">
        <x:v>HX3_NORMAL|1</x:v>
      </x:c>
      <x:c r="N1496" s="12" t="str">
        <x:v>研究生宿舍楼</x:v>
      </x:c>
      <x:c r="O1496" s="12" t="n">
        <x:f>IFERROR(INDEX('秒级路线参数_可调整'!$O:$O,MATCH(M1496,'秒级路线参数_可调整'!$A:$A,0)),"")</x:f>
        <x:v>0</x:v>
      </x:c>
      <x:c r="P1496" s="12" t="str">
        <x:f>IF(O1496="","",O1496/86400)</x:f>
      </x:c>
      <x:c r="Q1496" s="12" t="str">
        <x:f>IF(O1496="","",(H1496*60+O1496)/86400)</x:f>
      </x:c>
      <x:c r="R1496" s="12" t="str">
        <x:f>IF(Q1496="","",TEXT(Q1496,"hh:mm:ss"))</x:f>
      </x:c>
      <x:c r="S1496" s="12" t="str">
        <x:v>是</x:v>
      </x:c>
      <x:c r="T1496" s="12" t="str">
        <x:v>否</x:v>
      </x:c>
      <x:c r="U1496" s="12" t="str">
        <x:v>刘晓燕</x:v>
      </x:c>
      <x:c r="V1496" s="12" t="str">
        <x:v>4号车</x:v>
      </x:c>
      <x:c r="W1496" s="12" t="str">
        <x:v>秒级预测</x:v>
      </x:c>
      <x:c r="X1496" s="12" t="str">
        <x:v>基于路线秒级参数；如录入实测或手动采用秒，预计到达时间可随公式更新</x:v>
      </x:c>
    </x:row>
    <x:row r="1497">
      <x:c r="A1497" s="12" t="str">
        <x:v>S0129-02</x:v>
      </x:c>
      <x:c r="B1497" s="12" t="str">
        <x:v>S0129</x:v>
      </x:c>
      <x:c r="C1497" s="12" t="str">
        <x:v>工作日</x:v>
      </x:c>
      <x:c r="D1497" s="12" t="str">
        <x:v>环线3路</x:v>
      </x:c>
      <x:c r="E1497" s="12" t="str">
        <x:v>第三班</x:v>
      </x:c>
      <x:c r="F1497" s="12" t="n">
        <x:v>8</x:v>
      </x:c>
      <x:c r="G1497" s="12" t="str">
        <x:v>12:20</x:v>
      </x:c>
      <x:c r="H1497" s="12" t="n">
        <x:v>740</x:v>
      </x:c>
      <x:c r="I1497" s="12" t="str">
        <x:v>研究生宿舍楼</x:v>
      </x:c>
      <x:c r="J1497" s="12" t="str">
        <x:v>研究生宿舍楼发车</x:v>
      </x:c>
      <x:c r="K1497" s="12" t="str">
        <x:v>HX3_NORMAL</x:v>
      </x:c>
      <x:c r="L1497" s="12" t="n">
        <x:v>2</x:v>
      </x:c>
      <x:c r="M1497" s="12" t="str">
        <x:v>HX3_NORMAL|2</x:v>
      </x:c>
      <x:c r="N1497" s="12" t="str">
        <x:v>一食堂</x:v>
      </x:c>
      <x:c r="O1497" s="12" t="n">
        <x:f>IFERROR(INDEX('秒级路线参数_可调整'!$O:$O,MATCH(M1497,'秒级路线参数_可调整'!$A:$A,0)),"")</x:f>
        <x:v>65</x:v>
      </x:c>
      <x:c r="P1497" s="12" t="n">
        <x:f>IF(O1497="","",O1497/86400)</x:f>
        <x:v>0.0007523148148148148</x:v>
      </x:c>
      <x:c r="Q1497" s="12" t="n">
        <x:f>IF(O1497="","",(H1497*60+O1497)/86400)</x:f>
        <x:v>0.5146412037037037</x:v>
      </x:c>
      <x:c r="R1497" s="12" t="str">
        <x:f>IF(Q1497="","",TEXT(Q1497,"hh:mm:ss"))</x:f>
        <x:v>12:21:05</x:v>
      </x:c>
      <x:c r="S1497" s="12" t="str">
        <x:v>否</x:v>
      </x:c>
      <x:c r="T1497" s="12" t="str">
        <x:v>否</x:v>
      </x:c>
      <x:c r="U1497" s="12" t="str">
        <x:v>刘晓燕</x:v>
      </x:c>
      <x:c r="V1497" s="12" t="str">
        <x:v>4号车</x:v>
      </x:c>
      <x:c r="W1497" s="12" t="str">
        <x:v>秒级预测</x:v>
      </x:c>
      <x:c r="X1497" s="12" t="str">
        <x:v>基于路线秒级参数；如录入实测或手动采用秒，预计到达时间可随公式更新</x:v>
      </x:c>
    </x:row>
    <x:row r="1498">
      <x:c r="A1498" s="12" t="str">
        <x:v>S0129-03</x:v>
      </x:c>
      <x:c r="B1498" s="12" t="str">
        <x:v>S0129</x:v>
      </x:c>
      <x:c r="C1498" s="12" t="str">
        <x:v>工作日</x:v>
      </x:c>
      <x:c r="D1498" s="12" t="str">
        <x:v>环线3路</x:v>
      </x:c>
      <x:c r="E1498" s="12" t="str">
        <x:v>第三班</x:v>
      </x:c>
      <x:c r="F1498" s="12" t="n">
        <x:v>8</x:v>
      </x:c>
      <x:c r="G1498" s="12" t="str">
        <x:v>12:20</x:v>
      </x:c>
      <x:c r="H1498" s="12" t="n">
        <x:v>740</x:v>
      </x:c>
      <x:c r="I1498" s="12" t="str">
        <x:v>研究生宿舍楼</x:v>
      </x:c>
      <x:c r="J1498" s="12" t="str">
        <x:v>研究生宿舍楼发车</x:v>
      </x:c>
      <x:c r="K1498" s="12" t="str">
        <x:v>HX3_NORMAL</x:v>
      </x:c>
      <x:c r="L1498" s="12" t="n">
        <x:v>3</x:v>
      </x:c>
      <x:c r="M1498" s="12" t="str">
        <x:v>HX3_NORMAL|3</x:v>
      </x:c>
      <x:c r="N1498" s="12" t="str">
        <x:v>2号宿舍楼</x:v>
      </x:c>
      <x:c r="O1498" s="12" t="n">
        <x:f>IFERROR(INDEX('秒级路线参数_可调整'!$O:$O,MATCH(M1498,'秒级路线参数_可调整'!$A:$A,0)),"")</x:f>
        <x:v>120</x:v>
      </x:c>
      <x:c r="P1498" s="12" t="n">
        <x:f>IF(O1498="","",O1498/86400)</x:f>
        <x:v>0.001388888888888889</x:v>
      </x:c>
      <x:c r="Q1498" s="12" t="n">
        <x:f>IF(O1498="","",(H1498*60+O1498)/86400)</x:f>
        <x:v>0.5152777777777777</x:v>
      </x:c>
      <x:c r="R1498" s="12" t="str">
        <x:f>IF(Q1498="","",TEXT(Q1498,"hh:mm:ss"))</x:f>
        <x:v>12:22:00</x:v>
      </x:c>
      <x:c r="S1498" s="12" t="str">
        <x:v>否</x:v>
      </x:c>
      <x:c r="T1498" s="12" t="str">
        <x:v>否</x:v>
      </x:c>
      <x:c r="U1498" s="12" t="str">
        <x:v>刘晓燕</x:v>
      </x:c>
      <x:c r="V1498" s="12" t="str">
        <x:v>4号车</x:v>
      </x:c>
      <x:c r="W1498" s="12" t="str">
        <x:v>秒级预测</x:v>
      </x:c>
      <x:c r="X1498" s="12" t="str">
        <x:v>基于路线秒级参数；如录入实测或手动采用秒，预计到达时间可随公式更新</x:v>
      </x:c>
    </x:row>
    <x:row r="1499">
      <x:c r="A1499" s="12" t="str">
        <x:v>S0129-04</x:v>
      </x:c>
      <x:c r="B1499" s="12" t="str">
        <x:v>S0129</x:v>
      </x:c>
      <x:c r="C1499" s="12" t="str">
        <x:v>工作日</x:v>
      </x:c>
      <x:c r="D1499" s="12" t="str">
        <x:v>环线3路</x:v>
      </x:c>
      <x:c r="E1499" s="12" t="str">
        <x:v>第三班</x:v>
      </x:c>
      <x:c r="F1499" s="12" t="n">
        <x:v>8</x:v>
      </x:c>
      <x:c r="G1499" s="12" t="str">
        <x:v>12:20</x:v>
      </x:c>
      <x:c r="H1499" s="12" t="n">
        <x:v>740</x:v>
      </x:c>
      <x:c r="I1499" s="12" t="str">
        <x:v>研究生宿舍楼</x:v>
      </x:c>
      <x:c r="J1499" s="12" t="str">
        <x:v>研究生宿舍楼发车</x:v>
      </x:c>
      <x:c r="K1499" s="12" t="str">
        <x:v>HX3_NORMAL</x:v>
      </x:c>
      <x:c r="L1499" s="12" t="n">
        <x:v>4</x:v>
      </x:c>
      <x:c r="M1499" s="12" t="str">
        <x:v>HX3_NORMAL|4</x:v>
      </x:c>
      <x:c r="N1499" s="12" t="str">
        <x:v>军体活动中心</x:v>
      </x:c>
      <x:c r="O1499" s="12" t="n">
        <x:f>IFERROR(INDEX('秒级路线参数_可调整'!$O:$O,MATCH(M1499,'秒级路线参数_可调整'!$A:$A,0)),"")</x:f>
        <x:v>165</x:v>
      </x:c>
      <x:c r="P1499" s="12" t="n">
        <x:f>IF(O1499="","",O1499/86400)</x:f>
        <x:v>0.0019097222222222222</x:v>
      </x:c>
      <x:c r="Q1499" s="12" t="n">
        <x:f>IF(O1499="","",(H1499*60+O1499)/86400)</x:f>
        <x:v>0.5157986111111111</x:v>
      </x:c>
      <x:c r="R1499" s="12" t="str">
        <x:f>IF(Q1499="","",TEXT(Q1499,"hh:mm:ss"))</x:f>
        <x:v>12:22:45</x:v>
      </x:c>
      <x:c r="S1499" s="12" t="str">
        <x:v>否</x:v>
      </x:c>
      <x:c r="T1499" s="12" t="str">
        <x:v>否</x:v>
      </x:c>
      <x:c r="U1499" s="12" t="str">
        <x:v>刘晓燕</x:v>
      </x:c>
      <x:c r="V1499" s="12" t="str">
        <x:v>4号车</x:v>
      </x:c>
      <x:c r="W1499" s="12" t="str">
        <x:v>秒级预测</x:v>
      </x:c>
      <x:c r="X1499" s="12" t="str">
        <x:v>基于路线秒级参数；如录入实测或手动采用秒，预计到达时间可随公式更新</x:v>
      </x:c>
    </x:row>
    <x:row r="1500">
      <x:c r="A1500" s="12" t="str">
        <x:v>S0129-05</x:v>
      </x:c>
      <x:c r="B1500" s="12" t="str">
        <x:v>S0129</x:v>
      </x:c>
      <x:c r="C1500" s="12" t="str">
        <x:v>工作日</x:v>
      </x:c>
      <x:c r="D1500" s="12" t="str">
        <x:v>环线3路</x:v>
      </x:c>
      <x:c r="E1500" s="12" t="str">
        <x:v>第三班</x:v>
      </x:c>
      <x:c r="F1500" s="12" t="n">
        <x:v>8</x:v>
      </x:c>
      <x:c r="G1500" s="12" t="str">
        <x:v>12:20</x:v>
      </x:c>
      <x:c r="H1500" s="12" t="n">
        <x:v>740</x:v>
      </x:c>
      <x:c r="I1500" s="12" t="str">
        <x:v>研究生宿舍楼</x:v>
      </x:c>
      <x:c r="J1500" s="12" t="str">
        <x:v>研究生宿舍楼发车</x:v>
      </x:c>
      <x:c r="K1500" s="12" t="str">
        <x:v>HX3_NORMAL</x:v>
      </x:c>
      <x:c r="L1500" s="12" t="n">
        <x:v>5</x:v>
      </x:c>
      <x:c r="M1500" s="12" t="str">
        <x:v>HX3_NORMAL|5</x:v>
      </x:c>
      <x:c r="N1500" s="12" t="str">
        <x:v>教勤连</x:v>
      </x:c>
      <x:c r="O1500" s="12" t="n">
        <x:f>IFERROR(INDEX('秒级路线参数_可调整'!$O:$O,MATCH(M1500,'秒级路线参数_可调整'!$A:$A,0)),"")</x:f>
        <x:v>250</x:v>
      </x:c>
      <x:c r="P1500" s="12" t="n">
        <x:f>IF(O1500="","",O1500/86400)</x:f>
        <x:v>0.0028935185185185184</x:v>
      </x:c>
      <x:c r="Q1500" s="12" t="n">
        <x:f>IF(O1500="","",(H1500*60+O1500)/86400)</x:f>
        <x:v>0.5167824074074074</x:v>
      </x:c>
      <x:c r="R1500" s="12" t="str">
        <x:f>IF(Q1500="","",TEXT(Q1500,"hh:mm:ss"))</x:f>
        <x:v>12:24:10</x:v>
      </x:c>
      <x:c r="S1500" s="12" t="str">
        <x:v>否</x:v>
      </x:c>
      <x:c r="T1500" s="12" t="str">
        <x:v>否</x:v>
      </x:c>
      <x:c r="U1500" s="12" t="str">
        <x:v>刘晓燕</x:v>
      </x:c>
      <x:c r="V1500" s="12" t="str">
        <x:v>4号车</x:v>
      </x:c>
      <x:c r="W1500" s="12" t="str">
        <x:v>秒级预测</x:v>
      </x:c>
      <x:c r="X1500" s="12" t="str">
        <x:v>基于路线秒级参数；如录入实测或手动采用秒，预计到达时间可随公式更新</x:v>
      </x:c>
    </x:row>
    <x:row r="1501">
      <x:c r="A1501" s="12" t="str">
        <x:v>S0129-06</x:v>
      </x:c>
      <x:c r="B1501" s="12" t="str">
        <x:v>S0129</x:v>
      </x:c>
      <x:c r="C1501" s="12" t="str">
        <x:v>工作日</x:v>
      </x:c>
      <x:c r="D1501" s="12" t="str">
        <x:v>环线3路</x:v>
      </x:c>
      <x:c r="E1501" s="12" t="str">
        <x:v>第三班</x:v>
      </x:c>
      <x:c r="F1501" s="12" t="n">
        <x:v>8</x:v>
      </x:c>
      <x:c r="G1501" s="12" t="str">
        <x:v>12:20</x:v>
      </x:c>
      <x:c r="H1501" s="12" t="n">
        <x:v>740</x:v>
      </x:c>
      <x:c r="I1501" s="12" t="str">
        <x:v>研究生宿舍楼</x:v>
      </x:c>
      <x:c r="J1501" s="12" t="str">
        <x:v>研究生宿舍楼发车</x:v>
      </x:c>
      <x:c r="K1501" s="12" t="str">
        <x:v>HX3_NORMAL</x:v>
      </x:c>
      <x:c r="L1501" s="12" t="n">
        <x:v>6</x:v>
      </x:c>
      <x:c r="M1501" s="12" t="str">
        <x:v>HX3_NORMAL|6</x:v>
      </x:c>
      <x:c r="N1501" s="12" t="str">
        <x:v>激光所</x:v>
      </x:c>
      <x:c r="O1501" s="12" t="n">
        <x:f>IFERROR(INDEX('秒级路线参数_可调整'!$O:$O,MATCH(M1501,'秒级路线参数_可调整'!$A:$A,0)),"")</x:f>
        <x:v>315</x:v>
      </x:c>
      <x:c r="P1501" s="12" t="n">
        <x:f>IF(O1501="","",O1501/86400)</x:f>
        <x:v>0.0036458333333333334</x:v>
      </x:c>
      <x:c r="Q1501" s="12" t="n">
        <x:f>IF(O1501="","",(H1501*60+O1501)/86400)</x:f>
        <x:v>0.5175347222222222</x:v>
      </x:c>
      <x:c r="R1501" s="12" t="str">
        <x:f>IF(Q1501="","",TEXT(Q1501,"hh:mm:ss"))</x:f>
        <x:v>12:25:15</x:v>
      </x:c>
      <x:c r="S1501" s="12" t="str">
        <x:v>否</x:v>
      </x:c>
      <x:c r="T1501" s="12" t="str">
        <x:v>否</x:v>
      </x:c>
      <x:c r="U1501" s="12" t="str">
        <x:v>刘晓燕</x:v>
      </x:c>
      <x:c r="V1501" s="12" t="str">
        <x:v>4号车</x:v>
      </x:c>
      <x:c r="W1501" s="12" t="str">
        <x:v>秒级预测</x:v>
      </x:c>
      <x:c r="X1501" s="12" t="str">
        <x:v>基于路线秒级参数；如录入实测或手动采用秒，预计到达时间可随公式更新</x:v>
      </x:c>
    </x:row>
    <x:row r="1502">
      <x:c r="A1502" s="12" t="str">
        <x:v>S0129-07</x:v>
      </x:c>
      <x:c r="B1502" s="12" t="str">
        <x:v>S0129</x:v>
      </x:c>
      <x:c r="C1502" s="12" t="str">
        <x:v>工作日</x:v>
      </x:c>
      <x:c r="D1502" s="12" t="str">
        <x:v>环线3路</x:v>
      </x:c>
      <x:c r="E1502" s="12" t="str">
        <x:v>第三班</x:v>
      </x:c>
      <x:c r="F1502" s="12" t="n">
        <x:v>8</x:v>
      </x:c>
      <x:c r="G1502" s="12" t="str">
        <x:v>12:20</x:v>
      </x:c>
      <x:c r="H1502" s="12" t="n">
        <x:v>740</x:v>
      </x:c>
      <x:c r="I1502" s="12" t="str">
        <x:v>研究生宿舍楼</x:v>
      </x:c>
      <x:c r="J1502" s="12" t="str">
        <x:v>研究生宿舍楼发车</x:v>
      </x:c>
      <x:c r="K1502" s="12" t="str">
        <x:v>HX3_NORMAL</x:v>
      </x:c>
      <x:c r="L1502" s="12" t="n">
        <x:v>7</x:v>
      </x:c>
      <x:c r="M1502" s="12" t="str">
        <x:v>HX3_NORMAL|7</x:v>
      </x:c>
      <x:c r="N1502" s="12" t="str">
        <x:v>高超楼</x:v>
      </x:c>
      <x:c r="O1502" s="12" t="n">
        <x:f>IFERROR(INDEX('秒级路线参数_可调整'!$O:$O,MATCH(M1502,'秒级路线参数_可调整'!$A:$A,0)),"")</x:f>
        <x:v>420</x:v>
      </x:c>
      <x:c r="P1502" s="12" t="n">
        <x:f>IF(O1502="","",O1502/86400)</x:f>
        <x:v>0.004861111111111111</x:v>
      </x:c>
      <x:c r="Q1502" s="12" t="n">
        <x:f>IF(O1502="","",(H1502*60+O1502)/86400)</x:f>
        <x:v>0.51875</x:v>
      </x:c>
      <x:c r="R1502" s="12" t="str">
        <x:f>IF(Q1502="","",TEXT(Q1502,"hh:mm:ss"))</x:f>
        <x:v>12:27:00</x:v>
      </x:c>
      <x:c r="S1502" s="12" t="str">
        <x:v>否</x:v>
      </x:c>
      <x:c r="T1502" s="12" t="str">
        <x:v>否</x:v>
      </x:c>
      <x:c r="U1502" s="12" t="str">
        <x:v>刘晓燕</x:v>
      </x:c>
      <x:c r="V1502" s="12" t="str">
        <x:v>4号车</x:v>
      </x:c>
      <x:c r="W1502" s="12" t="str">
        <x:v>秒级预测</x:v>
      </x:c>
      <x:c r="X1502" s="12" t="str">
        <x:v>基于路线秒级参数；如录入实测或手动采用秒，预计到达时间可随公式更新</x:v>
      </x:c>
    </x:row>
    <x:row r="1503">
      <x:c r="A1503" s="12" t="str">
        <x:v>S0129-08</x:v>
      </x:c>
      <x:c r="B1503" s="12" t="str">
        <x:v>S0129</x:v>
      </x:c>
      <x:c r="C1503" s="12" t="str">
        <x:v>工作日</x:v>
      </x:c>
      <x:c r="D1503" s="12" t="str">
        <x:v>环线3路</x:v>
      </x:c>
      <x:c r="E1503" s="12" t="str">
        <x:v>第三班</x:v>
      </x:c>
      <x:c r="F1503" s="12" t="n">
        <x:v>8</x:v>
      </x:c>
      <x:c r="G1503" s="12" t="str">
        <x:v>12:20</x:v>
      </x:c>
      <x:c r="H1503" s="12" t="n">
        <x:v>740</x:v>
      </x:c>
      <x:c r="I1503" s="12" t="str">
        <x:v>研究生宿舍楼</x:v>
      </x:c>
      <x:c r="J1503" s="12" t="str">
        <x:v>研究生宿舍楼发车</x:v>
      </x:c>
      <x:c r="K1503" s="12" t="str">
        <x:v>HX3_NORMAL</x:v>
      </x:c>
      <x:c r="L1503" s="12" t="n">
        <x:v>8</x:v>
      </x:c>
      <x:c r="M1503" s="12" t="str">
        <x:v>HX3_NORMAL|8</x:v>
      </x:c>
      <x:c r="N1503" s="12" t="str">
        <x:v>理学院</x:v>
      </x:c>
      <x:c r="O1503" s="12" t="n">
        <x:f>IFERROR(INDEX('秒级路线参数_可调整'!$O:$O,MATCH(M1503,'秒级路线参数_可调整'!$A:$A,0)),"")</x:f>
        <x:v>480</x:v>
      </x:c>
      <x:c r="P1503" s="12" t="n">
        <x:f>IF(O1503="","",O1503/86400)</x:f>
        <x:v>0.005555555555555556</x:v>
      </x:c>
      <x:c r="Q1503" s="12" t="n">
        <x:f>IF(O1503="","",(H1503*60+O1503)/86400)</x:f>
        <x:v>0.5194444444444445</x:v>
      </x:c>
      <x:c r="R1503" s="12" t="str">
        <x:f>IF(Q1503="","",TEXT(Q1503,"hh:mm:ss"))</x:f>
        <x:v>12:28:00</x:v>
      </x:c>
      <x:c r="S1503" s="12" t="str">
        <x:v>否</x:v>
      </x:c>
      <x:c r="T1503" s="12" t="str">
        <x:v>否</x:v>
      </x:c>
      <x:c r="U1503" s="12" t="str">
        <x:v>刘晓燕</x:v>
      </x:c>
      <x:c r="V1503" s="12" t="str">
        <x:v>4号车</x:v>
      </x:c>
      <x:c r="W1503" s="12" t="str">
        <x:v>秒级预测</x:v>
      </x:c>
      <x:c r="X1503" s="12" t="str">
        <x:v>基于路线秒级参数；如录入实测或手动采用秒，预计到达时间可随公式更新</x:v>
      </x:c>
    </x:row>
    <x:row r="1504">
      <x:c r="A1504" s="12" t="str">
        <x:v>S0129-09</x:v>
      </x:c>
      <x:c r="B1504" s="12" t="str">
        <x:v>S0129</x:v>
      </x:c>
      <x:c r="C1504" s="12" t="str">
        <x:v>工作日</x:v>
      </x:c>
      <x:c r="D1504" s="12" t="str">
        <x:v>环线3路</x:v>
      </x:c>
      <x:c r="E1504" s="12" t="str">
        <x:v>第三班</x:v>
      </x:c>
      <x:c r="F1504" s="12" t="n">
        <x:v>8</x:v>
      </x:c>
      <x:c r="G1504" s="12" t="str">
        <x:v>12:20</x:v>
      </x:c>
      <x:c r="H1504" s="12" t="n">
        <x:v>740</x:v>
      </x:c>
      <x:c r="I1504" s="12" t="str">
        <x:v>研究生宿舍楼</x:v>
      </x:c>
      <x:c r="J1504" s="12" t="str">
        <x:v>研究生宿舍楼发车</x:v>
      </x:c>
      <x:c r="K1504" s="12" t="str">
        <x:v>HX3_NORMAL</x:v>
      </x:c>
      <x:c r="L1504" s="12" t="n">
        <x:v>9</x:v>
      </x:c>
      <x:c r="M1504" s="12" t="str">
        <x:v>HX3_NORMAL|9</x:v>
      </x:c>
      <x:c r="N1504" s="12" t="str">
        <x:v>二食堂</x:v>
      </x:c>
      <x:c r="O1504" s="12" t="n">
        <x:f>IFERROR(INDEX('秒级路线参数_可调整'!$O:$O,MATCH(M1504,'秒级路线参数_可调整'!$A:$A,0)),"")</x:f>
        <x:v>535</x:v>
      </x:c>
      <x:c r="P1504" s="12" t="n">
        <x:f>IF(O1504="","",O1504/86400)</x:f>
        <x:v>0.00619212962962963</x:v>
      </x:c>
      <x:c r="Q1504" s="12" t="n">
        <x:f>IF(O1504="","",(H1504*60+O1504)/86400)</x:f>
        <x:v>0.5200810185185185</x:v>
      </x:c>
      <x:c r="R1504" s="12" t="str">
        <x:f>IF(Q1504="","",TEXT(Q1504,"hh:mm:ss"))</x:f>
        <x:v>12:28:55</x:v>
      </x:c>
      <x:c r="S1504" s="12" t="str">
        <x:v>否</x:v>
      </x:c>
      <x:c r="T1504" s="12" t="str">
        <x:v>否</x:v>
      </x:c>
      <x:c r="U1504" s="12" t="str">
        <x:v>刘晓燕</x:v>
      </x:c>
      <x:c r="V1504" s="12" t="str">
        <x:v>4号车</x:v>
      </x:c>
      <x:c r="W1504" s="12" t="str">
        <x:v>秒级预测</x:v>
      </x:c>
      <x:c r="X1504" s="12" t="str">
        <x:v>基于路线秒级参数；如录入实测或手动采用秒，预计到达时间可随公式更新</x:v>
      </x:c>
    </x:row>
    <x:row r="1505">
      <x:c r="A1505" s="12" t="str">
        <x:v>S0129-10</x:v>
      </x:c>
      <x:c r="B1505" s="12" t="str">
        <x:v>S0129</x:v>
      </x:c>
      <x:c r="C1505" s="12" t="str">
        <x:v>工作日</x:v>
      </x:c>
      <x:c r="D1505" s="12" t="str">
        <x:v>环线3路</x:v>
      </x:c>
      <x:c r="E1505" s="12" t="str">
        <x:v>第三班</x:v>
      </x:c>
      <x:c r="F1505" s="12" t="n">
        <x:v>8</x:v>
      </x:c>
      <x:c r="G1505" s="12" t="str">
        <x:v>12:20</x:v>
      </x:c>
      <x:c r="H1505" s="12" t="n">
        <x:v>740</x:v>
      </x:c>
      <x:c r="I1505" s="12" t="str">
        <x:v>研究生宿舍楼</x:v>
      </x:c>
      <x:c r="J1505" s="12" t="str">
        <x:v>研究生宿舍楼发车</x:v>
      </x:c>
      <x:c r="K1505" s="12" t="str">
        <x:v>HX3_NORMAL</x:v>
      </x:c>
      <x:c r="L1505" s="12" t="n">
        <x:v>10</x:v>
      </x:c>
      <x:c r="M1505" s="12" t="str">
        <x:v>HX3_NORMAL|10</x:v>
      </x:c>
      <x:c r="N1505" s="12" t="str">
        <x:v>图书馆</x:v>
      </x:c>
      <x:c r="O1505" s="12" t="n">
        <x:f>IFERROR(INDEX('秒级路线参数_可调整'!$O:$O,MATCH(M1505,'秒级路线参数_可调整'!$A:$A,0)),"")</x:f>
        <x:v>715</x:v>
      </x:c>
      <x:c r="P1505" s="12" t="n">
        <x:f>IF(O1505="","",O1505/86400)</x:f>
        <x:v>0.008275462962962964</x:v>
      </x:c>
      <x:c r="Q1505" s="12" t="n">
        <x:f>IF(O1505="","",(H1505*60+O1505)/86400)</x:f>
        <x:v>0.5221643518518518</x:v>
      </x:c>
      <x:c r="R1505" s="12" t="str">
        <x:f>IF(Q1505="","",TEXT(Q1505,"hh:mm:ss"))</x:f>
        <x:v>12:31:55</x:v>
      </x:c>
      <x:c r="S1505" s="12" t="str">
        <x:v>否</x:v>
      </x:c>
      <x:c r="T1505" s="12" t="str">
        <x:v>否</x:v>
      </x:c>
      <x:c r="U1505" s="12" t="str">
        <x:v>刘晓燕</x:v>
      </x:c>
      <x:c r="V1505" s="12" t="str">
        <x:v>4号车</x:v>
      </x:c>
      <x:c r="W1505" s="12" t="str">
        <x:v>秒级预测</x:v>
      </x:c>
      <x:c r="X1505" s="12" t="str">
        <x:v>基于路线秒级参数；如录入实测或手动采用秒，预计到达时间可随公式更新</x:v>
      </x:c>
    </x:row>
    <x:row r="1506">
      <x:c r="A1506" s="12" t="str">
        <x:v>S0129-11</x:v>
      </x:c>
      <x:c r="B1506" s="12" t="str">
        <x:v>S0129</x:v>
      </x:c>
      <x:c r="C1506" s="12" t="str">
        <x:v>工作日</x:v>
      </x:c>
      <x:c r="D1506" s="12" t="str">
        <x:v>环线3路</x:v>
      </x:c>
      <x:c r="E1506" s="12" t="str">
        <x:v>第三班</x:v>
      </x:c>
      <x:c r="F1506" s="12" t="n">
        <x:v>8</x:v>
      </x:c>
      <x:c r="G1506" s="12" t="str">
        <x:v>12:20</x:v>
      </x:c>
      <x:c r="H1506" s="12" t="n">
        <x:v>740</x:v>
      </x:c>
      <x:c r="I1506" s="12" t="str">
        <x:v>研究生宿舍楼</x:v>
      </x:c>
      <x:c r="J1506" s="12" t="str">
        <x:v>研究生宿舍楼发车</x:v>
      </x:c>
      <x:c r="K1506" s="12" t="str">
        <x:v>HX3_NORMAL</x:v>
      </x:c>
      <x:c r="L1506" s="12" t="n">
        <x:v>11</x:v>
      </x:c>
      <x:c r="M1506" s="12" t="str">
        <x:v>HX3_NORMAL|11</x:v>
      </x:c>
      <x:c r="N1506" s="12" t="str">
        <x:v>305教学楼</x:v>
      </x:c>
      <x:c r="O1506" s="12" t="n">
        <x:f>IFERROR(INDEX('秒级路线参数_可调整'!$O:$O,MATCH(M1506,'秒级路线参数_可调整'!$A:$A,0)),"")</x:f>
        <x:v>775</x:v>
      </x:c>
      <x:c r="P1506" s="12" t="n">
        <x:f>IF(O1506="","",O1506/86400)</x:f>
        <x:v>0.008969907407407407</x:v>
      </x:c>
      <x:c r="Q1506" s="12" t="n">
        <x:f>IF(O1506="","",(H1506*60+O1506)/86400)</x:f>
        <x:v>0.5228587962962963</x:v>
      </x:c>
      <x:c r="R1506" s="12" t="str">
        <x:f>IF(Q1506="","",TEXT(Q1506,"hh:mm:ss"))</x:f>
        <x:v>12:32:55</x:v>
      </x:c>
      <x:c r="S1506" s="12" t="str">
        <x:v>否</x:v>
      </x:c>
      <x:c r="T1506" s="12" t="str">
        <x:v>否</x:v>
      </x:c>
      <x:c r="U1506" s="12" t="str">
        <x:v>刘晓燕</x:v>
      </x:c>
      <x:c r="V1506" s="12" t="str">
        <x:v>4号车</x:v>
      </x:c>
      <x:c r="W1506" s="12" t="str">
        <x:v>秒级预测</x:v>
      </x:c>
      <x:c r="X1506" s="12" t="str">
        <x:v>基于路线秒级参数；如录入实测或手动采用秒，预计到达时间可随公式更新</x:v>
      </x:c>
    </x:row>
    <x:row r="1507">
      <x:c r="A1507" s="12" t="str">
        <x:v>S0129-12</x:v>
      </x:c>
      <x:c r="B1507" s="12" t="str">
        <x:v>S0129</x:v>
      </x:c>
      <x:c r="C1507" s="12" t="str">
        <x:v>工作日</x:v>
      </x:c>
      <x:c r="D1507" s="12" t="str">
        <x:v>环线3路</x:v>
      </x:c>
      <x:c r="E1507" s="12" t="str">
        <x:v>第三班</x:v>
      </x:c>
      <x:c r="F1507" s="12" t="n">
        <x:v>8</x:v>
      </x:c>
      <x:c r="G1507" s="12" t="str">
        <x:v>12:20</x:v>
      </x:c>
      <x:c r="H1507" s="12" t="n">
        <x:v>740</x:v>
      </x:c>
      <x:c r="I1507" s="12" t="str">
        <x:v>研究生宿舍楼</x:v>
      </x:c>
      <x:c r="J1507" s="12" t="str">
        <x:v>研究生宿舍楼发车</x:v>
      </x:c>
      <x:c r="K1507" s="12" t="str">
        <x:v>HX3_NORMAL</x:v>
      </x:c>
      <x:c r="L1507" s="12" t="n">
        <x:v>12</x:v>
      </x:c>
      <x:c r="M1507" s="12" t="str">
        <x:v>HX3_NORMAL|12</x:v>
      </x:c>
      <x:c r="N1507" s="12" t="str">
        <x:v>研究生宿舍楼</x:v>
      </x:c>
      <x:c r="O1507" s="12" t="n">
        <x:f>IFERROR(INDEX('秒级路线参数_可调整'!$O:$O,MATCH(M1507,'秒级路线参数_可调整'!$A:$A,0)),"")</x:f>
        <x:v>840</x:v>
      </x:c>
      <x:c r="P1507" s="12" t="n">
        <x:f>IF(O1507="","",O1507/86400)</x:f>
        <x:v>0.009722222222222222</x:v>
      </x:c>
      <x:c r="Q1507" s="12" t="n">
        <x:f>IF(O1507="","",(H1507*60+O1507)/86400)</x:f>
        <x:v>0.5236111111111111</x:v>
      </x:c>
      <x:c r="R1507" s="12" t="str">
        <x:f>IF(Q1507="","",TEXT(Q1507,"hh:mm:ss"))</x:f>
        <x:v>12:34:00</x:v>
      </x:c>
      <x:c r="S1507" s="12" t="str">
        <x:v>否</x:v>
      </x:c>
      <x:c r="T1507" s="12" t="str">
        <x:v>是</x:v>
      </x:c>
      <x:c r="U1507" s="12" t="str">
        <x:v>刘晓燕</x:v>
      </x:c>
      <x:c r="V1507" s="12" t="str">
        <x:v>4号车</x:v>
      </x:c>
      <x:c r="W1507" s="12" t="str">
        <x:v>秒级预测</x:v>
      </x:c>
      <x:c r="X1507" s="12" t="str">
        <x:v>基于路线秒级参数；如录入实测或手动采用秒，预计到达时间可随公式更新</x:v>
      </x:c>
    </x:row>
    <x:row r="1508">
      <x:c r="A1508" s="12" t="str">
        <x:v>S0130-01</x:v>
      </x:c>
      <x:c r="B1508" s="12" t="str">
        <x:v>S0130</x:v>
      </x:c>
      <x:c r="C1508" s="12" t="str">
        <x:v>工作日</x:v>
      </x:c>
      <x:c r="D1508" s="12" t="str">
        <x:v>环线3路</x:v>
      </x:c>
      <x:c r="E1508" s="12" t="str">
        <x:v>第三班</x:v>
      </x:c>
      <x:c r="F1508" s="12" t="n">
        <x:v>9</x:v>
      </x:c>
      <x:c r="G1508" s="12" t="str">
        <x:v>14:25</x:v>
      </x:c>
      <x:c r="H1508" s="12" t="n">
        <x:v>865</x:v>
      </x:c>
      <x:c r="I1508" s="12" t="str">
        <x:v>研究生宿舍楼</x:v>
      </x:c>
      <x:c r="J1508" s="12" t="str">
        <x:v>研究生宿舍楼发车</x:v>
      </x:c>
      <x:c r="K1508" s="12" t="str">
        <x:v>HX3_NORMAL</x:v>
      </x:c>
      <x:c r="L1508" s="12" t="n">
        <x:v>1</x:v>
      </x:c>
      <x:c r="M1508" s="12" t="str">
        <x:v>HX3_NORMAL|1</x:v>
      </x:c>
      <x:c r="N1508" s="12" t="str">
        <x:v>研究生宿舍楼</x:v>
      </x:c>
      <x:c r="O1508" s="12" t="n">
        <x:f>IFERROR(INDEX('秒级路线参数_可调整'!$O:$O,MATCH(M1508,'秒级路线参数_可调整'!$A:$A,0)),"")</x:f>
        <x:v>0</x:v>
      </x:c>
      <x:c r="P1508" s="12" t="str">
        <x:f>IF(O1508="","",O1508/86400)</x:f>
      </x:c>
      <x:c r="Q1508" s="12" t="str">
        <x:f>IF(O1508="","",(H1508*60+O1508)/86400)</x:f>
      </x:c>
      <x:c r="R1508" s="12" t="str">
        <x:f>IF(Q1508="","",TEXT(Q1508,"hh:mm:ss"))</x:f>
      </x:c>
      <x:c r="S1508" s="12" t="str">
        <x:v>是</x:v>
      </x:c>
      <x:c r="T1508" s="12" t="str">
        <x:v>否</x:v>
      </x:c>
      <x:c r="U1508" s="12" t="str">
        <x:v>刘晓燕</x:v>
      </x:c>
      <x:c r="V1508" s="12" t="str">
        <x:v>4号车</x:v>
      </x:c>
      <x:c r="W1508" s="12" t="str">
        <x:v>秒级预测</x:v>
      </x:c>
      <x:c r="X1508" s="12" t="str">
        <x:v>基于路线秒级参数；如录入实测或手动采用秒，预计到达时间可随公式更新</x:v>
      </x:c>
    </x:row>
    <x:row r="1509">
      <x:c r="A1509" s="12" t="str">
        <x:v>S0130-02</x:v>
      </x:c>
      <x:c r="B1509" s="12" t="str">
        <x:v>S0130</x:v>
      </x:c>
      <x:c r="C1509" s="12" t="str">
        <x:v>工作日</x:v>
      </x:c>
      <x:c r="D1509" s="12" t="str">
        <x:v>环线3路</x:v>
      </x:c>
      <x:c r="E1509" s="12" t="str">
        <x:v>第三班</x:v>
      </x:c>
      <x:c r="F1509" s="12" t="n">
        <x:v>9</x:v>
      </x:c>
      <x:c r="G1509" s="12" t="str">
        <x:v>14:25</x:v>
      </x:c>
      <x:c r="H1509" s="12" t="n">
        <x:v>865</x:v>
      </x:c>
      <x:c r="I1509" s="12" t="str">
        <x:v>研究生宿舍楼</x:v>
      </x:c>
      <x:c r="J1509" s="12" t="str">
        <x:v>研究生宿舍楼发车</x:v>
      </x:c>
      <x:c r="K1509" s="12" t="str">
        <x:v>HX3_NORMAL</x:v>
      </x:c>
      <x:c r="L1509" s="12" t="n">
        <x:v>2</x:v>
      </x:c>
      <x:c r="M1509" s="12" t="str">
        <x:v>HX3_NORMAL|2</x:v>
      </x:c>
      <x:c r="N1509" s="12" t="str">
        <x:v>一食堂</x:v>
      </x:c>
      <x:c r="O1509" s="12" t="n">
        <x:f>IFERROR(INDEX('秒级路线参数_可调整'!$O:$O,MATCH(M1509,'秒级路线参数_可调整'!$A:$A,0)),"")</x:f>
        <x:v>65</x:v>
      </x:c>
      <x:c r="P1509" s="12" t="n">
        <x:f>IF(O1509="","",O1509/86400)</x:f>
        <x:v>0.0007523148148148148</x:v>
      </x:c>
      <x:c r="Q1509" s="12" t="n">
        <x:f>IF(O1509="","",(H1509*60+O1509)/86400)</x:f>
        <x:v>0.6014467592592593</x:v>
      </x:c>
      <x:c r="R1509" s="12" t="str">
        <x:f>IF(Q1509="","",TEXT(Q1509,"hh:mm:ss"))</x:f>
        <x:v>14:26:05</x:v>
      </x:c>
      <x:c r="S1509" s="12" t="str">
        <x:v>否</x:v>
      </x:c>
      <x:c r="T1509" s="12" t="str">
        <x:v>否</x:v>
      </x:c>
      <x:c r="U1509" s="12" t="str">
        <x:v>刘晓燕</x:v>
      </x:c>
      <x:c r="V1509" s="12" t="str">
        <x:v>4号车</x:v>
      </x:c>
      <x:c r="W1509" s="12" t="str">
        <x:v>秒级预测</x:v>
      </x:c>
      <x:c r="X1509" s="12" t="str">
        <x:v>基于路线秒级参数；如录入实测或手动采用秒，预计到达时间可随公式更新</x:v>
      </x:c>
    </x:row>
    <x:row r="1510">
      <x:c r="A1510" s="12" t="str">
        <x:v>S0130-03</x:v>
      </x:c>
      <x:c r="B1510" s="12" t="str">
        <x:v>S0130</x:v>
      </x:c>
      <x:c r="C1510" s="12" t="str">
        <x:v>工作日</x:v>
      </x:c>
      <x:c r="D1510" s="12" t="str">
        <x:v>环线3路</x:v>
      </x:c>
      <x:c r="E1510" s="12" t="str">
        <x:v>第三班</x:v>
      </x:c>
      <x:c r="F1510" s="12" t="n">
        <x:v>9</x:v>
      </x:c>
      <x:c r="G1510" s="12" t="str">
        <x:v>14:25</x:v>
      </x:c>
      <x:c r="H1510" s="12" t="n">
        <x:v>865</x:v>
      </x:c>
      <x:c r="I1510" s="12" t="str">
        <x:v>研究生宿舍楼</x:v>
      </x:c>
      <x:c r="J1510" s="12" t="str">
        <x:v>研究生宿舍楼发车</x:v>
      </x:c>
      <x:c r="K1510" s="12" t="str">
        <x:v>HX3_NORMAL</x:v>
      </x:c>
      <x:c r="L1510" s="12" t="n">
        <x:v>3</x:v>
      </x:c>
      <x:c r="M1510" s="12" t="str">
        <x:v>HX3_NORMAL|3</x:v>
      </x:c>
      <x:c r="N1510" s="12" t="str">
        <x:v>2号宿舍楼</x:v>
      </x:c>
      <x:c r="O1510" s="12" t="n">
        <x:f>IFERROR(INDEX('秒级路线参数_可调整'!$O:$O,MATCH(M1510,'秒级路线参数_可调整'!$A:$A,0)),"")</x:f>
        <x:v>120</x:v>
      </x:c>
      <x:c r="P1510" s="12" t="n">
        <x:f>IF(O1510="","",O1510/86400)</x:f>
        <x:v>0.001388888888888889</x:v>
      </x:c>
      <x:c r="Q1510" s="12" t="n">
        <x:f>IF(O1510="","",(H1510*60+O1510)/86400)</x:f>
        <x:v>0.6020833333333333</x:v>
      </x:c>
      <x:c r="R1510" s="12" t="str">
        <x:f>IF(Q1510="","",TEXT(Q1510,"hh:mm:ss"))</x:f>
        <x:v>14:27:00</x:v>
      </x:c>
      <x:c r="S1510" s="12" t="str">
        <x:v>否</x:v>
      </x:c>
      <x:c r="T1510" s="12" t="str">
        <x:v>否</x:v>
      </x:c>
      <x:c r="U1510" s="12" t="str">
        <x:v>刘晓燕</x:v>
      </x:c>
      <x:c r="V1510" s="12" t="str">
        <x:v>4号车</x:v>
      </x:c>
      <x:c r="W1510" s="12" t="str">
        <x:v>秒级预测</x:v>
      </x:c>
      <x:c r="X1510" s="12" t="str">
        <x:v>基于路线秒级参数；如录入实测或手动采用秒，预计到达时间可随公式更新</x:v>
      </x:c>
    </x:row>
    <x:row r="1511">
      <x:c r="A1511" s="12" t="str">
        <x:v>S0130-04</x:v>
      </x:c>
      <x:c r="B1511" s="12" t="str">
        <x:v>S0130</x:v>
      </x:c>
      <x:c r="C1511" s="12" t="str">
        <x:v>工作日</x:v>
      </x:c>
      <x:c r="D1511" s="12" t="str">
        <x:v>环线3路</x:v>
      </x:c>
      <x:c r="E1511" s="12" t="str">
        <x:v>第三班</x:v>
      </x:c>
      <x:c r="F1511" s="12" t="n">
        <x:v>9</x:v>
      </x:c>
      <x:c r="G1511" s="12" t="str">
        <x:v>14:25</x:v>
      </x:c>
      <x:c r="H1511" s="12" t="n">
        <x:v>865</x:v>
      </x:c>
      <x:c r="I1511" s="12" t="str">
        <x:v>研究生宿舍楼</x:v>
      </x:c>
      <x:c r="J1511" s="12" t="str">
        <x:v>研究生宿舍楼发车</x:v>
      </x:c>
      <x:c r="K1511" s="12" t="str">
        <x:v>HX3_NORMAL</x:v>
      </x:c>
      <x:c r="L1511" s="12" t="n">
        <x:v>4</x:v>
      </x:c>
      <x:c r="M1511" s="12" t="str">
        <x:v>HX3_NORMAL|4</x:v>
      </x:c>
      <x:c r="N1511" s="12" t="str">
        <x:v>军体活动中心</x:v>
      </x:c>
      <x:c r="O1511" s="12" t="n">
        <x:f>IFERROR(INDEX('秒级路线参数_可调整'!$O:$O,MATCH(M1511,'秒级路线参数_可调整'!$A:$A,0)),"")</x:f>
        <x:v>165</x:v>
      </x:c>
      <x:c r="P1511" s="12" t="n">
        <x:f>IF(O1511="","",O1511/86400)</x:f>
        <x:v>0.0019097222222222222</x:v>
      </x:c>
      <x:c r="Q1511" s="12" t="n">
        <x:f>IF(O1511="","",(H1511*60+O1511)/86400)</x:f>
        <x:v>0.6026041666666667</x:v>
      </x:c>
      <x:c r="R1511" s="12" t="str">
        <x:f>IF(Q1511="","",TEXT(Q1511,"hh:mm:ss"))</x:f>
        <x:v>14:27:45</x:v>
      </x:c>
      <x:c r="S1511" s="12" t="str">
        <x:v>否</x:v>
      </x:c>
      <x:c r="T1511" s="12" t="str">
        <x:v>否</x:v>
      </x:c>
      <x:c r="U1511" s="12" t="str">
        <x:v>刘晓燕</x:v>
      </x:c>
      <x:c r="V1511" s="12" t="str">
        <x:v>4号车</x:v>
      </x:c>
      <x:c r="W1511" s="12" t="str">
        <x:v>秒级预测</x:v>
      </x:c>
      <x:c r="X1511" s="12" t="str">
        <x:v>基于路线秒级参数；如录入实测或手动采用秒，预计到达时间可随公式更新</x:v>
      </x:c>
    </x:row>
    <x:row r="1512">
      <x:c r="A1512" s="12" t="str">
        <x:v>S0130-05</x:v>
      </x:c>
      <x:c r="B1512" s="12" t="str">
        <x:v>S0130</x:v>
      </x:c>
      <x:c r="C1512" s="12" t="str">
        <x:v>工作日</x:v>
      </x:c>
      <x:c r="D1512" s="12" t="str">
        <x:v>环线3路</x:v>
      </x:c>
      <x:c r="E1512" s="12" t="str">
        <x:v>第三班</x:v>
      </x:c>
      <x:c r="F1512" s="12" t="n">
        <x:v>9</x:v>
      </x:c>
      <x:c r="G1512" s="12" t="str">
        <x:v>14:25</x:v>
      </x:c>
      <x:c r="H1512" s="12" t="n">
        <x:v>865</x:v>
      </x:c>
      <x:c r="I1512" s="12" t="str">
        <x:v>研究生宿舍楼</x:v>
      </x:c>
      <x:c r="J1512" s="12" t="str">
        <x:v>研究生宿舍楼发车</x:v>
      </x:c>
      <x:c r="K1512" s="12" t="str">
        <x:v>HX3_NORMAL</x:v>
      </x:c>
      <x:c r="L1512" s="12" t="n">
        <x:v>5</x:v>
      </x:c>
      <x:c r="M1512" s="12" t="str">
        <x:v>HX3_NORMAL|5</x:v>
      </x:c>
      <x:c r="N1512" s="12" t="str">
        <x:v>教勤连</x:v>
      </x:c>
      <x:c r="O1512" s="12" t="n">
        <x:f>IFERROR(INDEX('秒级路线参数_可调整'!$O:$O,MATCH(M1512,'秒级路线参数_可调整'!$A:$A,0)),"")</x:f>
        <x:v>250</x:v>
      </x:c>
      <x:c r="P1512" s="12" t="n">
        <x:f>IF(O1512="","",O1512/86400)</x:f>
        <x:v>0.0028935185185185184</x:v>
      </x:c>
      <x:c r="Q1512" s="12" t="n">
        <x:f>IF(O1512="","",(H1512*60+O1512)/86400)</x:f>
        <x:v>0.6035879629629629</x:v>
      </x:c>
      <x:c r="R1512" s="12" t="str">
        <x:f>IF(Q1512="","",TEXT(Q1512,"hh:mm:ss"))</x:f>
        <x:v>14:29:10</x:v>
      </x:c>
      <x:c r="S1512" s="12" t="str">
        <x:v>否</x:v>
      </x:c>
      <x:c r="T1512" s="12" t="str">
        <x:v>否</x:v>
      </x:c>
      <x:c r="U1512" s="12" t="str">
        <x:v>刘晓燕</x:v>
      </x:c>
      <x:c r="V1512" s="12" t="str">
        <x:v>4号车</x:v>
      </x:c>
      <x:c r="W1512" s="12" t="str">
        <x:v>秒级预测</x:v>
      </x:c>
      <x:c r="X1512" s="12" t="str">
        <x:v>基于路线秒级参数；如录入实测或手动采用秒，预计到达时间可随公式更新</x:v>
      </x:c>
    </x:row>
    <x:row r="1513">
      <x:c r="A1513" s="12" t="str">
        <x:v>S0130-06</x:v>
      </x:c>
      <x:c r="B1513" s="12" t="str">
        <x:v>S0130</x:v>
      </x:c>
      <x:c r="C1513" s="12" t="str">
        <x:v>工作日</x:v>
      </x:c>
      <x:c r="D1513" s="12" t="str">
        <x:v>环线3路</x:v>
      </x:c>
      <x:c r="E1513" s="12" t="str">
        <x:v>第三班</x:v>
      </x:c>
      <x:c r="F1513" s="12" t="n">
        <x:v>9</x:v>
      </x:c>
      <x:c r="G1513" s="12" t="str">
        <x:v>14:25</x:v>
      </x:c>
      <x:c r="H1513" s="12" t="n">
        <x:v>865</x:v>
      </x:c>
      <x:c r="I1513" s="12" t="str">
        <x:v>研究生宿舍楼</x:v>
      </x:c>
      <x:c r="J1513" s="12" t="str">
        <x:v>研究生宿舍楼发车</x:v>
      </x:c>
      <x:c r="K1513" s="12" t="str">
        <x:v>HX3_NORMAL</x:v>
      </x:c>
      <x:c r="L1513" s="12" t="n">
        <x:v>6</x:v>
      </x:c>
      <x:c r="M1513" s="12" t="str">
        <x:v>HX3_NORMAL|6</x:v>
      </x:c>
      <x:c r="N1513" s="12" t="str">
        <x:v>激光所</x:v>
      </x:c>
      <x:c r="O1513" s="12" t="n">
        <x:f>IFERROR(INDEX('秒级路线参数_可调整'!$O:$O,MATCH(M1513,'秒级路线参数_可调整'!$A:$A,0)),"")</x:f>
        <x:v>315</x:v>
      </x:c>
      <x:c r="P1513" s="12" t="n">
        <x:f>IF(O1513="","",O1513/86400)</x:f>
        <x:v>0.0036458333333333334</x:v>
      </x:c>
      <x:c r="Q1513" s="12" t="n">
        <x:f>IF(O1513="","",(H1513*60+O1513)/86400)</x:f>
        <x:v>0.6043402777777778</x:v>
      </x:c>
      <x:c r="R1513" s="12" t="str">
        <x:f>IF(Q1513="","",TEXT(Q1513,"hh:mm:ss"))</x:f>
        <x:v>14:30:15</x:v>
      </x:c>
      <x:c r="S1513" s="12" t="str">
        <x:v>否</x:v>
      </x:c>
      <x:c r="T1513" s="12" t="str">
        <x:v>否</x:v>
      </x:c>
      <x:c r="U1513" s="12" t="str">
        <x:v>刘晓燕</x:v>
      </x:c>
      <x:c r="V1513" s="12" t="str">
        <x:v>4号车</x:v>
      </x:c>
      <x:c r="W1513" s="12" t="str">
        <x:v>秒级预测</x:v>
      </x:c>
      <x:c r="X1513" s="12" t="str">
        <x:v>基于路线秒级参数；如录入实测或手动采用秒，预计到达时间可随公式更新</x:v>
      </x:c>
    </x:row>
    <x:row r="1514">
      <x:c r="A1514" s="12" t="str">
        <x:v>S0130-07</x:v>
      </x:c>
      <x:c r="B1514" s="12" t="str">
        <x:v>S0130</x:v>
      </x:c>
      <x:c r="C1514" s="12" t="str">
        <x:v>工作日</x:v>
      </x:c>
      <x:c r="D1514" s="12" t="str">
        <x:v>环线3路</x:v>
      </x:c>
      <x:c r="E1514" s="12" t="str">
        <x:v>第三班</x:v>
      </x:c>
      <x:c r="F1514" s="12" t="n">
        <x:v>9</x:v>
      </x:c>
      <x:c r="G1514" s="12" t="str">
        <x:v>14:25</x:v>
      </x:c>
      <x:c r="H1514" s="12" t="n">
        <x:v>865</x:v>
      </x:c>
      <x:c r="I1514" s="12" t="str">
        <x:v>研究生宿舍楼</x:v>
      </x:c>
      <x:c r="J1514" s="12" t="str">
        <x:v>研究生宿舍楼发车</x:v>
      </x:c>
      <x:c r="K1514" s="12" t="str">
        <x:v>HX3_NORMAL</x:v>
      </x:c>
      <x:c r="L1514" s="12" t="n">
        <x:v>7</x:v>
      </x:c>
      <x:c r="M1514" s="12" t="str">
        <x:v>HX3_NORMAL|7</x:v>
      </x:c>
      <x:c r="N1514" s="12" t="str">
        <x:v>高超楼</x:v>
      </x:c>
      <x:c r="O1514" s="12" t="n">
        <x:f>IFERROR(INDEX('秒级路线参数_可调整'!$O:$O,MATCH(M1514,'秒级路线参数_可调整'!$A:$A,0)),"")</x:f>
        <x:v>420</x:v>
      </x:c>
      <x:c r="P1514" s="12" t="n">
        <x:f>IF(O1514="","",O1514/86400)</x:f>
        <x:v>0.004861111111111111</x:v>
      </x:c>
      <x:c r="Q1514" s="12" t="n">
        <x:f>IF(O1514="","",(H1514*60+O1514)/86400)</x:f>
        <x:v>0.6055555555555555</x:v>
      </x:c>
      <x:c r="R1514" s="12" t="str">
        <x:f>IF(Q1514="","",TEXT(Q1514,"hh:mm:ss"))</x:f>
        <x:v>14:32:00</x:v>
      </x:c>
      <x:c r="S1514" s="12" t="str">
        <x:v>否</x:v>
      </x:c>
      <x:c r="T1514" s="12" t="str">
        <x:v>否</x:v>
      </x:c>
      <x:c r="U1514" s="12" t="str">
        <x:v>刘晓燕</x:v>
      </x:c>
      <x:c r="V1514" s="12" t="str">
        <x:v>4号车</x:v>
      </x:c>
      <x:c r="W1514" s="12" t="str">
        <x:v>秒级预测</x:v>
      </x:c>
      <x:c r="X1514" s="12" t="str">
        <x:v>基于路线秒级参数；如录入实测或手动采用秒，预计到达时间可随公式更新</x:v>
      </x:c>
    </x:row>
    <x:row r="1515">
      <x:c r="A1515" s="12" t="str">
        <x:v>S0130-08</x:v>
      </x:c>
      <x:c r="B1515" s="12" t="str">
        <x:v>S0130</x:v>
      </x:c>
      <x:c r="C1515" s="12" t="str">
        <x:v>工作日</x:v>
      </x:c>
      <x:c r="D1515" s="12" t="str">
        <x:v>环线3路</x:v>
      </x:c>
      <x:c r="E1515" s="12" t="str">
        <x:v>第三班</x:v>
      </x:c>
      <x:c r="F1515" s="12" t="n">
        <x:v>9</x:v>
      </x:c>
      <x:c r="G1515" s="12" t="str">
        <x:v>14:25</x:v>
      </x:c>
      <x:c r="H1515" s="12" t="n">
        <x:v>865</x:v>
      </x:c>
      <x:c r="I1515" s="12" t="str">
        <x:v>研究生宿舍楼</x:v>
      </x:c>
      <x:c r="J1515" s="12" t="str">
        <x:v>研究生宿舍楼发车</x:v>
      </x:c>
      <x:c r="K1515" s="12" t="str">
        <x:v>HX3_NORMAL</x:v>
      </x:c>
      <x:c r="L1515" s="12" t="n">
        <x:v>8</x:v>
      </x:c>
      <x:c r="M1515" s="12" t="str">
        <x:v>HX3_NORMAL|8</x:v>
      </x:c>
      <x:c r="N1515" s="12" t="str">
        <x:v>理学院</x:v>
      </x:c>
      <x:c r="O1515" s="12" t="n">
        <x:f>IFERROR(INDEX('秒级路线参数_可调整'!$O:$O,MATCH(M1515,'秒级路线参数_可调整'!$A:$A,0)),"")</x:f>
        <x:v>480</x:v>
      </x:c>
      <x:c r="P1515" s="12" t="n">
        <x:f>IF(O1515="","",O1515/86400)</x:f>
        <x:v>0.005555555555555556</x:v>
      </x:c>
      <x:c r="Q1515" s="12" t="n">
        <x:f>IF(O1515="","",(H1515*60+O1515)/86400)</x:f>
        <x:v>0.60625</x:v>
      </x:c>
      <x:c r="R1515" s="12" t="str">
        <x:f>IF(Q1515="","",TEXT(Q1515,"hh:mm:ss"))</x:f>
        <x:v>14:33:00</x:v>
      </x:c>
      <x:c r="S1515" s="12" t="str">
        <x:v>否</x:v>
      </x:c>
      <x:c r="T1515" s="12" t="str">
        <x:v>否</x:v>
      </x:c>
      <x:c r="U1515" s="12" t="str">
        <x:v>刘晓燕</x:v>
      </x:c>
      <x:c r="V1515" s="12" t="str">
        <x:v>4号车</x:v>
      </x:c>
      <x:c r="W1515" s="12" t="str">
        <x:v>秒级预测</x:v>
      </x:c>
      <x:c r="X1515" s="12" t="str">
        <x:v>基于路线秒级参数；如录入实测或手动采用秒，预计到达时间可随公式更新</x:v>
      </x:c>
    </x:row>
    <x:row r="1516">
      <x:c r="A1516" s="12" t="str">
        <x:v>S0130-09</x:v>
      </x:c>
      <x:c r="B1516" s="12" t="str">
        <x:v>S0130</x:v>
      </x:c>
      <x:c r="C1516" s="12" t="str">
        <x:v>工作日</x:v>
      </x:c>
      <x:c r="D1516" s="12" t="str">
        <x:v>环线3路</x:v>
      </x:c>
      <x:c r="E1516" s="12" t="str">
        <x:v>第三班</x:v>
      </x:c>
      <x:c r="F1516" s="12" t="n">
        <x:v>9</x:v>
      </x:c>
      <x:c r="G1516" s="12" t="str">
        <x:v>14:25</x:v>
      </x:c>
      <x:c r="H1516" s="12" t="n">
        <x:v>865</x:v>
      </x:c>
      <x:c r="I1516" s="12" t="str">
        <x:v>研究生宿舍楼</x:v>
      </x:c>
      <x:c r="J1516" s="12" t="str">
        <x:v>研究生宿舍楼发车</x:v>
      </x:c>
      <x:c r="K1516" s="12" t="str">
        <x:v>HX3_NORMAL</x:v>
      </x:c>
      <x:c r="L1516" s="12" t="n">
        <x:v>9</x:v>
      </x:c>
      <x:c r="M1516" s="12" t="str">
        <x:v>HX3_NORMAL|9</x:v>
      </x:c>
      <x:c r="N1516" s="12" t="str">
        <x:v>二食堂</x:v>
      </x:c>
      <x:c r="O1516" s="12" t="n">
        <x:f>IFERROR(INDEX('秒级路线参数_可调整'!$O:$O,MATCH(M1516,'秒级路线参数_可调整'!$A:$A,0)),"")</x:f>
        <x:v>535</x:v>
      </x:c>
      <x:c r="P1516" s="12" t="n">
        <x:f>IF(O1516="","",O1516/86400)</x:f>
        <x:v>0.00619212962962963</x:v>
      </x:c>
      <x:c r="Q1516" s="12" t="n">
        <x:f>IF(O1516="","",(H1516*60+O1516)/86400)</x:f>
        <x:v>0.6068865740740741</x:v>
      </x:c>
      <x:c r="R1516" s="12" t="str">
        <x:f>IF(Q1516="","",TEXT(Q1516,"hh:mm:ss"))</x:f>
        <x:v>14:33:55</x:v>
      </x:c>
      <x:c r="S1516" s="12" t="str">
        <x:v>否</x:v>
      </x:c>
      <x:c r="T1516" s="12" t="str">
        <x:v>否</x:v>
      </x:c>
      <x:c r="U1516" s="12" t="str">
        <x:v>刘晓燕</x:v>
      </x:c>
      <x:c r="V1516" s="12" t="str">
        <x:v>4号车</x:v>
      </x:c>
      <x:c r="W1516" s="12" t="str">
        <x:v>秒级预测</x:v>
      </x:c>
      <x:c r="X1516" s="12" t="str">
        <x:v>基于路线秒级参数；如录入实测或手动采用秒，预计到达时间可随公式更新</x:v>
      </x:c>
    </x:row>
    <x:row r="1517">
      <x:c r="A1517" s="12" t="str">
        <x:v>S0130-10</x:v>
      </x:c>
      <x:c r="B1517" s="12" t="str">
        <x:v>S0130</x:v>
      </x:c>
      <x:c r="C1517" s="12" t="str">
        <x:v>工作日</x:v>
      </x:c>
      <x:c r="D1517" s="12" t="str">
        <x:v>环线3路</x:v>
      </x:c>
      <x:c r="E1517" s="12" t="str">
        <x:v>第三班</x:v>
      </x:c>
      <x:c r="F1517" s="12" t="n">
        <x:v>9</x:v>
      </x:c>
      <x:c r="G1517" s="12" t="str">
        <x:v>14:25</x:v>
      </x:c>
      <x:c r="H1517" s="12" t="n">
        <x:v>865</x:v>
      </x:c>
      <x:c r="I1517" s="12" t="str">
        <x:v>研究生宿舍楼</x:v>
      </x:c>
      <x:c r="J1517" s="12" t="str">
        <x:v>研究生宿舍楼发车</x:v>
      </x:c>
      <x:c r="K1517" s="12" t="str">
        <x:v>HX3_NORMAL</x:v>
      </x:c>
      <x:c r="L1517" s="12" t="n">
        <x:v>10</x:v>
      </x:c>
      <x:c r="M1517" s="12" t="str">
        <x:v>HX3_NORMAL|10</x:v>
      </x:c>
      <x:c r="N1517" s="12" t="str">
        <x:v>图书馆</x:v>
      </x:c>
      <x:c r="O1517" s="12" t="n">
        <x:f>IFERROR(INDEX('秒级路线参数_可调整'!$O:$O,MATCH(M1517,'秒级路线参数_可调整'!$A:$A,0)),"")</x:f>
        <x:v>715</x:v>
      </x:c>
      <x:c r="P1517" s="12" t="n">
        <x:f>IF(O1517="","",O1517/86400)</x:f>
        <x:v>0.008275462962962964</x:v>
      </x:c>
      <x:c r="Q1517" s="12" t="n">
        <x:f>IF(O1517="","",(H1517*60+O1517)/86400)</x:f>
        <x:v>0.6089699074074074</x:v>
      </x:c>
      <x:c r="R1517" s="12" t="str">
        <x:f>IF(Q1517="","",TEXT(Q1517,"hh:mm:ss"))</x:f>
        <x:v>14:36:55</x:v>
      </x:c>
      <x:c r="S1517" s="12" t="str">
        <x:v>否</x:v>
      </x:c>
      <x:c r="T1517" s="12" t="str">
        <x:v>否</x:v>
      </x:c>
      <x:c r="U1517" s="12" t="str">
        <x:v>刘晓燕</x:v>
      </x:c>
      <x:c r="V1517" s="12" t="str">
        <x:v>4号车</x:v>
      </x:c>
      <x:c r="W1517" s="12" t="str">
        <x:v>秒级预测</x:v>
      </x:c>
      <x:c r="X1517" s="12" t="str">
        <x:v>基于路线秒级参数；如录入实测或手动采用秒，预计到达时间可随公式更新</x:v>
      </x:c>
    </x:row>
    <x:row r="1518">
      <x:c r="A1518" s="12" t="str">
        <x:v>S0130-11</x:v>
      </x:c>
      <x:c r="B1518" s="12" t="str">
        <x:v>S0130</x:v>
      </x:c>
      <x:c r="C1518" s="12" t="str">
        <x:v>工作日</x:v>
      </x:c>
      <x:c r="D1518" s="12" t="str">
        <x:v>环线3路</x:v>
      </x:c>
      <x:c r="E1518" s="12" t="str">
        <x:v>第三班</x:v>
      </x:c>
      <x:c r="F1518" s="12" t="n">
        <x:v>9</x:v>
      </x:c>
      <x:c r="G1518" s="12" t="str">
        <x:v>14:25</x:v>
      </x:c>
      <x:c r="H1518" s="12" t="n">
        <x:v>865</x:v>
      </x:c>
      <x:c r="I1518" s="12" t="str">
        <x:v>研究生宿舍楼</x:v>
      </x:c>
      <x:c r="J1518" s="12" t="str">
        <x:v>研究生宿舍楼发车</x:v>
      </x:c>
      <x:c r="K1518" s="12" t="str">
        <x:v>HX3_NORMAL</x:v>
      </x:c>
      <x:c r="L1518" s="12" t="n">
        <x:v>11</x:v>
      </x:c>
      <x:c r="M1518" s="12" t="str">
        <x:v>HX3_NORMAL|11</x:v>
      </x:c>
      <x:c r="N1518" s="12" t="str">
        <x:v>305教学楼</x:v>
      </x:c>
      <x:c r="O1518" s="12" t="n">
        <x:f>IFERROR(INDEX('秒级路线参数_可调整'!$O:$O,MATCH(M1518,'秒级路线参数_可调整'!$A:$A,0)),"")</x:f>
        <x:v>775</x:v>
      </x:c>
      <x:c r="P1518" s="12" t="n">
        <x:f>IF(O1518="","",O1518/86400)</x:f>
        <x:v>0.008969907407407407</x:v>
      </x:c>
      <x:c r="Q1518" s="12" t="n">
        <x:f>IF(O1518="","",(H1518*60+O1518)/86400)</x:f>
        <x:v>0.6096643518518519</x:v>
      </x:c>
      <x:c r="R1518" s="12" t="str">
        <x:f>IF(Q1518="","",TEXT(Q1518,"hh:mm:ss"))</x:f>
        <x:v>14:37:55</x:v>
      </x:c>
      <x:c r="S1518" s="12" t="str">
        <x:v>否</x:v>
      </x:c>
      <x:c r="T1518" s="12" t="str">
        <x:v>否</x:v>
      </x:c>
      <x:c r="U1518" s="12" t="str">
        <x:v>刘晓燕</x:v>
      </x:c>
      <x:c r="V1518" s="12" t="str">
        <x:v>4号车</x:v>
      </x:c>
      <x:c r="W1518" s="12" t="str">
        <x:v>秒级预测</x:v>
      </x:c>
      <x:c r="X1518" s="12" t="str">
        <x:v>基于路线秒级参数；如录入实测或手动采用秒，预计到达时间可随公式更新</x:v>
      </x:c>
    </x:row>
    <x:row r="1519">
      <x:c r="A1519" s="12" t="str">
        <x:v>S0130-12</x:v>
      </x:c>
      <x:c r="B1519" s="12" t="str">
        <x:v>S0130</x:v>
      </x:c>
      <x:c r="C1519" s="12" t="str">
        <x:v>工作日</x:v>
      </x:c>
      <x:c r="D1519" s="12" t="str">
        <x:v>环线3路</x:v>
      </x:c>
      <x:c r="E1519" s="12" t="str">
        <x:v>第三班</x:v>
      </x:c>
      <x:c r="F1519" s="12" t="n">
        <x:v>9</x:v>
      </x:c>
      <x:c r="G1519" s="12" t="str">
        <x:v>14:25</x:v>
      </x:c>
      <x:c r="H1519" s="12" t="n">
        <x:v>865</x:v>
      </x:c>
      <x:c r="I1519" s="12" t="str">
        <x:v>研究生宿舍楼</x:v>
      </x:c>
      <x:c r="J1519" s="12" t="str">
        <x:v>研究生宿舍楼发车</x:v>
      </x:c>
      <x:c r="K1519" s="12" t="str">
        <x:v>HX3_NORMAL</x:v>
      </x:c>
      <x:c r="L1519" s="12" t="n">
        <x:v>12</x:v>
      </x:c>
      <x:c r="M1519" s="12" t="str">
        <x:v>HX3_NORMAL|12</x:v>
      </x:c>
      <x:c r="N1519" s="12" t="str">
        <x:v>研究生宿舍楼</x:v>
      </x:c>
      <x:c r="O1519" s="12" t="n">
        <x:f>IFERROR(INDEX('秒级路线参数_可调整'!$O:$O,MATCH(M1519,'秒级路线参数_可调整'!$A:$A,0)),"")</x:f>
        <x:v>840</x:v>
      </x:c>
      <x:c r="P1519" s="12" t="n">
        <x:f>IF(O1519="","",O1519/86400)</x:f>
        <x:v>0.009722222222222222</x:v>
      </x:c>
      <x:c r="Q1519" s="12" t="n">
        <x:f>IF(O1519="","",(H1519*60+O1519)/86400)</x:f>
        <x:v>0.6104166666666667</x:v>
      </x:c>
      <x:c r="R1519" s="12" t="str">
        <x:f>IF(Q1519="","",TEXT(Q1519,"hh:mm:ss"))</x:f>
        <x:v>14:39:00</x:v>
      </x:c>
      <x:c r="S1519" s="12" t="str">
        <x:v>否</x:v>
      </x:c>
      <x:c r="T1519" s="12" t="str">
        <x:v>是</x:v>
      </x:c>
      <x:c r="U1519" s="12" t="str">
        <x:v>刘晓燕</x:v>
      </x:c>
      <x:c r="V1519" s="12" t="str">
        <x:v>4号车</x:v>
      </x:c>
      <x:c r="W1519" s="12" t="str">
        <x:v>秒级预测</x:v>
      </x:c>
      <x:c r="X1519" s="12" t="str">
        <x:v>基于路线秒级参数；如录入实测或手动采用秒，预计到达时间可随公式更新</x:v>
      </x:c>
    </x:row>
    <x:row r="1520">
      <x:c r="A1520" s="12" t="str">
        <x:v>S0131-01</x:v>
      </x:c>
      <x:c r="B1520" s="12" t="str">
        <x:v>S0131</x:v>
      </x:c>
      <x:c r="C1520" s="12" t="str">
        <x:v>工作日</x:v>
      </x:c>
      <x:c r="D1520" s="12" t="str">
        <x:v>环线3路</x:v>
      </x:c>
      <x:c r="E1520" s="12" t="str">
        <x:v>第三班</x:v>
      </x:c>
      <x:c r="F1520" s="12" t="n">
        <x:v>10</x:v>
      </x:c>
      <x:c r="G1520" s="12" t="str">
        <x:v>15:00</x:v>
      </x:c>
      <x:c r="H1520" s="12" t="n">
        <x:v>900</x:v>
      </x:c>
      <x:c r="I1520" s="12" t="str">
        <x:v>研究生宿舍楼</x:v>
      </x:c>
      <x:c r="J1520" s="12" t="str">
        <x:v>研究生宿舍楼发车</x:v>
      </x:c>
      <x:c r="K1520" s="12" t="str">
        <x:v>HX3_NORMAL</x:v>
      </x:c>
      <x:c r="L1520" s="12" t="n">
        <x:v>1</x:v>
      </x:c>
      <x:c r="M1520" s="12" t="str">
        <x:v>HX3_NORMAL|1</x:v>
      </x:c>
      <x:c r="N1520" s="12" t="str">
        <x:v>研究生宿舍楼</x:v>
      </x:c>
      <x:c r="O1520" s="12" t="n">
        <x:f>IFERROR(INDEX('秒级路线参数_可调整'!$O:$O,MATCH(M1520,'秒级路线参数_可调整'!$A:$A,0)),"")</x:f>
        <x:v>0</x:v>
      </x:c>
      <x:c r="P1520" s="12" t="str">
        <x:f>IF(O1520="","",O1520/86400)</x:f>
      </x:c>
      <x:c r="Q1520" s="12" t="str">
        <x:f>IF(O1520="","",(H1520*60+O1520)/86400)</x:f>
      </x:c>
      <x:c r="R1520" s="12" t="str">
        <x:f>IF(Q1520="","",TEXT(Q1520,"hh:mm:ss"))</x:f>
      </x:c>
      <x:c r="S1520" s="12" t="str">
        <x:v>是</x:v>
      </x:c>
      <x:c r="T1520" s="12" t="str">
        <x:v>否</x:v>
      </x:c>
      <x:c r="U1520" s="12" t="str">
        <x:v>刘晓燕</x:v>
      </x:c>
      <x:c r="V1520" s="12" t="str">
        <x:v>4号车</x:v>
      </x:c>
      <x:c r="W1520" s="12" t="str">
        <x:v>秒级预测</x:v>
      </x:c>
      <x:c r="X1520" s="12" t="str">
        <x:v>基于路线秒级参数；如录入实测或手动采用秒，预计到达时间可随公式更新</x:v>
      </x:c>
    </x:row>
    <x:row r="1521">
      <x:c r="A1521" s="12" t="str">
        <x:v>S0131-02</x:v>
      </x:c>
      <x:c r="B1521" s="12" t="str">
        <x:v>S0131</x:v>
      </x:c>
      <x:c r="C1521" s="12" t="str">
        <x:v>工作日</x:v>
      </x:c>
      <x:c r="D1521" s="12" t="str">
        <x:v>环线3路</x:v>
      </x:c>
      <x:c r="E1521" s="12" t="str">
        <x:v>第三班</x:v>
      </x:c>
      <x:c r="F1521" s="12" t="n">
        <x:v>10</x:v>
      </x:c>
      <x:c r="G1521" s="12" t="str">
        <x:v>15:00</x:v>
      </x:c>
      <x:c r="H1521" s="12" t="n">
        <x:v>900</x:v>
      </x:c>
      <x:c r="I1521" s="12" t="str">
        <x:v>研究生宿舍楼</x:v>
      </x:c>
      <x:c r="J1521" s="12" t="str">
        <x:v>研究生宿舍楼发车</x:v>
      </x:c>
      <x:c r="K1521" s="12" t="str">
        <x:v>HX3_NORMAL</x:v>
      </x:c>
      <x:c r="L1521" s="12" t="n">
        <x:v>2</x:v>
      </x:c>
      <x:c r="M1521" s="12" t="str">
        <x:v>HX3_NORMAL|2</x:v>
      </x:c>
      <x:c r="N1521" s="12" t="str">
        <x:v>一食堂</x:v>
      </x:c>
      <x:c r="O1521" s="12" t="n">
        <x:f>IFERROR(INDEX('秒级路线参数_可调整'!$O:$O,MATCH(M1521,'秒级路线参数_可调整'!$A:$A,0)),"")</x:f>
        <x:v>65</x:v>
      </x:c>
      <x:c r="P1521" s="12" t="n">
        <x:f>IF(O1521="","",O1521/86400)</x:f>
        <x:v>0.0007523148148148148</x:v>
      </x:c>
      <x:c r="Q1521" s="12" t="n">
        <x:f>IF(O1521="","",(H1521*60+O1521)/86400)</x:f>
        <x:v>0.6257523148148149</x:v>
      </x:c>
      <x:c r="R1521" s="12" t="str">
        <x:f>IF(Q1521="","",TEXT(Q1521,"hh:mm:ss"))</x:f>
        <x:v>15:01:05</x:v>
      </x:c>
      <x:c r="S1521" s="12" t="str">
        <x:v>否</x:v>
      </x:c>
      <x:c r="T1521" s="12" t="str">
        <x:v>否</x:v>
      </x:c>
      <x:c r="U1521" s="12" t="str">
        <x:v>刘晓燕</x:v>
      </x:c>
      <x:c r="V1521" s="12" t="str">
        <x:v>4号车</x:v>
      </x:c>
      <x:c r="W1521" s="12" t="str">
        <x:v>秒级预测</x:v>
      </x:c>
      <x:c r="X1521" s="12" t="str">
        <x:v>基于路线秒级参数；如录入实测或手动采用秒，预计到达时间可随公式更新</x:v>
      </x:c>
    </x:row>
    <x:row r="1522">
      <x:c r="A1522" s="12" t="str">
        <x:v>S0131-03</x:v>
      </x:c>
      <x:c r="B1522" s="12" t="str">
        <x:v>S0131</x:v>
      </x:c>
      <x:c r="C1522" s="12" t="str">
        <x:v>工作日</x:v>
      </x:c>
      <x:c r="D1522" s="12" t="str">
        <x:v>环线3路</x:v>
      </x:c>
      <x:c r="E1522" s="12" t="str">
        <x:v>第三班</x:v>
      </x:c>
      <x:c r="F1522" s="12" t="n">
        <x:v>10</x:v>
      </x:c>
      <x:c r="G1522" s="12" t="str">
        <x:v>15:00</x:v>
      </x:c>
      <x:c r="H1522" s="12" t="n">
        <x:v>900</x:v>
      </x:c>
      <x:c r="I1522" s="12" t="str">
        <x:v>研究生宿舍楼</x:v>
      </x:c>
      <x:c r="J1522" s="12" t="str">
        <x:v>研究生宿舍楼发车</x:v>
      </x:c>
      <x:c r="K1522" s="12" t="str">
        <x:v>HX3_NORMAL</x:v>
      </x:c>
      <x:c r="L1522" s="12" t="n">
        <x:v>3</x:v>
      </x:c>
      <x:c r="M1522" s="12" t="str">
        <x:v>HX3_NORMAL|3</x:v>
      </x:c>
      <x:c r="N1522" s="12" t="str">
        <x:v>2号宿舍楼</x:v>
      </x:c>
      <x:c r="O1522" s="12" t="n">
        <x:f>IFERROR(INDEX('秒级路线参数_可调整'!$O:$O,MATCH(M1522,'秒级路线参数_可调整'!$A:$A,0)),"")</x:f>
        <x:v>120</x:v>
      </x:c>
      <x:c r="P1522" s="12" t="n">
        <x:f>IF(O1522="","",O1522/86400)</x:f>
        <x:v>0.001388888888888889</x:v>
      </x:c>
      <x:c r="Q1522" s="12" t="n">
        <x:f>IF(O1522="","",(H1522*60+O1522)/86400)</x:f>
        <x:v>0.6263888888888889</x:v>
      </x:c>
      <x:c r="R1522" s="12" t="str">
        <x:f>IF(Q1522="","",TEXT(Q1522,"hh:mm:ss"))</x:f>
        <x:v>15:02:00</x:v>
      </x:c>
      <x:c r="S1522" s="12" t="str">
        <x:v>否</x:v>
      </x:c>
      <x:c r="T1522" s="12" t="str">
        <x:v>否</x:v>
      </x:c>
      <x:c r="U1522" s="12" t="str">
        <x:v>刘晓燕</x:v>
      </x:c>
      <x:c r="V1522" s="12" t="str">
        <x:v>4号车</x:v>
      </x:c>
      <x:c r="W1522" s="12" t="str">
        <x:v>秒级预测</x:v>
      </x:c>
      <x:c r="X1522" s="12" t="str">
        <x:v>基于路线秒级参数；如录入实测或手动采用秒，预计到达时间可随公式更新</x:v>
      </x:c>
    </x:row>
    <x:row r="1523">
      <x:c r="A1523" s="12" t="str">
        <x:v>S0131-04</x:v>
      </x:c>
      <x:c r="B1523" s="12" t="str">
        <x:v>S0131</x:v>
      </x:c>
      <x:c r="C1523" s="12" t="str">
        <x:v>工作日</x:v>
      </x:c>
      <x:c r="D1523" s="12" t="str">
        <x:v>环线3路</x:v>
      </x:c>
      <x:c r="E1523" s="12" t="str">
        <x:v>第三班</x:v>
      </x:c>
      <x:c r="F1523" s="12" t="n">
        <x:v>10</x:v>
      </x:c>
      <x:c r="G1523" s="12" t="str">
        <x:v>15:00</x:v>
      </x:c>
      <x:c r="H1523" s="12" t="n">
        <x:v>900</x:v>
      </x:c>
      <x:c r="I1523" s="12" t="str">
        <x:v>研究生宿舍楼</x:v>
      </x:c>
      <x:c r="J1523" s="12" t="str">
        <x:v>研究生宿舍楼发车</x:v>
      </x:c>
      <x:c r="K1523" s="12" t="str">
        <x:v>HX3_NORMAL</x:v>
      </x:c>
      <x:c r="L1523" s="12" t="n">
        <x:v>4</x:v>
      </x:c>
      <x:c r="M1523" s="12" t="str">
        <x:v>HX3_NORMAL|4</x:v>
      </x:c>
      <x:c r="N1523" s="12" t="str">
        <x:v>军体活动中心</x:v>
      </x:c>
      <x:c r="O1523" s="12" t="n">
        <x:f>IFERROR(INDEX('秒级路线参数_可调整'!$O:$O,MATCH(M1523,'秒级路线参数_可调整'!$A:$A,0)),"")</x:f>
        <x:v>165</x:v>
      </x:c>
      <x:c r="P1523" s="12" t="n">
        <x:f>IF(O1523="","",O1523/86400)</x:f>
        <x:v>0.0019097222222222222</x:v>
      </x:c>
      <x:c r="Q1523" s="12" t="n">
        <x:f>IF(O1523="","",(H1523*60+O1523)/86400)</x:f>
        <x:v>0.6269097222222222</x:v>
      </x:c>
      <x:c r="R1523" s="12" t="str">
        <x:f>IF(Q1523="","",TEXT(Q1523,"hh:mm:ss"))</x:f>
        <x:v>15:02:45</x:v>
      </x:c>
      <x:c r="S1523" s="12" t="str">
        <x:v>否</x:v>
      </x:c>
      <x:c r="T1523" s="12" t="str">
        <x:v>否</x:v>
      </x:c>
      <x:c r="U1523" s="12" t="str">
        <x:v>刘晓燕</x:v>
      </x:c>
      <x:c r="V1523" s="12" t="str">
        <x:v>4号车</x:v>
      </x:c>
      <x:c r="W1523" s="12" t="str">
        <x:v>秒级预测</x:v>
      </x:c>
      <x:c r="X1523" s="12" t="str">
        <x:v>基于路线秒级参数；如录入实测或手动采用秒，预计到达时间可随公式更新</x:v>
      </x:c>
    </x:row>
    <x:row r="1524">
      <x:c r="A1524" s="12" t="str">
        <x:v>S0131-05</x:v>
      </x:c>
      <x:c r="B1524" s="12" t="str">
        <x:v>S0131</x:v>
      </x:c>
      <x:c r="C1524" s="12" t="str">
        <x:v>工作日</x:v>
      </x:c>
      <x:c r="D1524" s="12" t="str">
        <x:v>环线3路</x:v>
      </x:c>
      <x:c r="E1524" s="12" t="str">
        <x:v>第三班</x:v>
      </x:c>
      <x:c r="F1524" s="12" t="n">
        <x:v>10</x:v>
      </x:c>
      <x:c r="G1524" s="12" t="str">
        <x:v>15:00</x:v>
      </x:c>
      <x:c r="H1524" s="12" t="n">
        <x:v>900</x:v>
      </x:c>
      <x:c r="I1524" s="12" t="str">
        <x:v>研究生宿舍楼</x:v>
      </x:c>
      <x:c r="J1524" s="12" t="str">
        <x:v>研究生宿舍楼发车</x:v>
      </x:c>
      <x:c r="K1524" s="12" t="str">
        <x:v>HX3_NORMAL</x:v>
      </x:c>
      <x:c r="L1524" s="12" t="n">
        <x:v>5</x:v>
      </x:c>
      <x:c r="M1524" s="12" t="str">
        <x:v>HX3_NORMAL|5</x:v>
      </x:c>
      <x:c r="N1524" s="12" t="str">
        <x:v>教勤连</x:v>
      </x:c>
      <x:c r="O1524" s="12" t="n">
        <x:f>IFERROR(INDEX('秒级路线参数_可调整'!$O:$O,MATCH(M1524,'秒级路线参数_可调整'!$A:$A,0)),"")</x:f>
        <x:v>250</x:v>
      </x:c>
      <x:c r="P1524" s="12" t="n">
        <x:f>IF(O1524="","",O1524/86400)</x:f>
        <x:v>0.0028935185185185184</x:v>
      </x:c>
      <x:c r="Q1524" s="12" t="n">
        <x:f>IF(O1524="","",(H1524*60+O1524)/86400)</x:f>
        <x:v>0.6278935185185185</x:v>
      </x:c>
      <x:c r="R1524" s="12" t="str">
        <x:f>IF(Q1524="","",TEXT(Q1524,"hh:mm:ss"))</x:f>
        <x:v>15:04:10</x:v>
      </x:c>
      <x:c r="S1524" s="12" t="str">
        <x:v>否</x:v>
      </x:c>
      <x:c r="T1524" s="12" t="str">
        <x:v>否</x:v>
      </x:c>
      <x:c r="U1524" s="12" t="str">
        <x:v>刘晓燕</x:v>
      </x:c>
      <x:c r="V1524" s="12" t="str">
        <x:v>4号车</x:v>
      </x:c>
      <x:c r="W1524" s="12" t="str">
        <x:v>秒级预测</x:v>
      </x:c>
      <x:c r="X1524" s="12" t="str">
        <x:v>基于路线秒级参数；如录入实测或手动采用秒，预计到达时间可随公式更新</x:v>
      </x:c>
    </x:row>
    <x:row r="1525">
      <x:c r="A1525" s="12" t="str">
        <x:v>S0131-06</x:v>
      </x:c>
      <x:c r="B1525" s="12" t="str">
        <x:v>S0131</x:v>
      </x:c>
      <x:c r="C1525" s="12" t="str">
        <x:v>工作日</x:v>
      </x:c>
      <x:c r="D1525" s="12" t="str">
        <x:v>环线3路</x:v>
      </x:c>
      <x:c r="E1525" s="12" t="str">
        <x:v>第三班</x:v>
      </x:c>
      <x:c r="F1525" s="12" t="n">
        <x:v>10</x:v>
      </x:c>
      <x:c r="G1525" s="12" t="str">
        <x:v>15:00</x:v>
      </x:c>
      <x:c r="H1525" s="12" t="n">
        <x:v>900</x:v>
      </x:c>
      <x:c r="I1525" s="12" t="str">
        <x:v>研究生宿舍楼</x:v>
      </x:c>
      <x:c r="J1525" s="12" t="str">
        <x:v>研究生宿舍楼发车</x:v>
      </x:c>
      <x:c r="K1525" s="12" t="str">
        <x:v>HX3_NORMAL</x:v>
      </x:c>
      <x:c r="L1525" s="12" t="n">
        <x:v>6</x:v>
      </x:c>
      <x:c r="M1525" s="12" t="str">
        <x:v>HX3_NORMAL|6</x:v>
      </x:c>
      <x:c r="N1525" s="12" t="str">
        <x:v>激光所</x:v>
      </x:c>
      <x:c r="O1525" s="12" t="n">
        <x:f>IFERROR(INDEX('秒级路线参数_可调整'!$O:$O,MATCH(M1525,'秒级路线参数_可调整'!$A:$A,0)),"")</x:f>
        <x:v>315</x:v>
      </x:c>
      <x:c r="P1525" s="12" t="n">
        <x:f>IF(O1525="","",O1525/86400)</x:f>
        <x:v>0.0036458333333333334</x:v>
      </x:c>
      <x:c r="Q1525" s="12" t="n">
        <x:f>IF(O1525="","",(H1525*60+O1525)/86400)</x:f>
        <x:v>0.6286458333333333</x:v>
      </x:c>
      <x:c r="R1525" s="12" t="str">
        <x:f>IF(Q1525="","",TEXT(Q1525,"hh:mm:ss"))</x:f>
        <x:v>15:05:15</x:v>
      </x:c>
      <x:c r="S1525" s="12" t="str">
        <x:v>否</x:v>
      </x:c>
      <x:c r="T1525" s="12" t="str">
        <x:v>否</x:v>
      </x:c>
      <x:c r="U1525" s="12" t="str">
        <x:v>刘晓燕</x:v>
      </x:c>
      <x:c r="V1525" s="12" t="str">
        <x:v>4号车</x:v>
      </x:c>
      <x:c r="W1525" s="12" t="str">
        <x:v>秒级预测</x:v>
      </x:c>
      <x:c r="X1525" s="12" t="str">
        <x:v>基于路线秒级参数；如录入实测或手动采用秒，预计到达时间可随公式更新</x:v>
      </x:c>
    </x:row>
    <x:row r="1526">
      <x:c r="A1526" s="12" t="str">
        <x:v>S0131-07</x:v>
      </x:c>
      <x:c r="B1526" s="12" t="str">
        <x:v>S0131</x:v>
      </x:c>
      <x:c r="C1526" s="12" t="str">
        <x:v>工作日</x:v>
      </x:c>
      <x:c r="D1526" s="12" t="str">
        <x:v>环线3路</x:v>
      </x:c>
      <x:c r="E1526" s="12" t="str">
        <x:v>第三班</x:v>
      </x:c>
      <x:c r="F1526" s="12" t="n">
        <x:v>10</x:v>
      </x:c>
      <x:c r="G1526" s="12" t="str">
        <x:v>15:00</x:v>
      </x:c>
      <x:c r="H1526" s="12" t="n">
        <x:v>900</x:v>
      </x:c>
      <x:c r="I1526" s="12" t="str">
        <x:v>研究生宿舍楼</x:v>
      </x:c>
      <x:c r="J1526" s="12" t="str">
        <x:v>研究生宿舍楼发车</x:v>
      </x:c>
      <x:c r="K1526" s="12" t="str">
        <x:v>HX3_NORMAL</x:v>
      </x:c>
      <x:c r="L1526" s="12" t="n">
        <x:v>7</x:v>
      </x:c>
      <x:c r="M1526" s="12" t="str">
        <x:v>HX3_NORMAL|7</x:v>
      </x:c>
      <x:c r="N1526" s="12" t="str">
        <x:v>高超楼</x:v>
      </x:c>
      <x:c r="O1526" s="12" t="n">
        <x:f>IFERROR(INDEX('秒级路线参数_可调整'!$O:$O,MATCH(M1526,'秒级路线参数_可调整'!$A:$A,0)),"")</x:f>
        <x:v>420</x:v>
      </x:c>
      <x:c r="P1526" s="12" t="n">
        <x:f>IF(O1526="","",O1526/86400)</x:f>
        <x:v>0.004861111111111111</x:v>
      </x:c>
      <x:c r="Q1526" s="12" t="n">
        <x:f>IF(O1526="","",(H1526*60+O1526)/86400)</x:f>
        <x:v>0.6298611111111111</x:v>
      </x:c>
      <x:c r="R1526" s="12" t="str">
        <x:f>IF(Q1526="","",TEXT(Q1526,"hh:mm:ss"))</x:f>
        <x:v>15:07:00</x:v>
      </x:c>
      <x:c r="S1526" s="12" t="str">
        <x:v>否</x:v>
      </x:c>
      <x:c r="T1526" s="12" t="str">
        <x:v>否</x:v>
      </x:c>
      <x:c r="U1526" s="12" t="str">
        <x:v>刘晓燕</x:v>
      </x:c>
      <x:c r="V1526" s="12" t="str">
        <x:v>4号车</x:v>
      </x:c>
      <x:c r="W1526" s="12" t="str">
        <x:v>秒级预测</x:v>
      </x:c>
      <x:c r="X1526" s="12" t="str">
        <x:v>基于路线秒级参数；如录入实测或手动采用秒，预计到达时间可随公式更新</x:v>
      </x:c>
    </x:row>
    <x:row r="1527">
      <x:c r="A1527" s="12" t="str">
        <x:v>S0131-08</x:v>
      </x:c>
      <x:c r="B1527" s="12" t="str">
        <x:v>S0131</x:v>
      </x:c>
      <x:c r="C1527" s="12" t="str">
        <x:v>工作日</x:v>
      </x:c>
      <x:c r="D1527" s="12" t="str">
        <x:v>环线3路</x:v>
      </x:c>
      <x:c r="E1527" s="12" t="str">
        <x:v>第三班</x:v>
      </x:c>
      <x:c r="F1527" s="12" t="n">
        <x:v>10</x:v>
      </x:c>
      <x:c r="G1527" s="12" t="str">
        <x:v>15:00</x:v>
      </x:c>
      <x:c r="H1527" s="12" t="n">
        <x:v>900</x:v>
      </x:c>
      <x:c r="I1527" s="12" t="str">
        <x:v>研究生宿舍楼</x:v>
      </x:c>
      <x:c r="J1527" s="12" t="str">
        <x:v>研究生宿舍楼发车</x:v>
      </x:c>
      <x:c r="K1527" s="12" t="str">
        <x:v>HX3_NORMAL</x:v>
      </x:c>
      <x:c r="L1527" s="12" t="n">
        <x:v>8</x:v>
      </x:c>
      <x:c r="M1527" s="12" t="str">
        <x:v>HX3_NORMAL|8</x:v>
      </x:c>
      <x:c r="N1527" s="12" t="str">
        <x:v>理学院</x:v>
      </x:c>
      <x:c r="O1527" s="12" t="n">
        <x:f>IFERROR(INDEX('秒级路线参数_可调整'!$O:$O,MATCH(M1527,'秒级路线参数_可调整'!$A:$A,0)),"")</x:f>
        <x:v>480</x:v>
      </x:c>
      <x:c r="P1527" s="12" t="n">
        <x:f>IF(O1527="","",O1527/86400)</x:f>
        <x:v>0.005555555555555556</x:v>
      </x:c>
      <x:c r="Q1527" s="12" t="n">
        <x:f>IF(O1527="","",(H1527*60+O1527)/86400)</x:f>
        <x:v>0.6305555555555555</x:v>
      </x:c>
      <x:c r="R1527" s="12" t="str">
        <x:f>IF(Q1527="","",TEXT(Q1527,"hh:mm:ss"))</x:f>
        <x:v>15:08:00</x:v>
      </x:c>
      <x:c r="S1527" s="12" t="str">
        <x:v>否</x:v>
      </x:c>
      <x:c r="T1527" s="12" t="str">
        <x:v>否</x:v>
      </x:c>
      <x:c r="U1527" s="12" t="str">
        <x:v>刘晓燕</x:v>
      </x:c>
      <x:c r="V1527" s="12" t="str">
        <x:v>4号车</x:v>
      </x:c>
      <x:c r="W1527" s="12" t="str">
        <x:v>秒级预测</x:v>
      </x:c>
      <x:c r="X1527" s="12" t="str">
        <x:v>基于路线秒级参数；如录入实测或手动采用秒，预计到达时间可随公式更新</x:v>
      </x:c>
    </x:row>
    <x:row r="1528">
      <x:c r="A1528" s="12" t="str">
        <x:v>S0131-09</x:v>
      </x:c>
      <x:c r="B1528" s="12" t="str">
        <x:v>S0131</x:v>
      </x:c>
      <x:c r="C1528" s="12" t="str">
        <x:v>工作日</x:v>
      </x:c>
      <x:c r="D1528" s="12" t="str">
        <x:v>环线3路</x:v>
      </x:c>
      <x:c r="E1528" s="12" t="str">
        <x:v>第三班</x:v>
      </x:c>
      <x:c r="F1528" s="12" t="n">
        <x:v>10</x:v>
      </x:c>
      <x:c r="G1528" s="12" t="str">
        <x:v>15:00</x:v>
      </x:c>
      <x:c r="H1528" s="12" t="n">
        <x:v>900</x:v>
      </x:c>
      <x:c r="I1528" s="12" t="str">
        <x:v>研究生宿舍楼</x:v>
      </x:c>
      <x:c r="J1528" s="12" t="str">
        <x:v>研究生宿舍楼发车</x:v>
      </x:c>
      <x:c r="K1528" s="12" t="str">
        <x:v>HX3_NORMAL</x:v>
      </x:c>
      <x:c r="L1528" s="12" t="n">
        <x:v>9</x:v>
      </x:c>
      <x:c r="M1528" s="12" t="str">
        <x:v>HX3_NORMAL|9</x:v>
      </x:c>
      <x:c r="N1528" s="12" t="str">
        <x:v>二食堂</x:v>
      </x:c>
      <x:c r="O1528" s="12" t="n">
        <x:f>IFERROR(INDEX('秒级路线参数_可调整'!$O:$O,MATCH(M1528,'秒级路线参数_可调整'!$A:$A,0)),"")</x:f>
        <x:v>535</x:v>
      </x:c>
      <x:c r="P1528" s="12" t="n">
        <x:f>IF(O1528="","",O1528/86400)</x:f>
        <x:v>0.00619212962962963</x:v>
      </x:c>
      <x:c r="Q1528" s="12" t="n">
        <x:f>IF(O1528="","",(H1528*60+O1528)/86400)</x:f>
        <x:v>0.6311921296296297</x:v>
      </x:c>
      <x:c r="R1528" s="12" t="str">
        <x:f>IF(Q1528="","",TEXT(Q1528,"hh:mm:ss"))</x:f>
        <x:v>15:08:55</x:v>
      </x:c>
      <x:c r="S1528" s="12" t="str">
        <x:v>否</x:v>
      </x:c>
      <x:c r="T1528" s="12" t="str">
        <x:v>否</x:v>
      </x:c>
      <x:c r="U1528" s="12" t="str">
        <x:v>刘晓燕</x:v>
      </x:c>
      <x:c r="V1528" s="12" t="str">
        <x:v>4号车</x:v>
      </x:c>
      <x:c r="W1528" s="12" t="str">
        <x:v>秒级预测</x:v>
      </x:c>
      <x:c r="X1528" s="12" t="str">
        <x:v>基于路线秒级参数；如录入实测或手动采用秒，预计到达时间可随公式更新</x:v>
      </x:c>
    </x:row>
    <x:row r="1529">
      <x:c r="A1529" s="12" t="str">
        <x:v>S0131-10</x:v>
      </x:c>
      <x:c r="B1529" s="12" t="str">
        <x:v>S0131</x:v>
      </x:c>
      <x:c r="C1529" s="12" t="str">
        <x:v>工作日</x:v>
      </x:c>
      <x:c r="D1529" s="12" t="str">
        <x:v>环线3路</x:v>
      </x:c>
      <x:c r="E1529" s="12" t="str">
        <x:v>第三班</x:v>
      </x:c>
      <x:c r="F1529" s="12" t="n">
        <x:v>10</x:v>
      </x:c>
      <x:c r="G1529" s="12" t="str">
        <x:v>15:00</x:v>
      </x:c>
      <x:c r="H1529" s="12" t="n">
        <x:v>900</x:v>
      </x:c>
      <x:c r="I1529" s="12" t="str">
        <x:v>研究生宿舍楼</x:v>
      </x:c>
      <x:c r="J1529" s="12" t="str">
        <x:v>研究生宿舍楼发车</x:v>
      </x:c>
      <x:c r="K1529" s="12" t="str">
        <x:v>HX3_NORMAL</x:v>
      </x:c>
      <x:c r="L1529" s="12" t="n">
        <x:v>10</x:v>
      </x:c>
      <x:c r="M1529" s="12" t="str">
        <x:v>HX3_NORMAL|10</x:v>
      </x:c>
      <x:c r="N1529" s="12" t="str">
        <x:v>图书馆</x:v>
      </x:c>
      <x:c r="O1529" s="12" t="n">
        <x:f>IFERROR(INDEX('秒级路线参数_可调整'!$O:$O,MATCH(M1529,'秒级路线参数_可调整'!$A:$A,0)),"")</x:f>
        <x:v>715</x:v>
      </x:c>
      <x:c r="P1529" s="12" t="n">
        <x:f>IF(O1529="","",O1529/86400)</x:f>
        <x:v>0.008275462962962964</x:v>
      </x:c>
      <x:c r="Q1529" s="12" t="n">
        <x:f>IF(O1529="","",(H1529*60+O1529)/86400)</x:f>
        <x:v>0.633275462962963</x:v>
      </x:c>
      <x:c r="R1529" s="12" t="str">
        <x:f>IF(Q1529="","",TEXT(Q1529,"hh:mm:ss"))</x:f>
        <x:v>15:11:55</x:v>
      </x:c>
      <x:c r="S1529" s="12" t="str">
        <x:v>否</x:v>
      </x:c>
      <x:c r="T1529" s="12" t="str">
        <x:v>否</x:v>
      </x:c>
      <x:c r="U1529" s="12" t="str">
        <x:v>刘晓燕</x:v>
      </x:c>
      <x:c r="V1529" s="12" t="str">
        <x:v>4号车</x:v>
      </x:c>
      <x:c r="W1529" s="12" t="str">
        <x:v>秒级预测</x:v>
      </x:c>
      <x:c r="X1529" s="12" t="str">
        <x:v>基于路线秒级参数；如录入实测或手动采用秒，预计到达时间可随公式更新</x:v>
      </x:c>
    </x:row>
    <x:row r="1530">
      <x:c r="A1530" s="12" t="str">
        <x:v>S0131-11</x:v>
      </x:c>
      <x:c r="B1530" s="12" t="str">
        <x:v>S0131</x:v>
      </x:c>
      <x:c r="C1530" s="12" t="str">
        <x:v>工作日</x:v>
      </x:c>
      <x:c r="D1530" s="12" t="str">
        <x:v>环线3路</x:v>
      </x:c>
      <x:c r="E1530" s="12" t="str">
        <x:v>第三班</x:v>
      </x:c>
      <x:c r="F1530" s="12" t="n">
        <x:v>10</x:v>
      </x:c>
      <x:c r="G1530" s="12" t="str">
        <x:v>15:00</x:v>
      </x:c>
      <x:c r="H1530" s="12" t="n">
        <x:v>900</x:v>
      </x:c>
      <x:c r="I1530" s="12" t="str">
        <x:v>研究生宿舍楼</x:v>
      </x:c>
      <x:c r="J1530" s="12" t="str">
        <x:v>研究生宿舍楼发车</x:v>
      </x:c>
      <x:c r="K1530" s="12" t="str">
        <x:v>HX3_NORMAL</x:v>
      </x:c>
      <x:c r="L1530" s="12" t="n">
        <x:v>11</x:v>
      </x:c>
      <x:c r="M1530" s="12" t="str">
        <x:v>HX3_NORMAL|11</x:v>
      </x:c>
      <x:c r="N1530" s="12" t="str">
        <x:v>305教学楼</x:v>
      </x:c>
      <x:c r="O1530" s="12" t="n">
        <x:f>IFERROR(INDEX('秒级路线参数_可调整'!$O:$O,MATCH(M1530,'秒级路线参数_可调整'!$A:$A,0)),"")</x:f>
        <x:v>775</x:v>
      </x:c>
      <x:c r="P1530" s="12" t="n">
        <x:f>IF(O1530="","",O1530/86400)</x:f>
        <x:v>0.008969907407407407</x:v>
      </x:c>
      <x:c r="Q1530" s="12" t="n">
        <x:f>IF(O1530="","",(H1530*60+O1530)/86400)</x:f>
        <x:v>0.6339699074074074</x:v>
      </x:c>
      <x:c r="R1530" s="12" t="str">
        <x:f>IF(Q1530="","",TEXT(Q1530,"hh:mm:ss"))</x:f>
        <x:v>15:12:55</x:v>
      </x:c>
      <x:c r="S1530" s="12" t="str">
        <x:v>否</x:v>
      </x:c>
      <x:c r="T1530" s="12" t="str">
        <x:v>否</x:v>
      </x:c>
      <x:c r="U1530" s="12" t="str">
        <x:v>刘晓燕</x:v>
      </x:c>
      <x:c r="V1530" s="12" t="str">
        <x:v>4号车</x:v>
      </x:c>
      <x:c r="W1530" s="12" t="str">
        <x:v>秒级预测</x:v>
      </x:c>
      <x:c r="X1530" s="12" t="str">
        <x:v>基于路线秒级参数；如录入实测或手动采用秒，预计到达时间可随公式更新</x:v>
      </x:c>
    </x:row>
    <x:row r="1531">
      <x:c r="A1531" s="12" t="str">
        <x:v>S0131-12</x:v>
      </x:c>
      <x:c r="B1531" s="12" t="str">
        <x:v>S0131</x:v>
      </x:c>
      <x:c r="C1531" s="12" t="str">
        <x:v>工作日</x:v>
      </x:c>
      <x:c r="D1531" s="12" t="str">
        <x:v>环线3路</x:v>
      </x:c>
      <x:c r="E1531" s="12" t="str">
        <x:v>第三班</x:v>
      </x:c>
      <x:c r="F1531" s="12" t="n">
        <x:v>10</x:v>
      </x:c>
      <x:c r="G1531" s="12" t="str">
        <x:v>15:00</x:v>
      </x:c>
      <x:c r="H1531" s="12" t="n">
        <x:v>900</x:v>
      </x:c>
      <x:c r="I1531" s="12" t="str">
        <x:v>研究生宿舍楼</x:v>
      </x:c>
      <x:c r="J1531" s="12" t="str">
        <x:v>研究生宿舍楼发车</x:v>
      </x:c>
      <x:c r="K1531" s="12" t="str">
        <x:v>HX3_NORMAL</x:v>
      </x:c>
      <x:c r="L1531" s="12" t="n">
        <x:v>12</x:v>
      </x:c>
      <x:c r="M1531" s="12" t="str">
        <x:v>HX3_NORMAL|12</x:v>
      </x:c>
      <x:c r="N1531" s="12" t="str">
        <x:v>研究生宿舍楼</x:v>
      </x:c>
      <x:c r="O1531" s="12" t="n">
        <x:f>IFERROR(INDEX('秒级路线参数_可调整'!$O:$O,MATCH(M1531,'秒级路线参数_可调整'!$A:$A,0)),"")</x:f>
        <x:v>840</x:v>
      </x:c>
      <x:c r="P1531" s="12" t="n">
        <x:f>IF(O1531="","",O1531/86400)</x:f>
        <x:v>0.009722222222222222</x:v>
      </x:c>
      <x:c r="Q1531" s="12" t="n">
        <x:f>IF(O1531="","",(H1531*60+O1531)/86400)</x:f>
        <x:v>0.6347222222222222</x:v>
      </x:c>
      <x:c r="R1531" s="12" t="str">
        <x:f>IF(Q1531="","",TEXT(Q1531,"hh:mm:ss"))</x:f>
        <x:v>15:14:00</x:v>
      </x:c>
      <x:c r="S1531" s="12" t="str">
        <x:v>否</x:v>
      </x:c>
      <x:c r="T1531" s="12" t="str">
        <x:v>是</x:v>
      </x:c>
      <x:c r="U1531" s="12" t="str">
        <x:v>刘晓燕</x:v>
      </x:c>
      <x:c r="V1531" s="12" t="str">
        <x:v>4号车</x:v>
      </x:c>
      <x:c r="W1531" s="12" t="str">
        <x:v>秒级预测</x:v>
      </x:c>
      <x:c r="X1531" s="12" t="str">
        <x:v>基于路线秒级参数；如录入实测或手动采用秒，预计到达时间可随公式更新</x:v>
      </x:c>
    </x:row>
    <x:row r="1532">
      <x:c r="A1532" s="12" t="str">
        <x:v>S0132-01</x:v>
      </x:c>
      <x:c r="B1532" s="12" t="str">
        <x:v>S0132</x:v>
      </x:c>
      <x:c r="C1532" s="12" t="str">
        <x:v>工作日</x:v>
      </x:c>
      <x:c r="D1532" s="12" t="str">
        <x:v>环线3路</x:v>
      </x:c>
      <x:c r="E1532" s="12" t="str">
        <x:v>第三班</x:v>
      </x:c>
      <x:c r="F1532" s="12" t="n">
        <x:v>11</x:v>
      </x:c>
      <x:c r="G1532" s="12" t="str">
        <x:v>15:45</x:v>
      </x:c>
      <x:c r="H1532" s="12" t="n">
        <x:v>945</x:v>
      </x:c>
      <x:c r="I1532" s="12" t="str">
        <x:v>研究生宿舍楼</x:v>
      </x:c>
      <x:c r="J1532" s="12" t="str">
        <x:v>研究生宿舍楼发车</x:v>
      </x:c>
      <x:c r="K1532" s="12" t="str">
        <x:v>HX3_NORMAL</x:v>
      </x:c>
      <x:c r="L1532" s="12" t="n">
        <x:v>1</x:v>
      </x:c>
      <x:c r="M1532" s="12" t="str">
        <x:v>HX3_NORMAL|1</x:v>
      </x:c>
      <x:c r="N1532" s="12" t="str">
        <x:v>研究生宿舍楼</x:v>
      </x:c>
      <x:c r="O1532" s="12" t="n">
        <x:f>IFERROR(INDEX('秒级路线参数_可调整'!$O:$O,MATCH(M1532,'秒级路线参数_可调整'!$A:$A,0)),"")</x:f>
        <x:v>0</x:v>
      </x:c>
      <x:c r="P1532" s="12" t="str">
        <x:f>IF(O1532="","",O1532/86400)</x:f>
      </x:c>
      <x:c r="Q1532" s="12" t="str">
        <x:f>IF(O1532="","",(H1532*60+O1532)/86400)</x:f>
      </x:c>
      <x:c r="R1532" s="12" t="str">
        <x:f>IF(Q1532="","",TEXT(Q1532,"hh:mm:ss"))</x:f>
      </x:c>
      <x:c r="S1532" s="12" t="str">
        <x:v>是</x:v>
      </x:c>
      <x:c r="T1532" s="12" t="str">
        <x:v>否</x:v>
      </x:c>
      <x:c r="U1532" s="12" t="str">
        <x:v>刘晓燕</x:v>
      </x:c>
      <x:c r="V1532" s="12" t="str">
        <x:v>4号车</x:v>
      </x:c>
      <x:c r="W1532" s="12" t="str">
        <x:v>秒级预测</x:v>
      </x:c>
      <x:c r="X1532" s="12" t="str">
        <x:v>基于路线秒级参数；如录入实测或手动采用秒，预计到达时间可随公式更新</x:v>
      </x:c>
    </x:row>
    <x:row r="1533">
      <x:c r="A1533" s="12" t="str">
        <x:v>S0132-02</x:v>
      </x:c>
      <x:c r="B1533" s="12" t="str">
        <x:v>S0132</x:v>
      </x:c>
      <x:c r="C1533" s="12" t="str">
        <x:v>工作日</x:v>
      </x:c>
      <x:c r="D1533" s="12" t="str">
        <x:v>环线3路</x:v>
      </x:c>
      <x:c r="E1533" s="12" t="str">
        <x:v>第三班</x:v>
      </x:c>
      <x:c r="F1533" s="12" t="n">
        <x:v>11</x:v>
      </x:c>
      <x:c r="G1533" s="12" t="str">
        <x:v>15:45</x:v>
      </x:c>
      <x:c r="H1533" s="12" t="n">
        <x:v>945</x:v>
      </x:c>
      <x:c r="I1533" s="12" t="str">
        <x:v>研究生宿舍楼</x:v>
      </x:c>
      <x:c r="J1533" s="12" t="str">
        <x:v>研究生宿舍楼发车</x:v>
      </x:c>
      <x:c r="K1533" s="12" t="str">
        <x:v>HX3_NORMAL</x:v>
      </x:c>
      <x:c r="L1533" s="12" t="n">
        <x:v>2</x:v>
      </x:c>
      <x:c r="M1533" s="12" t="str">
        <x:v>HX3_NORMAL|2</x:v>
      </x:c>
      <x:c r="N1533" s="12" t="str">
        <x:v>一食堂</x:v>
      </x:c>
      <x:c r="O1533" s="12" t="n">
        <x:f>IFERROR(INDEX('秒级路线参数_可调整'!$O:$O,MATCH(M1533,'秒级路线参数_可调整'!$A:$A,0)),"")</x:f>
        <x:v>65</x:v>
      </x:c>
      <x:c r="P1533" s="12" t="n">
        <x:f>IF(O1533="","",O1533/86400)</x:f>
        <x:v>0.0007523148148148148</x:v>
      </x:c>
      <x:c r="Q1533" s="12" t="n">
        <x:f>IF(O1533="","",(H1533*60+O1533)/86400)</x:f>
        <x:v>0.6570023148148149</x:v>
      </x:c>
      <x:c r="R1533" s="12" t="str">
        <x:f>IF(Q1533="","",TEXT(Q1533,"hh:mm:ss"))</x:f>
        <x:v>15:46:05</x:v>
      </x:c>
      <x:c r="S1533" s="12" t="str">
        <x:v>否</x:v>
      </x:c>
      <x:c r="T1533" s="12" t="str">
        <x:v>否</x:v>
      </x:c>
      <x:c r="U1533" s="12" t="str">
        <x:v>刘晓燕</x:v>
      </x:c>
      <x:c r="V1533" s="12" t="str">
        <x:v>4号车</x:v>
      </x:c>
      <x:c r="W1533" s="12" t="str">
        <x:v>秒级预测</x:v>
      </x:c>
      <x:c r="X1533" s="12" t="str">
        <x:v>基于路线秒级参数；如录入实测或手动采用秒，预计到达时间可随公式更新</x:v>
      </x:c>
    </x:row>
    <x:row r="1534">
      <x:c r="A1534" s="12" t="str">
        <x:v>S0132-03</x:v>
      </x:c>
      <x:c r="B1534" s="12" t="str">
        <x:v>S0132</x:v>
      </x:c>
      <x:c r="C1534" s="12" t="str">
        <x:v>工作日</x:v>
      </x:c>
      <x:c r="D1534" s="12" t="str">
        <x:v>环线3路</x:v>
      </x:c>
      <x:c r="E1534" s="12" t="str">
        <x:v>第三班</x:v>
      </x:c>
      <x:c r="F1534" s="12" t="n">
        <x:v>11</x:v>
      </x:c>
      <x:c r="G1534" s="12" t="str">
        <x:v>15:45</x:v>
      </x:c>
      <x:c r="H1534" s="12" t="n">
        <x:v>945</x:v>
      </x:c>
      <x:c r="I1534" s="12" t="str">
        <x:v>研究生宿舍楼</x:v>
      </x:c>
      <x:c r="J1534" s="12" t="str">
        <x:v>研究生宿舍楼发车</x:v>
      </x:c>
      <x:c r="K1534" s="12" t="str">
        <x:v>HX3_NORMAL</x:v>
      </x:c>
      <x:c r="L1534" s="12" t="n">
        <x:v>3</x:v>
      </x:c>
      <x:c r="M1534" s="12" t="str">
        <x:v>HX3_NORMAL|3</x:v>
      </x:c>
      <x:c r="N1534" s="12" t="str">
        <x:v>2号宿舍楼</x:v>
      </x:c>
      <x:c r="O1534" s="12" t="n">
        <x:f>IFERROR(INDEX('秒级路线参数_可调整'!$O:$O,MATCH(M1534,'秒级路线参数_可调整'!$A:$A,0)),"")</x:f>
        <x:v>120</x:v>
      </x:c>
      <x:c r="P1534" s="12" t="n">
        <x:f>IF(O1534="","",O1534/86400)</x:f>
        <x:v>0.001388888888888889</x:v>
      </x:c>
      <x:c r="Q1534" s="12" t="n">
        <x:f>IF(O1534="","",(H1534*60+O1534)/86400)</x:f>
        <x:v>0.6576388888888889</x:v>
      </x:c>
      <x:c r="R1534" s="12" t="str">
        <x:f>IF(Q1534="","",TEXT(Q1534,"hh:mm:ss"))</x:f>
        <x:v>15:47:00</x:v>
      </x:c>
      <x:c r="S1534" s="12" t="str">
        <x:v>否</x:v>
      </x:c>
      <x:c r="T1534" s="12" t="str">
        <x:v>否</x:v>
      </x:c>
      <x:c r="U1534" s="12" t="str">
        <x:v>刘晓燕</x:v>
      </x:c>
      <x:c r="V1534" s="12" t="str">
        <x:v>4号车</x:v>
      </x:c>
      <x:c r="W1534" s="12" t="str">
        <x:v>秒级预测</x:v>
      </x:c>
      <x:c r="X1534" s="12" t="str">
        <x:v>基于路线秒级参数；如录入实测或手动采用秒，预计到达时间可随公式更新</x:v>
      </x:c>
    </x:row>
    <x:row r="1535">
      <x:c r="A1535" s="12" t="str">
        <x:v>S0132-04</x:v>
      </x:c>
      <x:c r="B1535" s="12" t="str">
        <x:v>S0132</x:v>
      </x:c>
      <x:c r="C1535" s="12" t="str">
        <x:v>工作日</x:v>
      </x:c>
      <x:c r="D1535" s="12" t="str">
        <x:v>环线3路</x:v>
      </x:c>
      <x:c r="E1535" s="12" t="str">
        <x:v>第三班</x:v>
      </x:c>
      <x:c r="F1535" s="12" t="n">
        <x:v>11</x:v>
      </x:c>
      <x:c r="G1535" s="12" t="str">
        <x:v>15:45</x:v>
      </x:c>
      <x:c r="H1535" s="12" t="n">
        <x:v>945</x:v>
      </x:c>
      <x:c r="I1535" s="12" t="str">
        <x:v>研究生宿舍楼</x:v>
      </x:c>
      <x:c r="J1535" s="12" t="str">
        <x:v>研究生宿舍楼发车</x:v>
      </x:c>
      <x:c r="K1535" s="12" t="str">
        <x:v>HX3_NORMAL</x:v>
      </x:c>
      <x:c r="L1535" s="12" t="n">
        <x:v>4</x:v>
      </x:c>
      <x:c r="M1535" s="12" t="str">
        <x:v>HX3_NORMAL|4</x:v>
      </x:c>
      <x:c r="N1535" s="12" t="str">
        <x:v>军体活动中心</x:v>
      </x:c>
      <x:c r="O1535" s="12" t="n">
        <x:f>IFERROR(INDEX('秒级路线参数_可调整'!$O:$O,MATCH(M1535,'秒级路线参数_可调整'!$A:$A,0)),"")</x:f>
        <x:v>165</x:v>
      </x:c>
      <x:c r="P1535" s="12" t="n">
        <x:f>IF(O1535="","",O1535/86400)</x:f>
        <x:v>0.0019097222222222222</x:v>
      </x:c>
      <x:c r="Q1535" s="12" t="n">
        <x:f>IF(O1535="","",(H1535*60+O1535)/86400)</x:f>
        <x:v>0.6581597222222222</x:v>
      </x:c>
      <x:c r="R1535" s="12" t="str">
        <x:f>IF(Q1535="","",TEXT(Q1535,"hh:mm:ss"))</x:f>
        <x:v>15:47:45</x:v>
      </x:c>
      <x:c r="S1535" s="12" t="str">
        <x:v>否</x:v>
      </x:c>
      <x:c r="T1535" s="12" t="str">
        <x:v>否</x:v>
      </x:c>
      <x:c r="U1535" s="12" t="str">
        <x:v>刘晓燕</x:v>
      </x:c>
      <x:c r="V1535" s="12" t="str">
        <x:v>4号车</x:v>
      </x:c>
      <x:c r="W1535" s="12" t="str">
        <x:v>秒级预测</x:v>
      </x:c>
      <x:c r="X1535" s="12" t="str">
        <x:v>基于路线秒级参数；如录入实测或手动采用秒，预计到达时间可随公式更新</x:v>
      </x:c>
    </x:row>
    <x:row r="1536">
      <x:c r="A1536" s="12" t="str">
        <x:v>S0132-05</x:v>
      </x:c>
      <x:c r="B1536" s="12" t="str">
        <x:v>S0132</x:v>
      </x:c>
      <x:c r="C1536" s="12" t="str">
        <x:v>工作日</x:v>
      </x:c>
      <x:c r="D1536" s="12" t="str">
        <x:v>环线3路</x:v>
      </x:c>
      <x:c r="E1536" s="12" t="str">
        <x:v>第三班</x:v>
      </x:c>
      <x:c r="F1536" s="12" t="n">
        <x:v>11</x:v>
      </x:c>
      <x:c r="G1536" s="12" t="str">
        <x:v>15:45</x:v>
      </x:c>
      <x:c r="H1536" s="12" t="n">
        <x:v>945</x:v>
      </x:c>
      <x:c r="I1536" s="12" t="str">
        <x:v>研究生宿舍楼</x:v>
      </x:c>
      <x:c r="J1536" s="12" t="str">
        <x:v>研究生宿舍楼发车</x:v>
      </x:c>
      <x:c r="K1536" s="12" t="str">
        <x:v>HX3_NORMAL</x:v>
      </x:c>
      <x:c r="L1536" s="12" t="n">
        <x:v>5</x:v>
      </x:c>
      <x:c r="M1536" s="12" t="str">
        <x:v>HX3_NORMAL|5</x:v>
      </x:c>
      <x:c r="N1536" s="12" t="str">
        <x:v>教勤连</x:v>
      </x:c>
      <x:c r="O1536" s="12" t="n">
        <x:f>IFERROR(INDEX('秒级路线参数_可调整'!$O:$O,MATCH(M1536,'秒级路线参数_可调整'!$A:$A,0)),"")</x:f>
        <x:v>250</x:v>
      </x:c>
      <x:c r="P1536" s="12" t="n">
        <x:f>IF(O1536="","",O1536/86400)</x:f>
        <x:v>0.0028935185185185184</x:v>
      </x:c>
      <x:c r="Q1536" s="12" t="n">
        <x:f>IF(O1536="","",(H1536*60+O1536)/86400)</x:f>
        <x:v>0.6591435185185185</x:v>
      </x:c>
      <x:c r="R1536" s="12" t="str">
        <x:f>IF(Q1536="","",TEXT(Q1536,"hh:mm:ss"))</x:f>
        <x:v>15:49:10</x:v>
      </x:c>
      <x:c r="S1536" s="12" t="str">
        <x:v>否</x:v>
      </x:c>
      <x:c r="T1536" s="12" t="str">
        <x:v>否</x:v>
      </x:c>
      <x:c r="U1536" s="12" t="str">
        <x:v>刘晓燕</x:v>
      </x:c>
      <x:c r="V1536" s="12" t="str">
        <x:v>4号车</x:v>
      </x:c>
      <x:c r="W1536" s="12" t="str">
        <x:v>秒级预测</x:v>
      </x:c>
      <x:c r="X1536" s="12" t="str">
        <x:v>基于路线秒级参数；如录入实测或手动采用秒，预计到达时间可随公式更新</x:v>
      </x:c>
    </x:row>
    <x:row r="1537">
      <x:c r="A1537" s="12" t="str">
        <x:v>S0132-06</x:v>
      </x:c>
      <x:c r="B1537" s="12" t="str">
        <x:v>S0132</x:v>
      </x:c>
      <x:c r="C1537" s="12" t="str">
        <x:v>工作日</x:v>
      </x:c>
      <x:c r="D1537" s="12" t="str">
        <x:v>环线3路</x:v>
      </x:c>
      <x:c r="E1537" s="12" t="str">
        <x:v>第三班</x:v>
      </x:c>
      <x:c r="F1537" s="12" t="n">
        <x:v>11</x:v>
      </x:c>
      <x:c r="G1537" s="12" t="str">
        <x:v>15:45</x:v>
      </x:c>
      <x:c r="H1537" s="12" t="n">
        <x:v>945</x:v>
      </x:c>
      <x:c r="I1537" s="12" t="str">
        <x:v>研究生宿舍楼</x:v>
      </x:c>
      <x:c r="J1537" s="12" t="str">
        <x:v>研究生宿舍楼发车</x:v>
      </x:c>
      <x:c r="K1537" s="12" t="str">
        <x:v>HX3_NORMAL</x:v>
      </x:c>
      <x:c r="L1537" s="12" t="n">
        <x:v>6</x:v>
      </x:c>
      <x:c r="M1537" s="12" t="str">
        <x:v>HX3_NORMAL|6</x:v>
      </x:c>
      <x:c r="N1537" s="12" t="str">
        <x:v>激光所</x:v>
      </x:c>
      <x:c r="O1537" s="12" t="n">
        <x:f>IFERROR(INDEX('秒级路线参数_可调整'!$O:$O,MATCH(M1537,'秒级路线参数_可调整'!$A:$A,0)),"")</x:f>
        <x:v>315</x:v>
      </x:c>
      <x:c r="P1537" s="12" t="n">
        <x:f>IF(O1537="","",O1537/86400)</x:f>
        <x:v>0.0036458333333333334</x:v>
      </x:c>
      <x:c r="Q1537" s="12" t="n">
        <x:f>IF(O1537="","",(H1537*60+O1537)/86400)</x:f>
        <x:v>0.6598958333333333</x:v>
      </x:c>
      <x:c r="R1537" s="12" t="str">
        <x:f>IF(Q1537="","",TEXT(Q1537,"hh:mm:ss"))</x:f>
        <x:v>15:50:15</x:v>
      </x:c>
      <x:c r="S1537" s="12" t="str">
        <x:v>否</x:v>
      </x:c>
      <x:c r="T1537" s="12" t="str">
        <x:v>否</x:v>
      </x:c>
      <x:c r="U1537" s="12" t="str">
        <x:v>刘晓燕</x:v>
      </x:c>
      <x:c r="V1537" s="12" t="str">
        <x:v>4号车</x:v>
      </x:c>
      <x:c r="W1537" s="12" t="str">
        <x:v>秒级预测</x:v>
      </x:c>
      <x:c r="X1537" s="12" t="str">
        <x:v>基于路线秒级参数；如录入实测或手动采用秒，预计到达时间可随公式更新</x:v>
      </x:c>
    </x:row>
    <x:row r="1538">
      <x:c r="A1538" s="12" t="str">
        <x:v>S0132-07</x:v>
      </x:c>
      <x:c r="B1538" s="12" t="str">
        <x:v>S0132</x:v>
      </x:c>
      <x:c r="C1538" s="12" t="str">
        <x:v>工作日</x:v>
      </x:c>
      <x:c r="D1538" s="12" t="str">
        <x:v>环线3路</x:v>
      </x:c>
      <x:c r="E1538" s="12" t="str">
        <x:v>第三班</x:v>
      </x:c>
      <x:c r="F1538" s="12" t="n">
        <x:v>11</x:v>
      </x:c>
      <x:c r="G1538" s="12" t="str">
        <x:v>15:45</x:v>
      </x:c>
      <x:c r="H1538" s="12" t="n">
        <x:v>945</x:v>
      </x:c>
      <x:c r="I1538" s="12" t="str">
        <x:v>研究生宿舍楼</x:v>
      </x:c>
      <x:c r="J1538" s="12" t="str">
        <x:v>研究生宿舍楼发车</x:v>
      </x:c>
      <x:c r="K1538" s="12" t="str">
        <x:v>HX3_NORMAL</x:v>
      </x:c>
      <x:c r="L1538" s="12" t="n">
        <x:v>7</x:v>
      </x:c>
      <x:c r="M1538" s="12" t="str">
        <x:v>HX3_NORMAL|7</x:v>
      </x:c>
      <x:c r="N1538" s="12" t="str">
        <x:v>高超楼</x:v>
      </x:c>
      <x:c r="O1538" s="12" t="n">
        <x:f>IFERROR(INDEX('秒级路线参数_可调整'!$O:$O,MATCH(M1538,'秒级路线参数_可调整'!$A:$A,0)),"")</x:f>
        <x:v>420</x:v>
      </x:c>
      <x:c r="P1538" s="12" t="n">
        <x:f>IF(O1538="","",O1538/86400)</x:f>
        <x:v>0.004861111111111111</x:v>
      </x:c>
      <x:c r="Q1538" s="12" t="n">
        <x:f>IF(O1538="","",(H1538*60+O1538)/86400)</x:f>
        <x:v>0.6611111111111111</x:v>
      </x:c>
      <x:c r="R1538" s="12" t="str">
        <x:f>IF(Q1538="","",TEXT(Q1538,"hh:mm:ss"))</x:f>
        <x:v>15:52:00</x:v>
      </x:c>
      <x:c r="S1538" s="12" t="str">
        <x:v>否</x:v>
      </x:c>
      <x:c r="T1538" s="12" t="str">
        <x:v>否</x:v>
      </x:c>
      <x:c r="U1538" s="12" t="str">
        <x:v>刘晓燕</x:v>
      </x:c>
      <x:c r="V1538" s="12" t="str">
        <x:v>4号车</x:v>
      </x:c>
      <x:c r="W1538" s="12" t="str">
        <x:v>秒级预测</x:v>
      </x:c>
      <x:c r="X1538" s="12" t="str">
        <x:v>基于路线秒级参数；如录入实测或手动采用秒，预计到达时间可随公式更新</x:v>
      </x:c>
    </x:row>
    <x:row r="1539">
      <x:c r="A1539" s="12" t="str">
        <x:v>S0132-08</x:v>
      </x:c>
      <x:c r="B1539" s="12" t="str">
        <x:v>S0132</x:v>
      </x:c>
      <x:c r="C1539" s="12" t="str">
        <x:v>工作日</x:v>
      </x:c>
      <x:c r="D1539" s="12" t="str">
        <x:v>环线3路</x:v>
      </x:c>
      <x:c r="E1539" s="12" t="str">
        <x:v>第三班</x:v>
      </x:c>
      <x:c r="F1539" s="12" t="n">
        <x:v>11</x:v>
      </x:c>
      <x:c r="G1539" s="12" t="str">
        <x:v>15:45</x:v>
      </x:c>
      <x:c r="H1539" s="12" t="n">
        <x:v>945</x:v>
      </x:c>
      <x:c r="I1539" s="12" t="str">
        <x:v>研究生宿舍楼</x:v>
      </x:c>
      <x:c r="J1539" s="12" t="str">
        <x:v>研究生宿舍楼发车</x:v>
      </x:c>
      <x:c r="K1539" s="12" t="str">
        <x:v>HX3_NORMAL</x:v>
      </x:c>
      <x:c r="L1539" s="12" t="n">
        <x:v>8</x:v>
      </x:c>
      <x:c r="M1539" s="12" t="str">
        <x:v>HX3_NORMAL|8</x:v>
      </x:c>
      <x:c r="N1539" s="12" t="str">
        <x:v>理学院</x:v>
      </x:c>
      <x:c r="O1539" s="12" t="n">
        <x:f>IFERROR(INDEX('秒级路线参数_可调整'!$O:$O,MATCH(M1539,'秒级路线参数_可调整'!$A:$A,0)),"")</x:f>
        <x:v>480</x:v>
      </x:c>
      <x:c r="P1539" s="12" t="n">
        <x:f>IF(O1539="","",O1539/86400)</x:f>
        <x:v>0.005555555555555556</x:v>
      </x:c>
      <x:c r="Q1539" s="12" t="n">
        <x:f>IF(O1539="","",(H1539*60+O1539)/86400)</x:f>
        <x:v>0.6618055555555555</x:v>
      </x:c>
      <x:c r="R1539" s="12" t="str">
        <x:f>IF(Q1539="","",TEXT(Q1539,"hh:mm:ss"))</x:f>
        <x:v>15:53:00</x:v>
      </x:c>
      <x:c r="S1539" s="12" t="str">
        <x:v>否</x:v>
      </x:c>
      <x:c r="T1539" s="12" t="str">
        <x:v>否</x:v>
      </x:c>
      <x:c r="U1539" s="12" t="str">
        <x:v>刘晓燕</x:v>
      </x:c>
      <x:c r="V1539" s="12" t="str">
        <x:v>4号车</x:v>
      </x:c>
      <x:c r="W1539" s="12" t="str">
        <x:v>秒级预测</x:v>
      </x:c>
      <x:c r="X1539" s="12" t="str">
        <x:v>基于路线秒级参数；如录入实测或手动采用秒，预计到达时间可随公式更新</x:v>
      </x:c>
    </x:row>
    <x:row r="1540">
      <x:c r="A1540" s="12" t="str">
        <x:v>S0132-09</x:v>
      </x:c>
      <x:c r="B1540" s="12" t="str">
        <x:v>S0132</x:v>
      </x:c>
      <x:c r="C1540" s="12" t="str">
        <x:v>工作日</x:v>
      </x:c>
      <x:c r="D1540" s="12" t="str">
        <x:v>环线3路</x:v>
      </x:c>
      <x:c r="E1540" s="12" t="str">
        <x:v>第三班</x:v>
      </x:c>
      <x:c r="F1540" s="12" t="n">
        <x:v>11</x:v>
      </x:c>
      <x:c r="G1540" s="12" t="str">
        <x:v>15:45</x:v>
      </x:c>
      <x:c r="H1540" s="12" t="n">
        <x:v>945</x:v>
      </x:c>
      <x:c r="I1540" s="12" t="str">
        <x:v>研究生宿舍楼</x:v>
      </x:c>
      <x:c r="J1540" s="12" t="str">
        <x:v>研究生宿舍楼发车</x:v>
      </x:c>
      <x:c r="K1540" s="12" t="str">
        <x:v>HX3_NORMAL</x:v>
      </x:c>
      <x:c r="L1540" s="12" t="n">
        <x:v>9</x:v>
      </x:c>
      <x:c r="M1540" s="12" t="str">
        <x:v>HX3_NORMAL|9</x:v>
      </x:c>
      <x:c r="N1540" s="12" t="str">
        <x:v>二食堂</x:v>
      </x:c>
      <x:c r="O1540" s="12" t="n">
        <x:f>IFERROR(INDEX('秒级路线参数_可调整'!$O:$O,MATCH(M1540,'秒级路线参数_可调整'!$A:$A,0)),"")</x:f>
        <x:v>535</x:v>
      </x:c>
      <x:c r="P1540" s="12" t="n">
        <x:f>IF(O1540="","",O1540/86400)</x:f>
        <x:v>0.00619212962962963</x:v>
      </x:c>
      <x:c r="Q1540" s="12" t="n">
        <x:f>IF(O1540="","",(H1540*60+O1540)/86400)</x:f>
        <x:v>0.6624421296296297</x:v>
      </x:c>
      <x:c r="R1540" s="12" t="str">
        <x:f>IF(Q1540="","",TEXT(Q1540,"hh:mm:ss"))</x:f>
        <x:v>15:53:55</x:v>
      </x:c>
      <x:c r="S1540" s="12" t="str">
        <x:v>否</x:v>
      </x:c>
      <x:c r="T1540" s="12" t="str">
        <x:v>否</x:v>
      </x:c>
      <x:c r="U1540" s="12" t="str">
        <x:v>刘晓燕</x:v>
      </x:c>
      <x:c r="V1540" s="12" t="str">
        <x:v>4号车</x:v>
      </x:c>
      <x:c r="W1540" s="12" t="str">
        <x:v>秒级预测</x:v>
      </x:c>
      <x:c r="X1540" s="12" t="str">
        <x:v>基于路线秒级参数；如录入实测或手动采用秒，预计到达时间可随公式更新</x:v>
      </x:c>
    </x:row>
    <x:row r="1541">
      <x:c r="A1541" s="12" t="str">
        <x:v>S0132-10</x:v>
      </x:c>
      <x:c r="B1541" s="12" t="str">
        <x:v>S0132</x:v>
      </x:c>
      <x:c r="C1541" s="12" t="str">
        <x:v>工作日</x:v>
      </x:c>
      <x:c r="D1541" s="12" t="str">
        <x:v>环线3路</x:v>
      </x:c>
      <x:c r="E1541" s="12" t="str">
        <x:v>第三班</x:v>
      </x:c>
      <x:c r="F1541" s="12" t="n">
        <x:v>11</x:v>
      </x:c>
      <x:c r="G1541" s="12" t="str">
        <x:v>15:45</x:v>
      </x:c>
      <x:c r="H1541" s="12" t="n">
        <x:v>945</x:v>
      </x:c>
      <x:c r="I1541" s="12" t="str">
        <x:v>研究生宿舍楼</x:v>
      </x:c>
      <x:c r="J1541" s="12" t="str">
        <x:v>研究生宿舍楼发车</x:v>
      </x:c>
      <x:c r="K1541" s="12" t="str">
        <x:v>HX3_NORMAL</x:v>
      </x:c>
      <x:c r="L1541" s="12" t="n">
        <x:v>10</x:v>
      </x:c>
      <x:c r="M1541" s="12" t="str">
        <x:v>HX3_NORMAL|10</x:v>
      </x:c>
      <x:c r="N1541" s="12" t="str">
        <x:v>图书馆</x:v>
      </x:c>
      <x:c r="O1541" s="12" t="n">
        <x:f>IFERROR(INDEX('秒级路线参数_可调整'!$O:$O,MATCH(M1541,'秒级路线参数_可调整'!$A:$A,0)),"")</x:f>
        <x:v>715</x:v>
      </x:c>
      <x:c r="P1541" s="12" t="n">
        <x:f>IF(O1541="","",O1541/86400)</x:f>
        <x:v>0.008275462962962964</x:v>
      </x:c>
      <x:c r="Q1541" s="12" t="n">
        <x:f>IF(O1541="","",(H1541*60+O1541)/86400)</x:f>
        <x:v>0.664525462962963</x:v>
      </x:c>
      <x:c r="R1541" s="12" t="str">
        <x:f>IF(Q1541="","",TEXT(Q1541,"hh:mm:ss"))</x:f>
        <x:v>15:56:55</x:v>
      </x:c>
      <x:c r="S1541" s="12" t="str">
        <x:v>否</x:v>
      </x:c>
      <x:c r="T1541" s="12" t="str">
        <x:v>否</x:v>
      </x:c>
      <x:c r="U1541" s="12" t="str">
        <x:v>刘晓燕</x:v>
      </x:c>
      <x:c r="V1541" s="12" t="str">
        <x:v>4号车</x:v>
      </x:c>
      <x:c r="W1541" s="12" t="str">
        <x:v>秒级预测</x:v>
      </x:c>
      <x:c r="X1541" s="12" t="str">
        <x:v>基于路线秒级参数；如录入实测或手动采用秒，预计到达时间可随公式更新</x:v>
      </x:c>
    </x:row>
    <x:row r="1542">
      <x:c r="A1542" s="12" t="str">
        <x:v>S0132-11</x:v>
      </x:c>
      <x:c r="B1542" s="12" t="str">
        <x:v>S0132</x:v>
      </x:c>
      <x:c r="C1542" s="12" t="str">
        <x:v>工作日</x:v>
      </x:c>
      <x:c r="D1542" s="12" t="str">
        <x:v>环线3路</x:v>
      </x:c>
      <x:c r="E1542" s="12" t="str">
        <x:v>第三班</x:v>
      </x:c>
      <x:c r="F1542" s="12" t="n">
        <x:v>11</x:v>
      </x:c>
      <x:c r="G1542" s="12" t="str">
        <x:v>15:45</x:v>
      </x:c>
      <x:c r="H1542" s="12" t="n">
        <x:v>945</x:v>
      </x:c>
      <x:c r="I1542" s="12" t="str">
        <x:v>研究生宿舍楼</x:v>
      </x:c>
      <x:c r="J1542" s="12" t="str">
        <x:v>研究生宿舍楼发车</x:v>
      </x:c>
      <x:c r="K1542" s="12" t="str">
        <x:v>HX3_NORMAL</x:v>
      </x:c>
      <x:c r="L1542" s="12" t="n">
        <x:v>11</x:v>
      </x:c>
      <x:c r="M1542" s="12" t="str">
        <x:v>HX3_NORMAL|11</x:v>
      </x:c>
      <x:c r="N1542" s="12" t="str">
        <x:v>305教学楼</x:v>
      </x:c>
      <x:c r="O1542" s="12" t="n">
        <x:f>IFERROR(INDEX('秒级路线参数_可调整'!$O:$O,MATCH(M1542,'秒级路线参数_可调整'!$A:$A,0)),"")</x:f>
        <x:v>775</x:v>
      </x:c>
      <x:c r="P1542" s="12" t="n">
        <x:f>IF(O1542="","",O1542/86400)</x:f>
        <x:v>0.008969907407407407</x:v>
      </x:c>
      <x:c r="Q1542" s="12" t="n">
        <x:f>IF(O1542="","",(H1542*60+O1542)/86400)</x:f>
        <x:v>0.6652199074074074</x:v>
      </x:c>
      <x:c r="R1542" s="12" t="str">
        <x:f>IF(Q1542="","",TEXT(Q1542,"hh:mm:ss"))</x:f>
        <x:v>15:57:55</x:v>
      </x:c>
      <x:c r="S1542" s="12" t="str">
        <x:v>否</x:v>
      </x:c>
      <x:c r="T1542" s="12" t="str">
        <x:v>否</x:v>
      </x:c>
      <x:c r="U1542" s="12" t="str">
        <x:v>刘晓燕</x:v>
      </x:c>
      <x:c r="V1542" s="12" t="str">
        <x:v>4号车</x:v>
      </x:c>
      <x:c r="W1542" s="12" t="str">
        <x:v>秒级预测</x:v>
      </x:c>
      <x:c r="X1542" s="12" t="str">
        <x:v>基于路线秒级参数；如录入实测或手动采用秒，预计到达时间可随公式更新</x:v>
      </x:c>
    </x:row>
    <x:row r="1543">
      <x:c r="A1543" s="12" t="str">
        <x:v>S0132-12</x:v>
      </x:c>
      <x:c r="B1543" s="12" t="str">
        <x:v>S0132</x:v>
      </x:c>
      <x:c r="C1543" s="12" t="str">
        <x:v>工作日</x:v>
      </x:c>
      <x:c r="D1543" s="12" t="str">
        <x:v>环线3路</x:v>
      </x:c>
      <x:c r="E1543" s="12" t="str">
        <x:v>第三班</x:v>
      </x:c>
      <x:c r="F1543" s="12" t="n">
        <x:v>11</x:v>
      </x:c>
      <x:c r="G1543" s="12" t="str">
        <x:v>15:45</x:v>
      </x:c>
      <x:c r="H1543" s="12" t="n">
        <x:v>945</x:v>
      </x:c>
      <x:c r="I1543" s="12" t="str">
        <x:v>研究生宿舍楼</x:v>
      </x:c>
      <x:c r="J1543" s="12" t="str">
        <x:v>研究生宿舍楼发车</x:v>
      </x:c>
      <x:c r="K1543" s="12" t="str">
        <x:v>HX3_NORMAL</x:v>
      </x:c>
      <x:c r="L1543" s="12" t="n">
        <x:v>12</x:v>
      </x:c>
      <x:c r="M1543" s="12" t="str">
        <x:v>HX3_NORMAL|12</x:v>
      </x:c>
      <x:c r="N1543" s="12" t="str">
        <x:v>研究生宿舍楼</x:v>
      </x:c>
      <x:c r="O1543" s="12" t="n">
        <x:f>IFERROR(INDEX('秒级路线参数_可调整'!$O:$O,MATCH(M1543,'秒级路线参数_可调整'!$A:$A,0)),"")</x:f>
        <x:v>840</x:v>
      </x:c>
      <x:c r="P1543" s="12" t="n">
        <x:f>IF(O1543="","",O1543/86400)</x:f>
        <x:v>0.009722222222222222</x:v>
      </x:c>
      <x:c r="Q1543" s="12" t="n">
        <x:f>IF(O1543="","",(H1543*60+O1543)/86400)</x:f>
        <x:v>0.6659722222222222</x:v>
      </x:c>
      <x:c r="R1543" s="12" t="str">
        <x:f>IF(Q1543="","",TEXT(Q1543,"hh:mm:ss"))</x:f>
        <x:v>15:59:00</x:v>
      </x:c>
      <x:c r="S1543" s="12" t="str">
        <x:v>否</x:v>
      </x:c>
      <x:c r="T1543" s="12" t="str">
        <x:v>是</x:v>
      </x:c>
      <x:c r="U1543" s="12" t="str">
        <x:v>刘晓燕</x:v>
      </x:c>
      <x:c r="V1543" s="12" t="str">
        <x:v>4号车</x:v>
      </x:c>
      <x:c r="W1543" s="12" t="str">
        <x:v>秒级预测</x:v>
      </x:c>
      <x:c r="X1543" s="12" t="str">
        <x:v>基于路线秒级参数；如录入实测或手动采用秒，预计到达时间可随公式更新</x:v>
      </x:c>
    </x:row>
    <x:row r="1544">
      <x:c r="A1544" s="12" t="str">
        <x:v>S0133-01</x:v>
      </x:c>
      <x:c r="B1544" s="12" t="str">
        <x:v>S0133</x:v>
      </x:c>
      <x:c r="C1544" s="12" t="str">
        <x:v>工作日</x:v>
      </x:c>
      <x:c r="D1544" s="12" t="str">
        <x:v>环线3路</x:v>
      </x:c>
      <x:c r="E1544" s="12" t="str">
        <x:v>第三班</x:v>
      </x:c>
      <x:c r="F1544" s="12" t="n">
        <x:v>12</x:v>
      </x:c>
      <x:c r="G1544" s="12" t="str">
        <x:v>17:10</x:v>
      </x:c>
      <x:c r="H1544" s="12" t="n">
        <x:v>1030</x:v>
      </x:c>
      <x:c r="I1544" s="12" t="str">
        <x:v>研究生宿舍楼</x:v>
      </x:c>
      <x:c r="J1544" s="12" t="str">
        <x:v>研究生宿舍楼发车</x:v>
      </x:c>
      <x:c r="K1544" s="12" t="str">
        <x:v>HX3_NORMAL</x:v>
      </x:c>
      <x:c r="L1544" s="12" t="n">
        <x:v>1</x:v>
      </x:c>
      <x:c r="M1544" s="12" t="str">
        <x:v>HX3_NORMAL|1</x:v>
      </x:c>
      <x:c r="N1544" s="12" t="str">
        <x:v>研究生宿舍楼</x:v>
      </x:c>
      <x:c r="O1544" s="12" t="n">
        <x:f>IFERROR(INDEX('秒级路线参数_可调整'!$O:$O,MATCH(M1544,'秒级路线参数_可调整'!$A:$A,0)),"")</x:f>
        <x:v>0</x:v>
      </x:c>
      <x:c r="P1544" s="12" t="str">
        <x:f>IF(O1544="","",O1544/86400)</x:f>
      </x:c>
      <x:c r="Q1544" s="12" t="str">
        <x:f>IF(O1544="","",(H1544*60+O1544)/86400)</x:f>
      </x:c>
      <x:c r="R1544" s="12" t="str">
        <x:f>IF(Q1544="","",TEXT(Q1544,"hh:mm:ss"))</x:f>
      </x:c>
      <x:c r="S1544" s="12" t="str">
        <x:v>是</x:v>
      </x:c>
      <x:c r="T1544" s="12" t="str">
        <x:v>否</x:v>
      </x:c>
      <x:c r="U1544" s="12" t="str">
        <x:v>刘晓燕</x:v>
      </x:c>
      <x:c r="V1544" s="12" t="str">
        <x:v>4号车</x:v>
      </x:c>
      <x:c r="W1544" s="12" t="str">
        <x:v>秒级预测</x:v>
      </x:c>
      <x:c r="X1544" s="12" t="str">
        <x:v>基于路线秒级参数；如录入实测或手动采用秒，预计到达时间可随公式更新</x:v>
      </x:c>
    </x:row>
    <x:row r="1545">
      <x:c r="A1545" s="12" t="str">
        <x:v>S0133-02</x:v>
      </x:c>
      <x:c r="B1545" s="12" t="str">
        <x:v>S0133</x:v>
      </x:c>
      <x:c r="C1545" s="12" t="str">
        <x:v>工作日</x:v>
      </x:c>
      <x:c r="D1545" s="12" t="str">
        <x:v>环线3路</x:v>
      </x:c>
      <x:c r="E1545" s="12" t="str">
        <x:v>第三班</x:v>
      </x:c>
      <x:c r="F1545" s="12" t="n">
        <x:v>12</x:v>
      </x:c>
      <x:c r="G1545" s="12" t="str">
        <x:v>17:10</x:v>
      </x:c>
      <x:c r="H1545" s="12" t="n">
        <x:v>1030</x:v>
      </x:c>
      <x:c r="I1545" s="12" t="str">
        <x:v>研究生宿舍楼</x:v>
      </x:c>
      <x:c r="J1545" s="12" t="str">
        <x:v>研究生宿舍楼发车</x:v>
      </x:c>
      <x:c r="K1545" s="12" t="str">
        <x:v>HX3_NORMAL</x:v>
      </x:c>
      <x:c r="L1545" s="12" t="n">
        <x:v>2</x:v>
      </x:c>
      <x:c r="M1545" s="12" t="str">
        <x:v>HX3_NORMAL|2</x:v>
      </x:c>
      <x:c r="N1545" s="12" t="str">
        <x:v>一食堂</x:v>
      </x:c>
      <x:c r="O1545" s="12" t="n">
        <x:f>IFERROR(INDEX('秒级路线参数_可调整'!$O:$O,MATCH(M1545,'秒级路线参数_可调整'!$A:$A,0)),"")</x:f>
        <x:v>65</x:v>
      </x:c>
      <x:c r="P1545" s="12" t="n">
        <x:f>IF(O1545="","",O1545/86400)</x:f>
        <x:v>0.0007523148148148148</x:v>
      </x:c>
      <x:c r="Q1545" s="12" t="n">
        <x:f>IF(O1545="","",(H1545*60+O1545)/86400)</x:f>
        <x:v>0.7160300925925925</x:v>
      </x:c>
      <x:c r="R1545" s="12" t="str">
        <x:f>IF(Q1545="","",TEXT(Q1545,"hh:mm:ss"))</x:f>
        <x:v>17:11:05</x:v>
      </x:c>
      <x:c r="S1545" s="12" t="str">
        <x:v>否</x:v>
      </x:c>
      <x:c r="T1545" s="12" t="str">
        <x:v>否</x:v>
      </x:c>
      <x:c r="U1545" s="12" t="str">
        <x:v>刘晓燕</x:v>
      </x:c>
      <x:c r="V1545" s="12" t="str">
        <x:v>4号车</x:v>
      </x:c>
      <x:c r="W1545" s="12" t="str">
        <x:v>秒级预测</x:v>
      </x:c>
      <x:c r="X1545" s="12" t="str">
        <x:v>基于路线秒级参数；如录入实测或手动采用秒，预计到达时间可随公式更新</x:v>
      </x:c>
    </x:row>
    <x:row r="1546">
      <x:c r="A1546" s="12" t="str">
        <x:v>S0133-03</x:v>
      </x:c>
      <x:c r="B1546" s="12" t="str">
        <x:v>S0133</x:v>
      </x:c>
      <x:c r="C1546" s="12" t="str">
        <x:v>工作日</x:v>
      </x:c>
      <x:c r="D1546" s="12" t="str">
        <x:v>环线3路</x:v>
      </x:c>
      <x:c r="E1546" s="12" t="str">
        <x:v>第三班</x:v>
      </x:c>
      <x:c r="F1546" s="12" t="n">
        <x:v>12</x:v>
      </x:c>
      <x:c r="G1546" s="12" t="str">
        <x:v>17:10</x:v>
      </x:c>
      <x:c r="H1546" s="12" t="n">
        <x:v>1030</x:v>
      </x:c>
      <x:c r="I1546" s="12" t="str">
        <x:v>研究生宿舍楼</x:v>
      </x:c>
      <x:c r="J1546" s="12" t="str">
        <x:v>研究生宿舍楼发车</x:v>
      </x:c>
      <x:c r="K1546" s="12" t="str">
        <x:v>HX3_NORMAL</x:v>
      </x:c>
      <x:c r="L1546" s="12" t="n">
        <x:v>3</x:v>
      </x:c>
      <x:c r="M1546" s="12" t="str">
        <x:v>HX3_NORMAL|3</x:v>
      </x:c>
      <x:c r="N1546" s="12" t="str">
        <x:v>2号宿舍楼</x:v>
      </x:c>
      <x:c r="O1546" s="12" t="n">
        <x:f>IFERROR(INDEX('秒级路线参数_可调整'!$O:$O,MATCH(M1546,'秒级路线参数_可调整'!$A:$A,0)),"")</x:f>
        <x:v>120</x:v>
      </x:c>
      <x:c r="P1546" s="12" t="n">
        <x:f>IF(O1546="","",O1546/86400)</x:f>
        <x:v>0.001388888888888889</x:v>
      </x:c>
      <x:c r="Q1546" s="12" t="n">
        <x:f>IF(O1546="","",(H1546*60+O1546)/86400)</x:f>
        <x:v>0.7166666666666667</x:v>
      </x:c>
      <x:c r="R1546" s="12" t="str">
        <x:f>IF(Q1546="","",TEXT(Q1546,"hh:mm:ss"))</x:f>
        <x:v>17:12:00</x:v>
      </x:c>
      <x:c r="S1546" s="12" t="str">
        <x:v>否</x:v>
      </x:c>
      <x:c r="T1546" s="12" t="str">
        <x:v>否</x:v>
      </x:c>
      <x:c r="U1546" s="12" t="str">
        <x:v>刘晓燕</x:v>
      </x:c>
      <x:c r="V1546" s="12" t="str">
        <x:v>4号车</x:v>
      </x:c>
      <x:c r="W1546" s="12" t="str">
        <x:v>秒级预测</x:v>
      </x:c>
      <x:c r="X1546" s="12" t="str">
        <x:v>基于路线秒级参数；如录入实测或手动采用秒，预计到达时间可随公式更新</x:v>
      </x:c>
    </x:row>
    <x:row r="1547">
      <x:c r="A1547" s="12" t="str">
        <x:v>S0133-04</x:v>
      </x:c>
      <x:c r="B1547" s="12" t="str">
        <x:v>S0133</x:v>
      </x:c>
      <x:c r="C1547" s="12" t="str">
        <x:v>工作日</x:v>
      </x:c>
      <x:c r="D1547" s="12" t="str">
        <x:v>环线3路</x:v>
      </x:c>
      <x:c r="E1547" s="12" t="str">
        <x:v>第三班</x:v>
      </x:c>
      <x:c r="F1547" s="12" t="n">
        <x:v>12</x:v>
      </x:c>
      <x:c r="G1547" s="12" t="str">
        <x:v>17:10</x:v>
      </x:c>
      <x:c r="H1547" s="12" t="n">
        <x:v>1030</x:v>
      </x:c>
      <x:c r="I1547" s="12" t="str">
        <x:v>研究生宿舍楼</x:v>
      </x:c>
      <x:c r="J1547" s="12" t="str">
        <x:v>研究生宿舍楼发车</x:v>
      </x:c>
      <x:c r="K1547" s="12" t="str">
        <x:v>HX3_NORMAL</x:v>
      </x:c>
      <x:c r="L1547" s="12" t="n">
        <x:v>4</x:v>
      </x:c>
      <x:c r="M1547" s="12" t="str">
        <x:v>HX3_NORMAL|4</x:v>
      </x:c>
      <x:c r="N1547" s="12" t="str">
        <x:v>军体活动中心</x:v>
      </x:c>
      <x:c r="O1547" s="12" t="n">
        <x:f>IFERROR(INDEX('秒级路线参数_可调整'!$O:$O,MATCH(M1547,'秒级路线参数_可调整'!$A:$A,0)),"")</x:f>
        <x:v>165</x:v>
      </x:c>
      <x:c r="P1547" s="12" t="n">
        <x:f>IF(O1547="","",O1547/86400)</x:f>
        <x:v>0.0019097222222222222</x:v>
      </x:c>
      <x:c r="Q1547" s="12" t="n">
        <x:f>IF(O1547="","",(H1547*60+O1547)/86400)</x:f>
        <x:v>0.7171875</x:v>
      </x:c>
      <x:c r="R1547" s="12" t="str">
        <x:f>IF(Q1547="","",TEXT(Q1547,"hh:mm:ss"))</x:f>
        <x:v>17:12:45</x:v>
      </x:c>
      <x:c r="S1547" s="12" t="str">
        <x:v>否</x:v>
      </x:c>
      <x:c r="T1547" s="12" t="str">
        <x:v>否</x:v>
      </x:c>
      <x:c r="U1547" s="12" t="str">
        <x:v>刘晓燕</x:v>
      </x:c>
      <x:c r="V1547" s="12" t="str">
        <x:v>4号车</x:v>
      </x:c>
      <x:c r="W1547" s="12" t="str">
        <x:v>秒级预测</x:v>
      </x:c>
      <x:c r="X1547" s="12" t="str">
        <x:v>基于路线秒级参数；如录入实测或手动采用秒，预计到达时间可随公式更新</x:v>
      </x:c>
    </x:row>
    <x:row r="1548">
      <x:c r="A1548" s="12" t="str">
        <x:v>S0133-05</x:v>
      </x:c>
      <x:c r="B1548" s="12" t="str">
        <x:v>S0133</x:v>
      </x:c>
      <x:c r="C1548" s="12" t="str">
        <x:v>工作日</x:v>
      </x:c>
      <x:c r="D1548" s="12" t="str">
        <x:v>环线3路</x:v>
      </x:c>
      <x:c r="E1548" s="12" t="str">
        <x:v>第三班</x:v>
      </x:c>
      <x:c r="F1548" s="12" t="n">
        <x:v>12</x:v>
      </x:c>
      <x:c r="G1548" s="12" t="str">
        <x:v>17:10</x:v>
      </x:c>
      <x:c r="H1548" s="12" t="n">
        <x:v>1030</x:v>
      </x:c>
      <x:c r="I1548" s="12" t="str">
        <x:v>研究生宿舍楼</x:v>
      </x:c>
      <x:c r="J1548" s="12" t="str">
        <x:v>研究生宿舍楼发车</x:v>
      </x:c>
      <x:c r="K1548" s="12" t="str">
        <x:v>HX3_NORMAL</x:v>
      </x:c>
      <x:c r="L1548" s="12" t="n">
        <x:v>5</x:v>
      </x:c>
      <x:c r="M1548" s="12" t="str">
        <x:v>HX3_NORMAL|5</x:v>
      </x:c>
      <x:c r="N1548" s="12" t="str">
        <x:v>教勤连</x:v>
      </x:c>
      <x:c r="O1548" s="12" t="n">
        <x:f>IFERROR(INDEX('秒级路线参数_可调整'!$O:$O,MATCH(M1548,'秒级路线参数_可调整'!$A:$A,0)),"")</x:f>
        <x:v>250</x:v>
      </x:c>
      <x:c r="P1548" s="12" t="n">
        <x:f>IF(O1548="","",O1548/86400)</x:f>
        <x:v>0.0028935185185185184</x:v>
      </x:c>
      <x:c r="Q1548" s="12" t="n">
        <x:f>IF(O1548="","",(H1548*60+O1548)/86400)</x:f>
        <x:v>0.7181712962962963</x:v>
      </x:c>
      <x:c r="R1548" s="12" t="str">
        <x:f>IF(Q1548="","",TEXT(Q1548,"hh:mm:ss"))</x:f>
        <x:v>17:14:10</x:v>
      </x:c>
      <x:c r="S1548" s="12" t="str">
        <x:v>否</x:v>
      </x:c>
      <x:c r="T1548" s="12" t="str">
        <x:v>否</x:v>
      </x:c>
      <x:c r="U1548" s="12" t="str">
        <x:v>刘晓燕</x:v>
      </x:c>
      <x:c r="V1548" s="12" t="str">
        <x:v>4号车</x:v>
      </x:c>
      <x:c r="W1548" s="12" t="str">
        <x:v>秒级预测</x:v>
      </x:c>
      <x:c r="X1548" s="12" t="str">
        <x:v>基于路线秒级参数；如录入实测或手动采用秒，预计到达时间可随公式更新</x:v>
      </x:c>
    </x:row>
    <x:row r="1549">
      <x:c r="A1549" s="12" t="str">
        <x:v>S0133-06</x:v>
      </x:c>
      <x:c r="B1549" s="12" t="str">
        <x:v>S0133</x:v>
      </x:c>
      <x:c r="C1549" s="12" t="str">
        <x:v>工作日</x:v>
      </x:c>
      <x:c r="D1549" s="12" t="str">
        <x:v>环线3路</x:v>
      </x:c>
      <x:c r="E1549" s="12" t="str">
        <x:v>第三班</x:v>
      </x:c>
      <x:c r="F1549" s="12" t="n">
        <x:v>12</x:v>
      </x:c>
      <x:c r="G1549" s="12" t="str">
        <x:v>17:10</x:v>
      </x:c>
      <x:c r="H1549" s="12" t="n">
        <x:v>1030</x:v>
      </x:c>
      <x:c r="I1549" s="12" t="str">
        <x:v>研究生宿舍楼</x:v>
      </x:c>
      <x:c r="J1549" s="12" t="str">
        <x:v>研究生宿舍楼发车</x:v>
      </x:c>
      <x:c r="K1549" s="12" t="str">
        <x:v>HX3_NORMAL</x:v>
      </x:c>
      <x:c r="L1549" s="12" t="n">
        <x:v>6</x:v>
      </x:c>
      <x:c r="M1549" s="12" t="str">
        <x:v>HX3_NORMAL|6</x:v>
      </x:c>
      <x:c r="N1549" s="12" t="str">
        <x:v>激光所</x:v>
      </x:c>
      <x:c r="O1549" s="12" t="n">
        <x:f>IFERROR(INDEX('秒级路线参数_可调整'!$O:$O,MATCH(M1549,'秒级路线参数_可调整'!$A:$A,0)),"")</x:f>
        <x:v>315</x:v>
      </x:c>
      <x:c r="P1549" s="12" t="n">
        <x:f>IF(O1549="","",O1549/86400)</x:f>
        <x:v>0.0036458333333333334</x:v>
      </x:c>
      <x:c r="Q1549" s="12" t="n">
        <x:f>IF(O1549="","",(H1549*60+O1549)/86400)</x:f>
        <x:v>0.7189236111111111</x:v>
      </x:c>
      <x:c r="R1549" s="12" t="str">
        <x:f>IF(Q1549="","",TEXT(Q1549,"hh:mm:ss"))</x:f>
        <x:v>17:15:15</x:v>
      </x:c>
      <x:c r="S1549" s="12" t="str">
        <x:v>否</x:v>
      </x:c>
      <x:c r="T1549" s="12" t="str">
        <x:v>否</x:v>
      </x:c>
      <x:c r="U1549" s="12" t="str">
        <x:v>刘晓燕</x:v>
      </x:c>
      <x:c r="V1549" s="12" t="str">
        <x:v>4号车</x:v>
      </x:c>
      <x:c r="W1549" s="12" t="str">
        <x:v>秒级预测</x:v>
      </x:c>
      <x:c r="X1549" s="12" t="str">
        <x:v>基于路线秒级参数；如录入实测或手动采用秒，预计到达时间可随公式更新</x:v>
      </x:c>
    </x:row>
    <x:row r="1550">
      <x:c r="A1550" s="12" t="str">
        <x:v>S0133-07</x:v>
      </x:c>
      <x:c r="B1550" s="12" t="str">
        <x:v>S0133</x:v>
      </x:c>
      <x:c r="C1550" s="12" t="str">
        <x:v>工作日</x:v>
      </x:c>
      <x:c r="D1550" s="12" t="str">
        <x:v>环线3路</x:v>
      </x:c>
      <x:c r="E1550" s="12" t="str">
        <x:v>第三班</x:v>
      </x:c>
      <x:c r="F1550" s="12" t="n">
        <x:v>12</x:v>
      </x:c>
      <x:c r="G1550" s="12" t="str">
        <x:v>17:10</x:v>
      </x:c>
      <x:c r="H1550" s="12" t="n">
        <x:v>1030</x:v>
      </x:c>
      <x:c r="I1550" s="12" t="str">
        <x:v>研究生宿舍楼</x:v>
      </x:c>
      <x:c r="J1550" s="12" t="str">
        <x:v>研究生宿舍楼发车</x:v>
      </x:c>
      <x:c r="K1550" s="12" t="str">
        <x:v>HX3_NORMAL</x:v>
      </x:c>
      <x:c r="L1550" s="12" t="n">
        <x:v>7</x:v>
      </x:c>
      <x:c r="M1550" s="12" t="str">
        <x:v>HX3_NORMAL|7</x:v>
      </x:c>
      <x:c r="N1550" s="12" t="str">
        <x:v>高超楼</x:v>
      </x:c>
      <x:c r="O1550" s="12" t="n">
        <x:f>IFERROR(INDEX('秒级路线参数_可调整'!$O:$O,MATCH(M1550,'秒级路线参数_可调整'!$A:$A,0)),"")</x:f>
        <x:v>420</x:v>
      </x:c>
      <x:c r="P1550" s="12" t="n">
        <x:f>IF(O1550="","",O1550/86400)</x:f>
        <x:v>0.004861111111111111</x:v>
      </x:c>
      <x:c r="Q1550" s="12" t="n">
        <x:f>IF(O1550="","",(H1550*60+O1550)/86400)</x:f>
        <x:v>0.7201388888888889</x:v>
      </x:c>
      <x:c r="R1550" s="12" t="str">
        <x:f>IF(Q1550="","",TEXT(Q1550,"hh:mm:ss"))</x:f>
        <x:v>17:17:00</x:v>
      </x:c>
      <x:c r="S1550" s="12" t="str">
        <x:v>否</x:v>
      </x:c>
      <x:c r="T1550" s="12" t="str">
        <x:v>否</x:v>
      </x:c>
      <x:c r="U1550" s="12" t="str">
        <x:v>刘晓燕</x:v>
      </x:c>
      <x:c r="V1550" s="12" t="str">
        <x:v>4号车</x:v>
      </x:c>
      <x:c r="W1550" s="12" t="str">
        <x:v>秒级预测</x:v>
      </x:c>
      <x:c r="X1550" s="12" t="str">
        <x:v>基于路线秒级参数；如录入实测或手动采用秒，预计到达时间可随公式更新</x:v>
      </x:c>
    </x:row>
    <x:row r="1551">
      <x:c r="A1551" s="12" t="str">
        <x:v>S0133-08</x:v>
      </x:c>
      <x:c r="B1551" s="12" t="str">
        <x:v>S0133</x:v>
      </x:c>
      <x:c r="C1551" s="12" t="str">
        <x:v>工作日</x:v>
      </x:c>
      <x:c r="D1551" s="12" t="str">
        <x:v>环线3路</x:v>
      </x:c>
      <x:c r="E1551" s="12" t="str">
        <x:v>第三班</x:v>
      </x:c>
      <x:c r="F1551" s="12" t="n">
        <x:v>12</x:v>
      </x:c>
      <x:c r="G1551" s="12" t="str">
        <x:v>17:10</x:v>
      </x:c>
      <x:c r="H1551" s="12" t="n">
        <x:v>1030</x:v>
      </x:c>
      <x:c r="I1551" s="12" t="str">
        <x:v>研究生宿舍楼</x:v>
      </x:c>
      <x:c r="J1551" s="12" t="str">
        <x:v>研究生宿舍楼发车</x:v>
      </x:c>
      <x:c r="K1551" s="12" t="str">
        <x:v>HX3_NORMAL</x:v>
      </x:c>
      <x:c r="L1551" s="12" t="n">
        <x:v>8</x:v>
      </x:c>
      <x:c r="M1551" s="12" t="str">
        <x:v>HX3_NORMAL|8</x:v>
      </x:c>
      <x:c r="N1551" s="12" t="str">
        <x:v>理学院</x:v>
      </x:c>
      <x:c r="O1551" s="12" t="n">
        <x:f>IFERROR(INDEX('秒级路线参数_可调整'!$O:$O,MATCH(M1551,'秒级路线参数_可调整'!$A:$A,0)),"")</x:f>
        <x:v>480</x:v>
      </x:c>
      <x:c r="P1551" s="12" t="n">
        <x:f>IF(O1551="","",O1551/86400)</x:f>
        <x:v>0.005555555555555556</x:v>
      </x:c>
      <x:c r="Q1551" s="12" t="n">
        <x:f>IF(O1551="","",(H1551*60+O1551)/86400)</x:f>
        <x:v>0.7208333333333333</x:v>
      </x:c>
      <x:c r="R1551" s="12" t="str">
        <x:f>IF(Q1551="","",TEXT(Q1551,"hh:mm:ss"))</x:f>
        <x:v>17:18:00</x:v>
      </x:c>
      <x:c r="S1551" s="12" t="str">
        <x:v>否</x:v>
      </x:c>
      <x:c r="T1551" s="12" t="str">
        <x:v>否</x:v>
      </x:c>
      <x:c r="U1551" s="12" t="str">
        <x:v>刘晓燕</x:v>
      </x:c>
      <x:c r="V1551" s="12" t="str">
        <x:v>4号车</x:v>
      </x:c>
      <x:c r="W1551" s="12" t="str">
        <x:v>秒级预测</x:v>
      </x:c>
      <x:c r="X1551" s="12" t="str">
        <x:v>基于路线秒级参数；如录入实测或手动采用秒，预计到达时间可随公式更新</x:v>
      </x:c>
    </x:row>
    <x:row r="1552">
      <x:c r="A1552" s="12" t="str">
        <x:v>S0133-09</x:v>
      </x:c>
      <x:c r="B1552" s="12" t="str">
        <x:v>S0133</x:v>
      </x:c>
      <x:c r="C1552" s="12" t="str">
        <x:v>工作日</x:v>
      </x:c>
      <x:c r="D1552" s="12" t="str">
        <x:v>环线3路</x:v>
      </x:c>
      <x:c r="E1552" s="12" t="str">
        <x:v>第三班</x:v>
      </x:c>
      <x:c r="F1552" s="12" t="n">
        <x:v>12</x:v>
      </x:c>
      <x:c r="G1552" s="12" t="str">
        <x:v>17:10</x:v>
      </x:c>
      <x:c r="H1552" s="12" t="n">
        <x:v>1030</x:v>
      </x:c>
      <x:c r="I1552" s="12" t="str">
        <x:v>研究生宿舍楼</x:v>
      </x:c>
      <x:c r="J1552" s="12" t="str">
        <x:v>研究生宿舍楼发车</x:v>
      </x:c>
      <x:c r="K1552" s="12" t="str">
        <x:v>HX3_NORMAL</x:v>
      </x:c>
      <x:c r="L1552" s="12" t="n">
        <x:v>9</x:v>
      </x:c>
      <x:c r="M1552" s="12" t="str">
        <x:v>HX3_NORMAL|9</x:v>
      </x:c>
      <x:c r="N1552" s="12" t="str">
        <x:v>二食堂</x:v>
      </x:c>
      <x:c r="O1552" s="12" t="n">
        <x:f>IFERROR(INDEX('秒级路线参数_可调整'!$O:$O,MATCH(M1552,'秒级路线参数_可调整'!$A:$A,0)),"")</x:f>
        <x:v>535</x:v>
      </x:c>
      <x:c r="P1552" s="12" t="n">
        <x:f>IF(O1552="","",O1552/86400)</x:f>
        <x:v>0.00619212962962963</x:v>
      </x:c>
      <x:c r="Q1552" s="12" t="n">
        <x:f>IF(O1552="","",(H1552*60+O1552)/86400)</x:f>
        <x:v>0.7214699074074075</x:v>
      </x:c>
      <x:c r="R1552" s="12" t="str">
        <x:f>IF(Q1552="","",TEXT(Q1552,"hh:mm:ss"))</x:f>
        <x:v>17:18:55</x:v>
      </x:c>
      <x:c r="S1552" s="12" t="str">
        <x:v>否</x:v>
      </x:c>
      <x:c r="T1552" s="12" t="str">
        <x:v>否</x:v>
      </x:c>
      <x:c r="U1552" s="12" t="str">
        <x:v>刘晓燕</x:v>
      </x:c>
      <x:c r="V1552" s="12" t="str">
        <x:v>4号车</x:v>
      </x:c>
      <x:c r="W1552" s="12" t="str">
        <x:v>秒级预测</x:v>
      </x:c>
      <x:c r="X1552" s="12" t="str">
        <x:v>基于路线秒级参数；如录入实测或手动采用秒，预计到达时间可随公式更新</x:v>
      </x:c>
    </x:row>
    <x:row r="1553">
      <x:c r="A1553" s="12" t="str">
        <x:v>S0133-10</x:v>
      </x:c>
      <x:c r="B1553" s="12" t="str">
        <x:v>S0133</x:v>
      </x:c>
      <x:c r="C1553" s="12" t="str">
        <x:v>工作日</x:v>
      </x:c>
      <x:c r="D1553" s="12" t="str">
        <x:v>环线3路</x:v>
      </x:c>
      <x:c r="E1553" s="12" t="str">
        <x:v>第三班</x:v>
      </x:c>
      <x:c r="F1553" s="12" t="n">
        <x:v>12</x:v>
      </x:c>
      <x:c r="G1553" s="12" t="str">
        <x:v>17:10</x:v>
      </x:c>
      <x:c r="H1553" s="12" t="n">
        <x:v>1030</x:v>
      </x:c>
      <x:c r="I1553" s="12" t="str">
        <x:v>研究生宿舍楼</x:v>
      </x:c>
      <x:c r="J1553" s="12" t="str">
        <x:v>研究生宿舍楼发车</x:v>
      </x:c>
      <x:c r="K1553" s="12" t="str">
        <x:v>HX3_NORMAL</x:v>
      </x:c>
      <x:c r="L1553" s="12" t="n">
        <x:v>10</x:v>
      </x:c>
      <x:c r="M1553" s="12" t="str">
        <x:v>HX3_NORMAL|10</x:v>
      </x:c>
      <x:c r="N1553" s="12" t="str">
        <x:v>图书馆</x:v>
      </x:c>
      <x:c r="O1553" s="12" t="n">
        <x:f>IFERROR(INDEX('秒级路线参数_可调整'!$O:$O,MATCH(M1553,'秒级路线参数_可调整'!$A:$A,0)),"")</x:f>
        <x:v>715</x:v>
      </x:c>
      <x:c r="P1553" s="12" t="n">
        <x:f>IF(O1553="","",O1553/86400)</x:f>
        <x:v>0.008275462962962964</x:v>
      </x:c>
      <x:c r="Q1553" s="12" t="n">
        <x:f>IF(O1553="","",(H1553*60+O1553)/86400)</x:f>
        <x:v>0.7235532407407408</x:v>
      </x:c>
      <x:c r="R1553" s="12" t="str">
        <x:f>IF(Q1553="","",TEXT(Q1553,"hh:mm:ss"))</x:f>
        <x:v>17:21:55</x:v>
      </x:c>
      <x:c r="S1553" s="12" t="str">
        <x:v>否</x:v>
      </x:c>
      <x:c r="T1553" s="12" t="str">
        <x:v>否</x:v>
      </x:c>
      <x:c r="U1553" s="12" t="str">
        <x:v>刘晓燕</x:v>
      </x:c>
      <x:c r="V1553" s="12" t="str">
        <x:v>4号车</x:v>
      </x:c>
      <x:c r="W1553" s="12" t="str">
        <x:v>秒级预测</x:v>
      </x:c>
      <x:c r="X1553" s="12" t="str">
        <x:v>基于路线秒级参数；如录入实测或手动采用秒，预计到达时间可随公式更新</x:v>
      </x:c>
    </x:row>
    <x:row r="1554">
      <x:c r="A1554" s="12" t="str">
        <x:v>S0133-11</x:v>
      </x:c>
      <x:c r="B1554" s="12" t="str">
        <x:v>S0133</x:v>
      </x:c>
      <x:c r="C1554" s="12" t="str">
        <x:v>工作日</x:v>
      </x:c>
      <x:c r="D1554" s="12" t="str">
        <x:v>环线3路</x:v>
      </x:c>
      <x:c r="E1554" s="12" t="str">
        <x:v>第三班</x:v>
      </x:c>
      <x:c r="F1554" s="12" t="n">
        <x:v>12</x:v>
      </x:c>
      <x:c r="G1554" s="12" t="str">
        <x:v>17:10</x:v>
      </x:c>
      <x:c r="H1554" s="12" t="n">
        <x:v>1030</x:v>
      </x:c>
      <x:c r="I1554" s="12" t="str">
        <x:v>研究生宿舍楼</x:v>
      </x:c>
      <x:c r="J1554" s="12" t="str">
        <x:v>研究生宿舍楼发车</x:v>
      </x:c>
      <x:c r="K1554" s="12" t="str">
        <x:v>HX3_NORMAL</x:v>
      </x:c>
      <x:c r="L1554" s="12" t="n">
        <x:v>11</x:v>
      </x:c>
      <x:c r="M1554" s="12" t="str">
        <x:v>HX3_NORMAL|11</x:v>
      </x:c>
      <x:c r="N1554" s="12" t="str">
        <x:v>305教学楼</x:v>
      </x:c>
      <x:c r="O1554" s="12" t="n">
        <x:f>IFERROR(INDEX('秒级路线参数_可调整'!$O:$O,MATCH(M1554,'秒级路线参数_可调整'!$A:$A,0)),"")</x:f>
        <x:v>775</x:v>
      </x:c>
      <x:c r="P1554" s="12" t="n">
        <x:f>IF(O1554="","",O1554/86400)</x:f>
        <x:v>0.008969907407407407</x:v>
      </x:c>
      <x:c r="Q1554" s="12" t="n">
        <x:f>IF(O1554="","",(H1554*60+O1554)/86400)</x:f>
        <x:v>0.7242476851851852</x:v>
      </x:c>
      <x:c r="R1554" s="12" t="str">
        <x:f>IF(Q1554="","",TEXT(Q1554,"hh:mm:ss"))</x:f>
        <x:v>17:22:55</x:v>
      </x:c>
      <x:c r="S1554" s="12" t="str">
        <x:v>否</x:v>
      </x:c>
      <x:c r="T1554" s="12" t="str">
        <x:v>否</x:v>
      </x:c>
      <x:c r="U1554" s="12" t="str">
        <x:v>刘晓燕</x:v>
      </x:c>
      <x:c r="V1554" s="12" t="str">
        <x:v>4号车</x:v>
      </x:c>
      <x:c r="W1554" s="12" t="str">
        <x:v>秒级预测</x:v>
      </x:c>
      <x:c r="X1554" s="12" t="str">
        <x:v>基于路线秒级参数；如录入实测或手动采用秒，预计到达时间可随公式更新</x:v>
      </x:c>
    </x:row>
    <x:row r="1555">
      <x:c r="A1555" s="12" t="str">
        <x:v>S0133-12</x:v>
      </x:c>
      <x:c r="B1555" s="12" t="str">
        <x:v>S0133</x:v>
      </x:c>
      <x:c r="C1555" s="12" t="str">
        <x:v>工作日</x:v>
      </x:c>
      <x:c r="D1555" s="12" t="str">
        <x:v>环线3路</x:v>
      </x:c>
      <x:c r="E1555" s="12" t="str">
        <x:v>第三班</x:v>
      </x:c>
      <x:c r="F1555" s="12" t="n">
        <x:v>12</x:v>
      </x:c>
      <x:c r="G1555" s="12" t="str">
        <x:v>17:10</x:v>
      </x:c>
      <x:c r="H1555" s="12" t="n">
        <x:v>1030</x:v>
      </x:c>
      <x:c r="I1555" s="12" t="str">
        <x:v>研究生宿舍楼</x:v>
      </x:c>
      <x:c r="J1555" s="12" t="str">
        <x:v>研究生宿舍楼发车</x:v>
      </x:c>
      <x:c r="K1555" s="12" t="str">
        <x:v>HX3_NORMAL</x:v>
      </x:c>
      <x:c r="L1555" s="12" t="n">
        <x:v>12</x:v>
      </x:c>
      <x:c r="M1555" s="12" t="str">
        <x:v>HX3_NORMAL|12</x:v>
      </x:c>
      <x:c r="N1555" s="12" t="str">
        <x:v>研究生宿舍楼</x:v>
      </x:c>
      <x:c r="O1555" s="12" t="n">
        <x:f>IFERROR(INDEX('秒级路线参数_可调整'!$O:$O,MATCH(M1555,'秒级路线参数_可调整'!$A:$A,0)),"")</x:f>
        <x:v>840</x:v>
      </x:c>
      <x:c r="P1555" s="12" t="n">
        <x:f>IF(O1555="","",O1555/86400)</x:f>
        <x:v>0.009722222222222222</x:v>
      </x:c>
      <x:c r="Q1555" s="12" t="n">
        <x:f>IF(O1555="","",(H1555*60+O1555)/86400)</x:f>
        <x:v>0.725</x:v>
      </x:c>
      <x:c r="R1555" s="12" t="str">
        <x:f>IF(Q1555="","",TEXT(Q1555,"hh:mm:ss"))</x:f>
        <x:v>17:24:00</x:v>
      </x:c>
      <x:c r="S1555" s="12" t="str">
        <x:v>否</x:v>
      </x:c>
      <x:c r="T1555" s="12" t="str">
        <x:v>是</x:v>
      </x:c>
      <x:c r="U1555" s="12" t="str">
        <x:v>刘晓燕</x:v>
      </x:c>
      <x:c r="V1555" s="12" t="str">
        <x:v>4号车</x:v>
      </x:c>
      <x:c r="W1555" s="12" t="str">
        <x:v>秒级预测</x:v>
      </x:c>
      <x:c r="X1555" s="12" t="str">
        <x:v>基于路线秒级参数；如录入实测或手动采用秒，预计到达时间可随公式更新</x:v>
      </x:c>
    </x:row>
    <x:row r="1556">
      <x:c r="A1556" s="12" t="str">
        <x:v>S0134-01</x:v>
      </x:c>
      <x:c r="B1556" s="12" t="str">
        <x:v>S0134</x:v>
      </x:c>
      <x:c r="C1556" s="12" t="str">
        <x:v>工作日</x:v>
      </x:c>
      <x:c r="D1556" s="12" t="str">
        <x:v>环线3路</x:v>
      </x:c>
      <x:c r="E1556" s="12" t="str">
        <x:v>第三班</x:v>
      </x:c>
      <x:c r="F1556" s="12" t="n">
        <x:v>13</x:v>
      </x:c>
      <x:c r="G1556" s="12" t="str">
        <x:v>17:40</x:v>
      </x:c>
      <x:c r="H1556" s="12" t="n">
        <x:v>1060</x:v>
      </x:c>
      <x:c r="I1556" s="12" t="str">
        <x:v>研究生宿舍楼</x:v>
      </x:c>
      <x:c r="J1556" s="12" t="str">
        <x:v>研究生宿舍楼发车</x:v>
      </x:c>
      <x:c r="K1556" s="12" t="str">
        <x:v>HX3_NORMAL</x:v>
      </x:c>
      <x:c r="L1556" s="12" t="n">
        <x:v>1</x:v>
      </x:c>
      <x:c r="M1556" s="12" t="str">
        <x:v>HX3_NORMAL|1</x:v>
      </x:c>
      <x:c r="N1556" s="12" t="str">
        <x:v>研究生宿舍楼</x:v>
      </x:c>
      <x:c r="O1556" s="12" t="n">
        <x:f>IFERROR(INDEX('秒级路线参数_可调整'!$O:$O,MATCH(M1556,'秒级路线参数_可调整'!$A:$A,0)),"")</x:f>
        <x:v>0</x:v>
      </x:c>
      <x:c r="P1556" s="12" t="str">
        <x:f>IF(O1556="","",O1556/86400)</x:f>
      </x:c>
      <x:c r="Q1556" s="12" t="str">
        <x:f>IF(O1556="","",(H1556*60+O1556)/86400)</x:f>
      </x:c>
      <x:c r="R1556" s="12" t="str">
        <x:f>IF(Q1556="","",TEXT(Q1556,"hh:mm:ss"))</x:f>
      </x:c>
      <x:c r="S1556" s="12" t="str">
        <x:v>是</x:v>
      </x:c>
      <x:c r="T1556" s="12" t="str">
        <x:v>否</x:v>
      </x:c>
      <x:c r="U1556" s="12" t="str">
        <x:v>刘晓燕</x:v>
      </x:c>
      <x:c r="V1556" s="12" t="str">
        <x:v>4号车</x:v>
      </x:c>
      <x:c r="W1556" s="12" t="str">
        <x:v>秒级预测</x:v>
      </x:c>
      <x:c r="X1556" s="12" t="str">
        <x:v>基于路线秒级参数；如录入实测或手动采用秒，预计到达时间可随公式更新</x:v>
      </x:c>
    </x:row>
    <x:row r="1557">
      <x:c r="A1557" s="12" t="str">
        <x:v>S0134-02</x:v>
      </x:c>
      <x:c r="B1557" s="12" t="str">
        <x:v>S0134</x:v>
      </x:c>
      <x:c r="C1557" s="12" t="str">
        <x:v>工作日</x:v>
      </x:c>
      <x:c r="D1557" s="12" t="str">
        <x:v>环线3路</x:v>
      </x:c>
      <x:c r="E1557" s="12" t="str">
        <x:v>第三班</x:v>
      </x:c>
      <x:c r="F1557" s="12" t="n">
        <x:v>13</x:v>
      </x:c>
      <x:c r="G1557" s="12" t="str">
        <x:v>17:40</x:v>
      </x:c>
      <x:c r="H1557" s="12" t="n">
        <x:v>1060</x:v>
      </x:c>
      <x:c r="I1557" s="12" t="str">
        <x:v>研究生宿舍楼</x:v>
      </x:c>
      <x:c r="J1557" s="12" t="str">
        <x:v>研究生宿舍楼发车</x:v>
      </x:c>
      <x:c r="K1557" s="12" t="str">
        <x:v>HX3_NORMAL</x:v>
      </x:c>
      <x:c r="L1557" s="12" t="n">
        <x:v>2</x:v>
      </x:c>
      <x:c r="M1557" s="12" t="str">
        <x:v>HX3_NORMAL|2</x:v>
      </x:c>
      <x:c r="N1557" s="12" t="str">
        <x:v>一食堂</x:v>
      </x:c>
      <x:c r="O1557" s="12" t="n">
        <x:f>IFERROR(INDEX('秒级路线参数_可调整'!$O:$O,MATCH(M1557,'秒级路线参数_可调整'!$A:$A,0)),"")</x:f>
        <x:v>65</x:v>
      </x:c>
      <x:c r="P1557" s="12" t="n">
        <x:f>IF(O1557="","",O1557/86400)</x:f>
        <x:v>0.0007523148148148148</x:v>
      </x:c>
      <x:c r="Q1557" s="12" t="n">
        <x:f>IF(O1557="","",(H1557*60+O1557)/86400)</x:f>
        <x:v>0.7368634259259259</x:v>
      </x:c>
      <x:c r="R1557" s="12" t="str">
        <x:f>IF(Q1557="","",TEXT(Q1557,"hh:mm:ss"))</x:f>
        <x:v>17:41:05</x:v>
      </x:c>
      <x:c r="S1557" s="12" t="str">
        <x:v>否</x:v>
      </x:c>
      <x:c r="T1557" s="12" t="str">
        <x:v>否</x:v>
      </x:c>
      <x:c r="U1557" s="12" t="str">
        <x:v>刘晓燕</x:v>
      </x:c>
      <x:c r="V1557" s="12" t="str">
        <x:v>4号车</x:v>
      </x:c>
      <x:c r="W1557" s="12" t="str">
        <x:v>秒级预测</x:v>
      </x:c>
      <x:c r="X1557" s="12" t="str">
        <x:v>基于路线秒级参数；如录入实测或手动采用秒，预计到达时间可随公式更新</x:v>
      </x:c>
    </x:row>
    <x:row r="1558">
      <x:c r="A1558" s="12" t="str">
        <x:v>S0134-03</x:v>
      </x:c>
      <x:c r="B1558" s="12" t="str">
        <x:v>S0134</x:v>
      </x:c>
      <x:c r="C1558" s="12" t="str">
        <x:v>工作日</x:v>
      </x:c>
      <x:c r="D1558" s="12" t="str">
        <x:v>环线3路</x:v>
      </x:c>
      <x:c r="E1558" s="12" t="str">
        <x:v>第三班</x:v>
      </x:c>
      <x:c r="F1558" s="12" t="n">
        <x:v>13</x:v>
      </x:c>
      <x:c r="G1558" s="12" t="str">
        <x:v>17:40</x:v>
      </x:c>
      <x:c r="H1558" s="12" t="n">
        <x:v>1060</x:v>
      </x:c>
      <x:c r="I1558" s="12" t="str">
        <x:v>研究生宿舍楼</x:v>
      </x:c>
      <x:c r="J1558" s="12" t="str">
        <x:v>研究生宿舍楼发车</x:v>
      </x:c>
      <x:c r="K1558" s="12" t="str">
        <x:v>HX3_NORMAL</x:v>
      </x:c>
      <x:c r="L1558" s="12" t="n">
        <x:v>3</x:v>
      </x:c>
      <x:c r="M1558" s="12" t="str">
        <x:v>HX3_NORMAL|3</x:v>
      </x:c>
      <x:c r="N1558" s="12" t="str">
        <x:v>2号宿舍楼</x:v>
      </x:c>
      <x:c r="O1558" s="12" t="n">
        <x:f>IFERROR(INDEX('秒级路线参数_可调整'!$O:$O,MATCH(M1558,'秒级路线参数_可调整'!$A:$A,0)),"")</x:f>
        <x:v>120</x:v>
      </x:c>
      <x:c r="P1558" s="12" t="n">
        <x:f>IF(O1558="","",O1558/86400)</x:f>
        <x:v>0.001388888888888889</x:v>
      </x:c>
      <x:c r="Q1558" s="12" t="n">
        <x:f>IF(O1558="","",(H1558*60+O1558)/86400)</x:f>
        <x:v>0.7375</x:v>
      </x:c>
      <x:c r="R1558" s="12" t="str">
        <x:f>IF(Q1558="","",TEXT(Q1558,"hh:mm:ss"))</x:f>
        <x:v>17:42:00</x:v>
      </x:c>
      <x:c r="S1558" s="12" t="str">
        <x:v>否</x:v>
      </x:c>
      <x:c r="T1558" s="12" t="str">
        <x:v>否</x:v>
      </x:c>
      <x:c r="U1558" s="12" t="str">
        <x:v>刘晓燕</x:v>
      </x:c>
      <x:c r="V1558" s="12" t="str">
        <x:v>4号车</x:v>
      </x:c>
      <x:c r="W1558" s="12" t="str">
        <x:v>秒级预测</x:v>
      </x:c>
      <x:c r="X1558" s="12" t="str">
        <x:v>基于路线秒级参数；如录入实测或手动采用秒，预计到达时间可随公式更新</x:v>
      </x:c>
    </x:row>
    <x:row r="1559">
      <x:c r="A1559" s="12" t="str">
        <x:v>S0134-04</x:v>
      </x:c>
      <x:c r="B1559" s="12" t="str">
        <x:v>S0134</x:v>
      </x:c>
      <x:c r="C1559" s="12" t="str">
        <x:v>工作日</x:v>
      </x:c>
      <x:c r="D1559" s="12" t="str">
        <x:v>环线3路</x:v>
      </x:c>
      <x:c r="E1559" s="12" t="str">
        <x:v>第三班</x:v>
      </x:c>
      <x:c r="F1559" s="12" t="n">
        <x:v>13</x:v>
      </x:c>
      <x:c r="G1559" s="12" t="str">
        <x:v>17:40</x:v>
      </x:c>
      <x:c r="H1559" s="12" t="n">
        <x:v>1060</x:v>
      </x:c>
      <x:c r="I1559" s="12" t="str">
        <x:v>研究生宿舍楼</x:v>
      </x:c>
      <x:c r="J1559" s="12" t="str">
        <x:v>研究生宿舍楼发车</x:v>
      </x:c>
      <x:c r="K1559" s="12" t="str">
        <x:v>HX3_NORMAL</x:v>
      </x:c>
      <x:c r="L1559" s="12" t="n">
        <x:v>4</x:v>
      </x:c>
      <x:c r="M1559" s="12" t="str">
        <x:v>HX3_NORMAL|4</x:v>
      </x:c>
      <x:c r="N1559" s="12" t="str">
        <x:v>军体活动中心</x:v>
      </x:c>
      <x:c r="O1559" s="12" t="n">
        <x:f>IFERROR(INDEX('秒级路线参数_可调整'!$O:$O,MATCH(M1559,'秒级路线参数_可调整'!$A:$A,0)),"")</x:f>
        <x:v>165</x:v>
      </x:c>
      <x:c r="P1559" s="12" t="n">
        <x:f>IF(O1559="","",O1559/86400)</x:f>
        <x:v>0.0019097222222222222</x:v>
      </x:c>
      <x:c r="Q1559" s="12" t="n">
        <x:f>IF(O1559="","",(H1559*60+O1559)/86400)</x:f>
        <x:v>0.7380208333333333</x:v>
      </x:c>
      <x:c r="R1559" s="12" t="str">
        <x:f>IF(Q1559="","",TEXT(Q1559,"hh:mm:ss"))</x:f>
        <x:v>17:42:45</x:v>
      </x:c>
      <x:c r="S1559" s="12" t="str">
        <x:v>否</x:v>
      </x:c>
      <x:c r="T1559" s="12" t="str">
        <x:v>否</x:v>
      </x:c>
      <x:c r="U1559" s="12" t="str">
        <x:v>刘晓燕</x:v>
      </x:c>
      <x:c r="V1559" s="12" t="str">
        <x:v>4号车</x:v>
      </x:c>
      <x:c r="W1559" s="12" t="str">
        <x:v>秒级预测</x:v>
      </x:c>
      <x:c r="X1559" s="12" t="str">
        <x:v>基于路线秒级参数；如录入实测或手动采用秒，预计到达时间可随公式更新</x:v>
      </x:c>
    </x:row>
    <x:row r="1560">
      <x:c r="A1560" s="12" t="str">
        <x:v>S0134-05</x:v>
      </x:c>
      <x:c r="B1560" s="12" t="str">
        <x:v>S0134</x:v>
      </x:c>
      <x:c r="C1560" s="12" t="str">
        <x:v>工作日</x:v>
      </x:c>
      <x:c r="D1560" s="12" t="str">
        <x:v>环线3路</x:v>
      </x:c>
      <x:c r="E1560" s="12" t="str">
        <x:v>第三班</x:v>
      </x:c>
      <x:c r="F1560" s="12" t="n">
        <x:v>13</x:v>
      </x:c>
      <x:c r="G1560" s="12" t="str">
        <x:v>17:40</x:v>
      </x:c>
      <x:c r="H1560" s="12" t="n">
        <x:v>1060</x:v>
      </x:c>
      <x:c r="I1560" s="12" t="str">
        <x:v>研究生宿舍楼</x:v>
      </x:c>
      <x:c r="J1560" s="12" t="str">
        <x:v>研究生宿舍楼发车</x:v>
      </x:c>
      <x:c r="K1560" s="12" t="str">
        <x:v>HX3_NORMAL</x:v>
      </x:c>
      <x:c r="L1560" s="12" t="n">
        <x:v>5</x:v>
      </x:c>
      <x:c r="M1560" s="12" t="str">
        <x:v>HX3_NORMAL|5</x:v>
      </x:c>
      <x:c r="N1560" s="12" t="str">
        <x:v>教勤连</x:v>
      </x:c>
      <x:c r="O1560" s="12" t="n">
        <x:f>IFERROR(INDEX('秒级路线参数_可调整'!$O:$O,MATCH(M1560,'秒级路线参数_可调整'!$A:$A,0)),"")</x:f>
        <x:v>250</x:v>
      </x:c>
      <x:c r="P1560" s="12" t="n">
        <x:f>IF(O1560="","",O1560/86400)</x:f>
        <x:v>0.0028935185185185184</x:v>
      </x:c>
      <x:c r="Q1560" s="12" t="n">
        <x:f>IF(O1560="","",(H1560*60+O1560)/86400)</x:f>
        <x:v>0.7390046296296297</x:v>
      </x:c>
      <x:c r="R1560" s="12" t="str">
        <x:f>IF(Q1560="","",TEXT(Q1560,"hh:mm:ss"))</x:f>
        <x:v>17:44:10</x:v>
      </x:c>
      <x:c r="S1560" s="12" t="str">
        <x:v>否</x:v>
      </x:c>
      <x:c r="T1560" s="12" t="str">
        <x:v>否</x:v>
      </x:c>
      <x:c r="U1560" s="12" t="str">
        <x:v>刘晓燕</x:v>
      </x:c>
      <x:c r="V1560" s="12" t="str">
        <x:v>4号车</x:v>
      </x:c>
      <x:c r="W1560" s="12" t="str">
        <x:v>秒级预测</x:v>
      </x:c>
      <x:c r="X1560" s="12" t="str">
        <x:v>基于路线秒级参数；如录入实测或手动采用秒，预计到达时间可随公式更新</x:v>
      </x:c>
    </x:row>
    <x:row r="1561">
      <x:c r="A1561" s="12" t="str">
        <x:v>S0134-06</x:v>
      </x:c>
      <x:c r="B1561" s="12" t="str">
        <x:v>S0134</x:v>
      </x:c>
      <x:c r="C1561" s="12" t="str">
        <x:v>工作日</x:v>
      </x:c>
      <x:c r="D1561" s="12" t="str">
        <x:v>环线3路</x:v>
      </x:c>
      <x:c r="E1561" s="12" t="str">
        <x:v>第三班</x:v>
      </x:c>
      <x:c r="F1561" s="12" t="n">
        <x:v>13</x:v>
      </x:c>
      <x:c r="G1561" s="12" t="str">
        <x:v>17:40</x:v>
      </x:c>
      <x:c r="H1561" s="12" t="n">
        <x:v>1060</x:v>
      </x:c>
      <x:c r="I1561" s="12" t="str">
        <x:v>研究生宿舍楼</x:v>
      </x:c>
      <x:c r="J1561" s="12" t="str">
        <x:v>研究生宿舍楼发车</x:v>
      </x:c>
      <x:c r="K1561" s="12" t="str">
        <x:v>HX3_NORMAL</x:v>
      </x:c>
      <x:c r="L1561" s="12" t="n">
        <x:v>6</x:v>
      </x:c>
      <x:c r="M1561" s="12" t="str">
        <x:v>HX3_NORMAL|6</x:v>
      </x:c>
      <x:c r="N1561" s="12" t="str">
        <x:v>激光所</x:v>
      </x:c>
      <x:c r="O1561" s="12" t="n">
        <x:f>IFERROR(INDEX('秒级路线参数_可调整'!$O:$O,MATCH(M1561,'秒级路线参数_可调整'!$A:$A,0)),"")</x:f>
        <x:v>315</x:v>
      </x:c>
      <x:c r="P1561" s="12" t="n">
        <x:f>IF(O1561="","",O1561/86400)</x:f>
        <x:v>0.0036458333333333334</x:v>
      </x:c>
      <x:c r="Q1561" s="12" t="n">
        <x:f>IF(O1561="","",(H1561*60+O1561)/86400)</x:f>
        <x:v>0.7397569444444444</x:v>
      </x:c>
      <x:c r="R1561" s="12" t="str">
        <x:f>IF(Q1561="","",TEXT(Q1561,"hh:mm:ss"))</x:f>
        <x:v>17:45:15</x:v>
      </x:c>
      <x:c r="S1561" s="12" t="str">
        <x:v>否</x:v>
      </x:c>
      <x:c r="T1561" s="12" t="str">
        <x:v>否</x:v>
      </x:c>
      <x:c r="U1561" s="12" t="str">
        <x:v>刘晓燕</x:v>
      </x:c>
      <x:c r="V1561" s="12" t="str">
        <x:v>4号车</x:v>
      </x:c>
      <x:c r="W1561" s="12" t="str">
        <x:v>秒级预测</x:v>
      </x:c>
      <x:c r="X1561" s="12" t="str">
        <x:v>基于路线秒级参数；如录入实测或手动采用秒，预计到达时间可随公式更新</x:v>
      </x:c>
    </x:row>
    <x:row r="1562">
      <x:c r="A1562" s="12" t="str">
        <x:v>S0134-07</x:v>
      </x:c>
      <x:c r="B1562" s="12" t="str">
        <x:v>S0134</x:v>
      </x:c>
      <x:c r="C1562" s="12" t="str">
        <x:v>工作日</x:v>
      </x:c>
      <x:c r="D1562" s="12" t="str">
        <x:v>环线3路</x:v>
      </x:c>
      <x:c r="E1562" s="12" t="str">
        <x:v>第三班</x:v>
      </x:c>
      <x:c r="F1562" s="12" t="n">
        <x:v>13</x:v>
      </x:c>
      <x:c r="G1562" s="12" t="str">
        <x:v>17:40</x:v>
      </x:c>
      <x:c r="H1562" s="12" t="n">
        <x:v>1060</x:v>
      </x:c>
      <x:c r="I1562" s="12" t="str">
        <x:v>研究生宿舍楼</x:v>
      </x:c>
      <x:c r="J1562" s="12" t="str">
        <x:v>研究生宿舍楼发车</x:v>
      </x:c>
      <x:c r="K1562" s="12" t="str">
        <x:v>HX3_NORMAL</x:v>
      </x:c>
      <x:c r="L1562" s="12" t="n">
        <x:v>7</x:v>
      </x:c>
      <x:c r="M1562" s="12" t="str">
        <x:v>HX3_NORMAL|7</x:v>
      </x:c>
      <x:c r="N1562" s="12" t="str">
        <x:v>高超楼</x:v>
      </x:c>
      <x:c r="O1562" s="12" t="n">
        <x:f>IFERROR(INDEX('秒级路线参数_可调整'!$O:$O,MATCH(M1562,'秒级路线参数_可调整'!$A:$A,0)),"")</x:f>
        <x:v>420</x:v>
      </x:c>
      <x:c r="P1562" s="12" t="n">
        <x:f>IF(O1562="","",O1562/86400)</x:f>
        <x:v>0.004861111111111111</x:v>
      </x:c>
      <x:c r="Q1562" s="12" t="n">
        <x:f>IF(O1562="","",(H1562*60+O1562)/86400)</x:f>
        <x:v>0.7409722222222223</x:v>
      </x:c>
      <x:c r="R1562" s="12" t="str">
        <x:f>IF(Q1562="","",TEXT(Q1562,"hh:mm:ss"))</x:f>
        <x:v>17:47:00</x:v>
      </x:c>
      <x:c r="S1562" s="12" t="str">
        <x:v>否</x:v>
      </x:c>
      <x:c r="T1562" s="12" t="str">
        <x:v>否</x:v>
      </x:c>
      <x:c r="U1562" s="12" t="str">
        <x:v>刘晓燕</x:v>
      </x:c>
      <x:c r="V1562" s="12" t="str">
        <x:v>4号车</x:v>
      </x:c>
      <x:c r="W1562" s="12" t="str">
        <x:v>秒级预测</x:v>
      </x:c>
      <x:c r="X1562" s="12" t="str">
        <x:v>基于路线秒级参数；如录入实测或手动采用秒，预计到达时间可随公式更新</x:v>
      </x:c>
    </x:row>
    <x:row r="1563">
      <x:c r="A1563" s="12" t="str">
        <x:v>S0134-08</x:v>
      </x:c>
      <x:c r="B1563" s="12" t="str">
        <x:v>S0134</x:v>
      </x:c>
      <x:c r="C1563" s="12" t="str">
        <x:v>工作日</x:v>
      </x:c>
      <x:c r="D1563" s="12" t="str">
        <x:v>环线3路</x:v>
      </x:c>
      <x:c r="E1563" s="12" t="str">
        <x:v>第三班</x:v>
      </x:c>
      <x:c r="F1563" s="12" t="n">
        <x:v>13</x:v>
      </x:c>
      <x:c r="G1563" s="12" t="str">
        <x:v>17:40</x:v>
      </x:c>
      <x:c r="H1563" s="12" t="n">
        <x:v>1060</x:v>
      </x:c>
      <x:c r="I1563" s="12" t="str">
        <x:v>研究生宿舍楼</x:v>
      </x:c>
      <x:c r="J1563" s="12" t="str">
        <x:v>研究生宿舍楼发车</x:v>
      </x:c>
      <x:c r="K1563" s="12" t="str">
        <x:v>HX3_NORMAL</x:v>
      </x:c>
      <x:c r="L1563" s="12" t="n">
        <x:v>8</x:v>
      </x:c>
      <x:c r="M1563" s="12" t="str">
        <x:v>HX3_NORMAL|8</x:v>
      </x:c>
      <x:c r="N1563" s="12" t="str">
        <x:v>理学院</x:v>
      </x:c>
      <x:c r="O1563" s="12" t="n">
        <x:f>IFERROR(INDEX('秒级路线参数_可调整'!$O:$O,MATCH(M1563,'秒级路线参数_可调整'!$A:$A,0)),"")</x:f>
        <x:v>480</x:v>
      </x:c>
      <x:c r="P1563" s="12" t="n">
        <x:f>IF(O1563="","",O1563/86400)</x:f>
        <x:v>0.005555555555555556</x:v>
      </x:c>
      <x:c r="Q1563" s="12" t="n">
        <x:f>IF(O1563="","",(H1563*60+O1563)/86400)</x:f>
        <x:v>0.7416666666666667</x:v>
      </x:c>
      <x:c r="R1563" s="12" t="str">
        <x:f>IF(Q1563="","",TEXT(Q1563,"hh:mm:ss"))</x:f>
        <x:v>17:48:00</x:v>
      </x:c>
      <x:c r="S1563" s="12" t="str">
        <x:v>否</x:v>
      </x:c>
      <x:c r="T1563" s="12" t="str">
        <x:v>否</x:v>
      </x:c>
      <x:c r="U1563" s="12" t="str">
        <x:v>刘晓燕</x:v>
      </x:c>
      <x:c r="V1563" s="12" t="str">
        <x:v>4号车</x:v>
      </x:c>
      <x:c r="W1563" s="12" t="str">
        <x:v>秒级预测</x:v>
      </x:c>
      <x:c r="X1563" s="12" t="str">
        <x:v>基于路线秒级参数；如录入实测或手动采用秒，预计到达时间可随公式更新</x:v>
      </x:c>
    </x:row>
    <x:row r="1564">
      <x:c r="A1564" s="12" t="str">
        <x:v>S0134-09</x:v>
      </x:c>
      <x:c r="B1564" s="12" t="str">
        <x:v>S0134</x:v>
      </x:c>
      <x:c r="C1564" s="12" t="str">
        <x:v>工作日</x:v>
      </x:c>
      <x:c r="D1564" s="12" t="str">
        <x:v>环线3路</x:v>
      </x:c>
      <x:c r="E1564" s="12" t="str">
        <x:v>第三班</x:v>
      </x:c>
      <x:c r="F1564" s="12" t="n">
        <x:v>13</x:v>
      </x:c>
      <x:c r="G1564" s="12" t="str">
        <x:v>17:40</x:v>
      </x:c>
      <x:c r="H1564" s="12" t="n">
        <x:v>1060</x:v>
      </x:c>
      <x:c r="I1564" s="12" t="str">
        <x:v>研究生宿舍楼</x:v>
      </x:c>
      <x:c r="J1564" s="12" t="str">
        <x:v>研究生宿舍楼发车</x:v>
      </x:c>
      <x:c r="K1564" s="12" t="str">
        <x:v>HX3_NORMAL</x:v>
      </x:c>
      <x:c r="L1564" s="12" t="n">
        <x:v>9</x:v>
      </x:c>
      <x:c r="M1564" s="12" t="str">
        <x:v>HX3_NORMAL|9</x:v>
      </x:c>
      <x:c r="N1564" s="12" t="str">
        <x:v>二食堂</x:v>
      </x:c>
      <x:c r="O1564" s="12" t="n">
        <x:f>IFERROR(INDEX('秒级路线参数_可调整'!$O:$O,MATCH(M1564,'秒级路线参数_可调整'!$A:$A,0)),"")</x:f>
        <x:v>535</x:v>
      </x:c>
      <x:c r="P1564" s="12" t="n">
        <x:f>IF(O1564="","",O1564/86400)</x:f>
        <x:v>0.00619212962962963</x:v>
      </x:c>
      <x:c r="Q1564" s="12" t="n">
        <x:f>IF(O1564="","",(H1564*60+O1564)/86400)</x:f>
        <x:v>0.7423032407407407</x:v>
      </x:c>
      <x:c r="R1564" s="12" t="str">
        <x:f>IF(Q1564="","",TEXT(Q1564,"hh:mm:ss"))</x:f>
        <x:v>17:48:55</x:v>
      </x:c>
      <x:c r="S1564" s="12" t="str">
        <x:v>否</x:v>
      </x:c>
      <x:c r="T1564" s="12" t="str">
        <x:v>否</x:v>
      </x:c>
      <x:c r="U1564" s="12" t="str">
        <x:v>刘晓燕</x:v>
      </x:c>
      <x:c r="V1564" s="12" t="str">
        <x:v>4号车</x:v>
      </x:c>
      <x:c r="W1564" s="12" t="str">
        <x:v>秒级预测</x:v>
      </x:c>
      <x:c r="X1564" s="12" t="str">
        <x:v>基于路线秒级参数；如录入实测或手动采用秒，预计到达时间可随公式更新</x:v>
      </x:c>
    </x:row>
    <x:row r="1565">
      <x:c r="A1565" s="12" t="str">
        <x:v>S0134-10</x:v>
      </x:c>
      <x:c r="B1565" s="12" t="str">
        <x:v>S0134</x:v>
      </x:c>
      <x:c r="C1565" s="12" t="str">
        <x:v>工作日</x:v>
      </x:c>
      <x:c r="D1565" s="12" t="str">
        <x:v>环线3路</x:v>
      </x:c>
      <x:c r="E1565" s="12" t="str">
        <x:v>第三班</x:v>
      </x:c>
      <x:c r="F1565" s="12" t="n">
        <x:v>13</x:v>
      </x:c>
      <x:c r="G1565" s="12" t="str">
        <x:v>17:40</x:v>
      </x:c>
      <x:c r="H1565" s="12" t="n">
        <x:v>1060</x:v>
      </x:c>
      <x:c r="I1565" s="12" t="str">
        <x:v>研究生宿舍楼</x:v>
      </x:c>
      <x:c r="J1565" s="12" t="str">
        <x:v>研究生宿舍楼发车</x:v>
      </x:c>
      <x:c r="K1565" s="12" t="str">
        <x:v>HX3_NORMAL</x:v>
      </x:c>
      <x:c r="L1565" s="12" t="n">
        <x:v>10</x:v>
      </x:c>
      <x:c r="M1565" s="12" t="str">
        <x:v>HX3_NORMAL|10</x:v>
      </x:c>
      <x:c r="N1565" s="12" t="str">
        <x:v>图书馆</x:v>
      </x:c>
      <x:c r="O1565" s="12" t="n">
        <x:f>IFERROR(INDEX('秒级路线参数_可调整'!$O:$O,MATCH(M1565,'秒级路线参数_可调整'!$A:$A,0)),"")</x:f>
        <x:v>715</x:v>
      </x:c>
      <x:c r="P1565" s="12" t="n">
        <x:f>IF(O1565="","",O1565/86400)</x:f>
        <x:v>0.008275462962962964</x:v>
      </x:c>
      <x:c r="Q1565" s="12" t="n">
        <x:f>IF(O1565="","",(H1565*60+O1565)/86400)</x:f>
        <x:v>0.744386574074074</x:v>
      </x:c>
      <x:c r="R1565" s="12" t="str">
        <x:f>IF(Q1565="","",TEXT(Q1565,"hh:mm:ss"))</x:f>
        <x:v>17:51:55</x:v>
      </x:c>
      <x:c r="S1565" s="12" t="str">
        <x:v>否</x:v>
      </x:c>
      <x:c r="T1565" s="12" t="str">
        <x:v>否</x:v>
      </x:c>
      <x:c r="U1565" s="12" t="str">
        <x:v>刘晓燕</x:v>
      </x:c>
      <x:c r="V1565" s="12" t="str">
        <x:v>4号车</x:v>
      </x:c>
      <x:c r="W1565" s="12" t="str">
        <x:v>秒级预测</x:v>
      </x:c>
      <x:c r="X1565" s="12" t="str">
        <x:v>基于路线秒级参数；如录入实测或手动采用秒，预计到达时间可随公式更新</x:v>
      </x:c>
    </x:row>
    <x:row r="1566">
      <x:c r="A1566" s="12" t="str">
        <x:v>S0134-11</x:v>
      </x:c>
      <x:c r="B1566" s="12" t="str">
        <x:v>S0134</x:v>
      </x:c>
      <x:c r="C1566" s="12" t="str">
        <x:v>工作日</x:v>
      </x:c>
      <x:c r="D1566" s="12" t="str">
        <x:v>环线3路</x:v>
      </x:c>
      <x:c r="E1566" s="12" t="str">
        <x:v>第三班</x:v>
      </x:c>
      <x:c r="F1566" s="12" t="n">
        <x:v>13</x:v>
      </x:c>
      <x:c r="G1566" s="12" t="str">
        <x:v>17:40</x:v>
      </x:c>
      <x:c r="H1566" s="12" t="n">
        <x:v>1060</x:v>
      </x:c>
      <x:c r="I1566" s="12" t="str">
        <x:v>研究生宿舍楼</x:v>
      </x:c>
      <x:c r="J1566" s="12" t="str">
        <x:v>研究生宿舍楼发车</x:v>
      </x:c>
      <x:c r="K1566" s="12" t="str">
        <x:v>HX3_NORMAL</x:v>
      </x:c>
      <x:c r="L1566" s="12" t="n">
        <x:v>11</x:v>
      </x:c>
      <x:c r="M1566" s="12" t="str">
        <x:v>HX3_NORMAL|11</x:v>
      </x:c>
      <x:c r="N1566" s="12" t="str">
        <x:v>305教学楼</x:v>
      </x:c>
      <x:c r="O1566" s="12" t="n">
        <x:f>IFERROR(INDEX('秒级路线参数_可调整'!$O:$O,MATCH(M1566,'秒级路线参数_可调整'!$A:$A,0)),"")</x:f>
        <x:v>775</x:v>
      </x:c>
      <x:c r="P1566" s="12" t="n">
        <x:f>IF(O1566="","",O1566/86400)</x:f>
        <x:v>0.008969907407407407</x:v>
      </x:c>
      <x:c r="Q1566" s="12" t="n">
        <x:f>IF(O1566="","",(H1566*60+O1566)/86400)</x:f>
        <x:v>0.7450810185185185</x:v>
      </x:c>
      <x:c r="R1566" s="12" t="str">
        <x:f>IF(Q1566="","",TEXT(Q1566,"hh:mm:ss"))</x:f>
        <x:v>17:52:55</x:v>
      </x:c>
      <x:c r="S1566" s="12" t="str">
        <x:v>否</x:v>
      </x:c>
      <x:c r="T1566" s="12" t="str">
        <x:v>否</x:v>
      </x:c>
      <x:c r="U1566" s="12" t="str">
        <x:v>刘晓燕</x:v>
      </x:c>
      <x:c r="V1566" s="12" t="str">
        <x:v>4号车</x:v>
      </x:c>
      <x:c r="W1566" s="12" t="str">
        <x:v>秒级预测</x:v>
      </x:c>
      <x:c r="X1566" s="12" t="str">
        <x:v>基于路线秒级参数；如录入实测或手动采用秒，预计到达时间可随公式更新</x:v>
      </x:c>
    </x:row>
    <x:row r="1567">
      <x:c r="A1567" s="12" t="str">
        <x:v>S0134-12</x:v>
      </x:c>
      <x:c r="B1567" s="12" t="str">
        <x:v>S0134</x:v>
      </x:c>
      <x:c r="C1567" s="12" t="str">
        <x:v>工作日</x:v>
      </x:c>
      <x:c r="D1567" s="12" t="str">
        <x:v>环线3路</x:v>
      </x:c>
      <x:c r="E1567" s="12" t="str">
        <x:v>第三班</x:v>
      </x:c>
      <x:c r="F1567" s="12" t="n">
        <x:v>13</x:v>
      </x:c>
      <x:c r="G1567" s="12" t="str">
        <x:v>17:40</x:v>
      </x:c>
      <x:c r="H1567" s="12" t="n">
        <x:v>1060</x:v>
      </x:c>
      <x:c r="I1567" s="12" t="str">
        <x:v>研究生宿舍楼</x:v>
      </x:c>
      <x:c r="J1567" s="12" t="str">
        <x:v>研究生宿舍楼发车</x:v>
      </x:c>
      <x:c r="K1567" s="12" t="str">
        <x:v>HX3_NORMAL</x:v>
      </x:c>
      <x:c r="L1567" s="12" t="n">
        <x:v>12</x:v>
      </x:c>
      <x:c r="M1567" s="12" t="str">
        <x:v>HX3_NORMAL|12</x:v>
      </x:c>
      <x:c r="N1567" s="12" t="str">
        <x:v>研究生宿舍楼</x:v>
      </x:c>
      <x:c r="O1567" s="12" t="n">
        <x:f>IFERROR(INDEX('秒级路线参数_可调整'!$O:$O,MATCH(M1567,'秒级路线参数_可调整'!$A:$A,0)),"")</x:f>
        <x:v>840</x:v>
      </x:c>
      <x:c r="P1567" s="12" t="n">
        <x:f>IF(O1567="","",O1567/86400)</x:f>
        <x:v>0.009722222222222222</x:v>
      </x:c>
      <x:c r="Q1567" s="12" t="n">
        <x:f>IF(O1567="","",(H1567*60+O1567)/86400)</x:f>
        <x:v>0.7458333333333333</x:v>
      </x:c>
      <x:c r="R1567" s="12" t="str">
        <x:f>IF(Q1567="","",TEXT(Q1567,"hh:mm:ss"))</x:f>
        <x:v>17:54:00</x:v>
      </x:c>
      <x:c r="S1567" s="12" t="str">
        <x:v>否</x:v>
      </x:c>
      <x:c r="T1567" s="12" t="str">
        <x:v>是</x:v>
      </x:c>
      <x:c r="U1567" s="12" t="str">
        <x:v>刘晓燕</x:v>
      </x:c>
      <x:c r="V1567" s="12" t="str">
        <x:v>4号车</x:v>
      </x:c>
      <x:c r="W1567" s="12" t="str">
        <x:v>秒级预测</x:v>
      </x:c>
      <x:c r="X1567" s="12" t="str">
        <x:v>基于路线秒级参数；如录入实测或手动采用秒，预计到达时间可随公式更新</x:v>
      </x:c>
    </x:row>
    <x:row r="1568">
      <x:c r="A1568" s="12" t="str">
        <x:v>S0135-01</x:v>
      </x:c>
      <x:c r="B1568" s="12" t="str">
        <x:v>S0135</x:v>
      </x:c>
      <x:c r="C1568" s="12" t="str">
        <x:v>工作日</x:v>
      </x:c>
      <x:c r="D1568" s="12" t="str">
        <x:v>环线3路</x:v>
      </x:c>
      <x:c r="E1568" s="12" t="str">
        <x:v>第二班</x:v>
      </x:c>
      <x:c r="F1568" s="12" t="n">
        <x:v>1</x:v>
      </x:c>
      <x:c r="G1568" s="12" t="str">
        <x:v>7:45</x:v>
      </x:c>
      <x:c r="H1568" s="12" t="n">
        <x:v>465</x:v>
      </x:c>
      <x:c r="I1568" s="12" t="str">
        <x:v>研究生宿舍楼</x:v>
      </x:c>
      <x:c r="J1568" s="12" t="str">
        <x:v>研究生宿舍楼发车</x:v>
      </x:c>
      <x:c r="K1568" s="12" t="str">
        <x:v>HX3_NORMAL</x:v>
      </x:c>
      <x:c r="L1568" s="12" t="n">
        <x:v>1</x:v>
      </x:c>
      <x:c r="M1568" s="12" t="str">
        <x:v>HX3_NORMAL|1</x:v>
      </x:c>
      <x:c r="N1568" s="12" t="str">
        <x:v>研究生宿舍楼</x:v>
      </x:c>
      <x:c r="O1568" s="12" t="n">
        <x:f>IFERROR(INDEX('秒级路线参数_可调整'!$O:$O,MATCH(M1568,'秒级路线参数_可调整'!$A:$A,0)),"")</x:f>
        <x:v>0</x:v>
      </x:c>
      <x:c r="P1568" s="12" t="str">
        <x:f>IF(O1568="","",O1568/86400)</x:f>
      </x:c>
      <x:c r="Q1568" s="12" t="str">
        <x:f>IF(O1568="","",(H1568*60+O1568)/86400)</x:f>
      </x:c>
      <x:c r="R1568" s="12" t="str">
        <x:f>IF(Q1568="","",TEXT(Q1568,"hh:mm:ss"))</x:f>
      </x:c>
      <x:c r="S1568" s="12" t="str">
        <x:v>是</x:v>
      </x:c>
      <x:c r="T1568" s="12" t="str">
        <x:v>否</x:v>
      </x:c>
      <x:c r="U1568" s="12" t="str">
        <x:v>郭海燕</x:v>
      </x:c>
      <x:c r="V1568" s="12" t="str">
        <x:v>5号车</x:v>
      </x:c>
      <x:c r="W1568" s="12" t="str">
        <x:v>秒级预测</x:v>
      </x:c>
      <x:c r="X1568" s="12" t="str">
        <x:v>基于路线秒级参数；如录入实测或手动采用秒，预计到达时间可随公式更新</x:v>
      </x:c>
    </x:row>
    <x:row r="1569">
      <x:c r="A1569" s="12" t="str">
        <x:v>S0135-02</x:v>
      </x:c>
      <x:c r="B1569" s="12" t="str">
        <x:v>S0135</x:v>
      </x:c>
      <x:c r="C1569" s="12" t="str">
        <x:v>工作日</x:v>
      </x:c>
      <x:c r="D1569" s="12" t="str">
        <x:v>环线3路</x:v>
      </x:c>
      <x:c r="E1569" s="12" t="str">
        <x:v>第二班</x:v>
      </x:c>
      <x:c r="F1569" s="12" t="n">
        <x:v>1</x:v>
      </x:c>
      <x:c r="G1569" s="12" t="str">
        <x:v>7:45</x:v>
      </x:c>
      <x:c r="H1569" s="12" t="n">
        <x:v>465</x:v>
      </x:c>
      <x:c r="I1569" s="12" t="str">
        <x:v>研究生宿舍楼</x:v>
      </x:c>
      <x:c r="J1569" s="12" t="str">
        <x:v>研究生宿舍楼发车</x:v>
      </x:c>
      <x:c r="K1569" s="12" t="str">
        <x:v>HX3_NORMAL</x:v>
      </x:c>
      <x:c r="L1569" s="12" t="n">
        <x:v>2</x:v>
      </x:c>
      <x:c r="M1569" s="12" t="str">
        <x:v>HX3_NORMAL|2</x:v>
      </x:c>
      <x:c r="N1569" s="12" t="str">
        <x:v>一食堂</x:v>
      </x:c>
      <x:c r="O1569" s="12" t="n">
        <x:f>IFERROR(INDEX('秒级路线参数_可调整'!$O:$O,MATCH(M1569,'秒级路线参数_可调整'!$A:$A,0)),"")</x:f>
        <x:v>65</x:v>
      </x:c>
      <x:c r="P1569" s="12" t="n">
        <x:f>IF(O1569="","",O1569/86400)</x:f>
        <x:v>0.0007523148148148148</x:v>
      </x:c>
      <x:c r="Q1569" s="12" t="n">
        <x:f>IF(O1569="","",(H1569*60+O1569)/86400)</x:f>
        <x:v>0.3236689814814815</x:v>
      </x:c>
      <x:c r="R1569" s="12" t="str">
        <x:f>IF(Q1569="","",TEXT(Q1569,"hh:mm:ss"))</x:f>
        <x:v>07:46:05</x:v>
      </x:c>
      <x:c r="S1569" s="12" t="str">
        <x:v>否</x:v>
      </x:c>
      <x:c r="T1569" s="12" t="str">
        <x:v>否</x:v>
      </x:c>
      <x:c r="U1569" s="12" t="str">
        <x:v>郭海燕</x:v>
      </x:c>
      <x:c r="V1569" s="12" t="str">
        <x:v>5号车</x:v>
      </x:c>
      <x:c r="W1569" s="12" t="str">
        <x:v>秒级预测</x:v>
      </x:c>
      <x:c r="X1569" s="12" t="str">
        <x:v>基于路线秒级参数；如录入实测或手动采用秒，预计到达时间可随公式更新</x:v>
      </x:c>
    </x:row>
    <x:row r="1570">
      <x:c r="A1570" s="12" t="str">
        <x:v>S0135-03</x:v>
      </x:c>
      <x:c r="B1570" s="12" t="str">
        <x:v>S0135</x:v>
      </x:c>
      <x:c r="C1570" s="12" t="str">
        <x:v>工作日</x:v>
      </x:c>
      <x:c r="D1570" s="12" t="str">
        <x:v>环线3路</x:v>
      </x:c>
      <x:c r="E1570" s="12" t="str">
        <x:v>第二班</x:v>
      </x:c>
      <x:c r="F1570" s="12" t="n">
        <x:v>1</x:v>
      </x:c>
      <x:c r="G1570" s="12" t="str">
        <x:v>7:45</x:v>
      </x:c>
      <x:c r="H1570" s="12" t="n">
        <x:v>465</x:v>
      </x:c>
      <x:c r="I1570" s="12" t="str">
        <x:v>研究生宿舍楼</x:v>
      </x:c>
      <x:c r="J1570" s="12" t="str">
        <x:v>研究生宿舍楼发车</x:v>
      </x:c>
      <x:c r="K1570" s="12" t="str">
        <x:v>HX3_NORMAL</x:v>
      </x:c>
      <x:c r="L1570" s="12" t="n">
        <x:v>3</x:v>
      </x:c>
      <x:c r="M1570" s="12" t="str">
        <x:v>HX3_NORMAL|3</x:v>
      </x:c>
      <x:c r="N1570" s="12" t="str">
        <x:v>2号宿舍楼</x:v>
      </x:c>
      <x:c r="O1570" s="12" t="n">
        <x:f>IFERROR(INDEX('秒级路线参数_可调整'!$O:$O,MATCH(M1570,'秒级路线参数_可调整'!$A:$A,0)),"")</x:f>
        <x:v>120</x:v>
      </x:c>
      <x:c r="P1570" s="12" t="n">
        <x:f>IF(O1570="","",O1570/86400)</x:f>
        <x:v>0.001388888888888889</x:v>
      </x:c>
      <x:c r="Q1570" s="12" t="n">
        <x:f>IF(O1570="","",(H1570*60+O1570)/86400)</x:f>
        <x:v>0.32430555555555557</x:v>
      </x:c>
      <x:c r="R1570" s="12" t="str">
        <x:f>IF(Q1570="","",TEXT(Q1570,"hh:mm:ss"))</x:f>
        <x:v>07:47:00</x:v>
      </x:c>
      <x:c r="S1570" s="12" t="str">
        <x:v>否</x:v>
      </x:c>
      <x:c r="T1570" s="12" t="str">
        <x:v>否</x:v>
      </x:c>
      <x:c r="U1570" s="12" t="str">
        <x:v>郭海燕</x:v>
      </x:c>
      <x:c r="V1570" s="12" t="str">
        <x:v>5号车</x:v>
      </x:c>
      <x:c r="W1570" s="12" t="str">
        <x:v>秒级预测</x:v>
      </x:c>
      <x:c r="X1570" s="12" t="str">
        <x:v>基于路线秒级参数；如录入实测或手动采用秒，预计到达时间可随公式更新</x:v>
      </x:c>
    </x:row>
    <x:row r="1571">
      <x:c r="A1571" s="12" t="str">
        <x:v>S0135-04</x:v>
      </x:c>
      <x:c r="B1571" s="12" t="str">
        <x:v>S0135</x:v>
      </x:c>
      <x:c r="C1571" s="12" t="str">
        <x:v>工作日</x:v>
      </x:c>
      <x:c r="D1571" s="12" t="str">
        <x:v>环线3路</x:v>
      </x:c>
      <x:c r="E1571" s="12" t="str">
        <x:v>第二班</x:v>
      </x:c>
      <x:c r="F1571" s="12" t="n">
        <x:v>1</x:v>
      </x:c>
      <x:c r="G1571" s="12" t="str">
        <x:v>7:45</x:v>
      </x:c>
      <x:c r="H1571" s="12" t="n">
        <x:v>465</x:v>
      </x:c>
      <x:c r="I1571" s="12" t="str">
        <x:v>研究生宿舍楼</x:v>
      </x:c>
      <x:c r="J1571" s="12" t="str">
        <x:v>研究生宿舍楼发车</x:v>
      </x:c>
      <x:c r="K1571" s="12" t="str">
        <x:v>HX3_NORMAL</x:v>
      </x:c>
      <x:c r="L1571" s="12" t="n">
        <x:v>4</x:v>
      </x:c>
      <x:c r="M1571" s="12" t="str">
        <x:v>HX3_NORMAL|4</x:v>
      </x:c>
      <x:c r="N1571" s="12" t="str">
        <x:v>军体活动中心</x:v>
      </x:c>
      <x:c r="O1571" s="12" t="n">
        <x:f>IFERROR(INDEX('秒级路线参数_可调整'!$O:$O,MATCH(M1571,'秒级路线参数_可调整'!$A:$A,0)),"")</x:f>
        <x:v>165</x:v>
      </x:c>
      <x:c r="P1571" s="12" t="n">
        <x:f>IF(O1571="","",O1571/86400)</x:f>
        <x:v>0.0019097222222222222</x:v>
      </x:c>
      <x:c r="Q1571" s="12" t="n">
        <x:f>IF(O1571="","",(H1571*60+O1571)/86400)</x:f>
        <x:v>0.3248263888888889</x:v>
      </x:c>
      <x:c r="R1571" s="12" t="str">
        <x:f>IF(Q1571="","",TEXT(Q1571,"hh:mm:ss"))</x:f>
        <x:v>07:47:45</x:v>
      </x:c>
      <x:c r="S1571" s="12" t="str">
        <x:v>否</x:v>
      </x:c>
      <x:c r="T1571" s="12" t="str">
        <x:v>否</x:v>
      </x:c>
      <x:c r="U1571" s="12" t="str">
        <x:v>郭海燕</x:v>
      </x:c>
      <x:c r="V1571" s="12" t="str">
        <x:v>5号车</x:v>
      </x:c>
      <x:c r="W1571" s="12" t="str">
        <x:v>秒级预测</x:v>
      </x:c>
      <x:c r="X1571" s="12" t="str">
        <x:v>基于路线秒级参数；如录入实测或手动采用秒，预计到达时间可随公式更新</x:v>
      </x:c>
    </x:row>
    <x:row r="1572">
      <x:c r="A1572" s="12" t="str">
        <x:v>S0135-05</x:v>
      </x:c>
      <x:c r="B1572" s="12" t="str">
        <x:v>S0135</x:v>
      </x:c>
      <x:c r="C1572" s="12" t="str">
        <x:v>工作日</x:v>
      </x:c>
      <x:c r="D1572" s="12" t="str">
        <x:v>环线3路</x:v>
      </x:c>
      <x:c r="E1572" s="12" t="str">
        <x:v>第二班</x:v>
      </x:c>
      <x:c r="F1572" s="12" t="n">
        <x:v>1</x:v>
      </x:c>
      <x:c r="G1572" s="12" t="str">
        <x:v>7:45</x:v>
      </x:c>
      <x:c r="H1572" s="12" t="n">
        <x:v>465</x:v>
      </x:c>
      <x:c r="I1572" s="12" t="str">
        <x:v>研究生宿舍楼</x:v>
      </x:c>
      <x:c r="J1572" s="12" t="str">
        <x:v>研究生宿舍楼发车</x:v>
      </x:c>
      <x:c r="K1572" s="12" t="str">
        <x:v>HX3_NORMAL</x:v>
      </x:c>
      <x:c r="L1572" s="12" t="n">
        <x:v>5</x:v>
      </x:c>
      <x:c r="M1572" s="12" t="str">
        <x:v>HX3_NORMAL|5</x:v>
      </x:c>
      <x:c r="N1572" s="12" t="str">
        <x:v>教勤连</x:v>
      </x:c>
      <x:c r="O1572" s="12" t="n">
        <x:f>IFERROR(INDEX('秒级路线参数_可调整'!$O:$O,MATCH(M1572,'秒级路线参数_可调整'!$A:$A,0)),"")</x:f>
        <x:v>250</x:v>
      </x:c>
      <x:c r="P1572" s="12" t="n">
        <x:f>IF(O1572="","",O1572/86400)</x:f>
        <x:v>0.0028935185185185184</x:v>
      </x:c>
      <x:c r="Q1572" s="12" t="n">
        <x:f>IF(O1572="","",(H1572*60+O1572)/86400)</x:f>
        <x:v>0.3258101851851852</x:v>
      </x:c>
      <x:c r="R1572" s="12" t="str">
        <x:f>IF(Q1572="","",TEXT(Q1572,"hh:mm:ss"))</x:f>
        <x:v>07:49:10</x:v>
      </x:c>
      <x:c r="S1572" s="12" t="str">
        <x:v>否</x:v>
      </x:c>
      <x:c r="T1572" s="12" t="str">
        <x:v>否</x:v>
      </x:c>
      <x:c r="U1572" s="12" t="str">
        <x:v>郭海燕</x:v>
      </x:c>
      <x:c r="V1572" s="12" t="str">
        <x:v>5号车</x:v>
      </x:c>
      <x:c r="W1572" s="12" t="str">
        <x:v>秒级预测</x:v>
      </x:c>
      <x:c r="X1572" s="12" t="str">
        <x:v>基于路线秒级参数；如录入实测或手动采用秒，预计到达时间可随公式更新</x:v>
      </x:c>
    </x:row>
    <x:row r="1573">
      <x:c r="A1573" s="12" t="str">
        <x:v>S0135-06</x:v>
      </x:c>
      <x:c r="B1573" s="12" t="str">
        <x:v>S0135</x:v>
      </x:c>
      <x:c r="C1573" s="12" t="str">
        <x:v>工作日</x:v>
      </x:c>
      <x:c r="D1573" s="12" t="str">
        <x:v>环线3路</x:v>
      </x:c>
      <x:c r="E1573" s="12" t="str">
        <x:v>第二班</x:v>
      </x:c>
      <x:c r="F1573" s="12" t="n">
        <x:v>1</x:v>
      </x:c>
      <x:c r="G1573" s="12" t="str">
        <x:v>7:45</x:v>
      </x:c>
      <x:c r="H1573" s="12" t="n">
        <x:v>465</x:v>
      </x:c>
      <x:c r="I1573" s="12" t="str">
        <x:v>研究生宿舍楼</x:v>
      </x:c>
      <x:c r="J1573" s="12" t="str">
        <x:v>研究生宿舍楼发车</x:v>
      </x:c>
      <x:c r="K1573" s="12" t="str">
        <x:v>HX3_NORMAL</x:v>
      </x:c>
      <x:c r="L1573" s="12" t="n">
        <x:v>6</x:v>
      </x:c>
      <x:c r="M1573" s="12" t="str">
        <x:v>HX3_NORMAL|6</x:v>
      </x:c>
      <x:c r="N1573" s="12" t="str">
        <x:v>激光所</x:v>
      </x:c>
      <x:c r="O1573" s="12" t="n">
        <x:f>IFERROR(INDEX('秒级路线参数_可调整'!$O:$O,MATCH(M1573,'秒级路线参数_可调整'!$A:$A,0)),"")</x:f>
        <x:v>315</x:v>
      </x:c>
      <x:c r="P1573" s="12" t="n">
        <x:f>IF(O1573="","",O1573/86400)</x:f>
        <x:v>0.0036458333333333334</x:v>
      </x:c>
      <x:c r="Q1573" s="12" t="n">
        <x:f>IF(O1573="","",(H1573*60+O1573)/86400)</x:f>
        <x:v>0.3265625</x:v>
      </x:c>
      <x:c r="R1573" s="12" t="str">
        <x:f>IF(Q1573="","",TEXT(Q1573,"hh:mm:ss"))</x:f>
        <x:v>07:50:15</x:v>
      </x:c>
      <x:c r="S1573" s="12" t="str">
        <x:v>否</x:v>
      </x:c>
      <x:c r="T1573" s="12" t="str">
        <x:v>否</x:v>
      </x:c>
      <x:c r="U1573" s="12" t="str">
        <x:v>郭海燕</x:v>
      </x:c>
      <x:c r="V1573" s="12" t="str">
        <x:v>5号车</x:v>
      </x:c>
      <x:c r="W1573" s="12" t="str">
        <x:v>秒级预测</x:v>
      </x:c>
      <x:c r="X1573" s="12" t="str">
        <x:v>基于路线秒级参数；如录入实测或手动采用秒，预计到达时间可随公式更新</x:v>
      </x:c>
    </x:row>
    <x:row r="1574">
      <x:c r="A1574" s="12" t="str">
        <x:v>S0135-07</x:v>
      </x:c>
      <x:c r="B1574" s="12" t="str">
        <x:v>S0135</x:v>
      </x:c>
      <x:c r="C1574" s="12" t="str">
        <x:v>工作日</x:v>
      </x:c>
      <x:c r="D1574" s="12" t="str">
        <x:v>环线3路</x:v>
      </x:c>
      <x:c r="E1574" s="12" t="str">
        <x:v>第二班</x:v>
      </x:c>
      <x:c r="F1574" s="12" t="n">
        <x:v>1</x:v>
      </x:c>
      <x:c r="G1574" s="12" t="str">
        <x:v>7:45</x:v>
      </x:c>
      <x:c r="H1574" s="12" t="n">
        <x:v>465</x:v>
      </x:c>
      <x:c r="I1574" s="12" t="str">
        <x:v>研究生宿舍楼</x:v>
      </x:c>
      <x:c r="J1574" s="12" t="str">
        <x:v>研究生宿舍楼发车</x:v>
      </x:c>
      <x:c r="K1574" s="12" t="str">
        <x:v>HX3_NORMAL</x:v>
      </x:c>
      <x:c r="L1574" s="12" t="n">
        <x:v>7</x:v>
      </x:c>
      <x:c r="M1574" s="12" t="str">
        <x:v>HX3_NORMAL|7</x:v>
      </x:c>
      <x:c r="N1574" s="12" t="str">
        <x:v>高超楼</x:v>
      </x:c>
      <x:c r="O1574" s="12" t="n">
        <x:f>IFERROR(INDEX('秒级路线参数_可调整'!$O:$O,MATCH(M1574,'秒级路线参数_可调整'!$A:$A,0)),"")</x:f>
        <x:v>420</x:v>
      </x:c>
      <x:c r="P1574" s="12" t="n">
        <x:f>IF(O1574="","",O1574/86400)</x:f>
        <x:v>0.004861111111111111</x:v>
      </x:c>
      <x:c r="Q1574" s="12" t="n">
        <x:f>IF(O1574="","",(H1574*60+O1574)/86400)</x:f>
        <x:v>0.3277777777777778</x:v>
      </x:c>
      <x:c r="R1574" s="12" t="str">
        <x:f>IF(Q1574="","",TEXT(Q1574,"hh:mm:ss"))</x:f>
        <x:v>07:52:00</x:v>
      </x:c>
      <x:c r="S1574" s="12" t="str">
        <x:v>否</x:v>
      </x:c>
      <x:c r="T1574" s="12" t="str">
        <x:v>否</x:v>
      </x:c>
      <x:c r="U1574" s="12" t="str">
        <x:v>郭海燕</x:v>
      </x:c>
      <x:c r="V1574" s="12" t="str">
        <x:v>5号车</x:v>
      </x:c>
      <x:c r="W1574" s="12" t="str">
        <x:v>秒级预测</x:v>
      </x:c>
      <x:c r="X1574" s="12" t="str">
        <x:v>基于路线秒级参数；如录入实测或手动采用秒，预计到达时间可随公式更新</x:v>
      </x:c>
    </x:row>
    <x:row r="1575">
      <x:c r="A1575" s="12" t="str">
        <x:v>S0135-08</x:v>
      </x:c>
      <x:c r="B1575" s="12" t="str">
        <x:v>S0135</x:v>
      </x:c>
      <x:c r="C1575" s="12" t="str">
        <x:v>工作日</x:v>
      </x:c>
      <x:c r="D1575" s="12" t="str">
        <x:v>环线3路</x:v>
      </x:c>
      <x:c r="E1575" s="12" t="str">
        <x:v>第二班</x:v>
      </x:c>
      <x:c r="F1575" s="12" t="n">
        <x:v>1</x:v>
      </x:c>
      <x:c r="G1575" s="12" t="str">
        <x:v>7:45</x:v>
      </x:c>
      <x:c r="H1575" s="12" t="n">
        <x:v>465</x:v>
      </x:c>
      <x:c r="I1575" s="12" t="str">
        <x:v>研究生宿舍楼</x:v>
      </x:c>
      <x:c r="J1575" s="12" t="str">
        <x:v>研究生宿舍楼发车</x:v>
      </x:c>
      <x:c r="K1575" s="12" t="str">
        <x:v>HX3_NORMAL</x:v>
      </x:c>
      <x:c r="L1575" s="12" t="n">
        <x:v>8</x:v>
      </x:c>
      <x:c r="M1575" s="12" t="str">
        <x:v>HX3_NORMAL|8</x:v>
      </x:c>
      <x:c r="N1575" s="12" t="str">
        <x:v>理学院</x:v>
      </x:c>
      <x:c r="O1575" s="12" t="n">
        <x:f>IFERROR(INDEX('秒级路线参数_可调整'!$O:$O,MATCH(M1575,'秒级路线参数_可调整'!$A:$A,0)),"")</x:f>
        <x:v>480</x:v>
      </x:c>
      <x:c r="P1575" s="12" t="n">
        <x:f>IF(O1575="","",O1575/86400)</x:f>
        <x:v>0.005555555555555556</x:v>
      </x:c>
      <x:c r="Q1575" s="12" t="n">
        <x:f>IF(O1575="","",(H1575*60+O1575)/86400)</x:f>
        <x:v>0.3284722222222222</x:v>
      </x:c>
      <x:c r="R1575" s="12" t="str">
        <x:f>IF(Q1575="","",TEXT(Q1575,"hh:mm:ss"))</x:f>
        <x:v>07:53:00</x:v>
      </x:c>
      <x:c r="S1575" s="12" t="str">
        <x:v>否</x:v>
      </x:c>
      <x:c r="T1575" s="12" t="str">
        <x:v>否</x:v>
      </x:c>
      <x:c r="U1575" s="12" t="str">
        <x:v>郭海燕</x:v>
      </x:c>
      <x:c r="V1575" s="12" t="str">
        <x:v>5号车</x:v>
      </x:c>
      <x:c r="W1575" s="12" t="str">
        <x:v>秒级预测</x:v>
      </x:c>
      <x:c r="X1575" s="12" t="str">
        <x:v>基于路线秒级参数；如录入实测或手动采用秒，预计到达时间可随公式更新</x:v>
      </x:c>
    </x:row>
    <x:row r="1576">
      <x:c r="A1576" s="12" t="str">
        <x:v>S0135-09</x:v>
      </x:c>
      <x:c r="B1576" s="12" t="str">
        <x:v>S0135</x:v>
      </x:c>
      <x:c r="C1576" s="12" t="str">
        <x:v>工作日</x:v>
      </x:c>
      <x:c r="D1576" s="12" t="str">
        <x:v>环线3路</x:v>
      </x:c>
      <x:c r="E1576" s="12" t="str">
        <x:v>第二班</x:v>
      </x:c>
      <x:c r="F1576" s="12" t="n">
        <x:v>1</x:v>
      </x:c>
      <x:c r="G1576" s="12" t="str">
        <x:v>7:45</x:v>
      </x:c>
      <x:c r="H1576" s="12" t="n">
        <x:v>465</x:v>
      </x:c>
      <x:c r="I1576" s="12" t="str">
        <x:v>研究生宿舍楼</x:v>
      </x:c>
      <x:c r="J1576" s="12" t="str">
        <x:v>研究生宿舍楼发车</x:v>
      </x:c>
      <x:c r="K1576" s="12" t="str">
        <x:v>HX3_NORMAL</x:v>
      </x:c>
      <x:c r="L1576" s="12" t="n">
        <x:v>9</x:v>
      </x:c>
      <x:c r="M1576" s="12" t="str">
        <x:v>HX3_NORMAL|9</x:v>
      </x:c>
      <x:c r="N1576" s="12" t="str">
        <x:v>二食堂</x:v>
      </x:c>
      <x:c r="O1576" s="12" t="n">
        <x:f>IFERROR(INDEX('秒级路线参数_可调整'!$O:$O,MATCH(M1576,'秒级路线参数_可调整'!$A:$A,0)),"")</x:f>
        <x:v>535</x:v>
      </x:c>
      <x:c r="P1576" s="12" t="n">
        <x:f>IF(O1576="","",O1576/86400)</x:f>
        <x:v>0.00619212962962963</x:v>
      </x:c>
      <x:c r="Q1576" s="12" t="n">
        <x:f>IF(O1576="","",(H1576*60+O1576)/86400)</x:f>
        <x:v>0.3291087962962963</x:v>
      </x:c>
      <x:c r="R1576" s="12" t="str">
        <x:f>IF(Q1576="","",TEXT(Q1576,"hh:mm:ss"))</x:f>
        <x:v>07:53:55</x:v>
      </x:c>
      <x:c r="S1576" s="12" t="str">
        <x:v>否</x:v>
      </x:c>
      <x:c r="T1576" s="12" t="str">
        <x:v>否</x:v>
      </x:c>
      <x:c r="U1576" s="12" t="str">
        <x:v>郭海燕</x:v>
      </x:c>
      <x:c r="V1576" s="12" t="str">
        <x:v>5号车</x:v>
      </x:c>
      <x:c r="W1576" s="12" t="str">
        <x:v>秒级预测</x:v>
      </x:c>
      <x:c r="X1576" s="12" t="str">
        <x:v>基于路线秒级参数；如录入实测或手动采用秒，预计到达时间可随公式更新</x:v>
      </x:c>
    </x:row>
    <x:row r="1577">
      <x:c r="A1577" s="12" t="str">
        <x:v>S0135-10</x:v>
      </x:c>
      <x:c r="B1577" s="12" t="str">
        <x:v>S0135</x:v>
      </x:c>
      <x:c r="C1577" s="12" t="str">
        <x:v>工作日</x:v>
      </x:c>
      <x:c r="D1577" s="12" t="str">
        <x:v>环线3路</x:v>
      </x:c>
      <x:c r="E1577" s="12" t="str">
        <x:v>第二班</x:v>
      </x:c>
      <x:c r="F1577" s="12" t="n">
        <x:v>1</x:v>
      </x:c>
      <x:c r="G1577" s="12" t="str">
        <x:v>7:45</x:v>
      </x:c>
      <x:c r="H1577" s="12" t="n">
        <x:v>465</x:v>
      </x:c>
      <x:c r="I1577" s="12" t="str">
        <x:v>研究生宿舍楼</x:v>
      </x:c>
      <x:c r="J1577" s="12" t="str">
        <x:v>研究生宿舍楼发车</x:v>
      </x:c>
      <x:c r="K1577" s="12" t="str">
        <x:v>HX3_NORMAL</x:v>
      </x:c>
      <x:c r="L1577" s="12" t="n">
        <x:v>10</x:v>
      </x:c>
      <x:c r="M1577" s="12" t="str">
        <x:v>HX3_NORMAL|10</x:v>
      </x:c>
      <x:c r="N1577" s="12" t="str">
        <x:v>图书馆</x:v>
      </x:c>
      <x:c r="O1577" s="12" t="n">
        <x:f>IFERROR(INDEX('秒级路线参数_可调整'!$O:$O,MATCH(M1577,'秒级路线参数_可调整'!$A:$A,0)),"")</x:f>
        <x:v>715</x:v>
      </x:c>
      <x:c r="P1577" s="12" t="n">
        <x:f>IF(O1577="","",O1577/86400)</x:f>
        <x:v>0.008275462962962964</x:v>
      </x:c>
      <x:c r="Q1577" s="12" t="n">
        <x:f>IF(O1577="","",(H1577*60+O1577)/86400)</x:f>
        <x:v>0.33119212962962963</x:v>
      </x:c>
      <x:c r="R1577" s="12" t="str">
        <x:f>IF(Q1577="","",TEXT(Q1577,"hh:mm:ss"))</x:f>
        <x:v>07:56:55</x:v>
      </x:c>
      <x:c r="S1577" s="12" t="str">
        <x:v>否</x:v>
      </x:c>
      <x:c r="T1577" s="12" t="str">
        <x:v>否</x:v>
      </x:c>
      <x:c r="U1577" s="12" t="str">
        <x:v>郭海燕</x:v>
      </x:c>
      <x:c r="V1577" s="12" t="str">
        <x:v>5号车</x:v>
      </x:c>
      <x:c r="W1577" s="12" t="str">
        <x:v>秒级预测</x:v>
      </x:c>
      <x:c r="X1577" s="12" t="str">
        <x:v>基于路线秒级参数；如录入实测或手动采用秒，预计到达时间可随公式更新</x:v>
      </x:c>
    </x:row>
    <x:row r="1578">
      <x:c r="A1578" s="12" t="str">
        <x:v>S0135-11</x:v>
      </x:c>
      <x:c r="B1578" s="12" t="str">
        <x:v>S0135</x:v>
      </x:c>
      <x:c r="C1578" s="12" t="str">
        <x:v>工作日</x:v>
      </x:c>
      <x:c r="D1578" s="12" t="str">
        <x:v>环线3路</x:v>
      </x:c>
      <x:c r="E1578" s="12" t="str">
        <x:v>第二班</x:v>
      </x:c>
      <x:c r="F1578" s="12" t="n">
        <x:v>1</x:v>
      </x:c>
      <x:c r="G1578" s="12" t="str">
        <x:v>7:45</x:v>
      </x:c>
      <x:c r="H1578" s="12" t="n">
        <x:v>465</x:v>
      </x:c>
      <x:c r="I1578" s="12" t="str">
        <x:v>研究生宿舍楼</x:v>
      </x:c>
      <x:c r="J1578" s="12" t="str">
        <x:v>研究生宿舍楼发车</x:v>
      </x:c>
      <x:c r="K1578" s="12" t="str">
        <x:v>HX3_NORMAL</x:v>
      </x:c>
      <x:c r="L1578" s="12" t="n">
        <x:v>11</x:v>
      </x:c>
      <x:c r="M1578" s="12" t="str">
        <x:v>HX3_NORMAL|11</x:v>
      </x:c>
      <x:c r="N1578" s="12" t="str">
        <x:v>305教学楼</x:v>
      </x:c>
      <x:c r="O1578" s="12" t="n">
        <x:f>IFERROR(INDEX('秒级路线参数_可调整'!$O:$O,MATCH(M1578,'秒级路线参数_可调整'!$A:$A,0)),"")</x:f>
        <x:v>775</x:v>
      </x:c>
      <x:c r="P1578" s="12" t="n">
        <x:f>IF(O1578="","",O1578/86400)</x:f>
        <x:v>0.008969907407407407</x:v>
      </x:c>
      <x:c r="Q1578" s="12" t="n">
        <x:f>IF(O1578="","",(H1578*60+O1578)/86400)</x:f>
        <x:v>0.33188657407407407</x:v>
      </x:c>
      <x:c r="R1578" s="12" t="str">
        <x:f>IF(Q1578="","",TEXT(Q1578,"hh:mm:ss"))</x:f>
        <x:v>07:57:55</x:v>
      </x:c>
      <x:c r="S1578" s="12" t="str">
        <x:v>否</x:v>
      </x:c>
      <x:c r="T1578" s="12" t="str">
        <x:v>否</x:v>
      </x:c>
      <x:c r="U1578" s="12" t="str">
        <x:v>郭海燕</x:v>
      </x:c>
      <x:c r="V1578" s="12" t="str">
        <x:v>5号车</x:v>
      </x:c>
      <x:c r="W1578" s="12" t="str">
        <x:v>秒级预测</x:v>
      </x:c>
      <x:c r="X1578" s="12" t="str">
        <x:v>基于路线秒级参数；如录入实测或手动采用秒，预计到达时间可随公式更新</x:v>
      </x:c>
    </x:row>
    <x:row r="1579">
      <x:c r="A1579" s="12" t="str">
        <x:v>S0135-12</x:v>
      </x:c>
      <x:c r="B1579" s="12" t="str">
        <x:v>S0135</x:v>
      </x:c>
      <x:c r="C1579" s="12" t="str">
        <x:v>工作日</x:v>
      </x:c>
      <x:c r="D1579" s="12" t="str">
        <x:v>环线3路</x:v>
      </x:c>
      <x:c r="E1579" s="12" t="str">
        <x:v>第二班</x:v>
      </x:c>
      <x:c r="F1579" s="12" t="n">
        <x:v>1</x:v>
      </x:c>
      <x:c r="G1579" s="12" t="str">
        <x:v>7:45</x:v>
      </x:c>
      <x:c r="H1579" s="12" t="n">
        <x:v>465</x:v>
      </x:c>
      <x:c r="I1579" s="12" t="str">
        <x:v>研究生宿舍楼</x:v>
      </x:c>
      <x:c r="J1579" s="12" t="str">
        <x:v>研究生宿舍楼发车</x:v>
      </x:c>
      <x:c r="K1579" s="12" t="str">
        <x:v>HX3_NORMAL</x:v>
      </x:c>
      <x:c r="L1579" s="12" t="n">
        <x:v>12</x:v>
      </x:c>
      <x:c r="M1579" s="12" t="str">
        <x:v>HX3_NORMAL|12</x:v>
      </x:c>
      <x:c r="N1579" s="12" t="str">
        <x:v>研究生宿舍楼</x:v>
      </x:c>
      <x:c r="O1579" s="12" t="n">
        <x:f>IFERROR(INDEX('秒级路线参数_可调整'!$O:$O,MATCH(M1579,'秒级路线参数_可调整'!$A:$A,0)),"")</x:f>
        <x:v>840</x:v>
      </x:c>
      <x:c r="P1579" s="12" t="n">
        <x:f>IF(O1579="","",O1579/86400)</x:f>
        <x:v>0.009722222222222222</x:v>
      </x:c>
      <x:c r="Q1579" s="12" t="n">
        <x:f>IF(O1579="","",(H1579*60+O1579)/86400)</x:f>
        <x:v>0.3326388888888889</x:v>
      </x:c>
      <x:c r="R1579" s="12" t="str">
        <x:f>IF(Q1579="","",TEXT(Q1579,"hh:mm:ss"))</x:f>
        <x:v>07:59:00</x:v>
      </x:c>
      <x:c r="S1579" s="12" t="str">
        <x:v>否</x:v>
      </x:c>
      <x:c r="T1579" s="12" t="str">
        <x:v>是</x:v>
      </x:c>
      <x:c r="U1579" s="12" t="str">
        <x:v>郭海燕</x:v>
      </x:c>
      <x:c r="V1579" s="12" t="str">
        <x:v>5号车</x:v>
      </x:c>
      <x:c r="W1579" s="12" t="str">
        <x:v>秒级预测</x:v>
      </x:c>
      <x:c r="X1579" s="12" t="str">
        <x:v>基于路线秒级参数；如录入实测或手动采用秒，预计到达时间可随公式更新</x:v>
      </x:c>
    </x:row>
    <x:row r="1580">
      <x:c r="A1580" s="12" t="str">
        <x:v>S0136-01</x:v>
      </x:c>
      <x:c r="B1580" s="12" t="str">
        <x:v>S0136</x:v>
      </x:c>
      <x:c r="C1580" s="12" t="str">
        <x:v>工作日</x:v>
      </x:c>
      <x:c r="D1580" s="12" t="str">
        <x:v>环线3路</x:v>
      </x:c>
      <x:c r="E1580" s="12" t="str">
        <x:v>第二班</x:v>
      </x:c>
      <x:c r="F1580" s="12" t="n">
        <x:v>2</x:v>
      </x:c>
      <x:c r="G1580" s="12" t="str">
        <x:v>8:15</x:v>
      </x:c>
      <x:c r="H1580" s="12" t="n">
        <x:v>495</x:v>
      </x:c>
      <x:c r="I1580" s="12" t="str">
        <x:v>研究生宿舍楼</x:v>
      </x:c>
      <x:c r="J1580" s="12" t="str">
        <x:v>研究生宿舍楼发车</x:v>
      </x:c>
      <x:c r="K1580" s="12" t="str">
        <x:v>HX3_NORMAL</x:v>
      </x:c>
      <x:c r="L1580" s="12" t="n">
        <x:v>1</x:v>
      </x:c>
      <x:c r="M1580" s="12" t="str">
        <x:v>HX3_NORMAL|1</x:v>
      </x:c>
      <x:c r="N1580" s="12" t="str">
        <x:v>研究生宿舍楼</x:v>
      </x:c>
      <x:c r="O1580" s="12" t="n">
        <x:f>IFERROR(INDEX('秒级路线参数_可调整'!$O:$O,MATCH(M1580,'秒级路线参数_可调整'!$A:$A,0)),"")</x:f>
        <x:v>0</x:v>
      </x:c>
      <x:c r="P1580" s="12" t="str">
        <x:f>IF(O1580="","",O1580/86400)</x:f>
      </x:c>
      <x:c r="Q1580" s="12" t="str">
        <x:f>IF(O1580="","",(H1580*60+O1580)/86400)</x:f>
      </x:c>
      <x:c r="R1580" s="12" t="str">
        <x:f>IF(Q1580="","",TEXT(Q1580,"hh:mm:ss"))</x:f>
      </x:c>
      <x:c r="S1580" s="12" t="str">
        <x:v>是</x:v>
      </x:c>
      <x:c r="T1580" s="12" t="str">
        <x:v>否</x:v>
      </x:c>
      <x:c r="U1580" s="12" t="str">
        <x:v>郭海燕</x:v>
      </x:c>
      <x:c r="V1580" s="12" t="str">
        <x:v>5号车</x:v>
      </x:c>
      <x:c r="W1580" s="12" t="str">
        <x:v>秒级预测</x:v>
      </x:c>
      <x:c r="X1580" s="12" t="str">
        <x:v>基于路线秒级参数；如录入实测或手动采用秒，预计到达时间可随公式更新</x:v>
      </x:c>
    </x:row>
    <x:row r="1581">
      <x:c r="A1581" s="12" t="str">
        <x:v>S0136-02</x:v>
      </x:c>
      <x:c r="B1581" s="12" t="str">
        <x:v>S0136</x:v>
      </x:c>
      <x:c r="C1581" s="12" t="str">
        <x:v>工作日</x:v>
      </x:c>
      <x:c r="D1581" s="12" t="str">
        <x:v>环线3路</x:v>
      </x:c>
      <x:c r="E1581" s="12" t="str">
        <x:v>第二班</x:v>
      </x:c>
      <x:c r="F1581" s="12" t="n">
        <x:v>2</x:v>
      </x:c>
      <x:c r="G1581" s="12" t="str">
        <x:v>8:15</x:v>
      </x:c>
      <x:c r="H1581" s="12" t="n">
        <x:v>495</x:v>
      </x:c>
      <x:c r="I1581" s="12" t="str">
        <x:v>研究生宿舍楼</x:v>
      </x:c>
      <x:c r="J1581" s="12" t="str">
        <x:v>研究生宿舍楼发车</x:v>
      </x:c>
      <x:c r="K1581" s="12" t="str">
        <x:v>HX3_NORMAL</x:v>
      </x:c>
      <x:c r="L1581" s="12" t="n">
        <x:v>2</x:v>
      </x:c>
      <x:c r="M1581" s="12" t="str">
        <x:v>HX3_NORMAL|2</x:v>
      </x:c>
      <x:c r="N1581" s="12" t="str">
        <x:v>一食堂</x:v>
      </x:c>
      <x:c r="O1581" s="12" t="n">
        <x:f>IFERROR(INDEX('秒级路线参数_可调整'!$O:$O,MATCH(M1581,'秒级路线参数_可调整'!$A:$A,0)),"")</x:f>
        <x:v>65</x:v>
      </x:c>
      <x:c r="P1581" s="12" t="n">
        <x:f>IF(O1581="","",O1581/86400)</x:f>
        <x:v>0.0007523148148148148</x:v>
      </x:c>
      <x:c r="Q1581" s="12" t="n">
        <x:f>IF(O1581="","",(H1581*60+O1581)/86400)</x:f>
        <x:v>0.3445023148148148</x:v>
      </x:c>
      <x:c r="R1581" s="12" t="str">
        <x:f>IF(Q1581="","",TEXT(Q1581,"hh:mm:ss"))</x:f>
        <x:v>08:16:05</x:v>
      </x:c>
      <x:c r="S1581" s="12" t="str">
        <x:v>否</x:v>
      </x:c>
      <x:c r="T1581" s="12" t="str">
        <x:v>否</x:v>
      </x:c>
      <x:c r="U1581" s="12" t="str">
        <x:v>郭海燕</x:v>
      </x:c>
      <x:c r="V1581" s="12" t="str">
        <x:v>5号车</x:v>
      </x:c>
      <x:c r="W1581" s="12" t="str">
        <x:v>秒级预测</x:v>
      </x:c>
      <x:c r="X1581" s="12" t="str">
        <x:v>基于路线秒级参数；如录入实测或手动采用秒，预计到达时间可随公式更新</x:v>
      </x:c>
    </x:row>
    <x:row r="1582">
      <x:c r="A1582" s="12" t="str">
        <x:v>S0136-03</x:v>
      </x:c>
      <x:c r="B1582" s="12" t="str">
        <x:v>S0136</x:v>
      </x:c>
      <x:c r="C1582" s="12" t="str">
        <x:v>工作日</x:v>
      </x:c>
      <x:c r="D1582" s="12" t="str">
        <x:v>环线3路</x:v>
      </x:c>
      <x:c r="E1582" s="12" t="str">
        <x:v>第二班</x:v>
      </x:c>
      <x:c r="F1582" s="12" t="n">
        <x:v>2</x:v>
      </x:c>
      <x:c r="G1582" s="12" t="str">
        <x:v>8:15</x:v>
      </x:c>
      <x:c r="H1582" s="12" t="n">
        <x:v>495</x:v>
      </x:c>
      <x:c r="I1582" s="12" t="str">
        <x:v>研究生宿舍楼</x:v>
      </x:c>
      <x:c r="J1582" s="12" t="str">
        <x:v>研究生宿舍楼发车</x:v>
      </x:c>
      <x:c r="K1582" s="12" t="str">
        <x:v>HX3_NORMAL</x:v>
      </x:c>
      <x:c r="L1582" s="12" t="n">
        <x:v>3</x:v>
      </x:c>
      <x:c r="M1582" s="12" t="str">
        <x:v>HX3_NORMAL|3</x:v>
      </x:c>
      <x:c r="N1582" s="12" t="str">
        <x:v>2号宿舍楼</x:v>
      </x:c>
      <x:c r="O1582" s="12" t="n">
        <x:f>IFERROR(INDEX('秒级路线参数_可调整'!$O:$O,MATCH(M1582,'秒级路线参数_可调整'!$A:$A,0)),"")</x:f>
        <x:v>120</x:v>
      </x:c>
      <x:c r="P1582" s="12" t="n">
        <x:f>IF(O1582="","",O1582/86400)</x:f>
        <x:v>0.001388888888888889</x:v>
      </x:c>
      <x:c r="Q1582" s="12" t="n">
        <x:f>IF(O1582="","",(H1582*60+O1582)/86400)</x:f>
        <x:v>0.3451388888888889</x:v>
      </x:c>
      <x:c r="R1582" s="12" t="str">
        <x:f>IF(Q1582="","",TEXT(Q1582,"hh:mm:ss"))</x:f>
        <x:v>08:17:00</x:v>
      </x:c>
      <x:c r="S1582" s="12" t="str">
        <x:v>否</x:v>
      </x:c>
      <x:c r="T1582" s="12" t="str">
        <x:v>否</x:v>
      </x:c>
      <x:c r="U1582" s="12" t="str">
        <x:v>郭海燕</x:v>
      </x:c>
      <x:c r="V1582" s="12" t="str">
        <x:v>5号车</x:v>
      </x:c>
      <x:c r="W1582" s="12" t="str">
        <x:v>秒级预测</x:v>
      </x:c>
      <x:c r="X1582" s="12" t="str">
        <x:v>基于路线秒级参数；如录入实测或手动采用秒，预计到达时间可随公式更新</x:v>
      </x:c>
    </x:row>
    <x:row r="1583">
      <x:c r="A1583" s="12" t="str">
        <x:v>S0136-04</x:v>
      </x:c>
      <x:c r="B1583" s="12" t="str">
        <x:v>S0136</x:v>
      </x:c>
      <x:c r="C1583" s="12" t="str">
        <x:v>工作日</x:v>
      </x:c>
      <x:c r="D1583" s="12" t="str">
        <x:v>环线3路</x:v>
      </x:c>
      <x:c r="E1583" s="12" t="str">
        <x:v>第二班</x:v>
      </x:c>
      <x:c r="F1583" s="12" t="n">
        <x:v>2</x:v>
      </x:c>
      <x:c r="G1583" s="12" t="str">
        <x:v>8:15</x:v>
      </x:c>
      <x:c r="H1583" s="12" t="n">
        <x:v>495</x:v>
      </x:c>
      <x:c r="I1583" s="12" t="str">
        <x:v>研究生宿舍楼</x:v>
      </x:c>
      <x:c r="J1583" s="12" t="str">
        <x:v>研究生宿舍楼发车</x:v>
      </x:c>
      <x:c r="K1583" s="12" t="str">
        <x:v>HX3_NORMAL</x:v>
      </x:c>
      <x:c r="L1583" s="12" t="n">
        <x:v>4</x:v>
      </x:c>
      <x:c r="M1583" s="12" t="str">
        <x:v>HX3_NORMAL|4</x:v>
      </x:c>
      <x:c r="N1583" s="12" t="str">
        <x:v>军体活动中心</x:v>
      </x:c>
      <x:c r="O1583" s="12" t="n">
        <x:f>IFERROR(INDEX('秒级路线参数_可调整'!$O:$O,MATCH(M1583,'秒级路线参数_可调整'!$A:$A,0)),"")</x:f>
        <x:v>165</x:v>
      </x:c>
      <x:c r="P1583" s="12" t="n">
        <x:f>IF(O1583="","",O1583/86400)</x:f>
        <x:v>0.0019097222222222222</x:v>
      </x:c>
      <x:c r="Q1583" s="12" t="n">
        <x:f>IF(O1583="","",(H1583*60+O1583)/86400)</x:f>
        <x:v>0.34565972222222224</x:v>
      </x:c>
      <x:c r="R1583" s="12" t="str">
        <x:f>IF(Q1583="","",TEXT(Q1583,"hh:mm:ss"))</x:f>
        <x:v>08:17:45</x:v>
      </x:c>
      <x:c r="S1583" s="12" t="str">
        <x:v>否</x:v>
      </x:c>
      <x:c r="T1583" s="12" t="str">
        <x:v>否</x:v>
      </x:c>
      <x:c r="U1583" s="12" t="str">
        <x:v>郭海燕</x:v>
      </x:c>
      <x:c r="V1583" s="12" t="str">
        <x:v>5号车</x:v>
      </x:c>
      <x:c r="W1583" s="12" t="str">
        <x:v>秒级预测</x:v>
      </x:c>
      <x:c r="X1583" s="12" t="str">
        <x:v>基于路线秒级参数；如录入实测或手动采用秒，预计到达时间可随公式更新</x:v>
      </x:c>
    </x:row>
    <x:row r="1584">
      <x:c r="A1584" s="12" t="str">
        <x:v>S0136-05</x:v>
      </x:c>
      <x:c r="B1584" s="12" t="str">
        <x:v>S0136</x:v>
      </x:c>
      <x:c r="C1584" s="12" t="str">
        <x:v>工作日</x:v>
      </x:c>
      <x:c r="D1584" s="12" t="str">
        <x:v>环线3路</x:v>
      </x:c>
      <x:c r="E1584" s="12" t="str">
        <x:v>第二班</x:v>
      </x:c>
      <x:c r="F1584" s="12" t="n">
        <x:v>2</x:v>
      </x:c>
      <x:c r="G1584" s="12" t="str">
        <x:v>8:15</x:v>
      </x:c>
      <x:c r="H1584" s="12" t="n">
        <x:v>495</x:v>
      </x:c>
      <x:c r="I1584" s="12" t="str">
        <x:v>研究生宿舍楼</x:v>
      </x:c>
      <x:c r="J1584" s="12" t="str">
        <x:v>研究生宿舍楼发车</x:v>
      </x:c>
      <x:c r="K1584" s="12" t="str">
        <x:v>HX3_NORMAL</x:v>
      </x:c>
      <x:c r="L1584" s="12" t="n">
        <x:v>5</x:v>
      </x:c>
      <x:c r="M1584" s="12" t="str">
        <x:v>HX3_NORMAL|5</x:v>
      </x:c>
      <x:c r="N1584" s="12" t="str">
        <x:v>教勤连</x:v>
      </x:c>
      <x:c r="O1584" s="12" t="n">
        <x:f>IFERROR(INDEX('秒级路线参数_可调整'!$O:$O,MATCH(M1584,'秒级路线参数_可调整'!$A:$A,0)),"")</x:f>
        <x:v>250</x:v>
      </x:c>
      <x:c r="P1584" s="12" t="n">
        <x:f>IF(O1584="","",O1584/86400)</x:f>
        <x:v>0.0028935185185185184</x:v>
      </x:c>
      <x:c r="Q1584" s="12" t="n">
        <x:f>IF(O1584="","",(H1584*60+O1584)/86400)</x:f>
        <x:v>0.34664351851851855</x:v>
      </x:c>
      <x:c r="R1584" s="12" t="str">
        <x:f>IF(Q1584="","",TEXT(Q1584,"hh:mm:ss"))</x:f>
        <x:v>08:19:10</x:v>
      </x:c>
      <x:c r="S1584" s="12" t="str">
        <x:v>否</x:v>
      </x:c>
      <x:c r="T1584" s="12" t="str">
        <x:v>否</x:v>
      </x:c>
      <x:c r="U1584" s="12" t="str">
        <x:v>郭海燕</x:v>
      </x:c>
      <x:c r="V1584" s="12" t="str">
        <x:v>5号车</x:v>
      </x:c>
      <x:c r="W1584" s="12" t="str">
        <x:v>秒级预测</x:v>
      </x:c>
      <x:c r="X1584" s="12" t="str">
        <x:v>基于路线秒级参数；如录入实测或手动采用秒，预计到达时间可随公式更新</x:v>
      </x:c>
    </x:row>
    <x:row r="1585">
      <x:c r="A1585" s="12" t="str">
        <x:v>S0136-06</x:v>
      </x:c>
      <x:c r="B1585" s="12" t="str">
        <x:v>S0136</x:v>
      </x:c>
      <x:c r="C1585" s="12" t="str">
        <x:v>工作日</x:v>
      </x:c>
      <x:c r="D1585" s="12" t="str">
        <x:v>环线3路</x:v>
      </x:c>
      <x:c r="E1585" s="12" t="str">
        <x:v>第二班</x:v>
      </x:c>
      <x:c r="F1585" s="12" t="n">
        <x:v>2</x:v>
      </x:c>
      <x:c r="G1585" s="12" t="str">
        <x:v>8:15</x:v>
      </x:c>
      <x:c r="H1585" s="12" t="n">
        <x:v>495</x:v>
      </x:c>
      <x:c r="I1585" s="12" t="str">
        <x:v>研究生宿舍楼</x:v>
      </x:c>
      <x:c r="J1585" s="12" t="str">
        <x:v>研究生宿舍楼发车</x:v>
      </x:c>
      <x:c r="K1585" s="12" t="str">
        <x:v>HX3_NORMAL</x:v>
      </x:c>
      <x:c r="L1585" s="12" t="n">
        <x:v>6</x:v>
      </x:c>
      <x:c r="M1585" s="12" t="str">
        <x:v>HX3_NORMAL|6</x:v>
      </x:c>
      <x:c r="N1585" s="12" t="str">
        <x:v>激光所</x:v>
      </x:c>
      <x:c r="O1585" s="12" t="n">
        <x:f>IFERROR(INDEX('秒级路线参数_可调整'!$O:$O,MATCH(M1585,'秒级路线参数_可调整'!$A:$A,0)),"")</x:f>
        <x:v>315</x:v>
      </x:c>
      <x:c r="P1585" s="12" t="n">
        <x:f>IF(O1585="","",O1585/86400)</x:f>
        <x:v>0.0036458333333333334</x:v>
      </x:c>
      <x:c r="Q1585" s="12" t="n">
        <x:f>IF(O1585="","",(H1585*60+O1585)/86400)</x:f>
        <x:v>0.34739583333333335</x:v>
      </x:c>
      <x:c r="R1585" s="12" t="str">
        <x:f>IF(Q1585="","",TEXT(Q1585,"hh:mm:ss"))</x:f>
        <x:v>08:20:15</x:v>
      </x:c>
      <x:c r="S1585" s="12" t="str">
        <x:v>否</x:v>
      </x:c>
      <x:c r="T1585" s="12" t="str">
        <x:v>否</x:v>
      </x:c>
      <x:c r="U1585" s="12" t="str">
        <x:v>郭海燕</x:v>
      </x:c>
      <x:c r="V1585" s="12" t="str">
        <x:v>5号车</x:v>
      </x:c>
      <x:c r="W1585" s="12" t="str">
        <x:v>秒级预测</x:v>
      </x:c>
      <x:c r="X1585" s="12" t="str">
        <x:v>基于路线秒级参数；如录入实测或手动采用秒，预计到达时间可随公式更新</x:v>
      </x:c>
    </x:row>
    <x:row r="1586">
      <x:c r="A1586" s="12" t="str">
        <x:v>S0136-07</x:v>
      </x:c>
      <x:c r="B1586" s="12" t="str">
        <x:v>S0136</x:v>
      </x:c>
      <x:c r="C1586" s="12" t="str">
        <x:v>工作日</x:v>
      </x:c>
      <x:c r="D1586" s="12" t="str">
        <x:v>环线3路</x:v>
      </x:c>
      <x:c r="E1586" s="12" t="str">
        <x:v>第二班</x:v>
      </x:c>
      <x:c r="F1586" s="12" t="n">
        <x:v>2</x:v>
      </x:c>
      <x:c r="G1586" s="12" t="str">
        <x:v>8:15</x:v>
      </x:c>
      <x:c r="H1586" s="12" t="n">
        <x:v>495</x:v>
      </x:c>
      <x:c r="I1586" s="12" t="str">
        <x:v>研究生宿舍楼</x:v>
      </x:c>
      <x:c r="J1586" s="12" t="str">
        <x:v>研究生宿舍楼发车</x:v>
      </x:c>
      <x:c r="K1586" s="12" t="str">
        <x:v>HX3_NORMAL</x:v>
      </x:c>
      <x:c r="L1586" s="12" t="n">
        <x:v>7</x:v>
      </x:c>
      <x:c r="M1586" s="12" t="str">
        <x:v>HX3_NORMAL|7</x:v>
      </x:c>
      <x:c r="N1586" s="12" t="str">
        <x:v>高超楼</x:v>
      </x:c>
      <x:c r="O1586" s="12" t="n">
        <x:f>IFERROR(INDEX('秒级路线参数_可调整'!$O:$O,MATCH(M1586,'秒级路线参数_可调整'!$A:$A,0)),"")</x:f>
        <x:v>420</x:v>
      </x:c>
      <x:c r="P1586" s="12" t="n">
        <x:f>IF(O1586="","",O1586/86400)</x:f>
        <x:v>0.004861111111111111</x:v>
      </x:c>
      <x:c r="Q1586" s="12" t="n">
        <x:f>IF(O1586="","",(H1586*60+O1586)/86400)</x:f>
        <x:v>0.3486111111111111</x:v>
      </x:c>
      <x:c r="R1586" s="12" t="str">
        <x:f>IF(Q1586="","",TEXT(Q1586,"hh:mm:ss"))</x:f>
        <x:v>08:22:00</x:v>
      </x:c>
      <x:c r="S1586" s="12" t="str">
        <x:v>否</x:v>
      </x:c>
      <x:c r="T1586" s="12" t="str">
        <x:v>否</x:v>
      </x:c>
      <x:c r="U1586" s="12" t="str">
        <x:v>郭海燕</x:v>
      </x:c>
      <x:c r="V1586" s="12" t="str">
        <x:v>5号车</x:v>
      </x:c>
      <x:c r="W1586" s="12" t="str">
        <x:v>秒级预测</x:v>
      </x:c>
      <x:c r="X1586" s="12" t="str">
        <x:v>基于路线秒级参数；如录入实测或手动采用秒，预计到达时间可随公式更新</x:v>
      </x:c>
    </x:row>
    <x:row r="1587">
      <x:c r="A1587" s="12" t="str">
        <x:v>S0136-08</x:v>
      </x:c>
      <x:c r="B1587" s="12" t="str">
        <x:v>S0136</x:v>
      </x:c>
      <x:c r="C1587" s="12" t="str">
        <x:v>工作日</x:v>
      </x:c>
      <x:c r="D1587" s="12" t="str">
        <x:v>环线3路</x:v>
      </x:c>
      <x:c r="E1587" s="12" t="str">
        <x:v>第二班</x:v>
      </x:c>
      <x:c r="F1587" s="12" t="n">
        <x:v>2</x:v>
      </x:c>
      <x:c r="G1587" s="12" t="str">
        <x:v>8:15</x:v>
      </x:c>
      <x:c r="H1587" s="12" t="n">
        <x:v>495</x:v>
      </x:c>
      <x:c r="I1587" s="12" t="str">
        <x:v>研究生宿舍楼</x:v>
      </x:c>
      <x:c r="J1587" s="12" t="str">
        <x:v>研究生宿舍楼发车</x:v>
      </x:c>
      <x:c r="K1587" s="12" t="str">
        <x:v>HX3_NORMAL</x:v>
      </x:c>
      <x:c r="L1587" s="12" t="n">
        <x:v>8</x:v>
      </x:c>
      <x:c r="M1587" s="12" t="str">
        <x:v>HX3_NORMAL|8</x:v>
      </x:c>
      <x:c r="N1587" s="12" t="str">
        <x:v>理学院</x:v>
      </x:c>
      <x:c r="O1587" s="12" t="n">
        <x:f>IFERROR(INDEX('秒级路线参数_可调整'!$O:$O,MATCH(M1587,'秒级路线参数_可调整'!$A:$A,0)),"")</x:f>
        <x:v>480</x:v>
      </x:c>
      <x:c r="P1587" s="12" t="n">
        <x:f>IF(O1587="","",O1587/86400)</x:f>
        <x:v>0.005555555555555556</x:v>
      </x:c>
      <x:c r="Q1587" s="12" t="n">
        <x:f>IF(O1587="","",(H1587*60+O1587)/86400)</x:f>
        <x:v>0.34930555555555554</x:v>
      </x:c>
      <x:c r="R1587" s="12" t="str">
        <x:f>IF(Q1587="","",TEXT(Q1587,"hh:mm:ss"))</x:f>
        <x:v>08:23:00</x:v>
      </x:c>
      <x:c r="S1587" s="12" t="str">
        <x:v>否</x:v>
      </x:c>
      <x:c r="T1587" s="12" t="str">
        <x:v>否</x:v>
      </x:c>
      <x:c r="U1587" s="12" t="str">
        <x:v>郭海燕</x:v>
      </x:c>
      <x:c r="V1587" s="12" t="str">
        <x:v>5号车</x:v>
      </x:c>
      <x:c r="W1587" s="12" t="str">
        <x:v>秒级预测</x:v>
      </x:c>
      <x:c r="X1587" s="12" t="str">
        <x:v>基于路线秒级参数；如录入实测或手动采用秒，预计到达时间可随公式更新</x:v>
      </x:c>
    </x:row>
    <x:row r="1588">
      <x:c r="A1588" s="12" t="str">
        <x:v>S0136-09</x:v>
      </x:c>
      <x:c r="B1588" s="12" t="str">
        <x:v>S0136</x:v>
      </x:c>
      <x:c r="C1588" s="12" t="str">
        <x:v>工作日</x:v>
      </x:c>
      <x:c r="D1588" s="12" t="str">
        <x:v>环线3路</x:v>
      </x:c>
      <x:c r="E1588" s="12" t="str">
        <x:v>第二班</x:v>
      </x:c>
      <x:c r="F1588" s="12" t="n">
        <x:v>2</x:v>
      </x:c>
      <x:c r="G1588" s="12" t="str">
        <x:v>8:15</x:v>
      </x:c>
      <x:c r="H1588" s="12" t="n">
        <x:v>495</x:v>
      </x:c>
      <x:c r="I1588" s="12" t="str">
        <x:v>研究生宿舍楼</x:v>
      </x:c>
      <x:c r="J1588" s="12" t="str">
        <x:v>研究生宿舍楼发车</x:v>
      </x:c>
      <x:c r="K1588" s="12" t="str">
        <x:v>HX3_NORMAL</x:v>
      </x:c>
      <x:c r="L1588" s="12" t="n">
        <x:v>9</x:v>
      </x:c>
      <x:c r="M1588" s="12" t="str">
        <x:v>HX3_NORMAL|9</x:v>
      </x:c>
      <x:c r="N1588" s="12" t="str">
        <x:v>二食堂</x:v>
      </x:c>
      <x:c r="O1588" s="12" t="n">
        <x:f>IFERROR(INDEX('秒级路线参数_可调整'!$O:$O,MATCH(M1588,'秒级路线参数_可调整'!$A:$A,0)),"")</x:f>
        <x:v>535</x:v>
      </x:c>
      <x:c r="P1588" s="12" t="n">
        <x:f>IF(O1588="","",O1588/86400)</x:f>
        <x:v>0.00619212962962963</x:v>
      </x:c>
      <x:c r="Q1588" s="12" t="n">
        <x:f>IF(O1588="","",(H1588*60+O1588)/86400)</x:f>
        <x:v>0.3499421296296296</x:v>
      </x:c>
      <x:c r="R1588" s="12" t="str">
        <x:f>IF(Q1588="","",TEXT(Q1588,"hh:mm:ss"))</x:f>
        <x:v>08:23:55</x:v>
      </x:c>
      <x:c r="S1588" s="12" t="str">
        <x:v>否</x:v>
      </x:c>
      <x:c r="T1588" s="12" t="str">
        <x:v>否</x:v>
      </x:c>
      <x:c r="U1588" s="12" t="str">
        <x:v>郭海燕</x:v>
      </x:c>
      <x:c r="V1588" s="12" t="str">
        <x:v>5号车</x:v>
      </x:c>
      <x:c r="W1588" s="12" t="str">
        <x:v>秒级预测</x:v>
      </x:c>
      <x:c r="X1588" s="12" t="str">
        <x:v>基于路线秒级参数；如录入实测或手动采用秒，预计到达时间可随公式更新</x:v>
      </x:c>
    </x:row>
    <x:row r="1589">
      <x:c r="A1589" s="12" t="str">
        <x:v>S0136-10</x:v>
      </x:c>
      <x:c r="B1589" s="12" t="str">
        <x:v>S0136</x:v>
      </x:c>
      <x:c r="C1589" s="12" t="str">
        <x:v>工作日</x:v>
      </x:c>
      <x:c r="D1589" s="12" t="str">
        <x:v>环线3路</x:v>
      </x:c>
      <x:c r="E1589" s="12" t="str">
        <x:v>第二班</x:v>
      </x:c>
      <x:c r="F1589" s="12" t="n">
        <x:v>2</x:v>
      </x:c>
      <x:c r="G1589" s="12" t="str">
        <x:v>8:15</x:v>
      </x:c>
      <x:c r="H1589" s="12" t="n">
        <x:v>495</x:v>
      </x:c>
      <x:c r="I1589" s="12" t="str">
        <x:v>研究生宿舍楼</x:v>
      </x:c>
      <x:c r="J1589" s="12" t="str">
        <x:v>研究生宿舍楼发车</x:v>
      </x:c>
      <x:c r="K1589" s="12" t="str">
        <x:v>HX3_NORMAL</x:v>
      </x:c>
      <x:c r="L1589" s="12" t="n">
        <x:v>10</x:v>
      </x:c>
      <x:c r="M1589" s="12" t="str">
        <x:v>HX3_NORMAL|10</x:v>
      </x:c>
      <x:c r="N1589" s="12" t="str">
        <x:v>图书馆</x:v>
      </x:c>
      <x:c r="O1589" s="12" t="n">
        <x:f>IFERROR(INDEX('秒级路线参数_可调整'!$O:$O,MATCH(M1589,'秒级路线参数_可调整'!$A:$A,0)),"")</x:f>
        <x:v>715</x:v>
      </x:c>
      <x:c r="P1589" s="12" t="n">
        <x:f>IF(O1589="","",O1589/86400)</x:f>
        <x:v>0.008275462962962964</x:v>
      </x:c>
      <x:c r="Q1589" s="12" t="n">
        <x:f>IF(O1589="","",(H1589*60+O1589)/86400)</x:f>
        <x:v>0.35202546296296294</x:v>
      </x:c>
      <x:c r="R1589" s="12" t="str">
        <x:f>IF(Q1589="","",TEXT(Q1589,"hh:mm:ss"))</x:f>
        <x:v>08:26:55</x:v>
      </x:c>
      <x:c r="S1589" s="12" t="str">
        <x:v>否</x:v>
      </x:c>
      <x:c r="T1589" s="12" t="str">
        <x:v>否</x:v>
      </x:c>
      <x:c r="U1589" s="12" t="str">
        <x:v>郭海燕</x:v>
      </x:c>
      <x:c r="V1589" s="12" t="str">
        <x:v>5号车</x:v>
      </x:c>
      <x:c r="W1589" s="12" t="str">
        <x:v>秒级预测</x:v>
      </x:c>
      <x:c r="X1589" s="12" t="str">
        <x:v>基于路线秒级参数；如录入实测或手动采用秒，预计到达时间可随公式更新</x:v>
      </x:c>
    </x:row>
    <x:row r="1590">
      <x:c r="A1590" s="12" t="str">
        <x:v>S0136-11</x:v>
      </x:c>
      <x:c r="B1590" s="12" t="str">
        <x:v>S0136</x:v>
      </x:c>
      <x:c r="C1590" s="12" t="str">
        <x:v>工作日</x:v>
      </x:c>
      <x:c r="D1590" s="12" t="str">
        <x:v>环线3路</x:v>
      </x:c>
      <x:c r="E1590" s="12" t="str">
        <x:v>第二班</x:v>
      </x:c>
      <x:c r="F1590" s="12" t="n">
        <x:v>2</x:v>
      </x:c>
      <x:c r="G1590" s="12" t="str">
        <x:v>8:15</x:v>
      </x:c>
      <x:c r="H1590" s="12" t="n">
        <x:v>495</x:v>
      </x:c>
      <x:c r="I1590" s="12" t="str">
        <x:v>研究生宿舍楼</x:v>
      </x:c>
      <x:c r="J1590" s="12" t="str">
        <x:v>研究生宿舍楼发车</x:v>
      </x:c>
      <x:c r="K1590" s="12" t="str">
        <x:v>HX3_NORMAL</x:v>
      </x:c>
      <x:c r="L1590" s="12" t="n">
        <x:v>11</x:v>
      </x:c>
      <x:c r="M1590" s="12" t="str">
        <x:v>HX3_NORMAL|11</x:v>
      </x:c>
      <x:c r="N1590" s="12" t="str">
        <x:v>305教学楼</x:v>
      </x:c>
      <x:c r="O1590" s="12" t="n">
        <x:f>IFERROR(INDEX('秒级路线参数_可调整'!$O:$O,MATCH(M1590,'秒级路线参数_可调整'!$A:$A,0)),"")</x:f>
        <x:v>775</x:v>
      </x:c>
      <x:c r="P1590" s="12" t="n">
        <x:f>IF(O1590="","",O1590/86400)</x:f>
        <x:v>0.008969907407407407</x:v>
      </x:c>
      <x:c r="Q1590" s="12" t="n">
        <x:f>IF(O1590="","",(H1590*60+O1590)/86400)</x:f>
        <x:v>0.3527199074074074</x:v>
      </x:c>
      <x:c r="R1590" s="12" t="str">
        <x:f>IF(Q1590="","",TEXT(Q1590,"hh:mm:ss"))</x:f>
        <x:v>08:27:55</x:v>
      </x:c>
      <x:c r="S1590" s="12" t="str">
        <x:v>否</x:v>
      </x:c>
      <x:c r="T1590" s="12" t="str">
        <x:v>否</x:v>
      </x:c>
      <x:c r="U1590" s="12" t="str">
        <x:v>郭海燕</x:v>
      </x:c>
      <x:c r="V1590" s="12" t="str">
        <x:v>5号车</x:v>
      </x:c>
      <x:c r="W1590" s="12" t="str">
        <x:v>秒级预测</x:v>
      </x:c>
      <x:c r="X1590" s="12" t="str">
        <x:v>基于路线秒级参数；如录入实测或手动采用秒，预计到达时间可随公式更新</x:v>
      </x:c>
    </x:row>
    <x:row r="1591">
      <x:c r="A1591" s="12" t="str">
        <x:v>S0136-12</x:v>
      </x:c>
      <x:c r="B1591" s="12" t="str">
        <x:v>S0136</x:v>
      </x:c>
      <x:c r="C1591" s="12" t="str">
        <x:v>工作日</x:v>
      </x:c>
      <x:c r="D1591" s="12" t="str">
        <x:v>环线3路</x:v>
      </x:c>
      <x:c r="E1591" s="12" t="str">
        <x:v>第二班</x:v>
      </x:c>
      <x:c r="F1591" s="12" t="n">
        <x:v>2</x:v>
      </x:c>
      <x:c r="G1591" s="12" t="str">
        <x:v>8:15</x:v>
      </x:c>
      <x:c r="H1591" s="12" t="n">
        <x:v>495</x:v>
      </x:c>
      <x:c r="I1591" s="12" t="str">
        <x:v>研究生宿舍楼</x:v>
      </x:c>
      <x:c r="J1591" s="12" t="str">
        <x:v>研究生宿舍楼发车</x:v>
      </x:c>
      <x:c r="K1591" s="12" t="str">
        <x:v>HX3_NORMAL</x:v>
      </x:c>
      <x:c r="L1591" s="12" t="n">
        <x:v>12</x:v>
      </x:c>
      <x:c r="M1591" s="12" t="str">
        <x:v>HX3_NORMAL|12</x:v>
      </x:c>
      <x:c r="N1591" s="12" t="str">
        <x:v>研究生宿舍楼</x:v>
      </x:c>
      <x:c r="O1591" s="12" t="n">
        <x:f>IFERROR(INDEX('秒级路线参数_可调整'!$O:$O,MATCH(M1591,'秒级路线参数_可调整'!$A:$A,0)),"")</x:f>
        <x:v>840</x:v>
      </x:c>
      <x:c r="P1591" s="12" t="n">
        <x:f>IF(O1591="","",O1591/86400)</x:f>
        <x:v>0.009722222222222222</x:v>
      </x:c>
      <x:c r="Q1591" s="12" t="n">
        <x:f>IF(O1591="","",(H1591*60+O1591)/86400)</x:f>
        <x:v>0.35347222222222224</x:v>
      </x:c>
      <x:c r="R1591" s="12" t="str">
        <x:f>IF(Q1591="","",TEXT(Q1591,"hh:mm:ss"))</x:f>
        <x:v>08:29:00</x:v>
      </x:c>
      <x:c r="S1591" s="12" t="str">
        <x:v>否</x:v>
      </x:c>
      <x:c r="T1591" s="12" t="str">
        <x:v>是</x:v>
      </x:c>
      <x:c r="U1591" s="12" t="str">
        <x:v>郭海燕</x:v>
      </x:c>
      <x:c r="V1591" s="12" t="str">
        <x:v>5号车</x:v>
      </x:c>
      <x:c r="W1591" s="12" t="str">
        <x:v>秒级预测</x:v>
      </x:c>
      <x:c r="X1591" s="12" t="str">
        <x:v>基于路线秒级参数；如录入实测或手动采用秒，预计到达时间可随公式更新</x:v>
      </x:c>
    </x:row>
    <x:row r="1592">
      <x:c r="A1592" s="12" t="str">
        <x:v>S0137-01</x:v>
      </x:c>
      <x:c r="B1592" s="12" t="str">
        <x:v>S0137</x:v>
      </x:c>
      <x:c r="C1592" s="12" t="str">
        <x:v>工作日</x:v>
      </x:c>
      <x:c r="D1592" s="12" t="str">
        <x:v>环线3路</x:v>
      </x:c>
      <x:c r="E1592" s="12" t="str">
        <x:v>第二班</x:v>
      </x:c>
      <x:c r="F1592" s="12" t="n">
        <x:v>3</x:v>
      </x:c>
      <x:c r="G1592" s="12" t="str">
        <x:v>8:45</x:v>
      </x:c>
      <x:c r="H1592" s="12" t="n">
        <x:v>525</x:v>
      </x:c>
      <x:c r="I1592" s="12" t="str">
        <x:v>研究生宿舍楼</x:v>
      </x:c>
      <x:c r="J1592" s="12" t="str">
        <x:v>研究生宿舍楼发车</x:v>
      </x:c>
      <x:c r="K1592" s="12" t="str">
        <x:v>HX3_NORMAL</x:v>
      </x:c>
      <x:c r="L1592" s="12" t="n">
        <x:v>1</x:v>
      </x:c>
      <x:c r="M1592" s="12" t="str">
        <x:v>HX3_NORMAL|1</x:v>
      </x:c>
      <x:c r="N1592" s="12" t="str">
        <x:v>研究生宿舍楼</x:v>
      </x:c>
      <x:c r="O1592" s="12" t="n">
        <x:f>IFERROR(INDEX('秒级路线参数_可调整'!$O:$O,MATCH(M1592,'秒级路线参数_可调整'!$A:$A,0)),"")</x:f>
        <x:v>0</x:v>
      </x:c>
      <x:c r="P1592" s="12" t="str">
        <x:f>IF(O1592="","",O1592/86400)</x:f>
      </x:c>
      <x:c r="Q1592" s="12" t="str">
        <x:f>IF(O1592="","",(H1592*60+O1592)/86400)</x:f>
      </x:c>
      <x:c r="R1592" s="12" t="str">
        <x:f>IF(Q1592="","",TEXT(Q1592,"hh:mm:ss"))</x:f>
      </x:c>
      <x:c r="S1592" s="12" t="str">
        <x:v>是</x:v>
      </x:c>
      <x:c r="T1592" s="12" t="str">
        <x:v>否</x:v>
      </x:c>
      <x:c r="U1592" s="12" t="str">
        <x:v>郭海燕</x:v>
      </x:c>
      <x:c r="V1592" s="12" t="str">
        <x:v>5号车</x:v>
      </x:c>
      <x:c r="W1592" s="12" t="str">
        <x:v>秒级预测</x:v>
      </x:c>
      <x:c r="X1592" s="12" t="str">
        <x:v>基于路线秒级参数；如录入实测或手动采用秒，预计到达时间可随公式更新</x:v>
      </x:c>
    </x:row>
    <x:row r="1593">
      <x:c r="A1593" s="12" t="str">
        <x:v>S0137-02</x:v>
      </x:c>
      <x:c r="B1593" s="12" t="str">
        <x:v>S0137</x:v>
      </x:c>
      <x:c r="C1593" s="12" t="str">
        <x:v>工作日</x:v>
      </x:c>
      <x:c r="D1593" s="12" t="str">
        <x:v>环线3路</x:v>
      </x:c>
      <x:c r="E1593" s="12" t="str">
        <x:v>第二班</x:v>
      </x:c>
      <x:c r="F1593" s="12" t="n">
        <x:v>3</x:v>
      </x:c>
      <x:c r="G1593" s="12" t="str">
        <x:v>8:45</x:v>
      </x:c>
      <x:c r="H1593" s="12" t="n">
        <x:v>525</x:v>
      </x:c>
      <x:c r="I1593" s="12" t="str">
        <x:v>研究生宿舍楼</x:v>
      </x:c>
      <x:c r="J1593" s="12" t="str">
        <x:v>研究生宿舍楼发车</x:v>
      </x:c>
      <x:c r="K1593" s="12" t="str">
        <x:v>HX3_NORMAL</x:v>
      </x:c>
      <x:c r="L1593" s="12" t="n">
        <x:v>2</x:v>
      </x:c>
      <x:c r="M1593" s="12" t="str">
        <x:v>HX3_NORMAL|2</x:v>
      </x:c>
      <x:c r="N1593" s="12" t="str">
        <x:v>一食堂</x:v>
      </x:c>
      <x:c r="O1593" s="12" t="n">
        <x:f>IFERROR(INDEX('秒级路线参数_可调整'!$O:$O,MATCH(M1593,'秒级路线参数_可调整'!$A:$A,0)),"")</x:f>
        <x:v>65</x:v>
      </x:c>
      <x:c r="P1593" s="12" t="n">
        <x:f>IF(O1593="","",O1593/86400)</x:f>
        <x:v>0.0007523148148148148</x:v>
      </x:c>
      <x:c r="Q1593" s="12" t="n">
        <x:f>IF(O1593="","",(H1593*60+O1593)/86400)</x:f>
        <x:v>0.3653356481481482</x:v>
      </x:c>
      <x:c r="R1593" s="12" t="str">
        <x:f>IF(Q1593="","",TEXT(Q1593,"hh:mm:ss"))</x:f>
        <x:v>08:46:05</x:v>
      </x:c>
      <x:c r="S1593" s="12" t="str">
        <x:v>否</x:v>
      </x:c>
      <x:c r="T1593" s="12" t="str">
        <x:v>否</x:v>
      </x:c>
      <x:c r="U1593" s="12" t="str">
        <x:v>郭海燕</x:v>
      </x:c>
      <x:c r="V1593" s="12" t="str">
        <x:v>5号车</x:v>
      </x:c>
      <x:c r="W1593" s="12" t="str">
        <x:v>秒级预测</x:v>
      </x:c>
      <x:c r="X1593" s="12" t="str">
        <x:v>基于路线秒级参数；如录入实测或手动采用秒，预计到达时间可随公式更新</x:v>
      </x:c>
    </x:row>
    <x:row r="1594">
      <x:c r="A1594" s="12" t="str">
        <x:v>S0137-03</x:v>
      </x:c>
      <x:c r="B1594" s="12" t="str">
        <x:v>S0137</x:v>
      </x:c>
      <x:c r="C1594" s="12" t="str">
        <x:v>工作日</x:v>
      </x:c>
      <x:c r="D1594" s="12" t="str">
        <x:v>环线3路</x:v>
      </x:c>
      <x:c r="E1594" s="12" t="str">
        <x:v>第二班</x:v>
      </x:c>
      <x:c r="F1594" s="12" t="n">
        <x:v>3</x:v>
      </x:c>
      <x:c r="G1594" s="12" t="str">
        <x:v>8:45</x:v>
      </x:c>
      <x:c r="H1594" s="12" t="n">
        <x:v>525</x:v>
      </x:c>
      <x:c r="I1594" s="12" t="str">
        <x:v>研究生宿舍楼</x:v>
      </x:c>
      <x:c r="J1594" s="12" t="str">
        <x:v>研究生宿舍楼发车</x:v>
      </x:c>
      <x:c r="K1594" s="12" t="str">
        <x:v>HX3_NORMAL</x:v>
      </x:c>
      <x:c r="L1594" s="12" t="n">
        <x:v>3</x:v>
      </x:c>
      <x:c r="M1594" s="12" t="str">
        <x:v>HX3_NORMAL|3</x:v>
      </x:c>
      <x:c r="N1594" s="12" t="str">
        <x:v>2号宿舍楼</x:v>
      </x:c>
      <x:c r="O1594" s="12" t="n">
        <x:f>IFERROR(INDEX('秒级路线参数_可调整'!$O:$O,MATCH(M1594,'秒级路线参数_可调整'!$A:$A,0)),"")</x:f>
        <x:v>120</x:v>
      </x:c>
      <x:c r="P1594" s="12" t="n">
        <x:f>IF(O1594="","",O1594/86400)</x:f>
        <x:v>0.001388888888888889</x:v>
      </x:c>
      <x:c r="Q1594" s="12" t="n">
        <x:f>IF(O1594="","",(H1594*60+O1594)/86400)</x:f>
        <x:v>0.3659722222222222</x:v>
      </x:c>
      <x:c r="R1594" s="12" t="str">
        <x:f>IF(Q1594="","",TEXT(Q1594,"hh:mm:ss"))</x:f>
        <x:v>08:47:00</x:v>
      </x:c>
      <x:c r="S1594" s="12" t="str">
        <x:v>否</x:v>
      </x:c>
      <x:c r="T1594" s="12" t="str">
        <x:v>否</x:v>
      </x:c>
      <x:c r="U1594" s="12" t="str">
        <x:v>郭海燕</x:v>
      </x:c>
      <x:c r="V1594" s="12" t="str">
        <x:v>5号车</x:v>
      </x:c>
      <x:c r="W1594" s="12" t="str">
        <x:v>秒级预测</x:v>
      </x:c>
      <x:c r="X1594" s="12" t="str">
        <x:v>基于路线秒级参数；如录入实测或手动采用秒，预计到达时间可随公式更新</x:v>
      </x:c>
    </x:row>
    <x:row r="1595">
      <x:c r="A1595" s="12" t="str">
        <x:v>S0137-04</x:v>
      </x:c>
      <x:c r="B1595" s="12" t="str">
        <x:v>S0137</x:v>
      </x:c>
      <x:c r="C1595" s="12" t="str">
        <x:v>工作日</x:v>
      </x:c>
      <x:c r="D1595" s="12" t="str">
        <x:v>环线3路</x:v>
      </x:c>
      <x:c r="E1595" s="12" t="str">
        <x:v>第二班</x:v>
      </x:c>
      <x:c r="F1595" s="12" t="n">
        <x:v>3</x:v>
      </x:c>
      <x:c r="G1595" s="12" t="str">
        <x:v>8:45</x:v>
      </x:c>
      <x:c r="H1595" s="12" t="n">
        <x:v>525</x:v>
      </x:c>
      <x:c r="I1595" s="12" t="str">
        <x:v>研究生宿舍楼</x:v>
      </x:c>
      <x:c r="J1595" s="12" t="str">
        <x:v>研究生宿舍楼发车</x:v>
      </x:c>
      <x:c r="K1595" s="12" t="str">
        <x:v>HX3_NORMAL</x:v>
      </x:c>
      <x:c r="L1595" s="12" t="n">
        <x:v>4</x:v>
      </x:c>
      <x:c r="M1595" s="12" t="str">
        <x:v>HX3_NORMAL|4</x:v>
      </x:c>
      <x:c r="N1595" s="12" t="str">
        <x:v>军体活动中心</x:v>
      </x:c>
      <x:c r="O1595" s="12" t="n">
        <x:f>IFERROR(INDEX('秒级路线参数_可调整'!$O:$O,MATCH(M1595,'秒级路线参数_可调整'!$A:$A,0)),"")</x:f>
        <x:v>165</x:v>
      </x:c>
      <x:c r="P1595" s="12" t="n">
        <x:f>IF(O1595="","",O1595/86400)</x:f>
        <x:v>0.0019097222222222222</x:v>
      </x:c>
      <x:c r="Q1595" s="12" t="n">
        <x:f>IF(O1595="","",(H1595*60+O1595)/86400)</x:f>
        <x:v>0.36649305555555556</x:v>
      </x:c>
      <x:c r="R1595" s="12" t="str">
        <x:f>IF(Q1595="","",TEXT(Q1595,"hh:mm:ss"))</x:f>
        <x:v>08:47:45</x:v>
      </x:c>
      <x:c r="S1595" s="12" t="str">
        <x:v>否</x:v>
      </x:c>
      <x:c r="T1595" s="12" t="str">
        <x:v>否</x:v>
      </x:c>
      <x:c r="U1595" s="12" t="str">
        <x:v>郭海燕</x:v>
      </x:c>
      <x:c r="V1595" s="12" t="str">
        <x:v>5号车</x:v>
      </x:c>
      <x:c r="W1595" s="12" t="str">
        <x:v>秒级预测</x:v>
      </x:c>
      <x:c r="X1595" s="12" t="str">
        <x:v>基于路线秒级参数；如录入实测或手动采用秒，预计到达时间可随公式更新</x:v>
      </x:c>
    </x:row>
    <x:row r="1596">
      <x:c r="A1596" s="12" t="str">
        <x:v>S0137-05</x:v>
      </x:c>
      <x:c r="B1596" s="12" t="str">
        <x:v>S0137</x:v>
      </x:c>
      <x:c r="C1596" s="12" t="str">
        <x:v>工作日</x:v>
      </x:c>
      <x:c r="D1596" s="12" t="str">
        <x:v>环线3路</x:v>
      </x:c>
      <x:c r="E1596" s="12" t="str">
        <x:v>第二班</x:v>
      </x:c>
      <x:c r="F1596" s="12" t="n">
        <x:v>3</x:v>
      </x:c>
      <x:c r="G1596" s="12" t="str">
        <x:v>8:45</x:v>
      </x:c>
      <x:c r="H1596" s="12" t="n">
        <x:v>525</x:v>
      </x:c>
      <x:c r="I1596" s="12" t="str">
        <x:v>研究生宿舍楼</x:v>
      </x:c>
      <x:c r="J1596" s="12" t="str">
        <x:v>研究生宿舍楼发车</x:v>
      </x:c>
      <x:c r="K1596" s="12" t="str">
        <x:v>HX3_NORMAL</x:v>
      </x:c>
      <x:c r="L1596" s="12" t="n">
        <x:v>5</x:v>
      </x:c>
      <x:c r="M1596" s="12" t="str">
        <x:v>HX3_NORMAL|5</x:v>
      </x:c>
      <x:c r="N1596" s="12" t="str">
        <x:v>教勤连</x:v>
      </x:c>
      <x:c r="O1596" s="12" t="n">
        <x:f>IFERROR(INDEX('秒级路线参数_可调整'!$O:$O,MATCH(M1596,'秒级路线参数_可调整'!$A:$A,0)),"")</x:f>
        <x:v>250</x:v>
      </x:c>
      <x:c r="P1596" s="12" t="n">
        <x:f>IF(O1596="","",O1596/86400)</x:f>
        <x:v>0.0028935185185185184</x:v>
      </x:c>
      <x:c r="Q1596" s="12" t="n">
        <x:f>IF(O1596="","",(H1596*60+O1596)/86400)</x:f>
        <x:v>0.36747685185185186</x:v>
      </x:c>
      <x:c r="R1596" s="12" t="str">
        <x:f>IF(Q1596="","",TEXT(Q1596,"hh:mm:ss"))</x:f>
        <x:v>08:49:10</x:v>
      </x:c>
      <x:c r="S1596" s="12" t="str">
        <x:v>否</x:v>
      </x:c>
      <x:c r="T1596" s="12" t="str">
        <x:v>否</x:v>
      </x:c>
      <x:c r="U1596" s="12" t="str">
        <x:v>郭海燕</x:v>
      </x:c>
      <x:c r="V1596" s="12" t="str">
        <x:v>5号车</x:v>
      </x:c>
      <x:c r="W1596" s="12" t="str">
        <x:v>秒级预测</x:v>
      </x:c>
      <x:c r="X1596" s="12" t="str">
        <x:v>基于路线秒级参数；如录入实测或手动采用秒，预计到达时间可随公式更新</x:v>
      </x:c>
    </x:row>
    <x:row r="1597">
      <x:c r="A1597" s="12" t="str">
        <x:v>S0137-06</x:v>
      </x:c>
      <x:c r="B1597" s="12" t="str">
        <x:v>S0137</x:v>
      </x:c>
      <x:c r="C1597" s="12" t="str">
        <x:v>工作日</x:v>
      </x:c>
      <x:c r="D1597" s="12" t="str">
        <x:v>环线3路</x:v>
      </x:c>
      <x:c r="E1597" s="12" t="str">
        <x:v>第二班</x:v>
      </x:c>
      <x:c r="F1597" s="12" t="n">
        <x:v>3</x:v>
      </x:c>
      <x:c r="G1597" s="12" t="str">
        <x:v>8:45</x:v>
      </x:c>
      <x:c r="H1597" s="12" t="n">
        <x:v>525</x:v>
      </x:c>
      <x:c r="I1597" s="12" t="str">
        <x:v>研究生宿舍楼</x:v>
      </x:c>
      <x:c r="J1597" s="12" t="str">
        <x:v>研究生宿舍楼发车</x:v>
      </x:c>
      <x:c r="K1597" s="12" t="str">
        <x:v>HX3_NORMAL</x:v>
      </x:c>
      <x:c r="L1597" s="12" t="n">
        <x:v>6</x:v>
      </x:c>
      <x:c r="M1597" s="12" t="str">
        <x:v>HX3_NORMAL|6</x:v>
      </x:c>
      <x:c r="N1597" s="12" t="str">
        <x:v>激光所</x:v>
      </x:c>
      <x:c r="O1597" s="12" t="n">
        <x:f>IFERROR(INDEX('秒级路线参数_可调整'!$O:$O,MATCH(M1597,'秒级路线参数_可调整'!$A:$A,0)),"")</x:f>
        <x:v>315</x:v>
      </x:c>
      <x:c r="P1597" s="12" t="n">
        <x:f>IF(O1597="","",O1597/86400)</x:f>
        <x:v>0.0036458333333333334</x:v>
      </x:c>
      <x:c r="Q1597" s="12" t="n">
        <x:f>IF(O1597="","",(H1597*60+O1597)/86400)</x:f>
        <x:v>0.36822916666666666</x:v>
      </x:c>
      <x:c r="R1597" s="12" t="str">
        <x:f>IF(Q1597="","",TEXT(Q1597,"hh:mm:ss"))</x:f>
        <x:v>08:50:15</x:v>
      </x:c>
      <x:c r="S1597" s="12" t="str">
        <x:v>否</x:v>
      </x:c>
      <x:c r="T1597" s="12" t="str">
        <x:v>否</x:v>
      </x:c>
      <x:c r="U1597" s="12" t="str">
        <x:v>郭海燕</x:v>
      </x:c>
      <x:c r="V1597" s="12" t="str">
        <x:v>5号车</x:v>
      </x:c>
      <x:c r="W1597" s="12" t="str">
        <x:v>秒级预测</x:v>
      </x:c>
      <x:c r="X1597" s="12" t="str">
        <x:v>基于路线秒级参数；如录入实测或手动采用秒，预计到达时间可随公式更新</x:v>
      </x:c>
    </x:row>
    <x:row r="1598">
      <x:c r="A1598" s="12" t="str">
        <x:v>S0137-07</x:v>
      </x:c>
      <x:c r="B1598" s="12" t="str">
        <x:v>S0137</x:v>
      </x:c>
      <x:c r="C1598" s="12" t="str">
        <x:v>工作日</x:v>
      </x:c>
      <x:c r="D1598" s="12" t="str">
        <x:v>环线3路</x:v>
      </x:c>
      <x:c r="E1598" s="12" t="str">
        <x:v>第二班</x:v>
      </x:c>
      <x:c r="F1598" s="12" t="n">
        <x:v>3</x:v>
      </x:c>
      <x:c r="G1598" s="12" t="str">
        <x:v>8:45</x:v>
      </x:c>
      <x:c r="H1598" s="12" t="n">
        <x:v>525</x:v>
      </x:c>
      <x:c r="I1598" s="12" t="str">
        <x:v>研究生宿舍楼</x:v>
      </x:c>
      <x:c r="J1598" s="12" t="str">
        <x:v>研究生宿舍楼发车</x:v>
      </x:c>
      <x:c r="K1598" s="12" t="str">
        <x:v>HX3_NORMAL</x:v>
      </x:c>
      <x:c r="L1598" s="12" t="n">
        <x:v>7</x:v>
      </x:c>
      <x:c r="M1598" s="12" t="str">
        <x:v>HX3_NORMAL|7</x:v>
      </x:c>
      <x:c r="N1598" s="12" t="str">
        <x:v>高超楼</x:v>
      </x:c>
      <x:c r="O1598" s="12" t="n">
        <x:f>IFERROR(INDEX('秒级路线参数_可调整'!$O:$O,MATCH(M1598,'秒级路线参数_可调整'!$A:$A,0)),"")</x:f>
        <x:v>420</x:v>
      </x:c>
      <x:c r="P1598" s="12" t="n">
        <x:f>IF(O1598="","",O1598/86400)</x:f>
        <x:v>0.004861111111111111</x:v>
      </x:c>
      <x:c r="Q1598" s="12" t="n">
        <x:f>IF(O1598="","",(H1598*60+O1598)/86400)</x:f>
        <x:v>0.36944444444444446</x:v>
      </x:c>
      <x:c r="R1598" s="12" t="str">
        <x:f>IF(Q1598="","",TEXT(Q1598,"hh:mm:ss"))</x:f>
        <x:v>08:52:00</x:v>
      </x:c>
      <x:c r="S1598" s="12" t="str">
        <x:v>否</x:v>
      </x:c>
      <x:c r="T1598" s="12" t="str">
        <x:v>否</x:v>
      </x:c>
      <x:c r="U1598" s="12" t="str">
        <x:v>郭海燕</x:v>
      </x:c>
      <x:c r="V1598" s="12" t="str">
        <x:v>5号车</x:v>
      </x:c>
      <x:c r="W1598" s="12" t="str">
        <x:v>秒级预测</x:v>
      </x:c>
      <x:c r="X1598" s="12" t="str">
        <x:v>基于路线秒级参数；如录入实测或手动采用秒，预计到达时间可随公式更新</x:v>
      </x:c>
    </x:row>
    <x:row r="1599">
      <x:c r="A1599" s="12" t="str">
        <x:v>S0137-08</x:v>
      </x:c>
      <x:c r="B1599" s="12" t="str">
        <x:v>S0137</x:v>
      </x:c>
      <x:c r="C1599" s="12" t="str">
        <x:v>工作日</x:v>
      </x:c>
      <x:c r="D1599" s="12" t="str">
        <x:v>环线3路</x:v>
      </x:c>
      <x:c r="E1599" s="12" t="str">
        <x:v>第二班</x:v>
      </x:c>
      <x:c r="F1599" s="12" t="n">
        <x:v>3</x:v>
      </x:c>
      <x:c r="G1599" s="12" t="str">
        <x:v>8:45</x:v>
      </x:c>
      <x:c r="H1599" s="12" t="n">
        <x:v>525</x:v>
      </x:c>
      <x:c r="I1599" s="12" t="str">
        <x:v>研究生宿舍楼</x:v>
      </x:c>
      <x:c r="J1599" s="12" t="str">
        <x:v>研究生宿舍楼发车</x:v>
      </x:c>
      <x:c r="K1599" s="12" t="str">
        <x:v>HX3_NORMAL</x:v>
      </x:c>
      <x:c r="L1599" s="12" t="n">
        <x:v>8</x:v>
      </x:c>
      <x:c r="M1599" s="12" t="str">
        <x:v>HX3_NORMAL|8</x:v>
      </x:c>
      <x:c r="N1599" s="12" t="str">
        <x:v>理学院</x:v>
      </x:c>
      <x:c r="O1599" s="12" t="n">
        <x:f>IFERROR(INDEX('秒级路线参数_可调整'!$O:$O,MATCH(M1599,'秒级路线参数_可调整'!$A:$A,0)),"")</x:f>
        <x:v>480</x:v>
      </x:c>
      <x:c r="P1599" s="12" t="n">
        <x:f>IF(O1599="","",O1599/86400)</x:f>
        <x:v>0.005555555555555556</x:v>
      </x:c>
      <x:c r="Q1599" s="12" t="n">
        <x:f>IF(O1599="","",(H1599*60+O1599)/86400)</x:f>
        <x:v>0.3701388888888889</x:v>
      </x:c>
      <x:c r="R1599" s="12" t="str">
        <x:f>IF(Q1599="","",TEXT(Q1599,"hh:mm:ss"))</x:f>
        <x:v>08:53:00</x:v>
      </x:c>
      <x:c r="S1599" s="12" t="str">
        <x:v>否</x:v>
      </x:c>
      <x:c r="T1599" s="12" t="str">
        <x:v>否</x:v>
      </x:c>
      <x:c r="U1599" s="12" t="str">
        <x:v>郭海燕</x:v>
      </x:c>
      <x:c r="V1599" s="12" t="str">
        <x:v>5号车</x:v>
      </x:c>
      <x:c r="W1599" s="12" t="str">
        <x:v>秒级预测</x:v>
      </x:c>
      <x:c r="X1599" s="12" t="str">
        <x:v>基于路线秒级参数；如录入实测或手动采用秒，预计到达时间可随公式更新</x:v>
      </x:c>
    </x:row>
    <x:row r="1600">
      <x:c r="A1600" s="12" t="str">
        <x:v>S0137-09</x:v>
      </x:c>
      <x:c r="B1600" s="12" t="str">
        <x:v>S0137</x:v>
      </x:c>
      <x:c r="C1600" s="12" t="str">
        <x:v>工作日</x:v>
      </x:c>
      <x:c r="D1600" s="12" t="str">
        <x:v>环线3路</x:v>
      </x:c>
      <x:c r="E1600" s="12" t="str">
        <x:v>第二班</x:v>
      </x:c>
      <x:c r="F1600" s="12" t="n">
        <x:v>3</x:v>
      </x:c>
      <x:c r="G1600" s="12" t="str">
        <x:v>8:45</x:v>
      </x:c>
      <x:c r="H1600" s="12" t="n">
        <x:v>525</x:v>
      </x:c>
      <x:c r="I1600" s="12" t="str">
        <x:v>研究生宿舍楼</x:v>
      </x:c>
      <x:c r="J1600" s="12" t="str">
        <x:v>研究生宿舍楼发车</x:v>
      </x:c>
      <x:c r="K1600" s="12" t="str">
        <x:v>HX3_NORMAL</x:v>
      </x:c>
      <x:c r="L1600" s="12" t="n">
        <x:v>9</x:v>
      </x:c>
      <x:c r="M1600" s="12" t="str">
        <x:v>HX3_NORMAL|9</x:v>
      </x:c>
      <x:c r="N1600" s="12" t="str">
        <x:v>二食堂</x:v>
      </x:c>
      <x:c r="O1600" s="12" t="n">
        <x:f>IFERROR(INDEX('秒级路线参数_可调整'!$O:$O,MATCH(M1600,'秒级路线参数_可调整'!$A:$A,0)),"")</x:f>
        <x:v>535</x:v>
      </x:c>
      <x:c r="P1600" s="12" t="n">
        <x:f>IF(O1600="","",O1600/86400)</x:f>
        <x:v>0.00619212962962963</x:v>
      </x:c>
      <x:c r="Q1600" s="12" t="n">
        <x:f>IF(O1600="","",(H1600*60+O1600)/86400)</x:f>
        <x:v>0.370775462962963</x:v>
      </x:c>
      <x:c r="R1600" s="12" t="str">
        <x:f>IF(Q1600="","",TEXT(Q1600,"hh:mm:ss"))</x:f>
        <x:v>08:53:55</x:v>
      </x:c>
      <x:c r="S1600" s="12" t="str">
        <x:v>否</x:v>
      </x:c>
      <x:c r="T1600" s="12" t="str">
        <x:v>否</x:v>
      </x:c>
      <x:c r="U1600" s="12" t="str">
        <x:v>郭海燕</x:v>
      </x:c>
      <x:c r="V1600" s="12" t="str">
        <x:v>5号车</x:v>
      </x:c>
      <x:c r="W1600" s="12" t="str">
        <x:v>秒级预测</x:v>
      </x:c>
      <x:c r="X1600" s="12" t="str">
        <x:v>基于路线秒级参数；如录入实测或手动采用秒，预计到达时间可随公式更新</x:v>
      </x:c>
    </x:row>
    <x:row r="1601">
      <x:c r="A1601" s="12" t="str">
        <x:v>S0137-10</x:v>
      </x:c>
      <x:c r="B1601" s="12" t="str">
        <x:v>S0137</x:v>
      </x:c>
      <x:c r="C1601" s="12" t="str">
        <x:v>工作日</x:v>
      </x:c>
      <x:c r="D1601" s="12" t="str">
        <x:v>环线3路</x:v>
      </x:c>
      <x:c r="E1601" s="12" t="str">
        <x:v>第二班</x:v>
      </x:c>
      <x:c r="F1601" s="12" t="n">
        <x:v>3</x:v>
      </x:c>
      <x:c r="G1601" s="12" t="str">
        <x:v>8:45</x:v>
      </x:c>
      <x:c r="H1601" s="12" t="n">
        <x:v>525</x:v>
      </x:c>
      <x:c r="I1601" s="12" t="str">
        <x:v>研究生宿舍楼</x:v>
      </x:c>
      <x:c r="J1601" s="12" t="str">
        <x:v>研究生宿舍楼发车</x:v>
      </x:c>
      <x:c r="K1601" s="12" t="str">
        <x:v>HX3_NORMAL</x:v>
      </x:c>
      <x:c r="L1601" s="12" t="n">
        <x:v>10</x:v>
      </x:c>
      <x:c r="M1601" s="12" t="str">
        <x:v>HX3_NORMAL|10</x:v>
      </x:c>
      <x:c r="N1601" s="12" t="str">
        <x:v>图书馆</x:v>
      </x:c>
      <x:c r="O1601" s="12" t="n">
        <x:f>IFERROR(INDEX('秒级路线参数_可调整'!$O:$O,MATCH(M1601,'秒级路线参数_可调整'!$A:$A,0)),"")</x:f>
        <x:v>715</x:v>
      </x:c>
      <x:c r="P1601" s="12" t="n">
        <x:f>IF(O1601="","",O1601/86400)</x:f>
        <x:v>0.008275462962962964</x:v>
      </x:c>
      <x:c r="Q1601" s="12" t="n">
        <x:f>IF(O1601="","",(H1601*60+O1601)/86400)</x:f>
        <x:v>0.3728587962962963</x:v>
      </x:c>
      <x:c r="R1601" s="12" t="str">
        <x:f>IF(Q1601="","",TEXT(Q1601,"hh:mm:ss"))</x:f>
        <x:v>08:56:55</x:v>
      </x:c>
      <x:c r="S1601" s="12" t="str">
        <x:v>否</x:v>
      </x:c>
      <x:c r="T1601" s="12" t="str">
        <x:v>否</x:v>
      </x:c>
      <x:c r="U1601" s="12" t="str">
        <x:v>郭海燕</x:v>
      </x:c>
      <x:c r="V1601" s="12" t="str">
        <x:v>5号车</x:v>
      </x:c>
      <x:c r="W1601" s="12" t="str">
        <x:v>秒级预测</x:v>
      </x:c>
      <x:c r="X1601" s="12" t="str">
        <x:v>基于路线秒级参数；如录入实测或手动采用秒，预计到达时间可随公式更新</x:v>
      </x:c>
    </x:row>
    <x:row r="1602">
      <x:c r="A1602" s="12" t="str">
        <x:v>S0137-11</x:v>
      </x:c>
      <x:c r="B1602" s="12" t="str">
        <x:v>S0137</x:v>
      </x:c>
      <x:c r="C1602" s="12" t="str">
        <x:v>工作日</x:v>
      </x:c>
      <x:c r="D1602" s="12" t="str">
        <x:v>环线3路</x:v>
      </x:c>
      <x:c r="E1602" s="12" t="str">
        <x:v>第二班</x:v>
      </x:c>
      <x:c r="F1602" s="12" t="n">
        <x:v>3</x:v>
      </x:c>
      <x:c r="G1602" s="12" t="str">
        <x:v>8:45</x:v>
      </x:c>
      <x:c r="H1602" s="12" t="n">
        <x:v>525</x:v>
      </x:c>
      <x:c r="I1602" s="12" t="str">
        <x:v>研究生宿舍楼</x:v>
      </x:c>
      <x:c r="J1602" s="12" t="str">
        <x:v>研究生宿舍楼发车</x:v>
      </x:c>
      <x:c r="K1602" s="12" t="str">
        <x:v>HX3_NORMAL</x:v>
      </x:c>
      <x:c r="L1602" s="12" t="n">
        <x:v>11</x:v>
      </x:c>
      <x:c r="M1602" s="12" t="str">
        <x:v>HX3_NORMAL|11</x:v>
      </x:c>
      <x:c r="N1602" s="12" t="str">
        <x:v>305教学楼</x:v>
      </x:c>
      <x:c r="O1602" s="12" t="n">
        <x:f>IFERROR(INDEX('秒级路线参数_可调整'!$O:$O,MATCH(M1602,'秒级路线参数_可调整'!$A:$A,0)),"")</x:f>
        <x:v>775</x:v>
      </x:c>
      <x:c r="P1602" s="12" t="n">
        <x:f>IF(O1602="","",O1602/86400)</x:f>
        <x:v>0.008969907407407407</x:v>
      </x:c>
      <x:c r="Q1602" s="12" t="n">
        <x:f>IF(O1602="","",(H1602*60+O1602)/86400)</x:f>
        <x:v>0.37355324074074076</x:v>
      </x:c>
      <x:c r="R1602" s="12" t="str">
        <x:f>IF(Q1602="","",TEXT(Q1602,"hh:mm:ss"))</x:f>
        <x:v>08:57:55</x:v>
      </x:c>
      <x:c r="S1602" s="12" t="str">
        <x:v>否</x:v>
      </x:c>
      <x:c r="T1602" s="12" t="str">
        <x:v>否</x:v>
      </x:c>
      <x:c r="U1602" s="12" t="str">
        <x:v>郭海燕</x:v>
      </x:c>
      <x:c r="V1602" s="12" t="str">
        <x:v>5号车</x:v>
      </x:c>
      <x:c r="W1602" s="12" t="str">
        <x:v>秒级预测</x:v>
      </x:c>
      <x:c r="X1602" s="12" t="str">
        <x:v>基于路线秒级参数；如录入实测或手动采用秒，预计到达时间可随公式更新</x:v>
      </x:c>
    </x:row>
    <x:row r="1603">
      <x:c r="A1603" s="12" t="str">
        <x:v>S0137-12</x:v>
      </x:c>
      <x:c r="B1603" s="12" t="str">
        <x:v>S0137</x:v>
      </x:c>
      <x:c r="C1603" s="12" t="str">
        <x:v>工作日</x:v>
      </x:c>
      <x:c r="D1603" s="12" t="str">
        <x:v>环线3路</x:v>
      </x:c>
      <x:c r="E1603" s="12" t="str">
        <x:v>第二班</x:v>
      </x:c>
      <x:c r="F1603" s="12" t="n">
        <x:v>3</x:v>
      </x:c>
      <x:c r="G1603" s="12" t="str">
        <x:v>8:45</x:v>
      </x:c>
      <x:c r="H1603" s="12" t="n">
        <x:v>525</x:v>
      </x:c>
      <x:c r="I1603" s="12" t="str">
        <x:v>研究生宿舍楼</x:v>
      </x:c>
      <x:c r="J1603" s="12" t="str">
        <x:v>研究生宿舍楼发车</x:v>
      </x:c>
      <x:c r="K1603" s="12" t="str">
        <x:v>HX3_NORMAL</x:v>
      </x:c>
      <x:c r="L1603" s="12" t="n">
        <x:v>12</x:v>
      </x:c>
      <x:c r="M1603" s="12" t="str">
        <x:v>HX3_NORMAL|12</x:v>
      </x:c>
      <x:c r="N1603" s="12" t="str">
        <x:v>研究生宿舍楼</x:v>
      </x:c>
      <x:c r="O1603" s="12" t="n">
        <x:f>IFERROR(INDEX('秒级路线参数_可调整'!$O:$O,MATCH(M1603,'秒级路线参数_可调整'!$A:$A,0)),"")</x:f>
        <x:v>840</x:v>
      </x:c>
      <x:c r="P1603" s="12" t="n">
        <x:f>IF(O1603="","",O1603/86400)</x:f>
        <x:v>0.009722222222222222</x:v>
      </x:c>
      <x:c r="Q1603" s="12" t="n">
        <x:f>IF(O1603="","",(H1603*60+O1603)/86400)</x:f>
        <x:v>0.37430555555555556</x:v>
      </x:c>
      <x:c r="R1603" s="12" t="str">
        <x:f>IF(Q1603="","",TEXT(Q1603,"hh:mm:ss"))</x:f>
        <x:v>08:59:00</x:v>
      </x:c>
      <x:c r="S1603" s="12" t="str">
        <x:v>否</x:v>
      </x:c>
      <x:c r="T1603" s="12" t="str">
        <x:v>是</x:v>
      </x:c>
      <x:c r="U1603" s="12" t="str">
        <x:v>郭海燕</x:v>
      </x:c>
      <x:c r="V1603" s="12" t="str">
        <x:v>5号车</x:v>
      </x:c>
      <x:c r="W1603" s="12" t="str">
        <x:v>秒级预测</x:v>
      </x:c>
      <x:c r="X1603" s="12" t="str">
        <x:v>基于路线秒级参数；如录入实测或手动采用秒，预计到达时间可随公式更新</x:v>
      </x:c>
    </x:row>
    <x:row r="1604">
      <x:c r="A1604" s="12" t="str">
        <x:v>S0138-01</x:v>
      </x:c>
      <x:c r="B1604" s="12" t="str">
        <x:v>S0138</x:v>
      </x:c>
      <x:c r="C1604" s="12" t="str">
        <x:v>工作日</x:v>
      </x:c>
      <x:c r="D1604" s="12" t="str">
        <x:v>环线3路</x:v>
      </x:c>
      <x:c r="E1604" s="12" t="str">
        <x:v>第二班</x:v>
      </x:c>
      <x:c r="F1604" s="12" t="n">
        <x:v>4</x:v>
      </x:c>
      <x:c r="G1604" s="12" t="str">
        <x:v>9:20</x:v>
      </x:c>
      <x:c r="H1604" s="12" t="n">
        <x:v>560</x:v>
      </x:c>
      <x:c r="I1604" s="12" t="str">
        <x:v>研究生宿舍楼</x:v>
      </x:c>
      <x:c r="J1604" s="12" t="str">
        <x:v>研究生宿舍楼发车</x:v>
      </x:c>
      <x:c r="K1604" s="12" t="str">
        <x:v>HX3_NORMAL</x:v>
      </x:c>
      <x:c r="L1604" s="12" t="n">
        <x:v>1</x:v>
      </x:c>
      <x:c r="M1604" s="12" t="str">
        <x:v>HX3_NORMAL|1</x:v>
      </x:c>
      <x:c r="N1604" s="12" t="str">
        <x:v>研究生宿舍楼</x:v>
      </x:c>
      <x:c r="O1604" s="12" t="n">
        <x:f>IFERROR(INDEX('秒级路线参数_可调整'!$O:$O,MATCH(M1604,'秒级路线参数_可调整'!$A:$A,0)),"")</x:f>
        <x:v>0</x:v>
      </x:c>
      <x:c r="P1604" s="12" t="str">
        <x:f>IF(O1604="","",O1604/86400)</x:f>
      </x:c>
      <x:c r="Q1604" s="12" t="str">
        <x:f>IF(O1604="","",(H1604*60+O1604)/86400)</x:f>
      </x:c>
      <x:c r="R1604" s="12" t="str">
        <x:f>IF(Q1604="","",TEXT(Q1604,"hh:mm:ss"))</x:f>
      </x:c>
      <x:c r="S1604" s="12" t="str">
        <x:v>是</x:v>
      </x:c>
      <x:c r="T1604" s="12" t="str">
        <x:v>否</x:v>
      </x:c>
      <x:c r="U1604" s="12" t="str">
        <x:v>郭海燕</x:v>
      </x:c>
      <x:c r="V1604" s="12" t="str">
        <x:v>5号车</x:v>
      </x:c>
      <x:c r="W1604" s="12" t="str">
        <x:v>秒级预测</x:v>
      </x:c>
      <x:c r="X1604" s="12" t="str">
        <x:v>基于路线秒级参数；如录入实测或手动采用秒，预计到达时间可随公式更新</x:v>
      </x:c>
    </x:row>
    <x:row r="1605">
      <x:c r="A1605" s="12" t="str">
        <x:v>S0138-02</x:v>
      </x:c>
      <x:c r="B1605" s="12" t="str">
        <x:v>S0138</x:v>
      </x:c>
      <x:c r="C1605" s="12" t="str">
        <x:v>工作日</x:v>
      </x:c>
      <x:c r="D1605" s="12" t="str">
        <x:v>环线3路</x:v>
      </x:c>
      <x:c r="E1605" s="12" t="str">
        <x:v>第二班</x:v>
      </x:c>
      <x:c r="F1605" s="12" t="n">
        <x:v>4</x:v>
      </x:c>
      <x:c r="G1605" s="12" t="str">
        <x:v>9:20</x:v>
      </x:c>
      <x:c r="H1605" s="12" t="n">
        <x:v>560</x:v>
      </x:c>
      <x:c r="I1605" s="12" t="str">
        <x:v>研究生宿舍楼</x:v>
      </x:c>
      <x:c r="J1605" s="12" t="str">
        <x:v>研究生宿舍楼发车</x:v>
      </x:c>
      <x:c r="K1605" s="12" t="str">
        <x:v>HX3_NORMAL</x:v>
      </x:c>
      <x:c r="L1605" s="12" t="n">
        <x:v>2</x:v>
      </x:c>
      <x:c r="M1605" s="12" t="str">
        <x:v>HX3_NORMAL|2</x:v>
      </x:c>
      <x:c r="N1605" s="12" t="str">
        <x:v>一食堂</x:v>
      </x:c>
      <x:c r="O1605" s="12" t="n">
        <x:f>IFERROR(INDEX('秒级路线参数_可调整'!$O:$O,MATCH(M1605,'秒级路线参数_可调整'!$A:$A,0)),"")</x:f>
        <x:v>65</x:v>
      </x:c>
      <x:c r="P1605" s="12" t="n">
        <x:f>IF(O1605="","",O1605/86400)</x:f>
        <x:v>0.0007523148148148148</x:v>
      </x:c>
      <x:c r="Q1605" s="12" t="n">
        <x:f>IF(O1605="","",(H1605*60+O1605)/86400)</x:f>
        <x:v>0.3896412037037037</x:v>
      </x:c>
      <x:c r="R1605" s="12" t="str">
        <x:f>IF(Q1605="","",TEXT(Q1605,"hh:mm:ss"))</x:f>
        <x:v>09:21:05</x:v>
      </x:c>
      <x:c r="S1605" s="12" t="str">
        <x:v>否</x:v>
      </x:c>
      <x:c r="T1605" s="12" t="str">
        <x:v>否</x:v>
      </x:c>
      <x:c r="U1605" s="12" t="str">
        <x:v>郭海燕</x:v>
      </x:c>
      <x:c r="V1605" s="12" t="str">
        <x:v>5号车</x:v>
      </x:c>
      <x:c r="W1605" s="12" t="str">
        <x:v>秒级预测</x:v>
      </x:c>
      <x:c r="X1605" s="12" t="str">
        <x:v>基于路线秒级参数；如录入实测或手动采用秒，预计到达时间可随公式更新</x:v>
      </x:c>
    </x:row>
    <x:row r="1606">
      <x:c r="A1606" s="12" t="str">
        <x:v>S0138-03</x:v>
      </x:c>
      <x:c r="B1606" s="12" t="str">
        <x:v>S0138</x:v>
      </x:c>
      <x:c r="C1606" s="12" t="str">
        <x:v>工作日</x:v>
      </x:c>
      <x:c r="D1606" s="12" t="str">
        <x:v>环线3路</x:v>
      </x:c>
      <x:c r="E1606" s="12" t="str">
        <x:v>第二班</x:v>
      </x:c>
      <x:c r="F1606" s="12" t="n">
        <x:v>4</x:v>
      </x:c>
      <x:c r="G1606" s="12" t="str">
        <x:v>9:20</x:v>
      </x:c>
      <x:c r="H1606" s="12" t="n">
        <x:v>560</x:v>
      </x:c>
      <x:c r="I1606" s="12" t="str">
        <x:v>研究生宿舍楼</x:v>
      </x:c>
      <x:c r="J1606" s="12" t="str">
        <x:v>研究生宿舍楼发车</x:v>
      </x:c>
      <x:c r="K1606" s="12" t="str">
        <x:v>HX3_NORMAL</x:v>
      </x:c>
      <x:c r="L1606" s="12" t="n">
        <x:v>3</x:v>
      </x:c>
      <x:c r="M1606" s="12" t="str">
        <x:v>HX3_NORMAL|3</x:v>
      </x:c>
      <x:c r="N1606" s="12" t="str">
        <x:v>2号宿舍楼</x:v>
      </x:c>
      <x:c r="O1606" s="12" t="n">
        <x:f>IFERROR(INDEX('秒级路线参数_可调整'!$O:$O,MATCH(M1606,'秒级路线参数_可调整'!$A:$A,0)),"")</x:f>
        <x:v>120</x:v>
      </x:c>
      <x:c r="P1606" s="12" t="n">
        <x:f>IF(O1606="","",O1606/86400)</x:f>
        <x:v>0.001388888888888889</x:v>
      </x:c>
      <x:c r="Q1606" s="12" t="n">
        <x:f>IF(O1606="","",(H1606*60+O1606)/86400)</x:f>
        <x:v>0.3902777777777778</x:v>
      </x:c>
      <x:c r="R1606" s="12" t="str">
        <x:f>IF(Q1606="","",TEXT(Q1606,"hh:mm:ss"))</x:f>
        <x:v>09:22:00</x:v>
      </x:c>
      <x:c r="S1606" s="12" t="str">
        <x:v>否</x:v>
      </x:c>
      <x:c r="T1606" s="12" t="str">
        <x:v>否</x:v>
      </x:c>
      <x:c r="U1606" s="12" t="str">
        <x:v>郭海燕</x:v>
      </x:c>
      <x:c r="V1606" s="12" t="str">
        <x:v>5号车</x:v>
      </x:c>
      <x:c r="W1606" s="12" t="str">
        <x:v>秒级预测</x:v>
      </x:c>
      <x:c r="X1606" s="12" t="str">
        <x:v>基于路线秒级参数；如录入实测或手动采用秒，预计到达时间可随公式更新</x:v>
      </x:c>
    </x:row>
    <x:row r="1607">
      <x:c r="A1607" s="12" t="str">
        <x:v>S0138-04</x:v>
      </x:c>
      <x:c r="B1607" s="12" t="str">
        <x:v>S0138</x:v>
      </x:c>
      <x:c r="C1607" s="12" t="str">
        <x:v>工作日</x:v>
      </x:c>
      <x:c r="D1607" s="12" t="str">
        <x:v>环线3路</x:v>
      </x:c>
      <x:c r="E1607" s="12" t="str">
        <x:v>第二班</x:v>
      </x:c>
      <x:c r="F1607" s="12" t="n">
        <x:v>4</x:v>
      </x:c>
      <x:c r="G1607" s="12" t="str">
        <x:v>9:20</x:v>
      </x:c>
      <x:c r="H1607" s="12" t="n">
        <x:v>560</x:v>
      </x:c>
      <x:c r="I1607" s="12" t="str">
        <x:v>研究生宿舍楼</x:v>
      </x:c>
      <x:c r="J1607" s="12" t="str">
        <x:v>研究生宿舍楼发车</x:v>
      </x:c>
      <x:c r="K1607" s="12" t="str">
        <x:v>HX3_NORMAL</x:v>
      </x:c>
      <x:c r="L1607" s="12" t="n">
        <x:v>4</x:v>
      </x:c>
      <x:c r="M1607" s="12" t="str">
        <x:v>HX3_NORMAL|4</x:v>
      </x:c>
      <x:c r="N1607" s="12" t="str">
        <x:v>军体活动中心</x:v>
      </x:c>
      <x:c r="O1607" s="12" t="n">
        <x:f>IFERROR(INDEX('秒级路线参数_可调整'!$O:$O,MATCH(M1607,'秒级路线参数_可调整'!$A:$A,0)),"")</x:f>
        <x:v>165</x:v>
      </x:c>
      <x:c r="P1607" s="12" t="n">
        <x:f>IF(O1607="","",O1607/86400)</x:f>
        <x:v>0.0019097222222222222</x:v>
      </x:c>
      <x:c r="Q1607" s="12" t="n">
        <x:f>IF(O1607="","",(H1607*60+O1607)/86400)</x:f>
        <x:v>0.39079861111111114</x:v>
      </x:c>
      <x:c r="R1607" s="12" t="str">
        <x:f>IF(Q1607="","",TEXT(Q1607,"hh:mm:ss"))</x:f>
        <x:v>09:22:45</x:v>
      </x:c>
      <x:c r="S1607" s="12" t="str">
        <x:v>否</x:v>
      </x:c>
      <x:c r="T1607" s="12" t="str">
        <x:v>否</x:v>
      </x:c>
      <x:c r="U1607" s="12" t="str">
        <x:v>郭海燕</x:v>
      </x:c>
      <x:c r="V1607" s="12" t="str">
        <x:v>5号车</x:v>
      </x:c>
      <x:c r="W1607" s="12" t="str">
        <x:v>秒级预测</x:v>
      </x:c>
      <x:c r="X1607" s="12" t="str">
        <x:v>基于路线秒级参数；如录入实测或手动采用秒，预计到达时间可随公式更新</x:v>
      </x:c>
    </x:row>
    <x:row r="1608">
      <x:c r="A1608" s="12" t="str">
        <x:v>S0138-05</x:v>
      </x:c>
      <x:c r="B1608" s="12" t="str">
        <x:v>S0138</x:v>
      </x:c>
      <x:c r="C1608" s="12" t="str">
        <x:v>工作日</x:v>
      </x:c>
      <x:c r="D1608" s="12" t="str">
        <x:v>环线3路</x:v>
      </x:c>
      <x:c r="E1608" s="12" t="str">
        <x:v>第二班</x:v>
      </x:c>
      <x:c r="F1608" s="12" t="n">
        <x:v>4</x:v>
      </x:c>
      <x:c r="G1608" s="12" t="str">
        <x:v>9:20</x:v>
      </x:c>
      <x:c r="H1608" s="12" t="n">
        <x:v>560</x:v>
      </x:c>
      <x:c r="I1608" s="12" t="str">
        <x:v>研究生宿舍楼</x:v>
      </x:c>
      <x:c r="J1608" s="12" t="str">
        <x:v>研究生宿舍楼发车</x:v>
      </x:c>
      <x:c r="K1608" s="12" t="str">
        <x:v>HX3_NORMAL</x:v>
      </x:c>
      <x:c r="L1608" s="12" t="n">
        <x:v>5</x:v>
      </x:c>
      <x:c r="M1608" s="12" t="str">
        <x:v>HX3_NORMAL|5</x:v>
      </x:c>
      <x:c r="N1608" s="12" t="str">
        <x:v>教勤连</x:v>
      </x:c>
      <x:c r="O1608" s="12" t="n">
        <x:f>IFERROR(INDEX('秒级路线参数_可调整'!$O:$O,MATCH(M1608,'秒级路线参数_可调整'!$A:$A,0)),"")</x:f>
        <x:v>250</x:v>
      </x:c>
      <x:c r="P1608" s="12" t="n">
        <x:f>IF(O1608="","",O1608/86400)</x:f>
        <x:v>0.0028935185185185184</x:v>
      </x:c>
      <x:c r="Q1608" s="12" t="n">
        <x:f>IF(O1608="","",(H1608*60+O1608)/86400)</x:f>
        <x:v>0.3917824074074074</x:v>
      </x:c>
      <x:c r="R1608" s="12" t="str">
        <x:f>IF(Q1608="","",TEXT(Q1608,"hh:mm:ss"))</x:f>
        <x:v>09:24:10</x:v>
      </x:c>
      <x:c r="S1608" s="12" t="str">
        <x:v>否</x:v>
      </x:c>
      <x:c r="T1608" s="12" t="str">
        <x:v>否</x:v>
      </x:c>
      <x:c r="U1608" s="12" t="str">
        <x:v>郭海燕</x:v>
      </x:c>
      <x:c r="V1608" s="12" t="str">
        <x:v>5号车</x:v>
      </x:c>
      <x:c r="W1608" s="12" t="str">
        <x:v>秒级预测</x:v>
      </x:c>
      <x:c r="X1608" s="12" t="str">
        <x:v>基于路线秒级参数；如录入实测或手动采用秒，预计到达时间可随公式更新</x:v>
      </x:c>
    </x:row>
    <x:row r="1609">
      <x:c r="A1609" s="12" t="str">
        <x:v>S0138-06</x:v>
      </x:c>
      <x:c r="B1609" s="12" t="str">
        <x:v>S0138</x:v>
      </x:c>
      <x:c r="C1609" s="12" t="str">
        <x:v>工作日</x:v>
      </x:c>
      <x:c r="D1609" s="12" t="str">
        <x:v>环线3路</x:v>
      </x:c>
      <x:c r="E1609" s="12" t="str">
        <x:v>第二班</x:v>
      </x:c>
      <x:c r="F1609" s="12" t="n">
        <x:v>4</x:v>
      </x:c>
      <x:c r="G1609" s="12" t="str">
        <x:v>9:20</x:v>
      </x:c>
      <x:c r="H1609" s="12" t="n">
        <x:v>560</x:v>
      </x:c>
      <x:c r="I1609" s="12" t="str">
        <x:v>研究生宿舍楼</x:v>
      </x:c>
      <x:c r="J1609" s="12" t="str">
        <x:v>研究生宿舍楼发车</x:v>
      </x:c>
      <x:c r="K1609" s="12" t="str">
        <x:v>HX3_NORMAL</x:v>
      </x:c>
      <x:c r="L1609" s="12" t="n">
        <x:v>6</x:v>
      </x:c>
      <x:c r="M1609" s="12" t="str">
        <x:v>HX3_NORMAL|6</x:v>
      </x:c>
      <x:c r="N1609" s="12" t="str">
        <x:v>激光所</x:v>
      </x:c>
      <x:c r="O1609" s="12" t="n">
        <x:f>IFERROR(INDEX('秒级路线参数_可调整'!$O:$O,MATCH(M1609,'秒级路线参数_可调整'!$A:$A,0)),"")</x:f>
        <x:v>315</x:v>
      </x:c>
      <x:c r="P1609" s="12" t="n">
        <x:f>IF(O1609="","",O1609/86400)</x:f>
        <x:v>0.0036458333333333334</x:v>
      </x:c>
      <x:c r="Q1609" s="12" t="n">
        <x:f>IF(O1609="","",(H1609*60+O1609)/86400)</x:f>
        <x:v>0.39253472222222224</x:v>
      </x:c>
      <x:c r="R1609" s="12" t="str">
        <x:f>IF(Q1609="","",TEXT(Q1609,"hh:mm:ss"))</x:f>
        <x:v>09:25:15</x:v>
      </x:c>
      <x:c r="S1609" s="12" t="str">
        <x:v>否</x:v>
      </x:c>
      <x:c r="T1609" s="12" t="str">
        <x:v>否</x:v>
      </x:c>
      <x:c r="U1609" s="12" t="str">
        <x:v>郭海燕</x:v>
      </x:c>
      <x:c r="V1609" s="12" t="str">
        <x:v>5号车</x:v>
      </x:c>
      <x:c r="W1609" s="12" t="str">
        <x:v>秒级预测</x:v>
      </x:c>
      <x:c r="X1609" s="12" t="str">
        <x:v>基于路线秒级参数；如录入实测或手动采用秒，预计到达时间可随公式更新</x:v>
      </x:c>
    </x:row>
    <x:row r="1610">
      <x:c r="A1610" s="12" t="str">
        <x:v>S0138-07</x:v>
      </x:c>
      <x:c r="B1610" s="12" t="str">
        <x:v>S0138</x:v>
      </x:c>
      <x:c r="C1610" s="12" t="str">
        <x:v>工作日</x:v>
      </x:c>
      <x:c r="D1610" s="12" t="str">
        <x:v>环线3路</x:v>
      </x:c>
      <x:c r="E1610" s="12" t="str">
        <x:v>第二班</x:v>
      </x:c>
      <x:c r="F1610" s="12" t="n">
        <x:v>4</x:v>
      </x:c>
      <x:c r="G1610" s="12" t="str">
        <x:v>9:20</x:v>
      </x:c>
      <x:c r="H1610" s="12" t="n">
        <x:v>560</x:v>
      </x:c>
      <x:c r="I1610" s="12" t="str">
        <x:v>研究生宿舍楼</x:v>
      </x:c>
      <x:c r="J1610" s="12" t="str">
        <x:v>研究生宿舍楼发车</x:v>
      </x:c>
      <x:c r="K1610" s="12" t="str">
        <x:v>HX3_NORMAL</x:v>
      </x:c>
      <x:c r="L1610" s="12" t="n">
        <x:v>7</x:v>
      </x:c>
      <x:c r="M1610" s="12" t="str">
        <x:v>HX3_NORMAL|7</x:v>
      </x:c>
      <x:c r="N1610" s="12" t="str">
        <x:v>高超楼</x:v>
      </x:c>
      <x:c r="O1610" s="12" t="n">
        <x:f>IFERROR(INDEX('秒级路线参数_可调整'!$O:$O,MATCH(M1610,'秒级路线参数_可调整'!$A:$A,0)),"")</x:f>
        <x:v>420</x:v>
      </x:c>
      <x:c r="P1610" s="12" t="n">
        <x:f>IF(O1610="","",O1610/86400)</x:f>
        <x:v>0.004861111111111111</x:v>
      </x:c>
      <x:c r="Q1610" s="12" t="n">
        <x:f>IF(O1610="","",(H1610*60+O1610)/86400)</x:f>
        <x:v>0.39375</x:v>
      </x:c>
      <x:c r="R1610" s="12" t="str">
        <x:f>IF(Q1610="","",TEXT(Q1610,"hh:mm:ss"))</x:f>
        <x:v>09:27:00</x:v>
      </x:c>
      <x:c r="S1610" s="12" t="str">
        <x:v>否</x:v>
      </x:c>
      <x:c r="T1610" s="12" t="str">
        <x:v>否</x:v>
      </x:c>
      <x:c r="U1610" s="12" t="str">
        <x:v>郭海燕</x:v>
      </x:c>
      <x:c r="V1610" s="12" t="str">
        <x:v>5号车</x:v>
      </x:c>
      <x:c r="W1610" s="12" t="str">
        <x:v>秒级预测</x:v>
      </x:c>
      <x:c r="X1610" s="12" t="str">
        <x:v>基于路线秒级参数；如录入实测或手动采用秒，预计到达时间可随公式更新</x:v>
      </x:c>
    </x:row>
    <x:row r="1611">
      <x:c r="A1611" s="12" t="str">
        <x:v>S0138-08</x:v>
      </x:c>
      <x:c r="B1611" s="12" t="str">
        <x:v>S0138</x:v>
      </x:c>
      <x:c r="C1611" s="12" t="str">
        <x:v>工作日</x:v>
      </x:c>
      <x:c r="D1611" s="12" t="str">
        <x:v>环线3路</x:v>
      </x:c>
      <x:c r="E1611" s="12" t="str">
        <x:v>第二班</x:v>
      </x:c>
      <x:c r="F1611" s="12" t="n">
        <x:v>4</x:v>
      </x:c>
      <x:c r="G1611" s="12" t="str">
        <x:v>9:20</x:v>
      </x:c>
      <x:c r="H1611" s="12" t="n">
        <x:v>560</x:v>
      </x:c>
      <x:c r="I1611" s="12" t="str">
        <x:v>研究生宿舍楼</x:v>
      </x:c>
      <x:c r="J1611" s="12" t="str">
        <x:v>研究生宿舍楼发车</x:v>
      </x:c>
      <x:c r="K1611" s="12" t="str">
        <x:v>HX3_NORMAL</x:v>
      </x:c>
      <x:c r="L1611" s="12" t="n">
        <x:v>8</x:v>
      </x:c>
      <x:c r="M1611" s="12" t="str">
        <x:v>HX3_NORMAL|8</x:v>
      </x:c>
      <x:c r="N1611" s="12" t="str">
        <x:v>理学院</x:v>
      </x:c>
      <x:c r="O1611" s="12" t="n">
        <x:f>IFERROR(INDEX('秒级路线参数_可调整'!$O:$O,MATCH(M1611,'秒级路线参数_可调整'!$A:$A,0)),"")</x:f>
        <x:v>480</x:v>
      </x:c>
      <x:c r="P1611" s="12" t="n">
        <x:f>IF(O1611="","",O1611/86400)</x:f>
        <x:v>0.005555555555555556</x:v>
      </x:c>
      <x:c r="Q1611" s="12" t="n">
        <x:f>IF(O1611="","",(H1611*60+O1611)/86400)</x:f>
        <x:v>0.39444444444444443</x:v>
      </x:c>
      <x:c r="R1611" s="12" t="str">
        <x:f>IF(Q1611="","",TEXT(Q1611,"hh:mm:ss"))</x:f>
        <x:v>09:28:00</x:v>
      </x:c>
      <x:c r="S1611" s="12" t="str">
        <x:v>否</x:v>
      </x:c>
      <x:c r="T1611" s="12" t="str">
        <x:v>否</x:v>
      </x:c>
      <x:c r="U1611" s="12" t="str">
        <x:v>郭海燕</x:v>
      </x:c>
      <x:c r="V1611" s="12" t="str">
        <x:v>5号车</x:v>
      </x:c>
      <x:c r="W1611" s="12" t="str">
        <x:v>秒级预测</x:v>
      </x:c>
      <x:c r="X1611" s="12" t="str">
        <x:v>基于路线秒级参数；如录入实测或手动采用秒，预计到达时间可随公式更新</x:v>
      </x:c>
    </x:row>
    <x:row r="1612">
      <x:c r="A1612" s="12" t="str">
        <x:v>S0138-09</x:v>
      </x:c>
      <x:c r="B1612" s="12" t="str">
        <x:v>S0138</x:v>
      </x:c>
      <x:c r="C1612" s="12" t="str">
        <x:v>工作日</x:v>
      </x:c>
      <x:c r="D1612" s="12" t="str">
        <x:v>环线3路</x:v>
      </x:c>
      <x:c r="E1612" s="12" t="str">
        <x:v>第二班</x:v>
      </x:c>
      <x:c r="F1612" s="12" t="n">
        <x:v>4</x:v>
      </x:c>
      <x:c r="G1612" s="12" t="str">
        <x:v>9:20</x:v>
      </x:c>
      <x:c r="H1612" s="12" t="n">
        <x:v>560</x:v>
      </x:c>
      <x:c r="I1612" s="12" t="str">
        <x:v>研究生宿舍楼</x:v>
      </x:c>
      <x:c r="J1612" s="12" t="str">
        <x:v>研究生宿舍楼发车</x:v>
      </x:c>
      <x:c r="K1612" s="12" t="str">
        <x:v>HX3_NORMAL</x:v>
      </x:c>
      <x:c r="L1612" s="12" t="n">
        <x:v>9</x:v>
      </x:c>
      <x:c r="M1612" s="12" t="str">
        <x:v>HX3_NORMAL|9</x:v>
      </x:c>
      <x:c r="N1612" s="12" t="str">
        <x:v>二食堂</x:v>
      </x:c>
      <x:c r="O1612" s="12" t="n">
        <x:f>IFERROR(INDEX('秒级路线参数_可调整'!$O:$O,MATCH(M1612,'秒级路线参数_可调整'!$A:$A,0)),"")</x:f>
        <x:v>535</x:v>
      </x:c>
      <x:c r="P1612" s="12" t="n">
        <x:f>IF(O1612="","",O1612/86400)</x:f>
        <x:v>0.00619212962962963</x:v>
      </x:c>
      <x:c r="Q1612" s="12" t="n">
        <x:f>IF(O1612="","",(H1612*60+O1612)/86400)</x:f>
        <x:v>0.3950810185185185</x:v>
      </x:c>
      <x:c r="R1612" s="12" t="str">
        <x:f>IF(Q1612="","",TEXT(Q1612,"hh:mm:ss"))</x:f>
        <x:v>09:28:55</x:v>
      </x:c>
      <x:c r="S1612" s="12" t="str">
        <x:v>否</x:v>
      </x:c>
      <x:c r="T1612" s="12" t="str">
        <x:v>否</x:v>
      </x:c>
      <x:c r="U1612" s="12" t="str">
        <x:v>郭海燕</x:v>
      </x:c>
      <x:c r="V1612" s="12" t="str">
        <x:v>5号车</x:v>
      </x:c>
      <x:c r="W1612" s="12" t="str">
        <x:v>秒级预测</x:v>
      </x:c>
      <x:c r="X1612" s="12" t="str">
        <x:v>基于路线秒级参数；如录入实测或手动采用秒，预计到达时间可随公式更新</x:v>
      </x:c>
    </x:row>
    <x:row r="1613">
      <x:c r="A1613" s="12" t="str">
        <x:v>S0138-10</x:v>
      </x:c>
      <x:c r="B1613" s="12" t="str">
        <x:v>S0138</x:v>
      </x:c>
      <x:c r="C1613" s="12" t="str">
        <x:v>工作日</x:v>
      </x:c>
      <x:c r="D1613" s="12" t="str">
        <x:v>环线3路</x:v>
      </x:c>
      <x:c r="E1613" s="12" t="str">
        <x:v>第二班</x:v>
      </x:c>
      <x:c r="F1613" s="12" t="n">
        <x:v>4</x:v>
      </x:c>
      <x:c r="G1613" s="12" t="str">
        <x:v>9:20</x:v>
      </x:c>
      <x:c r="H1613" s="12" t="n">
        <x:v>560</x:v>
      </x:c>
      <x:c r="I1613" s="12" t="str">
        <x:v>研究生宿舍楼</x:v>
      </x:c>
      <x:c r="J1613" s="12" t="str">
        <x:v>研究生宿舍楼发车</x:v>
      </x:c>
      <x:c r="K1613" s="12" t="str">
        <x:v>HX3_NORMAL</x:v>
      </x:c>
      <x:c r="L1613" s="12" t="n">
        <x:v>10</x:v>
      </x:c>
      <x:c r="M1613" s="12" t="str">
        <x:v>HX3_NORMAL|10</x:v>
      </x:c>
      <x:c r="N1613" s="12" t="str">
        <x:v>图书馆</x:v>
      </x:c>
      <x:c r="O1613" s="12" t="n">
        <x:f>IFERROR(INDEX('秒级路线参数_可调整'!$O:$O,MATCH(M1613,'秒级路线参数_可调整'!$A:$A,0)),"")</x:f>
        <x:v>715</x:v>
      </x:c>
      <x:c r="P1613" s="12" t="n">
        <x:f>IF(O1613="","",O1613/86400)</x:f>
        <x:v>0.008275462962962964</x:v>
      </x:c>
      <x:c r="Q1613" s="12" t="n">
        <x:f>IF(O1613="","",(H1613*60+O1613)/86400)</x:f>
        <x:v>0.39716435185185184</x:v>
      </x:c>
      <x:c r="R1613" s="12" t="str">
        <x:f>IF(Q1613="","",TEXT(Q1613,"hh:mm:ss"))</x:f>
        <x:v>09:31:55</x:v>
      </x:c>
      <x:c r="S1613" s="12" t="str">
        <x:v>否</x:v>
      </x:c>
      <x:c r="T1613" s="12" t="str">
        <x:v>否</x:v>
      </x:c>
      <x:c r="U1613" s="12" t="str">
        <x:v>郭海燕</x:v>
      </x:c>
      <x:c r="V1613" s="12" t="str">
        <x:v>5号车</x:v>
      </x:c>
      <x:c r="W1613" s="12" t="str">
        <x:v>秒级预测</x:v>
      </x:c>
      <x:c r="X1613" s="12" t="str">
        <x:v>基于路线秒级参数；如录入实测或手动采用秒，预计到达时间可随公式更新</x:v>
      </x:c>
    </x:row>
    <x:row r="1614">
      <x:c r="A1614" s="12" t="str">
        <x:v>S0138-11</x:v>
      </x:c>
      <x:c r="B1614" s="12" t="str">
        <x:v>S0138</x:v>
      </x:c>
      <x:c r="C1614" s="12" t="str">
        <x:v>工作日</x:v>
      </x:c>
      <x:c r="D1614" s="12" t="str">
        <x:v>环线3路</x:v>
      </x:c>
      <x:c r="E1614" s="12" t="str">
        <x:v>第二班</x:v>
      </x:c>
      <x:c r="F1614" s="12" t="n">
        <x:v>4</x:v>
      </x:c>
      <x:c r="G1614" s="12" t="str">
        <x:v>9:20</x:v>
      </x:c>
      <x:c r="H1614" s="12" t="n">
        <x:v>560</x:v>
      </x:c>
      <x:c r="I1614" s="12" t="str">
        <x:v>研究生宿舍楼</x:v>
      </x:c>
      <x:c r="J1614" s="12" t="str">
        <x:v>研究生宿舍楼发车</x:v>
      </x:c>
      <x:c r="K1614" s="12" t="str">
        <x:v>HX3_NORMAL</x:v>
      </x:c>
      <x:c r="L1614" s="12" t="n">
        <x:v>11</x:v>
      </x:c>
      <x:c r="M1614" s="12" t="str">
        <x:v>HX3_NORMAL|11</x:v>
      </x:c>
      <x:c r="N1614" s="12" t="str">
        <x:v>305教学楼</x:v>
      </x:c>
      <x:c r="O1614" s="12" t="n">
        <x:f>IFERROR(INDEX('秒级路线参数_可调整'!$O:$O,MATCH(M1614,'秒级路线参数_可调整'!$A:$A,0)),"")</x:f>
        <x:v>775</x:v>
      </x:c>
      <x:c r="P1614" s="12" t="n">
        <x:f>IF(O1614="","",O1614/86400)</x:f>
        <x:v>0.008969907407407407</x:v>
      </x:c>
      <x:c r="Q1614" s="12" t="n">
        <x:f>IF(O1614="","",(H1614*60+O1614)/86400)</x:f>
        <x:v>0.3978587962962963</x:v>
      </x:c>
      <x:c r="R1614" s="12" t="str">
        <x:f>IF(Q1614="","",TEXT(Q1614,"hh:mm:ss"))</x:f>
        <x:v>09:32:55</x:v>
      </x:c>
      <x:c r="S1614" s="12" t="str">
        <x:v>否</x:v>
      </x:c>
      <x:c r="T1614" s="12" t="str">
        <x:v>否</x:v>
      </x:c>
      <x:c r="U1614" s="12" t="str">
        <x:v>郭海燕</x:v>
      </x:c>
      <x:c r="V1614" s="12" t="str">
        <x:v>5号车</x:v>
      </x:c>
      <x:c r="W1614" s="12" t="str">
        <x:v>秒级预测</x:v>
      </x:c>
      <x:c r="X1614" s="12" t="str">
        <x:v>基于路线秒级参数；如录入实测或手动采用秒，预计到达时间可随公式更新</x:v>
      </x:c>
    </x:row>
    <x:row r="1615">
      <x:c r="A1615" s="12" t="str">
        <x:v>S0138-12</x:v>
      </x:c>
      <x:c r="B1615" s="12" t="str">
        <x:v>S0138</x:v>
      </x:c>
      <x:c r="C1615" s="12" t="str">
        <x:v>工作日</x:v>
      </x:c>
      <x:c r="D1615" s="12" t="str">
        <x:v>环线3路</x:v>
      </x:c>
      <x:c r="E1615" s="12" t="str">
        <x:v>第二班</x:v>
      </x:c>
      <x:c r="F1615" s="12" t="n">
        <x:v>4</x:v>
      </x:c>
      <x:c r="G1615" s="12" t="str">
        <x:v>9:20</x:v>
      </x:c>
      <x:c r="H1615" s="12" t="n">
        <x:v>560</x:v>
      </x:c>
      <x:c r="I1615" s="12" t="str">
        <x:v>研究生宿舍楼</x:v>
      </x:c>
      <x:c r="J1615" s="12" t="str">
        <x:v>研究生宿舍楼发车</x:v>
      </x:c>
      <x:c r="K1615" s="12" t="str">
        <x:v>HX3_NORMAL</x:v>
      </x:c>
      <x:c r="L1615" s="12" t="n">
        <x:v>12</x:v>
      </x:c>
      <x:c r="M1615" s="12" t="str">
        <x:v>HX3_NORMAL|12</x:v>
      </x:c>
      <x:c r="N1615" s="12" t="str">
        <x:v>研究生宿舍楼</x:v>
      </x:c>
      <x:c r="O1615" s="12" t="n">
        <x:f>IFERROR(INDEX('秒级路线参数_可调整'!$O:$O,MATCH(M1615,'秒级路线参数_可调整'!$A:$A,0)),"")</x:f>
        <x:v>840</x:v>
      </x:c>
      <x:c r="P1615" s="12" t="n">
        <x:f>IF(O1615="","",O1615/86400)</x:f>
        <x:v>0.009722222222222222</x:v>
      </x:c>
      <x:c r="Q1615" s="12" t="n">
        <x:f>IF(O1615="","",(H1615*60+O1615)/86400)</x:f>
        <x:v>0.39861111111111114</x:v>
      </x:c>
      <x:c r="R1615" s="12" t="str">
        <x:f>IF(Q1615="","",TEXT(Q1615,"hh:mm:ss"))</x:f>
        <x:v>09:34:00</x:v>
      </x:c>
      <x:c r="S1615" s="12" t="str">
        <x:v>否</x:v>
      </x:c>
      <x:c r="T1615" s="12" t="str">
        <x:v>是</x:v>
      </x:c>
      <x:c r="U1615" s="12" t="str">
        <x:v>郭海燕</x:v>
      </x:c>
      <x:c r="V1615" s="12" t="str">
        <x:v>5号车</x:v>
      </x:c>
      <x:c r="W1615" s="12" t="str">
        <x:v>秒级预测</x:v>
      </x:c>
      <x:c r="X1615" s="12" t="str">
        <x:v>基于路线秒级参数；如录入实测或手动采用秒，预计到达时间可随公式更新</x:v>
      </x:c>
    </x:row>
    <x:row r="1616">
      <x:c r="A1616" s="12" t="str">
        <x:v>S0139-01</x:v>
      </x:c>
      <x:c r="B1616" s="12" t="str">
        <x:v>S0139</x:v>
      </x:c>
      <x:c r="C1616" s="12" t="str">
        <x:v>工作日</x:v>
      </x:c>
      <x:c r="D1616" s="12" t="str">
        <x:v>环线3路</x:v>
      </x:c>
      <x:c r="E1616" s="12" t="str">
        <x:v>第二班</x:v>
      </x:c>
      <x:c r="F1616" s="12" t="n">
        <x:v>5</x:v>
      </x:c>
      <x:c r="G1616" s="12" t="str">
        <x:v>9:50</x:v>
      </x:c>
      <x:c r="H1616" s="12" t="n">
        <x:v>590</x:v>
      </x:c>
      <x:c r="I1616" s="12" t="str">
        <x:v>研究生宿舍楼</x:v>
      </x:c>
      <x:c r="J1616" s="12" t="str">
        <x:v>研究生宿舍楼发车</x:v>
      </x:c>
      <x:c r="K1616" s="12" t="str">
        <x:v>HX3_NORMAL</x:v>
      </x:c>
      <x:c r="L1616" s="12" t="n">
        <x:v>1</x:v>
      </x:c>
      <x:c r="M1616" s="12" t="str">
        <x:v>HX3_NORMAL|1</x:v>
      </x:c>
      <x:c r="N1616" s="12" t="str">
        <x:v>研究生宿舍楼</x:v>
      </x:c>
      <x:c r="O1616" s="12" t="n">
        <x:f>IFERROR(INDEX('秒级路线参数_可调整'!$O:$O,MATCH(M1616,'秒级路线参数_可调整'!$A:$A,0)),"")</x:f>
        <x:v>0</x:v>
      </x:c>
      <x:c r="P1616" s="12" t="str">
        <x:f>IF(O1616="","",O1616/86400)</x:f>
      </x:c>
      <x:c r="Q1616" s="12" t="str">
        <x:f>IF(O1616="","",(H1616*60+O1616)/86400)</x:f>
      </x:c>
      <x:c r="R1616" s="12" t="str">
        <x:f>IF(Q1616="","",TEXT(Q1616,"hh:mm:ss"))</x:f>
      </x:c>
      <x:c r="S1616" s="12" t="str">
        <x:v>是</x:v>
      </x:c>
      <x:c r="T1616" s="12" t="str">
        <x:v>否</x:v>
      </x:c>
      <x:c r="U1616" s="12" t="str">
        <x:v>郭海燕</x:v>
      </x:c>
      <x:c r="V1616" s="12" t="str">
        <x:v>5号车</x:v>
      </x:c>
      <x:c r="W1616" s="12" t="str">
        <x:v>秒级预测</x:v>
      </x:c>
      <x:c r="X1616" s="12" t="str">
        <x:v>基于路线秒级参数；如录入实测或手动采用秒，预计到达时间可随公式更新</x:v>
      </x:c>
    </x:row>
    <x:row r="1617">
      <x:c r="A1617" s="12" t="str">
        <x:v>S0139-02</x:v>
      </x:c>
      <x:c r="B1617" s="12" t="str">
        <x:v>S0139</x:v>
      </x:c>
      <x:c r="C1617" s="12" t="str">
        <x:v>工作日</x:v>
      </x:c>
      <x:c r="D1617" s="12" t="str">
        <x:v>环线3路</x:v>
      </x:c>
      <x:c r="E1617" s="12" t="str">
        <x:v>第二班</x:v>
      </x:c>
      <x:c r="F1617" s="12" t="n">
        <x:v>5</x:v>
      </x:c>
      <x:c r="G1617" s="12" t="str">
        <x:v>9:50</x:v>
      </x:c>
      <x:c r="H1617" s="12" t="n">
        <x:v>590</x:v>
      </x:c>
      <x:c r="I1617" s="12" t="str">
        <x:v>研究生宿舍楼</x:v>
      </x:c>
      <x:c r="J1617" s="12" t="str">
        <x:v>研究生宿舍楼发车</x:v>
      </x:c>
      <x:c r="K1617" s="12" t="str">
        <x:v>HX3_NORMAL</x:v>
      </x:c>
      <x:c r="L1617" s="12" t="n">
        <x:v>2</x:v>
      </x:c>
      <x:c r="M1617" s="12" t="str">
        <x:v>HX3_NORMAL|2</x:v>
      </x:c>
      <x:c r="N1617" s="12" t="str">
        <x:v>一食堂</x:v>
      </x:c>
      <x:c r="O1617" s="12" t="n">
        <x:f>IFERROR(INDEX('秒级路线参数_可调整'!$O:$O,MATCH(M1617,'秒级路线参数_可调整'!$A:$A,0)),"")</x:f>
        <x:v>65</x:v>
      </x:c>
      <x:c r="P1617" s="12" t="n">
        <x:f>IF(O1617="","",O1617/86400)</x:f>
        <x:v>0.0007523148148148148</x:v>
      </x:c>
      <x:c r="Q1617" s="12" t="n">
        <x:f>IF(O1617="","",(H1617*60+O1617)/86400)</x:f>
        <x:v>0.410474537037037</x:v>
      </x:c>
      <x:c r="R1617" s="12" t="str">
        <x:f>IF(Q1617="","",TEXT(Q1617,"hh:mm:ss"))</x:f>
        <x:v>09:51:05</x:v>
      </x:c>
      <x:c r="S1617" s="12" t="str">
        <x:v>否</x:v>
      </x:c>
      <x:c r="T1617" s="12" t="str">
        <x:v>否</x:v>
      </x:c>
      <x:c r="U1617" s="12" t="str">
        <x:v>郭海燕</x:v>
      </x:c>
      <x:c r="V1617" s="12" t="str">
        <x:v>5号车</x:v>
      </x:c>
      <x:c r="W1617" s="12" t="str">
        <x:v>秒级预测</x:v>
      </x:c>
      <x:c r="X1617" s="12" t="str">
        <x:v>基于路线秒级参数；如录入实测或手动采用秒，预计到达时间可随公式更新</x:v>
      </x:c>
    </x:row>
    <x:row r="1618">
      <x:c r="A1618" s="12" t="str">
        <x:v>S0139-03</x:v>
      </x:c>
      <x:c r="B1618" s="12" t="str">
        <x:v>S0139</x:v>
      </x:c>
      <x:c r="C1618" s="12" t="str">
        <x:v>工作日</x:v>
      </x:c>
      <x:c r="D1618" s="12" t="str">
        <x:v>环线3路</x:v>
      </x:c>
      <x:c r="E1618" s="12" t="str">
        <x:v>第二班</x:v>
      </x:c>
      <x:c r="F1618" s="12" t="n">
        <x:v>5</x:v>
      </x:c>
      <x:c r="G1618" s="12" t="str">
        <x:v>9:50</x:v>
      </x:c>
      <x:c r="H1618" s="12" t="n">
        <x:v>590</x:v>
      </x:c>
      <x:c r="I1618" s="12" t="str">
        <x:v>研究生宿舍楼</x:v>
      </x:c>
      <x:c r="J1618" s="12" t="str">
        <x:v>研究生宿舍楼发车</x:v>
      </x:c>
      <x:c r="K1618" s="12" t="str">
        <x:v>HX3_NORMAL</x:v>
      </x:c>
      <x:c r="L1618" s="12" t="n">
        <x:v>3</x:v>
      </x:c>
      <x:c r="M1618" s="12" t="str">
        <x:v>HX3_NORMAL|3</x:v>
      </x:c>
      <x:c r="N1618" s="12" t="str">
        <x:v>2号宿舍楼</x:v>
      </x:c>
      <x:c r="O1618" s="12" t="n">
        <x:f>IFERROR(INDEX('秒级路线参数_可调整'!$O:$O,MATCH(M1618,'秒级路线参数_可调整'!$A:$A,0)),"")</x:f>
        <x:v>120</x:v>
      </x:c>
      <x:c r="P1618" s="12" t="n">
        <x:f>IF(O1618="","",O1618/86400)</x:f>
        <x:v>0.001388888888888889</x:v>
      </x:c>
      <x:c r="Q1618" s="12" t="n">
        <x:f>IF(O1618="","",(H1618*60+O1618)/86400)</x:f>
        <x:v>0.4111111111111111</x:v>
      </x:c>
      <x:c r="R1618" s="12" t="str">
        <x:f>IF(Q1618="","",TEXT(Q1618,"hh:mm:ss"))</x:f>
        <x:v>09:52:00</x:v>
      </x:c>
      <x:c r="S1618" s="12" t="str">
        <x:v>否</x:v>
      </x:c>
      <x:c r="T1618" s="12" t="str">
        <x:v>否</x:v>
      </x:c>
      <x:c r="U1618" s="12" t="str">
        <x:v>郭海燕</x:v>
      </x:c>
      <x:c r="V1618" s="12" t="str">
        <x:v>5号车</x:v>
      </x:c>
      <x:c r="W1618" s="12" t="str">
        <x:v>秒级预测</x:v>
      </x:c>
      <x:c r="X1618" s="12" t="str">
        <x:v>基于路线秒级参数；如录入实测或手动采用秒，预计到达时间可随公式更新</x:v>
      </x:c>
    </x:row>
    <x:row r="1619">
      <x:c r="A1619" s="12" t="str">
        <x:v>S0139-04</x:v>
      </x:c>
      <x:c r="B1619" s="12" t="str">
        <x:v>S0139</x:v>
      </x:c>
      <x:c r="C1619" s="12" t="str">
        <x:v>工作日</x:v>
      </x:c>
      <x:c r="D1619" s="12" t="str">
        <x:v>环线3路</x:v>
      </x:c>
      <x:c r="E1619" s="12" t="str">
        <x:v>第二班</x:v>
      </x:c>
      <x:c r="F1619" s="12" t="n">
        <x:v>5</x:v>
      </x:c>
      <x:c r="G1619" s="12" t="str">
        <x:v>9:50</x:v>
      </x:c>
      <x:c r="H1619" s="12" t="n">
        <x:v>590</x:v>
      </x:c>
      <x:c r="I1619" s="12" t="str">
        <x:v>研究生宿舍楼</x:v>
      </x:c>
      <x:c r="J1619" s="12" t="str">
        <x:v>研究生宿舍楼发车</x:v>
      </x:c>
      <x:c r="K1619" s="12" t="str">
        <x:v>HX3_NORMAL</x:v>
      </x:c>
      <x:c r="L1619" s="12" t="n">
        <x:v>4</x:v>
      </x:c>
      <x:c r="M1619" s="12" t="str">
        <x:v>HX3_NORMAL|4</x:v>
      </x:c>
      <x:c r="N1619" s="12" t="str">
        <x:v>军体活动中心</x:v>
      </x:c>
      <x:c r="O1619" s="12" t="n">
        <x:f>IFERROR(INDEX('秒级路线参数_可调整'!$O:$O,MATCH(M1619,'秒级路线参数_可调整'!$A:$A,0)),"")</x:f>
        <x:v>165</x:v>
      </x:c>
      <x:c r="P1619" s="12" t="n">
        <x:f>IF(O1619="","",O1619/86400)</x:f>
        <x:v>0.0019097222222222222</x:v>
      </x:c>
      <x:c r="Q1619" s="12" t="n">
        <x:f>IF(O1619="","",(H1619*60+O1619)/86400)</x:f>
        <x:v>0.41163194444444445</x:v>
      </x:c>
      <x:c r="R1619" s="12" t="str">
        <x:f>IF(Q1619="","",TEXT(Q1619,"hh:mm:ss"))</x:f>
        <x:v>09:52:45</x:v>
      </x:c>
      <x:c r="S1619" s="12" t="str">
        <x:v>否</x:v>
      </x:c>
      <x:c r="T1619" s="12" t="str">
        <x:v>否</x:v>
      </x:c>
      <x:c r="U1619" s="12" t="str">
        <x:v>郭海燕</x:v>
      </x:c>
      <x:c r="V1619" s="12" t="str">
        <x:v>5号车</x:v>
      </x:c>
      <x:c r="W1619" s="12" t="str">
        <x:v>秒级预测</x:v>
      </x:c>
      <x:c r="X1619" s="12" t="str">
        <x:v>基于路线秒级参数；如录入实测或手动采用秒，预计到达时间可随公式更新</x:v>
      </x:c>
    </x:row>
    <x:row r="1620">
      <x:c r="A1620" s="12" t="str">
        <x:v>S0139-05</x:v>
      </x:c>
      <x:c r="B1620" s="12" t="str">
        <x:v>S0139</x:v>
      </x:c>
      <x:c r="C1620" s="12" t="str">
        <x:v>工作日</x:v>
      </x:c>
      <x:c r="D1620" s="12" t="str">
        <x:v>环线3路</x:v>
      </x:c>
      <x:c r="E1620" s="12" t="str">
        <x:v>第二班</x:v>
      </x:c>
      <x:c r="F1620" s="12" t="n">
        <x:v>5</x:v>
      </x:c>
      <x:c r="G1620" s="12" t="str">
        <x:v>9:50</x:v>
      </x:c>
      <x:c r="H1620" s="12" t="n">
        <x:v>590</x:v>
      </x:c>
      <x:c r="I1620" s="12" t="str">
        <x:v>研究生宿舍楼</x:v>
      </x:c>
      <x:c r="J1620" s="12" t="str">
        <x:v>研究生宿舍楼发车</x:v>
      </x:c>
      <x:c r="K1620" s="12" t="str">
        <x:v>HX3_NORMAL</x:v>
      </x:c>
      <x:c r="L1620" s="12" t="n">
        <x:v>5</x:v>
      </x:c>
      <x:c r="M1620" s="12" t="str">
        <x:v>HX3_NORMAL|5</x:v>
      </x:c>
      <x:c r="N1620" s="12" t="str">
        <x:v>教勤连</x:v>
      </x:c>
      <x:c r="O1620" s="12" t="n">
        <x:f>IFERROR(INDEX('秒级路线参数_可调整'!$O:$O,MATCH(M1620,'秒级路线参数_可调整'!$A:$A,0)),"")</x:f>
        <x:v>250</x:v>
      </x:c>
      <x:c r="P1620" s="12" t="n">
        <x:f>IF(O1620="","",O1620/86400)</x:f>
        <x:v>0.0028935185185185184</x:v>
      </x:c>
      <x:c r="Q1620" s="12" t="n">
        <x:f>IF(O1620="","",(H1620*60+O1620)/86400)</x:f>
        <x:v>0.41261574074074076</x:v>
      </x:c>
      <x:c r="R1620" s="12" t="str">
        <x:f>IF(Q1620="","",TEXT(Q1620,"hh:mm:ss"))</x:f>
        <x:v>09:54:10</x:v>
      </x:c>
      <x:c r="S1620" s="12" t="str">
        <x:v>否</x:v>
      </x:c>
      <x:c r="T1620" s="12" t="str">
        <x:v>否</x:v>
      </x:c>
      <x:c r="U1620" s="12" t="str">
        <x:v>郭海燕</x:v>
      </x:c>
      <x:c r="V1620" s="12" t="str">
        <x:v>5号车</x:v>
      </x:c>
      <x:c r="W1620" s="12" t="str">
        <x:v>秒级预测</x:v>
      </x:c>
      <x:c r="X1620" s="12" t="str">
        <x:v>基于路线秒级参数；如录入实测或手动采用秒，预计到达时间可随公式更新</x:v>
      </x:c>
    </x:row>
    <x:row r="1621">
      <x:c r="A1621" s="12" t="str">
        <x:v>S0139-06</x:v>
      </x:c>
      <x:c r="B1621" s="12" t="str">
        <x:v>S0139</x:v>
      </x:c>
      <x:c r="C1621" s="12" t="str">
        <x:v>工作日</x:v>
      </x:c>
      <x:c r="D1621" s="12" t="str">
        <x:v>环线3路</x:v>
      </x:c>
      <x:c r="E1621" s="12" t="str">
        <x:v>第二班</x:v>
      </x:c>
      <x:c r="F1621" s="12" t="n">
        <x:v>5</x:v>
      </x:c>
      <x:c r="G1621" s="12" t="str">
        <x:v>9:50</x:v>
      </x:c>
      <x:c r="H1621" s="12" t="n">
        <x:v>590</x:v>
      </x:c>
      <x:c r="I1621" s="12" t="str">
        <x:v>研究生宿舍楼</x:v>
      </x:c>
      <x:c r="J1621" s="12" t="str">
        <x:v>研究生宿舍楼发车</x:v>
      </x:c>
      <x:c r="K1621" s="12" t="str">
        <x:v>HX3_NORMAL</x:v>
      </x:c>
      <x:c r="L1621" s="12" t="n">
        <x:v>6</x:v>
      </x:c>
      <x:c r="M1621" s="12" t="str">
        <x:v>HX3_NORMAL|6</x:v>
      </x:c>
      <x:c r="N1621" s="12" t="str">
        <x:v>激光所</x:v>
      </x:c>
      <x:c r="O1621" s="12" t="n">
        <x:f>IFERROR(INDEX('秒级路线参数_可调整'!$O:$O,MATCH(M1621,'秒级路线参数_可调整'!$A:$A,0)),"")</x:f>
        <x:v>315</x:v>
      </x:c>
      <x:c r="P1621" s="12" t="n">
        <x:f>IF(O1621="","",O1621/86400)</x:f>
        <x:v>0.0036458333333333334</x:v>
      </x:c>
      <x:c r="Q1621" s="12" t="n">
        <x:f>IF(O1621="","",(H1621*60+O1621)/86400)</x:f>
        <x:v>0.41336805555555556</x:v>
      </x:c>
      <x:c r="R1621" s="12" t="str">
        <x:f>IF(Q1621="","",TEXT(Q1621,"hh:mm:ss"))</x:f>
        <x:v>09:55:15</x:v>
      </x:c>
      <x:c r="S1621" s="12" t="str">
        <x:v>否</x:v>
      </x:c>
      <x:c r="T1621" s="12" t="str">
        <x:v>否</x:v>
      </x:c>
      <x:c r="U1621" s="12" t="str">
        <x:v>郭海燕</x:v>
      </x:c>
      <x:c r="V1621" s="12" t="str">
        <x:v>5号车</x:v>
      </x:c>
      <x:c r="W1621" s="12" t="str">
        <x:v>秒级预测</x:v>
      </x:c>
      <x:c r="X1621" s="12" t="str">
        <x:v>基于路线秒级参数；如录入实测或手动采用秒，预计到达时间可随公式更新</x:v>
      </x:c>
    </x:row>
    <x:row r="1622">
      <x:c r="A1622" s="12" t="str">
        <x:v>S0139-07</x:v>
      </x:c>
      <x:c r="B1622" s="12" t="str">
        <x:v>S0139</x:v>
      </x:c>
      <x:c r="C1622" s="12" t="str">
        <x:v>工作日</x:v>
      </x:c>
      <x:c r="D1622" s="12" t="str">
        <x:v>环线3路</x:v>
      </x:c>
      <x:c r="E1622" s="12" t="str">
        <x:v>第二班</x:v>
      </x:c>
      <x:c r="F1622" s="12" t="n">
        <x:v>5</x:v>
      </x:c>
      <x:c r="G1622" s="12" t="str">
        <x:v>9:50</x:v>
      </x:c>
      <x:c r="H1622" s="12" t="n">
        <x:v>590</x:v>
      </x:c>
      <x:c r="I1622" s="12" t="str">
        <x:v>研究生宿舍楼</x:v>
      </x:c>
      <x:c r="J1622" s="12" t="str">
        <x:v>研究生宿舍楼发车</x:v>
      </x:c>
      <x:c r="K1622" s="12" t="str">
        <x:v>HX3_NORMAL</x:v>
      </x:c>
      <x:c r="L1622" s="12" t="n">
        <x:v>7</x:v>
      </x:c>
      <x:c r="M1622" s="12" t="str">
        <x:v>HX3_NORMAL|7</x:v>
      </x:c>
      <x:c r="N1622" s="12" t="str">
        <x:v>高超楼</x:v>
      </x:c>
      <x:c r="O1622" s="12" t="n">
        <x:f>IFERROR(INDEX('秒级路线参数_可调整'!$O:$O,MATCH(M1622,'秒级路线参数_可调整'!$A:$A,0)),"")</x:f>
        <x:v>420</x:v>
      </x:c>
      <x:c r="P1622" s="12" t="n">
        <x:f>IF(O1622="","",O1622/86400)</x:f>
        <x:v>0.004861111111111111</x:v>
      </x:c>
      <x:c r="Q1622" s="12" t="n">
        <x:f>IF(O1622="","",(H1622*60+O1622)/86400)</x:f>
        <x:v>0.41458333333333336</x:v>
      </x:c>
      <x:c r="R1622" s="12" t="str">
        <x:f>IF(Q1622="","",TEXT(Q1622,"hh:mm:ss"))</x:f>
        <x:v>09:57:00</x:v>
      </x:c>
      <x:c r="S1622" s="12" t="str">
        <x:v>否</x:v>
      </x:c>
      <x:c r="T1622" s="12" t="str">
        <x:v>否</x:v>
      </x:c>
      <x:c r="U1622" s="12" t="str">
        <x:v>郭海燕</x:v>
      </x:c>
      <x:c r="V1622" s="12" t="str">
        <x:v>5号车</x:v>
      </x:c>
      <x:c r="W1622" s="12" t="str">
        <x:v>秒级预测</x:v>
      </x:c>
      <x:c r="X1622" s="12" t="str">
        <x:v>基于路线秒级参数；如录入实测或手动采用秒，预计到达时间可随公式更新</x:v>
      </x:c>
    </x:row>
    <x:row r="1623">
      <x:c r="A1623" s="12" t="str">
        <x:v>S0139-08</x:v>
      </x:c>
      <x:c r="B1623" s="12" t="str">
        <x:v>S0139</x:v>
      </x:c>
      <x:c r="C1623" s="12" t="str">
        <x:v>工作日</x:v>
      </x:c>
      <x:c r="D1623" s="12" t="str">
        <x:v>环线3路</x:v>
      </x:c>
      <x:c r="E1623" s="12" t="str">
        <x:v>第二班</x:v>
      </x:c>
      <x:c r="F1623" s="12" t="n">
        <x:v>5</x:v>
      </x:c>
      <x:c r="G1623" s="12" t="str">
        <x:v>9:50</x:v>
      </x:c>
      <x:c r="H1623" s="12" t="n">
        <x:v>590</x:v>
      </x:c>
      <x:c r="I1623" s="12" t="str">
        <x:v>研究生宿舍楼</x:v>
      </x:c>
      <x:c r="J1623" s="12" t="str">
        <x:v>研究生宿舍楼发车</x:v>
      </x:c>
      <x:c r="K1623" s="12" t="str">
        <x:v>HX3_NORMAL</x:v>
      </x:c>
      <x:c r="L1623" s="12" t="n">
        <x:v>8</x:v>
      </x:c>
      <x:c r="M1623" s="12" t="str">
        <x:v>HX3_NORMAL|8</x:v>
      </x:c>
      <x:c r="N1623" s="12" t="str">
        <x:v>理学院</x:v>
      </x:c>
      <x:c r="O1623" s="12" t="n">
        <x:f>IFERROR(INDEX('秒级路线参数_可调整'!$O:$O,MATCH(M1623,'秒级路线参数_可调整'!$A:$A,0)),"")</x:f>
        <x:v>480</x:v>
      </x:c>
      <x:c r="P1623" s="12" t="n">
        <x:f>IF(O1623="","",O1623/86400)</x:f>
        <x:v>0.005555555555555556</x:v>
      </x:c>
      <x:c r="Q1623" s="12" t="n">
        <x:f>IF(O1623="","",(H1623*60+O1623)/86400)</x:f>
        <x:v>0.4152777777777778</x:v>
      </x:c>
      <x:c r="R1623" s="12" t="str">
        <x:f>IF(Q1623="","",TEXT(Q1623,"hh:mm:ss"))</x:f>
        <x:v>09:58:00</x:v>
      </x:c>
      <x:c r="S1623" s="12" t="str">
        <x:v>否</x:v>
      </x:c>
      <x:c r="T1623" s="12" t="str">
        <x:v>否</x:v>
      </x:c>
      <x:c r="U1623" s="12" t="str">
        <x:v>郭海燕</x:v>
      </x:c>
      <x:c r="V1623" s="12" t="str">
        <x:v>5号车</x:v>
      </x:c>
      <x:c r="W1623" s="12" t="str">
        <x:v>秒级预测</x:v>
      </x:c>
      <x:c r="X1623" s="12" t="str">
        <x:v>基于路线秒级参数；如录入实测或手动采用秒，预计到达时间可随公式更新</x:v>
      </x:c>
    </x:row>
    <x:row r="1624">
      <x:c r="A1624" s="12" t="str">
        <x:v>S0139-09</x:v>
      </x:c>
      <x:c r="B1624" s="12" t="str">
        <x:v>S0139</x:v>
      </x:c>
      <x:c r="C1624" s="12" t="str">
        <x:v>工作日</x:v>
      </x:c>
      <x:c r="D1624" s="12" t="str">
        <x:v>环线3路</x:v>
      </x:c>
      <x:c r="E1624" s="12" t="str">
        <x:v>第二班</x:v>
      </x:c>
      <x:c r="F1624" s="12" t="n">
        <x:v>5</x:v>
      </x:c>
      <x:c r="G1624" s="12" t="str">
        <x:v>9:50</x:v>
      </x:c>
      <x:c r="H1624" s="12" t="n">
        <x:v>590</x:v>
      </x:c>
      <x:c r="I1624" s="12" t="str">
        <x:v>研究生宿舍楼</x:v>
      </x:c>
      <x:c r="J1624" s="12" t="str">
        <x:v>研究生宿舍楼发车</x:v>
      </x:c>
      <x:c r="K1624" s="12" t="str">
        <x:v>HX3_NORMAL</x:v>
      </x:c>
      <x:c r="L1624" s="12" t="n">
        <x:v>9</x:v>
      </x:c>
      <x:c r="M1624" s="12" t="str">
        <x:v>HX3_NORMAL|9</x:v>
      </x:c>
      <x:c r="N1624" s="12" t="str">
        <x:v>二食堂</x:v>
      </x:c>
      <x:c r="O1624" s="12" t="n">
        <x:f>IFERROR(INDEX('秒级路线参数_可调整'!$O:$O,MATCH(M1624,'秒级路线参数_可调整'!$A:$A,0)),"")</x:f>
        <x:v>535</x:v>
      </x:c>
      <x:c r="P1624" s="12" t="n">
        <x:f>IF(O1624="","",O1624/86400)</x:f>
        <x:v>0.00619212962962963</x:v>
      </x:c>
      <x:c r="Q1624" s="12" t="n">
        <x:f>IF(O1624="","",(H1624*60+O1624)/86400)</x:f>
        <x:v>0.4159143518518518</x:v>
      </x:c>
      <x:c r="R1624" s="12" t="str">
        <x:f>IF(Q1624="","",TEXT(Q1624,"hh:mm:ss"))</x:f>
        <x:v>09:58:55</x:v>
      </x:c>
      <x:c r="S1624" s="12" t="str">
        <x:v>否</x:v>
      </x:c>
      <x:c r="T1624" s="12" t="str">
        <x:v>否</x:v>
      </x:c>
      <x:c r="U1624" s="12" t="str">
        <x:v>郭海燕</x:v>
      </x:c>
      <x:c r="V1624" s="12" t="str">
        <x:v>5号车</x:v>
      </x:c>
      <x:c r="W1624" s="12" t="str">
        <x:v>秒级预测</x:v>
      </x:c>
      <x:c r="X1624" s="12" t="str">
        <x:v>基于路线秒级参数；如录入实测或手动采用秒，预计到达时间可随公式更新</x:v>
      </x:c>
    </x:row>
    <x:row r="1625">
      <x:c r="A1625" s="12" t="str">
        <x:v>S0139-10</x:v>
      </x:c>
      <x:c r="B1625" s="12" t="str">
        <x:v>S0139</x:v>
      </x:c>
      <x:c r="C1625" s="12" t="str">
        <x:v>工作日</x:v>
      </x:c>
      <x:c r="D1625" s="12" t="str">
        <x:v>环线3路</x:v>
      </x:c>
      <x:c r="E1625" s="12" t="str">
        <x:v>第二班</x:v>
      </x:c>
      <x:c r="F1625" s="12" t="n">
        <x:v>5</x:v>
      </x:c>
      <x:c r="G1625" s="12" t="str">
        <x:v>9:50</x:v>
      </x:c>
      <x:c r="H1625" s="12" t="n">
        <x:v>590</x:v>
      </x:c>
      <x:c r="I1625" s="12" t="str">
        <x:v>研究生宿舍楼</x:v>
      </x:c>
      <x:c r="J1625" s="12" t="str">
        <x:v>研究生宿舍楼发车</x:v>
      </x:c>
      <x:c r="K1625" s="12" t="str">
        <x:v>HX3_NORMAL</x:v>
      </x:c>
      <x:c r="L1625" s="12" t="n">
        <x:v>10</x:v>
      </x:c>
      <x:c r="M1625" s="12" t="str">
        <x:v>HX3_NORMAL|10</x:v>
      </x:c>
      <x:c r="N1625" s="12" t="str">
        <x:v>图书馆</x:v>
      </x:c>
      <x:c r="O1625" s="12" t="n">
        <x:f>IFERROR(INDEX('秒级路线参数_可调整'!$O:$O,MATCH(M1625,'秒级路线参数_可调整'!$A:$A,0)),"")</x:f>
        <x:v>715</x:v>
      </x:c>
      <x:c r="P1625" s="12" t="n">
        <x:f>IF(O1625="","",O1625/86400)</x:f>
        <x:v>0.008275462962962964</x:v>
      </x:c>
      <x:c r="Q1625" s="12" t="n">
        <x:f>IF(O1625="","",(H1625*60+O1625)/86400)</x:f>
        <x:v>0.4179976851851852</x:v>
      </x:c>
      <x:c r="R1625" s="12" t="str">
        <x:f>IF(Q1625="","",TEXT(Q1625,"hh:mm:ss"))</x:f>
        <x:v>10:01:55</x:v>
      </x:c>
      <x:c r="S1625" s="12" t="str">
        <x:v>否</x:v>
      </x:c>
      <x:c r="T1625" s="12" t="str">
        <x:v>否</x:v>
      </x:c>
      <x:c r="U1625" s="12" t="str">
        <x:v>郭海燕</x:v>
      </x:c>
      <x:c r="V1625" s="12" t="str">
        <x:v>5号车</x:v>
      </x:c>
      <x:c r="W1625" s="12" t="str">
        <x:v>秒级预测</x:v>
      </x:c>
      <x:c r="X1625" s="12" t="str">
        <x:v>基于路线秒级参数；如录入实测或手动采用秒，预计到达时间可随公式更新</x:v>
      </x:c>
    </x:row>
    <x:row r="1626">
      <x:c r="A1626" s="12" t="str">
        <x:v>S0139-11</x:v>
      </x:c>
      <x:c r="B1626" s="12" t="str">
        <x:v>S0139</x:v>
      </x:c>
      <x:c r="C1626" s="12" t="str">
        <x:v>工作日</x:v>
      </x:c>
      <x:c r="D1626" s="12" t="str">
        <x:v>环线3路</x:v>
      </x:c>
      <x:c r="E1626" s="12" t="str">
        <x:v>第二班</x:v>
      </x:c>
      <x:c r="F1626" s="12" t="n">
        <x:v>5</x:v>
      </x:c>
      <x:c r="G1626" s="12" t="str">
        <x:v>9:50</x:v>
      </x:c>
      <x:c r="H1626" s="12" t="n">
        <x:v>590</x:v>
      </x:c>
      <x:c r="I1626" s="12" t="str">
        <x:v>研究生宿舍楼</x:v>
      </x:c>
      <x:c r="J1626" s="12" t="str">
        <x:v>研究生宿舍楼发车</x:v>
      </x:c>
      <x:c r="K1626" s="12" t="str">
        <x:v>HX3_NORMAL</x:v>
      </x:c>
      <x:c r="L1626" s="12" t="n">
        <x:v>11</x:v>
      </x:c>
      <x:c r="M1626" s="12" t="str">
        <x:v>HX3_NORMAL|11</x:v>
      </x:c>
      <x:c r="N1626" s="12" t="str">
        <x:v>305教学楼</x:v>
      </x:c>
      <x:c r="O1626" s="12" t="n">
        <x:f>IFERROR(INDEX('秒级路线参数_可调整'!$O:$O,MATCH(M1626,'秒级路线参数_可调整'!$A:$A,0)),"")</x:f>
        <x:v>775</x:v>
      </x:c>
      <x:c r="P1626" s="12" t="n">
        <x:f>IF(O1626="","",O1626/86400)</x:f>
        <x:v>0.008969907407407407</x:v>
      </x:c>
      <x:c r="Q1626" s="12" t="n">
        <x:f>IF(O1626="","",(H1626*60+O1626)/86400)</x:f>
        <x:v>0.41869212962962965</x:v>
      </x:c>
      <x:c r="R1626" s="12" t="str">
        <x:f>IF(Q1626="","",TEXT(Q1626,"hh:mm:ss"))</x:f>
        <x:v>10:02:55</x:v>
      </x:c>
      <x:c r="S1626" s="12" t="str">
        <x:v>否</x:v>
      </x:c>
      <x:c r="T1626" s="12" t="str">
        <x:v>否</x:v>
      </x:c>
      <x:c r="U1626" s="12" t="str">
        <x:v>郭海燕</x:v>
      </x:c>
      <x:c r="V1626" s="12" t="str">
        <x:v>5号车</x:v>
      </x:c>
      <x:c r="W1626" s="12" t="str">
        <x:v>秒级预测</x:v>
      </x:c>
      <x:c r="X1626" s="12" t="str">
        <x:v>基于路线秒级参数；如录入实测或手动采用秒，预计到达时间可随公式更新</x:v>
      </x:c>
    </x:row>
    <x:row r="1627">
      <x:c r="A1627" s="12" t="str">
        <x:v>S0139-12</x:v>
      </x:c>
      <x:c r="B1627" s="12" t="str">
        <x:v>S0139</x:v>
      </x:c>
      <x:c r="C1627" s="12" t="str">
        <x:v>工作日</x:v>
      </x:c>
      <x:c r="D1627" s="12" t="str">
        <x:v>环线3路</x:v>
      </x:c>
      <x:c r="E1627" s="12" t="str">
        <x:v>第二班</x:v>
      </x:c>
      <x:c r="F1627" s="12" t="n">
        <x:v>5</x:v>
      </x:c>
      <x:c r="G1627" s="12" t="str">
        <x:v>9:50</x:v>
      </x:c>
      <x:c r="H1627" s="12" t="n">
        <x:v>590</x:v>
      </x:c>
      <x:c r="I1627" s="12" t="str">
        <x:v>研究生宿舍楼</x:v>
      </x:c>
      <x:c r="J1627" s="12" t="str">
        <x:v>研究生宿舍楼发车</x:v>
      </x:c>
      <x:c r="K1627" s="12" t="str">
        <x:v>HX3_NORMAL</x:v>
      </x:c>
      <x:c r="L1627" s="12" t="n">
        <x:v>12</x:v>
      </x:c>
      <x:c r="M1627" s="12" t="str">
        <x:v>HX3_NORMAL|12</x:v>
      </x:c>
      <x:c r="N1627" s="12" t="str">
        <x:v>研究生宿舍楼</x:v>
      </x:c>
      <x:c r="O1627" s="12" t="n">
        <x:f>IFERROR(INDEX('秒级路线参数_可调整'!$O:$O,MATCH(M1627,'秒级路线参数_可调整'!$A:$A,0)),"")</x:f>
        <x:v>840</x:v>
      </x:c>
      <x:c r="P1627" s="12" t="n">
        <x:f>IF(O1627="","",O1627/86400)</x:f>
        <x:v>0.009722222222222222</x:v>
      </x:c>
      <x:c r="Q1627" s="12" t="n">
        <x:f>IF(O1627="","",(H1627*60+O1627)/86400)</x:f>
        <x:v>0.41944444444444445</x:v>
      </x:c>
      <x:c r="R1627" s="12" t="str">
        <x:f>IF(Q1627="","",TEXT(Q1627,"hh:mm:ss"))</x:f>
        <x:v>10:04:00</x:v>
      </x:c>
      <x:c r="S1627" s="12" t="str">
        <x:v>否</x:v>
      </x:c>
      <x:c r="T1627" s="12" t="str">
        <x:v>是</x:v>
      </x:c>
      <x:c r="U1627" s="12" t="str">
        <x:v>郭海燕</x:v>
      </x:c>
      <x:c r="V1627" s="12" t="str">
        <x:v>5号车</x:v>
      </x:c>
      <x:c r="W1627" s="12" t="str">
        <x:v>秒级预测</x:v>
      </x:c>
      <x:c r="X1627" s="12" t="str">
        <x:v>基于路线秒级参数；如录入实测或手动采用秒，预计到达时间可随公式更新</x:v>
      </x:c>
    </x:row>
    <x:row r="1628">
      <x:c r="A1628" s="12" t="str">
        <x:v>S0140-01</x:v>
      </x:c>
      <x:c r="B1628" s="12" t="str">
        <x:v>S0140</x:v>
      </x:c>
      <x:c r="C1628" s="12" t="str">
        <x:v>工作日</x:v>
      </x:c>
      <x:c r="D1628" s="12" t="str">
        <x:v>环线3路</x:v>
      </x:c>
      <x:c r="E1628" s="12" t="str">
        <x:v>第二班</x:v>
      </x:c>
      <x:c r="F1628" s="12" t="n">
        <x:v>6</x:v>
      </x:c>
      <x:c r="G1628" s="12" t="str">
        <x:v>10:30</x:v>
      </x:c>
      <x:c r="H1628" s="12" t="n">
        <x:v>630</x:v>
      </x:c>
      <x:c r="I1628" s="12" t="str">
        <x:v>研究生宿舍楼</x:v>
      </x:c>
      <x:c r="J1628" s="12" t="str">
        <x:v>研究生宿舍楼发车</x:v>
      </x:c>
      <x:c r="K1628" s="12" t="str">
        <x:v>HX3_NORMAL</x:v>
      </x:c>
      <x:c r="L1628" s="12" t="n">
        <x:v>1</x:v>
      </x:c>
      <x:c r="M1628" s="12" t="str">
        <x:v>HX3_NORMAL|1</x:v>
      </x:c>
      <x:c r="N1628" s="12" t="str">
        <x:v>研究生宿舍楼</x:v>
      </x:c>
      <x:c r="O1628" s="12" t="n">
        <x:f>IFERROR(INDEX('秒级路线参数_可调整'!$O:$O,MATCH(M1628,'秒级路线参数_可调整'!$A:$A,0)),"")</x:f>
        <x:v>0</x:v>
      </x:c>
      <x:c r="P1628" s="12" t="str">
        <x:f>IF(O1628="","",O1628/86400)</x:f>
      </x:c>
      <x:c r="Q1628" s="12" t="str">
        <x:f>IF(O1628="","",(H1628*60+O1628)/86400)</x:f>
      </x:c>
      <x:c r="R1628" s="12" t="str">
        <x:f>IF(Q1628="","",TEXT(Q1628,"hh:mm:ss"))</x:f>
      </x:c>
      <x:c r="S1628" s="12" t="str">
        <x:v>是</x:v>
      </x:c>
      <x:c r="T1628" s="12" t="str">
        <x:v>否</x:v>
      </x:c>
      <x:c r="U1628" s="12" t="str">
        <x:v>郭海燕</x:v>
      </x:c>
      <x:c r="V1628" s="12" t="str">
        <x:v>5号车</x:v>
      </x:c>
      <x:c r="W1628" s="12" t="str">
        <x:v>秒级预测</x:v>
      </x:c>
      <x:c r="X1628" s="12" t="str">
        <x:v>基于路线秒级参数；如录入实测或手动采用秒，预计到达时间可随公式更新</x:v>
      </x:c>
    </x:row>
    <x:row r="1629">
      <x:c r="A1629" s="12" t="str">
        <x:v>S0140-02</x:v>
      </x:c>
      <x:c r="B1629" s="12" t="str">
        <x:v>S0140</x:v>
      </x:c>
      <x:c r="C1629" s="12" t="str">
        <x:v>工作日</x:v>
      </x:c>
      <x:c r="D1629" s="12" t="str">
        <x:v>环线3路</x:v>
      </x:c>
      <x:c r="E1629" s="12" t="str">
        <x:v>第二班</x:v>
      </x:c>
      <x:c r="F1629" s="12" t="n">
        <x:v>6</x:v>
      </x:c>
      <x:c r="G1629" s="12" t="str">
        <x:v>10:30</x:v>
      </x:c>
      <x:c r="H1629" s="12" t="n">
        <x:v>630</x:v>
      </x:c>
      <x:c r="I1629" s="12" t="str">
        <x:v>研究生宿舍楼</x:v>
      </x:c>
      <x:c r="J1629" s="12" t="str">
        <x:v>研究生宿舍楼发车</x:v>
      </x:c>
      <x:c r="K1629" s="12" t="str">
        <x:v>HX3_NORMAL</x:v>
      </x:c>
      <x:c r="L1629" s="12" t="n">
        <x:v>2</x:v>
      </x:c>
      <x:c r="M1629" s="12" t="str">
        <x:v>HX3_NORMAL|2</x:v>
      </x:c>
      <x:c r="N1629" s="12" t="str">
        <x:v>一食堂</x:v>
      </x:c>
      <x:c r="O1629" s="12" t="n">
        <x:f>IFERROR(INDEX('秒级路线参数_可调整'!$O:$O,MATCH(M1629,'秒级路线参数_可调整'!$A:$A,0)),"")</x:f>
        <x:v>65</x:v>
      </x:c>
      <x:c r="P1629" s="12" t="n">
        <x:f>IF(O1629="","",O1629/86400)</x:f>
        <x:v>0.0007523148148148148</x:v>
      </x:c>
      <x:c r="Q1629" s="12" t="n">
        <x:f>IF(O1629="","",(H1629*60+O1629)/86400)</x:f>
        <x:v>0.4382523148148148</x:v>
      </x:c>
      <x:c r="R1629" s="12" t="str">
        <x:f>IF(Q1629="","",TEXT(Q1629,"hh:mm:ss"))</x:f>
        <x:v>10:31:05</x:v>
      </x:c>
      <x:c r="S1629" s="12" t="str">
        <x:v>否</x:v>
      </x:c>
      <x:c r="T1629" s="12" t="str">
        <x:v>否</x:v>
      </x:c>
      <x:c r="U1629" s="12" t="str">
        <x:v>郭海燕</x:v>
      </x:c>
      <x:c r="V1629" s="12" t="str">
        <x:v>5号车</x:v>
      </x:c>
      <x:c r="W1629" s="12" t="str">
        <x:v>秒级预测</x:v>
      </x:c>
      <x:c r="X1629" s="12" t="str">
        <x:v>基于路线秒级参数；如录入实测或手动采用秒，预计到达时间可随公式更新</x:v>
      </x:c>
    </x:row>
    <x:row r="1630">
      <x:c r="A1630" s="12" t="str">
        <x:v>S0140-03</x:v>
      </x:c>
      <x:c r="B1630" s="12" t="str">
        <x:v>S0140</x:v>
      </x:c>
      <x:c r="C1630" s="12" t="str">
        <x:v>工作日</x:v>
      </x:c>
      <x:c r="D1630" s="12" t="str">
        <x:v>环线3路</x:v>
      </x:c>
      <x:c r="E1630" s="12" t="str">
        <x:v>第二班</x:v>
      </x:c>
      <x:c r="F1630" s="12" t="n">
        <x:v>6</x:v>
      </x:c>
      <x:c r="G1630" s="12" t="str">
        <x:v>10:30</x:v>
      </x:c>
      <x:c r="H1630" s="12" t="n">
        <x:v>630</x:v>
      </x:c>
      <x:c r="I1630" s="12" t="str">
        <x:v>研究生宿舍楼</x:v>
      </x:c>
      <x:c r="J1630" s="12" t="str">
        <x:v>研究生宿舍楼发车</x:v>
      </x:c>
      <x:c r="K1630" s="12" t="str">
        <x:v>HX3_NORMAL</x:v>
      </x:c>
      <x:c r="L1630" s="12" t="n">
        <x:v>3</x:v>
      </x:c>
      <x:c r="M1630" s="12" t="str">
        <x:v>HX3_NORMAL|3</x:v>
      </x:c>
      <x:c r="N1630" s="12" t="str">
        <x:v>2号宿舍楼</x:v>
      </x:c>
      <x:c r="O1630" s="12" t="n">
        <x:f>IFERROR(INDEX('秒级路线参数_可调整'!$O:$O,MATCH(M1630,'秒级路线参数_可调整'!$A:$A,0)),"")</x:f>
        <x:v>120</x:v>
      </x:c>
      <x:c r="P1630" s="12" t="n">
        <x:f>IF(O1630="","",O1630/86400)</x:f>
        <x:v>0.001388888888888889</x:v>
      </x:c>
      <x:c r="Q1630" s="12" t="n">
        <x:f>IF(O1630="","",(H1630*60+O1630)/86400)</x:f>
        <x:v>0.4388888888888889</x:v>
      </x:c>
      <x:c r="R1630" s="12" t="str">
        <x:f>IF(Q1630="","",TEXT(Q1630,"hh:mm:ss"))</x:f>
        <x:v>10:32:00</x:v>
      </x:c>
      <x:c r="S1630" s="12" t="str">
        <x:v>否</x:v>
      </x:c>
      <x:c r="T1630" s="12" t="str">
        <x:v>否</x:v>
      </x:c>
      <x:c r="U1630" s="12" t="str">
        <x:v>郭海燕</x:v>
      </x:c>
      <x:c r="V1630" s="12" t="str">
        <x:v>5号车</x:v>
      </x:c>
      <x:c r="W1630" s="12" t="str">
        <x:v>秒级预测</x:v>
      </x:c>
      <x:c r="X1630" s="12" t="str">
        <x:v>基于路线秒级参数；如录入实测或手动采用秒，预计到达时间可随公式更新</x:v>
      </x:c>
    </x:row>
    <x:row r="1631">
      <x:c r="A1631" s="12" t="str">
        <x:v>S0140-04</x:v>
      </x:c>
      <x:c r="B1631" s="12" t="str">
        <x:v>S0140</x:v>
      </x:c>
      <x:c r="C1631" s="12" t="str">
        <x:v>工作日</x:v>
      </x:c>
      <x:c r="D1631" s="12" t="str">
        <x:v>环线3路</x:v>
      </x:c>
      <x:c r="E1631" s="12" t="str">
        <x:v>第二班</x:v>
      </x:c>
      <x:c r="F1631" s="12" t="n">
        <x:v>6</x:v>
      </x:c>
      <x:c r="G1631" s="12" t="str">
        <x:v>10:30</x:v>
      </x:c>
      <x:c r="H1631" s="12" t="n">
        <x:v>630</x:v>
      </x:c>
      <x:c r="I1631" s="12" t="str">
        <x:v>研究生宿舍楼</x:v>
      </x:c>
      <x:c r="J1631" s="12" t="str">
        <x:v>研究生宿舍楼发车</x:v>
      </x:c>
      <x:c r="K1631" s="12" t="str">
        <x:v>HX3_NORMAL</x:v>
      </x:c>
      <x:c r="L1631" s="12" t="n">
        <x:v>4</x:v>
      </x:c>
      <x:c r="M1631" s="12" t="str">
        <x:v>HX3_NORMAL|4</x:v>
      </x:c>
      <x:c r="N1631" s="12" t="str">
        <x:v>军体活动中心</x:v>
      </x:c>
      <x:c r="O1631" s="12" t="n">
        <x:f>IFERROR(INDEX('秒级路线参数_可调整'!$O:$O,MATCH(M1631,'秒级路线参数_可调整'!$A:$A,0)),"")</x:f>
        <x:v>165</x:v>
      </x:c>
      <x:c r="P1631" s="12" t="n">
        <x:f>IF(O1631="","",O1631/86400)</x:f>
        <x:v>0.0019097222222222222</x:v>
      </x:c>
      <x:c r="Q1631" s="12" t="n">
        <x:f>IF(O1631="","",(H1631*60+O1631)/86400)</x:f>
        <x:v>0.43940972222222224</x:v>
      </x:c>
      <x:c r="R1631" s="12" t="str">
        <x:f>IF(Q1631="","",TEXT(Q1631,"hh:mm:ss"))</x:f>
        <x:v>10:32:45</x:v>
      </x:c>
      <x:c r="S1631" s="12" t="str">
        <x:v>否</x:v>
      </x:c>
      <x:c r="T1631" s="12" t="str">
        <x:v>否</x:v>
      </x:c>
      <x:c r="U1631" s="12" t="str">
        <x:v>郭海燕</x:v>
      </x:c>
      <x:c r="V1631" s="12" t="str">
        <x:v>5号车</x:v>
      </x:c>
      <x:c r="W1631" s="12" t="str">
        <x:v>秒级预测</x:v>
      </x:c>
      <x:c r="X1631" s="12" t="str">
        <x:v>基于路线秒级参数；如录入实测或手动采用秒，预计到达时间可随公式更新</x:v>
      </x:c>
    </x:row>
    <x:row r="1632">
      <x:c r="A1632" s="12" t="str">
        <x:v>S0140-05</x:v>
      </x:c>
      <x:c r="B1632" s="12" t="str">
        <x:v>S0140</x:v>
      </x:c>
      <x:c r="C1632" s="12" t="str">
        <x:v>工作日</x:v>
      </x:c>
      <x:c r="D1632" s="12" t="str">
        <x:v>环线3路</x:v>
      </x:c>
      <x:c r="E1632" s="12" t="str">
        <x:v>第二班</x:v>
      </x:c>
      <x:c r="F1632" s="12" t="n">
        <x:v>6</x:v>
      </x:c>
      <x:c r="G1632" s="12" t="str">
        <x:v>10:30</x:v>
      </x:c>
      <x:c r="H1632" s="12" t="n">
        <x:v>630</x:v>
      </x:c>
      <x:c r="I1632" s="12" t="str">
        <x:v>研究生宿舍楼</x:v>
      </x:c>
      <x:c r="J1632" s="12" t="str">
        <x:v>研究生宿舍楼发车</x:v>
      </x:c>
      <x:c r="K1632" s="12" t="str">
        <x:v>HX3_NORMAL</x:v>
      </x:c>
      <x:c r="L1632" s="12" t="n">
        <x:v>5</x:v>
      </x:c>
      <x:c r="M1632" s="12" t="str">
        <x:v>HX3_NORMAL|5</x:v>
      </x:c>
      <x:c r="N1632" s="12" t="str">
        <x:v>教勤连</x:v>
      </x:c>
      <x:c r="O1632" s="12" t="n">
        <x:f>IFERROR(INDEX('秒级路线参数_可调整'!$O:$O,MATCH(M1632,'秒级路线参数_可调整'!$A:$A,0)),"")</x:f>
        <x:v>250</x:v>
      </x:c>
      <x:c r="P1632" s="12" t="n">
        <x:f>IF(O1632="","",O1632/86400)</x:f>
        <x:v>0.0028935185185185184</x:v>
      </x:c>
      <x:c r="Q1632" s="12" t="n">
        <x:f>IF(O1632="","",(H1632*60+O1632)/86400)</x:f>
        <x:v>0.44039351851851855</x:v>
      </x:c>
      <x:c r="R1632" s="12" t="str">
        <x:f>IF(Q1632="","",TEXT(Q1632,"hh:mm:ss"))</x:f>
        <x:v>10:34:10</x:v>
      </x:c>
      <x:c r="S1632" s="12" t="str">
        <x:v>否</x:v>
      </x:c>
      <x:c r="T1632" s="12" t="str">
        <x:v>否</x:v>
      </x:c>
      <x:c r="U1632" s="12" t="str">
        <x:v>郭海燕</x:v>
      </x:c>
      <x:c r="V1632" s="12" t="str">
        <x:v>5号车</x:v>
      </x:c>
      <x:c r="W1632" s="12" t="str">
        <x:v>秒级预测</x:v>
      </x:c>
      <x:c r="X1632" s="12" t="str">
        <x:v>基于路线秒级参数；如录入实测或手动采用秒，预计到达时间可随公式更新</x:v>
      </x:c>
    </x:row>
    <x:row r="1633">
      <x:c r="A1633" s="12" t="str">
        <x:v>S0140-06</x:v>
      </x:c>
      <x:c r="B1633" s="12" t="str">
        <x:v>S0140</x:v>
      </x:c>
      <x:c r="C1633" s="12" t="str">
        <x:v>工作日</x:v>
      </x:c>
      <x:c r="D1633" s="12" t="str">
        <x:v>环线3路</x:v>
      </x:c>
      <x:c r="E1633" s="12" t="str">
        <x:v>第二班</x:v>
      </x:c>
      <x:c r="F1633" s="12" t="n">
        <x:v>6</x:v>
      </x:c>
      <x:c r="G1633" s="12" t="str">
        <x:v>10:30</x:v>
      </x:c>
      <x:c r="H1633" s="12" t="n">
        <x:v>630</x:v>
      </x:c>
      <x:c r="I1633" s="12" t="str">
        <x:v>研究生宿舍楼</x:v>
      </x:c>
      <x:c r="J1633" s="12" t="str">
        <x:v>研究生宿舍楼发车</x:v>
      </x:c>
      <x:c r="K1633" s="12" t="str">
        <x:v>HX3_NORMAL</x:v>
      </x:c>
      <x:c r="L1633" s="12" t="n">
        <x:v>6</x:v>
      </x:c>
      <x:c r="M1633" s="12" t="str">
        <x:v>HX3_NORMAL|6</x:v>
      </x:c>
      <x:c r="N1633" s="12" t="str">
        <x:v>激光所</x:v>
      </x:c>
      <x:c r="O1633" s="12" t="n">
        <x:f>IFERROR(INDEX('秒级路线参数_可调整'!$O:$O,MATCH(M1633,'秒级路线参数_可调整'!$A:$A,0)),"")</x:f>
        <x:v>315</x:v>
      </x:c>
      <x:c r="P1633" s="12" t="n">
        <x:f>IF(O1633="","",O1633/86400)</x:f>
        <x:v>0.0036458333333333334</x:v>
      </x:c>
      <x:c r="Q1633" s="12" t="n">
        <x:f>IF(O1633="","",(H1633*60+O1633)/86400)</x:f>
        <x:v>0.44114583333333335</x:v>
      </x:c>
      <x:c r="R1633" s="12" t="str">
        <x:f>IF(Q1633="","",TEXT(Q1633,"hh:mm:ss"))</x:f>
        <x:v>10:35:15</x:v>
      </x:c>
      <x:c r="S1633" s="12" t="str">
        <x:v>否</x:v>
      </x:c>
      <x:c r="T1633" s="12" t="str">
        <x:v>否</x:v>
      </x:c>
      <x:c r="U1633" s="12" t="str">
        <x:v>郭海燕</x:v>
      </x:c>
      <x:c r="V1633" s="12" t="str">
        <x:v>5号车</x:v>
      </x:c>
      <x:c r="W1633" s="12" t="str">
        <x:v>秒级预测</x:v>
      </x:c>
      <x:c r="X1633" s="12" t="str">
        <x:v>基于路线秒级参数；如录入实测或手动采用秒，预计到达时间可随公式更新</x:v>
      </x:c>
    </x:row>
    <x:row r="1634">
      <x:c r="A1634" s="12" t="str">
        <x:v>S0140-07</x:v>
      </x:c>
      <x:c r="B1634" s="12" t="str">
        <x:v>S0140</x:v>
      </x:c>
      <x:c r="C1634" s="12" t="str">
        <x:v>工作日</x:v>
      </x:c>
      <x:c r="D1634" s="12" t="str">
        <x:v>环线3路</x:v>
      </x:c>
      <x:c r="E1634" s="12" t="str">
        <x:v>第二班</x:v>
      </x:c>
      <x:c r="F1634" s="12" t="n">
        <x:v>6</x:v>
      </x:c>
      <x:c r="G1634" s="12" t="str">
        <x:v>10:30</x:v>
      </x:c>
      <x:c r="H1634" s="12" t="n">
        <x:v>630</x:v>
      </x:c>
      <x:c r="I1634" s="12" t="str">
        <x:v>研究生宿舍楼</x:v>
      </x:c>
      <x:c r="J1634" s="12" t="str">
        <x:v>研究生宿舍楼发车</x:v>
      </x:c>
      <x:c r="K1634" s="12" t="str">
        <x:v>HX3_NORMAL</x:v>
      </x:c>
      <x:c r="L1634" s="12" t="n">
        <x:v>7</x:v>
      </x:c>
      <x:c r="M1634" s="12" t="str">
        <x:v>HX3_NORMAL|7</x:v>
      </x:c>
      <x:c r="N1634" s="12" t="str">
        <x:v>高超楼</x:v>
      </x:c>
      <x:c r="O1634" s="12" t="n">
        <x:f>IFERROR(INDEX('秒级路线参数_可调整'!$O:$O,MATCH(M1634,'秒级路线参数_可调整'!$A:$A,0)),"")</x:f>
        <x:v>420</x:v>
      </x:c>
      <x:c r="P1634" s="12" t="n">
        <x:f>IF(O1634="","",O1634/86400)</x:f>
        <x:v>0.004861111111111111</x:v>
      </x:c>
      <x:c r="Q1634" s="12" t="n">
        <x:f>IF(O1634="","",(H1634*60+O1634)/86400)</x:f>
        <x:v>0.4423611111111111</x:v>
      </x:c>
      <x:c r="R1634" s="12" t="str">
        <x:f>IF(Q1634="","",TEXT(Q1634,"hh:mm:ss"))</x:f>
        <x:v>10:37:00</x:v>
      </x:c>
      <x:c r="S1634" s="12" t="str">
        <x:v>否</x:v>
      </x:c>
      <x:c r="T1634" s="12" t="str">
        <x:v>否</x:v>
      </x:c>
      <x:c r="U1634" s="12" t="str">
        <x:v>郭海燕</x:v>
      </x:c>
      <x:c r="V1634" s="12" t="str">
        <x:v>5号车</x:v>
      </x:c>
      <x:c r="W1634" s="12" t="str">
        <x:v>秒级预测</x:v>
      </x:c>
      <x:c r="X1634" s="12" t="str">
        <x:v>基于路线秒级参数；如录入实测或手动采用秒，预计到达时间可随公式更新</x:v>
      </x:c>
    </x:row>
    <x:row r="1635">
      <x:c r="A1635" s="12" t="str">
        <x:v>S0140-08</x:v>
      </x:c>
      <x:c r="B1635" s="12" t="str">
        <x:v>S0140</x:v>
      </x:c>
      <x:c r="C1635" s="12" t="str">
        <x:v>工作日</x:v>
      </x:c>
      <x:c r="D1635" s="12" t="str">
        <x:v>环线3路</x:v>
      </x:c>
      <x:c r="E1635" s="12" t="str">
        <x:v>第二班</x:v>
      </x:c>
      <x:c r="F1635" s="12" t="n">
        <x:v>6</x:v>
      </x:c>
      <x:c r="G1635" s="12" t="str">
        <x:v>10:30</x:v>
      </x:c>
      <x:c r="H1635" s="12" t="n">
        <x:v>630</x:v>
      </x:c>
      <x:c r="I1635" s="12" t="str">
        <x:v>研究生宿舍楼</x:v>
      </x:c>
      <x:c r="J1635" s="12" t="str">
        <x:v>研究生宿舍楼发车</x:v>
      </x:c>
      <x:c r="K1635" s="12" t="str">
        <x:v>HX3_NORMAL</x:v>
      </x:c>
      <x:c r="L1635" s="12" t="n">
        <x:v>8</x:v>
      </x:c>
      <x:c r="M1635" s="12" t="str">
        <x:v>HX3_NORMAL|8</x:v>
      </x:c>
      <x:c r="N1635" s="12" t="str">
        <x:v>理学院</x:v>
      </x:c>
      <x:c r="O1635" s="12" t="n">
        <x:f>IFERROR(INDEX('秒级路线参数_可调整'!$O:$O,MATCH(M1635,'秒级路线参数_可调整'!$A:$A,0)),"")</x:f>
        <x:v>480</x:v>
      </x:c>
      <x:c r="P1635" s="12" t="n">
        <x:f>IF(O1635="","",O1635/86400)</x:f>
        <x:v>0.005555555555555556</x:v>
      </x:c>
      <x:c r="Q1635" s="12" t="n">
        <x:f>IF(O1635="","",(H1635*60+O1635)/86400)</x:f>
        <x:v>0.44305555555555554</x:v>
      </x:c>
      <x:c r="R1635" s="12" t="str">
        <x:f>IF(Q1635="","",TEXT(Q1635,"hh:mm:ss"))</x:f>
        <x:v>10:38:00</x:v>
      </x:c>
      <x:c r="S1635" s="12" t="str">
        <x:v>否</x:v>
      </x:c>
      <x:c r="T1635" s="12" t="str">
        <x:v>否</x:v>
      </x:c>
      <x:c r="U1635" s="12" t="str">
        <x:v>郭海燕</x:v>
      </x:c>
      <x:c r="V1635" s="12" t="str">
        <x:v>5号车</x:v>
      </x:c>
      <x:c r="W1635" s="12" t="str">
        <x:v>秒级预测</x:v>
      </x:c>
      <x:c r="X1635" s="12" t="str">
        <x:v>基于路线秒级参数；如录入实测或手动采用秒，预计到达时间可随公式更新</x:v>
      </x:c>
    </x:row>
    <x:row r="1636">
      <x:c r="A1636" s="12" t="str">
        <x:v>S0140-09</x:v>
      </x:c>
      <x:c r="B1636" s="12" t="str">
        <x:v>S0140</x:v>
      </x:c>
      <x:c r="C1636" s="12" t="str">
        <x:v>工作日</x:v>
      </x:c>
      <x:c r="D1636" s="12" t="str">
        <x:v>环线3路</x:v>
      </x:c>
      <x:c r="E1636" s="12" t="str">
        <x:v>第二班</x:v>
      </x:c>
      <x:c r="F1636" s="12" t="n">
        <x:v>6</x:v>
      </x:c>
      <x:c r="G1636" s="12" t="str">
        <x:v>10:30</x:v>
      </x:c>
      <x:c r="H1636" s="12" t="n">
        <x:v>630</x:v>
      </x:c>
      <x:c r="I1636" s="12" t="str">
        <x:v>研究生宿舍楼</x:v>
      </x:c>
      <x:c r="J1636" s="12" t="str">
        <x:v>研究生宿舍楼发车</x:v>
      </x:c>
      <x:c r="K1636" s="12" t="str">
        <x:v>HX3_NORMAL</x:v>
      </x:c>
      <x:c r="L1636" s="12" t="n">
        <x:v>9</x:v>
      </x:c>
      <x:c r="M1636" s="12" t="str">
        <x:v>HX3_NORMAL|9</x:v>
      </x:c>
      <x:c r="N1636" s="12" t="str">
        <x:v>二食堂</x:v>
      </x:c>
      <x:c r="O1636" s="12" t="n">
        <x:f>IFERROR(INDEX('秒级路线参数_可调整'!$O:$O,MATCH(M1636,'秒级路线参数_可调整'!$A:$A,0)),"")</x:f>
        <x:v>535</x:v>
      </x:c>
      <x:c r="P1636" s="12" t="n">
        <x:f>IF(O1636="","",O1636/86400)</x:f>
        <x:v>0.00619212962962963</x:v>
      </x:c>
      <x:c r="Q1636" s="12" t="n">
        <x:f>IF(O1636="","",(H1636*60+O1636)/86400)</x:f>
        <x:v>0.4436921296296296</x:v>
      </x:c>
      <x:c r="R1636" s="12" t="str">
        <x:f>IF(Q1636="","",TEXT(Q1636,"hh:mm:ss"))</x:f>
        <x:v>10:38:55</x:v>
      </x:c>
      <x:c r="S1636" s="12" t="str">
        <x:v>否</x:v>
      </x:c>
      <x:c r="T1636" s="12" t="str">
        <x:v>否</x:v>
      </x:c>
      <x:c r="U1636" s="12" t="str">
        <x:v>郭海燕</x:v>
      </x:c>
      <x:c r="V1636" s="12" t="str">
        <x:v>5号车</x:v>
      </x:c>
      <x:c r="W1636" s="12" t="str">
        <x:v>秒级预测</x:v>
      </x:c>
      <x:c r="X1636" s="12" t="str">
        <x:v>基于路线秒级参数；如录入实测或手动采用秒，预计到达时间可随公式更新</x:v>
      </x:c>
    </x:row>
    <x:row r="1637">
      <x:c r="A1637" s="12" t="str">
        <x:v>S0140-10</x:v>
      </x:c>
      <x:c r="B1637" s="12" t="str">
        <x:v>S0140</x:v>
      </x:c>
      <x:c r="C1637" s="12" t="str">
        <x:v>工作日</x:v>
      </x:c>
      <x:c r="D1637" s="12" t="str">
        <x:v>环线3路</x:v>
      </x:c>
      <x:c r="E1637" s="12" t="str">
        <x:v>第二班</x:v>
      </x:c>
      <x:c r="F1637" s="12" t="n">
        <x:v>6</x:v>
      </x:c>
      <x:c r="G1637" s="12" t="str">
        <x:v>10:30</x:v>
      </x:c>
      <x:c r="H1637" s="12" t="n">
        <x:v>630</x:v>
      </x:c>
      <x:c r="I1637" s="12" t="str">
        <x:v>研究生宿舍楼</x:v>
      </x:c>
      <x:c r="J1637" s="12" t="str">
        <x:v>研究生宿舍楼发车</x:v>
      </x:c>
      <x:c r="K1637" s="12" t="str">
        <x:v>HX3_NORMAL</x:v>
      </x:c>
      <x:c r="L1637" s="12" t="n">
        <x:v>10</x:v>
      </x:c>
      <x:c r="M1637" s="12" t="str">
        <x:v>HX3_NORMAL|10</x:v>
      </x:c>
      <x:c r="N1637" s="12" t="str">
        <x:v>图书馆</x:v>
      </x:c>
      <x:c r="O1637" s="12" t="n">
        <x:f>IFERROR(INDEX('秒级路线参数_可调整'!$O:$O,MATCH(M1637,'秒级路线参数_可调整'!$A:$A,0)),"")</x:f>
        <x:v>715</x:v>
      </x:c>
      <x:c r="P1637" s="12" t="n">
        <x:f>IF(O1637="","",O1637/86400)</x:f>
        <x:v>0.008275462962962964</x:v>
      </x:c>
      <x:c r="Q1637" s="12" t="n">
        <x:f>IF(O1637="","",(H1637*60+O1637)/86400)</x:f>
        <x:v>0.44577546296296294</x:v>
      </x:c>
      <x:c r="R1637" s="12" t="str">
        <x:f>IF(Q1637="","",TEXT(Q1637,"hh:mm:ss"))</x:f>
        <x:v>10:41:55</x:v>
      </x:c>
      <x:c r="S1637" s="12" t="str">
        <x:v>否</x:v>
      </x:c>
      <x:c r="T1637" s="12" t="str">
        <x:v>否</x:v>
      </x:c>
      <x:c r="U1637" s="12" t="str">
        <x:v>郭海燕</x:v>
      </x:c>
      <x:c r="V1637" s="12" t="str">
        <x:v>5号车</x:v>
      </x:c>
      <x:c r="W1637" s="12" t="str">
        <x:v>秒级预测</x:v>
      </x:c>
      <x:c r="X1637" s="12" t="str">
        <x:v>基于路线秒级参数；如录入实测或手动采用秒，预计到达时间可随公式更新</x:v>
      </x:c>
    </x:row>
    <x:row r="1638">
      <x:c r="A1638" s="12" t="str">
        <x:v>S0140-11</x:v>
      </x:c>
      <x:c r="B1638" s="12" t="str">
        <x:v>S0140</x:v>
      </x:c>
      <x:c r="C1638" s="12" t="str">
        <x:v>工作日</x:v>
      </x:c>
      <x:c r="D1638" s="12" t="str">
        <x:v>环线3路</x:v>
      </x:c>
      <x:c r="E1638" s="12" t="str">
        <x:v>第二班</x:v>
      </x:c>
      <x:c r="F1638" s="12" t="n">
        <x:v>6</x:v>
      </x:c>
      <x:c r="G1638" s="12" t="str">
        <x:v>10:30</x:v>
      </x:c>
      <x:c r="H1638" s="12" t="n">
        <x:v>630</x:v>
      </x:c>
      <x:c r="I1638" s="12" t="str">
        <x:v>研究生宿舍楼</x:v>
      </x:c>
      <x:c r="J1638" s="12" t="str">
        <x:v>研究生宿舍楼发车</x:v>
      </x:c>
      <x:c r="K1638" s="12" t="str">
        <x:v>HX3_NORMAL</x:v>
      </x:c>
      <x:c r="L1638" s="12" t="n">
        <x:v>11</x:v>
      </x:c>
      <x:c r="M1638" s="12" t="str">
        <x:v>HX3_NORMAL|11</x:v>
      </x:c>
      <x:c r="N1638" s="12" t="str">
        <x:v>305教学楼</x:v>
      </x:c>
      <x:c r="O1638" s="12" t="n">
        <x:f>IFERROR(INDEX('秒级路线参数_可调整'!$O:$O,MATCH(M1638,'秒级路线参数_可调整'!$A:$A,0)),"")</x:f>
        <x:v>775</x:v>
      </x:c>
      <x:c r="P1638" s="12" t="n">
        <x:f>IF(O1638="","",O1638/86400)</x:f>
        <x:v>0.008969907407407407</x:v>
      </x:c>
      <x:c r="Q1638" s="12" t="n">
        <x:f>IF(O1638="","",(H1638*60+O1638)/86400)</x:f>
        <x:v>0.4464699074074074</x:v>
      </x:c>
      <x:c r="R1638" s="12" t="str">
        <x:f>IF(Q1638="","",TEXT(Q1638,"hh:mm:ss"))</x:f>
        <x:v>10:42:55</x:v>
      </x:c>
      <x:c r="S1638" s="12" t="str">
        <x:v>否</x:v>
      </x:c>
      <x:c r="T1638" s="12" t="str">
        <x:v>否</x:v>
      </x:c>
      <x:c r="U1638" s="12" t="str">
        <x:v>郭海燕</x:v>
      </x:c>
      <x:c r="V1638" s="12" t="str">
        <x:v>5号车</x:v>
      </x:c>
      <x:c r="W1638" s="12" t="str">
        <x:v>秒级预测</x:v>
      </x:c>
      <x:c r="X1638" s="12" t="str">
        <x:v>基于路线秒级参数；如录入实测或手动采用秒，预计到达时间可随公式更新</x:v>
      </x:c>
    </x:row>
    <x:row r="1639">
      <x:c r="A1639" s="12" t="str">
        <x:v>S0140-12</x:v>
      </x:c>
      <x:c r="B1639" s="12" t="str">
        <x:v>S0140</x:v>
      </x:c>
      <x:c r="C1639" s="12" t="str">
        <x:v>工作日</x:v>
      </x:c>
      <x:c r="D1639" s="12" t="str">
        <x:v>环线3路</x:v>
      </x:c>
      <x:c r="E1639" s="12" t="str">
        <x:v>第二班</x:v>
      </x:c>
      <x:c r="F1639" s="12" t="n">
        <x:v>6</x:v>
      </x:c>
      <x:c r="G1639" s="12" t="str">
        <x:v>10:30</x:v>
      </x:c>
      <x:c r="H1639" s="12" t="n">
        <x:v>630</x:v>
      </x:c>
      <x:c r="I1639" s="12" t="str">
        <x:v>研究生宿舍楼</x:v>
      </x:c>
      <x:c r="J1639" s="12" t="str">
        <x:v>研究生宿舍楼发车</x:v>
      </x:c>
      <x:c r="K1639" s="12" t="str">
        <x:v>HX3_NORMAL</x:v>
      </x:c>
      <x:c r="L1639" s="12" t="n">
        <x:v>12</x:v>
      </x:c>
      <x:c r="M1639" s="12" t="str">
        <x:v>HX3_NORMAL|12</x:v>
      </x:c>
      <x:c r="N1639" s="12" t="str">
        <x:v>研究生宿舍楼</x:v>
      </x:c>
      <x:c r="O1639" s="12" t="n">
        <x:f>IFERROR(INDEX('秒级路线参数_可调整'!$O:$O,MATCH(M1639,'秒级路线参数_可调整'!$A:$A,0)),"")</x:f>
        <x:v>840</x:v>
      </x:c>
      <x:c r="P1639" s="12" t="n">
        <x:f>IF(O1639="","",O1639/86400)</x:f>
        <x:v>0.009722222222222222</x:v>
      </x:c>
      <x:c r="Q1639" s="12" t="n">
        <x:f>IF(O1639="","",(H1639*60+O1639)/86400)</x:f>
        <x:v>0.44722222222222224</x:v>
      </x:c>
      <x:c r="R1639" s="12" t="str">
        <x:f>IF(Q1639="","",TEXT(Q1639,"hh:mm:ss"))</x:f>
        <x:v>10:44:00</x:v>
      </x:c>
      <x:c r="S1639" s="12" t="str">
        <x:v>否</x:v>
      </x:c>
      <x:c r="T1639" s="12" t="str">
        <x:v>是</x:v>
      </x:c>
      <x:c r="U1639" s="12" t="str">
        <x:v>郭海燕</x:v>
      </x:c>
      <x:c r="V1639" s="12" t="str">
        <x:v>5号车</x:v>
      </x:c>
      <x:c r="W1639" s="12" t="str">
        <x:v>秒级预测</x:v>
      </x:c>
      <x:c r="X1639" s="12" t="str">
        <x:v>基于路线秒级参数；如录入实测或手动采用秒，预计到达时间可随公式更新</x:v>
      </x:c>
    </x:row>
    <x:row r="1640">
      <x:c r="A1640" s="12" t="str">
        <x:v>S0141-01</x:v>
      </x:c>
      <x:c r="B1640" s="12" t="str">
        <x:v>S0141</x:v>
      </x:c>
      <x:c r="C1640" s="12" t="str">
        <x:v>工作日</x:v>
      </x:c>
      <x:c r="D1640" s="12" t="str">
        <x:v>环线3路</x:v>
      </x:c>
      <x:c r="E1640" s="12" t="str">
        <x:v>第二班</x:v>
      </x:c>
      <x:c r="F1640" s="12" t="n">
        <x:v>7</x:v>
      </x:c>
      <x:c r="G1640" s="12" t="str">
        <x:v>11:00</x:v>
      </x:c>
      <x:c r="H1640" s="12" t="n">
        <x:v>660</x:v>
      </x:c>
      <x:c r="I1640" s="12" t="str">
        <x:v>研究生宿舍楼</x:v>
      </x:c>
      <x:c r="J1640" s="12" t="str">
        <x:v>研究生宿舍楼发车</x:v>
      </x:c>
      <x:c r="K1640" s="12" t="str">
        <x:v>HX3_NORMAL</x:v>
      </x:c>
      <x:c r="L1640" s="12" t="n">
        <x:v>1</x:v>
      </x:c>
      <x:c r="M1640" s="12" t="str">
        <x:v>HX3_NORMAL|1</x:v>
      </x:c>
      <x:c r="N1640" s="12" t="str">
        <x:v>研究生宿舍楼</x:v>
      </x:c>
      <x:c r="O1640" s="12" t="n">
        <x:f>IFERROR(INDEX('秒级路线参数_可调整'!$O:$O,MATCH(M1640,'秒级路线参数_可调整'!$A:$A,0)),"")</x:f>
        <x:v>0</x:v>
      </x:c>
      <x:c r="P1640" s="12" t="str">
        <x:f>IF(O1640="","",O1640/86400)</x:f>
      </x:c>
      <x:c r="Q1640" s="12" t="str">
        <x:f>IF(O1640="","",(H1640*60+O1640)/86400)</x:f>
      </x:c>
      <x:c r="R1640" s="12" t="str">
        <x:f>IF(Q1640="","",TEXT(Q1640,"hh:mm:ss"))</x:f>
      </x:c>
      <x:c r="S1640" s="12" t="str">
        <x:v>是</x:v>
      </x:c>
      <x:c r="T1640" s="12" t="str">
        <x:v>否</x:v>
      </x:c>
      <x:c r="U1640" s="12" t="str">
        <x:v>郭海燕</x:v>
      </x:c>
      <x:c r="V1640" s="12" t="str">
        <x:v>5号车</x:v>
      </x:c>
      <x:c r="W1640" s="12" t="str">
        <x:v>秒级预测</x:v>
      </x:c>
      <x:c r="X1640" s="12" t="str">
        <x:v>基于路线秒级参数；如录入实测或手动采用秒，预计到达时间可随公式更新</x:v>
      </x:c>
    </x:row>
    <x:row r="1641">
      <x:c r="A1641" s="12" t="str">
        <x:v>S0141-02</x:v>
      </x:c>
      <x:c r="B1641" s="12" t="str">
        <x:v>S0141</x:v>
      </x:c>
      <x:c r="C1641" s="12" t="str">
        <x:v>工作日</x:v>
      </x:c>
      <x:c r="D1641" s="12" t="str">
        <x:v>环线3路</x:v>
      </x:c>
      <x:c r="E1641" s="12" t="str">
        <x:v>第二班</x:v>
      </x:c>
      <x:c r="F1641" s="12" t="n">
        <x:v>7</x:v>
      </x:c>
      <x:c r="G1641" s="12" t="str">
        <x:v>11:00</x:v>
      </x:c>
      <x:c r="H1641" s="12" t="n">
        <x:v>660</x:v>
      </x:c>
      <x:c r="I1641" s="12" t="str">
        <x:v>研究生宿舍楼</x:v>
      </x:c>
      <x:c r="J1641" s="12" t="str">
        <x:v>研究生宿舍楼发车</x:v>
      </x:c>
      <x:c r="K1641" s="12" t="str">
        <x:v>HX3_NORMAL</x:v>
      </x:c>
      <x:c r="L1641" s="12" t="n">
        <x:v>2</x:v>
      </x:c>
      <x:c r="M1641" s="12" t="str">
        <x:v>HX3_NORMAL|2</x:v>
      </x:c>
      <x:c r="N1641" s="12" t="str">
        <x:v>一食堂</x:v>
      </x:c>
      <x:c r="O1641" s="12" t="n">
        <x:f>IFERROR(INDEX('秒级路线参数_可调整'!$O:$O,MATCH(M1641,'秒级路线参数_可调整'!$A:$A,0)),"")</x:f>
        <x:v>65</x:v>
      </x:c>
      <x:c r="P1641" s="12" t="n">
        <x:f>IF(O1641="","",O1641/86400)</x:f>
        <x:v>0.0007523148148148148</x:v>
      </x:c>
      <x:c r="Q1641" s="12" t="n">
        <x:f>IF(O1641="","",(H1641*60+O1641)/86400)</x:f>
        <x:v>0.4590856481481482</x:v>
      </x:c>
      <x:c r="R1641" s="12" t="str">
        <x:f>IF(Q1641="","",TEXT(Q1641,"hh:mm:ss"))</x:f>
        <x:v>11:01:05</x:v>
      </x:c>
      <x:c r="S1641" s="12" t="str">
        <x:v>否</x:v>
      </x:c>
      <x:c r="T1641" s="12" t="str">
        <x:v>否</x:v>
      </x:c>
      <x:c r="U1641" s="12" t="str">
        <x:v>郭海燕</x:v>
      </x:c>
      <x:c r="V1641" s="12" t="str">
        <x:v>5号车</x:v>
      </x:c>
      <x:c r="W1641" s="12" t="str">
        <x:v>秒级预测</x:v>
      </x:c>
      <x:c r="X1641" s="12" t="str">
        <x:v>基于路线秒级参数；如录入实测或手动采用秒，预计到达时间可随公式更新</x:v>
      </x:c>
    </x:row>
    <x:row r="1642">
      <x:c r="A1642" s="12" t="str">
        <x:v>S0141-03</x:v>
      </x:c>
      <x:c r="B1642" s="12" t="str">
        <x:v>S0141</x:v>
      </x:c>
      <x:c r="C1642" s="12" t="str">
        <x:v>工作日</x:v>
      </x:c>
      <x:c r="D1642" s="12" t="str">
        <x:v>环线3路</x:v>
      </x:c>
      <x:c r="E1642" s="12" t="str">
        <x:v>第二班</x:v>
      </x:c>
      <x:c r="F1642" s="12" t="n">
        <x:v>7</x:v>
      </x:c>
      <x:c r="G1642" s="12" t="str">
        <x:v>11:00</x:v>
      </x:c>
      <x:c r="H1642" s="12" t="n">
        <x:v>660</x:v>
      </x:c>
      <x:c r="I1642" s="12" t="str">
        <x:v>研究生宿舍楼</x:v>
      </x:c>
      <x:c r="J1642" s="12" t="str">
        <x:v>研究生宿舍楼发车</x:v>
      </x:c>
      <x:c r="K1642" s="12" t="str">
        <x:v>HX3_NORMAL</x:v>
      </x:c>
      <x:c r="L1642" s="12" t="n">
        <x:v>3</x:v>
      </x:c>
      <x:c r="M1642" s="12" t="str">
        <x:v>HX3_NORMAL|3</x:v>
      </x:c>
      <x:c r="N1642" s="12" t="str">
        <x:v>2号宿舍楼</x:v>
      </x:c>
      <x:c r="O1642" s="12" t="n">
        <x:f>IFERROR(INDEX('秒级路线参数_可调整'!$O:$O,MATCH(M1642,'秒级路线参数_可调整'!$A:$A,0)),"")</x:f>
        <x:v>120</x:v>
      </x:c>
      <x:c r="P1642" s="12" t="n">
        <x:f>IF(O1642="","",O1642/86400)</x:f>
        <x:v>0.001388888888888889</x:v>
      </x:c>
      <x:c r="Q1642" s="12" t="n">
        <x:f>IF(O1642="","",(H1642*60+O1642)/86400)</x:f>
        <x:v>0.4597222222222222</x:v>
      </x:c>
      <x:c r="R1642" s="12" t="str">
        <x:f>IF(Q1642="","",TEXT(Q1642,"hh:mm:ss"))</x:f>
        <x:v>11:02:00</x:v>
      </x:c>
      <x:c r="S1642" s="12" t="str">
        <x:v>否</x:v>
      </x:c>
      <x:c r="T1642" s="12" t="str">
        <x:v>否</x:v>
      </x:c>
      <x:c r="U1642" s="12" t="str">
        <x:v>郭海燕</x:v>
      </x:c>
      <x:c r="V1642" s="12" t="str">
        <x:v>5号车</x:v>
      </x:c>
      <x:c r="W1642" s="12" t="str">
        <x:v>秒级预测</x:v>
      </x:c>
      <x:c r="X1642" s="12" t="str">
        <x:v>基于路线秒级参数；如录入实测或手动采用秒，预计到达时间可随公式更新</x:v>
      </x:c>
    </x:row>
    <x:row r="1643">
      <x:c r="A1643" s="12" t="str">
        <x:v>S0141-04</x:v>
      </x:c>
      <x:c r="B1643" s="12" t="str">
        <x:v>S0141</x:v>
      </x:c>
      <x:c r="C1643" s="12" t="str">
        <x:v>工作日</x:v>
      </x:c>
      <x:c r="D1643" s="12" t="str">
        <x:v>环线3路</x:v>
      </x:c>
      <x:c r="E1643" s="12" t="str">
        <x:v>第二班</x:v>
      </x:c>
      <x:c r="F1643" s="12" t="n">
        <x:v>7</x:v>
      </x:c>
      <x:c r="G1643" s="12" t="str">
        <x:v>11:00</x:v>
      </x:c>
      <x:c r="H1643" s="12" t="n">
        <x:v>660</x:v>
      </x:c>
      <x:c r="I1643" s="12" t="str">
        <x:v>研究生宿舍楼</x:v>
      </x:c>
      <x:c r="J1643" s="12" t="str">
        <x:v>研究生宿舍楼发车</x:v>
      </x:c>
      <x:c r="K1643" s="12" t="str">
        <x:v>HX3_NORMAL</x:v>
      </x:c>
      <x:c r="L1643" s="12" t="n">
        <x:v>4</x:v>
      </x:c>
      <x:c r="M1643" s="12" t="str">
        <x:v>HX3_NORMAL|4</x:v>
      </x:c>
      <x:c r="N1643" s="12" t="str">
        <x:v>军体活动中心</x:v>
      </x:c>
      <x:c r="O1643" s="12" t="n">
        <x:f>IFERROR(INDEX('秒级路线参数_可调整'!$O:$O,MATCH(M1643,'秒级路线参数_可调整'!$A:$A,0)),"")</x:f>
        <x:v>165</x:v>
      </x:c>
      <x:c r="P1643" s="12" t="n">
        <x:f>IF(O1643="","",O1643/86400)</x:f>
        <x:v>0.0019097222222222222</x:v>
      </x:c>
      <x:c r="Q1643" s="12" t="n">
        <x:f>IF(O1643="","",(H1643*60+O1643)/86400)</x:f>
        <x:v>0.46024305555555556</x:v>
      </x:c>
      <x:c r="R1643" s="12" t="str">
        <x:f>IF(Q1643="","",TEXT(Q1643,"hh:mm:ss"))</x:f>
        <x:v>11:02:45</x:v>
      </x:c>
      <x:c r="S1643" s="12" t="str">
        <x:v>否</x:v>
      </x:c>
      <x:c r="T1643" s="12" t="str">
        <x:v>否</x:v>
      </x:c>
      <x:c r="U1643" s="12" t="str">
        <x:v>郭海燕</x:v>
      </x:c>
      <x:c r="V1643" s="12" t="str">
        <x:v>5号车</x:v>
      </x:c>
      <x:c r="W1643" s="12" t="str">
        <x:v>秒级预测</x:v>
      </x:c>
      <x:c r="X1643" s="12" t="str">
        <x:v>基于路线秒级参数；如录入实测或手动采用秒，预计到达时间可随公式更新</x:v>
      </x:c>
    </x:row>
    <x:row r="1644">
      <x:c r="A1644" s="12" t="str">
        <x:v>S0141-05</x:v>
      </x:c>
      <x:c r="B1644" s="12" t="str">
        <x:v>S0141</x:v>
      </x:c>
      <x:c r="C1644" s="12" t="str">
        <x:v>工作日</x:v>
      </x:c>
      <x:c r="D1644" s="12" t="str">
        <x:v>环线3路</x:v>
      </x:c>
      <x:c r="E1644" s="12" t="str">
        <x:v>第二班</x:v>
      </x:c>
      <x:c r="F1644" s="12" t="n">
        <x:v>7</x:v>
      </x:c>
      <x:c r="G1644" s="12" t="str">
        <x:v>11:00</x:v>
      </x:c>
      <x:c r="H1644" s="12" t="n">
        <x:v>660</x:v>
      </x:c>
      <x:c r="I1644" s="12" t="str">
        <x:v>研究生宿舍楼</x:v>
      </x:c>
      <x:c r="J1644" s="12" t="str">
        <x:v>研究生宿舍楼发车</x:v>
      </x:c>
      <x:c r="K1644" s="12" t="str">
        <x:v>HX3_NORMAL</x:v>
      </x:c>
      <x:c r="L1644" s="12" t="n">
        <x:v>5</x:v>
      </x:c>
      <x:c r="M1644" s="12" t="str">
        <x:v>HX3_NORMAL|5</x:v>
      </x:c>
      <x:c r="N1644" s="12" t="str">
        <x:v>教勤连</x:v>
      </x:c>
      <x:c r="O1644" s="12" t="n">
        <x:f>IFERROR(INDEX('秒级路线参数_可调整'!$O:$O,MATCH(M1644,'秒级路线参数_可调整'!$A:$A,0)),"")</x:f>
        <x:v>250</x:v>
      </x:c>
      <x:c r="P1644" s="12" t="n">
        <x:f>IF(O1644="","",O1644/86400)</x:f>
        <x:v>0.0028935185185185184</x:v>
      </x:c>
      <x:c r="Q1644" s="12" t="n">
        <x:f>IF(O1644="","",(H1644*60+O1644)/86400)</x:f>
        <x:v>0.46122685185185186</x:v>
      </x:c>
      <x:c r="R1644" s="12" t="str">
        <x:f>IF(Q1644="","",TEXT(Q1644,"hh:mm:ss"))</x:f>
        <x:v>11:04:10</x:v>
      </x:c>
      <x:c r="S1644" s="12" t="str">
        <x:v>否</x:v>
      </x:c>
      <x:c r="T1644" s="12" t="str">
        <x:v>否</x:v>
      </x:c>
      <x:c r="U1644" s="12" t="str">
        <x:v>郭海燕</x:v>
      </x:c>
      <x:c r="V1644" s="12" t="str">
        <x:v>5号车</x:v>
      </x:c>
      <x:c r="W1644" s="12" t="str">
        <x:v>秒级预测</x:v>
      </x:c>
      <x:c r="X1644" s="12" t="str">
        <x:v>基于路线秒级参数；如录入实测或手动采用秒，预计到达时间可随公式更新</x:v>
      </x:c>
    </x:row>
    <x:row r="1645">
      <x:c r="A1645" s="12" t="str">
        <x:v>S0141-06</x:v>
      </x:c>
      <x:c r="B1645" s="12" t="str">
        <x:v>S0141</x:v>
      </x:c>
      <x:c r="C1645" s="12" t="str">
        <x:v>工作日</x:v>
      </x:c>
      <x:c r="D1645" s="12" t="str">
        <x:v>环线3路</x:v>
      </x:c>
      <x:c r="E1645" s="12" t="str">
        <x:v>第二班</x:v>
      </x:c>
      <x:c r="F1645" s="12" t="n">
        <x:v>7</x:v>
      </x:c>
      <x:c r="G1645" s="12" t="str">
        <x:v>11:00</x:v>
      </x:c>
      <x:c r="H1645" s="12" t="n">
        <x:v>660</x:v>
      </x:c>
      <x:c r="I1645" s="12" t="str">
        <x:v>研究生宿舍楼</x:v>
      </x:c>
      <x:c r="J1645" s="12" t="str">
        <x:v>研究生宿舍楼发车</x:v>
      </x:c>
      <x:c r="K1645" s="12" t="str">
        <x:v>HX3_NORMAL</x:v>
      </x:c>
      <x:c r="L1645" s="12" t="n">
        <x:v>6</x:v>
      </x:c>
      <x:c r="M1645" s="12" t="str">
        <x:v>HX3_NORMAL|6</x:v>
      </x:c>
      <x:c r="N1645" s="12" t="str">
        <x:v>激光所</x:v>
      </x:c>
      <x:c r="O1645" s="12" t="n">
        <x:f>IFERROR(INDEX('秒级路线参数_可调整'!$O:$O,MATCH(M1645,'秒级路线参数_可调整'!$A:$A,0)),"")</x:f>
        <x:v>315</x:v>
      </x:c>
      <x:c r="P1645" s="12" t="n">
        <x:f>IF(O1645="","",O1645/86400)</x:f>
        <x:v>0.0036458333333333334</x:v>
      </x:c>
      <x:c r="Q1645" s="12" t="n">
        <x:f>IF(O1645="","",(H1645*60+O1645)/86400)</x:f>
        <x:v>0.46197916666666666</x:v>
      </x:c>
      <x:c r="R1645" s="12" t="str">
        <x:f>IF(Q1645="","",TEXT(Q1645,"hh:mm:ss"))</x:f>
        <x:v>11:05:15</x:v>
      </x:c>
      <x:c r="S1645" s="12" t="str">
        <x:v>否</x:v>
      </x:c>
      <x:c r="T1645" s="12" t="str">
        <x:v>否</x:v>
      </x:c>
      <x:c r="U1645" s="12" t="str">
        <x:v>郭海燕</x:v>
      </x:c>
      <x:c r="V1645" s="12" t="str">
        <x:v>5号车</x:v>
      </x:c>
      <x:c r="W1645" s="12" t="str">
        <x:v>秒级预测</x:v>
      </x:c>
      <x:c r="X1645" s="12" t="str">
        <x:v>基于路线秒级参数；如录入实测或手动采用秒，预计到达时间可随公式更新</x:v>
      </x:c>
    </x:row>
    <x:row r="1646">
      <x:c r="A1646" s="12" t="str">
        <x:v>S0141-07</x:v>
      </x:c>
      <x:c r="B1646" s="12" t="str">
        <x:v>S0141</x:v>
      </x:c>
      <x:c r="C1646" s="12" t="str">
        <x:v>工作日</x:v>
      </x:c>
      <x:c r="D1646" s="12" t="str">
        <x:v>环线3路</x:v>
      </x:c>
      <x:c r="E1646" s="12" t="str">
        <x:v>第二班</x:v>
      </x:c>
      <x:c r="F1646" s="12" t="n">
        <x:v>7</x:v>
      </x:c>
      <x:c r="G1646" s="12" t="str">
        <x:v>11:00</x:v>
      </x:c>
      <x:c r="H1646" s="12" t="n">
        <x:v>660</x:v>
      </x:c>
      <x:c r="I1646" s="12" t="str">
        <x:v>研究生宿舍楼</x:v>
      </x:c>
      <x:c r="J1646" s="12" t="str">
        <x:v>研究生宿舍楼发车</x:v>
      </x:c>
      <x:c r="K1646" s="12" t="str">
        <x:v>HX3_NORMAL</x:v>
      </x:c>
      <x:c r="L1646" s="12" t="n">
        <x:v>7</x:v>
      </x:c>
      <x:c r="M1646" s="12" t="str">
        <x:v>HX3_NORMAL|7</x:v>
      </x:c>
      <x:c r="N1646" s="12" t="str">
        <x:v>高超楼</x:v>
      </x:c>
      <x:c r="O1646" s="12" t="n">
        <x:f>IFERROR(INDEX('秒级路线参数_可调整'!$O:$O,MATCH(M1646,'秒级路线参数_可调整'!$A:$A,0)),"")</x:f>
        <x:v>420</x:v>
      </x:c>
      <x:c r="P1646" s="12" t="n">
        <x:f>IF(O1646="","",O1646/86400)</x:f>
        <x:v>0.004861111111111111</x:v>
      </x:c>
      <x:c r="Q1646" s="12" t="n">
        <x:f>IF(O1646="","",(H1646*60+O1646)/86400)</x:f>
        <x:v>0.46319444444444446</x:v>
      </x:c>
      <x:c r="R1646" s="12" t="str">
        <x:f>IF(Q1646="","",TEXT(Q1646,"hh:mm:ss"))</x:f>
        <x:v>11:07:00</x:v>
      </x:c>
      <x:c r="S1646" s="12" t="str">
        <x:v>否</x:v>
      </x:c>
      <x:c r="T1646" s="12" t="str">
        <x:v>否</x:v>
      </x:c>
      <x:c r="U1646" s="12" t="str">
        <x:v>郭海燕</x:v>
      </x:c>
      <x:c r="V1646" s="12" t="str">
        <x:v>5号车</x:v>
      </x:c>
      <x:c r="W1646" s="12" t="str">
        <x:v>秒级预测</x:v>
      </x:c>
      <x:c r="X1646" s="12" t="str">
        <x:v>基于路线秒级参数；如录入实测或手动采用秒，预计到达时间可随公式更新</x:v>
      </x:c>
    </x:row>
    <x:row r="1647">
      <x:c r="A1647" s="12" t="str">
        <x:v>S0141-08</x:v>
      </x:c>
      <x:c r="B1647" s="12" t="str">
        <x:v>S0141</x:v>
      </x:c>
      <x:c r="C1647" s="12" t="str">
        <x:v>工作日</x:v>
      </x:c>
      <x:c r="D1647" s="12" t="str">
        <x:v>环线3路</x:v>
      </x:c>
      <x:c r="E1647" s="12" t="str">
        <x:v>第二班</x:v>
      </x:c>
      <x:c r="F1647" s="12" t="n">
        <x:v>7</x:v>
      </x:c>
      <x:c r="G1647" s="12" t="str">
        <x:v>11:00</x:v>
      </x:c>
      <x:c r="H1647" s="12" t="n">
        <x:v>660</x:v>
      </x:c>
      <x:c r="I1647" s="12" t="str">
        <x:v>研究生宿舍楼</x:v>
      </x:c>
      <x:c r="J1647" s="12" t="str">
        <x:v>研究生宿舍楼发车</x:v>
      </x:c>
      <x:c r="K1647" s="12" t="str">
        <x:v>HX3_NORMAL</x:v>
      </x:c>
      <x:c r="L1647" s="12" t="n">
        <x:v>8</x:v>
      </x:c>
      <x:c r="M1647" s="12" t="str">
        <x:v>HX3_NORMAL|8</x:v>
      </x:c>
      <x:c r="N1647" s="12" t="str">
        <x:v>理学院</x:v>
      </x:c>
      <x:c r="O1647" s="12" t="n">
        <x:f>IFERROR(INDEX('秒级路线参数_可调整'!$O:$O,MATCH(M1647,'秒级路线参数_可调整'!$A:$A,0)),"")</x:f>
        <x:v>480</x:v>
      </x:c>
      <x:c r="P1647" s="12" t="n">
        <x:f>IF(O1647="","",O1647/86400)</x:f>
        <x:v>0.005555555555555556</x:v>
      </x:c>
      <x:c r="Q1647" s="12" t="n">
        <x:f>IF(O1647="","",(H1647*60+O1647)/86400)</x:f>
        <x:v>0.4638888888888889</x:v>
      </x:c>
      <x:c r="R1647" s="12" t="str">
        <x:f>IF(Q1647="","",TEXT(Q1647,"hh:mm:ss"))</x:f>
        <x:v>11:08:00</x:v>
      </x:c>
      <x:c r="S1647" s="12" t="str">
        <x:v>否</x:v>
      </x:c>
      <x:c r="T1647" s="12" t="str">
        <x:v>否</x:v>
      </x:c>
      <x:c r="U1647" s="12" t="str">
        <x:v>郭海燕</x:v>
      </x:c>
      <x:c r="V1647" s="12" t="str">
        <x:v>5号车</x:v>
      </x:c>
      <x:c r="W1647" s="12" t="str">
        <x:v>秒级预测</x:v>
      </x:c>
      <x:c r="X1647" s="12" t="str">
        <x:v>基于路线秒级参数；如录入实测或手动采用秒，预计到达时间可随公式更新</x:v>
      </x:c>
    </x:row>
    <x:row r="1648">
      <x:c r="A1648" s="12" t="str">
        <x:v>S0141-09</x:v>
      </x:c>
      <x:c r="B1648" s="12" t="str">
        <x:v>S0141</x:v>
      </x:c>
      <x:c r="C1648" s="12" t="str">
        <x:v>工作日</x:v>
      </x:c>
      <x:c r="D1648" s="12" t="str">
        <x:v>环线3路</x:v>
      </x:c>
      <x:c r="E1648" s="12" t="str">
        <x:v>第二班</x:v>
      </x:c>
      <x:c r="F1648" s="12" t="n">
        <x:v>7</x:v>
      </x:c>
      <x:c r="G1648" s="12" t="str">
        <x:v>11:00</x:v>
      </x:c>
      <x:c r="H1648" s="12" t="n">
        <x:v>660</x:v>
      </x:c>
      <x:c r="I1648" s="12" t="str">
        <x:v>研究生宿舍楼</x:v>
      </x:c>
      <x:c r="J1648" s="12" t="str">
        <x:v>研究生宿舍楼发车</x:v>
      </x:c>
      <x:c r="K1648" s="12" t="str">
        <x:v>HX3_NORMAL</x:v>
      </x:c>
      <x:c r="L1648" s="12" t="n">
        <x:v>9</x:v>
      </x:c>
      <x:c r="M1648" s="12" t="str">
        <x:v>HX3_NORMAL|9</x:v>
      </x:c>
      <x:c r="N1648" s="12" t="str">
        <x:v>二食堂</x:v>
      </x:c>
      <x:c r="O1648" s="12" t="n">
        <x:f>IFERROR(INDEX('秒级路线参数_可调整'!$O:$O,MATCH(M1648,'秒级路线参数_可调整'!$A:$A,0)),"")</x:f>
        <x:v>535</x:v>
      </x:c>
      <x:c r="P1648" s="12" t="n">
        <x:f>IF(O1648="","",O1648/86400)</x:f>
        <x:v>0.00619212962962963</x:v>
      </x:c>
      <x:c r="Q1648" s="12" t="n">
        <x:f>IF(O1648="","",(H1648*60+O1648)/86400)</x:f>
        <x:v>0.464525462962963</x:v>
      </x:c>
      <x:c r="R1648" s="12" t="str">
        <x:f>IF(Q1648="","",TEXT(Q1648,"hh:mm:ss"))</x:f>
        <x:v>11:08:55</x:v>
      </x:c>
      <x:c r="S1648" s="12" t="str">
        <x:v>否</x:v>
      </x:c>
      <x:c r="T1648" s="12" t="str">
        <x:v>否</x:v>
      </x:c>
      <x:c r="U1648" s="12" t="str">
        <x:v>郭海燕</x:v>
      </x:c>
      <x:c r="V1648" s="12" t="str">
        <x:v>5号车</x:v>
      </x:c>
      <x:c r="W1648" s="12" t="str">
        <x:v>秒级预测</x:v>
      </x:c>
      <x:c r="X1648" s="12" t="str">
        <x:v>基于路线秒级参数；如录入实测或手动采用秒，预计到达时间可随公式更新</x:v>
      </x:c>
    </x:row>
    <x:row r="1649">
      <x:c r="A1649" s="12" t="str">
        <x:v>S0141-10</x:v>
      </x:c>
      <x:c r="B1649" s="12" t="str">
        <x:v>S0141</x:v>
      </x:c>
      <x:c r="C1649" s="12" t="str">
        <x:v>工作日</x:v>
      </x:c>
      <x:c r="D1649" s="12" t="str">
        <x:v>环线3路</x:v>
      </x:c>
      <x:c r="E1649" s="12" t="str">
        <x:v>第二班</x:v>
      </x:c>
      <x:c r="F1649" s="12" t="n">
        <x:v>7</x:v>
      </x:c>
      <x:c r="G1649" s="12" t="str">
        <x:v>11:00</x:v>
      </x:c>
      <x:c r="H1649" s="12" t="n">
        <x:v>660</x:v>
      </x:c>
      <x:c r="I1649" s="12" t="str">
        <x:v>研究生宿舍楼</x:v>
      </x:c>
      <x:c r="J1649" s="12" t="str">
        <x:v>研究生宿舍楼发车</x:v>
      </x:c>
      <x:c r="K1649" s="12" t="str">
        <x:v>HX3_NORMAL</x:v>
      </x:c>
      <x:c r="L1649" s="12" t="n">
        <x:v>10</x:v>
      </x:c>
      <x:c r="M1649" s="12" t="str">
        <x:v>HX3_NORMAL|10</x:v>
      </x:c>
      <x:c r="N1649" s="12" t="str">
        <x:v>图书馆</x:v>
      </x:c>
      <x:c r="O1649" s="12" t="n">
        <x:f>IFERROR(INDEX('秒级路线参数_可调整'!$O:$O,MATCH(M1649,'秒级路线参数_可调整'!$A:$A,0)),"")</x:f>
        <x:v>715</x:v>
      </x:c>
      <x:c r="P1649" s="12" t="n">
        <x:f>IF(O1649="","",O1649/86400)</x:f>
        <x:v>0.008275462962962964</x:v>
      </x:c>
      <x:c r="Q1649" s="12" t="n">
        <x:f>IF(O1649="","",(H1649*60+O1649)/86400)</x:f>
        <x:v>0.4666087962962963</x:v>
      </x:c>
      <x:c r="R1649" s="12" t="str">
        <x:f>IF(Q1649="","",TEXT(Q1649,"hh:mm:ss"))</x:f>
        <x:v>11:11:55</x:v>
      </x:c>
      <x:c r="S1649" s="12" t="str">
        <x:v>否</x:v>
      </x:c>
      <x:c r="T1649" s="12" t="str">
        <x:v>否</x:v>
      </x:c>
      <x:c r="U1649" s="12" t="str">
        <x:v>郭海燕</x:v>
      </x:c>
      <x:c r="V1649" s="12" t="str">
        <x:v>5号车</x:v>
      </x:c>
      <x:c r="W1649" s="12" t="str">
        <x:v>秒级预测</x:v>
      </x:c>
      <x:c r="X1649" s="12" t="str">
        <x:v>基于路线秒级参数；如录入实测或手动采用秒，预计到达时间可随公式更新</x:v>
      </x:c>
    </x:row>
    <x:row r="1650">
      <x:c r="A1650" s="12" t="str">
        <x:v>S0141-11</x:v>
      </x:c>
      <x:c r="B1650" s="12" t="str">
        <x:v>S0141</x:v>
      </x:c>
      <x:c r="C1650" s="12" t="str">
        <x:v>工作日</x:v>
      </x:c>
      <x:c r="D1650" s="12" t="str">
        <x:v>环线3路</x:v>
      </x:c>
      <x:c r="E1650" s="12" t="str">
        <x:v>第二班</x:v>
      </x:c>
      <x:c r="F1650" s="12" t="n">
        <x:v>7</x:v>
      </x:c>
      <x:c r="G1650" s="12" t="str">
        <x:v>11:00</x:v>
      </x:c>
      <x:c r="H1650" s="12" t="n">
        <x:v>660</x:v>
      </x:c>
      <x:c r="I1650" s="12" t="str">
        <x:v>研究生宿舍楼</x:v>
      </x:c>
      <x:c r="J1650" s="12" t="str">
        <x:v>研究生宿舍楼发车</x:v>
      </x:c>
      <x:c r="K1650" s="12" t="str">
        <x:v>HX3_NORMAL</x:v>
      </x:c>
      <x:c r="L1650" s="12" t="n">
        <x:v>11</x:v>
      </x:c>
      <x:c r="M1650" s="12" t="str">
        <x:v>HX3_NORMAL|11</x:v>
      </x:c>
      <x:c r="N1650" s="12" t="str">
        <x:v>305教学楼</x:v>
      </x:c>
      <x:c r="O1650" s="12" t="n">
        <x:f>IFERROR(INDEX('秒级路线参数_可调整'!$O:$O,MATCH(M1650,'秒级路线参数_可调整'!$A:$A,0)),"")</x:f>
        <x:v>775</x:v>
      </x:c>
      <x:c r="P1650" s="12" t="n">
        <x:f>IF(O1650="","",O1650/86400)</x:f>
        <x:v>0.008969907407407407</x:v>
      </x:c>
      <x:c r="Q1650" s="12" t="n">
        <x:f>IF(O1650="","",(H1650*60+O1650)/86400)</x:f>
        <x:v>0.46730324074074076</x:v>
      </x:c>
      <x:c r="R1650" s="12" t="str">
        <x:f>IF(Q1650="","",TEXT(Q1650,"hh:mm:ss"))</x:f>
        <x:v>11:12:55</x:v>
      </x:c>
      <x:c r="S1650" s="12" t="str">
        <x:v>否</x:v>
      </x:c>
      <x:c r="T1650" s="12" t="str">
        <x:v>否</x:v>
      </x:c>
      <x:c r="U1650" s="12" t="str">
        <x:v>郭海燕</x:v>
      </x:c>
      <x:c r="V1650" s="12" t="str">
        <x:v>5号车</x:v>
      </x:c>
      <x:c r="W1650" s="12" t="str">
        <x:v>秒级预测</x:v>
      </x:c>
      <x:c r="X1650" s="12" t="str">
        <x:v>基于路线秒级参数；如录入实测或手动采用秒，预计到达时间可随公式更新</x:v>
      </x:c>
    </x:row>
    <x:row r="1651">
      <x:c r="A1651" s="12" t="str">
        <x:v>S0141-12</x:v>
      </x:c>
      <x:c r="B1651" s="12" t="str">
        <x:v>S0141</x:v>
      </x:c>
      <x:c r="C1651" s="12" t="str">
        <x:v>工作日</x:v>
      </x:c>
      <x:c r="D1651" s="12" t="str">
        <x:v>环线3路</x:v>
      </x:c>
      <x:c r="E1651" s="12" t="str">
        <x:v>第二班</x:v>
      </x:c>
      <x:c r="F1651" s="12" t="n">
        <x:v>7</x:v>
      </x:c>
      <x:c r="G1651" s="12" t="str">
        <x:v>11:00</x:v>
      </x:c>
      <x:c r="H1651" s="12" t="n">
        <x:v>660</x:v>
      </x:c>
      <x:c r="I1651" s="12" t="str">
        <x:v>研究生宿舍楼</x:v>
      </x:c>
      <x:c r="J1651" s="12" t="str">
        <x:v>研究生宿舍楼发车</x:v>
      </x:c>
      <x:c r="K1651" s="12" t="str">
        <x:v>HX3_NORMAL</x:v>
      </x:c>
      <x:c r="L1651" s="12" t="n">
        <x:v>12</x:v>
      </x:c>
      <x:c r="M1651" s="12" t="str">
        <x:v>HX3_NORMAL|12</x:v>
      </x:c>
      <x:c r="N1651" s="12" t="str">
        <x:v>研究生宿舍楼</x:v>
      </x:c>
      <x:c r="O1651" s="12" t="n">
        <x:f>IFERROR(INDEX('秒级路线参数_可调整'!$O:$O,MATCH(M1651,'秒级路线参数_可调整'!$A:$A,0)),"")</x:f>
        <x:v>840</x:v>
      </x:c>
      <x:c r="P1651" s="12" t="n">
        <x:f>IF(O1651="","",O1651/86400)</x:f>
        <x:v>0.009722222222222222</x:v>
      </x:c>
      <x:c r="Q1651" s="12" t="n">
        <x:f>IF(O1651="","",(H1651*60+O1651)/86400)</x:f>
        <x:v>0.46805555555555556</x:v>
      </x:c>
      <x:c r="R1651" s="12" t="str">
        <x:f>IF(Q1651="","",TEXT(Q1651,"hh:mm:ss"))</x:f>
        <x:v>11:14:00</x:v>
      </x:c>
      <x:c r="S1651" s="12" t="str">
        <x:v>否</x:v>
      </x:c>
      <x:c r="T1651" s="12" t="str">
        <x:v>是</x:v>
      </x:c>
      <x:c r="U1651" s="12" t="str">
        <x:v>郭海燕</x:v>
      </x:c>
      <x:c r="V1651" s="12" t="str">
        <x:v>5号车</x:v>
      </x:c>
      <x:c r="W1651" s="12" t="str">
        <x:v>秒级预测</x:v>
      </x:c>
      <x:c r="X1651" s="12" t="str">
        <x:v>基于路线秒级参数；如录入实测或手动采用秒，预计到达时间可随公式更新</x:v>
      </x:c>
    </x:row>
    <x:row r="1652">
      <x:c r="A1652" s="12" t="str">
        <x:v>S0142-01</x:v>
      </x:c>
      <x:c r="B1652" s="12" t="str">
        <x:v>S0142</x:v>
      </x:c>
      <x:c r="C1652" s="12" t="str">
        <x:v>工作日</x:v>
      </x:c>
      <x:c r="D1652" s="12" t="str">
        <x:v>环线3路</x:v>
      </x:c>
      <x:c r="E1652" s="12" t="str">
        <x:v>第二班</x:v>
      </x:c>
      <x:c r="F1652" s="12" t="n">
        <x:v>8</x:v>
      </x:c>
      <x:c r="G1652" s="12" t="str">
        <x:v>11:45</x:v>
      </x:c>
      <x:c r="H1652" s="12" t="n">
        <x:v>705</x:v>
      </x:c>
      <x:c r="I1652" s="12" t="str">
        <x:v>研究生宿舍楼</x:v>
      </x:c>
      <x:c r="J1652" s="12" t="str">
        <x:v>研究生宿舍楼发车</x:v>
      </x:c>
      <x:c r="K1652" s="12" t="str">
        <x:v>HX3_NORMAL</x:v>
      </x:c>
      <x:c r="L1652" s="12" t="n">
        <x:v>1</x:v>
      </x:c>
      <x:c r="M1652" s="12" t="str">
        <x:v>HX3_NORMAL|1</x:v>
      </x:c>
      <x:c r="N1652" s="12" t="str">
        <x:v>研究生宿舍楼</x:v>
      </x:c>
      <x:c r="O1652" s="12" t="n">
        <x:f>IFERROR(INDEX('秒级路线参数_可调整'!$O:$O,MATCH(M1652,'秒级路线参数_可调整'!$A:$A,0)),"")</x:f>
        <x:v>0</x:v>
      </x:c>
      <x:c r="P1652" s="12" t="str">
        <x:f>IF(O1652="","",O1652/86400)</x:f>
      </x:c>
      <x:c r="Q1652" s="12" t="str">
        <x:f>IF(O1652="","",(H1652*60+O1652)/86400)</x:f>
      </x:c>
      <x:c r="R1652" s="12" t="str">
        <x:f>IF(Q1652="","",TEXT(Q1652,"hh:mm:ss"))</x:f>
      </x:c>
      <x:c r="S1652" s="12" t="str">
        <x:v>是</x:v>
      </x:c>
      <x:c r="T1652" s="12" t="str">
        <x:v>否</x:v>
      </x:c>
      <x:c r="U1652" s="12" t="str">
        <x:v>郭海燕</x:v>
      </x:c>
      <x:c r="V1652" s="12" t="str">
        <x:v>5号车</x:v>
      </x:c>
      <x:c r="W1652" s="12" t="str">
        <x:v>秒级预测</x:v>
      </x:c>
      <x:c r="X1652" s="12" t="str">
        <x:v>基于路线秒级参数；如录入实测或手动采用秒，预计到达时间可随公式更新</x:v>
      </x:c>
    </x:row>
    <x:row r="1653">
      <x:c r="A1653" s="12" t="str">
        <x:v>S0142-02</x:v>
      </x:c>
      <x:c r="B1653" s="12" t="str">
        <x:v>S0142</x:v>
      </x:c>
      <x:c r="C1653" s="12" t="str">
        <x:v>工作日</x:v>
      </x:c>
      <x:c r="D1653" s="12" t="str">
        <x:v>环线3路</x:v>
      </x:c>
      <x:c r="E1653" s="12" t="str">
        <x:v>第二班</x:v>
      </x:c>
      <x:c r="F1653" s="12" t="n">
        <x:v>8</x:v>
      </x:c>
      <x:c r="G1653" s="12" t="str">
        <x:v>11:45</x:v>
      </x:c>
      <x:c r="H1653" s="12" t="n">
        <x:v>705</x:v>
      </x:c>
      <x:c r="I1653" s="12" t="str">
        <x:v>研究生宿舍楼</x:v>
      </x:c>
      <x:c r="J1653" s="12" t="str">
        <x:v>研究生宿舍楼发车</x:v>
      </x:c>
      <x:c r="K1653" s="12" t="str">
        <x:v>HX3_NORMAL</x:v>
      </x:c>
      <x:c r="L1653" s="12" t="n">
        <x:v>2</x:v>
      </x:c>
      <x:c r="M1653" s="12" t="str">
        <x:v>HX3_NORMAL|2</x:v>
      </x:c>
      <x:c r="N1653" s="12" t="str">
        <x:v>一食堂</x:v>
      </x:c>
      <x:c r="O1653" s="12" t="n">
        <x:f>IFERROR(INDEX('秒级路线参数_可调整'!$O:$O,MATCH(M1653,'秒级路线参数_可调整'!$A:$A,0)),"")</x:f>
        <x:v>65</x:v>
      </x:c>
      <x:c r="P1653" s="12" t="n">
        <x:f>IF(O1653="","",O1653/86400)</x:f>
        <x:v>0.0007523148148148148</x:v>
      </x:c>
      <x:c r="Q1653" s="12" t="n">
        <x:f>IF(O1653="","",(H1653*60+O1653)/86400)</x:f>
        <x:v>0.4903356481481482</x:v>
      </x:c>
      <x:c r="R1653" s="12" t="str">
        <x:f>IF(Q1653="","",TEXT(Q1653,"hh:mm:ss"))</x:f>
        <x:v>11:46:05</x:v>
      </x:c>
      <x:c r="S1653" s="12" t="str">
        <x:v>否</x:v>
      </x:c>
      <x:c r="T1653" s="12" t="str">
        <x:v>否</x:v>
      </x:c>
      <x:c r="U1653" s="12" t="str">
        <x:v>郭海燕</x:v>
      </x:c>
      <x:c r="V1653" s="12" t="str">
        <x:v>5号车</x:v>
      </x:c>
      <x:c r="W1653" s="12" t="str">
        <x:v>秒级预测</x:v>
      </x:c>
      <x:c r="X1653" s="12" t="str">
        <x:v>基于路线秒级参数；如录入实测或手动采用秒，预计到达时间可随公式更新</x:v>
      </x:c>
    </x:row>
    <x:row r="1654">
      <x:c r="A1654" s="12" t="str">
        <x:v>S0142-03</x:v>
      </x:c>
      <x:c r="B1654" s="12" t="str">
        <x:v>S0142</x:v>
      </x:c>
      <x:c r="C1654" s="12" t="str">
        <x:v>工作日</x:v>
      </x:c>
      <x:c r="D1654" s="12" t="str">
        <x:v>环线3路</x:v>
      </x:c>
      <x:c r="E1654" s="12" t="str">
        <x:v>第二班</x:v>
      </x:c>
      <x:c r="F1654" s="12" t="n">
        <x:v>8</x:v>
      </x:c>
      <x:c r="G1654" s="12" t="str">
        <x:v>11:45</x:v>
      </x:c>
      <x:c r="H1654" s="12" t="n">
        <x:v>705</x:v>
      </x:c>
      <x:c r="I1654" s="12" t="str">
        <x:v>研究生宿舍楼</x:v>
      </x:c>
      <x:c r="J1654" s="12" t="str">
        <x:v>研究生宿舍楼发车</x:v>
      </x:c>
      <x:c r="K1654" s="12" t="str">
        <x:v>HX3_NORMAL</x:v>
      </x:c>
      <x:c r="L1654" s="12" t="n">
        <x:v>3</x:v>
      </x:c>
      <x:c r="M1654" s="12" t="str">
        <x:v>HX3_NORMAL|3</x:v>
      </x:c>
      <x:c r="N1654" s="12" t="str">
        <x:v>2号宿舍楼</x:v>
      </x:c>
      <x:c r="O1654" s="12" t="n">
        <x:f>IFERROR(INDEX('秒级路线参数_可调整'!$O:$O,MATCH(M1654,'秒级路线参数_可调整'!$A:$A,0)),"")</x:f>
        <x:v>120</x:v>
      </x:c>
      <x:c r="P1654" s="12" t="n">
        <x:f>IF(O1654="","",O1654/86400)</x:f>
        <x:v>0.001388888888888889</x:v>
      </x:c>
      <x:c r="Q1654" s="12" t="n">
        <x:f>IF(O1654="","",(H1654*60+O1654)/86400)</x:f>
        <x:v>0.4909722222222222</x:v>
      </x:c>
      <x:c r="R1654" s="12" t="str">
        <x:f>IF(Q1654="","",TEXT(Q1654,"hh:mm:ss"))</x:f>
        <x:v>11:47:00</x:v>
      </x:c>
      <x:c r="S1654" s="12" t="str">
        <x:v>否</x:v>
      </x:c>
      <x:c r="T1654" s="12" t="str">
        <x:v>否</x:v>
      </x:c>
      <x:c r="U1654" s="12" t="str">
        <x:v>郭海燕</x:v>
      </x:c>
      <x:c r="V1654" s="12" t="str">
        <x:v>5号车</x:v>
      </x:c>
      <x:c r="W1654" s="12" t="str">
        <x:v>秒级预测</x:v>
      </x:c>
      <x:c r="X1654" s="12" t="str">
        <x:v>基于路线秒级参数；如录入实测或手动采用秒，预计到达时间可随公式更新</x:v>
      </x:c>
    </x:row>
    <x:row r="1655">
      <x:c r="A1655" s="12" t="str">
        <x:v>S0142-04</x:v>
      </x:c>
      <x:c r="B1655" s="12" t="str">
        <x:v>S0142</x:v>
      </x:c>
      <x:c r="C1655" s="12" t="str">
        <x:v>工作日</x:v>
      </x:c>
      <x:c r="D1655" s="12" t="str">
        <x:v>环线3路</x:v>
      </x:c>
      <x:c r="E1655" s="12" t="str">
        <x:v>第二班</x:v>
      </x:c>
      <x:c r="F1655" s="12" t="n">
        <x:v>8</x:v>
      </x:c>
      <x:c r="G1655" s="12" t="str">
        <x:v>11:45</x:v>
      </x:c>
      <x:c r="H1655" s="12" t="n">
        <x:v>705</x:v>
      </x:c>
      <x:c r="I1655" s="12" t="str">
        <x:v>研究生宿舍楼</x:v>
      </x:c>
      <x:c r="J1655" s="12" t="str">
        <x:v>研究生宿舍楼发车</x:v>
      </x:c>
      <x:c r="K1655" s="12" t="str">
        <x:v>HX3_NORMAL</x:v>
      </x:c>
      <x:c r="L1655" s="12" t="n">
        <x:v>4</x:v>
      </x:c>
      <x:c r="M1655" s="12" t="str">
        <x:v>HX3_NORMAL|4</x:v>
      </x:c>
      <x:c r="N1655" s="12" t="str">
        <x:v>军体活动中心</x:v>
      </x:c>
      <x:c r="O1655" s="12" t="n">
        <x:f>IFERROR(INDEX('秒级路线参数_可调整'!$O:$O,MATCH(M1655,'秒级路线参数_可调整'!$A:$A,0)),"")</x:f>
        <x:v>165</x:v>
      </x:c>
      <x:c r="P1655" s="12" t="n">
        <x:f>IF(O1655="","",O1655/86400)</x:f>
        <x:v>0.0019097222222222222</x:v>
      </x:c>
      <x:c r="Q1655" s="12" t="n">
        <x:f>IF(O1655="","",(H1655*60+O1655)/86400)</x:f>
        <x:v>0.49149305555555556</x:v>
      </x:c>
      <x:c r="R1655" s="12" t="str">
        <x:f>IF(Q1655="","",TEXT(Q1655,"hh:mm:ss"))</x:f>
        <x:v>11:47:45</x:v>
      </x:c>
      <x:c r="S1655" s="12" t="str">
        <x:v>否</x:v>
      </x:c>
      <x:c r="T1655" s="12" t="str">
        <x:v>否</x:v>
      </x:c>
      <x:c r="U1655" s="12" t="str">
        <x:v>郭海燕</x:v>
      </x:c>
      <x:c r="V1655" s="12" t="str">
        <x:v>5号车</x:v>
      </x:c>
      <x:c r="W1655" s="12" t="str">
        <x:v>秒级预测</x:v>
      </x:c>
      <x:c r="X1655" s="12" t="str">
        <x:v>基于路线秒级参数；如录入实测或手动采用秒，预计到达时间可随公式更新</x:v>
      </x:c>
    </x:row>
    <x:row r="1656">
      <x:c r="A1656" s="12" t="str">
        <x:v>S0142-05</x:v>
      </x:c>
      <x:c r="B1656" s="12" t="str">
        <x:v>S0142</x:v>
      </x:c>
      <x:c r="C1656" s="12" t="str">
        <x:v>工作日</x:v>
      </x:c>
      <x:c r="D1656" s="12" t="str">
        <x:v>环线3路</x:v>
      </x:c>
      <x:c r="E1656" s="12" t="str">
        <x:v>第二班</x:v>
      </x:c>
      <x:c r="F1656" s="12" t="n">
        <x:v>8</x:v>
      </x:c>
      <x:c r="G1656" s="12" t="str">
        <x:v>11:45</x:v>
      </x:c>
      <x:c r="H1656" s="12" t="n">
        <x:v>705</x:v>
      </x:c>
      <x:c r="I1656" s="12" t="str">
        <x:v>研究生宿舍楼</x:v>
      </x:c>
      <x:c r="J1656" s="12" t="str">
        <x:v>研究生宿舍楼发车</x:v>
      </x:c>
      <x:c r="K1656" s="12" t="str">
        <x:v>HX3_NORMAL</x:v>
      </x:c>
      <x:c r="L1656" s="12" t="n">
        <x:v>5</x:v>
      </x:c>
      <x:c r="M1656" s="12" t="str">
        <x:v>HX3_NORMAL|5</x:v>
      </x:c>
      <x:c r="N1656" s="12" t="str">
        <x:v>教勤连</x:v>
      </x:c>
      <x:c r="O1656" s="12" t="n">
        <x:f>IFERROR(INDEX('秒级路线参数_可调整'!$O:$O,MATCH(M1656,'秒级路线参数_可调整'!$A:$A,0)),"")</x:f>
        <x:v>250</x:v>
      </x:c>
      <x:c r="P1656" s="12" t="n">
        <x:f>IF(O1656="","",O1656/86400)</x:f>
        <x:v>0.0028935185185185184</x:v>
      </x:c>
      <x:c r="Q1656" s="12" t="n">
        <x:f>IF(O1656="","",(H1656*60+O1656)/86400)</x:f>
        <x:v>0.49247685185185186</x:v>
      </x:c>
      <x:c r="R1656" s="12" t="str">
        <x:f>IF(Q1656="","",TEXT(Q1656,"hh:mm:ss"))</x:f>
        <x:v>11:49:10</x:v>
      </x:c>
      <x:c r="S1656" s="12" t="str">
        <x:v>否</x:v>
      </x:c>
      <x:c r="T1656" s="12" t="str">
        <x:v>否</x:v>
      </x:c>
      <x:c r="U1656" s="12" t="str">
        <x:v>郭海燕</x:v>
      </x:c>
      <x:c r="V1656" s="12" t="str">
        <x:v>5号车</x:v>
      </x:c>
      <x:c r="W1656" s="12" t="str">
        <x:v>秒级预测</x:v>
      </x:c>
      <x:c r="X1656" s="12" t="str">
        <x:v>基于路线秒级参数；如录入实测或手动采用秒，预计到达时间可随公式更新</x:v>
      </x:c>
    </x:row>
    <x:row r="1657">
      <x:c r="A1657" s="12" t="str">
        <x:v>S0142-06</x:v>
      </x:c>
      <x:c r="B1657" s="12" t="str">
        <x:v>S0142</x:v>
      </x:c>
      <x:c r="C1657" s="12" t="str">
        <x:v>工作日</x:v>
      </x:c>
      <x:c r="D1657" s="12" t="str">
        <x:v>环线3路</x:v>
      </x:c>
      <x:c r="E1657" s="12" t="str">
        <x:v>第二班</x:v>
      </x:c>
      <x:c r="F1657" s="12" t="n">
        <x:v>8</x:v>
      </x:c>
      <x:c r="G1657" s="12" t="str">
        <x:v>11:45</x:v>
      </x:c>
      <x:c r="H1657" s="12" t="n">
        <x:v>705</x:v>
      </x:c>
      <x:c r="I1657" s="12" t="str">
        <x:v>研究生宿舍楼</x:v>
      </x:c>
      <x:c r="J1657" s="12" t="str">
        <x:v>研究生宿舍楼发车</x:v>
      </x:c>
      <x:c r="K1657" s="12" t="str">
        <x:v>HX3_NORMAL</x:v>
      </x:c>
      <x:c r="L1657" s="12" t="n">
        <x:v>6</x:v>
      </x:c>
      <x:c r="M1657" s="12" t="str">
        <x:v>HX3_NORMAL|6</x:v>
      </x:c>
      <x:c r="N1657" s="12" t="str">
        <x:v>激光所</x:v>
      </x:c>
      <x:c r="O1657" s="12" t="n">
        <x:f>IFERROR(INDEX('秒级路线参数_可调整'!$O:$O,MATCH(M1657,'秒级路线参数_可调整'!$A:$A,0)),"")</x:f>
        <x:v>315</x:v>
      </x:c>
      <x:c r="P1657" s="12" t="n">
        <x:f>IF(O1657="","",O1657/86400)</x:f>
        <x:v>0.0036458333333333334</x:v>
      </x:c>
      <x:c r="Q1657" s="12" t="n">
        <x:f>IF(O1657="","",(H1657*60+O1657)/86400)</x:f>
        <x:v>0.49322916666666666</x:v>
      </x:c>
      <x:c r="R1657" s="12" t="str">
        <x:f>IF(Q1657="","",TEXT(Q1657,"hh:mm:ss"))</x:f>
        <x:v>11:50:15</x:v>
      </x:c>
      <x:c r="S1657" s="12" t="str">
        <x:v>否</x:v>
      </x:c>
      <x:c r="T1657" s="12" t="str">
        <x:v>否</x:v>
      </x:c>
      <x:c r="U1657" s="12" t="str">
        <x:v>郭海燕</x:v>
      </x:c>
      <x:c r="V1657" s="12" t="str">
        <x:v>5号车</x:v>
      </x:c>
      <x:c r="W1657" s="12" t="str">
        <x:v>秒级预测</x:v>
      </x:c>
      <x:c r="X1657" s="12" t="str">
        <x:v>基于路线秒级参数；如录入实测或手动采用秒，预计到达时间可随公式更新</x:v>
      </x:c>
    </x:row>
    <x:row r="1658">
      <x:c r="A1658" s="12" t="str">
        <x:v>S0142-07</x:v>
      </x:c>
      <x:c r="B1658" s="12" t="str">
        <x:v>S0142</x:v>
      </x:c>
      <x:c r="C1658" s="12" t="str">
        <x:v>工作日</x:v>
      </x:c>
      <x:c r="D1658" s="12" t="str">
        <x:v>环线3路</x:v>
      </x:c>
      <x:c r="E1658" s="12" t="str">
        <x:v>第二班</x:v>
      </x:c>
      <x:c r="F1658" s="12" t="n">
        <x:v>8</x:v>
      </x:c>
      <x:c r="G1658" s="12" t="str">
        <x:v>11:45</x:v>
      </x:c>
      <x:c r="H1658" s="12" t="n">
        <x:v>705</x:v>
      </x:c>
      <x:c r="I1658" s="12" t="str">
        <x:v>研究生宿舍楼</x:v>
      </x:c>
      <x:c r="J1658" s="12" t="str">
        <x:v>研究生宿舍楼发车</x:v>
      </x:c>
      <x:c r="K1658" s="12" t="str">
        <x:v>HX3_NORMAL</x:v>
      </x:c>
      <x:c r="L1658" s="12" t="n">
        <x:v>7</x:v>
      </x:c>
      <x:c r="M1658" s="12" t="str">
        <x:v>HX3_NORMAL|7</x:v>
      </x:c>
      <x:c r="N1658" s="12" t="str">
        <x:v>高超楼</x:v>
      </x:c>
      <x:c r="O1658" s="12" t="n">
        <x:f>IFERROR(INDEX('秒级路线参数_可调整'!$O:$O,MATCH(M1658,'秒级路线参数_可调整'!$A:$A,0)),"")</x:f>
        <x:v>420</x:v>
      </x:c>
      <x:c r="P1658" s="12" t="n">
        <x:f>IF(O1658="","",O1658/86400)</x:f>
        <x:v>0.004861111111111111</x:v>
      </x:c>
      <x:c r="Q1658" s="12" t="n">
        <x:f>IF(O1658="","",(H1658*60+O1658)/86400)</x:f>
        <x:v>0.49444444444444446</x:v>
      </x:c>
      <x:c r="R1658" s="12" t="str">
        <x:f>IF(Q1658="","",TEXT(Q1658,"hh:mm:ss"))</x:f>
        <x:v>11:52:00</x:v>
      </x:c>
      <x:c r="S1658" s="12" t="str">
        <x:v>否</x:v>
      </x:c>
      <x:c r="T1658" s="12" t="str">
        <x:v>否</x:v>
      </x:c>
      <x:c r="U1658" s="12" t="str">
        <x:v>郭海燕</x:v>
      </x:c>
      <x:c r="V1658" s="12" t="str">
        <x:v>5号车</x:v>
      </x:c>
      <x:c r="W1658" s="12" t="str">
        <x:v>秒级预测</x:v>
      </x:c>
      <x:c r="X1658" s="12" t="str">
        <x:v>基于路线秒级参数；如录入实测或手动采用秒，预计到达时间可随公式更新</x:v>
      </x:c>
    </x:row>
    <x:row r="1659">
      <x:c r="A1659" s="12" t="str">
        <x:v>S0142-08</x:v>
      </x:c>
      <x:c r="B1659" s="12" t="str">
        <x:v>S0142</x:v>
      </x:c>
      <x:c r="C1659" s="12" t="str">
        <x:v>工作日</x:v>
      </x:c>
      <x:c r="D1659" s="12" t="str">
        <x:v>环线3路</x:v>
      </x:c>
      <x:c r="E1659" s="12" t="str">
        <x:v>第二班</x:v>
      </x:c>
      <x:c r="F1659" s="12" t="n">
        <x:v>8</x:v>
      </x:c>
      <x:c r="G1659" s="12" t="str">
        <x:v>11:45</x:v>
      </x:c>
      <x:c r="H1659" s="12" t="n">
        <x:v>705</x:v>
      </x:c>
      <x:c r="I1659" s="12" t="str">
        <x:v>研究生宿舍楼</x:v>
      </x:c>
      <x:c r="J1659" s="12" t="str">
        <x:v>研究生宿舍楼发车</x:v>
      </x:c>
      <x:c r="K1659" s="12" t="str">
        <x:v>HX3_NORMAL</x:v>
      </x:c>
      <x:c r="L1659" s="12" t="n">
        <x:v>8</x:v>
      </x:c>
      <x:c r="M1659" s="12" t="str">
        <x:v>HX3_NORMAL|8</x:v>
      </x:c>
      <x:c r="N1659" s="12" t="str">
        <x:v>理学院</x:v>
      </x:c>
      <x:c r="O1659" s="12" t="n">
        <x:f>IFERROR(INDEX('秒级路线参数_可调整'!$O:$O,MATCH(M1659,'秒级路线参数_可调整'!$A:$A,0)),"")</x:f>
        <x:v>480</x:v>
      </x:c>
      <x:c r="P1659" s="12" t="n">
        <x:f>IF(O1659="","",O1659/86400)</x:f>
        <x:v>0.005555555555555556</x:v>
      </x:c>
      <x:c r="Q1659" s="12" t="n">
        <x:f>IF(O1659="","",(H1659*60+O1659)/86400)</x:f>
        <x:v>0.4951388888888889</x:v>
      </x:c>
      <x:c r="R1659" s="12" t="str">
        <x:f>IF(Q1659="","",TEXT(Q1659,"hh:mm:ss"))</x:f>
        <x:v>11:53:00</x:v>
      </x:c>
      <x:c r="S1659" s="12" t="str">
        <x:v>否</x:v>
      </x:c>
      <x:c r="T1659" s="12" t="str">
        <x:v>否</x:v>
      </x:c>
      <x:c r="U1659" s="12" t="str">
        <x:v>郭海燕</x:v>
      </x:c>
      <x:c r="V1659" s="12" t="str">
        <x:v>5号车</x:v>
      </x:c>
      <x:c r="W1659" s="12" t="str">
        <x:v>秒级预测</x:v>
      </x:c>
      <x:c r="X1659" s="12" t="str">
        <x:v>基于路线秒级参数；如录入实测或手动采用秒，预计到达时间可随公式更新</x:v>
      </x:c>
    </x:row>
    <x:row r="1660">
      <x:c r="A1660" s="12" t="str">
        <x:v>S0142-09</x:v>
      </x:c>
      <x:c r="B1660" s="12" t="str">
        <x:v>S0142</x:v>
      </x:c>
      <x:c r="C1660" s="12" t="str">
        <x:v>工作日</x:v>
      </x:c>
      <x:c r="D1660" s="12" t="str">
        <x:v>环线3路</x:v>
      </x:c>
      <x:c r="E1660" s="12" t="str">
        <x:v>第二班</x:v>
      </x:c>
      <x:c r="F1660" s="12" t="n">
        <x:v>8</x:v>
      </x:c>
      <x:c r="G1660" s="12" t="str">
        <x:v>11:45</x:v>
      </x:c>
      <x:c r="H1660" s="12" t="n">
        <x:v>705</x:v>
      </x:c>
      <x:c r="I1660" s="12" t="str">
        <x:v>研究生宿舍楼</x:v>
      </x:c>
      <x:c r="J1660" s="12" t="str">
        <x:v>研究生宿舍楼发车</x:v>
      </x:c>
      <x:c r="K1660" s="12" t="str">
        <x:v>HX3_NORMAL</x:v>
      </x:c>
      <x:c r="L1660" s="12" t="n">
        <x:v>9</x:v>
      </x:c>
      <x:c r="M1660" s="12" t="str">
        <x:v>HX3_NORMAL|9</x:v>
      </x:c>
      <x:c r="N1660" s="12" t="str">
        <x:v>二食堂</x:v>
      </x:c>
      <x:c r="O1660" s="12" t="n">
        <x:f>IFERROR(INDEX('秒级路线参数_可调整'!$O:$O,MATCH(M1660,'秒级路线参数_可调整'!$A:$A,0)),"")</x:f>
        <x:v>535</x:v>
      </x:c>
      <x:c r="P1660" s="12" t="n">
        <x:f>IF(O1660="","",O1660/86400)</x:f>
        <x:v>0.00619212962962963</x:v>
      </x:c>
      <x:c r="Q1660" s="12" t="n">
        <x:f>IF(O1660="","",(H1660*60+O1660)/86400)</x:f>
        <x:v>0.495775462962963</x:v>
      </x:c>
      <x:c r="R1660" s="12" t="str">
        <x:f>IF(Q1660="","",TEXT(Q1660,"hh:mm:ss"))</x:f>
        <x:v>11:53:55</x:v>
      </x:c>
      <x:c r="S1660" s="12" t="str">
        <x:v>否</x:v>
      </x:c>
      <x:c r="T1660" s="12" t="str">
        <x:v>否</x:v>
      </x:c>
      <x:c r="U1660" s="12" t="str">
        <x:v>郭海燕</x:v>
      </x:c>
      <x:c r="V1660" s="12" t="str">
        <x:v>5号车</x:v>
      </x:c>
      <x:c r="W1660" s="12" t="str">
        <x:v>秒级预测</x:v>
      </x:c>
      <x:c r="X1660" s="12" t="str">
        <x:v>基于路线秒级参数；如录入实测或手动采用秒，预计到达时间可随公式更新</x:v>
      </x:c>
    </x:row>
    <x:row r="1661">
      <x:c r="A1661" s="12" t="str">
        <x:v>S0142-10</x:v>
      </x:c>
      <x:c r="B1661" s="12" t="str">
        <x:v>S0142</x:v>
      </x:c>
      <x:c r="C1661" s="12" t="str">
        <x:v>工作日</x:v>
      </x:c>
      <x:c r="D1661" s="12" t="str">
        <x:v>环线3路</x:v>
      </x:c>
      <x:c r="E1661" s="12" t="str">
        <x:v>第二班</x:v>
      </x:c>
      <x:c r="F1661" s="12" t="n">
        <x:v>8</x:v>
      </x:c>
      <x:c r="G1661" s="12" t="str">
        <x:v>11:45</x:v>
      </x:c>
      <x:c r="H1661" s="12" t="n">
        <x:v>705</x:v>
      </x:c>
      <x:c r="I1661" s="12" t="str">
        <x:v>研究生宿舍楼</x:v>
      </x:c>
      <x:c r="J1661" s="12" t="str">
        <x:v>研究生宿舍楼发车</x:v>
      </x:c>
      <x:c r="K1661" s="12" t="str">
        <x:v>HX3_NORMAL</x:v>
      </x:c>
      <x:c r="L1661" s="12" t="n">
        <x:v>10</x:v>
      </x:c>
      <x:c r="M1661" s="12" t="str">
        <x:v>HX3_NORMAL|10</x:v>
      </x:c>
      <x:c r="N1661" s="12" t="str">
        <x:v>图书馆</x:v>
      </x:c>
      <x:c r="O1661" s="12" t="n">
        <x:f>IFERROR(INDEX('秒级路线参数_可调整'!$O:$O,MATCH(M1661,'秒级路线参数_可调整'!$A:$A,0)),"")</x:f>
        <x:v>715</x:v>
      </x:c>
      <x:c r="P1661" s="12" t="n">
        <x:f>IF(O1661="","",O1661/86400)</x:f>
        <x:v>0.008275462962962964</x:v>
      </x:c>
      <x:c r="Q1661" s="12" t="n">
        <x:f>IF(O1661="","",(H1661*60+O1661)/86400)</x:f>
        <x:v>0.4978587962962963</x:v>
      </x:c>
      <x:c r="R1661" s="12" t="str">
        <x:f>IF(Q1661="","",TEXT(Q1661,"hh:mm:ss"))</x:f>
        <x:v>11:56:55</x:v>
      </x:c>
      <x:c r="S1661" s="12" t="str">
        <x:v>否</x:v>
      </x:c>
      <x:c r="T1661" s="12" t="str">
        <x:v>否</x:v>
      </x:c>
      <x:c r="U1661" s="12" t="str">
        <x:v>郭海燕</x:v>
      </x:c>
      <x:c r="V1661" s="12" t="str">
        <x:v>5号车</x:v>
      </x:c>
      <x:c r="W1661" s="12" t="str">
        <x:v>秒级预测</x:v>
      </x:c>
      <x:c r="X1661" s="12" t="str">
        <x:v>基于路线秒级参数；如录入实测或手动采用秒，预计到达时间可随公式更新</x:v>
      </x:c>
    </x:row>
    <x:row r="1662">
      <x:c r="A1662" s="12" t="str">
        <x:v>S0142-11</x:v>
      </x:c>
      <x:c r="B1662" s="12" t="str">
        <x:v>S0142</x:v>
      </x:c>
      <x:c r="C1662" s="12" t="str">
        <x:v>工作日</x:v>
      </x:c>
      <x:c r="D1662" s="12" t="str">
        <x:v>环线3路</x:v>
      </x:c>
      <x:c r="E1662" s="12" t="str">
        <x:v>第二班</x:v>
      </x:c>
      <x:c r="F1662" s="12" t="n">
        <x:v>8</x:v>
      </x:c>
      <x:c r="G1662" s="12" t="str">
        <x:v>11:45</x:v>
      </x:c>
      <x:c r="H1662" s="12" t="n">
        <x:v>705</x:v>
      </x:c>
      <x:c r="I1662" s="12" t="str">
        <x:v>研究生宿舍楼</x:v>
      </x:c>
      <x:c r="J1662" s="12" t="str">
        <x:v>研究生宿舍楼发车</x:v>
      </x:c>
      <x:c r="K1662" s="12" t="str">
        <x:v>HX3_NORMAL</x:v>
      </x:c>
      <x:c r="L1662" s="12" t="n">
        <x:v>11</x:v>
      </x:c>
      <x:c r="M1662" s="12" t="str">
        <x:v>HX3_NORMAL|11</x:v>
      </x:c>
      <x:c r="N1662" s="12" t="str">
        <x:v>305教学楼</x:v>
      </x:c>
      <x:c r="O1662" s="12" t="n">
        <x:f>IFERROR(INDEX('秒级路线参数_可调整'!$O:$O,MATCH(M1662,'秒级路线参数_可调整'!$A:$A,0)),"")</x:f>
        <x:v>775</x:v>
      </x:c>
      <x:c r="P1662" s="12" t="n">
        <x:f>IF(O1662="","",O1662/86400)</x:f>
        <x:v>0.008969907407407407</x:v>
      </x:c>
      <x:c r="Q1662" s="12" t="n">
        <x:f>IF(O1662="","",(H1662*60+O1662)/86400)</x:f>
        <x:v>0.49855324074074076</x:v>
      </x:c>
      <x:c r="R1662" s="12" t="str">
        <x:f>IF(Q1662="","",TEXT(Q1662,"hh:mm:ss"))</x:f>
        <x:v>11:57:55</x:v>
      </x:c>
      <x:c r="S1662" s="12" t="str">
        <x:v>否</x:v>
      </x:c>
      <x:c r="T1662" s="12" t="str">
        <x:v>否</x:v>
      </x:c>
      <x:c r="U1662" s="12" t="str">
        <x:v>郭海燕</x:v>
      </x:c>
      <x:c r="V1662" s="12" t="str">
        <x:v>5号车</x:v>
      </x:c>
      <x:c r="W1662" s="12" t="str">
        <x:v>秒级预测</x:v>
      </x:c>
      <x:c r="X1662" s="12" t="str">
        <x:v>基于路线秒级参数；如录入实测或手动采用秒，预计到达时间可随公式更新</x:v>
      </x:c>
    </x:row>
    <x:row r="1663">
      <x:c r="A1663" s="12" t="str">
        <x:v>S0142-12</x:v>
      </x:c>
      <x:c r="B1663" s="12" t="str">
        <x:v>S0142</x:v>
      </x:c>
      <x:c r="C1663" s="12" t="str">
        <x:v>工作日</x:v>
      </x:c>
      <x:c r="D1663" s="12" t="str">
        <x:v>环线3路</x:v>
      </x:c>
      <x:c r="E1663" s="12" t="str">
        <x:v>第二班</x:v>
      </x:c>
      <x:c r="F1663" s="12" t="n">
        <x:v>8</x:v>
      </x:c>
      <x:c r="G1663" s="12" t="str">
        <x:v>11:45</x:v>
      </x:c>
      <x:c r="H1663" s="12" t="n">
        <x:v>705</x:v>
      </x:c>
      <x:c r="I1663" s="12" t="str">
        <x:v>研究生宿舍楼</x:v>
      </x:c>
      <x:c r="J1663" s="12" t="str">
        <x:v>研究生宿舍楼发车</x:v>
      </x:c>
      <x:c r="K1663" s="12" t="str">
        <x:v>HX3_NORMAL</x:v>
      </x:c>
      <x:c r="L1663" s="12" t="n">
        <x:v>12</x:v>
      </x:c>
      <x:c r="M1663" s="12" t="str">
        <x:v>HX3_NORMAL|12</x:v>
      </x:c>
      <x:c r="N1663" s="12" t="str">
        <x:v>研究生宿舍楼</x:v>
      </x:c>
      <x:c r="O1663" s="12" t="n">
        <x:f>IFERROR(INDEX('秒级路线参数_可调整'!$O:$O,MATCH(M1663,'秒级路线参数_可调整'!$A:$A,0)),"")</x:f>
        <x:v>840</x:v>
      </x:c>
      <x:c r="P1663" s="12" t="n">
        <x:f>IF(O1663="","",O1663/86400)</x:f>
        <x:v>0.009722222222222222</x:v>
      </x:c>
      <x:c r="Q1663" s="12" t="n">
        <x:f>IF(O1663="","",(H1663*60+O1663)/86400)</x:f>
        <x:v>0.49930555555555556</x:v>
      </x:c>
      <x:c r="R1663" s="12" t="str">
        <x:f>IF(Q1663="","",TEXT(Q1663,"hh:mm:ss"))</x:f>
        <x:v>11:59:00</x:v>
      </x:c>
      <x:c r="S1663" s="12" t="str">
        <x:v>否</x:v>
      </x:c>
      <x:c r="T1663" s="12" t="str">
        <x:v>是</x:v>
      </x:c>
      <x:c r="U1663" s="12" t="str">
        <x:v>郭海燕</x:v>
      </x:c>
      <x:c r="V1663" s="12" t="str">
        <x:v>5号车</x:v>
      </x:c>
      <x:c r="W1663" s="12" t="str">
        <x:v>秒级预测</x:v>
      </x:c>
      <x:c r="X1663" s="12" t="str">
        <x:v>基于路线秒级参数；如录入实测或手动采用秒，预计到达时间可随公式更新</x:v>
      </x:c>
    </x:row>
    <x:row r="1664">
      <x:c r="A1664" s="12" t="str">
        <x:v>S0143-01</x:v>
      </x:c>
      <x:c r="B1664" s="12" t="str">
        <x:v>S0143</x:v>
      </x:c>
      <x:c r="C1664" s="12" t="str">
        <x:v>工作日</x:v>
      </x:c>
      <x:c r="D1664" s="12" t="str">
        <x:v>环线3路</x:v>
      </x:c>
      <x:c r="E1664" s="12" t="str">
        <x:v>第二班</x:v>
      </x:c>
      <x:c r="F1664" s="12" t="n">
        <x:v>9</x:v>
      </x:c>
      <x:c r="G1664" s="12" t="str">
        <x:v>12:30</x:v>
      </x:c>
      <x:c r="H1664" s="12" t="n">
        <x:v>750</x:v>
      </x:c>
      <x:c r="I1664" s="12" t="str">
        <x:v>研究生宿舍楼</x:v>
      </x:c>
      <x:c r="J1664" s="12" t="str">
        <x:v>研究生宿舍楼发车</x:v>
      </x:c>
      <x:c r="K1664" s="12" t="str">
        <x:v>HX3_NORMAL</x:v>
      </x:c>
      <x:c r="L1664" s="12" t="n">
        <x:v>1</x:v>
      </x:c>
      <x:c r="M1664" s="12" t="str">
        <x:v>HX3_NORMAL|1</x:v>
      </x:c>
      <x:c r="N1664" s="12" t="str">
        <x:v>研究生宿舍楼</x:v>
      </x:c>
      <x:c r="O1664" s="12" t="n">
        <x:f>IFERROR(INDEX('秒级路线参数_可调整'!$O:$O,MATCH(M1664,'秒级路线参数_可调整'!$A:$A,0)),"")</x:f>
        <x:v>0</x:v>
      </x:c>
      <x:c r="P1664" s="12" t="str">
        <x:f>IF(O1664="","",O1664/86400)</x:f>
      </x:c>
      <x:c r="Q1664" s="12" t="str">
        <x:f>IF(O1664="","",(H1664*60+O1664)/86400)</x:f>
      </x:c>
      <x:c r="R1664" s="12" t="str">
        <x:f>IF(Q1664="","",TEXT(Q1664,"hh:mm:ss"))</x:f>
      </x:c>
      <x:c r="S1664" s="12" t="str">
        <x:v>是</x:v>
      </x:c>
      <x:c r="T1664" s="12" t="str">
        <x:v>否</x:v>
      </x:c>
      <x:c r="U1664" s="12" t="str">
        <x:v>郭海燕</x:v>
      </x:c>
      <x:c r="V1664" s="12" t="str">
        <x:v>5号车</x:v>
      </x:c>
      <x:c r="W1664" s="12" t="str">
        <x:v>秒级预测</x:v>
      </x:c>
      <x:c r="X1664" s="12" t="str">
        <x:v>基于路线秒级参数；如录入实测或手动采用秒，预计到达时间可随公式更新</x:v>
      </x:c>
    </x:row>
    <x:row r="1665">
      <x:c r="A1665" s="12" t="str">
        <x:v>S0143-02</x:v>
      </x:c>
      <x:c r="B1665" s="12" t="str">
        <x:v>S0143</x:v>
      </x:c>
      <x:c r="C1665" s="12" t="str">
        <x:v>工作日</x:v>
      </x:c>
      <x:c r="D1665" s="12" t="str">
        <x:v>环线3路</x:v>
      </x:c>
      <x:c r="E1665" s="12" t="str">
        <x:v>第二班</x:v>
      </x:c>
      <x:c r="F1665" s="12" t="n">
        <x:v>9</x:v>
      </x:c>
      <x:c r="G1665" s="12" t="str">
        <x:v>12:30</x:v>
      </x:c>
      <x:c r="H1665" s="12" t="n">
        <x:v>750</x:v>
      </x:c>
      <x:c r="I1665" s="12" t="str">
        <x:v>研究生宿舍楼</x:v>
      </x:c>
      <x:c r="J1665" s="12" t="str">
        <x:v>研究生宿舍楼发车</x:v>
      </x:c>
      <x:c r="K1665" s="12" t="str">
        <x:v>HX3_NORMAL</x:v>
      </x:c>
      <x:c r="L1665" s="12" t="n">
        <x:v>2</x:v>
      </x:c>
      <x:c r="M1665" s="12" t="str">
        <x:v>HX3_NORMAL|2</x:v>
      </x:c>
      <x:c r="N1665" s="12" t="str">
        <x:v>一食堂</x:v>
      </x:c>
      <x:c r="O1665" s="12" t="n">
        <x:f>IFERROR(INDEX('秒级路线参数_可调整'!$O:$O,MATCH(M1665,'秒级路线参数_可调整'!$A:$A,0)),"")</x:f>
        <x:v>65</x:v>
      </x:c>
      <x:c r="P1665" s="12" t="n">
        <x:f>IF(O1665="","",O1665/86400)</x:f>
        <x:v>0.0007523148148148148</x:v>
      </x:c>
      <x:c r="Q1665" s="12" t="n">
        <x:f>IF(O1665="","",(H1665*60+O1665)/86400)</x:f>
        <x:v>0.5215856481481481</x:v>
      </x:c>
      <x:c r="R1665" s="12" t="str">
        <x:f>IF(Q1665="","",TEXT(Q1665,"hh:mm:ss"))</x:f>
        <x:v>12:31:05</x:v>
      </x:c>
      <x:c r="S1665" s="12" t="str">
        <x:v>否</x:v>
      </x:c>
      <x:c r="T1665" s="12" t="str">
        <x:v>否</x:v>
      </x:c>
      <x:c r="U1665" s="12" t="str">
        <x:v>郭海燕</x:v>
      </x:c>
      <x:c r="V1665" s="12" t="str">
        <x:v>5号车</x:v>
      </x:c>
      <x:c r="W1665" s="12" t="str">
        <x:v>秒级预测</x:v>
      </x:c>
      <x:c r="X1665" s="12" t="str">
        <x:v>基于路线秒级参数；如录入实测或手动采用秒，预计到达时间可随公式更新</x:v>
      </x:c>
    </x:row>
    <x:row r="1666">
      <x:c r="A1666" s="12" t="str">
        <x:v>S0143-03</x:v>
      </x:c>
      <x:c r="B1666" s="12" t="str">
        <x:v>S0143</x:v>
      </x:c>
      <x:c r="C1666" s="12" t="str">
        <x:v>工作日</x:v>
      </x:c>
      <x:c r="D1666" s="12" t="str">
        <x:v>环线3路</x:v>
      </x:c>
      <x:c r="E1666" s="12" t="str">
        <x:v>第二班</x:v>
      </x:c>
      <x:c r="F1666" s="12" t="n">
        <x:v>9</x:v>
      </x:c>
      <x:c r="G1666" s="12" t="str">
        <x:v>12:30</x:v>
      </x:c>
      <x:c r="H1666" s="12" t="n">
        <x:v>750</x:v>
      </x:c>
      <x:c r="I1666" s="12" t="str">
        <x:v>研究生宿舍楼</x:v>
      </x:c>
      <x:c r="J1666" s="12" t="str">
        <x:v>研究生宿舍楼发车</x:v>
      </x:c>
      <x:c r="K1666" s="12" t="str">
        <x:v>HX3_NORMAL</x:v>
      </x:c>
      <x:c r="L1666" s="12" t="n">
        <x:v>3</x:v>
      </x:c>
      <x:c r="M1666" s="12" t="str">
        <x:v>HX3_NORMAL|3</x:v>
      </x:c>
      <x:c r="N1666" s="12" t="str">
        <x:v>2号宿舍楼</x:v>
      </x:c>
      <x:c r="O1666" s="12" t="n">
        <x:f>IFERROR(INDEX('秒级路线参数_可调整'!$O:$O,MATCH(M1666,'秒级路线参数_可调整'!$A:$A,0)),"")</x:f>
        <x:v>120</x:v>
      </x:c>
      <x:c r="P1666" s="12" t="n">
        <x:f>IF(O1666="","",O1666/86400)</x:f>
        <x:v>0.001388888888888889</x:v>
      </x:c>
      <x:c r="Q1666" s="12" t="n">
        <x:f>IF(O1666="","",(H1666*60+O1666)/86400)</x:f>
        <x:v>0.5222222222222223</x:v>
      </x:c>
      <x:c r="R1666" s="12" t="str">
        <x:f>IF(Q1666="","",TEXT(Q1666,"hh:mm:ss"))</x:f>
        <x:v>12:32:00</x:v>
      </x:c>
      <x:c r="S1666" s="12" t="str">
        <x:v>否</x:v>
      </x:c>
      <x:c r="T1666" s="12" t="str">
        <x:v>否</x:v>
      </x:c>
      <x:c r="U1666" s="12" t="str">
        <x:v>郭海燕</x:v>
      </x:c>
      <x:c r="V1666" s="12" t="str">
        <x:v>5号车</x:v>
      </x:c>
      <x:c r="W1666" s="12" t="str">
        <x:v>秒级预测</x:v>
      </x:c>
      <x:c r="X1666" s="12" t="str">
        <x:v>基于路线秒级参数；如录入实测或手动采用秒，预计到达时间可随公式更新</x:v>
      </x:c>
    </x:row>
    <x:row r="1667">
      <x:c r="A1667" s="12" t="str">
        <x:v>S0143-04</x:v>
      </x:c>
      <x:c r="B1667" s="12" t="str">
        <x:v>S0143</x:v>
      </x:c>
      <x:c r="C1667" s="12" t="str">
        <x:v>工作日</x:v>
      </x:c>
      <x:c r="D1667" s="12" t="str">
        <x:v>环线3路</x:v>
      </x:c>
      <x:c r="E1667" s="12" t="str">
        <x:v>第二班</x:v>
      </x:c>
      <x:c r="F1667" s="12" t="n">
        <x:v>9</x:v>
      </x:c>
      <x:c r="G1667" s="12" t="str">
        <x:v>12:30</x:v>
      </x:c>
      <x:c r="H1667" s="12" t="n">
        <x:v>750</x:v>
      </x:c>
      <x:c r="I1667" s="12" t="str">
        <x:v>研究生宿舍楼</x:v>
      </x:c>
      <x:c r="J1667" s="12" t="str">
        <x:v>研究生宿舍楼发车</x:v>
      </x:c>
      <x:c r="K1667" s="12" t="str">
        <x:v>HX3_NORMAL</x:v>
      </x:c>
      <x:c r="L1667" s="12" t="n">
        <x:v>4</x:v>
      </x:c>
      <x:c r="M1667" s="12" t="str">
        <x:v>HX3_NORMAL|4</x:v>
      </x:c>
      <x:c r="N1667" s="12" t="str">
        <x:v>军体活动中心</x:v>
      </x:c>
      <x:c r="O1667" s="12" t="n">
        <x:f>IFERROR(INDEX('秒级路线参数_可调整'!$O:$O,MATCH(M1667,'秒级路线参数_可调整'!$A:$A,0)),"")</x:f>
        <x:v>165</x:v>
      </x:c>
      <x:c r="P1667" s="12" t="n">
        <x:f>IF(O1667="","",O1667/86400)</x:f>
        <x:v>0.0019097222222222222</x:v>
      </x:c>
      <x:c r="Q1667" s="12" t="n">
        <x:f>IF(O1667="","",(H1667*60+O1667)/86400)</x:f>
        <x:v>0.5227430555555556</x:v>
      </x:c>
      <x:c r="R1667" s="12" t="str">
        <x:f>IF(Q1667="","",TEXT(Q1667,"hh:mm:ss"))</x:f>
        <x:v>12:32:45</x:v>
      </x:c>
      <x:c r="S1667" s="12" t="str">
        <x:v>否</x:v>
      </x:c>
      <x:c r="T1667" s="12" t="str">
        <x:v>否</x:v>
      </x:c>
      <x:c r="U1667" s="12" t="str">
        <x:v>郭海燕</x:v>
      </x:c>
      <x:c r="V1667" s="12" t="str">
        <x:v>5号车</x:v>
      </x:c>
      <x:c r="W1667" s="12" t="str">
        <x:v>秒级预测</x:v>
      </x:c>
      <x:c r="X1667" s="12" t="str">
        <x:v>基于路线秒级参数；如录入实测或手动采用秒，预计到达时间可随公式更新</x:v>
      </x:c>
    </x:row>
    <x:row r="1668">
      <x:c r="A1668" s="12" t="str">
        <x:v>S0143-05</x:v>
      </x:c>
      <x:c r="B1668" s="12" t="str">
        <x:v>S0143</x:v>
      </x:c>
      <x:c r="C1668" s="12" t="str">
        <x:v>工作日</x:v>
      </x:c>
      <x:c r="D1668" s="12" t="str">
        <x:v>环线3路</x:v>
      </x:c>
      <x:c r="E1668" s="12" t="str">
        <x:v>第二班</x:v>
      </x:c>
      <x:c r="F1668" s="12" t="n">
        <x:v>9</x:v>
      </x:c>
      <x:c r="G1668" s="12" t="str">
        <x:v>12:30</x:v>
      </x:c>
      <x:c r="H1668" s="12" t="n">
        <x:v>750</x:v>
      </x:c>
      <x:c r="I1668" s="12" t="str">
        <x:v>研究生宿舍楼</x:v>
      </x:c>
      <x:c r="J1668" s="12" t="str">
        <x:v>研究生宿舍楼发车</x:v>
      </x:c>
      <x:c r="K1668" s="12" t="str">
        <x:v>HX3_NORMAL</x:v>
      </x:c>
      <x:c r="L1668" s="12" t="n">
        <x:v>5</x:v>
      </x:c>
      <x:c r="M1668" s="12" t="str">
        <x:v>HX3_NORMAL|5</x:v>
      </x:c>
      <x:c r="N1668" s="12" t="str">
        <x:v>教勤连</x:v>
      </x:c>
      <x:c r="O1668" s="12" t="n">
        <x:f>IFERROR(INDEX('秒级路线参数_可调整'!$O:$O,MATCH(M1668,'秒级路线参数_可调整'!$A:$A,0)),"")</x:f>
        <x:v>250</x:v>
      </x:c>
      <x:c r="P1668" s="12" t="n">
        <x:f>IF(O1668="","",O1668/86400)</x:f>
        <x:v>0.0028935185185185184</x:v>
      </x:c>
      <x:c r="Q1668" s="12" t="n">
        <x:f>IF(O1668="","",(H1668*60+O1668)/86400)</x:f>
        <x:v>0.5237268518518519</x:v>
      </x:c>
      <x:c r="R1668" s="12" t="str">
        <x:f>IF(Q1668="","",TEXT(Q1668,"hh:mm:ss"))</x:f>
        <x:v>12:34:10</x:v>
      </x:c>
      <x:c r="S1668" s="12" t="str">
        <x:v>否</x:v>
      </x:c>
      <x:c r="T1668" s="12" t="str">
        <x:v>否</x:v>
      </x:c>
      <x:c r="U1668" s="12" t="str">
        <x:v>郭海燕</x:v>
      </x:c>
      <x:c r="V1668" s="12" t="str">
        <x:v>5号车</x:v>
      </x:c>
      <x:c r="W1668" s="12" t="str">
        <x:v>秒级预测</x:v>
      </x:c>
      <x:c r="X1668" s="12" t="str">
        <x:v>基于路线秒级参数；如录入实测或手动采用秒，预计到达时间可随公式更新</x:v>
      </x:c>
    </x:row>
    <x:row r="1669">
      <x:c r="A1669" s="12" t="str">
        <x:v>S0143-06</x:v>
      </x:c>
      <x:c r="B1669" s="12" t="str">
        <x:v>S0143</x:v>
      </x:c>
      <x:c r="C1669" s="12" t="str">
        <x:v>工作日</x:v>
      </x:c>
      <x:c r="D1669" s="12" t="str">
        <x:v>环线3路</x:v>
      </x:c>
      <x:c r="E1669" s="12" t="str">
        <x:v>第二班</x:v>
      </x:c>
      <x:c r="F1669" s="12" t="n">
        <x:v>9</x:v>
      </x:c>
      <x:c r="G1669" s="12" t="str">
        <x:v>12:30</x:v>
      </x:c>
      <x:c r="H1669" s="12" t="n">
        <x:v>750</x:v>
      </x:c>
      <x:c r="I1669" s="12" t="str">
        <x:v>研究生宿舍楼</x:v>
      </x:c>
      <x:c r="J1669" s="12" t="str">
        <x:v>研究生宿舍楼发车</x:v>
      </x:c>
      <x:c r="K1669" s="12" t="str">
        <x:v>HX3_NORMAL</x:v>
      </x:c>
      <x:c r="L1669" s="12" t="n">
        <x:v>6</x:v>
      </x:c>
      <x:c r="M1669" s="12" t="str">
        <x:v>HX3_NORMAL|6</x:v>
      </x:c>
      <x:c r="N1669" s="12" t="str">
        <x:v>激光所</x:v>
      </x:c>
      <x:c r="O1669" s="12" t="n">
        <x:f>IFERROR(INDEX('秒级路线参数_可调整'!$O:$O,MATCH(M1669,'秒级路线参数_可调整'!$A:$A,0)),"")</x:f>
        <x:v>315</x:v>
      </x:c>
      <x:c r="P1669" s="12" t="n">
        <x:f>IF(O1669="","",O1669/86400)</x:f>
        <x:v>0.0036458333333333334</x:v>
      </x:c>
      <x:c r="Q1669" s="12" t="n">
        <x:f>IF(O1669="","",(H1669*60+O1669)/86400)</x:f>
        <x:v>0.5244791666666667</x:v>
      </x:c>
      <x:c r="R1669" s="12" t="str">
        <x:f>IF(Q1669="","",TEXT(Q1669,"hh:mm:ss"))</x:f>
        <x:v>12:35:15</x:v>
      </x:c>
      <x:c r="S1669" s="12" t="str">
        <x:v>否</x:v>
      </x:c>
      <x:c r="T1669" s="12" t="str">
        <x:v>否</x:v>
      </x:c>
      <x:c r="U1669" s="12" t="str">
        <x:v>郭海燕</x:v>
      </x:c>
      <x:c r="V1669" s="12" t="str">
        <x:v>5号车</x:v>
      </x:c>
      <x:c r="W1669" s="12" t="str">
        <x:v>秒级预测</x:v>
      </x:c>
      <x:c r="X1669" s="12" t="str">
        <x:v>基于路线秒级参数；如录入实测或手动采用秒，预计到达时间可随公式更新</x:v>
      </x:c>
    </x:row>
    <x:row r="1670">
      <x:c r="A1670" s="12" t="str">
        <x:v>S0143-07</x:v>
      </x:c>
      <x:c r="B1670" s="12" t="str">
        <x:v>S0143</x:v>
      </x:c>
      <x:c r="C1670" s="12" t="str">
        <x:v>工作日</x:v>
      </x:c>
      <x:c r="D1670" s="12" t="str">
        <x:v>环线3路</x:v>
      </x:c>
      <x:c r="E1670" s="12" t="str">
        <x:v>第二班</x:v>
      </x:c>
      <x:c r="F1670" s="12" t="n">
        <x:v>9</x:v>
      </x:c>
      <x:c r="G1670" s="12" t="str">
        <x:v>12:30</x:v>
      </x:c>
      <x:c r="H1670" s="12" t="n">
        <x:v>750</x:v>
      </x:c>
      <x:c r="I1670" s="12" t="str">
        <x:v>研究生宿舍楼</x:v>
      </x:c>
      <x:c r="J1670" s="12" t="str">
        <x:v>研究生宿舍楼发车</x:v>
      </x:c>
      <x:c r="K1670" s="12" t="str">
        <x:v>HX3_NORMAL</x:v>
      </x:c>
      <x:c r="L1670" s="12" t="n">
        <x:v>7</x:v>
      </x:c>
      <x:c r="M1670" s="12" t="str">
        <x:v>HX3_NORMAL|7</x:v>
      </x:c>
      <x:c r="N1670" s="12" t="str">
        <x:v>高超楼</x:v>
      </x:c>
      <x:c r="O1670" s="12" t="n">
        <x:f>IFERROR(INDEX('秒级路线参数_可调整'!$O:$O,MATCH(M1670,'秒级路线参数_可调整'!$A:$A,0)),"")</x:f>
        <x:v>420</x:v>
      </x:c>
      <x:c r="P1670" s="12" t="n">
        <x:f>IF(O1670="","",O1670/86400)</x:f>
        <x:v>0.004861111111111111</x:v>
      </x:c>
      <x:c r="Q1670" s="12" t="n">
        <x:f>IF(O1670="","",(H1670*60+O1670)/86400)</x:f>
        <x:v>0.5256944444444445</x:v>
      </x:c>
      <x:c r="R1670" s="12" t="str">
        <x:f>IF(Q1670="","",TEXT(Q1670,"hh:mm:ss"))</x:f>
        <x:v>12:37:00</x:v>
      </x:c>
      <x:c r="S1670" s="12" t="str">
        <x:v>否</x:v>
      </x:c>
      <x:c r="T1670" s="12" t="str">
        <x:v>否</x:v>
      </x:c>
      <x:c r="U1670" s="12" t="str">
        <x:v>郭海燕</x:v>
      </x:c>
      <x:c r="V1670" s="12" t="str">
        <x:v>5号车</x:v>
      </x:c>
      <x:c r="W1670" s="12" t="str">
        <x:v>秒级预测</x:v>
      </x:c>
      <x:c r="X1670" s="12" t="str">
        <x:v>基于路线秒级参数；如录入实测或手动采用秒，预计到达时间可随公式更新</x:v>
      </x:c>
    </x:row>
    <x:row r="1671">
      <x:c r="A1671" s="12" t="str">
        <x:v>S0143-08</x:v>
      </x:c>
      <x:c r="B1671" s="12" t="str">
        <x:v>S0143</x:v>
      </x:c>
      <x:c r="C1671" s="12" t="str">
        <x:v>工作日</x:v>
      </x:c>
      <x:c r="D1671" s="12" t="str">
        <x:v>环线3路</x:v>
      </x:c>
      <x:c r="E1671" s="12" t="str">
        <x:v>第二班</x:v>
      </x:c>
      <x:c r="F1671" s="12" t="n">
        <x:v>9</x:v>
      </x:c>
      <x:c r="G1671" s="12" t="str">
        <x:v>12:30</x:v>
      </x:c>
      <x:c r="H1671" s="12" t="n">
        <x:v>750</x:v>
      </x:c>
      <x:c r="I1671" s="12" t="str">
        <x:v>研究生宿舍楼</x:v>
      </x:c>
      <x:c r="J1671" s="12" t="str">
        <x:v>研究生宿舍楼发车</x:v>
      </x:c>
      <x:c r="K1671" s="12" t="str">
        <x:v>HX3_NORMAL</x:v>
      </x:c>
      <x:c r="L1671" s="12" t="n">
        <x:v>8</x:v>
      </x:c>
      <x:c r="M1671" s="12" t="str">
        <x:v>HX3_NORMAL|8</x:v>
      </x:c>
      <x:c r="N1671" s="12" t="str">
        <x:v>理学院</x:v>
      </x:c>
      <x:c r="O1671" s="12" t="n">
        <x:f>IFERROR(INDEX('秒级路线参数_可调整'!$O:$O,MATCH(M1671,'秒级路线参数_可调整'!$A:$A,0)),"")</x:f>
        <x:v>480</x:v>
      </x:c>
      <x:c r="P1671" s="12" t="n">
        <x:f>IF(O1671="","",O1671/86400)</x:f>
        <x:v>0.005555555555555556</x:v>
      </x:c>
      <x:c r="Q1671" s="12" t="n">
        <x:f>IF(O1671="","",(H1671*60+O1671)/86400)</x:f>
        <x:v>0.5263888888888889</x:v>
      </x:c>
      <x:c r="R1671" s="12" t="str">
        <x:f>IF(Q1671="","",TEXT(Q1671,"hh:mm:ss"))</x:f>
        <x:v>12:38:00</x:v>
      </x:c>
      <x:c r="S1671" s="12" t="str">
        <x:v>否</x:v>
      </x:c>
      <x:c r="T1671" s="12" t="str">
        <x:v>否</x:v>
      </x:c>
      <x:c r="U1671" s="12" t="str">
        <x:v>郭海燕</x:v>
      </x:c>
      <x:c r="V1671" s="12" t="str">
        <x:v>5号车</x:v>
      </x:c>
      <x:c r="W1671" s="12" t="str">
        <x:v>秒级预测</x:v>
      </x:c>
      <x:c r="X1671" s="12" t="str">
        <x:v>基于路线秒级参数；如录入实测或手动采用秒，预计到达时间可随公式更新</x:v>
      </x:c>
    </x:row>
    <x:row r="1672">
      <x:c r="A1672" s="12" t="str">
        <x:v>S0143-09</x:v>
      </x:c>
      <x:c r="B1672" s="12" t="str">
        <x:v>S0143</x:v>
      </x:c>
      <x:c r="C1672" s="12" t="str">
        <x:v>工作日</x:v>
      </x:c>
      <x:c r="D1672" s="12" t="str">
        <x:v>环线3路</x:v>
      </x:c>
      <x:c r="E1672" s="12" t="str">
        <x:v>第二班</x:v>
      </x:c>
      <x:c r="F1672" s="12" t="n">
        <x:v>9</x:v>
      </x:c>
      <x:c r="G1672" s="12" t="str">
        <x:v>12:30</x:v>
      </x:c>
      <x:c r="H1672" s="12" t="n">
        <x:v>750</x:v>
      </x:c>
      <x:c r="I1672" s="12" t="str">
        <x:v>研究生宿舍楼</x:v>
      </x:c>
      <x:c r="J1672" s="12" t="str">
        <x:v>研究生宿舍楼发车</x:v>
      </x:c>
      <x:c r="K1672" s="12" t="str">
        <x:v>HX3_NORMAL</x:v>
      </x:c>
      <x:c r="L1672" s="12" t="n">
        <x:v>9</x:v>
      </x:c>
      <x:c r="M1672" s="12" t="str">
        <x:v>HX3_NORMAL|9</x:v>
      </x:c>
      <x:c r="N1672" s="12" t="str">
        <x:v>二食堂</x:v>
      </x:c>
      <x:c r="O1672" s="12" t="n">
        <x:f>IFERROR(INDEX('秒级路线参数_可调整'!$O:$O,MATCH(M1672,'秒级路线参数_可调整'!$A:$A,0)),"")</x:f>
        <x:v>535</x:v>
      </x:c>
      <x:c r="P1672" s="12" t="n">
        <x:f>IF(O1672="","",O1672/86400)</x:f>
        <x:v>0.00619212962962963</x:v>
      </x:c>
      <x:c r="Q1672" s="12" t="n">
        <x:f>IF(O1672="","",(H1672*60+O1672)/86400)</x:f>
        <x:v>0.5270254629629629</x:v>
      </x:c>
      <x:c r="R1672" s="12" t="str">
        <x:f>IF(Q1672="","",TEXT(Q1672,"hh:mm:ss"))</x:f>
        <x:v>12:38:55</x:v>
      </x:c>
      <x:c r="S1672" s="12" t="str">
        <x:v>否</x:v>
      </x:c>
      <x:c r="T1672" s="12" t="str">
        <x:v>否</x:v>
      </x:c>
      <x:c r="U1672" s="12" t="str">
        <x:v>郭海燕</x:v>
      </x:c>
      <x:c r="V1672" s="12" t="str">
        <x:v>5号车</x:v>
      </x:c>
      <x:c r="W1672" s="12" t="str">
        <x:v>秒级预测</x:v>
      </x:c>
      <x:c r="X1672" s="12" t="str">
        <x:v>基于路线秒级参数；如录入实测或手动采用秒，预计到达时间可随公式更新</x:v>
      </x:c>
    </x:row>
    <x:row r="1673">
      <x:c r="A1673" s="12" t="str">
        <x:v>S0143-10</x:v>
      </x:c>
      <x:c r="B1673" s="12" t="str">
        <x:v>S0143</x:v>
      </x:c>
      <x:c r="C1673" s="12" t="str">
        <x:v>工作日</x:v>
      </x:c>
      <x:c r="D1673" s="12" t="str">
        <x:v>环线3路</x:v>
      </x:c>
      <x:c r="E1673" s="12" t="str">
        <x:v>第二班</x:v>
      </x:c>
      <x:c r="F1673" s="12" t="n">
        <x:v>9</x:v>
      </x:c>
      <x:c r="G1673" s="12" t="str">
        <x:v>12:30</x:v>
      </x:c>
      <x:c r="H1673" s="12" t="n">
        <x:v>750</x:v>
      </x:c>
      <x:c r="I1673" s="12" t="str">
        <x:v>研究生宿舍楼</x:v>
      </x:c>
      <x:c r="J1673" s="12" t="str">
        <x:v>研究生宿舍楼发车</x:v>
      </x:c>
      <x:c r="K1673" s="12" t="str">
        <x:v>HX3_NORMAL</x:v>
      </x:c>
      <x:c r="L1673" s="12" t="n">
        <x:v>10</x:v>
      </x:c>
      <x:c r="M1673" s="12" t="str">
        <x:v>HX3_NORMAL|10</x:v>
      </x:c>
      <x:c r="N1673" s="12" t="str">
        <x:v>图书馆</x:v>
      </x:c>
      <x:c r="O1673" s="12" t="n">
        <x:f>IFERROR(INDEX('秒级路线参数_可调整'!$O:$O,MATCH(M1673,'秒级路线参数_可调整'!$A:$A,0)),"")</x:f>
        <x:v>715</x:v>
      </x:c>
      <x:c r="P1673" s="12" t="n">
        <x:f>IF(O1673="","",O1673/86400)</x:f>
        <x:v>0.008275462962962964</x:v>
      </x:c>
      <x:c r="Q1673" s="12" t="n">
        <x:f>IF(O1673="","",(H1673*60+O1673)/86400)</x:f>
        <x:v>0.5291087962962963</x:v>
      </x:c>
      <x:c r="R1673" s="12" t="str">
        <x:f>IF(Q1673="","",TEXT(Q1673,"hh:mm:ss"))</x:f>
        <x:v>12:41:55</x:v>
      </x:c>
      <x:c r="S1673" s="12" t="str">
        <x:v>否</x:v>
      </x:c>
      <x:c r="T1673" s="12" t="str">
        <x:v>否</x:v>
      </x:c>
      <x:c r="U1673" s="12" t="str">
        <x:v>郭海燕</x:v>
      </x:c>
      <x:c r="V1673" s="12" t="str">
        <x:v>5号车</x:v>
      </x:c>
      <x:c r="W1673" s="12" t="str">
        <x:v>秒级预测</x:v>
      </x:c>
      <x:c r="X1673" s="12" t="str">
        <x:v>基于路线秒级参数；如录入实测或手动采用秒，预计到达时间可随公式更新</x:v>
      </x:c>
    </x:row>
    <x:row r="1674">
      <x:c r="A1674" s="12" t="str">
        <x:v>S0143-11</x:v>
      </x:c>
      <x:c r="B1674" s="12" t="str">
        <x:v>S0143</x:v>
      </x:c>
      <x:c r="C1674" s="12" t="str">
        <x:v>工作日</x:v>
      </x:c>
      <x:c r="D1674" s="12" t="str">
        <x:v>环线3路</x:v>
      </x:c>
      <x:c r="E1674" s="12" t="str">
        <x:v>第二班</x:v>
      </x:c>
      <x:c r="F1674" s="12" t="n">
        <x:v>9</x:v>
      </x:c>
      <x:c r="G1674" s="12" t="str">
        <x:v>12:30</x:v>
      </x:c>
      <x:c r="H1674" s="12" t="n">
        <x:v>750</x:v>
      </x:c>
      <x:c r="I1674" s="12" t="str">
        <x:v>研究生宿舍楼</x:v>
      </x:c>
      <x:c r="J1674" s="12" t="str">
        <x:v>研究生宿舍楼发车</x:v>
      </x:c>
      <x:c r="K1674" s="12" t="str">
        <x:v>HX3_NORMAL</x:v>
      </x:c>
      <x:c r="L1674" s="12" t="n">
        <x:v>11</x:v>
      </x:c>
      <x:c r="M1674" s="12" t="str">
        <x:v>HX3_NORMAL|11</x:v>
      </x:c>
      <x:c r="N1674" s="12" t="str">
        <x:v>305教学楼</x:v>
      </x:c>
      <x:c r="O1674" s="12" t="n">
        <x:f>IFERROR(INDEX('秒级路线参数_可调整'!$O:$O,MATCH(M1674,'秒级路线参数_可调整'!$A:$A,0)),"")</x:f>
        <x:v>775</x:v>
      </x:c>
      <x:c r="P1674" s="12" t="n">
        <x:f>IF(O1674="","",O1674/86400)</x:f>
        <x:v>0.008969907407407407</x:v>
      </x:c>
      <x:c r="Q1674" s="12" t="n">
        <x:f>IF(O1674="","",(H1674*60+O1674)/86400)</x:f>
        <x:v>0.5298032407407407</x:v>
      </x:c>
      <x:c r="R1674" s="12" t="str">
        <x:f>IF(Q1674="","",TEXT(Q1674,"hh:mm:ss"))</x:f>
        <x:v>12:42:55</x:v>
      </x:c>
      <x:c r="S1674" s="12" t="str">
        <x:v>否</x:v>
      </x:c>
      <x:c r="T1674" s="12" t="str">
        <x:v>否</x:v>
      </x:c>
      <x:c r="U1674" s="12" t="str">
        <x:v>郭海燕</x:v>
      </x:c>
      <x:c r="V1674" s="12" t="str">
        <x:v>5号车</x:v>
      </x:c>
      <x:c r="W1674" s="12" t="str">
        <x:v>秒级预测</x:v>
      </x:c>
      <x:c r="X1674" s="12" t="str">
        <x:v>基于路线秒级参数；如录入实测或手动采用秒，预计到达时间可随公式更新</x:v>
      </x:c>
    </x:row>
    <x:row r="1675">
      <x:c r="A1675" s="12" t="str">
        <x:v>S0143-12</x:v>
      </x:c>
      <x:c r="B1675" s="12" t="str">
        <x:v>S0143</x:v>
      </x:c>
      <x:c r="C1675" s="12" t="str">
        <x:v>工作日</x:v>
      </x:c>
      <x:c r="D1675" s="12" t="str">
        <x:v>环线3路</x:v>
      </x:c>
      <x:c r="E1675" s="12" t="str">
        <x:v>第二班</x:v>
      </x:c>
      <x:c r="F1675" s="12" t="n">
        <x:v>9</x:v>
      </x:c>
      <x:c r="G1675" s="12" t="str">
        <x:v>12:30</x:v>
      </x:c>
      <x:c r="H1675" s="12" t="n">
        <x:v>750</x:v>
      </x:c>
      <x:c r="I1675" s="12" t="str">
        <x:v>研究生宿舍楼</x:v>
      </x:c>
      <x:c r="J1675" s="12" t="str">
        <x:v>研究生宿舍楼发车</x:v>
      </x:c>
      <x:c r="K1675" s="12" t="str">
        <x:v>HX3_NORMAL</x:v>
      </x:c>
      <x:c r="L1675" s="12" t="n">
        <x:v>12</x:v>
      </x:c>
      <x:c r="M1675" s="12" t="str">
        <x:v>HX3_NORMAL|12</x:v>
      </x:c>
      <x:c r="N1675" s="12" t="str">
        <x:v>研究生宿舍楼</x:v>
      </x:c>
      <x:c r="O1675" s="12" t="n">
        <x:f>IFERROR(INDEX('秒级路线参数_可调整'!$O:$O,MATCH(M1675,'秒级路线参数_可调整'!$A:$A,0)),"")</x:f>
        <x:v>840</x:v>
      </x:c>
      <x:c r="P1675" s="12" t="n">
        <x:f>IF(O1675="","",O1675/86400)</x:f>
        <x:v>0.009722222222222222</x:v>
      </x:c>
      <x:c r="Q1675" s="12" t="n">
        <x:f>IF(O1675="","",(H1675*60+O1675)/86400)</x:f>
        <x:v>0.5305555555555556</x:v>
      </x:c>
      <x:c r="R1675" s="12" t="str">
        <x:f>IF(Q1675="","",TEXT(Q1675,"hh:mm:ss"))</x:f>
        <x:v>12:44:00</x:v>
      </x:c>
      <x:c r="S1675" s="12" t="str">
        <x:v>否</x:v>
      </x:c>
      <x:c r="T1675" s="12" t="str">
        <x:v>是</x:v>
      </x:c>
      <x:c r="U1675" s="12" t="str">
        <x:v>郭海燕</x:v>
      </x:c>
      <x:c r="V1675" s="12" t="str">
        <x:v>5号车</x:v>
      </x:c>
      <x:c r="W1675" s="12" t="str">
        <x:v>秒级预测</x:v>
      </x:c>
      <x:c r="X1675" s="12" t="str">
        <x:v>基于路线秒级参数；如录入实测或手动采用秒，预计到达时间可随公式更新</x:v>
      </x:c>
    </x:row>
    <x:row r="1676">
      <x:c r="A1676" s="12" t="str">
        <x:v>S0144-01</x:v>
      </x:c>
      <x:c r="B1676" s="12" t="str">
        <x:v>S0144</x:v>
      </x:c>
      <x:c r="C1676" s="12" t="str">
        <x:v>工作日</x:v>
      </x:c>
      <x:c r="D1676" s="12" t="str">
        <x:v>环线3路</x:v>
      </x:c>
      <x:c r="E1676" s="12" t="str">
        <x:v>第二班</x:v>
      </x:c>
      <x:c r="F1676" s="12" t="n">
        <x:v>10</x:v>
      </x:c>
      <x:c r="G1676" s="12" t="str">
        <x:v>15:25</x:v>
      </x:c>
      <x:c r="H1676" s="12" t="n">
        <x:v>925</x:v>
      </x:c>
      <x:c r="I1676" s="12" t="str">
        <x:v>研究生宿舍楼</x:v>
      </x:c>
      <x:c r="J1676" s="12" t="str">
        <x:v>研究生宿舍楼发车</x:v>
      </x:c>
      <x:c r="K1676" s="12" t="str">
        <x:v>HX3_NORMAL</x:v>
      </x:c>
      <x:c r="L1676" s="12" t="n">
        <x:v>1</x:v>
      </x:c>
      <x:c r="M1676" s="12" t="str">
        <x:v>HX3_NORMAL|1</x:v>
      </x:c>
      <x:c r="N1676" s="12" t="str">
        <x:v>研究生宿舍楼</x:v>
      </x:c>
      <x:c r="O1676" s="12" t="n">
        <x:f>IFERROR(INDEX('秒级路线参数_可调整'!$O:$O,MATCH(M1676,'秒级路线参数_可调整'!$A:$A,0)),"")</x:f>
        <x:v>0</x:v>
      </x:c>
      <x:c r="P1676" s="12" t="str">
        <x:f>IF(O1676="","",O1676/86400)</x:f>
      </x:c>
      <x:c r="Q1676" s="12" t="str">
        <x:f>IF(O1676="","",(H1676*60+O1676)/86400)</x:f>
      </x:c>
      <x:c r="R1676" s="12" t="str">
        <x:f>IF(Q1676="","",TEXT(Q1676,"hh:mm:ss"))</x:f>
      </x:c>
      <x:c r="S1676" s="12" t="str">
        <x:v>是</x:v>
      </x:c>
      <x:c r="T1676" s="12" t="str">
        <x:v>否</x:v>
      </x:c>
      <x:c r="U1676" s="12" t="str">
        <x:v>郭海燕</x:v>
      </x:c>
      <x:c r="V1676" s="12" t="str">
        <x:v>5号车</x:v>
      </x:c>
      <x:c r="W1676" s="12" t="str">
        <x:v>秒级预测</x:v>
      </x:c>
      <x:c r="X1676" s="12" t="str">
        <x:v>基于路线秒级参数；如录入实测或手动采用秒，预计到达时间可随公式更新</x:v>
      </x:c>
    </x:row>
    <x:row r="1677">
      <x:c r="A1677" s="12" t="str">
        <x:v>S0144-02</x:v>
      </x:c>
      <x:c r="B1677" s="12" t="str">
        <x:v>S0144</x:v>
      </x:c>
      <x:c r="C1677" s="12" t="str">
        <x:v>工作日</x:v>
      </x:c>
      <x:c r="D1677" s="12" t="str">
        <x:v>环线3路</x:v>
      </x:c>
      <x:c r="E1677" s="12" t="str">
        <x:v>第二班</x:v>
      </x:c>
      <x:c r="F1677" s="12" t="n">
        <x:v>10</x:v>
      </x:c>
      <x:c r="G1677" s="12" t="str">
        <x:v>15:25</x:v>
      </x:c>
      <x:c r="H1677" s="12" t="n">
        <x:v>925</x:v>
      </x:c>
      <x:c r="I1677" s="12" t="str">
        <x:v>研究生宿舍楼</x:v>
      </x:c>
      <x:c r="J1677" s="12" t="str">
        <x:v>研究生宿舍楼发车</x:v>
      </x:c>
      <x:c r="K1677" s="12" t="str">
        <x:v>HX3_NORMAL</x:v>
      </x:c>
      <x:c r="L1677" s="12" t="n">
        <x:v>2</x:v>
      </x:c>
      <x:c r="M1677" s="12" t="str">
        <x:v>HX3_NORMAL|2</x:v>
      </x:c>
      <x:c r="N1677" s="12" t="str">
        <x:v>一食堂</x:v>
      </x:c>
      <x:c r="O1677" s="12" t="n">
        <x:f>IFERROR(INDEX('秒级路线参数_可调整'!$O:$O,MATCH(M1677,'秒级路线参数_可调整'!$A:$A,0)),"")</x:f>
        <x:v>65</x:v>
      </x:c>
      <x:c r="P1677" s="12" t="n">
        <x:f>IF(O1677="","",O1677/86400)</x:f>
        <x:v>0.0007523148148148148</x:v>
      </x:c>
      <x:c r="Q1677" s="12" t="n">
        <x:f>IF(O1677="","",(H1677*60+O1677)/86400)</x:f>
        <x:v>0.6431134259259259</x:v>
      </x:c>
      <x:c r="R1677" s="12" t="str">
        <x:f>IF(Q1677="","",TEXT(Q1677,"hh:mm:ss"))</x:f>
        <x:v>15:26:05</x:v>
      </x:c>
      <x:c r="S1677" s="12" t="str">
        <x:v>否</x:v>
      </x:c>
      <x:c r="T1677" s="12" t="str">
        <x:v>否</x:v>
      </x:c>
      <x:c r="U1677" s="12" t="str">
        <x:v>郭海燕</x:v>
      </x:c>
      <x:c r="V1677" s="12" t="str">
        <x:v>5号车</x:v>
      </x:c>
      <x:c r="W1677" s="12" t="str">
        <x:v>秒级预测</x:v>
      </x:c>
      <x:c r="X1677" s="12" t="str">
        <x:v>基于路线秒级参数；如录入实测或手动采用秒，预计到达时间可随公式更新</x:v>
      </x:c>
    </x:row>
    <x:row r="1678">
      <x:c r="A1678" s="12" t="str">
        <x:v>S0144-03</x:v>
      </x:c>
      <x:c r="B1678" s="12" t="str">
        <x:v>S0144</x:v>
      </x:c>
      <x:c r="C1678" s="12" t="str">
        <x:v>工作日</x:v>
      </x:c>
      <x:c r="D1678" s="12" t="str">
        <x:v>环线3路</x:v>
      </x:c>
      <x:c r="E1678" s="12" t="str">
        <x:v>第二班</x:v>
      </x:c>
      <x:c r="F1678" s="12" t="n">
        <x:v>10</x:v>
      </x:c>
      <x:c r="G1678" s="12" t="str">
        <x:v>15:25</x:v>
      </x:c>
      <x:c r="H1678" s="12" t="n">
        <x:v>925</x:v>
      </x:c>
      <x:c r="I1678" s="12" t="str">
        <x:v>研究生宿舍楼</x:v>
      </x:c>
      <x:c r="J1678" s="12" t="str">
        <x:v>研究生宿舍楼发车</x:v>
      </x:c>
      <x:c r="K1678" s="12" t="str">
        <x:v>HX3_NORMAL</x:v>
      </x:c>
      <x:c r="L1678" s="12" t="n">
        <x:v>3</x:v>
      </x:c>
      <x:c r="M1678" s="12" t="str">
        <x:v>HX3_NORMAL|3</x:v>
      </x:c>
      <x:c r="N1678" s="12" t="str">
        <x:v>2号宿舍楼</x:v>
      </x:c>
      <x:c r="O1678" s="12" t="n">
        <x:f>IFERROR(INDEX('秒级路线参数_可调整'!$O:$O,MATCH(M1678,'秒级路线参数_可调整'!$A:$A,0)),"")</x:f>
        <x:v>120</x:v>
      </x:c>
      <x:c r="P1678" s="12" t="n">
        <x:f>IF(O1678="","",O1678/86400)</x:f>
        <x:v>0.001388888888888889</x:v>
      </x:c>
      <x:c r="Q1678" s="12" t="n">
        <x:f>IF(O1678="","",(H1678*60+O1678)/86400)</x:f>
        <x:v>0.64375</x:v>
      </x:c>
      <x:c r="R1678" s="12" t="str">
        <x:f>IF(Q1678="","",TEXT(Q1678,"hh:mm:ss"))</x:f>
        <x:v>15:27:00</x:v>
      </x:c>
      <x:c r="S1678" s="12" t="str">
        <x:v>否</x:v>
      </x:c>
      <x:c r="T1678" s="12" t="str">
        <x:v>否</x:v>
      </x:c>
      <x:c r="U1678" s="12" t="str">
        <x:v>郭海燕</x:v>
      </x:c>
      <x:c r="V1678" s="12" t="str">
        <x:v>5号车</x:v>
      </x:c>
      <x:c r="W1678" s="12" t="str">
        <x:v>秒级预测</x:v>
      </x:c>
      <x:c r="X1678" s="12" t="str">
        <x:v>基于路线秒级参数；如录入实测或手动采用秒，预计到达时间可随公式更新</x:v>
      </x:c>
    </x:row>
    <x:row r="1679">
      <x:c r="A1679" s="12" t="str">
        <x:v>S0144-04</x:v>
      </x:c>
      <x:c r="B1679" s="12" t="str">
        <x:v>S0144</x:v>
      </x:c>
      <x:c r="C1679" s="12" t="str">
        <x:v>工作日</x:v>
      </x:c>
      <x:c r="D1679" s="12" t="str">
        <x:v>环线3路</x:v>
      </x:c>
      <x:c r="E1679" s="12" t="str">
        <x:v>第二班</x:v>
      </x:c>
      <x:c r="F1679" s="12" t="n">
        <x:v>10</x:v>
      </x:c>
      <x:c r="G1679" s="12" t="str">
        <x:v>15:25</x:v>
      </x:c>
      <x:c r="H1679" s="12" t="n">
        <x:v>925</x:v>
      </x:c>
      <x:c r="I1679" s="12" t="str">
        <x:v>研究生宿舍楼</x:v>
      </x:c>
      <x:c r="J1679" s="12" t="str">
        <x:v>研究生宿舍楼发车</x:v>
      </x:c>
      <x:c r="K1679" s="12" t="str">
        <x:v>HX3_NORMAL</x:v>
      </x:c>
      <x:c r="L1679" s="12" t="n">
        <x:v>4</x:v>
      </x:c>
      <x:c r="M1679" s="12" t="str">
        <x:v>HX3_NORMAL|4</x:v>
      </x:c>
      <x:c r="N1679" s="12" t="str">
        <x:v>军体活动中心</x:v>
      </x:c>
      <x:c r="O1679" s="12" t="n">
        <x:f>IFERROR(INDEX('秒级路线参数_可调整'!$O:$O,MATCH(M1679,'秒级路线参数_可调整'!$A:$A,0)),"")</x:f>
        <x:v>165</x:v>
      </x:c>
      <x:c r="P1679" s="12" t="n">
        <x:f>IF(O1679="","",O1679/86400)</x:f>
        <x:v>0.0019097222222222222</x:v>
      </x:c>
      <x:c r="Q1679" s="12" t="n">
        <x:f>IF(O1679="","",(H1679*60+O1679)/86400)</x:f>
        <x:v>0.6442708333333333</x:v>
      </x:c>
      <x:c r="R1679" s="12" t="str">
        <x:f>IF(Q1679="","",TEXT(Q1679,"hh:mm:ss"))</x:f>
        <x:v>15:27:45</x:v>
      </x:c>
      <x:c r="S1679" s="12" t="str">
        <x:v>否</x:v>
      </x:c>
      <x:c r="T1679" s="12" t="str">
        <x:v>否</x:v>
      </x:c>
      <x:c r="U1679" s="12" t="str">
        <x:v>郭海燕</x:v>
      </x:c>
      <x:c r="V1679" s="12" t="str">
        <x:v>5号车</x:v>
      </x:c>
      <x:c r="W1679" s="12" t="str">
        <x:v>秒级预测</x:v>
      </x:c>
      <x:c r="X1679" s="12" t="str">
        <x:v>基于路线秒级参数；如录入实测或手动采用秒，预计到达时间可随公式更新</x:v>
      </x:c>
    </x:row>
    <x:row r="1680">
      <x:c r="A1680" s="12" t="str">
        <x:v>S0144-05</x:v>
      </x:c>
      <x:c r="B1680" s="12" t="str">
        <x:v>S0144</x:v>
      </x:c>
      <x:c r="C1680" s="12" t="str">
        <x:v>工作日</x:v>
      </x:c>
      <x:c r="D1680" s="12" t="str">
        <x:v>环线3路</x:v>
      </x:c>
      <x:c r="E1680" s="12" t="str">
        <x:v>第二班</x:v>
      </x:c>
      <x:c r="F1680" s="12" t="n">
        <x:v>10</x:v>
      </x:c>
      <x:c r="G1680" s="12" t="str">
        <x:v>15:25</x:v>
      </x:c>
      <x:c r="H1680" s="12" t="n">
        <x:v>925</x:v>
      </x:c>
      <x:c r="I1680" s="12" t="str">
        <x:v>研究生宿舍楼</x:v>
      </x:c>
      <x:c r="J1680" s="12" t="str">
        <x:v>研究生宿舍楼发车</x:v>
      </x:c>
      <x:c r="K1680" s="12" t="str">
        <x:v>HX3_NORMAL</x:v>
      </x:c>
      <x:c r="L1680" s="12" t="n">
        <x:v>5</x:v>
      </x:c>
      <x:c r="M1680" s="12" t="str">
        <x:v>HX3_NORMAL|5</x:v>
      </x:c>
      <x:c r="N1680" s="12" t="str">
        <x:v>教勤连</x:v>
      </x:c>
      <x:c r="O1680" s="12" t="n">
        <x:f>IFERROR(INDEX('秒级路线参数_可调整'!$O:$O,MATCH(M1680,'秒级路线参数_可调整'!$A:$A,0)),"")</x:f>
        <x:v>250</x:v>
      </x:c>
      <x:c r="P1680" s="12" t="n">
        <x:f>IF(O1680="","",O1680/86400)</x:f>
        <x:v>0.0028935185185185184</x:v>
      </x:c>
      <x:c r="Q1680" s="12" t="n">
        <x:f>IF(O1680="","",(H1680*60+O1680)/86400)</x:f>
        <x:v>0.6452546296296297</x:v>
      </x:c>
      <x:c r="R1680" s="12" t="str">
        <x:f>IF(Q1680="","",TEXT(Q1680,"hh:mm:ss"))</x:f>
        <x:v>15:29:10</x:v>
      </x:c>
      <x:c r="S1680" s="12" t="str">
        <x:v>否</x:v>
      </x:c>
      <x:c r="T1680" s="12" t="str">
        <x:v>否</x:v>
      </x:c>
      <x:c r="U1680" s="12" t="str">
        <x:v>郭海燕</x:v>
      </x:c>
      <x:c r="V1680" s="12" t="str">
        <x:v>5号车</x:v>
      </x:c>
      <x:c r="W1680" s="12" t="str">
        <x:v>秒级预测</x:v>
      </x:c>
      <x:c r="X1680" s="12" t="str">
        <x:v>基于路线秒级参数；如录入实测或手动采用秒，预计到达时间可随公式更新</x:v>
      </x:c>
    </x:row>
    <x:row r="1681">
      <x:c r="A1681" s="12" t="str">
        <x:v>S0144-06</x:v>
      </x:c>
      <x:c r="B1681" s="12" t="str">
        <x:v>S0144</x:v>
      </x:c>
      <x:c r="C1681" s="12" t="str">
        <x:v>工作日</x:v>
      </x:c>
      <x:c r="D1681" s="12" t="str">
        <x:v>环线3路</x:v>
      </x:c>
      <x:c r="E1681" s="12" t="str">
        <x:v>第二班</x:v>
      </x:c>
      <x:c r="F1681" s="12" t="n">
        <x:v>10</x:v>
      </x:c>
      <x:c r="G1681" s="12" t="str">
        <x:v>15:25</x:v>
      </x:c>
      <x:c r="H1681" s="12" t="n">
        <x:v>925</x:v>
      </x:c>
      <x:c r="I1681" s="12" t="str">
        <x:v>研究生宿舍楼</x:v>
      </x:c>
      <x:c r="J1681" s="12" t="str">
        <x:v>研究生宿舍楼发车</x:v>
      </x:c>
      <x:c r="K1681" s="12" t="str">
        <x:v>HX3_NORMAL</x:v>
      </x:c>
      <x:c r="L1681" s="12" t="n">
        <x:v>6</x:v>
      </x:c>
      <x:c r="M1681" s="12" t="str">
        <x:v>HX3_NORMAL|6</x:v>
      </x:c>
      <x:c r="N1681" s="12" t="str">
        <x:v>激光所</x:v>
      </x:c>
      <x:c r="O1681" s="12" t="n">
        <x:f>IFERROR(INDEX('秒级路线参数_可调整'!$O:$O,MATCH(M1681,'秒级路线参数_可调整'!$A:$A,0)),"")</x:f>
        <x:v>315</x:v>
      </x:c>
      <x:c r="P1681" s="12" t="n">
        <x:f>IF(O1681="","",O1681/86400)</x:f>
        <x:v>0.0036458333333333334</x:v>
      </x:c>
      <x:c r="Q1681" s="12" t="n">
        <x:f>IF(O1681="","",(H1681*60+O1681)/86400)</x:f>
        <x:v>0.6460069444444444</x:v>
      </x:c>
      <x:c r="R1681" s="12" t="str">
        <x:f>IF(Q1681="","",TEXT(Q1681,"hh:mm:ss"))</x:f>
        <x:v>15:30:15</x:v>
      </x:c>
      <x:c r="S1681" s="12" t="str">
        <x:v>否</x:v>
      </x:c>
      <x:c r="T1681" s="12" t="str">
        <x:v>否</x:v>
      </x:c>
      <x:c r="U1681" s="12" t="str">
        <x:v>郭海燕</x:v>
      </x:c>
      <x:c r="V1681" s="12" t="str">
        <x:v>5号车</x:v>
      </x:c>
      <x:c r="W1681" s="12" t="str">
        <x:v>秒级预测</x:v>
      </x:c>
      <x:c r="X1681" s="12" t="str">
        <x:v>基于路线秒级参数；如录入实测或手动采用秒，预计到达时间可随公式更新</x:v>
      </x:c>
    </x:row>
    <x:row r="1682">
      <x:c r="A1682" s="12" t="str">
        <x:v>S0144-07</x:v>
      </x:c>
      <x:c r="B1682" s="12" t="str">
        <x:v>S0144</x:v>
      </x:c>
      <x:c r="C1682" s="12" t="str">
        <x:v>工作日</x:v>
      </x:c>
      <x:c r="D1682" s="12" t="str">
        <x:v>环线3路</x:v>
      </x:c>
      <x:c r="E1682" s="12" t="str">
        <x:v>第二班</x:v>
      </x:c>
      <x:c r="F1682" s="12" t="n">
        <x:v>10</x:v>
      </x:c>
      <x:c r="G1682" s="12" t="str">
        <x:v>15:25</x:v>
      </x:c>
      <x:c r="H1682" s="12" t="n">
        <x:v>925</x:v>
      </x:c>
      <x:c r="I1682" s="12" t="str">
        <x:v>研究生宿舍楼</x:v>
      </x:c>
      <x:c r="J1682" s="12" t="str">
        <x:v>研究生宿舍楼发车</x:v>
      </x:c>
      <x:c r="K1682" s="12" t="str">
        <x:v>HX3_NORMAL</x:v>
      </x:c>
      <x:c r="L1682" s="12" t="n">
        <x:v>7</x:v>
      </x:c>
      <x:c r="M1682" s="12" t="str">
        <x:v>HX3_NORMAL|7</x:v>
      </x:c>
      <x:c r="N1682" s="12" t="str">
        <x:v>高超楼</x:v>
      </x:c>
      <x:c r="O1682" s="12" t="n">
        <x:f>IFERROR(INDEX('秒级路线参数_可调整'!$O:$O,MATCH(M1682,'秒级路线参数_可调整'!$A:$A,0)),"")</x:f>
        <x:v>420</x:v>
      </x:c>
      <x:c r="P1682" s="12" t="n">
        <x:f>IF(O1682="","",O1682/86400)</x:f>
        <x:v>0.004861111111111111</x:v>
      </x:c>
      <x:c r="Q1682" s="12" t="n">
        <x:f>IF(O1682="","",(H1682*60+O1682)/86400)</x:f>
        <x:v>0.6472222222222223</x:v>
      </x:c>
      <x:c r="R1682" s="12" t="str">
        <x:f>IF(Q1682="","",TEXT(Q1682,"hh:mm:ss"))</x:f>
        <x:v>15:32:00</x:v>
      </x:c>
      <x:c r="S1682" s="12" t="str">
        <x:v>否</x:v>
      </x:c>
      <x:c r="T1682" s="12" t="str">
        <x:v>否</x:v>
      </x:c>
      <x:c r="U1682" s="12" t="str">
        <x:v>郭海燕</x:v>
      </x:c>
      <x:c r="V1682" s="12" t="str">
        <x:v>5号车</x:v>
      </x:c>
      <x:c r="W1682" s="12" t="str">
        <x:v>秒级预测</x:v>
      </x:c>
      <x:c r="X1682" s="12" t="str">
        <x:v>基于路线秒级参数；如录入实测或手动采用秒，预计到达时间可随公式更新</x:v>
      </x:c>
    </x:row>
    <x:row r="1683">
      <x:c r="A1683" s="12" t="str">
        <x:v>S0144-08</x:v>
      </x:c>
      <x:c r="B1683" s="12" t="str">
        <x:v>S0144</x:v>
      </x:c>
      <x:c r="C1683" s="12" t="str">
        <x:v>工作日</x:v>
      </x:c>
      <x:c r="D1683" s="12" t="str">
        <x:v>环线3路</x:v>
      </x:c>
      <x:c r="E1683" s="12" t="str">
        <x:v>第二班</x:v>
      </x:c>
      <x:c r="F1683" s="12" t="n">
        <x:v>10</x:v>
      </x:c>
      <x:c r="G1683" s="12" t="str">
        <x:v>15:25</x:v>
      </x:c>
      <x:c r="H1683" s="12" t="n">
        <x:v>925</x:v>
      </x:c>
      <x:c r="I1683" s="12" t="str">
        <x:v>研究生宿舍楼</x:v>
      </x:c>
      <x:c r="J1683" s="12" t="str">
        <x:v>研究生宿舍楼发车</x:v>
      </x:c>
      <x:c r="K1683" s="12" t="str">
        <x:v>HX3_NORMAL</x:v>
      </x:c>
      <x:c r="L1683" s="12" t="n">
        <x:v>8</x:v>
      </x:c>
      <x:c r="M1683" s="12" t="str">
        <x:v>HX3_NORMAL|8</x:v>
      </x:c>
      <x:c r="N1683" s="12" t="str">
        <x:v>理学院</x:v>
      </x:c>
      <x:c r="O1683" s="12" t="n">
        <x:f>IFERROR(INDEX('秒级路线参数_可调整'!$O:$O,MATCH(M1683,'秒级路线参数_可调整'!$A:$A,0)),"")</x:f>
        <x:v>480</x:v>
      </x:c>
      <x:c r="P1683" s="12" t="n">
        <x:f>IF(O1683="","",O1683/86400)</x:f>
        <x:v>0.005555555555555556</x:v>
      </x:c>
      <x:c r="Q1683" s="12" t="n">
        <x:f>IF(O1683="","",(H1683*60+O1683)/86400)</x:f>
        <x:v>0.6479166666666667</x:v>
      </x:c>
      <x:c r="R1683" s="12" t="str">
        <x:f>IF(Q1683="","",TEXT(Q1683,"hh:mm:ss"))</x:f>
        <x:v>15:33:00</x:v>
      </x:c>
      <x:c r="S1683" s="12" t="str">
        <x:v>否</x:v>
      </x:c>
      <x:c r="T1683" s="12" t="str">
        <x:v>否</x:v>
      </x:c>
      <x:c r="U1683" s="12" t="str">
        <x:v>郭海燕</x:v>
      </x:c>
      <x:c r="V1683" s="12" t="str">
        <x:v>5号车</x:v>
      </x:c>
      <x:c r="W1683" s="12" t="str">
        <x:v>秒级预测</x:v>
      </x:c>
      <x:c r="X1683" s="12" t="str">
        <x:v>基于路线秒级参数；如录入实测或手动采用秒，预计到达时间可随公式更新</x:v>
      </x:c>
    </x:row>
    <x:row r="1684">
      <x:c r="A1684" s="12" t="str">
        <x:v>S0144-09</x:v>
      </x:c>
      <x:c r="B1684" s="12" t="str">
        <x:v>S0144</x:v>
      </x:c>
      <x:c r="C1684" s="12" t="str">
        <x:v>工作日</x:v>
      </x:c>
      <x:c r="D1684" s="12" t="str">
        <x:v>环线3路</x:v>
      </x:c>
      <x:c r="E1684" s="12" t="str">
        <x:v>第二班</x:v>
      </x:c>
      <x:c r="F1684" s="12" t="n">
        <x:v>10</x:v>
      </x:c>
      <x:c r="G1684" s="12" t="str">
        <x:v>15:25</x:v>
      </x:c>
      <x:c r="H1684" s="12" t="n">
        <x:v>925</x:v>
      </x:c>
      <x:c r="I1684" s="12" t="str">
        <x:v>研究生宿舍楼</x:v>
      </x:c>
      <x:c r="J1684" s="12" t="str">
        <x:v>研究生宿舍楼发车</x:v>
      </x:c>
      <x:c r="K1684" s="12" t="str">
        <x:v>HX3_NORMAL</x:v>
      </x:c>
      <x:c r="L1684" s="12" t="n">
        <x:v>9</x:v>
      </x:c>
      <x:c r="M1684" s="12" t="str">
        <x:v>HX3_NORMAL|9</x:v>
      </x:c>
      <x:c r="N1684" s="12" t="str">
        <x:v>二食堂</x:v>
      </x:c>
      <x:c r="O1684" s="12" t="n">
        <x:f>IFERROR(INDEX('秒级路线参数_可调整'!$O:$O,MATCH(M1684,'秒级路线参数_可调整'!$A:$A,0)),"")</x:f>
        <x:v>535</x:v>
      </x:c>
      <x:c r="P1684" s="12" t="n">
        <x:f>IF(O1684="","",O1684/86400)</x:f>
        <x:v>0.00619212962962963</x:v>
      </x:c>
      <x:c r="Q1684" s="12" t="n">
        <x:f>IF(O1684="","",(H1684*60+O1684)/86400)</x:f>
        <x:v>0.6485532407407407</x:v>
      </x:c>
      <x:c r="R1684" s="12" t="str">
        <x:f>IF(Q1684="","",TEXT(Q1684,"hh:mm:ss"))</x:f>
        <x:v>15:33:55</x:v>
      </x:c>
      <x:c r="S1684" s="12" t="str">
        <x:v>否</x:v>
      </x:c>
      <x:c r="T1684" s="12" t="str">
        <x:v>否</x:v>
      </x:c>
      <x:c r="U1684" s="12" t="str">
        <x:v>郭海燕</x:v>
      </x:c>
      <x:c r="V1684" s="12" t="str">
        <x:v>5号车</x:v>
      </x:c>
      <x:c r="W1684" s="12" t="str">
        <x:v>秒级预测</x:v>
      </x:c>
      <x:c r="X1684" s="12" t="str">
        <x:v>基于路线秒级参数；如录入实测或手动采用秒，预计到达时间可随公式更新</x:v>
      </x:c>
    </x:row>
    <x:row r="1685">
      <x:c r="A1685" s="12" t="str">
        <x:v>S0144-10</x:v>
      </x:c>
      <x:c r="B1685" s="12" t="str">
        <x:v>S0144</x:v>
      </x:c>
      <x:c r="C1685" s="12" t="str">
        <x:v>工作日</x:v>
      </x:c>
      <x:c r="D1685" s="12" t="str">
        <x:v>环线3路</x:v>
      </x:c>
      <x:c r="E1685" s="12" t="str">
        <x:v>第二班</x:v>
      </x:c>
      <x:c r="F1685" s="12" t="n">
        <x:v>10</x:v>
      </x:c>
      <x:c r="G1685" s="12" t="str">
        <x:v>15:25</x:v>
      </x:c>
      <x:c r="H1685" s="12" t="n">
        <x:v>925</x:v>
      </x:c>
      <x:c r="I1685" s="12" t="str">
        <x:v>研究生宿舍楼</x:v>
      </x:c>
      <x:c r="J1685" s="12" t="str">
        <x:v>研究生宿舍楼发车</x:v>
      </x:c>
      <x:c r="K1685" s="12" t="str">
        <x:v>HX3_NORMAL</x:v>
      </x:c>
      <x:c r="L1685" s="12" t="n">
        <x:v>10</x:v>
      </x:c>
      <x:c r="M1685" s="12" t="str">
        <x:v>HX3_NORMAL|10</x:v>
      </x:c>
      <x:c r="N1685" s="12" t="str">
        <x:v>图书馆</x:v>
      </x:c>
      <x:c r="O1685" s="12" t="n">
        <x:f>IFERROR(INDEX('秒级路线参数_可调整'!$O:$O,MATCH(M1685,'秒级路线参数_可调整'!$A:$A,0)),"")</x:f>
        <x:v>715</x:v>
      </x:c>
      <x:c r="P1685" s="12" t="n">
        <x:f>IF(O1685="","",O1685/86400)</x:f>
        <x:v>0.008275462962962964</x:v>
      </x:c>
      <x:c r="Q1685" s="12" t="n">
        <x:f>IF(O1685="","",(H1685*60+O1685)/86400)</x:f>
        <x:v>0.650636574074074</x:v>
      </x:c>
      <x:c r="R1685" s="12" t="str">
        <x:f>IF(Q1685="","",TEXT(Q1685,"hh:mm:ss"))</x:f>
        <x:v>15:36:55</x:v>
      </x:c>
      <x:c r="S1685" s="12" t="str">
        <x:v>否</x:v>
      </x:c>
      <x:c r="T1685" s="12" t="str">
        <x:v>否</x:v>
      </x:c>
      <x:c r="U1685" s="12" t="str">
        <x:v>郭海燕</x:v>
      </x:c>
      <x:c r="V1685" s="12" t="str">
        <x:v>5号车</x:v>
      </x:c>
      <x:c r="W1685" s="12" t="str">
        <x:v>秒级预测</x:v>
      </x:c>
      <x:c r="X1685" s="12" t="str">
        <x:v>基于路线秒级参数；如录入实测或手动采用秒，预计到达时间可随公式更新</x:v>
      </x:c>
    </x:row>
    <x:row r="1686">
      <x:c r="A1686" s="12" t="str">
        <x:v>S0144-11</x:v>
      </x:c>
      <x:c r="B1686" s="12" t="str">
        <x:v>S0144</x:v>
      </x:c>
      <x:c r="C1686" s="12" t="str">
        <x:v>工作日</x:v>
      </x:c>
      <x:c r="D1686" s="12" t="str">
        <x:v>环线3路</x:v>
      </x:c>
      <x:c r="E1686" s="12" t="str">
        <x:v>第二班</x:v>
      </x:c>
      <x:c r="F1686" s="12" t="n">
        <x:v>10</x:v>
      </x:c>
      <x:c r="G1686" s="12" t="str">
        <x:v>15:25</x:v>
      </x:c>
      <x:c r="H1686" s="12" t="n">
        <x:v>925</x:v>
      </x:c>
      <x:c r="I1686" s="12" t="str">
        <x:v>研究生宿舍楼</x:v>
      </x:c>
      <x:c r="J1686" s="12" t="str">
        <x:v>研究生宿舍楼发车</x:v>
      </x:c>
      <x:c r="K1686" s="12" t="str">
        <x:v>HX3_NORMAL</x:v>
      </x:c>
      <x:c r="L1686" s="12" t="n">
        <x:v>11</x:v>
      </x:c>
      <x:c r="M1686" s="12" t="str">
        <x:v>HX3_NORMAL|11</x:v>
      </x:c>
      <x:c r="N1686" s="12" t="str">
        <x:v>305教学楼</x:v>
      </x:c>
      <x:c r="O1686" s="12" t="n">
        <x:f>IFERROR(INDEX('秒级路线参数_可调整'!$O:$O,MATCH(M1686,'秒级路线参数_可调整'!$A:$A,0)),"")</x:f>
        <x:v>775</x:v>
      </x:c>
      <x:c r="P1686" s="12" t="n">
        <x:f>IF(O1686="","",O1686/86400)</x:f>
        <x:v>0.008969907407407407</x:v>
      </x:c>
      <x:c r="Q1686" s="12" t="n">
        <x:f>IF(O1686="","",(H1686*60+O1686)/86400)</x:f>
        <x:v>0.6513310185185185</x:v>
      </x:c>
      <x:c r="R1686" s="12" t="str">
        <x:f>IF(Q1686="","",TEXT(Q1686,"hh:mm:ss"))</x:f>
        <x:v>15:37:55</x:v>
      </x:c>
      <x:c r="S1686" s="12" t="str">
        <x:v>否</x:v>
      </x:c>
      <x:c r="T1686" s="12" t="str">
        <x:v>否</x:v>
      </x:c>
      <x:c r="U1686" s="12" t="str">
        <x:v>郭海燕</x:v>
      </x:c>
      <x:c r="V1686" s="12" t="str">
        <x:v>5号车</x:v>
      </x:c>
      <x:c r="W1686" s="12" t="str">
        <x:v>秒级预测</x:v>
      </x:c>
      <x:c r="X1686" s="12" t="str">
        <x:v>基于路线秒级参数；如录入实测或手动采用秒，预计到达时间可随公式更新</x:v>
      </x:c>
    </x:row>
    <x:row r="1687">
      <x:c r="A1687" s="12" t="str">
        <x:v>S0144-12</x:v>
      </x:c>
      <x:c r="B1687" s="12" t="str">
        <x:v>S0144</x:v>
      </x:c>
      <x:c r="C1687" s="12" t="str">
        <x:v>工作日</x:v>
      </x:c>
      <x:c r="D1687" s="12" t="str">
        <x:v>环线3路</x:v>
      </x:c>
      <x:c r="E1687" s="12" t="str">
        <x:v>第二班</x:v>
      </x:c>
      <x:c r="F1687" s="12" t="n">
        <x:v>10</x:v>
      </x:c>
      <x:c r="G1687" s="12" t="str">
        <x:v>15:25</x:v>
      </x:c>
      <x:c r="H1687" s="12" t="n">
        <x:v>925</x:v>
      </x:c>
      <x:c r="I1687" s="12" t="str">
        <x:v>研究生宿舍楼</x:v>
      </x:c>
      <x:c r="J1687" s="12" t="str">
        <x:v>研究生宿舍楼发车</x:v>
      </x:c>
      <x:c r="K1687" s="12" t="str">
        <x:v>HX3_NORMAL</x:v>
      </x:c>
      <x:c r="L1687" s="12" t="n">
        <x:v>12</x:v>
      </x:c>
      <x:c r="M1687" s="12" t="str">
        <x:v>HX3_NORMAL|12</x:v>
      </x:c>
      <x:c r="N1687" s="12" t="str">
        <x:v>研究生宿舍楼</x:v>
      </x:c>
      <x:c r="O1687" s="12" t="n">
        <x:f>IFERROR(INDEX('秒级路线参数_可调整'!$O:$O,MATCH(M1687,'秒级路线参数_可调整'!$A:$A,0)),"")</x:f>
        <x:v>840</x:v>
      </x:c>
      <x:c r="P1687" s="12" t="n">
        <x:f>IF(O1687="","",O1687/86400)</x:f>
        <x:v>0.009722222222222222</x:v>
      </x:c>
      <x:c r="Q1687" s="12" t="n">
        <x:f>IF(O1687="","",(H1687*60+O1687)/86400)</x:f>
        <x:v>0.6520833333333333</x:v>
      </x:c>
      <x:c r="R1687" s="12" t="str">
        <x:f>IF(Q1687="","",TEXT(Q1687,"hh:mm:ss"))</x:f>
        <x:v>15:39:00</x:v>
      </x:c>
      <x:c r="S1687" s="12" t="str">
        <x:v>否</x:v>
      </x:c>
      <x:c r="T1687" s="12" t="str">
        <x:v>是</x:v>
      </x:c>
      <x:c r="U1687" s="12" t="str">
        <x:v>郭海燕</x:v>
      </x:c>
      <x:c r="V1687" s="12" t="str">
        <x:v>5号车</x:v>
      </x:c>
      <x:c r="W1687" s="12" t="str">
        <x:v>秒级预测</x:v>
      </x:c>
      <x:c r="X1687" s="12" t="str">
        <x:v>基于路线秒级参数；如录入实测或手动采用秒，预计到达时间可随公式更新</x:v>
      </x:c>
    </x:row>
    <x:row r="1688">
      <x:c r="A1688" s="12" t="str">
        <x:v>S0145-01</x:v>
      </x:c>
      <x:c r="B1688" s="12" t="str">
        <x:v>S0145</x:v>
      </x:c>
      <x:c r="C1688" s="12" t="str">
        <x:v>工作日</x:v>
      </x:c>
      <x:c r="D1688" s="12" t="str">
        <x:v>环线3路</x:v>
      </x:c>
      <x:c r="E1688" s="12" t="str">
        <x:v>第二班</x:v>
      </x:c>
      <x:c r="F1688" s="12" t="n">
        <x:v>11</x:v>
      </x:c>
      <x:c r="G1688" s="12" t="str">
        <x:v>16:20</x:v>
      </x:c>
      <x:c r="H1688" s="12" t="n">
        <x:v>980</x:v>
      </x:c>
      <x:c r="I1688" s="12" t="str">
        <x:v>研究生宿舍楼</x:v>
      </x:c>
      <x:c r="J1688" s="12" t="str">
        <x:v>研究生宿舍楼发车</x:v>
      </x:c>
      <x:c r="K1688" s="12" t="str">
        <x:v>HX3_NORMAL</x:v>
      </x:c>
      <x:c r="L1688" s="12" t="n">
        <x:v>1</x:v>
      </x:c>
      <x:c r="M1688" s="12" t="str">
        <x:v>HX3_NORMAL|1</x:v>
      </x:c>
      <x:c r="N1688" s="12" t="str">
        <x:v>研究生宿舍楼</x:v>
      </x:c>
      <x:c r="O1688" s="12" t="n">
        <x:f>IFERROR(INDEX('秒级路线参数_可调整'!$O:$O,MATCH(M1688,'秒级路线参数_可调整'!$A:$A,0)),"")</x:f>
        <x:v>0</x:v>
      </x:c>
      <x:c r="P1688" s="12" t="str">
        <x:f>IF(O1688="","",O1688/86400)</x:f>
      </x:c>
      <x:c r="Q1688" s="12" t="str">
        <x:f>IF(O1688="","",(H1688*60+O1688)/86400)</x:f>
      </x:c>
      <x:c r="R1688" s="12" t="str">
        <x:f>IF(Q1688="","",TEXT(Q1688,"hh:mm:ss"))</x:f>
      </x:c>
      <x:c r="S1688" s="12" t="str">
        <x:v>是</x:v>
      </x:c>
      <x:c r="T1688" s="12" t="str">
        <x:v>否</x:v>
      </x:c>
      <x:c r="U1688" s="12" t="str">
        <x:v>郭海燕</x:v>
      </x:c>
      <x:c r="V1688" s="12" t="str">
        <x:v>5号车</x:v>
      </x:c>
      <x:c r="W1688" s="12" t="str">
        <x:v>秒级预测</x:v>
      </x:c>
      <x:c r="X1688" s="12" t="str">
        <x:v>基于路线秒级参数；如录入实测或手动采用秒，预计到达时间可随公式更新</x:v>
      </x:c>
    </x:row>
    <x:row r="1689">
      <x:c r="A1689" s="12" t="str">
        <x:v>S0145-02</x:v>
      </x:c>
      <x:c r="B1689" s="12" t="str">
        <x:v>S0145</x:v>
      </x:c>
      <x:c r="C1689" s="12" t="str">
        <x:v>工作日</x:v>
      </x:c>
      <x:c r="D1689" s="12" t="str">
        <x:v>环线3路</x:v>
      </x:c>
      <x:c r="E1689" s="12" t="str">
        <x:v>第二班</x:v>
      </x:c>
      <x:c r="F1689" s="12" t="n">
        <x:v>11</x:v>
      </x:c>
      <x:c r="G1689" s="12" t="str">
        <x:v>16:20</x:v>
      </x:c>
      <x:c r="H1689" s="12" t="n">
        <x:v>980</x:v>
      </x:c>
      <x:c r="I1689" s="12" t="str">
        <x:v>研究生宿舍楼</x:v>
      </x:c>
      <x:c r="J1689" s="12" t="str">
        <x:v>研究生宿舍楼发车</x:v>
      </x:c>
      <x:c r="K1689" s="12" t="str">
        <x:v>HX3_NORMAL</x:v>
      </x:c>
      <x:c r="L1689" s="12" t="n">
        <x:v>2</x:v>
      </x:c>
      <x:c r="M1689" s="12" t="str">
        <x:v>HX3_NORMAL|2</x:v>
      </x:c>
      <x:c r="N1689" s="12" t="str">
        <x:v>一食堂</x:v>
      </x:c>
      <x:c r="O1689" s="12" t="n">
        <x:f>IFERROR(INDEX('秒级路线参数_可调整'!$O:$O,MATCH(M1689,'秒级路线参数_可调整'!$A:$A,0)),"")</x:f>
        <x:v>65</x:v>
      </x:c>
      <x:c r="P1689" s="12" t="n">
        <x:f>IF(O1689="","",O1689/86400)</x:f>
        <x:v>0.0007523148148148148</x:v>
      </x:c>
      <x:c r="Q1689" s="12" t="n">
        <x:f>IF(O1689="","",(H1689*60+O1689)/86400)</x:f>
        <x:v>0.6813078703703703</x:v>
      </x:c>
      <x:c r="R1689" s="12" t="str">
        <x:f>IF(Q1689="","",TEXT(Q1689,"hh:mm:ss"))</x:f>
        <x:v>16:21:05</x:v>
      </x:c>
      <x:c r="S1689" s="12" t="str">
        <x:v>否</x:v>
      </x:c>
      <x:c r="T1689" s="12" t="str">
        <x:v>否</x:v>
      </x:c>
      <x:c r="U1689" s="12" t="str">
        <x:v>郭海燕</x:v>
      </x:c>
      <x:c r="V1689" s="12" t="str">
        <x:v>5号车</x:v>
      </x:c>
      <x:c r="W1689" s="12" t="str">
        <x:v>秒级预测</x:v>
      </x:c>
      <x:c r="X1689" s="12" t="str">
        <x:v>基于路线秒级参数；如录入实测或手动采用秒，预计到达时间可随公式更新</x:v>
      </x:c>
    </x:row>
    <x:row r="1690">
      <x:c r="A1690" s="12" t="str">
        <x:v>S0145-03</x:v>
      </x:c>
      <x:c r="B1690" s="12" t="str">
        <x:v>S0145</x:v>
      </x:c>
      <x:c r="C1690" s="12" t="str">
        <x:v>工作日</x:v>
      </x:c>
      <x:c r="D1690" s="12" t="str">
        <x:v>环线3路</x:v>
      </x:c>
      <x:c r="E1690" s="12" t="str">
        <x:v>第二班</x:v>
      </x:c>
      <x:c r="F1690" s="12" t="n">
        <x:v>11</x:v>
      </x:c>
      <x:c r="G1690" s="12" t="str">
        <x:v>16:20</x:v>
      </x:c>
      <x:c r="H1690" s="12" t="n">
        <x:v>980</x:v>
      </x:c>
      <x:c r="I1690" s="12" t="str">
        <x:v>研究生宿舍楼</x:v>
      </x:c>
      <x:c r="J1690" s="12" t="str">
        <x:v>研究生宿舍楼发车</x:v>
      </x:c>
      <x:c r="K1690" s="12" t="str">
        <x:v>HX3_NORMAL</x:v>
      </x:c>
      <x:c r="L1690" s="12" t="n">
        <x:v>3</x:v>
      </x:c>
      <x:c r="M1690" s="12" t="str">
        <x:v>HX3_NORMAL|3</x:v>
      </x:c>
      <x:c r="N1690" s="12" t="str">
        <x:v>2号宿舍楼</x:v>
      </x:c>
      <x:c r="O1690" s="12" t="n">
        <x:f>IFERROR(INDEX('秒级路线参数_可调整'!$O:$O,MATCH(M1690,'秒级路线参数_可调整'!$A:$A,0)),"")</x:f>
        <x:v>120</x:v>
      </x:c>
      <x:c r="P1690" s="12" t="n">
        <x:f>IF(O1690="","",O1690/86400)</x:f>
        <x:v>0.001388888888888889</x:v>
      </x:c>
      <x:c r="Q1690" s="12" t="n">
        <x:f>IF(O1690="","",(H1690*60+O1690)/86400)</x:f>
        <x:v>0.6819444444444445</x:v>
      </x:c>
      <x:c r="R1690" s="12" t="str">
        <x:f>IF(Q1690="","",TEXT(Q1690,"hh:mm:ss"))</x:f>
        <x:v>16:22:00</x:v>
      </x:c>
      <x:c r="S1690" s="12" t="str">
        <x:v>否</x:v>
      </x:c>
      <x:c r="T1690" s="12" t="str">
        <x:v>否</x:v>
      </x:c>
      <x:c r="U1690" s="12" t="str">
        <x:v>郭海燕</x:v>
      </x:c>
      <x:c r="V1690" s="12" t="str">
        <x:v>5号车</x:v>
      </x:c>
      <x:c r="W1690" s="12" t="str">
        <x:v>秒级预测</x:v>
      </x:c>
      <x:c r="X1690" s="12" t="str">
        <x:v>基于路线秒级参数；如录入实测或手动采用秒，预计到达时间可随公式更新</x:v>
      </x:c>
    </x:row>
    <x:row r="1691">
      <x:c r="A1691" s="12" t="str">
        <x:v>S0145-04</x:v>
      </x:c>
      <x:c r="B1691" s="12" t="str">
        <x:v>S0145</x:v>
      </x:c>
      <x:c r="C1691" s="12" t="str">
        <x:v>工作日</x:v>
      </x:c>
      <x:c r="D1691" s="12" t="str">
        <x:v>环线3路</x:v>
      </x:c>
      <x:c r="E1691" s="12" t="str">
        <x:v>第二班</x:v>
      </x:c>
      <x:c r="F1691" s="12" t="n">
        <x:v>11</x:v>
      </x:c>
      <x:c r="G1691" s="12" t="str">
        <x:v>16:20</x:v>
      </x:c>
      <x:c r="H1691" s="12" t="n">
        <x:v>980</x:v>
      </x:c>
      <x:c r="I1691" s="12" t="str">
        <x:v>研究生宿舍楼</x:v>
      </x:c>
      <x:c r="J1691" s="12" t="str">
        <x:v>研究生宿舍楼发车</x:v>
      </x:c>
      <x:c r="K1691" s="12" t="str">
        <x:v>HX3_NORMAL</x:v>
      </x:c>
      <x:c r="L1691" s="12" t="n">
        <x:v>4</x:v>
      </x:c>
      <x:c r="M1691" s="12" t="str">
        <x:v>HX3_NORMAL|4</x:v>
      </x:c>
      <x:c r="N1691" s="12" t="str">
        <x:v>军体活动中心</x:v>
      </x:c>
      <x:c r="O1691" s="12" t="n">
        <x:f>IFERROR(INDEX('秒级路线参数_可调整'!$O:$O,MATCH(M1691,'秒级路线参数_可调整'!$A:$A,0)),"")</x:f>
        <x:v>165</x:v>
      </x:c>
      <x:c r="P1691" s="12" t="n">
        <x:f>IF(O1691="","",O1691/86400)</x:f>
        <x:v>0.0019097222222222222</x:v>
      </x:c>
      <x:c r="Q1691" s="12" t="n">
        <x:f>IF(O1691="","",(H1691*60+O1691)/86400)</x:f>
        <x:v>0.6824652777777778</x:v>
      </x:c>
      <x:c r="R1691" s="12" t="str">
        <x:f>IF(Q1691="","",TEXT(Q1691,"hh:mm:ss"))</x:f>
        <x:v>16:22:45</x:v>
      </x:c>
      <x:c r="S1691" s="12" t="str">
        <x:v>否</x:v>
      </x:c>
      <x:c r="T1691" s="12" t="str">
        <x:v>否</x:v>
      </x:c>
      <x:c r="U1691" s="12" t="str">
        <x:v>郭海燕</x:v>
      </x:c>
      <x:c r="V1691" s="12" t="str">
        <x:v>5号车</x:v>
      </x:c>
      <x:c r="W1691" s="12" t="str">
        <x:v>秒级预测</x:v>
      </x:c>
      <x:c r="X1691" s="12" t="str">
        <x:v>基于路线秒级参数；如录入实测或手动采用秒，预计到达时间可随公式更新</x:v>
      </x:c>
    </x:row>
    <x:row r="1692">
      <x:c r="A1692" s="12" t="str">
        <x:v>S0145-05</x:v>
      </x:c>
      <x:c r="B1692" s="12" t="str">
        <x:v>S0145</x:v>
      </x:c>
      <x:c r="C1692" s="12" t="str">
        <x:v>工作日</x:v>
      </x:c>
      <x:c r="D1692" s="12" t="str">
        <x:v>环线3路</x:v>
      </x:c>
      <x:c r="E1692" s="12" t="str">
        <x:v>第二班</x:v>
      </x:c>
      <x:c r="F1692" s="12" t="n">
        <x:v>11</x:v>
      </x:c>
      <x:c r="G1692" s="12" t="str">
        <x:v>16:20</x:v>
      </x:c>
      <x:c r="H1692" s="12" t="n">
        <x:v>980</x:v>
      </x:c>
      <x:c r="I1692" s="12" t="str">
        <x:v>研究生宿舍楼</x:v>
      </x:c>
      <x:c r="J1692" s="12" t="str">
        <x:v>研究生宿舍楼发车</x:v>
      </x:c>
      <x:c r="K1692" s="12" t="str">
        <x:v>HX3_NORMAL</x:v>
      </x:c>
      <x:c r="L1692" s="12" t="n">
        <x:v>5</x:v>
      </x:c>
      <x:c r="M1692" s="12" t="str">
        <x:v>HX3_NORMAL|5</x:v>
      </x:c>
      <x:c r="N1692" s="12" t="str">
        <x:v>教勤连</x:v>
      </x:c>
      <x:c r="O1692" s="12" t="n">
        <x:f>IFERROR(INDEX('秒级路线参数_可调整'!$O:$O,MATCH(M1692,'秒级路线参数_可调整'!$A:$A,0)),"")</x:f>
        <x:v>250</x:v>
      </x:c>
      <x:c r="P1692" s="12" t="n">
        <x:f>IF(O1692="","",O1692/86400)</x:f>
        <x:v>0.0028935185185185184</x:v>
      </x:c>
      <x:c r="Q1692" s="12" t="n">
        <x:f>IF(O1692="","",(H1692*60+O1692)/86400)</x:f>
        <x:v>0.6834490740740741</x:v>
      </x:c>
      <x:c r="R1692" s="12" t="str">
        <x:f>IF(Q1692="","",TEXT(Q1692,"hh:mm:ss"))</x:f>
        <x:v>16:24:10</x:v>
      </x:c>
      <x:c r="S1692" s="12" t="str">
        <x:v>否</x:v>
      </x:c>
      <x:c r="T1692" s="12" t="str">
        <x:v>否</x:v>
      </x:c>
      <x:c r="U1692" s="12" t="str">
        <x:v>郭海燕</x:v>
      </x:c>
      <x:c r="V1692" s="12" t="str">
        <x:v>5号车</x:v>
      </x:c>
      <x:c r="W1692" s="12" t="str">
        <x:v>秒级预测</x:v>
      </x:c>
      <x:c r="X1692" s="12" t="str">
        <x:v>基于路线秒级参数；如录入实测或手动采用秒，预计到达时间可随公式更新</x:v>
      </x:c>
    </x:row>
    <x:row r="1693">
      <x:c r="A1693" s="12" t="str">
        <x:v>S0145-06</x:v>
      </x:c>
      <x:c r="B1693" s="12" t="str">
        <x:v>S0145</x:v>
      </x:c>
      <x:c r="C1693" s="12" t="str">
        <x:v>工作日</x:v>
      </x:c>
      <x:c r="D1693" s="12" t="str">
        <x:v>环线3路</x:v>
      </x:c>
      <x:c r="E1693" s="12" t="str">
        <x:v>第二班</x:v>
      </x:c>
      <x:c r="F1693" s="12" t="n">
        <x:v>11</x:v>
      </x:c>
      <x:c r="G1693" s="12" t="str">
        <x:v>16:20</x:v>
      </x:c>
      <x:c r="H1693" s="12" t="n">
        <x:v>980</x:v>
      </x:c>
      <x:c r="I1693" s="12" t="str">
        <x:v>研究生宿舍楼</x:v>
      </x:c>
      <x:c r="J1693" s="12" t="str">
        <x:v>研究生宿舍楼发车</x:v>
      </x:c>
      <x:c r="K1693" s="12" t="str">
        <x:v>HX3_NORMAL</x:v>
      </x:c>
      <x:c r="L1693" s="12" t="n">
        <x:v>6</x:v>
      </x:c>
      <x:c r="M1693" s="12" t="str">
        <x:v>HX3_NORMAL|6</x:v>
      </x:c>
      <x:c r="N1693" s="12" t="str">
        <x:v>激光所</x:v>
      </x:c>
      <x:c r="O1693" s="12" t="n">
        <x:f>IFERROR(INDEX('秒级路线参数_可调整'!$O:$O,MATCH(M1693,'秒级路线参数_可调整'!$A:$A,0)),"")</x:f>
        <x:v>315</x:v>
      </x:c>
      <x:c r="P1693" s="12" t="n">
        <x:f>IF(O1693="","",O1693/86400)</x:f>
        <x:v>0.0036458333333333334</x:v>
      </x:c>
      <x:c r="Q1693" s="12" t="n">
        <x:f>IF(O1693="","",(H1693*60+O1693)/86400)</x:f>
        <x:v>0.6842013888888889</x:v>
      </x:c>
      <x:c r="R1693" s="12" t="str">
        <x:f>IF(Q1693="","",TEXT(Q1693,"hh:mm:ss"))</x:f>
        <x:v>16:25:15</x:v>
      </x:c>
      <x:c r="S1693" s="12" t="str">
        <x:v>否</x:v>
      </x:c>
      <x:c r="T1693" s="12" t="str">
        <x:v>否</x:v>
      </x:c>
      <x:c r="U1693" s="12" t="str">
        <x:v>郭海燕</x:v>
      </x:c>
      <x:c r="V1693" s="12" t="str">
        <x:v>5号车</x:v>
      </x:c>
      <x:c r="W1693" s="12" t="str">
        <x:v>秒级预测</x:v>
      </x:c>
      <x:c r="X1693" s="12" t="str">
        <x:v>基于路线秒级参数；如录入实测或手动采用秒，预计到达时间可随公式更新</x:v>
      </x:c>
    </x:row>
    <x:row r="1694">
      <x:c r="A1694" s="12" t="str">
        <x:v>S0145-07</x:v>
      </x:c>
      <x:c r="B1694" s="12" t="str">
        <x:v>S0145</x:v>
      </x:c>
      <x:c r="C1694" s="12" t="str">
        <x:v>工作日</x:v>
      </x:c>
      <x:c r="D1694" s="12" t="str">
        <x:v>环线3路</x:v>
      </x:c>
      <x:c r="E1694" s="12" t="str">
        <x:v>第二班</x:v>
      </x:c>
      <x:c r="F1694" s="12" t="n">
        <x:v>11</x:v>
      </x:c>
      <x:c r="G1694" s="12" t="str">
        <x:v>16:20</x:v>
      </x:c>
      <x:c r="H1694" s="12" t="n">
        <x:v>980</x:v>
      </x:c>
      <x:c r="I1694" s="12" t="str">
        <x:v>研究生宿舍楼</x:v>
      </x:c>
      <x:c r="J1694" s="12" t="str">
        <x:v>研究生宿舍楼发车</x:v>
      </x:c>
      <x:c r="K1694" s="12" t="str">
        <x:v>HX3_NORMAL</x:v>
      </x:c>
      <x:c r="L1694" s="12" t="n">
        <x:v>7</x:v>
      </x:c>
      <x:c r="M1694" s="12" t="str">
        <x:v>HX3_NORMAL|7</x:v>
      </x:c>
      <x:c r="N1694" s="12" t="str">
        <x:v>高超楼</x:v>
      </x:c>
      <x:c r="O1694" s="12" t="n">
        <x:f>IFERROR(INDEX('秒级路线参数_可调整'!$O:$O,MATCH(M1694,'秒级路线参数_可调整'!$A:$A,0)),"")</x:f>
        <x:v>420</x:v>
      </x:c>
      <x:c r="P1694" s="12" t="n">
        <x:f>IF(O1694="","",O1694/86400)</x:f>
        <x:v>0.004861111111111111</x:v>
      </x:c>
      <x:c r="Q1694" s="12" t="n">
        <x:f>IF(O1694="","",(H1694*60+O1694)/86400)</x:f>
        <x:v>0.6854166666666667</x:v>
      </x:c>
      <x:c r="R1694" s="12" t="str">
        <x:f>IF(Q1694="","",TEXT(Q1694,"hh:mm:ss"))</x:f>
        <x:v>16:27:00</x:v>
      </x:c>
      <x:c r="S1694" s="12" t="str">
        <x:v>否</x:v>
      </x:c>
      <x:c r="T1694" s="12" t="str">
        <x:v>否</x:v>
      </x:c>
      <x:c r="U1694" s="12" t="str">
        <x:v>郭海燕</x:v>
      </x:c>
      <x:c r="V1694" s="12" t="str">
        <x:v>5号车</x:v>
      </x:c>
      <x:c r="W1694" s="12" t="str">
        <x:v>秒级预测</x:v>
      </x:c>
      <x:c r="X1694" s="12" t="str">
        <x:v>基于路线秒级参数；如录入实测或手动采用秒，预计到达时间可随公式更新</x:v>
      </x:c>
    </x:row>
    <x:row r="1695">
      <x:c r="A1695" s="12" t="str">
        <x:v>S0145-08</x:v>
      </x:c>
      <x:c r="B1695" s="12" t="str">
        <x:v>S0145</x:v>
      </x:c>
      <x:c r="C1695" s="12" t="str">
        <x:v>工作日</x:v>
      </x:c>
      <x:c r="D1695" s="12" t="str">
        <x:v>环线3路</x:v>
      </x:c>
      <x:c r="E1695" s="12" t="str">
        <x:v>第二班</x:v>
      </x:c>
      <x:c r="F1695" s="12" t="n">
        <x:v>11</x:v>
      </x:c>
      <x:c r="G1695" s="12" t="str">
        <x:v>16:20</x:v>
      </x:c>
      <x:c r="H1695" s="12" t="n">
        <x:v>980</x:v>
      </x:c>
      <x:c r="I1695" s="12" t="str">
        <x:v>研究生宿舍楼</x:v>
      </x:c>
      <x:c r="J1695" s="12" t="str">
        <x:v>研究生宿舍楼发车</x:v>
      </x:c>
      <x:c r="K1695" s="12" t="str">
        <x:v>HX3_NORMAL</x:v>
      </x:c>
      <x:c r="L1695" s="12" t="n">
        <x:v>8</x:v>
      </x:c>
      <x:c r="M1695" s="12" t="str">
        <x:v>HX3_NORMAL|8</x:v>
      </x:c>
      <x:c r="N1695" s="12" t="str">
        <x:v>理学院</x:v>
      </x:c>
      <x:c r="O1695" s="12" t="n">
        <x:f>IFERROR(INDEX('秒级路线参数_可调整'!$O:$O,MATCH(M1695,'秒级路线参数_可调整'!$A:$A,0)),"")</x:f>
        <x:v>480</x:v>
      </x:c>
      <x:c r="P1695" s="12" t="n">
        <x:f>IF(O1695="","",O1695/86400)</x:f>
        <x:v>0.005555555555555556</x:v>
      </x:c>
      <x:c r="Q1695" s="12" t="n">
        <x:f>IF(O1695="","",(H1695*60+O1695)/86400)</x:f>
        <x:v>0.6861111111111111</x:v>
      </x:c>
      <x:c r="R1695" s="12" t="str">
        <x:f>IF(Q1695="","",TEXT(Q1695,"hh:mm:ss"))</x:f>
        <x:v>16:28:00</x:v>
      </x:c>
      <x:c r="S1695" s="12" t="str">
        <x:v>否</x:v>
      </x:c>
      <x:c r="T1695" s="12" t="str">
        <x:v>否</x:v>
      </x:c>
      <x:c r="U1695" s="12" t="str">
        <x:v>郭海燕</x:v>
      </x:c>
      <x:c r="V1695" s="12" t="str">
        <x:v>5号车</x:v>
      </x:c>
      <x:c r="W1695" s="12" t="str">
        <x:v>秒级预测</x:v>
      </x:c>
      <x:c r="X1695" s="12" t="str">
        <x:v>基于路线秒级参数；如录入实测或手动采用秒，预计到达时间可随公式更新</x:v>
      </x:c>
    </x:row>
    <x:row r="1696">
      <x:c r="A1696" s="12" t="str">
        <x:v>S0145-09</x:v>
      </x:c>
      <x:c r="B1696" s="12" t="str">
        <x:v>S0145</x:v>
      </x:c>
      <x:c r="C1696" s="12" t="str">
        <x:v>工作日</x:v>
      </x:c>
      <x:c r="D1696" s="12" t="str">
        <x:v>环线3路</x:v>
      </x:c>
      <x:c r="E1696" s="12" t="str">
        <x:v>第二班</x:v>
      </x:c>
      <x:c r="F1696" s="12" t="n">
        <x:v>11</x:v>
      </x:c>
      <x:c r="G1696" s="12" t="str">
        <x:v>16:20</x:v>
      </x:c>
      <x:c r="H1696" s="12" t="n">
        <x:v>980</x:v>
      </x:c>
      <x:c r="I1696" s="12" t="str">
        <x:v>研究生宿舍楼</x:v>
      </x:c>
      <x:c r="J1696" s="12" t="str">
        <x:v>研究生宿舍楼发车</x:v>
      </x:c>
      <x:c r="K1696" s="12" t="str">
        <x:v>HX3_NORMAL</x:v>
      </x:c>
      <x:c r="L1696" s="12" t="n">
        <x:v>9</x:v>
      </x:c>
      <x:c r="M1696" s="12" t="str">
        <x:v>HX3_NORMAL|9</x:v>
      </x:c>
      <x:c r="N1696" s="12" t="str">
        <x:v>二食堂</x:v>
      </x:c>
      <x:c r="O1696" s="12" t="n">
        <x:f>IFERROR(INDEX('秒级路线参数_可调整'!$O:$O,MATCH(M1696,'秒级路线参数_可调整'!$A:$A,0)),"")</x:f>
        <x:v>535</x:v>
      </x:c>
      <x:c r="P1696" s="12" t="n">
        <x:f>IF(O1696="","",O1696/86400)</x:f>
        <x:v>0.00619212962962963</x:v>
      </x:c>
      <x:c r="Q1696" s="12" t="n">
        <x:f>IF(O1696="","",(H1696*60+O1696)/86400)</x:f>
        <x:v>0.6867476851851851</x:v>
      </x:c>
      <x:c r="R1696" s="12" t="str">
        <x:f>IF(Q1696="","",TEXT(Q1696,"hh:mm:ss"))</x:f>
        <x:v>16:28:55</x:v>
      </x:c>
      <x:c r="S1696" s="12" t="str">
        <x:v>否</x:v>
      </x:c>
      <x:c r="T1696" s="12" t="str">
        <x:v>否</x:v>
      </x:c>
      <x:c r="U1696" s="12" t="str">
        <x:v>郭海燕</x:v>
      </x:c>
      <x:c r="V1696" s="12" t="str">
        <x:v>5号车</x:v>
      </x:c>
      <x:c r="W1696" s="12" t="str">
        <x:v>秒级预测</x:v>
      </x:c>
      <x:c r="X1696" s="12" t="str">
        <x:v>基于路线秒级参数；如录入实测或手动采用秒，预计到达时间可随公式更新</x:v>
      </x:c>
    </x:row>
    <x:row r="1697">
      <x:c r="A1697" s="12" t="str">
        <x:v>S0145-10</x:v>
      </x:c>
      <x:c r="B1697" s="12" t="str">
        <x:v>S0145</x:v>
      </x:c>
      <x:c r="C1697" s="12" t="str">
        <x:v>工作日</x:v>
      </x:c>
      <x:c r="D1697" s="12" t="str">
        <x:v>环线3路</x:v>
      </x:c>
      <x:c r="E1697" s="12" t="str">
        <x:v>第二班</x:v>
      </x:c>
      <x:c r="F1697" s="12" t="n">
        <x:v>11</x:v>
      </x:c>
      <x:c r="G1697" s="12" t="str">
        <x:v>16:20</x:v>
      </x:c>
      <x:c r="H1697" s="12" t="n">
        <x:v>980</x:v>
      </x:c>
      <x:c r="I1697" s="12" t="str">
        <x:v>研究生宿舍楼</x:v>
      </x:c>
      <x:c r="J1697" s="12" t="str">
        <x:v>研究生宿舍楼发车</x:v>
      </x:c>
      <x:c r="K1697" s="12" t="str">
        <x:v>HX3_NORMAL</x:v>
      </x:c>
      <x:c r="L1697" s="12" t="n">
        <x:v>10</x:v>
      </x:c>
      <x:c r="M1697" s="12" t="str">
        <x:v>HX3_NORMAL|10</x:v>
      </x:c>
      <x:c r="N1697" s="12" t="str">
        <x:v>图书馆</x:v>
      </x:c>
      <x:c r="O1697" s="12" t="n">
        <x:f>IFERROR(INDEX('秒级路线参数_可调整'!$O:$O,MATCH(M1697,'秒级路线参数_可调整'!$A:$A,0)),"")</x:f>
        <x:v>715</x:v>
      </x:c>
      <x:c r="P1697" s="12" t="n">
        <x:f>IF(O1697="","",O1697/86400)</x:f>
        <x:v>0.008275462962962964</x:v>
      </x:c>
      <x:c r="Q1697" s="12" t="n">
        <x:f>IF(O1697="","",(H1697*60+O1697)/86400)</x:f>
        <x:v>0.6888310185185185</x:v>
      </x:c>
      <x:c r="R1697" s="12" t="str">
        <x:f>IF(Q1697="","",TEXT(Q1697,"hh:mm:ss"))</x:f>
        <x:v>16:31:55</x:v>
      </x:c>
      <x:c r="S1697" s="12" t="str">
        <x:v>否</x:v>
      </x:c>
      <x:c r="T1697" s="12" t="str">
        <x:v>否</x:v>
      </x:c>
      <x:c r="U1697" s="12" t="str">
        <x:v>郭海燕</x:v>
      </x:c>
      <x:c r="V1697" s="12" t="str">
        <x:v>5号车</x:v>
      </x:c>
      <x:c r="W1697" s="12" t="str">
        <x:v>秒级预测</x:v>
      </x:c>
      <x:c r="X1697" s="12" t="str">
        <x:v>基于路线秒级参数；如录入实测或手动采用秒，预计到达时间可随公式更新</x:v>
      </x:c>
    </x:row>
    <x:row r="1698">
      <x:c r="A1698" s="12" t="str">
        <x:v>S0145-11</x:v>
      </x:c>
      <x:c r="B1698" s="12" t="str">
        <x:v>S0145</x:v>
      </x:c>
      <x:c r="C1698" s="12" t="str">
        <x:v>工作日</x:v>
      </x:c>
      <x:c r="D1698" s="12" t="str">
        <x:v>环线3路</x:v>
      </x:c>
      <x:c r="E1698" s="12" t="str">
        <x:v>第二班</x:v>
      </x:c>
      <x:c r="F1698" s="12" t="n">
        <x:v>11</x:v>
      </x:c>
      <x:c r="G1698" s="12" t="str">
        <x:v>16:20</x:v>
      </x:c>
      <x:c r="H1698" s="12" t="n">
        <x:v>980</x:v>
      </x:c>
      <x:c r="I1698" s="12" t="str">
        <x:v>研究生宿舍楼</x:v>
      </x:c>
      <x:c r="J1698" s="12" t="str">
        <x:v>研究生宿舍楼发车</x:v>
      </x:c>
      <x:c r="K1698" s="12" t="str">
        <x:v>HX3_NORMAL</x:v>
      </x:c>
      <x:c r="L1698" s="12" t="n">
        <x:v>11</x:v>
      </x:c>
      <x:c r="M1698" s="12" t="str">
        <x:v>HX3_NORMAL|11</x:v>
      </x:c>
      <x:c r="N1698" s="12" t="str">
        <x:v>305教学楼</x:v>
      </x:c>
      <x:c r="O1698" s="12" t="n">
        <x:f>IFERROR(INDEX('秒级路线参数_可调整'!$O:$O,MATCH(M1698,'秒级路线参数_可调整'!$A:$A,0)),"")</x:f>
        <x:v>775</x:v>
      </x:c>
      <x:c r="P1698" s="12" t="n">
        <x:f>IF(O1698="","",O1698/86400)</x:f>
        <x:v>0.008969907407407407</x:v>
      </x:c>
      <x:c r="Q1698" s="12" t="n">
        <x:f>IF(O1698="","",(H1698*60+O1698)/86400)</x:f>
        <x:v>0.6895254629629629</x:v>
      </x:c>
      <x:c r="R1698" s="12" t="str">
        <x:f>IF(Q1698="","",TEXT(Q1698,"hh:mm:ss"))</x:f>
        <x:v>16:32:55</x:v>
      </x:c>
      <x:c r="S1698" s="12" t="str">
        <x:v>否</x:v>
      </x:c>
      <x:c r="T1698" s="12" t="str">
        <x:v>否</x:v>
      </x:c>
      <x:c r="U1698" s="12" t="str">
        <x:v>郭海燕</x:v>
      </x:c>
      <x:c r="V1698" s="12" t="str">
        <x:v>5号车</x:v>
      </x:c>
      <x:c r="W1698" s="12" t="str">
        <x:v>秒级预测</x:v>
      </x:c>
      <x:c r="X1698" s="12" t="str">
        <x:v>基于路线秒级参数；如录入实测或手动采用秒，预计到达时间可随公式更新</x:v>
      </x:c>
    </x:row>
    <x:row r="1699">
      <x:c r="A1699" s="12" t="str">
        <x:v>S0145-12</x:v>
      </x:c>
      <x:c r="B1699" s="12" t="str">
        <x:v>S0145</x:v>
      </x:c>
      <x:c r="C1699" s="12" t="str">
        <x:v>工作日</x:v>
      </x:c>
      <x:c r="D1699" s="12" t="str">
        <x:v>环线3路</x:v>
      </x:c>
      <x:c r="E1699" s="12" t="str">
        <x:v>第二班</x:v>
      </x:c>
      <x:c r="F1699" s="12" t="n">
        <x:v>11</x:v>
      </x:c>
      <x:c r="G1699" s="12" t="str">
        <x:v>16:20</x:v>
      </x:c>
      <x:c r="H1699" s="12" t="n">
        <x:v>980</x:v>
      </x:c>
      <x:c r="I1699" s="12" t="str">
        <x:v>研究生宿舍楼</x:v>
      </x:c>
      <x:c r="J1699" s="12" t="str">
        <x:v>研究生宿舍楼发车</x:v>
      </x:c>
      <x:c r="K1699" s="12" t="str">
        <x:v>HX3_NORMAL</x:v>
      </x:c>
      <x:c r="L1699" s="12" t="n">
        <x:v>12</x:v>
      </x:c>
      <x:c r="M1699" s="12" t="str">
        <x:v>HX3_NORMAL|12</x:v>
      </x:c>
      <x:c r="N1699" s="12" t="str">
        <x:v>研究生宿舍楼</x:v>
      </x:c>
      <x:c r="O1699" s="12" t="n">
        <x:f>IFERROR(INDEX('秒级路线参数_可调整'!$O:$O,MATCH(M1699,'秒级路线参数_可调整'!$A:$A,0)),"")</x:f>
        <x:v>840</x:v>
      </x:c>
      <x:c r="P1699" s="12" t="n">
        <x:f>IF(O1699="","",O1699/86400)</x:f>
        <x:v>0.009722222222222222</x:v>
      </x:c>
      <x:c r="Q1699" s="12" t="n">
        <x:f>IF(O1699="","",(H1699*60+O1699)/86400)</x:f>
        <x:v>0.6902777777777778</x:v>
      </x:c>
      <x:c r="R1699" s="12" t="str">
        <x:f>IF(Q1699="","",TEXT(Q1699,"hh:mm:ss"))</x:f>
        <x:v>16:34:00</x:v>
      </x:c>
      <x:c r="S1699" s="12" t="str">
        <x:v>否</x:v>
      </x:c>
      <x:c r="T1699" s="12" t="str">
        <x:v>是</x:v>
      </x:c>
      <x:c r="U1699" s="12" t="str">
        <x:v>郭海燕</x:v>
      </x:c>
      <x:c r="V1699" s="12" t="str">
        <x:v>5号车</x:v>
      </x:c>
      <x:c r="W1699" s="12" t="str">
        <x:v>秒级预测</x:v>
      </x:c>
      <x:c r="X1699" s="12" t="str">
        <x:v>基于路线秒级参数；如录入实测或手动采用秒，预计到达时间可随公式更新</x:v>
      </x:c>
    </x:row>
    <x:row r="1700">
      <x:c r="A1700" s="12" t="str">
        <x:v>S0146-01</x:v>
      </x:c>
      <x:c r="B1700" s="12" t="str">
        <x:v>S0146</x:v>
      </x:c>
      <x:c r="C1700" s="12" t="str">
        <x:v>工作日</x:v>
      </x:c>
      <x:c r="D1700" s="12" t="str">
        <x:v>环线3路</x:v>
      </x:c>
      <x:c r="E1700" s="12" t="str">
        <x:v>第二班</x:v>
      </x:c>
      <x:c r="F1700" s="12" t="n">
        <x:v>12</x:v>
      </x:c>
      <x:c r="G1700" s="12" t="str">
        <x:v>16:50</x:v>
      </x:c>
      <x:c r="H1700" s="12" t="n">
        <x:v>1010</x:v>
      </x:c>
      <x:c r="I1700" s="12" t="str">
        <x:v>高超楼（系统工程学院旁）</x:v>
      </x:c>
      <x:c r="J1700" s="12" t="str">
        <x:v>高超楼发车</x:v>
      </x:c>
      <x:c r="K1700" s="12" t="str">
        <x:v>HX3_GAOCHAO</x:v>
      </x:c>
      <x:c r="L1700" s="12" t="n">
        <x:v>1</x:v>
      </x:c>
      <x:c r="M1700" s="12" t="str">
        <x:v>HX3_GAOCHAO|1</x:v>
      </x:c>
      <x:c r="N1700" s="12" t="str">
        <x:v>高超楼</x:v>
      </x:c>
      <x:c r="O1700" s="12" t="n">
        <x:f>IFERROR(INDEX('秒级路线参数_可调整'!$O:$O,MATCH(M1700,'秒级路线参数_可调整'!$A:$A,0)),"")</x:f>
        <x:v>0</x:v>
      </x:c>
      <x:c r="P1700" s="12" t="str">
        <x:f>IF(O1700="","",O1700/86400)</x:f>
      </x:c>
      <x:c r="Q1700" s="12" t="str">
        <x:f>IF(O1700="","",(H1700*60+O1700)/86400)</x:f>
      </x:c>
      <x:c r="R1700" s="12" t="str">
        <x:f>IF(Q1700="","",TEXT(Q1700,"hh:mm:ss"))</x:f>
      </x:c>
      <x:c r="S1700" s="12" t="str">
        <x:v>是</x:v>
      </x:c>
      <x:c r="T1700" s="12" t="str">
        <x:v>否</x:v>
      </x:c>
      <x:c r="U1700" s="12" t="str">
        <x:v>郭海燕</x:v>
      </x:c>
      <x:c r="V1700" s="12" t="str">
        <x:v>5号车</x:v>
      </x:c>
      <x:c r="W1700" s="12" t="str">
        <x:v>秒级预测</x:v>
      </x:c>
      <x:c r="X1700" s="12" t="str">
        <x:v>基于路线秒级参数；如录入实测或手动采用秒，预计到达时间可随公式更新</x:v>
      </x:c>
    </x:row>
    <x:row r="1701">
      <x:c r="A1701" s="12" t="str">
        <x:v>S0146-02</x:v>
      </x:c>
      <x:c r="B1701" s="12" t="str">
        <x:v>S0146</x:v>
      </x:c>
      <x:c r="C1701" s="12" t="str">
        <x:v>工作日</x:v>
      </x:c>
      <x:c r="D1701" s="12" t="str">
        <x:v>环线3路</x:v>
      </x:c>
      <x:c r="E1701" s="12" t="str">
        <x:v>第二班</x:v>
      </x:c>
      <x:c r="F1701" s="12" t="n">
        <x:v>12</x:v>
      </x:c>
      <x:c r="G1701" s="12" t="str">
        <x:v>16:50</x:v>
      </x:c>
      <x:c r="H1701" s="12" t="n">
        <x:v>1010</x:v>
      </x:c>
      <x:c r="I1701" s="12" t="str">
        <x:v>高超楼（系统工程学院旁）</x:v>
      </x:c>
      <x:c r="J1701" s="12" t="str">
        <x:v>高超楼发车</x:v>
      </x:c>
      <x:c r="K1701" s="12" t="str">
        <x:v>HX3_GAOCHAO</x:v>
      </x:c>
      <x:c r="L1701" s="12" t="n">
        <x:v>2</x:v>
      </x:c>
      <x:c r="M1701" s="12" t="str">
        <x:v>HX3_GAOCHAO|2</x:v>
      </x:c>
      <x:c r="N1701" s="12" t="str">
        <x:v>理学院</x:v>
      </x:c>
      <x:c r="O1701" s="12" t="n">
        <x:f>IFERROR(INDEX('秒级路线参数_可调整'!$O:$O,MATCH(M1701,'秒级路线参数_可调整'!$A:$A,0)),"")</x:f>
        <x:v>65</x:v>
      </x:c>
      <x:c r="P1701" s="12" t="n">
        <x:f>IF(O1701="","",O1701/86400)</x:f>
        <x:v>0.0007523148148148148</x:v>
      </x:c>
      <x:c r="Q1701" s="12" t="n">
        <x:f>IF(O1701="","",(H1701*60+O1701)/86400)</x:f>
        <x:v>0.7021412037037037</x:v>
      </x:c>
      <x:c r="R1701" s="12" t="str">
        <x:f>IF(Q1701="","",TEXT(Q1701,"hh:mm:ss"))</x:f>
        <x:v>16:51:05</x:v>
      </x:c>
      <x:c r="S1701" s="12" t="str">
        <x:v>否</x:v>
      </x:c>
      <x:c r="T1701" s="12" t="str">
        <x:v>否</x:v>
      </x:c>
      <x:c r="U1701" s="12" t="str">
        <x:v>郭海燕</x:v>
      </x:c>
      <x:c r="V1701" s="12" t="str">
        <x:v>5号车</x:v>
      </x:c>
      <x:c r="W1701" s="12" t="str">
        <x:v>秒级预测</x:v>
      </x:c>
      <x:c r="X1701" s="12" t="str">
        <x:v>基于路线秒级参数；如录入实测或手动采用秒，预计到达时间可随公式更新</x:v>
      </x:c>
    </x:row>
    <x:row r="1702">
      <x:c r="A1702" s="12" t="str">
        <x:v>S0146-03</x:v>
      </x:c>
      <x:c r="B1702" s="12" t="str">
        <x:v>S0146</x:v>
      </x:c>
      <x:c r="C1702" s="12" t="str">
        <x:v>工作日</x:v>
      </x:c>
      <x:c r="D1702" s="12" t="str">
        <x:v>环线3路</x:v>
      </x:c>
      <x:c r="E1702" s="12" t="str">
        <x:v>第二班</x:v>
      </x:c>
      <x:c r="F1702" s="12" t="n">
        <x:v>12</x:v>
      </x:c>
      <x:c r="G1702" s="12" t="str">
        <x:v>16:50</x:v>
      </x:c>
      <x:c r="H1702" s="12" t="n">
        <x:v>1010</x:v>
      </x:c>
      <x:c r="I1702" s="12" t="str">
        <x:v>高超楼（系统工程学院旁）</x:v>
      </x:c>
      <x:c r="J1702" s="12" t="str">
        <x:v>高超楼发车</x:v>
      </x:c>
      <x:c r="K1702" s="12" t="str">
        <x:v>HX3_GAOCHAO</x:v>
      </x:c>
      <x:c r="L1702" s="12" t="n">
        <x:v>3</x:v>
      </x:c>
      <x:c r="M1702" s="12" t="str">
        <x:v>HX3_GAOCHAO|3</x:v>
      </x:c>
      <x:c r="N1702" s="12" t="str">
        <x:v>二食堂</x:v>
      </x:c>
      <x:c r="O1702" s="12" t="n">
        <x:f>IFERROR(INDEX('秒级路线参数_可调整'!$O:$O,MATCH(M1702,'秒级路线参数_可调整'!$A:$A,0)),"")</x:f>
        <x:v>120</x:v>
      </x:c>
      <x:c r="P1702" s="12" t="n">
        <x:f>IF(O1702="","",O1702/86400)</x:f>
        <x:v>0.001388888888888889</x:v>
      </x:c>
      <x:c r="Q1702" s="12" t="n">
        <x:f>IF(O1702="","",(H1702*60+O1702)/86400)</x:f>
        <x:v>0.7027777777777777</x:v>
      </x:c>
      <x:c r="R1702" s="12" t="str">
        <x:f>IF(Q1702="","",TEXT(Q1702,"hh:mm:ss"))</x:f>
        <x:v>16:52:00</x:v>
      </x:c>
      <x:c r="S1702" s="12" t="str">
        <x:v>否</x:v>
      </x:c>
      <x:c r="T1702" s="12" t="str">
        <x:v>否</x:v>
      </x:c>
      <x:c r="U1702" s="12" t="str">
        <x:v>郭海燕</x:v>
      </x:c>
      <x:c r="V1702" s="12" t="str">
        <x:v>5号车</x:v>
      </x:c>
      <x:c r="W1702" s="12" t="str">
        <x:v>秒级预测</x:v>
      </x:c>
      <x:c r="X1702" s="12" t="str">
        <x:v>基于路线秒级参数；如录入实测或手动采用秒，预计到达时间可随公式更新</x:v>
      </x:c>
    </x:row>
    <x:row r="1703">
      <x:c r="A1703" s="12" t="str">
        <x:v>S0146-04</x:v>
      </x:c>
      <x:c r="B1703" s="12" t="str">
        <x:v>S0146</x:v>
      </x:c>
      <x:c r="C1703" s="12" t="str">
        <x:v>工作日</x:v>
      </x:c>
      <x:c r="D1703" s="12" t="str">
        <x:v>环线3路</x:v>
      </x:c>
      <x:c r="E1703" s="12" t="str">
        <x:v>第二班</x:v>
      </x:c>
      <x:c r="F1703" s="12" t="n">
        <x:v>12</x:v>
      </x:c>
      <x:c r="G1703" s="12" t="str">
        <x:v>16:50</x:v>
      </x:c>
      <x:c r="H1703" s="12" t="n">
        <x:v>1010</x:v>
      </x:c>
      <x:c r="I1703" s="12" t="str">
        <x:v>高超楼（系统工程学院旁）</x:v>
      </x:c>
      <x:c r="J1703" s="12" t="str">
        <x:v>高超楼发车</x:v>
      </x:c>
      <x:c r="K1703" s="12" t="str">
        <x:v>HX3_GAOCHAO</x:v>
      </x:c>
      <x:c r="L1703" s="12" t="n">
        <x:v>4</x:v>
      </x:c>
      <x:c r="M1703" s="12" t="str">
        <x:v>HX3_GAOCHAO|4</x:v>
      </x:c>
      <x:c r="N1703" s="12" t="str">
        <x:v>图书馆</x:v>
      </x:c>
      <x:c r="O1703" s="12" t="n">
        <x:f>IFERROR(INDEX('秒级路线参数_可调整'!$O:$O,MATCH(M1703,'秒级路线参数_可调整'!$A:$A,0)),"")</x:f>
        <x:v>165</x:v>
      </x:c>
      <x:c r="P1703" s="12" t="n">
        <x:f>IF(O1703="","",O1703/86400)</x:f>
        <x:v>0.0019097222222222222</x:v>
      </x:c>
      <x:c r="Q1703" s="12" t="n">
        <x:f>IF(O1703="","",(H1703*60+O1703)/86400)</x:f>
        <x:v>0.7032986111111111</x:v>
      </x:c>
      <x:c r="R1703" s="12" t="str">
        <x:f>IF(Q1703="","",TEXT(Q1703,"hh:mm:ss"))</x:f>
        <x:v>16:52:45</x:v>
      </x:c>
      <x:c r="S1703" s="12" t="str">
        <x:v>否</x:v>
      </x:c>
      <x:c r="T1703" s="12" t="str">
        <x:v>否</x:v>
      </x:c>
      <x:c r="U1703" s="12" t="str">
        <x:v>郭海燕</x:v>
      </x:c>
      <x:c r="V1703" s="12" t="str">
        <x:v>5号车</x:v>
      </x:c>
      <x:c r="W1703" s="12" t="str">
        <x:v>秒级预测</x:v>
      </x:c>
      <x:c r="X1703" s="12" t="str">
        <x:v>基于路线秒级参数；如录入实测或手动采用秒，预计到达时间可随公式更新</x:v>
      </x:c>
    </x:row>
    <x:row r="1704">
      <x:c r="A1704" s="12" t="str">
        <x:v>S0146-05</x:v>
      </x:c>
      <x:c r="B1704" s="12" t="str">
        <x:v>S0146</x:v>
      </x:c>
      <x:c r="C1704" s="12" t="str">
        <x:v>工作日</x:v>
      </x:c>
      <x:c r="D1704" s="12" t="str">
        <x:v>环线3路</x:v>
      </x:c>
      <x:c r="E1704" s="12" t="str">
        <x:v>第二班</x:v>
      </x:c>
      <x:c r="F1704" s="12" t="n">
        <x:v>12</x:v>
      </x:c>
      <x:c r="G1704" s="12" t="str">
        <x:v>16:50</x:v>
      </x:c>
      <x:c r="H1704" s="12" t="n">
        <x:v>1010</x:v>
      </x:c>
      <x:c r="I1704" s="12" t="str">
        <x:v>高超楼（系统工程学院旁）</x:v>
      </x:c>
      <x:c r="J1704" s="12" t="str">
        <x:v>高超楼发车</x:v>
      </x:c>
      <x:c r="K1704" s="12" t="str">
        <x:v>HX3_GAOCHAO</x:v>
      </x:c>
      <x:c r="L1704" s="12" t="n">
        <x:v>5</x:v>
      </x:c>
      <x:c r="M1704" s="12" t="str">
        <x:v>HX3_GAOCHAO|5</x:v>
      </x:c>
      <x:c r="N1704" s="12" t="str">
        <x:v>305教学楼</x:v>
      </x:c>
      <x:c r="O1704" s="12" t="n">
        <x:f>IFERROR(INDEX('秒级路线参数_可调整'!$O:$O,MATCH(M1704,'秒级路线参数_可调整'!$A:$A,0)),"")</x:f>
        <x:v>250</x:v>
      </x:c>
      <x:c r="P1704" s="12" t="n">
        <x:f>IF(O1704="","",O1704/86400)</x:f>
        <x:v>0.0028935185185185184</x:v>
      </x:c>
      <x:c r="Q1704" s="12" t="n">
        <x:f>IF(O1704="","",(H1704*60+O1704)/86400)</x:f>
        <x:v>0.7042824074074074</x:v>
      </x:c>
      <x:c r="R1704" s="12" t="str">
        <x:f>IF(Q1704="","",TEXT(Q1704,"hh:mm:ss"))</x:f>
        <x:v>16:54:10</x:v>
      </x:c>
      <x:c r="S1704" s="12" t="str">
        <x:v>否</x:v>
      </x:c>
      <x:c r="T1704" s="12" t="str">
        <x:v>否</x:v>
      </x:c>
      <x:c r="U1704" s="12" t="str">
        <x:v>郭海燕</x:v>
      </x:c>
      <x:c r="V1704" s="12" t="str">
        <x:v>5号车</x:v>
      </x:c>
      <x:c r="W1704" s="12" t="str">
        <x:v>秒级预测</x:v>
      </x:c>
      <x:c r="X1704" s="12" t="str">
        <x:v>基于路线秒级参数；如录入实测或手动采用秒，预计到达时间可随公式更新</x:v>
      </x:c>
    </x:row>
    <x:row r="1705">
      <x:c r="A1705" s="12" t="str">
        <x:v>S0146-06</x:v>
      </x:c>
      <x:c r="B1705" s="12" t="str">
        <x:v>S0146</x:v>
      </x:c>
      <x:c r="C1705" s="12" t="str">
        <x:v>工作日</x:v>
      </x:c>
      <x:c r="D1705" s="12" t="str">
        <x:v>环线3路</x:v>
      </x:c>
      <x:c r="E1705" s="12" t="str">
        <x:v>第二班</x:v>
      </x:c>
      <x:c r="F1705" s="12" t="n">
        <x:v>12</x:v>
      </x:c>
      <x:c r="G1705" s="12" t="str">
        <x:v>16:50</x:v>
      </x:c>
      <x:c r="H1705" s="12" t="n">
        <x:v>1010</x:v>
      </x:c>
      <x:c r="I1705" s="12" t="str">
        <x:v>高超楼（系统工程学院旁）</x:v>
      </x:c>
      <x:c r="J1705" s="12" t="str">
        <x:v>高超楼发车</x:v>
      </x:c>
      <x:c r="K1705" s="12" t="str">
        <x:v>HX3_GAOCHAO</x:v>
      </x:c>
      <x:c r="L1705" s="12" t="n">
        <x:v>6</x:v>
      </x:c>
      <x:c r="M1705" s="12" t="str">
        <x:v>HX3_GAOCHAO|6</x:v>
      </x:c>
      <x:c r="N1705" s="12" t="str">
        <x:v>研究生宿舍楼</x:v>
      </x:c>
      <x:c r="O1705" s="12" t="n">
        <x:f>IFERROR(INDEX('秒级路线参数_可调整'!$O:$O,MATCH(M1705,'秒级路线参数_可调整'!$A:$A,0)),"")</x:f>
        <x:v>315</x:v>
      </x:c>
      <x:c r="P1705" s="12" t="n">
        <x:f>IF(O1705="","",O1705/86400)</x:f>
        <x:v>0.0036458333333333334</x:v>
      </x:c>
      <x:c r="Q1705" s="12" t="n">
        <x:f>IF(O1705="","",(H1705*60+O1705)/86400)</x:f>
        <x:v>0.7050347222222222</x:v>
      </x:c>
      <x:c r="R1705" s="12" t="str">
        <x:f>IF(Q1705="","",TEXT(Q1705,"hh:mm:ss"))</x:f>
        <x:v>16:55:15</x:v>
      </x:c>
      <x:c r="S1705" s="12" t="str">
        <x:v>否</x:v>
      </x:c>
      <x:c r="T1705" s="12" t="str">
        <x:v>否</x:v>
      </x:c>
      <x:c r="U1705" s="12" t="str">
        <x:v>郭海燕</x:v>
      </x:c>
      <x:c r="V1705" s="12" t="str">
        <x:v>5号车</x:v>
      </x:c>
      <x:c r="W1705" s="12" t="str">
        <x:v>秒级预测</x:v>
      </x:c>
      <x:c r="X1705" s="12" t="str">
        <x:v>基于路线秒级参数；如录入实测或手动采用秒，预计到达时间可随公式更新</x:v>
      </x:c>
    </x:row>
    <x:row r="1706">
      <x:c r="A1706" s="12" t="str">
        <x:v>S0146-07</x:v>
      </x:c>
      <x:c r="B1706" s="12" t="str">
        <x:v>S0146</x:v>
      </x:c>
      <x:c r="C1706" s="12" t="str">
        <x:v>工作日</x:v>
      </x:c>
      <x:c r="D1706" s="12" t="str">
        <x:v>环线3路</x:v>
      </x:c>
      <x:c r="E1706" s="12" t="str">
        <x:v>第二班</x:v>
      </x:c>
      <x:c r="F1706" s="12" t="n">
        <x:v>12</x:v>
      </x:c>
      <x:c r="G1706" s="12" t="str">
        <x:v>16:50</x:v>
      </x:c>
      <x:c r="H1706" s="12" t="n">
        <x:v>1010</x:v>
      </x:c>
      <x:c r="I1706" s="12" t="str">
        <x:v>高超楼（系统工程学院旁）</x:v>
      </x:c>
      <x:c r="J1706" s="12" t="str">
        <x:v>高超楼发车</x:v>
      </x:c>
      <x:c r="K1706" s="12" t="str">
        <x:v>HX3_GAOCHAO</x:v>
      </x:c>
      <x:c r="L1706" s="12" t="n">
        <x:v>7</x:v>
      </x:c>
      <x:c r="M1706" s="12" t="str">
        <x:v>HX3_GAOCHAO|7</x:v>
      </x:c>
      <x:c r="N1706" s="12" t="str">
        <x:v>一食堂</x:v>
      </x:c>
      <x:c r="O1706" s="12" t="n">
        <x:f>IFERROR(INDEX('秒级路线参数_可调整'!$O:$O,MATCH(M1706,'秒级路线参数_可调整'!$A:$A,0)),"")</x:f>
        <x:v>420</x:v>
      </x:c>
      <x:c r="P1706" s="12" t="n">
        <x:f>IF(O1706="","",O1706/86400)</x:f>
        <x:v>0.004861111111111111</x:v>
      </x:c>
      <x:c r="Q1706" s="12" t="n">
        <x:f>IF(O1706="","",(H1706*60+O1706)/86400)</x:f>
        <x:v>0.70625</x:v>
      </x:c>
      <x:c r="R1706" s="12" t="str">
        <x:f>IF(Q1706="","",TEXT(Q1706,"hh:mm:ss"))</x:f>
        <x:v>16:57:00</x:v>
      </x:c>
      <x:c r="S1706" s="12" t="str">
        <x:v>否</x:v>
      </x:c>
      <x:c r="T1706" s="12" t="str">
        <x:v>否</x:v>
      </x:c>
      <x:c r="U1706" s="12" t="str">
        <x:v>郭海燕</x:v>
      </x:c>
      <x:c r="V1706" s="12" t="str">
        <x:v>5号车</x:v>
      </x:c>
      <x:c r="W1706" s="12" t="str">
        <x:v>秒级预测</x:v>
      </x:c>
      <x:c r="X1706" s="12" t="str">
        <x:v>基于路线秒级参数；如录入实测或手动采用秒，预计到达时间可随公式更新</x:v>
      </x:c>
    </x:row>
    <x:row r="1707">
      <x:c r="A1707" s="12" t="str">
        <x:v>S0146-08</x:v>
      </x:c>
      <x:c r="B1707" s="12" t="str">
        <x:v>S0146</x:v>
      </x:c>
      <x:c r="C1707" s="12" t="str">
        <x:v>工作日</x:v>
      </x:c>
      <x:c r="D1707" s="12" t="str">
        <x:v>环线3路</x:v>
      </x:c>
      <x:c r="E1707" s="12" t="str">
        <x:v>第二班</x:v>
      </x:c>
      <x:c r="F1707" s="12" t="n">
        <x:v>12</x:v>
      </x:c>
      <x:c r="G1707" s="12" t="str">
        <x:v>16:50</x:v>
      </x:c>
      <x:c r="H1707" s="12" t="n">
        <x:v>1010</x:v>
      </x:c>
      <x:c r="I1707" s="12" t="str">
        <x:v>高超楼（系统工程学院旁）</x:v>
      </x:c>
      <x:c r="J1707" s="12" t="str">
        <x:v>高超楼发车</x:v>
      </x:c>
      <x:c r="K1707" s="12" t="str">
        <x:v>HX3_GAOCHAO</x:v>
      </x:c>
      <x:c r="L1707" s="12" t="n">
        <x:v>8</x:v>
      </x:c>
      <x:c r="M1707" s="12" t="str">
        <x:v>HX3_GAOCHAO|8</x:v>
      </x:c>
      <x:c r="N1707" s="12" t="str">
        <x:v>2号宿舍楼</x:v>
      </x:c>
      <x:c r="O1707" s="12" t="n">
        <x:f>IFERROR(INDEX('秒级路线参数_可调整'!$O:$O,MATCH(M1707,'秒级路线参数_可调整'!$A:$A,0)),"")</x:f>
        <x:v>480</x:v>
      </x:c>
      <x:c r="P1707" s="12" t="n">
        <x:f>IF(O1707="","",O1707/86400)</x:f>
        <x:v>0.005555555555555556</x:v>
      </x:c>
      <x:c r="Q1707" s="12" t="n">
        <x:f>IF(O1707="","",(H1707*60+O1707)/86400)</x:f>
        <x:v>0.7069444444444445</x:v>
      </x:c>
      <x:c r="R1707" s="12" t="str">
        <x:f>IF(Q1707="","",TEXT(Q1707,"hh:mm:ss"))</x:f>
        <x:v>16:58:00</x:v>
      </x:c>
      <x:c r="S1707" s="12" t="str">
        <x:v>否</x:v>
      </x:c>
      <x:c r="T1707" s="12" t="str">
        <x:v>否</x:v>
      </x:c>
      <x:c r="U1707" s="12" t="str">
        <x:v>郭海燕</x:v>
      </x:c>
      <x:c r="V1707" s="12" t="str">
        <x:v>5号车</x:v>
      </x:c>
      <x:c r="W1707" s="12" t="str">
        <x:v>秒级预测</x:v>
      </x:c>
      <x:c r="X1707" s="12" t="str">
        <x:v>基于路线秒级参数；如录入实测或手动采用秒，预计到达时间可随公式更新</x:v>
      </x:c>
    </x:row>
    <x:row r="1708">
      <x:c r="A1708" s="12" t="str">
        <x:v>S0146-09</x:v>
      </x:c>
      <x:c r="B1708" s="12" t="str">
        <x:v>S0146</x:v>
      </x:c>
      <x:c r="C1708" s="12" t="str">
        <x:v>工作日</x:v>
      </x:c>
      <x:c r="D1708" s="12" t="str">
        <x:v>环线3路</x:v>
      </x:c>
      <x:c r="E1708" s="12" t="str">
        <x:v>第二班</x:v>
      </x:c>
      <x:c r="F1708" s="12" t="n">
        <x:v>12</x:v>
      </x:c>
      <x:c r="G1708" s="12" t="str">
        <x:v>16:50</x:v>
      </x:c>
      <x:c r="H1708" s="12" t="n">
        <x:v>1010</x:v>
      </x:c>
      <x:c r="I1708" s="12" t="str">
        <x:v>高超楼（系统工程学院旁）</x:v>
      </x:c>
      <x:c r="J1708" s="12" t="str">
        <x:v>高超楼发车</x:v>
      </x:c>
      <x:c r="K1708" s="12" t="str">
        <x:v>HX3_GAOCHAO</x:v>
      </x:c>
      <x:c r="L1708" s="12" t="n">
        <x:v>9</x:v>
      </x:c>
      <x:c r="M1708" s="12" t="str">
        <x:v>HX3_GAOCHAO|9</x:v>
      </x:c>
      <x:c r="N1708" s="12" t="str">
        <x:v>军体活动中心</x:v>
      </x:c>
      <x:c r="O1708" s="12" t="n">
        <x:f>IFERROR(INDEX('秒级路线参数_可调整'!$O:$O,MATCH(M1708,'秒级路线参数_可调整'!$A:$A,0)),"")</x:f>
        <x:v>535</x:v>
      </x:c>
      <x:c r="P1708" s="12" t="n">
        <x:f>IF(O1708="","",O1708/86400)</x:f>
        <x:v>0.00619212962962963</x:v>
      </x:c>
      <x:c r="Q1708" s="12" t="n">
        <x:f>IF(O1708="","",(H1708*60+O1708)/86400)</x:f>
        <x:v>0.7075810185185185</x:v>
      </x:c>
      <x:c r="R1708" s="12" t="str">
        <x:f>IF(Q1708="","",TEXT(Q1708,"hh:mm:ss"))</x:f>
        <x:v>16:58:55</x:v>
      </x:c>
      <x:c r="S1708" s="12" t="str">
        <x:v>否</x:v>
      </x:c>
      <x:c r="T1708" s="12" t="str">
        <x:v>否</x:v>
      </x:c>
      <x:c r="U1708" s="12" t="str">
        <x:v>郭海燕</x:v>
      </x:c>
      <x:c r="V1708" s="12" t="str">
        <x:v>5号车</x:v>
      </x:c>
      <x:c r="W1708" s="12" t="str">
        <x:v>秒级预测</x:v>
      </x:c>
      <x:c r="X1708" s="12" t="str">
        <x:v>基于路线秒级参数；如录入实测或手动采用秒，预计到达时间可随公式更新</x:v>
      </x:c>
    </x:row>
    <x:row r="1709">
      <x:c r="A1709" s="12" t="str">
        <x:v>S0146-10</x:v>
      </x:c>
      <x:c r="B1709" s="12" t="str">
        <x:v>S0146</x:v>
      </x:c>
      <x:c r="C1709" s="12" t="str">
        <x:v>工作日</x:v>
      </x:c>
      <x:c r="D1709" s="12" t="str">
        <x:v>环线3路</x:v>
      </x:c>
      <x:c r="E1709" s="12" t="str">
        <x:v>第二班</x:v>
      </x:c>
      <x:c r="F1709" s="12" t="n">
        <x:v>12</x:v>
      </x:c>
      <x:c r="G1709" s="12" t="str">
        <x:v>16:50</x:v>
      </x:c>
      <x:c r="H1709" s="12" t="n">
        <x:v>1010</x:v>
      </x:c>
      <x:c r="I1709" s="12" t="str">
        <x:v>高超楼（系统工程学院旁）</x:v>
      </x:c>
      <x:c r="J1709" s="12" t="str">
        <x:v>高超楼发车</x:v>
      </x:c>
      <x:c r="K1709" s="12" t="str">
        <x:v>HX3_GAOCHAO</x:v>
      </x:c>
      <x:c r="L1709" s="12" t="n">
        <x:v>10</x:v>
      </x:c>
      <x:c r="M1709" s="12" t="str">
        <x:v>HX3_GAOCHAO|10</x:v>
      </x:c>
      <x:c r="N1709" s="12" t="str">
        <x:v>教勤连</x:v>
      </x:c>
      <x:c r="O1709" s="12" t="n">
        <x:f>IFERROR(INDEX('秒级路线参数_可调整'!$O:$O,MATCH(M1709,'秒级路线参数_可调整'!$A:$A,0)),"")</x:f>
        <x:v>715</x:v>
      </x:c>
      <x:c r="P1709" s="12" t="n">
        <x:f>IF(O1709="","",O1709/86400)</x:f>
        <x:v>0.008275462962962964</x:v>
      </x:c>
      <x:c r="Q1709" s="12" t="n">
        <x:f>IF(O1709="","",(H1709*60+O1709)/86400)</x:f>
        <x:v>0.7096643518518518</x:v>
      </x:c>
      <x:c r="R1709" s="12" t="str">
        <x:f>IF(Q1709="","",TEXT(Q1709,"hh:mm:ss"))</x:f>
        <x:v>17:01:55</x:v>
      </x:c>
      <x:c r="S1709" s="12" t="str">
        <x:v>否</x:v>
      </x:c>
      <x:c r="T1709" s="12" t="str">
        <x:v>否</x:v>
      </x:c>
      <x:c r="U1709" s="12" t="str">
        <x:v>郭海燕</x:v>
      </x:c>
      <x:c r="V1709" s="12" t="str">
        <x:v>5号车</x:v>
      </x:c>
      <x:c r="W1709" s="12" t="str">
        <x:v>秒级预测</x:v>
      </x:c>
      <x:c r="X1709" s="12" t="str">
        <x:v>基于路线秒级参数；如录入实测或手动采用秒，预计到达时间可随公式更新</x:v>
      </x:c>
    </x:row>
    <x:row r="1710">
      <x:c r="A1710" s="12" t="str">
        <x:v>S0146-11</x:v>
      </x:c>
      <x:c r="B1710" s="12" t="str">
        <x:v>S0146</x:v>
      </x:c>
      <x:c r="C1710" s="12" t="str">
        <x:v>工作日</x:v>
      </x:c>
      <x:c r="D1710" s="12" t="str">
        <x:v>环线3路</x:v>
      </x:c>
      <x:c r="E1710" s="12" t="str">
        <x:v>第二班</x:v>
      </x:c>
      <x:c r="F1710" s="12" t="n">
        <x:v>12</x:v>
      </x:c>
      <x:c r="G1710" s="12" t="str">
        <x:v>16:50</x:v>
      </x:c>
      <x:c r="H1710" s="12" t="n">
        <x:v>1010</x:v>
      </x:c>
      <x:c r="I1710" s="12" t="str">
        <x:v>高超楼（系统工程学院旁）</x:v>
      </x:c>
      <x:c r="J1710" s="12" t="str">
        <x:v>高超楼发车</x:v>
      </x:c>
      <x:c r="K1710" s="12" t="str">
        <x:v>HX3_GAOCHAO</x:v>
      </x:c>
      <x:c r="L1710" s="12" t="n">
        <x:v>11</x:v>
      </x:c>
      <x:c r="M1710" s="12" t="str">
        <x:v>HX3_GAOCHAO|11</x:v>
      </x:c>
      <x:c r="N1710" s="12" t="str">
        <x:v>激光所</x:v>
      </x:c>
      <x:c r="O1710" s="12" t="n">
        <x:f>IFERROR(INDEX('秒级路线参数_可调整'!$O:$O,MATCH(M1710,'秒级路线参数_可调整'!$A:$A,0)),"")</x:f>
        <x:v>775</x:v>
      </x:c>
      <x:c r="P1710" s="12" t="n">
        <x:f>IF(O1710="","",O1710/86400)</x:f>
        <x:v>0.008969907407407407</x:v>
      </x:c>
      <x:c r="Q1710" s="12" t="n">
        <x:f>IF(O1710="","",(H1710*60+O1710)/86400)</x:f>
        <x:v>0.7103587962962963</x:v>
      </x:c>
      <x:c r="R1710" s="12" t="str">
        <x:f>IF(Q1710="","",TEXT(Q1710,"hh:mm:ss"))</x:f>
        <x:v>17:02:55</x:v>
      </x:c>
      <x:c r="S1710" s="12" t="str">
        <x:v>否</x:v>
      </x:c>
      <x:c r="T1710" s="12" t="str">
        <x:v>否</x:v>
      </x:c>
      <x:c r="U1710" s="12" t="str">
        <x:v>郭海燕</x:v>
      </x:c>
      <x:c r="V1710" s="12" t="str">
        <x:v>5号车</x:v>
      </x:c>
      <x:c r="W1710" s="12" t="str">
        <x:v>秒级预测</x:v>
      </x:c>
      <x:c r="X1710" s="12" t="str">
        <x:v>基于路线秒级参数；如录入实测或手动采用秒，预计到达时间可随公式更新</x:v>
      </x:c>
    </x:row>
    <x:row r="1711">
      <x:c r="A1711" s="12" t="str">
        <x:v>S0146-12</x:v>
      </x:c>
      <x:c r="B1711" s="12" t="str">
        <x:v>S0146</x:v>
      </x:c>
      <x:c r="C1711" s="12" t="str">
        <x:v>工作日</x:v>
      </x:c>
      <x:c r="D1711" s="12" t="str">
        <x:v>环线3路</x:v>
      </x:c>
      <x:c r="E1711" s="12" t="str">
        <x:v>第二班</x:v>
      </x:c>
      <x:c r="F1711" s="12" t="n">
        <x:v>12</x:v>
      </x:c>
      <x:c r="G1711" s="12" t="str">
        <x:v>16:50</x:v>
      </x:c>
      <x:c r="H1711" s="12" t="n">
        <x:v>1010</x:v>
      </x:c>
      <x:c r="I1711" s="12" t="str">
        <x:v>高超楼（系统工程学院旁）</x:v>
      </x:c>
      <x:c r="J1711" s="12" t="str">
        <x:v>高超楼发车</x:v>
      </x:c>
      <x:c r="K1711" s="12" t="str">
        <x:v>HX3_GAOCHAO</x:v>
      </x:c>
      <x:c r="L1711" s="12" t="n">
        <x:v>12</x:v>
      </x:c>
      <x:c r="M1711" s="12" t="str">
        <x:v>HX3_GAOCHAO|12</x:v>
      </x:c>
      <x:c r="N1711" s="12" t="str">
        <x:v>高超楼</x:v>
      </x:c>
      <x:c r="O1711" s="12" t="n">
        <x:f>IFERROR(INDEX('秒级路线参数_可调整'!$O:$O,MATCH(M1711,'秒级路线参数_可调整'!$A:$A,0)),"")</x:f>
        <x:v>840</x:v>
      </x:c>
      <x:c r="P1711" s="12" t="n">
        <x:f>IF(O1711="","",O1711/86400)</x:f>
        <x:v>0.009722222222222222</x:v>
      </x:c>
      <x:c r="Q1711" s="12" t="n">
        <x:f>IF(O1711="","",(H1711*60+O1711)/86400)</x:f>
        <x:v>0.7111111111111111</x:v>
      </x:c>
      <x:c r="R1711" s="12" t="str">
        <x:f>IF(Q1711="","",TEXT(Q1711,"hh:mm:ss"))</x:f>
        <x:v>17:04:00</x:v>
      </x:c>
      <x:c r="S1711" s="12" t="str">
        <x:v>否</x:v>
      </x:c>
      <x:c r="T1711" s="12" t="str">
        <x:v>是</x:v>
      </x:c>
      <x:c r="U1711" s="12" t="str">
        <x:v>郭海燕</x:v>
      </x:c>
      <x:c r="V1711" s="12" t="str">
        <x:v>5号车</x:v>
      </x:c>
      <x:c r="W1711" s="12" t="str">
        <x:v>秒级预测</x:v>
      </x:c>
      <x:c r="X1711" s="12" t="str">
        <x:v>基于路线秒级参数；如录入实测或手动采用秒，预计到达时间可随公式更新</x:v>
      </x:c>
    </x:row>
    <x:row r="1712">
      <x:c r="A1712" s="12" t="str">
        <x:v>S0147-01</x:v>
      </x:c>
      <x:c r="B1712" s="12" t="str">
        <x:v>S0147</x:v>
      </x:c>
      <x:c r="C1712" s="12" t="str">
        <x:v>工作日</x:v>
      </x:c>
      <x:c r="D1712" s="12" t="str">
        <x:v>环线3路</x:v>
      </x:c>
      <x:c r="E1712" s="12" t="str">
        <x:v>第二班</x:v>
      </x:c>
      <x:c r="F1712" s="12" t="n">
        <x:v>13</x:v>
      </x:c>
      <x:c r="G1712" s="12" t="str">
        <x:v>17:25</x:v>
      </x:c>
      <x:c r="H1712" s="12" t="n">
        <x:v>1045</x:v>
      </x:c>
      <x:c r="I1712" s="12" t="str">
        <x:v>研究生宿舍楼</x:v>
      </x:c>
      <x:c r="J1712" s="12" t="str">
        <x:v>研究生宿舍楼发车</x:v>
      </x:c>
      <x:c r="K1712" s="12" t="str">
        <x:v>HX3_NORMAL</x:v>
      </x:c>
      <x:c r="L1712" s="12" t="n">
        <x:v>1</x:v>
      </x:c>
      <x:c r="M1712" s="12" t="str">
        <x:v>HX3_NORMAL|1</x:v>
      </x:c>
      <x:c r="N1712" s="12" t="str">
        <x:v>研究生宿舍楼</x:v>
      </x:c>
      <x:c r="O1712" s="12" t="n">
        <x:f>IFERROR(INDEX('秒级路线参数_可调整'!$O:$O,MATCH(M1712,'秒级路线参数_可调整'!$A:$A,0)),"")</x:f>
        <x:v>0</x:v>
      </x:c>
      <x:c r="P1712" s="12" t="str">
        <x:f>IF(O1712="","",O1712/86400)</x:f>
      </x:c>
      <x:c r="Q1712" s="12" t="str">
        <x:f>IF(O1712="","",(H1712*60+O1712)/86400)</x:f>
      </x:c>
      <x:c r="R1712" s="12" t="str">
        <x:f>IF(Q1712="","",TEXT(Q1712,"hh:mm:ss"))</x:f>
      </x:c>
      <x:c r="S1712" s="12" t="str">
        <x:v>是</x:v>
      </x:c>
      <x:c r="T1712" s="12" t="str">
        <x:v>否</x:v>
      </x:c>
      <x:c r="U1712" s="12" t="str">
        <x:v>郭海燕</x:v>
      </x:c>
      <x:c r="V1712" s="12" t="str">
        <x:v>5号车</x:v>
      </x:c>
      <x:c r="W1712" s="12" t="str">
        <x:v>秒级预测</x:v>
      </x:c>
      <x:c r="X1712" s="12" t="str">
        <x:v>基于路线秒级参数；如录入实测或手动采用秒，预计到达时间可随公式更新</x:v>
      </x:c>
    </x:row>
    <x:row r="1713">
      <x:c r="A1713" s="12" t="str">
        <x:v>S0147-02</x:v>
      </x:c>
      <x:c r="B1713" s="12" t="str">
        <x:v>S0147</x:v>
      </x:c>
      <x:c r="C1713" s="12" t="str">
        <x:v>工作日</x:v>
      </x:c>
      <x:c r="D1713" s="12" t="str">
        <x:v>环线3路</x:v>
      </x:c>
      <x:c r="E1713" s="12" t="str">
        <x:v>第二班</x:v>
      </x:c>
      <x:c r="F1713" s="12" t="n">
        <x:v>13</x:v>
      </x:c>
      <x:c r="G1713" s="12" t="str">
        <x:v>17:25</x:v>
      </x:c>
      <x:c r="H1713" s="12" t="n">
        <x:v>1045</x:v>
      </x:c>
      <x:c r="I1713" s="12" t="str">
        <x:v>研究生宿舍楼</x:v>
      </x:c>
      <x:c r="J1713" s="12" t="str">
        <x:v>研究生宿舍楼发车</x:v>
      </x:c>
      <x:c r="K1713" s="12" t="str">
        <x:v>HX3_NORMAL</x:v>
      </x:c>
      <x:c r="L1713" s="12" t="n">
        <x:v>2</x:v>
      </x:c>
      <x:c r="M1713" s="12" t="str">
        <x:v>HX3_NORMAL|2</x:v>
      </x:c>
      <x:c r="N1713" s="12" t="str">
        <x:v>一食堂</x:v>
      </x:c>
      <x:c r="O1713" s="12" t="n">
        <x:f>IFERROR(INDEX('秒级路线参数_可调整'!$O:$O,MATCH(M1713,'秒级路线参数_可调整'!$A:$A,0)),"")</x:f>
        <x:v>65</x:v>
      </x:c>
      <x:c r="P1713" s="12" t="n">
        <x:f>IF(O1713="","",O1713/86400)</x:f>
        <x:v>0.0007523148148148148</x:v>
      </x:c>
      <x:c r="Q1713" s="12" t="n">
        <x:f>IF(O1713="","",(H1713*60+O1713)/86400)</x:f>
        <x:v>0.7264467592592593</x:v>
      </x:c>
      <x:c r="R1713" s="12" t="str">
        <x:f>IF(Q1713="","",TEXT(Q1713,"hh:mm:ss"))</x:f>
        <x:v>17:26:05</x:v>
      </x:c>
      <x:c r="S1713" s="12" t="str">
        <x:v>否</x:v>
      </x:c>
      <x:c r="T1713" s="12" t="str">
        <x:v>否</x:v>
      </x:c>
      <x:c r="U1713" s="12" t="str">
        <x:v>郭海燕</x:v>
      </x:c>
      <x:c r="V1713" s="12" t="str">
        <x:v>5号车</x:v>
      </x:c>
      <x:c r="W1713" s="12" t="str">
        <x:v>秒级预测</x:v>
      </x:c>
      <x:c r="X1713" s="12" t="str">
        <x:v>基于路线秒级参数；如录入实测或手动采用秒，预计到达时间可随公式更新</x:v>
      </x:c>
    </x:row>
    <x:row r="1714">
      <x:c r="A1714" s="12" t="str">
        <x:v>S0147-03</x:v>
      </x:c>
      <x:c r="B1714" s="12" t="str">
        <x:v>S0147</x:v>
      </x:c>
      <x:c r="C1714" s="12" t="str">
        <x:v>工作日</x:v>
      </x:c>
      <x:c r="D1714" s="12" t="str">
        <x:v>环线3路</x:v>
      </x:c>
      <x:c r="E1714" s="12" t="str">
        <x:v>第二班</x:v>
      </x:c>
      <x:c r="F1714" s="12" t="n">
        <x:v>13</x:v>
      </x:c>
      <x:c r="G1714" s="12" t="str">
        <x:v>17:25</x:v>
      </x:c>
      <x:c r="H1714" s="12" t="n">
        <x:v>1045</x:v>
      </x:c>
      <x:c r="I1714" s="12" t="str">
        <x:v>研究生宿舍楼</x:v>
      </x:c>
      <x:c r="J1714" s="12" t="str">
        <x:v>研究生宿舍楼发车</x:v>
      </x:c>
      <x:c r="K1714" s="12" t="str">
        <x:v>HX3_NORMAL</x:v>
      </x:c>
      <x:c r="L1714" s="12" t="n">
        <x:v>3</x:v>
      </x:c>
      <x:c r="M1714" s="12" t="str">
        <x:v>HX3_NORMAL|3</x:v>
      </x:c>
      <x:c r="N1714" s="12" t="str">
        <x:v>2号宿舍楼</x:v>
      </x:c>
      <x:c r="O1714" s="12" t="n">
        <x:f>IFERROR(INDEX('秒级路线参数_可调整'!$O:$O,MATCH(M1714,'秒级路线参数_可调整'!$A:$A,0)),"")</x:f>
        <x:v>120</x:v>
      </x:c>
      <x:c r="P1714" s="12" t="n">
        <x:f>IF(O1714="","",O1714/86400)</x:f>
        <x:v>0.001388888888888889</x:v>
      </x:c>
      <x:c r="Q1714" s="12" t="n">
        <x:f>IF(O1714="","",(H1714*60+O1714)/86400)</x:f>
        <x:v>0.7270833333333333</x:v>
      </x:c>
      <x:c r="R1714" s="12" t="str">
        <x:f>IF(Q1714="","",TEXT(Q1714,"hh:mm:ss"))</x:f>
        <x:v>17:27:00</x:v>
      </x:c>
      <x:c r="S1714" s="12" t="str">
        <x:v>否</x:v>
      </x:c>
      <x:c r="T1714" s="12" t="str">
        <x:v>否</x:v>
      </x:c>
      <x:c r="U1714" s="12" t="str">
        <x:v>郭海燕</x:v>
      </x:c>
      <x:c r="V1714" s="12" t="str">
        <x:v>5号车</x:v>
      </x:c>
      <x:c r="W1714" s="12" t="str">
        <x:v>秒级预测</x:v>
      </x:c>
      <x:c r="X1714" s="12" t="str">
        <x:v>基于路线秒级参数；如录入实测或手动采用秒，预计到达时间可随公式更新</x:v>
      </x:c>
    </x:row>
    <x:row r="1715">
      <x:c r="A1715" s="12" t="str">
        <x:v>S0147-04</x:v>
      </x:c>
      <x:c r="B1715" s="12" t="str">
        <x:v>S0147</x:v>
      </x:c>
      <x:c r="C1715" s="12" t="str">
        <x:v>工作日</x:v>
      </x:c>
      <x:c r="D1715" s="12" t="str">
        <x:v>环线3路</x:v>
      </x:c>
      <x:c r="E1715" s="12" t="str">
        <x:v>第二班</x:v>
      </x:c>
      <x:c r="F1715" s="12" t="n">
        <x:v>13</x:v>
      </x:c>
      <x:c r="G1715" s="12" t="str">
        <x:v>17:25</x:v>
      </x:c>
      <x:c r="H1715" s="12" t="n">
        <x:v>1045</x:v>
      </x:c>
      <x:c r="I1715" s="12" t="str">
        <x:v>研究生宿舍楼</x:v>
      </x:c>
      <x:c r="J1715" s="12" t="str">
        <x:v>研究生宿舍楼发车</x:v>
      </x:c>
      <x:c r="K1715" s="12" t="str">
        <x:v>HX3_NORMAL</x:v>
      </x:c>
      <x:c r="L1715" s="12" t="n">
        <x:v>4</x:v>
      </x:c>
      <x:c r="M1715" s="12" t="str">
        <x:v>HX3_NORMAL|4</x:v>
      </x:c>
      <x:c r="N1715" s="12" t="str">
        <x:v>军体活动中心</x:v>
      </x:c>
      <x:c r="O1715" s="12" t="n">
        <x:f>IFERROR(INDEX('秒级路线参数_可调整'!$O:$O,MATCH(M1715,'秒级路线参数_可调整'!$A:$A,0)),"")</x:f>
        <x:v>165</x:v>
      </x:c>
      <x:c r="P1715" s="12" t="n">
        <x:f>IF(O1715="","",O1715/86400)</x:f>
        <x:v>0.0019097222222222222</x:v>
      </x:c>
      <x:c r="Q1715" s="12" t="n">
        <x:f>IF(O1715="","",(H1715*60+O1715)/86400)</x:f>
        <x:v>0.7276041666666667</x:v>
      </x:c>
      <x:c r="R1715" s="12" t="str">
        <x:f>IF(Q1715="","",TEXT(Q1715,"hh:mm:ss"))</x:f>
        <x:v>17:27:45</x:v>
      </x:c>
      <x:c r="S1715" s="12" t="str">
        <x:v>否</x:v>
      </x:c>
      <x:c r="T1715" s="12" t="str">
        <x:v>否</x:v>
      </x:c>
      <x:c r="U1715" s="12" t="str">
        <x:v>郭海燕</x:v>
      </x:c>
      <x:c r="V1715" s="12" t="str">
        <x:v>5号车</x:v>
      </x:c>
      <x:c r="W1715" s="12" t="str">
        <x:v>秒级预测</x:v>
      </x:c>
      <x:c r="X1715" s="12" t="str">
        <x:v>基于路线秒级参数；如录入实测或手动采用秒，预计到达时间可随公式更新</x:v>
      </x:c>
    </x:row>
    <x:row r="1716">
      <x:c r="A1716" s="12" t="str">
        <x:v>S0147-05</x:v>
      </x:c>
      <x:c r="B1716" s="12" t="str">
        <x:v>S0147</x:v>
      </x:c>
      <x:c r="C1716" s="12" t="str">
        <x:v>工作日</x:v>
      </x:c>
      <x:c r="D1716" s="12" t="str">
        <x:v>环线3路</x:v>
      </x:c>
      <x:c r="E1716" s="12" t="str">
        <x:v>第二班</x:v>
      </x:c>
      <x:c r="F1716" s="12" t="n">
        <x:v>13</x:v>
      </x:c>
      <x:c r="G1716" s="12" t="str">
        <x:v>17:25</x:v>
      </x:c>
      <x:c r="H1716" s="12" t="n">
        <x:v>1045</x:v>
      </x:c>
      <x:c r="I1716" s="12" t="str">
        <x:v>研究生宿舍楼</x:v>
      </x:c>
      <x:c r="J1716" s="12" t="str">
        <x:v>研究生宿舍楼发车</x:v>
      </x:c>
      <x:c r="K1716" s="12" t="str">
        <x:v>HX3_NORMAL</x:v>
      </x:c>
      <x:c r="L1716" s="12" t="n">
        <x:v>5</x:v>
      </x:c>
      <x:c r="M1716" s="12" t="str">
        <x:v>HX3_NORMAL|5</x:v>
      </x:c>
      <x:c r="N1716" s="12" t="str">
        <x:v>教勤连</x:v>
      </x:c>
      <x:c r="O1716" s="12" t="n">
        <x:f>IFERROR(INDEX('秒级路线参数_可调整'!$O:$O,MATCH(M1716,'秒级路线参数_可调整'!$A:$A,0)),"")</x:f>
        <x:v>250</x:v>
      </x:c>
      <x:c r="P1716" s="12" t="n">
        <x:f>IF(O1716="","",O1716/86400)</x:f>
        <x:v>0.0028935185185185184</x:v>
      </x:c>
      <x:c r="Q1716" s="12" t="n">
        <x:f>IF(O1716="","",(H1716*60+O1716)/86400)</x:f>
        <x:v>0.7285879629629629</x:v>
      </x:c>
      <x:c r="R1716" s="12" t="str">
        <x:f>IF(Q1716="","",TEXT(Q1716,"hh:mm:ss"))</x:f>
        <x:v>17:29:10</x:v>
      </x:c>
      <x:c r="S1716" s="12" t="str">
        <x:v>否</x:v>
      </x:c>
      <x:c r="T1716" s="12" t="str">
        <x:v>否</x:v>
      </x:c>
      <x:c r="U1716" s="12" t="str">
        <x:v>郭海燕</x:v>
      </x:c>
      <x:c r="V1716" s="12" t="str">
        <x:v>5号车</x:v>
      </x:c>
      <x:c r="W1716" s="12" t="str">
        <x:v>秒级预测</x:v>
      </x:c>
      <x:c r="X1716" s="12" t="str">
        <x:v>基于路线秒级参数；如录入实测或手动采用秒，预计到达时间可随公式更新</x:v>
      </x:c>
    </x:row>
    <x:row r="1717">
      <x:c r="A1717" s="12" t="str">
        <x:v>S0147-06</x:v>
      </x:c>
      <x:c r="B1717" s="12" t="str">
        <x:v>S0147</x:v>
      </x:c>
      <x:c r="C1717" s="12" t="str">
        <x:v>工作日</x:v>
      </x:c>
      <x:c r="D1717" s="12" t="str">
        <x:v>环线3路</x:v>
      </x:c>
      <x:c r="E1717" s="12" t="str">
        <x:v>第二班</x:v>
      </x:c>
      <x:c r="F1717" s="12" t="n">
        <x:v>13</x:v>
      </x:c>
      <x:c r="G1717" s="12" t="str">
        <x:v>17:25</x:v>
      </x:c>
      <x:c r="H1717" s="12" t="n">
        <x:v>1045</x:v>
      </x:c>
      <x:c r="I1717" s="12" t="str">
        <x:v>研究生宿舍楼</x:v>
      </x:c>
      <x:c r="J1717" s="12" t="str">
        <x:v>研究生宿舍楼发车</x:v>
      </x:c>
      <x:c r="K1717" s="12" t="str">
        <x:v>HX3_NORMAL</x:v>
      </x:c>
      <x:c r="L1717" s="12" t="n">
        <x:v>6</x:v>
      </x:c>
      <x:c r="M1717" s="12" t="str">
        <x:v>HX3_NORMAL|6</x:v>
      </x:c>
      <x:c r="N1717" s="12" t="str">
        <x:v>激光所</x:v>
      </x:c>
      <x:c r="O1717" s="12" t="n">
        <x:f>IFERROR(INDEX('秒级路线参数_可调整'!$O:$O,MATCH(M1717,'秒级路线参数_可调整'!$A:$A,0)),"")</x:f>
        <x:v>315</x:v>
      </x:c>
      <x:c r="P1717" s="12" t="n">
        <x:f>IF(O1717="","",O1717/86400)</x:f>
        <x:v>0.0036458333333333334</x:v>
      </x:c>
      <x:c r="Q1717" s="12" t="n">
        <x:f>IF(O1717="","",(H1717*60+O1717)/86400)</x:f>
        <x:v>0.7293402777777778</x:v>
      </x:c>
      <x:c r="R1717" s="12" t="str">
        <x:f>IF(Q1717="","",TEXT(Q1717,"hh:mm:ss"))</x:f>
        <x:v>17:30:15</x:v>
      </x:c>
      <x:c r="S1717" s="12" t="str">
        <x:v>否</x:v>
      </x:c>
      <x:c r="T1717" s="12" t="str">
        <x:v>否</x:v>
      </x:c>
      <x:c r="U1717" s="12" t="str">
        <x:v>郭海燕</x:v>
      </x:c>
      <x:c r="V1717" s="12" t="str">
        <x:v>5号车</x:v>
      </x:c>
      <x:c r="W1717" s="12" t="str">
        <x:v>秒级预测</x:v>
      </x:c>
      <x:c r="X1717" s="12" t="str">
        <x:v>基于路线秒级参数；如录入实测或手动采用秒，预计到达时间可随公式更新</x:v>
      </x:c>
    </x:row>
    <x:row r="1718">
      <x:c r="A1718" s="12" t="str">
        <x:v>S0147-07</x:v>
      </x:c>
      <x:c r="B1718" s="12" t="str">
        <x:v>S0147</x:v>
      </x:c>
      <x:c r="C1718" s="12" t="str">
        <x:v>工作日</x:v>
      </x:c>
      <x:c r="D1718" s="12" t="str">
        <x:v>环线3路</x:v>
      </x:c>
      <x:c r="E1718" s="12" t="str">
        <x:v>第二班</x:v>
      </x:c>
      <x:c r="F1718" s="12" t="n">
        <x:v>13</x:v>
      </x:c>
      <x:c r="G1718" s="12" t="str">
        <x:v>17:25</x:v>
      </x:c>
      <x:c r="H1718" s="12" t="n">
        <x:v>1045</x:v>
      </x:c>
      <x:c r="I1718" s="12" t="str">
        <x:v>研究生宿舍楼</x:v>
      </x:c>
      <x:c r="J1718" s="12" t="str">
        <x:v>研究生宿舍楼发车</x:v>
      </x:c>
      <x:c r="K1718" s="12" t="str">
        <x:v>HX3_NORMAL</x:v>
      </x:c>
      <x:c r="L1718" s="12" t="n">
        <x:v>7</x:v>
      </x:c>
      <x:c r="M1718" s="12" t="str">
        <x:v>HX3_NORMAL|7</x:v>
      </x:c>
      <x:c r="N1718" s="12" t="str">
        <x:v>高超楼</x:v>
      </x:c>
      <x:c r="O1718" s="12" t="n">
        <x:f>IFERROR(INDEX('秒级路线参数_可调整'!$O:$O,MATCH(M1718,'秒级路线参数_可调整'!$A:$A,0)),"")</x:f>
        <x:v>420</x:v>
      </x:c>
      <x:c r="P1718" s="12" t="n">
        <x:f>IF(O1718="","",O1718/86400)</x:f>
        <x:v>0.004861111111111111</x:v>
      </x:c>
      <x:c r="Q1718" s="12" t="n">
        <x:f>IF(O1718="","",(H1718*60+O1718)/86400)</x:f>
        <x:v>0.7305555555555555</x:v>
      </x:c>
      <x:c r="R1718" s="12" t="str">
        <x:f>IF(Q1718="","",TEXT(Q1718,"hh:mm:ss"))</x:f>
        <x:v>17:32:00</x:v>
      </x:c>
      <x:c r="S1718" s="12" t="str">
        <x:v>否</x:v>
      </x:c>
      <x:c r="T1718" s="12" t="str">
        <x:v>否</x:v>
      </x:c>
      <x:c r="U1718" s="12" t="str">
        <x:v>郭海燕</x:v>
      </x:c>
      <x:c r="V1718" s="12" t="str">
        <x:v>5号车</x:v>
      </x:c>
      <x:c r="W1718" s="12" t="str">
        <x:v>秒级预测</x:v>
      </x:c>
      <x:c r="X1718" s="12" t="str">
        <x:v>基于路线秒级参数；如录入实测或手动采用秒，预计到达时间可随公式更新</x:v>
      </x:c>
    </x:row>
    <x:row r="1719">
      <x:c r="A1719" s="12" t="str">
        <x:v>S0147-08</x:v>
      </x:c>
      <x:c r="B1719" s="12" t="str">
        <x:v>S0147</x:v>
      </x:c>
      <x:c r="C1719" s="12" t="str">
        <x:v>工作日</x:v>
      </x:c>
      <x:c r="D1719" s="12" t="str">
        <x:v>环线3路</x:v>
      </x:c>
      <x:c r="E1719" s="12" t="str">
        <x:v>第二班</x:v>
      </x:c>
      <x:c r="F1719" s="12" t="n">
        <x:v>13</x:v>
      </x:c>
      <x:c r="G1719" s="12" t="str">
        <x:v>17:25</x:v>
      </x:c>
      <x:c r="H1719" s="12" t="n">
        <x:v>1045</x:v>
      </x:c>
      <x:c r="I1719" s="12" t="str">
        <x:v>研究生宿舍楼</x:v>
      </x:c>
      <x:c r="J1719" s="12" t="str">
        <x:v>研究生宿舍楼发车</x:v>
      </x:c>
      <x:c r="K1719" s="12" t="str">
        <x:v>HX3_NORMAL</x:v>
      </x:c>
      <x:c r="L1719" s="12" t="n">
        <x:v>8</x:v>
      </x:c>
      <x:c r="M1719" s="12" t="str">
        <x:v>HX3_NORMAL|8</x:v>
      </x:c>
      <x:c r="N1719" s="12" t="str">
        <x:v>理学院</x:v>
      </x:c>
      <x:c r="O1719" s="12" t="n">
        <x:f>IFERROR(INDEX('秒级路线参数_可调整'!$O:$O,MATCH(M1719,'秒级路线参数_可调整'!$A:$A,0)),"")</x:f>
        <x:v>480</x:v>
      </x:c>
      <x:c r="P1719" s="12" t="n">
        <x:f>IF(O1719="","",O1719/86400)</x:f>
        <x:v>0.005555555555555556</x:v>
      </x:c>
      <x:c r="Q1719" s="12" t="n">
        <x:f>IF(O1719="","",(H1719*60+O1719)/86400)</x:f>
        <x:v>0.73125</x:v>
      </x:c>
      <x:c r="R1719" s="12" t="str">
        <x:f>IF(Q1719="","",TEXT(Q1719,"hh:mm:ss"))</x:f>
        <x:v>17:33:00</x:v>
      </x:c>
      <x:c r="S1719" s="12" t="str">
        <x:v>否</x:v>
      </x:c>
      <x:c r="T1719" s="12" t="str">
        <x:v>否</x:v>
      </x:c>
      <x:c r="U1719" s="12" t="str">
        <x:v>郭海燕</x:v>
      </x:c>
      <x:c r="V1719" s="12" t="str">
        <x:v>5号车</x:v>
      </x:c>
      <x:c r="W1719" s="12" t="str">
        <x:v>秒级预测</x:v>
      </x:c>
      <x:c r="X1719" s="12" t="str">
        <x:v>基于路线秒级参数；如录入实测或手动采用秒，预计到达时间可随公式更新</x:v>
      </x:c>
    </x:row>
    <x:row r="1720">
      <x:c r="A1720" s="12" t="str">
        <x:v>S0147-09</x:v>
      </x:c>
      <x:c r="B1720" s="12" t="str">
        <x:v>S0147</x:v>
      </x:c>
      <x:c r="C1720" s="12" t="str">
        <x:v>工作日</x:v>
      </x:c>
      <x:c r="D1720" s="12" t="str">
        <x:v>环线3路</x:v>
      </x:c>
      <x:c r="E1720" s="12" t="str">
        <x:v>第二班</x:v>
      </x:c>
      <x:c r="F1720" s="12" t="n">
        <x:v>13</x:v>
      </x:c>
      <x:c r="G1720" s="12" t="str">
        <x:v>17:25</x:v>
      </x:c>
      <x:c r="H1720" s="12" t="n">
        <x:v>1045</x:v>
      </x:c>
      <x:c r="I1720" s="12" t="str">
        <x:v>研究生宿舍楼</x:v>
      </x:c>
      <x:c r="J1720" s="12" t="str">
        <x:v>研究生宿舍楼发车</x:v>
      </x:c>
      <x:c r="K1720" s="12" t="str">
        <x:v>HX3_NORMAL</x:v>
      </x:c>
      <x:c r="L1720" s="12" t="n">
        <x:v>9</x:v>
      </x:c>
      <x:c r="M1720" s="12" t="str">
        <x:v>HX3_NORMAL|9</x:v>
      </x:c>
      <x:c r="N1720" s="12" t="str">
        <x:v>二食堂</x:v>
      </x:c>
      <x:c r="O1720" s="12" t="n">
        <x:f>IFERROR(INDEX('秒级路线参数_可调整'!$O:$O,MATCH(M1720,'秒级路线参数_可调整'!$A:$A,0)),"")</x:f>
        <x:v>535</x:v>
      </x:c>
      <x:c r="P1720" s="12" t="n">
        <x:f>IF(O1720="","",O1720/86400)</x:f>
        <x:v>0.00619212962962963</x:v>
      </x:c>
      <x:c r="Q1720" s="12" t="n">
        <x:f>IF(O1720="","",(H1720*60+O1720)/86400)</x:f>
        <x:v>0.7318865740740741</x:v>
      </x:c>
      <x:c r="R1720" s="12" t="str">
        <x:f>IF(Q1720="","",TEXT(Q1720,"hh:mm:ss"))</x:f>
        <x:v>17:33:55</x:v>
      </x:c>
      <x:c r="S1720" s="12" t="str">
        <x:v>否</x:v>
      </x:c>
      <x:c r="T1720" s="12" t="str">
        <x:v>否</x:v>
      </x:c>
      <x:c r="U1720" s="12" t="str">
        <x:v>郭海燕</x:v>
      </x:c>
      <x:c r="V1720" s="12" t="str">
        <x:v>5号车</x:v>
      </x:c>
      <x:c r="W1720" s="12" t="str">
        <x:v>秒级预测</x:v>
      </x:c>
      <x:c r="X1720" s="12" t="str">
        <x:v>基于路线秒级参数；如录入实测或手动采用秒，预计到达时间可随公式更新</x:v>
      </x:c>
    </x:row>
    <x:row r="1721">
      <x:c r="A1721" s="12" t="str">
        <x:v>S0147-10</x:v>
      </x:c>
      <x:c r="B1721" s="12" t="str">
        <x:v>S0147</x:v>
      </x:c>
      <x:c r="C1721" s="12" t="str">
        <x:v>工作日</x:v>
      </x:c>
      <x:c r="D1721" s="12" t="str">
        <x:v>环线3路</x:v>
      </x:c>
      <x:c r="E1721" s="12" t="str">
        <x:v>第二班</x:v>
      </x:c>
      <x:c r="F1721" s="12" t="n">
        <x:v>13</x:v>
      </x:c>
      <x:c r="G1721" s="12" t="str">
        <x:v>17:25</x:v>
      </x:c>
      <x:c r="H1721" s="12" t="n">
        <x:v>1045</x:v>
      </x:c>
      <x:c r="I1721" s="12" t="str">
        <x:v>研究生宿舍楼</x:v>
      </x:c>
      <x:c r="J1721" s="12" t="str">
        <x:v>研究生宿舍楼发车</x:v>
      </x:c>
      <x:c r="K1721" s="12" t="str">
        <x:v>HX3_NORMAL</x:v>
      </x:c>
      <x:c r="L1721" s="12" t="n">
        <x:v>10</x:v>
      </x:c>
      <x:c r="M1721" s="12" t="str">
        <x:v>HX3_NORMAL|10</x:v>
      </x:c>
      <x:c r="N1721" s="12" t="str">
        <x:v>图书馆</x:v>
      </x:c>
      <x:c r="O1721" s="12" t="n">
        <x:f>IFERROR(INDEX('秒级路线参数_可调整'!$O:$O,MATCH(M1721,'秒级路线参数_可调整'!$A:$A,0)),"")</x:f>
        <x:v>715</x:v>
      </x:c>
      <x:c r="P1721" s="12" t="n">
        <x:f>IF(O1721="","",O1721/86400)</x:f>
        <x:v>0.008275462962962964</x:v>
      </x:c>
      <x:c r="Q1721" s="12" t="n">
        <x:f>IF(O1721="","",(H1721*60+O1721)/86400)</x:f>
        <x:v>0.7339699074074074</x:v>
      </x:c>
      <x:c r="R1721" s="12" t="str">
        <x:f>IF(Q1721="","",TEXT(Q1721,"hh:mm:ss"))</x:f>
        <x:v>17:36:55</x:v>
      </x:c>
      <x:c r="S1721" s="12" t="str">
        <x:v>否</x:v>
      </x:c>
      <x:c r="T1721" s="12" t="str">
        <x:v>否</x:v>
      </x:c>
      <x:c r="U1721" s="12" t="str">
        <x:v>郭海燕</x:v>
      </x:c>
      <x:c r="V1721" s="12" t="str">
        <x:v>5号车</x:v>
      </x:c>
      <x:c r="W1721" s="12" t="str">
        <x:v>秒级预测</x:v>
      </x:c>
      <x:c r="X1721" s="12" t="str">
        <x:v>基于路线秒级参数；如录入实测或手动采用秒，预计到达时间可随公式更新</x:v>
      </x:c>
    </x:row>
    <x:row r="1722">
      <x:c r="A1722" s="12" t="str">
        <x:v>S0147-11</x:v>
      </x:c>
      <x:c r="B1722" s="12" t="str">
        <x:v>S0147</x:v>
      </x:c>
      <x:c r="C1722" s="12" t="str">
        <x:v>工作日</x:v>
      </x:c>
      <x:c r="D1722" s="12" t="str">
        <x:v>环线3路</x:v>
      </x:c>
      <x:c r="E1722" s="12" t="str">
        <x:v>第二班</x:v>
      </x:c>
      <x:c r="F1722" s="12" t="n">
        <x:v>13</x:v>
      </x:c>
      <x:c r="G1722" s="12" t="str">
        <x:v>17:25</x:v>
      </x:c>
      <x:c r="H1722" s="12" t="n">
        <x:v>1045</x:v>
      </x:c>
      <x:c r="I1722" s="12" t="str">
        <x:v>研究生宿舍楼</x:v>
      </x:c>
      <x:c r="J1722" s="12" t="str">
        <x:v>研究生宿舍楼发车</x:v>
      </x:c>
      <x:c r="K1722" s="12" t="str">
        <x:v>HX3_NORMAL</x:v>
      </x:c>
      <x:c r="L1722" s="12" t="n">
        <x:v>11</x:v>
      </x:c>
      <x:c r="M1722" s="12" t="str">
        <x:v>HX3_NORMAL|11</x:v>
      </x:c>
      <x:c r="N1722" s="12" t="str">
        <x:v>305教学楼</x:v>
      </x:c>
      <x:c r="O1722" s="12" t="n">
        <x:f>IFERROR(INDEX('秒级路线参数_可调整'!$O:$O,MATCH(M1722,'秒级路线参数_可调整'!$A:$A,0)),"")</x:f>
        <x:v>775</x:v>
      </x:c>
      <x:c r="P1722" s="12" t="n">
        <x:f>IF(O1722="","",O1722/86400)</x:f>
        <x:v>0.008969907407407407</x:v>
      </x:c>
      <x:c r="Q1722" s="12" t="n">
        <x:f>IF(O1722="","",(H1722*60+O1722)/86400)</x:f>
        <x:v>0.7346643518518519</x:v>
      </x:c>
      <x:c r="R1722" s="12" t="str">
        <x:f>IF(Q1722="","",TEXT(Q1722,"hh:mm:ss"))</x:f>
        <x:v>17:37:55</x:v>
      </x:c>
      <x:c r="S1722" s="12" t="str">
        <x:v>否</x:v>
      </x:c>
      <x:c r="T1722" s="12" t="str">
        <x:v>否</x:v>
      </x:c>
      <x:c r="U1722" s="12" t="str">
        <x:v>郭海燕</x:v>
      </x:c>
      <x:c r="V1722" s="12" t="str">
        <x:v>5号车</x:v>
      </x:c>
      <x:c r="W1722" s="12" t="str">
        <x:v>秒级预测</x:v>
      </x:c>
      <x:c r="X1722" s="12" t="str">
        <x:v>基于路线秒级参数；如录入实测或手动采用秒，预计到达时间可随公式更新</x:v>
      </x:c>
    </x:row>
    <x:row r="1723">
      <x:c r="A1723" s="12" t="str">
        <x:v>S0147-12</x:v>
      </x:c>
      <x:c r="B1723" s="12" t="str">
        <x:v>S0147</x:v>
      </x:c>
      <x:c r="C1723" s="12" t="str">
        <x:v>工作日</x:v>
      </x:c>
      <x:c r="D1723" s="12" t="str">
        <x:v>环线3路</x:v>
      </x:c>
      <x:c r="E1723" s="12" t="str">
        <x:v>第二班</x:v>
      </x:c>
      <x:c r="F1723" s="12" t="n">
        <x:v>13</x:v>
      </x:c>
      <x:c r="G1723" s="12" t="str">
        <x:v>17:25</x:v>
      </x:c>
      <x:c r="H1723" s="12" t="n">
        <x:v>1045</x:v>
      </x:c>
      <x:c r="I1723" s="12" t="str">
        <x:v>研究生宿舍楼</x:v>
      </x:c>
      <x:c r="J1723" s="12" t="str">
        <x:v>研究生宿舍楼发车</x:v>
      </x:c>
      <x:c r="K1723" s="12" t="str">
        <x:v>HX3_NORMAL</x:v>
      </x:c>
      <x:c r="L1723" s="12" t="n">
        <x:v>12</x:v>
      </x:c>
      <x:c r="M1723" s="12" t="str">
        <x:v>HX3_NORMAL|12</x:v>
      </x:c>
      <x:c r="N1723" s="12" t="str">
        <x:v>研究生宿舍楼</x:v>
      </x:c>
      <x:c r="O1723" s="12" t="n">
        <x:f>IFERROR(INDEX('秒级路线参数_可调整'!$O:$O,MATCH(M1723,'秒级路线参数_可调整'!$A:$A,0)),"")</x:f>
        <x:v>840</x:v>
      </x:c>
      <x:c r="P1723" s="12" t="n">
        <x:f>IF(O1723="","",O1723/86400)</x:f>
        <x:v>0.009722222222222222</x:v>
      </x:c>
      <x:c r="Q1723" s="12" t="n">
        <x:f>IF(O1723="","",(H1723*60+O1723)/86400)</x:f>
        <x:v>0.7354166666666667</x:v>
      </x:c>
      <x:c r="R1723" s="12" t="str">
        <x:f>IF(Q1723="","",TEXT(Q1723,"hh:mm:ss"))</x:f>
        <x:v>17:39:00</x:v>
      </x:c>
      <x:c r="S1723" s="12" t="str">
        <x:v>否</x:v>
      </x:c>
      <x:c r="T1723" s="12" t="str">
        <x:v>是</x:v>
      </x:c>
      <x:c r="U1723" s="12" t="str">
        <x:v>郭海燕</x:v>
      </x:c>
      <x:c r="V1723" s="12" t="str">
        <x:v>5号车</x:v>
      </x:c>
      <x:c r="W1723" s="12" t="str">
        <x:v>秒级预测</x:v>
      </x:c>
      <x:c r="X1723" s="12" t="str">
        <x:v>基于路线秒级参数；如录入实测或手动采用秒，预计到达时间可随公式更新</x:v>
      </x:c>
    </x:row>
    <x:row r="1724">
      <x:c r="A1724" s="12" t="str">
        <x:v>S0148-01</x:v>
      </x:c>
      <x:c r="B1724" s="12" t="str">
        <x:v>S0148</x:v>
      </x:c>
      <x:c r="C1724" s="12" t="str">
        <x:v>工作日</x:v>
      </x:c>
      <x:c r="D1724" s="12" t="str">
        <x:v>环线3路</x:v>
      </x:c>
      <x:c r="E1724" s="12" t="str">
        <x:v>第四班</x:v>
      </x:c>
      <x:c r="F1724" s="12" t="n">
        <x:v>1</x:v>
      </x:c>
      <x:c r="G1724" s="12" t="str">
        <x:v>17:55</x:v>
      </x:c>
      <x:c r="H1724" s="12" t="n">
        <x:v>1075</x:v>
      </x:c>
      <x:c r="I1724" s="12" t="str">
        <x:v>研究生宿舍楼</x:v>
      </x:c>
      <x:c r="J1724" s="12" t="str">
        <x:v>研究生宿舍楼发车</x:v>
      </x:c>
      <x:c r="K1724" s="12" t="str">
        <x:v>HX3_NORMAL</x:v>
      </x:c>
      <x:c r="L1724" s="12" t="n">
        <x:v>1</x:v>
      </x:c>
      <x:c r="M1724" s="12" t="str">
        <x:v>HX3_NORMAL|1</x:v>
      </x:c>
      <x:c r="N1724" s="12" t="str">
        <x:v>研究生宿舍楼</x:v>
      </x:c>
      <x:c r="O1724" s="12" t="n">
        <x:f>IFERROR(INDEX('秒级路线参数_可调整'!$O:$O,MATCH(M1724,'秒级路线参数_可调整'!$A:$A,0)),"")</x:f>
        <x:v>0</x:v>
      </x:c>
      <x:c r="P1724" s="12" t="str">
        <x:f>IF(O1724="","",O1724/86400)</x:f>
      </x:c>
      <x:c r="Q1724" s="12" t="str">
        <x:f>IF(O1724="","",(H1724*60+O1724)/86400)</x:f>
      </x:c>
      <x:c r="R1724" s="12" t="str">
        <x:f>IF(Q1724="","",TEXT(Q1724,"hh:mm:ss"))</x:f>
      </x:c>
      <x:c r="S1724" s="12" t="str">
        <x:v>是</x:v>
      </x:c>
      <x:c r="T1724" s="12" t="str">
        <x:v>否</x:v>
      </x:c>
      <x:c r="U1724" s="12" t="str">
        <x:v>孙五星</x:v>
      </x:c>
      <x:c r="V1724" s="12" t="str">
        <x:v>3号车</x:v>
      </x:c>
      <x:c r="W1724" s="12" t="str">
        <x:v>秒级预测</x:v>
      </x:c>
      <x:c r="X1724" s="12" t="str">
        <x:v>基于路线秒级参数；如录入实测或手动采用秒，预计到达时间可随公式更新</x:v>
      </x:c>
    </x:row>
    <x:row r="1725">
      <x:c r="A1725" s="12" t="str">
        <x:v>S0148-02</x:v>
      </x:c>
      <x:c r="B1725" s="12" t="str">
        <x:v>S0148</x:v>
      </x:c>
      <x:c r="C1725" s="12" t="str">
        <x:v>工作日</x:v>
      </x:c>
      <x:c r="D1725" s="12" t="str">
        <x:v>环线3路</x:v>
      </x:c>
      <x:c r="E1725" s="12" t="str">
        <x:v>第四班</x:v>
      </x:c>
      <x:c r="F1725" s="12" t="n">
        <x:v>1</x:v>
      </x:c>
      <x:c r="G1725" s="12" t="str">
        <x:v>17:55</x:v>
      </x:c>
      <x:c r="H1725" s="12" t="n">
        <x:v>1075</x:v>
      </x:c>
      <x:c r="I1725" s="12" t="str">
        <x:v>研究生宿舍楼</x:v>
      </x:c>
      <x:c r="J1725" s="12" t="str">
        <x:v>研究生宿舍楼发车</x:v>
      </x:c>
      <x:c r="K1725" s="12" t="str">
        <x:v>HX3_NORMAL</x:v>
      </x:c>
      <x:c r="L1725" s="12" t="n">
        <x:v>2</x:v>
      </x:c>
      <x:c r="M1725" s="12" t="str">
        <x:v>HX3_NORMAL|2</x:v>
      </x:c>
      <x:c r="N1725" s="12" t="str">
        <x:v>一食堂</x:v>
      </x:c>
      <x:c r="O1725" s="12" t="n">
        <x:f>IFERROR(INDEX('秒级路线参数_可调整'!$O:$O,MATCH(M1725,'秒级路线参数_可调整'!$A:$A,0)),"")</x:f>
        <x:v>65</x:v>
      </x:c>
      <x:c r="P1725" s="12" t="n">
        <x:f>IF(O1725="","",O1725/86400)</x:f>
        <x:v>0.0007523148148148148</x:v>
      </x:c>
      <x:c r="Q1725" s="12" t="n">
        <x:f>IF(O1725="","",(H1725*60+O1725)/86400)</x:f>
        <x:v>0.7472800925925925</x:v>
      </x:c>
      <x:c r="R1725" s="12" t="str">
        <x:f>IF(Q1725="","",TEXT(Q1725,"hh:mm:ss"))</x:f>
        <x:v>17:56:05</x:v>
      </x:c>
      <x:c r="S1725" s="12" t="str">
        <x:v>否</x:v>
      </x:c>
      <x:c r="T1725" s="12" t="str">
        <x:v>否</x:v>
      </x:c>
      <x:c r="U1725" s="12" t="str">
        <x:v>孙五星</x:v>
      </x:c>
      <x:c r="V1725" s="12" t="str">
        <x:v>3号车</x:v>
      </x:c>
      <x:c r="W1725" s="12" t="str">
        <x:v>秒级预测</x:v>
      </x:c>
      <x:c r="X1725" s="12" t="str">
        <x:v>基于路线秒级参数；如录入实测或手动采用秒，预计到达时间可随公式更新</x:v>
      </x:c>
    </x:row>
    <x:row r="1726">
      <x:c r="A1726" s="12" t="str">
        <x:v>S0148-03</x:v>
      </x:c>
      <x:c r="B1726" s="12" t="str">
        <x:v>S0148</x:v>
      </x:c>
      <x:c r="C1726" s="12" t="str">
        <x:v>工作日</x:v>
      </x:c>
      <x:c r="D1726" s="12" t="str">
        <x:v>环线3路</x:v>
      </x:c>
      <x:c r="E1726" s="12" t="str">
        <x:v>第四班</x:v>
      </x:c>
      <x:c r="F1726" s="12" t="n">
        <x:v>1</x:v>
      </x:c>
      <x:c r="G1726" s="12" t="str">
        <x:v>17:55</x:v>
      </x:c>
      <x:c r="H1726" s="12" t="n">
        <x:v>1075</x:v>
      </x:c>
      <x:c r="I1726" s="12" t="str">
        <x:v>研究生宿舍楼</x:v>
      </x:c>
      <x:c r="J1726" s="12" t="str">
        <x:v>研究生宿舍楼发车</x:v>
      </x:c>
      <x:c r="K1726" s="12" t="str">
        <x:v>HX3_NORMAL</x:v>
      </x:c>
      <x:c r="L1726" s="12" t="n">
        <x:v>3</x:v>
      </x:c>
      <x:c r="M1726" s="12" t="str">
        <x:v>HX3_NORMAL|3</x:v>
      </x:c>
      <x:c r="N1726" s="12" t="str">
        <x:v>2号宿舍楼</x:v>
      </x:c>
      <x:c r="O1726" s="12" t="n">
        <x:f>IFERROR(INDEX('秒级路线参数_可调整'!$O:$O,MATCH(M1726,'秒级路线参数_可调整'!$A:$A,0)),"")</x:f>
        <x:v>120</x:v>
      </x:c>
      <x:c r="P1726" s="12" t="n">
        <x:f>IF(O1726="","",O1726/86400)</x:f>
        <x:v>0.001388888888888889</x:v>
      </x:c>
      <x:c r="Q1726" s="12" t="n">
        <x:f>IF(O1726="","",(H1726*60+O1726)/86400)</x:f>
        <x:v>0.7479166666666667</x:v>
      </x:c>
      <x:c r="R1726" s="12" t="str">
        <x:f>IF(Q1726="","",TEXT(Q1726,"hh:mm:ss"))</x:f>
        <x:v>17:57:00</x:v>
      </x:c>
      <x:c r="S1726" s="12" t="str">
        <x:v>否</x:v>
      </x:c>
      <x:c r="T1726" s="12" t="str">
        <x:v>否</x:v>
      </x:c>
      <x:c r="U1726" s="12" t="str">
        <x:v>孙五星</x:v>
      </x:c>
      <x:c r="V1726" s="12" t="str">
        <x:v>3号车</x:v>
      </x:c>
      <x:c r="W1726" s="12" t="str">
        <x:v>秒级预测</x:v>
      </x:c>
      <x:c r="X1726" s="12" t="str">
        <x:v>基于路线秒级参数；如录入实测或手动采用秒，预计到达时间可随公式更新</x:v>
      </x:c>
    </x:row>
    <x:row r="1727">
      <x:c r="A1727" s="12" t="str">
        <x:v>S0148-04</x:v>
      </x:c>
      <x:c r="B1727" s="12" t="str">
        <x:v>S0148</x:v>
      </x:c>
      <x:c r="C1727" s="12" t="str">
        <x:v>工作日</x:v>
      </x:c>
      <x:c r="D1727" s="12" t="str">
        <x:v>环线3路</x:v>
      </x:c>
      <x:c r="E1727" s="12" t="str">
        <x:v>第四班</x:v>
      </x:c>
      <x:c r="F1727" s="12" t="n">
        <x:v>1</x:v>
      </x:c>
      <x:c r="G1727" s="12" t="str">
        <x:v>17:55</x:v>
      </x:c>
      <x:c r="H1727" s="12" t="n">
        <x:v>1075</x:v>
      </x:c>
      <x:c r="I1727" s="12" t="str">
        <x:v>研究生宿舍楼</x:v>
      </x:c>
      <x:c r="J1727" s="12" t="str">
        <x:v>研究生宿舍楼发车</x:v>
      </x:c>
      <x:c r="K1727" s="12" t="str">
        <x:v>HX3_NORMAL</x:v>
      </x:c>
      <x:c r="L1727" s="12" t="n">
        <x:v>4</x:v>
      </x:c>
      <x:c r="M1727" s="12" t="str">
        <x:v>HX3_NORMAL|4</x:v>
      </x:c>
      <x:c r="N1727" s="12" t="str">
        <x:v>军体活动中心</x:v>
      </x:c>
      <x:c r="O1727" s="12" t="n">
        <x:f>IFERROR(INDEX('秒级路线参数_可调整'!$O:$O,MATCH(M1727,'秒级路线参数_可调整'!$A:$A,0)),"")</x:f>
        <x:v>165</x:v>
      </x:c>
      <x:c r="P1727" s="12" t="n">
        <x:f>IF(O1727="","",O1727/86400)</x:f>
        <x:v>0.0019097222222222222</x:v>
      </x:c>
      <x:c r="Q1727" s="12" t="n">
        <x:f>IF(O1727="","",(H1727*60+O1727)/86400)</x:f>
        <x:v>0.7484375</x:v>
      </x:c>
      <x:c r="R1727" s="12" t="str">
        <x:f>IF(Q1727="","",TEXT(Q1727,"hh:mm:ss"))</x:f>
        <x:v>17:57:45</x:v>
      </x:c>
      <x:c r="S1727" s="12" t="str">
        <x:v>否</x:v>
      </x:c>
      <x:c r="T1727" s="12" t="str">
        <x:v>否</x:v>
      </x:c>
      <x:c r="U1727" s="12" t="str">
        <x:v>孙五星</x:v>
      </x:c>
      <x:c r="V1727" s="12" t="str">
        <x:v>3号车</x:v>
      </x:c>
      <x:c r="W1727" s="12" t="str">
        <x:v>秒级预测</x:v>
      </x:c>
      <x:c r="X1727" s="12" t="str">
        <x:v>基于路线秒级参数；如录入实测或手动采用秒，预计到达时间可随公式更新</x:v>
      </x:c>
    </x:row>
    <x:row r="1728">
      <x:c r="A1728" s="12" t="str">
        <x:v>S0148-05</x:v>
      </x:c>
      <x:c r="B1728" s="12" t="str">
        <x:v>S0148</x:v>
      </x:c>
      <x:c r="C1728" s="12" t="str">
        <x:v>工作日</x:v>
      </x:c>
      <x:c r="D1728" s="12" t="str">
        <x:v>环线3路</x:v>
      </x:c>
      <x:c r="E1728" s="12" t="str">
        <x:v>第四班</x:v>
      </x:c>
      <x:c r="F1728" s="12" t="n">
        <x:v>1</x:v>
      </x:c>
      <x:c r="G1728" s="12" t="str">
        <x:v>17:55</x:v>
      </x:c>
      <x:c r="H1728" s="12" t="n">
        <x:v>1075</x:v>
      </x:c>
      <x:c r="I1728" s="12" t="str">
        <x:v>研究生宿舍楼</x:v>
      </x:c>
      <x:c r="J1728" s="12" t="str">
        <x:v>研究生宿舍楼发车</x:v>
      </x:c>
      <x:c r="K1728" s="12" t="str">
        <x:v>HX3_NORMAL</x:v>
      </x:c>
      <x:c r="L1728" s="12" t="n">
        <x:v>5</x:v>
      </x:c>
      <x:c r="M1728" s="12" t="str">
        <x:v>HX3_NORMAL|5</x:v>
      </x:c>
      <x:c r="N1728" s="12" t="str">
        <x:v>教勤连</x:v>
      </x:c>
      <x:c r="O1728" s="12" t="n">
        <x:f>IFERROR(INDEX('秒级路线参数_可调整'!$O:$O,MATCH(M1728,'秒级路线参数_可调整'!$A:$A,0)),"")</x:f>
        <x:v>250</x:v>
      </x:c>
      <x:c r="P1728" s="12" t="n">
        <x:f>IF(O1728="","",O1728/86400)</x:f>
        <x:v>0.0028935185185185184</x:v>
      </x:c>
      <x:c r="Q1728" s="12" t="n">
        <x:f>IF(O1728="","",(H1728*60+O1728)/86400)</x:f>
        <x:v>0.7494212962962963</x:v>
      </x:c>
      <x:c r="R1728" s="12" t="str">
        <x:f>IF(Q1728="","",TEXT(Q1728,"hh:mm:ss"))</x:f>
        <x:v>17:59:10</x:v>
      </x:c>
      <x:c r="S1728" s="12" t="str">
        <x:v>否</x:v>
      </x:c>
      <x:c r="T1728" s="12" t="str">
        <x:v>否</x:v>
      </x:c>
      <x:c r="U1728" s="12" t="str">
        <x:v>孙五星</x:v>
      </x:c>
      <x:c r="V1728" s="12" t="str">
        <x:v>3号车</x:v>
      </x:c>
      <x:c r="W1728" s="12" t="str">
        <x:v>秒级预测</x:v>
      </x:c>
      <x:c r="X1728" s="12" t="str">
        <x:v>基于路线秒级参数；如录入实测或手动采用秒，预计到达时间可随公式更新</x:v>
      </x:c>
    </x:row>
    <x:row r="1729">
      <x:c r="A1729" s="12" t="str">
        <x:v>S0148-06</x:v>
      </x:c>
      <x:c r="B1729" s="12" t="str">
        <x:v>S0148</x:v>
      </x:c>
      <x:c r="C1729" s="12" t="str">
        <x:v>工作日</x:v>
      </x:c>
      <x:c r="D1729" s="12" t="str">
        <x:v>环线3路</x:v>
      </x:c>
      <x:c r="E1729" s="12" t="str">
        <x:v>第四班</x:v>
      </x:c>
      <x:c r="F1729" s="12" t="n">
        <x:v>1</x:v>
      </x:c>
      <x:c r="G1729" s="12" t="str">
        <x:v>17:55</x:v>
      </x:c>
      <x:c r="H1729" s="12" t="n">
        <x:v>1075</x:v>
      </x:c>
      <x:c r="I1729" s="12" t="str">
        <x:v>研究生宿舍楼</x:v>
      </x:c>
      <x:c r="J1729" s="12" t="str">
        <x:v>研究生宿舍楼发车</x:v>
      </x:c>
      <x:c r="K1729" s="12" t="str">
        <x:v>HX3_NORMAL</x:v>
      </x:c>
      <x:c r="L1729" s="12" t="n">
        <x:v>6</x:v>
      </x:c>
      <x:c r="M1729" s="12" t="str">
        <x:v>HX3_NORMAL|6</x:v>
      </x:c>
      <x:c r="N1729" s="12" t="str">
        <x:v>激光所</x:v>
      </x:c>
      <x:c r="O1729" s="12" t="n">
        <x:f>IFERROR(INDEX('秒级路线参数_可调整'!$O:$O,MATCH(M1729,'秒级路线参数_可调整'!$A:$A,0)),"")</x:f>
        <x:v>315</x:v>
      </x:c>
      <x:c r="P1729" s="12" t="n">
        <x:f>IF(O1729="","",O1729/86400)</x:f>
        <x:v>0.0036458333333333334</x:v>
      </x:c>
      <x:c r="Q1729" s="12" t="n">
        <x:f>IF(O1729="","",(H1729*60+O1729)/86400)</x:f>
        <x:v>0.7501736111111111</x:v>
      </x:c>
      <x:c r="R1729" s="12" t="str">
        <x:f>IF(Q1729="","",TEXT(Q1729,"hh:mm:ss"))</x:f>
        <x:v>18:00:15</x:v>
      </x:c>
      <x:c r="S1729" s="12" t="str">
        <x:v>否</x:v>
      </x:c>
      <x:c r="T1729" s="12" t="str">
        <x:v>否</x:v>
      </x:c>
      <x:c r="U1729" s="12" t="str">
        <x:v>孙五星</x:v>
      </x:c>
      <x:c r="V1729" s="12" t="str">
        <x:v>3号车</x:v>
      </x:c>
      <x:c r="W1729" s="12" t="str">
        <x:v>秒级预测</x:v>
      </x:c>
      <x:c r="X1729" s="12" t="str">
        <x:v>基于路线秒级参数；如录入实测或手动采用秒，预计到达时间可随公式更新</x:v>
      </x:c>
    </x:row>
    <x:row r="1730">
      <x:c r="A1730" s="12" t="str">
        <x:v>S0148-07</x:v>
      </x:c>
      <x:c r="B1730" s="12" t="str">
        <x:v>S0148</x:v>
      </x:c>
      <x:c r="C1730" s="12" t="str">
        <x:v>工作日</x:v>
      </x:c>
      <x:c r="D1730" s="12" t="str">
        <x:v>环线3路</x:v>
      </x:c>
      <x:c r="E1730" s="12" t="str">
        <x:v>第四班</x:v>
      </x:c>
      <x:c r="F1730" s="12" t="n">
        <x:v>1</x:v>
      </x:c>
      <x:c r="G1730" s="12" t="str">
        <x:v>17:55</x:v>
      </x:c>
      <x:c r="H1730" s="12" t="n">
        <x:v>1075</x:v>
      </x:c>
      <x:c r="I1730" s="12" t="str">
        <x:v>研究生宿舍楼</x:v>
      </x:c>
      <x:c r="J1730" s="12" t="str">
        <x:v>研究生宿舍楼发车</x:v>
      </x:c>
      <x:c r="K1730" s="12" t="str">
        <x:v>HX3_NORMAL</x:v>
      </x:c>
      <x:c r="L1730" s="12" t="n">
        <x:v>7</x:v>
      </x:c>
      <x:c r="M1730" s="12" t="str">
        <x:v>HX3_NORMAL|7</x:v>
      </x:c>
      <x:c r="N1730" s="12" t="str">
        <x:v>高超楼</x:v>
      </x:c>
      <x:c r="O1730" s="12" t="n">
        <x:f>IFERROR(INDEX('秒级路线参数_可调整'!$O:$O,MATCH(M1730,'秒级路线参数_可调整'!$A:$A,0)),"")</x:f>
        <x:v>420</x:v>
      </x:c>
      <x:c r="P1730" s="12" t="n">
        <x:f>IF(O1730="","",O1730/86400)</x:f>
        <x:v>0.004861111111111111</x:v>
      </x:c>
      <x:c r="Q1730" s="12" t="n">
        <x:f>IF(O1730="","",(H1730*60+O1730)/86400)</x:f>
        <x:v>0.7513888888888889</x:v>
      </x:c>
      <x:c r="R1730" s="12" t="str">
        <x:f>IF(Q1730="","",TEXT(Q1730,"hh:mm:ss"))</x:f>
        <x:v>18:02:00</x:v>
      </x:c>
      <x:c r="S1730" s="12" t="str">
        <x:v>否</x:v>
      </x:c>
      <x:c r="T1730" s="12" t="str">
        <x:v>否</x:v>
      </x:c>
      <x:c r="U1730" s="12" t="str">
        <x:v>孙五星</x:v>
      </x:c>
      <x:c r="V1730" s="12" t="str">
        <x:v>3号车</x:v>
      </x:c>
      <x:c r="W1730" s="12" t="str">
        <x:v>秒级预测</x:v>
      </x:c>
      <x:c r="X1730" s="12" t="str">
        <x:v>基于路线秒级参数；如录入实测或手动采用秒，预计到达时间可随公式更新</x:v>
      </x:c>
    </x:row>
    <x:row r="1731">
      <x:c r="A1731" s="12" t="str">
        <x:v>S0148-08</x:v>
      </x:c>
      <x:c r="B1731" s="12" t="str">
        <x:v>S0148</x:v>
      </x:c>
      <x:c r="C1731" s="12" t="str">
        <x:v>工作日</x:v>
      </x:c>
      <x:c r="D1731" s="12" t="str">
        <x:v>环线3路</x:v>
      </x:c>
      <x:c r="E1731" s="12" t="str">
        <x:v>第四班</x:v>
      </x:c>
      <x:c r="F1731" s="12" t="n">
        <x:v>1</x:v>
      </x:c>
      <x:c r="G1731" s="12" t="str">
        <x:v>17:55</x:v>
      </x:c>
      <x:c r="H1731" s="12" t="n">
        <x:v>1075</x:v>
      </x:c>
      <x:c r="I1731" s="12" t="str">
        <x:v>研究生宿舍楼</x:v>
      </x:c>
      <x:c r="J1731" s="12" t="str">
        <x:v>研究生宿舍楼发车</x:v>
      </x:c>
      <x:c r="K1731" s="12" t="str">
        <x:v>HX3_NORMAL</x:v>
      </x:c>
      <x:c r="L1731" s="12" t="n">
        <x:v>8</x:v>
      </x:c>
      <x:c r="M1731" s="12" t="str">
        <x:v>HX3_NORMAL|8</x:v>
      </x:c>
      <x:c r="N1731" s="12" t="str">
        <x:v>理学院</x:v>
      </x:c>
      <x:c r="O1731" s="12" t="n">
        <x:f>IFERROR(INDEX('秒级路线参数_可调整'!$O:$O,MATCH(M1731,'秒级路线参数_可调整'!$A:$A,0)),"")</x:f>
        <x:v>480</x:v>
      </x:c>
      <x:c r="P1731" s="12" t="n">
        <x:f>IF(O1731="","",O1731/86400)</x:f>
        <x:v>0.005555555555555556</x:v>
      </x:c>
      <x:c r="Q1731" s="12" t="n">
        <x:f>IF(O1731="","",(H1731*60+O1731)/86400)</x:f>
        <x:v>0.7520833333333333</x:v>
      </x:c>
      <x:c r="R1731" s="12" t="str">
        <x:f>IF(Q1731="","",TEXT(Q1731,"hh:mm:ss"))</x:f>
        <x:v>18:03:00</x:v>
      </x:c>
      <x:c r="S1731" s="12" t="str">
        <x:v>否</x:v>
      </x:c>
      <x:c r="T1731" s="12" t="str">
        <x:v>否</x:v>
      </x:c>
      <x:c r="U1731" s="12" t="str">
        <x:v>孙五星</x:v>
      </x:c>
      <x:c r="V1731" s="12" t="str">
        <x:v>3号车</x:v>
      </x:c>
      <x:c r="W1731" s="12" t="str">
        <x:v>秒级预测</x:v>
      </x:c>
      <x:c r="X1731" s="12" t="str">
        <x:v>基于路线秒级参数；如录入实测或手动采用秒，预计到达时间可随公式更新</x:v>
      </x:c>
    </x:row>
    <x:row r="1732">
      <x:c r="A1732" s="12" t="str">
        <x:v>S0148-09</x:v>
      </x:c>
      <x:c r="B1732" s="12" t="str">
        <x:v>S0148</x:v>
      </x:c>
      <x:c r="C1732" s="12" t="str">
        <x:v>工作日</x:v>
      </x:c>
      <x:c r="D1732" s="12" t="str">
        <x:v>环线3路</x:v>
      </x:c>
      <x:c r="E1732" s="12" t="str">
        <x:v>第四班</x:v>
      </x:c>
      <x:c r="F1732" s="12" t="n">
        <x:v>1</x:v>
      </x:c>
      <x:c r="G1732" s="12" t="str">
        <x:v>17:55</x:v>
      </x:c>
      <x:c r="H1732" s="12" t="n">
        <x:v>1075</x:v>
      </x:c>
      <x:c r="I1732" s="12" t="str">
        <x:v>研究生宿舍楼</x:v>
      </x:c>
      <x:c r="J1732" s="12" t="str">
        <x:v>研究生宿舍楼发车</x:v>
      </x:c>
      <x:c r="K1732" s="12" t="str">
        <x:v>HX3_NORMAL</x:v>
      </x:c>
      <x:c r="L1732" s="12" t="n">
        <x:v>9</x:v>
      </x:c>
      <x:c r="M1732" s="12" t="str">
        <x:v>HX3_NORMAL|9</x:v>
      </x:c>
      <x:c r="N1732" s="12" t="str">
        <x:v>二食堂</x:v>
      </x:c>
      <x:c r="O1732" s="12" t="n">
        <x:f>IFERROR(INDEX('秒级路线参数_可调整'!$O:$O,MATCH(M1732,'秒级路线参数_可调整'!$A:$A,0)),"")</x:f>
        <x:v>535</x:v>
      </x:c>
      <x:c r="P1732" s="12" t="n">
        <x:f>IF(O1732="","",O1732/86400)</x:f>
        <x:v>0.00619212962962963</x:v>
      </x:c>
      <x:c r="Q1732" s="12" t="n">
        <x:f>IF(O1732="","",(H1732*60+O1732)/86400)</x:f>
        <x:v>0.7527199074074075</x:v>
      </x:c>
      <x:c r="R1732" s="12" t="str">
        <x:f>IF(Q1732="","",TEXT(Q1732,"hh:mm:ss"))</x:f>
        <x:v>18:03:55</x:v>
      </x:c>
      <x:c r="S1732" s="12" t="str">
        <x:v>否</x:v>
      </x:c>
      <x:c r="T1732" s="12" t="str">
        <x:v>否</x:v>
      </x:c>
      <x:c r="U1732" s="12" t="str">
        <x:v>孙五星</x:v>
      </x:c>
      <x:c r="V1732" s="12" t="str">
        <x:v>3号车</x:v>
      </x:c>
      <x:c r="W1732" s="12" t="str">
        <x:v>秒级预测</x:v>
      </x:c>
      <x:c r="X1732" s="12" t="str">
        <x:v>基于路线秒级参数；如录入实测或手动采用秒，预计到达时间可随公式更新</x:v>
      </x:c>
    </x:row>
    <x:row r="1733">
      <x:c r="A1733" s="12" t="str">
        <x:v>S0148-10</x:v>
      </x:c>
      <x:c r="B1733" s="12" t="str">
        <x:v>S0148</x:v>
      </x:c>
      <x:c r="C1733" s="12" t="str">
        <x:v>工作日</x:v>
      </x:c>
      <x:c r="D1733" s="12" t="str">
        <x:v>环线3路</x:v>
      </x:c>
      <x:c r="E1733" s="12" t="str">
        <x:v>第四班</x:v>
      </x:c>
      <x:c r="F1733" s="12" t="n">
        <x:v>1</x:v>
      </x:c>
      <x:c r="G1733" s="12" t="str">
        <x:v>17:55</x:v>
      </x:c>
      <x:c r="H1733" s="12" t="n">
        <x:v>1075</x:v>
      </x:c>
      <x:c r="I1733" s="12" t="str">
        <x:v>研究生宿舍楼</x:v>
      </x:c>
      <x:c r="J1733" s="12" t="str">
        <x:v>研究生宿舍楼发车</x:v>
      </x:c>
      <x:c r="K1733" s="12" t="str">
        <x:v>HX3_NORMAL</x:v>
      </x:c>
      <x:c r="L1733" s="12" t="n">
        <x:v>10</x:v>
      </x:c>
      <x:c r="M1733" s="12" t="str">
        <x:v>HX3_NORMAL|10</x:v>
      </x:c>
      <x:c r="N1733" s="12" t="str">
        <x:v>图书馆</x:v>
      </x:c>
      <x:c r="O1733" s="12" t="n">
        <x:f>IFERROR(INDEX('秒级路线参数_可调整'!$O:$O,MATCH(M1733,'秒级路线参数_可调整'!$A:$A,0)),"")</x:f>
        <x:v>715</x:v>
      </x:c>
      <x:c r="P1733" s="12" t="n">
        <x:f>IF(O1733="","",O1733/86400)</x:f>
        <x:v>0.008275462962962964</x:v>
      </x:c>
      <x:c r="Q1733" s="12" t="n">
        <x:f>IF(O1733="","",(H1733*60+O1733)/86400)</x:f>
        <x:v>0.7548032407407408</x:v>
      </x:c>
      <x:c r="R1733" s="12" t="str">
        <x:f>IF(Q1733="","",TEXT(Q1733,"hh:mm:ss"))</x:f>
        <x:v>18:06:55</x:v>
      </x:c>
      <x:c r="S1733" s="12" t="str">
        <x:v>否</x:v>
      </x:c>
      <x:c r="T1733" s="12" t="str">
        <x:v>否</x:v>
      </x:c>
      <x:c r="U1733" s="12" t="str">
        <x:v>孙五星</x:v>
      </x:c>
      <x:c r="V1733" s="12" t="str">
        <x:v>3号车</x:v>
      </x:c>
      <x:c r="W1733" s="12" t="str">
        <x:v>秒级预测</x:v>
      </x:c>
      <x:c r="X1733" s="12" t="str">
        <x:v>基于路线秒级参数；如录入实测或手动采用秒，预计到达时间可随公式更新</x:v>
      </x:c>
    </x:row>
    <x:row r="1734">
      <x:c r="A1734" s="12" t="str">
        <x:v>S0148-11</x:v>
      </x:c>
      <x:c r="B1734" s="12" t="str">
        <x:v>S0148</x:v>
      </x:c>
      <x:c r="C1734" s="12" t="str">
        <x:v>工作日</x:v>
      </x:c>
      <x:c r="D1734" s="12" t="str">
        <x:v>环线3路</x:v>
      </x:c>
      <x:c r="E1734" s="12" t="str">
        <x:v>第四班</x:v>
      </x:c>
      <x:c r="F1734" s="12" t="n">
        <x:v>1</x:v>
      </x:c>
      <x:c r="G1734" s="12" t="str">
        <x:v>17:55</x:v>
      </x:c>
      <x:c r="H1734" s="12" t="n">
        <x:v>1075</x:v>
      </x:c>
      <x:c r="I1734" s="12" t="str">
        <x:v>研究生宿舍楼</x:v>
      </x:c>
      <x:c r="J1734" s="12" t="str">
        <x:v>研究生宿舍楼发车</x:v>
      </x:c>
      <x:c r="K1734" s="12" t="str">
        <x:v>HX3_NORMAL</x:v>
      </x:c>
      <x:c r="L1734" s="12" t="n">
        <x:v>11</x:v>
      </x:c>
      <x:c r="M1734" s="12" t="str">
        <x:v>HX3_NORMAL|11</x:v>
      </x:c>
      <x:c r="N1734" s="12" t="str">
        <x:v>305教学楼</x:v>
      </x:c>
      <x:c r="O1734" s="12" t="n">
        <x:f>IFERROR(INDEX('秒级路线参数_可调整'!$O:$O,MATCH(M1734,'秒级路线参数_可调整'!$A:$A,0)),"")</x:f>
        <x:v>775</x:v>
      </x:c>
      <x:c r="P1734" s="12" t="n">
        <x:f>IF(O1734="","",O1734/86400)</x:f>
        <x:v>0.008969907407407407</x:v>
      </x:c>
      <x:c r="Q1734" s="12" t="n">
        <x:f>IF(O1734="","",(H1734*60+O1734)/86400)</x:f>
        <x:v>0.7554976851851852</x:v>
      </x:c>
      <x:c r="R1734" s="12" t="str">
        <x:f>IF(Q1734="","",TEXT(Q1734,"hh:mm:ss"))</x:f>
        <x:v>18:07:55</x:v>
      </x:c>
      <x:c r="S1734" s="12" t="str">
        <x:v>否</x:v>
      </x:c>
      <x:c r="T1734" s="12" t="str">
        <x:v>否</x:v>
      </x:c>
      <x:c r="U1734" s="12" t="str">
        <x:v>孙五星</x:v>
      </x:c>
      <x:c r="V1734" s="12" t="str">
        <x:v>3号车</x:v>
      </x:c>
      <x:c r="W1734" s="12" t="str">
        <x:v>秒级预测</x:v>
      </x:c>
      <x:c r="X1734" s="12" t="str">
        <x:v>基于路线秒级参数；如录入实测或手动采用秒，预计到达时间可随公式更新</x:v>
      </x:c>
    </x:row>
    <x:row r="1735">
      <x:c r="A1735" s="12" t="str">
        <x:v>S0148-12</x:v>
      </x:c>
      <x:c r="B1735" s="12" t="str">
        <x:v>S0148</x:v>
      </x:c>
      <x:c r="C1735" s="12" t="str">
        <x:v>工作日</x:v>
      </x:c>
      <x:c r="D1735" s="12" t="str">
        <x:v>环线3路</x:v>
      </x:c>
      <x:c r="E1735" s="12" t="str">
        <x:v>第四班</x:v>
      </x:c>
      <x:c r="F1735" s="12" t="n">
        <x:v>1</x:v>
      </x:c>
      <x:c r="G1735" s="12" t="str">
        <x:v>17:55</x:v>
      </x:c>
      <x:c r="H1735" s="12" t="n">
        <x:v>1075</x:v>
      </x:c>
      <x:c r="I1735" s="12" t="str">
        <x:v>研究生宿舍楼</x:v>
      </x:c>
      <x:c r="J1735" s="12" t="str">
        <x:v>研究生宿舍楼发车</x:v>
      </x:c>
      <x:c r="K1735" s="12" t="str">
        <x:v>HX3_NORMAL</x:v>
      </x:c>
      <x:c r="L1735" s="12" t="n">
        <x:v>12</x:v>
      </x:c>
      <x:c r="M1735" s="12" t="str">
        <x:v>HX3_NORMAL|12</x:v>
      </x:c>
      <x:c r="N1735" s="12" t="str">
        <x:v>研究生宿舍楼</x:v>
      </x:c>
      <x:c r="O1735" s="12" t="n">
        <x:f>IFERROR(INDEX('秒级路线参数_可调整'!$O:$O,MATCH(M1735,'秒级路线参数_可调整'!$A:$A,0)),"")</x:f>
        <x:v>840</x:v>
      </x:c>
      <x:c r="P1735" s="12" t="n">
        <x:f>IF(O1735="","",O1735/86400)</x:f>
        <x:v>0.009722222222222222</x:v>
      </x:c>
      <x:c r="Q1735" s="12" t="n">
        <x:f>IF(O1735="","",(H1735*60+O1735)/86400)</x:f>
        <x:v>0.75625</x:v>
      </x:c>
      <x:c r="R1735" s="12" t="str">
        <x:f>IF(Q1735="","",TEXT(Q1735,"hh:mm:ss"))</x:f>
        <x:v>18:09:00</x:v>
      </x:c>
      <x:c r="S1735" s="12" t="str">
        <x:v>否</x:v>
      </x:c>
      <x:c r="T1735" s="12" t="str">
        <x:v>是</x:v>
      </x:c>
      <x:c r="U1735" s="12" t="str">
        <x:v>孙五星</x:v>
      </x:c>
      <x:c r="V1735" s="12" t="str">
        <x:v>3号车</x:v>
      </x:c>
      <x:c r="W1735" s="12" t="str">
        <x:v>秒级预测</x:v>
      </x:c>
      <x:c r="X1735" s="12" t="str">
        <x:v>基于路线秒级参数；如录入实测或手动采用秒，预计到达时间可随公式更新</x:v>
      </x:c>
    </x:row>
    <x:row r="1736">
      <x:c r="A1736" s="12" t="str">
        <x:v>S0149-01</x:v>
      </x:c>
      <x:c r="B1736" s="12" t="str">
        <x:v>S0149</x:v>
      </x:c>
      <x:c r="C1736" s="12" t="str">
        <x:v>工作日</x:v>
      </x:c>
      <x:c r="D1736" s="12" t="str">
        <x:v>环线3路</x:v>
      </x:c>
      <x:c r="E1736" s="12" t="str">
        <x:v>第四班</x:v>
      </x:c>
      <x:c r="F1736" s="12" t="n">
        <x:v>2</x:v>
      </x:c>
      <x:c r="G1736" s="12" t="str">
        <x:v>18:20</x:v>
      </x:c>
      <x:c r="H1736" s="12" t="n">
        <x:v>1100</x:v>
      </x:c>
      <x:c r="I1736" s="12" t="str">
        <x:v>研究生宿舍楼</x:v>
      </x:c>
      <x:c r="J1736" s="12" t="str">
        <x:v>研究生宿舍楼发车</x:v>
      </x:c>
      <x:c r="K1736" s="12" t="str">
        <x:v>HX3_NORMAL</x:v>
      </x:c>
      <x:c r="L1736" s="12" t="n">
        <x:v>1</x:v>
      </x:c>
      <x:c r="M1736" s="12" t="str">
        <x:v>HX3_NORMAL|1</x:v>
      </x:c>
      <x:c r="N1736" s="12" t="str">
        <x:v>研究生宿舍楼</x:v>
      </x:c>
      <x:c r="O1736" s="12" t="n">
        <x:f>IFERROR(INDEX('秒级路线参数_可调整'!$O:$O,MATCH(M1736,'秒级路线参数_可调整'!$A:$A,0)),"")</x:f>
        <x:v>0</x:v>
      </x:c>
      <x:c r="P1736" s="12" t="str">
        <x:f>IF(O1736="","",O1736/86400)</x:f>
      </x:c>
      <x:c r="Q1736" s="12" t="str">
        <x:f>IF(O1736="","",(H1736*60+O1736)/86400)</x:f>
      </x:c>
      <x:c r="R1736" s="12" t="str">
        <x:f>IF(Q1736="","",TEXT(Q1736,"hh:mm:ss"))</x:f>
      </x:c>
      <x:c r="S1736" s="12" t="str">
        <x:v>是</x:v>
      </x:c>
      <x:c r="T1736" s="12" t="str">
        <x:v>否</x:v>
      </x:c>
      <x:c r="U1736" s="12" t="str">
        <x:v>孙五星</x:v>
      </x:c>
      <x:c r="V1736" s="12" t="str">
        <x:v>3号车</x:v>
      </x:c>
      <x:c r="W1736" s="12" t="str">
        <x:v>秒级预测</x:v>
      </x:c>
      <x:c r="X1736" s="12" t="str">
        <x:v>基于路线秒级参数；如录入实测或手动采用秒，预计到达时间可随公式更新</x:v>
      </x:c>
    </x:row>
    <x:row r="1737">
      <x:c r="A1737" s="12" t="str">
        <x:v>S0149-02</x:v>
      </x:c>
      <x:c r="B1737" s="12" t="str">
        <x:v>S0149</x:v>
      </x:c>
      <x:c r="C1737" s="12" t="str">
        <x:v>工作日</x:v>
      </x:c>
      <x:c r="D1737" s="12" t="str">
        <x:v>环线3路</x:v>
      </x:c>
      <x:c r="E1737" s="12" t="str">
        <x:v>第四班</x:v>
      </x:c>
      <x:c r="F1737" s="12" t="n">
        <x:v>2</x:v>
      </x:c>
      <x:c r="G1737" s="12" t="str">
        <x:v>18:20</x:v>
      </x:c>
      <x:c r="H1737" s="12" t="n">
        <x:v>1100</x:v>
      </x:c>
      <x:c r="I1737" s="12" t="str">
        <x:v>研究生宿舍楼</x:v>
      </x:c>
      <x:c r="J1737" s="12" t="str">
        <x:v>研究生宿舍楼发车</x:v>
      </x:c>
      <x:c r="K1737" s="12" t="str">
        <x:v>HX3_NORMAL</x:v>
      </x:c>
      <x:c r="L1737" s="12" t="n">
        <x:v>2</x:v>
      </x:c>
      <x:c r="M1737" s="12" t="str">
        <x:v>HX3_NORMAL|2</x:v>
      </x:c>
      <x:c r="N1737" s="12" t="str">
        <x:v>一食堂</x:v>
      </x:c>
      <x:c r="O1737" s="12" t="n">
        <x:f>IFERROR(INDEX('秒级路线参数_可调整'!$O:$O,MATCH(M1737,'秒级路线参数_可调整'!$A:$A,0)),"")</x:f>
        <x:v>65</x:v>
      </x:c>
      <x:c r="P1737" s="12" t="n">
        <x:f>IF(O1737="","",O1737/86400)</x:f>
        <x:v>0.0007523148148148148</x:v>
      </x:c>
      <x:c r="Q1737" s="12" t="n">
        <x:f>IF(O1737="","",(H1737*60+O1737)/86400)</x:f>
        <x:v>0.7646412037037037</x:v>
      </x:c>
      <x:c r="R1737" s="12" t="str">
        <x:f>IF(Q1737="","",TEXT(Q1737,"hh:mm:ss"))</x:f>
        <x:v>18:21:05</x:v>
      </x:c>
      <x:c r="S1737" s="12" t="str">
        <x:v>否</x:v>
      </x:c>
      <x:c r="T1737" s="12" t="str">
        <x:v>否</x:v>
      </x:c>
      <x:c r="U1737" s="12" t="str">
        <x:v>孙五星</x:v>
      </x:c>
      <x:c r="V1737" s="12" t="str">
        <x:v>3号车</x:v>
      </x:c>
      <x:c r="W1737" s="12" t="str">
        <x:v>秒级预测</x:v>
      </x:c>
      <x:c r="X1737" s="12" t="str">
        <x:v>基于路线秒级参数；如录入实测或手动采用秒，预计到达时间可随公式更新</x:v>
      </x:c>
    </x:row>
    <x:row r="1738">
      <x:c r="A1738" s="12" t="str">
        <x:v>S0149-03</x:v>
      </x:c>
      <x:c r="B1738" s="12" t="str">
        <x:v>S0149</x:v>
      </x:c>
      <x:c r="C1738" s="12" t="str">
        <x:v>工作日</x:v>
      </x:c>
      <x:c r="D1738" s="12" t="str">
        <x:v>环线3路</x:v>
      </x:c>
      <x:c r="E1738" s="12" t="str">
        <x:v>第四班</x:v>
      </x:c>
      <x:c r="F1738" s="12" t="n">
        <x:v>2</x:v>
      </x:c>
      <x:c r="G1738" s="12" t="str">
        <x:v>18:20</x:v>
      </x:c>
      <x:c r="H1738" s="12" t="n">
        <x:v>1100</x:v>
      </x:c>
      <x:c r="I1738" s="12" t="str">
        <x:v>研究生宿舍楼</x:v>
      </x:c>
      <x:c r="J1738" s="12" t="str">
        <x:v>研究生宿舍楼发车</x:v>
      </x:c>
      <x:c r="K1738" s="12" t="str">
        <x:v>HX3_NORMAL</x:v>
      </x:c>
      <x:c r="L1738" s="12" t="n">
        <x:v>3</x:v>
      </x:c>
      <x:c r="M1738" s="12" t="str">
        <x:v>HX3_NORMAL|3</x:v>
      </x:c>
      <x:c r="N1738" s="12" t="str">
        <x:v>2号宿舍楼</x:v>
      </x:c>
      <x:c r="O1738" s="12" t="n">
        <x:f>IFERROR(INDEX('秒级路线参数_可调整'!$O:$O,MATCH(M1738,'秒级路线参数_可调整'!$A:$A,0)),"")</x:f>
        <x:v>120</x:v>
      </x:c>
      <x:c r="P1738" s="12" t="n">
        <x:f>IF(O1738="","",O1738/86400)</x:f>
        <x:v>0.001388888888888889</x:v>
      </x:c>
      <x:c r="Q1738" s="12" t="n">
        <x:f>IF(O1738="","",(H1738*60+O1738)/86400)</x:f>
        <x:v>0.7652777777777777</x:v>
      </x:c>
      <x:c r="R1738" s="12" t="str">
        <x:f>IF(Q1738="","",TEXT(Q1738,"hh:mm:ss"))</x:f>
        <x:v>18:22:00</x:v>
      </x:c>
      <x:c r="S1738" s="12" t="str">
        <x:v>否</x:v>
      </x:c>
      <x:c r="T1738" s="12" t="str">
        <x:v>否</x:v>
      </x:c>
      <x:c r="U1738" s="12" t="str">
        <x:v>孙五星</x:v>
      </x:c>
      <x:c r="V1738" s="12" t="str">
        <x:v>3号车</x:v>
      </x:c>
      <x:c r="W1738" s="12" t="str">
        <x:v>秒级预测</x:v>
      </x:c>
      <x:c r="X1738" s="12" t="str">
        <x:v>基于路线秒级参数；如录入实测或手动采用秒，预计到达时间可随公式更新</x:v>
      </x:c>
    </x:row>
    <x:row r="1739">
      <x:c r="A1739" s="12" t="str">
        <x:v>S0149-04</x:v>
      </x:c>
      <x:c r="B1739" s="12" t="str">
        <x:v>S0149</x:v>
      </x:c>
      <x:c r="C1739" s="12" t="str">
        <x:v>工作日</x:v>
      </x:c>
      <x:c r="D1739" s="12" t="str">
        <x:v>环线3路</x:v>
      </x:c>
      <x:c r="E1739" s="12" t="str">
        <x:v>第四班</x:v>
      </x:c>
      <x:c r="F1739" s="12" t="n">
        <x:v>2</x:v>
      </x:c>
      <x:c r="G1739" s="12" t="str">
        <x:v>18:20</x:v>
      </x:c>
      <x:c r="H1739" s="12" t="n">
        <x:v>1100</x:v>
      </x:c>
      <x:c r="I1739" s="12" t="str">
        <x:v>研究生宿舍楼</x:v>
      </x:c>
      <x:c r="J1739" s="12" t="str">
        <x:v>研究生宿舍楼发车</x:v>
      </x:c>
      <x:c r="K1739" s="12" t="str">
        <x:v>HX3_NORMAL</x:v>
      </x:c>
      <x:c r="L1739" s="12" t="n">
        <x:v>4</x:v>
      </x:c>
      <x:c r="M1739" s="12" t="str">
        <x:v>HX3_NORMAL|4</x:v>
      </x:c>
      <x:c r="N1739" s="12" t="str">
        <x:v>军体活动中心</x:v>
      </x:c>
      <x:c r="O1739" s="12" t="n">
        <x:f>IFERROR(INDEX('秒级路线参数_可调整'!$O:$O,MATCH(M1739,'秒级路线参数_可调整'!$A:$A,0)),"")</x:f>
        <x:v>165</x:v>
      </x:c>
      <x:c r="P1739" s="12" t="n">
        <x:f>IF(O1739="","",O1739/86400)</x:f>
        <x:v>0.0019097222222222222</x:v>
      </x:c>
      <x:c r="Q1739" s="12" t="n">
        <x:f>IF(O1739="","",(H1739*60+O1739)/86400)</x:f>
        <x:v>0.7657986111111111</x:v>
      </x:c>
      <x:c r="R1739" s="12" t="str">
        <x:f>IF(Q1739="","",TEXT(Q1739,"hh:mm:ss"))</x:f>
        <x:v>18:22:45</x:v>
      </x:c>
      <x:c r="S1739" s="12" t="str">
        <x:v>否</x:v>
      </x:c>
      <x:c r="T1739" s="12" t="str">
        <x:v>否</x:v>
      </x:c>
      <x:c r="U1739" s="12" t="str">
        <x:v>孙五星</x:v>
      </x:c>
      <x:c r="V1739" s="12" t="str">
        <x:v>3号车</x:v>
      </x:c>
      <x:c r="W1739" s="12" t="str">
        <x:v>秒级预测</x:v>
      </x:c>
      <x:c r="X1739" s="12" t="str">
        <x:v>基于路线秒级参数；如录入实测或手动采用秒，预计到达时间可随公式更新</x:v>
      </x:c>
    </x:row>
    <x:row r="1740">
      <x:c r="A1740" s="12" t="str">
        <x:v>S0149-05</x:v>
      </x:c>
      <x:c r="B1740" s="12" t="str">
        <x:v>S0149</x:v>
      </x:c>
      <x:c r="C1740" s="12" t="str">
        <x:v>工作日</x:v>
      </x:c>
      <x:c r="D1740" s="12" t="str">
        <x:v>环线3路</x:v>
      </x:c>
      <x:c r="E1740" s="12" t="str">
        <x:v>第四班</x:v>
      </x:c>
      <x:c r="F1740" s="12" t="n">
        <x:v>2</x:v>
      </x:c>
      <x:c r="G1740" s="12" t="str">
        <x:v>18:20</x:v>
      </x:c>
      <x:c r="H1740" s="12" t="n">
        <x:v>1100</x:v>
      </x:c>
      <x:c r="I1740" s="12" t="str">
        <x:v>研究生宿舍楼</x:v>
      </x:c>
      <x:c r="J1740" s="12" t="str">
        <x:v>研究生宿舍楼发车</x:v>
      </x:c>
      <x:c r="K1740" s="12" t="str">
        <x:v>HX3_NORMAL</x:v>
      </x:c>
      <x:c r="L1740" s="12" t="n">
        <x:v>5</x:v>
      </x:c>
      <x:c r="M1740" s="12" t="str">
        <x:v>HX3_NORMAL|5</x:v>
      </x:c>
      <x:c r="N1740" s="12" t="str">
        <x:v>教勤连</x:v>
      </x:c>
      <x:c r="O1740" s="12" t="n">
        <x:f>IFERROR(INDEX('秒级路线参数_可调整'!$O:$O,MATCH(M1740,'秒级路线参数_可调整'!$A:$A,0)),"")</x:f>
        <x:v>250</x:v>
      </x:c>
      <x:c r="P1740" s="12" t="n">
        <x:f>IF(O1740="","",O1740/86400)</x:f>
        <x:v>0.0028935185185185184</x:v>
      </x:c>
      <x:c r="Q1740" s="12" t="n">
        <x:f>IF(O1740="","",(H1740*60+O1740)/86400)</x:f>
        <x:v>0.7667824074074074</x:v>
      </x:c>
      <x:c r="R1740" s="12" t="str">
        <x:f>IF(Q1740="","",TEXT(Q1740,"hh:mm:ss"))</x:f>
        <x:v>18:24:10</x:v>
      </x:c>
      <x:c r="S1740" s="12" t="str">
        <x:v>否</x:v>
      </x:c>
      <x:c r="T1740" s="12" t="str">
        <x:v>否</x:v>
      </x:c>
      <x:c r="U1740" s="12" t="str">
        <x:v>孙五星</x:v>
      </x:c>
      <x:c r="V1740" s="12" t="str">
        <x:v>3号车</x:v>
      </x:c>
      <x:c r="W1740" s="12" t="str">
        <x:v>秒级预测</x:v>
      </x:c>
      <x:c r="X1740" s="12" t="str">
        <x:v>基于路线秒级参数；如录入实测或手动采用秒，预计到达时间可随公式更新</x:v>
      </x:c>
    </x:row>
    <x:row r="1741">
      <x:c r="A1741" s="12" t="str">
        <x:v>S0149-06</x:v>
      </x:c>
      <x:c r="B1741" s="12" t="str">
        <x:v>S0149</x:v>
      </x:c>
      <x:c r="C1741" s="12" t="str">
        <x:v>工作日</x:v>
      </x:c>
      <x:c r="D1741" s="12" t="str">
        <x:v>环线3路</x:v>
      </x:c>
      <x:c r="E1741" s="12" t="str">
        <x:v>第四班</x:v>
      </x:c>
      <x:c r="F1741" s="12" t="n">
        <x:v>2</x:v>
      </x:c>
      <x:c r="G1741" s="12" t="str">
        <x:v>18:20</x:v>
      </x:c>
      <x:c r="H1741" s="12" t="n">
        <x:v>1100</x:v>
      </x:c>
      <x:c r="I1741" s="12" t="str">
        <x:v>研究生宿舍楼</x:v>
      </x:c>
      <x:c r="J1741" s="12" t="str">
        <x:v>研究生宿舍楼发车</x:v>
      </x:c>
      <x:c r="K1741" s="12" t="str">
        <x:v>HX3_NORMAL</x:v>
      </x:c>
      <x:c r="L1741" s="12" t="n">
        <x:v>6</x:v>
      </x:c>
      <x:c r="M1741" s="12" t="str">
        <x:v>HX3_NORMAL|6</x:v>
      </x:c>
      <x:c r="N1741" s="12" t="str">
        <x:v>激光所</x:v>
      </x:c>
      <x:c r="O1741" s="12" t="n">
        <x:f>IFERROR(INDEX('秒级路线参数_可调整'!$O:$O,MATCH(M1741,'秒级路线参数_可调整'!$A:$A,0)),"")</x:f>
        <x:v>315</x:v>
      </x:c>
      <x:c r="P1741" s="12" t="n">
        <x:f>IF(O1741="","",O1741/86400)</x:f>
        <x:v>0.0036458333333333334</x:v>
      </x:c>
      <x:c r="Q1741" s="12" t="n">
        <x:f>IF(O1741="","",(H1741*60+O1741)/86400)</x:f>
        <x:v>0.7675347222222222</x:v>
      </x:c>
      <x:c r="R1741" s="12" t="str">
        <x:f>IF(Q1741="","",TEXT(Q1741,"hh:mm:ss"))</x:f>
        <x:v>18:25:15</x:v>
      </x:c>
      <x:c r="S1741" s="12" t="str">
        <x:v>否</x:v>
      </x:c>
      <x:c r="T1741" s="12" t="str">
        <x:v>否</x:v>
      </x:c>
      <x:c r="U1741" s="12" t="str">
        <x:v>孙五星</x:v>
      </x:c>
      <x:c r="V1741" s="12" t="str">
        <x:v>3号车</x:v>
      </x:c>
      <x:c r="W1741" s="12" t="str">
        <x:v>秒级预测</x:v>
      </x:c>
      <x:c r="X1741" s="12" t="str">
        <x:v>基于路线秒级参数；如录入实测或手动采用秒，预计到达时间可随公式更新</x:v>
      </x:c>
    </x:row>
    <x:row r="1742">
      <x:c r="A1742" s="12" t="str">
        <x:v>S0149-07</x:v>
      </x:c>
      <x:c r="B1742" s="12" t="str">
        <x:v>S0149</x:v>
      </x:c>
      <x:c r="C1742" s="12" t="str">
        <x:v>工作日</x:v>
      </x:c>
      <x:c r="D1742" s="12" t="str">
        <x:v>环线3路</x:v>
      </x:c>
      <x:c r="E1742" s="12" t="str">
        <x:v>第四班</x:v>
      </x:c>
      <x:c r="F1742" s="12" t="n">
        <x:v>2</x:v>
      </x:c>
      <x:c r="G1742" s="12" t="str">
        <x:v>18:20</x:v>
      </x:c>
      <x:c r="H1742" s="12" t="n">
        <x:v>1100</x:v>
      </x:c>
      <x:c r="I1742" s="12" t="str">
        <x:v>研究生宿舍楼</x:v>
      </x:c>
      <x:c r="J1742" s="12" t="str">
        <x:v>研究生宿舍楼发车</x:v>
      </x:c>
      <x:c r="K1742" s="12" t="str">
        <x:v>HX3_NORMAL</x:v>
      </x:c>
      <x:c r="L1742" s="12" t="n">
        <x:v>7</x:v>
      </x:c>
      <x:c r="M1742" s="12" t="str">
        <x:v>HX3_NORMAL|7</x:v>
      </x:c>
      <x:c r="N1742" s="12" t="str">
        <x:v>高超楼</x:v>
      </x:c>
      <x:c r="O1742" s="12" t="n">
        <x:f>IFERROR(INDEX('秒级路线参数_可调整'!$O:$O,MATCH(M1742,'秒级路线参数_可调整'!$A:$A,0)),"")</x:f>
        <x:v>420</x:v>
      </x:c>
      <x:c r="P1742" s="12" t="n">
        <x:f>IF(O1742="","",O1742/86400)</x:f>
        <x:v>0.004861111111111111</x:v>
      </x:c>
      <x:c r="Q1742" s="12" t="n">
        <x:f>IF(O1742="","",(H1742*60+O1742)/86400)</x:f>
        <x:v>0.76875</x:v>
      </x:c>
      <x:c r="R1742" s="12" t="str">
        <x:f>IF(Q1742="","",TEXT(Q1742,"hh:mm:ss"))</x:f>
        <x:v>18:27:00</x:v>
      </x:c>
      <x:c r="S1742" s="12" t="str">
        <x:v>否</x:v>
      </x:c>
      <x:c r="T1742" s="12" t="str">
        <x:v>否</x:v>
      </x:c>
      <x:c r="U1742" s="12" t="str">
        <x:v>孙五星</x:v>
      </x:c>
      <x:c r="V1742" s="12" t="str">
        <x:v>3号车</x:v>
      </x:c>
      <x:c r="W1742" s="12" t="str">
        <x:v>秒级预测</x:v>
      </x:c>
      <x:c r="X1742" s="12" t="str">
        <x:v>基于路线秒级参数；如录入实测或手动采用秒，预计到达时间可随公式更新</x:v>
      </x:c>
    </x:row>
    <x:row r="1743">
      <x:c r="A1743" s="12" t="str">
        <x:v>S0149-08</x:v>
      </x:c>
      <x:c r="B1743" s="12" t="str">
        <x:v>S0149</x:v>
      </x:c>
      <x:c r="C1743" s="12" t="str">
        <x:v>工作日</x:v>
      </x:c>
      <x:c r="D1743" s="12" t="str">
        <x:v>环线3路</x:v>
      </x:c>
      <x:c r="E1743" s="12" t="str">
        <x:v>第四班</x:v>
      </x:c>
      <x:c r="F1743" s="12" t="n">
        <x:v>2</x:v>
      </x:c>
      <x:c r="G1743" s="12" t="str">
        <x:v>18:20</x:v>
      </x:c>
      <x:c r="H1743" s="12" t="n">
        <x:v>1100</x:v>
      </x:c>
      <x:c r="I1743" s="12" t="str">
        <x:v>研究生宿舍楼</x:v>
      </x:c>
      <x:c r="J1743" s="12" t="str">
        <x:v>研究生宿舍楼发车</x:v>
      </x:c>
      <x:c r="K1743" s="12" t="str">
        <x:v>HX3_NORMAL</x:v>
      </x:c>
      <x:c r="L1743" s="12" t="n">
        <x:v>8</x:v>
      </x:c>
      <x:c r="M1743" s="12" t="str">
        <x:v>HX3_NORMAL|8</x:v>
      </x:c>
      <x:c r="N1743" s="12" t="str">
        <x:v>理学院</x:v>
      </x:c>
      <x:c r="O1743" s="12" t="n">
        <x:f>IFERROR(INDEX('秒级路线参数_可调整'!$O:$O,MATCH(M1743,'秒级路线参数_可调整'!$A:$A,0)),"")</x:f>
        <x:v>480</x:v>
      </x:c>
      <x:c r="P1743" s="12" t="n">
        <x:f>IF(O1743="","",O1743/86400)</x:f>
        <x:v>0.005555555555555556</x:v>
      </x:c>
      <x:c r="Q1743" s="12" t="n">
        <x:f>IF(O1743="","",(H1743*60+O1743)/86400)</x:f>
        <x:v>0.7694444444444445</x:v>
      </x:c>
      <x:c r="R1743" s="12" t="str">
        <x:f>IF(Q1743="","",TEXT(Q1743,"hh:mm:ss"))</x:f>
        <x:v>18:28:00</x:v>
      </x:c>
      <x:c r="S1743" s="12" t="str">
        <x:v>否</x:v>
      </x:c>
      <x:c r="T1743" s="12" t="str">
        <x:v>否</x:v>
      </x:c>
      <x:c r="U1743" s="12" t="str">
        <x:v>孙五星</x:v>
      </x:c>
      <x:c r="V1743" s="12" t="str">
        <x:v>3号车</x:v>
      </x:c>
      <x:c r="W1743" s="12" t="str">
        <x:v>秒级预测</x:v>
      </x:c>
      <x:c r="X1743" s="12" t="str">
        <x:v>基于路线秒级参数；如录入实测或手动采用秒，预计到达时间可随公式更新</x:v>
      </x:c>
    </x:row>
    <x:row r="1744">
      <x:c r="A1744" s="12" t="str">
        <x:v>S0149-09</x:v>
      </x:c>
      <x:c r="B1744" s="12" t="str">
        <x:v>S0149</x:v>
      </x:c>
      <x:c r="C1744" s="12" t="str">
        <x:v>工作日</x:v>
      </x:c>
      <x:c r="D1744" s="12" t="str">
        <x:v>环线3路</x:v>
      </x:c>
      <x:c r="E1744" s="12" t="str">
        <x:v>第四班</x:v>
      </x:c>
      <x:c r="F1744" s="12" t="n">
        <x:v>2</x:v>
      </x:c>
      <x:c r="G1744" s="12" t="str">
        <x:v>18:20</x:v>
      </x:c>
      <x:c r="H1744" s="12" t="n">
        <x:v>1100</x:v>
      </x:c>
      <x:c r="I1744" s="12" t="str">
        <x:v>研究生宿舍楼</x:v>
      </x:c>
      <x:c r="J1744" s="12" t="str">
        <x:v>研究生宿舍楼发车</x:v>
      </x:c>
      <x:c r="K1744" s="12" t="str">
        <x:v>HX3_NORMAL</x:v>
      </x:c>
      <x:c r="L1744" s="12" t="n">
        <x:v>9</x:v>
      </x:c>
      <x:c r="M1744" s="12" t="str">
        <x:v>HX3_NORMAL|9</x:v>
      </x:c>
      <x:c r="N1744" s="12" t="str">
        <x:v>二食堂</x:v>
      </x:c>
      <x:c r="O1744" s="12" t="n">
        <x:f>IFERROR(INDEX('秒级路线参数_可调整'!$O:$O,MATCH(M1744,'秒级路线参数_可调整'!$A:$A,0)),"")</x:f>
        <x:v>535</x:v>
      </x:c>
      <x:c r="P1744" s="12" t="n">
        <x:f>IF(O1744="","",O1744/86400)</x:f>
        <x:v>0.00619212962962963</x:v>
      </x:c>
      <x:c r="Q1744" s="12" t="n">
        <x:f>IF(O1744="","",(H1744*60+O1744)/86400)</x:f>
        <x:v>0.7700810185185185</x:v>
      </x:c>
      <x:c r="R1744" s="12" t="str">
        <x:f>IF(Q1744="","",TEXT(Q1744,"hh:mm:ss"))</x:f>
        <x:v>18:28:55</x:v>
      </x:c>
      <x:c r="S1744" s="12" t="str">
        <x:v>否</x:v>
      </x:c>
      <x:c r="T1744" s="12" t="str">
        <x:v>否</x:v>
      </x:c>
      <x:c r="U1744" s="12" t="str">
        <x:v>孙五星</x:v>
      </x:c>
      <x:c r="V1744" s="12" t="str">
        <x:v>3号车</x:v>
      </x:c>
      <x:c r="W1744" s="12" t="str">
        <x:v>秒级预测</x:v>
      </x:c>
      <x:c r="X1744" s="12" t="str">
        <x:v>基于路线秒级参数；如录入实测或手动采用秒，预计到达时间可随公式更新</x:v>
      </x:c>
    </x:row>
    <x:row r="1745">
      <x:c r="A1745" s="12" t="str">
        <x:v>S0149-10</x:v>
      </x:c>
      <x:c r="B1745" s="12" t="str">
        <x:v>S0149</x:v>
      </x:c>
      <x:c r="C1745" s="12" t="str">
        <x:v>工作日</x:v>
      </x:c>
      <x:c r="D1745" s="12" t="str">
        <x:v>环线3路</x:v>
      </x:c>
      <x:c r="E1745" s="12" t="str">
        <x:v>第四班</x:v>
      </x:c>
      <x:c r="F1745" s="12" t="n">
        <x:v>2</x:v>
      </x:c>
      <x:c r="G1745" s="12" t="str">
        <x:v>18:20</x:v>
      </x:c>
      <x:c r="H1745" s="12" t="n">
        <x:v>1100</x:v>
      </x:c>
      <x:c r="I1745" s="12" t="str">
        <x:v>研究生宿舍楼</x:v>
      </x:c>
      <x:c r="J1745" s="12" t="str">
        <x:v>研究生宿舍楼发车</x:v>
      </x:c>
      <x:c r="K1745" s="12" t="str">
        <x:v>HX3_NORMAL</x:v>
      </x:c>
      <x:c r="L1745" s="12" t="n">
        <x:v>10</x:v>
      </x:c>
      <x:c r="M1745" s="12" t="str">
        <x:v>HX3_NORMAL|10</x:v>
      </x:c>
      <x:c r="N1745" s="12" t="str">
        <x:v>图书馆</x:v>
      </x:c>
      <x:c r="O1745" s="12" t="n">
        <x:f>IFERROR(INDEX('秒级路线参数_可调整'!$O:$O,MATCH(M1745,'秒级路线参数_可调整'!$A:$A,0)),"")</x:f>
        <x:v>715</x:v>
      </x:c>
      <x:c r="P1745" s="12" t="n">
        <x:f>IF(O1745="","",O1745/86400)</x:f>
        <x:v>0.008275462962962964</x:v>
      </x:c>
      <x:c r="Q1745" s="12" t="n">
        <x:f>IF(O1745="","",(H1745*60+O1745)/86400)</x:f>
        <x:v>0.7721643518518518</x:v>
      </x:c>
      <x:c r="R1745" s="12" t="str">
        <x:f>IF(Q1745="","",TEXT(Q1745,"hh:mm:ss"))</x:f>
        <x:v>18:31:55</x:v>
      </x:c>
      <x:c r="S1745" s="12" t="str">
        <x:v>否</x:v>
      </x:c>
      <x:c r="T1745" s="12" t="str">
        <x:v>否</x:v>
      </x:c>
      <x:c r="U1745" s="12" t="str">
        <x:v>孙五星</x:v>
      </x:c>
      <x:c r="V1745" s="12" t="str">
        <x:v>3号车</x:v>
      </x:c>
      <x:c r="W1745" s="12" t="str">
        <x:v>秒级预测</x:v>
      </x:c>
      <x:c r="X1745" s="12" t="str">
        <x:v>基于路线秒级参数；如录入实测或手动采用秒，预计到达时间可随公式更新</x:v>
      </x:c>
    </x:row>
    <x:row r="1746">
      <x:c r="A1746" s="12" t="str">
        <x:v>S0149-11</x:v>
      </x:c>
      <x:c r="B1746" s="12" t="str">
        <x:v>S0149</x:v>
      </x:c>
      <x:c r="C1746" s="12" t="str">
        <x:v>工作日</x:v>
      </x:c>
      <x:c r="D1746" s="12" t="str">
        <x:v>环线3路</x:v>
      </x:c>
      <x:c r="E1746" s="12" t="str">
        <x:v>第四班</x:v>
      </x:c>
      <x:c r="F1746" s="12" t="n">
        <x:v>2</x:v>
      </x:c>
      <x:c r="G1746" s="12" t="str">
        <x:v>18:20</x:v>
      </x:c>
      <x:c r="H1746" s="12" t="n">
        <x:v>1100</x:v>
      </x:c>
      <x:c r="I1746" s="12" t="str">
        <x:v>研究生宿舍楼</x:v>
      </x:c>
      <x:c r="J1746" s="12" t="str">
        <x:v>研究生宿舍楼发车</x:v>
      </x:c>
      <x:c r="K1746" s="12" t="str">
        <x:v>HX3_NORMAL</x:v>
      </x:c>
      <x:c r="L1746" s="12" t="n">
        <x:v>11</x:v>
      </x:c>
      <x:c r="M1746" s="12" t="str">
        <x:v>HX3_NORMAL|11</x:v>
      </x:c>
      <x:c r="N1746" s="12" t="str">
        <x:v>305教学楼</x:v>
      </x:c>
      <x:c r="O1746" s="12" t="n">
        <x:f>IFERROR(INDEX('秒级路线参数_可调整'!$O:$O,MATCH(M1746,'秒级路线参数_可调整'!$A:$A,0)),"")</x:f>
        <x:v>775</x:v>
      </x:c>
      <x:c r="P1746" s="12" t="n">
        <x:f>IF(O1746="","",O1746/86400)</x:f>
        <x:v>0.008969907407407407</x:v>
      </x:c>
      <x:c r="Q1746" s="12" t="n">
        <x:f>IF(O1746="","",(H1746*60+O1746)/86400)</x:f>
        <x:v>0.7728587962962963</x:v>
      </x:c>
      <x:c r="R1746" s="12" t="str">
        <x:f>IF(Q1746="","",TEXT(Q1746,"hh:mm:ss"))</x:f>
        <x:v>18:32:55</x:v>
      </x:c>
      <x:c r="S1746" s="12" t="str">
        <x:v>否</x:v>
      </x:c>
      <x:c r="T1746" s="12" t="str">
        <x:v>否</x:v>
      </x:c>
      <x:c r="U1746" s="12" t="str">
        <x:v>孙五星</x:v>
      </x:c>
      <x:c r="V1746" s="12" t="str">
        <x:v>3号车</x:v>
      </x:c>
      <x:c r="W1746" s="12" t="str">
        <x:v>秒级预测</x:v>
      </x:c>
      <x:c r="X1746" s="12" t="str">
        <x:v>基于路线秒级参数；如录入实测或手动采用秒，预计到达时间可随公式更新</x:v>
      </x:c>
    </x:row>
    <x:row r="1747">
      <x:c r="A1747" s="12" t="str">
        <x:v>S0149-12</x:v>
      </x:c>
      <x:c r="B1747" s="12" t="str">
        <x:v>S0149</x:v>
      </x:c>
      <x:c r="C1747" s="12" t="str">
        <x:v>工作日</x:v>
      </x:c>
      <x:c r="D1747" s="12" t="str">
        <x:v>环线3路</x:v>
      </x:c>
      <x:c r="E1747" s="12" t="str">
        <x:v>第四班</x:v>
      </x:c>
      <x:c r="F1747" s="12" t="n">
        <x:v>2</x:v>
      </x:c>
      <x:c r="G1747" s="12" t="str">
        <x:v>18:20</x:v>
      </x:c>
      <x:c r="H1747" s="12" t="n">
        <x:v>1100</x:v>
      </x:c>
      <x:c r="I1747" s="12" t="str">
        <x:v>研究生宿舍楼</x:v>
      </x:c>
      <x:c r="J1747" s="12" t="str">
        <x:v>研究生宿舍楼发车</x:v>
      </x:c>
      <x:c r="K1747" s="12" t="str">
        <x:v>HX3_NORMAL</x:v>
      </x:c>
      <x:c r="L1747" s="12" t="n">
        <x:v>12</x:v>
      </x:c>
      <x:c r="M1747" s="12" t="str">
        <x:v>HX3_NORMAL|12</x:v>
      </x:c>
      <x:c r="N1747" s="12" t="str">
        <x:v>研究生宿舍楼</x:v>
      </x:c>
      <x:c r="O1747" s="12" t="n">
        <x:f>IFERROR(INDEX('秒级路线参数_可调整'!$O:$O,MATCH(M1747,'秒级路线参数_可调整'!$A:$A,0)),"")</x:f>
        <x:v>840</x:v>
      </x:c>
      <x:c r="P1747" s="12" t="n">
        <x:f>IF(O1747="","",O1747/86400)</x:f>
        <x:v>0.009722222222222222</x:v>
      </x:c>
      <x:c r="Q1747" s="12" t="n">
        <x:f>IF(O1747="","",(H1747*60+O1747)/86400)</x:f>
        <x:v>0.7736111111111111</x:v>
      </x:c>
      <x:c r="R1747" s="12" t="str">
        <x:f>IF(Q1747="","",TEXT(Q1747,"hh:mm:ss"))</x:f>
        <x:v>18:34:00</x:v>
      </x:c>
      <x:c r="S1747" s="12" t="str">
        <x:v>否</x:v>
      </x:c>
      <x:c r="T1747" s="12" t="str">
        <x:v>是</x:v>
      </x:c>
      <x:c r="U1747" s="12" t="str">
        <x:v>孙五星</x:v>
      </x:c>
      <x:c r="V1747" s="12" t="str">
        <x:v>3号车</x:v>
      </x:c>
      <x:c r="W1747" s="12" t="str">
        <x:v>秒级预测</x:v>
      </x:c>
      <x:c r="X1747" s="12" t="str">
        <x:v>基于路线秒级参数；如录入实测或手动采用秒，预计到达时间可随公式更新</x:v>
      </x:c>
    </x:row>
    <x:row r="1748">
      <x:c r="A1748" s="12" t="str">
        <x:v>S0150-01</x:v>
      </x:c>
      <x:c r="B1748" s="12" t="str">
        <x:v>S0150</x:v>
      </x:c>
      <x:c r="C1748" s="12" t="str">
        <x:v>工作日</x:v>
      </x:c>
      <x:c r="D1748" s="12" t="str">
        <x:v>环线3路</x:v>
      </x:c>
      <x:c r="E1748" s="12" t="str">
        <x:v>第四班</x:v>
      </x:c>
      <x:c r="F1748" s="12" t="n">
        <x:v>3</x:v>
      </x:c>
      <x:c r="G1748" s="12" t="str">
        <x:v>18:50</x:v>
      </x:c>
      <x:c r="H1748" s="12" t="n">
        <x:v>1130</x:v>
      </x:c>
      <x:c r="I1748" s="12" t="str">
        <x:v>研究生宿舍楼</x:v>
      </x:c>
      <x:c r="J1748" s="12" t="str">
        <x:v>研究生宿舍楼发车</x:v>
      </x:c>
      <x:c r="K1748" s="12" t="str">
        <x:v>HX3_NORMAL</x:v>
      </x:c>
      <x:c r="L1748" s="12" t="n">
        <x:v>1</x:v>
      </x:c>
      <x:c r="M1748" s="12" t="str">
        <x:v>HX3_NORMAL|1</x:v>
      </x:c>
      <x:c r="N1748" s="12" t="str">
        <x:v>研究生宿舍楼</x:v>
      </x:c>
      <x:c r="O1748" s="12" t="n">
        <x:f>IFERROR(INDEX('秒级路线参数_可调整'!$O:$O,MATCH(M1748,'秒级路线参数_可调整'!$A:$A,0)),"")</x:f>
        <x:v>0</x:v>
      </x:c>
      <x:c r="P1748" s="12" t="str">
        <x:f>IF(O1748="","",O1748/86400)</x:f>
      </x:c>
      <x:c r="Q1748" s="12" t="str">
        <x:f>IF(O1748="","",(H1748*60+O1748)/86400)</x:f>
      </x:c>
      <x:c r="R1748" s="12" t="str">
        <x:f>IF(Q1748="","",TEXT(Q1748,"hh:mm:ss"))</x:f>
      </x:c>
      <x:c r="S1748" s="12" t="str">
        <x:v>是</x:v>
      </x:c>
      <x:c r="T1748" s="12" t="str">
        <x:v>否</x:v>
      </x:c>
      <x:c r="U1748" s="12" t="str">
        <x:v>孙五星</x:v>
      </x:c>
      <x:c r="V1748" s="12" t="str">
        <x:v>3号车</x:v>
      </x:c>
      <x:c r="W1748" s="12" t="str">
        <x:v>秒级预测</x:v>
      </x:c>
      <x:c r="X1748" s="12" t="str">
        <x:v>基于路线秒级参数；如录入实测或手动采用秒，预计到达时间可随公式更新</x:v>
      </x:c>
    </x:row>
    <x:row r="1749">
      <x:c r="A1749" s="12" t="str">
        <x:v>S0150-02</x:v>
      </x:c>
      <x:c r="B1749" s="12" t="str">
        <x:v>S0150</x:v>
      </x:c>
      <x:c r="C1749" s="12" t="str">
        <x:v>工作日</x:v>
      </x:c>
      <x:c r="D1749" s="12" t="str">
        <x:v>环线3路</x:v>
      </x:c>
      <x:c r="E1749" s="12" t="str">
        <x:v>第四班</x:v>
      </x:c>
      <x:c r="F1749" s="12" t="n">
        <x:v>3</x:v>
      </x:c>
      <x:c r="G1749" s="12" t="str">
        <x:v>18:50</x:v>
      </x:c>
      <x:c r="H1749" s="12" t="n">
        <x:v>1130</x:v>
      </x:c>
      <x:c r="I1749" s="12" t="str">
        <x:v>研究生宿舍楼</x:v>
      </x:c>
      <x:c r="J1749" s="12" t="str">
        <x:v>研究生宿舍楼发车</x:v>
      </x:c>
      <x:c r="K1749" s="12" t="str">
        <x:v>HX3_NORMAL</x:v>
      </x:c>
      <x:c r="L1749" s="12" t="n">
        <x:v>2</x:v>
      </x:c>
      <x:c r="M1749" s="12" t="str">
        <x:v>HX3_NORMAL|2</x:v>
      </x:c>
      <x:c r="N1749" s="12" t="str">
        <x:v>一食堂</x:v>
      </x:c>
      <x:c r="O1749" s="12" t="n">
        <x:f>IFERROR(INDEX('秒级路线参数_可调整'!$O:$O,MATCH(M1749,'秒级路线参数_可调整'!$A:$A,0)),"")</x:f>
        <x:v>65</x:v>
      </x:c>
      <x:c r="P1749" s="12" t="n">
        <x:f>IF(O1749="","",O1749/86400)</x:f>
        <x:v>0.0007523148148148148</x:v>
      </x:c>
      <x:c r="Q1749" s="12" t="n">
        <x:f>IF(O1749="","",(H1749*60+O1749)/86400)</x:f>
        <x:v>0.7854745370370371</x:v>
      </x:c>
      <x:c r="R1749" s="12" t="str">
        <x:f>IF(Q1749="","",TEXT(Q1749,"hh:mm:ss"))</x:f>
        <x:v>18:51:05</x:v>
      </x:c>
      <x:c r="S1749" s="12" t="str">
        <x:v>否</x:v>
      </x:c>
      <x:c r="T1749" s="12" t="str">
        <x:v>否</x:v>
      </x:c>
      <x:c r="U1749" s="12" t="str">
        <x:v>孙五星</x:v>
      </x:c>
      <x:c r="V1749" s="12" t="str">
        <x:v>3号车</x:v>
      </x:c>
      <x:c r="W1749" s="12" t="str">
        <x:v>秒级预测</x:v>
      </x:c>
      <x:c r="X1749" s="12" t="str">
        <x:v>基于路线秒级参数；如录入实测或手动采用秒，预计到达时间可随公式更新</x:v>
      </x:c>
    </x:row>
    <x:row r="1750">
      <x:c r="A1750" s="12" t="str">
        <x:v>S0150-03</x:v>
      </x:c>
      <x:c r="B1750" s="12" t="str">
        <x:v>S0150</x:v>
      </x:c>
      <x:c r="C1750" s="12" t="str">
        <x:v>工作日</x:v>
      </x:c>
      <x:c r="D1750" s="12" t="str">
        <x:v>环线3路</x:v>
      </x:c>
      <x:c r="E1750" s="12" t="str">
        <x:v>第四班</x:v>
      </x:c>
      <x:c r="F1750" s="12" t="n">
        <x:v>3</x:v>
      </x:c>
      <x:c r="G1750" s="12" t="str">
        <x:v>18:50</x:v>
      </x:c>
      <x:c r="H1750" s="12" t="n">
        <x:v>1130</x:v>
      </x:c>
      <x:c r="I1750" s="12" t="str">
        <x:v>研究生宿舍楼</x:v>
      </x:c>
      <x:c r="J1750" s="12" t="str">
        <x:v>研究生宿舍楼发车</x:v>
      </x:c>
      <x:c r="K1750" s="12" t="str">
        <x:v>HX3_NORMAL</x:v>
      </x:c>
      <x:c r="L1750" s="12" t="n">
        <x:v>3</x:v>
      </x:c>
      <x:c r="M1750" s="12" t="str">
        <x:v>HX3_NORMAL|3</x:v>
      </x:c>
      <x:c r="N1750" s="12" t="str">
        <x:v>2号宿舍楼</x:v>
      </x:c>
      <x:c r="O1750" s="12" t="n">
        <x:f>IFERROR(INDEX('秒级路线参数_可调整'!$O:$O,MATCH(M1750,'秒级路线参数_可调整'!$A:$A,0)),"")</x:f>
        <x:v>120</x:v>
      </x:c>
      <x:c r="P1750" s="12" t="n">
        <x:f>IF(O1750="","",O1750/86400)</x:f>
        <x:v>0.001388888888888889</x:v>
      </x:c>
      <x:c r="Q1750" s="12" t="n">
        <x:f>IF(O1750="","",(H1750*60+O1750)/86400)</x:f>
        <x:v>0.7861111111111111</x:v>
      </x:c>
      <x:c r="R1750" s="12" t="str">
        <x:f>IF(Q1750="","",TEXT(Q1750,"hh:mm:ss"))</x:f>
        <x:v>18:52:00</x:v>
      </x:c>
      <x:c r="S1750" s="12" t="str">
        <x:v>否</x:v>
      </x:c>
      <x:c r="T1750" s="12" t="str">
        <x:v>否</x:v>
      </x:c>
      <x:c r="U1750" s="12" t="str">
        <x:v>孙五星</x:v>
      </x:c>
      <x:c r="V1750" s="12" t="str">
        <x:v>3号车</x:v>
      </x:c>
      <x:c r="W1750" s="12" t="str">
        <x:v>秒级预测</x:v>
      </x:c>
      <x:c r="X1750" s="12" t="str">
        <x:v>基于路线秒级参数；如录入实测或手动采用秒，预计到达时间可随公式更新</x:v>
      </x:c>
    </x:row>
    <x:row r="1751">
      <x:c r="A1751" s="12" t="str">
        <x:v>S0150-04</x:v>
      </x:c>
      <x:c r="B1751" s="12" t="str">
        <x:v>S0150</x:v>
      </x:c>
      <x:c r="C1751" s="12" t="str">
        <x:v>工作日</x:v>
      </x:c>
      <x:c r="D1751" s="12" t="str">
        <x:v>环线3路</x:v>
      </x:c>
      <x:c r="E1751" s="12" t="str">
        <x:v>第四班</x:v>
      </x:c>
      <x:c r="F1751" s="12" t="n">
        <x:v>3</x:v>
      </x:c>
      <x:c r="G1751" s="12" t="str">
        <x:v>18:50</x:v>
      </x:c>
      <x:c r="H1751" s="12" t="n">
        <x:v>1130</x:v>
      </x:c>
      <x:c r="I1751" s="12" t="str">
        <x:v>研究生宿舍楼</x:v>
      </x:c>
      <x:c r="J1751" s="12" t="str">
        <x:v>研究生宿舍楼发车</x:v>
      </x:c>
      <x:c r="K1751" s="12" t="str">
        <x:v>HX3_NORMAL</x:v>
      </x:c>
      <x:c r="L1751" s="12" t="n">
        <x:v>4</x:v>
      </x:c>
      <x:c r="M1751" s="12" t="str">
        <x:v>HX3_NORMAL|4</x:v>
      </x:c>
      <x:c r="N1751" s="12" t="str">
        <x:v>军体活动中心</x:v>
      </x:c>
      <x:c r="O1751" s="12" t="n">
        <x:f>IFERROR(INDEX('秒级路线参数_可调整'!$O:$O,MATCH(M1751,'秒级路线参数_可调整'!$A:$A,0)),"")</x:f>
        <x:v>165</x:v>
      </x:c>
      <x:c r="P1751" s="12" t="n">
        <x:f>IF(O1751="","",O1751/86400)</x:f>
        <x:v>0.0019097222222222222</x:v>
      </x:c>
      <x:c r="Q1751" s="12" t="n">
        <x:f>IF(O1751="","",(H1751*60+O1751)/86400)</x:f>
        <x:v>0.7866319444444444</x:v>
      </x:c>
      <x:c r="R1751" s="12" t="str">
        <x:f>IF(Q1751="","",TEXT(Q1751,"hh:mm:ss"))</x:f>
        <x:v>18:52:45</x:v>
      </x:c>
      <x:c r="S1751" s="12" t="str">
        <x:v>否</x:v>
      </x:c>
      <x:c r="T1751" s="12" t="str">
        <x:v>否</x:v>
      </x:c>
      <x:c r="U1751" s="12" t="str">
        <x:v>孙五星</x:v>
      </x:c>
      <x:c r="V1751" s="12" t="str">
        <x:v>3号车</x:v>
      </x:c>
      <x:c r="W1751" s="12" t="str">
        <x:v>秒级预测</x:v>
      </x:c>
      <x:c r="X1751" s="12" t="str">
        <x:v>基于路线秒级参数；如录入实测或手动采用秒，预计到达时间可随公式更新</x:v>
      </x:c>
    </x:row>
    <x:row r="1752">
      <x:c r="A1752" s="12" t="str">
        <x:v>S0150-05</x:v>
      </x:c>
      <x:c r="B1752" s="12" t="str">
        <x:v>S0150</x:v>
      </x:c>
      <x:c r="C1752" s="12" t="str">
        <x:v>工作日</x:v>
      </x:c>
      <x:c r="D1752" s="12" t="str">
        <x:v>环线3路</x:v>
      </x:c>
      <x:c r="E1752" s="12" t="str">
        <x:v>第四班</x:v>
      </x:c>
      <x:c r="F1752" s="12" t="n">
        <x:v>3</x:v>
      </x:c>
      <x:c r="G1752" s="12" t="str">
        <x:v>18:50</x:v>
      </x:c>
      <x:c r="H1752" s="12" t="n">
        <x:v>1130</x:v>
      </x:c>
      <x:c r="I1752" s="12" t="str">
        <x:v>研究生宿舍楼</x:v>
      </x:c>
      <x:c r="J1752" s="12" t="str">
        <x:v>研究生宿舍楼发车</x:v>
      </x:c>
      <x:c r="K1752" s="12" t="str">
        <x:v>HX3_NORMAL</x:v>
      </x:c>
      <x:c r="L1752" s="12" t="n">
        <x:v>5</x:v>
      </x:c>
      <x:c r="M1752" s="12" t="str">
        <x:v>HX3_NORMAL|5</x:v>
      </x:c>
      <x:c r="N1752" s="12" t="str">
        <x:v>教勤连</x:v>
      </x:c>
      <x:c r="O1752" s="12" t="n">
        <x:f>IFERROR(INDEX('秒级路线参数_可调整'!$O:$O,MATCH(M1752,'秒级路线参数_可调整'!$A:$A,0)),"")</x:f>
        <x:v>250</x:v>
      </x:c>
      <x:c r="P1752" s="12" t="n">
        <x:f>IF(O1752="","",O1752/86400)</x:f>
        <x:v>0.0028935185185185184</x:v>
      </x:c>
      <x:c r="Q1752" s="12" t="n">
        <x:f>IF(O1752="","",(H1752*60+O1752)/86400)</x:f>
        <x:v>0.7876157407407407</x:v>
      </x:c>
      <x:c r="R1752" s="12" t="str">
        <x:f>IF(Q1752="","",TEXT(Q1752,"hh:mm:ss"))</x:f>
        <x:v>18:54:10</x:v>
      </x:c>
      <x:c r="S1752" s="12" t="str">
        <x:v>否</x:v>
      </x:c>
      <x:c r="T1752" s="12" t="str">
        <x:v>否</x:v>
      </x:c>
      <x:c r="U1752" s="12" t="str">
        <x:v>孙五星</x:v>
      </x:c>
      <x:c r="V1752" s="12" t="str">
        <x:v>3号车</x:v>
      </x:c>
      <x:c r="W1752" s="12" t="str">
        <x:v>秒级预测</x:v>
      </x:c>
      <x:c r="X1752" s="12" t="str">
        <x:v>基于路线秒级参数；如录入实测或手动采用秒，预计到达时间可随公式更新</x:v>
      </x:c>
    </x:row>
    <x:row r="1753">
      <x:c r="A1753" s="12" t="str">
        <x:v>S0150-06</x:v>
      </x:c>
      <x:c r="B1753" s="12" t="str">
        <x:v>S0150</x:v>
      </x:c>
      <x:c r="C1753" s="12" t="str">
        <x:v>工作日</x:v>
      </x:c>
      <x:c r="D1753" s="12" t="str">
        <x:v>环线3路</x:v>
      </x:c>
      <x:c r="E1753" s="12" t="str">
        <x:v>第四班</x:v>
      </x:c>
      <x:c r="F1753" s="12" t="n">
        <x:v>3</x:v>
      </x:c>
      <x:c r="G1753" s="12" t="str">
        <x:v>18:50</x:v>
      </x:c>
      <x:c r="H1753" s="12" t="n">
        <x:v>1130</x:v>
      </x:c>
      <x:c r="I1753" s="12" t="str">
        <x:v>研究生宿舍楼</x:v>
      </x:c>
      <x:c r="J1753" s="12" t="str">
        <x:v>研究生宿舍楼发车</x:v>
      </x:c>
      <x:c r="K1753" s="12" t="str">
        <x:v>HX3_NORMAL</x:v>
      </x:c>
      <x:c r="L1753" s="12" t="n">
        <x:v>6</x:v>
      </x:c>
      <x:c r="M1753" s="12" t="str">
        <x:v>HX3_NORMAL|6</x:v>
      </x:c>
      <x:c r="N1753" s="12" t="str">
        <x:v>激光所</x:v>
      </x:c>
      <x:c r="O1753" s="12" t="n">
        <x:f>IFERROR(INDEX('秒级路线参数_可调整'!$O:$O,MATCH(M1753,'秒级路线参数_可调整'!$A:$A,0)),"")</x:f>
        <x:v>315</x:v>
      </x:c>
      <x:c r="P1753" s="12" t="n">
        <x:f>IF(O1753="","",O1753/86400)</x:f>
        <x:v>0.0036458333333333334</x:v>
      </x:c>
      <x:c r="Q1753" s="12" t="n">
        <x:f>IF(O1753="","",(H1753*60+O1753)/86400)</x:f>
        <x:v>0.7883680555555556</x:v>
      </x:c>
      <x:c r="R1753" s="12" t="str">
        <x:f>IF(Q1753="","",TEXT(Q1753,"hh:mm:ss"))</x:f>
        <x:v>18:55:15</x:v>
      </x:c>
      <x:c r="S1753" s="12" t="str">
        <x:v>否</x:v>
      </x:c>
      <x:c r="T1753" s="12" t="str">
        <x:v>否</x:v>
      </x:c>
      <x:c r="U1753" s="12" t="str">
        <x:v>孙五星</x:v>
      </x:c>
      <x:c r="V1753" s="12" t="str">
        <x:v>3号车</x:v>
      </x:c>
      <x:c r="W1753" s="12" t="str">
        <x:v>秒级预测</x:v>
      </x:c>
      <x:c r="X1753" s="12" t="str">
        <x:v>基于路线秒级参数；如录入实测或手动采用秒，预计到达时间可随公式更新</x:v>
      </x:c>
    </x:row>
    <x:row r="1754">
      <x:c r="A1754" s="12" t="str">
        <x:v>S0150-07</x:v>
      </x:c>
      <x:c r="B1754" s="12" t="str">
        <x:v>S0150</x:v>
      </x:c>
      <x:c r="C1754" s="12" t="str">
        <x:v>工作日</x:v>
      </x:c>
      <x:c r="D1754" s="12" t="str">
        <x:v>环线3路</x:v>
      </x:c>
      <x:c r="E1754" s="12" t="str">
        <x:v>第四班</x:v>
      </x:c>
      <x:c r="F1754" s="12" t="n">
        <x:v>3</x:v>
      </x:c>
      <x:c r="G1754" s="12" t="str">
        <x:v>18:50</x:v>
      </x:c>
      <x:c r="H1754" s="12" t="n">
        <x:v>1130</x:v>
      </x:c>
      <x:c r="I1754" s="12" t="str">
        <x:v>研究生宿舍楼</x:v>
      </x:c>
      <x:c r="J1754" s="12" t="str">
        <x:v>研究生宿舍楼发车</x:v>
      </x:c>
      <x:c r="K1754" s="12" t="str">
        <x:v>HX3_NORMAL</x:v>
      </x:c>
      <x:c r="L1754" s="12" t="n">
        <x:v>7</x:v>
      </x:c>
      <x:c r="M1754" s="12" t="str">
        <x:v>HX3_NORMAL|7</x:v>
      </x:c>
      <x:c r="N1754" s="12" t="str">
        <x:v>高超楼</x:v>
      </x:c>
      <x:c r="O1754" s="12" t="n">
        <x:f>IFERROR(INDEX('秒级路线参数_可调整'!$O:$O,MATCH(M1754,'秒级路线参数_可调整'!$A:$A,0)),"")</x:f>
        <x:v>420</x:v>
      </x:c>
      <x:c r="P1754" s="12" t="n">
        <x:f>IF(O1754="","",O1754/86400)</x:f>
        <x:v>0.004861111111111111</x:v>
      </x:c>
      <x:c r="Q1754" s="12" t="n">
        <x:f>IF(O1754="","",(H1754*60+O1754)/86400)</x:f>
        <x:v>0.7895833333333333</x:v>
      </x:c>
      <x:c r="R1754" s="12" t="str">
        <x:f>IF(Q1754="","",TEXT(Q1754,"hh:mm:ss"))</x:f>
        <x:v>18:57:00</x:v>
      </x:c>
      <x:c r="S1754" s="12" t="str">
        <x:v>否</x:v>
      </x:c>
      <x:c r="T1754" s="12" t="str">
        <x:v>否</x:v>
      </x:c>
      <x:c r="U1754" s="12" t="str">
        <x:v>孙五星</x:v>
      </x:c>
      <x:c r="V1754" s="12" t="str">
        <x:v>3号车</x:v>
      </x:c>
      <x:c r="W1754" s="12" t="str">
        <x:v>秒级预测</x:v>
      </x:c>
      <x:c r="X1754" s="12" t="str">
        <x:v>基于路线秒级参数；如录入实测或手动采用秒，预计到达时间可随公式更新</x:v>
      </x:c>
    </x:row>
    <x:row r="1755">
      <x:c r="A1755" s="12" t="str">
        <x:v>S0150-08</x:v>
      </x:c>
      <x:c r="B1755" s="12" t="str">
        <x:v>S0150</x:v>
      </x:c>
      <x:c r="C1755" s="12" t="str">
        <x:v>工作日</x:v>
      </x:c>
      <x:c r="D1755" s="12" t="str">
        <x:v>环线3路</x:v>
      </x:c>
      <x:c r="E1755" s="12" t="str">
        <x:v>第四班</x:v>
      </x:c>
      <x:c r="F1755" s="12" t="n">
        <x:v>3</x:v>
      </x:c>
      <x:c r="G1755" s="12" t="str">
        <x:v>18:50</x:v>
      </x:c>
      <x:c r="H1755" s="12" t="n">
        <x:v>1130</x:v>
      </x:c>
      <x:c r="I1755" s="12" t="str">
        <x:v>研究生宿舍楼</x:v>
      </x:c>
      <x:c r="J1755" s="12" t="str">
        <x:v>研究生宿舍楼发车</x:v>
      </x:c>
      <x:c r="K1755" s="12" t="str">
        <x:v>HX3_NORMAL</x:v>
      </x:c>
      <x:c r="L1755" s="12" t="n">
        <x:v>8</x:v>
      </x:c>
      <x:c r="M1755" s="12" t="str">
        <x:v>HX3_NORMAL|8</x:v>
      </x:c>
      <x:c r="N1755" s="12" t="str">
        <x:v>理学院</x:v>
      </x:c>
      <x:c r="O1755" s="12" t="n">
        <x:f>IFERROR(INDEX('秒级路线参数_可调整'!$O:$O,MATCH(M1755,'秒级路线参数_可调整'!$A:$A,0)),"")</x:f>
        <x:v>480</x:v>
      </x:c>
      <x:c r="P1755" s="12" t="n">
        <x:f>IF(O1755="","",O1755/86400)</x:f>
        <x:v>0.005555555555555556</x:v>
      </x:c>
      <x:c r="Q1755" s="12" t="n">
        <x:f>IF(O1755="","",(H1755*60+O1755)/86400)</x:f>
        <x:v>0.7902777777777777</x:v>
      </x:c>
      <x:c r="R1755" s="12" t="str">
        <x:f>IF(Q1755="","",TEXT(Q1755,"hh:mm:ss"))</x:f>
        <x:v>18:58:00</x:v>
      </x:c>
      <x:c r="S1755" s="12" t="str">
        <x:v>否</x:v>
      </x:c>
      <x:c r="T1755" s="12" t="str">
        <x:v>否</x:v>
      </x:c>
      <x:c r="U1755" s="12" t="str">
        <x:v>孙五星</x:v>
      </x:c>
      <x:c r="V1755" s="12" t="str">
        <x:v>3号车</x:v>
      </x:c>
      <x:c r="W1755" s="12" t="str">
        <x:v>秒级预测</x:v>
      </x:c>
      <x:c r="X1755" s="12" t="str">
        <x:v>基于路线秒级参数；如录入实测或手动采用秒，预计到达时间可随公式更新</x:v>
      </x:c>
    </x:row>
    <x:row r="1756">
      <x:c r="A1756" s="12" t="str">
        <x:v>S0150-09</x:v>
      </x:c>
      <x:c r="B1756" s="12" t="str">
        <x:v>S0150</x:v>
      </x:c>
      <x:c r="C1756" s="12" t="str">
        <x:v>工作日</x:v>
      </x:c>
      <x:c r="D1756" s="12" t="str">
        <x:v>环线3路</x:v>
      </x:c>
      <x:c r="E1756" s="12" t="str">
        <x:v>第四班</x:v>
      </x:c>
      <x:c r="F1756" s="12" t="n">
        <x:v>3</x:v>
      </x:c>
      <x:c r="G1756" s="12" t="str">
        <x:v>18:50</x:v>
      </x:c>
      <x:c r="H1756" s="12" t="n">
        <x:v>1130</x:v>
      </x:c>
      <x:c r="I1756" s="12" t="str">
        <x:v>研究生宿舍楼</x:v>
      </x:c>
      <x:c r="J1756" s="12" t="str">
        <x:v>研究生宿舍楼发车</x:v>
      </x:c>
      <x:c r="K1756" s="12" t="str">
        <x:v>HX3_NORMAL</x:v>
      </x:c>
      <x:c r="L1756" s="12" t="n">
        <x:v>9</x:v>
      </x:c>
      <x:c r="M1756" s="12" t="str">
        <x:v>HX3_NORMAL|9</x:v>
      </x:c>
      <x:c r="N1756" s="12" t="str">
        <x:v>二食堂</x:v>
      </x:c>
      <x:c r="O1756" s="12" t="n">
        <x:f>IFERROR(INDEX('秒级路线参数_可调整'!$O:$O,MATCH(M1756,'秒级路线参数_可调整'!$A:$A,0)),"")</x:f>
        <x:v>535</x:v>
      </x:c>
      <x:c r="P1756" s="12" t="n">
        <x:f>IF(O1756="","",O1756/86400)</x:f>
        <x:v>0.00619212962962963</x:v>
      </x:c>
      <x:c r="Q1756" s="12" t="n">
        <x:f>IF(O1756="","",(H1756*60+O1756)/86400)</x:f>
        <x:v>0.7909143518518519</x:v>
      </x:c>
      <x:c r="R1756" s="12" t="str">
        <x:f>IF(Q1756="","",TEXT(Q1756,"hh:mm:ss"))</x:f>
        <x:v>18:58:55</x:v>
      </x:c>
      <x:c r="S1756" s="12" t="str">
        <x:v>否</x:v>
      </x:c>
      <x:c r="T1756" s="12" t="str">
        <x:v>否</x:v>
      </x:c>
      <x:c r="U1756" s="12" t="str">
        <x:v>孙五星</x:v>
      </x:c>
      <x:c r="V1756" s="12" t="str">
        <x:v>3号车</x:v>
      </x:c>
      <x:c r="W1756" s="12" t="str">
        <x:v>秒级预测</x:v>
      </x:c>
      <x:c r="X1756" s="12" t="str">
        <x:v>基于路线秒级参数；如录入实测或手动采用秒，预计到达时间可随公式更新</x:v>
      </x:c>
    </x:row>
    <x:row r="1757">
      <x:c r="A1757" s="12" t="str">
        <x:v>S0150-10</x:v>
      </x:c>
      <x:c r="B1757" s="12" t="str">
        <x:v>S0150</x:v>
      </x:c>
      <x:c r="C1757" s="12" t="str">
        <x:v>工作日</x:v>
      </x:c>
      <x:c r="D1757" s="12" t="str">
        <x:v>环线3路</x:v>
      </x:c>
      <x:c r="E1757" s="12" t="str">
        <x:v>第四班</x:v>
      </x:c>
      <x:c r="F1757" s="12" t="n">
        <x:v>3</x:v>
      </x:c>
      <x:c r="G1757" s="12" t="str">
        <x:v>18:50</x:v>
      </x:c>
      <x:c r="H1757" s="12" t="n">
        <x:v>1130</x:v>
      </x:c>
      <x:c r="I1757" s="12" t="str">
        <x:v>研究生宿舍楼</x:v>
      </x:c>
      <x:c r="J1757" s="12" t="str">
        <x:v>研究生宿舍楼发车</x:v>
      </x:c>
      <x:c r="K1757" s="12" t="str">
        <x:v>HX3_NORMAL</x:v>
      </x:c>
      <x:c r="L1757" s="12" t="n">
        <x:v>10</x:v>
      </x:c>
      <x:c r="M1757" s="12" t="str">
        <x:v>HX3_NORMAL|10</x:v>
      </x:c>
      <x:c r="N1757" s="12" t="str">
        <x:v>图书馆</x:v>
      </x:c>
      <x:c r="O1757" s="12" t="n">
        <x:f>IFERROR(INDEX('秒级路线参数_可调整'!$O:$O,MATCH(M1757,'秒级路线参数_可调整'!$A:$A,0)),"")</x:f>
        <x:v>715</x:v>
      </x:c>
      <x:c r="P1757" s="12" t="n">
        <x:f>IF(O1757="","",O1757/86400)</x:f>
        <x:v>0.008275462962962964</x:v>
      </x:c>
      <x:c r="Q1757" s="12" t="n">
        <x:f>IF(O1757="","",(H1757*60+O1757)/86400)</x:f>
        <x:v>0.7929976851851852</x:v>
      </x:c>
      <x:c r="R1757" s="12" t="str">
        <x:f>IF(Q1757="","",TEXT(Q1757,"hh:mm:ss"))</x:f>
        <x:v>19:01:55</x:v>
      </x:c>
      <x:c r="S1757" s="12" t="str">
        <x:v>否</x:v>
      </x:c>
      <x:c r="T1757" s="12" t="str">
        <x:v>否</x:v>
      </x:c>
      <x:c r="U1757" s="12" t="str">
        <x:v>孙五星</x:v>
      </x:c>
      <x:c r="V1757" s="12" t="str">
        <x:v>3号车</x:v>
      </x:c>
      <x:c r="W1757" s="12" t="str">
        <x:v>秒级预测</x:v>
      </x:c>
      <x:c r="X1757" s="12" t="str">
        <x:v>基于路线秒级参数；如录入实测或手动采用秒，预计到达时间可随公式更新</x:v>
      </x:c>
    </x:row>
    <x:row r="1758">
      <x:c r="A1758" s="12" t="str">
        <x:v>S0150-11</x:v>
      </x:c>
      <x:c r="B1758" s="12" t="str">
        <x:v>S0150</x:v>
      </x:c>
      <x:c r="C1758" s="12" t="str">
        <x:v>工作日</x:v>
      </x:c>
      <x:c r="D1758" s="12" t="str">
        <x:v>环线3路</x:v>
      </x:c>
      <x:c r="E1758" s="12" t="str">
        <x:v>第四班</x:v>
      </x:c>
      <x:c r="F1758" s="12" t="n">
        <x:v>3</x:v>
      </x:c>
      <x:c r="G1758" s="12" t="str">
        <x:v>18:50</x:v>
      </x:c>
      <x:c r="H1758" s="12" t="n">
        <x:v>1130</x:v>
      </x:c>
      <x:c r="I1758" s="12" t="str">
        <x:v>研究生宿舍楼</x:v>
      </x:c>
      <x:c r="J1758" s="12" t="str">
        <x:v>研究生宿舍楼发车</x:v>
      </x:c>
      <x:c r="K1758" s="12" t="str">
        <x:v>HX3_NORMAL</x:v>
      </x:c>
      <x:c r="L1758" s="12" t="n">
        <x:v>11</x:v>
      </x:c>
      <x:c r="M1758" s="12" t="str">
        <x:v>HX3_NORMAL|11</x:v>
      </x:c>
      <x:c r="N1758" s="12" t="str">
        <x:v>305教学楼</x:v>
      </x:c>
      <x:c r="O1758" s="12" t="n">
        <x:f>IFERROR(INDEX('秒级路线参数_可调整'!$O:$O,MATCH(M1758,'秒级路线参数_可调整'!$A:$A,0)),"")</x:f>
        <x:v>775</x:v>
      </x:c>
      <x:c r="P1758" s="12" t="n">
        <x:f>IF(O1758="","",O1758/86400)</x:f>
        <x:v>0.008969907407407407</x:v>
      </x:c>
      <x:c r="Q1758" s="12" t="n">
        <x:f>IF(O1758="","",(H1758*60+O1758)/86400)</x:f>
        <x:v>0.7936921296296297</x:v>
      </x:c>
      <x:c r="R1758" s="12" t="str">
        <x:f>IF(Q1758="","",TEXT(Q1758,"hh:mm:ss"))</x:f>
        <x:v>19:02:55</x:v>
      </x:c>
      <x:c r="S1758" s="12" t="str">
        <x:v>否</x:v>
      </x:c>
      <x:c r="T1758" s="12" t="str">
        <x:v>否</x:v>
      </x:c>
      <x:c r="U1758" s="12" t="str">
        <x:v>孙五星</x:v>
      </x:c>
      <x:c r="V1758" s="12" t="str">
        <x:v>3号车</x:v>
      </x:c>
      <x:c r="W1758" s="12" t="str">
        <x:v>秒级预测</x:v>
      </x:c>
      <x:c r="X1758" s="12" t="str">
        <x:v>基于路线秒级参数；如录入实测或手动采用秒，预计到达时间可随公式更新</x:v>
      </x:c>
    </x:row>
    <x:row r="1759">
      <x:c r="A1759" s="12" t="str">
        <x:v>S0150-12</x:v>
      </x:c>
      <x:c r="B1759" s="12" t="str">
        <x:v>S0150</x:v>
      </x:c>
      <x:c r="C1759" s="12" t="str">
        <x:v>工作日</x:v>
      </x:c>
      <x:c r="D1759" s="12" t="str">
        <x:v>环线3路</x:v>
      </x:c>
      <x:c r="E1759" s="12" t="str">
        <x:v>第四班</x:v>
      </x:c>
      <x:c r="F1759" s="12" t="n">
        <x:v>3</x:v>
      </x:c>
      <x:c r="G1759" s="12" t="str">
        <x:v>18:50</x:v>
      </x:c>
      <x:c r="H1759" s="12" t="n">
        <x:v>1130</x:v>
      </x:c>
      <x:c r="I1759" s="12" t="str">
        <x:v>研究生宿舍楼</x:v>
      </x:c>
      <x:c r="J1759" s="12" t="str">
        <x:v>研究生宿舍楼发车</x:v>
      </x:c>
      <x:c r="K1759" s="12" t="str">
        <x:v>HX3_NORMAL</x:v>
      </x:c>
      <x:c r="L1759" s="12" t="n">
        <x:v>12</x:v>
      </x:c>
      <x:c r="M1759" s="12" t="str">
        <x:v>HX3_NORMAL|12</x:v>
      </x:c>
      <x:c r="N1759" s="12" t="str">
        <x:v>研究生宿舍楼</x:v>
      </x:c>
      <x:c r="O1759" s="12" t="n">
        <x:f>IFERROR(INDEX('秒级路线参数_可调整'!$O:$O,MATCH(M1759,'秒级路线参数_可调整'!$A:$A,0)),"")</x:f>
        <x:v>840</x:v>
      </x:c>
      <x:c r="P1759" s="12" t="n">
        <x:f>IF(O1759="","",O1759/86400)</x:f>
        <x:v>0.009722222222222222</x:v>
      </x:c>
      <x:c r="Q1759" s="12" t="n">
        <x:f>IF(O1759="","",(H1759*60+O1759)/86400)</x:f>
        <x:v>0.7944444444444444</x:v>
      </x:c>
      <x:c r="R1759" s="12" t="str">
        <x:f>IF(Q1759="","",TEXT(Q1759,"hh:mm:ss"))</x:f>
        <x:v>19:04:00</x:v>
      </x:c>
      <x:c r="S1759" s="12" t="str">
        <x:v>否</x:v>
      </x:c>
      <x:c r="T1759" s="12" t="str">
        <x:v>是</x:v>
      </x:c>
      <x:c r="U1759" s="12" t="str">
        <x:v>孙五星</x:v>
      </x:c>
      <x:c r="V1759" s="12" t="str">
        <x:v>3号车</x:v>
      </x:c>
      <x:c r="W1759" s="12" t="str">
        <x:v>秒级预测</x:v>
      </x:c>
      <x:c r="X1759" s="12" t="str">
        <x:v>基于路线秒级参数；如录入实测或手动采用秒，预计到达时间可随公式更新</x:v>
      </x:c>
    </x:row>
    <x:row r="1760">
      <x:c r="A1760" s="12" t="str">
        <x:v>S0151-01</x:v>
      </x:c>
      <x:c r="B1760" s="12" t="str">
        <x:v>S0151</x:v>
      </x:c>
      <x:c r="C1760" s="12" t="str">
        <x:v>工作日</x:v>
      </x:c>
      <x:c r="D1760" s="12" t="str">
        <x:v>环线3路</x:v>
      </x:c>
      <x:c r="E1760" s="12" t="str">
        <x:v>第四班</x:v>
      </x:c>
      <x:c r="F1760" s="12" t="n">
        <x:v>4</x:v>
      </x:c>
      <x:c r="G1760" s="12" t="str">
        <x:v>19:20</x:v>
      </x:c>
      <x:c r="H1760" s="12" t="n">
        <x:v>1160</x:v>
      </x:c>
      <x:c r="I1760" s="12" t="str">
        <x:v>研究生宿舍楼</x:v>
      </x:c>
      <x:c r="J1760" s="12" t="str">
        <x:v>研究生宿舍楼发车</x:v>
      </x:c>
      <x:c r="K1760" s="12" t="str">
        <x:v>HX3_NORMAL</x:v>
      </x:c>
      <x:c r="L1760" s="12" t="n">
        <x:v>1</x:v>
      </x:c>
      <x:c r="M1760" s="12" t="str">
        <x:v>HX3_NORMAL|1</x:v>
      </x:c>
      <x:c r="N1760" s="12" t="str">
        <x:v>研究生宿舍楼</x:v>
      </x:c>
      <x:c r="O1760" s="12" t="n">
        <x:f>IFERROR(INDEX('秒级路线参数_可调整'!$O:$O,MATCH(M1760,'秒级路线参数_可调整'!$A:$A,0)),"")</x:f>
        <x:v>0</x:v>
      </x:c>
      <x:c r="P1760" s="12" t="str">
        <x:f>IF(O1760="","",O1760/86400)</x:f>
      </x:c>
      <x:c r="Q1760" s="12" t="str">
        <x:f>IF(O1760="","",(H1760*60+O1760)/86400)</x:f>
      </x:c>
      <x:c r="R1760" s="12" t="str">
        <x:f>IF(Q1760="","",TEXT(Q1760,"hh:mm:ss"))</x:f>
      </x:c>
      <x:c r="S1760" s="12" t="str">
        <x:v>是</x:v>
      </x:c>
      <x:c r="T1760" s="12" t="str">
        <x:v>否</x:v>
      </x:c>
      <x:c r="U1760" s="12" t="str">
        <x:v>孙五星</x:v>
      </x:c>
      <x:c r="V1760" s="12" t="str">
        <x:v>3号车</x:v>
      </x:c>
      <x:c r="W1760" s="12" t="str">
        <x:v>秒级预测</x:v>
      </x:c>
      <x:c r="X1760" s="12" t="str">
        <x:v>基于路线秒级参数；如录入实测或手动采用秒，预计到达时间可随公式更新</x:v>
      </x:c>
    </x:row>
    <x:row r="1761">
      <x:c r="A1761" s="12" t="str">
        <x:v>S0151-02</x:v>
      </x:c>
      <x:c r="B1761" s="12" t="str">
        <x:v>S0151</x:v>
      </x:c>
      <x:c r="C1761" s="12" t="str">
        <x:v>工作日</x:v>
      </x:c>
      <x:c r="D1761" s="12" t="str">
        <x:v>环线3路</x:v>
      </x:c>
      <x:c r="E1761" s="12" t="str">
        <x:v>第四班</x:v>
      </x:c>
      <x:c r="F1761" s="12" t="n">
        <x:v>4</x:v>
      </x:c>
      <x:c r="G1761" s="12" t="str">
        <x:v>19:20</x:v>
      </x:c>
      <x:c r="H1761" s="12" t="n">
        <x:v>1160</x:v>
      </x:c>
      <x:c r="I1761" s="12" t="str">
        <x:v>研究生宿舍楼</x:v>
      </x:c>
      <x:c r="J1761" s="12" t="str">
        <x:v>研究生宿舍楼发车</x:v>
      </x:c>
      <x:c r="K1761" s="12" t="str">
        <x:v>HX3_NORMAL</x:v>
      </x:c>
      <x:c r="L1761" s="12" t="n">
        <x:v>2</x:v>
      </x:c>
      <x:c r="M1761" s="12" t="str">
        <x:v>HX3_NORMAL|2</x:v>
      </x:c>
      <x:c r="N1761" s="12" t="str">
        <x:v>一食堂</x:v>
      </x:c>
      <x:c r="O1761" s="12" t="n">
        <x:f>IFERROR(INDEX('秒级路线参数_可调整'!$O:$O,MATCH(M1761,'秒级路线参数_可调整'!$A:$A,0)),"")</x:f>
        <x:v>65</x:v>
      </x:c>
      <x:c r="P1761" s="12" t="n">
        <x:f>IF(O1761="","",O1761/86400)</x:f>
        <x:v>0.0007523148148148148</x:v>
      </x:c>
      <x:c r="Q1761" s="12" t="n">
        <x:f>IF(O1761="","",(H1761*60+O1761)/86400)</x:f>
        <x:v>0.8063078703703703</x:v>
      </x:c>
      <x:c r="R1761" s="12" t="str">
        <x:f>IF(Q1761="","",TEXT(Q1761,"hh:mm:ss"))</x:f>
        <x:v>19:21:05</x:v>
      </x:c>
      <x:c r="S1761" s="12" t="str">
        <x:v>否</x:v>
      </x:c>
      <x:c r="T1761" s="12" t="str">
        <x:v>否</x:v>
      </x:c>
      <x:c r="U1761" s="12" t="str">
        <x:v>孙五星</x:v>
      </x:c>
      <x:c r="V1761" s="12" t="str">
        <x:v>3号车</x:v>
      </x:c>
      <x:c r="W1761" s="12" t="str">
        <x:v>秒级预测</x:v>
      </x:c>
      <x:c r="X1761" s="12" t="str">
        <x:v>基于路线秒级参数；如录入实测或手动采用秒，预计到达时间可随公式更新</x:v>
      </x:c>
    </x:row>
    <x:row r="1762">
      <x:c r="A1762" s="12" t="str">
        <x:v>S0151-03</x:v>
      </x:c>
      <x:c r="B1762" s="12" t="str">
        <x:v>S0151</x:v>
      </x:c>
      <x:c r="C1762" s="12" t="str">
        <x:v>工作日</x:v>
      </x:c>
      <x:c r="D1762" s="12" t="str">
        <x:v>环线3路</x:v>
      </x:c>
      <x:c r="E1762" s="12" t="str">
        <x:v>第四班</x:v>
      </x:c>
      <x:c r="F1762" s="12" t="n">
        <x:v>4</x:v>
      </x:c>
      <x:c r="G1762" s="12" t="str">
        <x:v>19:20</x:v>
      </x:c>
      <x:c r="H1762" s="12" t="n">
        <x:v>1160</x:v>
      </x:c>
      <x:c r="I1762" s="12" t="str">
        <x:v>研究生宿舍楼</x:v>
      </x:c>
      <x:c r="J1762" s="12" t="str">
        <x:v>研究生宿舍楼发车</x:v>
      </x:c>
      <x:c r="K1762" s="12" t="str">
        <x:v>HX3_NORMAL</x:v>
      </x:c>
      <x:c r="L1762" s="12" t="n">
        <x:v>3</x:v>
      </x:c>
      <x:c r="M1762" s="12" t="str">
        <x:v>HX3_NORMAL|3</x:v>
      </x:c>
      <x:c r="N1762" s="12" t="str">
        <x:v>2号宿舍楼</x:v>
      </x:c>
      <x:c r="O1762" s="12" t="n">
        <x:f>IFERROR(INDEX('秒级路线参数_可调整'!$O:$O,MATCH(M1762,'秒级路线参数_可调整'!$A:$A,0)),"")</x:f>
        <x:v>120</x:v>
      </x:c>
      <x:c r="P1762" s="12" t="n">
        <x:f>IF(O1762="","",O1762/86400)</x:f>
        <x:v>0.001388888888888889</x:v>
      </x:c>
      <x:c r="Q1762" s="12" t="n">
        <x:f>IF(O1762="","",(H1762*60+O1762)/86400)</x:f>
        <x:v>0.8069444444444445</x:v>
      </x:c>
      <x:c r="R1762" s="12" t="str">
        <x:f>IF(Q1762="","",TEXT(Q1762,"hh:mm:ss"))</x:f>
        <x:v>19:22:00</x:v>
      </x:c>
      <x:c r="S1762" s="12" t="str">
        <x:v>否</x:v>
      </x:c>
      <x:c r="T1762" s="12" t="str">
        <x:v>否</x:v>
      </x:c>
      <x:c r="U1762" s="12" t="str">
        <x:v>孙五星</x:v>
      </x:c>
      <x:c r="V1762" s="12" t="str">
        <x:v>3号车</x:v>
      </x:c>
      <x:c r="W1762" s="12" t="str">
        <x:v>秒级预测</x:v>
      </x:c>
      <x:c r="X1762" s="12" t="str">
        <x:v>基于路线秒级参数；如录入实测或手动采用秒，预计到达时间可随公式更新</x:v>
      </x:c>
    </x:row>
    <x:row r="1763">
      <x:c r="A1763" s="12" t="str">
        <x:v>S0151-04</x:v>
      </x:c>
      <x:c r="B1763" s="12" t="str">
        <x:v>S0151</x:v>
      </x:c>
      <x:c r="C1763" s="12" t="str">
        <x:v>工作日</x:v>
      </x:c>
      <x:c r="D1763" s="12" t="str">
        <x:v>环线3路</x:v>
      </x:c>
      <x:c r="E1763" s="12" t="str">
        <x:v>第四班</x:v>
      </x:c>
      <x:c r="F1763" s="12" t="n">
        <x:v>4</x:v>
      </x:c>
      <x:c r="G1763" s="12" t="str">
        <x:v>19:20</x:v>
      </x:c>
      <x:c r="H1763" s="12" t="n">
        <x:v>1160</x:v>
      </x:c>
      <x:c r="I1763" s="12" t="str">
        <x:v>研究生宿舍楼</x:v>
      </x:c>
      <x:c r="J1763" s="12" t="str">
        <x:v>研究生宿舍楼发车</x:v>
      </x:c>
      <x:c r="K1763" s="12" t="str">
        <x:v>HX3_NORMAL</x:v>
      </x:c>
      <x:c r="L1763" s="12" t="n">
        <x:v>4</x:v>
      </x:c>
      <x:c r="M1763" s="12" t="str">
        <x:v>HX3_NORMAL|4</x:v>
      </x:c>
      <x:c r="N1763" s="12" t="str">
        <x:v>军体活动中心</x:v>
      </x:c>
      <x:c r="O1763" s="12" t="n">
        <x:f>IFERROR(INDEX('秒级路线参数_可调整'!$O:$O,MATCH(M1763,'秒级路线参数_可调整'!$A:$A,0)),"")</x:f>
        <x:v>165</x:v>
      </x:c>
      <x:c r="P1763" s="12" t="n">
        <x:f>IF(O1763="","",O1763/86400)</x:f>
        <x:v>0.0019097222222222222</x:v>
      </x:c>
      <x:c r="Q1763" s="12" t="n">
        <x:f>IF(O1763="","",(H1763*60+O1763)/86400)</x:f>
        <x:v>0.8074652777777778</x:v>
      </x:c>
      <x:c r="R1763" s="12" t="str">
        <x:f>IF(Q1763="","",TEXT(Q1763,"hh:mm:ss"))</x:f>
        <x:v>19:22:45</x:v>
      </x:c>
      <x:c r="S1763" s="12" t="str">
        <x:v>否</x:v>
      </x:c>
      <x:c r="T1763" s="12" t="str">
        <x:v>否</x:v>
      </x:c>
      <x:c r="U1763" s="12" t="str">
        <x:v>孙五星</x:v>
      </x:c>
      <x:c r="V1763" s="12" t="str">
        <x:v>3号车</x:v>
      </x:c>
      <x:c r="W1763" s="12" t="str">
        <x:v>秒级预测</x:v>
      </x:c>
      <x:c r="X1763" s="12" t="str">
        <x:v>基于路线秒级参数；如录入实测或手动采用秒，预计到达时间可随公式更新</x:v>
      </x:c>
    </x:row>
    <x:row r="1764">
      <x:c r="A1764" s="12" t="str">
        <x:v>S0151-05</x:v>
      </x:c>
      <x:c r="B1764" s="12" t="str">
        <x:v>S0151</x:v>
      </x:c>
      <x:c r="C1764" s="12" t="str">
        <x:v>工作日</x:v>
      </x:c>
      <x:c r="D1764" s="12" t="str">
        <x:v>环线3路</x:v>
      </x:c>
      <x:c r="E1764" s="12" t="str">
        <x:v>第四班</x:v>
      </x:c>
      <x:c r="F1764" s="12" t="n">
        <x:v>4</x:v>
      </x:c>
      <x:c r="G1764" s="12" t="str">
        <x:v>19:20</x:v>
      </x:c>
      <x:c r="H1764" s="12" t="n">
        <x:v>1160</x:v>
      </x:c>
      <x:c r="I1764" s="12" t="str">
        <x:v>研究生宿舍楼</x:v>
      </x:c>
      <x:c r="J1764" s="12" t="str">
        <x:v>研究生宿舍楼发车</x:v>
      </x:c>
      <x:c r="K1764" s="12" t="str">
        <x:v>HX3_NORMAL</x:v>
      </x:c>
      <x:c r="L1764" s="12" t="n">
        <x:v>5</x:v>
      </x:c>
      <x:c r="M1764" s="12" t="str">
        <x:v>HX3_NORMAL|5</x:v>
      </x:c>
      <x:c r="N1764" s="12" t="str">
        <x:v>教勤连</x:v>
      </x:c>
      <x:c r="O1764" s="12" t="n">
        <x:f>IFERROR(INDEX('秒级路线参数_可调整'!$O:$O,MATCH(M1764,'秒级路线参数_可调整'!$A:$A,0)),"")</x:f>
        <x:v>250</x:v>
      </x:c>
      <x:c r="P1764" s="12" t="n">
        <x:f>IF(O1764="","",O1764/86400)</x:f>
        <x:v>0.0028935185185185184</x:v>
      </x:c>
      <x:c r="Q1764" s="12" t="n">
        <x:f>IF(O1764="","",(H1764*60+O1764)/86400)</x:f>
        <x:v>0.8084490740740741</x:v>
      </x:c>
      <x:c r="R1764" s="12" t="str">
        <x:f>IF(Q1764="","",TEXT(Q1764,"hh:mm:ss"))</x:f>
        <x:v>19:24:10</x:v>
      </x:c>
      <x:c r="S1764" s="12" t="str">
        <x:v>否</x:v>
      </x:c>
      <x:c r="T1764" s="12" t="str">
        <x:v>否</x:v>
      </x:c>
      <x:c r="U1764" s="12" t="str">
        <x:v>孙五星</x:v>
      </x:c>
      <x:c r="V1764" s="12" t="str">
        <x:v>3号车</x:v>
      </x:c>
      <x:c r="W1764" s="12" t="str">
        <x:v>秒级预测</x:v>
      </x:c>
      <x:c r="X1764" s="12" t="str">
        <x:v>基于路线秒级参数；如录入实测或手动采用秒，预计到达时间可随公式更新</x:v>
      </x:c>
    </x:row>
    <x:row r="1765">
      <x:c r="A1765" s="12" t="str">
        <x:v>S0151-06</x:v>
      </x:c>
      <x:c r="B1765" s="12" t="str">
        <x:v>S0151</x:v>
      </x:c>
      <x:c r="C1765" s="12" t="str">
        <x:v>工作日</x:v>
      </x:c>
      <x:c r="D1765" s="12" t="str">
        <x:v>环线3路</x:v>
      </x:c>
      <x:c r="E1765" s="12" t="str">
        <x:v>第四班</x:v>
      </x:c>
      <x:c r="F1765" s="12" t="n">
        <x:v>4</x:v>
      </x:c>
      <x:c r="G1765" s="12" t="str">
        <x:v>19:20</x:v>
      </x:c>
      <x:c r="H1765" s="12" t="n">
        <x:v>1160</x:v>
      </x:c>
      <x:c r="I1765" s="12" t="str">
        <x:v>研究生宿舍楼</x:v>
      </x:c>
      <x:c r="J1765" s="12" t="str">
        <x:v>研究生宿舍楼发车</x:v>
      </x:c>
      <x:c r="K1765" s="12" t="str">
        <x:v>HX3_NORMAL</x:v>
      </x:c>
      <x:c r="L1765" s="12" t="n">
        <x:v>6</x:v>
      </x:c>
      <x:c r="M1765" s="12" t="str">
        <x:v>HX3_NORMAL|6</x:v>
      </x:c>
      <x:c r="N1765" s="12" t="str">
        <x:v>激光所</x:v>
      </x:c>
      <x:c r="O1765" s="12" t="n">
        <x:f>IFERROR(INDEX('秒级路线参数_可调整'!$O:$O,MATCH(M1765,'秒级路线参数_可调整'!$A:$A,0)),"")</x:f>
        <x:v>315</x:v>
      </x:c>
      <x:c r="P1765" s="12" t="n">
        <x:f>IF(O1765="","",O1765/86400)</x:f>
        <x:v>0.0036458333333333334</x:v>
      </x:c>
      <x:c r="Q1765" s="12" t="n">
        <x:f>IF(O1765="","",(H1765*60+O1765)/86400)</x:f>
        <x:v>0.8092013888888889</x:v>
      </x:c>
      <x:c r="R1765" s="12" t="str">
        <x:f>IF(Q1765="","",TEXT(Q1765,"hh:mm:ss"))</x:f>
        <x:v>19:25:15</x:v>
      </x:c>
      <x:c r="S1765" s="12" t="str">
        <x:v>否</x:v>
      </x:c>
      <x:c r="T1765" s="12" t="str">
        <x:v>否</x:v>
      </x:c>
      <x:c r="U1765" s="12" t="str">
        <x:v>孙五星</x:v>
      </x:c>
      <x:c r="V1765" s="12" t="str">
        <x:v>3号车</x:v>
      </x:c>
      <x:c r="W1765" s="12" t="str">
        <x:v>秒级预测</x:v>
      </x:c>
      <x:c r="X1765" s="12" t="str">
        <x:v>基于路线秒级参数；如录入实测或手动采用秒，预计到达时间可随公式更新</x:v>
      </x:c>
    </x:row>
    <x:row r="1766">
      <x:c r="A1766" s="12" t="str">
        <x:v>S0151-07</x:v>
      </x:c>
      <x:c r="B1766" s="12" t="str">
        <x:v>S0151</x:v>
      </x:c>
      <x:c r="C1766" s="12" t="str">
        <x:v>工作日</x:v>
      </x:c>
      <x:c r="D1766" s="12" t="str">
        <x:v>环线3路</x:v>
      </x:c>
      <x:c r="E1766" s="12" t="str">
        <x:v>第四班</x:v>
      </x:c>
      <x:c r="F1766" s="12" t="n">
        <x:v>4</x:v>
      </x:c>
      <x:c r="G1766" s="12" t="str">
        <x:v>19:20</x:v>
      </x:c>
      <x:c r="H1766" s="12" t="n">
        <x:v>1160</x:v>
      </x:c>
      <x:c r="I1766" s="12" t="str">
        <x:v>研究生宿舍楼</x:v>
      </x:c>
      <x:c r="J1766" s="12" t="str">
        <x:v>研究生宿舍楼发车</x:v>
      </x:c>
      <x:c r="K1766" s="12" t="str">
        <x:v>HX3_NORMAL</x:v>
      </x:c>
      <x:c r="L1766" s="12" t="n">
        <x:v>7</x:v>
      </x:c>
      <x:c r="M1766" s="12" t="str">
        <x:v>HX3_NORMAL|7</x:v>
      </x:c>
      <x:c r="N1766" s="12" t="str">
        <x:v>高超楼</x:v>
      </x:c>
      <x:c r="O1766" s="12" t="n">
        <x:f>IFERROR(INDEX('秒级路线参数_可调整'!$O:$O,MATCH(M1766,'秒级路线参数_可调整'!$A:$A,0)),"")</x:f>
        <x:v>420</x:v>
      </x:c>
      <x:c r="P1766" s="12" t="n">
        <x:f>IF(O1766="","",O1766/86400)</x:f>
        <x:v>0.004861111111111111</x:v>
      </x:c>
      <x:c r="Q1766" s="12" t="n">
        <x:f>IF(O1766="","",(H1766*60+O1766)/86400)</x:f>
        <x:v>0.8104166666666667</x:v>
      </x:c>
      <x:c r="R1766" s="12" t="str">
        <x:f>IF(Q1766="","",TEXT(Q1766,"hh:mm:ss"))</x:f>
        <x:v>19:27:00</x:v>
      </x:c>
      <x:c r="S1766" s="12" t="str">
        <x:v>否</x:v>
      </x:c>
      <x:c r="T1766" s="12" t="str">
        <x:v>否</x:v>
      </x:c>
      <x:c r="U1766" s="12" t="str">
        <x:v>孙五星</x:v>
      </x:c>
      <x:c r="V1766" s="12" t="str">
        <x:v>3号车</x:v>
      </x:c>
      <x:c r="W1766" s="12" t="str">
        <x:v>秒级预测</x:v>
      </x:c>
      <x:c r="X1766" s="12" t="str">
        <x:v>基于路线秒级参数；如录入实测或手动采用秒，预计到达时间可随公式更新</x:v>
      </x:c>
    </x:row>
    <x:row r="1767">
      <x:c r="A1767" s="12" t="str">
        <x:v>S0151-08</x:v>
      </x:c>
      <x:c r="B1767" s="12" t="str">
        <x:v>S0151</x:v>
      </x:c>
      <x:c r="C1767" s="12" t="str">
        <x:v>工作日</x:v>
      </x:c>
      <x:c r="D1767" s="12" t="str">
        <x:v>环线3路</x:v>
      </x:c>
      <x:c r="E1767" s="12" t="str">
        <x:v>第四班</x:v>
      </x:c>
      <x:c r="F1767" s="12" t="n">
        <x:v>4</x:v>
      </x:c>
      <x:c r="G1767" s="12" t="str">
        <x:v>19:20</x:v>
      </x:c>
      <x:c r="H1767" s="12" t="n">
        <x:v>1160</x:v>
      </x:c>
      <x:c r="I1767" s="12" t="str">
        <x:v>研究生宿舍楼</x:v>
      </x:c>
      <x:c r="J1767" s="12" t="str">
        <x:v>研究生宿舍楼发车</x:v>
      </x:c>
      <x:c r="K1767" s="12" t="str">
        <x:v>HX3_NORMAL</x:v>
      </x:c>
      <x:c r="L1767" s="12" t="n">
        <x:v>8</x:v>
      </x:c>
      <x:c r="M1767" s="12" t="str">
        <x:v>HX3_NORMAL|8</x:v>
      </x:c>
      <x:c r="N1767" s="12" t="str">
        <x:v>理学院</x:v>
      </x:c>
      <x:c r="O1767" s="12" t="n">
        <x:f>IFERROR(INDEX('秒级路线参数_可调整'!$O:$O,MATCH(M1767,'秒级路线参数_可调整'!$A:$A,0)),"")</x:f>
        <x:v>480</x:v>
      </x:c>
      <x:c r="P1767" s="12" t="n">
        <x:f>IF(O1767="","",O1767/86400)</x:f>
        <x:v>0.005555555555555556</x:v>
      </x:c>
      <x:c r="Q1767" s="12" t="n">
        <x:f>IF(O1767="","",(H1767*60+O1767)/86400)</x:f>
        <x:v>0.8111111111111111</x:v>
      </x:c>
      <x:c r="R1767" s="12" t="str">
        <x:f>IF(Q1767="","",TEXT(Q1767,"hh:mm:ss"))</x:f>
        <x:v>19:28:00</x:v>
      </x:c>
      <x:c r="S1767" s="12" t="str">
        <x:v>否</x:v>
      </x:c>
      <x:c r="T1767" s="12" t="str">
        <x:v>否</x:v>
      </x:c>
      <x:c r="U1767" s="12" t="str">
        <x:v>孙五星</x:v>
      </x:c>
      <x:c r="V1767" s="12" t="str">
        <x:v>3号车</x:v>
      </x:c>
      <x:c r="W1767" s="12" t="str">
        <x:v>秒级预测</x:v>
      </x:c>
      <x:c r="X1767" s="12" t="str">
        <x:v>基于路线秒级参数；如录入实测或手动采用秒，预计到达时间可随公式更新</x:v>
      </x:c>
    </x:row>
    <x:row r="1768">
      <x:c r="A1768" s="12" t="str">
        <x:v>S0151-09</x:v>
      </x:c>
      <x:c r="B1768" s="12" t="str">
        <x:v>S0151</x:v>
      </x:c>
      <x:c r="C1768" s="12" t="str">
        <x:v>工作日</x:v>
      </x:c>
      <x:c r="D1768" s="12" t="str">
        <x:v>环线3路</x:v>
      </x:c>
      <x:c r="E1768" s="12" t="str">
        <x:v>第四班</x:v>
      </x:c>
      <x:c r="F1768" s="12" t="n">
        <x:v>4</x:v>
      </x:c>
      <x:c r="G1768" s="12" t="str">
        <x:v>19:20</x:v>
      </x:c>
      <x:c r="H1768" s="12" t="n">
        <x:v>1160</x:v>
      </x:c>
      <x:c r="I1768" s="12" t="str">
        <x:v>研究生宿舍楼</x:v>
      </x:c>
      <x:c r="J1768" s="12" t="str">
        <x:v>研究生宿舍楼发车</x:v>
      </x:c>
      <x:c r="K1768" s="12" t="str">
        <x:v>HX3_NORMAL</x:v>
      </x:c>
      <x:c r="L1768" s="12" t="n">
        <x:v>9</x:v>
      </x:c>
      <x:c r="M1768" s="12" t="str">
        <x:v>HX3_NORMAL|9</x:v>
      </x:c>
      <x:c r="N1768" s="12" t="str">
        <x:v>二食堂</x:v>
      </x:c>
      <x:c r="O1768" s="12" t="n">
        <x:f>IFERROR(INDEX('秒级路线参数_可调整'!$O:$O,MATCH(M1768,'秒级路线参数_可调整'!$A:$A,0)),"")</x:f>
        <x:v>535</x:v>
      </x:c>
      <x:c r="P1768" s="12" t="n">
        <x:f>IF(O1768="","",O1768/86400)</x:f>
        <x:v>0.00619212962962963</x:v>
      </x:c>
      <x:c r="Q1768" s="12" t="n">
        <x:f>IF(O1768="","",(H1768*60+O1768)/86400)</x:f>
        <x:v>0.8117476851851851</x:v>
      </x:c>
      <x:c r="R1768" s="12" t="str">
        <x:f>IF(Q1768="","",TEXT(Q1768,"hh:mm:ss"))</x:f>
        <x:v>19:28:55</x:v>
      </x:c>
      <x:c r="S1768" s="12" t="str">
        <x:v>否</x:v>
      </x:c>
      <x:c r="T1768" s="12" t="str">
        <x:v>否</x:v>
      </x:c>
      <x:c r="U1768" s="12" t="str">
        <x:v>孙五星</x:v>
      </x:c>
      <x:c r="V1768" s="12" t="str">
        <x:v>3号车</x:v>
      </x:c>
      <x:c r="W1768" s="12" t="str">
        <x:v>秒级预测</x:v>
      </x:c>
      <x:c r="X1768" s="12" t="str">
        <x:v>基于路线秒级参数；如录入实测或手动采用秒，预计到达时间可随公式更新</x:v>
      </x:c>
    </x:row>
    <x:row r="1769">
      <x:c r="A1769" s="12" t="str">
        <x:v>S0151-10</x:v>
      </x:c>
      <x:c r="B1769" s="12" t="str">
        <x:v>S0151</x:v>
      </x:c>
      <x:c r="C1769" s="12" t="str">
        <x:v>工作日</x:v>
      </x:c>
      <x:c r="D1769" s="12" t="str">
        <x:v>环线3路</x:v>
      </x:c>
      <x:c r="E1769" s="12" t="str">
        <x:v>第四班</x:v>
      </x:c>
      <x:c r="F1769" s="12" t="n">
        <x:v>4</x:v>
      </x:c>
      <x:c r="G1769" s="12" t="str">
        <x:v>19:20</x:v>
      </x:c>
      <x:c r="H1769" s="12" t="n">
        <x:v>1160</x:v>
      </x:c>
      <x:c r="I1769" s="12" t="str">
        <x:v>研究生宿舍楼</x:v>
      </x:c>
      <x:c r="J1769" s="12" t="str">
        <x:v>研究生宿舍楼发车</x:v>
      </x:c>
      <x:c r="K1769" s="12" t="str">
        <x:v>HX3_NORMAL</x:v>
      </x:c>
      <x:c r="L1769" s="12" t="n">
        <x:v>10</x:v>
      </x:c>
      <x:c r="M1769" s="12" t="str">
        <x:v>HX3_NORMAL|10</x:v>
      </x:c>
      <x:c r="N1769" s="12" t="str">
        <x:v>图书馆</x:v>
      </x:c>
      <x:c r="O1769" s="12" t="n">
        <x:f>IFERROR(INDEX('秒级路线参数_可调整'!$O:$O,MATCH(M1769,'秒级路线参数_可调整'!$A:$A,0)),"")</x:f>
        <x:v>715</x:v>
      </x:c>
      <x:c r="P1769" s="12" t="n">
        <x:f>IF(O1769="","",O1769/86400)</x:f>
        <x:v>0.008275462962962964</x:v>
      </x:c>
      <x:c r="Q1769" s="12" t="n">
        <x:f>IF(O1769="","",(H1769*60+O1769)/86400)</x:f>
        <x:v>0.8138310185185185</x:v>
      </x:c>
      <x:c r="R1769" s="12" t="str">
        <x:f>IF(Q1769="","",TEXT(Q1769,"hh:mm:ss"))</x:f>
        <x:v>19:31:55</x:v>
      </x:c>
      <x:c r="S1769" s="12" t="str">
        <x:v>否</x:v>
      </x:c>
      <x:c r="T1769" s="12" t="str">
        <x:v>否</x:v>
      </x:c>
      <x:c r="U1769" s="12" t="str">
        <x:v>孙五星</x:v>
      </x:c>
      <x:c r="V1769" s="12" t="str">
        <x:v>3号车</x:v>
      </x:c>
      <x:c r="W1769" s="12" t="str">
        <x:v>秒级预测</x:v>
      </x:c>
      <x:c r="X1769" s="12" t="str">
        <x:v>基于路线秒级参数；如录入实测或手动采用秒，预计到达时间可随公式更新</x:v>
      </x:c>
    </x:row>
    <x:row r="1770">
      <x:c r="A1770" s="12" t="str">
        <x:v>S0151-11</x:v>
      </x:c>
      <x:c r="B1770" s="12" t="str">
        <x:v>S0151</x:v>
      </x:c>
      <x:c r="C1770" s="12" t="str">
        <x:v>工作日</x:v>
      </x:c>
      <x:c r="D1770" s="12" t="str">
        <x:v>环线3路</x:v>
      </x:c>
      <x:c r="E1770" s="12" t="str">
        <x:v>第四班</x:v>
      </x:c>
      <x:c r="F1770" s="12" t="n">
        <x:v>4</x:v>
      </x:c>
      <x:c r="G1770" s="12" t="str">
        <x:v>19:20</x:v>
      </x:c>
      <x:c r="H1770" s="12" t="n">
        <x:v>1160</x:v>
      </x:c>
      <x:c r="I1770" s="12" t="str">
        <x:v>研究生宿舍楼</x:v>
      </x:c>
      <x:c r="J1770" s="12" t="str">
        <x:v>研究生宿舍楼发车</x:v>
      </x:c>
      <x:c r="K1770" s="12" t="str">
        <x:v>HX3_NORMAL</x:v>
      </x:c>
      <x:c r="L1770" s="12" t="n">
        <x:v>11</x:v>
      </x:c>
      <x:c r="M1770" s="12" t="str">
        <x:v>HX3_NORMAL|11</x:v>
      </x:c>
      <x:c r="N1770" s="12" t="str">
        <x:v>305教学楼</x:v>
      </x:c>
      <x:c r="O1770" s="12" t="n">
        <x:f>IFERROR(INDEX('秒级路线参数_可调整'!$O:$O,MATCH(M1770,'秒级路线参数_可调整'!$A:$A,0)),"")</x:f>
        <x:v>775</x:v>
      </x:c>
      <x:c r="P1770" s="12" t="n">
        <x:f>IF(O1770="","",O1770/86400)</x:f>
        <x:v>0.008969907407407407</x:v>
      </x:c>
      <x:c r="Q1770" s="12" t="n">
        <x:f>IF(O1770="","",(H1770*60+O1770)/86400)</x:f>
        <x:v>0.8145254629629629</x:v>
      </x:c>
      <x:c r="R1770" s="12" t="str">
        <x:f>IF(Q1770="","",TEXT(Q1770,"hh:mm:ss"))</x:f>
        <x:v>19:32:55</x:v>
      </x:c>
      <x:c r="S1770" s="12" t="str">
        <x:v>否</x:v>
      </x:c>
      <x:c r="T1770" s="12" t="str">
        <x:v>否</x:v>
      </x:c>
      <x:c r="U1770" s="12" t="str">
        <x:v>孙五星</x:v>
      </x:c>
      <x:c r="V1770" s="12" t="str">
        <x:v>3号车</x:v>
      </x:c>
      <x:c r="W1770" s="12" t="str">
        <x:v>秒级预测</x:v>
      </x:c>
      <x:c r="X1770" s="12" t="str">
        <x:v>基于路线秒级参数；如录入实测或手动采用秒，预计到达时间可随公式更新</x:v>
      </x:c>
    </x:row>
    <x:row r="1771">
      <x:c r="A1771" s="12" t="str">
        <x:v>S0151-12</x:v>
      </x:c>
      <x:c r="B1771" s="12" t="str">
        <x:v>S0151</x:v>
      </x:c>
      <x:c r="C1771" s="12" t="str">
        <x:v>工作日</x:v>
      </x:c>
      <x:c r="D1771" s="12" t="str">
        <x:v>环线3路</x:v>
      </x:c>
      <x:c r="E1771" s="12" t="str">
        <x:v>第四班</x:v>
      </x:c>
      <x:c r="F1771" s="12" t="n">
        <x:v>4</x:v>
      </x:c>
      <x:c r="G1771" s="12" t="str">
        <x:v>19:20</x:v>
      </x:c>
      <x:c r="H1771" s="12" t="n">
        <x:v>1160</x:v>
      </x:c>
      <x:c r="I1771" s="12" t="str">
        <x:v>研究生宿舍楼</x:v>
      </x:c>
      <x:c r="J1771" s="12" t="str">
        <x:v>研究生宿舍楼发车</x:v>
      </x:c>
      <x:c r="K1771" s="12" t="str">
        <x:v>HX3_NORMAL</x:v>
      </x:c>
      <x:c r="L1771" s="12" t="n">
        <x:v>12</x:v>
      </x:c>
      <x:c r="M1771" s="12" t="str">
        <x:v>HX3_NORMAL|12</x:v>
      </x:c>
      <x:c r="N1771" s="12" t="str">
        <x:v>研究生宿舍楼</x:v>
      </x:c>
      <x:c r="O1771" s="12" t="n">
        <x:f>IFERROR(INDEX('秒级路线参数_可调整'!$O:$O,MATCH(M1771,'秒级路线参数_可调整'!$A:$A,0)),"")</x:f>
        <x:v>840</x:v>
      </x:c>
      <x:c r="P1771" s="12" t="n">
        <x:f>IF(O1771="","",O1771/86400)</x:f>
        <x:v>0.009722222222222222</x:v>
      </x:c>
      <x:c r="Q1771" s="12" t="n">
        <x:f>IF(O1771="","",(H1771*60+O1771)/86400)</x:f>
        <x:v>0.8152777777777778</x:v>
      </x:c>
      <x:c r="R1771" s="12" t="str">
        <x:f>IF(Q1771="","",TEXT(Q1771,"hh:mm:ss"))</x:f>
        <x:v>19:34:00</x:v>
      </x:c>
      <x:c r="S1771" s="12" t="str">
        <x:v>否</x:v>
      </x:c>
      <x:c r="T1771" s="12" t="str">
        <x:v>是</x:v>
      </x:c>
      <x:c r="U1771" s="12" t="str">
        <x:v>孙五星</x:v>
      </x:c>
      <x:c r="V1771" s="12" t="str">
        <x:v>3号车</x:v>
      </x:c>
      <x:c r="W1771" s="12" t="str">
        <x:v>秒级预测</x:v>
      </x:c>
      <x:c r="X1771" s="12" t="str">
        <x:v>基于路线秒级参数；如录入实测或手动采用秒，预计到达时间可随公式更新</x:v>
      </x:c>
    </x:row>
    <x:row r="1772">
      <x:c r="A1772" s="12" t="str">
        <x:v>S0152-01</x:v>
      </x:c>
      <x:c r="B1772" s="12" t="str">
        <x:v>S0152</x:v>
      </x:c>
      <x:c r="C1772" s="12" t="str">
        <x:v>工作日</x:v>
      </x:c>
      <x:c r="D1772" s="12" t="str">
        <x:v>环线3路</x:v>
      </x:c>
      <x:c r="E1772" s="12" t="str">
        <x:v>第四班</x:v>
      </x:c>
      <x:c r="F1772" s="12" t="n">
        <x:v>5</x:v>
      </x:c>
      <x:c r="G1772" s="12" t="str">
        <x:v>19:50</x:v>
      </x:c>
      <x:c r="H1772" s="12" t="n">
        <x:v>1190</x:v>
      </x:c>
      <x:c r="I1772" s="12" t="str">
        <x:v>研究生宿舍楼</x:v>
      </x:c>
      <x:c r="J1772" s="12" t="str">
        <x:v>研究生宿舍楼发车</x:v>
      </x:c>
      <x:c r="K1772" s="12" t="str">
        <x:v>HX3_NORMAL</x:v>
      </x:c>
      <x:c r="L1772" s="12" t="n">
        <x:v>1</x:v>
      </x:c>
      <x:c r="M1772" s="12" t="str">
        <x:v>HX3_NORMAL|1</x:v>
      </x:c>
      <x:c r="N1772" s="12" t="str">
        <x:v>研究生宿舍楼</x:v>
      </x:c>
      <x:c r="O1772" s="12" t="n">
        <x:f>IFERROR(INDEX('秒级路线参数_可调整'!$O:$O,MATCH(M1772,'秒级路线参数_可调整'!$A:$A,0)),"")</x:f>
        <x:v>0</x:v>
      </x:c>
      <x:c r="P1772" s="12" t="str">
        <x:f>IF(O1772="","",O1772/86400)</x:f>
      </x:c>
      <x:c r="Q1772" s="12" t="str">
        <x:f>IF(O1772="","",(H1772*60+O1772)/86400)</x:f>
      </x:c>
      <x:c r="R1772" s="12" t="str">
        <x:f>IF(Q1772="","",TEXT(Q1772,"hh:mm:ss"))</x:f>
      </x:c>
      <x:c r="S1772" s="12" t="str">
        <x:v>是</x:v>
      </x:c>
      <x:c r="T1772" s="12" t="str">
        <x:v>否</x:v>
      </x:c>
      <x:c r="U1772" s="12" t="str">
        <x:v>孙五星</x:v>
      </x:c>
      <x:c r="V1772" s="12" t="str">
        <x:v>3号车</x:v>
      </x:c>
      <x:c r="W1772" s="12" t="str">
        <x:v>秒级预测</x:v>
      </x:c>
      <x:c r="X1772" s="12" t="str">
        <x:v>基于路线秒级参数；如录入实测或手动采用秒，预计到达时间可随公式更新</x:v>
      </x:c>
    </x:row>
    <x:row r="1773">
      <x:c r="A1773" s="12" t="str">
        <x:v>S0152-02</x:v>
      </x:c>
      <x:c r="B1773" s="12" t="str">
        <x:v>S0152</x:v>
      </x:c>
      <x:c r="C1773" s="12" t="str">
        <x:v>工作日</x:v>
      </x:c>
      <x:c r="D1773" s="12" t="str">
        <x:v>环线3路</x:v>
      </x:c>
      <x:c r="E1773" s="12" t="str">
        <x:v>第四班</x:v>
      </x:c>
      <x:c r="F1773" s="12" t="n">
        <x:v>5</x:v>
      </x:c>
      <x:c r="G1773" s="12" t="str">
        <x:v>19:50</x:v>
      </x:c>
      <x:c r="H1773" s="12" t="n">
        <x:v>1190</x:v>
      </x:c>
      <x:c r="I1773" s="12" t="str">
        <x:v>研究生宿舍楼</x:v>
      </x:c>
      <x:c r="J1773" s="12" t="str">
        <x:v>研究生宿舍楼发车</x:v>
      </x:c>
      <x:c r="K1773" s="12" t="str">
        <x:v>HX3_NORMAL</x:v>
      </x:c>
      <x:c r="L1773" s="12" t="n">
        <x:v>2</x:v>
      </x:c>
      <x:c r="M1773" s="12" t="str">
        <x:v>HX3_NORMAL|2</x:v>
      </x:c>
      <x:c r="N1773" s="12" t="str">
        <x:v>一食堂</x:v>
      </x:c>
      <x:c r="O1773" s="12" t="n">
        <x:f>IFERROR(INDEX('秒级路线参数_可调整'!$O:$O,MATCH(M1773,'秒级路线参数_可调整'!$A:$A,0)),"")</x:f>
        <x:v>65</x:v>
      </x:c>
      <x:c r="P1773" s="12" t="n">
        <x:f>IF(O1773="","",O1773/86400)</x:f>
        <x:v>0.0007523148148148148</x:v>
      </x:c>
      <x:c r="Q1773" s="12" t="n">
        <x:f>IF(O1773="","",(H1773*60+O1773)/86400)</x:f>
        <x:v>0.8271412037037037</x:v>
      </x:c>
      <x:c r="R1773" s="12" t="str">
        <x:f>IF(Q1773="","",TEXT(Q1773,"hh:mm:ss"))</x:f>
        <x:v>19:51:05</x:v>
      </x:c>
      <x:c r="S1773" s="12" t="str">
        <x:v>否</x:v>
      </x:c>
      <x:c r="T1773" s="12" t="str">
        <x:v>否</x:v>
      </x:c>
      <x:c r="U1773" s="12" t="str">
        <x:v>孙五星</x:v>
      </x:c>
      <x:c r="V1773" s="12" t="str">
        <x:v>3号车</x:v>
      </x:c>
      <x:c r="W1773" s="12" t="str">
        <x:v>秒级预测</x:v>
      </x:c>
      <x:c r="X1773" s="12" t="str">
        <x:v>基于路线秒级参数；如录入实测或手动采用秒，预计到达时间可随公式更新</x:v>
      </x:c>
    </x:row>
    <x:row r="1774">
      <x:c r="A1774" s="12" t="str">
        <x:v>S0152-03</x:v>
      </x:c>
      <x:c r="B1774" s="12" t="str">
        <x:v>S0152</x:v>
      </x:c>
      <x:c r="C1774" s="12" t="str">
        <x:v>工作日</x:v>
      </x:c>
      <x:c r="D1774" s="12" t="str">
        <x:v>环线3路</x:v>
      </x:c>
      <x:c r="E1774" s="12" t="str">
        <x:v>第四班</x:v>
      </x:c>
      <x:c r="F1774" s="12" t="n">
        <x:v>5</x:v>
      </x:c>
      <x:c r="G1774" s="12" t="str">
        <x:v>19:50</x:v>
      </x:c>
      <x:c r="H1774" s="12" t="n">
        <x:v>1190</x:v>
      </x:c>
      <x:c r="I1774" s="12" t="str">
        <x:v>研究生宿舍楼</x:v>
      </x:c>
      <x:c r="J1774" s="12" t="str">
        <x:v>研究生宿舍楼发车</x:v>
      </x:c>
      <x:c r="K1774" s="12" t="str">
        <x:v>HX3_NORMAL</x:v>
      </x:c>
      <x:c r="L1774" s="12" t="n">
        <x:v>3</x:v>
      </x:c>
      <x:c r="M1774" s="12" t="str">
        <x:v>HX3_NORMAL|3</x:v>
      </x:c>
      <x:c r="N1774" s="12" t="str">
        <x:v>2号宿舍楼</x:v>
      </x:c>
      <x:c r="O1774" s="12" t="n">
        <x:f>IFERROR(INDEX('秒级路线参数_可调整'!$O:$O,MATCH(M1774,'秒级路线参数_可调整'!$A:$A,0)),"")</x:f>
        <x:v>120</x:v>
      </x:c>
      <x:c r="P1774" s="12" t="n">
        <x:f>IF(O1774="","",O1774/86400)</x:f>
        <x:v>0.001388888888888889</x:v>
      </x:c>
      <x:c r="Q1774" s="12" t="n">
        <x:f>IF(O1774="","",(H1774*60+O1774)/86400)</x:f>
        <x:v>0.8277777777777777</x:v>
      </x:c>
      <x:c r="R1774" s="12" t="str">
        <x:f>IF(Q1774="","",TEXT(Q1774,"hh:mm:ss"))</x:f>
        <x:v>19:52:00</x:v>
      </x:c>
      <x:c r="S1774" s="12" t="str">
        <x:v>否</x:v>
      </x:c>
      <x:c r="T1774" s="12" t="str">
        <x:v>否</x:v>
      </x:c>
      <x:c r="U1774" s="12" t="str">
        <x:v>孙五星</x:v>
      </x:c>
      <x:c r="V1774" s="12" t="str">
        <x:v>3号车</x:v>
      </x:c>
      <x:c r="W1774" s="12" t="str">
        <x:v>秒级预测</x:v>
      </x:c>
      <x:c r="X1774" s="12" t="str">
        <x:v>基于路线秒级参数；如录入实测或手动采用秒，预计到达时间可随公式更新</x:v>
      </x:c>
    </x:row>
    <x:row r="1775">
      <x:c r="A1775" s="12" t="str">
        <x:v>S0152-04</x:v>
      </x:c>
      <x:c r="B1775" s="12" t="str">
        <x:v>S0152</x:v>
      </x:c>
      <x:c r="C1775" s="12" t="str">
        <x:v>工作日</x:v>
      </x:c>
      <x:c r="D1775" s="12" t="str">
        <x:v>环线3路</x:v>
      </x:c>
      <x:c r="E1775" s="12" t="str">
        <x:v>第四班</x:v>
      </x:c>
      <x:c r="F1775" s="12" t="n">
        <x:v>5</x:v>
      </x:c>
      <x:c r="G1775" s="12" t="str">
        <x:v>19:50</x:v>
      </x:c>
      <x:c r="H1775" s="12" t="n">
        <x:v>1190</x:v>
      </x:c>
      <x:c r="I1775" s="12" t="str">
        <x:v>研究生宿舍楼</x:v>
      </x:c>
      <x:c r="J1775" s="12" t="str">
        <x:v>研究生宿舍楼发车</x:v>
      </x:c>
      <x:c r="K1775" s="12" t="str">
        <x:v>HX3_NORMAL</x:v>
      </x:c>
      <x:c r="L1775" s="12" t="n">
        <x:v>4</x:v>
      </x:c>
      <x:c r="M1775" s="12" t="str">
        <x:v>HX3_NORMAL|4</x:v>
      </x:c>
      <x:c r="N1775" s="12" t="str">
        <x:v>军体活动中心</x:v>
      </x:c>
      <x:c r="O1775" s="12" t="n">
        <x:f>IFERROR(INDEX('秒级路线参数_可调整'!$O:$O,MATCH(M1775,'秒级路线参数_可调整'!$A:$A,0)),"")</x:f>
        <x:v>165</x:v>
      </x:c>
      <x:c r="P1775" s="12" t="n">
        <x:f>IF(O1775="","",O1775/86400)</x:f>
        <x:v>0.0019097222222222222</x:v>
      </x:c>
      <x:c r="Q1775" s="12" t="n">
        <x:f>IF(O1775="","",(H1775*60+O1775)/86400)</x:f>
        <x:v>0.8282986111111111</x:v>
      </x:c>
      <x:c r="R1775" s="12" t="str">
        <x:f>IF(Q1775="","",TEXT(Q1775,"hh:mm:ss"))</x:f>
        <x:v>19:52:45</x:v>
      </x:c>
      <x:c r="S1775" s="12" t="str">
        <x:v>否</x:v>
      </x:c>
      <x:c r="T1775" s="12" t="str">
        <x:v>否</x:v>
      </x:c>
      <x:c r="U1775" s="12" t="str">
        <x:v>孙五星</x:v>
      </x:c>
      <x:c r="V1775" s="12" t="str">
        <x:v>3号车</x:v>
      </x:c>
      <x:c r="W1775" s="12" t="str">
        <x:v>秒级预测</x:v>
      </x:c>
      <x:c r="X1775" s="12" t="str">
        <x:v>基于路线秒级参数；如录入实测或手动采用秒，预计到达时间可随公式更新</x:v>
      </x:c>
    </x:row>
    <x:row r="1776">
      <x:c r="A1776" s="12" t="str">
        <x:v>S0152-05</x:v>
      </x:c>
      <x:c r="B1776" s="12" t="str">
        <x:v>S0152</x:v>
      </x:c>
      <x:c r="C1776" s="12" t="str">
        <x:v>工作日</x:v>
      </x:c>
      <x:c r="D1776" s="12" t="str">
        <x:v>环线3路</x:v>
      </x:c>
      <x:c r="E1776" s="12" t="str">
        <x:v>第四班</x:v>
      </x:c>
      <x:c r="F1776" s="12" t="n">
        <x:v>5</x:v>
      </x:c>
      <x:c r="G1776" s="12" t="str">
        <x:v>19:50</x:v>
      </x:c>
      <x:c r="H1776" s="12" t="n">
        <x:v>1190</x:v>
      </x:c>
      <x:c r="I1776" s="12" t="str">
        <x:v>研究生宿舍楼</x:v>
      </x:c>
      <x:c r="J1776" s="12" t="str">
        <x:v>研究生宿舍楼发车</x:v>
      </x:c>
      <x:c r="K1776" s="12" t="str">
        <x:v>HX3_NORMAL</x:v>
      </x:c>
      <x:c r="L1776" s="12" t="n">
        <x:v>5</x:v>
      </x:c>
      <x:c r="M1776" s="12" t="str">
        <x:v>HX3_NORMAL|5</x:v>
      </x:c>
      <x:c r="N1776" s="12" t="str">
        <x:v>教勤连</x:v>
      </x:c>
      <x:c r="O1776" s="12" t="n">
        <x:f>IFERROR(INDEX('秒级路线参数_可调整'!$O:$O,MATCH(M1776,'秒级路线参数_可调整'!$A:$A,0)),"")</x:f>
        <x:v>250</x:v>
      </x:c>
      <x:c r="P1776" s="12" t="n">
        <x:f>IF(O1776="","",O1776/86400)</x:f>
        <x:v>0.0028935185185185184</x:v>
      </x:c>
      <x:c r="Q1776" s="12" t="n">
        <x:f>IF(O1776="","",(H1776*60+O1776)/86400)</x:f>
        <x:v>0.8292824074074074</x:v>
      </x:c>
      <x:c r="R1776" s="12" t="str">
        <x:f>IF(Q1776="","",TEXT(Q1776,"hh:mm:ss"))</x:f>
        <x:v>19:54:10</x:v>
      </x:c>
      <x:c r="S1776" s="12" t="str">
        <x:v>否</x:v>
      </x:c>
      <x:c r="T1776" s="12" t="str">
        <x:v>否</x:v>
      </x:c>
      <x:c r="U1776" s="12" t="str">
        <x:v>孙五星</x:v>
      </x:c>
      <x:c r="V1776" s="12" t="str">
        <x:v>3号车</x:v>
      </x:c>
      <x:c r="W1776" s="12" t="str">
        <x:v>秒级预测</x:v>
      </x:c>
      <x:c r="X1776" s="12" t="str">
        <x:v>基于路线秒级参数；如录入实测或手动采用秒，预计到达时间可随公式更新</x:v>
      </x:c>
    </x:row>
    <x:row r="1777">
      <x:c r="A1777" s="12" t="str">
        <x:v>S0152-06</x:v>
      </x:c>
      <x:c r="B1777" s="12" t="str">
        <x:v>S0152</x:v>
      </x:c>
      <x:c r="C1777" s="12" t="str">
        <x:v>工作日</x:v>
      </x:c>
      <x:c r="D1777" s="12" t="str">
        <x:v>环线3路</x:v>
      </x:c>
      <x:c r="E1777" s="12" t="str">
        <x:v>第四班</x:v>
      </x:c>
      <x:c r="F1777" s="12" t="n">
        <x:v>5</x:v>
      </x:c>
      <x:c r="G1777" s="12" t="str">
        <x:v>19:50</x:v>
      </x:c>
      <x:c r="H1777" s="12" t="n">
        <x:v>1190</x:v>
      </x:c>
      <x:c r="I1777" s="12" t="str">
        <x:v>研究生宿舍楼</x:v>
      </x:c>
      <x:c r="J1777" s="12" t="str">
        <x:v>研究生宿舍楼发车</x:v>
      </x:c>
      <x:c r="K1777" s="12" t="str">
        <x:v>HX3_NORMAL</x:v>
      </x:c>
      <x:c r="L1777" s="12" t="n">
        <x:v>6</x:v>
      </x:c>
      <x:c r="M1777" s="12" t="str">
        <x:v>HX3_NORMAL|6</x:v>
      </x:c>
      <x:c r="N1777" s="12" t="str">
        <x:v>激光所</x:v>
      </x:c>
      <x:c r="O1777" s="12" t="n">
        <x:f>IFERROR(INDEX('秒级路线参数_可调整'!$O:$O,MATCH(M1777,'秒级路线参数_可调整'!$A:$A,0)),"")</x:f>
        <x:v>315</x:v>
      </x:c>
      <x:c r="P1777" s="12" t="n">
        <x:f>IF(O1777="","",O1777/86400)</x:f>
        <x:v>0.0036458333333333334</x:v>
      </x:c>
      <x:c r="Q1777" s="12" t="n">
        <x:f>IF(O1777="","",(H1777*60+O1777)/86400)</x:f>
        <x:v>0.8300347222222222</x:v>
      </x:c>
      <x:c r="R1777" s="12" t="str">
        <x:f>IF(Q1777="","",TEXT(Q1777,"hh:mm:ss"))</x:f>
        <x:v>19:55:15</x:v>
      </x:c>
      <x:c r="S1777" s="12" t="str">
        <x:v>否</x:v>
      </x:c>
      <x:c r="T1777" s="12" t="str">
        <x:v>否</x:v>
      </x:c>
      <x:c r="U1777" s="12" t="str">
        <x:v>孙五星</x:v>
      </x:c>
      <x:c r="V1777" s="12" t="str">
        <x:v>3号车</x:v>
      </x:c>
      <x:c r="W1777" s="12" t="str">
        <x:v>秒级预测</x:v>
      </x:c>
      <x:c r="X1777" s="12" t="str">
        <x:v>基于路线秒级参数；如录入实测或手动采用秒，预计到达时间可随公式更新</x:v>
      </x:c>
    </x:row>
    <x:row r="1778">
      <x:c r="A1778" s="12" t="str">
        <x:v>S0152-07</x:v>
      </x:c>
      <x:c r="B1778" s="12" t="str">
        <x:v>S0152</x:v>
      </x:c>
      <x:c r="C1778" s="12" t="str">
        <x:v>工作日</x:v>
      </x:c>
      <x:c r="D1778" s="12" t="str">
        <x:v>环线3路</x:v>
      </x:c>
      <x:c r="E1778" s="12" t="str">
        <x:v>第四班</x:v>
      </x:c>
      <x:c r="F1778" s="12" t="n">
        <x:v>5</x:v>
      </x:c>
      <x:c r="G1778" s="12" t="str">
        <x:v>19:50</x:v>
      </x:c>
      <x:c r="H1778" s="12" t="n">
        <x:v>1190</x:v>
      </x:c>
      <x:c r="I1778" s="12" t="str">
        <x:v>研究生宿舍楼</x:v>
      </x:c>
      <x:c r="J1778" s="12" t="str">
        <x:v>研究生宿舍楼发车</x:v>
      </x:c>
      <x:c r="K1778" s="12" t="str">
        <x:v>HX3_NORMAL</x:v>
      </x:c>
      <x:c r="L1778" s="12" t="n">
        <x:v>7</x:v>
      </x:c>
      <x:c r="M1778" s="12" t="str">
        <x:v>HX3_NORMAL|7</x:v>
      </x:c>
      <x:c r="N1778" s="12" t="str">
        <x:v>高超楼</x:v>
      </x:c>
      <x:c r="O1778" s="12" t="n">
        <x:f>IFERROR(INDEX('秒级路线参数_可调整'!$O:$O,MATCH(M1778,'秒级路线参数_可调整'!$A:$A,0)),"")</x:f>
        <x:v>420</x:v>
      </x:c>
      <x:c r="P1778" s="12" t="n">
        <x:f>IF(O1778="","",O1778/86400)</x:f>
        <x:v>0.004861111111111111</x:v>
      </x:c>
      <x:c r="Q1778" s="12" t="n">
        <x:f>IF(O1778="","",(H1778*60+O1778)/86400)</x:f>
        <x:v>0.83125</x:v>
      </x:c>
      <x:c r="R1778" s="12" t="str">
        <x:f>IF(Q1778="","",TEXT(Q1778,"hh:mm:ss"))</x:f>
        <x:v>19:57:00</x:v>
      </x:c>
      <x:c r="S1778" s="12" t="str">
        <x:v>否</x:v>
      </x:c>
      <x:c r="T1778" s="12" t="str">
        <x:v>否</x:v>
      </x:c>
      <x:c r="U1778" s="12" t="str">
        <x:v>孙五星</x:v>
      </x:c>
      <x:c r="V1778" s="12" t="str">
        <x:v>3号车</x:v>
      </x:c>
      <x:c r="W1778" s="12" t="str">
        <x:v>秒级预测</x:v>
      </x:c>
      <x:c r="X1778" s="12" t="str">
        <x:v>基于路线秒级参数；如录入实测或手动采用秒，预计到达时间可随公式更新</x:v>
      </x:c>
    </x:row>
    <x:row r="1779">
      <x:c r="A1779" s="12" t="str">
        <x:v>S0152-08</x:v>
      </x:c>
      <x:c r="B1779" s="12" t="str">
        <x:v>S0152</x:v>
      </x:c>
      <x:c r="C1779" s="12" t="str">
        <x:v>工作日</x:v>
      </x:c>
      <x:c r="D1779" s="12" t="str">
        <x:v>环线3路</x:v>
      </x:c>
      <x:c r="E1779" s="12" t="str">
        <x:v>第四班</x:v>
      </x:c>
      <x:c r="F1779" s="12" t="n">
        <x:v>5</x:v>
      </x:c>
      <x:c r="G1779" s="12" t="str">
        <x:v>19:50</x:v>
      </x:c>
      <x:c r="H1779" s="12" t="n">
        <x:v>1190</x:v>
      </x:c>
      <x:c r="I1779" s="12" t="str">
        <x:v>研究生宿舍楼</x:v>
      </x:c>
      <x:c r="J1779" s="12" t="str">
        <x:v>研究生宿舍楼发车</x:v>
      </x:c>
      <x:c r="K1779" s="12" t="str">
        <x:v>HX3_NORMAL</x:v>
      </x:c>
      <x:c r="L1779" s="12" t="n">
        <x:v>8</x:v>
      </x:c>
      <x:c r="M1779" s="12" t="str">
        <x:v>HX3_NORMAL|8</x:v>
      </x:c>
      <x:c r="N1779" s="12" t="str">
        <x:v>理学院</x:v>
      </x:c>
      <x:c r="O1779" s="12" t="n">
        <x:f>IFERROR(INDEX('秒级路线参数_可调整'!$O:$O,MATCH(M1779,'秒级路线参数_可调整'!$A:$A,0)),"")</x:f>
        <x:v>480</x:v>
      </x:c>
      <x:c r="P1779" s="12" t="n">
        <x:f>IF(O1779="","",O1779/86400)</x:f>
        <x:v>0.005555555555555556</x:v>
      </x:c>
      <x:c r="Q1779" s="12" t="n">
        <x:f>IF(O1779="","",(H1779*60+O1779)/86400)</x:f>
        <x:v>0.8319444444444445</x:v>
      </x:c>
      <x:c r="R1779" s="12" t="str">
        <x:f>IF(Q1779="","",TEXT(Q1779,"hh:mm:ss"))</x:f>
        <x:v>19:58:00</x:v>
      </x:c>
      <x:c r="S1779" s="12" t="str">
        <x:v>否</x:v>
      </x:c>
      <x:c r="T1779" s="12" t="str">
        <x:v>否</x:v>
      </x:c>
      <x:c r="U1779" s="12" t="str">
        <x:v>孙五星</x:v>
      </x:c>
      <x:c r="V1779" s="12" t="str">
        <x:v>3号车</x:v>
      </x:c>
      <x:c r="W1779" s="12" t="str">
        <x:v>秒级预测</x:v>
      </x:c>
      <x:c r="X1779" s="12" t="str">
        <x:v>基于路线秒级参数；如录入实测或手动采用秒，预计到达时间可随公式更新</x:v>
      </x:c>
    </x:row>
    <x:row r="1780">
      <x:c r="A1780" s="12" t="str">
        <x:v>S0152-09</x:v>
      </x:c>
      <x:c r="B1780" s="12" t="str">
        <x:v>S0152</x:v>
      </x:c>
      <x:c r="C1780" s="12" t="str">
        <x:v>工作日</x:v>
      </x:c>
      <x:c r="D1780" s="12" t="str">
        <x:v>环线3路</x:v>
      </x:c>
      <x:c r="E1780" s="12" t="str">
        <x:v>第四班</x:v>
      </x:c>
      <x:c r="F1780" s="12" t="n">
        <x:v>5</x:v>
      </x:c>
      <x:c r="G1780" s="12" t="str">
        <x:v>19:50</x:v>
      </x:c>
      <x:c r="H1780" s="12" t="n">
        <x:v>1190</x:v>
      </x:c>
      <x:c r="I1780" s="12" t="str">
        <x:v>研究生宿舍楼</x:v>
      </x:c>
      <x:c r="J1780" s="12" t="str">
        <x:v>研究生宿舍楼发车</x:v>
      </x:c>
      <x:c r="K1780" s="12" t="str">
        <x:v>HX3_NORMAL</x:v>
      </x:c>
      <x:c r="L1780" s="12" t="n">
        <x:v>9</x:v>
      </x:c>
      <x:c r="M1780" s="12" t="str">
        <x:v>HX3_NORMAL|9</x:v>
      </x:c>
      <x:c r="N1780" s="12" t="str">
        <x:v>二食堂</x:v>
      </x:c>
      <x:c r="O1780" s="12" t="n">
        <x:f>IFERROR(INDEX('秒级路线参数_可调整'!$O:$O,MATCH(M1780,'秒级路线参数_可调整'!$A:$A,0)),"")</x:f>
        <x:v>535</x:v>
      </x:c>
      <x:c r="P1780" s="12" t="n">
        <x:f>IF(O1780="","",O1780/86400)</x:f>
        <x:v>0.00619212962962963</x:v>
      </x:c>
      <x:c r="Q1780" s="12" t="n">
        <x:f>IF(O1780="","",(H1780*60+O1780)/86400)</x:f>
        <x:v>0.8325810185185185</x:v>
      </x:c>
      <x:c r="R1780" s="12" t="str">
        <x:f>IF(Q1780="","",TEXT(Q1780,"hh:mm:ss"))</x:f>
        <x:v>19:58:55</x:v>
      </x:c>
      <x:c r="S1780" s="12" t="str">
        <x:v>否</x:v>
      </x:c>
      <x:c r="T1780" s="12" t="str">
        <x:v>否</x:v>
      </x:c>
      <x:c r="U1780" s="12" t="str">
        <x:v>孙五星</x:v>
      </x:c>
      <x:c r="V1780" s="12" t="str">
        <x:v>3号车</x:v>
      </x:c>
      <x:c r="W1780" s="12" t="str">
        <x:v>秒级预测</x:v>
      </x:c>
      <x:c r="X1780" s="12" t="str">
        <x:v>基于路线秒级参数；如录入实测或手动采用秒，预计到达时间可随公式更新</x:v>
      </x:c>
    </x:row>
    <x:row r="1781">
      <x:c r="A1781" s="12" t="str">
        <x:v>S0152-10</x:v>
      </x:c>
      <x:c r="B1781" s="12" t="str">
        <x:v>S0152</x:v>
      </x:c>
      <x:c r="C1781" s="12" t="str">
        <x:v>工作日</x:v>
      </x:c>
      <x:c r="D1781" s="12" t="str">
        <x:v>环线3路</x:v>
      </x:c>
      <x:c r="E1781" s="12" t="str">
        <x:v>第四班</x:v>
      </x:c>
      <x:c r="F1781" s="12" t="n">
        <x:v>5</x:v>
      </x:c>
      <x:c r="G1781" s="12" t="str">
        <x:v>19:50</x:v>
      </x:c>
      <x:c r="H1781" s="12" t="n">
        <x:v>1190</x:v>
      </x:c>
      <x:c r="I1781" s="12" t="str">
        <x:v>研究生宿舍楼</x:v>
      </x:c>
      <x:c r="J1781" s="12" t="str">
        <x:v>研究生宿舍楼发车</x:v>
      </x:c>
      <x:c r="K1781" s="12" t="str">
        <x:v>HX3_NORMAL</x:v>
      </x:c>
      <x:c r="L1781" s="12" t="n">
        <x:v>10</x:v>
      </x:c>
      <x:c r="M1781" s="12" t="str">
        <x:v>HX3_NORMAL|10</x:v>
      </x:c>
      <x:c r="N1781" s="12" t="str">
        <x:v>图书馆</x:v>
      </x:c>
      <x:c r="O1781" s="12" t="n">
        <x:f>IFERROR(INDEX('秒级路线参数_可调整'!$O:$O,MATCH(M1781,'秒级路线参数_可调整'!$A:$A,0)),"")</x:f>
        <x:v>715</x:v>
      </x:c>
      <x:c r="P1781" s="12" t="n">
        <x:f>IF(O1781="","",O1781/86400)</x:f>
        <x:v>0.008275462962962964</x:v>
      </x:c>
      <x:c r="Q1781" s="12" t="n">
        <x:f>IF(O1781="","",(H1781*60+O1781)/86400)</x:f>
        <x:v>0.8346643518518518</x:v>
      </x:c>
      <x:c r="R1781" s="12" t="str">
        <x:f>IF(Q1781="","",TEXT(Q1781,"hh:mm:ss"))</x:f>
        <x:v>20:01:55</x:v>
      </x:c>
      <x:c r="S1781" s="12" t="str">
        <x:v>否</x:v>
      </x:c>
      <x:c r="T1781" s="12" t="str">
        <x:v>否</x:v>
      </x:c>
      <x:c r="U1781" s="12" t="str">
        <x:v>孙五星</x:v>
      </x:c>
      <x:c r="V1781" s="12" t="str">
        <x:v>3号车</x:v>
      </x:c>
      <x:c r="W1781" s="12" t="str">
        <x:v>秒级预测</x:v>
      </x:c>
      <x:c r="X1781" s="12" t="str">
        <x:v>基于路线秒级参数；如录入实测或手动采用秒，预计到达时间可随公式更新</x:v>
      </x:c>
    </x:row>
    <x:row r="1782">
      <x:c r="A1782" s="12" t="str">
        <x:v>S0152-11</x:v>
      </x:c>
      <x:c r="B1782" s="12" t="str">
        <x:v>S0152</x:v>
      </x:c>
      <x:c r="C1782" s="12" t="str">
        <x:v>工作日</x:v>
      </x:c>
      <x:c r="D1782" s="12" t="str">
        <x:v>环线3路</x:v>
      </x:c>
      <x:c r="E1782" s="12" t="str">
        <x:v>第四班</x:v>
      </x:c>
      <x:c r="F1782" s="12" t="n">
        <x:v>5</x:v>
      </x:c>
      <x:c r="G1782" s="12" t="str">
        <x:v>19:50</x:v>
      </x:c>
      <x:c r="H1782" s="12" t="n">
        <x:v>1190</x:v>
      </x:c>
      <x:c r="I1782" s="12" t="str">
        <x:v>研究生宿舍楼</x:v>
      </x:c>
      <x:c r="J1782" s="12" t="str">
        <x:v>研究生宿舍楼发车</x:v>
      </x:c>
      <x:c r="K1782" s="12" t="str">
        <x:v>HX3_NORMAL</x:v>
      </x:c>
      <x:c r="L1782" s="12" t="n">
        <x:v>11</x:v>
      </x:c>
      <x:c r="M1782" s="12" t="str">
        <x:v>HX3_NORMAL|11</x:v>
      </x:c>
      <x:c r="N1782" s="12" t="str">
        <x:v>305教学楼</x:v>
      </x:c>
      <x:c r="O1782" s="12" t="n">
        <x:f>IFERROR(INDEX('秒级路线参数_可调整'!$O:$O,MATCH(M1782,'秒级路线参数_可调整'!$A:$A,0)),"")</x:f>
        <x:v>775</x:v>
      </x:c>
      <x:c r="P1782" s="12" t="n">
        <x:f>IF(O1782="","",O1782/86400)</x:f>
        <x:v>0.008969907407407407</x:v>
      </x:c>
      <x:c r="Q1782" s="12" t="n">
        <x:f>IF(O1782="","",(H1782*60+O1782)/86400)</x:f>
        <x:v>0.8353587962962963</x:v>
      </x:c>
      <x:c r="R1782" s="12" t="str">
        <x:f>IF(Q1782="","",TEXT(Q1782,"hh:mm:ss"))</x:f>
        <x:v>20:02:55</x:v>
      </x:c>
      <x:c r="S1782" s="12" t="str">
        <x:v>否</x:v>
      </x:c>
      <x:c r="T1782" s="12" t="str">
        <x:v>否</x:v>
      </x:c>
      <x:c r="U1782" s="12" t="str">
        <x:v>孙五星</x:v>
      </x:c>
      <x:c r="V1782" s="12" t="str">
        <x:v>3号车</x:v>
      </x:c>
      <x:c r="W1782" s="12" t="str">
        <x:v>秒级预测</x:v>
      </x:c>
      <x:c r="X1782" s="12" t="str">
        <x:v>基于路线秒级参数；如录入实测或手动采用秒，预计到达时间可随公式更新</x:v>
      </x:c>
    </x:row>
    <x:row r="1783">
      <x:c r="A1783" s="12" t="str">
        <x:v>S0152-12</x:v>
      </x:c>
      <x:c r="B1783" s="12" t="str">
        <x:v>S0152</x:v>
      </x:c>
      <x:c r="C1783" s="12" t="str">
        <x:v>工作日</x:v>
      </x:c>
      <x:c r="D1783" s="12" t="str">
        <x:v>环线3路</x:v>
      </x:c>
      <x:c r="E1783" s="12" t="str">
        <x:v>第四班</x:v>
      </x:c>
      <x:c r="F1783" s="12" t="n">
        <x:v>5</x:v>
      </x:c>
      <x:c r="G1783" s="12" t="str">
        <x:v>19:50</x:v>
      </x:c>
      <x:c r="H1783" s="12" t="n">
        <x:v>1190</x:v>
      </x:c>
      <x:c r="I1783" s="12" t="str">
        <x:v>研究生宿舍楼</x:v>
      </x:c>
      <x:c r="J1783" s="12" t="str">
        <x:v>研究生宿舍楼发车</x:v>
      </x:c>
      <x:c r="K1783" s="12" t="str">
        <x:v>HX3_NORMAL</x:v>
      </x:c>
      <x:c r="L1783" s="12" t="n">
        <x:v>12</x:v>
      </x:c>
      <x:c r="M1783" s="12" t="str">
        <x:v>HX3_NORMAL|12</x:v>
      </x:c>
      <x:c r="N1783" s="12" t="str">
        <x:v>研究生宿舍楼</x:v>
      </x:c>
      <x:c r="O1783" s="12" t="n">
        <x:f>IFERROR(INDEX('秒级路线参数_可调整'!$O:$O,MATCH(M1783,'秒级路线参数_可调整'!$A:$A,0)),"")</x:f>
        <x:v>840</x:v>
      </x:c>
      <x:c r="P1783" s="12" t="n">
        <x:f>IF(O1783="","",O1783/86400)</x:f>
        <x:v>0.009722222222222222</x:v>
      </x:c>
      <x:c r="Q1783" s="12" t="n">
        <x:f>IF(O1783="","",(H1783*60+O1783)/86400)</x:f>
        <x:v>0.8361111111111111</x:v>
      </x:c>
      <x:c r="R1783" s="12" t="str">
        <x:f>IF(Q1783="","",TEXT(Q1783,"hh:mm:ss"))</x:f>
        <x:v>20:04:00</x:v>
      </x:c>
      <x:c r="S1783" s="12" t="str">
        <x:v>否</x:v>
      </x:c>
      <x:c r="T1783" s="12" t="str">
        <x:v>是</x:v>
      </x:c>
      <x:c r="U1783" s="12" t="str">
        <x:v>孙五星</x:v>
      </x:c>
      <x:c r="V1783" s="12" t="str">
        <x:v>3号车</x:v>
      </x:c>
      <x:c r="W1783" s="12" t="str">
        <x:v>秒级预测</x:v>
      </x:c>
      <x:c r="X1783" s="12" t="str">
        <x:v>基于路线秒级参数；如录入实测或手动采用秒，预计到达时间可随公式更新</x:v>
      </x:c>
    </x:row>
    <x:row r="1784">
      <x:c r="A1784" s="12" t="str">
        <x:v>S0153-01</x:v>
      </x:c>
      <x:c r="B1784" s="12" t="str">
        <x:v>S0153</x:v>
      </x:c>
      <x:c r="C1784" s="12" t="str">
        <x:v>工作日</x:v>
      </x:c>
      <x:c r="D1784" s="12" t="str">
        <x:v>环线3路</x:v>
      </x:c>
      <x:c r="E1784" s="12" t="str">
        <x:v>第四班</x:v>
      </x:c>
      <x:c r="F1784" s="12" t="n">
        <x:v>6</x:v>
      </x:c>
      <x:c r="G1784" s="12" t="str">
        <x:v>20:20</x:v>
      </x:c>
      <x:c r="H1784" s="12" t="n">
        <x:v>1220</x:v>
      </x:c>
      <x:c r="I1784" s="12" t="str">
        <x:v>研究生宿舍楼</x:v>
      </x:c>
      <x:c r="J1784" s="12" t="str">
        <x:v>研究生宿舍楼发车</x:v>
      </x:c>
      <x:c r="K1784" s="12" t="str">
        <x:v>HX3_NORMAL</x:v>
      </x:c>
      <x:c r="L1784" s="12" t="n">
        <x:v>1</x:v>
      </x:c>
      <x:c r="M1784" s="12" t="str">
        <x:v>HX3_NORMAL|1</x:v>
      </x:c>
      <x:c r="N1784" s="12" t="str">
        <x:v>研究生宿舍楼</x:v>
      </x:c>
      <x:c r="O1784" s="12" t="n">
        <x:f>IFERROR(INDEX('秒级路线参数_可调整'!$O:$O,MATCH(M1784,'秒级路线参数_可调整'!$A:$A,0)),"")</x:f>
        <x:v>0</x:v>
      </x:c>
      <x:c r="P1784" s="12" t="str">
        <x:f>IF(O1784="","",O1784/86400)</x:f>
      </x:c>
      <x:c r="Q1784" s="12" t="str">
        <x:f>IF(O1784="","",(H1784*60+O1784)/86400)</x:f>
      </x:c>
      <x:c r="R1784" s="12" t="str">
        <x:f>IF(Q1784="","",TEXT(Q1784,"hh:mm:ss"))</x:f>
      </x:c>
      <x:c r="S1784" s="12" t="str">
        <x:v>是</x:v>
      </x:c>
      <x:c r="T1784" s="12" t="str">
        <x:v>否</x:v>
      </x:c>
      <x:c r="U1784" s="12" t="str">
        <x:v>孙五星</x:v>
      </x:c>
      <x:c r="V1784" s="12" t="str">
        <x:v>3号车</x:v>
      </x:c>
      <x:c r="W1784" s="12" t="str">
        <x:v>秒级预测</x:v>
      </x:c>
      <x:c r="X1784" s="12" t="str">
        <x:v>基于路线秒级参数；如录入实测或手动采用秒，预计到达时间可随公式更新</x:v>
      </x:c>
    </x:row>
    <x:row r="1785">
      <x:c r="A1785" s="12" t="str">
        <x:v>S0153-02</x:v>
      </x:c>
      <x:c r="B1785" s="12" t="str">
        <x:v>S0153</x:v>
      </x:c>
      <x:c r="C1785" s="12" t="str">
        <x:v>工作日</x:v>
      </x:c>
      <x:c r="D1785" s="12" t="str">
        <x:v>环线3路</x:v>
      </x:c>
      <x:c r="E1785" s="12" t="str">
        <x:v>第四班</x:v>
      </x:c>
      <x:c r="F1785" s="12" t="n">
        <x:v>6</x:v>
      </x:c>
      <x:c r="G1785" s="12" t="str">
        <x:v>20:20</x:v>
      </x:c>
      <x:c r="H1785" s="12" t="n">
        <x:v>1220</x:v>
      </x:c>
      <x:c r="I1785" s="12" t="str">
        <x:v>研究生宿舍楼</x:v>
      </x:c>
      <x:c r="J1785" s="12" t="str">
        <x:v>研究生宿舍楼发车</x:v>
      </x:c>
      <x:c r="K1785" s="12" t="str">
        <x:v>HX3_NORMAL</x:v>
      </x:c>
      <x:c r="L1785" s="12" t="n">
        <x:v>2</x:v>
      </x:c>
      <x:c r="M1785" s="12" t="str">
        <x:v>HX3_NORMAL|2</x:v>
      </x:c>
      <x:c r="N1785" s="12" t="str">
        <x:v>一食堂</x:v>
      </x:c>
      <x:c r="O1785" s="12" t="n">
        <x:f>IFERROR(INDEX('秒级路线参数_可调整'!$O:$O,MATCH(M1785,'秒级路线参数_可调整'!$A:$A,0)),"")</x:f>
        <x:v>65</x:v>
      </x:c>
      <x:c r="P1785" s="12" t="n">
        <x:f>IF(O1785="","",O1785/86400)</x:f>
        <x:v>0.0007523148148148148</x:v>
      </x:c>
      <x:c r="Q1785" s="12" t="n">
        <x:f>IF(O1785="","",(H1785*60+O1785)/86400)</x:f>
        <x:v>0.8479745370370371</x:v>
      </x:c>
      <x:c r="R1785" s="12" t="str">
        <x:f>IF(Q1785="","",TEXT(Q1785,"hh:mm:ss"))</x:f>
        <x:v>20:21:05</x:v>
      </x:c>
      <x:c r="S1785" s="12" t="str">
        <x:v>否</x:v>
      </x:c>
      <x:c r="T1785" s="12" t="str">
        <x:v>否</x:v>
      </x:c>
      <x:c r="U1785" s="12" t="str">
        <x:v>孙五星</x:v>
      </x:c>
      <x:c r="V1785" s="12" t="str">
        <x:v>3号车</x:v>
      </x:c>
      <x:c r="W1785" s="12" t="str">
        <x:v>秒级预测</x:v>
      </x:c>
      <x:c r="X1785" s="12" t="str">
        <x:v>基于路线秒级参数；如录入实测或手动采用秒，预计到达时间可随公式更新</x:v>
      </x:c>
    </x:row>
    <x:row r="1786">
      <x:c r="A1786" s="12" t="str">
        <x:v>S0153-03</x:v>
      </x:c>
      <x:c r="B1786" s="12" t="str">
        <x:v>S0153</x:v>
      </x:c>
      <x:c r="C1786" s="12" t="str">
        <x:v>工作日</x:v>
      </x:c>
      <x:c r="D1786" s="12" t="str">
        <x:v>环线3路</x:v>
      </x:c>
      <x:c r="E1786" s="12" t="str">
        <x:v>第四班</x:v>
      </x:c>
      <x:c r="F1786" s="12" t="n">
        <x:v>6</x:v>
      </x:c>
      <x:c r="G1786" s="12" t="str">
        <x:v>20:20</x:v>
      </x:c>
      <x:c r="H1786" s="12" t="n">
        <x:v>1220</x:v>
      </x:c>
      <x:c r="I1786" s="12" t="str">
        <x:v>研究生宿舍楼</x:v>
      </x:c>
      <x:c r="J1786" s="12" t="str">
        <x:v>研究生宿舍楼发车</x:v>
      </x:c>
      <x:c r="K1786" s="12" t="str">
        <x:v>HX3_NORMAL</x:v>
      </x:c>
      <x:c r="L1786" s="12" t="n">
        <x:v>3</x:v>
      </x:c>
      <x:c r="M1786" s="12" t="str">
        <x:v>HX3_NORMAL|3</x:v>
      </x:c>
      <x:c r="N1786" s="12" t="str">
        <x:v>2号宿舍楼</x:v>
      </x:c>
      <x:c r="O1786" s="12" t="n">
        <x:f>IFERROR(INDEX('秒级路线参数_可调整'!$O:$O,MATCH(M1786,'秒级路线参数_可调整'!$A:$A,0)),"")</x:f>
        <x:v>120</x:v>
      </x:c>
      <x:c r="P1786" s="12" t="n">
        <x:f>IF(O1786="","",O1786/86400)</x:f>
        <x:v>0.001388888888888889</x:v>
      </x:c>
      <x:c r="Q1786" s="12" t="n">
        <x:f>IF(O1786="","",(H1786*60+O1786)/86400)</x:f>
        <x:v>0.8486111111111111</x:v>
      </x:c>
      <x:c r="R1786" s="12" t="str">
        <x:f>IF(Q1786="","",TEXT(Q1786,"hh:mm:ss"))</x:f>
        <x:v>20:22:00</x:v>
      </x:c>
      <x:c r="S1786" s="12" t="str">
        <x:v>否</x:v>
      </x:c>
      <x:c r="T1786" s="12" t="str">
        <x:v>否</x:v>
      </x:c>
      <x:c r="U1786" s="12" t="str">
        <x:v>孙五星</x:v>
      </x:c>
      <x:c r="V1786" s="12" t="str">
        <x:v>3号车</x:v>
      </x:c>
      <x:c r="W1786" s="12" t="str">
        <x:v>秒级预测</x:v>
      </x:c>
      <x:c r="X1786" s="12" t="str">
        <x:v>基于路线秒级参数；如录入实测或手动采用秒，预计到达时间可随公式更新</x:v>
      </x:c>
    </x:row>
    <x:row r="1787">
      <x:c r="A1787" s="12" t="str">
        <x:v>S0153-04</x:v>
      </x:c>
      <x:c r="B1787" s="12" t="str">
        <x:v>S0153</x:v>
      </x:c>
      <x:c r="C1787" s="12" t="str">
        <x:v>工作日</x:v>
      </x:c>
      <x:c r="D1787" s="12" t="str">
        <x:v>环线3路</x:v>
      </x:c>
      <x:c r="E1787" s="12" t="str">
        <x:v>第四班</x:v>
      </x:c>
      <x:c r="F1787" s="12" t="n">
        <x:v>6</x:v>
      </x:c>
      <x:c r="G1787" s="12" t="str">
        <x:v>20:20</x:v>
      </x:c>
      <x:c r="H1787" s="12" t="n">
        <x:v>1220</x:v>
      </x:c>
      <x:c r="I1787" s="12" t="str">
        <x:v>研究生宿舍楼</x:v>
      </x:c>
      <x:c r="J1787" s="12" t="str">
        <x:v>研究生宿舍楼发车</x:v>
      </x:c>
      <x:c r="K1787" s="12" t="str">
        <x:v>HX3_NORMAL</x:v>
      </x:c>
      <x:c r="L1787" s="12" t="n">
        <x:v>4</x:v>
      </x:c>
      <x:c r="M1787" s="12" t="str">
        <x:v>HX3_NORMAL|4</x:v>
      </x:c>
      <x:c r="N1787" s="12" t="str">
        <x:v>军体活动中心</x:v>
      </x:c>
      <x:c r="O1787" s="12" t="n">
        <x:f>IFERROR(INDEX('秒级路线参数_可调整'!$O:$O,MATCH(M1787,'秒级路线参数_可调整'!$A:$A,0)),"")</x:f>
        <x:v>165</x:v>
      </x:c>
      <x:c r="P1787" s="12" t="n">
        <x:f>IF(O1787="","",O1787/86400)</x:f>
        <x:v>0.0019097222222222222</x:v>
      </x:c>
      <x:c r="Q1787" s="12" t="n">
        <x:f>IF(O1787="","",(H1787*60+O1787)/86400)</x:f>
        <x:v>0.8491319444444444</x:v>
      </x:c>
      <x:c r="R1787" s="12" t="str">
        <x:f>IF(Q1787="","",TEXT(Q1787,"hh:mm:ss"))</x:f>
        <x:v>20:22:45</x:v>
      </x:c>
      <x:c r="S1787" s="12" t="str">
        <x:v>否</x:v>
      </x:c>
      <x:c r="T1787" s="12" t="str">
        <x:v>否</x:v>
      </x:c>
      <x:c r="U1787" s="12" t="str">
        <x:v>孙五星</x:v>
      </x:c>
      <x:c r="V1787" s="12" t="str">
        <x:v>3号车</x:v>
      </x:c>
      <x:c r="W1787" s="12" t="str">
        <x:v>秒级预测</x:v>
      </x:c>
      <x:c r="X1787" s="12" t="str">
        <x:v>基于路线秒级参数；如录入实测或手动采用秒，预计到达时间可随公式更新</x:v>
      </x:c>
    </x:row>
    <x:row r="1788">
      <x:c r="A1788" s="12" t="str">
        <x:v>S0153-05</x:v>
      </x:c>
      <x:c r="B1788" s="12" t="str">
        <x:v>S0153</x:v>
      </x:c>
      <x:c r="C1788" s="12" t="str">
        <x:v>工作日</x:v>
      </x:c>
      <x:c r="D1788" s="12" t="str">
        <x:v>环线3路</x:v>
      </x:c>
      <x:c r="E1788" s="12" t="str">
        <x:v>第四班</x:v>
      </x:c>
      <x:c r="F1788" s="12" t="n">
        <x:v>6</x:v>
      </x:c>
      <x:c r="G1788" s="12" t="str">
        <x:v>20:20</x:v>
      </x:c>
      <x:c r="H1788" s="12" t="n">
        <x:v>1220</x:v>
      </x:c>
      <x:c r="I1788" s="12" t="str">
        <x:v>研究生宿舍楼</x:v>
      </x:c>
      <x:c r="J1788" s="12" t="str">
        <x:v>研究生宿舍楼发车</x:v>
      </x:c>
      <x:c r="K1788" s="12" t="str">
        <x:v>HX3_NORMAL</x:v>
      </x:c>
      <x:c r="L1788" s="12" t="n">
        <x:v>5</x:v>
      </x:c>
      <x:c r="M1788" s="12" t="str">
        <x:v>HX3_NORMAL|5</x:v>
      </x:c>
      <x:c r="N1788" s="12" t="str">
        <x:v>教勤连</x:v>
      </x:c>
      <x:c r="O1788" s="12" t="n">
        <x:f>IFERROR(INDEX('秒级路线参数_可调整'!$O:$O,MATCH(M1788,'秒级路线参数_可调整'!$A:$A,0)),"")</x:f>
        <x:v>250</x:v>
      </x:c>
      <x:c r="P1788" s="12" t="n">
        <x:f>IF(O1788="","",O1788/86400)</x:f>
        <x:v>0.0028935185185185184</x:v>
      </x:c>
      <x:c r="Q1788" s="12" t="n">
        <x:f>IF(O1788="","",(H1788*60+O1788)/86400)</x:f>
        <x:v>0.8501157407407407</x:v>
      </x:c>
      <x:c r="R1788" s="12" t="str">
        <x:f>IF(Q1788="","",TEXT(Q1788,"hh:mm:ss"))</x:f>
        <x:v>20:24:10</x:v>
      </x:c>
      <x:c r="S1788" s="12" t="str">
        <x:v>否</x:v>
      </x:c>
      <x:c r="T1788" s="12" t="str">
        <x:v>否</x:v>
      </x:c>
      <x:c r="U1788" s="12" t="str">
        <x:v>孙五星</x:v>
      </x:c>
      <x:c r="V1788" s="12" t="str">
        <x:v>3号车</x:v>
      </x:c>
      <x:c r="W1788" s="12" t="str">
        <x:v>秒级预测</x:v>
      </x:c>
      <x:c r="X1788" s="12" t="str">
        <x:v>基于路线秒级参数；如录入实测或手动采用秒，预计到达时间可随公式更新</x:v>
      </x:c>
    </x:row>
    <x:row r="1789">
      <x:c r="A1789" s="12" t="str">
        <x:v>S0153-06</x:v>
      </x:c>
      <x:c r="B1789" s="12" t="str">
        <x:v>S0153</x:v>
      </x:c>
      <x:c r="C1789" s="12" t="str">
        <x:v>工作日</x:v>
      </x:c>
      <x:c r="D1789" s="12" t="str">
        <x:v>环线3路</x:v>
      </x:c>
      <x:c r="E1789" s="12" t="str">
        <x:v>第四班</x:v>
      </x:c>
      <x:c r="F1789" s="12" t="n">
        <x:v>6</x:v>
      </x:c>
      <x:c r="G1789" s="12" t="str">
        <x:v>20:20</x:v>
      </x:c>
      <x:c r="H1789" s="12" t="n">
        <x:v>1220</x:v>
      </x:c>
      <x:c r="I1789" s="12" t="str">
        <x:v>研究生宿舍楼</x:v>
      </x:c>
      <x:c r="J1789" s="12" t="str">
        <x:v>研究生宿舍楼发车</x:v>
      </x:c>
      <x:c r="K1789" s="12" t="str">
        <x:v>HX3_NORMAL</x:v>
      </x:c>
      <x:c r="L1789" s="12" t="n">
        <x:v>6</x:v>
      </x:c>
      <x:c r="M1789" s="12" t="str">
        <x:v>HX3_NORMAL|6</x:v>
      </x:c>
      <x:c r="N1789" s="12" t="str">
        <x:v>激光所</x:v>
      </x:c>
      <x:c r="O1789" s="12" t="n">
        <x:f>IFERROR(INDEX('秒级路线参数_可调整'!$O:$O,MATCH(M1789,'秒级路线参数_可调整'!$A:$A,0)),"")</x:f>
        <x:v>315</x:v>
      </x:c>
      <x:c r="P1789" s="12" t="n">
        <x:f>IF(O1789="","",O1789/86400)</x:f>
        <x:v>0.0036458333333333334</x:v>
      </x:c>
      <x:c r="Q1789" s="12" t="n">
        <x:f>IF(O1789="","",(H1789*60+O1789)/86400)</x:f>
        <x:v>0.8508680555555556</x:v>
      </x:c>
      <x:c r="R1789" s="12" t="str">
        <x:f>IF(Q1789="","",TEXT(Q1789,"hh:mm:ss"))</x:f>
        <x:v>20:25:15</x:v>
      </x:c>
      <x:c r="S1789" s="12" t="str">
        <x:v>否</x:v>
      </x:c>
      <x:c r="T1789" s="12" t="str">
        <x:v>否</x:v>
      </x:c>
      <x:c r="U1789" s="12" t="str">
        <x:v>孙五星</x:v>
      </x:c>
      <x:c r="V1789" s="12" t="str">
        <x:v>3号车</x:v>
      </x:c>
      <x:c r="W1789" s="12" t="str">
        <x:v>秒级预测</x:v>
      </x:c>
      <x:c r="X1789" s="12" t="str">
        <x:v>基于路线秒级参数；如录入实测或手动采用秒，预计到达时间可随公式更新</x:v>
      </x:c>
    </x:row>
    <x:row r="1790">
      <x:c r="A1790" s="12" t="str">
        <x:v>S0153-07</x:v>
      </x:c>
      <x:c r="B1790" s="12" t="str">
        <x:v>S0153</x:v>
      </x:c>
      <x:c r="C1790" s="12" t="str">
        <x:v>工作日</x:v>
      </x:c>
      <x:c r="D1790" s="12" t="str">
        <x:v>环线3路</x:v>
      </x:c>
      <x:c r="E1790" s="12" t="str">
        <x:v>第四班</x:v>
      </x:c>
      <x:c r="F1790" s="12" t="n">
        <x:v>6</x:v>
      </x:c>
      <x:c r="G1790" s="12" t="str">
        <x:v>20:20</x:v>
      </x:c>
      <x:c r="H1790" s="12" t="n">
        <x:v>1220</x:v>
      </x:c>
      <x:c r="I1790" s="12" t="str">
        <x:v>研究生宿舍楼</x:v>
      </x:c>
      <x:c r="J1790" s="12" t="str">
        <x:v>研究生宿舍楼发车</x:v>
      </x:c>
      <x:c r="K1790" s="12" t="str">
        <x:v>HX3_NORMAL</x:v>
      </x:c>
      <x:c r="L1790" s="12" t="n">
        <x:v>7</x:v>
      </x:c>
      <x:c r="M1790" s="12" t="str">
        <x:v>HX3_NORMAL|7</x:v>
      </x:c>
      <x:c r="N1790" s="12" t="str">
        <x:v>高超楼</x:v>
      </x:c>
      <x:c r="O1790" s="12" t="n">
        <x:f>IFERROR(INDEX('秒级路线参数_可调整'!$O:$O,MATCH(M1790,'秒级路线参数_可调整'!$A:$A,0)),"")</x:f>
        <x:v>420</x:v>
      </x:c>
      <x:c r="P1790" s="12" t="n">
        <x:f>IF(O1790="","",O1790/86400)</x:f>
        <x:v>0.004861111111111111</x:v>
      </x:c>
      <x:c r="Q1790" s="12" t="n">
        <x:f>IF(O1790="","",(H1790*60+O1790)/86400)</x:f>
        <x:v>0.8520833333333333</x:v>
      </x:c>
      <x:c r="R1790" s="12" t="str">
        <x:f>IF(Q1790="","",TEXT(Q1790,"hh:mm:ss"))</x:f>
        <x:v>20:27:00</x:v>
      </x:c>
      <x:c r="S1790" s="12" t="str">
        <x:v>否</x:v>
      </x:c>
      <x:c r="T1790" s="12" t="str">
        <x:v>否</x:v>
      </x:c>
      <x:c r="U1790" s="12" t="str">
        <x:v>孙五星</x:v>
      </x:c>
      <x:c r="V1790" s="12" t="str">
        <x:v>3号车</x:v>
      </x:c>
      <x:c r="W1790" s="12" t="str">
        <x:v>秒级预测</x:v>
      </x:c>
      <x:c r="X1790" s="12" t="str">
        <x:v>基于路线秒级参数；如录入实测或手动采用秒，预计到达时间可随公式更新</x:v>
      </x:c>
    </x:row>
    <x:row r="1791">
      <x:c r="A1791" s="12" t="str">
        <x:v>S0153-08</x:v>
      </x:c>
      <x:c r="B1791" s="12" t="str">
        <x:v>S0153</x:v>
      </x:c>
      <x:c r="C1791" s="12" t="str">
        <x:v>工作日</x:v>
      </x:c>
      <x:c r="D1791" s="12" t="str">
        <x:v>环线3路</x:v>
      </x:c>
      <x:c r="E1791" s="12" t="str">
        <x:v>第四班</x:v>
      </x:c>
      <x:c r="F1791" s="12" t="n">
        <x:v>6</x:v>
      </x:c>
      <x:c r="G1791" s="12" t="str">
        <x:v>20:20</x:v>
      </x:c>
      <x:c r="H1791" s="12" t="n">
        <x:v>1220</x:v>
      </x:c>
      <x:c r="I1791" s="12" t="str">
        <x:v>研究生宿舍楼</x:v>
      </x:c>
      <x:c r="J1791" s="12" t="str">
        <x:v>研究生宿舍楼发车</x:v>
      </x:c>
      <x:c r="K1791" s="12" t="str">
        <x:v>HX3_NORMAL</x:v>
      </x:c>
      <x:c r="L1791" s="12" t="n">
        <x:v>8</x:v>
      </x:c>
      <x:c r="M1791" s="12" t="str">
        <x:v>HX3_NORMAL|8</x:v>
      </x:c>
      <x:c r="N1791" s="12" t="str">
        <x:v>理学院</x:v>
      </x:c>
      <x:c r="O1791" s="12" t="n">
        <x:f>IFERROR(INDEX('秒级路线参数_可调整'!$O:$O,MATCH(M1791,'秒级路线参数_可调整'!$A:$A,0)),"")</x:f>
        <x:v>480</x:v>
      </x:c>
      <x:c r="P1791" s="12" t="n">
        <x:f>IF(O1791="","",O1791/86400)</x:f>
        <x:v>0.005555555555555556</x:v>
      </x:c>
      <x:c r="Q1791" s="12" t="n">
        <x:f>IF(O1791="","",(H1791*60+O1791)/86400)</x:f>
        <x:v>0.8527777777777777</x:v>
      </x:c>
      <x:c r="R1791" s="12" t="str">
        <x:f>IF(Q1791="","",TEXT(Q1791,"hh:mm:ss"))</x:f>
        <x:v>20:28:00</x:v>
      </x:c>
      <x:c r="S1791" s="12" t="str">
        <x:v>否</x:v>
      </x:c>
      <x:c r="T1791" s="12" t="str">
        <x:v>否</x:v>
      </x:c>
      <x:c r="U1791" s="12" t="str">
        <x:v>孙五星</x:v>
      </x:c>
      <x:c r="V1791" s="12" t="str">
        <x:v>3号车</x:v>
      </x:c>
      <x:c r="W1791" s="12" t="str">
        <x:v>秒级预测</x:v>
      </x:c>
      <x:c r="X1791" s="12" t="str">
        <x:v>基于路线秒级参数；如录入实测或手动采用秒，预计到达时间可随公式更新</x:v>
      </x:c>
    </x:row>
    <x:row r="1792">
      <x:c r="A1792" s="12" t="str">
        <x:v>S0153-09</x:v>
      </x:c>
      <x:c r="B1792" s="12" t="str">
        <x:v>S0153</x:v>
      </x:c>
      <x:c r="C1792" s="12" t="str">
        <x:v>工作日</x:v>
      </x:c>
      <x:c r="D1792" s="12" t="str">
        <x:v>环线3路</x:v>
      </x:c>
      <x:c r="E1792" s="12" t="str">
        <x:v>第四班</x:v>
      </x:c>
      <x:c r="F1792" s="12" t="n">
        <x:v>6</x:v>
      </x:c>
      <x:c r="G1792" s="12" t="str">
        <x:v>20:20</x:v>
      </x:c>
      <x:c r="H1792" s="12" t="n">
        <x:v>1220</x:v>
      </x:c>
      <x:c r="I1792" s="12" t="str">
        <x:v>研究生宿舍楼</x:v>
      </x:c>
      <x:c r="J1792" s="12" t="str">
        <x:v>研究生宿舍楼发车</x:v>
      </x:c>
      <x:c r="K1792" s="12" t="str">
        <x:v>HX3_NORMAL</x:v>
      </x:c>
      <x:c r="L1792" s="12" t="n">
        <x:v>9</x:v>
      </x:c>
      <x:c r="M1792" s="12" t="str">
        <x:v>HX3_NORMAL|9</x:v>
      </x:c>
      <x:c r="N1792" s="12" t="str">
        <x:v>二食堂</x:v>
      </x:c>
      <x:c r="O1792" s="12" t="n">
        <x:f>IFERROR(INDEX('秒级路线参数_可调整'!$O:$O,MATCH(M1792,'秒级路线参数_可调整'!$A:$A,0)),"")</x:f>
        <x:v>535</x:v>
      </x:c>
      <x:c r="P1792" s="12" t="n">
        <x:f>IF(O1792="","",O1792/86400)</x:f>
        <x:v>0.00619212962962963</x:v>
      </x:c>
      <x:c r="Q1792" s="12" t="n">
        <x:f>IF(O1792="","",(H1792*60+O1792)/86400)</x:f>
        <x:v>0.8534143518518519</x:v>
      </x:c>
      <x:c r="R1792" s="12" t="str">
        <x:f>IF(Q1792="","",TEXT(Q1792,"hh:mm:ss"))</x:f>
        <x:v>20:28:55</x:v>
      </x:c>
      <x:c r="S1792" s="12" t="str">
        <x:v>否</x:v>
      </x:c>
      <x:c r="T1792" s="12" t="str">
        <x:v>否</x:v>
      </x:c>
      <x:c r="U1792" s="12" t="str">
        <x:v>孙五星</x:v>
      </x:c>
      <x:c r="V1792" s="12" t="str">
        <x:v>3号车</x:v>
      </x:c>
      <x:c r="W1792" s="12" t="str">
        <x:v>秒级预测</x:v>
      </x:c>
      <x:c r="X1792" s="12" t="str">
        <x:v>基于路线秒级参数；如录入实测或手动采用秒，预计到达时间可随公式更新</x:v>
      </x:c>
    </x:row>
    <x:row r="1793">
      <x:c r="A1793" s="12" t="str">
        <x:v>S0153-10</x:v>
      </x:c>
      <x:c r="B1793" s="12" t="str">
        <x:v>S0153</x:v>
      </x:c>
      <x:c r="C1793" s="12" t="str">
        <x:v>工作日</x:v>
      </x:c>
      <x:c r="D1793" s="12" t="str">
        <x:v>环线3路</x:v>
      </x:c>
      <x:c r="E1793" s="12" t="str">
        <x:v>第四班</x:v>
      </x:c>
      <x:c r="F1793" s="12" t="n">
        <x:v>6</x:v>
      </x:c>
      <x:c r="G1793" s="12" t="str">
        <x:v>20:20</x:v>
      </x:c>
      <x:c r="H1793" s="12" t="n">
        <x:v>1220</x:v>
      </x:c>
      <x:c r="I1793" s="12" t="str">
        <x:v>研究生宿舍楼</x:v>
      </x:c>
      <x:c r="J1793" s="12" t="str">
        <x:v>研究生宿舍楼发车</x:v>
      </x:c>
      <x:c r="K1793" s="12" t="str">
        <x:v>HX3_NORMAL</x:v>
      </x:c>
      <x:c r="L1793" s="12" t="n">
        <x:v>10</x:v>
      </x:c>
      <x:c r="M1793" s="12" t="str">
        <x:v>HX3_NORMAL|10</x:v>
      </x:c>
      <x:c r="N1793" s="12" t="str">
        <x:v>图书馆</x:v>
      </x:c>
      <x:c r="O1793" s="12" t="n">
        <x:f>IFERROR(INDEX('秒级路线参数_可调整'!$O:$O,MATCH(M1793,'秒级路线参数_可调整'!$A:$A,0)),"")</x:f>
        <x:v>715</x:v>
      </x:c>
      <x:c r="P1793" s="12" t="n">
        <x:f>IF(O1793="","",O1793/86400)</x:f>
        <x:v>0.008275462962962964</x:v>
      </x:c>
      <x:c r="Q1793" s="12" t="n">
        <x:f>IF(O1793="","",(H1793*60+O1793)/86400)</x:f>
        <x:v>0.8554976851851852</x:v>
      </x:c>
      <x:c r="R1793" s="12" t="str">
        <x:f>IF(Q1793="","",TEXT(Q1793,"hh:mm:ss"))</x:f>
        <x:v>20:31:55</x:v>
      </x:c>
      <x:c r="S1793" s="12" t="str">
        <x:v>否</x:v>
      </x:c>
      <x:c r="T1793" s="12" t="str">
        <x:v>否</x:v>
      </x:c>
      <x:c r="U1793" s="12" t="str">
        <x:v>孙五星</x:v>
      </x:c>
      <x:c r="V1793" s="12" t="str">
        <x:v>3号车</x:v>
      </x:c>
      <x:c r="W1793" s="12" t="str">
        <x:v>秒级预测</x:v>
      </x:c>
      <x:c r="X1793" s="12" t="str">
        <x:v>基于路线秒级参数；如录入实测或手动采用秒，预计到达时间可随公式更新</x:v>
      </x:c>
    </x:row>
    <x:row r="1794">
      <x:c r="A1794" s="12" t="str">
        <x:v>S0153-11</x:v>
      </x:c>
      <x:c r="B1794" s="12" t="str">
        <x:v>S0153</x:v>
      </x:c>
      <x:c r="C1794" s="12" t="str">
        <x:v>工作日</x:v>
      </x:c>
      <x:c r="D1794" s="12" t="str">
        <x:v>环线3路</x:v>
      </x:c>
      <x:c r="E1794" s="12" t="str">
        <x:v>第四班</x:v>
      </x:c>
      <x:c r="F1794" s="12" t="n">
        <x:v>6</x:v>
      </x:c>
      <x:c r="G1794" s="12" t="str">
        <x:v>20:20</x:v>
      </x:c>
      <x:c r="H1794" s="12" t="n">
        <x:v>1220</x:v>
      </x:c>
      <x:c r="I1794" s="12" t="str">
        <x:v>研究生宿舍楼</x:v>
      </x:c>
      <x:c r="J1794" s="12" t="str">
        <x:v>研究生宿舍楼发车</x:v>
      </x:c>
      <x:c r="K1794" s="12" t="str">
        <x:v>HX3_NORMAL</x:v>
      </x:c>
      <x:c r="L1794" s="12" t="n">
        <x:v>11</x:v>
      </x:c>
      <x:c r="M1794" s="12" t="str">
        <x:v>HX3_NORMAL|11</x:v>
      </x:c>
      <x:c r="N1794" s="12" t="str">
        <x:v>305教学楼</x:v>
      </x:c>
      <x:c r="O1794" s="12" t="n">
        <x:f>IFERROR(INDEX('秒级路线参数_可调整'!$O:$O,MATCH(M1794,'秒级路线参数_可调整'!$A:$A,0)),"")</x:f>
        <x:v>775</x:v>
      </x:c>
      <x:c r="P1794" s="12" t="n">
        <x:f>IF(O1794="","",O1794/86400)</x:f>
        <x:v>0.008969907407407407</x:v>
      </x:c>
      <x:c r="Q1794" s="12" t="n">
        <x:f>IF(O1794="","",(H1794*60+O1794)/86400)</x:f>
        <x:v>0.8561921296296297</x:v>
      </x:c>
      <x:c r="R1794" s="12" t="str">
        <x:f>IF(Q1794="","",TEXT(Q1794,"hh:mm:ss"))</x:f>
        <x:v>20:32:55</x:v>
      </x:c>
      <x:c r="S1794" s="12" t="str">
        <x:v>否</x:v>
      </x:c>
      <x:c r="T1794" s="12" t="str">
        <x:v>否</x:v>
      </x:c>
      <x:c r="U1794" s="12" t="str">
        <x:v>孙五星</x:v>
      </x:c>
      <x:c r="V1794" s="12" t="str">
        <x:v>3号车</x:v>
      </x:c>
      <x:c r="W1794" s="12" t="str">
        <x:v>秒级预测</x:v>
      </x:c>
      <x:c r="X1794" s="12" t="str">
        <x:v>基于路线秒级参数；如录入实测或手动采用秒，预计到达时间可随公式更新</x:v>
      </x:c>
    </x:row>
    <x:row r="1795">
      <x:c r="A1795" s="12" t="str">
        <x:v>S0153-12</x:v>
      </x:c>
      <x:c r="B1795" s="12" t="str">
        <x:v>S0153</x:v>
      </x:c>
      <x:c r="C1795" s="12" t="str">
        <x:v>工作日</x:v>
      </x:c>
      <x:c r="D1795" s="12" t="str">
        <x:v>环线3路</x:v>
      </x:c>
      <x:c r="E1795" s="12" t="str">
        <x:v>第四班</x:v>
      </x:c>
      <x:c r="F1795" s="12" t="n">
        <x:v>6</x:v>
      </x:c>
      <x:c r="G1795" s="12" t="str">
        <x:v>20:20</x:v>
      </x:c>
      <x:c r="H1795" s="12" t="n">
        <x:v>1220</x:v>
      </x:c>
      <x:c r="I1795" s="12" t="str">
        <x:v>研究生宿舍楼</x:v>
      </x:c>
      <x:c r="J1795" s="12" t="str">
        <x:v>研究生宿舍楼发车</x:v>
      </x:c>
      <x:c r="K1795" s="12" t="str">
        <x:v>HX3_NORMAL</x:v>
      </x:c>
      <x:c r="L1795" s="12" t="n">
        <x:v>12</x:v>
      </x:c>
      <x:c r="M1795" s="12" t="str">
        <x:v>HX3_NORMAL|12</x:v>
      </x:c>
      <x:c r="N1795" s="12" t="str">
        <x:v>研究生宿舍楼</x:v>
      </x:c>
      <x:c r="O1795" s="12" t="n">
        <x:f>IFERROR(INDEX('秒级路线参数_可调整'!$O:$O,MATCH(M1795,'秒级路线参数_可调整'!$A:$A,0)),"")</x:f>
        <x:v>840</x:v>
      </x:c>
      <x:c r="P1795" s="12" t="n">
        <x:f>IF(O1795="","",O1795/86400)</x:f>
        <x:v>0.009722222222222222</x:v>
      </x:c>
      <x:c r="Q1795" s="12" t="n">
        <x:f>IF(O1795="","",(H1795*60+O1795)/86400)</x:f>
        <x:v>0.8569444444444444</x:v>
      </x:c>
      <x:c r="R1795" s="12" t="str">
        <x:f>IF(Q1795="","",TEXT(Q1795,"hh:mm:ss"))</x:f>
        <x:v>20:34:00</x:v>
      </x:c>
      <x:c r="S1795" s="12" t="str">
        <x:v>否</x:v>
      </x:c>
      <x:c r="T1795" s="12" t="str">
        <x:v>是</x:v>
      </x:c>
      <x:c r="U1795" s="12" t="str">
        <x:v>孙五星</x:v>
      </x:c>
      <x:c r="V1795" s="12" t="str">
        <x:v>3号车</x:v>
      </x:c>
      <x:c r="W1795" s="12" t="str">
        <x:v>秒级预测</x:v>
      </x:c>
      <x:c r="X1795" s="12" t="str">
        <x:v>基于路线秒级参数；如录入实测或手动采用秒，预计到达时间可随公式更新</x:v>
      </x:c>
    </x:row>
    <x:row r="1796">
      <x:c r="A1796" s="12" t="str">
        <x:v>S0154-01</x:v>
      </x:c>
      <x:c r="B1796" s="12" t="str">
        <x:v>S0154</x:v>
      </x:c>
      <x:c r="C1796" s="12" t="str">
        <x:v>工作日</x:v>
      </x:c>
      <x:c r="D1796" s="12" t="str">
        <x:v>环线3路</x:v>
      </x:c>
      <x:c r="E1796" s="12" t="str">
        <x:v>第四班</x:v>
      </x:c>
      <x:c r="F1796" s="12" t="n">
        <x:v>7</x:v>
      </x:c>
      <x:c r="G1796" s="12" t="str">
        <x:v>20:50</x:v>
      </x:c>
      <x:c r="H1796" s="12" t="n">
        <x:v>1250</x:v>
      </x:c>
      <x:c r="I1796" s="12" t="str">
        <x:v>研究生宿舍楼</x:v>
      </x:c>
      <x:c r="J1796" s="12" t="str">
        <x:v>研究生宿舍楼发车</x:v>
      </x:c>
      <x:c r="K1796" s="12" t="str">
        <x:v>HX3_NORMAL</x:v>
      </x:c>
      <x:c r="L1796" s="12" t="n">
        <x:v>1</x:v>
      </x:c>
      <x:c r="M1796" s="12" t="str">
        <x:v>HX3_NORMAL|1</x:v>
      </x:c>
      <x:c r="N1796" s="12" t="str">
        <x:v>研究生宿舍楼</x:v>
      </x:c>
      <x:c r="O1796" s="12" t="n">
        <x:f>IFERROR(INDEX('秒级路线参数_可调整'!$O:$O,MATCH(M1796,'秒级路线参数_可调整'!$A:$A,0)),"")</x:f>
        <x:v>0</x:v>
      </x:c>
      <x:c r="P1796" s="12" t="str">
        <x:f>IF(O1796="","",O1796/86400)</x:f>
      </x:c>
      <x:c r="Q1796" s="12" t="str">
        <x:f>IF(O1796="","",(H1796*60+O1796)/86400)</x:f>
      </x:c>
      <x:c r="R1796" s="12" t="str">
        <x:f>IF(Q1796="","",TEXT(Q1796,"hh:mm:ss"))</x:f>
      </x:c>
      <x:c r="S1796" s="12" t="str">
        <x:v>是</x:v>
      </x:c>
      <x:c r="T1796" s="12" t="str">
        <x:v>否</x:v>
      </x:c>
      <x:c r="U1796" s="12" t="str">
        <x:v>孙五星</x:v>
      </x:c>
      <x:c r="V1796" s="12" t="str">
        <x:v>3号车</x:v>
      </x:c>
      <x:c r="W1796" s="12" t="str">
        <x:v>秒级预测</x:v>
      </x:c>
      <x:c r="X1796" s="12" t="str">
        <x:v>基于路线秒级参数；如录入实测或手动采用秒，预计到达时间可随公式更新</x:v>
      </x:c>
    </x:row>
    <x:row r="1797">
      <x:c r="A1797" s="12" t="str">
        <x:v>S0154-02</x:v>
      </x:c>
      <x:c r="B1797" s="12" t="str">
        <x:v>S0154</x:v>
      </x:c>
      <x:c r="C1797" s="12" t="str">
        <x:v>工作日</x:v>
      </x:c>
      <x:c r="D1797" s="12" t="str">
        <x:v>环线3路</x:v>
      </x:c>
      <x:c r="E1797" s="12" t="str">
        <x:v>第四班</x:v>
      </x:c>
      <x:c r="F1797" s="12" t="n">
        <x:v>7</x:v>
      </x:c>
      <x:c r="G1797" s="12" t="str">
        <x:v>20:50</x:v>
      </x:c>
      <x:c r="H1797" s="12" t="n">
        <x:v>1250</x:v>
      </x:c>
      <x:c r="I1797" s="12" t="str">
        <x:v>研究生宿舍楼</x:v>
      </x:c>
      <x:c r="J1797" s="12" t="str">
        <x:v>研究生宿舍楼发车</x:v>
      </x:c>
      <x:c r="K1797" s="12" t="str">
        <x:v>HX3_NORMAL</x:v>
      </x:c>
      <x:c r="L1797" s="12" t="n">
        <x:v>2</x:v>
      </x:c>
      <x:c r="M1797" s="12" t="str">
        <x:v>HX3_NORMAL|2</x:v>
      </x:c>
      <x:c r="N1797" s="12" t="str">
        <x:v>一食堂</x:v>
      </x:c>
      <x:c r="O1797" s="12" t="n">
        <x:f>IFERROR(INDEX('秒级路线参数_可调整'!$O:$O,MATCH(M1797,'秒级路线参数_可调整'!$A:$A,0)),"")</x:f>
        <x:v>65</x:v>
      </x:c>
      <x:c r="P1797" s="12" t="n">
        <x:f>IF(O1797="","",O1797/86400)</x:f>
        <x:v>0.0007523148148148148</x:v>
      </x:c>
      <x:c r="Q1797" s="12" t="n">
        <x:f>IF(O1797="","",(H1797*60+O1797)/86400)</x:f>
        <x:v>0.8688078703703703</x:v>
      </x:c>
      <x:c r="R1797" s="12" t="str">
        <x:f>IF(Q1797="","",TEXT(Q1797,"hh:mm:ss"))</x:f>
        <x:v>20:51:05</x:v>
      </x:c>
      <x:c r="S1797" s="12" t="str">
        <x:v>否</x:v>
      </x:c>
      <x:c r="T1797" s="12" t="str">
        <x:v>否</x:v>
      </x:c>
      <x:c r="U1797" s="12" t="str">
        <x:v>孙五星</x:v>
      </x:c>
      <x:c r="V1797" s="12" t="str">
        <x:v>3号车</x:v>
      </x:c>
      <x:c r="W1797" s="12" t="str">
        <x:v>秒级预测</x:v>
      </x:c>
      <x:c r="X1797" s="12" t="str">
        <x:v>基于路线秒级参数；如录入实测或手动采用秒，预计到达时间可随公式更新</x:v>
      </x:c>
    </x:row>
    <x:row r="1798">
      <x:c r="A1798" s="12" t="str">
        <x:v>S0154-03</x:v>
      </x:c>
      <x:c r="B1798" s="12" t="str">
        <x:v>S0154</x:v>
      </x:c>
      <x:c r="C1798" s="12" t="str">
        <x:v>工作日</x:v>
      </x:c>
      <x:c r="D1798" s="12" t="str">
        <x:v>环线3路</x:v>
      </x:c>
      <x:c r="E1798" s="12" t="str">
        <x:v>第四班</x:v>
      </x:c>
      <x:c r="F1798" s="12" t="n">
        <x:v>7</x:v>
      </x:c>
      <x:c r="G1798" s="12" t="str">
        <x:v>20:50</x:v>
      </x:c>
      <x:c r="H1798" s="12" t="n">
        <x:v>1250</x:v>
      </x:c>
      <x:c r="I1798" s="12" t="str">
        <x:v>研究生宿舍楼</x:v>
      </x:c>
      <x:c r="J1798" s="12" t="str">
        <x:v>研究生宿舍楼发车</x:v>
      </x:c>
      <x:c r="K1798" s="12" t="str">
        <x:v>HX3_NORMAL</x:v>
      </x:c>
      <x:c r="L1798" s="12" t="n">
        <x:v>3</x:v>
      </x:c>
      <x:c r="M1798" s="12" t="str">
        <x:v>HX3_NORMAL|3</x:v>
      </x:c>
      <x:c r="N1798" s="12" t="str">
        <x:v>2号宿舍楼</x:v>
      </x:c>
      <x:c r="O1798" s="12" t="n">
        <x:f>IFERROR(INDEX('秒级路线参数_可调整'!$O:$O,MATCH(M1798,'秒级路线参数_可调整'!$A:$A,0)),"")</x:f>
        <x:v>120</x:v>
      </x:c>
      <x:c r="P1798" s="12" t="n">
        <x:f>IF(O1798="","",O1798/86400)</x:f>
        <x:v>0.001388888888888889</x:v>
      </x:c>
      <x:c r="Q1798" s="12" t="n">
        <x:f>IF(O1798="","",(H1798*60+O1798)/86400)</x:f>
        <x:v>0.8694444444444445</x:v>
      </x:c>
      <x:c r="R1798" s="12" t="str">
        <x:f>IF(Q1798="","",TEXT(Q1798,"hh:mm:ss"))</x:f>
        <x:v>20:52:00</x:v>
      </x:c>
      <x:c r="S1798" s="12" t="str">
        <x:v>否</x:v>
      </x:c>
      <x:c r="T1798" s="12" t="str">
        <x:v>否</x:v>
      </x:c>
      <x:c r="U1798" s="12" t="str">
        <x:v>孙五星</x:v>
      </x:c>
      <x:c r="V1798" s="12" t="str">
        <x:v>3号车</x:v>
      </x:c>
      <x:c r="W1798" s="12" t="str">
        <x:v>秒级预测</x:v>
      </x:c>
      <x:c r="X1798" s="12" t="str">
        <x:v>基于路线秒级参数；如录入实测或手动采用秒，预计到达时间可随公式更新</x:v>
      </x:c>
    </x:row>
    <x:row r="1799">
      <x:c r="A1799" s="12" t="str">
        <x:v>S0154-04</x:v>
      </x:c>
      <x:c r="B1799" s="12" t="str">
        <x:v>S0154</x:v>
      </x:c>
      <x:c r="C1799" s="12" t="str">
        <x:v>工作日</x:v>
      </x:c>
      <x:c r="D1799" s="12" t="str">
        <x:v>环线3路</x:v>
      </x:c>
      <x:c r="E1799" s="12" t="str">
        <x:v>第四班</x:v>
      </x:c>
      <x:c r="F1799" s="12" t="n">
        <x:v>7</x:v>
      </x:c>
      <x:c r="G1799" s="12" t="str">
        <x:v>20:50</x:v>
      </x:c>
      <x:c r="H1799" s="12" t="n">
        <x:v>1250</x:v>
      </x:c>
      <x:c r="I1799" s="12" t="str">
        <x:v>研究生宿舍楼</x:v>
      </x:c>
      <x:c r="J1799" s="12" t="str">
        <x:v>研究生宿舍楼发车</x:v>
      </x:c>
      <x:c r="K1799" s="12" t="str">
        <x:v>HX3_NORMAL</x:v>
      </x:c>
      <x:c r="L1799" s="12" t="n">
        <x:v>4</x:v>
      </x:c>
      <x:c r="M1799" s="12" t="str">
        <x:v>HX3_NORMAL|4</x:v>
      </x:c>
      <x:c r="N1799" s="12" t="str">
        <x:v>军体活动中心</x:v>
      </x:c>
      <x:c r="O1799" s="12" t="n">
        <x:f>IFERROR(INDEX('秒级路线参数_可调整'!$O:$O,MATCH(M1799,'秒级路线参数_可调整'!$A:$A,0)),"")</x:f>
        <x:v>165</x:v>
      </x:c>
      <x:c r="P1799" s="12" t="n">
        <x:f>IF(O1799="","",O1799/86400)</x:f>
        <x:v>0.0019097222222222222</x:v>
      </x:c>
      <x:c r="Q1799" s="12" t="n">
        <x:f>IF(O1799="","",(H1799*60+O1799)/86400)</x:f>
        <x:v>0.8699652777777778</x:v>
      </x:c>
      <x:c r="R1799" s="12" t="str">
        <x:f>IF(Q1799="","",TEXT(Q1799,"hh:mm:ss"))</x:f>
        <x:v>20:52:45</x:v>
      </x:c>
      <x:c r="S1799" s="12" t="str">
        <x:v>否</x:v>
      </x:c>
      <x:c r="T1799" s="12" t="str">
        <x:v>否</x:v>
      </x:c>
      <x:c r="U1799" s="12" t="str">
        <x:v>孙五星</x:v>
      </x:c>
      <x:c r="V1799" s="12" t="str">
        <x:v>3号车</x:v>
      </x:c>
      <x:c r="W1799" s="12" t="str">
        <x:v>秒级预测</x:v>
      </x:c>
      <x:c r="X1799" s="12" t="str">
        <x:v>基于路线秒级参数；如录入实测或手动采用秒，预计到达时间可随公式更新</x:v>
      </x:c>
    </x:row>
    <x:row r="1800">
      <x:c r="A1800" s="12" t="str">
        <x:v>S0154-05</x:v>
      </x:c>
      <x:c r="B1800" s="12" t="str">
        <x:v>S0154</x:v>
      </x:c>
      <x:c r="C1800" s="12" t="str">
        <x:v>工作日</x:v>
      </x:c>
      <x:c r="D1800" s="12" t="str">
        <x:v>环线3路</x:v>
      </x:c>
      <x:c r="E1800" s="12" t="str">
        <x:v>第四班</x:v>
      </x:c>
      <x:c r="F1800" s="12" t="n">
        <x:v>7</x:v>
      </x:c>
      <x:c r="G1800" s="12" t="str">
        <x:v>20:50</x:v>
      </x:c>
      <x:c r="H1800" s="12" t="n">
        <x:v>1250</x:v>
      </x:c>
      <x:c r="I1800" s="12" t="str">
        <x:v>研究生宿舍楼</x:v>
      </x:c>
      <x:c r="J1800" s="12" t="str">
        <x:v>研究生宿舍楼发车</x:v>
      </x:c>
      <x:c r="K1800" s="12" t="str">
        <x:v>HX3_NORMAL</x:v>
      </x:c>
      <x:c r="L1800" s="12" t="n">
        <x:v>5</x:v>
      </x:c>
      <x:c r="M1800" s="12" t="str">
        <x:v>HX3_NORMAL|5</x:v>
      </x:c>
      <x:c r="N1800" s="12" t="str">
        <x:v>教勤连</x:v>
      </x:c>
      <x:c r="O1800" s="12" t="n">
        <x:f>IFERROR(INDEX('秒级路线参数_可调整'!$O:$O,MATCH(M1800,'秒级路线参数_可调整'!$A:$A,0)),"")</x:f>
        <x:v>250</x:v>
      </x:c>
      <x:c r="P1800" s="12" t="n">
        <x:f>IF(O1800="","",O1800/86400)</x:f>
        <x:v>0.0028935185185185184</x:v>
      </x:c>
      <x:c r="Q1800" s="12" t="n">
        <x:f>IF(O1800="","",(H1800*60+O1800)/86400)</x:f>
        <x:v>0.8709490740740741</x:v>
      </x:c>
      <x:c r="R1800" s="12" t="str">
        <x:f>IF(Q1800="","",TEXT(Q1800,"hh:mm:ss"))</x:f>
        <x:v>20:54:10</x:v>
      </x:c>
      <x:c r="S1800" s="12" t="str">
        <x:v>否</x:v>
      </x:c>
      <x:c r="T1800" s="12" t="str">
        <x:v>否</x:v>
      </x:c>
      <x:c r="U1800" s="12" t="str">
        <x:v>孙五星</x:v>
      </x:c>
      <x:c r="V1800" s="12" t="str">
        <x:v>3号车</x:v>
      </x:c>
      <x:c r="W1800" s="12" t="str">
        <x:v>秒级预测</x:v>
      </x:c>
      <x:c r="X1800" s="12" t="str">
        <x:v>基于路线秒级参数；如录入实测或手动采用秒，预计到达时间可随公式更新</x:v>
      </x:c>
    </x:row>
    <x:row r="1801">
      <x:c r="A1801" s="12" t="str">
        <x:v>S0154-06</x:v>
      </x:c>
      <x:c r="B1801" s="12" t="str">
        <x:v>S0154</x:v>
      </x:c>
      <x:c r="C1801" s="12" t="str">
        <x:v>工作日</x:v>
      </x:c>
      <x:c r="D1801" s="12" t="str">
        <x:v>环线3路</x:v>
      </x:c>
      <x:c r="E1801" s="12" t="str">
        <x:v>第四班</x:v>
      </x:c>
      <x:c r="F1801" s="12" t="n">
        <x:v>7</x:v>
      </x:c>
      <x:c r="G1801" s="12" t="str">
        <x:v>20:50</x:v>
      </x:c>
      <x:c r="H1801" s="12" t="n">
        <x:v>1250</x:v>
      </x:c>
      <x:c r="I1801" s="12" t="str">
        <x:v>研究生宿舍楼</x:v>
      </x:c>
      <x:c r="J1801" s="12" t="str">
        <x:v>研究生宿舍楼发车</x:v>
      </x:c>
      <x:c r="K1801" s="12" t="str">
        <x:v>HX3_NORMAL</x:v>
      </x:c>
      <x:c r="L1801" s="12" t="n">
        <x:v>6</x:v>
      </x:c>
      <x:c r="M1801" s="12" t="str">
        <x:v>HX3_NORMAL|6</x:v>
      </x:c>
      <x:c r="N1801" s="12" t="str">
        <x:v>激光所</x:v>
      </x:c>
      <x:c r="O1801" s="12" t="n">
        <x:f>IFERROR(INDEX('秒级路线参数_可调整'!$O:$O,MATCH(M1801,'秒级路线参数_可调整'!$A:$A,0)),"")</x:f>
        <x:v>315</x:v>
      </x:c>
      <x:c r="P1801" s="12" t="n">
        <x:f>IF(O1801="","",O1801/86400)</x:f>
        <x:v>0.0036458333333333334</x:v>
      </x:c>
      <x:c r="Q1801" s="12" t="n">
        <x:f>IF(O1801="","",(H1801*60+O1801)/86400)</x:f>
        <x:v>0.8717013888888889</x:v>
      </x:c>
      <x:c r="R1801" s="12" t="str">
        <x:f>IF(Q1801="","",TEXT(Q1801,"hh:mm:ss"))</x:f>
        <x:v>20:55:15</x:v>
      </x:c>
      <x:c r="S1801" s="12" t="str">
        <x:v>否</x:v>
      </x:c>
      <x:c r="T1801" s="12" t="str">
        <x:v>否</x:v>
      </x:c>
      <x:c r="U1801" s="12" t="str">
        <x:v>孙五星</x:v>
      </x:c>
      <x:c r="V1801" s="12" t="str">
        <x:v>3号车</x:v>
      </x:c>
      <x:c r="W1801" s="12" t="str">
        <x:v>秒级预测</x:v>
      </x:c>
      <x:c r="X1801" s="12" t="str">
        <x:v>基于路线秒级参数；如录入实测或手动采用秒，预计到达时间可随公式更新</x:v>
      </x:c>
    </x:row>
    <x:row r="1802">
      <x:c r="A1802" s="12" t="str">
        <x:v>S0154-07</x:v>
      </x:c>
      <x:c r="B1802" s="12" t="str">
        <x:v>S0154</x:v>
      </x:c>
      <x:c r="C1802" s="12" t="str">
        <x:v>工作日</x:v>
      </x:c>
      <x:c r="D1802" s="12" t="str">
        <x:v>环线3路</x:v>
      </x:c>
      <x:c r="E1802" s="12" t="str">
        <x:v>第四班</x:v>
      </x:c>
      <x:c r="F1802" s="12" t="n">
        <x:v>7</x:v>
      </x:c>
      <x:c r="G1802" s="12" t="str">
        <x:v>20:50</x:v>
      </x:c>
      <x:c r="H1802" s="12" t="n">
        <x:v>1250</x:v>
      </x:c>
      <x:c r="I1802" s="12" t="str">
        <x:v>研究生宿舍楼</x:v>
      </x:c>
      <x:c r="J1802" s="12" t="str">
        <x:v>研究生宿舍楼发车</x:v>
      </x:c>
      <x:c r="K1802" s="12" t="str">
        <x:v>HX3_NORMAL</x:v>
      </x:c>
      <x:c r="L1802" s="12" t="n">
        <x:v>7</x:v>
      </x:c>
      <x:c r="M1802" s="12" t="str">
        <x:v>HX3_NORMAL|7</x:v>
      </x:c>
      <x:c r="N1802" s="12" t="str">
        <x:v>高超楼</x:v>
      </x:c>
      <x:c r="O1802" s="12" t="n">
        <x:f>IFERROR(INDEX('秒级路线参数_可调整'!$O:$O,MATCH(M1802,'秒级路线参数_可调整'!$A:$A,0)),"")</x:f>
        <x:v>420</x:v>
      </x:c>
      <x:c r="P1802" s="12" t="n">
        <x:f>IF(O1802="","",O1802/86400)</x:f>
        <x:v>0.004861111111111111</x:v>
      </x:c>
      <x:c r="Q1802" s="12" t="n">
        <x:f>IF(O1802="","",(H1802*60+O1802)/86400)</x:f>
        <x:v>0.8729166666666667</x:v>
      </x:c>
      <x:c r="R1802" s="12" t="str">
        <x:f>IF(Q1802="","",TEXT(Q1802,"hh:mm:ss"))</x:f>
        <x:v>20:57:00</x:v>
      </x:c>
      <x:c r="S1802" s="12" t="str">
        <x:v>否</x:v>
      </x:c>
      <x:c r="T1802" s="12" t="str">
        <x:v>否</x:v>
      </x:c>
      <x:c r="U1802" s="12" t="str">
        <x:v>孙五星</x:v>
      </x:c>
      <x:c r="V1802" s="12" t="str">
        <x:v>3号车</x:v>
      </x:c>
      <x:c r="W1802" s="12" t="str">
        <x:v>秒级预测</x:v>
      </x:c>
      <x:c r="X1802" s="12" t="str">
        <x:v>基于路线秒级参数；如录入实测或手动采用秒，预计到达时间可随公式更新</x:v>
      </x:c>
    </x:row>
    <x:row r="1803">
      <x:c r="A1803" s="12" t="str">
        <x:v>S0154-08</x:v>
      </x:c>
      <x:c r="B1803" s="12" t="str">
        <x:v>S0154</x:v>
      </x:c>
      <x:c r="C1803" s="12" t="str">
        <x:v>工作日</x:v>
      </x:c>
      <x:c r="D1803" s="12" t="str">
        <x:v>环线3路</x:v>
      </x:c>
      <x:c r="E1803" s="12" t="str">
        <x:v>第四班</x:v>
      </x:c>
      <x:c r="F1803" s="12" t="n">
        <x:v>7</x:v>
      </x:c>
      <x:c r="G1803" s="12" t="str">
        <x:v>20:50</x:v>
      </x:c>
      <x:c r="H1803" s="12" t="n">
        <x:v>1250</x:v>
      </x:c>
      <x:c r="I1803" s="12" t="str">
        <x:v>研究生宿舍楼</x:v>
      </x:c>
      <x:c r="J1803" s="12" t="str">
        <x:v>研究生宿舍楼发车</x:v>
      </x:c>
      <x:c r="K1803" s="12" t="str">
        <x:v>HX3_NORMAL</x:v>
      </x:c>
      <x:c r="L1803" s="12" t="n">
        <x:v>8</x:v>
      </x:c>
      <x:c r="M1803" s="12" t="str">
        <x:v>HX3_NORMAL|8</x:v>
      </x:c>
      <x:c r="N1803" s="12" t="str">
        <x:v>理学院</x:v>
      </x:c>
      <x:c r="O1803" s="12" t="n">
        <x:f>IFERROR(INDEX('秒级路线参数_可调整'!$O:$O,MATCH(M1803,'秒级路线参数_可调整'!$A:$A,0)),"")</x:f>
        <x:v>480</x:v>
      </x:c>
      <x:c r="P1803" s="12" t="n">
        <x:f>IF(O1803="","",O1803/86400)</x:f>
        <x:v>0.005555555555555556</x:v>
      </x:c>
      <x:c r="Q1803" s="12" t="n">
        <x:f>IF(O1803="","",(H1803*60+O1803)/86400)</x:f>
        <x:v>0.8736111111111111</x:v>
      </x:c>
      <x:c r="R1803" s="12" t="str">
        <x:f>IF(Q1803="","",TEXT(Q1803,"hh:mm:ss"))</x:f>
        <x:v>20:58:00</x:v>
      </x:c>
      <x:c r="S1803" s="12" t="str">
        <x:v>否</x:v>
      </x:c>
      <x:c r="T1803" s="12" t="str">
        <x:v>否</x:v>
      </x:c>
      <x:c r="U1803" s="12" t="str">
        <x:v>孙五星</x:v>
      </x:c>
      <x:c r="V1803" s="12" t="str">
        <x:v>3号车</x:v>
      </x:c>
      <x:c r="W1803" s="12" t="str">
        <x:v>秒级预测</x:v>
      </x:c>
      <x:c r="X1803" s="12" t="str">
        <x:v>基于路线秒级参数；如录入实测或手动采用秒，预计到达时间可随公式更新</x:v>
      </x:c>
    </x:row>
    <x:row r="1804">
      <x:c r="A1804" s="12" t="str">
        <x:v>S0154-09</x:v>
      </x:c>
      <x:c r="B1804" s="12" t="str">
        <x:v>S0154</x:v>
      </x:c>
      <x:c r="C1804" s="12" t="str">
        <x:v>工作日</x:v>
      </x:c>
      <x:c r="D1804" s="12" t="str">
        <x:v>环线3路</x:v>
      </x:c>
      <x:c r="E1804" s="12" t="str">
        <x:v>第四班</x:v>
      </x:c>
      <x:c r="F1804" s="12" t="n">
        <x:v>7</x:v>
      </x:c>
      <x:c r="G1804" s="12" t="str">
        <x:v>20:50</x:v>
      </x:c>
      <x:c r="H1804" s="12" t="n">
        <x:v>1250</x:v>
      </x:c>
      <x:c r="I1804" s="12" t="str">
        <x:v>研究生宿舍楼</x:v>
      </x:c>
      <x:c r="J1804" s="12" t="str">
        <x:v>研究生宿舍楼发车</x:v>
      </x:c>
      <x:c r="K1804" s="12" t="str">
        <x:v>HX3_NORMAL</x:v>
      </x:c>
      <x:c r="L1804" s="12" t="n">
        <x:v>9</x:v>
      </x:c>
      <x:c r="M1804" s="12" t="str">
        <x:v>HX3_NORMAL|9</x:v>
      </x:c>
      <x:c r="N1804" s="12" t="str">
        <x:v>二食堂</x:v>
      </x:c>
      <x:c r="O1804" s="12" t="n">
        <x:f>IFERROR(INDEX('秒级路线参数_可调整'!$O:$O,MATCH(M1804,'秒级路线参数_可调整'!$A:$A,0)),"")</x:f>
        <x:v>535</x:v>
      </x:c>
      <x:c r="P1804" s="12" t="n">
        <x:f>IF(O1804="","",O1804/86400)</x:f>
        <x:v>0.00619212962962963</x:v>
      </x:c>
      <x:c r="Q1804" s="12" t="n">
        <x:f>IF(O1804="","",(H1804*60+O1804)/86400)</x:f>
        <x:v>0.8742476851851851</x:v>
      </x:c>
      <x:c r="R1804" s="12" t="str">
        <x:f>IF(Q1804="","",TEXT(Q1804,"hh:mm:ss"))</x:f>
        <x:v>20:58:55</x:v>
      </x:c>
      <x:c r="S1804" s="12" t="str">
        <x:v>否</x:v>
      </x:c>
      <x:c r="T1804" s="12" t="str">
        <x:v>否</x:v>
      </x:c>
      <x:c r="U1804" s="12" t="str">
        <x:v>孙五星</x:v>
      </x:c>
      <x:c r="V1804" s="12" t="str">
        <x:v>3号车</x:v>
      </x:c>
      <x:c r="W1804" s="12" t="str">
        <x:v>秒级预测</x:v>
      </x:c>
      <x:c r="X1804" s="12" t="str">
        <x:v>基于路线秒级参数；如录入实测或手动采用秒，预计到达时间可随公式更新</x:v>
      </x:c>
    </x:row>
    <x:row r="1805">
      <x:c r="A1805" s="12" t="str">
        <x:v>S0154-10</x:v>
      </x:c>
      <x:c r="B1805" s="12" t="str">
        <x:v>S0154</x:v>
      </x:c>
      <x:c r="C1805" s="12" t="str">
        <x:v>工作日</x:v>
      </x:c>
      <x:c r="D1805" s="12" t="str">
        <x:v>环线3路</x:v>
      </x:c>
      <x:c r="E1805" s="12" t="str">
        <x:v>第四班</x:v>
      </x:c>
      <x:c r="F1805" s="12" t="n">
        <x:v>7</x:v>
      </x:c>
      <x:c r="G1805" s="12" t="str">
        <x:v>20:50</x:v>
      </x:c>
      <x:c r="H1805" s="12" t="n">
        <x:v>1250</x:v>
      </x:c>
      <x:c r="I1805" s="12" t="str">
        <x:v>研究生宿舍楼</x:v>
      </x:c>
      <x:c r="J1805" s="12" t="str">
        <x:v>研究生宿舍楼发车</x:v>
      </x:c>
      <x:c r="K1805" s="12" t="str">
        <x:v>HX3_NORMAL</x:v>
      </x:c>
      <x:c r="L1805" s="12" t="n">
        <x:v>10</x:v>
      </x:c>
      <x:c r="M1805" s="12" t="str">
        <x:v>HX3_NORMAL|10</x:v>
      </x:c>
      <x:c r="N1805" s="12" t="str">
        <x:v>图书馆</x:v>
      </x:c>
      <x:c r="O1805" s="12" t="n">
        <x:f>IFERROR(INDEX('秒级路线参数_可调整'!$O:$O,MATCH(M1805,'秒级路线参数_可调整'!$A:$A,0)),"")</x:f>
        <x:v>715</x:v>
      </x:c>
      <x:c r="P1805" s="12" t="n">
        <x:f>IF(O1805="","",O1805/86400)</x:f>
        <x:v>0.008275462962962964</x:v>
      </x:c>
      <x:c r="Q1805" s="12" t="n">
        <x:f>IF(O1805="","",(H1805*60+O1805)/86400)</x:f>
        <x:v>0.8763310185185185</x:v>
      </x:c>
      <x:c r="R1805" s="12" t="str">
        <x:f>IF(Q1805="","",TEXT(Q1805,"hh:mm:ss"))</x:f>
        <x:v>21:01:55</x:v>
      </x:c>
      <x:c r="S1805" s="12" t="str">
        <x:v>否</x:v>
      </x:c>
      <x:c r="T1805" s="12" t="str">
        <x:v>否</x:v>
      </x:c>
      <x:c r="U1805" s="12" t="str">
        <x:v>孙五星</x:v>
      </x:c>
      <x:c r="V1805" s="12" t="str">
        <x:v>3号车</x:v>
      </x:c>
      <x:c r="W1805" s="12" t="str">
        <x:v>秒级预测</x:v>
      </x:c>
      <x:c r="X1805" s="12" t="str">
        <x:v>基于路线秒级参数；如录入实测或手动采用秒，预计到达时间可随公式更新</x:v>
      </x:c>
    </x:row>
    <x:row r="1806">
      <x:c r="A1806" s="12" t="str">
        <x:v>S0154-11</x:v>
      </x:c>
      <x:c r="B1806" s="12" t="str">
        <x:v>S0154</x:v>
      </x:c>
      <x:c r="C1806" s="12" t="str">
        <x:v>工作日</x:v>
      </x:c>
      <x:c r="D1806" s="12" t="str">
        <x:v>环线3路</x:v>
      </x:c>
      <x:c r="E1806" s="12" t="str">
        <x:v>第四班</x:v>
      </x:c>
      <x:c r="F1806" s="12" t="n">
        <x:v>7</x:v>
      </x:c>
      <x:c r="G1806" s="12" t="str">
        <x:v>20:50</x:v>
      </x:c>
      <x:c r="H1806" s="12" t="n">
        <x:v>1250</x:v>
      </x:c>
      <x:c r="I1806" s="12" t="str">
        <x:v>研究生宿舍楼</x:v>
      </x:c>
      <x:c r="J1806" s="12" t="str">
        <x:v>研究生宿舍楼发车</x:v>
      </x:c>
      <x:c r="K1806" s="12" t="str">
        <x:v>HX3_NORMAL</x:v>
      </x:c>
      <x:c r="L1806" s="12" t="n">
        <x:v>11</x:v>
      </x:c>
      <x:c r="M1806" s="12" t="str">
        <x:v>HX3_NORMAL|11</x:v>
      </x:c>
      <x:c r="N1806" s="12" t="str">
        <x:v>305教学楼</x:v>
      </x:c>
      <x:c r="O1806" s="12" t="n">
        <x:f>IFERROR(INDEX('秒级路线参数_可调整'!$O:$O,MATCH(M1806,'秒级路线参数_可调整'!$A:$A,0)),"")</x:f>
        <x:v>775</x:v>
      </x:c>
      <x:c r="P1806" s="12" t="n">
        <x:f>IF(O1806="","",O1806/86400)</x:f>
        <x:v>0.008969907407407407</x:v>
      </x:c>
      <x:c r="Q1806" s="12" t="n">
        <x:f>IF(O1806="","",(H1806*60+O1806)/86400)</x:f>
        <x:v>0.8770254629629629</x:v>
      </x:c>
      <x:c r="R1806" s="12" t="str">
        <x:f>IF(Q1806="","",TEXT(Q1806,"hh:mm:ss"))</x:f>
        <x:v>21:02:55</x:v>
      </x:c>
      <x:c r="S1806" s="12" t="str">
        <x:v>否</x:v>
      </x:c>
      <x:c r="T1806" s="12" t="str">
        <x:v>否</x:v>
      </x:c>
      <x:c r="U1806" s="12" t="str">
        <x:v>孙五星</x:v>
      </x:c>
      <x:c r="V1806" s="12" t="str">
        <x:v>3号车</x:v>
      </x:c>
      <x:c r="W1806" s="12" t="str">
        <x:v>秒级预测</x:v>
      </x:c>
      <x:c r="X1806" s="12" t="str">
        <x:v>基于路线秒级参数；如录入实测或手动采用秒，预计到达时间可随公式更新</x:v>
      </x:c>
    </x:row>
    <x:row r="1807">
      <x:c r="A1807" s="12" t="str">
        <x:v>S0154-12</x:v>
      </x:c>
      <x:c r="B1807" s="12" t="str">
        <x:v>S0154</x:v>
      </x:c>
      <x:c r="C1807" s="12" t="str">
        <x:v>工作日</x:v>
      </x:c>
      <x:c r="D1807" s="12" t="str">
        <x:v>环线3路</x:v>
      </x:c>
      <x:c r="E1807" s="12" t="str">
        <x:v>第四班</x:v>
      </x:c>
      <x:c r="F1807" s="12" t="n">
        <x:v>7</x:v>
      </x:c>
      <x:c r="G1807" s="12" t="str">
        <x:v>20:50</x:v>
      </x:c>
      <x:c r="H1807" s="12" t="n">
        <x:v>1250</x:v>
      </x:c>
      <x:c r="I1807" s="12" t="str">
        <x:v>研究生宿舍楼</x:v>
      </x:c>
      <x:c r="J1807" s="12" t="str">
        <x:v>研究生宿舍楼发车</x:v>
      </x:c>
      <x:c r="K1807" s="12" t="str">
        <x:v>HX3_NORMAL</x:v>
      </x:c>
      <x:c r="L1807" s="12" t="n">
        <x:v>12</x:v>
      </x:c>
      <x:c r="M1807" s="12" t="str">
        <x:v>HX3_NORMAL|12</x:v>
      </x:c>
      <x:c r="N1807" s="12" t="str">
        <x:v>研究生宿舍楼</x:v>
      </x:c>
      <x:c r="O1807" s="12" t="n">
        <x:f>IFERROR(INDEX('秒级路线参数_可调整'!$O:$O,MATCH(M1807,'秒级路线参数_可调整'!$A:$A,0)),"")</x:f>
        <x:v>840</x:v>
      </x:c>
      <x:c r="P1807" s="12" t="n">
        <x:f>IF(O1807="","",O1807/86400)</x:f>
        <x:v>0.009722222222222222</x:v>
      </x:c>
      <x:c r="Q1807" s="12" t="n">
        <x:f>IF(O1807="","",(H1807*60+O1807)/86400)</x:f>
        <x:v>0.8777777777777778</x:v>
      </x:c>
      <x:c r="R1807" s="12" t="str">
        <x:f>IF(Q1807="","",TEXT(Q1807,"hh:mm:ss"))</x:f>
        <x:v>21:04:00</x:v>
      </x:c>
      <x:c r="S1807" s="12" t="str">
        <x:v>否</x:v>
      </x:c>
      <x:c r="T1807" s="12" t="str">
        <x:v>是</x:v>
      </x:c>
      <x:c r="U1807" s="12" t="str">
        <x:v>孙五星</x:v>
      </x:c>
      <x:c r="V1807" s="12" t="str">
        <x:v>3号车</x:v>
      </x:c>
      <x:c r="W1807" s="12" t="str">
        <x:v>秒级预测</x:v>
      </x:c>
      <x:c r="X1807" s="12" t="str">
        <x:v>基于路线秒级参数；如录入实测或手动采用秒，预计到达时间可随公式更新</x:v>
      </x:c>
    </x:row>
    <x:row r="1808">
      <x:c r="A1808" s="12" t="str">
        <x:v>S0155-01</x:v>
      </x:c>
      <x:c r="B1808" s="12" t="str">
        <x:v>S0155</x:v>
      </x:c>
      <x:c r="C1808" s="12" t="str">
        <x:v>工作日</x:v>
      </x:c>
      <x:c r="D1808" s="12" t="str">
        <x:v>环线3路</x:v>
      </x:c>
      <x:c r="E1808" s="12" t="str">
        <x:v>第四班</x:v>
      </x:c>
      <x:c r="F1808" s="12" t="n">
        <x:v>8</x:v>
      </x:c>
      <x:c r="G1808" s="12" t="str">
        <x:v>21:20</x:v>
      </x:c>
      <x:c r="H1808" s="12" t="n">
        <x:v>1280</x:v>
      </x:c>
      <x:c r="I1808" s="12" t="str">
        <x:v>研究生宿舍楼</x:v>
      </x:c>
      <x:c r="J1808" s="12" t="str">
        <x:v>研究生宿舍楼发车</x:v>
      </x:c>
      <x:c r="K1808" s="12" t="str">
        <x:v>HX3_NORMAL</x:v>
      </x:c>
      <x:c r="L1808" s="12" t="n">
        <x:v>1</x:v>
      </x:c>
      <x:c r="M1808" s="12" t="str">
        <x:v>HX3_NORMAL|1</x:v>
      </x:c>
      <x:c r="N1808" s="12" t="str">
        <x:v>研究生宿舍楼</x:v>
      </x:c>
      <x:c r="O1808" s="12" t="n">
        <x:f>IFERROR(INDEX('秒级路线参数_可调整'!$O:$O,MATCH(M1808,'秒级路线参数_可调整'!$A:$A,0)),"")</x:f>
        <x:v>0</x:v>
      </x:c>
      <x:c r="P1808" s="12" t="str">
        <x:f>IF(O1808="","",O1808/86400)</x:f>
      </x:c>
      <x:c r="Q1808" s="12" t="str">
        <x:f>IF(O1808="","",(H1808*60+O1808)/86400)</x:f>
      </x:c>
      <x:c r="R1808" s="12" t="str">
        <x:f>IF(Q1808="","",TEXT(Q1808,"hh:mm:ss"))</x:f>
      </x:c>
      <x:c r="S1808" s="12" t="str">
        <x:v>是</x:v>
      </x:c>
      <x:c r="T1808" s="12" t="str">
        <x:v>否</x:v>
      </x:c>
      <x:c r="U1808" s="12" t="str">
        <x:v>孙五星</x:v>
      </x:c>
      <x:c r="V1808" s="12" t="str">
        <x:v>3号车</x:v>
      </x:c>
      <x:c r="W1808" s="12" t="str">
        <x:v>秒级预测</x:v>
      </x:c>
      <x:c r="X1808" s="12" t="str">
        <x:v>基于路线秒级参数；如录入实测或手动采用秒，预计到达时间可随公式更新</x:v>
      </x:c>
    </x:row>
    <x:row r="1809">
      <x:c r="A1809" s="12" t="str">
        <x:v>S0155-02</x:v>
      </x:c>
      <x:c r="B1809" s="12" t="str">
        <x:v>S0155</x:v>
      </x:c>
      <x:c r="C1809" s="12" t="str">
        <x:v>工作日</x:v>
      </x:c>
      <x:c r="D1809" s="12" t="str">
        <x:v>环线3路</x:v>
      </x:c>
      <x:c r="E1809" s="12" t="str">
        <x:v>第四班</x:v>
      </x:c>
      <x:c r="F1809" s="12" t="n">
        <x:v>8</x:v>
      </x:c>
      <x:c r="G1809" s="12" t="str">
        <x:v>21:20</x:v>
      </x:c>
      <x:c r="H1809" s="12" t="n">
        <x:v>1280</x:v>
      </x:c>
      <x:c r="I1809" s="12" t="str">
        <x:v>研究生宿舍楼</x:v>
      </x:c>
      <x:c r="J1809" s="12" t="str">
        <x:v>研究生宿舍楼发车</x:v>
      </x:c>
      <x:c r="K1809" s="12" t="str">
        <x:v>HX3_NORMAL</x:v>
      </x:c>
      <x:c r="L1809" s="12" t="n">
        <x:v>2</x:v>
      </x:c>
      <x:c r="M1809" s="12" t="str">
        <x:v>HX3_NORMAL|2</x:v>
      </x:c>
      <x:c r="N1809" s="12" t="str">
        <x:v>一食堂</x:v>
      </x:c>
      <x:c r="O1809" s="12" t="n">
        <x:f>IFERROR(INDEX('秒级路线参数_可调整'!$O:$O,MATCH(M1809,'秒级路线参数_可调整'!$A:$A,0)),"")</x:f>
        <x:v>65</x:v>
      </x:c>
      <x:c r="P1809" s="12" t="n">
        <x:f>IF(O1809="","",O1809/86400)</x:f>
        <x:v>0.0007523148148148148</x:v>
      </x:c>
      <x:c r="Q1809" s="12" t="n">
        <x:f>IF(O1809="","",(H1809*60+O1809)/86400)</x:f>
        <x:v>0.8896412037037037</x:v>
      </x:c>
      <x:c r="R1809" s="12" t="str">
        <x:f>IF(Q1809="","",TEXT(Q1809,"hh:mm:ss"))</x:f>
        <x:v>21:21:05</x:v>
      </x:c>
      <x:c r="S1809" s="12" t="str">
        <x:v>否</x:v>
      </x:c>
      <x:c r="T1809" s="12" t="str">
        <x:v>否</x:v>
      </x:c>
      <x:c r="U1809" s="12" t="str">
        <x:v>孙五星</x:v>
      </x:c>
      <x:c r="V1809" s="12" t="str">
        <x:v>3号车</x:v>
      </x:c>
      <x:c r="W1809" s="12" t="str">
        <x:v>秒级预测</x:v>
      </x:c>
      <x:c r="X1809" s="12" t="str">
        <x:v>基于路线秒级参数；如录入实测或手动采用秒，预计到达时间可随公式更新</x:v>
      </x:c>
    </x:row>
    <x:row r="1810">
      <x:c r="A1810" s="12" t="str">
        <x:v>S0155-03</x:v>
      </x:c>
      <x:c r="B1810" s="12" t="str">
        <x:v>S0155</x:v>
      </x:c>
      <x:c r="C1810" s="12" t="str">
        <x:v>工作日</x:v>
      </x:c>
      <x:c r="D1810" s="12" t="str">
        <x:v>环线3路</x:v>
      </x:c>
      <x:c r="E1810" s="12" t="str">
        <x:v>第四班</x:v>
      </x:c>
      <x:c r="F1810" s="12" t="n">
        <x:v>8</x:v>
      </x:c>
      <x:c r="G1810" s="12" t="str">
        <x:v>21:20</x:v>
      </x:c>
      <x:c r="H1810" s="12" t="n">
        <x:v>1280</x:v>
      </x:c>
      <x:c r="I1810" s="12" t="str">
        <x:v>研究生宿舍楼</x:v>
      </x:c>
      <x:c r="J1810" s="12" t="str">
        <x:v>研究生宿舍楼发车</x:v>
      </x:c>
      <x:c r="K1810" s="12" t="str">
        <x:v>HX3_NORMAL</x:v>
      </x:c>
      <x:c r="L1810" s="12" t="n">
        <x:v>3</x:v>
      </x:c>
      <x:c r="M1810" s="12" t="str">
        <x:v>HX3_NORMAL|3</x:v>
      </x:c>
      <x:c r="N1810" s="12" t="str">
        <x:v>2号宿舍楼</x:v>
      </x:c>
      <x:c r="O1810" s="12" t="n">
        <x:f>IFERROR(INDEX('秒级路线参数_可调整'!$O:$O,MATCH(M1810,'秒级路线参数_可调整'!$A:$A,0)),"")</x:f>
        <x:v>120</x:v>
      </x:c>
      <x:c r="P1810" s="12" t="n">
        <x:f>IF(O1810="","",O1810/86400)</x:f>
        <x:v>0.001388888888888889</x:v>
      </x:c>
      <x:c r="Q1810" s="12" t="n">
        <x:f>IF(O1810="","",(H1810*60+O1810)/86400)</x:f>
        <x:v>0.8902777777777777</x:v>
      </x:c>
      <x:c r="R1810" s="12" t="str">
        <x:f>IF(Q1810="","",TEXT(Q1810,"hh:mm:ss"))</x:f>
        <x:v>21:22:00</x:v>
      </x:c>
      <x:c r="S1810" s="12" t="str">
        <x:v>否</x:v>
      </x:c>
      <x:c r="T1810" s="12" t="str">
        <x:v>否</x:v>
      </x:c>
      <x:c r="U1810" s="12" t="str">
        <x:v>孙五星</x:v>
      </x:c>
      <x:c r="V1810" s="12" t="str">
        <x:v>3号车</x:v>
      </x:c>
      <x:c r="W1810" s="12" t="str">
        <x:v>秒级预测</x:v>
      </x:c>
      <x:c r="X1810" s="12" t="str">
        <x:v>基于路线秒级参数；如录入实测或手动采用秒，预计到达时间可随公式更新</x:v>
      </x:c>
    </x:row>
    <x:row r="1811">
      <x:c r="A1811" s="12" t="str">
        <x:v>S0155-04</x:v>
      </x:c>
      <x:c r="B1811" s="12" t="str">
        <x:v>S0155</x:v>
      </x:c>
      <x:c r="C1811" s="12" t="str">
        <x:v>工作日</x:v>
      </x:c>
      <x:c r="D1811" s="12" t="str">
        <x:v>环线3路</x:v>
      </x:c>
      <x:c r="E1811" s="12" t="str">
        <x:v>第四班</x:v>
      </x:c>
      <x:c r="F1811" s="12" t="n">
        <x:v>8</x:v>
      </x:c>
      <x:c r="G1811" s="12" t="str">
        <x:v>21:20</x:v>
      </x:c>
      <x:c r="H1811" s="12" t="n">
        <x:v>1280</x:v>
      </x:c>
      <x:c r="I1811" s="12" t="str">
        <x:v>研究生宿舍楼</x:v>
      </x:c>
      <x:c r="J1811" s="12" t="str">
        <x:v>研究生宿舍楼发车</x:v>
      </x:c>
      <x:c r="K1811" s="12" t="str">
        <x:v>HX3_NORMAL</x:v>
      </x:c>
      <x:c r="L1811" s="12" t="n">
        <x:v>4</x:v>
      </x:c>
      <x:c r="M1811" s="12" t="str">
        <x:v>HX3_NORMAL|4</x:v>
      </x:c>
      <x:c r="N1811" s="12" t="str">
        <x:v>军体活动中心</x:v>
      </x:c>
      <x:c r="O1811" s="12" t="n">
        <x:f>IFERROR(INDEX('秒级路线参数_可调整'!$O:$O,MATCH(M1811,'秒级路线参数_可调整'!$A:$A,0)),"")</x:f>
        <x:v>165</x:v>
      </x:c>
      <x:c r="P1811" s="12" t="n">
        <x:f>IF(O1811="","",O1811/86400)</x:f>
        <x:v>0.0019097222222222222</x:v>
      </x:c>
      <x:c r="Q1811" s="12" t="n">
        <x:f>IF(O1811="","",(H1811*60+O1811)/86400)</x:f>
        <x:v>0.8907986111111111</x:v>
      </x:c>
      <x:c r="R1811" s="12" t="str">
        <x:f>IF(Q1811="","",TEXT(Q1811,"hh:mm:ss"))</x:f>
        <x:v>21:22:45</x:v>
      </x:c>
      <x:c r="S1811" s="12" t="str">
        <x:v>否</x:v>
      </x:c>
      <x:c r="T1811" s="12" t="str">
        <x:v>否</x:v>
      </x:c>
      <x:c r="U1811" s="12" t="str">
        <x:v>孙五星</x:v>
      </x:c>
      <x:c r="V1811" s="12" t="str">
        <x:v>3号车</x:v>
      </x:c>
      <x:c r="W1811" s="12" t="str">
        <x:v>秒级预测</x:v>
      </x:c>
      <x:c r="X1811" s="12" t="str">
        <x:v>基于路线秒级参数；如录入实测或手动采用秒，预计到达时间可随公式更新</x:v>
      </x:c>
    </x:row>
    <x:row r="1812">
      <x:c r="A1812" s="12" t="str">
        <x:v>S0155-05</x:v>
      </x:c>
      <x:c r="B1812" s="12" t="str">
        <x:v>S0155</x:v>
      </x:c>
      <x:c r="C1812" s="12" t="str">
        <x:v>工作日</x:v>
      </x:c>
      <x:c r="D1812" s="12" t="str">
        <x:v>环线3路</x:v>
      </x:c>
      <x:c r="E1812" s="12" t="str">
        <x:v>第四班</x:v>
      </x:c>
      <x:c r="F1812" s="12" t="n">
        <x:v>8</x:v>
      </x:c>
      <x:c r="G1812" s="12" t="str">
        <x:v>21:20</x:v>
      </x:c>
      <x:c r="H1812" s="12" t="n">
        <x:v>1280</x:v>
      </x:c>
      <x:c r="I1812" s="12" t="str">
        <x:v>研究生宿舍楼</x:v>
      </x:c>
      <x:c r="J1812" s="12" t="str">
        <x:v>研究生宿舍楼发车</x:v>
      </x:c>
      <x:c r="K1812" s="12" t="str">
        <x:v>HX3_NORMAL</x:v>
      </x:c>
      <x:c r="L1812" s="12" t="n">
        <x:v>5</x:v>
      </x:c>
      <x:c r="M1812" s="12" t="str">
        <x:v>HX3_NORMAL|5</x:v>
      </x:c>
      <x:c r="N1812" s="12" t="str">
        <x:v>教勤连</x:v>
      </x:c>
      <x:c r="O1812" s="12" t="n">
        <x:f>IFERROR(INDEX('秒级路线参数_可调整'!$O:$O,MATCH(M1812,'秒级路线参数_可调整'!$A:$A,0)),"")</x:f>
        <x:v>250</x:v>
      </x:c>
      <x:c r="P1812" s="12" t="n">
        <x:f>IF(O1812="","",O1812/86400)</x:f>
        <x:v>0.0028935185185185184</x:v>
      </x:c>
      <x:c r="Q1812" s="12" t="n">
        <x:f>IF(O1812="","",(H1812*60+O1812)/86400)</x:f>
        <x:v>0.8917824074074074</x:v>
      </x:c>
      <x:c r="R1812" s="12" t="str">
        <x:f>IF(Q1812="","",TEXT(Q1812,"hh:mm:ss"))</x:f>
        <x:v>21:24:10</x:v>
      </x:c>
      <x:c r="S1812" s="12" t="str">
        <x:v>否</x:v>
      </x:c>
      <x:c r="T1812" s="12" t="str">
        <x:v>否</x:v>
      </x:c>
      <x:c r="U1812" s="12" t="str">
        <x:v>孙五星</x:v>
      </x:c>
      <x:c r="V1812" s="12" t="str">
        <x:v>3号车</x:v>
      </x:c>
      <x:c r="W1812" s="12" t="str">
        <x:v>秒级预测</x:v>
      </x:c>
      <x:c r="X1812" s="12" t="str">
        <x:v>基于路线秒级参数；如录入实测或手动采用秒，预计到达时间可随公式更新</x:v>
      </x:c>
    </x:row>
    <x:row r="1813">
      <x:c r="A1813" s="12" t="str">
        <x:v>S0155-06</x:v>
      </x:c>
      <x:c r="B1813" s="12" t="str">
        <x:v>S0155</x:v>
      </x:c>
      <x:c r="C1813" s="12" t="str">
        <x:v>工作日</x:v>
      </x:c>
      <x:c r="D1813" s="12" t="str">
        <x:v>环线3路</x:v>
      </x:c>
      <x:c r="E1813" s="12" t="str">
        <x:v>第四班</x:v>
      </x:c>
      <x:c r="F1813" s="12" t="n">
        <x:v>8</x:v>
      </x:c>
      <x:c r="G1813" s="12" t="str">
        <x:v>21:20</x:v>
      </x:c>
      <x:c r="H1813" s="12" t="n">
        <x:v>1280</x:v>
      </x:c>
      <x:c r="I1813" s="12" t="str">
        <x:v>研究生宿舍楼</x:v>
      </x:c>
      <x:c r="J1813" s="12" t="str">
        <x:v>研究生宿舍楼发车</x:v>
      </x:c>
      <x:c r="K1813" s="12" t="str">
        <x:v>HX3_NORMAL</x:v>
      </x:c>
      <x:c r="L1813" s="12" t="n">
        <x:v>6</x:v>
      </x:c>
      <x:c r="M1813" s="12" t="str">
        <x:v>HX3_NORMAL|6</x:v>
      </x:c>
      <x:c r="N1813" s="12" t="str">
        <x:v>激光所</x:v>
      </x:c>
      <x:c r="O1813" s="12" t="n">
        <x:f>IFERROR(INDEX('秒级路线参数_可调整'!$O:$O,MATCH(M1813,'秒级路线参数_可调整'!$A:$A,0)),"")</x:f>
        <x:v>315</x:v>
      </x:c>
      <x:c r="P1813" s="12" t="n">
        <x:f>IF(O1813="","",O1813/86400)</x:f>
        <x:v>0.0036458333333333334</x:v>
      </x:c>
      <x:c r="Q1813" s="12" t="n">
        <x:f>IF(O1813="","",(H1813*60+O1813)/86400)</x:f>
        <x:v>0.8925347222222222</x:v>
      </x:c>
      <x:c r="R1813" s="12" t="str">
        <x:f>IF(Q1813="","",TEXT(Q1813,"hh:mm:ss"))</x:f>
        <x:v>21:25:15</x:v>
      </x:c>
      <x:c r="S1813" s="12" t="str">
        <x:v>否</x:v>
      </x:c>
      <x:c r="T1813" s="12" t="str">
        <x:v>否</x:v>
      </x:c>
      <x:c r="U1813" s="12" t="str">
        <x:v>孙五星</x:v>
      </x:c>
      <x:c r="V1813" s="12" t="str">
        <x:v>3号车</x:v>
      </x:c>
      <x:c r="W1813" s="12" t="str">
        <x:v>秒级预测</x:v>
      </x:c>
      <x:c r="X1813" s="12" t="str">
        <x:v>基于路线秒级参数；如录入实测或手动采用秒，预计到达时间可随公式更新</x:v>
      </x:c>
    </x:row>
    <x:row r="1814">
      <x:c r="A1814" s="12" t="str">
        <x:v>S0155-07</x:v>
      </x:c>
      <x:c r="B1814" s="12" t="str">
        <x:v>S0155</x:v>
      </x:c>
      <x:c r="C1814" s="12" t="str">
        <x:v>工作日</x:v>
      </x:c>
      <x:c r="D1814" s="12" t="str">
        <x:v>环线3路</x:v>
      </x:c>
      <x:c r="E1814" s="12" t="str">
        <x:v>第四班</x:v>
      </x:c>
      <x:c r="F1814" s="12" t="n">
        <x:v>8</x:v>
      </x:c>
      <x:c r="G1814" s="12" t="str">
        <x:v>21:20</x:v>
      </x:c>
      <x:c r="H1814" s="12" t="n">
        <x:v>1280</x:v>
      </x:c>
      <x:c r="I1814" s="12" t="str">
        <x:v>研究生宿舍楼</x:v>
      </x:c>
      <x:c r="J1814" s="12" t="str">
        <x:v>研究生宿舍楼发车</x:v>
      </x:c>
      <x:c r="K1814" s="12" t="str">
        <x:v>HX3_NORMAL</x:v>
      </x:c>
      <x:c r="L1814" s="12" t="n">
        <x:v>7</x:v>
      </x:c>
      <x:c r="M1814" s="12" t="str">
        <x:v>HX3_NORMAL|7</x:v>
      </x:c>
      <x:c r="N1814" s="12" t="str">
        <x:v>高超楼</x:v>
      </x:c>
      <x:c r="O1814" s="12" t="n">
        <x:f>IFERROR(INDEX('秒级路线参数_可调整'!$O:$O,MATCH(M1814,'秒级路线参数_可调整'!$A:$A,0)),"")</x:f>
        <x:v>420</x:v>
      </x:c>
      <x:c r="P1814" s="12" t="n">
        <x:f>IF(O1814="","",O1814/86400)</x:f>
        <x:v>0.004861111111111111</x:v>
      </x:c>
      <x:c r="Q1814" s="12" t="n">
        <x:f>IF(O1814="","",(H1814*60+O1814)/86400)</x:f>
        <x:v>0.89375</x:v>
      </x:c>
      <x:c r="R1814" s="12" t="str">
        <x:f>IF(Q1814="","",TEXT(Q1814,"hh:mm:ss"))</x:f>
        <x:v>21:27:00</x:v>
      </x:c>
      <x:c r="S1814" s="12" t="str">
        <x:v>否</x:v>
      </x:c>
      <x:c r="T1814" s="12" t="str">
        <x:v>否</x:v>
      </x:c>
      <x:c r="U1814" s="12" t="str">
        <x:v>孙五星</x:v>
      </x:c>
      <x:c r="V1814" s="12" t="str">
        <x:v>3号车</x:v>
      </x:c>
      <x:c r="W1814" s="12" t="str">
        <x:v>秒级预测</x:v>
      </x:c>
      <x:c r="X1814" s="12" t="str">
        <x:v>基于路线秒级参数；如录入实测或手动采用秒，预计到达时间可随公式更新</x:v>
      </x:c>
    </x:row>
    <x:row r="1815">
      <x:c r="A1815" s="12" t="str">
        <x:v>S0155-08</x:v>
      </x:c>
      <x:c r="B1815" s="12" t="str">
        <x:v>S0155</x:v>
      </x:c>
      <x:c r="C1815" s="12" t="str">
        <x:v>工作日</x:v>
      </x:c>
      <x:c r="D1815" s="12" t="str">
        <x:v>环线3路</x:v>
      </x:c>
      <x:c r="E1815" s="12" t="str">
        <x:v>第四班</x:v>
      </x:c>
      <x:c r="F1815" s="12" t="n">
        <x:v>8</x:v>
      </x:c>
      <x:c r="G1815" s="12" t="str">
        <x:v>21:20</x:v>
      </x:c>
      <x:c r="H1815" s="12" t="n">
        <x:v>1280</x:v>
      </x:c>
      <x:c r="I1815" s="12" t="str">
        <x:v>研究生宿舍楼</x:v>
      </x:c>
      <x:c r="J1815" s="12" t="str">
        <x:v>研究生宿舍楼发车</x:v>
      </x:c>
      <x:c r="K1815" s="12" t="str">
        <x:v>HX3_NORMAL</x:v>
      </x:c>
      <x:c r="L1815" s="12" t="n">
        <x:v>8</x:v>
      </x:c>
      <x:c r="M1815" s="12" t="str">
        <x:v>HX3_NORMAL|8</x:v>
      </x:c>
      <x:c r="N1815" s="12" t="str">
        <x:v>理学院</x:v>
      </x:c>
      <x:c r="O1815" s="12" t="n">
        <x:f>IFERROR(INDEX('秒级路线参数_可调整'!$O:$O,MATCH(M1815,'秒级路线参数_可调整'!$A:$A,0)),"")</x:f>
        <x:v>480</x:v>
      </x:c>
      <x:c r="P1815" s="12" t="n">
        <x:f>IF(O1815="","",O1815/86400)</x:f>
        <x:v>0.005555555555555556</x:v>
      </x:c>
      <x:c r="Q1815" s="12" t="n">
        <x:f>IF(O1815="","",(H1815*60+O1815)/86400)</x:f>
        <x:v>0.8944444444444445</x:v>
      </x:c>
      <x:c r="R1815" s="12" t="str">
        <x:f>IF(Q1815="","",TEXT(Q1815,"hh:mm:ss"))</x:f>
        <x:v>21:28:00</x:v>
      </x:c>
      <x:c r="S1815" s="12" t="str">
        <x:v>否</x:v>
      </x:c>
      <x:c r="T1815" s="12" t="str">
        <x:v>否</x:v>
      </x:c>
      <x:c r="U1815" s="12" t="str">
        <x:v>孙五星</x:v>
      </x:c>
      <x:c r="V1815" s="12" t="str">
        <x:v>3号车</x:v>
      </x:c>
      <x:c r="W1815" s="12" t="str">
        <x:v>秒级预测</x:v>
      </x:c>
      <x:c r="X1815" s="12" t="str">
        <x:v>基于路线秒级参数；如录入实测或手动采用秒，预计到达时间可随公式更新</x:v>
      </x:c>
    </x:row>
    <x:row r="1816">
      <x:c r="A1816" s="12" t="str">
        <x:v>S0155-09</x:v>
      </x:c>
      <x:c r="B1816" s="12" t="str">
        <x:v>S0155</x:v>
      </x:c>
      <x:c r="C1816" s="12" t="str">
        <x:v>工作日</x:v>
      </x:c>
      <x:c r="D1816" s="12" t="str">
        <x:v>环线3路</x:v>
      </x:c>
      <x:c r="E1816" s="12" t="str">
        <x:v>第四班</x:v>
      </x:c>
      <x:c r="F1816" s="12" t="n">
        <x:v>8</x:v>
      </x:c>
      <x:c r="G1816" s="12" t="str">
        <x:v>21:20</x:v>
      </x:c>
      <x:c r="H1816" s="12" t="n">
        <x:v>1280</x:v>
      </x:c>
      <x:c r="I1816" s="12" t="str">
        <x:v>研究生宿舍楼</x:v>
      </x:c>
      <x:c r="J1816" s="12" t="str">
        <x:v>研究生宿舍楼发车</x:v>
      </x:c>
      <x:c r="K1816" s="12" t="str">
        <x:v>HX3_NORMAL</x:v>
      </x:c>
      <x:c r="L1816" s="12" t="n">
        <x:v>9</x:v>
      </x:c>
      <x:c r="M1816" s="12" t="str">
        <x:v>HX3_NORMAL|9</x:v>
      </x:c>
      <x:c r="N1816" s="12" t="str">
        <x:v>二食堂</x:v>
      </x:c>
      <x:c r="O1816" s="12" t="n">
        <x:f>IFERROR(INDEX('秒级路线参数_可调整'!$O:$O,MATCH(M1816,'秒级路线参数_可调整'!$A:$A,0)),"")</x:f>
        <x:v>535</x:v>
      </x:c>
      <x:c r="P1816" s="12" t="n">
        <x:f>IF(O1816="","",O1816/86400)</x:f>
        <x:v>0.00619212962962963</x:v>
      </x:c>
      <x:c r="Q1816" s="12" t="n">
        <x:f>IF(O1816="","",(H1816*60+O1816)/86400)</x:f>
        <x:v>0.8950810185185185</x:v>
      </x:c>
      <x:c r="R1816" s="12" t="str">
        <x:f>IF(Q1816="","",TEXT(Q1816,"hh:mm:ss"))</x:f>
        <x:v>21:28:55</x:v>
      </x:c>
      <x:c r="S1816" s="12" t="str">
        <x:v>否</x:v>
      </x:c>
      <x:c r="T1816" s="12" t="str">
        <x:v>否</x:v>
      </x:c>
      <x:c r="U1816" s="12" t="str">
        <x:v>孙五星</x:v>
      </x:c>
      <x:c r="V1816" s="12" t="str">
        <x:v>3号车</x:v>
      </x:c>
      <x:c r="W1816" s="12" t="str">
        <x:v>秒级预测</x:v>
      </x:c>
      <x:c r="X1816" s="12" t="str">
        <x:v>基于路线秒级参数；如录入实测或手动采用秒，预计到达时间可随公式更新</x:v>
      </x:c>
    </x:row>
    <x:row r="1817">
      <x:c r="A1817" s="12" t="str">
        <x:v>S0155-10</x:v>
      </x:c>
      <x:c r="B1817" s="12" t="str">
        <x:v>S0155</x:v>
      </x:c>
      <x:c r="C1817" s="12" t="str">
        <x:v>工作日</x:v>
      </x:c>
      <x:c r="D1817" s="12" t="str">
        <x:v>环线3路</x:v>
      </x:c>
      <x:c r="E1817" s="12" t="str">
        <x:v>第四班</x:v>
      </x:c>
      <x:c r="F1817" s="12" t="n">
        <x:v>8</x:v>
      </x:c>
      <x:c r="G1817" s="12" t="str">
        <x:v>21:20</x:v>
      </x:c>
      <x:c r="H1817" s="12" t="n">
        <x:v>1280</x:v>
      </x:c>
      <x:c r="I1817" s="12" t="str">
        <x:v>研究生宿舍楼</x:v>
      </x:c>
      <x:c r="J1817" s="12" t="str">
        <x:v>研究生宿舍楼发车</x:v>
      </x:c>
      <x:c r="K1817" s="12" t="str">
        <x:v>HX3_NORMAL</x:v>
      </x:c>
      <x:c r="L1817" s="12" t="n">
        <x:v>10</x:v>
      </x:c>
      <x:c r="M1817" s="12" t="str">
        <x:v>HX3_NORMAL|10</x:v>
      </x:c>
      <x:c r="N1817" s="12" t="str">
        <x:v>图书馆</x:v>
      </x:c>
      <x:c r="O1817" s="12" t="n">
        <x:f>IFERROR(INDEX('秒级路线参数_可调整'!$O:$O,MATCH(M1817,'秒级路线参数_可调整'!$A:$A,0)),"")</x:f>
        <x:v>715</x:v>
      </x:c>
      <x:c r="P1817" s="12" t="n">
        <x:f>IF(O1817="","",O1817/86400)</x:f>
        <x:v>0.008275462962962964</x:v>
      </x:c>
      <x:c r="Q1817" s="12" t="n">
        <x:f>IF(O1817="","",(H1817*60+O1817)/86400)</x:f>
        <x:v>0.8971643518518518</x:v>
      </x:c>
      <x:c r="R1817" s="12" t="str">
        <x:f>IF(Q1817="","",TEXT(Q1817,"hh:mm:ss"))</x:f>
        <x:v>21:31:55</x:v>
      </x:c>
      <x:c r="S1817" s="12" t="str">
        <x:v>否</x:v>
      </x:c>
      <x:c r="T1817" s="12" t="str">
        <x:v>否</x:v>
      </x:c>
      <x:c r="U1817" s="12" t="str">
        <x:v>孙五星</x:v>
      </x:c>
      <x:c r="V1817" s="12" t="str">
        <x:v>3号车</x:v>
      </x:c>
      <x:c r="W1817" s="12" t="str">
        <x:v>秒级预测</x:v>
      </x:c>
      <x:c r="X1817" s="12" t="str">
        <x:v>基于路线秒级参数；如录入实测或手动采用秒，预计到达时间可随公式更新</x:v>
      </x:c>
    </x:row>
    <x:row r="1818">
      <x:c r="A1818" s="12" t="str">
        <x:v>S0155-11</x:v>
      </x:c>
      <x:c r="B1818" s="12" t="str">
        <x:v>S0155</x:v>
      </x:c>
      <x:c r="C1818" s="12" t="str">
        <x:v>工作日</x:v>
      </x:c>
      <x:c r="D1818" s="12" t="str">
        <x:v>环线3路</x:v>
      </x:c>
      <x:c r="E1818" s="12" t="str">
        <x:v>第四班</x:v>
      </x:c>
      <x:c r="F1818" s="12" t="n">
        <x:v>8</x:v>
      </x:c>
      <x:c r="G1818" s="12" t="str">
        <x:v>21:20</x:v>
      </x:c>
      <x:c r="H1818" s="12" t="n">
        <x:v>1280</x:v>
      </x:c>
      <x:c r="I1818" s="12" t="str">
        <x:v>研究生宿舍楼</x:v>
      </x:c>
      <x:c r="J1818" s="12" t="str">
        <x:v>研究生宿舍楼发车</x:v>
      </x:c>
      <x:c r="K1818" s="12" t="str">
        <x:v>HX3_NORMAL</x:v>
      </x:c>
      <x:c r="L1818" s="12" t="n">
        <x:v>11</x:v>
      </x:c>
      <x:c r="M1818" s="12" t="str">
        <x:v>HX3_NORMAL|11</x:v>
      </x:c>
      <x:c r="N1818" s="12" t="str">
        <x:v>305教学楼</x:v>
      </x:c>
      <x:c r="O1818" s="12" t="n">
        <x:f>IFERROR(INDEX('秒级路线参数_可调整'!$O:$O,MATCH(M1818,'秒级路线参数_可调整'!$A:$A,0)),"")</x:f>
        <x:v>775</x:v>
      </x:c>
      <x:c r="P1818" s="12" t="n">
        <x:f>IF(O1818="","",O1818/86400)</x:f>
        <x:v>0.008969907407407407</x:v>
      </x:c>
      <x:c r="Q1818" s="12" t="n">
        <x:f>IF(O1818="","",(H1818*60+O1818)/86400)</x:f>
        <x:v>0.8978587962962963</x:v>
      </x:c>
      <x:c r="R1818" s="12" t="str">
        <x:f>IF(Q1818="","",TEXT(Q1818,"hh:mm:ss"))</x:f>
        <x:v>21:32:55</x:v>
      </x:c>
      <x:c r="S1818" s="12" t="str">
        <x:v>否</x:v>
      </x:c>
      <x:c r="T1818" s="12" t="str">
        <x:v>否</x:v>
      </x:c>
      <x:c r="U1818" s="12" t="str">
        <x:v>孙五星</x:v>
      </x:c>
      <x:c r="V1818" s="12" t="str">
        <x:v>3号车</x:v>
      </x:c>
      <x:c r="W1818" s="12" t="str">
        <x:v>秒级预测</x:v>
      </x:c>
      <x:c r="X1818" s="12" t="str">
        <x:v>基于路线秒级参数；如录入实测或手动采用秒，预计到达时间可随公式更新</x:v>
      </x:c>
    </x:row>
    <x:row r="1819">
      <x:c r="A1819" s="12" t="str">
        <x:v>S0155-12</x:v>
      </x:c>
      <x:c r="B1819" s="12" t="str">
        <x:v>S0155</x:v>
      </x:c>
      <x:c r="C1819" s="12" t="str">
        <x:v>工作日</x:v>
      </x:c>
      <x:c r="D1819" s="12" t="str">
        <x:v>环线3路</x:v>
      </x:c>
      <x:c r="E1819" s="12" t="str">
        <x:v>第四班</x:v>
      </x:c>
      <x:c r="F1819" s="12" t="n">
        <x:v>8</x:v>
      </x:c>
      <x:c r="G1819" s="12" t="str">
        <x:v>21:20</x:v>
      </x:c>
      <x:c r="H1819" s="12" t="n">
        <x:v>1280</x:v>
      </x:c>
      <x:c r="I1819" s="12" t="str">
        <x:v>研究生宿舍楼</x:v>
      </x:c>
      <x:c r="J1819" s="12" t="str">
        <x:v>研究生宿舍楼发车</x:v>
      </x:c>
      <x:c r="K1819" s="12" t="str">
        <x:v>HX3_NORMAL</x:v>
      </x:c>
      <x:c r="L1819" s="12" t="n">
        <x:v>12</x:v>
      </x:c>
      <x:c r="M1819" s="12" t="str">
        <x:v>HX3_NORMAL|12</x:v>
      </x:c>
      <x:c r="N1819" s="12" t="str">
        <x:v>研究生宿舍楼</x:v>
      </x:c>
      <x:c r="O1819" s="12" t="n">
        <x:f>IFERROR(INDEX('秒级路线参数_可调整'!$O:$O,MATCH(M1819,'秒级路线参数_可调整'!$A:$A,0)),"")</x:f>
        <x:v>840</x:v>
      </x:c>
      <x:c r="P1819" s="12" t="n">
        <x:f>IF(O1819="","",O1819/86400)</x:f>
        <x:v>0.009722222222222222</x:v>
      </x:c>
      <x:c r="Q1819" s="12" t="n">
        <x:f>IF(O1819="","",(H1819*60+O1819)/86400)</x:f>
        <x:v>0.8986111111111111</x:v>
      </x:c>
      <x:c r="R1819" s="12" t="str">
        <x:f>IF(Q1819="","",TEXT(Q1819,"hh:mm:ss"))</x:f>
        <x:v>21:34:00</x:v>
      </x:c>
      <x:c r="S1819" s="12" t="str">
        <x:v>否</x:v>
      </x:c>
      <x:c r="T1819" s="12" t="str">
        <x:v>是</x:v>
      </x:c>
      <x:c r="U1819" s="12" t="str">
        <x:v>孙五星</x:v>
      </x:c>
      <x:c r="V1819" s="12" t="str">
        <x:v>3号车</x:v>
      </x:c>
      <x:c r="W1819" s="12" t="str">
        <x:v>秒级预测</x:v>
      </x:c>
      <x:c r="X1819" s="12" t="str">
        <x:v>基于路线秒级参数；如录入实测或手动采用秒，预计到达时间可随公式更新</x:v>
      </x:c>
    </x:row>
    <x:row r="1820">
      <x:c r="A1820" s="12" t="str">
        <x:v>S0156-01</x:v>
      </x:c>
      <x:c r="B1820" s="12" t="str">
        <x:v>S0156</x:v>
      </x:c>
      <x:c r="C1820" s="12" t="str">
        <x:v>工作日</x:v>
      </x:c>
      <x:c r="D1820" s="12" t="str">
        <x:v>环线3路</x:v>
      </x:c>
      <x:c r="E1820" s="12" t="str">
        <x:v>第四班</x:v>
      </x:c>
      <x:c r="F1820" s="12" t="n">
        <x:v>9</x:v>
      </x:c>
      <x:c r="G1820" s="12" t="str">
        <x:v>21:50</x:v>
      </x:c>
      <x:c r="H1820" s="12" t="n">
        <x:v>1310</x:v>
      </x:c>
      <x:c r="I1820" s="12" t="str">
        <x:v>研究生宿舍楼</x:v>
      </x:c>
      <x:c r="J1820" s="12" t="str">
        <x:v>研究生宿舍楼发车</x:v>
      </x:c>
      <x:c r="K1820" s="12" t="str">
        <x:v>HX3_NORMAL</x:v>
      </x:c>
      <x:c r="L1820" s="12" t="n">
        <x:v>1</x:v>
      </x:c>
      <x:c r="M1820" s="12" t="str">
        <x:v>HX3_NORMAL|1</x:v>
      </x:c>
      <x:c r="N1820" s="12" t="str">
        <x:v>研究生宿舍楼</x:v>
      </x:c>
      <x:c r="O1820" s="12" t="n">
        <x:f>IFERROR(INDEX('秒级路线参数_可调整'!$O:$O,MATCH(M1820,'秒级路线参数_可调整'!$A:$A,0)),"")</x:f>
        <x:v>0</x:v>
      </x:c>
      <x:c r="P1820" s="12" t="str">
        <x:f>IF(O1820="","",O1820/86400)</x:f>
      </x:c>
      <x:c r="Q1820" s="12" t="str">
        <x:f>IF(O1820="","",(H1820*60+O1820)/86400)</x:f>
      </x:c>
      <x:c r="R1820" s="12" t="str">
        <x:f>IF(Q1820="","",TEXT(Q1820,"hh:mm:ss"))</x:f>
      </x:c>
      <x:c r="S1820" s="12" t="str">
        <x:v>是</x:v>
      </x:c>
      <x:c r="T1820" s="12" t="str">
        <x:v>否</x:v>
      </x:c>
      <x:c r="U1820" s="12" t="str">
        <x:v>孙五星</x:v>
      </x:c>
      <x:c r="V1820" s="12" t="str">
        <x:v>3号车</x:v>
      </x:c>
      <x:c r="W1820" s="12" t="str">
        <x:v>秒级预测</x:v>
      </x:c>
      <x:c r="X1820" s="12" t="str">
        <x:v>基于路线秒级参数；如录入实测或手动采用秒，预计到达时间可随公式更新</x:v>
      </x:c>
    </x:row>
    <x:row r="1821">
      <x:c r="A1821" s="12" t="str">
        <x:v>S0156-02</x:v>
      </x:c>
      <x:c r="B1821" s="12" t="str">
        <x:v>S0156</x:v>
      </x:c>
      <x:c r="C1821" s="12" t="str">
        <x:v>工作日</x:v>
      </x:c>
      <x:c r="D1821" s="12" t="str">
        <x:v>环线3路</x:v>
      </x:c>
      <x:c r="E1821" s="12" t="str">
        <x:v>第四班</x:v>
      </x:c>
      <x:c r="F1821" s="12" t="n">
        <x:v>9</x:v>
      </x:c>
      <x:c r="G1821" s="12" t="str">
        <x:v>21:50</x:v>
      </x:c>
      <x:c r="H1821" s="12" t="n">
        <x:v>1310</x:v>
      </x:c>
      <x:c r="I1821" s="12" t="str">
        <x:v>研究生宿舍楼</x:v>
      </x:c>
      <x:c r="J1821" s="12" t="str">
        <x:v>研究生宿舍楼发车</x:v>
      </x:c>
      <x:c r="K1821" s="12" t="str">
        <x:v>HX3_NORMAL</x:v>
      </x:c>
      <x:c r="L1821" s="12" t="n">
        <x:v>2</x:v>
      </x:c>
      <x:c r="M1821" s="12" t="str">
        <x:v>HX3_NORMAL|2</x:v>
      </x:c>
      <x:c r="N1821" s="12" t="str">
        <x:v>一食堂</x:v>
      </x:c>
      <x:c r="O1821" s="12" t="n">
        <x:f>IFERROR(INDEX('秒级路线参数_可调整'!$O:$O,MATCH(M1821,'秒级路线参数_可调整'!$A:$A,0)),"")</x:f>
        <x:v>65</x:v>
      </x:c>
      <x:c r="P1821" s="12" t="n">
        <x:f>IF(O1821="","",O1821/86400)</x:f>
        <x:v>0.0007523148148148148</x:v>
      </x:c>
      <x:c r="Q1821" s="12" t="n">
        <x:f>IF(O1821="","",(H1821*60+O1821)/86400)</x:f>
        <x:v>0.9104745370370371</x:v>
      </x:c>
      <x:c r="R1821" s="12" t="str">
        <x:f>IF(Q1821="","",TEXT(Q1821,"hh:mm:ss"))</x:f>
        <x:v>21:51:05</x:v>
      </x:c>
      <x:c r="S1821" s="12" t="str">
        <x:v>否</x:v>
      </x:c>
      <x:c r="T1821" s="12" t="str">
        <x:v>否</x:v>
      </x:c>
      <x:c r="U1821" s="12" t="str">
        <x:v>孙五星</x:v>
      </x:c>
      <x:c r="V1821" s="12" t="str">
        <x:v>3号车</x:v>
      </x:c>
      <x:c r="W1821" s="12" t="str">
        <x:v>秒级预测</x:v>
      </x:c>
      <x:c r="X1821" s="12" t="str">
        <x:v>基于路线秒级参数；如录入实测或手动采用秒，预计到达时间可随公式更新</x:v>
      </x:c>
    </x:row>
    <x:row r="1822">
      <x:c r="A1822" s="12" t="str">
        <x:v>S0156-03</x:v>
      </x:c>
      <x:c r="B1822" s="12" t="str">
        <x:v>S0156</x:v>
      </x:c>
      <x:c r="C1822" s="12" t="str">
        <x:v>工作日</x:v>
      </x:c>
      <x:c r="D1822" s="12" t="str">
        <x:v>环线3路</x:v>
      </x:c>
      <x:c r="E1822" s="12" t="str">
        <x:v>第四班</x:v>
      </x:c>
      <x:c r="F1822" s="12" t="n">
        <x:v>9</x:v>
      </x:c>
      <x:c r="G1822" s="12" t="str">
        <x:v>21:50</x:v>
      </x:c>
      <x:c r="H1822" s="12" t="n">
        <x:v>1310</x:v>
      </x:c>
      <x:c r="I1822" s="12" t="str">
        <x:v>研究生宿舍楼</x:v>
      </x:c>
      <x:c r="J1822" s="12" t="str">
        <x:v>研究生宿舍楼发车</x:v>
      </x:c>
      <x:c r="K1822" s="12" t="str">
        <x:v>HX3_NORMAL</x:v>
      </x:c>
      <x:c r="L1822" s="12" t="n">
        <x:v>3</x:v>
      </x:c>
      <x:c r="M1822" s="12" t="str">
        <x:v>HX3_NORMAL|3</x:v>
      </x:c>
      <x:c r="N1822" s="12" t="str">
        <x:v>2号宿舍楼</x:v>
      </x:c>
      <x:c r="O1822" s="12" t="n">
        <x:f>IFERROR(INDEX('秒级路线参数_可调整'!$O:$O,MATCH(M1822,'秒级路线参数_可调整'!$A:$A,0)),"")</x:f>
        <x:v>120</x:v>
      </x:c>
      <x:c r="P1822" s="12" t="n">
        <x:f>IF(O1822="","",O1822/86400)</x:f>
        <x:v>0.001388888888888889</x:v>
      </x:c>
      <x:c r="Q1822" s="12" t="n">
        <x:f>IF(O1822="","",(H1822*60+O1822)/86400)</x:f>
        <x:v>0.9111111111111111</x:v>
      </x:c>
      <x:c r="R1822" s="12" t="str">
        <x:f>IF(Q1822="","",TEXT(Q1822,"hh:mm:ss"))</x:f>
        <x:v>21:52:00</x:v>
      </x:c>
      <x:c r="S1822" s="12" t="str">
        <x:v>否</x:v>
      </x:c>
      <x:c r="T1822" s="12" t="str">
        <x:v>否</x:v>
      </x:c>
      <x:c r="U1822" s="12" t="str">
        <x:v>孙五星</x:v>
      </x:c>
      <x:c r="V1822" s="12" t="str">
        <x:v>3号车</x:v>
      </x:c>
      <x:c r="W1822" s="12" t="str">
        <x:v>秒级预测</x:v>
      </x:c>
      <x:c r="X1822" s="12" t="str">
        <x:v>基于路线秒级参数；如录入实测或手动采用秒，预计到达时间可随公式更新</x:v>
      </x:c>
    </x:row>
    <x:row r="1823">
      <x:c r="A1823" s="12" t="str">
        <x:v>S0156-04</x:v>
      </x:c>
      <x:c r="B1823" s="12" t="str">
        <x:v>S0156</x:v>
      </x:c>
      <x:c r="C1823" s="12" t="str">
        <x:v>工作日</x:v>
      </x:c>
      <x:c r="D1823" s="12" t="str">
        <x:v>环线3路</x:v>
      </x:c>
      <x:c r="E1823" s="12" t="str">
        <x:v>第四班</x:v>
      </x:c>
      <x:c r="F1823" s="12" t="n">
        <x:v>9</x:v>
      </x:c>
      <x:c r="G1823" s="12" t="str">
        <x:v>21:50</x:v>
      </x:c>
      <x:c r="H1823" s="12" t="n">
        <x:v>1310</x:v>
      </x:c>
      <x:c r="I1823" s="12" t="str">
        <x:v>研究生宿舍楼</x:v>
      </x:c>
      <x:c r="J1823" s="12" t="str">
        <x:v>研究生宿舍楼发车</x:v>
      </x:c>
      <x:c r="K1823" s="12" t="str">
        <x:v>HX3_NORMAL</x:v>
      </x:c>
      <x:c r="L1823" s="12" t="n">
        <x:v>4</x:v>
      </x:c>
      <x:c r="M1823" s="12" t="str">
        <x:v>HX3_NORMAL|4</x:v>
      </x:c>
      <x:c r="N1823" s="12" t="str">
        <x:v>军体活动中心</x:v>
      </x:c>
      <x:c r="O1823" s="12" t="n">
        <x:f>IFERROR(INDEX('秒级路线参数_可调整'!$O:$O,MATCH(M1823,'秒级路线参数_可调整'!$A:$A,0)),"")</x:f>
        <x:v>165</x:v>
      </x:c>
      <x:c r="P1823" s="12" t="n">
        <x:f>IF(O1823="","",O1823/86400)</x:f>
        <x:v>0.0019097222222222222</x:v>
      </x:c>
      <x:c r="Q1823" s="12" t="n">
        <x:f>IF(O1823="","",(H1823*60+O1823)/86400)</x:f>
        <x:v>0.9116319444444444</x:v>
      </x:c>
      <x:c r="R1823" s="12" t="str">
        <x:f>IF(Q1823="","",TEXT(Q1823,"hh:mm:ss"))</x:f>
        <x:v>21:52:45</x:v>
      </x:c>
      <x:c r="S1823" s="12" t="str">
        <x:v>否</x:v>
      </x:c>
      <x:c r="T1823" s="12" t="str">
        <x:v>否</x:v>
      </x:c>
      <x:c r="U1823" s="12" t="str">
        <x:v>孙五星</x:v>
      </x:c>
      <x:c r="V1823" s="12" t="str">
        <x:v>3号车</x:v>
      </x:c>
      <x:c r="W1823" s="12" t="str">
        <x:v>秒级预测</x:v>
      </x:c>
      <x:c r="X1823" s="12" t="str">
        <x:v>基于路线秒级参数；如录入实测或手动采用秒，预计到达时间可随公式更新</x:v>
      </x:c>
    </x:row>
    <x:row r="1824">
      <x:c r="A1824" s="12" t="str">
        <x:v>S0156-05</x:v>
      </x:c>
      <x:c r="B1824" s="12" t="str">
        <x:v>S0156</x:v>
      </x:c>
      <x:c r="C1824" s="12" t="str">
        <x:v>工作日</x:v>
      </x:c>
      <x:c r="D1824" s="12" t="str">
        <x:v>环线3路</x:v>
      </x:c>
      <x:c r="E1824" s="12" t="str">
        <x:v>第四班</x:v>
      </x:c>
      <x:c r="F1824" s="12" t="n">
        <x:v>9</x:v>
      </x:c>
      <x:c r="G1824" s="12" t="str">
        <x:v>21:50</x:v>
      </x:c>
      <x:c r="H1824" s="12" t="n">
        <x:v>1310</x:v>
      </x:c>
      <x:c r="I1824" s="12" t="str">
        <x:v>研究生宿舍楼</x:v>
      </x:c>
      <x:c r="J1824" s="12" t="str">
        <x:v>研究生宿舍楼发车</x:v>
      </x:c>
      <x:c r="K1824" s="12" t="str">
        <x:v>HX3_NORMAL</x:v>
      </x:c>
      <x:c r="L1824" s="12" t="n">
        <x:v>5</x:v>
      </x:c>
      <x:c r="M1824" s="12" t="str">
        <x:v>HX3_NORMAL|5</x:v>
      </x:c>
      <x:c r="N1824" s="12" t="str">
        <x:v>教勤连</x:v>
      </x:c>
      <x:c r="O1824" s="12" t="n">
        <x:f>IFERROR(INDEX('秒级路线参数_可调整'!$O:$O,MATCH(M1824,'秒级路线参数_可调整'!$A:$A,0)),"")</x:f>
        <x:v>250</x:v>
      </x:c>
      <x:c r="P1824" s="12" t="n">
        <x:f>IF(O1824="","",O1824/86400)</x:f>
        <x:v>0.0028935185185185184</x:v>
      </x:c>
      <x:c r="Q1824" s="12" t="n">
        <x:f>IF(O1824="","",(H1824*60+O1824)/86400)</x:f>
        <x:v>0.9126157407407407</x:v>
      </x:c>
      <x:c r="R1824" s="12" t="str">
        <x:f>IF(Q1824="","",TEXT(Q1824,"hh:mm:ss"))</x:f>
        <x:v>21:54:10</x:v>
      </x:c>
      <x:c r="S1824" s="12" t="str">
        <x:v>否</x:v>
      </x:c>
      <x:c r="T1824" s="12" t="str">
        <x:v>否</x:v>
      </x:c>
      <x:c r="U1824" s="12" t="str">
        <x:v>孙五星</x:v>
      </x:c>
      <x:c r="V1824" s="12" t="str">
        <x:v>3号车</x:v>
      </x:c>
      <x:c r="W1824" s="12" t="str">
        <x:v>秒级预测</x:v>
      </x:c>
      <x:c r="X1824" s="12" t="str">
        <x:v>基于路线秒级参数；如录入实测或手动采用秒，预计到达时间可随公式更新</x:v>
      </x:c>
    </x:row>
    <x:row r="1825">
      <x:c r="A1825" s="12" t="str">
        <x:v>S0156-06</x:v>
      </x:c>
      <x:c r="B1825" s="12" t="str">
        <x:v>S0156</x:v>
      </x:c>
      <x:c r="C1825" s="12" t="str">
        <x:v>工作日</x:v>
      </x:c>
      <x:c r="D1825" s="12" t="str">
        <x:v>环线3路</x:v>
      </x:c>
      <x:c r="E1825" s="12" t="str">
        <x:v>第四班</x:v>
      </x:c>
      <x:c r="F1825" s="12" t="n">
        <x:v>9</x:v>
      </x:c>
      <x:c r="G1825" s="12" t="str">
        <x:v>21:50</x:v>
      </x:c>
      <x:c r="H1825" s="12" t="n">
        <x:v>1310</x:v>
      </x:c>
      <x:c r="I1825" s="12" t="str">
        <x:v>研究生宿舍楼</x:v>
      </x:c>
      <x:c r="J1825" s="12" t="str">
        <x:v>研究生宿舍楼发车</x:v>
      </x:c>
      <x:c r="K1825" s="12" t="str">
        <x:v>HX3_NORMAL</x:v>
      </x:c>
      <x:c r="L1825" s="12" t="n">
        <x:v>6</x:v>
      </x:c>
      <x:c r="M1825" s="12" t="str">
        <x:v>HX3_NORMAL|6</x:v>
      </x:c>
      <x:c r="N1825" s="12" t="str">
        <x:v>激光所</x:v>
      </x:c>
      <x:c r="O1825" s="12" t="n">
        <x:f>IFERROR(INDEX('秒级路线参数_可调整'!$O:$O,MATCH(M1825,'秒级路线参数_可调整'!$A:$A,0)),"")</x:f>
        <x:v>315</x:v>
      </x:c>
      <x:c r="P1825" s="12" t="n">
        <x:f>IF(O1825="","",O1825/86400)</x:f>
        <x:v>0.0036458333333333334</x:v>
      </x:c>
      <x:c r="Q1825" s="12" t="n">
        <x:f>IF(O1825="","",(H1825*60+O1825)/86400)</x:f>
        <x:v>0.9133680555555556</x:v>
      </x:c>
      <x:c r="R1825" s="12" t="str">
        <x:f>IF(Q1825="","",TEXT(Q1825,"hh:mm:ss"))</x:f>
        <x:v>21:55:15</x:v>
      </x:c>
      <x:c r="S1825" s="12" t="str">
        <x:v>否</x:v>
      </x:c>
      <x:c r="T1825" s="12" t="str">
        <x:v>否</x:v>
      </x:c>
      <x:c r="U1825" s="12" t="str">
        <x:v>孙五星</x:v>
      </x:c>
      <x:c r="V1825" s="12" t="str">
        <x:v>3号车</x:v>
      </x:c>
      <x:c r="W1825" s="12" t="str">
        <x:v>秒级预测</x:v>
      </x:c>
      <x:c r="X1825" s="12" t="str">
        <x:v>基于路线秒级参数；如录入实测或手动采用秒，预计到达时间可随公式更新</x:v>
      </x:c>
    </x:row>
    <x:row r="1826">
      <x:c r="A1826" s="12" t="str">
        <x:v>S0156-07</x:v>
      </x:c>
      <x:c r="B1826" s="12" t="str">
        <x:v>S0156</x:v>
      </x:c>
      <x:c r="C1826" s="12" t="str">
        <x:v>工作日</x:v>
      </x:c>
      <x:c r="D1826" s="12" t="str">
        <x:v>环线3路</x:v>
      </x:c>
      <x:c r="E1826" s="12" t="str">
        <x:v>第四班</x:v>
      </x:c>
      <x:c r="F1826" s="12" t="n">
        <x:v>9</x:v>
      </x:c>
      <x:c r="G1826" s="12" t="str">
        <x:v>21:50</x:v>
      </x:c>
      <x:c r="H1826" s="12" t="n">
        <x:v>1310</x:v>
      </x:c>
      <x:c r="I1826" s="12" t="str">
        <x:v>研究生宿舍楼</x:v>
      </x:c>
      <x:c r="J1826" s="12" t="str">
        <x:v>研究生宿舍楼发车</x:v>
      </x:c>
      <x:c r="K1826" s="12" t="str">
        <x:v>HX3_NORMAL</x:v>
      </x:c>
      <x:c r="L1826" s="12" t="n">
        <x:v>7</x:v>
      </x:c>
      <x:c r="M1826" s="12" t="str">
        <x:v>HX3_NORMAL|7</x:v>
      </x:c>
      <x:c r="N1826" s="12" t="str">
        <x:v>高超楼</x:v>
      </x:c>
      <x:c r="O1826" s="12" t="n">
        <x:f>IFERROR(INDEX('秒级路线参数_可调整'!$O:$O,MATCH(M1826,'秒级路线参数_可调整'!$A:$A,0)),"")</x:f>
        <x:v>420</x:v>
      </x:c>
      <x:c r="P1826" s="12" t="n">
        <x:f>IF(O1826="","",O1826/86400)</x:f>
        <x:v>0.004861111111111111</x:v>
      </x:c>
      <x:c r="Q1826" s="12" t="n">
        <x:f>IF(O1826="","",(H1826*60+O1826)/86400)</x:f>
        <x:v>0.9145833333333333</x:v>
      </x:c>
      <x:c r="R1826" s="12" t="str">
        <x:f>IF(Q1826="","",TEXT(Q1826,"hh:mm:ss"))</x:f>
        <x:v>21:57:00</x:v>
      </x:c>
      <x:c r="S1826" s="12" t="str">
        <x:v>否</x:v>
      </x:c>
      <x:c r="T1826" s="12" t="str">
        <x:v>否</x:v>
      </x:c>
      <x:c r="U1826" s="12" t="str">
        <x:v>孙五星</x:v>
      </x:c>
      <x:c r="V1826" s="12" t="str">
        <x:v>3号车</x:v>
      </x:c>
      <x:c r="W1826" s="12" t="str">
        <x:v>秒级预测</x:v>
      </x:c>
      <x:c r="X1826" s="12" t="str">
        <x:v>基于路线秒级参数；如录入实测或手动采用秒，预计到达时间可随公式更新</x:v>
      </x:c>
    </x:row>
    <x:row r="1827">
      <x:c r="A1827" s="12" t="str">
        <x:v>S0156-08</x:v>
      </x:c>
      <x:c r="B1827" s="12" t="str">
        <x:v>S0156</x:v>
      </x:c>
      <x:c r="C1827" s="12" t="str">
        <x:v>工作日</x:v>
      </x:c>
      <x:c r="D1827" s="12" t="str">
        <x:v>环线3路</x:v>
      </x:c>
      <x:c r="E1827" s="12" t="str">
        <x:v>第四班</x:v>
      </x:c>
      <x:c r="F1827" s="12" t="n">
        <x:v>9</x:v>
      </x:c>
      <x:c r="G1827" s="12" t="str">
        <x:v>21:50</x:v>
      </x:c>
      <x:c r="H1827" s="12" t="n">
        <x:v>1310</x:v>
      </x:c>
      <x:c r="I1827" s="12" t="str">
        <x:v>研究生宿舍楼</x:v>
      </x:c>
      <x:c r="J1827" s="12" t="str">
        <x:v>研究生宿舍楼发车</x:v>
      </x:c>
      <x:c r="K1827" s="12" t="str">
        <x:v>HX3_NORMAL</x:v>
      </x:c>
      <x:c r="L1827" s="12" t="n">
        <x:v>8</x:v>
      </x:c>
      <x:c r="M1827" s="12" t="str">
        <x:v>HX3_NORMAL|8</x:v>
      </x:c>
      <x:c r="N1827" s="12" t="str">
        <x:v>理学院</x:v>
      </x:c>
      <x:c r="O1827" s="12" t="n">
        <x:f>IFERROR(INDEX('秒级路线参数_可调整'!$O:$O,MATCH(M1827,'秒级路线参数_可调整'!$A:$A,0)),"")</x:f>
        <x:v>480</x:v>
      </x:c>
      <x:c r="P1827" s="12" t="n">
        <x:f>IF(O1827="","",O1827/86400)</x:f>
        <x:v>0.005555555555555556</x:v>
      </x:c>
      <x:c r="Q1827" s="12" t="n">
        <x:f>IF(O1827="","",(H1827*60+O1827)/86400)</x:f>
        <x:v>0.9152777777777777</x:v>
      </x:c>
      <x:c r="R1827" s="12" t="str">
        <x:f>IF(Q1827="","",TEXT(Q1827,"hh:mm:ss"))</x:f>
        <x:v>21:58:00</x:v>
      </x:c>
      <x:c r="S1827" s="12" t="str">
        <x:v>否</x:v>
      </x:c>
      <x:c r="T1827" s="12" t="str">
        <x:v>否</x:v>
      </x:c>
      <x:c r="U1827" s="12" t="str">
        <x:v>孙五星</x:v>
      </x:c>
      <x:c r="V1827" s="12" t="str">
        <x:v>3号车</x:v>
      </x:c>
      <x:c r="W1827" s="12" t="str">
        <x:v>秒级预测</x:v>
      </x:c>
      <x:c r="X1827" s="12" t="str">
        <x:v>基于路线秒级参数；如录入实测或手动采用秒，预计到达时间可随公式更新</x:v>
      </x:c>
    </x:row>
    <x:row r="1828">
      <x:c r="A1828" s="12" t="str">
        <x:v>S0156-09</x:v>
      </x:c>
      <x:c r="B1828" s="12" t="str">
        <x:v>S0156</x:v>
      </x:c>
      <x:c r="C1828" s="12" t="str">
        <x:v>工作日</x:v>
      </x:c>
      <x:c r="D1828" s="12" t="str">
        <x:v>环线3路</x:v>
      </x:c>
      <x:c r="E1828" s="12" t="str">
        <x:v>第四班</x:v>
      </x:c>
      <x:c r="F1828" s="12" t="n">
        <x:v>9</x:v>
      </x:c>
      <x:c r="G1828" s="12" t="str">
        <x:v>21:50</x:v>
      </x:c>
      <x:c r="H1828" s="12" t="n">
        <x:v>1310</x:v>
      </x:c>
      <x:c r="I1828" s="12" t="str">
        <x:v>研究生宿舍楼</x:v>
      </x:c>
      <x:c r="J1828" s="12" t="str">
        <x:v>研究生宿舍楼发车</x:v>
      </x:c>
      <x:c r="K1828" s="12" t="str">
        <x:v>HX3_NORMAL</x:v>
      </x:c>
      <x:c r="L1828" s="12" t="n">
        <x:v>9</x:v>
      </x:c>
      <x:c r="M1828" s="12" t="str">
        <x:v>HX3_NORMAL|9</x:v>
      </x:c>
      <x:c r="N1828" s="12" t="str">
        <x:v>二食堂</x:v>
      </x:c>
      <x:c r="O1828" s="12" t="n">
        <x:f>IFERROR(INDEX('秒级路线参数_可调整'!$O:$O,MATCH(M1828,'秒级路线参数_可调整'!$A:$A,0)),"")</x:f>
        <x:v>535</x:v>
      </x:c>
      <x:c r="P1828" s="12" t="n">
        <x:f>IF(O1828="","",O1828/86400)</x:f>
        <x:v>0.00619212962962963</x:v>
      </x:c>
      <x:c r="Q1828" s="12" t="n">
        <x:f>IF(O1828="","",(H1828*60+O1828)/86400)</x:f>
        <x:v>0.9159143518518519</x:v>
      </x:c>
      <x:c r="R1828" s="12" t="str">
        <x:f>IF(Q1828="","",TEXT(Q1828,"hh:mm:ss"))</x:f>
        <x:v>21:58:55</x:v>
      </x:c>
      <x:c r="S1828" s="12" t="str">
        <x:v>否</x:v>
      </x:c>
      <x:c r="T1828" s="12" t="str">
        <x:v>否</x:v>
      </x:c>
      <x:c r="U1828" s="12" t="str">
        <x:v>孙五星</x:v>
      </x:c>
      <x:c r="V1828" s="12" t="str">
        <x:v>3号车</x:v>
      </x:c>
      <x:c r="W1828" s="12" t="str">
        <x:v>秒级预测</x:v>
      </x:c>
      <x:c r="X1828" s="12" t="str">
        <x:v>基于路线秒级参数；如录入实测或手动采用秒，预计到达时间可随公式更新</x:v>
      </x:c>
    </x:row>
    <x:row r="1829">
      <x:c r="A1829" s="12" t="str">
        <x:v>S0156-10</x:v>
      </x:c>
      <x:c r="B1829" s="12" t="str">
        <x:v>S0156</x:v>
      </x:c>
      <x:c r="C1829" s="12" t="str">
        <x:v>工作日</x:v>
      </x:c>
      <x:c r="D1829" s="12" t="str">
        <x:v>环线3路</x:v>
      </x:c>
      <x:c r="E1829" s="12" t="str">
        <x:v>第四班</x:v>
      </x:c>
      <x:c r="F1829" s="12" t="n">
        <x:v>9</x:v>
      </x:c>
      <x:c r="G1829" s="12" t="str">
        <x:v>21:50</x:v>
      </x:c>
      <x:c r="H1829" s="12" t="n">
        <x:v>1310</x:v>
      </x:c>
      <x:c r="I1829" s="12" t="str">
        <x:v>研究生宿舍楼</x:v>
      </x:c>
      <x:c r="J1829" s="12" t="str">
        <x:v>研究生宿舍楼发车</x:v>
      </x:c>
      <x:c r="K1829" s="12" t="str">
        <x:v>HX3_NORMAL</x:v>
      </x:c>
      <x:c r="L1829" s="12" t="n">
        <x:v>10</x:v>
      </x:c>
      <x:c r="M1829" s="12" t="str">
        <x:v>HX3_NORMAL|10</x:v>
      </x:c>
      <x:c r="N1829" s="12" t="str">
        <x:v>图书馆</x:v>
      </x:c>
      <x:c r="O1829" s="12" t="n">
        <x:f>IFERROR(INDEX('秒级路线参数_可调整'!$O:$O,MATCH(M1829,'秒级路线参数_可调整'!$A:$A,0)),"")</x:f>
        <x:v>715</x:v>
      </x:c>
      <x:c r="P1829" s="12" t="n">
        <x:f>IF(O1829="","",O1829/86400)</x:f>
        <x:v>0.008275462962962964</x:v>
      </x:c>
      <x:c r="Q1829" s="12" t="n">
        <x:f>IF(O1829="","",(H1829*60+O1829)/86400)</x:f>
        <x:v>0.9179976851851852</x:v>
      </x:c>
      <x:c r="R1829" s="12" t="str">
        <x:f>IF(Q1829="","",TEXT(Q1829,"hh:mm:ss"))</x:f>
        <x:v>22:01:55</x:v>
      </x:c>
      <x:c r="S1829" s="12" t="str">
        <x:v>否</x:v>
      </x:c>
      <x:c r="T1829" s="12" t="str">
        <x:v>否</x:v>
      </x:c>
      <x:c r="U1829" s="12" t="str">
        <x:v>孙五星</x:v>
      </x:c>
      <x:c r="V1829" s="12" t="str">
        <x:v>3号车</x:v>
      </x:c>
      <x:c r="W1829" s="12" t="str">
        <x:v>秒级预测</x:v>
      </x:c>
      <x:c r="X1829" s="12" t="str">
        <x:v>基于路线秒级参数；如录入实测或手动采用秒，预计到达时间可随公式更新</x:v>
      </x:c>
    </x:row>
    <x:row r="1830">
      <x:c r="A1830" s="12" t="str">
        <x:v>S0156-11</x:v>
      </x:c>
      <x:c r="B1830" s="12" t="str">
        <x:v>S0156</x:v>
      </x:c>
      <x:c r="C1830" s="12" t="str">
        <x:v>工作日</x:v>
      </x:c>
      <x:c r="D1830" s="12" t="str">
        <x:v>环线3路</x:v>
      </x:c>
      <x:c r="E1830" s="12" t="str">
        <x:v>第四班</x:v>
      </x:c>
      <x:c r="F1830" s="12" t="n">
        <x:v>9</x:v>
      </x:c>
      <x:c r="G1830" s="12" t="str">
        <x:v>21:50</x:v>
      </x:c>
      <x:c r="H1830" s="12" t="n">
        <x:v>1310</x:v>
      </x:c>
      <x:c r="I1830" s="12" t="str">
        <x:v>研究生宿舍楼</x:v>
      </x:c>
      <x:c r="J1830" s="12" t="str">
        <x:v>研究生宿舍楼发车</x:v>
      </x:c>
      <x:c r="K1830" s="12" t="str">
        <x:v>HX3_NORMAL</x:v>
      </x:c>
      <x:c r="L1830" s="12" t="n">
        <x:v>11</x:v>
      </x:c>
      <x:c r="M1830" s="12" t="str">
        <x:v>HX3_NORMAL|11</x:v>
      </x:c>
      <x:c r="N1830" s="12" t="str">
        <x:v>305教学楼</x:v>
      </x:c>
      <x:c r="O1830" s="12" t="n">
        <x:f>IFERROR(INDEX('秒级路线参数_可调整'!$O:$O,MATCH(M1830,'秒级路线参数_可调整'!$A:$A,0)),"")</x:f>
        <x:v>775</x:v>
      </x:c>
      <x:c r="P1830" s="12" t="n">
        <x:f>IF(O1830="","",O1830/86400)</x:f>
        <x:v>0.008969907407407407</x:v>
      </x:c>
      <x:c r="Q1830" s="12" t="n">
        <x:f>IF(O1830="","",(H1830*60+O1830)/86400)</x:f>
        <x:v>0.9186921296296297</x:v>
      </x:c>
      <x:c r="R1830" s="12" t="str">
        <x:f>IF(Q1830="","",TEXT(Q1830,"hh:mm:ss"))</x:f>
        <x:v>22:02:55</x:v>
      </x:c>
      <x:c r="S1830" s="12" t="str">
        <x:v>否</x:v>
      </x:c>
      <x:c r="T1830" s="12" t="str">
        <x:v>否</x:v>
      </x:c>
      <x:c r="U1830" s="12" t="str">
        <x:v>孙五星</x:v>
      </x:c>
      <x:c r="V1830" s="12" t="str">
        <x:v>3号车</x:v>
      </x:c>
      <x:c r="W1830" s="12" t="str">
        <x:v>秒级预测</x:v>
      </x:c>
      <x:c r="X1830" s="12" t="str">
        <x:v>基于路线秒级参数；如录入实测或手动采用秒，预计到达时间可随公式更新</x:v>
      </x:c>
    </x:row>
    <x:row r="1831">
      <x:c r="A1831" s="12" t="str">
        <x:v>S0156-12</x:v>
      </x:c>
      <x:c r="B1831" s="12" t="str">
        <x:v>S0156</x:v>
      </x:c>
      <x:c r="C1831" s="12" t="str">
        <x:v>工作日</x:v>
      </x:c>
      <x:c r="D1831" s="12" t="str">
        <x:v>环线3路</x:v>
      </x:c>
      <x:c r="E1831" s="12" t="str">
        <x:v>第四班</x:v>
      </x:c>
      <x:c r="F1831" s="12" t="n">
        <x:v>9</x:v>
      </x:c>
      <x:c r="G1831" s="12" t="str">
        <x:v>21:50</x:v>
      </x:c>
      <x:c r="H1831" s="12" t="n">
        <x:v>1310</x:v>
      </x:c>
      <x:c r="I1831" s="12" t="str">
        <x:v>研究生宿舍楼</x:v>
      </x:c>
      <x:c r="J1831" s="12" t="str">
        <x:v>研究生宿舍楼发车</x:v>
      </x:c>
      <x:c r="K1831" s="12" t="str">
        <x:v>HX3_NORMAL</x:v>
      </x:c>
      <x:c r="L1831" s="12" t="n">
        <x:v>12</x:v>
      </x:c>
      <x:c r="M1831" s="12" t="str">
        <x:v>HX3_NORMAL|12</x:v>
      </x:c>
      <x:c r="N1831" s="12" t="str">
        <x:v>研究生宿舍楼</x:v>
      </x:c>
      <x:c r="O1831" s="12" t="n">
        <x:f>IFERROR(INDEX('秒级路线参数_可调整'!$O:$O,MATCH(M1831,'秒级路线参数_可调整'!$A:$A,0)),"")</x:f>
        <x:v>840</x:v>
      </x:c>
      <x:c r="P1831" s="12" t="n">
        <x:f>IF(O1831="","",O1831/86400)</x:f>
        <x:v>0.009722222222222222</x:v>
      </x:c>
      <x:c r="Q1831" s="12" t="n">
        <x:f>IF(O1831="","",(H1831*60+O1831)/86400)</x:f>
        <x:v>0.9194444444444444</x:v>
      </x:c>
      <x:c r="R1831" s="12" t="str">
        <x:f>IF(Q1831="","",TEXT(Q1831,"hh:mm:ss"))</x:f>
        <x:v>22:04:00</x:v>
      </x:c>
      <x:c r="S1831" s="12" t="str">
        <x:v>否</x:v>
      </x:c>
      <x:c r="T1831" s="12" t="str">
        <x:v>是</x:v>
      </x:c>
      <x:c r="U1831" s="12" t="str">
        <x:v>孙五星</x:v>
      </x:c>
      <x:c r="V1831" s="12" t="str">
        <x:v>3号车</x:v>
      </x:c>
      <x:c r="W1831" s="12" t="str">
        <x:v>秒级预测</x:v>
      </x:c>
      <x:c r="X1831" s="12" t="str">
        <x:v>基于路线秒级参数；如录入实测或手动采用秒，预计到达时间可随公式更新</x:v>
      </x:c>
    </x:row>
    <x:row r="1832">
      <x:c r="A1832" s="12" t="str">
        <x:v>S0157-01</x:v>
      </x:c>
      <x:c r="B1832" s="12" t="str">
        <x:v>S0157</x:v>
      </x:c>
      <x:c r="C1832" s="12" t="str">
        <x:v>周末/节假日</x:v>
      </x:c>
      <x:c r="D1832" s="12" t="str">
        <x:v>环线2路</x:v>
      </x:c>
      <x:c r="E1832" s="12" t="str">
        <x:v>第一班</x:v>
      </x:c>
      <x:c r="F1832" s="12" t="n">
        <x:v>1</x:v>
      </x:c>
      <x:c r="G1832" s="12" t="str">
        <x:v>8:20</x:v>
      </x:c>
      <x:c r="H1832" s="12" t="n">
        <x:v>500</x:v>
      </x:c>
      <x:c r="I1832" s="12" t="str">
        <x:v>研究生宿舍楼</x:v>
      </x:c>
      <x:c r="J1832" s="12" t="str">
        <x:v>研究生宿舍楼发车</x:v>
      </x:c>
      <x:c r="K1832" s="12" t="str">
        <x:v>HX2_NORMAL</x:v>
      </x:c>
      <x:c r="L1832" s="12" t="n">
        <x:v>1</x:v>
      </x:c>
      <x:c r="M1832" s="12" t="str">
        <x:v>HX2_NORMAL|1</x:v>
      </x:c>
      <x:c r="N1832" s="12" t="str">
        <x:v>研究生宿舍楼</x:v>
      </x:c>
      <x:c r="O1832" s="12" t="n">
        <x:f>IFERROR(INDEX('秒级路线参数_可调整'!$O:$O,MATCH(M1832,'秒级路线参数_可调整'!$A:$A,0)),"")</x:f>
        <x:v>0</x:v>
      </x:c>
      <x:c r="P1832" s="12" t="str">
        <x:f>IF(O1832="","",O1832/86400)</x:f>
      </x:c>
      <x:c r="Q1832" s="12" t="str">
        <x:f>IF(O1832="","",(H1832*60+O1832)/86400)</x:f>
      </x:c>
      <x:c r="R1832" s="12" t="str">
        <x:f>IF(Q1832="","",TEXT(Q1832,"hh:mm:ss"))</x:f>
      </x:c>
      <x:c r="S1832" s="12" t="str">
        <x:v>是</x:v>
      </x:c>
      <x:c r="T1832" s="12" t="str">
        <x:v>否</x:v>
      </x:c>
      <x:c r="U1832" s="12" t="str">
        <x:v>刘晓燕</x:v>
      </x:c>
      <x:c r="V1832" s="12" t="str">
        <x:v>1号车</x:v>
      </x:c>
      <x:c r="W1832" s="12" t="str">
        <x:v>秒级预测</x:v>
      </x:c>
      <x:c r="X1832" s="12" t="str">
        <x:v>基于路线秒级参数；如录入实测或手动采用秒，预计到达时间可随公式更新</x:v>
      </x:c>
    </x:row>
    <x:row r="1833">
      <x:c r="A1833" s="12" t="str">
        <x:v>S0157-02</x:v>
      </x:c>
      <x:c r="B1833" s="12" t="str">
        <x:v>S0157</x:v>
      </x:c>
      <x:c r="C1833" s="12" t="str">
        <x:v>周末/节假日</x:v>
      </x:c>
      <x:c r="D1833" s="12" t="str">
        <x:v>环线2路</x:v>
      </x:c>
      <x:c r="E1833" s="12" t="str">
        <x:v>第一班</x:v>
      </x:c>
      <x:c r="F1833" s="12" t="n">
        <x:v>1</x:v>
      </x:c>
      <x:c r="G1833" s="12" t="str">
        <x:v>8:20</x:v>
      </x:c>
      <x:c r="H1833" s="12" t="n">
        <x:v>500</x:v>
      </x:c>
      <x:c r="I1833" s="12" t="str">
        <x:v>研究生宿舍楼</x:v>
      </x:c>
      <x:c r="J1833" s="12" t="str">
        <x:v>研究生宿舍楼发车</x:v>
      </x:c>
      <x:c r="K1833" s="12" t="str">
        <x:v>HX2_NORMAL</x:v>
      </x:c>
      <x:c r="L1833" s="12" t="n">
        <x:v>2</x:v>
      </x:c>
      <x:c r="M1833" s="12" t="str">
        <x:v>HX2_NORMAL|2</x:v>
      </x:c>
      <x:c r="N1833" s="12" t="str">
        <x:v>一食堂</x:v>
      </x:c>
      <x:c r="O1833" s="12" t="n">
        <x:f>IFERROR(INDEX('秒级路线参数_可调整'!$O:$O,MATCH(M1833,'秒级路线参数_可调整'!$A:$A,0)),"")</x:f>
        <x:v>65</x:v>
      </x:c>
      <x:c r="P1833" s="12" t="n">
        <x:f>IF(O1833="","",O1833/86400)</x:f>
        <x:v>0.0007523148148148148</x:v>
      </x:c>
      <x:c r="Q1833" s="12" t="n">
        <x:f>IF(O1833="","",(H1833*60+O1833)/86400)</x:f>
        <x:v>0.347974537037037</x:v>
      </x:c>
      <x:c r="R1833" s="12" t="str">
        <x:f>IF(Q1833="","",TEXT(Q1833,"hh:mm:ss"))</x:f>
        <x:v>08:21:05</x:v>
      </x:c>
      <x:c r="S1833" s="12" t="str">
        <x:v>否</x:v>
      </x:c>
      <x:c r="T1833" s="12" t="str">
        <x:v>否</x:v>
      </x:c>
      <x:c r="U1833" s="12" t="str">
        <x:v>刘晓燕</x:v>
      </x:c>
      <x:c r="V1833" s="12" t="str">
        <x:v>1号车</x:v>
      </x:c>
      <x:c r="W1833" s="12" t="str">
        <x:v>秒级预测</x:v>
      </x:c>
      <x:c r="X1833" s="12" t="str">
        <x:v>基于路线秒级参数；如录入实测或手动采用秒，预计到达时间可随公式更新</x:v>
      </x:c>
    </x:row>
    <x:row r="1834">
      <x:c r="A1834" s="12" t="str">
        <x:v>S0157-03</x:v>
      </x:c>
      <x:c r="B1834" s="12" t="str">
        <x:v>S0157</x:v>
      </x:c>
      <x:c r="C1834" s="12" t="str">
        <x:v>周末/节假日</x:v>
      </x:c>
      <x:c r="D1834" s="12" t="str">
        <x:v>环线2路</x:v>
      </x:c>
      <x:c r="E1834" s="12" t="str">
        <x:v>第一班</x:v>
      </x:c>
      <x:c r="F1834" s="12" t="n">
        <x:v>1</x:v>
      </x:c>
      <x:c r="G1834" s="12" t="str">
        <x:v>8:20</x:v>
      </x:c>
      <x:c r="H1834" s="12" t="n">
        <x:v>500</x:v>
      </x:c>
      <x:c r="I1834" s="12" t="str">
        <x:v>研究生宿舍楼</x:v>
      </x:c>
      <x:c r="J1834" s="12" t="str">
        <x:v>研究生宿舍楼发车</x:v>
      </x:c>
      <x:c r="K1834" s="12" t="str">
        <x:v>HX2_NORMAL</x:v>
      </x:c>
      <x:c r="L1834" s="12" t="n">
        <x:v>3</x:v>
      </x:c>
      <x:c r="M1834" s="12" t="str">
        <x:v>HX2_NORMAL|3</x:v>
      </x:c>
      <x:c r="N1834" s="12" t="str">
        <x:v>门诊部</x:v>
      </x:c>
      <x:c r="O1834" s="12" t="n">
        <x:f>IFERROR(INDEX('秒级路线参数_可调整'!$O:$O,MATCH(M1834,'秒级路线参数_可调整'!$A:$A,0)),"")</x:f>
        <x:v>120</x:v>
      </x:c>
      <x:c r="P1834" s="12" t="n">
        <x:f>IF(O1834="","",O1834/86400)</x:f>
        <x:v>0.001388888888888889</x:v>
      </x:c>
      <x:c r="Q1834" s="12" t="n">
        <x:f>IF(O1834="","",(H1834*60+O1834)/86400)</x:f>
        <x:v>0.3486111111111111</x:v>
      </x:c>
      <x:c r="R1834" s="12" t="str">
        <x:f>IF(Q1834="","",TEXT(Q1834,"hh:mm:ss"))</x:f>
        <x:v>08:22:00</x:v>
      </x:c>
      <x:c r="S1834" s="12" t="str">
        <x:v>否</x:v>
      </x:c>
      <x:c r="T1834" s="12" t="str">
        <x:v>否</x:v>
      </x:c>
      <x:c r="U1834" s="12" t="str">
        <x:v>刘晓燕</x:v>
      </x:c>
      <x:c r="V1834" s="12" t="str">
        <x:v>1号车</x:v>
      </x:c>
      <x:c r="W1834" s="12" t="str">
        <x:v>秒级预测</x:v>
      </x:c>
      <x:c r="X1834" s="12" t="str">
        <x:v>基于路线秒级参数；如录入实测或手动采用秒，预计到达时间可随公式更新</x:v>
      </x:c>
    </x:row>
    <x:row r="1835">
      <x:c r="A1835" s="12" t="str">
        <x:v>S0157-04</x:v>
      </x:c>
      <x:c r="B1835" s="12" t="str">
        <x:v>S0157</x:v>
      </x:c>
      <x:c r="C1835" s="12" t="str">
        <x:v>周末/节假日</x:v>
      </x:c>
      <x:c r="D1835" s="12" t="str">
        <x:v>环线2路</x:v>
      </x:c>
      <x:c r="E1835" s="12" t="str">
        <x:v>第一班</x:v>
      </x:c>
      <x:c r="F1835" s="12" t="n">
        <x:v>1</x:v>
      </x:c>
      <x:c r="G1835" s="12" t="str">
        <x:v>8:20</x:v>
      </x:c>
      <x:c r="H1835" s="12" t="n">
        <x:v>500</x:v>
      </x:c>
      <x:c r="I1835" s="12" t="str">
        <x:v>研究生宿舍楼</x:v>
      </x:c>
      <x:c r="J1835" s="12" t="str">
        <x:v>研究生宿舍楼发车</x:v>
      </x:c>
      <x:c r="K1835" s="12" t="str">
        <x:v>HX2_NORMAL</x:v>
      </x:c>
      <x:c r="L1835" s="12" t="n">
        <x:v>4</x:v>
      </x:c>
      <x:c r="M1835" s="12" t="str">
        <x:v>HX2_NORMAL|4</x:v>
      </x:c>
      <x:c r="N1835" s="12" t="str">
        <x:v>1号宿舍楼</x:v>
      </x:c>
      <x:c r="O1835" s="12" t="n">
        <x:f>IFERROR(INDEX('秒级路线参数_可调整'!$O:$O,MATCH(M1835,'秒级路线参数_可调整'!$A:$A,0)),"")</x:f>
        <x:v>165</x:v>
      </x:c>
      <x:c r="P1835" s="12" t="n">
        <x:f>IF(O1835="","",O1835/86400)</x:f>
        <x:v>0.0019097222222222222</x:v>
      </x:c>
      <x:c r="Q1835" s="12" t="n">
        <x:f>IF(O1835="","",(H1835*60+O1835)/86400)</x:f>
        <x:v>0.34913194444444445</x:v>
      </x:c>
      <x:c r="R1835" s="12" t="str">
        <x:f>IF(Q1835="","",TEXT(Q1835,"hh:mm:ss"))</x:f>
        <x:v>08:22:45</x:v>
      </x:c>
      <x:c r="S1835" s="12" t="str">
        <x:v>否</x:v>
      </x:c>
      <x:c r="T1835" s="12" t="str">
        <x:v>否</x:v>
      </x:c>
      <x:c r="U1835" s="12" t="str">
        <x:v>刘晓燕</x:v>
      </x:c>
      <x:c r="V1835" s="12" t="str">
        <x:v>1号车</x:v>
      </x:c>
      <x:c r="W1835" s="12" t="str">
        <x:v>秒级预测</x:v>
      </x:c>
      <x:c r="X1835" s="12" t="str">
        <x:v>基于路线秒级参数；如录入实测或手动采用秒，预计到达时间可随公式更新</x:v>
      </x:c>
    </x:row>
    <x:row r="1836">
      <x:c r="A1836" s="12" t="str">
        <x:v>S0157-05</x:v>
      </x:c>
      <x:c r="B1836" s="12" t="str">
        <x:v>S0157</x:v>
      </x:c>
      <x:c r="C1836" s="12" t="str">
        <x:v>周末/节假日</x:v>
      </x:c>
      <x:c r="D1836" s="12" t="str">
        <x:v>环线2路</x:v>
      </x:c>
      <x:c r="E1836" s="12" t="str">
        <x:v>第一班</x:v>
      </x:c>
      <x:c r="F1836" s="12" t="n">
        <x:v>1</x:v>
      </x:c>
      <x:c r="G1836" s="12" t="str">
        <x:v>8:20</x:v>
      </x:c>
      <x:c r="H1836" s="12" t="n">
        <x:v>500</x:v>
      </x:c>
      <x:c r="I1836" s="12" t="str">
        <x:v>研究生宿舍楼</x:v>
      </x:c>
      <x:c r="J1836" s="12" t="str">
        <x:v>研究生宿舍楼发车</x:v>
      </x:c>
      <x:c r="K1836" s="12" t="str">
        <x:v>HX2_NORMAL</x:v>
      </x:c>
      <x:c r="L1836" s="12" t="n">
        <x:v>5</x:v>
      </x:c>
      <x:c r="M1836" s="12" t="str">
        <x:v>HX2_NORMAL|5</x:v>
      </x:c>
      <x:c r="N1836" s="12" t="str">
        <x:v>水上训练中心</x:v>
      </x:c>
      <x:c r="O1836" s="12" t="n">
        <x:f>IFERROR(INDEX('秒级路线参数_可调整'!$O:$O,MATCH(M1836,'秒级路线参数_可调整'!$A:$A,0)),"")</x:f>
        <x:v>250</x:v>
      </x:c>
      <x:c r="P1836" s="12" t="n">
        <x:f>IF(O1836="","",O1836/86400)</x:f>
        <x:v>0.0028935185185185184</x:v>
      </x:c>
      <x:c r="Q1836" s="12" t="n">
        <x:f>IF(O1836="","",(H1836*60+O1836)/86400)</x:f>
        <x:v>0.35011574074074076</x:v>
      </x:c>
      <x:c r="R1836" s="12" t="str">
        <x:f>IF(Q1836="","",TEXT(Q1836,"hh:mm:ss"))</x:f>
        <x:v>08:24:10</x:v>
      </x:c>
      <x:c r="S1836" s="12" t="str">
        <x:v>否</x:v>
      </x:c>
      <x:c r="T1836" s="12" t="str">
        <x:v>否</x:v>
      </x:c>
      <x:c r="U1836" s="12" t="str">
        <x:v>刘晓燕</x:v>
      </x:c>
      <x:c r="V1836" s="12" t="str">
        <x:v>1号车</x:v>
      </x:c>
      <x:c r="W1836" s="12" t="str">
        <x:v>秒级预测</x:v>
      </x:c>
      <x:c r="X1836" s="12" t="str">
        <x:v>基于路线秒级参数；如录入实测或手动采用秒，预计到达时间可随公式更新</x:v>
      </x:c>
    </x:row>
    <x:row r="1837">
      <x:c r="A1837" s="12" t="str">
        <x:v>S0157-06</x:v>
      </x:c>
      <x:c r="B1837" s="12" t="str">
        <x:v>S0157</x:v>
      </x:c>
      <x:c r="C1837" s="12" t="str">
        <x:v>周末/节假日</x:v>
      </x:c>
      <x:c r="D1837" s="12" t="str">
        <x:v>环线2路</x:v>
      </x:c>
      <x:c r="E1837" s="12" t="str">
        <x:v>第一班</x:v>
      </x:c>
      <x:c r="F1837" s="12" t="n">
        <x:v>1</x:v>
      </x:c>
      <x:c r="G1837" s="12" t="str">
        <x:v>8:20</x:v>
      </x:c>
      <x:c r="H1837" s="12" t="n">
        <x:v>500</x:v>
      </x:c>
      <x:c r="I1837" s="12" t="str">
        <x:v>研究生宿舍楼</x:v>
      </x:c>
      <x:c r="J1837" s="12" t="str">
        <x:v>研究生宿舍楼发车</x:v>
      </x:c>
      <x:c r="K1837" s="12" t="str">
        <x:v>HX2_NORMAL</x:v>
      </x:c>
      <x:c r="L1837" s="12" t="n">
        <x:v>6</x:v>
      </x:c>
      <x:c r="M1837" s="12" t="str">
        <x:v>HX2_NORMAL|6</x:v>
      </x:c>
      <x:c r="N1837" s="12" t="str">
        <x:v>军体活动中心</x:v>
      </x:c>
      <x:c r="O1837" s="12" t="n">
        <x:f>IFERROR(INDEX('秒级路线参数_可调整'!$O:$O,MATCH(M1837,'秒级路线参数_可调整'!$A:$A,0)),"")</x:f>
        <x:v>315</x:v>
      </x:c>
      <x:c r="P1837" s="12" t="n">
        <x:f>IF(O1837="","",O1837/86400)</x:f>
        <x:v>0.0036458333333333334</x:v>
      </x:c>
      <x:c r="Q1837" s="12" t="n">
        <x:f>IF(O1837="","",(H1837*60+O1837)/86400)</x:f>
        <x:v>0.35086805555555556</x:v>
      </x:c>
      <x:c r="R1837" s="12" t="str">
        <x:f>IF(Q1837="","",TEXT(Q1837,"hh:mm:ss"))</x:f>
        <x:v>08:25:15</x:v>
      </x:c>
      <x:c r="S1837" s="12" t="str">
        <x:v>否</x:v>
      </x:c>
      <x:c r="T1837" s="12" t="str">
        <x:v>否</x:v>
      </x:c>
      <x:c r="U1837" s="12" t="str">
        <x:v>刘晓燕</x:v>
      </x:c>
      <x:c r="V1837" s="12" t="str">
        <x:v>1号车</x:v>
      </x:c>
      <x:c r="W1837" s="12" t="str">
        <x:v>秒级预测</x:v>
      </x:c>
      <x:c r="X1837" s="12" t="str">
        <x:v>基于路线秒级参数；如录入实测或手动采用秒，预计到达时间可随公式更新</x:v>
      </x:c>
    </x:row>
    <x:row r="1838">
      <x:c r="A1838" s="12" t="str">
        <x:v>S0157-07</x:v>
      </x:c>
      <x:c r="B1838" s="12" t="str">
        <x:v>S0157</x:v>
      </x:c>
      <x:c r="C1838" s="12" t="str">
        <x:v>周末/节假日</x:v>
      </x:c>
      <x:c r="D1838" s="12" t="str">
        <x:v>环线2路</x:v>
      </x:c>
      <x:c r="E1838" s="12" t="str">
        <x:v>第一班</x:v>
      </x:c>
      <x:c r="F1838" s="12" t="n">
        <x:v>1</x:v>
      </x:c>
      <x:c r="G1838" s="12" t="str">
        <x:v>8:20</x:v>
      </x:c>
      <x:c r="H1838" s="12" t="n">
        <x:v>500</x:v>
      </x:c>
      <x:c r="I1838" s="12" t="str">
        <x:v>研究生宿舍楼</x:v>
      </x:c>
      <x:c r="J1838" s="12" t="str">
        <x:v>研究生宿舍楼发车</x:v>
      </x:c>
      <x:c r="K1838" s="12" t="str">
        <x:v>HX2_NORMAL</x:v>
      </x:c>
      <x:c r="L1838" s="12" t="n">
        <x:v>7</x:v>
      </x:c>
      <x:c r="M1838" s="12" t="str">
        <x:v>HX2_NORMAL|7</x:v>
      </x:c>
      <x:c r="N1838" s="12" t="str">
        <x:v>二食堂</x:v>
      </x:c>
      <x:c r="O1838" s="12" t="n">
        <x:f>IFERROR(INDEX('秒级路线参数_可调整'!$O:$O,MATCH(M1838,'秒级路线参数_可调整'!$A:$A,0)),"")</x:f>
        <x:v>420</x:v>
      </x:c>
      <x:c r="P1838" s="12" t="n">
        <x:f>IF(O1838="","",O1838/86400)</x:f>
        <x:v>0.004861111111111111</x:v>
      </x:c>
      <x:c r="Q1838" s="12" t="n">
        <x:f>IF(O1838="","",(H1838*60+O1838)/86400)</x:f>
        <x:v>0.35208333333333336</x:v>
      </x:c>
      <x:c r="R1838" s="12" t="str">
        <x:f>IF(Q1838="","",TEXT(Q1838,"hh:mm:ss"))</x:f>
        <x:v>08:27:00</x:v>
      </x:c>
      <x:c r="S1838" s="12" t="str">
        <x:v>否</x:v>
      </x:c>
      <x:c r="T1838" s="12" t="str">
        <x:v>否</x:v>
      </x:c>
      <x:c r="U1838" s="12" t="str">
        <x:v>刘晓燕</x:v>
      </x:c>
      <x:c r="V1838" s="12" t="str">
        <x:v>1号车</x:v>
      </x:c>
      <x:c r="W1838" s="12" t="str">
        <x:v>秒级预测</x:v>
      </x:c>
      <x:c r="X1838" s="12" t="str">
        <x:v>基于路线秒级参数；如录入实测或手动采用秒，预计到达时间可随公式更新</x:v>
      </x:c>
    </x:row>
    <x:row r="1839">
      <x:c r="A1839" s="12" t="str">
        <x:v>S0157-08</x:v>
      </x:c>
      <x:c r="B1839" s="12" t="str">
        <x:v>S0157</x:v>
      </x:c>
      <x:c r="C1839" s="12" t="str">
        <x:v>周末/节假日</x:v>
      </x:c>
      <x:c r="D1839" s="12" t="str">
        <x:v>环线2路</x:v>
      </x:c>
      <x:c r="E1839" s="12" t="str">
        <x:v>第一班</x:v>
      </x:c>
      <x:c r="F1839" s="12" t="n">
        <x:v>1</x:v>
      </x:c>
      <x:c r="G1839" s="12" t="str">
        <x:v>8:20</x:v>
      </x:c>
      <x:c r="H1839" s="12" t="n">
        <x:v>500</x:v>
      </x:c>
      <x:c r="I1839" s="12" t="str">
        <x:v>研究生宿舍楼</x:v>
      </x:c>
      <x:c r="J1839" s="12" t="str">
        <x:v>研究生宿舍楼发车</x:v>
      </x:c>
      <x:c r="K1839" s="12" t="str">
        <x:v>HX2_NORMAL</x:v>
      </x:c>
      <x:c r="L1839" s="12" t="n">
        <x:v>8</x:v>
      </x:c>
      <x:c r="M1839" s="12" t="str">
        <x:v>HX2_NORMAL|8</x:v>
      </x:c>
      <x:c r="N1839" s="12" t="str">
        <x:v>5号宿舍楼</x:v>
      </x:c>
      <x:c r="O1839" s="12" t="n">
        <x:f>IFERROR(INDEX('秒级路线参数_可调整'!$O:$O,MATCH(M1839,'秒级路线参数_可调整'!$A:$A,0)),"")</x:f>
        <x:v>480</x:v>
      </x:c>
      <x:c r="P1839" s="12" t="n">
        <x:f>IF(O1839="","",O1839/86400)</x:f>
        <x:v>0.005555555555555556</x:v>
      </x:c>
      <x:c r="Q1839" s="12" t="n">
        <x:f>IF(O1839="","",(H1839*60+O1839)/86400)</x:f>
        <x:v>0.3527777777777778</x:v>
      </x:c>
      <x:c r="R1839" s="12" t="str">
        <x:f>IF(Q1839="","",TEXT(Q1839,"hh:mm:ss"))</x:f>
        <x:v>08:28:00</x:v>
      </x:c>
      <x:c r="S1839" s="12" t="str">
        <x:v>否</x:v>
      </x:c>
      <x:c r="T1839" s="12" t="str">
        <x:v>否</x:v>
      </x:c>
      <x:c r="U1839" s="12" t="str">
        <x:v>刘晓燕</x:v>
      </x:c>
      <x:c r="V1839" s="12" t="str">
        <x:v>1号车</x:v>
      </x:c>
      <x:c r="W1839" s="12" t="str">
        <x:v>秒级预测</x:v>
      </x:c>
      <x:c r="X1839" s="12" t="str">
        <x:v>基于路线秒级参数；如录入实测或手动采用秒，预计到达时间可随公式更新</x:v>
      </x:c>
    </x:row>
    <x:row r="1840">
      <x:c r="A1840" s="12" t="str">
        <x:v>S0157-09</x:v>
      </x:c>
      <x:c r="B1840" s="12" t="str">
        <x:v>S0157</x:v>
      </x:c>
      <x:c r="C1840" s="12" t="str">
        <x:v>周末/节假日</x:v>
      </x:c>
      <x:c r="D1840" s="12" t="str">
        <x:v>环线2路</x:v>
      </x:c>
      <x:c r="E1840" s="12" t="str">
        <x:v>第一班</x:v>
      </x:c>
      <x:c r="F1840" s="12" t="n">
        <x:v>1</x:v>
      </x:c>
      <x:c r="G1840" s="12" t="str">
        <x:v>8:20</x:v>
      </x:c>
      <x:c r="H1840" s="12" t="n">
        <x:v>500</x:v>
      </x:c>
      <x:c r="I1840" s="12" t="str">
        <x:v>研究生宿舍楼</x:v>
      </x:c>
      <x:c r="J1840" s="12" t="str">
        <x:v>研究生宿舍楼发车</x:v>
      </x:c>
      <x:c r="K1840" s="12" t="str">
        <x:v>HX2_NORMAL</x:v>
      </x:c>
      <x:c r="L1840" s="12" t="n">
        <x:v>9</x:v>
      </x:c>
      <x:c r="M1840" s="12" t="str">
        <x:v>HX2_NORMAL|9</x:v>
      </x:c>
      <x:c r="N1840" s="12" t="str">
        <x:v>305教学楼</x:v>
      </x:c>
      <x:c r="O1840" s="12" t="n">
        <x:f>IFERROR(INDEX('秒级路线参数_可调整'!$O:$O,MATCH(M1840,'秒级路线参数_可调整'!$A:$A,0)),"")</x:f>
        <x:v>535</x:v>
      </x:c>
      <x:c r="P1840" s="12" t="n">
        <x:f>IF(O1840="","",O1840/86400)</x:f>
        <x:v>0.00619212962962963</x:v>
      </x:c>
      <x:c r="Q1840" s="12" t="n">
        <x:f>IF(O1840="","",(H1840*60+O1840)/86400)</x:f>
        <x:v>0.3534143518518518</x:v>
      </x:c>
      <x:c r="R1840" s="12" t="str">
        <x:f>IF(Q1840="","",TEXT(Q1840,"hh:mm:ss"))</x:f>
        <x:v>08:28:55</x:v>
      </x:c>
      <x:c r="S1840" s="12" t="str">
        <x:v>否</x:v>
      </x:c>
      <x:c r="T1840" s="12" t="str">
        <x:v>否</x:v>
      </x:c>
      <x:c r="U1840" s="12" t="str">
        <x:v>刘晓燕</x:v>
      </x:c>
      <x:c r="V1840" s="12" t="str">
        <x:v>1号车</x:v>
      </x:c>
      <x:c r="W1840" s="12" t="str">
        <x:v>秒级预测</x:v>
      </x:c>
      <x:c r="X1840" s="12" t="str">
        <x:v>基于路线秒级参数；如录入实测或手动采用秒，预计到达时间可随公式更新</x:v>
      </x:c>
    </x:row>
    <x:row r="1841">
      <x:c r="A1841" s="12" t="str">
        <x:v>S0157-10</x:v>
      </x:c>
      <x:c r="B1841" s="12" t="str">
        <x:v>S0157</x:v>
      </x:c>
      <x:c r="C1841" s="12" t="str">
        <x:v>周末/节假日</x:v>
      </x:c>
      <x:c r="D1841" s="12" t="str">
        <x:v>环线2路</x:v>
      </x:c>
      <x:c r="E1841" s="12" t="str">
        <x:v>第一班</x:v>
      </x:c>
      <x:c r="F1841" s="12" t="n">
        <x:v>1</x:v>
      </x:c>
      <x:c r="G1841" s="12" t="str">
        <x:v>8:20</x:v>
      </x:c>
      <x:c r="H1841" s="12" t="n">
        <x:v>500</x:v>
      </x:c>
      <x:c r="I1841" s="12" t="str">
        <x:v>研究生宿舍楼</x:v>
      </x:c>
      <x:c r="J1841" s="12" t="str">
        <x:v>研究生宿舍楼发车</x:v>
      </x:c>
      <x:c r="K1841" s="12" t="str">
        <x:v>HX2_NORMAL</x:v>
      </x:c>
      <x:c r="L1841" s="12" t="n">
        <x:v>10</x:v>
      </x:c>
      <x:c r="M1841" s="12" t="str">
        <x:v>HX2_NORMAL|10</x:v>
      </x:c>
      <x:c r="N1841" s="12" t="str">
        <x:v>研究生宿舍楼</x:v>
      </x:c>
      <x:c r="O1841" s="12" t="n">
        <x:f>IFERROR(INDEX('秒级路线参数_可调整'!$O:$O,MATCH(M1841,'秒级路线参数_可调整'!$A:$A,0)),"")</x:f>
        <x:v>715</x:v>
      </x:c>
      <x:c r="P1841" s="12" t="n">
        <x:f>IF(O1841="","",O1841/86400)</x:f>
        <x:v>0.008275462962962964</x:v>
      </x:c>
      <x:c r="Q1841" s="12" t="n">
        <x:f>IF(O1841="","",(H1841*60+O1841)/86400)</x:f>
        <x:v>0.3554976851851852</x:v>
      </x:c>
      <x:c r="R1841" s="12" t="str">
        <x:f>IF(Q1841="","",TEXT(Q1841,"hh:mm:ss"))</x:f>
        <x:v>08:31:55</x:v>
      </x:c>
      <x:c r="S1841" s="12" t="str">
        <x:v>否</x:v>
      </x:c>
      <x:c r="T1841" s="12" t="str">
        <x:v>是</x:v>
      </x:c>
      <x:c r="U1841" s="12" t="str">
        <x:v>刘晓燕</x:v>
      </x:c>
      <x:c r="V1841" s="12" t="str">
        <x:v>1号车</x:v>
      </x:c>
      <x:c r="W1841" s="12" t="str">
        <x:v>秒级预测</x:v>
      </x:c>
      <x:c r="X1841" s="12" t="str">
        <x:v>基于路线秒级参数；如录入实测或手动采用秒，预计到达时间可随公式更新</x:v>
      </x:c>
    </x:row>
    <x:row r="1842">
      <x:c r="A1842" s="12" t="str">
        <x:v>S0158-01</x:v>
      </x:c>
      <x:c r="B1842" s="12" t="str">
        <x:v>S0158</x:v>
      </x:c>
      <x:c r="C1842" s="12" t="str">
        <x:v>周末/节假日</x:v>
      </x:c>
      <x:c r="D1842" s="12" t="str">
        <x:v>环线2路</x:v>
      </x:c>
      <x:c r="E1842" s="12" t="str">
        <x:v>第一班</x:v>
      </x:c>
      <x:c r="F1842" s="12" t="n">
        <x:v>2</x:v>
      </x:c>
      <x:c r="G1842" s="12" t="str">
        <x:v>8:40</x:v>
      </x:c>
      <x:c r="H1842" s="12" t="n">
        <x:v>520</x:v>
      </x:c>
      <x:c r="I1842" s="12" t="str">
        <x:v>研究生宿舍楼</x:v>
      </x:c>
      <x:c r="J1842" s="12" t="str">
        <x:v>研究生宿舍楼发车</x:v>
      </x:c>
      <x:c r="K1842" s="12" t="str">
        <x:v>HX2_NORMAL</x:v>
      </x:c>
      <x:c r="L1842" s="12" t="n">
        <x:v>1</x:v>
      </x:c>
      <x:c r="M1842" s="12" t="str">
        <x:v>HX2_NORMAL|1</x:v>
      </x:c>
      <x:c r="N1842" s="12" t="str">
        <x:v>研究生宿舍楼</x:v>
      </x:c>
      <x:c r="O1842" s="12" t="n">
        <x:f>IFERROR(INDEX('秒级路线参数_可调整'!$O:$O,MATCH(M1842,'秒级路线参数_可调整'!$A:$A,0)),"")</x:f>
        <x:v>0</x:v>
      </x:c>
      <x:c r="P1842" s="12" t="str">
        <x:f>IF(O1842="","",O1842/86400)</x:f>
      </x:c>
      <x:c r="Q1842" s="12" t="str">
        <x:f>IF(O1842="","",(H1842*60+O1842)/86400)</x:f>
      </x:c>
      <x:c r="R1842" s="12" t="str">
        <x:f>IF(Q1842="","",TEXT(Q1842,"hh:mm:ss"))</x:f>
      </x:c>
      <x:c r="S1842" s="12" t="str">
        <x:v>是</x:v>
      </x:c>
      <x:c r="T1842" s="12" t="str">
        <x:v>否</x:v>
      </x:c>
      <x:c r="U1842" s="12" t="str">
        <x:v>刘晓燕</x:v>
      </x:c>
      <x:c r="V1842" s="12" t="str">
        <x:v>1号车</x:v>
      </x:c>
      <x:c r="W1842" s="12" t="str">
        <x:v>秒级预测</x:v>
      </x:c>
      <x:c r="X1842" s="12" t="str">
        <x:v>基于路线秒级参数；如录入实测或手动采用秒，预计到达时间可随公式更新</x:v>
      </x:c>
    </x:row>
    <x:row r="1843">
      <x:c r="A1843" s="12" t="str">
        <x:v>S0158-02</x:v>
      </x:c>
      <x:c r="B1843" s="12" t="str">
        <x:v>S0158</x:v>
      </x:c>
      <x:c r="C1843" s="12" t="str">
        <x:v>周末/节假日</x:v>
      </x:c>
      <x:c r="D1843" s="12" t="str">
        <x:v>环线2路</x:v>
      </x:c>
      <x:c r="E1843" s="12" t="str">
        <x:v>第一班</x:v>
      </x:c>
      <x:c r="F1843" s="12" t="n">
        <x:v>2</x:v>
      </x:c>
      <x:c r="G1843" s="12" t="str">
        <x:v>8:40</x:v>
      </x:c>
      <x:c r="H1843" s="12" t="n">
        <x:v>520</x:v>
      </x:c>
      <x:c r="I1843" s="12" t="str">
        <x:v>研究生宿舍楼</x:v>
      </x:c>
      <x:c r="J1843" s="12" t="str">
        <x:v>研究生宿舍楼发车</x:v>
      </x:c>
      <x:c r="K1843" s="12" t="str">
        <x:v>HX2_NORMAL</x:v>
      </x:c>
      <x:c r="L1843" s="12" t="n">
        <x:v>2</x:v>
      </x:c>
      <x:c r="M1843" s="12" t="str">
        <x:v>HX2_NORMAL|2</x:v>
      </x:c>
      <x:c r="N1843" s="12" t="str">
        <x:v>一食堂</x:v>
      </x:c>
      <x:c r="O1843" s="12" t="n">
        <x:f>IFERROR(INDEX('秒级路线参数_可调整'!$O:$O,MATCH(M1843,'秒级路线参数_可调整'!$A:$A,0)),"")</x:f>
        <x:v>65</x:v>
      </x:c>
      <x:c r="P1843" s="12" t="n">
        <x:f>IF(O1843="","",O1843/86400)</x:f>
        <x:v>0.0007523148148148148</x:v>
      </x:c>
      <x:c r="Q1843" s="12" t="n">
        <x:f>IF(O1843="","",(H1843*60+O1843)/86400)</x:f>
        <x:v>0.3618634259259259</x:v>
      </x:c>
      <x:c r="R1843" s="12" t="str">
        <x:f>IF(Q1843="","",TEXT(Q1843,"hh:mm:ss"))</x:f>
        <x:v>08:41:05</x:v>
      </x:c>
      <x:c r="S1843" s="12" t="str">
        <x:v>否</x:v>
      </x:c>
      <x:c r="T1843" s="12" t="str">
        <x:v>否</x:v>
      </x:c>
      <x:c r="U1843" s="12" t="str">
        <x:v>刘晓燕</x:v>
      </x:c>
      <x:c r="V1843" s="12" t="str">
        <x:v>1号车</x:v>
      </x:c>
      <x:c r="W1843" s="12" t="str">
        <x:v>秒级预测</x:v>
      </x:c>
      <x:c r="X1843" s="12" t="str">
        <x:v>基于路线秒级参数；如录入实测或手动采用秒，预计到达时间可随公式更新</x:v>
      </x:c>
    </x:row>
    <x:row r="1844">
      <x:c r="A1844" s="12" t="str">
        <x:v>S0158-03</x:v>
      </x:c>
      <x:c r="B1844" s="12" t="str">
        <x:v>S0158</x:v>
      </x:c>
      <x:c r="C1844" s="12" t="str">
        <x:v>周末/节假日</x:v>
      </x:c>
      <x:c r="D1844" s="12" t="str">
        <x:v>环线2路</x:v>
      </x:c>
      <x:c r="E1844" s="12" t="str">
        <x:v>第一班</x:v>
      </x:c>
      <x:c r="F1844" s="12" t="n">
        <x:v>2</x:v>
      </x:c>
      <x:c r="G1844" s="12" t="str">
        <x:v>8:40</x:v>
      </x:c>
      <x:c r="H1844" s="12" t="n">
        <x:v>520</x:v>
      </x:c>
      <x:c r="I1844" s="12" t="str">
        <x:v>研究生宿舍楼</x:v>
      </x:c>
      <x:c r="J1844" s="12" t="str">
        <x:v>研究生宿舍楼发车</x:v>
      </x:c>
      <x:c r="K1844" s="12" t="str">
        <x:v>HX2_NORMAL</x:v>
      </x:c>
      <x:c r="L1844" s="12" t="n">
        <x:v>3</x:v>
      </x:c>
      <x:c r="M1844" s="12" t="str">
        <x:v>HX2_NORMAL|3</x:v>
      </x:c>
      <x:c r="N1844" s="12" t="str">
        <x:v>门诊部</x:v>
      </x:c>
      <x:c r="O1844" s="12" t="n">
        <x:f>IFERROR(INDEX('秒级路线参数_可调整'!$O:$O,MATCH(M1844,'秒级路线参数_可调整'!$A:$A,0)),"")</x:f>
        <x:v>120</x:v>
      </x:c>
      <x:c r="P1844" s="12" t="n">
        <x:f>IF(O1844="","",O1844/86400)</x:f>
        <x:v>0.001388888888888889</x:v>
      </x:c>
      <x:c r="Q1844" s="12" t="n">
        <x:f>IF(O1844="","",(H1844*60+O1844)/86400)</x:f>
        <x:v>0.3625</x:v>
      </x:c>
      <x:c r="R1844" s="12" t="str">
        <x:f>IF(Q1844="","",TEXT(Q1844,"hh:mm:ss"))</x:f>
        <x:v>08:42:00</x:v>
      </x:c>
      <x:c r="S1844" s="12" t="str">
        <x:v>否</x:v>
      </x:c>
      <x:c r="T1844" s="12" t="str">
        <x:v>否</x:v>
      </x:c>
      <x:c r="U1844" s="12" t="str">
        <x:v>刘晓燕</x:v>
      </x:c>
      <x:c r="V1844" s="12" t="str">
        <x:v>1号车</x:v>
      </x:c>
      <x:c r="W1844" s="12" t="str">
        <x:v>秒级预测</x:v>
      </x:c>
      <x:c r="X1844" s="12" t="str">
        <x:v>基于路线秒级参数；如录入实测或手动采用秒，预计到达时间可随公式更新</x:v>
      </x:c>
    </x:row>
    <x:row r="1845">
      <x:c r="A1845" s="12" t="str">
        <x:v>S0158-04</x:v>
      </x:c>
      <x:c r="B1845" s="12" t="str">
        <x:v>S0158</x:v>
      </x:c>
      <x:c r="C1845" s="12" t="str">
        <x:v>周末/节假日</x:v>
      </x:c>
      <x:c r="D1845" s="12" t="str">
        <x:v>环线2路</x:v>
      </x:c>
      <x:c r="E1845" s="12" t="str">
        <x:v>第一班</x:v>
      </x:c>
      <x:c r="F1845" s="12" t="n">
        <x:v>2</x:v>
      </x:c>
      <x:c r="G1845" s="12" t="str">
        <x:v>8:40</x:v>
      </x:c>
      <x:c r="H1845" s="12" t="n">
        <x:v>520</x:v>
      </x:c>
      <x:c r="I1845" s="12" t="str">
        <x:v>研究生宿舍楼</x:v>
      </x:c>
      <x:c r="J1845" s="12" t="str">
        <x:v>研究生宿舍楼发车</x:v>
      </x:c>
      <x:c r="K1845" s="12" t="str">
        <x:v>HX2_NORMAL</x:v>
      </x:c>
      <x:c r="L1845" s="12" t="n">
        <x:v>4</x:v>
      </x:c>
      <x:c r="M1845" s="12" t="str">
        <x:v>HX2_NORMAL|4</x:v>
      </x:c>
      <x:c r="N1845" s="12" t="str">
        <x:v>1号宿舍楼</x:v>
      </x:c>
      <x:c r="O1845" s="12" t="n">
        <x:f>IFERROR(INDEX('秒级路线参数_可调整'!$O:$O,MATCH(M1845,'秒级路线参数_可调整'!$A:$A,0)),"")</x:f>
        <x:v>165</x:v>
      </x:c>
      <x:c r="P1845" s="12" t="n">
        <x:f>IF(O1845="","",O1845/86400)</x:f>
        <x:v>0.0019097222222222222</x:v>
      </x:c>
      <x:c r="Q1845" s="12" t="n">
        <x:f>IF(O1845="","",(H1845*60+O1845)/86400)</x:f>
        <x:v>0.36302083333333335</x:v>
      </x:c>
      <x:c r="R1845" s="12" t="str">
        <x:f>IF(Q1845="","",TEXT(Q1845,"hh:mm:ss"))</x:f>
        <x:v>08:42:45</x:v>
      </x:c>
      <x:c r="S1845" s="12" t="str">
        <x:v>否</x:v>
      </x:c>
      <x:c r="T1845" s="12" t="str">
        <x:v>否</x:v>
      </x:c>
      <x:c r="U1845" s="12" t="str">
        <x:v>刘晓燕</x:v>
      </x:c>
      <x:c r="V1845" s="12" t="str">
        <x:v>1号车</x:v>
      </x:c>
      <x:c r="W1845" s="12" t="str">
        <x:v>秒级预测</x:v>
      </x:c>
      <x:c r="X1845" s="12" t="str">
        <x:v>基于路线秒级参数；如录入实测或手动采用秒，预计到达时间可随公式更新</x:v>
      </x:c>
    </x:row>
    <x:row r="1846">
      <x:c r="A1846" s="12" t="str">
        <x:v>S0158-05</x:v>
      </x:c>
      <x:c r="B1846" s="12" t="str">
        <x:v>S0158</x:v>
      </x:c>
      <x:c r="C1846" s="12" t="str">
        <x:v>周末/节假日</x:v>
      </x:c>
      <x:c r="D1846" s="12" t="str">
        <x:v>环线2路</x:v>
      </x:c>
      <x:c r="E1846" s="12" t="str">
        <x:v>第一班</x:v>
      </x:c>
      <x:c r="F1846" s="12" t="n">
        <x:v>2</x:v>
      </x:c>
      <x:c r="G1846" s="12" t="str">
        <x:v>8:40</x:v>
      </x:c>
      <x:c r="H1846" s="12" t="n">
        <x:v>520</x:v>
      </x:c>
      <x:c r="I1846" s="12" t="str">
        <x:v>研究生宿舍楼</x:v>
      </x:c>
      <x:c r="J1846" s="12" t="str">
        <x:v>研究生宿舍楼发车</x:v>
      </x:c>
      <x:c r="K1846" s="12" t="str">
        <x:v>HX2_NORMAL</x:v>
      </x:c>
      <x:c r="L1846" s="12" t="n">
        <x:v>5</x:v>
      </x:c>
      <x:c r="M1846" s="12" t="str">
        <x:v>HX2_NORMAL|5</x:v>
      </x:c>
      <x:c r="N1846" s="12" t="str">
        <x:v>水上训练中心</x:v>
      </x:c>
      <x:c r="O1846" s="12" t="n">
        <x:f>IFERROR(INDEX('秒级路线参数_可调整'!$O:$O,MATCH(M1846,'秒级路线参数_可调整'!$A:$A,0)),"")</x:f>
        <x:v>250</x:v>
      </x:c>
      <x:c r="P1846" s="12" t="n">
        <x:f>IF(O1846="","",O1846/86400)</x:f>
        <x:v>0.0028935185185185184</x:v>
      </x:c>
      <x:c r="Q1846" s="12" t="n">
        <x:f>IF(O1846="","",(H1846*60+O1846)/86400)</x:f>
        <x:v>0.36400462962962965</x:v>
      </x:c>
      <x:c r="R1846" s="12" t="str">
        <x:f>IF(Q1846="","",TEXT(Q1846,"hh:mm:ss"))</x:f>
        <x:v>08:44:10</x:v>
      </x:c>
      <x:c r="S1846" s="12" t="str">
        <x:v>否</x:v>
      </x:c>
      <x:c r="T1846" s="12" t="str">
        <x:v>否</x:v>
      </x:c>
      <x:c r="U1846" s="12" t="str">
        <x:v>刘晓燕</x:v>
      </x:c>
      <x:c r="V1846" s="12" t="str">
        <x:v>1号车</x:v>
      </x:c>
      <x:c r="W1846" s="12" t="str">
        <x:v>秒级预测</x:v>
      </x:c>
      <x:c r="X1846" s="12" t="str">
        <x:v>基于路线秒级参数；如录入实测或手动采用秒，预计到达时间可随公式更新</x:v>
      </x:c>
    </x:row>
    <x:row r="1847">
      <x:c r="A1847" s="12" t="str">
        <x:v>S0158-06</x:v>
      </x:c>
      <x:c r="B1847" s="12" t="str">
        <x:v>S0158</x:v>
      </x:c>
      <x:c r="C1847" s="12" t="str">
        <x:v>周末/节假日</x:v>
      </x:c>
      <x:c r="D1847" s="12" t="str">
        <x:v>环线2路</x:v>
      </x:c>
      <x:c r="E1847" s="12" t="str">
        <x:v>第一班</x:v>
      </x:c>
      <x:c r="F1847" s="12" t="n">
        <x:v>2</x:v>
      </x:c>
      <x:c r="G1847" s="12" t="str">
        <x:v>8:40</x:v>
      </x:c>
      <x:c r="H1847" s="12" t="n">
        <x:v>520</x:v>
      </x:c>
      <x:c r="I1847" s="12" t="str">
        <x:v>研究生宿舍楼</x:v>
      </x:c>
      <x:c r="J1847" s="12" t="str">
        <x:v>研究生宿舍楼发车</x:v>
      </x:c>
      <x:c r="K1847" s="12" t="str">
        <x:v>HX2_NORMAL</x:v>
      </x:c>
      <x:c r="L1847" s="12" t="n">
        <x:v>6</x:v>
      </x:c>
      <x:c r="M1847" s="12" t="str">
        <x:v>HX2_NORMAL|6</x:v>
      </x:c>
      <x:c r="N1847" s="12" t="str">
        <x:v>军体活动中心</x:v>
      </x:c>
      <x:c r="O1847" s="12" t="n">
        <x:f>IFERROR(INDEX('秒级路线参数_可调整'!$O:$O,MATCH(M1847,'秒级路线参数_可调整'!$A:$A,0)),"")</x:f>
        <x:v>315</x:v>
      </x:c>
      <x:c r="P1847" s="12" t="n">
        <x:f>IF(O1847="","",O1847/86400)</x:f>
        <x:v>0.0036458333333333334</x:v>
      </x:c>
      <x:c r="Q1847" s="12" t="n">
        <x:f>IF(O1847="","",(H1847*60+O1847)/86400)</x:f>
        <x:v>0.36475694444444445</x:v>
      </x:c>
      <x:c r="R1847" s="12" t="str">
        <x:f>IF(Q1847="","",TEXT(Q1847,"hh:mm:ss"))</x:f>
        <x:v>08:45:15</x:v>
      </x:c>
      <x:c r="S1847" s="12" t="str">
        <x:v>否</x:v>
      </x:c>
      <x:c r="T1847" s="12" t="str">
        <x:v>否</x:v>
      </x:c>
      <x:c r="U1847" s="12" t="str">
        <x:v>刘晓燕</x:v>
      </x:c>
      <x:c r="V1847" s="12" t="str">
        <x:v>1号车</x:v>
      </x:c>
      <x:c r="W1847" s="12" t="str">
        <x:v>秒级预测</x:v>
      </x:c>
      <x:c r="X1847" s="12" t="str">
        <x:v>基于路线秒级参数；如录入实测或手动采用秒，预计到达时间可随公式更新</x:v>
      </x:c>
    </x:row>
    <x:row r="1848">
      <x:c r="A1848" s="12" t="str">
        <x:v>S0158-07</x:v>
      </x:c>
      <x:c r="B1848" s="12" t="str">
        <x:v>S0158</x:v>
      </x:c>
      <x:c r="C1848" s="12" t="str">
        <x:v>周末/节假日</x:v>
      </x:c>
      <x:c r="D1848" s="12" t="str">
        <x:v>环线2路</x:v>
      </x:c>
      <x:c r="E1848" s="12" t="str">
        <x:v>第一班</x:v>
      </x:c>
      <x:c r="F1848" s="12" t="n">
        <x:v>2</x:v>
      </x:c>
      <x:c r="G1848" s="12" t="str">
        <x:v>8:40</x:v>
      </x:c>
      <x:c r="H1848" s="12" t="n">
        <x:v>520</x:v>
      </x:c>
      <x:c r="I1848" s="12" t="str">
        <x:v>研究生宿舍楼</x:v>
      </x:c>
      <x:c r="J1848" s="12" t="str">
        <x:v>研究生宿舍楼发车</x:v>
      </x:c>
      <x:c r="K1848" s="12" t="str">
        <x:v>HX2_NORMAL</x:v>
      </x:c>
      <x:c r="L1848" s="12" t="n">
        <x:v>7</x:v>
      </x:c>
      <x:c r="M1848" s="12" t="str">
        <x:v>HX2_NORMAL|7</x:v>
      </x:c>
      <x:c r="N1848" s="12" t="str">
        <x:v>二食堂</x:v>
      </x:c>
      <x:c r="O1848" s="12" t="n">
        <x:f>IFERROR(INDEX('秒级路线参数_可调整'!$O:$O,MATCH(M1848,'秒级路线参数_可调整'!$A:$A,0)),"")</x:f>
        <x:v>420</x:v>
      </x:c>
      <x:c r="P1848" s="12" t="n">
        <x:f>IF(O1848="","",O1848/86400)</x:f>
        <x:v>0.004861111111111111</x:v>
      </x:c>
      <x:c r="Q1848" s="12" t="n">
        <x:f>IF(O1848="","",(H1848*60+O1848)/86400)</x:f>
        <x:v>0.3659722222222222</x:v>
      </x:c>
      <x:c r="R1848" s="12" t="str">
        <x:f>IF(Q1848="","",TEXT(Q1848,"hh:mm:ss"))</x:f>
        <x:v>08:47:00</x:v>
      </x:c>
      <x:c r="S1848" s="12" t="str">
        <x:v>否</x:v>
      </x:c>
      <x:c r="T1848" s="12" t="str">
        <x:v>否</x:v>
      </x:c>
      <x:c r="U1848" s="12" t="str">
        <x:v>刘晓燕</x:v>
      </x:c>
      <x:c r="V1848" s="12" t="str">
        <x:v>1号车</x:v>
      </x:c>
      <x:c r="W1848" s="12" t="str">
        <x:v>秒级预测</x:v>
      </x:c>
      <x:c r="X1848" s="12" t="str">
        <x:v>基于路线秒级参数；如录入实测或手动采用秒，预计到达时间可随公式更新</x:v>
      </x:c>
    </x:row>
    <x:row r="1849">
      <x:c r="A1849" s="12" t="str">
        <x:v>S0158-08</x:v>
      </x:c>
      <x:c r="B1849" s="12" t="str">
        <x:v>S0158</x:v>
      </x:c>
      <x:c r="C1849" s="12" t="str">
        <x:v>周末/节假日</x:v>
      </x:c>
      <x:c r="D1849" s="12" t="str">
        <x:v>环线2路</x:v>
      </x:c>
      <x:c r="E1849" s="12" t="str">
        <x:v>第一班</x:v>
      </x:c>
      <x:c r="F1849" s="12" t="n">
        <x:v>2</x:v>
      </x:c>
      <x:c r="G1849" s="12" t="str">
        <x:v>8:40</x:v>
      </x:c>
      <x:c r="H1849" s="12" t="n">
        <x:v>520</x:v>
      </x:c>
      <x:c r="I1849" s="12" t="str">
        <x:v>研究生宿舍楼</x:v>
      </x:c>
      <x:c r="J1849" s="12" t="str">
        <x:v>研究生宿舍楼发车</x:v>
      </x:c>
      <x:c r="K1849" s="12" t="str">
        <x:v>HX2_NORMAL</x:v>
      </x:c>
      <x:c r="L1849" s="12" t="n">
        <x:v>8</x:v>
      </x:c>
      <x:c r="M1849" s="12" t="str">
        <x:v>HX2_NORMAL|8</x:v>
      </x:c>
      <x:c r="N1849" s="12" t="str">
        <x:v>5号宿舍楼</x:v>
      </x:c>
      <x:c r="O1849" s="12" t="n">
        <x:f>IFERROR(INDEX('秒级路线参数_可调整'!$O:$O,MATCH(M1849,'秒级路线参数_可调整'!$A:$A,0)),"")</x:f>
        <x:v>480</x:v>
      </x:c>
      <x:c r="P1849" s="12" t="n">
        <x:f>IF(O1849="","",O1849/86400)</x:f>
        <x:v>0.005555555555555556</x:v>
      </x:c>
      <x:c r="Q1849" s="12" t="n">
        <x:f>IF(O1849="","",(H1849*60+O1849)/86400)</x:f>
        <x:v>0.36666666666666664</x:v>
      </x:c>
      <x:c r="R1849" s="12" t="str">
        <x:f>IF(Q1849="","",TEXT(Q1849,"hh:mm:ss"))</x:f>
        <x:v>08:48:00</x:v>
      </x:c>
      <x:c r="S1849" s="12" t="str">
        <x:v>否</x:v>
      </x:c>
      <x:c r="T1849" s="12" t="str">
        <x:v>否</x:v>
      </x:c>
      <x:c r="U1849" s="12" t="str">
        <x:v>刘晓燕</x:v>
      </x:c>
      <x:c r="V1849" s="12" t="str">
        <x:v>1号车</x:v>
      </x:c>
      <x:c r="W1849" s="12" t="str">
        <x:v>秒级预测</x:v>
      </x:c>
      <x:c r="X1849" s="12" t="str">
        <x:v>基于路线秒级参数；如录入实测或手动采用秒，预计到达时间可随公式更新</x:v>
      </x:c>
    </x:row>
    <x:row r="1850">
      <x:c r="A1850" s="12" t="str">
        <x:v>S0158-09</x:v>
      </x:c>
      <x:c r="B1850" s="12" t="str">
        <x:v>S0158</x:v>
      </x:c>
      <x:c r="C1850" s="12" t="str">
        <x:v>周末/节假日</x:v>
      </x:c>
      <x:c r="D1850" s="12" t="str">
        <x:v>环线2路</x:v>
      </x:c>
      <x:c r="E1850" s="12" t="str">
        <x:v>第一班</x:v>
      </x:c>
      <x:c r="F1850" s="12" t="n">
        <x:v>2</x:v>
      </x:c>
      <x:c r="G1850" s="12" t="str">
        <x:v>8:40</x:v>
      </x:c>
      <x:c r="H1850" s="12" t="n">
        <x:v>520</x:v>
      </x:c>
      <x:c r="I1850" s="12" t="str">
        <x:v>研究生宿舍楼</x:v>
      </x:c>
      <x:c r="J1850" s="12" t="str">
        <x:v>研究生宿舍楼发车</x:v>
      </x:c>
      <x:c r="K1850" s="12" t="str">
        <x:v>HX2_NORMAL</x:v>
      </x:c>
      <x:c r="L1850" s="12" t="n">
        <x:v>9</x:v>
      </x:c>
      <x:c r="M1850" s="12" t="str">
        <x:v>HX2_NORMAL|9</x:v>
      </x:c>
      <x:c r="N1850" s="12" t="str">
        <x:v>305教学楼</x:v>
      </x:c>
      <x:c r="O1850" s="12" t="n">
        <x:f>IFERROR(INDEX('秒级路线参数_可调整'!$O:$O,MATCH(M1850,'秒级路线参数_可调整'!$A:$A,0)),"")</x:f>
        <x:v>535</x:v>
      </x:c>
      <x:c r="P1850" s="12" t="n">
        <x:f>IF(O1850="","",O1850/86400)</x:f>
        <x:v>0.00619212962962963</x:v>
      </x:c>
      <x:c r="Q1850" s="12" t="n">
        <x:f>IF(O1850="","",(H1850*60+O1850)/86400)</x:f>
        <x:v>0.3673032407407407</x:v>
      </x:c>
      <x:c r="R1850" s="12" t="str">
        <x:f>IF(Q1850="","",TEXT(Q1850,"hh:mm:ss"))</x:f>
        <x:v>08:48:55</x:v>
      </x:c>
      <x:c r="S1850" s="12" t="str">
        <x:v>否</x:v>
      </x:c>
      <x:c r="T1850" s="12" t="str">
        <x:v>否</x:v>
      </x:c>
      <x:c r="U1850" s="12" t="str">
        <x:v>刘晓燕</x:v>
      </x:c>
      <x:c r="V1850" s="12" t="str">
        <x:v>1号车</x:v>
      </x:c>
      <x:c r="W1850" s="12" t="str">
        <x:v>秒级预测</x:v>
      </x:c>
      <x:c r="X1850" s="12" t="str">
        <x:v>基于路线秒级参数；如录入实测或手动采用秒，预计到达时间可随公式更新</x:v>
      </x:c>
    </x:row>
    <x:row r="1851">
      <x:c r="A1851" s="12" t="str">
        <x:v>S0158-10</x:v>
      </x:c>
      <x:c r="B1851" s="12" t="str">
        <x:v>S0158</x:v>
      </x:c>
      <x:c r="C1851" s="12" t="str">
        <x:v>周末/节假日</x:v>
      </x:c>
      <x:c r="D1851" s="12" t="str">
        <x:v>环线2路</x:v>
      </x:c>
      <x:c r="E1851" s="12" t="str">
        <x:v>第一班</x:v>
      </x:c>
      <x:c r="F1851" s="12" t="n">
        <x:v>2</x:v>
      </x:c>
      <x:c r="G1851" s="12" t="str">
        <x:v>8:40</x:v>
      </x:c>
      <x:c r="H1851" s="12" t="n">
        <x:v>520</x:v>
      </x:c>
      <x:c r="I1851" s="12" t="str">
        <x:v>研究生宿舍楼</x:v>
      </x:c>
      <x:c r="J1851" s="12" t="str">
        <x:v>研究生宿舍楼发车</x:v>
      </x:c>
      <x:c r="K1851" s="12" t="str">
        <x:v>HX2_NORMAL</x:v>
      </x:c>
      <x:c r="L1851" s="12" t="n">
        <x:v>10</x:v>
      </x:c>
      <x:c r="M1851" s="12" t="str">
        <x:v>HX2_NORMAL|10</x:v>
      </x:c>
      <x:c r="N1851" s="12" t="str">
        <x:v>研究生宿舍楼</x:v>
      </x:c>
      <x:c r="O1851" s="12" t="n">
        <x:f>IFERROR(INDEX('秒级路线参数_可调整'!$O:$O,MATCH(M1851,'秒级路线参数_可调整'!$A:$A,0)),"")</x:f>
        <x:v>715</x:v>
      </x:c>
      <x:c r="P1851" s="12" t="n">
        <x:f>IF(O1851="","",O1851/86400)</x:f>
        <x:v>0.008275462962962964</x:v>
      </x:c>
      <x:c r="Q1851" s="12" t="n">
        <x:f>IF(O1851="","",(H1851*60+O1851)/86400)</x:f>
        <x:v>0.36938657407407405</x:v>
      </x:c>
      <x:c r="R1851" s="12" t="str">
        <x:f>IF(Q1851="","",TEXT(Q1851,"hh:mm:ss"))</x:f>
        <x:v>08:51:55</x:v>
      </x:c>
      <x:c r="S1851" s="12" t="str">
        <x:v>否</x:v>
      </x:c>
      <x:c r="T1851" s="12" t="str">
        <x:v>是</x:v>
      </x:c>
      <x:c r="U1851" s="12" t="str">
        <x:v>刘晓燕</x:v>
      </x:c>
      <x:c r="V1851" s="12" t="str">
        <x:v>1号车</x:v>
      </x:c>
      <x:c r="W1851" s="12" t="str">
        <x:v>秒级预测</x:v>
      </x:c>
      <x:c r="X1851" s="12" t="str">
        <x:v>基于路线秒级参数；如录入实测或手动采用秒，预计到达时间可随公式更新</x:v>
      </x:c>
    </x:row>
    <x:row r="1852">
      <x:c r="A1852" s="12" t="str">
        <x:v>S0159-01</x:v>
      </x:c>
      <x:c r="B1852" s="12" t="str">
        <x:v>S0159</x:v>
      </x:c>
      <x:c r="C1852" s="12" t="str">
        <x:v>周末/节假日</x:v>
      </x:c>
      <x:c r="D1852" s="12" t="str">
        <x:v>环线2路</x:v>
      </x:c>
      <x:c r="E1852" s="12" t="str">
        <x:v>第一班</x:v>
      </x:c>
      <x:c r="F1852" s="12" t="n">
        <x:v>3</x:v>
      </x:c>
      <x:c r="G1852" s="12" t="str">
        <x:v>9:00</x:v>
      </x:c>
      <x:c r="H1852" s="12" t="n">
        <x:v>540</x:v>
      </x:c>
      <x:c r="I1852" s="12" t="str">
        <x:v>研究生宿舍楼</x:v>
      </x:c>
      <x:c r="J1852" s="12" t="str">
        <x:v>研究生宿舍楼发车</x:v>
      </x:c>
      <x:c r="K1852" s="12" t="str">
        <x:v>HX2_NORMAL</x:v>
      </x:c>
      <x:c r="L1852" s="12" t="n">
        <x:v>1</x:v>
      </x:c>
      <x:c r="M1852" s="12" t="str">
        <x:v>HX2_NORMAL|1</x:v>
      </x:c>
      <x:c r="N1852" s="12" t="str">
        <x:v>研究生宿舍楼</x:v>
      </x:c>
      <x:c r="O1852" s="12" t="n">
        <x:f>IFERROR(INDEX('秒级路线参数_可调整'!$O:$O,MATCH(M1852,'秒级路线参数_可调整'!$A:$A,0)),"")</x:f>
        <x:v>0</x:v>
      </x:c>
      <x:c r="P1852" s="12" t="str">
        <x:f>IF(O1852="","",O1852/86400)</x:f>
      </x:c>
      <x:c r="Q1852" s="12" t="str">
        <x:f>IF(O1852="","",(H1852*60+O1852)/86400)</x:f>
      </x:c>
      <x:c r="R1852" s="12" t="str">
        <x:f>IF(Q1852="","",TEXT(Q1852,"hh:mm:ss"))</x:f>
      </x:c>
      <x:c r="S1852" s="12" t="str">
        <x:v>是</x:v>
      </x:c>
      <x:c r="T1852" s="12" t="str">
        <x:v>否</x:v>
      </x:c>
      <x:c r="U1852" s="12" t="str">
        <x:v>刘晓燕</x:v>
      </x:c>
      <x:c r="V1852" s="12" t="str">
        <x:v>1号车</x:v>
      </x:c>
      <x:c r="W1852" s="12" t="str">
        <x:v>秒级预测</x:v>
      </x:c>
      <x:c r="X1852" s="12" t="str">
        <x:v>基于路线秒级参数；如录入实测或手动采用秒，预计到达时间可随公式更新</x:v>
      </x:c>
    </x:row>
    <x:row r="1853">
      <x:c r="A1853" s="12" t="str">
        <x:v>S0159-02</x:v>
      </x:c>
      <x:c r="B1853" s="12" t="str">
        <x:v>S0159</x:v>
      </x:c>
      <x:c r="C1853" s="12" t="str">
        <x:v>周末/节假日</x:v>
      </x:c>
      <x:c r="D1853" s="12" t="str">
        <x:v>环线2路</x:v>
      </x:c>
      <x:c r="E1853" s="12" t="str">
        <x:v>第一班</x:v>
      </x:c>
      <x:c r="F1853" s="12" t="n">
        <x:v>3</x:v>
      </x:c>
      <x:c r="G1853" s="12" t="str">
        <x:v>9:00</x:v>
      </x:c>
      <x:c r="H1853" s="12" t="n">
        <x:v>540</x:v>
      </x:c>
      <x:c r="I1853" s="12" t="str">
        <x:v>研究生宿舍楼</x:v>
      </x:c>
      <x:c r="J1853" s="12" t="str">
        <x:v>研究生宿舍楼发车</x:v>
      </x:c>
      <x:c r="K1853" s="12" t="str">
        <x:v>HX2_NORMAL</x:v>
      </x:c>
      <x:c r="L1853" s="12" t="n">
        <x:v>2</x:v>
      </x:c>
      <x:c r="M1853" s="12" t="str">
        <x:v>HX2_NORMAL|2</x:v>
      </x:c>
      <x:c r="N1853" s="12" t="str">
        <x:v>一食堂</x:v>
      </x:c>
      <x:c r="O1853" s="12" t="n">
        <x:f>IFERROR(INDEX('秒级路线参数_可调整'!$O:$O,MATCH(M1853,'秒级路线参数_可调整'!$A:$A,0)),"")</x:f>
        <x:v>65</x:v>
      </x:c>
      <x:c r="P1853" s="12" t="n">
        <x:f>IF(O1853="","",O1853/86400)</x:f>
        <x:v>0.0007523148148148148</x:v>
      </x:c>
      <x:c r="Q1853" s="12" t="n">
        <x:f>IF(O1853="","",(H1853*60+O1853)/86400)</x:f>
        <x:v>0.3757523148148148</x:v>
      </x:c>
      <x:c r="R1853" s="12" t="str">
        <x:f>IF(Q1853="","",TEXT(Q1853,"hh:mm:ss"))</x:f>
        <x:v>09:01:05</x:v>
      </x:c>
      <x:c r="S1853" s="12" t="str">
        <x:v>否</x:v>
      </x:c>
      <x:c r="T1853" s="12" t="str">
        <x:v>否</x:v>
      </x:c>
      <x:c r="U1853" s="12" t="str">
        <x:v>刘晓燕</x:v>
      </x:c>
      <x:c r="V1853" s="12" t="str">
        <x:v>1号车</x:v>
      </x:c>
      <x:c r="W1853" s="12" t="str">
        <x:v>秒级预测</x:v>
      </x:c>
      <x:c r="X1853" s="12" t="str">
        <x:v>基于路线秒级参数；如录入实测或手动采用秒，预计到达时间可随公式更新</x:v>
      </x:c>
    </x:row>
    <x:row r="1854">
      <x:c r="A1854" s="12" t="str">
        <x:v>S0159-03</x:v>
      </x:c>
      <x:c r="B1854" s="12" t="str">
        <x:v>S0159</x:v>
      </x:c>
      <x:c r="C1854" s="12" t="str">
        <x:v>周末/节假日</x:v>
      </x:c>
      <x:c r="D1854" s="12" t="str">
        <x:v>环线2路</x:v>
      </x:c>
      <x:c r="E1854" s="12" t="str">
        <x:v>第一班</x:v>
      </x:c>
      <x:c r="F1854" s="12" t="n">
        <x:v>3</x:v>
      </x:c>
      <x:c r="G1854" s="12" t="str">
        <x:v>9:00</x:v>
      </x:c>
      <x:c r="H1854" s="12" t="n">
        <x:v>540</x:v>
      </x:c>
      <x:c r="I1854" s="12" t="str">
        <x:v>研究生宿舍楼</x:v>
      </x:c>
      <x:c r="J1854" s="12" t="str">
        <x:v>研究生宿舍楼发车</x:v>
      </x:c>
      <x:c r="K1854" s="12" t="str">
        <x:v>HX2_NORMAL</x:v>
      </x:c>
      <x:c r="L1854" s="12" t="n">
        <x:v>3</x:v>
      </x:c>
      <x:c r="M1854" s="12" t="str">
        <x:v>HX2_NORMAL|3</x:v>
      </x:c>
      <x:c r="N1854" s="12" t="str">
        <x:v>门诊部</x:v>
      </x:c>
      <x:c r="O1854" s="12" t="n">
        <x:f>IFERROR(INDEX('秒级路线参数_可调整'!$O:$O,MATCH(M1854,'秒级路线参数_可调整'!$A:$A,0)),"")</x:f>
        <x:v>120</x:v>
      </x:c>
      <x:c r="P1854" s="12" t="n">
        <x:f>IF(O1854="","",O1854/86400)</x:f>
        <x:v>0.001388888888888889</x:v>
      </x:c>
      <x:c r="Q1854" s="12" t="n">
        <x:f>IF(O1854="","",(H1854*60+O1854)/86400)</x:f>
        <x:v>0.3763888888888889</x:v>
      </x:c>
      <x:c r="R1854" s="12" t="str">
        <x:f>IF(Q1854="","",TEXT(Q1854,"hh:mm:ss"))</x:f>
        <x:v>09:02:00</x:v>
      </x:c>
      <x:c r="S1854" s="12" t="str">
        <x:v>否</x:v>
      </x:c>
      <x:c r="T1854" s="12" t="str">
        <x:v>否</x:v>
      </x:c>
      <x:c r="U1854" s="12" t="str">
        <x:v>刘晓燕</x:v>
      </x:c>
      <x:c r="V1854" s="12" t="str">
        <x:v>1号车</x:v>
      </x:c>
      <x:c r="W1854" s="12" t="str">
        <x:v>秒级预测</x:v>
      </x:c>
      <x:c r="X1854" s="12" t="str">
        <x:v>基于路线秒级参数；如录入实测或手动采用秒，预计到达时间可随公式更新</x:v>
      </x:c>
    </x:row>
    <x:row r="1855">
      <x:c r="A1855" s="12" t="str">
        <x:v>S0159-04</x:v>
      </x:c>
      <x:c r="B1855" s="12" t="str">
        <x:v>S0159</x:v>
      </x:c>
      <x:c r="C1855" s="12" t="str">
        <x:v>周末/节假日</x:v>
      </x:c>
      <x:c r="D1855" s="12" t="str">
        <x:v>环线2路</x:v>
      </x:c>
      <x:c r="E1855" s="12" t="str">
        <x:v>第一班</x:v>
      </x:c>
      <x:c r="F1855" s="12" t="n">
        <x:v>3</x:v>
      </x:c>
      <x:c r="G1855" s="12" t="str">
        <x:v>9:00</x:v>
      </x:c>
      <x:c r="H1855" s="12" t="n">
        <x:v>540</x:v>
      </x:c>
      <x:c r="I1855" s="12" t="str">
        <x:v>研究生宿舍楼</x:v>
      </x:c>
      <x:c r="J1855" s="12" t="str">
        <x:v>研究生宿舍楼发车</x:v>
      </x:c>
      <x:c r="K1855" s="12" t="str">
        <x:v>HX2_NORMAL</x:v>
      </x:c>
      <x:c r="L1855" s="12" t="n">
        <x:v>4</x:v>
      </x:c>
      <x:c r="M1855" s="12" t="str">
        <x:v>HX2_NORMAL|4</x:v>
      </x:c>
      <x:c r="N1855" s="12" t="str">
        <x:v>1号宿舍楼</x:v>
      </x:c>
      <x:c r="O1855" s="12" t="n">
        <x:f>IFERROR(INDEX('秒级路线参数_可调整'!$O:$O,MATCH(M1855,'秒级路线参数_可调整'!$A:$A,0)),"")</x:f>
        <x:v>165</x:v>
      </x:c>
      <x:c r="P1855" s="12" t="n">
        <x:f>IF(O1855="","",O1855/86400)</x:f>
        <x:v>0.0019097222222222222</x:v>
      </x:c>
      <x:c r="Q1855" s="12" t="n">
        <x:f>IF(O1855="","",(H1855*60+O1855)/86400)</x:f>
        <x:v>0.37690972222222224</x:v>
      </x:c>
      <x:c r="R1855" s="12" t="str">
        <x:f>IF(Q1855="","",TEXT(Q1855,"hh:mm:ss"))</x:f>
        <x:v>09:02:45</x:v>
      </x:c>
      <x:c r="S1855" s="12" t="str">
        <x:v>否</x:v>
      </x:c>
      <x:c r="T1855" s="12" t="str">
        <x:v>否</x:v>
      </x:c>
      <x:c r="U1855" s="12" t="str">
        <x:v>刘晓燕</x:v>
      </x:c>
      <x:c r="V1855" s="12" t="str">
        <x:v>1号车</x:v>
      </x:c>
      <x:c r="W1855" s="12" t="str">
        <x:v>秒级预测</x:v>
      </x:c>
      <x:c r="X1855" s="12" t="str">
        <x:v>基于路线秒级参数；如录入实测或手动采用秒，预计到达时间可随公式更新</x:v>
      </x:c>
    </x:row>
    <x:row r="1856">
      <x:c r="A1856" s="12" t="str">
        <x:v>S0159-05</x:v>
      </x:c>
      <x:c r="B1856" s="12" t="str">
        <x:v>S0159</x:v>
      </x:c>
      <x:c r="C1856" s="12" t="str">
        <x:v>周末/节假日</x:v>
      </x:c>
      <x:c r="D1856" s="12" t="str">
        <x:v>环线2路</x:v>
      </x:c>
      <x:c r="E1856" s="12" t="str">
        <x:v>第一班</x:v>
      </x:c>
      <x:c r="F1856" s="12" t="n">
        <x:v>3</x:v>
      </x:c>
      <x:c r="G1856" s="12" t="str">
        <x:v>9:00</x:v>
      </x:c>
      <x:c r="H1856" s="12" t="n">
        <x:v>540</x:v>
      </x:c>
      <x:c r="I1856" s="12" t="str">
        <x:v>研究生宿舍楼</x:v>
      </x:c>
      <x:c r="J1856" s="12" t="str">
        <x:v>研究生宿舍楼发车</x:v>
      </x:c>
      <x:c r="K1856" s="12" t="str">
        <x:v>HX2_NORMAL</x:v>
      </x:c>
      <x:c r="L1856" s="12" t="n">
        <x:v>5</x:v>
      </x:c>
      <x:c r="M1856" s="12" t="str">
        <x:v>HX2_NORMAL|5</x:v>
      </x:c>
      <x:c r="N1856" s="12" t="str">
        <x:v>水上训练中心</x:v>
      </x:c>
      <x:c r="O1856" s="12" t="n">
        <x:f>IFERROR(INDEX('秒级路线参数_可调整'!$O:$O,MATCH(M1856,'秒级路线参数_可调整'!$A:$A,0)),"")</x:f>
        <x:v>250</x:v>
      </x:c>
      <x:c r="P1856" s="12" t="n">
        <x:f>IF(O1856="","",O1856/86400)</x:f>
        <x:v>0.0028935185185185184</x:v>
      </x:c>
      <x:c r="Q1856" s="12" t="n">
        <x:f>IF(O1856="","",(H1856*60+O1856)/86400)</x:f>
        <x:v>0.37789351851851855</x:v>
      </x:c>
      <x:c r="R1856" s="12" t="str">
        <x:f>IF(Q1856="","",TEXT(Q1856,"hh:mm:ss"))</x:f>
        <x:v>09:04:10</x:v>
      </x:c>
      <x:c r="S1856" s="12" t="str">
        <x:v>否</x:v>
      </x:c>
      <x:c r="T1856" s="12" t="str">
        <x:v>否</x:v>
      </x:c>
      <x:c r="U1856" s="12" t="str">
        <x:v>刘晓燕</x:v>
      </x:c>
      <x:c r="V1856" s="12" t="str">
        <x:v>1号车</x:v>
      </x:c>
      <x:c r="W1856" s="12" t="str">
        <x:v>秒级预测</x:v>
      </x:c>
      <x:c r="X1856" s="12" t="str">
        <x:v>基于路线秒级参数；如录入实测或手动采用秒，预计到达时间可随公式更新</x:v>
      </x:c>
    </x:row>
    <x:row r="1857">
      <x:c r="A1857" s="12" t="str">
        <x:v>S0159-06</x:v>
      </x:c>
      <x:c r="B1857" s="12" t="str">
        <x:v>S0159</x:v>
      </x:c>
      <x:c r="C1857" s="12" t="str">
        <x:v>周末/节假日</x:v>
      </x:c>
      <x:c r="D1857" s="12" t="str">
        <x:v>环线2路</x:v>
      </x:c>
      <x:c r="E1857" s="12" t="str">
        <x:v>第一班</x:v>
      </x:c>
      <x:c r="F1857" s="12" t="n">
        <x:v>3</x:v>
      </x:c>
      <x:c r="G1857" s="12" t="str">
        <x:v>9:00</x:v>
      </x:c>
      <x:c r="H1857" s="12" t="n">
        <x:v>540</x:v>
      </x:c>
      <x:c r="I1857" s="12" t="str">
        <x:v>研究生宿舍楼</x:v>
      </x:c>
      <x:c r="J1857" s="12" t="str">
        <x:v>研究生宿舍楼发车</x:v>
      </x:c>
      <x:c r="K1857" s="12" t="str">
        <x:v>HX2_NORMAL</x:v>
      </x:c>
      <x:c r="L1857" s="12" t="n">
        <x:v>6</x:v>
      </x:c>
      <x:c r="M1857" s="12" t="str">
        <x:v>HX2_NORMAL|6</x:v>
      </x:c>
      <x:c r="N1857" s="12" t="str">
        <x:v>军体活动中心</x:v>
      </x:c>
      <x:c r="O1857" s="12" t="n">
        <x:f>IFERROR(INDEX('秒级路线参数_可调整'!$O:$O,MATCH(M1857,'秒级路线参数_可调整'!$A:$A,0)),"")</x:f>
        <x:v>315</x:v>
      </x:c>
      <x:c r="P1857" s="12" t="n">
        <x:f>IF(O1857="","",O1857/86400)</x:f>
        <x:v>0.0036458333333333334</x:v>
      </x:c>
      <x:c r="Q1857" s="12" t="n">
        <x:f>IF(O1857="","",(H1857*60+O1857)/86400)</x:f>
        <x:v>0.37864583333333335</x:v>
      </x:c>
      <x:c r="R1857" s="12" t="str">
        <x:f>IF(Q1857="","",TEXT(Q1857,"hh:mm:ss"))</x:f>
        <x:v>09:05:15</x:v>
      </x:c>
      <x:c r="S1857" s="12" t="str">
        <x:v>否</x:v>
      </x:c>
      <x:c r="T1857" s="12" t="str">
        <x:v>否</x:v>
      </x:c>
      <x:c r="U1857" s="12" t="str">
        <x:v>刘晓燕</x:v>
      </x:c>
      <x:c r="V1857" s="12" t="str">
        <x:v>1号车</x:v>
      </x:c>
      <x:c r="W1857" s="12" t="str">
        <x:v>秒级预测</x:v>
      </x:c>
      <x:c r="X1857" s="12" t="str">
        <x:v>基于路线秒级参数；如录入实测或手动采用秒，预计到达时间可随公式更新</x:v>
      </x:c>
    </x:row>
    <x:row r="1858">
      <x:c r="A1858" s="12" t="str">
        <x:v>S0159-07</x:v>
      </x:c>
      <x:c r="B1858" s="12" t="str">
        <x:v>S0159</x:v>
      </x:c>
      <x:c r="C1858" s="12" t="str">
        <x:v>周末/节假日</x:v>
      </x:c>
      <x:c r="D1858" s="12" t="str">
        <x:v>环线2路</x:v>
      </x:c>
      <x:c r="E1858" s="12" t="str">
        <x:v>第一班</x:v>
      </x:c>
      <x:c r="F1858" s="12" t="n">
        <x:v>3</x:v>
      </x:c>
      <x:c r="G1858" s="12" t="str">
        <x:v>9:00</x:v>
      </x:c>
      <x:c r="H1858" s="12" t="n">
        <x:v>540</x:v>
      </x:c>
      <x:c r="I1858" s="12" t="str">
        <x:v>研究生宿舍楼</x:v>
      </x:c>
      <x:c r="J1858" s="12" t="str">
        <x:v>研究生宿舍楼发车</x:v>
      </x:c>
      <x:c r="K1858" s="12" t="str">
        <x:v>HX2_NORMAL</x:v>
      </x:c>
      <x:c r="L1858" s="12" t="n">
        <x:v>7</x:v>
      </x:c>
      <x:c r="M1858" s="12" t="str">
        <x:v>HX2_NORMAL|7</x:v>
      </x:c>
      <x:c r="N1858" s="12" t="str">
        <x:v>二食堂</x:v>
      </x:c>
      <x:c r="O1858" s="12" t="n">
        <x:f>IFERROR(INDEX('秒级路线参数_可调整'!$O:$O,MATCH(M1858,'秒级路线参数_可调整'!$A:$A,0)),"")</x:f>
        <x:v>420</x:v>
      </x:c>
      <x:c r="P1858" s="12" t="n">
        <x:f>IF(O1858="","",O1858/86400)</x:f>
        <x:v>0.004861111111111111</x:v>
      </x:c>
      <x:c r="Q1858" s="12" t="n">
        <x:f>IF(O1858="","",(H1858*60+O1858)/86400)</x:f>
        <x:v>0.3798611111111111</x:v>
      </x:c>
      <x:c r="R1858" s="12" t="str">
        <x:f>IF(Q1858="","",TEXT(Q1858,"hh:mm:ss"))</x:f>
        <x:v>09:07:00</x:v>
      </x:c>
      <x:c r="S1858" s="12" t="str">
        <x:v>否</x:v>
      </x:c>
      <x:c r="T1858" s="12" t="str">
        <x:v>否</x:v>
      </x:c>
      <x:c r="U1858" s="12" t="str">
        <x:v>刘晓燕</x:v>
      </x:c>
      <x:c r="V1858" s="12" t="str">
        <x:v>1号车</x:v>
      </x:c>
      <x:c r="W1858" s="12" t="str">
        <x:v>秒级预测</x:v>
      </x:c>
      <x:c r="X1858" s="12" t="str">
        <x:v>基于路线秒级参数；如录入实测或手动采用秒，预计到达时间可随公式更新</x:v>
      </x:c>
    </x:row>
    <x:row r="1859">
      <x:c r="A1859" s="12" t="str">
        <x:v>S0159-08</x:v>
      </x:c>
      <x:c r="B1859" s="12" t="str">
        <x:v>S0159</x:v>
      </x:c>
      <x:c r="C1859" s="12" t="str">
        <x:v>周末/节假日</x:v>
      </x:c>
      <x:c r="D1859" s="12" t="str">
        <x:v>环线2路</x:v>
      </x:c>
      <x:c r="E1859" s="12" t="str">
        <x:v>第一班</x:v>
      </x:c>
      <x:c r="F1859" s="12" t="n">
        <x:v>3</x:v>
      </x:c>
      <x:c r="G1859" s="12" t="str">
        <x:v>9:00</x:v>
      </x:c>
      <x:c r="H1859" s="12" t="n">
        <x:v>540</x:v>
      </x:c>
      <x:c r="I1859" s="12" t="str">
        <x:v>研究生宿舍楼</x:v>
      </x:c>
      <x:c r="J1859" s="12" t="str">
        <x:v>研究生宿舍楼发车</x:v>
      </x:c>
      <x:c r="K1859" s="12" t="str">
        <x:v>HX2_NORMAL</x:v>
      </x:c>
      <x:c r="L1859" s="12" t="n">
        <x:v>8</x:v>
      </x:c>
      <x:c r="M1859" s="12" t="str">
        <x:v>HX2_NORMAL|8</x:v>
      </x:c>
      <x:c r="N1859" s="12" t="str">
        <x:v>5号宿舍楼</x:v>
      </x:c>
      <x:c r="O1859" s="12" t="n">
        <x:f>IFERROR(INDEX('秒级路线参数_可调整'!$O:$O,MATCH(M1859,'秒级路线参数_可调整'!$A:$A,0)),"")</x:f>
        <x:v>480</x:v>
      </x:c>
      <x:c r="P1859" s="12" t="n">
        <x:f>IF(O1859="","",O1859/86400)</x:f>
        <x:v>0.005555555555555556</x:v>
      </x:c>
      <x:c r="Q1859" s="12" t="n">
        <x:f>IF(O1859="","",(H1859*60+O1859)/86400)</x:f>
        <x:v>0.38055555555555554</x:v>
      </x:c>
      <x:c r="R1859" s="12" t="str">
        <x:f>IF(Q1859="","",TEXT(Q1859,"hh:mm:ss"))</x:f>
        <x:v>09:08:00</x:v>
      </x:c>
      <x:c r="S1859" s="12" t="str">
        <x:v>否</x:v>
      </x:c>
      <x:c r="T1859" s="12" t="str">
        <x:v>否</x:v>
      </x:c>
      <x:c r="U1859" s="12" t="str">
        <x:v>刘晓燕</x:v>
      </x:c>
      <x:c r="V1859" s="12" t="str">
        <x:v>1号车</x:v>
      </x:c>
      <x:c r="W1859" s="12" t="str">
        <x:v>秒级预测</x:v>
      </x:c>
      <x:c r="X1859" s="12" t="str">
        <x:v>基于路线秒级参数；如录入实测或手动采用秒，预计到达时间可随公式更新</x:v>
      </x:c>
    </x:row>
    <x:row r="1860">
      <x:c r="A1860" s="12" t="str">
        <x:v>S0159-09</x:v>
      </x:c>
      <x:c r="B1860" s="12" t="str">
        <x:v>S0159</x:v>
      </x:c>
      <x:c r="C1860" s="12" t="str">
        <x:v>周末/节假日</x:v>
      </x:c>
      <x:c r="D1860" s="12" t="str">
        <x:v>环线2路</x:v>
      </x:c>
      <x:c r="E1860" s="12" t="str">
        <x:v>第一班</x:v>
      </x:c>
      <x:c r="F1860" s="12" t="n">
        <x:v>3</x:v>
      </x:c>
      <x:c r="G1860" s="12" t="str">
        <x:v>9:00</x:v>
      </x:c>
      <x:c r="H1860" s="12" t="n">
        <x:v>540</x:v>
      </x:c>
      <x:c r="I1860" s="12" t="str">
        <x:v>研究生宿舍楼</x:v>
      </x:c>
      <x:c r="J1860" s="12" t="str">
        <x:v>研究生宿舍楼发车</x:v>
      </x:c>
      <x:c r="K1860" s="12" t="str">
        <x:v>HX2_NORMAL</x:v>
      </x:c>
      <x:c r="L1860" s="12" t="n">
        <x:v>9</x:v>
      </x:c>
      <x:c r="M1860" s="12" t="str">
        <x:v>HX2_NORMAL|9</x:v>
      </x:c>
      <x:c r="N1860" s="12" t="str">
        <x:v>305教学楼</x:v>
      </x:c>
      <x:c r="O1860" s="12" t="n">
        <x:f>IFERROR(INDEX('秒级路线参数_可调整'!$O:$O,MATCH(M1860,'秒级路线参数_可调整'!$A:$A,0)),"")</x:f>
        <x:v>535</x:v>
      </x:c>
      <x:c r="P1860" s="12" t="n">
        <x:f>IF(O1860="","",O1860/86400)</x:f>
        <x:v>0.00619212962962963</x:v>
      </x:c>
      <x:c r="Q1860" s="12" t="n">
        <x:f>IF(O1860="","",(H1860*60+O1860)/86400)</x:f>
        <x:v>0.3811921296296296</x:v>
      </x:c>
      <x:c r="R1860" s="12" t="str">
        <x:f>IF(Q1860="","",TEXT(Q1860,"hh:mm:ss"))</x:f>
        <x:v>09:08:55</x:v>
      </x:c>
      <x:c r="S1860" s="12" t="str">
        <x:v>否</x:v>
      </x:c>
      <x:c r="T1860" s="12" t="str">
        <x:v>否</x:v>
      </x:c>
      <x:c r="U1860" s="12" t="str">
        <x:v>刘晓燕</x:v>
      </x:c>
      <x:c r="V1860" s="12" t="str">
        <x:v>1号车</x:v>
      </x:c>
      <x:c r="W1860" s="12" t="str">
        <x:v>秒级预测</x:v>
      </x:c>
      <x:c r="X1860" s="12" t="str">
        <x:v>基于路线秒级参数；如录入实测或手动采用秒，预计到达时间可随公式更新</x:v>
      </x:c>
    </x:row>
    <x:row r="1861">
      <x:c r="A1861" s="12" t="str">
        <x:v>S0159-10</x:v>
      </x:c>
      <x:c r="B1861" s="12" t="str">
        <x:v>S0159</x:v>
      </x:c>
      <x:c r="C1861" s="12" t="str">
        <x:v>周末/节假日</x:v>
      </x:c>
      <x:c r="D1861" s="12" t="str">
        <x:v>环线2路</x:v>
      </x:c>
      <x:c r="E1861" s="12" t="str">
        <x:v>第一班</x:v>
      </x:c>
      <x:c r="F1861" s="12" t="n">
        <x:v>3</x:v>
      </x:c>
      <x:c r="G1861" s="12" t="str">
        <x:v>9:00</x:v>
      </x:c>
      <x:c r="H1861" s="12" t="n">
        <x:v>540</x:v>
      </x:c>
      <x:c r="I1861" s="12" t="str">
        <x:v>研究生宿舍楼</x:v>
      </x:c>
      <x:c r="J1861" s="12" t="str">
        <x:v>研究生宿舍楼发车</x:v>
      </x:c>
      <x:c r="K1861" s="12" t="str">
        <x:v>HX2_NORMAL</x:v>
      </x:c>
      <x:c r="L1861" s="12" t="n">
        <x:v>10</x:v>
      </x:c>
      <x:c r="M1861" s="12" t="str">
        <x:v>HX2_NORMAL|10</x:v>
      </x:c>
      <x:c r="N1861" s="12" t="str">
        <x:v>研究生宿舍楼</x:v>
      </x:c>
      <x:c r="O1861" s="12" t="n">
        <x:f>IFERROR(INDEX('秒级路线参数_可调整'!$O:$O,MATCH(M1861,'秒级路线参数_可调整'!$A:$A,0)),"")</x:f>
        <x:v>715</x:v>
      </x:c>
      <x:c r="P1861" s="12" t="n">
        <x:f>IF(O1861="","",O1861/86400)</x:f>
        <x:v>0.008275462962962964</x:v>
      </x:c>
      <x:c r="Q1861" s="12" t="n">
        <x:f>IF(O1861="","",(H1861*60+O1861)/86400)</x:f>
        <x:v>0.38327546296296294</x:v>
      </x:c>
      <x:c r="R1861" s="12" t="str">
        <x:f>IF(Q1861="","",TEXT(Q1861,"hh:mm:ss"))</x:f>
        <x:v>09:11:55</x:v>
      </x:c>
      <x:c r="S1861" s="12" t="str">
        <x:v>否</x:v>
      </x:c>
      <x:c r="T1861" s="12" t="str">
        <x:v>是</x:v>
      </x:c>
      <x:c r="U1861" s="12" t="str">
        <x:v>刘晓燕</x:v>
      </x:c>
      <x:c r="V1861" s="12" t="str">
        <x:v>1号车</x:v>
      </x:c>
      <x:c r="W1861" s="12" t="str">
        <x:v>秒级预测</x:v>
      </x:c>
      <x:c r="X1861" s="12" t="str">
        <x:v>基于路线秒级参数；如录入实测或手动采用秒，预计到达时间可随公式更新</x:v>
      </x:c>
    </x:row>
    <x:row r="1862">
      <x:c r="A1862" s="12" t="str">
        <x:v>S0160-01</x:v>
      </x:c>
      <x:c r="B1862" s="12" t="str">
        <x:v>S0160</x:v>
      </x:c>
      <x:c r="C1862" s="12" t="str">
        <x:v>周末/节假日</x:v>
      </x:c>
      <x:c r="D1862" s="12" t="str">
        <x:v>环线2路</x:v>
      </x:c>
      <x:c r="E1862" s="12" t="str">
        <x:v>第一班</x:v>
      </x:c>
      <x:c r="F1862" s="12" t="n">
        <x:v>4</x:v>
      </x:c>
      <x:c r="G1862" s="12" t="str">
        <x:v>9:20</x:v>
      </x:c>
      <x:c r="H1862" s="12" t="n">
        <x:v>560</x:v>
      </x:c>
      <x:c r="I1862" s="12" t="str">
        <x:v>研究生宿舍楼</x:v>
      </x:c>
      <x:c r="J1862" s="12" t="str">
        <x:v>研究生宿舍楼发车</x:v>
      </x:c>
      <x:c r="K1862" s="12" t="str">
        <x:v>HX2_NORMAL</x:v>
      </x:c>
      <x:c r="L1862" s="12" t="n">
        <x:v>1</x:v>
      </x:c>
      <x:c r="M1862" s="12" t="str">
        <x:v>HX2_NORMAL|1</x:v>
      </x:c>
      <x:c r="N1862" s="12" t="str">
        <x:v>研究生宿舍楼</x:v>
      </x:c>
      <x:c r="O1862" s="12" t="n">
        <x:f>IFERROR(INDEX('秒级路线参数_可调整'!$O:$O,MATCH(M1862,'秒级路线参数_可调整'!$A:$A,0)),"")</x:f>
        <x:v>0</x:v>
      </x:c>
      <x:c r="P1862" s="12" t="str">
        <x:f>IF(O1862="","",O1862/86400)</x:f>
      </x:c>
      <x:c r="Q1862" s="12" t="str">
        <x:f>IF(O1862="","",(H1862*60+O1862)/86400)</x:f>
      </x:c>
      <x:c r="R1862" s="12" t="str">
        <x:f>IF(Q1862="","",TEXT(Q1862,"hh:mm:ss"))</x:f>
      </x:c>
      <x:c r="S1862" s="12" t="str">
        <x:v>是</x:v>
      </x:c>
      <x:c r="T1862" s="12" t="str">
        <x:v>否</x:v>
      </x:c>
      <x:c r="U1862" s="12" t="str">
        <x:v>刘晓燕</x:v>
      </x:c>
      <x:c r="V1862" s="12" t="str">
        <x:v>1号车</x:v>
      </x:c>
      <x:c r="W1862" s="12" t="str">
        <x:v>秒级预测</x:v>
      </x:c>
      <x:c r="X1862" s="12" t="str">
        <x:v>基于路线秒级参数；如录入实测或手动采用秒，预计到达时间可随公式更新</x:v>
      </x:c>
    </x:row>
    <x:row r="1863">
      <x:c r="A1863" s="12" t="str">
        <x:v>S0160-02</x:v>
      </x:c>
      <x:c r="B1863" s="12" t="str">
        <x:v>S0160</x:v>
      </x:c>
      <x:c r="C1863" s="12" t="str">
        <x:v>周末/节假日</x:v>
      </x:c>
      <x:c r="D1863" s="12" t="str">
        <x:v>环线2路</x:v>
      </x:c>
      <x:c r="E1863" s="12" t="str">
        <x:v>第一班</x:v>
      </x:c>
      <x:c r="F1863" s="12" t="n">
        <x:v>4</x:v>
      </x:c>
      <x:c r="G1863" s="12" t="str">
        <x:v>9:20</x:v>
      </x:c>
      <x:c r="H1863" s="12" t="n">
        <x:v>560</x:v>
      </x:c>
      <x:c r="I1863" s="12" t="str">
        <x:v>研究生宿舍楼</x:v>
      </x:c>
      <x:c r="J1863" s="12" t="str">
        <x:v>研究生宿舍楼发车</x:v>
      </x:c>
      <x:c r="K1863" s="12" t="str">
        <x:v>HX2_NORMAL</x:v>
      </x:c>
      <x:c r="L1863" s="12" t="n">
        <x:v>2</x:v>
      </x:c>
      <x:c r="M1863" s="12" t="str">
        <x:v>HX2_NORMAL|2</x:v>
      </x:c>
      <x:c r="N1863" s="12" t="str">
        <x:v>一食堂</x:v>
      </x:c>
      <x:c r="O1863" s="12" t="n">
        <x:f>IFERROR(INDEX('秒级路线参数_可调整'!$O:$O,MATCH(M1863,'秒级路线参数_可调整'!$A:$A,0)),"")</x:f>
        <x:v>65</x:v>
      </x:c>
      <x:c r="P1863" s="12" t="n">
        <x:f>IF(O1863="","",O1863/86400)</x:f>
        <x:v>0.0007523148148148148</x:v>
      </x:c>
      <x:c r="Q1863" s="12" t="n">
        <x:f>IF(O1863="","",(H1863*60+O1863)/86400)</x:f>
        <x:v>0.3896412037037037</x:v>
      </x:c>
      <x:c r="R1863" s="12" t="str">
        <x:f>IF(Q1863="","",TEXT(Q1863,"hh:mm:ss"))</x:f>
        <x:v>09:21:05</x:v>
      </x:c>
      <x:c r="S1863" s="12" t="str">
        <x:v>否</x:v>
      </x:c>
      <x:c r="T1863" s="12" t="str">
        <x:v>否</x:v>
      </x:c>
      <x:c r="U1863" s="12" t="str">
        <x:v>刘晓燕</x:v>
      </x:c>
      <x:c r="V1863" s="12" t="str">
        <x:v>1号车</x:v>
      </x:c>
      <x:c r="W1863" s="12" t="str">
        <x:v>秒级预测</x:v>
      </x:c>
      <x:c r="X1863" s="12" t="str">
        <x:v>基于路线秒级参数；如录入实测或手动采用秒，预计到达时间可随公式更新</x:v>
      </x:c>
    </x:row>
    <x:row r="1864">
      <x:c r="A1864" s="12" t="str">
        <x:v>S0160-03</x:v>
      </x:c>
      <x:c r="B1864" s="12" t="str">
        <x:v>S0160</x:v>
      </x:c>
      <x:c r="C1864" s="12" t="str">
        <x:v>周末/节假日</x:v>
      </x:c>
      <x:c r="D1864" s="12" t="str">
        <x:v>环线2路</x:v>
      </x:c>
      <x:c r="E1864" s="12" t="str">
        <x:v>第一班</x:v>
      </x:c>
      <x:c r="F1864" s="12" t="n">
        <x:v>4</x:v>
      </x:c>
      <x:c r="G1864" s="12" t="str">
        <x:v>9:20</x:v>
      </x:c>
      <x:c r="H1864" s="12" t="n">
        <x:v>560</x:v>
      </x:c>
      <x:c r="I1864" s="12" t="str">
        <x:v>研究生宿舍楼</x:v>
      </x:c>
      <x:c r="J1864" s="12" t="str">
        <x:v>研究生宿舍楼发车</x:v>
      </x:c>
      <x:c r="K1864" s="12" t="str">
        <x:v>HX2_NORMAL</x:v>
      </x:c>
      <x:c r="L1864" s="12" t="n">
        <x:v>3</x:v>
      </x:c>
      <x:c r="M1864" s="12" t="str">
        <x:v>HX2_NORMAL|3</x:v>
      </x:c>
      <x:c r="N1864" s="12" t="str">
        <x:v>门诊部</x:v>
      </x:c>
      <x:c r="O1864" s="12" t="n">
        <x:f>IFERROR(INDEX('秒级路线参数_可调整'!$O:$O,MATCH(M1864,'秒级路线参数_可调整'!$A:$A,0)),"")</x:f>
        <x:v>120</x:v>
      </x:c>
      <x:c r="P1864" s="12" t="n">
        <x:f>IF(O1864="","",O1864/86400)</x:f>
        <x:v>0.001388888888888889</x:v>
      </x:c>
      <x:c r="Q1864" s="12" t="n">
        <x:f>IF(O1864="","",(H1864*60+O1864)/86400)</x:f>
        <x:v>0.3902777777777778</x:v>
      </x:c>
      <x:c r="R1864" s="12" t="str">
        <x:f>IF(Q1864="","",TEXT(Q1864,"hh:mm:ss"))</x:f>
        <x:v>09:22:00</x:v>
      </x:c>
      <x:c r="S1864" s="12" t="str">
        <x:v>否</x:v>
      </x:c>
      <x:c r="T1864" s="12" t="str">
        <x:v>否</x:v>
      </x:c>
      <x:c r="U1864" s="12" t="str">
        <x:v>刘晓燕</x:v>
      </x:c>
      <x:c r="V1864" s="12" t="str">
        <x:v>1号车</x:v>
      </x:c>
      <x:c r="W1864" s="12" t="str">
        <x:v>秒级预测</x:v>
      </x:c>
      <x:c r="X1864" s="12" t="str">
        <x:v>基于路线秒级参数；如录入实测或手动采用秒，预计到达时间可随公式更新</x:v>
      </x:c>
    </x:row>
    <x:row r="1865">
      <x:c r="A1865" s="12" t="str">
        <x:v>S0160-04</x:v>
      </x:c>
      <x:c r="B1865" s="12" t="str">
        <x:v>S0160</x:v>
      </x:c>
      <x:c r="C1865" s="12" t="str">
        <x:v>周末/节假日</x:v>
      </x:c>
      <x:c r="D1865" s="12" t="str">
        <x:v>环线2路</x:v>
      </x:c>
      <x:c r="E1865" s="12" t="str">
        <x:v>第一班</x:v>
      </x:c>
      <x:c r="F1865" s="12" t="n">
        <x:v>4</x:v>
      </x:c>
      <x:c r="G1865" s="12" t="str">
        <x:v>9:20</x:v>
      </x:c>
      <x:c r="H1865" s="12" t="n">
        <x:v>560</x:v>
      </x:c>
      <x:c r="I1865" s="12" t="str">
        <x:v>研究生宿舍楼</x:v>
      </x:c>
      <x:c r="J1865" s="12" t="str">
        <x:v>研究生宿舍楼发车</x:v>
      </x:c>
      <x:c r="K1865" s="12" t="str">
        <x:v>HX2_NORMAL</x:v>
      </x:c>
      <x:c r="L1865" s="12" t="n">
        <x:v>4</x:v>
      </x:c>
      <x:c r="M1865" s="12" t="str">
        <x:v>HX2_NORMAL|4</x:v>
      </x:c>
      <x:c r="N1865" s="12" t="str">
        <x:v>1号宿舍楼</x:v>
      </x:c>
      <x:c r="O1865" s="12" t="n">
        <x:f>IFERROR(INDEX('秒级路线参数_可调整'!$O:$O,MATCH(M1865,'秒级路线参数_可调整'!$A:$A,0)),"")</x:f>
        <x:v>165</x:v>
      </x:c>
      <x:c r="P1865" s="12" t="n">
        <x:f>IF(O1865="","",O1865/86400)</x:f>
        <x:v>0.0019097222222222222</x:v>
      </x:c>
      <x:c r="Q1865" s="12" t="n">
        <x:f>IF(O1865="","",(H1865*60+O1865)/86400)</x:f>
        <x:v>0.39079861111111114</x:v>
      </x:c>
      <x:c r="R1865" s="12" t="str">
        <x:f>IF(Q1865="","",TEXT(Q1865,"hh:mm:ss"))</x:f>
        <x:v>09:22:45</x:v>
      </x:c>
      <x:c r="S1865" s="12" t="str">
        <x:v>否</x:v>
      </x:c>
      <x:c r="T1865" s="12" t="str">
        <x:v>否</x:v>
      </x:c>
      <x:c r="U1865" s="12" t="str">
        <x:v>刘晓燕</x:v>
      </x:c>
      <x:c r="V1865" s="12" t="str">
        <x:v>1号车</x:v>
      </x:c>
      <x:c r="W1865" s="12" t="str">
        <x:v>秒级预测</x:v>
      </x:c>
      <x:c r="X1865" s="12" t="str">
        <x:v>基于路线秒级参数；如录入实测或手动采用秒，预计到达时间可随公式更新</x:v>
      </x:c>
    </x:row>
    <x:row r="1866">
      <x:c r="A1866" s="12" t="str">
        <x:v>S0160-05</x:v>
      </x:c>
      <x:c r="B1866" s="12" t="str">
        <x:v>S0160</x:v>
      </x:c>
      <x:c r="C1866" s="12" t="str">
        <x:v>周末/节假日</x:v>
      </x:c>
      <x:c r="D1866" s="12" t="str">
        <x:v>环线2路</x:v>
      </x:c>
      <x:c r="E1866" s="12" t="str">
        <x:v>第一班</x:v>
      </x:c>
      <x:c r="F1866" s="12" t="n">
        <x:v>4</x:v>
      </x:c>
      <x:c r="G1866" s="12" t="str">
        <x:v>9:20</x:v>
      </x:c>
      <x:c r="H1866" s="12" t="n">
        <x:v>560</x:v>
      </x:c>
      <x:c r="I1866" s="12" t="str">
        <x:v>研究生宿舍楼</x:v>
      </x:c>
      <x:c r="J1866" s="12" t="str">
        <x:v>研究生宿舍楼发车</x:v>
      </x:c>
      <x:c r="K1866" s="12" t="str">
        <x:v>HX2_NORMAL</x:v>
      </x:c>
      <x:c r="L1866" s="12" t="n">
        <x:v>5</x:v>
      </x:c>
      <x:c r="M1866" s="12" t="str">
        <x:v>HX2_NORMAL|5</x:v>
      </x:c>
      <x:c r="N1866" s="12" t="str">
        <x:v>水上训练中心</x:v>
      </x:c>
      <x:c r="O1866" s="12" t="n">
        <x:f>IFERROR(INDEX('秒级路线参数_可调整'!$O:$O,MATCH(M1866,'秒级路线参数_可调整'!$A:$A,0)),"")</x:f>
        <x:v>250</x:v>
      </x:c>
      <x:c r="P1866" s="12" t="n">
        <x:f>IF(O1866="","",O1866/86400)</x:f>
        <x:v>0.0028935185185185184</x:v>
      </x:c>
      <x:c r="Q1866" s="12" t="n">
        <x:f>IF(O1866="","",(H1866*60+O1866)/86400)</x:f>
        <x:v>0.3917824074074074</x:v>
      </x:c>
      <x:c r="R1866" s="12" t="str">
        <x:f>IF(Q1866="","",TEXT(Q1866,"hh:mm:ss"))</x:f>
        <x:v>09:24:10</x:v>
      </x:c>
      <x:c r="S1866" s="12" t="str">
        <x:v>否</x:v>
      </x:c>
      <x:c r="T1866" s="12" t="str">
        <x:v>否</x:v>
      </x:c>
      <x:c r="U1866" s="12" t="str">
        <x:v>刘晓燕</x:v>
      </x:c>
      <x:c r="V1866" s="12" t="str">
        <x:v>1号车</x:v>
      </x:c>
      <x:c r="W1866" s="12" t="str">
        <x:v>秒级预测</x:v>
      </x:c>
      <x:c r="X1866" s="12" t="str">
        <x:v>基于路线秒级参数；如录入实测或手动采用秒，预计到达时间可随公式更新</x:v>
      </x:c>
    </x:row>
    <x:row r="1867">
      <x:c r="A1867" s="12" t="str">
        <x:v>S0160-06</x:v>
      </x:c>
      <x:c r="B1867" s="12" t="str">
        <x:v>S0160</x:v>
      </x:c>
      <x:c r="C1867" s="12" t="str">
        <x:v>周末/节假日</x:v>
      </x:c>
      <x:c r="D1867" s="12" t="str">
        <x:v>环线2路</x:v>
      </x:c>
      <x:c r="E1867" s="12" t="str">
        <x:v>第一班</x:v>
      </x:c>
      <x:c r="F1867" s="12" t="n">
        <x:v>4</x:v>
      </x:c>
      <x:c r="G1867" s="12" t="str">
        <x:v>9:20</x:v>
      </x:c>
      <x:c r="H1867" s="12" t="n">
        <x:v>560</x:v>
      </x:c>
      <x:c r="I1867" s="12" t="str">
        <x:v>研究生宿舍楼</x:v>
      </x:c>
      <x:c r="J1867" s="12" t="str">
        <x:v>研究生宿舍楼发车</x:v>
      </x:c>
      <x:c r="K1867" s="12" t="str">
        <x:v>HX2_NORMAL</x:v>
      </x:c>
      <x:c r="L1867" s="12" t="n">
        <x:v>6</x:v>
      </x:c>
      <x:c r="M1867" s="12" t="str">
        <x:v>HX2_NORMAL|6</x:v>
      </x:c>
      <x:c r="N1867" s="12" t="str">
        <x:v>军体活动中心</x:v>
      </x:c>
      <x:c r="O1867" s="12" t="n">
        <x:f>IFERROR(INDEX('秒级路线参数_可调整'!$O:$O,MATCH(M1867,'秒级路线参数_可调整'!$A:$A,0)),"")</x:f>
        <x:v>315</x:v>
      </x:c>
      <x:c r="P1867" s="12" t="n">
        <x:f>IF(O1867="","",O1867/86400)</x:f>
        <x:v>0.0036458333333333334</x:v>
      </x:c>
      <x:c r="Q1867" s="12" t="n">
        <x:f>IF(O1867="","",(H1867*60+O1867)/86400)</x:f>
        <x:v>0.39253472222222224</x:v>
      </x:c>
      <x:c r="R1867" s="12" t="str">
        <x:f>IF(Q1867="","",TEXT(Q1867,"hh:mm:ss"))</x:f>
        <x:v>09:25:15</x:v>
      </x:c>
      <x:c r="S1867" s="12" t="str">
        <x:v>否</x:v>
      </x:c>
      <x:c r="T1867" s="12" t="str">
        <x:v>否</x:v>
      </x:c>
      <x:c r="U1867" s="12" t="str">
        <x:v>刘晓燕</x:v>
      </x:c>
      <x:c r="V1867" s="12" t="str">
        <x:v>1号车</x:v>
      </x:c>
      <x:c r="W1867" s="12" t="str">
        <x:v>秒级预测</x:v>
      </x:c>
      <x:c r="X1867" s="12" t="str">
        <x:v>基于路线秒级参数；如录入实测或手动采用秒，预计到达时间可随公式更新</x:v>
      </x:c>
    </x:row>
    <x:row r="1868">
      <x:c r="A1868" s="12" t="str">
        <x:v>S0160-07</x:v>
      </x:c>
      <x:c r="B1868" s="12" t="str">
        <x:v>S0160</x:v>
      </x:c>
      <x:c r="C1868" s="12" t="str">
        <x:v>周末/节假日</x:v>
      </x:c>
      <x:c r="D1868" s="12" t="str">
        <x:v>环线2路</x:v>
      </x:c>
      <x:c r="E1868" s="12" t="str">
        <x:v>第一班</x:v>
      </x:c>
      <x:c r="F1868" s="12" t="n">
        <x:v>4</x:v>
      </x:c>
      <x:c r="G1868" s="12" t="str">
        <x:v>9:20</x:v>
      </x:c>
      <x:c r="H1868" s="12" t="n">
        <x:v>560</x:v>
      </x:c>
      <x:c r="I1868" s="12" t="str">
        <x:v>研究生宿舍楼</x:v>
      </x:c>
      <x:c r="J1868" s="12" t="str">
        <x:v>研究生宿舍楼发车</x:v>
      </x:c>
      <x:c r="K1868" s="12" t="str">
        <x:v>HX2_NORMAL</x:v>
      </x:c>
      <x:c r="L1868" s="12" t="n">
        <x:v>7</x:v>
      </x:c>
      <x:c r="M1868" s="12" t="str">
        <x:v>HX2_NORMAL|7</x:v>
      </x:c>
      <x:c r="N1868" s="12" t="str">
        <x:v>二食堂</x:v>
      </x:c>
      <x:c r="O1868" s="12" t="n">
        <x:f>IFERROR(INDEX('秒级路线参数_可调整'!$O:$O,MATCH(M1868,'秒级路线参数_可调整'!$A:$A,0)),"")</x:f>
        <x:v>420</x:v>
      </x:c>
      <x:c r="P1868" s="12" t="n">
        <x:f>IF(O1868="","",O1868/86400)</x:f>
        <x:v>0.004861111111111111</x:v>
      </x:c>
      <x:c r="Q1868" s="12" t="n">
        <x:f>IF(O1868="","",(H1868*60+O1868)/86400)</x:f>
        <x:v>0.39375</x:v>
      </x:c>
      <x:c r="R1868" s="12" t="str">
        <x:f>IF(Q1868="","",TEXT(Q1868,"hh:mm:ss"))</x:f>
        <x:v>09:27:00</x:v>
      </x:c>
      <x:c r="S1868" s="12" t="str">
        <x:v>否</x:v>
      </x:c>
      <x:c r="T1868" s="12" t="str">
        <x:v>否</x:v>
      </x:c>
      <x:c r="U1868" s="12" t="str">
        <x:v>刘晓燕</x:v>
      </x:c>
      <x:c r="V1868" s="12" t="str">
        <x:v>1号车</x:v>
      </x:c>
      <x:c r="W1868" s="12" t="str">
        <x:v>秒级预测</x:v>
      </x:c>
      <x:c r="X1868" s="12" t="str">
        <x:v>基于路线秒级参数；如录入实测或手动采用秒，预计到达时间可随公式更新</x:v>
      </x:c>
    </x:row>
    <x:row r="1869">
      <x:c r="A1869" s="12" t="str">
        <x:v>S0160-08</x:v>
      </x:c>
      <x:c r="B1869" s="12" t="str">
        <x:v>S0160</x:v>
      </x:c>
      <x:c r="C1869" s="12" t="str">
        <x:v>周末/节假日</x:v>
      </x:c>
      <x:c r="D1869" s="12" t="str">
        <x:v>环线2路</x:v>
      </x:c>
      <x:c r="E1869" s="12" t="str">
        <x:v>第一班</x:v>
      </x:c>
      <x:c r="F1869" s="12" t="n">
        <x:v>4</x:v>
      </x:c>
      <x:c r="G1869" s="12" t="str">
        <x:v>9:20</x:v>
      </x:c>
      <x:c r="H1869" s="12" t="n">
        <x:v>560</x:v>
      </x:c>
      <x:c r="I1869" s="12" t="str">
        <x:v>研究生宿舍楼</x:v>
      </x:c>
      <x:c r="J1869" s="12" t="str">
        <x:v>研究生宿舍楼发车</x:v>
      </x:c>
      <x:c r="K1869" s="12" t="str">
        <x:v>HX2_NORMAL</x:v>
      </x:c>
      <x:c r="L1869" s="12" t="n">
        <x:v>8</x:v>
      </x:c>
      <x:c r="M1869" s="12" t="str">
        <x:v>HX2_NORMAL|8</x:v>
      </x:c>
      <x:c r="N1869" s="12" t="str">
        <x:v>5号宿舍楼</x:v>
      </x:c>
      <x:c r="O1869" s="12" t="n">
        <x:f>IFERROR(INDEX('秒级路线参数_可调整'!$O:$O,MATCH(M1869,'秒级路线参数_可调整'!$A:$A,0)),"")</x:f>
        <x:v>480</x:v>
      </x:c>
      <x:c r="P1869" s="12" t="n">
        <x:f>IF(O1869="","",O1869/86400)</x:f>
        <x:v>0.005555555555555556</x:v>
      </x:c>
      <x:c r="Q1869" s="12" t="n">
        <x:f>IF(O1869="","",(H1869*60+O1869)/86400)</x:f>
        <x:v>0.39444444444444443</x:v>
      </x:c>
      <x:c r="R1869" s="12" t="str">
        <x:f>IF(Q1869="","",TEXT(Q1869,"hh:mm:ss"))</x:f>
        <x:v>09:28:00</x:v>
      </x:c>
      <x:c r="S1869" s="12" t="str">
        <x:v>否</x:v>
      </x:c>
      <x:c r="T1869" s="12" t="str">
        <x:v>否</x:v>
      </x:c>
      <x:c r="U1869" s="12" t="str">
        <x:v>刘晓燕</x:v>
      </x:c>
      <x:c r="V1869" s="12" t="str">
        <x:v>1号车</x:v>
      </x:c>
      <x:c r="W1869" s="12" t="str">
        <x:v>秒级预测</x:v>
      </x:c>
      <x:c r="X1869" s="12" t="str">
        <x:v>基于路线秒级参数；如录入实测或手动采用秒，预计到达时间可随公式更新</x:v>
      </x:c>
    </x:row>
    <x:row r="1870">
      <x:c r="A1870" s="12" t="str">
        <x:v>S0160-09</x:v>
      </x:c>
      <x:c r="B1870" s="12" t="str">
        <x:v>S0160</x:v>
      </x:c>
      <x:c r="C1870" s="12" t="str">
        <x:v>周末/节假日</x:v>
      </x:c>
      <x:c r="D1870" s="12" t="str">
        <x:v>环线2路</x:v>
      </x:c>
      <x:c r="E1870" s="12" t="str">
        <x:v>第一班</x:v>
      </x:c>
      <x:c r="F1870" s="12" t="n">
        <x:v>4</x:v>
      </x:c>
      <x:c r="G1870" s="12" t="str">
        <x:v>9:20</x:v>
      </x:c>
      <x:c r="H1870" s="12" t="n">
        <x:v>560</x:v>
      </x:c>
      <x:c r="I1870" s="12" t="str">
        <x:v>研究生宿舍楼</x:v>
      </x:c>
      <x:c r="J1870" s="12" t="str">
        <x:v>研究生宿舍楼发车</x:v>
      </x:c>
      <x:c r="K1870" s="12" t="str">
        <x:v>HX2_NORMAL</x:v>
      </x:c>
      <x:c r="L1870" s="12" t="n">
        <x:v>9</x:v>
      </x:c>
      <x:c r="M1870" s="12" t="str">
        <x:v>HX2_NORMAL|9</x:v>
      </x:c>
      <x:c r="N1870" s="12" t="str">
        <x:v>305教学楼</x:v>
      </x:c>
      <x:c r="O1870" s="12" t="n">
        <x:f>IFERROR(INDEX('秒级路线参数_可调整'!$O:$O,MATCH(M1870,'秒级路线参数_可调整'!$A:$A,0)),"")</x:f>
        <x:v>535</x:v>
      </x:c>
      <x:c r="P1870" s="12" t="n">
        <x:f>IF(O1870="","",O1870/86400)</x:f>
        <x:v>0.00619212962962963</x:v>
      </x:c>
      <x:c r="Q1870" s="12" t="n">
        <x:f>IF(O1870="","",(H1870*60+O1870)/86400)</x:f>
        <x:v>0.3950810185185185</x:v>
      </x:c>
      <x:c r="R1870" s="12" t="str">
        <x:f>IF(Q1870="","",TEXT(Q1870,"hh:mm:ss"))</x:f>
        <x:v>09:28:55</x:v>
      </x:c>
      <x:c r="S1870" s="12" t="str">
        <x:v>否</x:v>
      </x:c>
      <x:c r="T1870" s="12" t="str">
        <x:v>否</x:v>
      </x:c>
      <x:c r="U1870" s="12" t="str">
        <x:v>刘晓燕</x:v>
      </x:c>
      <x:c r="V1870" s="12" t="str">
        <x:v>1号车</x:v>
      </x:c>
      <x:c r="W1870" s="12" t="str">
        <x:v>秒级预测</x:v>
      </x:c>
      <x:c r="X1870" s="12" t="str">
        <x:v>基于路线秒级参数；如录入实测或手动采用秒，预计到达时间可随公式更新</x:v>
      </x:c>
    </x:row>
    <x:row r="1871">
      <x:c r="A1871" s="12" t="str">
        <x:v>S0160-10</x:v>
      </x:c>
      <x:c r="B1871" s="12" t="str">
        <x:v>S0160</x:v>
      </x:c>
      <x:c r="C1871" s="12" t="str">
        <x:v>周末/节假日</x:v>
      </x:c>
      <x:c r="D1871" s="12" t="str">
        <x:v>环线2路</x:v>
      </x:c>
      <x:c r="E1871" s="12" t="str">
        <x:v>第一班</x:v>
      </x:c>
      <x:c r="F1871" s="12" t="n">
        <x:v>4</x:v>
      </x:c>
      <x:c r="G1871" s="12" t="str">
        <x:v>9:20</x:v>
      </x:c>
      <x:c r="H1871" s="12" t="n">
        <x:v>560</x:v>
      </x:c>
      <x:c r="I1871" s="12" t="str">
        <x:v>研究生宿舍楼</x:v>
      </x:c>
      <x:c r="J1871" s="12" t="str">
        <x:v>研究生宿舍楼发车</x:v>
      </x:c>
      <x:c r="K1871" s="12" t="str">
        <x:v>HX2_NORMAL</x:v>
      </x:c>
      <x:c r="L1871" s="12" t="n">
        <x:v>10</x:v>
      </x:c>
      <x:c r="M1871" s="12" t="str">
        <x:v>HX2_NORMAL|10</x:v>
      </x:c>
      <x:c r="N1871" s="12" t="str">
        <x:v>研究生宿舍楼</x:v>
      </x:c>
      <x:c r="O1871" s="12" t="n">
        <x:f>IFERROR(INDEX('秒级路线参数_可调整'!$O:$O,MATCH(M1871,'秒级路线参数_可调整'!$A:$A,0)),"")</x:f>
        <x:v>715</x:v>
      </x:c>
      <x:c r="P1871" s="12" t="n">
        <x:f>IF(O1871="","",O1871/86400)</x:f>
        <x:v>0.008275462962962964</x:v>
      </x:c>
      <x:c r="Q1871" s="12" t="n">
        <x:f>IF(O1871="","",(H1871*60+O1871)/86400)</x:f>
        <x:v>0.39716435185185184</x:v>
      </x:c>
      <x:c r="R1871" s="12" t="str">
        <x:f>IF(Q1871="","",TEXT(Q1871,"hh:mm:ss"))</x:f>
        <x:v>09:31:55</x:v>
      </x:c>
      <x:c r="S1871" s="12" t="str">
        <x:v>否</x:v>
      </x:c>
      <x:c r="T1871" s="12" t="str">
        <x:v>是</x:v>
      </x:c>
      <x:c r="U1871" s="12" t="str">
        <x:v>刘晓燕</x:v>
      </x:c>
      <x:c r="V1871" s="12" t="str">
        <x:v>1号车</x:v>
      </x:c>
      <x:c r="W1871" s="12" t="str">
        <x:v>秒级预测</x:v>
      </x:c>
      <x:c r="X1871" s="12" t="str">
        <x:v>基于路线秒级参数；如录入实测或手动采用秒，预计到达时间可随公式更新</x:v>
      </x:c>
    </x:row>
    <x:row r="1872">
      <x:c r="A1872" s="12" t="str">
        <x:v>S0161-01</x:v>
      </x:c>
      <x:c r="B1872" s="12" t="str">
        <x:v>S0161</x:v>
      </x:c>
      <x:c r="C1872" s="12" t="str">
        <x:v>周末/节假日</x:v>
      </x:c>
      <x:c r="D1872" s="12" t="str">
        <x:v>环线2路</x:v>
      </x:c>
      <x:c r="E1872" s="12" t="str">
        <x:v>第一班</x:v>
      </x:c>
      <x:c r="F1872" s="12" t="n">
        <x:v>5</x:v>
      </x:c>
      <x:c r="G1872" s="12" t="str">
        <x:v>9:40</x:v>
      </x:c>
      <x:c r="H1872" s="12" t="n">
        <x:v>580</x:v>
      </x:c>
      <x:c r="I1872" s="12" t="str">
        <x:v>研究生宿舍楼</x:v>
      </x:c>
      <x:c r="J1872" s="12" t="str">
        <x:v>研究生宿舍楼发车</x:v>
      </x:c>
      <x:c r="K1872" s="12" t="str">
        <x:v>HX2_NORMAL</x:v>
      </x:c>
      <x:c r="L1872" s="12" t="n">
        <x:v>1</x:v>
      </x:c>
      <x:c r="M1872" s="12" t="str">
        <x:v>HX2_NORMAL|1</x:v>
      </x:c>
      <x:c r="N1872" s="12" t="str">
        <x:v>研究生宿舍楼</x:v>
      </x:c>
      <x:c r="O1872" s="12" t="n">
        <x:f>IFERROR(INDEX('秒级路线参数_可调整'!$O:$O,MATCH(M1872,'秒级路线参数_可调整'!$A:$A,0)),"")</x:f>
        <x:v>0</x:v>
      </x:c>
      <x:c r="P1872" s="12" t="str">
        <x:f>IF(O1872="","",O1872/86400)</x:f>
      </x:c>
      <x:c r="Q1872" s="12" t="str">
        <x:f>IF(O1872="","",(H1872*60+O1872)/86400)</x:f>
      </x:c>
      <x:c r="R1872" s="12" t="str">
        <x:f>IF(Q1872="","",TEXT(Q1872,"hh:mm:ss"))</x:f>
      </x:c>
      <x:c r="S1872" s="12" t="str">
        <x:v>是</x:v>
      </x:c>
      <x:c r="T1872" s="12" t="str">
        <x:v>否</x:v>
      </x:c>
      <x:c r="U1872" s="12" t="str">
        <x:v>刘晓燕</x:v>
      </x:c>
      <x:c r="V1872" s="12" t="str">
        <x:v>1号车</x:v>
      </x:c>
      <x:c r="W1872" s="12" t="str">
        <x:v>秒级预测</x:v>
      </x:c>
      <x:c r="X1872" s="12" t="str">
        <x:v>基于路线秒级参数；如录入实测或手动采用秒，预计到达时间可随公式更新</x:v>
      </x:c>
    </x:row>
    <x:row r="1873">
      <x:c r="A1873" s="12" t="str">
        <x:v>S0161-02</x:v>
      </x:c>
      <x:c r="B1873" s="12" t="str">
        <x:v>S0161</x:v>
      </x:c>
      <x:c r="C1873" s="12" t="str">
        <x:v>周末/节假日</x:v>
      </x:c>
      <x:c r="D1873" s="12" t="str">
        <x:v>环线2路</x:v>
      </x:c>
      <x:c r="E1873" s="12" t="str">
        <x:v>第一班</x:v>
      </x:c>
      <x:c r="F1873" s="12" t="n">
        <x:v>5</x:v>
      </x:c>
      <x:c r="G1873" s="12" t="str">
        <x:v>9:40</x:v>
      </x:c>
      <x:c r="H1873" s="12" t="n">
        <x:v>580</x:v>
      </x:c>
      <x:c r="I1873" s="12" t="str">
        <x:v>研究生宿舍楼</x:v>
      </x:c>
      <x:c r="J1873" s="12" t="str">
        <x:v>研究生宿舍楼发车</x:v>
      </x:c>
      <x:c r="K1873" s="12" t="str">
        <x:v>HX2_NORMAL</x:v>
      </x:c>
      <x:c r="L1873" s="12" t="n">
        <x:v>2</x:v>
      </x:c>
      <x:c r="M1873" s="12" t="str">
        <x:v>HX2_NORMAL|2</x:v>
      </x:c>
      <x:c r="N1873" s="12" t="str">
        <x:v>一食堂</x:v>
      </x:c>
      <x:c r="O1873" s="12" t="n">
        <x:f>IFERROR(INDEX('秒级路线参数_可调整'!$O:$O,MATCH(M1873,'秒级路线参数_可调整'!$A:$A,0)),"")</x:f>
        <x:v>65</x:v>
      </x:c>
      <x:c r="P1873" s="12" t="n">
        <x:f>IF(O1873="","",O1873/86400)</x:f>
        <x:v>0.0007523148148148148</x:v>
      </x:c>
      <x:c r="Q1873" s="12" t="n">
        <x:f>IF(O1873="","",(H1873*60+O1873)/86400)</x:f>
        <x:v>0.4035300925925926</x:v>
      </x:c>
      <x:c r="R1873" s="12" t="str">
        <x:f>IF(Q1873="","",TEXT(Q1873,"hh:mm:ss"))</x:f>
        <x:v>09:41:05</x:v>
      </x:c>
      <x:c r="S1873" s="12" t="str">
        <x:v>否</x:v>
      </x:c>
      <x:c r="T1873" s="12" t="str">
        <x:v>否</x:v>
      </x:c>
      <x:c r="U1873" s="12" t="str">
        <x:v>刘晓燕</x:v>
      </x:c>
      <x:c r="V1873" s="12" t="str">
        <x:v>1号车</x:v>
      </x:c>
      <x:c r="W1873" s="12" t="str">
        <x:v>秒级预测</x:v>
      </x:c>
      <x:c r="X1873" s="12" t="str">
        <x:v>基于路线秒级参数；如录入实测或手动采用秒，预计到达时间可随公式更新</x:v>
      </x:c>
    </x:row>
    <x:row r="1874">
      <x:c r="A1874" s="12" t="str">
        <x:v>S0161-03</x:v>
      </x:c>
      <x:c r="B1874" s="12" t="str">
        <x:v>S0161</x:v>
      </x:c>
      <x:c r="C1874" s="12" t="str">
        <x:v>周末/节假日</x:v>
      </x:c>
      <x:c r="D1874" s="12" t="str">
        <x:v>环线2路</x:v>
      </x:c>
      <x:c r="E1874" s="12" t="str">
        <x:v>第一班</x:v>
      </x:c>
      <x:c r="F1874" s="12" t="n">
        <x:v>5</x:v>
      </x:c>
      <x:c r="G1874" s="12" t="str">
        <x:v>9:40</x:v>
      </x:c>
      <x:c r="H1874" s="12" t="n">
        <x:v>580</x:v>
      </x:c>
      <x:c r="I1874" s="12" t="str">
        <x:v>研究生宿舍楼</x:v>
      </x:c>
      <x:c r="J1874" s="12" t="str">
        <x:v>研究生宿舍楼发车</x:v>
      </x:c>
      <x:c r="K1874" s="12" t="str">
        <x:v>HX2_NORMAL</x:v>
      </x:c>
      <x:c r="L1874" s="12" t="n">
        <x:v>3</x:v>
      </x:c>
      <x:c r="M1874" s="12" t="str">
        <x:v>HX2_NORMAL|3</x:v>
      </x:c>
      <x:c r="N1874" s="12" t="str">
        <x:v>门诊部</x:v>
      </x:c>
      <x:c r="O1874" s="12" t="n">
        <x:f>IFERROR(INDEX('秒级路线参数_可调整'!$O:$O,MATCH(M1874,'秒级路线参数_可调整'!$A:$A,0)),"")</x:f>
        <x:v>120</x:v>
      </x:c>
      <x:c r="P1874" s="12" t="n">
        <x:f>IF(O1874="","",O1874/86400)</x:f>
        <x:v>0.001388888888888889</x:v>
      </x:c>
      <x:c r="Q1874" s="12" t="n">
        <x:f>IF(O1874="","",(H1874*60+O1874)/86400)</x:f>
        <x:v>0.4041666666666667</x:v>
      </x:c>
      <x:c r="R1874" s="12" t="str">
        <x:f>IF(Q1874="","",TEXT(Q1874,"hh:mm:ss"))</x:f>
        <x:v>09:42:00</x:v>
      </x:c>
      <x:c r="S1874" s="12" t="str">
        <x:v>否</x:v>
      </x:c>
      <x:c r="T1874" s="12" t="str">
        <x:v>否</x:v>
      </x:c>
      <x:c r="U1874" s="12" t="str">
        <x:v>刘晓燕</x:v>
      </x:c>
      <x:c r="V1874" s="12" t="str">
        <x:v>1号车</x:v>
      </x:c>
      <x:c r="W1874" s="12" t="str">
        <x:v>秒级预测</x:v>
      </x:c>
      <x:c r="X1874" s="12" t="str">
        <x:v>基于路线秒级参数；如录入实测或手动采用秒，预计到达时间可随公式更新</x:v>
      </x:c>
    </x:row>
    <x:row r="1875">
      <x:c r="A1875" s="12" t="str">
        <x:v>S0161-04</x:v>
      </x:c>
      <x:c r="B1875" s="12" t="str">
        <x:v>S0161</x:v>
      </x:c>
      <x:c r="C1875" s="12" t="str">
        <x:v>周末/节假日</x:v>
      </x:c>
      <x:c r="D1875" s="12" t="str">
        <x:v>环线2路</x:v>
      </x:c>
      <x:c r="E1875" s="12" t="str">
        <x:v>第一班</x:v>
      </x:c>
      <x:c r="F1875" s="12" t="n">
        <x:v>5</x:v>
      </x:c>
      <x:c r="G1875" s="12" t="str">
        <x:v>9:40</x:v>
      </x:c>
      <x:c r="H1875" s="12" t="n">
        <x:v>580</x:v>
      </x:c>
      <x:c r="I1875" s="12" t="str">
        <x:v>研究生宿舍楼</x:v>
      </x:c>
      <x:c r="J1875" s="12" t="str">
        <x:v>研究生宿舍楼发车</x:v>
      </x:c>
      <x:c r="K1875" s="12" t="str">
        <x:v>HX2_NORMAL</x:v>
      </x:c>
      <x:c r="L1875" s="12" t="n">
        <x:v>4</x:v>
      </x:c>
      <x:c r="M1875" s="12" t="str">
        <x:v>HX2_NORMAL|4</x:v>
      </x:c>
      <x:c r="N1875" s="12" t="str">
        <x:v>1号宿舍楼</x:v>
      </x:c>
      <x:c r="O1875" s="12" t="n">
        <x:f>IFERROR(INDEX('秒级路线参数_可调整'!$O:$O,MATCH(M1875,'秒级路线参数_可调整'!$A:$A,0)),"")</x:f>
        <x:v>165</x:v>
      </x:c>
      <x:c r="P1875" s="12" t="n">
        <x:f>IF(O1875="","",O1875/86400)</x:f>
        <x:v>0.0019097222222222222</x:v>
      </x:c>
      <x:c r="Q1875" s="12" t="n">
        <x:f>IF(O1875="","",(H1875*60+O1875)/86400)</x:f>
        <x:v>0.4046875</x:v>
      </x:c>
      <x:c r="R1875" s="12" t="str">
        <x:f>IF(Q1875="","",TEXT(Q1875,"hh:mm:ss"))</x:f>
        <x:v>09:42:45</x:v>
      </x:c>
      <x:c r="S1875" s="12" t="str">
        <x:v>否</x:v>
      </x:c>
      <x:c r="T1875" s="12" t="str">
        <x:v>否</x:v>
      </x:c>
      <x:c r="U1875" s="12" t="str">
        <x:v>刘晓燕</x:v>
      </x:c>
      <x:c r="V1875" s="12" t="str">
        <x:v>1号车</x:v>
      </x:c>
      <x:c r="W1875" s="12" t="str">
        <x:v>秒级预测</x:v>
      </x:c>
      <x:c r="X1875" s="12" t="str">
        <x:v>基于路线秒级参数；如录入实测或手动采用秒，预计到达时间可随公式更新</x:v>
      </x:c>
    </x:row>
    <x:row r="1876">
      <x:c r="A1876" s="12" t="str">
        <x:v>S0161-05</x:v>
      </x:c>
      <x:c r="B1876" s="12" t="str">
        <x:v>S0161</x:v>
      </x:c>
      <x:c r="C1876" s="12" t="str">
        <x:v>周末/节假日</x:v>
      </x:c>
      <x:c r="D1876" s="12" t="str">
        <x:v>环线2路</x:v>
      </x:c>
      <x:c r="E1876" s="12" t="str">
        <x:v>第一班</x:v>
      </x:c>
      <x:c r="F1876" s="12" t="n">
        <x:v>5</x:v>
      </x:c>
      <x:c r="G1876" s="12" t="str">
        <x:v>9:40</x:v>
      </x:c>
      <x:c r="H1876" s="12" t="n">
        <x:v>580</x:v>
      </x:c>
      <x:c r="I1876" s="12" t="str">
        <x:v>研究生宿舍楼</x:v>
      </x:c>
      <x:c r="J1876" s="12" t="str">
        <x:v>研究生宿舍楼发车</x:v>
      </x:c>
      <x:c r="K1876" s="12" t="str">
        <x:v>HX2_NORMAL</x:v>
      </x:c>
      <x:c r="L1876" s="12" t="n">
        <x:v>5</x:v>
      </x:c>
      <x:c r="M1876" s="12" t="str">
        <x:v>HX2_NORMAL|5</x:v>
      </x:c>
      <x:c r="N1876" s="12" t="str">
        <x:v>水上训练中心</x:v>
      </x:c>
      <x:c r="O1876" s="12" t="n">
        <x:f>IFERROR(INDEX('秒级路线参数_可调整'!$O:$O,MATCH(M1876,'秒级路线参数_可调整'!$A:$A,0)),"")</x:f>
        <x:v>250</x:v>
      </x:c>
      <x:c r="P1876" s="12" t="n">
        <x:f>IF(O1876="","",O1876/86400)</x:f>
        <x:v>0.0028935185185185184</x:v>
      </x:c>
      <x:c r="Q1876" s="12" t="n">
        <x:f>IF(O1876="","",(H1876*60+O1876)/86400)</x:f>
        <x:v>0.4056712962962963</x:v>
      </x:c>
      <x:c r="R1876" s="12" t="str">
        <x:f>IF(Q1876="","",TEXT(Q1876,"hh:mm:ss"))</x:f>
        <x:v>09:44:10</x:v>
      </x:c>
      <x:c r="S1876" s="12" t="str">
        <x:v>否</x:v>
      </x:c>
      <x:c r="T1876" s="12" t="str">
        <x:v>否</x:v>
      </x:c>
      <x:c r="U1876" s="12" t="str">
        <x:v>刘晓燕</x:v>
      </x:c>
      <x:c r="V1876" s="12" t="str">
        <x:v>1号车</x:v>
      </x:c>
      <x:c r="W1876" s="12" t="str">
        <x:v>秒级预测</x:v>
      </x:c>
      <x:c r="X1876" s="12" t="str">
        <x:v>基于路线秒级参数；如录入实测或手动采用秒，预计到达时间可随公式更新</x:v>
      </x:c>
    </x:row>
    <x:row r="1877">
      <x:c r="A1877" s="12" t="str">
        <x:v>S0161-06</x:v>
      </x:c>
      <x:c r="B1877" s="12" t="str">
        <x:v>S0161</x:v>
      </x:c>
      <x:c r="C1877" s="12" t="str">
        <x:v>周末/节假日</x:v>
      </x:c>
      <x:c r="D1877" s="12" t="str">
        <x:v>环线2路</x:v>
      </x:c>
      <x:c r="E1877" s="12" t="str">
        <x:v>第一班</x:v>
      </x:c>
      <x:c r="F1877" s="12" t="n">
        <x:v>5</x:v>
      </x:c>
      <x:c r="G1877" s="12" t="str">
        <x:v>9:40</x:v>
      </x:c>
      <x:c r="H1877" s="12" t="n">
        <x:v>580</x:v>
      </x:c>
      <x:c r="I1877" s="12" t="str">
        <x:v>研究生宿舍楼</x:v>
      </x:c>
      <x:c r="J1877" s="12" t="str">
        <x:v>研究生宿舍楼发车</x:v>
      </x:c>
      <x:c r="K1877" s="12" t="str">
        <x:v>HX2_NORMAL</x:v>
      </x:c>
      <x:c r="L1877" s="12" t="n">
        <x:v>6</x:v>
      </x:c>
      <x:c r="M1877" s="12" t="str">
        <x:v>HX2_NORMAL|6</x:v>
      </x:c>
      <x:c r="N1877" s="12" t="str">
        <x:v>军体活动中心</x:v>
      </x:c>
      <x:c r="O1877" s="12" t="n">
        <x:f>IFERROR(INDEX('秒级路线参数_可调整'!$O:$O,MATCH(M1877,'秒级路线参数_可调整'!$A:$A,0)),"")</x:f>
        <x:v>315</x:v>
      </x:c>
      <x:c r="P1877" s="12" t="n">
        <x:f>IF(O1877="","",O1877/86400)</x:f>
        <x:v>0.0036458333333333334</x:v>
      </x:c>
      <x:c r="Q1877" s="12" t="n">
        <x:f>IF(O1877="","",(H1877*60+O1877)/86400)</x:f>
        <x:v>0.40642361111111114</x:v>
      </x:c>
      <x:c r="R1877" s="12" t="str">
        <x:f>IF(Q1877="","",TEXT(Q1877,"hh:mm:ss"))</x:f>
        <x:v>09:45:15</x:v>
      </x:c>
      <x:c r="S1877" s="12" t="str">
        <x:v>否</x:v>
      </x:c>
      <x:c r="T1877" s="12" t="str">
        <x:v>否</x:v>
      </x:c>
      <x:c r="U1877" s="12" t="str">
        <x:v>刘晓燕</x:v>
      </x:c>
      <x:c r="V1877" s="12" t="str">
        <x:v>1号车</x:v>
      </x:c>
      <x:c r="W1877" s="12" t="str">
        <x:v>秒级预测</x:v>
      </x:c>
      <x:c r="X1877" s="12" t="str">
        <x:v>基于路线秒级参数；如录入实测或手动采用秒，预计到达时间可随公式更新</x:v>
      </x:c>
    </x:row>
    <x:row r="1878">
      <x:c r="A1878" s="12" t="str">
        <x:v>S0161-07</x:v>
      </x:c>
      <x:c r="B1878" s="12" t="str">
        <x:v>S0161</x:v>
      </x:c>
      <x:c r="C1878" s="12" t="str">
        <x:v>周末/节假日</x:v>
      </x:c>
      <x:c r="D1878" s="12" t="str">
        <x:v>环线2路</x:v>
      </x:c>
      <x:c r="E1878" s="12" t="str">
        <x:v>第一班</x:v>
      </x:c>
      <x:c r="F1878" s="12" t="n">
        <x:v>5</x:v>
      </x:c>
      <x:c r="G1878" s="12" t="str">
        <x:v>9:40</x:v>
      </x:c>
      <x:c r="H1878" s="12" t="n">
        <x:v>580</x:v>
      </x:c>
      <x:c r="I1878" s="12" t="str">
        <x:v>研究生宿舍楼</x:v>
      </x:c>
      <x:c r="J1878" s="12" t="str">
        <x:v>研究生宿舍楼发车</x:v>
      </x:c>
      <x:c r="K1878" s="12" t="str">
        <x:v>HX2_NORMAL</x:v>
      </x:c>
      <x:c r="L1878" s="12" t="n">
        <x:v>7</x:v>
      </x:c>
      <x:c r="M1878" s="12" t="str">
        <x:v>HX2_NORMAL|7</x:v>
      </x:c>
      <x:c r="N1878" s="12" t="str">
        <x:v>二食堂</x:v>
      </x:c>
      <x:c r="O1878" s="12" t="n">
        <x:f>IFERROR(INDEX('秒级路线参数_可调整'!$O:$O,MATCH(M1878,'秒级路线参数_可调整'!$A:$A,0)),"")</x:f>
        <x:v>420</x:v>
      </x:c>
      <x:c r="P1878" s="12" t="n">
        <x:f>IF(O1878="","",O1878/86400)</x:f>
        <x:v>0.004861111111111111</x:v>
      </x:c>
      <x:c r="Q1878" s="12" t="n">
        <x:f>IF(O1878="","",(H1878*60+O1878)/86400)</x:f>
        <x:v>0.4076388888888889</x:v>
      </x:c>
      <x:c r="R1878" s="12" t="str">
        <x:f>IF(Q1878="","",TEXT(Q1878,"hh:mm:ss"))</x:f>
        <x:v>09:47:00</x:v>
      </x:c>
      <x:c r="S1878" s="12" t="str">
        <x:v>否</x:v>
      </x:c>
      <x:c r="T1878" s="12" t="str">
        <x:v>否</x:v>
      </x:c>
      <x:c r="U1878" s="12" t="str">
        <x:v>刘晓燕</x:v>
      </x:c>
      <x:c r="V1878" s="12" t="str">
        <x:v>1号车</x:v>
      </x:c>
      <x:c r="W1878" s="12" t="str">
        <x:v>秒级预测</x:v>
      </x:c>
      <x:c r="X1878" s="12" t="str">
        <x:v>基于路线秒级参数；如录入实测或手动采用秒，预计到达时间可随公式更新</x:v>
      </x:c>
    </x:row>
    <x:row r="1879">
      <x:c r="A1879" s="12" t="str">
        <x:v>S0161-08</x:v>
      </x:c>
      <x:c r="B1879" s="12" t="str">
        <x:v>S0161</x:v>
      </x:c>
      <x:c r="C1879" s="12" t="str">
        <x:v>周末/节假日</x:v>
      </x:c>
      <x:c r="D1879" s="12" t="str">
        <x:v>环线2路</x:v>
      </x:c>
      <x:c r="E1879" s="12" t="str">
        <x:v>第一班</x:v>
      </x:c>
      <x:c r="F1879" s="12" t="n">
        <x:v>5</x:v>
      </x:c>
      <x:c r="G1879" s="12" t="str">
        <x:v>9:40</x:v>
      </x:c>
      <x:c r="H1879" s="12" t="n">
        <x:v>580</x:v>
      </x:c>
      <x:c r="I1879" s="12" t="str">
        <x:v>研究生宿舍楼</x:v>
      </x:c>
      <x:c r="J1879" s="12" t="str">
        <x:v>研究生宿舍楼发车</x:v>
      </x:c>
      <x:c r="K1879" s="12" t="str">
        <x:v>HX2_NORMAL</x:v>
      </x:c>
      <x:c r="L1879" s="12" t="n">
        <x:v>8</x:v>
      </x:c>
      <x:c r="M1879" s="12" t="str">
        <x:v>HX2_NORMAL|8</x:v>
      </x:c>
      <x:c r="N1879" s="12" t="str">
        <x:v>5号宿舍楼</x:v>
      </x:c>
      <x:c r="O1879" s="12" t="n">
        <x:f>IFERROR(INDEX('秒级路线参数_可调整'!$O:$O,MATCH(M1879,'秒级路线参数_可调整'!$A:$A,0)),"")</x:f>
        <x:v>480</x:v>
      </x:c>
      <x:c r="P1879" s="12" t="n">
        <x:f>IF(O1879="","",O1879/86400)</x:f>
        <x:v>0.005555555555555556</x:v>
      </x:c>
      <x:c r="Q1879" s="12" t="n">
        <x:f>IF(O1879="","",(H1879*60+O1879)/86400)</x:f>
        <x:v>0.4083333333333333</x:v>
      </x:c>
      <x:c r="R1879" s="12" t="str">
        <x:f>IF(Q1879="","",TEXT(Q1879,"hh:mm:ss"))</x:f>
        <x:v>09:48:00</x:v>
      </x:c>
      <x:c r="S1879" s="12" t="str">
        <x:v>否</x:v>
      </x:c>
      <x:c r="T1879" s="12" t="str">
        <x:v>否</x:v>
      </x:c>
      <x:c r="U1879" s="12" t="str">
        <x:v>刘晓燕</x:v>
      </x:c>
      <x:c r="V1879" s="12" t="str">
        <x:v>1号车</x:v>
      </x:c>
      <x:c r="W1879" s="12" t="str">
        <x:v>秒级预测</x:v>
      </x:c>
      <x:c r="X1879" s="12" t="str">
        <x:v>基于路线秒级参数；如录入实测或手动采用秒，预计到达时间可随公式更新</x:v>
      </x:c>
    </x:row>
    <x:row r="1880">
      <x:c r="A1880" s="12" t="str">
        <x:v>S0161-09</x:v>
      </x:c>
      <x:c r="B1880" s="12" t="str">
        <x:v>S0161</x:v>
      </x:c>
      <x:c r="C1880" s="12" t="str">
        <x:v>周末/节假日</x:v>
      </x:c>
      <x:c r="D1880" s="12" t="str">
        <x:v>环线2路</x:v>
      </x:c>
      <x:c r="E1880" s="12" t="str">
        <x:v>第一班</x:v>
      </x:c>
      <x:c r="F1880" s="12" t="n">
        <x:v>5</x:v>
      </x:c>
      <x:c r="G1880" s="12" t="str">
        <x:v>9:40</x:v>
      </x:c>
      <x:c r="H1880" s="12" t="n">
        <x:v>580</x:v>
      </x:c>
      <x:c r="I1880" s="12" t="str">
        <x:v>研究生宿舍楼</x:v>
      </x:c>
      <x:c r="J1880" s="12" t="str">
        <x:v>研究生宿舍楼发车</x:v>
      </x:c>
      <x:c r="K1880" s="12" t="str">
        <x:v>HX2_NORMAL</x:v>
      </x:c>
      <x:c r="L1880" s="12" t="n">
        <x:v>9</x:v>
      </x:c>
      <x:c r="M1880" s="12" t="str">
        <x:v>HX2_NORMAL|9</x:v>
      </x:c>
      <x:c r="N1880" s="12" t="str">
        <x:v>305教学楼</x:v>
      </x:c>
      <x:c r="O1880" s="12" t="n">
        <x:f>IFERROR(INDEX('秒级路线参数_可调整'!$O:$O,MATCH(M1880,'秒级路线参数_可调整'!$A:$A,0)),"")</x:f>
        <x:v>535</x:v>
      </x:c>
      <x:c r="P1880" s="12" t="n">
        <x:f>IF(O1880="","",O1880/86400)</x:f>
        <x:v>0.00619212962962963</x:v>
      </x:c>
      <x:c r="Q1880" s="12" t="n">
        <x:f>IF(O1880="","",(H1880*60+O1880)/86400)</x:f>
        <x:v>0.4089699074074074</x:v>
      </x:c>
      <x:c r="R1880" s="12" t="str">
        <x:f>IF(Q1880="","",TEXT(Q1880,"hh:mm:ss"))</x:f>
        <x:v>09:48:55</x:v>
      </x:c>
      <x:c r="S1880" s="12" t="str">
        <x:v>否</x:v>
      </x:c>
      <x:c r="T1880" s="12" t="str">
        <x:v>否</x:v>
      </x:c>
      <x:c r="U1880" s="12" t="str">
        <x:v>刘晓燕</x:v>
      </x:c>
      <x:c r="V1880" s="12" t="str">
        <x:v>1号车</x:v>
      </x:c>
      <x:c r="W1880" s="12" t="str">
        <x:v>秒级预测</x:v>
      </x:c>
      <x:c r="X1880" s="12" t="str">
        <x:v>基于路线秒级参数；如录入实测或手动采用秒，预计到达时间可随公式更新</x:v>
      </x:c>
    </x:row>
    <x:row r="1881">
      <x:c r="A1881" s="12" t="str">
        <x:v>S0161-10</x:v>
      </x:c>
      <x:c r="B1881" s="12" t="str">
        <x:v>S0161</x:v>
      </x:c>
      <x:c r="C1881" s="12" t="str">
        <x:v>周末/节假日</x:v>
      </x:c>
      <x:c r="D1881" s="12" t="str">
        <x:v>环线2路</x:v>
      </x:c>
      <x:c r="E1881" s="12" t="str">
        <x:v>第一班</x:v>
      </x:c>
      <x:c r="F1881" s="12" t="n">
        <x:v>5</x:v>
      </x:c>
      <x:c r="G1881" s="12" t="str">
        <x:v>9:40</x:v>
      </x:c>
      <x:c r="H1881" s="12" t="n">
        <x:v>580</x:v>
      </x:c>
      <x:c r="I1881" s="12" t="str">
        <x:v>研究生宿舍楼</x:v>
      </x:c>
      <x:c r="J1881" s="12" t="str">
        <x:v>研究生宿舍楼发车</x:v>
      </x:c>
      <x:c r="K1881" s="12" t="str">
        <x:v>HX2_NORMAL</x:v>
      </x:c>
      <x:c r="L1881" s="12" t="n">
        <x:v>10</x:v>
      </x:c>
      <x:c r="M1881" s="12" t="str">
        <x:v>HX2_NORMAL|10</x:v>
      </x:c>
      <x:c r="N1881" s="12" t="str">
        <x:v>研究生宿舍楼</x:v>
      </x:c>
      <x:c r="O1881" s="12" t="n">
        <x:f>IFERROR(INDEX('秒级路线参数_可调整'!$O:$O,MATCH(M1881,'秒级路线参数_可调整'!$A:$A,0)),"")</x:f>
        <x:v>715</x:v>
      </x:c>
      <x:c r="P1881" s="12" t="n">
        <x:f>IF(O1881="","",O1881/86400)</x:f>
        <x:v>0.008275462962962964</x:v>
      </x:c>
      <x:c r="Q1881" s="12" t="n">
        <x:f>IF(O1881="","",(H1881*60+O1881)/86400)</x:f>
        <x:v>0.41105324074074073</x:v>
      </x:c>
      <x:c r="R1881" s="12" t="str">
        <x:f>IF(Q1881="","",TEXT(Q1881,"hh:mm:ss"))</x:f>
        <x:v>09:51:55</x:v>
      </x:c>
      <x:c r="S1881" s="12" t="str">
        <x:v>否</x:v>
      </x:c>
      <x:c r="T1881" s="12" t="str">
        <x:v>是</x:v>
      </x:c>
      <x:c r="U1881" s="12" t="str">
        <x:v>刘晓燕</x:v>
      </x:c>
      <x:c r="V1881" s="12" t="str">
        <x:v>1号车</x:v>
      </x:c>
      <x:c r="W1881" s="12" t="str">
        <x:v>秒级预测</x:v>
      </x:c>
      <x:c r="X1881" s="12" t="str">
        <x:v>基于路线秒级参数；如录入实测或手动采用秒，预计到达时间可随公式更新</x:v>
      </x:c>
    </x:row>
    <x:row r="1882">
      <x:c r="A1882" s="12" t="str">
        <x:v>S0162-01</x:v>
      </x:c>
      <x:c r="B1882" s="12" t="str">
        <x:v>S0162</x:v>
      </x:c>
      <x:c r="C1882" s="12" t="str">
        <x:v>周末/节假日</x:v>
      </x:c>
      <x:c r="D1882" s="12" t="str">
        <x:v>环线2路</x:v>
      </x:c>
      <x:c r="E1882" s="12" t="str">
        <x:v>第一班</x:v>
      </x:c>
      <x:c r="F1882" s="12" t="n">
        <x:v>6</x:v>
      </x:c>
      <x:c r="G1882" s="12" t="str">
        <x:v>11:30</x:v>
      </x:c>
      <x:c r="H1882" s="12" t="n">
        <x:v>690</x:v>
      </x:c>
      <x:c r="I1882" s="12" t="str">
        <x:v>研究生宿舍楼</x:v>
      </x:c>
      <x:c r="J1882" s="12" t="str">
        <x:v>研究生宿舍楼发车</x:v>
      </x:c>
      <x:c r="K1882" s="12" t="str">
        <x:v>HX2_NORMAL</x:v>
      </x:c>
      <x:c r="L1882" s="12" t="n">
        <x:v>1</x:v>
      </x:c>
      <x:c r="M1882" s="12" t="str">
        <x:v>HX2_NORMAL|1</x:v>
      </x:c>
      <x:c r="N1882" s="12" t="str">
        <x:v>研究生宿舍楼</x:v>
      </x:c>
      <x:c r="O1882" s="12" t="n">
        <x:f>IFERROR(INDEX('秒级路线参数_可调整'!$O:$O,MATCH(M1882,'秒级路线参数_可调整'!$A:$A,0)),"")</x:f>
        <x:v>0</x:v>
      </x:c>
      <x:c r="P1882" s="12" t="str">
        <x:f>IF(O1882="","",O1882/86400)</x:f>
      </x:c>
      <x:c r="Q1882" s="12" t="str">
        <x:f>IF(O1882="","",(H1882*60+O1882)/86400)</x:f>
      </x:c>
      <x:c r="R1882" s="12" t="str">
        <x:f>IF(Q1882="","",TEXT(Q1882,"hh:mm:ss"))</x:f>
      </x:c>
      <x:c r="S1882" s="12" t="str">
        <x:v>是</x:v>
      </x:c>
      <x:c r="T1882" s="12" t="str">
        <x:v>否</x:v>
      </x:c>
      <x:c r="U1882" s="12" t="str">
        <x:v>刘晓燕</x:v>
      </x:c>
      <x:c r="V1882" s="12" t="str">
        <x:v>1号车</x:v>
      </x:c>
      <x:c r="W1882" s="12" t="str">
        <x:v>秒级预测</x:v>
      </x:c>
      <x:c r="X1882" s="12" t="str">
        <x:v>基于路线秒级参数；如录入实测或手动采用秒，预计到达时间可随公式更新</x:v>
      </x:c>
    </x:row>
    <x:row r="1883">
      <x:c r="A1883" s="12" t="str">
        <x:v>S0162-02</x:v>
      </x:c>
      <x:c r="B1883" s="12" t="str">
        <x:v>S0162</x:v>
      </x:c>
      <x:c r="C1883" s="12" t="str">
        <x:v>周末/节假日</x:v>
      </x:c>
      <x:c r="D1883" s="12" t="str">
        <x:v>环线2路</x:v>
      </x:c>
      <x:c r="E1883" s="12" t="str">
        <x:v>第一班</x:v>
      </x:c>
      <x:c r="F1883" s="12" t="n">
        <x:v>6</x:v>
      </x:c>
      <x:c r="G1883" s="12" t="str">
        <x:v>11:30</x:v>
      </x:c>
      <x:c r="H1883" s="12" t="n">
        <x:v>690</x:v>
      </x:c>
      <x:c r="I1883" s="12" t="str">
        <x:v>研究生宿舍楼</x:v>
      </x:c>
      <x:c r="J1883" s="12" t="str">
        <x:v>研究生宿舍楼发车</x:v>
      </x:c>
      <x:c r="K1883" s="12" t="str">
        <x:v>HX2_NORMAL</x:v>
      </x:c>
      <x:c r="L1883" s="12" t="n">
        <x:v>2</x:v>
      </x:c>
      <x:c r="M1883" s="12" t="str">
        <x:v>HX2_NORMAL|2</x:v>
      </x:c>
      <x:c r="N1883" s="12" t="str">
        <x:v>一食堂</x:v>
      </x:c>
      <x:c r="O1883" s="12" t="n">
        <x:f>IFERROR(INDEX('秒级路线参数_可调整'!$O:$O,MATCH(M1883,'秒级路线参数_可调整'!$A:$A,0)),"")</x:f>
        <x:v>65</x:v>
      </x:c>
      <x:c r="P1883" s="12" t="n">
        <x:f>IF(O1883="","",O1883/86400)</x:f>
        <x:v>0.0007523148148148148</x:v>
      </x:c>
      <x:c r="Q1883" s="12" t="n">
        <x:f>IF(O1883="","",(H1883*60+O1883)/86400)</x:f>
        <x:v>0.4799189814814815</x:v>
      </x:c>
      <x:c r="R1883" s="12" t="str">
        <x:f>IF(Q1883="","",TEXT(Q1883,"hh:mm:ss"))</x:f>
        <x:v>11:31:05</x:v>
      </x:c>
      <x:c r="S1883" s="12" t="str">
        <x:v>否</x:v>
      </x:c>
      <x:c r="T1883" s="12" t="str">
        <x:v>否</x:v>
      </x:c>
      <x:c r="U1883" s="12" t="str">
        <x:v>刘晓燕</x:v>
      </x:c>
      <x:c r="V1883" s="12" t="str">
        <x:v>1号车</x:v>
      </x:c>
      <x:c r="W1883" s="12" t="str">
        <x:v>秒级预测</x:v>
      </x:c>
      <x:c r="X1883" s="12" t="str">
        <x:v>基于路线秒级参数；如录入实测或手动采用秒，预计到达时间可随公式更新</x:v>
      </x:c>
    </x:row>
    <x:row r="1884">
      <x:c r="A1884" s="12" t="str">
        <x:v>S0162-03</x:v>
      </x:c>
      <x:c r="B1884" s="12" t="str">
        <x:v>S0162</x:v>
      </x:c>
      <x:c r="C1884" s="12" t="str">
        <x:v>周末/节假日</x:v>
      </x:c>
      <x:c r="D1884" s="12" t="str">
        <x:v>环线2路</x:v>
      </x:c>
      <x:c r="E1884" s="12" t="str">
        <x:v>第一班</x:v>
      </x:c>
      <x:c r="F1884" s="12" t="n">
        <x:v>6</x:v>
      </x:c>
      <x:c r="G1884" s="12" t="str">
        <x:v>11:30</x:v>
      </x:c>
      <x:c r="H1884" s="12" t="n">
        <x:v>690</x:v>
      </x:c>
      <x:c r="I1884" s="12" t="str">
        <x:v>研究生宿舍楼</x:v>
      </x:c>
      <x:c r="J1884" s="12" t="str">
        <x:v>研究生宿舍楼发车</x:v>
      </x:c>
      <x:c r="K1884" s="12" t="str">
        <x:v>HX2_NORMAL</x:v>
      </x:c>
      <x:c r="L1884" s="12" t="n">
        <x:v>3</x:v>
      </x:c>
      <x:c r="M1884" s="12" t="str">
        <x:v>HX2_NORMAL|3</x:v>
      </x:c>
      <x:c r="N1884" s="12" t="str">
        <x:v>门诊部</x:v>
      </x:c>
      <x:c r="O1884" s="12" t="n">
        <x:f>IFERROR(INDEX('秒级路线参数_可调整'!$O:$O,MATCH(M1884,'秒级路线参数_可调整'!$A:$A,0)),"")</x:f>
        <x:v>120</x:v>
      </x:c>
      <x:c r="P1884" s="12" t="n">
        <x:f>IF(O1884="","",O1884/86400)</x:f>
        <x:v>0.001388888888888889</x:v>
      </x:c>
      <x:c r="Q1884" s="12" t="n">
        <x:f>IF(O1884="","",(H1884*60+O1884)/86400)</x:f>
        <x:v>0.48055555555555557</x:v>
      </x:c>
      <x:c r="R1884" s="12" t="str">
        <x:f>IF(Q1884="","",TEXT(Q1884,"hh:mm:ss"))</x:f>
        <x:v>11:32:00</x:v>
      </x:c>
      <x:c r="S1884" s="12" t="str">
        <x:v>否</x:v>
      </x:c>
      <x:c r="T1884" s="12" t="str">
        <x:v>否</x:v>
      </x:c>
      <x:c r="U1884" s="12" t="str">
        <x:v>刘晓燕</x:v>
      </x:c>
      <x:c r="V1884" s="12" t="str">
        <x:v>1号车</x:v>
      </x:c>
      <x:c r="W1884" s="12" t="str">
        <x:v>秒级预测</x:v>
      </x:c>
      <x:c r="X1884" s="12" t="str">
        <x:v>基于路线秒级参数；如录入实测或手动采用秒，预计到达时间可随公式更新</x:v>
      </x:c>
    </x:row>
    <x:row r="1885">
      <x:c r="A1885" s="12" t="str">
        <x:v>S0162-04</x:v>
      </x:c>
      <x:c r="B1885" s="12" t="str">
        <x:v>S0162</x:v>
      </x:c>
      <x:c r="C1885" s="12" t="str">
        <x:v>周末/节假日</x:v>
      </x:c>
      <x:c r="D1885" s="12" t="str">
        <x:v>环线2路</x:v>
      </x:c>
      <x:c r="E1885" s="12" t="str">
        <x:v>第一班</x:v>
      </x:c>
      <x:c r="F1885" s="12" t="n">
        <x:v>6</x:v>
      </x:c>
      <x:c r="G1885" s="12" t="str">
        <x:v>11:30</x:v>
      </x:c>
      <x:c r="H1885" s="12" t="n">
        <x:v>690</x:v>
      </x:c>
      <x:c r="I1885" s="12" t="str">
        <x:v>研究生宿舍楼</x:v>
      </x:c>
      <x:c r="J1885" s="12" t="str">
        <x:v>研究生宿舍楼发车</x:v>
      </x:c>
      <x:c r="K1885" s="12" t="str">
        <x:v>HX2_NORMAL</x:v>
      </x:c>
      <x:c r="L1885" s="12" t="n">
        <x:v>4</x:v>
      </x:c>
      <x:c r="M1885" s="12" t="str">
        <x:v>HX2_NORMAL|4</x:v>
      </x:c>
      <x:c r="N1885" s="12" t="str">
        <x:v>1号宿舍楼</x:v>
      </x:c>
      <x:c r="O1885" s="12" t="n">
        <x:f>IFERROR(INDEX('秒级路线参数_可调整'!$O:$O,MATCH(M1885,'秒级路线参数_可调整'!$A:$A,0)),"")</x:f>
        <x:v>165</x:v>
      </x:c>
      <x:c r="P1885" s="12" t="n">
        <x:f>IF(O1885="","",O1885/86400)</x:f>
        <x:v>0.0019097222222222222</x:v>
      </x:c>
      <x:c r="Q1885" s="12" t="n">
        <x:f>IF(O1885="","",(H1885*60+O1885)/86400)</x:f>
        <x:v>0.4810763888888889</x:v>
      </x:c>
      <x:c r="R1885" s="12" t="str">
        <x:f>IF(Q1885="","",TEXT(Q1885,"hh:mm:ss"))</x:f>
        <x:v>11:32:45</x:v>
      </x:c>
      <x:c r="S1885" s="12" t="str">
        <x:v>否</x:v>
      </x:c>
      <x:c r="T1885" s="12" t="str">
        <x:v>否</x:v>
      </x:c>
      <x:c r="U1885" s="12" t="str">
        <x:v>刘晓燕</x:v>
      </x:c>
      <x:c r="V1885" s="12" t="str">
        <x:v>1号车</x:v>
      </x:c>
      <x:c r="W1885" s="12" t="str">
        <x:v>秒级预测</x:v>
      </x:c>
      <x:c r="X1885" s="12" t="str">
        <x:v>基于路线秒级参数；如录入实测或手动采用秒，预计到达时间可随公式更新</x:v>
      </x:c>
    </x:row>
    <x:row r="1886">
      <x:c r="A1886" s="12" t="str">
        <x:v>S0162-05</x:v>
      </x:c>
      <x:c r="B1886" s="12" t="str">
        <x:v>S0162</x:v>
      </x:c>
      <x:c r="C1886" s="12" t="str">
        <x:v>周末/节假日</x:v>
      </x:c>
      <x:c r="D1886" s="12" t="str">
        <x:v>环线2路</x:v>
      </x:c>
      <x:c r="E1886" s="12" t="str">
        <x:v>第一班</x:v>
      </x:c>
      <x:c r="F1886" s="12" t="n">
        <x:v>6</x:v>
      </x:c>
      <x:c r="G1886" s="12" t="str">
        <x:v>11:30</x:v>
      </x:c>
      <x:c r="H1886" s="12" t="n">
        <x:v>690</x:v>
      </x:c>
      <x:c r="I1886" s="12" t="str">
        <x:v>研究生宿舍楼</x:v>
      </x:c>
      <x:c r="J1886" s="12" t="str">
        <x:v>研究生宿舍楼发车</x:v>
      </x:c>
      <x:c r="K1886" s="12" t="str">
        <x:v>HX2_NORMAL</x:v>
      </x:c>
      <x:c r="L1886" s="12" t="n">
        <x:v>5</x:v>
      </x:c>
      <x:c r="M1886" s="12" t="str">
        <x:v>HX2_NORMAL|5</x:v>
      </x:c>
      <x:c r="N1886" s="12" t="str">
        <x:v>水上训练中心</x:v>
      </x:c>
      <x:c r="O1886" s="12" t="n">
        <x:f>IFERROR(INDEX('秒级路线参数_可调整'!$O:$O,MATCH(M1886,'秒级路线参数_可调整'!$A:$A,0)),"")</x:f>
        <x:v>250</x:v>
      </x:c>
      <x:c r="P1886" s="12" t="n">
        <x:f>IF(O1886="","",O1886/86400)</x:f>
        <x:v>0.0028935185185185184</x:v>
      </x:c>
      <x:c r="Q1886" s="12" t="n">
        <x:f>IF(O1886="","",(H1886*60+O1886)/86400)</x:f>
        <x:v>0.4820601851851852</x:v>
      </x:c>
      <x:c r="R1886" s="12" t="str">
        <x:f>IF(Q1886="","",TEXT(Q1886,"hh:mm:ss"))</x:f>
        <x:v>11:34:10</x:v>
      </x:c>
      <x:c r="S1886" s="12" t="str">
        <x:v>否</x:v>
      </x:c>
      <x:c r="T1886" s="12" t="str">
        <x:v>否</x:v>
      </x:c>
      <x:c r="U1886" s="12" t="str">
        <x:v>刘晓燕</x:v>
      </x:c>
      <x:c r="V1886" s="12" t="str">
        <x:v>1号车</x:v>
      </x:c>
      <x:c r="W1886" s="12" t="str">
        <x:v>秒级预测</x:v>
      </x:c>
      <x:c r="X1886" s="12" t="str">
        <x:v>基于路线秒级参数；如录入实测或手动采用秒，预计到达时间可随公式更新</x:v>
      </x:c>
    </x:row>
    <x:row r="1887">
      <x:c r="A1887" s="12" t="str">
        <x:v>S0162-06</x:v>
      </x:c>
      <x:c r="B1887" s="12" t="str">
        <x:v>S0162</x:v>
      </x:c>
      <x:c r="C1887" s="12" t="str">
        <x:v>周末/节假日</x:v>
      </x:c>
      <x:c r="D1887" s="12" t="str">
        <x:v>环线2路</x:v>
      </x:c>
      <x:c r="E1887" s="12" t="str">
        <x:v>第一班</x:v>
      </x:c>
      <x:c r="F1887" s="12" t="n">
        <x:v>6</x:v>
      </x:c>
      <x:c r="G1887" s="12" t="str">
        <x:v>11:30</x:v>
      </x:c>
      <x:c r="H1887" s="12" t="n">
        <x:v>690</x:v>
      </x:c>
      <x:c r="I1887" s="12" t="str">
        <x:v>研究生宿舍楼</x:v>
      </x:c>
      <x:c r="J1887" s="12" t="str">
        <x:v>研究生宿舍楼发车</x:v>
      </x:c>
      <x:c r="K1887" s="12" t="str">
        <x:v>HX2_NORMAL</x:v>
      </x:c>
      <x:c r="L1887" s="12" t="n">
        <x:v>6</x:v>
      </x:c>
      <x:c r="M1887" s="12" t="str">
        <x:v>HX2_NORMAL|6</x:v>
      </x:c>
      <x:c r="N1887" s="12" t="str">
        <x:v>军体活动中心</x:v>
      </x:c>
      <x:c r="O1887" s="12" t="n">
        <x:f>IFERROR(INDEX('秒级路线参数_可调整'!$O:$O,MATCH(M1887,'秒级路线参数_可调整'!$A:$A,0)),"")</x:f>
        <x:v>315</x:v>
      </x:c>
      <x:c r="P1887" s="12" t="n">
        <x:f>IF(O1887="","",O1887/86400)</x:f>
        <x:v>0.0036458333333333334</x:v>
      </x:c>
      <x:c r="Q1887" s="12" t="n">
        <x:f>IF(O1887="","",(H1887*60+O1887)/86400)</x:f>
        <x:v>0.4828125</x:v>
      </x:c>
      <x:c r="R1887" s="12" t="str">
        <x:f>IF(Q1887="","",TEXT(Q1887,"hh:mm:ss"))</x:f>
        <x:v>11:35:15</x:v>
      </x:c>
      <x:c r="S1887" s="12" t="str">
        <x:v>否</x:v>
      </x:c>
      <x:c r="T1887" s="12" t="str">
        <x:v>否</x:v>
      </x:c>
      <x:c r="U1887" s="12" t="str">
        <x:v>刘晓燕</x:v>
      </x:c>
      <x:c r="V1887" s="12" t="str">
        <x:v>1号车</x:v>
      </x:c>
      <x:c r="W1887" s="12" t="str">
        <x:v>秒级预测</x:v>
      </x:c>
      <x:c r="X1887" s="12" t="str">
        <x:v>基于路线秒级参数；如录入实测或手动采用秒，预计到达时间可随公式更新</x:v>
      </x:c>
    </x:row>
    <x:row r="1888">
      <x:c r="A1888" s="12" t="str">
        <x:v>S0162-07</x:v>
      </x:c>
      <x:c r="B1888" s="12" t="str">
        <x:v>S0162</x:v>
      </x:c>
      <x:c r="C1888" s="12" t="str">
        <x:v>周末/节假日</x:v>
      </x:c>
      <x:c r="D1888" s="12" t="str">
        <x:v>环线2路</x:v>
      </x:c>
      <x:c r="E1888" s="12" t="str">
        <x:v>第一班</x:v>
      </x:c>
      <x:c r="F1888" s="12" t="n">
        <x:v>6</x:v>
      </x:c>
      <x:c r="G1888" s="12" t="str">
        <x:v>11:30</x:v>
      </x:c>
      <x:c r="H1888" s="12" t="n">
        <x:v>690</x:v>
      </x:c>
      <x:c r="I1888" s="12" t="str">
        <x:v>研究生宿舍楼</x:v>
      </x:c>
      <x:c r="J1888" s="12" t="str">
        <x:v>研究生宿舍楼发车</x:v>
      </x:c>
      <x:c r="K1888" s="12" t="str">
        <x:v>HX2_NORMAL</x:v>
      </x:c>
      <x:c r="L1888" s="12" t="n">
        <x:v>7</x:v>
      </x:c>
      <x:c r="M1888" s="12" t="str">
        <x:v>HX2_NORMAL|7</x:v>
      </x:c>
      <x:c r="N1888" s="12" t="str">
        <x:v>二食堂</x:v>
      </x:c>
      <x:c r="O1888" s="12" t="n">
        <x:f>IFERROR(INDEX('秒级路线参数_可调整'!$O:$O,MATCH(M1888,'秒级路线参数_可调整'!$A:$A,0)),"")</x:f>
        <x:v>420</x:v>
      </x:c>
      <x:c r="P1888" s="12" t="n">
        <x:f>IF(O1888="","",O1888/86400)</x:f>
        <x:v>0.004861111111111111</x:v>
      </x:c>
      <x:c r="Q1888" s="12" t="n">
        <x:f>IF(O1888="","",(H1888*60+O1888)/86400)</x:f>
        <x:v>0.4840277777777778</x:v>
      </x:c>
      <x:c r="R1888" s="12" t="str">
        <x:f>IF(Q1888="","",TEXT(Q1888,"hh:mm:ss"))</x:f>
        <x:v>11:37:00</x:v>
      </x:c>
      <x:c r="S1888" s="12" t="str">
        <x:v>否</x:v>
      </x:c>
      <x:c r="T1888" s="12" t="str">
        <x:v>否</x:v>
      </x:c>
      <x:c r="U1888" s="12" t="str">
        <x:v>刘晓燕</x:v>
      </x:c>
      <x:c r="V1888" s="12" t="str">
        <x:v>1号车</x:v>
      </x:c>
      <x:c r="W1888" s="12" t="str">
        <x:v>秒级预测</x:v>
      </x:c>
      <x:c r="X1888" s="12" t="str">
        <x:v>基于路线秒级参数；如录入实测或手动采用秒，预计到达时间可随公式更新</x:v>
      </x:c>
    </x:row>
    <x:row r="1889">
      <x:c r="A1889" s="12" t="str">
        <x:v>S0162-08</x:v>
      </x:c>
      <x:c r="B1889" s="12" t="str">
        <x:v>S0162</x:v>
      </x:c>
      <x:c r="C1889" s="12" t="str">
        <x:v>周末/节假日</x:v>
      </x:c>
      <x:c r="D1889" s="12" t="str">
        <x:v>环线2路</x:v>
      </x:c>
      <x:c r="E1889" s="12" t="str">
        <x:v>第一班</x:v>
      </x:c>
      <x:c r="F1889" s="12" t="n">
        <x:v>6</x:v>
      </x:c>
      <x:c r="G1889" s="12" t="str">
        <x:v>11:30</x:v>
      </x:c>
      <x:c r="H1889" s="12" t="n">
        <x:v>690</x:v>
      </x:c>
      <x:c r="I1889" s="12" t="str">
        <x:v>研究生宿舍楼</x:v>
      </x:c>
      <x:c r="J1889" s="12" t="str">
        <x:v>研究生宿舍楼发车</x:v>
      </x:c>
      <x:c r="K1889" s="12" t="str">
        <x:v>HX2_NORMAL</x:v>
      </x:c>
      <x:c r="L1889" s="12" t="n">
        <x:v>8</x:v>
      </x:c>
      <x:c r="M1889" s="12" t="str">
        <x:v>HX2_NORMAL|8</x:v>
      </x:c>
      <x:c r="N1889" s="12" t="str">
        <x:v>5号宿舍楼</x:v>
      </x:c>
      <x:c r="O1889" s="12" t="n">
        <x:f>IFERROR(INDEX('秒级路线参数_可调整'!$O:$O,MATCH(M1889,'秒级路线参数_可调整'!$A:$A,0)),"")</x:f>
        <x:v>480</x:v>
      </x:c>
      <x:c r="P1889" s="12" t="n">
        <x:f>IF(O1889="","",O1889/86400)</x:f>
        <x:v>0.005555555555555556</x:v>
      </x:c>
      <x:c r="Q1889" s="12" t="n">
        <x:f>IF(O1889="","",(H1889*60+O1889)/86400)</x:f>
        <x:v>0.4847222222222222</x:v>
      </x:c>
      <x:c r="R1889" s="12" t="str">
        <x:f>IF(Q1889="","",TEXT(Q1889,"hh:mm:ss"))</x:f>
        <x:v>11:38:00</x:v>
      </x:c>
      <x:c r="S1889" s="12" t="str">
        <x:v>否</x:v>
      </x:c>
      <x:c r="T1889" s="12" t="str">
        <x:v>否</x:v>
      </x:c>
      <x:c r="U1889" s="12" t="str">
        <x:v>刘晓燕</x:v>
      </x:c>
      <x:c r="V1889" s="12" t="str">
        <x:v>1号车</x:v>
      </x:c>
      <x:c r="W1889" s="12" t="str">
        <x:v>秒级预测</x:v>
      </x:c>
      <x:c r="X1889" s="12" t="str">
        <x:v>基于路线秒级参数；如录入实测或手动采用秒，预计到达时间可随公式更新</x:v>
      </x:c>
    </x:row>
    <x:row r="1890">
      <x:c r="A1890" s="12" t="str">
        <x:v>S0162-09</x:v>
      </x:c>
      <x:c r="B1890" s="12" t="str">
        <x:v>S0162</x:v>
      </x:c>
      <x:c r="C1890" s="12" t="str">
        <x:v>周末/节假日</x:v>
      </x:c>
      <x:c r="D1890" s="12" t="str">
        <x:v>环线2路</x:v>
      </x:c>
      <x:c r="E1890" s="12" t="str">
        <x:v>第一班</x:v>
      </x:c>
      <x:c r="F1890" s="12" t="n">
        <x:v>6</x:v>
      </x:c>
      <x:c r="G1890" s="12" t="str">
        <x:v>11:30</x:v>
      </x:c>
      <x:c r="H1890" s="12" t="n">
        <x:v>690</x:v>
      </x:c>
      <x:c r="I1890" s="12" t="str">
        <x:v>研究生宿舍楼</x:v>
      </x:c>
      <x:c r="J1890" s="12" t="str">
        <x:v>研究生宿舍楼发车</x:v>
      </x:c>
      <x:c r="K1890" s="12" t="str">
        <x:v>HX2_NORMAL</x:v>
      </x:c>
      <x:c r="L1890" s="12" t="n">
        <x:v>9</x:v>
      </x:c>
      <x:c r="M1890" s="12" t="str">
        <x:v>HX2_NORMAL|9</x:v>
      </x:c>
      <x:c r="N1890" s="12" t="str">
        <x:v>305教学楼</x:v>
      </x:c>
      <x:c r="O1890" s="12" t="n">
        <x:f>IFERROR(INDEX('秒级路线参数_可调整'!$O:$O,MATCH(M1890,'秒级路线参数_可调整'!$A:$A,0)),"")</x:f>
        <x:v>535</x:v>
      </x:c>
      <x:c r="P1890" s="12" t="n">
        <x:f>IF(O1890="","",O1890/86400)</x:f>
        <x:v>0.00619212962962963</x:v>
      </x:c>
      <x:c r="Q1890" s="12" t="n">
        <x:f>IF(O1890="","",(H1890*60+O1890)/86400)</x:f>
        <x:v>0.4853587962962963</x:v>
      </x:c>
      <x:c r="R1890" s="12" t="str">
        <x:f>IF(Q1890="","",TEXT(Q1890,"hh:mm:ss"))</x:f>
        <x:v>11:38:55</x:v>
      </x:c>
      <x:c r="S1890" s="12" t="str">
        <x:v>否</x:v>
      </x:c>
      <x:c r="T1890" s="12" t="str">
        <x:v>否</x:v>
      </x:c>
      <x:c r="U1890" s="12" t="str">
        <x:v>刘晓燕</x:v>
      </x:c>
      <x:c r="V1890" s="12" t="str">
        <x:v>1号车</x:v>
      </x:c>
      <x:c r="W1890" s="12" t="str">
        <x:v>秒级预测</x:v>
      </x:c>
      <x:c r="X1890" s="12" t="str">
        <x:v>基于路线秒级参数；如录入实测或手动采用秒，预计到达时间可随公式更新</x:v>
      </x:c>
    </x:row>
    <x:row r="1891">
      <x:c r="A1891" s="12" t="str">
        <x:v>S0162-10</x:v>
      </x:c>
      <x:c r="B1891" s="12" t="str">
        <x:v>S0162</x:v>
      </x:c>
      <x:c r="C1891" s="12" t="str">
        <x:v>周末/节假日</x:v>
      </x:c>
      <x:c r="D1891" s="12" t="str">
        <x:v>环线2路</x:v>
      </x:c>
      <x:c r="E1891" s="12" t="str">
        <x:v>第一班</x:v>
      </x:c>
      <x:c r="F1891" s="12" t="n">
        <x:v>6</x:v>
      </x:c>
      <x:c r="G1891" s="12" t="str">
        <x:v>11:30</x:v>
      </x:c>
      <x:c r="H1891" s="12" t="n">
        <x:v>690</x:v>
      </x:c>
      <x:c r="I1891" s="12" t="str">
        <x:v>研究生宿舍楼</x:v>
      </x:c>
      <x:c r="J1891" s="12" t="str">
        <x:v>研究生宿舍楼发车</x:v>
      </x:c>
      <x:c r="K1891" s="12" t="str">
        <x:v>HX2_NORMAL</x:v>
      </x:c>
      <x:c r="L1891" s="12" t="n">
        <x:v>10</x:v>
      </x:c>
      <x:c r="M1891" s="12" t="str">
        <x:v>HX2_NORMAL|10</x:v>
      </x:c>
      <x:c r="N1891" s="12" t="str">
        <x:v>研究生宿舍楼</x:v>
      </x:c>
      <x:c r="O1891" s="12" t="n">
        <x:f>IFERROR(INDEX('秒级路线参数_可调整'!$O:$O,MATCH(M1891,'秒级路线参数_可调整'!$A:$A,0)),"")</x:f>
        <x:v>715</x:v>
      </x:c>
      <x:c r="P1891" s="12" t="n">
        <x:f>IF(O1891="","",O1891/86400)</x:f>
        <x:v>0.008275462962962964</x:v>
      </x:c>
      <x:c r="Q1891" s="12" t="n">
        <x:f>IF(O1891="","",(H1891*60+O1891)/86400)</x:f>
        <x:v>0.48744212962962963</x:v>
      </x:c>
      <x:c r="R1891" s="12" t="str">
        <x:f>IF(Q1891="","",TEXT(Q1891,"hh:mm:ss"))</x:f>
        <x:v>11:41:55</x:v>
      </x:c>
      <x:c r="S1891" s="12" t="str">
        <x:v>否</x:v>
      </x:c>
      <x:c r="T1891" s="12" t="str">
        <x:v>是</x:v>
      </x:c>
      <x:c r="U1891" s="12" t="str">
        <x:v>刘晓燕</x:v>
      </x:c>
      <x:c r="V1891" s="12" t="str">
        <x:v>1号车</x:v>
      </x:c>
      <x:c r="W1891" s="12" t="str">
        <x:v>秒级预测</x:v>
      </x:c>
      <x:c r="X1891" s="12" t="str">
        <x:v>基于路线秒级参数；如录入实测或手动采用秒，预计到达时间可随公式更新</x:v>
      </x:c>
    </x:row>
    <x:row r="1892">
      <x:c r="A1892" s="12" t="str">
        <x:v>S0163-01</x:v>
      </x:c>
      <x:c r="B1892" s="12" t="str">
        <x:v>S0163</x:v>
      </x:c>
      <x:c r="C1892" s="12" t="str">
        <x:v>周末/节假日</x:v>
      </x:c>
      <x:c r="D1892" s="12" t="str">
        <x:v>环线2路</x:v>
      </x:c>
      <x:c r="E1892" s="12" t="str">
        <x:v>第一班</x:v>
      </x:c>
      <x:c r="F1892" s="12" t="n">
        <x:v>7</x:v>
      </x:c>
      <x:c r="G1892" s="12" t="str">
        <x:v>12:00</x:v>
      </x:c>
      <x:c r="H1892" s="12" t="n">
        <x:v>720</x:v>
      </x:c>
      <x:c r="I1892" s="12" t="str">
        <x:v>研究生宿舍楼</x:v>
      </x:c>
      <x:c r="J1892" s="12" t="str">
        <x:v>研究生宿舍楼发车</x:v>
      </x:c>
      <x:c r="K1892" s="12" t="str">
        <x:v>HX2_NORMAL</x:v>
      </x:c>
      <x:c r="L1892" s="12" t="n">
        <x:v>1</x:v>
      </x:c>
      <x:c r="M1892" s="12" t="str">
        <x:v>HX2_NORMAL|1</x:v>
      </x:c>
      <x:c r="N1892" s="12" t="str">
        <x:v>研究生宿舍楼</x:v>
      </x:c>
      <x:c r="O1892" s="12" t="n">
        <x:f>IFERROR(INDEX('秒级路线参数_可调整'!$O:$O,MATCH(M1892,'秒级路线参数_可调整'!$A:$A,0)),"")</x:f>
        <x:v>0</x:v>
      </x:c>
      <x:c r="P1892" s="12" t="str">
        <x:f>IF(O1892="","",O1892/86400)</x:f>
      </x:c>
      <x:c r="Q1892" s="12" t="str">
        <x:f>IF(O1892="","",(H1892*60+O1892)/86400)</x:f>
      </x:c>
      <x:c r="R1892" s="12" t="str">
        <x:f>IF(Q1892="","",TEXT(Q1892,"hh:mm:ss"))</x:f>
      </x:c>
      <x:c r="S1892" s="12" t="str">
        <x:v>是</x:v>
      </x:c>
      <x:c r="T1892" s="12" t="str">
        <x:v>否</x:v>
      </x:c>
      <x:c r="U1892" s="12" t="str">
        <x:v>刘晓燕</x:v>
      </x:c>
      <x:c r="V1892" s="12" t="str">
        <x:v>1号车</x:v>
      </x:c>
      <x:c r="W1892" s="12" t="str">
        <x:v>秒级预测</x:v>
      </x:c>
      <x:c r="X1892" s="12" t="str">
        <x:v>基于路线秒级参数；如录入实测或手动采用秒，预计到达时间可随公式更新</x:v>
      </x:c>
    </x:row>
    <x:row r="1893">
      <x:c r="A1893" s="12" t="str">
        <x:v>S0163-02</x:v>
      </x:c>
      <x:c r="B1893" s="12" t="str">
        <x:v>S0163</x:v>
      </x:c>
      <x:c r="C1893" s="12" t="str">
        <x:v>周末/节假日</x:v>
      </x:c>
      <x:c r="D1893" s="12" t="str">
        <x:v>环线2路</x:v>
      </x:c>
      <x:c r="E1893" s="12" t="str">
        <x:v>第一班</x:v>
      </x:c>
      <x:c r="F1893" s="12" t="n">
        <x:v>7</x:v>
      </x:c>
      <x:c r="G1893" s="12" t="str">
        <x:v>12:00</x:v>
      </x:c>
      <x:c r="H1893" s="12" t="n">
        <x:v>720</x:v>
      </x:c>
      <x:c r="I1893" s="12" t="str">
        <x:v>研究生宿舍楼</x:v>
      </x:c>
      <x:c r="J1893" s="12" t="str">
        <x:v>研究生宿舍楼发车</x:v>
      </x:c>
      <x:c r="K1893" s="12" t="str">
        <x:v>HX2_NORMAL</x:v>
      </x:c>
      <x:c r="L1893" s="12" t="n">
        <x:v>2</x:v>
      </x:c>
      <x:c r="M1893" s="12" t="str">
        <x:v>HX2_NORMAL|2</x:v>
      </x:c>
      <x:c r="N1893" s="12" t="str">
        <x:v>一食堂</x:v>
      </x:c>
      <x:c r="O1893" s="12" t="n">
        <x:f>IFERROR(INDEX('秒级路线参数_可调整'!$O:$O,MATCH(M1893,'秒级路线参数_可调整'!$A:$A,0)),"")</x:f>
        <x:v>65</x:v>
      </x:c>
      <x:c r="P1893" s="12" t="n">
        <x:f>IF(O1893="","",O1893/86400)</x:f>
        <x:v>0.0007523148148148148</x:v>
      </x:c>
      <x:c r="Q1893" s="12" t="n">
        <x:f>IF(O1893="","",(H1893*60+O1893)/86400)</x:f>
        <x:v>0.5007523148148149</x:v>
      </x:c>
      <x:c r="R1893" s="12" t="str">
        <x:f>IF(Q1893="","",TEXT(Q1893,"hh:mm:ss"))</x:f>
        <x:v>12:01:05</x:v>
      </x:c>
      <x:c r="S1893" s="12" t="str">
        <x:v>否</x:v>
      </x:c>
      <x:c r="T1893" s="12" t="str">
        <x:v>否</x:v>
      </x:c>
      <x:c r="U1893" s="12" t="str">
        <x:v>刘晓燕</x:v>
      </x:c>
      <x:c r="V1893" s="12" t="str">
        <x:v>1号车</x:v>
      </x:c>
      <x:c r="W1893" s="12" t="str">
        <x:v>秒级预测</x:v>
      </x:c>
      <x:c r="X1893" s="12" t="str">
        <x:v>基于路线秒级参数；如录入实测或手动采用秒，预计到达时间可随公式更新</x:v>
      </x:c>
    </x:row>
    <x:row r="1894">
      <x:c r="A1894" s="12" t="str">
        <x:v>S0163-03</x:v>
      </x:c>
      <x:c r="B1894" s="12" t="str">
        <x:v>S0163</x:v>
      </x:c>
      <x:c r="C1894" s="12" t="str">
        <x:v>周末/节假日</x:v>
      </x:c>
      <x:c r="D1894" s="12" t="str">
        <x:v>环线2路</x:v>
      </x:c>
      <x:c r="E1894" s="12" t="str">
        <x:v>第一班</x:v>
      </x:c>
      <x:c r="F1894" s="12" t="n">
        <x:v>7</x:v>
      </x:c>
      <x:c r="G1894" s="12" t="str">
        <x:v>12:00</x:v>
      </x:c>
      <x:c r="H1894" s="12" t="n">
        <x:v>720</x:v>
      </x:c>
      <x:c r="I1894" s="12" t="str">
        <x:v>研究生宿舍楼</x:v>
      </x:c>
      <x:c r="J1894" s="12" t="str">
        <x:v>研究生宿舍楼发车</x:v>
      </x:c>
      <x:c r="K1894" s="12" t="str">
        <x:v>HX2_NORMAL</x:v>
      </x:c>
      <x:c r="L1894" s="12" t="n">
        <x:v>3</x:v>
      </x:c>
      <x:c r="M1894" s="12" t="str">
        <x:v>HX2_NORMAL|3</x:v>
      </x:c>
      <x:c r="N1894" s="12" t="str">
        <x:v>门诊部</x:v>
      </x:c>
      <x:c r="O1894" s="12" t="n">
        <x:f>IFERROR(INDEX('秒级路线参数_可调整'!$O:$O,MATCH(M1894,'秒级路线参数_可调整'!$A:$A,0)),"")</x:f>
        <x:v>120</x:v>
      </x:c>
      <x:c r="P1894" s="12" t="n">
        <x:f>IF(O1894="","",O1894/86400)</x:f>
        <x:v>0.001388888888888889</x:v>
      </x:c>
      <x:c r="Q1894" s="12" t="n">
        <x:f>IF(O1894="","",(H1894*60+O1894)/86400)</x:f>
        <x:v>0.5013888888888889</x:v>
      </x:c>
      <x:c r="R1894" s="12" t="str">
        <x:f>IF(Q1894="","",TEXT(Q1894,"hh:mm:ss"))</x:f>
        <x:v>12:02:00</x:v>
      </x:c>
      <x:c r="S1894" s="12" t="str">
        <x:v>否</x:v>
      </x:c>
      <x:c r="T1894" s="12" t="str">
        <x:v>否</x:v>
      </x:c>
      <x:c r="U1894" s="12" t="str">
        <x:v>刘晓燕</x:v>
      </x:c>
      <x:c r="V1894" s="12" t="str">
        <x:v>1号车</x:v>
      </x:c>
      <x:c r="W1894" s="12" t="str">
        <x:v>秒级预测</x:v>
      </x:c>
      <x:c r="X1894" s="12" t="str">
        <x:v>基于路线秒级参数；如录入实测或手动采用秒，预计到达时间可随公式更新</x:v>
      </x:c>
    </x:row>
    <x:row r="1895">
      <x:c r="A1895" s="12" t="str">
        <x:v>S0163-04</x:v>
      </x:c>
      <x:c r="B1895" s="12" t="str">
        <x:v>S0163</x:v>
      </x:c>
      <x:c r="C1895" s="12" t="str">
        <x:v>周末/节假日</x:v>
      </x:c>
      <x:c r="D1895" s="12" t="str">
        <x:v>环线2路</x:v>
      </x:c>
      <x:c r="E1895" s="12" t="str">
        <x:v>第一班</x:v>
      </x:c>
      <x:c r="F1895" s="12" t="n">
        <x:v>7</x:v>
      </x:c>
      <x:c r="G1895" s="12" t="str">
        <x:v>12:00</x:v>
      </x:c>
      <x:c r="H1895" s="12" t="n">
        <x:v>720</x:v>
      </x:c>
      <x:c r="I1895" s="12" t="str">
        <x:v>研究生宿舍楼</x:v>
      </x:c>
      <x:c r="J1895" s="12" t="str">
        <x:v>研究生宿舍楼发车</x:v>
      </x:c>
      <x:c r="K1895" s="12" t="str">
        <x:v>HX2_NORMAL</x:v>
      </x:c>
      <x:c r="L1895" s="12" t="n">
        <x:v>4</x:v>
      </x:c>
      <x:c r="M1895" s="12" t="str">
        <x:v>HX2_NORMAL|4</x:v>
      </x:c>
      <x:c r="N1895" s="12" t="str">
        <x:v>1号宿舍楼</x:v>
      </x:c>
      <x:c r="O1895" s="12" t="n">
        <x:f>IFERROR(INDEX('秒级路线参数_可调整'!$O:$O,MATCH(M1895,'秒级路线参数_可调整'!$A:$A,0)),"")</x:f>
        <x:v>165</x:v>
      </x:c>
      <x:c r="P1895" s="12" t="n">
        <x:f>IF(O1895="","",O1895/86400)</x:f>
        <x:v>0.0019097222222222222</x:v>
      </x:c>
      <x:c r="Q1895" s="12" t="n">
        <x:f>IF(O1895="","",(H1895*60+O1895)/86400)</x:f>
        <x:v>0.5019097222222222</x:v>
      </x:c>
      <x:c r="R1895" s="12" t="str">
        <x:f>IF(Q1895="","",TEXT(Q1895,"hh:mm:ss"))</x:f>
        <x:v>12:02:45</x:v>
      </x:c>
      <x:c r="S1895" s="12" t="str">
        <x:v>否</x:v>
      </x:c>
      <x:c r="T1895" s="12" t="str">
        <x:v>否</x:v>
      </x:c>
      <x:c r="U1895" s="12" t="str">
        <x:v>刘晓燕</x:v>
      </x:c>
      <x:c r="V1895" s="12" t="str">
        <x:v>1号车</x:v>
      </x:c>
      <x:c r="W1895" s="12" t="str">
        <x:v>秒级预测</x:v>
      </x:c>
      <x:c r="X1895" s="12" t="str">
        <x:v>基于路线秒级参数；如录入实测或手动采用秒，预计到达时间可随公式更新</x:v>
      </x:c>
    </x:row>
    <x:row r="1896">
      <x:c r="A1896" s="12" t="str">
        <x:v>S0163-05</x:v>
      </x:c>
      <x:c r="B1896" s="12" t="str">
        <x:v>S0163</x:v>
      </x:c>
      <x:c r="C1896" s="12" t="str">
        <x:v>周末/节假日</x:v>
      </x:c>
      <x:c r="D1896" s="12" t="str">
        <x:v>环线2路</x:v>
      </x:c>
      <x:c r="E1896" s="12" t="str">
        <x:v>第一班</x:v>
      </x:c>
      <x:c r="F1896" s="12" t="n">
        <x:v>7</x:v>
      </x:c>
      <x:c r="G1896" s="12" t="str">
        <x:v>12:00</x:v>
      </x:c>
      <x:c r="H1896" s="12" t="n">
        <x:v>720</x:v>
      </x:c>
      <x:c r="I1896" s="12" t="str">
        <x:v>研究生宿舍楼</x:v>
      </x:c>
      <x:c r="J1896" s="12" t="str">
        <x:v>研究生宿舍楼发车</x:v>
      </x:c>
      <x:c r="K1896" s="12" t="str">
        <x:v>HX2_NORMAL</x:v>
      </x:c>
      <x:c r="L1896" s="12" t="n">
        <x:v>5</x:v>
      </x:c>
      <x:c r="M1896" s="12" t="str">
        <x:v>HX2_NORMAL|5</x:v>
      </x:c>
      <x:c r="N1896" s="12" t="str">
        <x:v>水上训练中心</x:v>
      </x:c>
      <x:c r="O1896" s="12" t="n">
        <x:f>IFERROR(INDEX('秒级路线参数_可调整'!$O:$O,MATCH(M1896,'秒级路线参数_可调整'!$A:$A,0)),"")</x:f>
        <x:v>250</x:v>
      </x:c>
      <x:c r="P1896" s="12" t="n">
        <x:f>IF(O1896="","",O1896/86400)</x:f>
        <x:v>0.0028935185185185184</x:v>
      </x:c>
      <x:c r="Q1896" s="12" t="n">
        <x:f>IF(O1896="","",(H1896*60+O1896)/86400)</x:f>
        <x:v>0.5028935185185185</x:v>
      </x:c>
      <x:c r="R1896" s="12" t="str">
        <x:f>IF(Q1896="","",TEXT(Q1896,"hh:mm:ss"))</x:f>
        <x:v>12:04:10</x:v>
      </x:c>
      <x:c r="S1896" s="12" t="str">
        <x:v>否</x:v>
      </x:c>
      <x:c r="T1896" s="12" t="str">
        <x:v>否</x:v>
      </x:c>
      <x:c r="U1896" s="12" t="str">
        <x:v>刘晓燕</x:v>
      </x:c>
      <x:c r="V1896" s="12" t="str">
        <x:v>1号车</x:v>
      </x:c>
      <x:c r="W1896" s="12" t="str">
        <x:v>秒级预测</x:v>
      </x:c>
      <x:c r="X1896" s="12" t="str">
        <x:v>基于路线秒级参数；如录入实测或手动采用秒，预计到达时间可随公式更新</x:v>
      </x:c>
    </x:row>
    <x:row r="1897">
      <x:c r="A1897" s="12" t="str">
        <x:v>S0163-06</x:v>
      </x:c>
      <x:c r="B1897" s="12" t="str">
        <x:v>S0163</x:v>
      </x:c>
      <x:c r="C1897" s="12" t="str">
        <x:v>周末/节假日</x:v>
      </x:c>
      <x:c r="D1897" s="12" t="str">
        <x:v>环线2路</x:v>
      </x:c>
      <x:c r="E1897" s="12" t="str">
        <x:v>第一班</x:v>
      </x:c>
      <x:c r="F1897" s="12" t="n">
        <x:v>7</x:v>
      </x:c>
      <x:c r="G1897" s="12" t="str">
        <x:v>12:00</x:v>
      </x:c>
      <x:c r="H1897" s="12" t="n">
        <x:v>720</x:v>
      </x:c>
      <x:c r="I1897" s="12" t="str">
        <x:v>研究生宿舍楼</x:v>
      </x:c>
      <x:c r="J1897" s="12" t="str">
        <x:v>研究生宿舍楼发车</x:v>
      </x:c>
      <x:c r="K1897" s="12" t="str">
        <x:v>HX2_NORMAL</x:v>
      </x:c>
      <x:c r="L1897" s="12" t="n">
        <x:v>6</x:v>
      </x:c>
      <x:c r="M1897" s="12" t="str">
        <x:v>HX2_NORMAL|6</x:v>
      </x:c>
      <x:c r="N1897" s="12" t="str">
        <x:v>军体活动中心</x:v>
      </x:c>
      <x:c r="O1897" s="12" t="n">
        <x:f>IFERROR(INDEX('秒级路线参数_可调整'!$O:$O,MATCH(M1897,'秒级路线参数_可调整'!$A:$A,0)),"")</x:f>
        <x:v>315</x:v>
      </x:c>
      <x:c r="P1897" s="12" t="n">
        <x:f>IF(O1897="","",O1897/86400)</x:f>
        <x:v>0.0036458333333333334</x:v>
      </x:c>
      <x:c r="Q1897" s="12" t="n">
        <x:f>IF(O1897="","",(H1897*60+O1897)/86400)</x:f>
        <x:v>0.5036458333333333</x:v>
      </x:c>
      <x:c r="R1897" s="12" t="str">
        <x:f>IF(Q1897="","",TEXT(Q1897,"hh:mm:ss"))</x:f>
        <x:v>12:05:15</x:v>
      </x:c>
      <x:c r="S1897" s="12" t="str">
        <x:v>否</x:v>
      </x:c>
      <x:c r="T1897" s="12" t="str">
        <x:v>否</x:v>
      </x:c>
      <x:c r="U1897" s="12" t="str">
        <x:v>刘晓燕</x:v>
      </x:c>
      <x:c r="V1897" s="12" t="str">
        <x:v>1号车</x:v>
      </x:c>
      <x:c r="W1897" s="12" t="str">
        <x:v>秒级预测</x:v>
      </x:c>
      <x:c r="X1897" s="12" t="str">
        <x:v>基于路线秒级参数；如录入实测或手动采用秒，预计到达时间可随公式更新</x:v>
      </x:c>
    </x:row>
    <x:row r="1898">
      <x:c r="A1898" s="12" t="str">
        <x:v>S0163-07</x:v>
      </x:c>
      <x:c r="B1898" s="12" t="str">
        <x:v>S0163</x:v>
      </x:c>
      <x:c r="C1898" s="12" t="str">
        <x:v>周末/节假日</x:v>
      </x:c>
      <x:c r="D1898" s="12" t="str">
        <x:v>环线2路</x:v>
      </x:c>
      <x:c r="E1898" s="12" t="str">
        <x:v>第一班</x:v>
      </x:c>
      <x:c r="F1898" s="12" t="n">
        <x:v>7</x:v>
      </x:c>
      <x:c r="G1898" s="12" t="str">
        <x:v>12:00</x:v>
      </x:c>
      <x:c r="H1898" s="12" t="n">
        <x:v>720</x:v>
      </x:c>
      <x:c r="I1898" s="12" t="str">
        <x:v>研究生宿舍楼</x:v>
      </x:c>
      <x:c r="J1898" s="12" t="str">
        <x:v>研究生宿舍楼发车</x:v>
      </x:c>
      <x:c r="K1898" s="12" t="str">
        <x:v>HX2_NORMAL</x:v>
      </x:c>
      <x:c r="L1898" s="12" t="n">
        <x:v>7</x:v>
      </x:c>
      <x:c r="M1898" s="12" t="str">
        <x:v>HX2_NORMAL|7</x:v>
      </x:c>
      <x:c r="N1898" s="12" t="str">
        <x:v>二食堂</x:v>
      </x:c>
      <x:c r="O1898" s="12" t="n">
        <x:f>IFERROR(INDEX('秒级路线参数_可调整'!$O:$O,MATCH(M1898,'秒级路线参数_可调整'!$A:$A,0)),"")</x:f>
        <x:v>420</x:v>
      </x:c>
      <x:c r="P1898" s="12" t="n">
        <x:f>IF(O1898="","",O1898/86400)</x:f>
        <x:v>0.004861111111111111</x:v>
      </x:c>
      <x:c r="Q1898" s="12" t="n">
        <x:f>IF(O1898="","",(H1898*60+O1898)/86400)</x:f>
        <x:v>0.5048611111111111</x:v>
      </x:c>
      <x:c r="R1898" s="12" t="str">
        <x:f>IF(Q1898="","",TEXT(Q1898,"hh:mm:ss"))</x:f>
        <x:v>12:07:00</x:v>
      </x:c>
      <x:c r="S1898" s="12" t="str">
        <x:v>否</x:v>
      </x:c>
      <x:c r="T1898" s="12" t="str">
        <x:v>否</x:v>
      </x:c>
      <x:c r="U1898" s="12" t="str">
        <x:v>刘晓燕</x:v>
      </x:c>
      <x:c r="V1898" s="12" t="str">
        <x:v>1号车</x:v>
      </x:c>
      <x:c r="W1898" s="12" t="str">
        <x:v>秒级预测</x:v>
      </x:c>
      <x:c r="X1898" s="12" t="str">
        <x:v>基于路线秒级参数；如录入实测或手动采用秒，预计到达时间可随公式更新</x:v>
      </x:c>
    </x:row>
    <x:row r="1899">
      <x:c r="A1899" s="12" t="str">
        <x:v>S0163-08</x:v>
      </x:c>
      <x:c r="B1899" s="12" t="str">
        <x:v>S0163</x:v>
      </x:c>
      <x:c r="C1899" s="12" t="str">
        <x:v>周末/节假日</x:v>
      </x:c>
      <x:c r="D1899" s="12" t="str">
        <x:v>环线2路</x:v>
      </x:c>
      <x:c r="E1899" s="12" t="str">
        <x:v>第一班</x:v>
      </x:c>
      <x:c r="F1899" s="12" t="n">
        <x:v>7</x:v>
      </x:c>
      <x:c r="G1899" s="12" t="str">
        <x:v>12:00</x:v>
      </x:c>
      <x:c r="H1899" s="12" t="n">
        <x:v>720</x:v>
      </x:c>
      <x:c r="I1899" s="12" t="str">
        <x:v>研究生宿舍楼</x:v>
      </x:c>
      <x:c r="J1899" s="12" t="str">
        <x:v>研究生宿舍楼发车</x:v>
      </x:c>
      <x:c r="K1899" s="12" t="str">
        <x:v>HX2_NORMAL</x:v>
      </x:c>
      <x:c r="L1899" s="12" t="n">
        <x:v>8</x:v>
      </x:c>
      <x:c r="M1899" s="12" t="str">
        <x:v>HX2_NORMAL|8</x:v>
      </x:c>
      <x:c r="N1899" s="12" t="str">
        <x:v>5号宿舍楼</x:v>
      </x:c>
      <x:c r="O1899" s="12" t="n">
        <x:f>IFERROR(INDEX('秒级路线参数_可调整'!$O:$O,MATCH(M1899,'秒级路线参数_可调整'!$A:$A,0)),"")</x:f>
        <x:v>480</x:v>
      </x:c>
      <x:c r="P1899" s="12" t="n">
        <x:f>IF(O1899="","",O1899/86400)</x:f>
        <x:v>0.005555555555555556</x:v>
      </x:c>
      <x:c r="Q1899" s="12" t="n">
        <x:f>IF(O1899="","",(H1899*60+O1899)/86400)</x:f>
        <x:v>0.5055555555555555</x:v>
      </x:c>
      <x:c r="R1899" s="12" t="str">
        <x:f>IF(Q1899="","",TEXT(Q1899,"hh:mm:ss"))</x:f>
        <x:v>12:08:00</x:v>
      </x:c>
      <x:c r="S1899" s="12" t="str">
        <x:v>否</x:v>
      </x:c>
      <x:c r="T1899" s="12" t="str">
        <x:v>否</x:v>
      </x:c>
      <x:c r="U1899" s="12" t="str">
        <x:v>刘晓燕</x:v>
      </x:c>
      <x:c r="V1899" s="12" t="str">
        <x:v>1号车</x:v>
      </x:c>
      <x:c r="W1899" s="12" t="str">
        <x:v>秒级预测</x:v>
      </x:c>
      <x:c r="X1899" s="12" t="str">
        <x:v>基于路线秒级参数；如录入实测或手动采用秒，预计到达时间可随公式更新</x:v>
      </x:c>
    </x:row>
    <x:row r="1900">
      <x:c r="A1900" s="12" t="str">
        <x:v>S0163-09</x:v>
      </x:c>
      <x:c r="B1900" s="12" t="str">
        <x:v>S0163</x:v>
      </x:c>
      <x:c r="C1900" s="12" t="str">
        <x:v>周末/节假日</x:v>
      </x:c>
      <x:c r="D1900" s="12" t="str">
        <x:v>环线2路</x:v>
      </x:c>
      <x:c r="E1900" s="12" t="str">
        <x:v>第一班</x:v>
      </x:c>
      <x:c r="F1900" s="12" t="n">
        <x:v>7</x:v>
      </x:c>
      <x:c r="G1900" s="12" t="str">
        <x:v>12:00</x:v>
      </x:c>
      <x:c r="H1900" s="12" t="n">
        <x:v>720</x:v>
      </x:c>
      <x:c r="I1900" s="12" t="str">
        <x:v>研究生宿舍楼</x:v>
      </x:c>
      <x:c r="J1900" s="12" t="str">
        <x:v>研究生宿舍楼发车</x:v>
      </x:c>
      <x:c r="K1900" s="12" t="str">
        <x:v>HX2_NORMAL</x:v>
      </x:c>
      <x:c r="L1900" s="12" t="n">
        <x:v>9</x:v>
      </x:c>
      <x:c r="M1900" s="12" t="str">
        <x:v>HX2_NORMAL|9</x:v>
      </x:c>
      <x:c r="N1900" s="12" t="str">
        <x:v>305教学楼</x:v>
      </x:c>
      <x:c r="O1900" s="12" t="n">
        <x:f>IFERROR(INDEX('秒级路线参数_可调整'!$O:$O,MATCH(M1900,'秒级路线参数_可调整'!$A:$A,0)),"")</x:f>
        <x:v>535</x:v>
      </x:c>
      <x:c r="P1900" s="12" t="n">
        <x:f>IF(O1900="","",O1900/86400)</x:f>
        <x:v>0.00619212962962963</x:v>
      </x:c>
      <x:c r="Q1900" s="12" t="n">
        <x:f>IF(O1900="","",(H1900*60+O1900)/86400)</x:f>
        <x:v>0.5061921296296297</x:v>
      </x:c>
      <x:c r="R1900" s="12" t="str">
        <x:f>IF(Q1900="","",TEXT(Q1900,"hh:mm:ss"))</x:f>
        <x:v>12:08:55</x:v>
      </x:c>
      <x:c r="S1900" s="12" t="str">
        <x:v>否</x:v>
      </x:c>
      <x:c r="T1900" s="12" t="str">
        <x:v>否</x:v>
      </x:c>
      <x:c r="U1900" s="12" t="str">
        <x:v>刘晓燕</x:v>
      </x:c>
      <x:c r="V1900" s="12" t="str">
        <x:v>1号车</x:v>
      </x:c>
      <x:c r="W1900" s="12" t="str">
        <x:v>秒级预测</x:v>
      </x:c>
      <x:c r="X1900" s="12" t="str">
        <x:v>基于路线秒级参数；如录入实测或手动采用秒，预计到达时间可随公式更新</x:v>
      </x:c>
    </x:row>
    <x:row r="1901">
      <x:c r="A1901" s="12" t="str">
        <x:v>S0163-10</x:v>
      </x:c>
      <x:c r="B1901" s="12" t="str">
        <x:v>S0163</x:v>
      </x:c>
      <x:c r="C1901" s="12" t="str">
        <x:v>周末/节假日</x:v>
      </x:c>
      <x:c r="D1901" s="12" t="str">
        <x:v>环线2路</x:v>
      </x:c>
      <x:c r="E1901" s="12" t="str">
        <x:v>第一班</x:v>
      </x:c>
      <x:c r="F1901" s="12" t="n">
        <x:v>7</x:v>
      </x:c>
      <x:c r="G1901" s="12" t="str">
        <x:v>12:00</x:v>
      </x:c>
      <x:c r="H1901" s="12" t="n">
        <x:v>720</x:v>
      </x:c>
      <x:c r="I1901" s="12" t="str">
        <x:v>研究生宿舍楼</x:v>
      </x:c>
      <x:c r="J1901" s="12" t="str">
        <x:v>研究生宿舍楼发车</x:v>
      </x:c>
      <x:c r="K1901" s="12" t="str">
        <x:v>HX2_NORMAL</x:v>
      </x:c>
      <x:c r="L1901" s="12" t="n">
        <x:v>10</x:v>
      </x:c>
      <x:c r="M1901" s="12" t="str">
        <x:v>HX2_NORMAL|10</x:v>
      </x:c>
      <x:c r="N1901" s="12" t="str">
        <x:v>研究生宿舍楼</x:v>
      </x:c>
      <x:c r="O1901" s="12" t="n">
        <x:f>IFERROR(INDEX('秒级路线参数_可调整'!$O:$O,MATCH(M1901,'秒级路线参数_可调整'!$A:$A,0)),"")</x:f>
        <x:v>715</x:v>
      </x:c>
      <x:c r="P1901" s="12" t="n">
        <x:f>IF(O1901="","",O1901/86400)</x:f>
        <x:v>0.008275462962962964</x:v>
      </x:c>
      <x:c r="Q1901" s="12" t="n">
        <x:f>IF(O1901="","",(H1901*60+O1901)/86400)</x:f>
        <x:v>0.508275462962963</x:v>
      </x:c>
      <x:c r="R1901" s="12" t="str">
        <x:f>IF(Q1901="","",TEXT(Q1901,"hh:mm:ss"))</x:f>
        <x:v>12:11:55</x:v>
      </x:c>
      <x:c r="S1901" s="12" t="str">
        <x:v>否</x:v>
      </x:c>
      <x:c r="T1901" s="12" t="str">
        <x:v>是</x:v>
      </x:c>
      <x:c r="U1901" s="12" t="str">
        <x:v>刘晓燕</x:v>
      </x:c>
      <x:c r="V1901" s="12" t="str">
        <x:v>1号车</x:v>
      </x:c>
      <x:c r="W1901" s="12" t="str">
        <x:v>秒级预测</x:v>
      </x:c>
      <x:c r="X1901" s="12" t="str">
        <x:v>基于路线秒级参数；如录入实测或手动采用秒，预计到达时间可随公式更新</x:v>
      </x:c>
    </x:row>
    <x:row r="1902">
      <x:c r="A1902" s="12" t="str">
        <x:v>S0164-01</x:v>
      </x:c>
      <x:c r="B1902" s="12" t="str">
        <x:v>S0164</x:v>
      </x:c>
      <x:c r="C1902" s="12" t="str">
        <x:v>周末/节假日</x:v>
      </x:c>
      <x:c r="D1902" s="12" t="str">
        <x:v>环线2路</x:v>
      </x:c>
      <x:c r="E1902" s="12" t="str">
        <x:v>第一班</x:v>
      </x:c>
      <x:c r="F1902" s="12" t="n">
        <x:v>8</x:v>
      </x:c>
      <x:c r="G1902" s="12" t="str">
        <x:v>12:30</x:v>
      </x:c>
      <x:c r="H1902" s="12" t="n">
        <x:v>750</x:v>
      </x:c>
      <x:c r="I1902" s="12" t="str">
        <x:v>研究生宿舍楼</x:v>
      </x:c>
      <x:c r="J1902" s="12" t="str">
        <x:v>研究生宿舍楼发车</x:v>
      </x:c>
      <x:c r="K1902" s="12" t="str">
        <x:v>HX2_NORMAL</x:v>
      </x:c>
      <x:c r="L1902" s="12" t="n">
        <x:v>1</x:v>
      </x:c>
      <x:c r="M1902" s="12" t="str">
        <x:v>HX2_NORMAL|1</x:v>
      </x:c>
      <x:c r="N1902" s="12" t="str">
        <x:v>研究生宿舍楼</x:v>
      </x:c>
      <x:c r="O1902" s="12" t="n">
        <x:f>IFERROR(INDEX('秒级路线参数_可调整'!$O:$O,MATCH(M1902,'秒级路线参数_可调整'!$A:$A,0)),"")</x:f>
        <x:v>0</x:v>
      </x:c>
      <x:c r="P1902" s="12" t="str">
        <x:f>IF(O1902="","",O1902/86400)</x:f>
      </x:c>
      <x:c r="Q1902" s="12" t="str">
        <x:f>IF(O1902="","",(H1902*60+O1902)/86400)</x:f>
      </x:c>
      <x:c r="R1902" s="12" t="str">
        <x:f>IF(Q1902="","",TEXT(Q1902,"hh:mm:ss"))</x:f>
      </x:c>
      <x:c r="S1902" s="12" t="str">
        <x:v>是</x:v>
      </x:c>
      <x:c r="T1902" s="12" t="str">
        <x:v>否</x:v>
      </x:c>
      <x:c r="U1902" s="12" t="str">
        <x:v>刘晓燕</x:v>
      </x:c>
      <x:c r="V1902" s="12" t="str">
        <x:v>1号车</x:v>
      </x:c>
      <x:c r="W1902" s="12" t="str">
        <x:v>秒级预测</x:v>
      </x:c>
      <x:c r="X1902" s="12" t="str">
        <x:v>基于路线秒级参数；如录入实测或手动采用秒，预计到达时间可随公式更新</x:v>
      </x:c>
    </x:row>
    <x:row r="1903">
      <x:c r="A1903" s="12" t="str">
        <x:v>S0164-02</x:v>
      </x:c>
      <x:c r="B1903" s="12" t="str">
        <x:v>S0164</x:v>
      </x:c>
      <x:c r="C1903" s="12" t="str">
        <x:v>周末/节假日</x:v>
      </x:c>
      <x:c r="D1903" s="12" t="str">
        <x:v>环线2路</x:v>
      </x:c>
      <x:c r="E1903" s="12" t="str">
        <x:v>第一班</x:v>
      </x:c>
      <x:c r="F1903" s="12" t="n">
        <x:v>8</x:v>
      </x:c>
      <x:c r="G1903" s="12" t="str">
        <x:v>12:30</x:v>
      </x:c>
      <x:c r="H1903" s="12" t="n">
        <x:v>750</x:v>
      </x:c>
      <x:c r="I1903" s="12" t="str">
        <x:v>研究生宿舍楼</x:v>
      </x:c>
      <x:c r="J1903" s="12" t="str">
        <x:v>研究生宿舍楼发车</x:v>
      </x:c>
      <x:c r="K1903" s="12" t="str">
        <x:v>HX2_NORMAL</x:v>
      </x:c>
      <x:c r="L1903" s="12" t="n">
        <x:v>2</x:v>
      </x:c>
      <x:c r="M1903" s="12" t="str">
        <x:v>HX2_NORMAL|2</x:v>
      </x:c>
      <x:c r="N1903" s="12" t="str">
        <x:v>一食堂</x:v>
      </x:c>
      <x:c r="O1903" s="12" t="n">
        <x:f>IFERROR(INDEX('秒级路线参数_可调整'!$O:$O,MATCH(M1903,'秒级路线参数_可调整'!$A:$A,0)),"")</x:f>
        <x:v>65</x:v>
      </x:c>
      <x:c r="P1903" s="12" t="n">
        <x:f>IF(O1903="","",O1903/86400)</x:f>
        <x:v>0.0007523148148148148</x:v>
      </x:c>
      <x:c r="Q1903" s="12" t="n">
        <x:f>IF(O1903="","",(H1903*60+O1903)/86400)</x:f>
        <x:v>0.5215856481481481</x:v>
      </x:c>
      <x:c r="R1903" s="12" t="str">
        <x:f>IF(Q1903="","",TEXT(Q1903,"hh:mm:ss"))</x:f>
        <x:v>12:31:05</x:v>
      </x:c>
      <x:c r="S1903" s="12" t="str">
        <x:v>否</x:v>
      </x:c>
      <x:c r="T1903" s="12" t="str">
        <x:v>否</x:v>
      </x:c>
      <x:c r="U1903" s="12" t="str">
        <x:v>刘晓燕</x:v>
      </x:c>
      <x:c r="V1903" s="12" t="str">
        <x:v>1号车</x:v>
      </x:c>
      <x:c r="W1903" s="12" t="str">
        <x:v>秒级预测</x:v>
      </x:c>
      <x:c r="X1903" s="12" t="str">
        <x:v>基于路线秒级参数；如录入实测或手动采用秒，预计到达时间可随公式更新</x:v>
      </x:c>
    </x:row>
    <x:row r="1904">
      <x:c r="A1904" s="12" t="str">
        <x:v>S0164-03</x:v>
      </x:c>
      <x:c r="B1904" s="12" t="str">
        <x:v>S0164</x:v>
      </x:c>
      <x:c r="C1904" s="12" t="str">
        <x:v>周末/节假日</x:v>
      </x:c>
      <x:c r="D1904" s="12" t="str">
        <x:v>环线2路</x:v>
      </x:c>
      <x:c r="E1904" s="12" t="str">
        <x:v>第一班</x:v>
      </x:c>
      <x:c r="F1904" s="12" t="n">
        <x:v>8</x:v>
      </x:c>
      <x:c r="G1904" s="12" t="str">
        <x:v>12:30</x:v>
      </x:c>
      <x:c r="H1904" s="12" t="n">
        <x:v>750</x:v>
      </x:c>
      <x:c r="I1904" s="12" t="str">
        <x:v>研究生宿舍楼</x:v>
      </x:c>
      <x:c r="J1904" s="12" t="str">
        <x:v>研究生宿舍楼发车</x:v>
      </x:c>
      <x:c r="K1904" s="12" t="str">
        <x:v>HX2_NORMAL</x:v>
      </x:c>
      <x:c r="L1904" s="12" t="n">
        <x:v>3</x:v>
      </x:c>
      <x:c r="M1904" s="12" t="str">
        <x:v>HX2_NORMAL|3</x:v>
      </x:c>
      <x:c r="N1904" s="12" t="str">
        <x:v>门诊部</x:v>
      </x:c>
      <x:c r="O1904" s="12" t="n">
        <x:f>IFERROR(INDEX('秒级路线参数_可调整'!$O:$O,MATCH(M1904,'秒级路线参数_可调整'!$A:$A,0)),"")</x:f>
        <x:v>120</x:v>
      </x:c>
      <x:c r="P1904" s="12" t="n">
        <x:f>IF(O1904="","",O1904/86400)</x:f>
        <x:v>0.001388888888888889</x:v>
      </x:c>
      <x:c r="Q1904" s="12" t="n">
        <x:f>IF(O1904="","",(H1904*60+O1904)/86400)</x:f>
        <x:v>0.5222222222222223</x:v>
      </x:c>
      <x:c r="R1904" s="12" t="str">
        <x:f>IF(Q1904="","",TEXT(Q1904,"hh:mm:ss"))</x:f>
        <x:v>12:32:00</x:v>
      </x:c>
      <x:c r="S1904" s="12" t="str">
        <x:v>否</x:v>
      </x:c>
      <x:c r="T1904" s="12" t="str">
        <x:v>否</x:v>
      </x:c>
      <x:c r="U1904" s="12" t="str">
        <x:v>刘晓燕</x:v>
      </x:c>
      <x:c r="V1904" s="12" t="str">
        <x:v>1号车</x:v>
      </x:c>
      <x:c r="W1904" s="12" t="str">
        <x:v>秒级预测</x:v>
      </x:c>
      <x:c r="X1904" s="12" t="str">
        <x:v>基于路线秒级参数；如录入实测或手动采用秒，预计到达时间可随公式更新</x:v>
      </x:c>
    </x:row>
    <x:row r="1905">
      <x:c r="A1905" s="12" t="str">
        <x:v>S0164-04</x:v>
      </x:c>
      <x:c r="B1905" s="12" t="str">
        <x:v>S0164</x:v>
      </x:c>
      <x:c r="C1905" s="12" t="str">
        <x:v>周末/节假日</x:v>
      </x:c>
      <x:c r="D1905" s="12" t="str">
        <x:v>环线2路</x:v>
      </x:c>
      <x:c r="E1905" s="12" t="str">
        <x:v>第一班</x:v>
      </x:c>
      <x:c r="F1905" s="12" t="n">
        <x:v>8</x:v>
      </x:c>
      <x:c r="G1905" s="12" t="str">
        <x:v>12:30</x:v>
      </x:c>
      <x:c r="H1905" s="12" t="n">
        <x:v>750</x:v>
      </x:c>
      <x:c r="I1905" s="12" t="str">
        <x:v>研究生宿舍楼</x:v>
      </x:c>
      <x:c r="J1905" s="12" t="str">
        <x:v>研究生宿舍楼发车</x:v>
      </x:c>
      <x:c r="K1905" s="12" t="str">
        <x:v>HX2_NORMAL</x:v>
      </x:c>
      <x:c r="L1905" s="12" t="n">
        <x:v>4</x:v>
      </x:c>
      <x:c r="M1905" s="12" t="str">
        <x:v>HX2_NORMAL|4</x:v>
      </x:c>
      <x:c r="N1905" s="12" t="str">
        <x:v>1号宿舍楼</x:v>
      </x:c>
      <x:c r="O1905" s="12" t="n">
        <x:f>IFERROR(INDEX('秒级路线参数_可调整'!$O:$O,MATCH(M1905,'秒级路线参数_可调整'!$A:$A,0)),"")</x:f>
        <x:v>165</x:v>
      </x:c>
      <x:c r="P1905" s="12" t="n">
        <x:f>IF(O1905="","",O1905/86400)</x:f>
        <x:v>0.0019097222222222222</x:v>
      </x:c>
      <x:c r="Q1905" s="12" t="n">
        <x:f>IF(O1905="","",(H1905*60+O1905)/86400)</x:f>
        <x:v>0.5227430555555556</x:v>
      </x:c>
      <x:c r="R1905" s="12" t="str">
        <x:f>IF(Q1905="","",TEXT(Q1905,"hh:mm:ss"))</x:f>
        <x:v>12:32:45</x:v>
      </x:c>
      <x:c r="S1905" s="12" t="str">
        <x:v>否</x:v>
      </x:c>
      <x:c r="T1905" s="12" t="str">
        <x:v>否</x:v>
      </x:c>
      <x:c r="U1905" s="12" t="str">
        <x:v>刘晓燕</x:v>
      </x:c>
      <x:c r="V1905" s="12" t="str">
        <x:v>1号车</x:v>
      </x:c>
      <x:c r="W1905" s="12" t="str">
        <x:v>秒级预测</x:v>
      </x:c>
      <x:c r="X1905" s="12" t="str">
        <x:v>基于路线秒级参数；如录入实测或手动采用秒，预计到达时间可随公式更新</x:v>
      </x:c>
    </x:row>
    <x:row r="1906">
      <x:c r="A1906" s="12" t="str">
        <x:v>S0164-05</x:v>
      </x:c>
      <x:c r="B1906" s="12" t="str">
        <x:v>S0164</x:v>
      </x:c>
      <x:c r="C1906" s="12" t="str">
        <x:v>周末/节假日</x:v>
      </x:c>
      <x:c r="D1906" s="12" t="str">
        <x:v>环线2路</x:v>
      </x:c>
      <x:c r="E1906" s="12" t="str">
        <x:v>第一班</x:v>
      </x:c>
      <x:c r="F1906" s="12" t="n">
        <x:v>8</x:v>
      </x:c>
      <x:c r="G1906" s="12" t="str">
        <x:v>12:30</x:v>
      </x:c>
      <x:c r="H1906" s="12" t="n">
        <x:v>750</x:v>
      </x:c>
      <x:c r="I1906" s="12" t="str">
        <x:v>研究生宿舍楼</x:v>
      </x:c>
      <x:c r="J1906" s="12" t="str">
        <x:v>研究生宿舍楼发车</x:v>
      </x:c>
      <x:c r="K1906" s="12" t="str">
        <x:v>HX2_NORMAL</x:v>
      </x:c>
      <x:c r="L1906" s="12" t="n">
        <x:v>5</x:v>
      </x:c>
      <x:c r="M1906" s="12" t="str">
        <x:v>HX2_NORMAL|5</x:v>
      </x:c>
      <x:c r="N1906" s="12" t="str">
        <x:v>水上训练中心</x:v>
      </x:c>
      <x:c r="O1906" s="12" t="n">
        <x:f>IFERROR(INDEX('秒级路线参数_可调整'!$O:$O,MATCH(M1906,'秒级路线参数_可调整'!$A:$A,0)),"")</x:f>
        <x:v>250</x:v>
      </x:c>
      <x:c r="P1906" s="12" t="n">
        <x:f>IF(O1906="","",O1906/86400)</x:f>
        <x:v>0.0028935185185185184</x:v>
      </x:c>
      <x:c r="Q1906" s="12" t="n">
        <x:f>IF(O1906="","",(H1906*60+O1906)/86400)</x:f>
        <x:v>0.5237268518518519</x:v>
      </x:c>
      <x:c r="R1906" s="12" t="str">
        <x:f>IF(Q1906="","",TEXT(Q1906,"hh:mm:ss"))</x:f>
        <x:v>12:34:10</x:v>
      </x:c>
      <x:c r="S1906" s="12" t="str">
        <x:v>否</x:v>
      </x:c>
      <x:c r="T1906" s="12" t="str">
        <x:v>否</x:v>
      </x:c>
      <x:c r="U1906" s="12" t="str">
        <x:v>刘晓燕</x:v>
      </x:c>
      <x:c r="V1906" s="12" t="str">
        <x:v>1号车</x:v>
      </x:c>
      <x:c r="W1906" s="12" t="str">
        <x:v>秒级预测</x:v>
      </x:c>
      <x:c r="X1906" s="12" t="str">
        <x:v>基于路线秒级参数；如录入实测或手动采用秒，预计到达时间可随公式更新</x:v>
      </x:c>
    </x:row>
    <x:row r="1907">
      <x:c r="A1907" s="12" t="str">
        <x:v>S0164-06</x:v>
      </x:c>
      <x:c r="B1907" s="12" t="str">
        <x:v>S0164</x:v>
      </x:c>
      <x:c r="C1907" s="12" t="str">
        <x:v>周末/节假日</x:v>
      </x:c>
      <x:c r="D1907" s="12" t="str">
        <x:v>环线2路</x:v>
      </x:c>
      <x:c r="E1907" s="12" t="str">
        <x:v>第一班</x:v>
      </x:c>
      <x:c r="F1907" s="12" t="n">
        <x:v>8</x:v>
      </x:c>
      <x:c r="G1907" s="12" t="str">
        <x:v>12:30</x:v>
      </x:c>
      <x:c r="H1907" s="12" t="n">
        <x:v>750</x:v>
      </x:c>
      <x:c r="I1907" s="12" t="str">
        <x:v>研究生宿舍楼</x:v>
      </x:c>
      <x:c r="J1907" s="12" t="str">
        <x:v>研究生宿舍楼发车</x:v>
      </x:c>
      <x:c r="K1907" s="12" t="str">
        <x:v>HX2_NORMAL</x:v>
      </x:c>
      <x:c r="L1907" s="12" t="n">
        <x:v>6</x:v>
      </x:c>
      <x:c r="M1907" s="12" t="str">
        <x:v>HX2_NORMAL|6</x:v>
      </x:c>
      <x:c r="N1907" s="12" t="str">
        <x:v>军体活动中心</x:v>
      </x:c>
      <x:c r="O1907" s="12" t="n">
        <x:f>IFERROR(INDEX('秒级路线参数_可调整'!$O:$O,MATCH(M1907,'秒级路线参数_可调整'!$A:$A,0)),"")</x:f>
        <x:v>315</x:v>
      </x:c>
      <x:c r="P1907" s="12" t="n">
        <x:f>IF(O1907="","",O1907/86400)</x:f>
        <x:v>0.0036458333333333334</x:v>
      </x:c>
      <x:c r="Q1907" s="12" t="n">
        <x:f>IF(O1907="","",(H1907*60+O1907)/86400)</x:f>
        <x:v>0.5244791666666667</x:v>
      </x:c>
      <x:c r="R1907" s="12" t="str">
        <x:f>IF(Q1907="","",TEXT(Q1907,"hh:mm:ss"))</x:f>
        <x:v>12:35:15</x:v>
      </x:c>
      <x:c r="S1907" s="12" t="str">
        <x:v>否</x:v>
      </x:c>
      <x:c r="T1907" s="12" t="str">
        <x:v>否</x:v>
      </x:c>
      <x:c r="U1907" s="12" t="str">
        <x:v>刘晓燕</x:v>
      </x:c>
      <x:c r="V1907" s="12" t="str">
        <x:v>1号车</x:v>
      </x:c>
      <x:c r="W1907" s="12" t="str">
        <x:v>秒级预测</x:v>
      </x:c>
      <x:c r="X1907" s="12" t="str">
        <x:v>基于路线秒级参数；如录入实测或手动采用秒，预计到达时间可随公式更新</x:v>
      </x:c>
    </x:row>
    <x:row r="1908">
      <x:c r="A1908" s="12" t="str">
        <x:v>S0164-07</x:v>
      </x:c>
      <x:c r="B1908" s="12" t="str">
        <x:v>S0164</x:v>
      </x:c>
      <x:c r="C1908" s="12" t="str">
        <x:v>周末/节假日</x:v>
      </x:c>
      <x:c r="D1908" s="12" t="str">
        <x:v>环线2路</x:v>
      </x:c>
      <x:c r="E1908" s="12" t="str">
        <x:v>第一班</x:v>
      </x:c>
      <x:c r="F1908" s="12" t="n">
        <x:v>8</x:v>
      </x:c>
      <x:c r="G1908" s="12" t="str">
        <x:v>12:30</x:v>
      </x:c>
      <x:c r="H1908" s="12" t="n">
        <x:v>750</x:v>
      </x:c>
      <x:c r="I1908" s="12" t="str">
        <x:v>研究生宿舍楼</x:v>
      </x:c>
      <x:c r="J1908" s="12" t="str">
        <x:v>研究生宿舍楼发车</x:v>
      </x:c>
      <x:c r="K1908" s="12" t="str">
        <x:v>HX2_NORMAL</x:v>
      </x:c>
      <x:c r="L1908" s="12" t="n">
        <x:v>7</x:v>
      </x:c>
      <x:c r="M1908" s="12" t="str">
        <x:v>HX2_NORMAL|7</x:v>
      </x:c>
      <x:c r="N1908" s="12" t="str">
        <x:v>二食堂</x:v>
      </x:c>
      <x:c r="O1908" s="12" t="n">
        <x:f>IFERROR(INDEX('秒级路线参数_可调整'!$O:$O,MATCH(M1908,'秒级路线参数_可调整'!$A:$A,0)),"")</x:f>
        <x:v>420</x:v>
      </x:c>
      <x:c r="P1908" s="12" t="n">
        <x:f>IF(O1908="","",O1908/86400)</x:f>
        <x:v>0.004861111111111111</x:v>
      </x:c>
      <x:c r="Q1908" s="12" t="n">
        <x:f>IF(O1908="","",(H1908*60+O1908)/86400)</x:f>
        <x:v>0.5256944444444445</x:v>
      </x:c>
      <x:c r="R1908" s="12" t="str">
        <x:f>IF(Q1908="","",TEXT(Q1908,"hh:mm:ss"))</x:f>
        <x:v>12:37:00</x:v>
      </x:c>
      <x:c r="S1908" s="12" t="str">
        <x:v>否</x:v>
      </x:c>
      <x:c r="T1908" s="12" t="str">
        <x:v>否</x:v>
      </x:c>
      <x:c r="U1908" s="12" t="str">
        <x:v>刘晓燕</x:v>
      </x:c>
      <x:c r="V1908" s="12" t="str">
        <x:v>1号车</x:v>
      </x:c>
      <x:c r="W1908" s="12" t="str">
        <x:v>秒级预测</x:v>
      </x:c>
      <x:c r="X1908" s="12" t="str">
        <x:v>基于路线秒级参数；如录入实测或手动采用秒，预计到达时间可随公式更新</x:v>
      </x:c>
    </x:row>
    <x:row r="1909">
      <x:c r="A1909" s="12" t="str">
        <x:v>S0164-08</x:v>
      </x:c>
      <x:c r="B1909" s="12" t="str">
        <x:v>S0164</x:v>
      </x:c>
      <x:c r="C1909" s="12" t="str">
        <x:v>周末/节假日</x:v>
      </x:c>
      <x:c r="D1909" s="12" t="str">
        <x:v>环线2路</x:v>
      </x:c>
      <x:c r="E1909" s="12" t="str">
        <x:v>第一班</x:v>
      </x:c>
      <x:c r="F1909" s="12" t="n">
        <x:v>8</x:v>
      </x:c>
      <x:c r="G1909" s="12" t="str">
        <x:v>12:30</x:v>
      </x:c>
      <x:c r="H1909" s="12" t="n">
        <x:v>750</x:v>
      </x:c>
      <x:c r="I1909" s="12" t="str">
        <x:v>研究生宿舍楼</x:v>
      </x:c>
      <x:c r="J1909" s="12" t="str">
        <x:v>研究生宿舍楼发车</x:v>
      </x:c>
      <x:c r="K1909" s="12" t="str">
        <x:v>HX2_NORMAL</x:v>
      </x:c>
      <x:c r="L1909" s="12" t="n">
        <x:v>8</x:v>
      </x:c>
      <x:c r="M1909" s="12" t="str">
        <x:v>HX2_NORMAL|8</x:v>
      </x:c>
      <x:c r="N1909" s="12" t="str">
        <x:v>5号宿舍楼</x:v>
      </x:c>
      <x:c r="O1909" s="12" t="n">
        <x:f>IFERROR(INDEX('秒级路线参数_可调整'!$O:$O,MATCH(M1909,'秒级路线参数_可调整'!$A:$A,0)),"")</x:f>
        <x:v>480</x:v>
      </x:c>
      <x:c r="P1909" s="12" t="n">
        <x:f>IF(O1909="","",O1909/86400)</x:f>
        <x:v>0.005555555555555556</x:v>
      </x:c>
      <x:c r="Q1909" s="12" t="n">
        <x:f>IF(O1909="","",(H1909*60+O1909)/86400)</x:f>
        <x:v>0.5263888888888889</x:v>
      </x:c>
      <x:c r="R1909" s="12" t="str">
        <x:f>IF(Q1909="","",TEXT(Q1909,"hh:mm:ss"))</x:f>
        <x:v>12:38:00</x:v>
      </x:c>
      <x:c r="S1909" s="12" t="str">
        <x:v>否</x:v>
      </x:c>
      <x:c r="T1909" s="12" t="str">
        <x:v>否</x:v>
      </x:c>
      <x:c r="U1909" s="12" t="str">
        <x:v>刘晓燕</x:v>
      </x:c>
      <x:c r="V1909" s="12" t="str">
        <x:v>1号车</x:v>
      </x:c>
      <x:c r="W1909" s="12" t="str">
        <x:v>秒级预测</x:v>
      </x:c>
      <x:c r="X1909" s="12" t="str">
        <x:v>基于路线秒级参数；如录入实测或手动采用秒，预计到达时间可随公式更新</x:v>
      </x:c>
    </x:row>
    <x:row r="1910">
      <x:c r="A1910" s="12" t="str">
        <x:v>S0164-09</x:v>
      </x:c>
      <x:c r="B1910" s="12" t="str">
        <x:v>S0164</x:v>
      </x:c>
      <x:c r="C1910" s="12" t="str">
        <x:v>周末/节假日</x:v>
      </x:c>
      <x:c r="D1910" s="12" t="str">
        <x:v>环线2路</x:v>
      </x:c>
      <x:c r="E1910" s="12" t="str">
        <x:v>第一班</x:v>
      </x:c>
      <x:c r="F1910" s="12" t="n">
        <x:v>8</x:v>
      </x:c>
      <x:c r="G1910" s="12" t="str">
        <x:v>12:30</x:v>
      </x:c>
      <x:c r="H1910" s="12" t="n">
        <x:v>750</x:v>
      </x:c>
      <x:c r="I1910" s="12" t="str">
        <x:v>研究生宿舍楼</x:v>
      </x:c>
      <x:c r="J1910" s="12" t="str">
        <x:v>研究生宿舍楼发车</x:v>
      </x:c>
      <x:c r="K1910" s="12" t="str">
        <x:v>HX2_NORMAL</x:v>
      </x:c>
      <x:c r="L1910" s="12" t="n">
        <x:v>9</x:v>
      </x:c>
      <x:c r="M1910" s="12" t="str">
        <x:v>HX2_NORMAL|9</x:v>
      </x:c>
      <x:c r="N1910" s="12" t="str">
        <x:v>305教学楼</x:v>
      </x:c>
      <x:c r="O1910" s="12" t="n">
        <x:f>IFERROR(INDEX('秒级路线参数_可调整'!$O:$O,MATCH(M1910,'秒级路线参数_可调整'!$A:$A,0)),"")</x:f>
        <x:v>535</x:v>
      </x:c>
      <x:c r="P1910" s="12" t="n">
        <x:f>IF(O1910="","",O1910/86400)</x:f>
        <x:v>0.00619212962962963</x:v>
      </x:c>
      <x:c r="Q1910" s="12" t="n">
        <x:f>IF(O1910="","",(H1910*60+O1910)/86400)</x:f>
        <x:v>0.5270254629629629</x:v>
      </x:c>
      <x:c r="R1910" s="12" t="str">
        <x:f>IF(Q1910="","",TEXT(Q1910,"hh:mm:ss"))</x:f>
        <x:v>12:38:55</x:v>
      </x:c>
      <x:c r="S1910" s="12" t="str">
        <x:v>否</x:v>
      </x:c>
      <x:c r="T1910" s="12" t="str">
        <x:v>否</x:v>
      </x:c>
      <x:c r="U1910" s="12" t="str">
        <x:v>刘晓燕</x:v>
      </x:c>
      <x:c r="V1910" s="12" t="str">
        <x:v>1号车</x:v>
      </x:c>
      <x:c r="W1910" s="12" t="str">
        <x:v>秒级预测</x:v>
      </x:c>
      <x:c r="X1910" s="12" t="str">
        <x:v>基于路线秒级参数；如录入实测或手动采用秒，预计到达时间可随公式更新</x:v>
      </x:c>
    </x:row>
    <x:row r="1911">
      <x:c r="A1911" s="12" t="str">
        <x:v>S0164-10</x:v>
      </x:c>
      <x:c r="B1911" s="12" t="str">
        <x:v>S0164</x:v>
      </x:c>
      <x:c r="C1911" s="12" t="str">
        <x:v>周末/节假日</x:v>
      </x:c>
      <x:c r="D1911" s="12" t="str">
        <x:v>环线2路</x:v>
      </x:c>
      <x:c r="E1911" s="12" t="str">
        <x:v>第一班</x:v>
      </x:c>
      <x:c r="F1911" s="12" t="n">
        <x:v>8</x:v>
      </x:c>
      <x:c r="G1911" s="12" t="str">
        <x:v>12:30</x:v>
      </x:c>
      <x:c r="H1911" s="12" t="n">
        <x:v>750</x:v>
      </x:c>
      <x:c r="I1911" s="12" t="str">
        <x:v>研究生宿舍楼</x:v>
      </x:c>
      <x:c r="J1911" s="12" t="str">
        <x:v>研究生宿舍楼发车</x:v>
      </x:c>
      <x:c r="K1911" s="12" t="str">
        <x:v>HX2_NORMAL</x:v>
      </x:c>
      <x:c r="L1911" s="12" t="n">
        <x:v>10</x:v>
      </x:c>
      <x:c r="M1911" s="12" t="str">
        <x:v>HX2_NORMAL|10</x:v>
      </x:c>
      <x:c r="N1911" s="12" t="str">
        <x:v>研究生宿舍楼</x:v>
      </x:c>
      <x:c r="O1911" s="12" t="n">
        <x:f>IFERROR(INDEX('秒级路线参数_可调整'!$O:$O,MATCH(M1911,'秒级路线参数_可调整'!$A:$A,0)),"")</x:f>
        <x:v>715</x:v>
      </x:c>
      <x:c r="P1911" s="12" t="n">
        <x:f>IF(O1911="","",O1911/86400)</x:f>
        <x:v>0.008275462962962964</x:v>
      </x:c>
      <x:c r="Q1911" s="12" t="n">
        <x:f>IF(O1911="","",(H1911*60+O1911)/86400)</x:f>
        <x:v>0.5291087962962963</x:v>
      </x:c>
      <x:c r="R1911" s="12" t="str">
        <x:f>IF(Q1911="","",TEXT(Q1911,"hh:mm:ss"))</x:f>
        <x:v>12:41:55</x:v>
      </x:c>
      <x:c r="S1911" s="12" t="str">
        <x:v>否</x:v>
      </x:c>
      <x:c r="T1911" s="12" t="str">
        <x:v>是</x:v>
      </x:c>
      <x:c r="U1911" s="12" t="str">
        <x:v>刘晓燕</x:v>
      </x:c>
      <x:c r="V1911" s="12" t="str">
        <x:v>1号车</x:v>
      </x:c>
      <x:c r="W1911" s="12" t="str">
        <x:v>秒级预测</x:v>
      </x:c>
      <x:c r="X1911" s="12" t="str">
        <x:v>基于路线秒级参数；如录入实测或手动采用秒，预计到达时间可随公式更新</x:v>
      </x:c>
    </x:row>
    <x:row r="1912">
      <x:c r="A1912" s="12" t="str">
        <x:v>S0165-01</x:v>
      </x:c>
      <x:c r="B1912" s="12" t="str">
        <x:v>S0165</x:v>
      </x:c>
      <x:c r="C1912" s="12" t="str">
        <x:v>周末/节假日</x:v>
      </x:c>
      <x:c r="D1912" s="12" t="str">
        <x:v>环线2路</x:v>
      </x:c>
      <x:c r="E1912" s="12" t="str">
        <x:v>第一班</x:v>
      </x:c>
      <x:c r="F1912" s="12" t="n">
        <x:v>9</x:v>
      </x:c>
      <x:c r="G1912" s="12" t="str">
        <x:v>14:30</x:v>
      </x:c>
      <x:c r="H1912" s="12" t="n">
        <x:v>870</x:v>
      </x:c>
      <x:c r="I1912" s="12" t="str">
        <x:v>研究生宿舍楼</x:v>
      </x:c>
      <x:c r="J1912" s="12" t="str">
        <x:v>研究生宿舍楼发车</x:v>
      </x:c>
      <x:c r="K1912" s="12" t="str">
        <x:v>HX2_NORMAL</x:v>
      </x:c>
      <x:c r="L1912" s="12" t="n">
        <x:v>1</x:v>
      </x:c>
      <x:c r="M1912" s="12" t="str">
        <x:v>HX2_NORMAL|1</x:v>
      </x:c>
      <x:c r="N1912" s="12" t="str">
        <x:v>研究生宿舍楼</x:v>
      </x:c>
      <x:c r="O1912" s="12" t="n">
        <x:f>IFERROR(INDEX('秒级路线参数_可调整'!$O:$O,MATCH(M1912,'秒级路线参数_可调整'!$A:$A,0)),"")</x:f>
        <x:v>0</x:v>
      </x:c>
      <x:c r="P1912" s="12" t="str">
        <x:f>IF(O1912="","",O1912/86400)</x:f>
      </x:c>
      <x:c r="Q1912" s="12" t="str">
        <x:f>IF(O1912="","",(H1912*60+O1912)/86400)</x:f>
      </x:c>
      <x:c r="R1912" s="12" t="str">
        <x:f>IF(Q1912="","",TEXT(Q1912,"hh:mm:ss"))</x:f>
      </x:c>
      <x:c r="S1912" s="12" t="str">
        <x:v>是</x:v>
      </x:c>
      <x:c r="T1912" s="12" t="str">
        <x:v>否</x:v>
      </x:c>
      <x:c r="U1912" s="12" t="str">
        <x:v>刘晓燕</x:v>
      </x:c>
      <x:c r="V1912" s="12" t="str">
        <x:v>1号车</x:v>
      </x:c>
      <x:c r="W1912" s="12" t="str">
        <x:v>秒级预测</x:v>
      </x:c>
      <x:c r="X1912" s="12" t="str">
        <x:v>基于路线秒级参数；如录入实测或手动采用秒，预计到达时间可随公式更新</x:v>
      </x:c>
    </x:row>
    <x:row r="1913">
      <x:c r="A1913" s="12" t="str">
        <x:v>S0165-02</x:v>
      </x:c>
      <x:c r="B1913" s="12" t="str">
        <x:v>S0165</x:v>
      </x:c>
      <x:c r="C1913" s="12" t="str">
        <x:v>周末/节假日</x:v>
      </x:c>
      <x:c r="D1913" s="12" t="str">
        <x:v>环线2路</x:v>
      </x:c>
      <x:c r="E1913" s="12" t="str">
        <x:v>第一班</x:v>
      </x:c>
      <x:c r="F1913" s="12" t="n">
        <x:v>9</x:v>
      </x:c>
      <x:c r="G1913" s="12" t="str">
        <x:v>14:30</x:v>
      </x:c>
      <x:c r="H1913" s="12" t="n">
        <x:v>870</x:v>
      </x:c>
      <x:c r="I1913" s="12" t="str">
        <x:v>研究生宿舍楼</x:v>
      </x:c>
      <x:c r="J1913" s="12" t="str">
        <x:v>研究生宿舍楼发车</x:v>
      </x:c>
      <x:c r="K1913" s="12" t="str">
        <x:v>HX2_NORMAL</x:v>
      </x:c>
      <x:c r="L1913" s="12" t="n">
        <x:v>2</x:v>
      </x:c>
      <x:c r="M1913" s="12" t="str">
        <x:v>HX2_NORMAL|2</x:v>
      </x:c>
      <x:c r="N1913" s="12" t="str">
        <x:v>一食堂</x:v>
      </x:c>
      <x:c r="O1913" s="12" t="n">
        <x:f>IFERROR(INDEX('秒级路线参数_可调整'!$O:$O,MATCH(M1913,'秒级路线参数_可调整'!$A:$A,0)),"")</x:f>
        <x:v>65</x:v>
      </x:c>
      <x:c r="P1913" s="12" t="n">
        <x:f>IF(O1913="","",O1913/86400)</x:f>
        <x:v>0.0007523148148148148</x:v>
      </x:c>
      <x:c r="Q1913" s="12" t="n">
        <x:f>IF(O1913="","",(H1913*60+O1913)/86400)</x:f>
        <x:v>0.6049189814814815</x:v>
      </x:c>
      <x:c r="R1913" s="12" t="str">
        <x:f>IF(Q1913="","",TEXT(Q1913,"hh:mm:ss"))</x:f>
        <x:v>14:31:05</x:v>
      </x:c>
      <x:c r="S1913" s="12" t="str">
        <x:v>否</x:v>
      </x:c>
      <x:c r="T1913" s="12" t="str">
        <x:v>否</x:v>
      </x:c>
      <x:c r="U1913" s="12" t="str">
        <x:v>刘晓燕</x:v>
      </x:c>
      <x:c r="V1913" s="12" t="str">
        <x:v>1号车</x:v>
      </x:c>
      <x:c r="W1913" s="12" t="str">
        <x:v>秒级预测</x:v>
      </x:c>
      <x:c r="X1913" s="12" t="str">
        <x:v>基于路线秒级参数；如录入实测或手动采用秒，预计到达时间可随公式更新</x:v>
      </x:c>
    </x:row>
    <x:row r="1914">
      <x:c r="A1914" s="12" t="str">
        <x:v>S0165-03</x:v>
      </x:c>
      <x:c r="B1914" s="12" t="str">
        <x:v>S0165</x:v>
      </x:c>
      <x:c r="C1914" s="12" t="str">
        <x:v>周末/节假日</x:v>
      </x:c>
      <x:c r="D1914" s="12" t="str">
        <x:v>环线2路</x:v>
      </x:c>
      <x:c r="E1914" s="12" t="str">
        <x:v>第一班</x:v>
      </x:c>
      <x:c r="F1914" s="12" t="n">
        <x:v>9</x:v>
      </x:c>
      <x:c r="G1914" s="12" t="str">
        <x:v>14:30</x:v>
      </x:c>
      <x:c r="H1914" s="12" t="n">
        <x:v>870</x:v>
      </x:c>
      <x:c r="I1914" s="12" t="str">
        <x:v>研究生宿舍楼</x:v>
      </x:c>
      <x:c r="J1914" s="12" t="str">
        <x:v>研究生宿舍楼发车</x:v>
      </x:c>
      <x:c r="K1914" s="12" t="str">
        <x:v>HX2_NORMAL</x:v>
      </x:c>
      <x:c r="L1914" s="12" t="n">
        <x:v>3</x:v>
      </x:c>
      <x:c r="M1914" s="12" t="str">
        <x:v>HX2_NORMAL|3</x:v>
      </x:c>
      <x:c r="N1914" s="12" t="str">
        <x:v>门诊部</x:v>
      </x:c>
      <x:c r="O1914" s="12" t="n">
        <x:f>IFERROR(INDEX('秒级路线参数_可调整'!$O:$O,MATCH(M1914,'秒级路线参数_可调整'!$A:$A,0)),"")</x:f>
        <x:v>120</x:v>
      </x:c>
      <x:c r="P1914" s="12" t="n">
        <x:f>IF(O1914="","",O1914/86400)</x:f>
        <x:v>0.001388888888888889</x:v>
      </x:c>
      <x:c r="Q1914" s="12" t="n">
        <x:f>IF(O1914="","",(H1914*60+O1914)/86400)</x:f>
        <x:v>0.6055555555555555</x:v>
      </x:c>
      <x:c r="R1914" s="12" t="str">
        <x:f>IF(Q1914="","",TEXT(Q1914,"hh:mm:ss"))</x:f>
        <x:v>14:32:00</x:v>
      </x:c>
      <x:c r="S1914" s="12" t="str">
        <x:v>否</x:v>
      </x:c>
      <x:c r="T1914" s="12" t="str">
        <x:v>否</x:v>
      </x:c>
      <x:c r="U1914" s="12" t="str">
        <x:v>刘晓燕</x:v>
      </x:c>
      <x:c r="V1914" s="12" t="str">
        <x:v>1号车</x:v>
      </x:c>
      <x:c r="W1914" s="12" t="str">
        <x:v>秒级预测</x:v>
      </x:c>
      <x:c r="X1914" s="12" t="str">
        <x:v>基于路线秒级参数；如录入实测或手动采用秒，预计到达时间可随公式更新</x:v>
      </x:c>
    </x:row>
    <x:row r="1915">
      <x:c r="A1915" s="12" t="str">
        <x:v>S0165-04</x:v>
      </x:c>
      <x:c r="B1915" s="12" t="str">
        <x:v>S0165</x:v>
      </x:c>
      <x:c r="C1915" s="12" t="str">
        <x:v>周末/节假日</x:v>
      </x:c>
      <x:c r="D1915" s="12" t="str">
        <x:v>环线2路</x:v>
      </x:c>
      <x:c r="E1915" s="12" t="str">
        <x:v>第一班</x:v>
      </x:c>
      <x:c r="F1915" s="12" t="n">
        <x:v>9</x:v>
      </x:c>
      <x:c r="G1915" s="12" t="str">
        <x:v>14:30</x:v>
      </x:c>
      <x:c r="H1915" s="12" t="n">
        <x:v>870</x:v>
      </x:c>
      <x:c r="I1915" s="12" t="str">
        <x:v>研究生宿舍楼</x:v>
      </x:c>
      <x:c r="J1915" s="12" t="str">
        <x:v>研究生宿舍楼发车</x:v>
      </x:c>
      <x:c r="K1915" s="12" t="str">
        <x:v>HX2_NORMAL</x:v>
      </x:c>
      <x:c r="L1915" s="12" t="n">
        <x:v>4</x:v>
      </x:c>
      <x:c r="M1915" s="12" t="str">
        <x:v>HX2_NORMAL|4</x:v>
      </x:c>
      <x:c r="N1915" s="12" t="str">
        <x:v>1号宿舍楼</x:v>
      </x:c>
      <x:c r="O1915" s="12" t="n">
        <x:f>IFERROR(INDEX('秒级路线参数_可调整'!$O:$O,MATCH(M1915,'秒级路线参数_可调整'!$A:$A,0)),"")</x:f>
        <x:v>165</x:v>
      </x:c>
      <x:c r="P1915" s="12" t="n">
        <x:f>IF(O1915="","",O1915/86400)</x:f>
        <x:v>0.0019097222222222222</x:v>
      </x:c>
      <x:c r="Q1915" s="12" t="n">
        <x:f>IF(O1915="","",(H1915*60+O1915)/86400)</x:f>
        <x:v>0.6060763888888889</x:v>
      </x:c>
      <x:c r="R1915" s="12" t="str">
        <x:f>IF(Q1915="","",TEXT(Q1915,"hh:mm:ss"))</x:f>
        <x:v>14:32:45</x:v>
      </x:c>
      <x:c r="S1915" s="12" t="str">
        <x:v>否</x:v>
      </x:c>
      <x:c r="T1915" s="12" t="str">
        <x:v>否</x:v>
      </x:c>
      <x:c r="U1915" s="12" t="str">
        <x:v>刘晓燕</x:v>
      </x:c>
      <x:c r="V1915" s="12" t="str">
        <x:v>1号车</x:v>
      </x:c>
      <x:c r="W1915" s="12" t="str">
        <x:v>秒级预测</x:v>
      </x:c>
      <x:c r="X1915" s="12" t="str">
        <x:v>基于路线秒级参数；如录入实测或手动采用秒，预计到达时间可随公式更新</x:v>
      </x:c>
    </x:row>
    <x:row r="1916">
      <x:c r="A1916" s="12" t="str">
        <x:v>S0165-05</x:v>
      </x:c>
      <x:c r="B1916" s="12" t="str">
        <x:v>S0165</x:v>
      </x:c>
      <x:c r="C1916" s="12" t="str">
        <x:v>周末/节假日</x:v>
      </x:c>
      <x:c r="D1916" s="12" t="str">
        <x:v>环线2路</x:v>
      </x:c>
      <x:c r="E1916" s="12" t="str">
        <x:v>第一班</x:v>
      </x:c>
      <x:c r="F1916" s="12" t="n">
        <x:v>9</x:v>
      </x:c>
      <x:c r="G1916" s="12" t="str">
        <x:v>14:30</x:v>
      </x:c>
      <x:c r="H1916" s="12" t="n">
        <x:v>870</x:v>
      </x:c>
      <x:c r="I1916" s="12" t="str">
        <x:v>研究生宿舍楼</x:v>
      </x:c>
      <x:c r="J1916" s="12" t="str">
        <x:v>研究生宿舍楼发车</x:v>
      </x:c>
      <x:c r="K1916" s="12" t="str">
        <x:v>HX2_NORMAL</x:v>
      </x:c>
      <x:c r="L1916" s="12" t="n">
        <x:v>5</x:v>
      </x:c>
      <x:c r="M1916" s="12" t="str">
        <x:v>HX2_NORMAL|5</x:v>
      </x:c>
      <x:c r="N1916" s="12" t="str">
        <x:v>水上训练中心</x:v>
      </x:c>
      <x:c r="O1916" s="12" t="n">
        <x:f>IFERROR(INDEX('秒级路线参数_可调整'!$O:$O,MATCH(M1916,'秒级路线参数_可调整'!$A:$A,0)),"")</x:f>
        <x:v>250</x:v>
      </x:c>
      <x:c r="P1916" s="12" t="n">
        <x:f>IF(O1916="","",O1916/86400)</x:f>
        <x:v>0.0028935185185185184</x:v>
      </x:c>
      <x:c r="Q1916" s="12" t="n">
        <x:f>IF(O1916="","",(H1916*60+O1916)/86400)</x:f>
        <x:v>0.6070601851851852</x:v>
      </x:c>
      <x:c r="R1916" s="12" t="str">
        <x:f>IF(Q1916="","",TEXT(Q1916,"hh:mm:ss"))</x:f>
        <x:v>14:34:10</x:v>
      </x:c>
      <x:c r="S1916" s="12" t="str">
        <x:v>否</x:v>
      </x:c>
      <x:c r="T1916" s="12" t="str">
        <x:v>否</x:v>
      </x:c>
      <x:c r="U1916" s="12" t="str">
        <x:v>刘晓燕</x:v>
      </x:c>
      <x:c r="V1916" s="12" t="str">
        <x:v>1号车</x:v>
      </x:c>
      <x:c r="W1916" s="12" t="str">
        <x:v>秒级预测</x:v>
      </x:c>
      <x:c r="X1916" s="12" t="str">
        <x:v>基于路线秒级参数；如录入实测或手动采用秒，预计到达时间可随公式更新</x:v>
      </x:c>
    </x:row>
    <x:row r="1917">
      <x:c r="A1917" s="12" t="str">
        <x:v>S0165-06</x:v>
      </x:c>
      <x:c r="B1917" s="12" t="str">
        <x:v>S0165</x:v>
      </x:c>
      <x:c r="C1917" s="12" t="str">
        <x:v>周末/节假日</x:v>
      </x:c>
      <x:c r="D1917" s="12" t="str">
        <x:v>环线2路</x:v>
      </x:c>
      <x:c r="E1917" s="12" t="str">
        <x:v>第一班</x:v>
      </x:c>
      <x:c r="F1917" s="12" t="n">
        <x:v>9</x:v>
      </x:c>
      <x:c r="G1917" s="12" t="str">
        <x:v>14:30</x:v>
      </x:c>
      <x:c r="H1917" s="12" t="n">
        <x:v>870</x:v>
      </x:c>
      <x:c r="I1917" s="12" t="str">
        <x:v>研究生宿舍楼</x:v>
      </x:c>
      <x:c r="J1917" s="12" t="str">
        <x:v>研究生宿舍楼发车</x:v>
      </x:c>
      <x:c r="K1917" s="12" t="str">
        <x:v>HX2_NORMAL</x:v>
      </x:c>
      <x:c r="L1917" s="12" t="n">
        <x:v>6</x:v>
      </x:c>
      <x:c r="M1917" s="12" t="str">
        <x:v>HX2_NORMAL|6</x:v>
      </x:c>
      <x:c r="N1917" s="12" t="str">
        <x:v>军体活动中心</x:v>
      </x:c>
      <x:c r="O1917" s="12" t="n">
        <x:f>IFERROR(INDEX('秒级路线参数_可调整'!$O:$O,MATCH(M1917,'秒级路线参数_可调整'!$A:$A,0)),"")</x:f>
        <x:v>315</x:v>
      </x:c>
      <x:c r="P1917" s="12" t="n">
        <x:f>IF(O1917="","",O1917/86400)</x:f>
        <x:v>0.0036458333333333334</x:v>
      </x:c>
      <x:c r="Q1917" s="12" t="n">
        <x:f>IF(O1917="","",(H1917*60+O1917)/86400)</x:f>
        <x:v>0.6078125</x:v>
      </x:c>
      <x:c r="R1917" s="12" t="str">
        <x:f>IF(Q1917="","",TEXT(Q1917,"hh:mm:ss"))</x:f>
        <x:v>14:35:15</x:v>
      </x:c>
      <x:c r="S1917" s="12" t="str">
        <x:v>否</x:v>
      </x:c>
      <x:c r="T1917" s="12" t="str">
        <x:v>否</x:v>
      </x:c>
      <x:c r="U1917" s="12" t="str">
        <x:v>刘晓燕</x:v>
      </x:c>
      <x:c r="V1917" s="12" t="str">
        <x:v>1号车</x:v>
      </x:c>
      <x:c r="W1917" s="12" t="str">
        <x:v>秒级预测</x:v>
      </x:c>
      <x:c r="X1917" s="12" t="str">
        <x:v>基于路线秒级参数；如录入实测或手动采用秒，预计到达时间可随公式更新</x:v>
      </x:c>
    </x:row>
    <x:row r="1918">
      <x:c r="A1918" s="12" t="str">
        <x:v>S0165-07</x:v>
      </x:c>
      <x:c r="B1918" s="12" t="str">
        <x:v>S0165</x:v>
      </x:c>
      <x:c r="C1918" s="12" t="str">
        <x:v>周末/节假日</x:v>
      </x:c>
      <x:c r="D1918" s="12" t="str">
        <x:v>环线2路</x:v>
      </x:c>
      <x:c r="E1918" s="12" t="str">
        <x:v>第一班</x:v>
      </x:c>
      <x:c r="F1918" s="12" t="n">
        <x:v>9</x:v>
      </x:c>
      <x:c r="G1918" s="12" t="str">
        <x:v>14:30</x:v>
      </x:c>
      <x:c r="H1918" s="12" t="n">
        <x:v>870</x:v>
      </x:c>
      <x:c r="I1918" s="12" t="str">
        <x:v>研究生宿舍楼</x:v>
      </x:c>
      <x:c r="J1918" s="12" t="str">
        <x:v>研究生宿舍楼发车</x:v>
      </x:c>
      <x:c r="K1918" s="12" t="str">
        <x:v>HX2_NORMAL</x:v>
      </x:c>
      <x:c r="L1918" s="12" t="n">
        <x:v>7</x:v>
      </x:c>
      <x:c r="M1918" s="12" t="str">
        <x:v>HX2_NORMAL|7</x:v>
      </x:c>
      <x:c r="N1918" s="12" t="str">
        <x:v>二食堂</x:v>
      </x:c>
      <x:c r="O1918" s="12" t="n">
        <x:f>IFERROR(INDEX('秒级路线参数_可调整'!$O:$O,MATCH(M1918,'秒级路线参数_可调整'!$A:$A,0)),"")</x:f>
        <x:v>420</x:v>
      </x:c>
      <x:c r="P1918" s="12" t="n">
        <x:f>IF(O1918="","",O1918/86400)</x:f>
        <x:v>0.004861111111111111</x:v>
      </x:c>
      <x:c r="Q1918" s="12" t="n">
        <x:f>IF(O1918="","",(H1918*60+O1918)/86400)</x:f>
        <x:v>0.6090277777777777</x:v>
      </x:c>
      <x:c r="R1918" s="12" t="str">
        <x:f>IF(Q1918="","",TEXT(Q1918,"hh:mm:ss"))</x:f>
        <x:v>14:37:00</x:v>
      </x:c>
      <x:c r="S1918" s="12" t="str">
        <x:v>否</x:v>
      </x:c>
      <x:c r="T1918" s="12" t="str">
        <x:v>否</x:v>
      </x:c>
      <x:c r="U1918" s="12" t="str">
        <x:v>刘晓燕</x:v>
      </x:c>
      <x:c r="V1918" s="12" t="str">
        <x:v>1号车</x:v>
      </x:c>
      <x:c r="W1918" s="12" t="str">
        <x:v>秒级预测</x:v>
      </x:c>
      <x:c r="X1918" s="12" t="str">
        <x:v>基于路线秒级参数；如录入实测或手动采用秒，预计到达时间可随公式更新</x:v>
      </x:c>
    </x:row>
    <x:row r="1919">
      <x:c r="A1919" s="12" t="str">
        <x:v>S0165-08</x:v>
      </x:c>
      <x:c r="B1919" s="12" t="str">
        <x:v>S0165</x:v>
      </x:c>
      <x:c r="C1919" s="12" t="str">
        <x:v>周末/节假日</x:v>
      </x:c>
      <x:c r="D1919" s="12" t="str">
        <x:v>环线2路</x:v>
      </x:c>
      <x:c r="E1919" s="12" t="str">
        <x:v>第一班</x:v>
      </x:c>
      <x:c r="F1919" s="12" t="n">
        <x:v>9</x:v>
      </x:c>
      <x:c r="G1919" s="12" t="str">
        <x:v>14:30</x:v>
      </x:c>
      <x:c r="H1919" s="12" t="n">
        <x:v>870</x:v>
      </x:c>
      <x:c r="I1919" s="12" t="str">
        <x:v>研究生宿舍楼</x:v>
      </x:c>
      <x:c r="J1919" s="12" t="str">
        <x:v>研究生宿舍楼发车</x:v>
      </x:c>
      <x:c r="K1919" s="12" t="str">
        <x:v>HX2_NORMAL</x:v>
      </x:c>
      <x:c r="L1919" s="12" t="n">
        <x:v>8</x:v>
      </x:c>
      <x:c r="M1919" s="12" t="str">
        <x:v>HX2_NORMAL|8</x:v>
      </x:c>
      <x:c r="N1919" s="12" t="str">
        <x:v>5号宿舍楼</x:v>
      </x:c>
      <x:c r="O1919" s="12" t="n">
        <x:f>IFERROR(INDEX('秒级路线参数_可调整'!$O:$O,MATCH(M1919,'秒级路线参数_可调整'!$A:$A,0)),"")</x:f>
        <x:v>480</x:v>
      </x:c>
      <x:c r="P1919" s="12" t="n">
        <x:f>IF(O1919="","",O1919/86400)</x:f>
        <x:v>0.005555555555555556</x:v>
      </x:c>
      <x:c r="Q1919" s="12" t="n">
        <x:f>IF(O1919="","",(H1919*60+O1919)/86400)</x:f>
        <x:v>0.6097222222222223</x:v>
      </x:c>
      <x:c r="R1919" s="12" t="str">
        <x:f>IF(Q1919="","",TEXT(Q1919,"hh:mm:ss"))</x:f>
        <x:v>14:38:00</x:v>
      </x:c>
      <x:c r="S1919" s="12" t="str">
        <x:v>否</x:v>
      </x:c>
      <x:c r="T1919" s="12" t="str">
        <x:v>否</x:v>
      </x:c>
      <x:c r="U1919" s="12" t="str">
        <x:v>刘晓燕</x:v>
      </x:c>
      <x:c r="V1919" s="12" t="str">
        <x:v>1号车</x:v>
      </x:c>
      <x:c r="W1919" s="12" t="str">
        <x:v>秒级预测</x:v>
      </x:c>
      <x:c r="X1919" s="12" t="str">
        <x:v>基于路线秒级参数；如录入实测或手动采用秒，预计到达时间可随公式更新</x:v>
      </x:c>
    </x:row>
    <x:row r="1920">
      <x:c r="A1920" s="12" t="str">
        <x:v>S0165-09</x:v>
      </x:c>
      <x:c r="B1920" s="12" t="str">
        <x:v>S0165</x:v>
      </x:c>
      <x:c r="C1920" s="12" t="str">
        <x:v>周末/节假日</x:v>
      </x:c>
      <x:c r="D1920" s="12" t="str">
        <x:v>环线2路</x:v>
      </x:c>
      <x:c r="E1920" s="12" t="str">
        <x:v>第一班</x:v>
      </x:c>
      <x:c r="F1920" s="12" t="n">
        <x:v>9</x:v>
      </x:c>
      <x:c r="G1920" s="12" t="str">
        <x:v>14:30</x:v>
      </x:c>
      <x:c r="H1920" s="12" t="n">
        <x:v>870</x:v>
      </x:c>
      <x:c r="I1920" s="12" t="str">
        <x:v>研究生宿舍楼</x:v>
      </x:c>
      <x:c r="J1920" s="12" t="str">
        <x:v>研究生宿舍楼发车</x:v>
      </x:c>
      <x:c r="K1920" s="12" t="str">
        <x:v>HX2_NORMAL</x:v>
      </x:c>
      <x:c r="L1920" s="12" t="n">
        <x:v>9</x:v>
      </x:c>
      <x:c r="M1920" s="12" t="str">
        <x:v>HX2_NORMAL|9</x:v>
      </x:c>
      <x:c r="N1920" s="12" t="str">
        <x:v>305教学楼</x:v>
      </x:c>
      <x:c r="O1920" s="12" t="n">
        <x:f>IFERROR(INDEX('秒级路线参数_可调整'!$O:$O,MATCH(M1920,'秒级路线参数_可调整'!$A:$A,0)),"")</x:f>
        <x:v>535</x:v>
      </x:c>
      <x:c r="P1920" s="12" t="n">
        <x:f>IF(O1920="","",O1920/86400)</x:f>
        <x:v>0.00619212962962963</x:v>
      </x:c>
      <x:c r="Q1920" s="12" t="n">
        <x:f>IF(O1920="","",(H1920*60+O1920)/86400)</x:f>
        <x:v>0.6103587962962963</x:v>
      </x:c>
      <x:c r="R1920" s="12" t="str">
        <x:f>IF(Q1920="","",TEXT(Q1920,"hh:mm:ss"))</x:f>
        <x:v>14:38:55</x:v>
      </x:c>
      <x:c r="S1920" s="12" t="str">
        <x:v>否</x:v>
      </x:c>
      <x:c r="T1920" s="12" t="str">
        <x:v>否</x:v>
      </x:c>
      <x:c r="U1920" s="12" t="str">
        <x:v>刘晓燕</x:v>
      </x:c>
      <x:c r="V1920" s="12" t="str">
        <x:v>1号车</x:v>
      </x:c>
      <x:c r="W1920" s="12" t="str">
        <x:v>秒级预测</x:v>
      </x:c>
      <x:c r="X1920" s="12" t="str">
        <x:v>基于路线秒级参数；如录入实测或手动采用秒，预计到达时间可随公式更新</x:v>
      </x:c>
    </x:row>
    <x:row r="1921">
      <x:c r="A1921" s="12" t="str">
        <x:v>S0165-10</x:v>
      </x:c>
      <x:c r="B1921" s="12" t="str">
        <x:v>S0165</x:v>
      </x:c>
      <x:c r="C1921" s="12" t="str">
        <x:v>周末/节假日</x:v>
      </x:c>
      <x:c r="D1921" s="12" t="str">
        <x:v>环线2路</x:v>
      </x:c>
      <x:c r="E1921" s="12" t="str">
        <x:v>第一班</x:v>
      </x:c>
      <x:c r="F1921" s="12" t="n">
        <x:v>9</x:v>
      </x:c>
      <x:c r="G1921" s="12" t="str">
        <x:v>14:30</x:v>
      </x:c>
      <x:c r="H1921" s="12" t="n">
        <x:v>870</x:v>
      </x:c>
      <x:c r="I1921" s="12" t="str">
        <x:v>研究生宿舍楼</x:v>
      </x:c>
      <x:c r="J1921" s="12" t="str">
        <x:v>研究生宿舍楼发车</x:v>
      </x:c>
      <x:c r="K1921" s="12" t="str">
        <x:v>HX2_NORMAL</x:v>
      </x:c>
      <x:c r="L1921" s="12" t="n">
        <x:v>10</x:v>
      </x:c>
      <x:c r="M1921" s="12" t="str">
        <x:v>HX2_NORMAL|10</x:v>
      </x:c>
      <x:c r="N1921" s="12" t="str">
        <x:v>研究生宿舍楼</x:v>
      </x:c>
      <x:c r="O1921" s="12" t="n">
        <x:f>IFERROR(INDEX('秒级路线参数_可调整'!$O:$O,MATCH(M1921,'秒级路线参数_可调整'!$A:$A,0)),"")</x:f>
        <x:v>715</x:v>
      </x:c>
      <x:c r="P1921" s="12" t="n">
        <x:f>IF(O1921="","",O1921/86400)</x:f>
        <x:v>0.008275462962962964</x:v>
      </x:c>
      <x:c r="Q1921" s="12" t="n">
        <x:f>IF(O1921="","",(H1921*60+O1921)/86400)</x:f>
        <x:v>0.6124421296296296</x:v>
      </x:c>
      <x:c r="R1921" s="12" t="str">
        <x:f>IF(Q1921="","",TEXT(Q1921,"hh:mm:ss"))</x:f>
        <x:v>14:41:55</x:v>
      </x:c>
      <x:c r="S1921" s="12" t="str">
        <x:v>否</x:v>
      </x:c>
      <x:c r="T1921" s="12" t="str">
        <x:v>是</x:v>
      </x:c>
      <x:c r="U1921" s="12" t="str">
        <x:v>刘晓燕</x:v>
      </x:c>
      <x:c r="V1921" s="12" t="str">
        <x:v>1号车</x:v>
      </x:c>
      <x:c r="W1921" s="12" t="str">
        <x:v>秒级预测</x:v>
      </x:c>
      <x:c r="X1921" s="12" t="str">
        <x:v>基于路线秒级参数；如录入实测或手动采用秒，预计到达时间可随公式更新</x:v>
      </x:c>
    </x:row>
    <x:row r="1922">
      <x:c r="A1922" s="12" t="str">
        <x:v>S0166-01</x:v>
      </x:c>
      <x:c r="B1922" s="12" t="str">
        <x:v>S0166</x:v>
      </x:c>
      <x:c r="C1922" s="12" t="str">
        <x:v>周末/节假日</x:v>
      </x:c>
      <x:c r="D1922" s="12" t="str">
        <x:v>环线2路</x:v>
      </x:c>
      <x:c r="E1922" s="12" t="str">
        <x:v>第一班</x:v>
      </x:c>
      <x:c r="F1922" s="12" t="n">
        <x:v>10</x:v>
      </x:c>
      <x:c r="G1922" s="12" t="str">
        <x:v>15:00</x:v>
      </x:c>
      <x:c r="H1922" s="12" t="n">
        <x:v>900</x:v>
      </x:c>
      <x:c r="I1922" s="12" t="str">
        <x:v>研究生宿舍楼</x:v>
      </x:c>
      <x:c r="J1922" s="12" t="str">
        <x:v>研究生宿舍楼发车</x:v>
      </x:c>
      <x:c r="K1922" s="12" t="str">
        <x:v>HX2_NORMAL</x:v>
      </x:c>
      <x:c r="L1922" s="12" t="n">
        <x:v>1</x:v>
      </x:c>
      <x:c r="M1922" s="12" t="str">
        <x:v>HX2_NORMAL|1</x:v>
      </x:c>
      <x:c r="N1922" s="12" t="str">
        <x:v>研究生宿舍楼</x:v>
      </x:c>
      <x:c r="O1922" s="12" t="n">
        <x:f>IFERROR(INDEX('秒级路线参数_可调整'!$O:$O,MATCH(M1922,'秒级路线参数_可调整'!$A:$A,0)),"")</x:f>
        <x:v>0</x:v>
      </x:c>
      <x:c r="P1922" s="12" t="str">
        <x:f>IF(O1922="","",O1922/86400)</x:f>
      </x:c>
      <x:c r="Q1922" s="12" t="str">
        <x:f>IF(O1922="","",(H1922*60+O1922)/86400)</x:f>
      </x:c>
      <x:c r="R1922" s="12" t="str">
        <x:f>IF(Q1922="","",TEXT(Q1922,"hh:mm:ss"))</x:f>
      </x:c>
      <x:c r="S1922" s="12" t="str">
        <x:v>是</x:v>
      </x:c>
      <x:c r="T1922" s="12" t="str">
        <x:v>否</x:v>
      </x:c>
      <x:c r="U1922" s="12" t="str">
        <x:v>刘晓燕</x:v>
      </x:c>
      <x:c r="V1922" s="12" t="str">
        <x:v>1号车</x:v>
      </x:c>
      <x:c r="W1922" s="12" t="str">
        <x:v>秒级预测</x:v>
      </x:c>
      <x:c r="X1922" s="12" t="str">
        <x:v>基于路线秒级参数；如录入实测或手动采用秒，预计到达时间可随公式更新</x:v>
      </x:c>
    </x:row>
    <x:row r="1923">
      <x:c r="A1923" s="12" t="str">
        <x:v>S0166-02</x:v>
      </x:c>
      <x:c r="B1923" s="12" t="str">
        <x:v>S0166</x:v>
      </x:c>
      <x:c r="C1923" s="12" t="str">
        <x:v>周末/节假日</x:v>
      </x:c>
      <x:c r="D1923" s="12" t="str">
        <x:v>环线2路</x:v>
      </x:c>
      <x:c r="E1923" s="12" t="str">
        <x:v>第一班</x:v>
      </x:c>
      <x:c r="F1923" s="12" t="n">
        <x:v>10</x:v>
      </x:c>
      <x:c r="G1923" s="12" t="str">
        <x:v>15:00</x:v>
      </x:c>
      <x:c r="H1923" s="12" t="n">
        <x:v>900</x:v>
      </x:c>
      <x:c r="I1923" s="12" t="str">
        <x:v>研究生宿舍楼</x:v>
      </x:c>
      <x:c r="J1923" s="12" t="str">
        <x:v>研究生宿舍楼发车</x:v>
      </x:c>
      <x:c r="K1923" s="12" t="str">
        <x:v>HX2_NORMAL</x:v>
      </x:c>
      <x:c r="L1923" s="12" t="n">
        <x:v>2</x:v>
      </x:c>
      <x:c r="M1923" s="12" t="str">
        <x:v>HX2_NORMAL|2</x:v>
      </x:c>
      <x:c r="N1923" s="12" t="str">
        <x:v>一食堂</x:v>
      </x:c>
      <x:c r="O1923" s="12" t="n">
        <x:f>IFERROR(INDEX('秒级路线参数_可调整'!$O:$O,MATCH(M1923,'秒级路线参数_可调整'!$A:$A,0)),"")</x:f>
        <x:v>65</x:v>
      </x:c>
      <x:c r="P1923" s="12" t="n">
        <x:f>IF(O1923="","",O1923/86400)</x:f>
        <x:v>0.0007523148148148148</x:v>
      </x:c>
      <x:c r="Q1923" s="12" t="n">
        <x:f>IF(O1923="","",(H1923*60+O1923)/86400)</x:f>
        <x:v>0.6257523148148149</x:v>
      </x:c>
      <x:c r="R1923" s="12" t="str">
        <x:f>IF(Q1923="","",TEXT(Q1923,"hh:mm:ss"))</x:f>
        <x:v>15:01:05</x:v>
      </x:c>
      <x:c r="S1923" s="12" t="str">
        <x:v>否</x:v>
      </x:c>
      <x:c r="T1923" s="12" t="str">
        <x:v>否</x:v>
      </x:c>
      <x:c r="U1923" s="12" t="str">
        <x:v>刘晓燕</x:v>
      </x:c>
      <x:c r="V1923" s="12" t="str">
        <x:v>1号车</x:v>
      </x:c>
      <x:c r="W1923" s="12" t="str">
        <x:v>秒级预测</x:v>
      </x:c>
      <x:c r="X1923" s="12" t="str">
        <x:v>基于路线秒级参数；如录入实测或手动采用秒，预计到达时间可随公式更新</x:v>
      </x:c>
    </x:row>
    <x:row r="1924">
      <x:c r="A1924" s="12" t="str">
        <x:v>S0166-03</x:v>
      </x:c>
      <x:c r="B1924" s="12" t="str">
        <x:v>S0166</x:v>
      </x:c>
      <x:c r="C1924" s="12" t="str">
        <x:v>周末/节假日</x:v>
      </x:c>
      <x:c r="D1924" s="12" t="str">
        <x:v>环线2路</x:v>
      </x:c>
      <x:c r="E1924" s="12" t="str">
        <x:v>第一班</x:v>
      </x:c>
      <x:c r="F1924" s="12" t="n">
        <x:v>10</x:v>
      </x:c>
      <x:c r="G1924" s="12" t="str">
        <x:v>15:00</x:v>
      </x:c>
      <x:c r="H1924" s="12" t="n">
        <x:v>900</x:v>
      </x:c>
      <x:c r="I1924" s="12" t="str">
        <x:v>研究生宿舍楼</x:v>
      </x:c>
      <x:c r="J1924" s="12" t="str">
        <x:v>研究生宿舍楼发车</x:v>
      </x:c>
      <x:c r="K1924" s="12" t="str">
        <x:v>HX2_NORMAL</x:v>
      </x:c>
      <x:c r="L1924" s="12" t="n">
        <x:v>3</x:v>
      </x:c>
      <x:c r="M1924" s="12" t="str">
        <x:v>HX2_NORMAL|3</x:v>
      </x:c>
      <x:c r="N1924" s="12" t="str">
        <x:v>门诊部</x:v>
      </x:c>
      <x:c r="O1924" s="12" t="n">
        <x:f>IFERROR(INDEX('秒级路线参数_可调整'!$O:$O,MATCH(M1924,'秒级路线参数_可调整'!$A:$A,0)),"")</x:f>
        <x:v>120</x:v>
      </x:c>
      <x:c r="P1924" s="12" t="n">
        <x:f>IF(O1924="","",O1924/86400)</x:f>
        <x:v>0.001388888888888889</x:v>
      </x:c>
      <x:c r="Q1924" s="12" t="n">
        <x:f>IF(O1924="","",(H1924*60+O1924)/86400)</x:f>
        <x:v>0.6263888888888889</x:v>
      </x:c>
      <x:c r="R1924" s="12" t="str">
        <x:f>IF(Q1924="","",TEXT(Q1924,"hh:mm:ss"))</x:f>
        <x:v>15:02:00</x:v>
      </x:c>
      <x:c r="S1924" s="12" t="str">
        <x:v>否</x:v>
      </x:c>
      <x:c r="T1924" s="12" t="str">
        <x:v>否</x:v>
      </x:c>
      <x:c r="U1924" s="12" t="str">
        <x:v>刘晓燕</x:v>
      </x:c>
      <x:c r="V1924" s="12" t="str">
        <x:v>1号车</x:v>
      </x:c>
      <x:c r="W1924" s="12" t="str">
        <x:v>秒级预测</x:v>
      </x:c>
      <x:c r="X1924" s="12" t="str">
        <x:v>基于路线秒级参数；如录入实测或手动采用秒，预计到达时间可随公式更新</x:v>
      </x:c>
    </x:row>
    <x:row r="1925">
      <x:c r="A1925" s="12" t="str">
        <x:v>S0166-04</x:v>
      </x:c>
      <x:c r="B1925" s="12" t="str">
        <x:v>S0166</x:v>
      </x:c>
      <x:c r="C1925" s="12" t="str">
        <x:v>周末/节假日</x:v>
      </x:c>
      <x:c r="D1925" s="12" t="str">
        <x:v>环线2路</x:v>
      </x:c>
      <x:c r="E1925" s="12" t="str">
        <x:v>第一班</x:v>
      </x:c>
      <x:c r="F1925" s="12" t="n">
        <x:v>10</x:v>
      </x:c>
      <x:c r="G1925" s="12" t="str">
        <x:v>15:00</x:v>
      </x:c>
      <x:c r="H1925" s="12" t="n">
        <x:v>900</x:v>
      </x:c>
      <x:c r="I1925" s="12" t="str">
        <x:v>研究生宿舍楼</x:v>
      </x:c>
      <x:c r="J1925" s="12" t="str">
        <x:v>研究生宿舍楼发车</x:v>
      </x:c>
      <x:c r="K1925" s="12" t="str">
        <x:v>HX2_NORMAL</x:v>
      </x:c>
      <x:c r="L1925" s="12" t="n">
        <x:v>4</x:v>
      </x:c>
      <x:c r="M1925" s="12" t="str">
        <x:v>HX2_NORMAL|4</x:v>
      </x:c>
      <x:c r="N1925" s="12" t="str">
        <x:v>1号宿舍楼</x:v>
      </x:c>
      <x:c r="O1925" s="12" t="n">
        <x:f>IFERROR(INDEX('秒级路线参数_可调整'!$O:$O,MATCH(M1925,'秒级路线参数_可调整'!$A:$A,0)),"")</x:f>
        <x:v>165</x:v>
      </x:c>
      <x:c r="P1925" s="12" t="n">
        <x:f>IF(O1925="","",O1925/86400)</x:f>
        <x:v>0.0019097222222222222</x:v>
      </x:c>
      <x:c r="Q1925" s="12" t="n">
        <x:f>IF(O1925="","",(H1925*60+O1925)/86400)</x:f>
        <x:v>0.6269097222222222</x:v>
      </x:c>
      <x:c r="R1925" s="12" t="str">
        <x:f>IF(Q1925="","",TEXT(Q1925,"hh:mm:ss"))</x:f>
        <x:v>15:02:45</x:v>
      </x:c>
      <x:c r="S1925" s="12" t="str">
        <x:v>否</x:v>
      </x:c>
      <x:c r="T1925" s="12" t="str">
        <x:v>否</x:v>
      </x:c>
      <x:c r="U1925" s="12" t="str">
        <x:v>刘晓燕</x:v>
      </x:c>
      <x:c r="V1925" s="12" t="str">
        <x:v>1号车</x:v>
      </x:c>
      <x:c r="W1925" s="12" t="str">
        <x:v>秒级预测</x:v>
      </x:c>
      <x:c r="X1925" s="12" t="str">
        <x:v>基于路线秒级参数；如录入实测或手动采用秒，预计到达时间可随公式更新</x:v>
      </x:c>
    </x:row>
    <x:row r="1926">
      <x:c r="A1926" s="12" t="str">
        <x:v>S0166-05</x:v>
      </x:c>
      <x:c r="B1926" s="12" t="str">
        <x:v>S0166</x:v>
      </x:c>
      <x:c r="C1926" s="12" t="str">
        <x:v>周末/节假日</x:v>
      </x:c>
      <x:c r="D1926" s="12" t="str">
        <x:v>环线2路</x:v>
      </x:c>
      <x:c r="E1926" s="12" t="str">
        <x:v>第一班</x:v>
      </x:c>
      <x:c r="F1926" s="12" t="n">
        <x:v>10</x:v>
      </x:c>
      <x:c r="G1926" s="12" t="str">
        <x:v>15:00</x:v>
      </x:c>
      <x:c r="H1926" s="12" t="n">
        <x:v>900</x:v>
      </x:c>
      <x:c r="I1926" s="12" t="str">
        <x:v>研究生宿舍楼</x:v>
      </x:c>
      <x:c r="J1926" s="12" t="str">
        <x:v>研究生宿舍楼发车</x:v>
      </x:c>
      <x:c r="K1926" s="12" t="str">
        <x:v>HX2_NORMAL</x:v>
      </x:c>
      <x:c r="L1926" s="12" t="n">
        <x:v>5</x:v>
      </x:c>
      <x:c r="M1926" s="12" t="str">
        <x:v>HX2_NORMAL|5</x:v>
      </x:c>
      <x:c r="N1926" s="12" t="str">
        <x:v>水上训练中心</x:v>
      </x:c>
      <x:c r="O1926" s="12" t="n">
        <x:f>IFERROR(INDEX('秒级路线参数_可调整'!$O:$O,MATCH(M1926,'秒级路线参数_可调整'!$A:$A,0)),"")</x:f>
        <x:v>250</x:v>
      </x:c>
      <x:c r="P1926" s="12" t="n">
        <x:f>IF(O1926="","",O1926/86400)</x:f>
        <x:v>0.0028935185185185184</x:v>
      </x:c>
      <x:c r="Q1926" s="12" t="n">
        <x:f>IF(O1926="","",(H1926*60+O1926)/86400)</x:f>
        <x:v>0.6278935185185185</x:v>
      </x:c>
      <x:c r="R1926" s="12" t="str">
        <x:f>IF(Q1926="","",TEXT(Q1926,"hh:mm:ss"))</x:f>
        <x:v>15:04:10</x:v>
      </x:c>
      <x:c r="S1926" s="12" t="str">
        <x:v>否</x:v>
      </x:c>
      <x:c r="T1926" s="12" t="str">
        <x:v>否</x:v>
      </x:c>
      <x:c r="U1926" s="12" t="str">
        <x:v>刘晓燕</x:v>
      </x:c>
      <x:c r="V1926" s="12" t="str">
        <x:v>1号车</x:v>
      </x:c>
      <x:c r="W1926" s="12" t="str">
        <x:v>秒级预测</x:v>
      </x:c>
      <x:c r="X1926" s="12" t="str">
        <x:v>基于路线秒级参数；如录入实测或手动采用秒，预计到达时间可随公式更新</x:v>
      </x:c>
    </x:row>
    <x:row r="1927">
      <x:c r="A1927" s="12" t="str">
        <x:v>S0166-06</x:v>
      </x:c>
      <x:c r="B1927" s="12" t="str">
        <x:v>S0166</x:v>
      </x:c>
      <x:c r="C1927" s="12" t="str">
        <x:v>周末/节假日</x:v>
      </x:c>
      <x:c r="D1927" s="12" t="str">
        <x:v>环线2路</x:v>
      </x:c>
      <x:c r="E1927" s="12" t="str">
        <x:v>第一班</x:v>
      </x:c>
      <x:c r="F1927" s="12" t="n">
        <x:v>10</x:v>
      </x:c>
      <x:c r="G1927" s="12" t="str">
        <x:v>15:00</x:v>
      </x:c>
      <x:c r="H1927" s="12" t="n">
        <x:v>900</x:v>
      </x:c>
      <x:c r="I1927" s="12" t="str">
        <x:v>研究生宿舍楼</x:v>
      </x:c>
      <x:c r="J1927" s="12" t="str">
        <x:v>研究生宿舍楼发车</x:v>
      </x:c>
      <x:c r="K1927" s="12" t="str">
        <x:v>HX2_NORMAL</x:v>
      </x:c>
      <x:c r="L1927" s="12" t="n">
        <x:v>6</x:v>
      </x:c>
      <x:c r="M1927" s="12" t="str">
        <x:v>HX2_NORMAL|6</x:v>
      </x:c>
      <x:c r="N1927" s="12" t="str">
        <x:v>军体活动中心</x:v>
      </x:c>
      <x:c r="O1927" s="12" t="n">
        <x:f>IFERROR(INDEX('秒级路线参数_可调整'!$O:$O,MATCH(M1927,'秒级路线参数_可调整'!$A:$A,0)),"")</x:f>
        <x:v>315</x:v>
      </x:c>
      <x:c r="P1927" s="12" t="n">
        <x:f>IF(O1927="","",O1927/86400)</x:f>
        <x:v>0.0036458333333333334</x:v>
      </x:c>
      <x:c r="Q1927" s="12" t="n">
        <x:f>IF(O1927="","",(H1927*60+O1927)/86400)</x:f>
        <x:v>0.6286458333333333</x:v>
      </x:c>
      <x:c r="R1927" s="12" t="str">
        <x:f>IF(Q1927="","",TEXT(Q1927,"hh:mm:ss"))</x:f>
        <x:v>15:05:15</x:v>
      </x:c>
      <x:c r="S1927" s="12" t="str">
        <x:v>否</x:v>
      </x:c>
      <x:c r="T1927" s="12" t="str">
        <x:v>否</x:v>
      </x:c>
      <x:c r="U1927" s="12" t="str">
        <x:v>刘晓燕</x:v>
      </x:c>
      <x:c r="V1927" s="12" t="str">
        <x:v>1号车</x:v>
      </x:c>
      <x:c r="W1927" s="12" t="str">
        <x:v>秒级预测</x:v>
      </x:c>
      <x:c r="X1927" s="12" t="str">
        <x:v>基于路线秒级参数；如录入实测或手动采用秒，预计到达时间可随公式更新</x:v>
      </x:c>
    </x:row>
    <x:row r="1928">
      <x:c r="A1928" s="12" t="str">
        <x:v>S0166-07</x:v>
      </x:c>
      <x:c r="B1928" s="12" t="str">
        <x:v>S0166</x:v>
      </x:c>
      <x:c r="C1928" s="12" t="str">
        <x:v>周末/节假日</x:v>
      </x:c>
      <x:c r="D1928" s="12" t="str">
        <x:v>环线2路</x:v>
      </x:c>
      <x:c r="E1928" s="12" t="str">
        <x:v>第一班</x:v>
      </x:c>
      <x:c r="F1928" s="12" t="n">
        <x:v>10</x:v>
      </x:c>
      <x:c r="G1928" s="12" t="str">
        <x:v>15:00</x:v>
      </x:c>
      <x:c r="H1928" s="12" t="n">
        <x:v>900</x:v>
      </x:c>
      <x:c r="I1928" s="12" t="str">
        <x:v>研究生宿舍楼</x:v>
      </x:c>
      <x:c r="J1928" s="12" t="str">
        <x:v>研究生宿舍楼发车</x:v>
      </x:c>
      <x:c r="K1928" s="12" t="str">
        <x:v>HX2_NORMAL</x:v>
      </x:c>
      <x:c r="L1928" s="12" t="n">
        <x:v>7</x:v>
      </x:c>
      <x:c r="M1928" s="12" t="str">
        <x:v>HX2_NORMAL|7</x:v>
      </x:c>
      <x:c r="N1928" s="12" t="str">
        <x:v>二食堂</x:v>
      </x:c>
      <x:c r="O1928" s="12" t="n">
        <x:f>IFERROR(INDEX('秒级路线参数_可调整'!$O:$O,MATCH(M1928,'秒级路线参数_可调整'!$A:$A,0)),"")</x:f>
        <x:v>420</x:v>
      </x:c>
      <x:c r="P1928" s="12" t="n">
        <x:f>IF(O1928="","",O1928/86400)</x:f>
        <x:v>0.004861111111111111</x:v>
      </x:c>
      <x:c r="Q1928" s="12" t="n">
        <x:f>IF(O1928="","",(H1928*60+O1928)/86400)</x:f>
        <x:v>0.6298611111111111</x:v>
      </x:c>
      <x:c r="R1928" s="12" t="str">
        <x:f>IF(Q1928="","",TEXT(Q1928,"hh:mm:ss"))</x:f>
        <x:v>15:07:00</x:v>
      </x:c>
      <x:c r="S1928" s="12" t="str">
        <x:v>否</x:v>
      </x:c>
      <x:c r="T1928" s="12" t="str">
        <x:v>否</x:v>
      </x:c>
      <x:c r="U1928" s="12" t="str">
        <x:v>刘晓燕</x:v>
      </x:c>
      <x:c r="V1928" s="12" t="str">
        <x:v>1号车</x:v>
      </x:c>
      <x:c r="W1928" s="12" t="str">
        <x:v>秒级预测</x:v>
      </x:c>
      <x:c r="X1928" s="12" t="str">
        <x:v>基于路线秒级参数；如录入实测或手动采用秒，预计到达时间可随公式更新</x:v>
      </x:c>
    </x:row>
    <x:row r="1929">
      <x:c r="A1929" s="12" t="str">
        <x:v>S0166-08</x:v>
      </x:c>
      <x:c r="B1929" s="12" t="str">
        <x:v>S0166</x:v>
      </x:c>
      <x:c r="C1929" s="12" t="str">
        <x:v>周末/节假日</x:v>
      </x:c>
      <x:c r="D1929" s="12" t="str">
        <x:v>环线2路</x:v>
      </x:c>
      <x:c r="E1929" s="12" t="str">
        <x:v>第一班</x:v>
      </x:c>
      <x:c r="F1929" s="12" t="n">
        <x:v>10</x:v>
      </x:c>
      <x:c r="G1929" s="12" t="str">
        <x:v>15:00</x:v>
      </x:c>
      <x:c r="H1929" s="12" t="n">
        <x:v>900</x:v>
      </x:c>
      <x:c r="I1929" s="12" t="str">
        <x:v>研究生宿舍楼</x:v>
      </x:c>
      <x:c r="J1929" s="12" t="str">
        <x:v>研究生宿舍楼发车</x:v>
      </x:c>
      <x:c r="K1929" s="12" t="str">
        <x:v>HX2_NORMAL</x:v>
      </x:c>
      <x:c r="L1929" s="12" t="n">
        <x:v>8</x:v>
      </x:c>
      <x:c r="M1929" s="12" t="str">
        <x:v>HX2_NORMAL|8</x:v>
      </x:c>
      <x:c r="N1929" s="12" t="str">
        <x:v>5号宿舍楼</x:v>
      </x:c>
      <x:c r="O1929" s="12" t="n">
        <x:f>IFERROR(INDEX('秒级路线参数_可调整'!$O:$O,MATCH(M1929,'秒级路线参数_可调整'!$A:$A,0)),"")</x:f>
        <x:v>480</x:v>
      </x:c>
      <x:c r="P1929" s="12" t="n">
        <x:f>IF(O1929="","",O1929/86400)</x:f>
        <x:v>0.005555555555555556</x:v>
      </x:c>
      <x:c r="Q1929" s="12" t="n">
        <x:f>IF(O1929="","",(H1929*60+O1929)/86400)</x:f>
        <x:v>0.6305555555555555</x:v>
      </x:c>
      <x:c r="R1929" s="12" t="str">
        <x:f>IF(Q1929="","",TEXT(Q1929,"hh:mm:ss"))</x:f>
        <x:v>15:08:00</x:v>
      </x:c>
      <x:c r="S1929" s="12" t="str">
        <x:v>否</x:v>
      </x:c>
      <x:c r="T1929" s="12" t="str">
        <x:v>否</x:v>
      </x:c>
      <x:c r="U1929" s="12" t="str">
        <x:v>刘晓燕</x:v>
      </x:c>
      <x:c r="V1929" s="12" t="str">
        <x:v>1号车</x:v>
      </x:c>
      <x:c r="W1929" s="12" t="str">
        <x:v>秒级预测</x:v>
      </x:c>
      <x:c r="X1929" s="12" t="str">
        <x:v>基于路线秒级参数；如录入实测或手动采用秒，预计到达时间可随公式更新</x:v>
      </x:c>
    </x:row>
    <x:row r="1930">
      <x:c r="A1930" s="12" t="str">
        <x:v>S0166-09</x:v>
      </x:c>
      <x:c r="B1930" s="12" t="str">
        <x:v>S0166</x:v>
      </x:c>
      <x:c r="C1930" s="12" t="str">
        <x:v>周末/节假日</x:v>
      </x:c>
      <x:c r="D1930" s="12" t="str">
        <x:v>环线2路</x:v>
      </x:c>
      <x:c r="E1930" s="12" t="str">
        <x:v>第一班</x:v>
      </x:c>
      <x:c r="F1930" s="12" t="n">
        <x:v>10</x:v>
      </x:c>
      <x:c r="G1930" s="12" t="str">
        <x:v>15:00</x:v>
      </x:c>
      <x:c r="H1930" s="12" t="n">
        <x:v>900</x:v>
      </x:c>
      <x:c r="I1930" s="12" t="str">
        <x:v>研究生宿舍楼</x:v>
      </x:c>
      <x:c r="J1930" s="12" t="str">
        <x:v>研究生宿舍楼发车</x:v>
      </x:c>
      <x:c r="K1930" s="12" t="str">
        <x:v>HX2_NORMAL</x:v>
      </x:c>
      <x:c r="L1930" s="12" t="n">
        <x:v>9</x:v>
      </x:c>
      <x:c r="M1930" s="12" t="str">
        <x:v>HX2_NORMAL|9</x:v>
      </x:c>
      <x:c r="N1930" s="12" t="str">
        <x:v>305教学楼</x:v>
      </x:c>
      <x:c r="O1930" s="12" t="n">
        <x:f>IFERROR(INDEX('秒级路线参数_可调整'!$O:$O,MATCH(M1930,'秒级路线参数_可调整'!$A:$A,0)),"")</x:f>
        <x:v>535</x:v>
      </x:c>
      <x:c r="P1930" s="12" t="n">
        <x:f>IF(O1930="","",O1930/86400)</x:f>
        <x:v>0.00619212962962963</x:v>
      </x:c>
      <x:c r="Q1930" s="12" t="n">
        <x:f>IF(O1930="","",(H1930*60+O1930)/86400)</x:f>
        <x:v>0.6311921296296297</x:v>
      </x:c>
      <x:c r="R1930" s="12" t="str">
        <x:f>IF(Q1930="","",TEXT(Q1930,"hh:mm:ss"))</x:f>
        <x:v>15:08:55</x:v>
      </x:c>
      <x:c r="S1930" s="12" t="str">
        <x:v>否</x:v>
      </x:c>
      <x:c r="T1930" s="12" t="str">
        <x:v>否</x:v>
      </x:c>
      <x:c r="U1930" s="12" t="str">
        <x:v>刘晓燕</x:v>
      </x:c>
      <x:c r="V1930" s="12" t="str">
        <x:v>1号车</x:v>
      </x:c>
      <x:c r="W1930" s="12" t="str">
        <x:v>秒级预测</x:v>
      </x:c>
      <x:c r="X1930" s="12" t="str">
        <x:v>基于路线秒级参数；如录入实测或手动采用秒，预计到达时间可随公式更新</x:v>
      </x:c>
    </x:row>
    <x:row r="1931">
      <x:c r="A1931" s="12" t="str">
        <x:v>S0166-10</x:v>
      </x:c>
      <x:c r="B1931" s="12" t="str">
        <x:v>S0166</x:v>
      </x:c>
      <x:c r="C1931" s="12" t="str">
        <x:v>周末/节假日</x:v>
      </x:c>
      <x:c r="D1931" s="12" t="str">
        <x:v>环线2路</x:v>
      </x:c>
      <x:c r="E1931" s="12" t="str">
        <x:v>第一班</x:v>
      </x:c>
      <x:c r="F1931" s="12" t="n">
        <x:v>10</x:v>
      </x:c>
      <x:c r="G1931" s="12" t="str">
        <x:v>15:00</x:v>
      </x:c>
      <x:c r="H1931" s="12" t="n">
        <x:v>900</x:v>
      </x:c>
      <x:c r="I1931" s="12" t="str">
        <x:v>研究生宿舍楼</x:v>
      </x:c>
      <x:c r="J1931" s="12" t="str">
        <x:v>研究生宿舍楼发车</x:v>
      </x:c>
      <x:c r="K1931" s="12" t="str">
        <x:v>HX2_NORMAL</x:v>
      </x:c>
      <x:c r="L1931" s="12" t="n">
        <x:v>10</x:v>
      </x:c>
      <x:c r="M1931" s="12" t="str">
        <x:v>HX2_NORMAL|10</x:v>
      </x:c>
      <x:c r="N1931" s="12" t="str">
        <x:v>研究生宿舍楼</x:v>
      </x:c>
      <x:c r="O1931" s="12" t="n">
        <x:f>IFERROR(INDEX('秒级路线参数_可调整'!$O:$O,MATCH(M1931,'秒级路线参数_可调整'!$A:$A,0)),"")</x:f>
        <x:v>715</x:v>
      </x:c>
      <x:c r="P1931" s="12" t="n">
        <x:f>IF(O1931="","",O1931/86400)</x:f>
        <x:v>0.008275462962962964</x:v>
      </x:c>
      <x:c r="Q1931" s="12" t="n">
        <x:f>IF(O1931="","",(H1931*60+O1931)/86400)</x:f>
        <x:v>0.633275462962963</x:v>
      </x:c>
      <x:c r="R1931" s="12" t="str">
        <x:f>IF(Q1931="","",TEXT(Q1931,"hh:mm:ss"))</x:f>
        <x:v>15:11:55</x:v>
      </x:c>
      <x:c r="S1931" s="12" t="str">
        <x:v>否</x:v>
      </x:c>
      <x:c r="T1931" s="12" t="str">
        <x:v>是</x:v>
      </x:c>
      <x:c r="U1931" s="12" t="str">
        <x:v>刘晓燕</x:v>
      </x:c>
      <x:c r="V1931" s="12" t="str">
        <x:v>1号车</x:v>
      </x:c>
      <x:c r="W1931" s="12" t="str">
        <x:v>秒级预测</x:v>
      </x:c>
      <x:c r="X1931" s="12" t="str">
        <x:v>基于路线秒级参数；如录入实测或手动采用秒，预计到达时间可随公式更新</x:v>
      </x:c>
    </x:row>
    <x:row r="1932">
      <x:c r="A1932" s="12" t="str">
        <x:v>S0167-01</x:v>
      </x:c>
      <x:c r="B1932" s="12" t="str">
        <x:v>S0167</x:v>
      </x:c>
      <x:c r="C1932" s="12" t="str">
        <x:v>周末/节假日</x:v>
      </x:c>
      <x:c r="D1932" s="12" t="str">
        <x:v>环线2路</x:v>
      </x:c>
      <x:c r="E1932" s="12" t="str">
        <x:v>第一班</x:v>
      </x:c>
      <x:c r="F1932" s="12" t="n">
        <x:v>11</x:v>
      </x:c>
      <x:c r="G1932" s="12" t="str">
        <x:v>17:00</x:v>
      </x:c>
      <x:c r="H1932" s="12" t="n">
        <x:v>1020</x:v>
      </x:c>
      <x:c r="I1932" s="12" t="str">
        <x:v>研究生宿舍楼</x:v>
      </x:c>
      <x:c r="J1932" s="12" t="str">
        <x:v>研究生宿舍楼发车</x:v>
      </x:c>
      <x:c r="K1932" s="12" t="str">
        <x:v>HX2_NORMAL</x:v>
      </x:c>
      <x:c r="L1932" s="12" t="n">
        <x:v>1</x:v>
      </x:c>
      <x:c r="M1932" s="12" t="str">
        <x:v>HX2_NORMAL|1</x:v>
      </x:c>
      <x:c r="N1932" s="12" t="str">
        <x:v>研究生宿舍楼</x:v>
      </x:c>
      <x:c r="O1932" s="12" t="n">
        <x:f>IFERROR(INDEX('秒级路线参数_可调整'!$O:$O,MATCH(M1932,'秒级路线参数_可调整'!$A:$A,0)),"")</x:f>
        <x:v>0</x:v>
      </x:c>
      <x:c r="P1932" s="12" t="str">
        <x:f>IF(O1932="","",O1932/86400)</x:f>
      </x:c>
      <x:c r="Q1932" s="12" t="str">
        <x:f>IF(O1932="","",(H1932*60+O1932)/86400)</x:f>
      </x:c>
      <x:c r="R1932" s="12" t="str">
        <x:f>IF(Q1932="","",TEXT(Q1932,"hh:mm:ss"))</x:f>
      </x:c>
      <x:c r="S1932" s="12" t="str">
        <x:v>是</x:v>
      </x:c>
      <x:c r="T1932" s="12" t="str">
        <x:v>否</x:v>
      </x:c>
      <x:c r="U1932" s="12" t="str">
        <x:v>刘晓燕</x:v>
      </x:c>
      <x:c r="V1932" s="12" t="str">
        <x:v>1号车</x:v>
      </x:c>
      <x:c r="W1932" s="12" t="str">
        <x:v>秒级预测</x:v>
      </x:c>
      <x:c r="X1932" s="12" t="str">
        <x:v>基于路线秒级参数；如录入实测或手动采用秒，预计到达时间可随公式更新</x:v>
      </x:c>
    </x:row>
    <x:row r="1933">
      <x:c r="A1933" s="12" t="str">
        <x:v>S0167-02</x:v>
      </x:c>
      <x:c r="B1933" s="12" t="str">
        <x:v>S0167</x:v>
      </x:c>
      <x:c r="C1933" s="12" t="str">
        <x:v>周末/节假日</x:v>
      </x:c>
      <x:c r="D1933" s="12" t="str">
        <x:v>环线2路</x:v>
      </x:c>
      <x:c r="E1933" s="12" t="str">
        <x:v>第一班</x:v>
      </x:c>
      <x:c r="F1933" s="12" t="n">
        <x:v>11</x:v>
      </x:c>
      <x:c r="G1933" s="12" t="str">
        <x:v>17:00</x:v>
      </x:c>
      <x:c r="H1933" s="12" t="n">
        <x:v>1020</x:v>
      </x:c>
      <x:c r="I1933" s="12" t="str">
        <x:v>研究生宿舍楼</x:v>
      </x:c>
      <x:c r="J1933" s="12" t="str">
        <x:v>研究生宿舍楼发车</x:v>
      </x:c>
      <x:c r="K1933" s="12" t="str">
        <x:v>HX2_NORMAL</x:v>
      </x:c>
      <x:c r="L1933" s="12" t="n">
        <x:v>2</x:v>
      </x:c>
      <x:c r="M1933" s="12" t="str">
        <x:v>HX2_NORMAL|2</x:v>
      </x:c>
      <x:c r="N1933" s="12" t="str">
        <x:v>一食堂</x:v>
      </x:c>
      <x:c r="O1933" s="12" t="n">
        <x:f>IFERROR(INDEX('秒级路线参数_可调整'!$O:$O,MATCH(M1933,'秒级路线参数_可调整'!$A:$A,0)),"")</x:f>
        <x:v>65</x:v>
      </x:c>
      <x:c r="P1933" s="12" t="n">
        <x:f>IF(O1933="","",O1933/86400)</x:f>
        <x:v>0.0007523148148148148</x:v>
      </x:c>
      <x:c r="Q1933" s="12" t="n">
        <x:f>IF(O1933="","",(H1933*60+O1933)/86400)</x:f>
        <x:v>0.7090856481481481</x:v>
      </x:c>
      <x:c r="R1933" s="12" t="str">
        <x:f>IF(Q1933="","",TEXT(Q1933,"hh:mm:ss"))</x:f>
        <x:v>17:01:05</x:v>
      </x:c>
      <x:c r="S1933" s="12" t="str">
        <x:v>否</x:v>
      </x:c>
      <x:c r="T1933" s="12" t="str">
        <x:v>否</x:v>
      </x:c>
      <x:c r="U1933" s="12" t="str">
        <x:v>刘晓燕</x:v>
      </x:c>
      <x:c r="V1933" s="12" t="str">
        <x:v>1号车</x:v>
      </x:c>
      <x:c r="W1933" s="12" t="str">
        <x:v>秒级预测</x:v>
      </x:c>
      <x:c r="X1933" s="12" t="str">
        <x:v>基于路线秒级参数；如录入实测或手动采用秒，预计到达时间可随公式更新</x:v>
      </x:c>
    </x:row>
    <x:row r="1934">
      <x:c r="A1934" s="12" t="str">
        <x:v>S0167-03</x:v>
      </x:c>
      <x:c r="B1934" s="12" t="str">
        <x:v>S0167</x:v>
      </x:c>
      <x:c r="C1934" s="12" t="str">
        <x:v>周末/节假日</x:v>
      </x:c>
      <x:c r="D1934" s="12" t="str">
        <x:v>环线2路</x:v>
      </x:c>
      <x:c r="E1934" s="12" t="str">
        <x:v>第一班</x:v>
      </x:c>
      <x:c r="F1934" s="12" t="n">
        <x:v>11</x:v>
      </x:c>
      <x:c r="G1934" s="12" t="str">
        <x:v>17:00</x:v>
      </x:c>
      <x:c r="H1934" s="12" t="n">
        <x:v>1020</x:v>
      </x:c>
      <x:c r="I1934" s="12" t="str">
        <x:v>研究生宿舍楼</x:v>
      </x:c>
      <x:c r="J1934" s="12" t="str">
        <x:v>研究生宿舍楼发车</x:v>
      </x:c>
      <x:c r="K1934" s="12" t="str">
        <x:v>HX2_NORMAL</x:v>
      </x:c>
      <x:c r="L1934" s="12" t="n">
        <x:v>3</x:v>
      </x:c>
      <x:c r="M1934" s="12" t="str">
        <x:v>HX2_NORMAL|3</x:v>
      </x:c>
      <x:c r="N1934" s="12" t="str">
        <x:v>门诊部</x:v>
      </x:c>
      <x:c r="O1934" s="12" t="n">
        <x:f>IFERROR(INDEX('秒级路线参数_可调整'!$O:$O,MATCH(M1934,'秒级路线参数_可调整'!$A:$A,0)),"")</x:f>
        <x:v>120</x:v>
      </x:c>
      <x:c r="P1934" s="12" t="n">
        <x:f>IF(O1934="","",O1934/86400)</x:f>
        <x:v>0.001388888888888889</x:v>
      </x:c>
      <x:c r="Q1934" s="12" t="n">
        <x:f>IF(O1934="","",(H1934*60+O1934)/86400)</x:f>
        <x:v>0.7097222222222223</x:v>
      </x:c>
      <x:c r="R1934" s="12" t="str">
        <x:f>IF(Q1934="","",TEXT(Q1934,"hh:mm:ss"))</x:f>
        <x:v>17:02:00</x:v>
      </x:c>
      <x:c r="S1934" s="12" t="str">
        <x:v>否</x:v>
      </x:c>
      <x:c r="T1934" s="12" t="str">
        <x:v>否</x:v>
      </x:c>
      <x:c r="U1934" s="12" t="str">
        <x:v>刘晓燕</x:v>
      </x:c>
      <x:c r="V1934" s="12" t="str">
        <x:v>1号车</x:v>
      </x:c>
      <x:c r="W1934" s="12" t="str">
        <x:v>秒级预测</x:v>
      </x:c>
      <x:c r="X1934" s="12" t="str">
        <x:v>基于路线秒级参数；如录入实测或手动采用秒，预计到达时间可随公式更新</x:v>
      </x:c>
    </x:row>
    <x:row r="1935">
      <x:c r="A1935" s="12" t="str">
        <x:v>S0167-04</x:v>
      </x:c>
      <x:c r="B1935" s="12" t="str">
        <x:v>S0167</x:v>
      </x:c>
      <x:c r="C1935" s="12" t="str">
        <x:v>周末/节假日</x:v>
      </x:c>
      <x:c r="D1935" s="12" t="str">
        <x:v>环线2路</x:v>
      </x:c>
      <x:c r="E1935" s="12" t="str">
        <x:v>第一班</x:v>
      </x:c>
      <x:c r="F1935" s="12" t="n">
        <x:v>11</x:v>
      </x:c>
      <x:c r="G1935" s="12" t="str">
        <x:v>17:00</x:v>
      </x:c>
      <x:c r="H1935" s="12" t="n">
        <x:v>1020</x:v>
      </x:c>
      <x:c r="I1935" s="12" t="str">
        <x:v>研究生宿舍楼</x:v>
      </x:c>
      <x:c r="J1935" s="12" t="str">
        <x:v>研究生宿舍楼发车</x:v>
      </x:c>
      <x:c r="K1935" s="12" t="str">
        <x:v>HX2_NORMAL</x:v>
      </x:c>
      <x:c r="L1935" s="12" t="n">
        <x:v>4</x:v>
      </x:c>
      <x:c r="M1935" s="12" t="str">
        <x:v>HX2_NORMAL|4</x:v>
      </x:c>
      <x:c r="N1935" s="12" t="str">
        <x:v>1号宿舍楼</x:v>
      </x:c>
      <x:c r="O1935" s="12" t="n">
        <x:f>IFERROR(INDEX('秒级路线参数_可调整'!$O:$O,MATCH(M1935,'秒级路线参数_可调整'!$A:$A,0)),"")</x:f>
        <x:v>165</x:v>
      </x:c>
      <x:c r="P1935" s="12" t="n">
        <x:f>IF(O1935="","",O1935/86400)</x:f>
        <x:v>0.0019097222222222222</x:v>
      </x:c>
      <x:c r="Q1935" s="12" t="n">
        <x:f>IF(O1935="","",(H1935*60+O1935)/86400)</x:f>
        <x:v>0.7102430555555556</x:v>
      </x:c>
      <x:c r="R1935" s="12" t="str">
        <x:f>IF(Q1935="","",TEXT(Q1935,"hh:mm:ss"))</x:f>
        <x:v>17:02:45</x:v>
      </x:c>
      <x:c r="S1935" s="12" t="str">
        <x:v>否</x:v>
      </x:c>
      <x:c r="T1935" s="12" t="str">
        <x:v>否</x:v>
      </x:c>
      <x:c r="U1935" s="12" t="str">
        <x:v>刘晓燕</x:v>
      </x:c>
      <x:c r="V1935" s="12" t="str">
        <x:v>1号车</x:v>
      </x:c>
      <x:c r="W1935" s="12" t="str">
        <x:v>秒级预测</x:v>
      </x:c>
      <x:c r="X1935" s="12" t="str">
        <x:v>基于路线秒级参数；如录入实测或手动采用秒，预计到达时间可随公式更新</x:v>
      </x:c>
    </x:row>
    <x:row r="1936">
      <x:c r="A1936" s="12" t="str">
        <x:v>S0167-05</x:v>
      </x:c>
      <x:c r="B1936" s="12" t="str">
        <x:v>S0167</x:v>
      </x:c>
      <x:c r="C1936" s="12" t="str">
        <x:v>周末/节假日</x:v>
      </x:c>
      <x:c r="D1936" s="12" t="str">
        <x:v>环线2路</x:v>
      </x:c>
      <x:c r="E1936" s="12" t="str">
        <x:v>第一班</x:v>
      </x:c>
      <x:c r="F1936" s="12" t="n">
        <x:v>11</x:v>
      </x:c>
      <x:c r="G1936" s="12" t="str">
        <x:v>17:00</x:v>
      </x:c>
      <x:c r="H1936" s="12" t="n">
        <x:v>1020</x:v>
      </x:c>
      <x:c r="I1936" s="12" t="str">
        <x:v>研究生宿舍楼</x:v>
      </x:c>
      <x:c r="J1936" s="12" t="str">
        <x:v>研究生宿舍楼发车</x:v>
      </x:c>
      <x:c r="K1936" s="12" t="str">
        <x:v>HX2_NORMAL</x:v>
      </x:c>
      <x:c r="L1936" s="12" t="n">
        <x:v>5</x:v>
      </x:c>
      <x:c r="M1936" s="12" t="str">
        <x:v>HX2_NORMAL|5</x:v>
      </x:c>
      <x:c r="N1936" s="12" t="str">
        <x:v>水上训练中心</x:v>
      </x:c>
      <x:c r="O1936" s="12" t="n">
        <x:f>IFERROR(INDEX('秒级路线参数_可调整'!$O:$O,MATCH(M1936,'秒级路线参数_可调整'!$A:$A,0)),"")</x:f>
        <x:v>250</x:v>
      </x:c>
      <x:c r="P1936" s="12" t="n">
        <x:f>IF(O1936="","",O1936/86400)</x:f>
        <x:v>0.0028935185185185184</x:v>
      </x:c>
      <x:c r="Q1936" s="12" t="n">
        <x:f>IF(O1936="","",(H1936*60+O1936)/86400)</x:f>
        <x:v>0.7112268518518519</x:v>
      </x:c>
      <x:c r="R1936" s="12" t="str">
        <x:f>IF(Q1936="","",TEXT(Q1936,"hh:mm:ss"))</x:f>
        <x:v>17:04:10</x:v>
      </x:c>
      <x:c r="S1936" s="12" t="str">
        <x:v>否</x:v>
      </x:c>
      <x:c r="T1936" s="12" t="str">
        <x:v>否</x:v>
      </x:c>
      <x:c r="U1936" s="12" t="str">
        <x:v>刘晓燕</x:v>
      </x:c>
      <x:c r="V1936" s="12" t="str">
        <x:v>1号车</x:v>
      </x:c>
      <x:c r="W1936" s="12" t="str">
        <x:v>秒级预测</x:v>
      </x:c>
      <x:c r="X1936" s="12" t="str">
        <x:v>基于路线秒级参数；如录入实测或手动采用秒，预计到达时间可随公式更新</x:v>
      </x:c>
    </x:row>
    <x:row r="1937">
      <x:c r="A1937" s="12" t="str">
        <x:v>S0167-06</x:v>
      </x:c>
      <x:c r="B1937" s="12" t="str">
        <x:v>S0167</x:v>
      </x:c>
      <x:c r="C1937" s="12" t="str">
        <x:v>周末/节假日</x:v>
      </x:c>
      <x:c r="D1937" s="12" t="str">
        <x:v>环线2路</x:v>
      </x:c>
      <x:c r="E1937" s="12" t="str">
        <x:v>第一班</x:v>
      </x:c>
      <x:c r="F1937" s="12" t="n">
        <x:v>11</x:v>
      </x:c>
      <x:c r="G1937" s="12" t="str">
        <x:v>17:00</x:v>
      </x:c>
      <x:c r="H1937" s="12" t="n">
        <x:v>1020</x:v>
      </x:c>
      <x:c r="I1937" s="12" t="str">
        <x:v>研究生宿舍楼</x:v>
      </x:c>
      <x:c r="J1937" s="12" t="str">
        <x:v>研究生宿舍楼发车</x:v>
      </x:c>
      <x:c r="K1937" s="12" t="str">
        <x:v>HX2_NORMAL</x:v>
      </x:c>
      <x:c r="L1937" s="12" t="n">
        <x:v>6</x:v>
      </x:c>
      <x:c r="M1937" s="12" t="str">
        <x:v>HX2_NORMAL|6</x:v>
      </x:c>
      <x:c r="N1937" s="12" t="str">
        <x:v>军体活动中心</x:v>
      </x:c>
      <x:c r="O1937" s="12" t="n">
        <x:f>IFERROR(INDEX('秒级路线参数_可调整'!$O:$O,MATCH(M1937,'秒级路线参数_可调整'!$A:$A,0)),"")</x:f>
        <x:v>315</x:v>
      </x:c>
      <x:c r="P1937" s="12" t="n">
        <x:f>IF(O1937="","",O1937/86400)</x:f>
        <x:v>0.0036458333333333334</x:v>
      </x:c>
      <x:c r="Q1937" s="12" t="n">
        <x:f>IF(O1937="","",(H1937*60+O1937)/86400)</x:f>
        <x:v>0.7119791666666667</x:v>
      </x:c>
      <x:c r="R1937" s="12" t="str">
        <x:f>IF(Q1937="","",TEXT(Q1937,"hh:mm:ss"))</x:f>
        <x:v>17:05:15</x:v>
      </x:c>
      <x:c r="S1937" s="12" t="str">
        <x:v>否</x:v>
      </x:c>
      <x:c r="T1937" s="12" t="str">
        <x:v>否</x:v>
      </x:c>
      <x:c r="U1937" s="12" t="str">
        <x:v>刘晓燕</x:v>
      </x:c>
      <x:c r="V1937" s="12" t="str">
        <x:v>1号车</x:v>
      </x:c>
      <x:c r="W1937" s="12" t="str">
        <x:v>秒级预测</x:v>
      </x:c>
      <x:c r="X1937" s="12" t="str">
        <x:v>基于路线秒级参数；如录入实测或手动采用秒，预计到达时间可随公式更新</x:v>
      </x:c>
    </x:row>
    <x:row r="1938">
      <x:c r="A1938" s="12" t="str">
        <x:v>S0167-07</x:v>
      </x:c>
      <x:c r="B1938" s="12" t="str">
        <x:v>S0167</x:v>
      </x:c>
      <x:c r="C1938" s="12" t="str">
        <x:v>周末/节假日</x:v>
      </x:c>
      <x:c r="D1938" s="12" t="str">
        <x:v>环线2路</x:v>
      </x:c>
      <x:c r="E1938" s="12" t="str">
        <x:v>第一班</x:v>
      </x:c>
      <x:c r="F1938" s="12" t="n">
        <x:v>11</x:v>
      </x:c>
      <x:c r="G1938" s="12" t="str">
        <x:v>17:00</x:v>
      </x:c>
      <x:c r="H1938" s="12" t="n">
        <x:v>1020</x:v>
      </x:c>
      <x:c r="I1938" s="12" t="str">
        <x:v>研究生宿舍楼</x:v>
      </x:c>
      <x:c r="J1938" s="12" t="str">
        <x:v>研究生宿舍楼发车</x:v>
      </x:c>
      <x:c r="K1938" s="12" t="str">
        <x:v>HX2_NORMAL</x:v>
      </x:c>
      <x:c r="L1938" s="12" t="n">
        <x:v>7</x:v>
      </x:c>
      <x:c r="M1938" s="12" t="str">
        <x:v>HX2_NORMAL|7</x:v>
      </x:c>
      <x:c r="N1938" s="12" t="str">
        <x:v>二食堂</x:v>
      </x:c>
      <x:c r="O1938" s="12" t="n">
        <x:f>IFERROR(INDEX('秒级路线参数_可调整'!$O:$O,MATCH(M1938,'秒级路线参数_可调整'!$A:$A,0)),"")</x:f>
        <x:v>420</x:v>
      </x:c>
      <x:c r="P1938" s="12" t="n">
        <x:f>IF(O1938="","",O1938/86400)</x:f>
        <x:v>0.004861111111111111</x:v>
      </x:c>
      <x:c r="Q1938" s="12" t="n">
        <x:f>IF(O1938="","",(H1938*60+O1938)/86400)</x:f>
        <x:v>0.7131944444444445</x:v>
      </x:c>
      <x:c r="R1938" s="12" t="str">
        <x:f>IF(Q1938="","",TEXT(Q1938,"hh:mm:ss"))</x:f>
        <x:v>17:07:00</x:v>
      </x:c>
      <x:c r="S1938" s="12" t="str">
        <x:v>否</x:v>
      </x:c>
      <x:c r="T1938" s="12" t="str">
        <x:v>否</x:v>
      </x:c>
      <x:c r="U1938" s="12" t="str">
        <x:v>刘晓燕</x:v>
      </x:c>
      <x:c r="V1938" s="12" t="str">
        <x:v>1号车</x:v>
      </x:c>
      <x:c r="W1938" s="12" t="str">
        <x:v>秒级预测</x:v>
      </x:c>
      <x:c r="X1938" s="12" t="str">
        <x:v>基于路线秒级参数；如录入实测或手动采用秒，预计到达时间可随公式更新</x:v>
      </x:c>
    </x:row>
    <x:row r="1939">
      <x:c r="A1939" s="12" t="str">
        <x:v>S0167-08</x:v>
      </x:c>
      <x:c r="B1939" s="12" t="str">
        <x:v>S0167</x:v>
      </x:c>
      <x:c r="C1939" s="12" t="str">
        <x:v>周末/节假日</x:v>
      </x:c>
      <x:c r="D1939" s="12" t="str">
        <x:v>环线2路</x:v>
      </x:c>
      <x:c r="E1939" s="12" t="str">
        <x:v>第一班</x:v>
      </x:c>
      <x:c r="F1939" s="12" t="n">
        <x:v>11</x:v>
      </x:c>
      <x:c r="G1939" s="12" t="str">
        <x:v>17:00</x:v>
      </x:c>
      <x:c r="H1939" s="12" t="n">
        <x:v>1020</x:v>
      </x:c>
      <x:c r="I1939" s="12" t="str">
        <x:v>研究生宿舍楼</x:v>
      </x:c>
      <x:c r="J1939" s="12" t="str">
        <x:v>研究生宿舍楼发车</x:v>
      </x:c>
      <x:c r="K1939" s="12" t="str">
        <x:v>HX2_NORMAL</x:v>
      </x:c>
      <x:c r="L1939" s="12" t="n">
        <x:v>8</x:v>
      </x:c>
      <x:c r="M1939" s="12" t="str">
        <x:v>HX2_NORMAL|8</x:v>
      </x:c>
      <x:c r="N1939" s="12" t="str">
        <x:v>5号宿舍楼</x:v>
      </x:c>
      <x:c r="O1939" s="12" t="n">
        <x:f>IFERROR(INDEX('秒级路线参数_可调整'!$O:$O,MATCH(M1939,'秒级路线参数_可调整'!$A:$A,0)),"")</x:f>
        <x:v>480</x:v>
      </x:c>
      <x:c r="P1939" s="12" t="n">
        <x:f>IF(O1939="","",O1939/86400)</x:f>
        <x:v>0.005555555555555556</x:v>
      </x:c>
      <x:c r="Q1939" s="12" t="n">
        <x:f>IF(O1939="","",(H1939*60+O1939)/86400)</x:f>
        <x:v>0.7138888888888889</x:v>
      </x:c>
      <x:c r="R1939" s="12" t="str">
        <x:f>IF(Q1939="","",TEXT(Q1939,"hh:mm:ss"))</x:f>
        <x:v>17:08:00</x:v>
      </x:c>
      <x:c r="S1939" s="12" t="str">
        <x:v>否</x:v>
      </x:c>
      <x:c r="T1939" s="12" t="str">
        <x:v>否</x:v>
      </x:c>
      <x:c r="U1939" s="12" t="str">
        <x:v>刘晓燕</x:v>
      </x:c>
      <x:c r="V1939" s="12" t="str">
        <x:v>1号车</x:v>
      </x:c>
      <x:c r="W1939" s="12" t="str">
        <x:v>秒级预测</x:v>
      </x:c>
      <x:c r="X1939" s="12" t="str">
        <x:v>基于路线秒级参数；如录入实测或手动采用秒，预计到达时间可随公式更新</x:v>
      </x:c>
    </x:row>
    <x:row r="1940">
      <x:c r="A1940" s="12" t="str">
        <x:v>S0167-09</x:v>
      </x:c>
      <x:c r="B1940" s="12" t="str">
        <x:v>S0167</x:v>
      </x:c>
      <x:c r="C1940" s="12" t="str">
        <x:v>周末/节假日</x:v>
      </x:c>
      <x:c r="D1940" s="12" t="str">
        <x:v>环线2路</x:v>
      </x:c>
      <x:c r="E1940" s="12" t="str">
        <x:v>第一班</x:v>
      </x:c>
      <x:c r="F1940" s="12" t="n">
        <x:v>11</x:v>
      </x:c>
      <x:c r="G1940" s="12" t="str">
        <x:v>17:00</x:v>
      </x:c>
      <x:c r="H1940" s="12" t="n">
        <x:v>1020</x:v>
      </x:c>
      <x:c r="I1940" s="12" t="str">
        <x:v>研究生宿舍楼</x:v>
      </x:c>
      <x:c r="J1940" s="12" t="str">
        <x:v>研究生宿舍楼发车</x:v>
      </x:c>
      <x:c r="K1940" s="12" t="str">
        <x:v>HX2_NORMAL</x:v>
      </x:c>
      <x:c r="L1940" s="12" t="n">
        <x:v>9</x:v>
      </x:c>
      <x:c r="M1940" s="12" t="str">
        <x:v>HX2_NORMAL|9</x:v>
      </x:c>
      <x:c r="N1940" s="12" t="str">
        <x:v>305教学楼</x:v>
      </x:c>
      <x:c r="O1940" s="12" t="n">
        <x:f>IFERROR(INDEX('秒级路线参数_可调整'!$O:$O,MATCH(M1940,'秒级路线参数_可调整'!$A:$A,0)),"")</x:f>
        <x:v>535</x:v>
      </x:c>
      <x:c r="P1940" s="12" t="n">
        <x:f>IF(O1940="","",O1940/86400)</x:f>
        <x:v>0.00619212962962963</x:v>
      </x:c>
      <x:c r="Q1940" s="12" t="n">
        <x:f>IF(O1940="","",(H1940*60+O1940)/86400)</x:f>
        <x:v>0.7145254629629629</x:v>
      </x:c>
      <x:c r="R1940" s="12" t="str">
        <x:f>IF(Q1940="","",TEXT(Q1940,"hh:mm:ss"))</x:f>
        <x:v>17:08:55</x:v>
      </x:c>
      <x:c r="S1940" s="12" t="str">
        <x:v>否</x:v>
      </x:c>
      <x:c r="T1940" s="12" t="str">
        <x:v>否</x:v>
      </x:c>
      <x:c r="U1940" s="12" t="str">
        <x:v>刘晓燕</x:v>
      </x:c>
      <x:c r="V1940" s="12" t="str">
        <x:v>1号车</x:v>
      </x:c>
      <x:c r="W1940" s="12" t="str">
        <x:v>秒级预测</x:v>
      </x:c>
      <x:c r="X1940" s="12" t="str">
        <x:v>基于路线秒级参数；如录入实测或手动采用秒，预计到达时间可随公式更新</x:v>
      </x:c>
    </x:row>
    <x:row r="1941">
      <x:c r="A1941" s="12" t="str">
        <x:v>S0167-10</x:v>
      </x:c>
      <x:c r="B1941" s="12" t="str">
        <x:v>S0167</x:v>
      </x:c>
      <x:c r="C1941" s="12" t="str">
        <x:v>周末/节假日</x:v>
      </x:c>
      <x:c r="D1941" s="12" t="str">
        <x:v>环线2路</x:v>
      </x:c>
      <x:c r="E1941" s="12" t="str">
        <x:v>第一班</x:v>
      </x:c>
      <x:c r="F1941" s="12" t="n">
        <x:v>11</x:v>
      </x:c>
      <x:c r="G1941" s="12" t="str">
        <x:v>17:00</x:v>
      </x:c>
      <x:c r="H1941" s="12" t="n">
        <x:v>1020</x:v>
      </x:c>
      <x:c r="I1941" s="12" t="str">
        <x:v>研究生宿舍楼</x:v>
      </x:c>
      <x:c r="J1941" s="12" t="str">
        <x:v>研究生宿舍楼发车</x:v>
      </x:c>
      <x:c r="K1941" s="12" t="str">
        <x:v>HX2_NORMAL</x:v>
      </x:c>
      <x:c r="L1941" s="12" t="n">
        <x:v>10</x:v>
      </x:c>
      <x:c r="M1941" s="12" t="str">
        <x:v>HX2_NORMAL|10</x:v>
      </x:c>
      <x:c r="N1941" s="12" t="str">
        <x:v>研究生宿舍楼</x:v>
      </x:c>
      <x:c r="O1941" s="12" t="n">
        <x:f>IFERROR(INDEX('秒级路线参数_可调整'!$O:$O,MATCH(M1941,'秒级路线参数_可调整'!$A:$A,0)),"")</x:f>
        <x:v>715</x:v>
      </x:c>
      <x:c r="P1941" s="12" t="n">
        <x:f>IF(O1941="","",O1941/86400)</x:f>
        <x:v>0.008275462962962964</x:v>
      </x:c>
      <x:c r="Q1941" s="12" t="n">
        <x:f>IF(O1941="","",(H1941*60+O1941)/86400)</x:f>
        <x:v>0.7166087962962963</x:v>
      </x:c>
      <x:c r="R1941" s="12" t="str">
        <x:f>IF(Q1941="","",TEXT(Q1941,"hh:mm:ss"))</x:f>
        <x:v>17:11:55</x:v>
      </x:c>
      <x:c r="S1941" s="12" t="str">
        <x:v>否</x:v>
      </x:c>
      <x:c r="T1941" s="12" t="str">
        <x:v>是</x:v>
      </x:c>
      <x:c r="U1941" s="12" t="str">
        <x:v>刘晓燕</x:v>
      </x:c>
      <x:c r="V1941" s="12" t="str">
        <x:v>1号车</x:v>
      </x:c>
      <x:c r="W1941" s="12" t="str">
        <x:v>秒级预测</x:v>
      </x:c>
      <x:c r="X1941" s="12" t="str">
        <x:v>基于路线秒级参数；如录入实测或手动采用秒，预计到达时间可随公式更新</x:v>
      </x:c>
    </x:row>
    <x:row r="1942">
      <x:c r="A1942" s="12" t="str">
        <x:v>S0168-01</x:v>
      </x:c>
      <x:c r="B1942" s="12" t="str">
        <x:v>S0168</x:v>
      </x:c>
      <x:c r="C1942" s="12" t="str">
        <x:v>周末/节假日</x:v>
      </x:c>
      <x:c r="D1942" s="12" t="str">
        <x:v>环线2路</x:v>
      </x:c>
      <x:c r="E1942" s="12" t="str">
        <x:v>第一班</x:v>
      </x:c>
      <x:c r="F1942" s="12" t="n">
        <x:v>12</x:v>
      </x:c>
      <x:c r="G1942" s="12" t="str">
        <x:v>17:30</x:v>
      </x:c>
      <x:c r="H1942" s="12" t="n">
        <x:v>1050</x:v>
      </x:c>
      <x:c r="I1942" s="12" t="str">
        <x:v>研究生宿舍楼</x:v>
      </x:c>
      <x:c r="J1942" s="12" t="str">
        <x:v>研究生宿舍楼发车</x:v>
      </x:c>
      <x:c r="K1942" s="12" t="str">
        <x:v>HX2_NORMAL</x:v>
      </x:c>
      <x:c r="L1942" s="12" t="n">
        <x:v>1</x:v>
      </x:c>
      <x:c r="M1942" s="12" t="str">
        <x:v>HX2_NORMAL|1</x:v>
      </x:c>
      <x:c r="N1942" s="12" t="str">
        <x:v>研究生宿舍楼</x:v>
      </x:c>
      <x:c r="O1942" s="12" t="n">
        <x:f>IFERROR(INDEX('秒级路线参数_可调整'!$O:$O,MATCH(M1942,'秒级路线参数_可调整'!$A:$A,0)),"")</x:f>
        <x:v>0</x:v>
      </x:c>
      <x:c r="P1942" s="12" t="str">
        <x:f>IF(O1942="","",O1942/86400)</x:f>
      </x:c>
      <x:c r="Q1942" s="12" t="str">
        <x:f>IF(O1942="","",(H1942*60+O1942)/86400)</x:f>
      </x:c>
      <x:c r="R1942" s="12" t="str">
        <x:f>IF(Q1942="","",TEXT(Q1942,"hh:mm:ss"))</x:f>
      </x:c>
      <x:c r="S1942" s="12" t="str">
        <x:v>是</x:v>
      </x:c>
      <x:c r="T1942" s="12" t="str">
        <x:v>否</x:v>
      </x:c>
      <x:c r="U1942" s="12" t="str">
        <x:v>刘晓燕</x:v>
      </x:c>
      <x:c r="V1942" s="12" t="str">
        <x:v>1号车</x:v>
      </x:c>
      <x:c r="W1942" s="12" t="str">
        <x:v>秒级预测</x:v>
      </x:c>
      <x:c r="X1942" s="12" t="str">
        <x:v>基于路线秒级参数；如录入实测或手动采用秒，预计到达时间可随公式更新</x:v>
      </x:c>
    </x:row>
    <x:row r="1943">
      <x:c r="A1943" s="12" t="str">
        <x:v>S0168-02</x:v>
      </x:c>
      <x:c r="B1943" s="12" t="str">
        <x:v>S0168</x:v>
      </x:c>
      <x:c r="C1943" s="12" t="str">
        <x:v>周末/节假日</x:v>
      </x:c>
      <x:c r="D1943" s="12" t="str">
        <x:v>环线2路</x:v>
      </x:c>
      <x:c r="E1943" s="12" t="str">
        <x:v>第一班</x:v>
      </x:c>
      <x:c r="F1943" s="12" t="n">
        <x:v>12</x:v>
      </x:c>
      <x:c r="G1943" s="12" t="str">
        <x:v>17:30</x:v>
      </x:c>
      <x:c r="H1943" s="12" t="n">
        <x:v>1050</x:v>
      </x:c>
      <x:c r="I1943" s="12" t="str">
        <x:v>研究生宿舍楼</x:v>
      </x:c>
      <x:c r="J1943" s="12" t="str">
        <x:v>研究生宿舍楼发车</x:v>
      </x:c>
      <x:c r="K1943" s="12" t="str">
        <x:v>HX2_NORMAL</x:v>
      </x:c>
      <x:c r="L1943" s="12" t="n">
        <x:v>2</x:v>
      </x:c>
      <x:c r="M1943" s="12" t="str">
        <x:v>HX2_NORMAL|2</x:v>
      </x:c>
      <x:c r="N1943" s="12" t="str">
        <x:v>一食堂</x:v>
      </x:c>
      <x:c r="O1943" s="12" t="n">
        <x:f>IFERROR(INDEX('秒级路线参数_可调整'!$O:$O,MATCH(M1943,'秒级路线参数_可调整'!$A:$A,0)),"")</x:f>
        <x:v>65</x:v>
      </x:c>
      <x:c r="P1943" s="12" t="n">
        <x:f>IF(O1943="","",O1943/86400)</x:f>
        <x:v>0.0007523148148148148</x:v>
      </x:c>
      <x:c r="Q1943" s="12" t="n">
        <x:f>IF(O1943="","",(H1943*60+O1943)/86400)</x:f>
        <x:v>0.7299189814814815</x:v>
      </x:c>
      <x:c r="R1943" s="12" t="str">
        <x:f>IF(Q1943="","",TEXT(Q1943,"hh:mm:ss"))</x:f>
        <x:v>17:31:05</x:v>
      </x:c>
      <x:c r="S1943" s="12" t="str">
        <x:v>否</x:v>
      </x:c>
      <x:c r="T1943" s="12" t="str">
        <x:v>否</x:v>
      </x:c>
      <x:c r="U1943" s="12" t="str">
        <x:v>刘晓燕</x:v>
      </x:c>
      <x:c r="V1943" s="12" t="str">
        <x:v>1号车</x:v>
      </x:c>
      <x:c r="W1943" s="12" t="str">
        <x:v>秒级预测</x:v>
      </x:c>
      <x:c r="X1943" s="12" t="str">
        <x:v>基于路线秒级参数；如录入实测或手动采用秒，预计到达时间可随公式更新</x:v>
      </x:c>
    </x:row>
    <x:row r="1944">
      <x:c r="A1944" s="12" t="str">
        <x:v>S0168-03</x:v>
      </x:c>
      <x:c r="B1944" s="12" t="str">
        <x:v>S0168</x:v>
      </x:c>
      <x:c r="C1944" s="12" t="str">
        <x:v>周末/节假日</x:v>
      </x:c>
      <x:c r="D1944" s="12" t="str">
        <x:v>环线2路</x:v>
      </x:c>
      <x:c r="E1944" s="12" t="str">
        <x:v>第一班</x:v>
      </x:c>
      <x:c r="F1944" s="12" t="n">
        <x:v>12</x:v>
      </x:c>
      <x:c r="G1944" s="12" t="str">
        <x:v>17:30</x:v>
      </x:c>
      <x:c r="H1944" s="12" t="n">
        <x:v>1050</x:v>
      </x:c>
      <x:c r="I1944" s="12" t="str">
        <x:v>研究生宿舍楼</x:v>
      </x:c>
      <x:c r="J1944" s="12" t="str">
        <x:v>研究生宿舍楼发车</x:v>
      </x:c>
      <x:c r="K1944" s="12" t="str">
        <x:v>HX2_NORMAL</x:v>
      </x:c>
      <x:c r="L1944" s="12" t="n">
        <x:v>3</x:v>
      </x:c>
      <x:c r="M1944" s="12" t="str">
        <x:v>HX2_NORMAL|3</x:v>
      </x:c>
      <x:c r="N1944" s="12" t="str">
        <x:v>门诊部</x:v>
      </x:c>
      <x:c r="O1944" s="12" t="n">
        <x:f>IFERROR(INDEX('秒级路线参数_可调整'!$O:$O,MATCH(M1944,'秒级路线参数_可调整'!$A:$A,0)),"")</x:f>
        <x:v>120</x:v>
      </x:c>
      <x:c r="P1944" s="12" t="n">
        <x:f>IF(O1944="","",O1944/86400)</x:f>
        <x:v>0.001388888888888889</x:v>
      </x:c>
      <x:c r="Q1944" s="12" t="n">
        <x:f>IF(O1944="","",(H1944*60+O1944)/86400)</x:f>
        <x:v>0.7305555555555555</x:v>
      </x:c>
      <x:c r="R1944" s="12" t="str">
        <x:f>IF(Q1944="","",TEXT(Q1944,"hh:mm:ss"))</x:f>
        <x:v>17:32:00</x:v>
      </x:c>
      <x:c r="S1944" s="12" t="str">
        <x:v>否</x:v>
      </x:c>
      <x:c r="T1944" s="12" t="str">
        <x:v>否</x:v>
      </x:c>
      <x:c r="U1944" s="12" t="str">
        <x:v>刘晓燕</x:v>
      </x:c>
      <x:c r="V1944" s="12" t="str">
        <x:v>1号车</x:v>
      </x:c>
      <x:c r="W1944" s="12" t="str">
        <x:v>秒级预测</x:v>
      </x:c>
      <x:c r="X1944" s="12" t="str">
        <x:v>基于路线秒级参数；如录入实测或手动采用秒，预计到达时间可随公式更新</x:v>
      </x:c>
    </x:row>
    <x:row r="1945">
      <x:c r="A1945" s="12" t="str">
        <x:v>S0168-04</x:v>
      </x:c>
      <x:c r="B1945" s="12" t="str">
        <x:v>S0168</x:v>
      </x:c>
      <x:c r="C1945" s="12" t="str">
        <x:v>周末/节假日</x:v>
      </x:c>
      <x:c r="D1945" s="12" t="str">
        <x:v>环线2路</x:v>
      </x:c>
      <x:c r="E1945" s="12" t="str">
        <x:v>第一班</x:v>
      </x:c>
      <x:c r="F1945" s="12" t="n">
        <x:v>12</x:v>
      </x:c>
      <x:c r="G1945" s="12" t="str">
        <x:v>17:30</x:v>
      </x:c>
      <x:c r="H1945" s="12" t="n">
        <x:v>1050</x:v>
      </x:c>
      <x:c r="I1945" s="12" t="str">
        <x:v>研究生宿舍楼</x:v>
      </x:c>
      <x:c r="J1945" s="12" t="str">
        <x:v>研究生宿舍楼发车</x:v>
      </x:c>
      <x:c r="K1945" s="12" t="str">
        <x:v>HX2_NORMAL</x:v>
      </x:c>
      <x:c r="L1945" s="12" t="n">
        <x:v>4</x:v>
      </x:c>
      <x:c r="M1945" s="12" t="str">
        <x:v>HX2_NORMAL|4</x:v>
      </x:c>
      <x:c r="N1945" s="12" t="str">
        <x:v>1号宿舍楼</x:v>
      </x:c>
      <x:c r="O1945" s="12" t="n">
        <x:f>IFERROR(INDEX('秒级路线参数_可调整'!$O:$O,MATCH(M1945,'秒级路线参数_可调整'!$A:$A,0)),"")</x:f>
        <x:v>165</x:v>
      </x:c>
      <x:c r="P1945" s="12" t="n">
        <x:f>IF(O1945="","",O1945/86400)</x:f>
        <x:v>0.0019097222222222222</x:v>
      </x:c>
      <x:c r="Q1945" s="12" t="n">
        <x:f>IF(O1945="","",(H1945*60+O1945)/86400)</x:f>
        <x:v>0.7310763888888889</x:v>
      </x:c>
      <x:c r="R1945" s="12" t="str">
        <x:f>IF(Q1945="","",TEXT(Q1945,"hh:mm:ss"))</x:f>
        <x:v>17:32:45</x:v>
      </x:c>
      <x:c r="S1945" s="12" t="str">
        <x:v>否</x:v>
      </x:c>
      <x:c r="T1945" s="12" t="str">
        <x:v>否</x:v>
      </x:c>
      <x:c r="U1945" s="12" t="str">
        <x:v>刘晓燕</x:v>
      </x:c>
      <x:c r="V1945" s="12" t="str">
        <x:v>1号车</x:v>
      </x:c>
      <x:c r="W1945" s="12" t="str">
        <x:v>秒级预测</x:v>
      </x:c>
      <x:c r="X1945" s="12" t="str">
        <x:v>基于路线秒级参数；如录入实测或手动采用秒，预计到达时间可随公式更新</x:v>
      </x:c>
    </x:row>
    <x:row r="1946">
      <x:c r="A1946" s="12" t="str">
        <x:v>S0168-05</x:v>
      </x:c>
      <x:c r="B1946" s="12" t="str">
        <x:v>S0168</x:v>
      </x:c>
      <x:c r="C1946" s="12" t="str">
        <x:v>周末/节假日</x:v>
      </x:c>
      <x:c r="D1946" s="12" t="str">
        <x:v>环线2路</x:v>
      </x:c>
      <x:c r="E1946" s="12" t="str">
        <x:v>第一班</x:v>
      </x:c>
      <x:c r="F1946" s="12" t="n">
        <x:v>12</x:v>
      </x:c>
      <x:c r="G1946" s="12" t="str">
        <x:v>17:30</x:v>
      </x:c>
      <x:c r="H1946" s="12" t="n">
        <x:v>1050</x:v>
      </x:c>
      <x:c r="I1946" s="12" t="str">
        <x:v>研究生宿舍楼</x:v>
      </x:c>
      <x:c r="J1946" s="12" t="str">
        <x:v>研究生宿舍楼发车</x:v>
      </x:c>
      <x:c r="K1946" s="12" t="str">
        <x:v>HX2_NORMAL</x:v>
      </x:c>
      <x:c r="L1946" s="12" t="n">
        <x:v>5</x:v>
      </x:c>
      <x:c r="M1946" s="12" t="str">
        <x:v>HX2_NORMAL|5</x:v>
      </x:c>
      <x:c r="N1946" s="12" t="str">
        <x:v>水上训练中心</x:v>
      </x:c>
      <x:c r="O1946" s="12" t="n">
        <x:f>IFERROR(INDEX('秒级路线参数_可调整'!$O:$O,MATCH(M1946,'秒级路线参数_可调整'!$A:$A,0)),"")</x:f>
        <x:v>250</x:v>
      </x:c>
      <x:c r="P1946" s="12" t="n">
        <x:f>IF(O1946="","",O1946/86400)</x:f>
        <x:v>0.0028935185185185184</x:v>
      </x:c>
      <x:c r="Q1946" s="12" t="n">
        <x:f>IF(O1946="","",(H1946*60+O1946)/86400)</x:f>
        <x:v>0.7320601851851852</x:v>
      </x:c>
      <x:c r="R1946" s="12" t="str">
        <x:f>IF(Q1946="","",TEXT(Q1946,"hh:mm:ss"))</x:f>
        <x:v>17:34:10</x:v>
      </x:c>
      <x:c r="S1946" s="12" t="str">
        <x:v>否</x:v>
      </x:c>
      <x:c r="T1946" s="12" t="str">
        <x:v>否</x:v>
      </x:c>
      <x:c r="U1946" s="12" t="str">
        <x:v>刘晓燕</x:v>
      </x:c>
      <x:c r="V1946" s="12" t="str">
        <x:v>1号车</x:v>
      </x:c>
      <x:c r="W1946" s="12" t="str">
        <x:v>秒级预测</x:v>
      </x:c>
      <x:c r="X1946" s="12" t="str">
        <x:v>基于路线秒级参数；如录入实测或手动采用秒，预计到达时间可随公式更新</x:v>
      </x:c>
    </x:row>
    <x:row r="1947">
      <x:c r="A1947" s="12" t="str">
        <x:v>S0168-06</x:v>
      </x:c>
      <x:c r="B1947" s="12" t="str">
        <x:v>S0168</x:v>
      </x:c>
      <x:c r="C1947" s="12" t="str">
        <x:v>周末/节假日</x:v>
      </x:c>
      <x:c r="D1947" s="12" t="str">
        <x:v>环线2路</x:v>
      </x:c>
      <x:c r="E1947" s="12" t="str">
        <x:v>第一班</x:v>
      </x:c>
      <x:c r="F1947" s="12" t="n">
        <x:v>12</x:v>
      </x:c>
      <x:c r="G1947" s="12" t="str">
        <x:v>17:30</x:v>
      </x:c>
      <x:c r="H1947" s="12" t="n">
        <x:v>1050</x:v>
      </x:c>
      <x:c r="I1947" s="12" t="str">
        <x:v>研究生宿舍楼</x:v>
      </x:c>
      <x:c r="J1947" s="12" t="str">
        <x:v>研究生宿舍楼发车</x:v>
      </x:c>
      <x:c r="K1947" s="12" t="str">
        <x:v>HX2_NORMAL</x:v>
      </x:c>
      <x:c r="L1947" s="12" t="n">
        <x:v>6</x:v>
      </x:c>
      <x:c r="M1947" s="12" t="str">
        <x:v>HX2_NORMAL|6</x:v>
      </x:c>
      <x:c r="N1947" s="12" t="str">
        <x:v>军体活动中心</x:v>
      </x:c>
      <x:c r="O1947" s="12" t="n">
        <x:f>IFERROR(INDEX('秒级路线参数_可调整'!$O:$O,MATCH(M1947,'秒级路线参数_可调整'!$A:$A,0)),"")</x:f>
        <x:v>315</x:v>
      </x:c>
      <x:c r="P1947" s="12" t="n">
        <x:f>IF(O1947="","",O1947/86400)</x:f>
        <x:v>0.0036458333333333334</x:v>
      </x:c>
      <x:c r="Q1947" s="12" t="n">
        <x:f>IF(O1947="","",(H1947*60+O1947)/86400)</x:f>
        <x:v>0.7328125</x:v>
      </x:c>
      <x:c r="R1947" s="12" t="str">
        <x:f>IF(Q1947="","",TEXT(Q1947,"hh:mm:ss"))</x:f>
        <x:v>17:35:15</x:v>
      </x:c>
      <x:c r="S1947" s="12" t="str">
        <x:v>否</x:v>
      </x:c>
      <x:c r="T1947" s="12" t="str">
        <x:v>否</x:v>
      </x:c>
      <x:c r="U1947" s="12" t="str">
        <x:v>刘晓燕</x:v>
      </x:c>
      <x:c r="V1947" s="12" t="str">
        <x:v>1号车</x:v>
      </x:c>
      <x:c r="W1947" s="12" t="str">
        <x:v>秒级预测</x:v>
      </x:c>
      <x:c r="X1947" s="12" t="str">
        <x:v>基于路线秒级参数；如录入实测或手动采用秒，预计到达时间可随公式更新</x:v>
      </x:c>
    </x:row>
    <x:row r="1948">
      <x:c r="A1948" s="12" t="str">
        <x:v>S0168-07</x:v>
      </x:c>
      <x:c r="B1948" s="12" t="str">
        <x:v>S0168</x:v>
      </x:c>
      <x:c r="C1948" s="12" t="str">
        <x:v>周末/节假日</x:v>
      </x:c>
      <x:c r="D1948" s="12" t="str">
        <x:v>环线2路</x:v>
      </x:c>
      <x:c r="E1948" s="12" t="str">
        <x:v>第一班</x:v>
      </x:c>
      <x:c r="F1948" s="12" t="n">
        <x:v>12</x:v>
      </x:c>
      <x:c r="G1948" s="12" t="str">
        <x:v>17:30</x:v>
      </x:c>
      <x:c r="H1948" s="12" t="n">
        <x:v>1050</x:v>
      </x:c>
      <x:c r="I1948" s="12" t="str">
        <x:v>研究生宿舍楼</x:v>
      </x:c>
      <x:c r="J1948" s="12" t="str">
        <x:v>研究生宿舍楼发车</x:v>
      </x:c>
      <x:c r="K1948" s="12" t="str">
        <x:v>HX2_NORMAL</x:v>
      </x:c>
      <x:c r="L1948" s="12" t="n">
        <x:v>7</x:v>
      </x:c>
      <x:c r="M1948" s="12" t="str">
        <x:v>HX2_NORMAL|7</x:v>
      </x:c>
      <x:c r="N1948" s="12" t="str">
        <x:v>二食堂</x:v>
      </x:c>
      <x:c r="O1948" s="12" t="n">
        <x:f>IFERROR(INDEX('秒级路线参数_可调整'!$O:$O,MATCH(M1948,'秒级路线参数_可调整'!$A:$A,0)),"")</x:f>
        <x:v>420</x:v>
      </x:c>
      <x:c r="P1948" s="12" t="n">
        <x:f>IF(O1948="","",O1948/86400)</x:f>
        <x:v>0.004861111111111111</x:v>
      </x:c>
      <x:c r="Q1948" s="12" t="n">
        <x:f>IF(O1948="","",(H1948*60+O1948)/86400)</x:f>
        <x:v>0.7340277777777777</x:v>
      </x:c>
      <x:c r="R1948" s="12" t="str">
        <x:f>IF(Q1948="","",TEXT(Q1948,"hh:mm:ss"))</x:f>
        <x:v>17:37:00</x:v>
      </x:c>
      <x:c r="S1948" s="12" t="str">
        <x:v>否</x:v>
      </x:c>
      <x:c r="T1948" s="12" t="str">
        <x:v>否</x:v>
      </x:c>
      <x:c r="U1948" s="12" t="str">
        <x:v>刘晓燕</x:v>
      </x:c>
      <x:c r="V1948" s="12" t="str">
        <x:v>1号车</x:v>
      </x:c>
      <x:c r="W1948" s="12" t="str">
        <x:v>秒级预测</x:v>
      </x:c>
      <x:c r="X1948" s="12" t="str">
        <x:v>基于路线秒级参数；如录入实测或手动采用秒，预计到达时间可随公式更新</x:v>
      </x:c>
    </x:row>
    <x:row r="1949">
      <x:c r="A1949" s="12" t="str">
        <x:v>S0168-08</x:v>
      </x:c>
      <x:c r="B1949" s="12" t="str">
        <x:v>S0168</x:v>
      </x:c>
      <x:c r="C1949" s="12" t="str">
        <x:v>周末/节假日</x:v>
      </x:c>
      <x:c r="D1949" s="12" t="str">
        <x:v>环线2路</x:v>
      </x:c>
      <x:c r="E1949" s="12" t="str">
        <x:v>第一班</x:v>
      </x:c>
      <x:c r="F1949" s="12" t="n">
        <x:v>12</x:v>
      </x:c>
      <x:c r="G1949" s="12" t="str">
        <x:v>17:30</x:v>
      </x:c>
      <x:c r="H1949" s="12" t="n">
        <x:v>1050</x:v>
      </x:c>
      <x:c r="I1949" s="12" t="str">
        <x:v>研究生宿舍楼</x:v>
      </x:c>
      <x:c r="J1949" s="12" t="str">
        <x:v>研究生宿舍楼发车</x:v>
      </x:c>
      <x:c r="K1949" s="12" t="str">
        <x:v>HX2_NORMAL</x:v>
      </x:c>
      <x:c r="L1949" s="12" t="n">
        <x:v>8</x:v>
      </x:c>
      <x:c r="M1949" s="12" t="str">
        <x:v>HX2_NORMAL|8</x:v>
      </x:c>
      <x:c r="N1949" s="12" t="str">
        <x:v>5号宿舍楼</x:v>
      </x:c>
      <x:c r="O1949" s="12" t="n">
        <x:f>IFERROR(INDEX('秒级路线参数_可调整'!$O:$O,MATCH(M1949,'秒级路线参数_可调整'!$A:$A,0)),"")</x:f>
        <x:v>480</x:v>
      </x:c>
      <x:c r="P1949" s="12" t="n">
        <x:f>IF(O1949="","",O1949/86400)</x:f>
        <x:v>0.005555555555555556</x:v>
      </x:c>
      <x:c r="Q1949" s="12" t="n">
        <x:f>IF(O1949="","",(H1949*60+O1949)/86400)</x:f>
        <x:v>0.7347222222222223</x:v>
      </x:c>
      <x:c r="R1949" s="12" t="str">
        <x:f>IF(Q1949="","",TEXT(Q1949,"hh:mm:ss"))</x:f>
        <x:v>17:38:00</x:v>
      </x:c>
      <x:c r="S1949" s="12" t="str">
        <x:v>否</x:v>
      </x:c>
      <x:c r="T1949" s="12" t="str">
        <x:v>否</x:v>
      </x:c>
      <x:c r="U1949" s="12" t="str">
        <x:v>刘晓燕</x:v>
      </x:c>
      <x:c r="V1949" s="12" t="str">
        <x:v>1号车</x:v>
      </x:c>
      <x:c r="W1949" s="12" t="str">
        <x:v>秒级预测</x:v>
      </x:c>
      <x:c r="X1949" s="12" t="str">
        <x:v>基于路线秒级参数；如录入实测或手动采用秒，预计到达时间可随公式更新</x:v>
      </x:c>
    </x:row>
    <x:row r="1950">
      <x:c r="A1950" s="12" t="str">
        <x:v>S0168-09</x:v>
      </x:c>
      <x:c r="B1950" s="12" t="str">
        <x:v>S0168</x:v>
      </x:c>
      <x:c r="C1950" s="12" t="str">
        <x:v>周末/节假日</x:v>
      </x:c>
      <x:c r="D1950" s="12" t="str">
        <x:v>环线2路</x:v>
      </x:c>
      <x:c r="E1950" s="12" t="str">
        <x:v>第一班</x:v>
      </x:c>
      <x:c r="F1950" s="12" t="n">
        <x:v>12</x:v>
      </x:c>
      <x:c r="G1950" s="12" t="str">
        <x:v>17:30</x:v>
      </x:c>
      <x:c r="H1950" s="12" t="n">
        <x:v>1050</x:v>
      </x:c>
      <x:c r="I1950" s="12" t="str">
        <x:v>研究生宿舍楼</x:v>
      </x:c>
      <x:c r="J1950" s="12" t="str">
        <x:v>研究生宿舍楼发车</x:v>
      </x:c>
      <x:c r="K1950" s="12" t="str">
        <x:v>HX2_NORMAL</x:v>
      </x:c>
      <x:c r="L1950" s="12" t="n">
        <x:v>9</x:v>
      </x:c>
      <x:c r="M1950" s="12" t="str">
        <x:v>HX2_NORMAL|9</x:v>
      </x:c>
      <x:c r="N1950" s="12" t="str">
        <x:v>305教学楼</x:v>
      </x:c>
      <x:c r="O1950" s="12" t="n">
        <x:f>IFERROR(INDEX('秒级路线参数_可调整'!$O:$O,MATCH(M1950,'秒级路线参数_可调整'!$A:$A,0)),"")</x:f>
        <x:v>535</x:v>
      </x:c>
      <x:c r="P1950" s="12" t="n">
        <x:f>IF(O1950="","",O1950/86400)</x:f>
        <x:v>0.00619212962962963</x:v>
      </x:c>
      <x:c r="Q1950" s="12" t="n">
        <x:f>IF(O1950="","",(H1950*60+O1950)/86400)</x:f>
        <x:v>0.7353587962962963</x:v>
      </x:c>
      <x:c r="R1950" s="12" t="str">
        <x:f>IF(Q1950="","",TEXT(Q1950,"hh:mm:ss"))</x:f>
        <x:v>17:38:55</x:v>
      </x:c>
      <x:c r="S1950" s="12" t="str">
        <x:v>否</x:v>
      </x:c>
      <x:c r="T1950" s="12" t="str">
        <x:v>否</x:v>
      </x:c>
      <x:c r="U1950" s="12" t="str">
        <x:v>刘晓燕</x:v>
      </x:c>
      <x:c r="V1950" s="12" t="str">
        <x:v>1号车</x:v>
      </x:c>
      <x:c r="W1950" s="12" t="str">
        <x:v>秒级预测</x:v>
      </x:c>
      <x:c r="X1950" s="12" t="str">
        <x:v>基于路线秒级参数；如录入实测或手动采用秒，预计到达时间可随公式更新</x:v>
      </x:c>
    </x:row>
    <x:row r="1951">
      <x:c r="A1951" s="12" t="str">
        <x:v>S0168-10</x:v>
      </x:c>
      <x:c r="B1951" s="12" t="str">
        <x:v>S0168</x:v>
      </x:c>
      <x:c r="C1951" s="12" t="str">
        <x:v>周末/节假日</x:v>
      </x:c>
      <x:c r="D1951" s="12" t="str">
        <x:v>环线2路</x:v>
      </x:c>
      <x:c r="E1951" s="12" t="str">
        <x:v>第一班</x:v>
      </x:c>
      <x:c r="F1951" s="12" t="n">
        <x:v>12</x:v>
      </x:c>
      <x:c r="G1951" s="12" t="str">
        <x:v>17:30</x:v>
      </x:c>
      <x:c r="H1951" s="12" t="n">
        <x:v>1050</x:v>
      </x:c>
      <x:c r="I1951" s="12" t="str">
        <x:v>研究生宿舍楼</x:v>
      </x:c>
      <x:c r="J1951" s="12" t="str">
        <x:v>研究生宿舍楼发车</x:v>
      </x:c>
      <x:c r="K1951" s="12" t="str">
        <x:v>HX2_NORMAL</x:v>
      </x:c>
      <x:c r="L1951" s="12" t="n">
        <x:v>10</x:v>
      </x:c>
      <x:c r="M1951" s="12" t="str">
        <x:v>HX2_NORMAL|10</x:v>
      </x:c>
      <x:c r="N1951" s="12" t="str">
        <x:v>研究生宿舍楼</x:v>
      </x:c>
      <x:c r="O1951" s="12" t="n">
        <x:f>IFERROR(INDEX('秒级路线参数_可调整'!$O:$O,MATCH(M1951,'秒级路线参数_可调整'!$A:$A,0)),"")</x:f>
        <x:v>715</x:v>
      </x:c>
      <x:c r="P1951" s="12" t="n">
        <x:f>IF(O1951="","",O1951/86400)</x:f>
        <x:v>0.008275462962962964</x:v>
      </x:c>
      <x:c r="Q1951" s="12" t="n">
        <x:f>IF(O1951="","",(H1951*60+O1951)/86400)</x:f>
        <x:v>0.7374421296296296</x:v>
      </x:c>
      <x:c r="R1951" s="12" t="str">
        <x:f>IF(Q1951="","",TEXT(Q1951,"hh:mm:ss"))</x:f>
        <x:v>17:41:55</x:v>
      </x:c>
      <x:c r="S1951" s="12" t="str">
        <x:v>否</x:v>
      </x:c>
      <x:c r="T1951" s="12" t="str">
        <x:v>是</x:v>
      </x:c>
      <x:c r="U1951" s="12" t="str">
        <x:v>刘晓燕</x:v>
      </x:c>
      <x:c r="V1951" s="12" t="str">
        <x:v>1号车</x:v>
      </x:c>
      <x:c r="W1951" s="12" t="str">
        <x:v>秒级预测</x:v>
      </x:c>
      <x:c r="X1951" s="12" t="str">
        <x:v>基于路线秒级参数；如录入实测或手动采用秒，预计到达时间可随公式更新</x:v>
      </x:c>
    </x:row>
    <x:row r="1952">
      <x:c r="A1952" s="12" t="str">
        <x:v>S0169-01</x:v>
      </x:c>
      <x:c r="B1952" s="12" t="str">
        <x:v>S0169</x:v>
      </x:c>
      <x:c r="C1952" s="12" t="str">
        <x:v>周末/节假日</x:v>
      </x:c>
      <x:c r="D1952" s="12" t="str">
        <x:v>环线2路</x:v>
      </x:c>
      <x:c r="E1952" s="12" t="str">
        <x:v>第一班</x:v>
      </x:c>
      <x:c r="F1952" s="12" t="n">
        <x:v>13</x:v>
      </x:c>
      <x:c r="G1952" s="12" t="str">
        <x:v>18:00</x:v>
      </x:c>
      <x:c r="H1952" s="12" t="n">
        <x:v>1080</x:v>
      </x:c>
      <x:c r="I1952" s="12" t="str">
        <x:v>研究生宿舍楼</x:v>
      </x:c>
      <x:c r="J1952" s="12" t="str">
        <x:v>研究生宿舍楼发车</x:v>
      </x:c>
      <x:c r="K1952" s="12" t="str">
        <x:v>HX2_NORMAL</x:v>
      </x:c>
      <x:c r="L1952" s="12" t="n">
        <x:v>1</x:v>
      </x:c>
      <x:c r="M1952" s="12" t="str">
        <x:v>HX2_NORMAL|1</x:v>
      </x:c>
      <x:c r="N1952" s="12" t="str">
        <x:v>研究生宿舍楼</x:v>
      </x:c>
      <x:c r="O1952" s="12" t="n">
        <x:f>IFERROR(INDEX('秒级路线参数_可调整'!$O:$O,MATCH(M1952,'秒级路线参数_可调整'!$A:$A,0)),"")</x:f>
        <x:v>0</x:v>
      </x:c>
      <x:c r="P1952" s="12" t="str">
        <x:f>IF(O1952="","",O1952/86400)</x:f>
      </x:c>
      <x:c r="Q1952" s="12" t="str">
        <x:f>IF(O1952="","",(H1952*60+O1952)/86400)</x:f>
      </x:c>
      <x:c r="R1952" s="12" t="str">
        <x:f>IF(Q1952="","",TEXT(Q1952,"hh:mm:ss"))</x:f>
      </x:c>
      <x:c r="S1952" s="12" t="str">
        <x:v>是</x:v>
      </x:c>
      <x:c r="T1952" s="12" t="str">
        <x:v>否</x:v>
      </x:c>
      <x:c r="U1952" s="12" t="str">
        <x:v>刘晓燕</x:v>
      </x:c>
      <x:c r="V1952" s="12" t="str">
        <x:v>1号车</x:v>
      </x:c>
      <x:c r="W1952" s="12" t="str">
        <x:v>秒级预测</x:v>
      </x:c>
      <x:c r="X1952" s="12" t="str">
        <x:v>基于路线秒级参数；如录入实测或手动采用秒，预计到达时间可随公式更新</x:v>
      </x:c>
    </x:row>
    <x:row r="1953">
      <x:c r="A1953" s="12" t="str">
        <x:v>S0169-02</x:v>
      </x:c>
      <x:c r="B1953" s="12" t="str">
        <x:v>S0169</x:v>
      </x:c>
      <x:c r="C1953" s="12" t="str">
        <x:v>周末/节假日</x:v>
      </x:c>
      <x:c r="D1953" s="12" t="str">
        <x:v>环线2路</x:v>
      </x:c>
      <x:c r="E1953" s="12" t="str">
        <x:v>第一班</x:v>
      </x:c>
      <x:c r="F1953" s="12" t="n">
        <x:v>13</x:v>
      </x:c>
      <x:c r="G1953" s="12" t="str">
        <x:v>18:00</x:v>
      </x:c>
      <x:c r="H1953" s="12" t="n">
        <x:v>1080</x:v>
      </x:c>
      <x:c r="I1953" s="12" t="str">
        <x:v>研究生宿舍楼</x:v>
      </x:c>
      <x:c r="J1953" s="12" t="str">
        <x:v>研究生宿舍楼发车</x:v>
      </x:c>
      <x:c r="K1953" s="12" t="str">
        <x:v>HX2_NORMAL</x:v>
      </x:c>
      <x:c r="L1953" s="12" t="n">
        <x:v>2</x:v>
      </x:c>
      <x:c r="M1953" s="12" t="str">
        <x:v>HX2_NORMAL|2</x:v>
      </x:c>
      <x:c r="N1953" s="12" t="str">
        <x:v>一食堂</x:v>
      </x:c>
      <x:c r="O1953" s="12" t="n">
        <x:f>IFERROR(INDEX('秒级路线参数_可调整'!$O:$O,MATCH(M1953,'秒级路线参数_可调整'!$A:$A,0)),"")</x:f>
        <x:v>65</x:v>
      </x:c>
      <x:c r="P1953" s="12" t="n">
        <x:f>IF(O1953="","",O1953/86400)</x:f>
        <x:v>0.0007523148148148148</x:v>
      </x:c>
      <x:c r="Q1953" s="12" t="n">
        <x:f>IF(O1953="","",(H1953*60+O1953)/86400)</x:f>
        <x:v>0.7507523148148149</x:v>
      </x:c>
      <x:c r="R1953" s="12" t="str">
        <x:f>IF(Q1953="","",TEXT(Q1953,"hh:mm:ss"))</x:f>
        <x:v>18:01:05</x:v>
      </x:c>
      <x:c r="S1953" s="12" t="str">
        <x:v>否</x:v>
      </x:c>
      <x:c r="T1953" s="12" t="str">
        <x:v>否</x:v>
      </x:c>
      <x:c r="U1953" s="12" t="str">
        <x:v>刘晓燕</x:v>
      </x:c>
      <x:c r="V1953" s="12" t="str">
        <x:v>1号车</x:v>
      </x:c>
      <x:c r="W1953" s="12" t="str">
        <x:v>秒级预测</x:v>
      </x:c>
      <x:c r="X1953" s="12" t="str">
        <x:v>基于路线秒级参数；如录入实测或手动采用秒，预计到达时间可随公式更新</x:v>
      </x:c>
    </x:row>
    <x:row r="1954">
      <x:c r="A1954" s="12" t="str">
        <x:v>S0169-03</x:v>
      </x:c>
      <x:c r="B1954" s="12" t="str">
        <x:v>S0169</x:v>
      </x:c>
      <x:c r="C1954" s="12" t="str">
        <x:v>周末/节假日</x:v>
      </x:c>
      <x:c r="D1954" s="12" t="str">
        <x:v>环线2路</x:v>
      </x:c>
      <x:c r="E1954" s="12" t="str">
        <x:v>第一班</x:v>
      </x:c>
      <x:c r="F1954" s="12" t="n">
        <x:v>13</x:v>
      </x:c>
      <x:c r="G1954" s="12" t="str">
        <x:v>18:00</x:v>
      </x:c>
      <x:c r="H1954" s="12" t="n">
        <x:v>1080</x:v>
      </x:c>
      <x:c r="I1954" s="12" t="str">
        <x:v>研究生宿舍楼</x:v>
      </x:c>
      <x:c r="J1954" s="12" t="str">
        <x:v>研究生宿舍楼发车</x:v>
      </x:c>
      <x:c r="K1954" s="12" t="str">
        <x:v>HX2_NORMAL</x:v>
      </x:c>
      <x:c r="L1954" s="12" t="n">
        <x:v>3</x:v>
      </x:c>
      <x:c r="M1954" s="12" t="str">
        <x:v>HX2_NORMAL|3</x:v>
      </x:c>
      <x:c r="N1954" s="12" t="str">
        <x:v>门诊部</x:v>
      </x:c>
      <x:c r="O1954" s="12" t="n">
        <x:f>IFERROR(INDEX('秒级路线参数_可调整'!$O:$O,MATCH(M1954,'秒级路线参数_可调整'!$A:$A,0)),"")</x:f>
        <x:v>120</x:v>
      </x:c>
      <x:c r="P1954" s="12" t="n">
        <x:f>IF(O1954="","",O1954/86400)</x:f>
        <x:v>0.001388888888888889</x:v>
      </x:c>
      <x:c r="Q1954" s="12" t="n">
        <x:f>IF(O1954="","",(H1954*60+O1954)/86400)</x:f>
        <x:v>0.7513888888888889</x:v>
      </x:c>
      <x:c r="R1954" s="12" t="str">
        <x:f>IF(Q1954="","",TEXT(Q1954,"hh:mm:ss"))</x:f>
        <x:v>18:02:00</x:v>
      </x:c>
      <x:c r="S1954" s="12" t="str">
        <x:v>否</x:v>
      </x:c>
      <x:c r="T1954" s="12" t="str">
        <x:v>否</x:v>
      </x:c>
      <x:c r="U1954" s="12" t="str">
        <x:v>刘晓燕</x:v>
      </x:c>
      <x:c r="V1954" s="12" t="str">
        <x:v>1号车</x:v>
      </x:c>
      <x:c r="W1954" s="12" t="str">
        <x:v>秒级预测</x:v>
      </x:c>
      <x:c r="X1954" s="12" t="str">
        <x:v>基于路线秒级参数；如录入实测或手动采用秒，预计到达时间可随公式更新</x:v>
      </x:c>
    </x:row>
    <x:row r="1955">
      <x:c r="A1955" s="12" t="str">
        <x:v>S0169-04</x:v>
      </x:c>
      <x:c r="B1955" s="12" t="str">
        <x:v>S0169</x:v>
      </x:c>
      <x:c r="C1955" s="12" t="str">
        <x:v>周末/节假日</x:v>
      </x:c>
      <x:c r="D1955" s="12" t="str">
        <x:v>环线2路</x:v>
      </x:c>
      <x:c r="E1955" s="12" t="str">
        <x:v>第一班</x:v>
      </x:c>
      <x:c r="F1955" s="12" t="n">
        <x:v>13</x:v>
      </x:c>
      <x:c r="G1955" s="12" t="str">
        <x:v>18:00</x:v>
      </x:c>
      <x:c r="H1955" s="12" t="n">
        <x:v>1080</x:v>
      </x:c>
      <x:c r="I1955" s="12" t="str">
        <x:v>研究生宿舍楼</x:v>
      </x:c>
      <x:c r="J1955" s="12" t="str">
        <x:v>研究生宿舍楼发车</x:v>
      </x:c>
      <x:c r="K1955" s="12" t="str">
        <x:v>HX2_NORMAL</x:v>
      </x:c>
      <x:c r="L1955" s="12" t="n">
        <x:v>4</x:v>
      </x:c>
      <x:c r="M1955" s="12" t="str">
        <x:v>HX2_NORMAL|4</x:v>
      </x:c>
      <x:c r="N1955" s="12" t="str">
        <x:v>1号宿舍楼</x:v>
      </x:c>
      <x:c r="O1955" s="12" t="n">
        <x:f>IFERROR(INDEX('秒级路线参数_可调整'!$O:$O,MATCH(M1955,'秒级路线参数_可调整'!$A:$A,0)),"")</x:f>
        <x:v>165</x:v>
      </x:c>
      <x:c r="P1955" s="12" t="n">
        <x:f>IF(O1955="","",O1955/86400)</x:f>
        <x:v>0.0019097222222222222</x:v>
      </x:c>
      <x:c r="Q1955" s="12" t="n">
        <x:f>IF(O1955="","",(H1955*60+O1955)/86400)</x:f>
        <x:v>0.7519097222222222</x:v>
      </x:c>
      <x:c r="R1955" s="12" t="str">
        <x:f>IF(Q1955="","",TEXT(Q1955,"hh:mm:ss"))</x:f>
        <x:v>18:02:45</x:v>
      </x:c>
      <x:c r="S1955" s="12" t="str">
        <x:v>否</x:v>
      </x:c>
      <x:c r="T1955" s="12" t="str">
        <x:v>否</x:v>
      </x:c>
      <x:c r="U1955" s="12" t="str">
        <x:v>刘晓燕</x:v>
      </x:c>
      <x:c r="V1955" s="12" t="str">
        <x:v>1号车</x:v>
      </x:c>
      <x:c r="W1955" s="12" t="str">
        <x:v>秒级预测</x:v>
      </x:c>
      <x:c r="X1955" s="12" t="str">
        <x:v>基于路线秒级参数；如录入实测或手动采用秒，预计到达时间可随公式更新</x:v>
      </x:c>
    </x:row>
    <x:row r="1956">
      <x:c r="A1956" s="12" t="str">
        <x:v>S0169-05</x:v>
      </x:c>
      <x:c r="B1956" s="12" t="str">
        <x:v>S0169</x:v>
      </x:c>
      <x:c r="C1956" s="12" t="str">
        <x:v>周末/节假日</x:v>
      </x:c>
      <x:c r="D1956" s="12" t="str">
        <x:v>环线2路</x:v>
      </x:c>
      <x:c r="E1956" s="12" t="str">
        <x:v>第一班</x:v>
      </x:c>
      <x:c r="F1956" s="12" t="n">
        <x:v>13</x:v>
      </x:c>
      <x:c r="G1956" s="12" t="str">
        <x:v>18:00</x:v>
      </x:c>
      <x:c r="H1956" s="12" t="n">
        <x:v>1080</x:v>
      </x:c>
      <x:c r="I1956" s="12" t="str">
        <x:v>研究生宿舍楼</x:v>
      </x:c>
      <x:c r="J1956" s="12" t="str">
        <x:v>研究生宿舍楼发车</x:v>
      </x:c>
      <x:c r="K1956" s="12" t="str">
        <x:v>HX2_NORMAL</x:v>
      </x:c>
      <x:c r="L1956" s="12" t="n">
        <x:v>5</x:v>
      </x:c>
      <x:c r="M1956" s="12" t="str">
        <x:v>HX2_NORMAL|5</x:v>
      </x:c>
      <x:c r="N1956" s="12" t="str">
        <x:v>水上训练中心</x:v>
      </x:c>
      <x:c r="O1956" s="12" t="n">
        <x:f>IFERROR(INDEX('秒级路线参数_可调整'!$O:$O,MATCH(M1956,'秒级路线参数_可调整'!$A:$A,0)),"")</x:f>
        <x:v>250</x:v>
      </x:c>
      <x:c r="P1956" s="12" t="n">
        <x:f>IF(O1956="","",O1956/86400)</x:f>
        <x:v>0.0028935185185185184</x:v>
      </x:c>
      <x:c r="Q1956" s="12" t="n">
        <x:f>IF(O1956="","",(H1956*60+O1956)/86400)</x:f>
        <x:v>0.7528935185185185</x:v>
      </x:c>
      <x:c r="R1956" s="12" t="str">
        <x:f>IF(Q1956="","",TEXT(Q1956,"hh:mm:ss"))</x:f>
        <x:v>18:04:10</x:v>
      </x:c>
      <x:c r="S1956" s="12" t="str">
        <x:v>否</x:v>
      </x:c>
      <x:c r="T1956" s="12" t="str">
        <x:v>否</x:v>
      </x:c>
      <x:c r="U1956" s="12" t="str">
        <x:v>刘晓燕</x:v>
      </x:c>
      <x:c r="V1956" s="12" t="str">
        <x:v>1号车</x:v>
      </x:c>
      <x:c r="W1956" s="12" t="str">
        <x:v>秒级预测</x:v>
      </x:c>
      <x:c r="X1956" s="12" t="str">
        <x:v>基于路线秒级参数；如录入实测或手动采用秒，预计到达时间可随公式更新</x:v>
      </x:c>
    </x:row>
    <x:row r="1957">
      <x:c r="A1957" s="12" t="str">
        <x:v>S0169-06</x:v>
      </x:c>
      <x:c r="B1957" s="12" t="str">
        <x:v>S0169</x:v>
      </x:c>
      <x:c r="C1957" s="12" t="str">
        <x:v>周末/节假日</x:v>
      </x:c>
      <x:c r="D1957" s="12" t="str">
        <x:v>环线2路</x:v>
      </x:c>
      <x:c r="E1957" s="12" t="str">
        <x:v>第一班</x:v>
      </x:c>
      <x:c r="F1957" s="12" t="n">
        <x:v>13</x:v>
      </x:c>
      <x:c r="G1957" s="12" t="str">
        <x:v>18:00</x:v>
      </x:c>
      <x:c r="H1957" s="12" t="n">
        <x:v>1080</x:v>
      </x:c>
      <x:c r="I1957" s="12" t="str">
        <x:v>研究生宿舍楼</x:v>
      </x:c>
      <x:c r="J1957" s="12" t="str">
        <x:v>研究生宿舍楼发车</x:v>
      </x:c>
      <x:c r="K1957" s="12" t="str">
        <x:v>HX2_NORMAL</x:v>
      </x:c>
      <x:c r="L1957" s="12" t="n">
        <x:v>6</x:v>
      </x:c>
      <x:c r="M1957" s="12" t="str">
        <x:v>HX2_NORMAL|6</x:v>
      </x:c>
      <x:c r="N1957" s="12" t="str">
        <x:v>军体活动中心</x:v>
      </x:c>
      <x:c r="O1957" s="12" t="n">
        <x:f>IFERROR(INDEX('秒级路线参数_可调整'!$O:$O,MATCH(M1957,'秒级路线参数_可调整'!$A:$A,0)),"")</x:f>
        <x:v>315</x:v>
      </x:c>
      <x:c r="P1957" s="12" t="n">
        <x:f>IF(O1957="","",O1957/86400)</x:f>
        <x:v>0.0036458333333333334</x:v>
      </x:c>
      <x:c r="Q1957" s="12" t="n">
        <x:f>IF(O1957="","",(H1957*60+O1957)/86400)</x:f>
        <x:v>0.7536458333333333</x:v>
      </x:c>
      <x:c r="R1957" s="12" t="str">
        <x:f>IF(Q1957="","",TEXT(Q1957,"hh:mm:ss"))</x:f>
        <x:v>18:05:15</x:v>
      </x:c>
      <x:c r="S1957" s="12" t="str">
        <x:v>否</x:v>
      </x:c>
      <x:c r="T1957" s="12" t="str">
        <x:v>否</x:v>
      </x:c>
      <x:c r="U1957" s="12" t="str">
        <x:v>刘晓燕</x:v>
      </x:c>
      <x:c r="V1957" s="12" t="str">
        <x:v>1号车</x:v>
      </x:c>
      <x:c r="W1957" s="12" t="str">
        <x:v>秒级预测</x:v>
      </x:c>
      <x:c r="X1957" s="12" t="str">
        <x:v>基于路线秒级参数；如录入实测或手动采用秒，预计到达时间可随公式更新</x:v>
      </x:c>
    </x:row>
    <x:row r="1958">
      <x:c r="A1958" s="12" t="str">
        <x:v>S0169-07</x:v>
      </x:c>
      <x:c r="B1958" s="12" t="str">
        <x:v>S0169</x:v>
      </x:c>
      <x:c r="C1958" s="12" t="str">
        <x:v>周末/节假日</x:v>
      </x:c>
      <x:c r="D1958" s="12" t="str">
        <x:v>环线2路</x:v>
      </x:c>
      <x:c r="E1958" s="12" t="str">
        <x:v>第一班</x:v>
      </x:c>
      <x:c r="F1958" s="12" t="n">
        <x:v>13</x:v>
      </x:c>
      <x:c r="G1958" s="12" t="str">
        <x:v>18:00</x:v>
      </x:c>
      <x:c r="H1958" s="12" t="n">
        <x:v>1080</x:v>
      </x:c>
      <x:c r="I1958" s="12" t="str">
        <x:v>研究生宿舍楼</x:v>
      </x:c>
      <x:c r="J1958" s="12" t="str">
        <x:v>研究生宿舍楼发车</x:v>
      </x:c>
      <x:c r="K1958" s="12" t="str">
        <x:v>HX2_NORMAL</x:v>
      </x:c>
      <x:c r="L1958" s="12" t="n">
        <x:v>7</x:v>
      </x:c>
      <x:c r="M1958" s="12" t="str">
        <x:v>HX2_NORMAL|7</x:v>
      </x:c>
      <x:c r="N1958" s="12" t="str">
        <x:v>二食堂</x:v>
      </x:c>
      <x:c r="O1958" s="12" t="n">
        <x:f>IFERROR(INDEX('秒级路线参数_可调整'!$O:$O,MATCH(M1958,'秒级路线参数_可调整'!$A:$A,0)),"")</x:f>
        <x:v>420</x:v>
      </x:c>
      <x:c r="P1958" s="12" t="n">
        <x:f>IF(O1958="","",O1958/86400)</x:f>
        <x:v>0.004861111111111111</x:v>
      </x:c>
      <x:c r="Q1958" s="12" t="n">
        <x:f>IF(O1958="","",(H1958*60+O1958)/86400)</x:f>
        <x:v>0.7548611111111111</x:v>
      </x:c>
      <x:c r="R1958" s="12" t="str">
        <x:f>IF(Q1958="","",TEXT(Q1958,"hh:mm:ss"))</x:f>
        <x:v>18:07:00</x:v>
      </x:c>
      <x:c r="S1958" s="12" t="str">
        <x:v>否</x:v>
      </x:c>
      <x:c r="T1958" s="12" t="str">
        <x:v>否</x:v>
      </x:c>
      <x:c r="U1958" s="12" t="str">
        <x:v>刘晓燕</x:v>
      </x:c>
      <x:c r="V1958" s="12" t="str">
        <x:v>1号车</x:v>
      </x:c>
      <x:c r="W1958" s="12" t="str">
        <x:v>秒级预测</x:v>
      </x:c>
      <x:c r="X1958" s="12" t="str">
        <x:v>基于路线秒级参数；如录入实测或手动采用秒，预计到达时间可随公式更新</x:v>
      </x:c>
    </x:row>
    <x:row r="1959">
      <x:c r="A1959" s="12" t="str">
        <x:v>S0169-08</x:v>
      </x:c>
      <x:c r="B1959" s="12" t="str">
        <x:v>S0169</x:v>
      </x:c>
      <x:c r="C1959" s="12" t="str">
        <x:v>周末/节假日</x:v>
      </x:c>
      <x:c r="D1959" s="12" t="str">
        <x:v>环线2路</x:v>
      </x:c>
      <x:c r="E1959" s="12" t="str">
        <x:v>第一班</x:v>
      </x:c>
      <x:c r="F1959" s="12" t="n">
        <x:v>13</x:v>
      </x:c>
      <x:c r="G1959" s="12" t="str">
        <x:v>18:00</x:v>
      </x:c>
      <x:c r="H1959" s="12" t="n">
        <x:v>1080</x:v>
      </x:c>
      <x:c r="I1959" s="12" t="str">
        <x:v>研究生宿舍楼</x:v>
      </x:c>
      <x:c r="J1959" s="12" t="str">
        <x:v>研究生宿舍楼发车</x:v>
      </x:c>
      <x:c r="K1959" s="12" t="str">
        <x:v>HX2_NORMAL</x:v>
      </x:c>
      <x:c r="L1959" s="12" t="n">
        <x:v>8</x:v>
      </x:c>
      <x:c r="M1959" s="12" t="str">
        <x:v>HX2_NORMAL|8</x:v>
      </x:c>
      <x:c r="N1959" s="12" t="str">
        <x:v>5号宿舍楼</x:v>
      </x:c>
      <x:c r="O1959" s="12" t="n">
        <x:f>IFERROR(INDEX('秒级路线参数_可调整'!$O:$O,MATCH(M1959,'秒级路线参数_可调整'!$A:$A,0)),"")</x:f>
        <x:v>480</x:v>
      </x:c>
      <x:c r="P1959" s="12" t="n">
        <x:f>IF(O1959="","",O1959/86400)</x:f>
        <x:v>0.005555555555555556</x:v>
      </x:c>
      <x:c r="Q1959" s="12" t="n">
        <x:f>IF(O1959="","",(H1959*60+O1959)/86400)</x:f>
        <x:v>0.7555555555555555</x:v>
      </x:c>
      <x:c r="R1959" s="12" t="str">
        <x:f>IF(Q1959="","",TEXT(Q1959,"hh:mm:ss"))</x:f>
        <x:v>18:08:00</x:v>
      </x:c>
      <x:c r="S1959" s="12" t="str">
        <x:v>否</x:v>
      </x:c>
      <x:c r="T1959" s="12" t="str">
        <x:v>否</x:v>
      </x:c>
      <x:c r="U1959" s="12" t="str">
        <x:v>刘晓燕</x:v>
      </x:c>
      <x:c r="V1959" s="12" t="str">
        <x:v>1号车</x:v>
      </x:c>
      <x:c r="W1959" s="12" t="str">
        <x:v>秒级预测</x:v>
      </x:c>
      <x:c r="X1959" s="12" t="str">
        <x:v>基于路线秒级参数；如录入实测或手动采用秒，预计到达时间可随公式更新</x:v>
      </x:c>
    </x:row>
    <x:row r="1960">
      <x:c r="A1960" s="12" t="str">
        <x:v>S0169-09</x:v>
      </x:c>
      <x:c r="B1960" s="12" t="str">
        <x:v>S0169</x:v>
      </x:c>
      <x:c r="C1960" s="12" t="str">
        <x:v>周末/节假日</x:v>
      </x:c>
      <x:c r="D1960" s="12" t="str">
        <x:v>环线2路</x:v>
      </x:c>
      <x:c r="E1960" s="12" t="str">
        <x:v>第一班</x:v>
      </x:c>
      <x:c r="F1960" s="12" t="n">
        <x:v>13</x:v>
      </x:c>
      <x:c r="G1960" s="12" t="str">
        <x:v>18:00</x:v>
      </x:c>
      <x:c r="H1960" s="12" t="n">
        <x:v>1080</x:v>
      </x:c>
      <x:c r="I1960" s="12" t="str">
        <x:v>研究生宿舍楼</x:v>
      </x:c>
      <x:c r="J1960" s="12" t="str">
        <x:v>研究生宿舍楼发车</x:v>
      </x:c>
      <x:c r="K1960" s="12" t="str">
        <x:v>HX2_NORMAL</x:v>
      </x:c>
      <x:c r="L1960" s="12" t="n">
        <x:v>9</x:v>
      </x:c>
      <x:c r="M1960" s="12" t="str">
        <x:v>HX2_NORMAL|9</x:v>
      </x:c>
      <x:c r="N1960" s="12" t="str">
        <x:v>305教学楼</x:v>
      </x:c>
      <x:c r="O1960" s="12" t="n">
        <x:f>IFERROR(INDEX('秒级路线参数_可调整'!$O:$O,MATCH(M1960,'秒级路线参数_可调整'!$A:$A,0)),"")</x:f>
        <x:v>535</x:v>
      </x:c>
      <x:c r="P1960" s="12" t="n">
        <x:f>IF(O1960="","",O1960/86400)</x:f>
        <x:v>0.00619212962962963</x:v>
      </x:c>
      <x:c r="Q1960" s="12" t="n">
        <x:f>IF(O1960="","",(H1960*60+O1960)/86400)</x:f>
        <x:v>0.7561921296296297</x:v>
      </x:c>
      <x:c r="R1960" s="12" t="str">
        <x:f>IF(Q1960="","",TEXT(Q1960,"hh:mm:ss"))</x:f>
        <x:v>18:08:55</x:v>
      </x:c>
      <x:c r="S1960" s="12" t="str">
        <x:v>否</x:v>
      </x:c>
      <x:c r="T1960" s="12" t="str">
        <x:v>否</x:v>
      </x:c>
      <x:c r="U1960" s="12" t="str">
        <x:v>刘晓燕</x:v>
      </x:c>
      <x:c r="V1960" s="12" t="str">
        <x:v>1号车</x:v>
      </x:c>
      <x:c r="W1960" s="12" t="str">
        <x:v>秒级预测</x:v>
      </x:c>
      <x:c r="X1960" s="12" t="str">
        <x:v>基于路线秒级参数；如录入实测或手动采用秒，预计到达时间可随公式更新</x:v>
      </x:c>
    </x:row>
    <x:row r="1961">
      <x:c r="A1961" s="12" t="str">
        <x:v>S0169-10</x:v>
      </x:c>
      <x:c r="B1961" s="12" t="str">
        <x:v>S0169</x:v>
      </x:c>
      <x:c r="C1961" s="12" t="str">
        <x:v>周末/节假日</x:v>
      </x:c>
      <x:c r="D1961" s="12" t="str">
        <x:v>环线2路</x:v>
      </x:c>
      <x:c r="E1961" s="12" t="str">
        <x:v>第一班</x:v>
      </x:c>
      <x:c r="F1961" s="12" t="n">
        <x:v>13</x:v>
      </x:c>
      <x:c r="G1961" s="12" t="str">
        <x:v>18:00</x:v>
      </x:c>
      <x:c r="H1961" s="12" t="n">
        <x:v>1080</x:v>
      </x:c>
      <x:c r="I1961" s="12" t="str">
        <x:v>研究生宿舍楼</x:v>
      </x:c>
      <x:c r="J1961" s="12" t="str">
        <x:v>研究生宿舍楼发车</x:v>
      </x:c>
      <x:c r="K1961" s="12" t="str">
        <x:v>HX2_NORMAL</x:v>
      </x:c>
      <x:c r="L1961" s="12" t="n">
        <x:v>10</x:v>
      </x:c>
      <x:c r="M1961" s="12" t="str">
        <x:v>HX2_NORMAL|10</x:v>
      </x:c>
      <x:c r="N1961" s="12" t="str">
        <x:v>研究生宿舍楼</x:v>
      </x:c>
      <x:c r="O1961" s="12" t="n">
        <x:f>IFERROR(INDEX('秒级路线参数_可调整'!$O:$O,MATCH(M1961,'秒级路线参数_可调整'!$A:$A,0)),"")</x:f>
        <x:v>715</x:v>
      </x:c>
      <x:c r="P1961" s="12" t="n">
        <x:f>IF(O1961="","",O1961/86400)</x:f>
        <x:v>0.008275462962962964</x:v>
      </x:c>
      <x:c r="Q1961" s="12" t="n">
        <x:f>IF(O1961="","",(H1961*60+O1961)/86400)</x:f>
        <x:v>0.758275462962963</x:v>
      </x:c>
      <x:c r="R1961" s="12" t="str">
        <x:f>IF(Q1961="","",TEXT(Q1961,"hh:mm:ss"))</x:f>
        <x:v>18:11:55</x:v>
      </x:c>
      <x:c r="S1961" s="12" t="str">
        <x:v>否</x:v>
      </x:c>
      <x:c r="T1961" s="12" t="str">
        <x:v>是</x:v>
      </x:c>
      <x:c r="U1961" s="12" t="str">
        <x:v>刘晓燕</x:v>
      </x:c>
      <x:c r="V1961" s="12" t="str">
        <x:v>1号车</x:v>
      </x:c>
      <x:c r="W1961" s="12" t="str">
        <x:v>秒级预测</x:v>
      </x:c>
      <x:c r="X1961" s="12" t="str">
        <x:v>基于路线秒级参数；如录入实测或手动采用秒，预计到达时间可随公式更新</x:v>
      </x:c>
    </x:row>
    <x:row r="1962">
      <x:c r="A1962" s="12" t="str">
        <x:v>S0170-01</x:v>
      </x:c>
      <x:c r="B1962" s="12" t="str">
        <x:v>S0170</x:v>
      </x:c>
      <x:c r="C1962" s="12" t="str">
        <x:v>周末/节假日</x:v>
      </x:c>
      <x:c r="D1962" s="12" t="str">
        <x:v>环线2路</x:v>
      </x:c>
      <x:c r="E1962" s="12" t="str">
        <x:v>第二班</x:v>
      </x:c>
      <x:c r="F1962" s="12" t="n">
        <x:v>1</x:v>
      </x:c>
      <x:c r="G1962" s="12" t="str">
        <x:v>20:40</x:v>
      </x:c>
      <x:c r="H1962" s="12" t="n">
        <x:v>1240</x:v>
      </x:c>
      <x:c r="I1962" s="12" t="str">
        <x:v>研究生宿舍楼</x:v>
      </x:c>
      <x:c r="J1962" s="12" t="str">
        <x:v>研究生宿舍楼发车</x:v>
      </x:c>
      <x:c r="K1962" s="12" t="str">
        <x:v>HX2_NORMAL</x:v>
      </x:c>
      <x:c r="L1962" s="12" t="n">
        <x:v>1</x:v>
      </x:c>
      <x:c r="M1962" s="12" t="str">
        <x:v>HX2_NORMAL|1</x:v>
      </x:c>
      <x:c r="N1962" s="12" t="str">
        <x:v>研究生宿舍楼</x:v>
      </x:c>
      <x:c r="O1962" s="12" t="n">
        <x:f>IFERROR(INDEX('秒级路线参数_可调整'!$O:$O,MATCH(M1962,'秒级路线参数_可调整'!$A:$A,0)),"")</x:f>
        <x:v>0</x:v>
      </x:c>
      <x:c r="P1962" s="12" t="str">
        <x:f>IF(O1962="","",O1962/86400)</x:f>
      </x:c>
      <x:c r="Q1962" s="12" t="str">
        <x:f>IF(O1962="","",(H1962*60+O1962)/86400)</x:f>
      </x:c>
      <x:c r="R1962" s="12" t="str">
        <x:f>IF(Q1962="","",TEXT(Q1962,"hh:mm:ss"))</x:f>
      </x:c>
      <x:c r="S1962" s="12" t="str">
        <x:v>是</x:v>
      </x:c>
      <x:c r="T1962" s="12" t="str">
        <x:v>否</x:v>
      </x:c>
      <x:c r="U1962" s="12" t="str">
        <x:v>孙五星</x:v>
      </x:c>
      <x:c r="V1962" s="12" t="str">
        <x:v>2号车</x:v>
      </x:c>
      <x:c r="W1962" s="12" t="str">
        <x:v>秒级预测</x:v>
      </x:c>
      <x:c r="X1962" s="12" t="str">
        <x:v>基于路线秒级参数；如录入实测或手动采用秒，预计到达时间可随公式更新</x:v>
      </x:c>
    </x:row>
    <x:row r="1963">
      <x:c r="A1963" s="12" t="str">
        <x:v>S0170-02</x:v>
      </x:c>
      <x:c r="B1963" s="12" t="str">
        <x:v>S0170</x:v>
      </x:c>
      <x:c r="C1963" s="12" t="str">
        <x:v>周末/节假日</x:v>
      </x:c>
      <x:c r="D1963" s="12" t="str">
        <x:v>环线2路</x:v>
      </x:c>
      <x:c r="E1963" s="12" t="str">
        <x:v>第二班</x:v>
      </x:c>
      <x:c r="F1963" s="12" t="n">
        <x:v>1</x:v>
      </x:c>
      <x:c r="G1963" s="12" t="str">
        <x:v>20:40</x:v>
      </x:c>
      <x:c r="H1963" s="12" t="n">
        <x:v>1240</x:v>
      </x:c>
      <x:c r="I1963" s="12" t="str">
        <x:v>研究生宿舍楼</x:v>
      </x:c>
      <x:c r="J1963" s="12" t="str">
        <x:v>研究生宿舍楼发车</x:v>
      </x:c>
      <x:c r="K1963" s="12" t="str">
        <x:v>HX2_NORMAL</x:v>
      </x:c>
      <x:c r="L1963" s="12" t="n">
        <x:v>2</x:v>
      </x:c>
      <x:c r="M1963" s="12" t="str">
        <x:v>HX2_NORMAL|2</x:v>
      </x:c>
      <x:c r="N1963" s="12" t="str">
        <x:v>一食堂</x:v>
      </x:c>
      <x:c r="O1963" s="12" t="n">
        <x:f>IFERROR(INDEX('秒级路线参数_可调整'!$O:$O,MATCH(M1963,'秒级路线参数_可调整'!$A:$A,0)),"")</x:f>
        <x:v>65</x:v>
      </x:c>
      <x:c r="P1963" s="12" t="n">
        <x:f>IF(O1963="","",O1963/86400)</x:f>
        <x:v>0.0007523148148148148</x:v>
      </x:c>
      <x:c r="Q1963" s="12" t="n">
        <x:f>IF(O1963="","",(H1963*60+O1963)/86400)</x:f>
        <x:v>0.8618634259259259</x:v>
      </x:c>
      <x:c r="R1963" s="12" t="str">
        <x:f>IF(Q1963="","",TEXT(Q1963,"hh:mm:ss"))</x:f>
        <x:v>20:41:05</x:v>
      </x:c>
      <x:c r="S1963" s="12" t="str">
        <x:v>否</x:v>
      </x:c>
      <x:c r="T1963" s="12" t="str">
        <x:v>否</x:v>
      </x:c>
      <x:c r="U1963" s="12" t="str">
        <x:v>孙五星</x:v>
      </x:c>
      <x:c r="V1963" s="12" t="str">
        <x:v>2号车</x:v>
      </x:c>
      <x:c r="W1963" s="12" t="str">
        <x:v>秒级预测</x:v>
      </x:c>
      <x:c r="X1963" s="12" t="str">
        <x:v>基于路线秒级参数；如录入实测或手动采用秒，预计到达时间可随公式更新</x:v>
      </x:c>
    </x:row>
    <x:row r="1964">
      <x:c r="A1964" s="12" t="str">
        <x:v>S0170-03</x:v>
      </x:c>
      <x:c r="B1964" s="12" t="str">
        <x:v>S0170</x:v>
      </x:c>
      <x:c r="C1964" s="12" t="str">
        <x:v>周末/节假日</x:v>
      </x:c>
      <x:c r="D1964" s="12" t="str">
        <x:v>环线2路</x:v>
      </x:c>
      <x:c r="E1964" s="12" t="str">
        <x:v>第二班</x:v>
      </x:c>
      <x:c r="F1964" s="12" t="n">
        <x:v>1</x:v>
      </x:c>
      <x:c r="G1964" s="12" t="str">
        <x:v>20:40</x:v>
      </x:c>
      <x:c r="H1964" s="12" t="n">
        <x:v>1240</x:v>
      </x:c>
      <x:c r="I1964" s="12" t="str">
        <x:v>研究生宿舍楼</x:v>
      </x:c>
      <x:c r="J1964" s="12" t="str">
        <x:v>研究生宿舍楼发车</x:v>
      </x:c>
      <x:c r="K1964" s="12" t="str">
        <x:v>HX2_NORMAL</x:v>
      </x:c>
      <x:c r="L1964" s="12" t="n">
        <x:v>3</x:v>
      </x:c>
      <x:c r="M1964" s="12" t="str">
        <x:v>HX2_NORMAL|3</x:v>
      </x:c>
      <x:c r="N1964" s="12" t="str">
        <x:v>门诊部</x:v>
      </x:c>
      <x:c r="O1964" s="12" t="n">
        <x:f>IFERROR(INDEX('秒级路线参数_可调整'!$O:$O,MATCH(M1964,'秒级路线参数_可调整'!$A:$A,0)),"")</x:f>
        <x:v>120</x:v>
      </x:c>
      <x:c r="P1964" s="12" t="n">
        <x:f>IF(O1964="","",O1964/86400)</x:f>
        <x:v>0.001388888888888889</x:v>
      </x:c>
      <x:c r="Q1964" s="12" t="n">
        <x:f>IF(O1964="","",(H1964*60+O1964)/86400)</x:f>
        <x:v>0.8625</x:v>
      </x:c>
      <x:c r="R1964" s="12" t="str">
        <x:f>IF(Q1964="","",TEXT(Q1964,"hh:mm:ss"))</x:f>
        <x:v>20:42:00</x:v>
      </x:c>
      <x:c r="S1964" s="12" t="str">
        <x:v>否</x:v>
      </x:c>
      <x:c r="T1964" s="12" t="str">
        <x:v>否</x:v>
      </x:c>
      <x:c r="U1964" s="12" t="str">
        <x:v>孙五星</x:v>
      </x:c>
      <x:c r="V1964" s="12" t="str">
        <x:v>2号车</x:v>
      </x:c>
      <x:c r="W1964" s="12" t="str">
        <x:v>秒级预测</x:v>
      </x:c>
      <x:c r="X1964" s="12" t="str">
        <x:v>基于路线秒级参数；如录入实测或手动采用秒，预计到达时间可随公式更新</x:v>
      </x:c>
    </x:row>
    <x:row r="1965">
      <x:c r="A1965" s="12" t="str">
        <x:v>S0170-04</x:v>
      </x:c>
      <x:c r="B1965" s="12" t="str">
        <x:v>S0170</x:v>
      </x:c>
      <x:c r="C1965" s="12" t="str">
        <x:v>周末/节假日</x:v>
      </x:c>
      <x:c r="D1965" s="12" t="str">
        <x:v>环线2路</x:v>
      </x:c>
      <x:c r="E1965" s="12" t="str">
        <x:v>第二班</x:v>
      </x:c>
      <x:c r="F1965" s="12" t="n">
        <x:v>1</x:v>
      </x:c>
      <x:c r="G1965" s="12" t="str">
        <x:v>20:40</x:v>
      </x:c>
      <x:c r="H1965" s="12" t="n">
        <x:v>1240</x:v>
      </x:c>
      <x:c r="I1965" s="12" t="str">
        <x:v>研究生宿舍楼</x:v>
      </x:c>
      <x:c r="J1965" s="12" t="str">
        <x:v>研究生宿舍楼发车</x:v>
      </x:c>
      <x:c r="K1965" s="12" t="str">
        <x:v>HX2_NORMAL</x:v>
      </x:c>
      <x:c r="L1965" s="12" t="n">
        <x:v>4</x:v>
      </x:c>
      <x:c r="M1965" s="12" t="str">
        <x:v>HX2_NORMAL|4</x:v>
      </x:c>
      <x:c r="N1965" s="12" t="str">
        <x:v>1号宿舍楼</x:v>
      </x:c>
      <x:c r="O1965" s="12" t="n">
        <x:f>IFERROR(INDEX('秒级路线参数_可调整'!$O:$O,MATCH(M1965,'秒级路线参数_可调整'!$A:$A,0)),"")</x:f>
        <x:v>165</x:v>
      </x:c>
      <x:c r="P1965" s="12" t="n">
        <x:f>IF(O1965="","",O1965/86400)</x:f>
        <x:v>0.0019097222222222222</x:v>
      </x:c>
      <x:c r="Q1965" s="12" t="n">
        <x:f>IF(O1965="","",(H1965*60+O1965)/86400)</x:f>
        <x:v>0.8630208333333333</x:v>
      </x:c>
      <x:c r="R1965" s="12" t="str">
        <x:f>IF(Q1965="","",TEXT(Q1965,"hh:mm:ss"))</x:f>
        <x:v>20:42:45</x:v>
      </x:c>
      <x:c r="S1965" s="12" t="str">
        <x:v>否</x:v>
      </x:c>
      <x:c r="T1965" s="12" t="str">
        <x:v>否</x:v>
      </x:c>
      <x:c r="U1965" s="12" t="str">
        <x:v>孙五星</x:v>
      </x:c>
      <x:c r="V1965" s="12" t="str">
        <x:v>2号车</x:v>
      </x:c>
      <x:c r="W1965" s="12" t="str">
        <x:v>秒级预测</x:v>
      </x:c>
      <x:c r="X1965" s="12" t="str">
        <x:v>基于路线秒级参数；如录入实测或手动采用秒，预计到达时间可随公式更新</x:v>
      </x:c>
    </x:row>
    <x:row r="1966">
      <x:c r="A1966" s="12" t="str">
        <x:v>S0170-05</x:v>
      </x:c>
      <x:c r="B1966" s="12" t="str">
        <x:v>S0170</x:v>
      </x:c>
      <x:c r="C1966" s="12" t="str">
        <x:v>周末/节假日</x:v>
      </x:c>
      <x:c r="D1966" s="12" t="str">
        <x:v>环线2路</x:v>
      </x:c>
      <x:c r="E1966" s="12" t="str">
        <x:v>第二班</x:v>
      </x:c>
      <x:c r="F1966" s="12" t="n">
        <x:v>1</x:v>
      </x:c>
      <x:c r="G1966" s="12" t="str">
        <x:v>20:40</x:v>
      </x:c>
      <x:c r="H1966" s="12" t="n">
        <x:v>1240</x:v>
      </x:c>
      <x:c r="I1966" s="12" t="str">
        <x:v>研究生宿舍楼</x:v>
      </x:c>
      <x:c r="J1966" s="12" t="str">
        <x:v>研究生宿舍楼发车</x:v>
      </x:c>
      <x:c r="K1966" s="12" t="str">
        <x:v>HX2_NORMAL</x:v>
      </x:c>
      <x:c r="L1966" s="12" t="n">
        <x:v>5</x:v>
      </x:c>
      <x:c r="M1966" s="12" t="str">
        <x:v>HX2_NORMAL|5</x:v>
      </x:c>
      <x:c r="N1966" s="12" t="str">
        <x:v>水上训练中心</x:v>
      </x:c>
      <x:c r="O1966" s="12" t="n">
        <x:f>IFERROR(INDEX('秒级路线参数_可调整'!$O:$O,MATCH(M1966,'秒级路线参数_可调整'!$A:$A,0)),"")</x:f>
        <x:v>250</x:v>
      </x:c>
      <x:c r="P1966" s="12" t="n">
        <x:f>IF(O1966="","",O1966/86400)</x:f>
        <x:v>0.0028935185185185184</x:v>
      </x:c>
      <x:c r="Q1966" s="12" t="n">
        <x:f>IF(O1966="","",(H1966*60+O1966)/86400)</x:f>
        <x:v>0.8640046296296297</x:v>
      </x:c>
      <x:c r="R1966" s="12" t="str">
        <x:f>IF(Q1966="","",TEXT(Q1966,"hh:mm:ss"))</x:f>
        <x:v>20:44:10</x:v>
      </x:c>
      <x:c r="S1966" s="12" t="str">
        <x:v>否</x:v>
      </x:c>
      <x:c r="T1966" s="12" t="str">
        <x:v>否</x:v>
      </x:c>
      <x:c r="U1966" s="12" t="str">
        <x:v>孙五星</x:v>
      </x:c>
      <x:c r="V1966" s="12" t="str">
        <x:v>2号车</x:v>
      </x:c>
      <x:c r="W1966" s="12" t="str">
        <x:v>秒级预测</x:v>
      </x:c>
      <x:c r="X1966" s="12" t="str">
        <x:v>基于路线秒级参数；如录入实测或手动采用秒，预计到达时间可随公式更新</x:v>
      </x:c>
    </x:row>
    <x:row r="1967">
      <x:c r="A1967" s="12" t="str">
        <x:v>S0170-06</x:v>
      </x:c>
      <x:c r="B1967" s="12" t="str">
        <x:v>S0170</x:v>
      </x:c>
      <x:c r="C1967" s="12" t="str">
        <x:v>周末/节假日</x:v>
      </x:c>
      <x:c r="D1967" s="12" t="str">
        <x:v>环线2路</x:v>
      </x:c>
      <x:c r="E1967" s="12" t="str">
        <x:v>第二班</x:v>
      </x:c>
      <x:c r="F1967" s="12" t="n">
        <x:v>1</x:v>
      </x:c>
      <x:c r="G1967" s="12" t="str">
        <x:v>20:40</x:v>
      </x:c>
      <x:c r="H1967" s="12" t="n">
        <x:v>1240</x:v>
      </x:c>
      <x:c r="I1967" s="12" t="str">
        <x:v>研究生宿舍楼</x:v>
      </x:c>
      <x:c r="J1967" s="12" t="str">
        <x:v>研究生宿舍楼发车</x:v>
      </x:c>
      <x:c r="K1967" s="12" t="str">
        <x:v>HX2_NORMAL</x:v>
      </x:c>
      <x:c r="L1967" s="12" t="n">
        <x:v>6</x:v>
      </x:c>
      <x:c r="M1967" s="12" t="str">
        <x:v>HX2_NORMAL|6</x:v>
      </x:c>
      <x:c r="N1967" s="12" t="str">
        <x:v>军体活动中心</x:v>
      </x:c>
      <x:c r="O1967" s="12" t="n">
        <x:f>IFERROR(INDEX('秒级路线参数_可调整'!$O:$O,MATCH(M1967,'秒级路线参数_可调整'!$A:$A,0)),"")</x:f>
        <x:v>315</x:v>
      </x:c>
      <x:c r="P1967" s="12" t="n">
        <x:f>IF(O1967="","",O1967/86400)</x:f>
        <x:v>0.0036458333333333334</x:v>
      </x:c>
      <x:c r="Q1967" s="12" t="n">
        <x:f>IF(O1967="","",(H1967*60+O1967)/86400)</x:f>
        <x:v>0.8647569444444444</x:v>
      </x:c>
      <x:c r="R1967" s="12" t="str">
        <x:f>IF(Q1967="","",TEXT(Q1967,"hh:mm:ss"))</x:f>
        <x:v>20:45:15</x:v>
      </x:c>
      <x:c r="S1967" s="12" t="str">
        <x:v>否</x:v>
      </x:c>
      <x:c r="T1967" s="12" t="str">
        <x:v>否</x:v>
      </x:c>
      <x:c r="U1967" s="12" t="str">
        <x:v>孙五星</x:v>
      </x:c>
      <x:c r="V1967" s="12" t="str">
        <x:v>2号车</x:v>
      </x:c>
      <x:c r="W1967" s="12" t="str">
        <x:v>秒级预测</x:v>
      </x:c>
      <x:c r="X1967" s="12" t="str">
        <x:v>基于路线秒级参数；如录入实测或手动采用秒，预计到达时间可随公式更新</x:v>
      </x:c>
    </x:row>
    <x:row r="1968">
      <x:c r="A1968" s="12" t="str">
        <x:v>S0170-07</x:v>
      </x:c>
      <x:c r="B1968" s="12" t="str">
        <x:v>S0170</x:v>
      </x:c>
      <x:c r="C1968" s="12" t="str">
        <x:v>周末/节假日</x:v>
      </x:c>
      <x:c r="D1968" s="12" t="str">
        <x:v>环线2路</x:v>
      </x:c>
      <x:c r="E1968" s="12" t="str">
        <x:v>第二班</x:v>
      </x:c>
      <x:c r="F1968" s="12" t="n">
        <x:v>1</x:v>
      </x:c>
      <x:c r="G1968" s="12" t="str">
        <x:v>20:40</x:v>
      </x:c>
      <x:c r="H1968" s="12" t="n">
        <x:v>1240</x:v>
      </x:c>
      <x:c r="I1968" s="12" t="str">
        <x:v>研究生宿舍楼</x:v>
      </x:c>
      <x:c r="J1968" s="12" t="str">
        <x:v>研究生宿舍楼发车</x:v>
      </x:c>
      <x:c r="K1968" s="12" t="str">
        <x:v>HX2_NORMAL</x:v>
      </x:c>
      <x:c r="L1968" s="12" t="n">
        <x:v>7</x:v>
      </x:c>
      <x:c r="M1968" s="12" t="str">
        <x:v>HX2_NORMAL|7</x:v>
      </x:c>
      <x:c r="N1968" s="12" t="str">
        <x:v>二食堂</x:v>
      </x:c>
      <x:c r="O1968" s="12" t="n">
        <x:f>IFERROR(INDEX('秒级路线参数_可调整'!$O:$O,MATCH(M1968,'秒级路线参数_可调整'!$A:$A,0)),"")</x:f>
        <x:v>420</x:v>
      </x:c>
      <x:c r="P1968" s="12" t="n">
        <x:f>IF(O1968="","",O1968/86400)</x:f>
        <x:v>0.004861111111111111</x:v>
      </x:c>
      <x:c r="Q1968" s="12" t="n">
        <x:f>IF(O1968="","",(H1968*60+O1968)/86400)</x:f>
        <x:v>0.8659722222222223</x:v>
      </x:c>
      <x:c r="R1968" s="12" t="str">
        <x:f>IF(Q1968="","",TEXT(Q1968,"hh:mm:ss"))</x:f>
        <x:v>20:47:00</x:v>
      </x:c>
      <x:c r="S1968" s="12" t="str">
        <x:v>否</x:v>
      </x:c>
      <x:c r="T1968" s="12" t="str">
        <x:v>否</x:v>
      </x:c>
      <x:c r="U1968" s="12" t="str">
        <x:v>孙五星</x:v>
      </x:c>
      <x:c r="V1968" s="12" t="str">
        <x:v>2号车</x:v>
      </x:c>
      <x:c r="W1968" s="12" t="str">
        <x:v>秒级预测</x:v>
      </x:c>
      <x:c r="X1968" s="12" t="str">
        <x:v>基于路线秒级参数；如录入实测或手动采用秒，预计到达时间可随公式更新</x:v>
      </x:c>
    </x:row>
    <x:row r="1969">
      <x:c r="A1969" s="12" t="str">
        <x:v>S0170-08</x:v>
      </x:c>
      <x:c r="B1969" s="12" t="str">
        <x:v>S0170</x:v>
      </x:c>
      <x:c r="C1969" s="12" t="str">
        <x:v>周末/节假日</x:v>
      </x:c>
      <x:c r="D1969" s="12" t="str">
        <x:v>环线2路</x:v>
      </x:c>
      <x:c r="E1969" s="12" t="str">
        <x:v>第二班</x:v>
      </x:c>
      <x:c r="F1969" s="12" t="n">
        <x:v>1</x:v>
      </x:c>
      <x:c r="G1969" s="12" t="str">
        <x:v>20:40</x:v>
      </x:c>
      <x:c r="H1969" s="12" t="n">
        <x:v>1240</x:v>
      </x:c>
      <x:c r="I1969" s="12" t="str">
        <x:v>研究生宿舍楼</x:v>
      </x:c>
      <x:c r="J1969" s="12" t="str">
        <x:v>研究生宿舍楼发车</x:v>
      </x:c>
      <x:c r="K1969" s="12" t="str">
        <x:v>HX2_NORMAL</x:v>
      </x:c>
      <x:c r="L1969" s="12" t="n">
        <x:v>8</x:v>
      </x:c>
      <x:c r="M1969" s="12" t="str">
        <x:v>HX2_NORMAL|8</x:v>
      </x:c>
      <x:c r="N1969" s="12" t="str">
        <x:v>5号宿舍楼</x:v>
      </x:c>
      <x:c r="O1969" s="12" t="n">
        <x:f>IFERROR(INDEX('秒级路线参数_可调整'!$O:$O,MATCH(M1969,'秒级路线参数_可调整'!$A:$A,0)),"")</x:f>
        <x:v>480</x:v>
      </x:c>
      <x:c r="P1969" s="12" t="n">
        <x:f>IF(O1969="","",O1969/86400)</x:f>
        <x:v>0.005555555555555556</x:v>
      </x:c>
      <x:c r="Q1969" s="12" t="n">
        <x:f>IF(O1969="","",(H1969*60+O1969)/86400)</x:f>
        <x:v>0.8666666666666667</x:v>
      </x:c>
      <x:c r="R1969" s="12" t="str">
        <x:f>IF(Q1969="","",TEXT(Q1969,"hh:mm:ss"))</x:f>
        <x:v>20:48:00</x:v>
      </x:c>
      <x:c r="S1969" s="12" t="str">
        <x:v>否</x:v>
      </x:c>
      <x:c r="T1969" s="12" t="str">
        <x:v>否</x:v>
      </x:c>
      <x:c r="U1969" s="12" t="str">
        <x:v>孙五星</x:v>
      </x:c>
      <x:c r="V1969" s="12" t="str">
        <x:v>2号车</x:v>
      </x:c>
      <x:c r="W1969" s="12" t="str">
        <x:v>秒级预测</x:v>
      </x:c>
      <x:c r="X1969" s="12" t="str">
        <x:v>基于路线秒级参数；如录入实测或手动采用秒，预计到达时间可随公式更新</x:v>
      </x:c>
    </x:row>
    <x:row r="1970">
      <x:c r="A1970" s="12" t="str">
        <x:v>S0170-09</x:v>
      </x:c>
      <x:c r="B1970" s="12" t="str">
        <x:v>S0170</x:v>
      </x:c>
      <x:c r="C1970" s="12" t="str">
        <x:v>周末/节假日</x:v>
      </x:c>
      <x:c r="D1970" s="12" t="str">
        <x:v>环线2路</x:v>
      </x:c>
      <x:c r="E1970" s="12" t="str">
        <x:v>第二班</x:v>
      </x:c>
      <x:c r="F1970" s="12" t="n">
        <x:v>1</x:v>
      </x:c>
      <x:c r="G1970" s="12" t="str">
        <x:v>20:40</x:v>
      </x:c>
      <x:c r="H1970" s="12" t="n">
        <x:v>1240</x:v>
      </x:c>
      <x:c r="I1970" s="12" t="str">
        <x:v>研究生宿舍楼</x:v>
      </x:c>
      <x:c r="J1970" s="12" t="str">
        <x:v>研究生宿舍楼发车</x:v>
      </x:c>
      <x:c r="K1970" s="12" t="str">
        <x:v>HX2_NORMAL</x:v>
      </x:c>
      <x:c r="L1970" s="12" t="n">
        <x:v>9</x:v>
      </x:c>
      <x:c r="M1970" s="12" t="str">
        <x:v>HX2_NORMAL|9</x:v>
      </x:c>
      <x:c r="N1970" s="12" t="str">
        <x:v>305教学楼</x:v>
      </x:c>
      <x:c r="O1970" s="12" t="n">
        <x:f>IFERROR(INDEX('秒级路线参数_可调整'!$O:$O,MATCH(M1970,'秒级路线参数_可调整'!$A:$A,0)),"")</x:f>
        <x:v>535</x:v>
      </x:c>
      <x:c r="P1970" s="12" t="n">
        <x:f>IF(O1970="","",O1970/86400)</x:f>
        <x:v>0.00619212962962963</x:v>
      </x:c>
      <x:c r="Q1970" s="12" t="n">
        <x:f>IF(O1970="","",(H1970*60+O1970)/86400)</x:f>
        <x:v>0.8673032407407407</x:v>
      </x:c>
      <x:c r="R1970" s="12" t="str">
        <x:f>IF(Q1970="","",TEXT(Q1970,"hh:mm:ss"))</x:f>
        <x:v>20:48:55</x:v>
      </x:c>
      <x:c r="S1970" s="12" t="str">
        <x:v>否</x:v>
      </x:c>
      <x:c r="T1970" s="12" t="str">
        <x:v>否</x:v>
      </x:c>
      <x:c r="U1970" s="12" t="str">
        <x:v>孙五星</x:v>
      </x:c>
      <x:c r="V1970" s="12" t="str">
        <x:v>2号车</x:v>
      </x:c>
      <x:c r="W1970" s="12" t="str">
        <x:v>秒级预测</x:v>
      </x:c>
      <x:c r="X1970" s="12" t="str">
        <x:v>基于路线秒级参数；如录入实测或手动采用秒，预计到达时间可随公式更新</x:v>
      </x:c>
    </x:row>
    <x:row r="1971">
      <x:c r="A1971" s="12" t="str">
        <x:v>S0170-10</x:v>
      </x:c>
      <x:c r="B1971" s="12" t="str">
        <x:v>S0170</x:v>
      </x:c>
      <x:c r="C1971" s="12" t="str">
        <x:v>周末/节假日</x:v>
      </x:c>
      <x:c r="D1971" s="12" t="str">
        <x:v>环线2路</x:v>
      </x:c>
      <x:c r="E1971" s="12" t="str">
        <x:v>第二班</x:v>
      </x:c>
      <x:c r="F1971" s="12" t="n">
        <x:v>1</x:v>
      </x:c>
      <x:c r="G1971" s="12" t="str">
        <x:v>20:40</x:v>
      </x:c>
      <x:c r="H1971" s="12" t="n">
        <x:v>1240</x:v>
      </x:c>
      <x:c r="I1971" s="12" t="str">
        <x:v>研究生宿舍楼</x:v>
      </x:c>
      <x:c r="J1971" s="12" t="str">
        <x:v>研究生宿舍楼发车</x:v>
      </x:c>
      <x:c r="K1971" s="12" t="str">
        <x:v>HX2_NORMAL</x:v>
      </x:c>
      <x:c r="L1971" s="12" t="n">
        <x:v>10</x:v>
      </x:c>
      <x:c r="M1971" s="12" t="str">
        <x:v>HX2_NORMAL|10</x:v>
      </x:c>
      <x:c r="N1971" s="12" t="str">
        <x:v>研究生宿舍楼</x:v>
      </x:c>
      <x:c r="O1971" s="12" t="n">
        <x:f>IFERROR(INDEX('秒级路线参数_可调整'!$O:$O,MATCH(M1971,'秒级路线参数_可调整'!$A:$A,0)),"")</x:f>
        <x:v>715</x:v>
      </x:c>
      <x:c r="P1971" s="12" t="n">
        <x:f>IF(O1971="","",O1971/86400)</x:f>
        <x:v>0.008275462962962964</x:v>
      </x:c>
      <x:c r="Q1971" s="12" t="n">
        <x:f>IF(O1971="","",(H1971*60+O1971)/86400)</x:f>
        <x:v>0.869386574074074</x:v>
      </x:c>
      <x:c r="R1971" s="12" t="str">
        <x:f>IF(Q1971="","",TEXT(Q1971,"hh:mm:ss"))</x:f>
        <x:v>20:51:55</x:v>
      </x:c>
      <x:c r="S1971" s="12" t="str">
        <x:v>否</x:v>
      </x:c>
      <x:c r="T1971" s="12" t="str">
        <x:v>是</x:v>
      </x:c>
      <x:c r="U1971" s="12" t="str">
        <x:v>孙五星</x:v>
      </x:c>
      <x:c r="V1971" s="12" t="str">
        <x:v>2号车</x:v>
      </x:c>
      <x:c r="W1971" s="12" t="str">
        <x:v>秒级预测</x:v>
      </x:c>
      <x:c r="X1971" s="12" t="str">
        <x:v>基于路线秒级参数；如录入实测或手动采用秒，预计到达时间可随公式更新</x:v>
      </x:c>
    </x:row>
    <x:row r="1972">
      <x:c r="A1972" s="12" t="str">
        <x:v>S0171-01</x:v>
      </x:c>
      <x:c r="B1972" s="12" t="str">
        <x:v>S0171</x:v>
      </x:c>
      <x:c r="C1972" s="12" t="str">
        <x:v>周末/节假日</x:v>
      </x:c>
      <x:c r="D1972" s="12" t="str">
        <x:v>环线2路</x:v>
      </x:c>
      <x:c r="E1972" s="12" t="str">
        <x:v>第二班</x:v>
      </x:c>
      <x:c r="F1972" s="12" t="n">
        <x:v>2</x:v>
      </x:c>
      <x:c r="G1972" s="12" t="str">
        <x:v>21:00</x:v>
      </x:c>
      <x:c r="H1972" s="12" t="n">
        <x:v>1260</x:v>
      </x:c>
      <x:c r="I1972" s="12" t="str">
        <x:v>研究生宿舍楼</x:v>
      </x:c>
      <x:c r="J1972" s="12" t="str">
        <x:v>研究生宿舍楼发车</x:v>
      </x:c>
      <x:c r="K1972" s="12" t="str">
        <x:v>HX2_NORMAL</x:v>
      </x:c>
      <x:c r="L1972" s="12" t="n">
        <x:v>1</x:v>
      </x:c>
      <x:c r="M1972" s="12" t="str">
        <x:v>HX2_NORMAL|1</x:v>
      </x:c>
      <x:c r="N1972" s="12" t="str">
        <x:v>研究生宿舍楼</x:v>
      </x:c>
      <x:c r="O1972" s="12" t="n">
        <x:f>IFERROR(INDEX('秒级路线参数_可调整'!$O:$O,MATCH(M1972,'秒级路线参数_可调整'!$A:$A,0)),"")</x:f>
        <x:v>0</x:v>
      </x:c>
      <x:c r="P1972" s="12" t="str">
        <x:f>IF(O1972="","",O1972/86400)</x:f>
      </x:c>
      <x:c r="Q1972" s="12" t="str">
        <x:f>IF(O1972="","",(H1972*60+O1972)/86400)</x:f>
      </x:c>
      <x:c r="R1972" s="12" t="str">
        <x:f>IF(Q1972="","",TEXT(Q1972,"hh:mm:ss"))</x:f>
      </x:c>
      <x:c r="S1972" s="12" t="str">
        <x:v>是</x:v>
      </x:c>
      <x:c r="T1972" s="12" t="str">
        <x:v>否</x:v>
      </x:c>
      <x:c r="U1972" s="12" t="str">
        <x:v>孙五星</x:v>
      </x:c>
      <x:c r="V1972" s="12" t="str">
        <x:v>2号车</x:v>
      </x:c>
      <x:c r="W1972" s="12" t="str">
        <x:v>秒级预测</x:v>
      </x:c>
      <x:c r="X1972" s="12" t="str">
        <x:v>基于路线秒级参数；如录入实测或手动采用秒，预计到达时间可随公式更新</x:v>
      </x:c>
    </x:row>
    <x:row r="1973">
      <x:c r="A1973" s="12" t="str">
        <x:v>S0171-02</x:v>
      </x:c>
      <x:c r="B1973" s="12" t="str">
        <x:v>S0171</x:v>
      </x:c>
      <x:c r="C1973" s="12" t="str">
        <x:v>周末/节假日</x:v>
      </x:c>
      <x:c r="D1973" s="12" t="str">
        <x:v>环线2路</x:v>
      </x:c>
      <x:c r="E1973" s="12" t="str">
        <x:v>第二班</x:v>
      </x:c>
      <x:c r="F1973" s="12" t="n">
        <x:v>2</x:v>
      </x:c>
      <x:c r="G1973" s="12" t="str">
        <x:v>21:00</x:v>
      </x:c>
      <x:c r="H1973" s="12" t="n">
        <x:v>1260</x:v>
      </x:c>
      <x:c r="I1973" s="12" t="str">
        <x:v>研究生宿舍楼</x:v>
      </x:c>
      <x:c r="J1973" s="12" t="str">
        <x:v>研究生宿舍楼发车</x:v>
      </x:c>
      <x:c r="K1973" s="12" t="str">
        <x:v>HX2_NORMAL</x:v>
      </x:c>
      <x:c r="L1973" s="12" t="n">
        <x:v>2</x:v>
      </x:c>
      <x:c r="M1973" s="12" t="str">
        <x:v>HX2_NORMAL|2</x:v>
      </x:c>
      <x:c r="N1973" s="12" t="str">
        <x:v>一食堂</x:v>
      </x:c>
      <x:c r="O1973" s="12" t="n">
        <x:f>IFERROR(INDEX('秒级路线参数_可调整'!$O:$O,MATCH(M1973,'秒级路线参数_可调整'!$A:$A,0)),"")</x:f>
        <x:v>65</x:v>
      </x:c>
      <x:c r="P1973" s="12" t="n">
        <x:f>IF(O1973="","",O1973/86400)</x:f>
        <x:v>0.0007523148148148148</x:v>
      </x:c>
      <x:c r="Q1973" s="12" t="n">
        <x:f>IF(O1973="","",(H1973*60+O1973)/86400)</x:f>
        <x:v>0.8757523148148149</x:v>
      </x:c>
      <x:c r="R1973" s="12" t="str">
        <x:f>IF(Q1973="","",TEXT(Q1973,"hh:mm:ss"))</x:f>
        <x:v>21:01:05</x:v>
      </x:c>
      <x:c r="S1973" s="12" t="str">
        <x:v>否</x:v>
      </x:c>
      <x:c r="T1973" s="12" t="str">
        <x:v>否</x:v>
      </x:c>
      <x:c r="U1973" s="12" t="str">
        <x:v>孙五星</x:v>
      </x:c>
      <x:c r="V1973" s="12" t="str">
        <x:v>2号车</x:v>
      </x:c>
      <x:c r="W1973" s="12" t="str">
        <x:v>秒级预测</x:v>
      </x:c>
      <x:c r="X1973" s="12" t="str">
        <x:v>基于路线秒级参数；如录入实测或手动采用秒，预计到达时间可随公式更新</x:v>
      </x:c>
    </x:row>
    <x:row r="1974">
      <x:c r="A1974" s="12" t="str">
        <x:v>S0171-03</x:v>
      </x:c>
      <x:c r="B1974" s="12" t="str">
        <x:v>S0171</x:v>
      </x:c>
      <x:c r="C1974" s="12" t="str">
        <x:v>周末/节假日</x:v>
      </x:c>
      <x:c r="D1974" s="12" t="str">
        <x:v>环线2路</x:v>
      </x:c>
      <x:c r="E1974" s="12" t="str">
        <x:v>第二班</x:v>
      </x:c>
      <x:c r="F1974" s="12" t="n">
        <x:v>2</x:v>
      </x:c>
      <x:c r="G1974" s="12" t="str">
        <x:v>21:00</x:v>
      </x:c>
      <x:c r="H1974" s="12" t="n">
        <x:v>1260</x:v>
      </x:c>
      <x:c r="I1974" s="12" t="str">
        <x:v>研究生宿舍楼</x:v>
      </x:c>
      <x:c r="J1974" s="12" t="str">
        <x:v>研究生宿舍楼发车</x:v>
      </x:c>
      <x:c r="K1974" s="12" t="str">
        <x:v>HX2_NORMAL</x:v>
      </x:c>
      <x:c r="L1974" s="12" t="n">
        <x:v>3</x:v>
      </x:c>
      <x:c r="M1974" s="12" t="str">
        <x:v>HX2_NORMAL|3</x:v>
      </x:c>
      <x:c r="N1974" s="12" t="str">
        <x:v>门诊部</x:v>
      </x:c>
      <x:c r="O1974" s="12" t="n">
        <x:f>IFERROR(INDEX('秒级路线参数_可调整'!$O:$O,MATCH(M1974,'秒级路线参数_可调整'!$A:$A,0)),"")</x:f>
        <x:v>120</x:v>
      </x:c>
      <x:c r="P1974" s="12" t="n">
        <x:f>IF(O1974="","",O1974/86400)</x:f>
        <x:v>0.001388888888888889</x:v>
      </x:c>
      <x:c r="Q1974" s="12" t="n">
        <x:f>IF(O1974="","",(H1974*60+O1974)/86400)</x:f>
        <x:v>0.8763888888888889</x:v>
      </x:c>
      <x:c r="R1974" s="12" t="str">
        <x:f>IF(Q1974="","",TEXT(Q1974,"hh:mm:ss"))</x:f>
        <x:v>21:02:00</x:v>
      </x:c>
      <x:c r="S1974" s="12" t="str">
        <x:v>否</x:v>
      </x:c>
      <x:c r="T1974" s="12" t="str">
        <x:v>否</x:v>
      </x:c>
      <x:c r="U1974" s="12" t="str">
        <x:v>孙五星</x:v>
      </x:c>
      <x:c r="V1974" s="12" t="str">
        <x:v>2号车</x:v>
      </x:c>
      <x:c r="W1974" s="12" t="str">
        <x:v>秒级预测</x:v>
      </x:c>
      <x:c r="X1974" s="12" t="str">
        <x:v>基于路线秒级参数；如录入实测或手动采用秒，预计到达时间可随公式更新</x:v>
      </x:c>
    </x:row>
    <x:row r="1975">
      <x:c r="A1975" s="12" t="str">
        <x:v>S0171-04</x:v>
      </x:c>
      <x:c r="B1975" s="12" t="str">
        <x:v>S0171</x:v>
      </x:c>
      <x:c r="C1975" s="12" t="str">
        <x:v>周末/节假日</x:v>
      </x:c>
      <x:c r="D1975" s="12" t="str">
        <x:v>环线2路</x:v>
      </x:c>
      <x:c r="E1975" s="12" t="str">
        <x:v>第二班</x:v>
      </x:c>
      <x:c r="F1975" s="12" t="n">
        <x:v>2</x:v>
      </x:c>
      <x:c r="G1975" s="12" t="str">
        <x:v>21:00</x:v>
      </x:c>
      <x:c r="H1975" s="12" t="n">
        <x:v>1260</x:v>
      </x:c>
      <x:c r="I1975" s="12" t="str">
        <x:v>研究生宿舍楼</x:v>
      </x:c>
      <x:c r="J1975" s="12" t="str">
        <x:v>研究生宿舍楼发车</x:v>
      </x:c>
      <x:c r="K1975" s="12" t="str">
        <x:v>HX2_NORMAL</x:v>
      </x:c>
      <x:c r="L1975" s="12" t="n">
        <x:v>4</x:v>
      </x:c>
      <x:c r="M1975" s="12" t="str">
        <x:v>HX2_NORMAL|4</x:v>
      </x:c>
      <x:c r="N1975" s="12" t="str">
        <x:v>1号宿舍楼</x:v>
      </x:c>
      <x:c r="O1975" s="12" t="n">
        <x:f>IFERROR(INDEX('秒级路线参数_可调整'!$O:$O,MATCH(M1975,'秒级路线参数_可调整'!$A:$A,0)),"")</x:f>
        <x:v>165</x:v>
      </x:c>
      <x:c r="P1975" s="12" t="n">
        <x:f>IF(O1975="","",O1975/86400)</x:f>
        <x:v>0.0019097222222222222</x:v>
      </x:c>
      <x:c r="Q1975" s="12" t="n">
        <x:f>IF(O1975="","",(H1975*60+O1975)/86400)</x:f>
        <x:v>0.8769097222222222</x:v>
      </x:c>
      <x:c r="R1975" s="12" t="str">
        <x:f>IF(Q1975="","",TEXT(Q1975,"hh:mm:ss"))</x:f>
        <x:v>21:02:45</x:v>
      </x:c>
      <x:c r="S1975" s="12" t="str">
        <x:v>否</x:v>
      </x:c>
      <x:c r="T1975" s="12" t="str">
        <x:v>否</x:v>
      </x:c>
      <x:c r="U1975" s="12" t="str">
        <x:v>孙五星</x:v>
      </x:c>
      <x:c r="V1975" s="12" t="str">
        <x:v>2号车</x:v>
      </x:c>
      <x:c r="W1975" s="12" t="str">
        <x:v>秒级预测</x:v>
      </x:c>
      <x:c r="X1975" s="12" t="str">
        <x:v>基于路线秒级参数；如录入实测或手动采用秒，预计到达时间可随公式更新</x:v>
      </x:c>
    </x:row>
    <x:row r="1976">
      <x:c r="A1976" s="12" t="str">
        <x:v>S0171-05</x:v>
      </x:c>
      <x:c r="B1976" s="12" t="str">
        <x:v>S0171</x:v>
      </x:c>
      <x:c r="C1976" s="12" t="str">
        <x:v>周末/节假日</x:v>
      </x:c>
      <x:c r="D1976" s="12" t="str">
        <x:v>环线2路</x:v>
      </x:c>
      <x:c r="E1976" s="12" t="str">
        <x:v>第二班</x:v>
      </x:c>
      <x:c r="F1976" s="12" t="n">
        <x:v>2</x:v>
      </x:c>
      <x:c r="G1976" s="12" t="str">
        <x:v>21:00</x:v>
      </x:c>
      <x:c r="H1976" s="12" t="n">
        <x:v>1260</x:v>
      </x:c>
      <x:c r="I1976" s="12" t="str">
        <x:v>研究生宿舍楼</x:v>
      </x:c>
      <x:c r="J1976" s="12" t="str">
        <x:v>研究生宿舍楼发车</x:v>
      </x:c>
      <x:c r="K1976" s="12" t="str">
        <x:v>HX2_NORMAL</x:v>
      </x:c>
      <x:c r="L1976" s="12" t="n">
        <x:v>5</x:v>
      </x:c>
      <x:c r="M1976" s="12" t="str">
        <x:v>HX2_NORMAL|5</x:v>
      </x:c>
      <x:c r="N1976" s="12" t="str">
        <x:v>水上训练中心</x:v>
      </x:c>
      <x:c r="O1976" s="12" t="n">
        <x:f>IFERROR(INDEX('秒级路线参数_可调整'!$O:$O,MATCH(M1976,'秒级路线参数_可调整'!$A:$A,0)),"")</x:f>
        <x:v>250</x:v>
      </x:c>
      <x:c r="P1976" s="12" t="n">
        <x:f>IF(O1976="","",O1976/86400)</x:f>
        <x:v>0.0028935185185185184</x:v>
      </x:c>
      <x:c r="Q1976" s="12" t="n">
        <x:f>IF(O1976="","",(H1976*60+O1976)/86400)</x:f>
        <x:v>0.8778935185185185</x:v>
      </x:c>
      <x:c r="R1976" s="12" t="str">
        <x:f>IF(Q1976="","",TEXT(Q1976,"hh:mm:ss"))</x:f>
        <x:v>21:04:10</x:v>
      </x:c>
      <x:c r="S1976" s="12" t="str">
        <x:v>否</x:v>
      </x:c>
      <x:c r="T1976" s="12" t="str">
        <x:v>否</x:v>
      </x:c>
      <x:c r="U1976" s="12" t="str">
        <x:v>孙五星</x:v>
      </x:c>
      <x:c r="V1976" s="12" t="str">
        <x:v>2号车</x:v>
      </x:c>
      <x:c r="W1976" s="12" t="str">
        <x:v>秒级预测</x:v>
      </x:c>
      <x:c r="X1976" s="12" t="str">
        <x:v>基于路线秒级参数；如录入实测或手动采用秒，预计到达时间可随公式更新</x:v>
      </x:c>
    </x:row>
    <x:row r="1977">
      <x:c r="A1977" s="12" t="str">
        <x:v>S0171-06</x:v>
      </x:c>
      <x:c r="B1977" s="12" t="str">
        <x:v>S0171</x:v>
      </x:c>
      <x:c r="C1977" s="12" t="str">
        <x:v>周末/节假日</x:v>
      </x:c>
      <x:c r="D1977" s="12" t="str">
        <x:v>环线2路</x:v>
      </x:c>
      <x:c r="E1977" s="12" t="str">
        <x:v>第二班</x:v>
      </x:c>
      <x:c r="F1977" s="12" t="n">
        <x:v>2</x:v>
      </x:c>
      <x:c r="G1977" s="12" t="str">
        <x:v>21:00</x:v>
      </x:c>
      <x:c r="H1977" s="12" t="n">
        <x:v>1260</x:v>
      </x:c>
      <x:c r="I1977" s="12" t="str">
        <x:v>研究生宿舍楼</x:v>
      </x:c>
      <x:c r="J1977" s="12" t="str">
        <x:v>研究生宿舍楼发车</x:v>
      </x:c>
      <x:c r="K1977" s="12" t="str">
        <x:v>HX2_NORMAL</x:v>
      </x:c>
      <x:c r="L1977" s="12" t="n">
        <x:v>6</x:v>
      </x:c>
      <x:c r="M1977" s="12" t="str">
        <x:v>HX2_NORMAL|6</x:v>
      </x:c>
      <x:c r="N1977" s="12" t="str">
        <x:v>军体活动中心</x:v>
      </x:c>
      <x:c r="O1977" s="12" t="n">
        <x:f>IFERROR(INDEX('秒级路线参数_可调整'!$O:$O,MATCH(M1977,'秒级路线参数_可调整'!$A:$A,0)),"")</x:f>
        <x:v>315</x:v>
      </x:c>
      <x:c r="P1977" s="12" t="n">
        <x:f>IF(O1977="","",O1977/86400)</x:f>
        <x:v>0.0036458333333333334</x:v>
      </x:c>
      <x:c r="Q1977" s="12" t="n">
        <x:f>IF(O1977="","",(H1977*60+O1977)/86400)</x:f>
        <x:v>0.8786458333333333</x:v>
      </x:c>
      <x:c r="R1977" s="12" t="str">
        <x:f>IF(Q1977="","",TEXT(Q1977,"hh:mm:ss"))</x:f>
        <x:v>21:05:15</x:v>
      </x:c>
      <x:c r="S1977" s="12" t="str">
        <x:v>否</x:v>
      </x:c>
      <x:c r="T1977" s="12" t="str">
        <x:v>否</x:v>
      </x:c>
      <x:c r="U1977" s="12" t="str">
        <x:v>孙五星</x:v>
      </x:c>
      <x:c r="V1977" s="12" t="str">
        <x:v>2号车</x:v>
      </x:c>
      <x:c r="W1977" s="12" t="str">
        <x:v>秒级预测</x:v>
      </x:c>
      <x:c r="X1977" s="12" t="str">
        <x:v>基于路线秒级参数；如录入实测或手动采用秒，预计到达时间可随公式更新</x:v>
      </x:c>
    </x:row>
    <x:row r="1978">
      <x:c r="A1978" s="12" t="str">
        <x:v>S0171-07</x:v>
      </x:c>
      <x:c r="B1978" s="12" t="str">
        <x:v>S0171</x:v>
      </x:c>
      <x:c r="C1978" s="12" t="str">
        <x:v>周末/节假日</x:v>
      </x:c>
      <x:c r="D1978" s="12" t="str">
        <x:v>环线2路</x:v>
      </x:c>
      <x:c r="E1978" s="12" t="str">
        <x:v>第二班</x:v>
      </x:c>
      <x:c r="F1978" s="12" t="n">
        <x:v>2</x:v>
      </x:c>
      <x:c r="G1978" s="12" t="str">
        <x:v>21:00</x:v>
      </x:c>
      <x:c r="H1978" s="12" t="n">
        <x:v>1260</x:v>
      </x:c>
      <x:c r="I1978" s="12" t="str">
        <x:v>研究生宿舍楼</x:v>
      </x:c>
      <x:c r="J1978" s="12" t="str">
        <x:v>研究生宿舍楼发车</x:v>
      </x:c>
      <x:c r="K1978" s="12" t="str">
        <x:v>HX2_NORMAL</x:v>
      </x:c>
      <x:c r="L1978" s="12" t="n">
        <x:v>7</x:v>
      </x:c>
      <x:c r="M1978" s="12" t="str">
        <x:v>HX2_NORMAL|7</x:v>
      </x:c>
      <x:c r="N1978" s="12" t="str">
        <x:v>二食堂</x:v>
      </x:c>
      <x:c r="O1978" s="12" t="n">
        <x:f>IFERROR(INDEX('秒级路线参数_可调整'!$O:$O,MATCH(M1978,'秒级路线参数_可调整'!$A:$A,0)),"")</x:f>
        <x:v>420</x:v>
      </x:c>
      <x:c r="P1978" s="12" t="n">
        <x:f>IF(O1978="","",O1978/86400)</x:f>
        <x:v>0.004861111111111111</x:v>
      </x:c>
      <x:c r="Q1978" s="12" t="n">
        <x:f>IF(O1978="","",(H1978*60+O1978)/86400)</x:f>
        <x:v>0.8798611111111111</x:v>
      </x:c>
      <x:c r="R1978" s="12" t="str">
        <x:f>IF(Q1978="","",TEXT(Q1978,"hh:mm:ss"))</x:f>
        <x:v>21:07:00</x:v>
      </x:c>
      <x:c r="S1978" s="12" t="str">
        <x:v>否</x:v>
      </x:c>
      <x:c r="T1978" s="12" t="str">
        <x:v>否</x:v>
      </x:c>
      <x:c r="U1978" s="12" t="str">
        <x:v>孙五星</x:v>
      </x:c>
      <x:c r="V1978" s="12" t="str">
        <x:v>2号车</x:v>
      </x:c>
      <x:c r="W1978" s="12" t="str">
        <x:v>秒级预测</x:v>
      </x:c>
      <x:c r="X1978" s="12" t="str">
        <x:v>基于路线秒级参数；如录入实测或手动采用秒，预计到达时间可随公式更新</x:v>
      </x:c>
    </x:row>
    <x:row r="1979">
      <x:c r="A1979" s="12" t="str">
        <x:v>S0171-08</x:v>
      </x:c>
      <x:c r="B1979" s="12" t="str">
        <x:v>S0171</x:v>
      </x:c>
      <x:c r="C1979" s="12" t="str">
        <x:v>周末/节假日</x:v>
      </x:c>
      <x:c r="D1979" s="12" t="str">
        <x:v>环线2路</x:v>
      </x:c>
      <x:c r="E1979" s="12" t="str">
        <x:v>第二班</x:v>
      </x:c>
      <x:c r="F1979" s="12" t="n">
        <x:v>2</x:v>
      </x:c>
      <x:c r="G1979" s="12" t="str">
        <x:v>21:00</x:v>
      </x:c>
      <x:c r="H1979" s="12" t="n">
        <x:v>1260</x:v>
      </x:c>
      <x:c r="I1979" s="12" t="str">
        <x:v>研究生宿舍楼</x:v>
      </x:c>
      <x:c r="J1979" s="12" t="str">
        <x:v>研究生宿舍楼发车</x:v>
      </x:c>
      <x:c r="K1979" s="12" t="str">
        <x:v>HX2_NORMAL</x:v>
      </x:c>
      <x:c r="L1979" s="12" t="n">
        <x:v>8</x:v>
      </x:c>
      <x:c r="M1979" s="12" t="str">
        <x:v>HX2_NORMAL|8</x:v>
      </x:c>
      <x:c r="N1979" s="12" t="str">
        <x:v>5号宿舍楼</x:v>
      </x:c>
      <x:c r="O1979" s="12" t="n">
        <x:f>IFERROR(INDEX('秒级路线参数_可调整'!$O:$O,MATCH(M1979,'秒级路线参数_可调整'!$A:$A,0)),"")</x:f>
        <x:v>480</x:v>
      </x:c>
      <x:c r="P1979" s="12" t="n">
        <x:f>IF(O1979="","",O1979/86400)</x:f>
        <x:v>0.005555555555555556</x:v>
      </x:c>
      <x:c r="Q1979" s="12" t="n">
        <x:f>IF(O1979="","",(H1979*60+O1979)/86400)</x:f>
        <x:v>0.8805555555555555</x:v>
      </x:c>
      <x:c r="R1979" s="12" t="str">
        <x:f>IF(Q1979="","",TEXT(Q1979,"hh:mm:ss"))</x:f>
        <x:v>21:08:00</x:v>
      </x:c>
      <x:c r="S1979" s="12" t="str">
        <x:v>否</x:v>
      </x:c>
      <x:c r="T1979" s="12" t="str">
        <x:v>否</x:v>
      </x:c>
      <x:c r="U1979" s="12" t="str">
        <x:v>孙五星</x:v>
      </x:c>
      <x:c r="V1979" s="12" t="str">
        <x:v>2号车</x:v>
      </x:c>
      <x:c r="W1979" s="12" t="str">
        <x:v>秒级预测</x:v>
      </x:c>
      <x:c r="X1979" s="12" t="str">
        <x:v>基于路线秒级参数；如录入实测或手动采用秒，预计到达时间可随公式更新</x:v>
      </x:c>
    </x:row>
    <x:row r="1980">
      <x:c r="A1980" s="12" t="str">
        <x:v>S0171-09</x:v>
      </x:c>
      <x:c r="B1980" s="12" t="str">
        <x:v>S0171</x:v>
      </x:c>
      <x:c r="C1980" s="12" t="str">
        <x:v>周末/节假日</x:v>
      </x:c>
      <x:c r="D1980" s="12" t="str">
        <x:v>环线2路</x:v>
      </x:c>
      <x:c r="E1980" s="12" t="str">
        <x:v>第二班</x:v>
      </x:c>
      <x:c r="F1980" s="12" t="n">
        <x:v>2</x:v>
      </x:c>
      <x:c r="G1980" s="12" t="str">
        <x:v>21:00</x:v>
      </x:c>
      <x:c r="H1980" s="12" t="n">
        <x:v>1260</x:v>
      </x:c>
      <x:c r="I1980" s="12" t="str">
        <x:v>研究生宿舍楼</x:v>
      </x:c>
      <x:c r="J1980" s="12" t="str">
        <x:v>研究生宿舍楼发车</x:v>
      </x:c>
      <x:c r="K1980" s="12" t="str">
        <x:v>HX2_NORMAL</x:v>
      </x:c>
      <x:c r="L1980" s="12" t="n">
        <x:v>9</x:v>
      </x:c>
      <x:c r="M1980" s="12" t="str">
        <x:v>HX2_NORMAL|9</x:v>
      </x:c>
      <x:c r="N1980" s="12" t="str">
        <x:v>305教学楼</x:v>
      </x:c>
      <x:c r="O1980" s="12" t="n">
        <x:f>IFERROR(INDEX('秒级路线参数_可调整'!$O:$O,MATCH(M1980,'秒级路线参数_可调整'!$A:$A,0)),"")</x:f>
        <x:v>535</x:v>
      </x:c>
      <x:c r="P1980" s="12" t="n">
        <x:f>IF(O1980="","",O1980/86400)</x:f>
        <x:v>0.00619212962962963</x:v>
      </x:c>
      <x:c r="Q1980" s="12" t="n">
        <x:f>IF(O1980="","",(H1980*60+O1980)/86400)</x:f>
        <x:v>0.8811921296296297</x:v>
      </x:c>
      <x:c r="R1980" s="12" t="str">
        <x:f>IF(Q1980="","",TEXT(Q1980,"hh:mm:ss"))</x:f>
        <x:v>21:08:55</x:v>
      </x:c>
      <x:c r="S1980" s="12" t="str">
        <x:v>否</x:v>
      </x:c>
      <x:c r="T1980" s="12" t="str">
        <x:v>否</x:v>
      </x:c>
      <x:c r="U1980" s="12" t="str">
        <x:v>孙五星</x:v>
      </x:c>
      <x:c r="V1980" s="12" t="str">
        <x:v>2号车</x:v>
      </x:c>
      <x:c r="W1980" s="12" t="str">
        <x:v>秒级预测</x:v>
      </x:c>
      <x:c r="X1980" s="12" t="str">
        <x:v>基于路线秒级参数；如录入实测或手动采用秒，预计到达时间可随公式更新</x:v>
      </x:c>
    </x:row>
    <x:row r="1981">
      <x:c r="A1981" s="12" t="str">
        <x:v>S0171-10</x:v>
      </x:c>
      <x:c r="B1981" s="12" t="str">
        <x:v>S0171</x:v>
      </x:c>
      <x:c r="C1981" s="12" t="str">
        <x:v>周末/节假日</x:v>
      </x:c>
      <x:c r="D1981" s="12" t="str">
        <x:v>环线2路</x:v>
      </x:c>
      <x:c r="E1981" s="12" t="str">
        <x:v>第二班</x:v>
      </x:c>
      <x:c r="F1981" s="12" t="n">
        <x:v>2</x:v>
      </x:c>
      <x:c r="G1981" s="12" t="str">
        <x:v>21:00</x:v>
      </x:c>
      <x:c r="H1981" s="12" t="n">
        <x:v>1260</x:v>
      </x:c>
      <x:c r="I1981" s="12" t="str">
        <x:v>研究生宿舍楼</x:v>
      </x:c>
      <x:c r="J1981" s="12" t="str">
        <x:v>研究生宿舍楼发车</x:v>
      </x:c>
      <x:c r="K1981" s="12" t="str">
        <x:v>HX2_NORMAL</x:v>
      </x:c>
      <x:c r="L1981" s="12" t="n">
        <x:v>10</x:v>
      </x:c>
      <x:c r="M1981" s="12" t="str">
        <x:v>HX2_NORMAL|10</x:v>
      </x:c>
      <x:c r="N1981" s="12" t="str">
        <x:v>研究生宿舍楼</x:v>
      </x:c>
      <x:c r="O1981" s="12" t="n">
        <x:f>IFERROR(INDEX('秒级路线参数_可调整'!$O:$O,MATCH(M1981,'秒级路线参数_可调整'!$A:$A,0)),"")</x:f>
        <x:v>715</x:v>
      </x:c>
      <x:c r="P1981" s="12" t="n">
        <x:f>IF(O1981="","",O1981/86400)</x:f>
        <x:v>0.008275462962962964</x:v>
      </x:c>
      <x:c r="Q1981" s="12" t="n">
        <x:f>IF(O1981="","",(H1981*60+O1981)/86400)</x:f>
        <x:v>0.883275462962963</x:v>
      </x:c>
      <x:c r="R1981" s="12" t="str">
        <x:f>IF(Q1981="","",TEXT(Q1981,"hh:mm:ss"))</x:f>
        <x:v>21:11:55</x:v>
      </x:c>
      <x:c r="S1981" s="12" t="str">
        <x:v>否</x:v>
      </x:c>
      <x:c r="T1981" s="12" t="str">
        <x:v>是</x:v>
      </x:c>
      <x:c r="U1981" s="12" t="str">
        <x:v>孙五星</x:v>
      </x:c>
      <x:c r="V1981" s="12" t="str">
        <x:v>2号车</x:v>
      </x:c>
      <x:c r="W1981" s="12" t="str">
        <x:v>秒级预测</x:v>
      </x:c>
      <x:c r="X1981" s="12" t="str">
        <x:v>基于路线秒级参数；如录入实测或手动采用秒，预计到达时间可随公式更新</x:v>
      </x:c>
    </x:row>
    <x:row r="1982">
      <x:c r="A1982" s="12" t="str">
        <x:v>S0172-01</x:v>
      </x:c>
      <x:c r="B1982" s="12" t="str">
        <x:v>S0172</x:v>
      </x:c>
      <x:c r="C1982" s="12" t="str">
        <x:v>周末/节假日</x:v>
      </x:c>
      <x:c r="D1982" s="12" t="str">
        <x:v>环线2路</x:v>
      </x:c>
      <x:c r="E1982" s="12" t="str">
        <x:v>第二班</x:v>
      </x:c>
      <x:c r="F1982" s="12" t="n">
        <x:v>3</x:v>
      </x:c>
      <x:c r="G1982" s="12" t="str">
        <x:v>21:25</x:v>
      </x:c>
      <x:c r="H1982" s="12" t="n">
        <x:v>1285</x:v>
      </x:c>
      <x:c r="I1982" s="12" t="str">
        <x:v>研究生宿舍楼</x:v>
      </x:c>
      <x:c r="J1982" s="12" t="str">
        <x:v>研究生宿舍楼发车</x:v>
      </x:c>
      <x:c r="K1982" s="12" t="str">
        <x:v>HX2_NORMAL</x:v>
      </x:c>
      <x:c r="L1982" s="12" t="n">
        <x:v>1</x:v>
      </x:c>
      <x:c r="M1982" s="12" t="str">
        <x:v>HX2_NORMAL|1</x:v>
      </x:c>
      <x:c r="N1982" s="12" t="str">
        <x:v>研究生宿舍楼</x:v>
      </x:c>
      <x:c r="O1982" s="12" t="n">
        <x:f>IFERROR(INDEX('秒级路线参数_可调整'!$O:$O,MATCH(M1982,'秒级路线参数_可调整'!$A:$A,0)),"")</x:f>
        <x:v>0</x:v>
      </x:c>
      <x:c r="P1982" s="12" t="str">
        <x:f>IF(O1982="","",O1982/86400)</x:f>
      </x:c>
      <x:c r="Q1982" s="12" t="str">
        <x:f>IF(O1982="","",(H1982*60+O1982)/86400)</x:f>
      </x:c>
      <x:c r="R1982" s="12" t="str">
        <x:f>IF(Q1982="","",TEXT(Q1982,"hh:mm:ss"))</x:f>
      </x:c>
      <x:c r="S1982" s="12" t="str">
        <x:v>是</x:v>
      </x:c>
      <x:c r="T1982" s="12" t="str">
        <x:v>否</x:v>
      </x:c>
      <x:c r="U1982" s="12" t="str">
        <x:v>孙五星</x:v>
      </x:c>
      <x:c r="V1982" s="12" t="str">
        <x:v>2号车</x:v>
      </x:c>
      <x:c r="W1982" s="12" t="str">
        <x:v>秒级预测</x:v>
      </x:c>
      <x:c r="X1982" s="12" t="str">
        <x:v>基于路线秒级参数；如录入实测或手动采用秒，预计到达时间可随公式更新</x:v>
      </x:c>
    </x:row>
    <x:row r="1983">
      <x:c r="A1983" s="12" t="str">
        <x:v>S0172-02</x:v>
      </x:c>
      <x:c r="B1983" s="12" t="str">
        <x:v>S0172</x:v>
      </x:c>
      <x:c r="C1983" s="12" t="str">
        <x:v>周末/节假日</x:v>
      </x:c>
      <x:c r="D1983" s="12" t="str">
        <x:v>环线2路</x:v>
      </x:c>
      <x:c r="E1983" s="12" t="str">
        <x:v>第二班</x:v>
      </x:c>
      <x:c r="F1983" s="12" t="n">
        <x:v>3</x:v>
      </x:c>
      <x:c r="G1983" s="12" t="str">
        <x:v>21:25</x:v>
      </x:c>
      <x:c r="H1983" s="12" t="n">
        <x:v>1285</x:v>
      </x:c>
      <x:c r="I1983" s="12" t="str">
        <x:v>研究生宿舍楼</x:v>
      </x:c>
      <x:c r="J1983" s="12" t="str">
        <x:v>研究生宿舍楼发车</x:v>
      </x:c>
      <x:c r="K1983" s="12" t="str">
        <x:v>HX2_NORMAL</x:v>
      </x:c>
      <x:c r="L1983" s="12" t="n">
        <x:v>2</x:v>
      </x:c>
      <x:c r="M1983" s="12" t="str">
        <x:v>HX2_NORMAL|2</x:v>
      </x:c>
      <x:c r="N1983" s="12" t="str">
        <x:v>一食堂</x:v>
      </x:c>
      <x:c r="O1983" s="12" t="n">
        <x:f>IFERROR(INDEX('秒级路线参数_可调整'!$O:$O,MATCH(M1983,'秒级路线参数_可调整'!$A:$A,0)),"")</x:f>
        <x:v>65</x:v>
      </x:c>
      <x:c r="P1983" s="12" t="n">
        <x:f>IF(O1983="","",O1983/86400)</x:f>
        <x:v>0.0007523148148148148</x:v>
      </x:c>
      <x:c r="Q1983" s="12" t="n">
        <x:f>IF(O1983="","",(H1983*60+O1983)/86400)</x:f>
        <x:v>0.8931134259259259</x:v>
      </x:c>
      <x:c r="R1983" s="12" t="str">
        <x:f>IF(Q1983="","",TEXT(Q1983,"hh:mm:ss"))</x:f>
        <x:v>21:26:05</x:v>
      </x:c>
      <x:c r="S1983" s="12" t="str">
        <x:v>否</x:v>
      </x:c>
      <x:c r="T1983" s="12" t="str">
        <x:v>否</x:v>
      </x:c>
      <x:c r="U1983" s="12" t="str">
        <x:v>孙五星</x:v>
      </x:c>
      <x:c r="V1983" s="12" t="str">
        <x:v>2号车</x:v>
      </x:c>
      <x:c r="W1983" s="12" t="str">
        <x:v>秒级预测</x:v>
      </x:c>
      <x:c r="X1983" s="12" t="str">
        <x:v>基于路线秒级参数；如录入实测或手动采用秒，预计到达时间可随公式更新</x:v>
      </x:c>
    </x:row>
    <x:row r="1984">
      <x:c r="A1984" s="12" t="str">
        <x:v>S0172-03</x:v>
      </x:c>
      <x:c r="B1984" s="12" t="str">
        <x:v>S0172</x:v>
      </x:c>
      <x:c r="C1984" s="12" t="str">
        <x:v>周末/节假日</x:v>
      </x:c>
      <x:c r="D1984" s="12" t="str">
        <x:v>环线2路</x:v>
      </x:c>
      <x:c r="E1984" s="12" t="str">
        <x:v>第二班</x:v>
      </x:c>
      <x:c r="F1984" s="12" t="n">
        <x:v>3</x:v>
      </x:c>
      <x:c r="G1984" s="12" t="str">
        <x:v>21:25</x:v>
      </x:c>
      <x:c r="H1984" s="12" t="n">
        <x:v>1285</x:v>
      </x:c>
      <x:c r="I1984" s="12" t="str">
        <x:v>研究生宿舍楼</x:v>
      </x:c>
      <x:c r="J1984" s="12" t="str">
        <x:v>研究生宿舍楼发车</x:v>
      </x:c>
      <x:c r="K1984" s="12" t="str">
        <x:v>HX2_NORMAL</x:v>
      </x:c>
      <x:c r="L1984" s="12" t="n">
        <x:v>3</x:v>
      </x:c>
      <x:c r="M1984" s="12" t="str">
        <x:v>HX2_NORMAL|3</x:v>
      </x:c>
      <x:c r="N1984" s="12" t="str">
        <x:v>门诊部</x:v>
      </x:c>
      <x:c r="O1984" s="12" t="n">
        <x:f>IFERROR(INDEX('秒级路线参数_可调整'!$O:$O,MATCH(M1984,'秒级路线参数_可调整'!$A:$A,0)),"")</x:f>
        <x:v>120</x:v>
      </x:c>
      <x:c r="P1984" s="12" t="n">
        <x:f>IF(O1984="","",O1984/86400)</x:f>
        <x:v>0.001388888888888889</x:v>
      </x:c>
      <x:c r="Q1984" s="12" t="n">
        <x:f>IF(O1984="","",(H1984*60+O1984)/86400)</x:f>
        <x:v>0.89375</x:v>
      </x:c>
      <x:c r="R1984" s="12" t="str">
        <x:f>IF(Q1984="","",TEXT(Q1984,"hh:mm:ss"))</x:f>
        <x:v>21:27:00</x:v>
      </x:c>
      <x:c r="S1984" s="12" t="str">
        <x:v>否</x:v>
      </x:c>
      <x:c r="T1984" s="12" t="str">
        <x:v>否</x:v>
      </x:c>
      <x:c r="U1984" s="12" t="str">
        <x:v>孙五星</x:v>
      </x:c>
      <x:c r="V1984" s="12" t="str">
        <x:v>2号车</x:v>
      </x:c>
      <x:c r="W1984" s="12" t="str">
        <x:v>秒级预测</x:v>
      </x:c>
      <x:c r="X1984" s="12" t="str">
        <x:v>基于路线秒级参数；如录入实测或手动采用秒，预计到达时间可随公式更新</x:v>
      </x:c>
    </x:row>
    <x:row r="1985">
      <x:c r="A1985" s="12" t="str">
        <x:v>S0172-04</x:v>
      </x:c>
      <x:c r="B1985" s="12" t="str">
        <x:v>S0172</x:v>
      </x:c>
      <x:c r="C1985" s="12" t="str">
        <x:v>周末/节假日</x:v>
      </x:c>
      <x:c r="D1985" s="12" t="str">
        <x:v>环线2路</x:v>
      </x:c>
      <x:c r="E1985" s="12" t="str">
        <x:v>第二班</x:v>
      </x:c>
      <x:c r="F1985" s="12" t="n">
        <x:v>3</x:v>
      </x:c>
      <x:c r="G1985" s="12" t="str">
        <x:v>21:25</x:v>
      </x:c>
      <x:c r="H1985" s="12" t="n">
        <x:v>1285</x:v>
      </x:c>
      <x:c r="I1985" s="12" t="str">
        <x:v>研究生宿舍楼</x:v>
      </x:c>
      <x:c r="J1985" s="12" t="str">
        <x:v>研究生宿舍楼发车</x:v>
      </x:c>
      <x:c r="K1985" s="12" t="str">
        <x:v>HX2_NORMAL</x:v>
      </x:c>
      <x:c r="L1985" s="12" t="n">
        <x:v>4</x:v>
      </x:c>
      <x:c r="M1985" s="12" t="str">
        <x:v>HX2_NORMAL|4</x:v>
      </x:c>
      <x:c r="N1985" s="12" t="str">
        <x:v>1号宿舍楼</x:v>
      </x:c>
      <x:c r="O1985" s="12" t="n">
        <x:f>IFERROR(INDEX('秒级路线参数_可调整'!$O:$O,MATCH(M1985,'秒级路线参数_可调整'!$A:$A,0)),"")</x:f>
        <x:v>165</x:v>
      </x:c>
      <x:c r="P1985" s="12" t="n">
        <x:f>IF(O1985="","",O1985/86400)</x:f>
        <x:v>0.0019097222222222222</x:v>
      </x:c>
      <x:c r="Q1985" s="12" t="n">
        <x:f>IF(O1985="","",(H1985*60+O1985)/86400)</x:f>
        <x:v>0.8942708333333333</x:v>
      </x:c>
      <x:c r="R1985" s="12" t="str">
        <x:f>IF(Q1985="","",TEXT(Q1985,"hh:mm:ss"))</x:f>
        <x:v>21:27:45</x:v>
      </x:c>
      <x:c r="S1985" s="12" t="str">
        <x:v>否</x:v>
      </x:c>
      <x:c r="T1985" s="12" t="str">
        <x:v>否</x:v>
      </x:c>
      <x:c r="U1985" s="12" t="str">
        <x:v>孙五星</x:v>
      </x:c>
      <x:c r="V1985" s="12" t="str">
        <x:v>2号车</x:v>
      </x:c>
      <x:c r="W1985" s="12" t="str">
        <x:v>秒级预测</x:v>
      </x:c>
      <x:c r="X1985" s="12" t="str">
        <x:v>基于路线秒级参数；如录入实测或手动采用秒，预计到达时间可随公式更新</x:v>
      </x:c>
    </x:row>
    <x:row r="1986">
      <x:c r="A1986" s="12" t="str">
        <x:v>S0172-05</x:v>
      </x:c>
      <x:c r="B1986" s="12" t="str">
        <x:v>S0172</x:v>
      </x:c>
      <x:c r="C1986" s="12" t="str">
        <x:v>周末/节假日</x:v>
      </x:c>
      <x:c r="D1986" s="12" t="str">
        <x:v>环线2路</x:v>
      </x:c>
      <x:c r="E1986" s="12" t="str">
        <x:v>第二班</x:v>
      </x:c>
      <x:c r="F1986" s="12" t="n">
        <x:v>3</x:v>
      </x:c>
      <x:c r="G1986" s="12" t="str">
        <x:v>21:25</x:v>
      </x:c>
      <x:c r="H1986" s="12" t="n">
        <x:v>1285</x:v>
      </x:c>
      <x:c r="I1986" s="12" t="str">
        <x:v>研究生宿舍楼</x:v>
      </x:c>
      <x:c r="J1986" s="12" t="str">
        <x:v>研究生宿舍楼发车</x:v>
      </x:c>
      <x:c r="K1986" s="12" t="str">
        <x:v>HX2_NORMAL</x:v>
      </x:c>
      <x:c r="L1986" s="12" t="n">
        <x:v>5</x:v>
      </x:c>
      <x:c r="M1986" s="12" t="str">
        <x:v>HX2_NORMAL|5</x:v>
      </x:c>
      <x:c r="N1986" s="12" t="str">
        <x:v>水上训练中心</x:v>
      </x:c>
      <x:c r="O1986" s="12" t="n">
        <x:f>IFERROR(INDEX('秒级路线参数_可调整'!$O:$O,MATCH(M1986,'秒级路线参数_可调整'!$A:$A,0)),"")</x:f>
        <x:v>250</x:v>
      </x:c>
      <x:c r="P1986" s="12" t="n">
        <x:f>IF(O1986="","",O1986/86400)</x:f>
        <x:v>0.0028935185185185184</x:v>
      </x:c>
      <x:c r="Q1986" s="12" t="n">
        <x:f>IF(O1986="","",(H1986*60+O1986)/86400)</x:f>
        <x:v>0.8952546296296297</x:v>
      </x:c>
      <x:c r="R1986" s="12" t="str">
        <x:f>IF(Q1986="","",TEXT(Q1986,"hh:mm:ss"))</x:f>
        <x:v>21:29:10</x:v>
      </x:c>
      <x:c r="S1986" s="12" t="str">
        <x:v>否</x:v>
      </x:c>
      <x:c r="T1986" s="12" t="str">
        <x:v>否</x:v>
      </x:c>
      <x:c r="U1986" s="12" t="str">
        <x:v>孙五星</x:v>
      </x:c>
      <x:c r="V1986" s="12" t="str">
        <x:v>2号车</x:v>
      </x:c>
      <x:c r="W1986" s="12" t="str">
        <x:v>秒级预测</x:v>
      </x:c>
      <x:c r="X1986" s="12" t="str">
        <x:v>基于路线秒级参数；如录入实测或手动采用秒，预计到达时间可随公式更新</x:v>
      </x:c>
    </x:row>
    <x:row r="1987">
      <x:c r="A1987" s="12" t="str">
        <x:v>S0172-06</x:v>
      </x:c>
      <x:c r="B1987" s="12" t="str">
        <x:v>S0172</x:v>
      </x:c>
      <x:c r="C1987" s="12" t="str">
        <x:v>周末/节假日</x:v>
      </x:c>
      <x:c r="D1987" s="12" t="str">
        <x:v>环线2路</x:v>
      </x:c>
      <x:c r="E1987" s="12" t="str">
        <x:v>第二班</x:v>
      </x:c>
      <x:c r="F1987" s="12" t="n">
        <x:v>3</x:v>
      </x:c>
      <x:c r="G1987" s="12" t="str">
        <x:v>21:25</x:v>
      </x:c>
      <x:c r="H1987" s="12" t="n">
        <x:v>1285</x:v>
      </x:c>
      <x:c r="I1987" s="12" t="str">
        <x:v>研究生宿舍楼</x:v>
      </x:c>
      <x:c r="J1987" s="12" t="str">
        <x:v>研究生宿舍楼发车</x:v>
      </x:c>
      <x:c r="K1987" s="12" t="str">
        <x:v>HX2_NORMAL</x:v>
      </x:c>
      <x:c r="L1987" s="12" t="n">
        <x:v>6</x:v>
      </x:c>
      <x:c r="M1987" s="12" t="str">
        <x:v>HX2_NORMAL|6</x:v>
      </x:c>
      <x:c r="N1987" s="12" t="str">
        <x:v>军体活动中心</x:v>
      </x:c>
      <x:c r="O1987" s="12" t="n">
        <x:f>IFERROR(INDEX('秒级路线参数_可调整'!$O:$O,MATCH(M1987,'秒级路线参数_可调整'!$A:$A,0)),"")</x:f>
        <x:v>315</x:v>
      </x:c>
      <x:c r="P1987" s="12" t="n">
        <x:f>IF(O1987="","",O1987/86400)</x:f>
        <x:v>0.0036458333333333334</x:v>
      </x:c>
      <x:c r="Q1987" s="12" t="n">
        <x:f>IF(O1987="","",(H1987*60+O1987)/86400)</x:f>
        <x:v>0.8960069444444444</x:v>
      </x:c>
      <x:c r="R1987" s="12" t="str">
        <x:f>IF(Q1987="","",TEXT(Q1987,"hh:mm:ss"))</x:f>
        <x:v>21:30:15</x:v>
      </x:c>
      <x:c r="S1987" s="12" t="str">
        <x:v>否</x:v>
      </x:c>
      <x:c r="T1987" s="12" t="str">
        <x:v>否</x:v>
      </x:c>
      <x:c r="U1987" s="12" t="str">
        <x:v>孙五星</x:v>
      </x:c>
      <x:c r="V1987" s="12" t="str">
        <x:v>2号车</x:v>
      </x:c>
      <x:c r="W1987" s="12" t="str">
        <x:v>秒级预测</x:v>
      </x:c>
      <x:c r="X1987" s="12" t="str">
        <x:v>基于路线秒级参数；如录入实测或手动采用秒，预计到达时间可随公式更新</x:v>
      </x:c>
    </x:row>
    <x:row r="1988">
      <x:c r="A1988" s="12" t="str">
        <x:v>S0172-07</x:v>
      </x:c>
      <x:c r="B1988" s="12" t="str">
        <x:v>S0172</x:v>
      </x:c>
      <x:c r="C1988" s="12" t="str">
        <x:v>周末/节假日</x:v>
      </x:c>
      <x:c r="D1988" s="12" t="str">
        <x:v>环线2路</x:v>
      </x:c>
      <x:c r="E1988" s="12" t="str">
        <x:v>第二班</x:v>
      </x:c>
      <x:c r="F1988" s="12" t="n">
        <x:v>3</x:v>
      </x:c>
      <x:c r="G1988" s="12" t="str">
        <x:v>21:25</x:v>
      </x:c>
      <x:c r="H1988" s="12" t="n">
        <x:v>1285</x:v>
      </x:c>
      <x:c r="I1988" s="12" t="str">
        <x:v>研究生宿舍楼</x:v>
      </x:c>
      <x:c r="J1988" s="12" t="str">
        <x:v>研究生宿舍楼发车</x:v>
      </x:c>
      <x:c r="K1988" s="12" t="str">
        <x:v>HX2_NORMAL</x:v>
      </x:c>
      <x:c r="L1988" s="12" t="n">
        <x:v>7</x:v>
      </x:c>
      <x:c r="M1988" s="12" t="str">
        <x:v>HX2_NORMAL|7</x:v>
      </x:c>
      <x:c r="N1988" s="12" t="str">
        <x:v>二食堂</x:v>
      </x:c>
      <x:c r="O1988" s="12" t="n">
        <x:f>IFERROR(INDEX('秒级路线参数_可调整'!$O:$O,MATCH(M1988,'秒级路线参数_可调整'!$A:$A,0)),"")</x:f>
        <x:v>420</x:v>
      </x:c>
      <x:c r="P1988" s="12" t="n">
        <x:f>IF(O1988="","",O1988/86400)</x:f>
        <x:v>0.004861111111111111</x:v>
      </x:c>
      <x:c r="Q1988" s="12" t="n">
        <x:f>IF(O1988="","",(H1988*60+O1988)/86400)</x:f>
        <x:v>0.8972222222222223</x:v>
      </x:c>
      <x:c r="R1988" s="12" t="str">
        <x:f>IF(Q1988="","",TEXT(Q1988,"hh:mm:ss"))</x:f>
        <x:v>21:32:00</x:v>
      </x:c>
      <x:c r="S1988" s="12" t="str">
        <x:v>否</x:v>
      </x:c>
      <x:c r="T1988" s="12" t="str">
        <x:v>否</x:v>
      </x:c>
      <x:c r="U1988" s="12" t="str">
        <x:v>孙五星</x:v>
      </x:c>
      <x:c r="V1988" s="12" t="str">
        <x:v>2号车</x:v>
      </x:c>
      <x:c r="W1988" s="12" t="str">
        <x:v>秒级预测</x:v>
      </x:c>
      <x:c r="X1988" s="12" t="str">
        <x:v>基于路线秒级参数；如录入实测或手动采用秒，预计到达时间可随公式更新</x:v>
      </x:c>
    </x:row>
    <x:row r="1989">
      <x:c r="A1989" s="12" t="str">
        <x:v>S0172-08</x:v>
      </x:c>
      <x:c r="B1989" s="12" t="str">
        <x:v>S0172</x:v>
      </x:c>
      <x:c r="C1989" s="12" t="str">
        <x:v>周末/节假日</x:v>
      </x:c>
      <x:c r="D1989" s="12" t="str">
        <x:v>环线2路</x:v>
      </x:c>
      <x:c r="E1989" s="12" t="str">
        <x:v>第二班</x:v>
      </x:c>
      <x:c r="F1989" s="12" t="n">
        <x:v>3</x:v>
      </x:c>
      <x:c r="G1989" s="12" t="str">
        <x:v>21:25</x:v>
      </x:c>
      <x:c r="H1989" s="12" t="n">
        <x:v>1285</x:v>
      </x:c>
      <x:c r="I1989" s="12" t="str">
        <x:v>研究生宿舍楼</x:v>
      </x:c>
      <x:c r="J1989" s="12" t="str">
        <x:v>研究生宿舍楼发车</x:v>
      </x:c>
      <x:c r="K1989" s="12" t="str">
        <x:v>HX2_NORMAL</x:v>
      </x:c>
      <x:c r="L1989" s="12" t="n">
        <x:v>8</x:v>
      </x:c>
      <x:c r="M1989" s="12" t="str">
        <x:v>HX2_NORMAL|8</x:v>
      </x:c>
      <x:c r="N1989" s="12" t="str">
        <x:v>5号宿舍楼</x:v>
      </x:c>
      <x:c r="O1989" s="12" t="n">
        <x:f>IFERROR(INDEX('秒级路线参数_可调整'!$O:$O,MATCH(M1989,'秒级路线参数_可调整'!$A:$A,0)),"")</x:f>
        <x:v>480</x:v>
      </x:c>
      <x:c r="P1989" s="12" t="n">
        <x:f>IF(O1989="","",O1989/86400)</x:f>
        <x:v>0.005555555555555556</x:v>
      </x:c>
      <x:c r="Q1989" s="12" t="n">
        <x:f>IF(O1989="","",(H1989*60+O1989)/86400)</x:f>
        <x:v>0.8979166666666667</x:v>
      </x:c>
      <x:c r="R1989" s="12" t="str">
        <x:f>IF(Q1989="","",TEXT(Q1989,"hh:mm:ss"))</x:f>
        <x:v>21:33:00</x:v>
      </x:c>
      <x:c r="S1989" s="12" t="str">
        <x:v>否</x:v>
      </x:c>
      <x:c r="T1989" s="12" t="str">
        <x:v>否</x:v>
      </x:c>
      <x:c r="U1989" s="12" t="str">
        <x:v>孙五星</x:v>
      </x:c>
      <x:c r="V1989" s="12" t="str">
        <x:v>2号车</x:v>
      </x:c>
      <x:c r="W1989" s="12" t="str">
        <x:v>秒级预测</x:v>
      </x:c>
      <x:c r="X1989" s="12" t="str">
        <x:v>基于路线秒级参数；如录入实测或手动采用秒，预计到达时间可随公式更新</x:v>
      </x:c>
    </x:row>
    <x:row r="1990">
      <x:c r="A1990" s="12" t="str">
        <x:v>S0172-09</x:v>
      </x:c>
      <x:c r="B1990" s="12" t="str">
        <x:v>S0172</x:v>
      </x:c>
      <x:c r="C1990" s="12" t="str">
        <x:v>周末/节假日</x:v>
      </x:c>
      <x:c r="D1990" s="12" t="str">
        <x:v>环线2路</x:v>
      </x:c>
      <x:c r="E1990" s="12" t="str">
        <x:v>第二班</x:v>
      </x:c>
      <x:c r="F1990" s="12" t="n">
        <x:v>3</x:v>
      </x:c>
      <x:c r="G1990" s="12" t="str">
        <x:v>21:25</x:v>
      </x:c>
      <x:c r="H1990" s="12" t="n">
        <x:v>1285</x:v>
      </x:c>
      <x:c r="I1990" s="12" t="str">
        <x:v>研究生宿舍楼</x:v>
      </x:c>
      <x:c r="J1990" s="12" t="str">
        <x:v>研究生宿舍楼发车</x:v>
      </x:c>
      <x:c r="K1990" s="12" t="str">
        <x:v>HX2_NORMAL</x:v>
      </x:c>
      <x:c r="L1990" s="12" t="n">
        <x:v>9</x:v>
      </x:c>
      <x:c r="M1990" s="12" t="str">
        <x:v>HX2_NORMAL|9</x:v>
      </x:c>
      <x:c r="N1990" s="12" t="str">
        <x:v>305教学楼</x:v>
      </x:c>
      <x:c r="O1990" s="12" t="n">
        <x:f>IFERROR(INDEX('秒级路线参数_可调整'!$O:$O,MATCH(M1990,'秒级路线参数_可调整'!$A:$A,0)),"")</x:f>
        <x:v>535</x:v>
      </x:c>
      <x:c r="P1990" s="12" t="n">
        <x:f>IF(O1990="","",O1990/86400)</x:f>
        <x:v>0.00619212962962963</x:v>
      </x:c>
      <x:c r="Q1990" s="12" t="n">
        <x:f>IF(O1990="","",(H1990*60+O1990)/86400)</x:f>
        <x:v>0.8985532407407407</x:v>
      </x:c>
      <x:c r="R1990" s="12" t="str">
        <x:f>IF(Q1990="","",TEXT(Q1990,"hh:mm:ss"))</x:f>
        <x:v>21:33:55</x:v>
      </x:c>
      <x:c r="S1990" s="12" t="str">
        <x:v>否</x:v>
      </x:c>
      <x:c r="T1990" s="12" t="str">
        <x:v>否</x:v>
      </x:c>
      <x:c r="U1990" s="12" t="str">
        <x:v>孙五星</x:v>
      </x:c>
      <x:c r="V1990" s="12" t="str">
        <x:v>2号车</x:v>
      </x:c>
      <x:c r="W1990" s="12" t="str">
        <x:v>秒级预测</x:v>
      </x:c>
      <x:c r="X1990" s="12" t="str">
        <x:v>基于路线秒级参数；如录入实测或手动采用秒，预计到达时间可随公式更新</x:v>
      </x:c>
    </x:row>
    <x:row r="1991">
      <x:c r="A1991" s="12" t="str">
        <x:v>S0172-10</x:v>
      </x:c>
      <x:c r="B1991" s="12" t="str">
        <x:v>S0172</x:v>
      </x:c>
      <x:c r="C1991" s="12" t="str">
        <x:v>周末/节假日</x:v>
      </x:c>
      <x:c r="D1991" s="12" t="str">
        <x:v>环线2路</x:v>
      </x:c>
      <x:c r="E1991" s="12" t="str">
        <x:v>第二班</x:v>
      </x:c>
      <x:c r="F1991" s="12" t="n">
        <x:v>3</x:v>
      </x:c>
      <x:c r="G1991" s="12" t="str">
        <x:v>21:25</x:v>
      </x:c>
      <x:c r="H1991" s="12" t="n">
        <x:v>1285</x:v>
      </x:c>
      <x:c r="I1991" s="12" t="str">
        <x:v>研究生宿舍楼</x:v>
      </x:c>
      <x:c r="J1991" s="12" t="str">
        <x:v>研究生宿舍楼发车</x:v>
      </x:c>
      <x:c r="K1991" s="12" t="str">
        <x:v>HX2_NORMAL</x:v>
      </x:c>
      <x:c r="L1991" s="12" t="n">
        <x:v>10</x:v>
      </x:c>
      <x:c r="M1991" s="12" t="str">
        <x:v>HX2_NORMAL|10</x:v>
      </x:c>
      <x:c r="N1991" s="12" t="str">
        <x:v>研究生宿舍楼</x:v>
      </x:c>
      <x:c r="O1991" s="12" t="n">
        <x:f>IFERROR(INDEX('秒级路线参数_可调整'!$O:$O,MATCH(M1991,'秒级路线参数_可调整'!$A:$A,0)),"")</x:f>
        <x:v>715</x:v>
      </x:c>
      <x:c r="P1991" s="12" t="n">
        <x:f>IF(O1991="","",O1991/86400)</x:f>
        <x:v>0.008275462962962964</x:v>
      </x:c>
      <x:c r="Q1991" s="12" t="n">
        <x:f>IF(O1991="","",(H1991*60+O1991)/86400)</x:f>
        <x:v>0.900636574074074</x:v>
      </x:c>
      <x:c r="R1991" s="12" t="str">
        <x:f>IF(Q1991="","",TEXT(Q1991,"hh:mm:ss"))</x:f>
        <x:v>21:36:55</x:v>
      </x:c>
      <x:c r="S1991" s="12" t="str">
        <x:v>否</x:v>
      </x:c>
      <x:c r="T1991" s="12" t="str">
        <x:v>是</x:v>
      </x:c>
      <x:c r="U1991" s="12" t="str">
        <x:v>孙五星</x:v>
      </x:c>
      <x:c r="V1991" s="12" t="str">
        <x:v>2号车</x:v>
      </x:c>
      <x:c r="W1991" s="12" t="str">
        <x:v>秒级预测</x:v>
      </x:c>
      <x:c r="X1991" s="12" t="str">
        <x:v>基于路线秒级参数；如录入实测或手动采用秒，预计到达时间可随公式更新</x:v>
      </x:c>
    </x:row>
    <x:row r="1992">
      <x:c r="A1992" s="12" t="str">
        <x:v>S0173-01</x:v>
      </x:c>
      <x:c r="B1992" s="12" t="str">
        <x:v>S0173</x:v>
      </x:c>
      <x:c r="C1992" s="12" t="str">
        <x:v>周末/节假日</x:v>
      </x:c>
      <x:c r="D1992" s="12" t="str">
        <x:v>环线2路</x:v>
      </x:c>
      <x:c r="E1992" s="12" t="str">
        <x:v>第二班</x:v>
      </x:c>
      <x:c r="F1992" s="12" t="n">
        <x:v>4</x:v>
      </x:c>
      <x:c r="G1992" s="12" t="str">
        <x:v>21:50</x:v>
      </x:c>
      <x:c r="H1992" s="12" t="n">
        <x:v>1310</x:v>
      </x:c>
      <x:c r="I1992" s="12" t="str">
        <x:v>研究生宿舍楼</x:v>
      </x:c>
      <x:c r="J1992" s="12" t="str">
        <x:v>研究生宿舍楼发车</x:v>
      </x:c>
      <x:c r="K1992" s="12" t="str">
        <x:v>HX2_NORMAL</x:v>
      </x:c>
      <x:c r="L1992" s="12" t="n">
        <x:v>1</x:v>
      </x:c>
      <x:c r="M1992" s="12" t="str">
        <x:v>HX2_NORMAL|1</x:v>
      </x:c>
      <x:c r="N1992" s="12" t="str">
        <x:v>研究生宿舍楼</x:v>
      </x:c>
      <x:c r="O1992" s="12" t="n">
        <x:f>IFERROR(INDEX('秒级路线参数_可调整'!$O:$O,MATCH(M1992,'秒级路线参数_可调整'!$A:$A,0)),"")</x:f>
        <x:v>0</x:v>
      </x:c>
      <x:c r="P1992" s="12" t="str">
        <x:f>IF(O1992="","",O1992/86400)</x:f>
      </x:c>
      <x:c r="Q1992" s="12" t="str">
        <x:f>IF(O1992="","",(H1992*60+O1992)/86400)</x:f>
      </x:c>
      <x:c r="R1992" s="12" t="str">
        <x:f>IF(Q1992="","",TEXT(Q1992,"hh:mm:ss"))</x:f>
      </x:c>
      <x:c r="S1992" s="12" t="str">
        <x:v>是</x:v>
      </x:c>
      <x:c r="T1992" s="12" t="str">
        <x:v>否</x:v>
      </x:c>
      <x:c r="U1992" s="12" t="str">
        <x:v>孙五星</x:v>
      </x:c>
      <x:c r="V1992" s="12" t="str">
        <x:v>2号车</x:v>
      </x:c>
      <x:c r="W1992" s="12" t="str">
        <x:v>秒级预测</x:v>
      </x:c>
      <x:c r="X1992" s="12" t="str">
        <x:v>基于路线秒级参数；如录入实测或手动采用秒，预计到达时间可随公式更新</x:v>
      </x:c>
    </x:row>
    <x:row r="1993">
      <x:c r="A1993" s="12" t="str">
        <x:v>S0173-02</x:v>
      </x:c>
      <x:c r="B1993" s="12" t="str">
        <x:v>S0173</x:v>
      </x:c>
      <x:c r="C1993" s="12" t="str">
        <x:v>周末/节假日</x:v>
      </x:c>
      <x:c r="D1993" s="12" t="str">
        <x:v>环线2路</x:v>
      </x:c>
      <x:c r="E1993" s="12" t="str">
        <x:v>第二班</x:v>
      </x:c>
      <x:c r="F1993" s="12" t="n">
        <x:v>4</x:v>
      </x:c>
      <x:c r="G1993" s="12" t="str">
        <x:v>21:50</x:v>
      </x:c>
      <x:c r="H1993" s="12" t="n">
        <x:v>1310</x:v>
      </x:c>
      <x:c r="I1993" s="12" t="str">
        <x:v>研究生宿舍楼</x:v>
      </x:c>
      <x:c r="J1993" s="12" t="str">
        <x:v>研究生宿舍楼发车</x:v>
      </x:c>
      <x:c r="K1993" s="12" t="str">
        <x:v>HX2_NORMAL</x:v>
      </x:c>
      <x:c r="L1993" s="12" t="n">
        <x:v>2</x:v>
      </x:c>
      <x:c r="M1993" s="12" t="str">
        <x:v>HX2_NORMAL|2</x:v>
      </x:c>
      <x:c r="N1993" s="12" t="str">
        <x:v>一食堂</x:v>
      </x:c>
      <x:c r="O1993" s="12" t="n">
        <x:f>IFERROR(INDEX('秒级路线参数_可调整'!$O:$O,MATCH(M1993,'秒级路线参数_可调整'!$A:$A,0)),"")</x:f>
        <x:v>65</x:v>
      </x:c>
      <x:c r="P1993" s="12" t="n">
        <x:f>IF(O1993="","",O1993/86400)</x:f>
        <x:v>0.0007523148148148148</x:v>
      </x:c>
      <x:c r="Q1993" s="12" t="n">
        <x:f>IF(O1993="","",(H1993*60+O1993)/86400)</x:f>
        <x:v>0.9104745370370371</x:v>
      </x:c>
      <x:c r="R1993" s="12" t="str">
        <x:f>IF(Q1993="","",TEXT(Q1993,"hh:mm:ss"))</x:f>
        <x:v>21:51:05</x:v>
      </x:c>
      <x:c r="S1993" s="12" t="str">
        <x:v>否</x:v>
      </x:c>
      <x:c r="T1993" s="12" t="str">
        <x:v>否</x:v>
      </x:c>
      <x:c r="U1993" s="12" t="str">
        <x:v>孙五星</x:v>
      </x:c>
      <x:c r="V1993" s="12" t="str">
        <x:v>2号车</x:v>
      </x:c>
      <x:c r="W1993" s="12" t="str">
        <x:v>秒级预测</x:v>
      </x:c>
      <x:c r="X1993" s="12" t="str">
        <x:v>基于路线秒级参数；如录入实测或手动采用秒，预计到达时间可随公式更新</x:v>
      </x:c>
    </x:row>
    <x:row r="1994">
      <x:c r="A1994" s="12" t="str">
        <x:v>S0173-03</x:v>
      </x:c>
      <x:c r="B1994" s="12" t="str">
        <x:v>S0173</x:v>
      </x:c>
      <x:c r="C1994" s="12" t="str">
        <x:v>周末/节假日</x:v>
      </x:c>
      <x:c r="D1994" s="12" t="str">
        <x:v>环线2路</x:v>
      </x:c>
      <x:c r="E1994" s="12" t="str">
        <x:v>第二班</x:v>
      </x:c>
      <x:c r="F1994" s="12" t="n">
        <x:v>4</x:v>
      </x:c>
      <x:c r="G1994" s="12" t="str">
        <x:v>21:50</x:v>
      </x:c>
      <x:c r="H1994" s="12" t="n">
        <x:v>1310</x:v>
      </x:c>
      <x:c r="I1994" s="12" t="str">
        <x:v>研究生宿舍楼</x:v>
      </x:c>
      <x:c r="J1994" s="12" t="str">
        <x:v>研究生宿舍楼发车</x:v>
      </x:c>
      <x:c r="K1994" s="12" t="str">
        <x:v>HX2_NORMAL</x:v>
      </x:c>
      <x:c r="L1994" s="12" t="n">
        <x:v>3</x:v>
      </x:c>
      <x:c r="M1994" s="12" t="str">
        <x:v>HX2_NORMAL|3</x:v>
      </x:c>
      <x:c r="N1994" s="12" t="str">
        <x:v>门诊部</x:v>
      </x:c>
      <x:c r="O1994" s="12" t="n">
        <x:f>IFERROR(INDEX('秒级路线参数_可调整'!$O:$O,MATCH(M1994,'秒级路线参数_可调整'!$A:$A,0)),"")</x:f>
        <x:v>120</x:v>
      </x:c>
      <x:c r="P1994" s="12" t="n">
        <x:f>IF(O1994="","",O1994/86400)</x:f>
        <x:v>0.001388888888888889</x:v>
      </x:c>
      <x:c r="Q1994" s="12" t="n">
        <x:f>IF(O1994="","",(H1994*60+O1994)/86400)</x:f>
        <x:v>0.9111111111111111</x:v>
      </x:c>
      <x:c r="R1994" s="12" t="str">
        <x:f>IF(Q1994="","",TEXT(Q1994,"hh:mm:ss"))</x:f>
        <x:v>21:52:00</x:v>
      </x:c>
      <x:c r="S1994" s="12" t="str">
        <x:v>否</x:v>
      </x:c>
      <x:c r="T1994" s="12" t="str">
        <x:v>否</x:v>
      </x:c>
      <x:c r="U1994" s="12" t="str">
        <x:v>孙五星</x:v>
      </x:c>
      <x:c r="V1994" s="12" t="str">
        <x:v>2号车</x:v>
      </x:c>
      <x:c r="W1994" s="12" t="str">
        <x:v>秒级预测</x:v>
      </x:c>
      <x:c r="X1994" s="12" t="str">
        <x:v>基于路线秒级参数；如录入实测或手动采用秒，预计到达时间可随公式更新</x:v>
      </x:c>
    </x:row>
    <x:row r="1995">
      <x:c r="A1995" s="12" t="str">
        <x:v>S0173-04</x:v>
      </x:c>
      <x:c r="B1995" s="12" t="str">
        <x:v>S0173</x:v>
      </x:c>
      <x:c r="C1995" s="12" t="str">
        <x:v>周末/节假日</x:v>
      </x:c>
      <x:c r="D1995" s="12" t="str">
        <x:v>环线2路</x:v>
      </x:c>
      <x:c r="E1995" s="12" t="str">
        <x:v>第二班</x:v>
      </x:c>
      <x:c r="F1995" s="12" t="n">
        <x:v>4</x:v>
      </x:c>
      <x:c r="G1995" s="12" t="str">
        <x:v>21:50</x:v>
      </x:c>
      <x:c r="H1995" s="12" t="n">
        <x:v>1310</x:v>
      </x:c>
      <x:c r="I1995" s="12" t="str">
        <x:v>研究生宿舍楼</x:v>
      </x:c>
      <x:c r="J1995" s="12" t="str">
        <x:v>研究生宿舍楼发车</x:v>
      </x:c>
      <x:c r="K1995" s="12" t="str">
        <x:v>HX2_NORMAL</x:v>
      </x:c>
      <x:c r="L1995" s="12" t="n">
        <x:v>4</x:v>
      </x:c>
      <x:c r="M1995" s="12" t="str">
        <x:v>HX2_NORMAL|4</x:v>
      </x:c>
      <x:c r="N1995" s="12" t="str">
        <x:v>1号宿舍楼</x:v>
      </x:c>
      <x:c r="O1995" s="12" t="n">
        <x:f>IFERROR(INDEX('秒级路线参数_可调整'!$O:$O,MATCH(M1995,'秒级路线参数_可调整'!$A:$A,0)),"")</x:f>
        <x:v>165</x:v>
      </x:c>
      <x:c r="P1995" s="12" t="n">
        <x:f>IF(O1995="","",O1995/86400)</x:f>
        <x:v>0.0019097222222222222</x:v>
      </x:c>
      <x:c r="Q1995" s="12" t="n">
        <x:f>IF(O1995="","",(H1995*60+O1995)/86400)</x:f>
        <x:v>0.9116319444444444</x:v>
      </x:c>
      <x:c r="R1995" s="12" t="str">
        <x:f>IF(Q1995="","",TEXT(Q1995,"hh:mm:ss"))</x:f>
        <x:v>21:52:45</x:v>
      </x:c>
      <x:c r="S1995" s="12" t="str">
        <x:v>否</x:v>
      </x:c>
      <x:c r="T1995" s="12" t="str">
        <x:v>否</x:v>
      </x:c>
      <x:c r="U1995" s="12" t="str">
        <x:v>孙五星</x:v>
      </x:c>
      <x:c r="V1995" s="12" t="str">
        <x:v>2号车</x:v>
      </x:c>
      <x:c r="W1995" s="12" t="str">
        <x:v>秒级预测</x:v>
      </x:c>
      <x:c r="X1995" s="12" t="str">
        <x:v>基于路线秒级参数；如录入实测或手动采用秒，预计到达时间可随公式更新</x:v>
      </x:c>
    </x:row>
    <x:row r="1996">
      <x:c r="A1996" s="12" t="str">
        <x:v>S0173-05</x:v>
      </x:c>
      <x:c r="B1996" s="12" t="str">
        <x:v>S0173</x:v>
      </x:c>
      <x:c r="C1996" s="12" t="str">
        <x:v>周末/节假日</x:v>
      </x:c>
      <x:c r="D1996" s="12" t="str">
        <x:v>环线2路</x:v>
      </x:c>
      <x:c r="E1996" s="12" t="str">
        <x:v>第二班</x:v>
      </x:c>
      <x:c r="F1996" s="12" t="n">
        <x:v>4</x:v>
      </x:c>
      <x:c r="G1996" s="12" t="str">
        <x:v>21:50</x:v>
      </x:c>
      <x:c r="H1996" s="12" t="n">
        <x:v>1310</x:v>
      </x:c>
      <x:c r="I1996" s="12" t="str">
        <x:v>研究生宿舍楼</x:v>
      </x:c>
      <x:c r="J1996" s="12" t="str">
        <x:v>研究生宿舍楼发车</x:v>
      </x:c>
      <x:c r="K1996" s="12" t="str">
        <x:v>HX2_NORMAL</x:v>
      </x:c>
      <x:c r="L1996" s="12" t="n">
        <x:v>5</x:v>
      </x:c>
      <x:c r="M1996" s="12" t="str">
        <x:v>HX2_NORMAL|5</x:v>
      </x:c>
      <x:c r="N1996" s="12" t="str">
        <x:v>水上训练中心</x:v>
      </x:c>
      <x:c r="O1996" s="12" t="n">
        <x:f>IFERROR(INDEX('秒级路线参数_可调整'!$O:$O,MATCH(M1996,'秒级路线参数_可调整'!$A:$A,0)),"")</x:f>
        <x:v>250</x:v>
      </x:c>
      <x:c r="P1996" s="12" t="n">
        <x:f>IF(O1996="","",O1996/86400)</x:f>
        <x:v>0.0028935185185185184</x:v>
      </x:c>
      <x:c r="Q1996" s="12" t="n">
        <x:f>IF(O1996="","",(H1996*60+O1996)/86400)</x:f>
        <x:v>0.9126157407407407</x:v>
      </x:c>
      <x:c r="R1996" s="12" t="str">
        <x:f>IF(Q1996="","",TEXT(Q1996,"hh:mm:ss"))</x:f>
        <x:v>21:54:10</x:v>
      </x:c>
      <x:c r="S1996" s="12" t="str">
        <x:v>否</x:v>
      </x:c>
      <x:c r="T1996" s="12" t="str">
        <x:v>否</x:v>
      </x:c>
      <x:c r="U1996" s="12" t="str">
        <x:v>孙五星</x:v>
      </x:c>
      <x:c r="V1996" s="12" t="str">
        <x:v>2号车</x:v>
      </x:c>
      <x:c r="W1996" s="12" t="str">
        <x:v>秒级预测</x:v>
      </x:c>
      <x:c r="X1996" s="12" t="str">
        <x:v>基于路线秒级参数；如录入实测或手动采用秒，预计到达时间可随公式更新</x:v>
      </x:c>
    </x:row>
    <x:row r="1997">
      <x:c r="A1997" s="12" t="str">
        <x:v>S0173-06</x:v>
      </x:c>
      <x:c r="B1997" s="12" t="str">
        <x:v>S0173</x:v>
      </x:c>
      <x:c r="C1997" s="12" t="str">
        <x:v>周末/节假日</x:v>
      </x:c>
      <x:c r="D1997" s="12" t="str">
        <x:v>环线2路</x:v>
      </x:c>
      <x:c r="E1997" s="12" t="str">
        <x:v>第二班</x:v>
      </x:c>
      <x:c r="F1997" s="12" t="n">
        <x:v>4</x:v>
      </x:c>
      <x:c r="G1997" s="12" t="str">
        <x:v>21:50</x:v>
      </x:c>
      <x:c r="H1997" s="12" t="n">
        <x:v>1310</x:v>
      </x:c>
      <x:c r="I1997" s="12" t="str">
        <x:v>研究生宿舍楼</x:v>
      </x:c>
      <x:c r="J1997" s="12" t="str">
        <x:v>研究生宿舍楼发车</x:v>
      </x:c>
      <x:c r="K1997" s="12" t="str">
        <x:v>HX2_NORMAL</x:v>
      </x:c>
      <x:c r="L1997" s="12" t="n">
        <x:v>6</x:v>
      </x:c>
      <x:c r="M1997" s="12" t="str">
        <x:v>HX2_NORMAL|6</x:v>
      </x:c>
      <x:c r="N1997" s="12" t="str">
        <x:v>军体活动中心</x:v>
      </x:c>
      <x:c r="O1997" s="12" t="n">
        <x:f>IFERROR(INDEX('秒级路线参数_可调整'!$O:$O,MATCH(M1997,'秒级路线参数_可调整'!$A:$A,0)),"")</x:f>
        <x:v>315</x:v>
      </x:c>
      <x:c r="P1997" s="12" t="n">
        <x:f>IF(O1997="","",O1997/86400)</x:f>
        <x:v>0.0036458333333333334</x:v>
      </x:c>
      <x:c r="Q1997" s="12" t="n">
        <x:f>IF(O1997="","",(H1997*60+O1997)/86400)</x:f>
        <x:v>0.9133680555555556</x:v>
      </x:c>
      <x:c r="R1997" s="12" t="str">
        <x:f>IF(Q1997="","",TEXT(Q1997,"hh:mm:ss"))</x:f>
        <x:v>21:55:15</x:v>
      </x:c>
      <x:c r="S1997" s="12" t="str">
        <x:v>否</x:v>
      </x:c>
      <x:c r="T1997" s="12" t="str">
        <x:v>否</x:v>
      </x:c>
      <x:c r="U1997" s="12" t="str">
        <x:v>孙五星</x:v>
      </x:c>
      <x:c r="V1997" s="12" t="str">
        <x:v>2号车</x:v>
      </x:c>
      <x:c r="W1997" s="12" t="str">
        <x:v>秒级预测</x:v>
      </x:c>
      <x:c r="X1997" s="12" t="str">
        <x:v>基于路线秒级参数；如录入实测或手动采用秒，预计到达时间可随公式更新</x:v>
      </x:c>
    </x:row>
    <x:row r="1998">
      <x:c r="A1998" s="12" t="str">
        <x:v>S0173-07</x:v>
      </x:c>
      <x:c r="B1998" s="12" t="str">
        <x:v>S0173</x:v>
      </x:c>
      <x:c r="C1998" s="12" t="str">
        <x:v>周末/节假日</x:v>
      </x:c>
      <x:c r="D1998" s="12" t="str">
        <x:v>环线2路</x:v>
      </x:c>
      <x:c r="E1998" s="12" t="str">
        <x:v>第二班</x:v>
      </x:c>
      <x:c r="F1998" s="12" t="n">
        <x:v>4</x:v>
      </x:c>
      <x:c r="G1998" s="12" t="str">
        <x:v>21:50</x:v>
      </x:c>
      <x:c r="H1998" s="12" t="n">
        <x:v>1310</x:v>
      </x:c>
      <x:c r="I1998" s="12" t="str">
        <x:v>研究生宿舍楼</x:v>
      </x:c>
      <x:c r="J1998" s="12" t="str">
        <x:v>研究生宿舍楼发车</x:v>
      </x:c>
      <x:c r="K1998" s="12" t="str">
        <x:v>HX2_NORMAL</x:v>
      </x:c>
      <x:c r="L1998" s="12" t="n">
        <x:v>7</x:v>
      </x:c>
      <x:c r="M1998" s="12" t="str">
        <x:v>HX2_NORMAL|7</x:v>
      </x:c>
      <x:c r="N1998" s="12" t="str">
        <x:v>二食堂</x:v>
      </x:c>
      <x:c r="O1998" s="12" t="n">
        <x:f>IFERROR(INDEX('秒级路线参数_可调整'!$O:$O,MATCH(M1998,'秒级路线参数_可调整'!$A:$A,0)),"")</x:f>
        <x:v>420</x:v>
      </x:c>
      <x:c r="P1998" s="12" t="n">
        <x:f>IF(O1998="","",O1998/86400)</x:f>
        <x:v>0.004861111111111111</x:v>
      </x:c>
      <x:c r="Q1998" s="12" t="n">
        <x:f>IF(O1998="","",(H1998*60+O1998)/86400)</x:f>
        <x:v>0.9145833333333333</x:v>
      </x:c>
      <x:c r="R1998" s="12" t="str">
        <x:f>IF(Q1998="","",TEXT(Q1998,"hh:mm:ss"))</x:f>
        <x:v>21:57:00</x:v>
      </x:c>
      <x:c r="S1998" s="12" t="str">
        <x:v>否</x:v>
      </x:c>
      <x:c r="T1998" s="12" t="str">
        <x:v>否</x:v>
      </x:c>
      <x:c r="U1998" s="12" t="str">
        <x:v>孙五星</x:v>
      </x:c>
      <x:c r="V1998" s="12" t="str">
        <x:v>2号车</x:v>
      </x:c>
      <x:c r="W1998" s="12" t="str">
        <x:v>秒级预测</x:v>
      </x:c>
      <x:c r="X1998" s="12" t="str">
        <x:v>基于路线秒级参数；如录入实测或手动采用秒，预计到达时间可随公式更新</x:v>
      </x:c>
    </x:row>
    <x:row r="1999">
      <x:c r="A1999" s="12" t="str">
        <x:v>S0173-08</x:v>
      </x:c>
      <x:c r="B1999" s="12" t="str">
        <x:v>S0173</x:v>
      </x:c>
      <x:c r="C1999" s="12" t="str">
        <x:v>周末/节假日</x:v>
      </x:c>
      <x:c r="D1999" s="12" t="str">
        <x:v>环线2路</x:v>
      </x:c>
      <x:c r="E1999" s="12" t="str">
        <x:v>第二班</x:v>
      </x:c>
      <x:c r="F1999" s="12" t="n">
        <x:v>4</x:v>
      </x:c>
      <x:c r="G1999" s="12" t="str">
        <x:v>21:50</x:v>
      </x:c>
      <x:c r="H1999" s="12" t="n">
        <x:v>1310</x:v>
      </x:c>
      <x:c r="I1999" s="12" t="str">
        <x:v>研究生宿舍楼</x:v>
      </x:c>
      <x:c r="J1999" s="12" t="str">
        <x:v>研究生宿舍楼发车</x:v>
      </x:c>
      <x:c r="K1999" s="12" t="str">
        <x:v>HX2_NORMAL</x:v>
      </x:c>
      <x:c r="L1999" s="12" t="n">
        <x:v>8</x:v>
      </x:c>
      <x:c r="M1999" s="12" t="str">
        <x:v>HX2_NORMAL|8</x:v>
      </x:c>
      <x:c r="N1999" s="12" t="str">
        <x:v>5号宿舍楼</x:v>
      </x:c>
      <x:c r="O1999" s="12" t="n">
        <x:f>IFERROR(INDEX('秒级路线参数_可调整'!$O:$O,MATCH(M1999,'秒级路线参数_可调整'!$A:$A,0)),"")</x:f>
        <x:v>480</x:v>
      </x:c>
      <x:c r="P1999" s="12" t="n">
        <x:f>IF(O1999="","",O1999/86400)</x:f>
        <x:v>0.005555555555555556</x:v>
      </x:c>
      <x:c r="Q1999" s="12" t="n">
        <x:f>IF(O1999="","",(H1999*60+O1999)/86400)</x:f>
        <x:v>0.9152777777777777</x:v>
      </x:c>
      <x:c r="R1999" s="12" t="str">
        <x:f>IF(Q1999="","",TEXT(Q1999,"hh:mm:ss"))</x:f>
        <x:v>21:58:00</x:v>
      </x:c>
      <x:c r="S1999" s="12" t="str">
        <x:v>否</x:v>
      </x:c>
      <x:c r="T1999" s="12" t="str">
        <x:v>否</x:v>
      </x:c>
      <x:c r="U1999" s="12" t="str">
        <x:v>孙五星</x:v>
      </x:c>
      <x:c r="V1999" s="12" t="str">
        <x:v>2号车</x:v>
      </x:c>
      <x:c r="W1999" s="12" t="str">
        <x:v>秒级预测</x:v>
      </x:c>
      <x:c r="X1999" s="12" t="str">
        <x:v>基于路线秒级参数；如录入实测或手动采用秒，预计到达时间可随公式更新</x:v>
      </x:c>
    </x:row>
    <x:row r="2000">
      <x:c r="A2000" s="12" t="str">
        <x:v>S0173-09</x:v>
      </x:c>
      <x:c r="B2000" s="12" t="str">
        <x:v>S0173</x:v>
      </x:c>
      <x:c r="C2000" s="12" t="str">
        <x:v>周末/节假日</x:v>
      </x:c>
      <x:c r="D2000" s="12" t="str">
        <x:v>环线2路</x:v>
      </x:c>
      <x:c r="E2000" s="12" t="str">
        <x:v>第二班</x:v>
      </x:c>
      <x:c r="F2000" s="12" t="n">
        <x:v>4</x:v>
      </x:c>
      <x:c r="G2000" s="12" t="str">
        <x:v>21:50</x:v>
      </x:c>
      <x:c r="H2000" s="12" t="n">
        <x:v>1310</x:v>
      </x:c>
      <x:c r="I2000" s="12" t="str">
        <x:v>研究生宿舍楼</x:v>
      </x:c>
      <x:c r="J2000" s="12" t="str">
        <x:v>研究生宿舍楼发车</x:v>
      </x:c>
      <x:c r="K2000" s="12" t="str">
        <x:v>HX2_NORMAL</x:v>
      </x:c>
      <x:c r="L2000" s="12" t="n">
        <x:v>9</x:v>
      </x:c>
      <x:c r="M2000" s="12" t="str">
        <x:v>HX2_NORMAL|9</x:v>
      </x:c>
      <x:c r="N2000" s="12" t="str">
        <x:v>305教学楼</x:v>
      </x:c>
      <x:c r="O2000" s="12" t="n">
        <x:f>IFERROR(INDEX('秒级路线参数_可调整'!$O:$O,MATCH(M2000,'秒级路线参数_可调整'!$A:$A,0)),"")</x:f>
        <x:v>535</x:v>
      </x:c>
      <x:c r="P2000" s="12" t="n">
        <x:f>IF(O2000="","",O2000/86400)</x:f>
        <x:v>0.00619212962962963</x:v>
      </x:c>
      <x:c r="Q2000" s="12" t="n">
        <x:f>IF(O2000="","",(H2000*60+O2000)/86400)</x:f>
        <x:v>0.9159143518518519</x:v>
      </x:c>
      <x:c r="R2000" s="12" t="str">
        <x:f>IF(Q2000="","",TEXT(Q2000,"hh:mm:ss"))</x:f>
        <x:v>21:58:55</x:v>
      </x:c>
      <x:c r="S2000" s="12" t="str">
        <x:v>否</x:v>
      </x:c>
      <x:c r="T2000" s="12" t="str">
        <x:v>否</x:v>
      </x:c>
      <x:c r="U2000" s="12" t="str">
        <x:v>孙五星</x:v>
      </x:c>
      <x:c r="V2000" s="12" t="str">
        <x:v>2号车</x:v>
      </x:c>
      <x:c r="W2000" s="12" t="str">
        <x:v>秒级预测</x:v>
      </x:c>
      <x:c r="X2000" s="12" t="str">
        <x:v>基于路线秒级参数；如录入实测或手动采用秒，预计到达时间可随公式更新</x:v>
      </x:c>
    </x:row>
    <x:row r="2001">
      <x:c r="A2001" s="12" t="str">
        <x:v>S0173-10</x:v>
      </x:c>
      <x:c r="B2001" s="12" t="str">
        <x:v>S0173</x:v>
      </x:c>
      <x:c r="C2001" s="12" t="str">
        <x:v>周末/节假日</x:v>
      </x:c>
      <x:c r="D2001" s="12" t="str">
        <x:v>环线2路</x:v>
      </x:c>
      <x:c r="E2001" s="12" t="str">
        <x:v>第二班</x:v>
      </x:c>
      <x:c r="F2001" s="12" t="n">
        <x:v>4</x:v>
      </x:c>
      <x:c r="G2001" s="12" t="str">
        <x:v>21:50</x:v>
      </x:c>
      <x:c r="H2001" s="12" t="n">
        <x:v>1310</x:v>
      </x:c>
      <x:c r="I2001" s="12" t="str">
        <x:v>研究生宿舍楼</x:v>
      </x:c>
      <x:c r="J2001" s="12" t="str">
        <x:v>研究生宿舍楼发车</x:v>
      </x:c>
      <x:c r="K2001" s="12" t="str">
        <x:v>HX2_NORMAL</x:v>
      </x:c>
      <x:c r="L2001" s="12" t="n">
        <x:v>10</x:v>
      </x:c>
      <x:c r="M2001" s="12" t="str">
        <x:v>HX2_NORMAL|10</x:v>
      </x:c>
      <x:c r="N2001" s="12" t="str">
        <x:v>研究生宿舍楼</x:v>
      </x:c>
      <x:c r="O2001" s="12" t="n">
        <x:f>IFERROR(INDEX('秒级路线参数_可调整'!$O:$O,MATCH(M2001,'秒级路线参数_可调整'!$A:$A,0)),"")</x:f>
        <x:v>715</x:v>
      </x:c>
      <x:c r="P2001" s="12" t="n">
        <x:f>IF(O2001="","",O2001/86400)</x:f>
        <x:v>0.008275462962962964</x:v>
      </x:c>
      <x:c r="Q2001" s="12" t="n">
        <x:f>IF(O2001="","",(H2001*60+O2001)/86400)</x:f>
        <x:v>0.9179976851851852</x:v>
      </x:c>
      <x:c r="R2001" s="12" t="str">
        <x:f>IF(Q2001="","",TEXT(Q2001,"hh:mm:ss"))</x:f>
        <x:v>22:01:55</x:v>
      </x:c>
      <x:c r="S2001" s="12" t="str">
        <x:v>否</x:v>
      </x:c>
      <x:c r="T2001" s="12" t="str">
        <x:v>是</x:v>
      </x:c>
      <x:c r="U2001" s="12" t="str">
        <x:v>孙五星</x:v>
      </x:c>
      <x:c r="V2001" s="12" t="str">
        <x:v>2号车</x:v>
      </x:c>
      <x:c r="W2001" s="12" t="str">
        <x:v>秒级预测</x:v>
      </x:c>
      <x:c r="X2001" s="12" t="str">
        <x:v>基于路线秒级参数；如录入实测或手动采用秒，预计到达时间可随公式更新</x:v>
      </x:c>
    </x:row>
    <x:row r="2002">
      <x:c r="A2002" s="12" t="str">
        <x:v>S0174-01</x:v>
      </x:c>
      <x:c r="B2002" s="12" t="str">
        <x:v>S0174</x:v>
      </x:c>
      <x:c r="C2002" s="12" t="str">
        <x:v>周末/节假日</x:v>
      </x:c>
      <x:c r="D2002" s="12" t="str">
        <x:v>环线3路</x:v>
      </x:c>
      <x:c r="E2002" s="12" t="str">
        <x:v>第一班</x:v>
      </x:c>
      <x:c r="F2002" s="12" t="n">
        <x:v>1</x:v>
      </x:c>
      <x:c r="G2002" s="12" t="str">
        <x:v>8:15</x:v>
      </x:c>
      <x:c r="H2002" s="12" t="n">
        <x:v>495</x:v>
      </x:c>
      <x:c r="I2002" s="12" t="str">
        <x:v>研究生宿舍楼</x:v>
      </x:c>
      <x:c r="J2002" s="12" t="str">
        <x:v>研究生宿舍楼发车</x:v>
      </x:c>
      <x:c r="K2002" s="12" t="str">
        <x:v>HX3_NORMAL</x:v>
      </x:c>
      <x:c r="L2002" s="12" t="n">
        <x:v>1</x:v>
      </x:c>
      <x:c r="M2002" s="12" t="str">
        <x:v>HX3_NORMAL|1</x:v>
      </x:c>
      <x:c r="N2002" s="12" t="str">
        <x:v>研究生宿舍楼</x:v>
      </x:c>
      <x:c r="O2002" s="12" t="n">
        <x:f>IFERROR(INDEX('秒级路线参数_可调整'!$O:$O,MATCH(M2002,'秒级路线参数_可调整'!$A:$A,0)),"")</x:f>
        <x:v>0</x:v>
      </x:c>
      <x:c r="P2002" s="12" t="str">
        <x:f>IF(O2002="","",O2002/86400)</x:f>
      </x:c>
      <x:c r="Q2002" s="12" t="str">
        <x:f>IF(O2002="","",(H2002*60+O2002)/86400)</x:f>
      </x:c>
      <x:c r="R2002" s="12" t="str">
        <x:f>IF(Q2002="","",TEXT(Q2002,"hh:mm:ss"))</x:f>
      </x:c>
      <x:c r="S2002" s="12" t="str">
        <x:v>是</x:v>
      </x:c>
      <x:c r="T2002" s="12" t="str">
        <x:v>否</x:v>
      </x:c>
      <x:c r="U2002" s="12" t="str">
        <x:v>孙五星</x:v>
      </x:c>
      <x:c r="V2002" s="12" t="str">
        <x:v>3号车</x:v>
      </x:c>
      <x:c r="W2002" s="12" t="str">
        <x:v>秒级预测</x:v>
      </x:c>
      <x:c r="X2002" s="12" t="str">
        <x:v>基于路线秒级参数；如录入实测或手动采用秒，预计到达时间可随公式更新</x:v>
      </x:c>
    </x:row>
    <x:row r="2003">
      <x:c r="A2003" s="12" t="str">
        <x:v>S0174-02</x:v>
      </x:c>
      <x:c r="B2003" s="12" t="str">
        <x:v>S0174</x:v>
      </x:c>
      <x:c r="C2003" s="12" t="str">
        <x:v>周末/节假日</x:v>
      </x:c>
      <x:c r="D2003" s="12" t="str">
        <x:v>环线3路</x:v>
      </x:c>
      <x:c r="E2003" s="12" t="str">
        <x:v>第一班</x:v>
      </x:c>
      <x:c r="F2003" s="12" t="n">
        <x:v>1</x:v>
      </x:c>
      <x:c r="G2003" s="12" t="str">
        <x:v>8:15</x:v>
      </x:c>
      <x:c r="H2003" s="12" t="n">
        <x:v>495</x:v>
      </x:c>
      <x:c r="I2003" s="12" t="str">
        <x:v>研究生宿舍楼</x:v>
      </x:c>
      <x:c r="J2003" s="12" t="str">
        <x:v>研究生宿舍楼发车</x:v>
      </x:c>
      <x:c r="K2003" s="12" t="str">
        <x:v>HX3_NORMAL</x:v>
      </x:c>
      <x:c r="L2003" s="12" t="n">
        <x:v>2</x:v>
      </x:c>
      <x:c r="M2003" s="12" t="str">
        <x:v>HX3_NORMAL|2</x:v>
      </x:c>
      <x:c r="N2003" s="12" t="str">
        <x:v>一食堂</x:v>
      </x:c>
      <x:c r="O2003" s="12" t="n">
        <x:f>IFERROR(INDEX('秒级路线参数_可调整'!$O:$O,MATCH(M2003,'秒级路线参数_可调整'!$A:$A,0)),"")</x:f>
        <x:v>65</x:v>
      </x:c>
      <x:c r="P2003" s="12" t="n">
        <x:f>IF(O2003="","",O2003/86400)</x:f>
        <x:v>0.0007523148148148148</x:v>
      </x:c>
      <x:c r="Q2003" s="12" t="n">
        <x:f>IF(O2003="","",(H2003*60+O2003)/86400)</x:f>
        <x:v>0.3445023148148148</x:v>
      </x:c>
      <x:c r="R2003" s="12" t="str">
        <x:f>IF(Q2003="","",TEXT(Q2003,"hh:mm:ss"))</x:f>
        <x:v>08:16:05</x:v>
      </x:c>
      <x:c r="S2003" s="12" t="str">
        <x:v>否</x:v>
      </x:c>
      <x:c r="T2003" s="12" t="str">
        <x:v>否</x:v>
      </x:c>
      <x:c r="U2003" s="12" t="str">
        <x:v>孙五星</x:v>
      </x:c>
      <x:c r="V2003" s="12" t="str">
        <x:v>3号车</x:v>
      </x:c>
      <x:c r="W2003" s="12" t="str">
        <x:v>秒级预测</x:v>
      </x:c>
      <x:c r="X2003" s="12" t="str">
        <x:v>基于路线秒级参数；如录入实测或手动采用秒，预计到达时间可随公式更新</x:v>
      </x:c>
    </x:row>
    <x:row r="2004">
      <x:c r="A2004" s="12" t="str">
        <x:v>S0174-03</x:v>
      </x:c>
      <x:c r="B2004" s="12" t="str">
        <x:v>S0174</x:v>
      </x:c>
      <x:c r="C2004" s="12" t="str">
        <x:v>周末/节假日</x:v>
      </x:c>
      <x:c r="D2004" s="12" t="str">
        <x:v>环线3路</x:v>
      </x:c>
      <x:c r="E2004" s="12" t="str">
        <x:v>第一班</x:v>
      </x:c>
      <x:c r="F2004" s="12" t="n">
        <x:v>1</x:v>
      </x:c>
      <x:c r="G2004" s="12" t="str">
        <x:v>8:15</x:v>
      </x:c>
      <x:c r="H2004" s="12" t="n">
        <x:v>495</x:v>
      </x:c>
      <x:c r="I2004" s="12" t="str">
        <x:v>研究生宿舍楼</x:v>
      </x:c>
      <x:c r="J2004" s="12" t="str">
        <x:v>研究生宿舍楼发车</x:v>
      </x:c>
      <x:c r="K2004" s="12" t="str">
        <x:v>HX3_NORMAL</x:v>
      </x:c>
      <x:c r="L2004" s="12" t="n">
        <x:v>3</x:v>
      </x:c>
      <x:c r="M2004" s="12" t="str">
        <x:v>HX3_NORMAL|3</x:v>
      </x:c>
      <x:c r="N2004" s="12" t="str">
        <x:v>2号宿舍楼</x:v>
      </x:c>
      <x:c r="O2004" s="12" t="n">
        <x:f>IFERROR(INDEX('秒级路线参数_可调整'!$O:$O,MATCH(M2004,'秒级路线参数_可调整'!$A:$A,0)),"")</x:f>
        <x:v>120</x:v>
      </x:c>
      <x:c r="P2004" s="12" t="n">
        <x:f>IF(O2004="","",O2004/86400)</x:f>
        <x:v>0.001388888888888889</x:v>
      </x:c>
      <x:c r="Q2004" s="12" t="n">
        <x:f>IF(O2004="","",(H2004*60+O2004)/86400)</x:f>
        <x:v>0.3451388888888889</x:v>
      </x:c>
      <x:c r="R2004" s="12" t="str">
        <x:f>IF(Q2004="","",TEXT(Q2004,"hh:mm:ss"))</x:f>
        <x:v>08:17:00</x:v>
      </x:c>
      <x:c r="S2004" s="12" t="str">
        <x:v>否</x:v>
      </x:c>
      <x:c r="T2004" s="12" t="str">
        <x:v>否</x:v>
      </x:c>
      <x:c r="U2004" s="12" t="str">
        <x:v>孙五星</x:v>
      </x:c>
      <x:c r="V2004" s="12" t="str">
        <x:v>3号车</x:v>
      </x:c>
      <x:c r="W2004" s="12" t="str">
        <x:v>秒级预测</x:v>
      </x:c>
      <x:c r="X2004" s="12" t="str">
        <x:v>基于路线秒级参数；如录入实测或手动采用秒，预计到达时间可随公式更新</x:v>
      </x:c>
    </x:row>
    <x:row r="2005">
      <x:c r="A2005" s="12" t="str">
        <x:v>S0174-04</x:v>
      </x:c>
      <x:c r="B2005" s="12" t="str">
        <x:v>S0174</x:v>
      </x:c>
      <x:c r="C2005" s="12" t="str">
        <x:v>周末/节假日</x:v>
      </x:c>
      <x:c r="D2005" s="12" t="str">
        <x:v>环线3路</x:v>
      </x:c>
      <x:c r="E2005" s="12" t="str">
        <x:v>第一班</x:v>
      </x:c>
      <x:c r="F2005" s="12" t="n">
        <x:v>1</x:v>
      </x:c>
      <x:c r="G2005" s="12" t="str">
        <x:v>8:15</x:v>
      </x:c>
      <x:c r="H2005" s="12" t="n">
        <x:v>495</x:v>
      </x:c>
      <x:c r="I2005" s="12" t="str">
        <x:v>研究生宿舍楼</x:v>
      </x:c>
      <x:c r="J2005" s="12" t="str">
        <x:v>研究生宿舍楼发车</x:v>
      </x:c>
      <x:c r="K2005" s="12" t="str">
        <x:v>HX3_NORMAL</x:v>
      </x:c>
      <x:c r="L2005" s="12" t="n">
        <x:v>4</x:v>
      </x:c>
      <x:c r="M2005" s="12" t="str">
        <x:v>HX3_NORMAL|4</x:v>
      </x:c>
      <x:c r="N2005" s="12" t="str">
        <x:v>军体活动中心</x:v>
      </x:c>
      <x:c r="O2005" s="12" t="n">
        <x:f>IFERROR(INDEX('秒级路线参数_可调整'!$O:$O,MATCH(M2005,'秒级路线参数_可调整'!$A:$A,0)),"")</x:f>
        <x:v>165</x:v>
      </x:c>
      <x:c r="P2005" s="12" t="n">
        <x:f>IF(O2005="","",O2005/86400)</x:f>
        <x:v>0.0019097222222222222</x:v>
      </x:c>
      <x:c r="Q2005" s="12" t="n">
        <x:f>IF(O2005="","",(H2005*60+O2005)/86400)</x:f>
        <x:v>0.34565972222222224</x:v>
      </x:c>
      <x:c r="R2005" s="12" t="str">
        <x:f>IF(Q2005="","",TEXT(Q2005,"hh:mm:ss"))</x:f>
        <x:v>08:17:45</x:v>
      </x:c>
      <x:c r="S2005" s="12" t="str">
        <x:v>否</x:v>
      </x:c>
      <x:c r="T2005" s="12" t="str">
        <x:v>否</x:v>
      </x:c>
      <x:c r="U2005" s="12" t="str">
        <x:v>孙五星</x:v>
      </x:c>
      <x:c r="V2005" s="12" t="str">
        <x:v>3号车</x:v>
      </x:c>
      <x:c r="W2005" s="12" t="str">
        <x:v>秒级预测</x:v>
      </x:c>
      <x:c r="X2005" s="12" t="str">
        <x:v>基于路线秒级参数；如录入实测或手动采用秒，预计到达时间可随公式更新</x:v>
      </x:c>
    </x:row>
    <x:row r="2006">
      <x:c r="A2006" s="12" t="str">
        <x:v>S0174-05</x:v>
      </x:c>
      <x:c r="B2006" s="12" t="str">
        <x:v>S0174</x:v>
      </x:c>
      <x:c r="C2006" s="12" t="str">
        <x:v>周末/节假日</x:v>
      </x:c>
      <x:c r="D2006" s="12" t="str">
        <x:v>环线3路</x:v>
      </x:c>
      <x:c r="E2006" s="12" t="str">
        <x:v>第一班</x:v>
      </x:c>
      <x:c r="F2006" s="12" t="n">
        <x:v>1</x:v>
      </x:c>
      <x:c r="G2006" s="12" t="str">
        <x:v>8:15</x:v>
      </x:c>
      <x:c r="H2006" s="12" t="n">
        <x:v>495</x:v>
      </x:c>
      <x:c r="I2006" s="12" t="str">
        <x:v>研究生宿舍楼</x:v>
      </x:c>
      <x:c r="J2006" s="12" t="str">
        <x:v>研究生宿舍楼发车</x:v>
      </x:c>
      <x:c r="K2006" s="12" t="str">
        <x:v>HX3_NORMAL</x:v>
      </x:c>
      <x:c r="L2006" s="12" t="n">
        <x:v>5</x:v>
      </x:c>
      <x:c r="M2006" s="12" t="str">
        <x:v>HX3_NORMAL|5</x:v>
      </x:c>
      <x:c r="N2006" s="12" t="str">
        <x:v>教勤连</x:v>
      </x:c>
      <x:c r="O2006" s="12" t="n">
        <x:f>IFERROR(INDEX('秒级路线参数_可调整'!$O:$O,MATCH(M2006,'秒级路线参数_可调整'!$A:$A,0)),"")</x:f>
        <x:v>250</x:v>
      </x:c>
      <x:c r="P2006" s="12" t="n">
        <x:f>IF(O2006="","",O2006/86400)</x:f>
        <x:v>0.0028935185185185184</x:v>
      </x:c>
      <x:c r="Q2006" s="12" t="n">
        <x:f>IF(O2006="","",(H2006*60+O2006)/86400)</x:f>
        <x:v>0.34664351851851855</x:v>
      </x:c>
      <x:c r="R2006" s="12" t="str">
        <x:f>IF(Q2006="","",TEXT(Q2006,"hh:mm:ss"))</x:f>
        <x:v>08:19:10</x:v>
      </x:c>
      <x:c r="S2006" s="12" t="str">
        <x:v>否</x:v>
      </x:c>
      <x:c r="T2006" s="12" t="str">
        <x:v>否</x:v>
      </x:c>
      <x:c r="U2006" s="12" t="str">
        <x:v>孙五星</x:v>
      </x:c>
      <x:c r="V2006" s="12" t="str">
        <x:v>3号车</x:v>
      </x:c>
      <x:c r="W2006" s="12" t="str">
        <x:v>秒级预测</x:v>
      </x:c>
      <x:c r="X2006" s="12" t="str">
        <x:v>基于路线秒级参数；如录入实测或手动采用秒，预计到达时间可随公式更新</x:v>
      </x:c>
    </x:row>
    <x:row r="2007">
      <x:c r="A2007" s="12" t="str">
        <x:v>S0174-06</x:v>
      </x:c>
      <x:c r="B2007" s="12" t="str">
        <x:v>S0174</x:v>
      </x:c>
      <x:c r="C2007" s="12" t="str">
        <x:v>周末/节假日</x:v>
      </x:c>
      <x:c r="D2007" s="12" t="str">
        <x:v>环线3路</x:v>
      </x:c>
      <x:c r="E2007" s="12" t="str">
        <x:v>第一班</x:v>
      </x:c>
      <x:c r="F2007" s="12" t="n">
        <x:v>1</x:v>
      </x:c>
      <x:c r="G2007" s="12" t="str">
        <x:v>8:15</x:v>
      </x:c>
      <x:c r="H2007" s="12" t="n">
        <x:v>495</x:v>
      </x:c>
      <x:c r="I2007" s="12" t="str">
        <x:v>研究生宿舍楼</x:v>
      </x:c>
      <x:c r="J2007" s="12" t="str">
        <x:v>研究生宿舍楼发车</x:v>
      </x:c>
      <x:c r="K2007" s="12" t="str">
        <x:v>HX3_NORMAL</x:v>
      </x:c>
      <x:c r="L2007" s="12" t="n">
        <x:v>6</x:v>
      </x:c>
      <x:c r="M2007" s="12" t="str">
        <x:v>HX3_NORMAL|6</x:v>
      </x:c>
      <x:c r="N2007" s="12" t="str">
        <x:v>激光所</x:v>
      </x:c>
      <x:c r="O2007" s="12" t="n">
        <x:f>IFERROR(INDEX('秒级路线参数_可调整'!$O:$O,MATCH(M2007,'秒级路线参数_可调整'!$A:$A,0)),"")</x:f>
        <x:v>315</x:v>
      </x:c>
      <x:c r="P2007" s="12" t="n">
        <x:f>IF(O2007="","",O2007/86400)</x:f>
        <x:v>0.0036458333333333334</x:v>
      </x:c>
      <x:c r="Q2007" s="12" t="n">
        <x:f>IF(O2007="","",(H2007*60+O2007)/86400)</x:f>
        <x:v>0.34739583333333335</x:v>
      </x:c>
      <x:c r="R2007" s="12" t="str">
        <x:f>IF(Q2007="","",TEXT(Q2007,"hh:mm:ss"))</x:f>
        <x:v>08:20:15</x:v>
      </x:c>
      <x:c r="S2007" s="12" t="str">
        <x:v>否</x:v>
      </x:c>
      <x:c r="T2007" s="12" t="str">
        <x:v>否</x:v>
      </x:c>
      <x:c r="U2007" s="12" t="str">
        <x:v>孙五星</x:v>
      </x:c>
      <x:c r="V2007" s="12" t="str">
        <x:v>3号车</x:v>
      </x:c>
      <x:c r="W2007" s="12" t="str">
        <x:v>秒级预测</x:v>
      </x:c>
      <x:c r="X2007" s="12" t="str">
        <x:v>基于路线秒级参数；如录入实测或手动采用秒，预计到达时间可随公式更新</x:v>
      </x:c>
    </x:row>
    <x:row r="2008">
      <x:c r="A2008" s="12" t="str">
        <x:v>S0174-07</x:v>
      </x:c>
      <x:c r="B2008" s="12" t="str">
        <x:v>S0174</x:v>
      </x:c>
      <x:c r="C2008" s="12" t="str">
        <x:v>周末/节假日</x:v>
      </x:c>
      <x:c r="D2008" s="12" t="str">
        <x:v>环线3路</x:v>
      </x:c>
      <x:c r="E2008" s="12" t="str">
        <x:v>第一班</x:v>
      </x:c>
      <x:c r="F2008" s="12" t="n">
        <x:v>1</x:v>
      </x:c>
      <x:c r="G2008" s="12" t="str">
        <x:v>8:15</x:v>
      </x:c>
      <x:c r="H2008" s="12" t="n">
        <x:v>495</x:v>
      </x:c>
      <x:c r="I2008" s="12" t="str">
        <x:v>研究生宿舍楼</x:v>
      </x:c>
      <x:c r="J2008" s="12" t="str">
        <x:v>研究生宿舍楼发车</x:v>
      </x:c>
      <x:c r="K2008" s="12" t="str">
        <x:v>HX3_NORMAL</x:v>
      </x:c>
      <x:c r="L2008" s="12" t="n">
        <x:v>7</x:v>
      </x:c>
      <x:c r="M2008" s="12" t="str">
        <x:v>HX3_NORMAL|7</x:v>
      </x:c>
      <x:c r="N2008" s="12" t="str">
        <x:v>高超楼</x:v>
      </x:c>
      <x:c r="O2008" s="12" t="n">
        <x:f>IFERROR(INDEX('秒级路线参数_可调整'!$O:$O,MATCH(M2008,'秒级路线参数_可调整'!$A:$A,0)),"")</x:f>
        <x:v>420</x:v>
      </x:c>
      <x:c r="P2008" s="12" t="n">
        <x:f>IF(O2008="","",O2008/86400)</x:f>
        <x:v>0.004861111111111111</x:v>
      </x:c>
      <x:c r="Q2008" s="12" t="n">
        <x:f>IF(O2008="","",(H2008*60+O2008)/86400)</x:f>
        <x:v>0.3486111111111111</x:v>
      </x:c>
      <x:c r="R2008" s="12" t="str">
        <x:f>IF(Q2008="","",TEXT(Q2008,"hh:mm:ss"))</x:f>
        <x:v>08:22:00</x:v>
      </x:c>
      <x:c r="S2008" s="12" t="str">
        <x:v>否</x:v>
      </x:c>
      <x:c r="T2008" s="12" t="str">
        <x:v>否</x:v>
      </x:c>
      <x:c r="U2008" s="12" t="str">
        <x:v>孙五星</x:v>
      </x:c>
      <x:c r="V2008" s="12" t="str">
        <x:v>3号车</x:v>
      </x:c>
      <x:c r="W2008" s="12" t="str">
        <x:v>秒级预测</x:v>
      </x:c>
      <x:c r="X2008" s="12" t="str">
        <x:v>基于路线秒级参数；如录入实测或手动采用秒，预计到达时间可随公式更新</x:v>
      </x:c>
    </x:row>
    <x:row r="2009">
      <x:c r="A2009" s="12" t="str">
        <x:v>S0174-08</x:v>
      </x:c>
      <x:c r="B2009" s="12" t="str">
        <x:v>S0174</x:v>
      </x:c>
      <x:c r="C2009" s="12" t="str">
        <x:v>周末/节假日</x:v>
      </x:c>
      <x:c r="D2009" s="12" t="str">
        <x:v>环线3路</x:v>
      </x:c>
      <x:c r="E2009" s="12" t="str">
        <x:v>第一班</x:v>
      </x:c>
      <x:c r="F2009" s="12" t="n">
        <x:v>1</x:v>
      </x:c>
      <x:c r="G2009" s="12" t="str">
        <x:v>8:15</x:v>
      </x:c>
      <x:c r="H2009" s="12" t="n">
        <x:v>495</x:v>
      </x:c>
      <x:c r="I2009" s="12" t="str">
        <x:v>研究生宿舍楼</x:v>
      </x:c>
      <x:c r="J2009" s="12" t="str">
        <x:v>研究生宿舍楼发车</x:v>
      </x:c>
      <x:c r="K2009" s="12" t="str">
        <x:v>HX3_NORMAL</x:v>
      </x:c>
      <x:c r="L2009" s="12" t="n">
        <x:v>8</x:v>
      </x:c>
      <x:c r="M2009" s="12" t="str">
        <x:v>HX3_NORMAL|8</x:v>
      </x:c>
      <x:c r="N2009" s="12" t="str">
        <x:v>理学院</x:v>
      </x:c>
      <x:c r="O2009" s="12" t="n">
        <x:f>IFERROR(INDEX('秒级路线参数_可调整'!$O:$O,MATCH(M2009,'秒级路线参数_可调整'!$A:$A,0)),"")</x:f>
        <x:v>480</x:v>
      </x:c>
      <x:c r="P2009" s="12" t="n">
        <x:f>IF(O2009="","",O2009/86400)</x:f>
        <x:v>0.005555555555555556</x:v>
      </x:c>
      <x:c r="Q2009" s="12" t="n">
        <x:f>IF(O2009="","",(H2009*60+O2009)/86400)</x:f>
        <x:v>0.34930555555555554</x:v>
      </x:c>
      <x:c r="R2009" s="12" t="str">
        <x:f>IF(Q2009="","",TEXT(Q2009,"hh:mm:ss"))</x:f>
        <x:v>08:23:00</x:v>
      </x:c>
      <x:c r="S2009" s="12" t="str">
        <x:v>否</x:v>
      </x:c>
      <x:c r="T2009" s="12" t="str">
        <x:v>否</x:v>
      </x:c>
      <x:c r="U2009" s="12" t="str">
        <x:v>孙五星</x:v>
      </x:c>
      <x:c r="V2009" s="12" t="str">
        <x:v>3号车</x:v>
      </x:c>
      <x:c r="W2009" s="12" t="str">
        <x:v>秒级预测</x:v>
      </x:c>
      <x:c r="X2009" s="12" t="str">
        <x:v>基于路线秒级参数；如录入实测或手动采用秒，预计到达时间可随公式更新</x:v>
      </x:c>
    </x:row>
    <x:row r="2010">
      <x:c r="A2010" s="12" t="str">
        <x:v>S0174-09</x:v>
      </x:c>
      <x:c r="B2010" s="12" t="str">
        <x:v>S0174</x:v>
      </x:c>
      <x:c r="C2010" s="12" t="str">
        <x:v>周末/节假日</x:v>
      </x:c>
      <x:c r="D2010" s="12" t="str">
        <x:v>环线3路</x:v>
      </x:c>
      <x:c r="E2010" s="12" t="str">
        <x:v>第一班</x:v>
      </x:c>
      <x:c r="F2010" s="12" t="n">
        <x:v>1</x:v>
      </x:c>
      <x:c r="G2010" s="12" t="str">
        <x:v>8:15</x:v>
      </x:c>
      <x:c r="H2010" s="12" t="n">
        <x:v>495</x:v>
      </x:c>
      <x:c r="I2010" s="12" t="str">
        <x:v>研究生宿舍楼</x:v>
      </x:c>
      <x:c r="J2010" s="12" t="str">
        <x:v>研究生宿舍楼发车</x:v>
      </x:c>
      <x:c r="K2010" s="12" t="str">
        <x:v>HX3_NORMAL</x:v>
      </x:c>
      <x:c r="L2010" s="12" t="n">
        <x:v>9</x:v>
      </x:c>
      <x:c r="M2010" s="12" t="str">
        <x:v>HX3_NORMAL|9</x:v>
      </x:c>
      <x:c r="N2010" s="12" t="str">
        <x:v>二食堂</x:v>
      </x:c>
      <x:c r="O2010" s="12" t="n">
        <x:f>IFERROR(INDEX('秒级路线参数_可调整'!$O:$O,MATCH(M2010,'秒级路线参数_可调整'!$A:$A,0)),"")</x:f>
        <x:v>535</x:v>
      </x:c>
      <x:c r="P2010" s="12" t="n">
        <x:f>IF(O2010="","",O2010/86400)</x:f>
        <x:v>0.00619212962962963</x:v>
      </x:c>
      <x:c r="Q2010" s="12" t="n">
        <x:f>IF(O2010="","",(H2010*60+O2010)/86400)</x:f>
        <x:v>0.3499421296296296</x:v>
      </x:c>
      <x:c r="R2010" s="12" t="str">
        <x:f>IF(Q2010="","",TEXT(Q2010,"hh:mm:ss"))</x:f>
        <x:v>08:23:55</x:v>
      </x:c>
      <x:c r="S2010" s="12" t="str">
        <x:v>否</x:v>
      </x:c>
      <x:c r="T2010" s="12" t="str">
        <x:v>否</x:v>
      </x:c>
      <x:c r="U2010" s="12" t="str">
        <x:v>孙五星</x:v>
      </x:c>
      <x:c r="V2010" s="12" t="str">
        <x:v>3号车</x:v>
      </x:c>
      <x:c r="W2010" s="12" t="str">
        <x:v>秒级预测</x:v>
      </x:c>
      <x:c r="X2010" s="12" t="str">
        <x:v>基于路线秒级参数；如录入实测或手动采用秒，预计到达时间可随公式更新</x:v>
      </x:c>
    </x:row>
    <x:row r="2011">
      <x:c r="A2011" s="12" t="str">
        <x:v>S0174-10</x:v>
      </x:c>
      <x:c r="B2011" s="12" t="str">
        <x:v>S0174</x:v>
      </x:c>
      <x:c r="C2011" s="12" t="str">
        <x:v>周末/节假日</x:v>
      </x:c>
      <x:c r="D2011" s="12" t="str">
        <x:v>环线3路</x:v>
      </x:c>
      <x:c r="E2011" s="12" t="str">
        <x:v>第一班</x:v>
      </x:c>
      <x:c r="F2011" s="12" t="n">
        <x:v>1</x:v>
      </x:c>
      <x:c r="G2011" s="12" t="str">
        <x:v>8:15</x:v>
      </x:c>
      <x:c r="H2011" s="12" t="n">
        <x:v>495</x:v>
      </x:c>
      <x:c r="I2011" s="12" t="str">
        <x:v>研究生宿舍楼</x:v>
      </x:c>
      <x:c r="J2011" s="12" t="str">
        <x:v>研究生宿舍楼发车</x:v>
      </x:c>
      <x:c r="K2011" s="12" t="str">
        <x:v>HX3_NORMAL</x:v>
      </x:c>
      <x:c r="L2011" s="12" t="n">
        <x:v>10</x:v>
      </x:c>
      <x:c r="M2011" s="12" t="str">
        <x:v>HX3_NORMAL|10</x:v>
      </x:c>
      <x:c r="N2011" s="12" t="str">
        <x:v>图书馆</x:v>
      </x:c>
      <x:c r="O2011" s="12" t="n">
        <x:f>IFERROR(INDEX('秒级路线参数_可调整'!$O:$O,MATCH(M2011,'秒级路线参数_可调整'!$A:$A,0)),"")</x:f>
        <x:v>715</x:v>
      </x:c>
      <x:c r="P2011" s="12" t="n">
        <x:f>IF(O2011="","",O2011/86400)</x:f>
        <x:v>0.008275462962962964</x:v>
      </x:c>
      <x:c r="Q2011" s="12" t="n">
        <x:f>IF(O2011="","",(H2011*60+O2011)/86400)</x:f>
        <x:v>0.35202546296296294</x:v>
      </x:c>
      <x:c r="R2011" s="12" t="str">
        <x:f>IF(Q2011="","",TEXT(Q2011,"hh:mm:ss"))</x:f>
        <x:v>08:26:55</x:v>
      </x:c>
      <x:c r="S2011" s="12" t="str">
        <x:v>否</x:v>
      </x:c>
      <x:c r="T2011" s="12" t="str">
        <x:v>否</x:v>
      </x:c>
      <x:c r="U2011" s="12" t="str">
        <x:v>孙五星</x:v>
      </x:c>
      <x:c r="V2011" s="12" t="str">
        <x:v>3号车</x:v>
      </x:c>
      <x:c r="W2011" s="12" t="str">
        <x:v>秒级预测</x:v>
      </x:c>
      <x:c r="X2011" s="12" t="str">
        <x:v>基于路线秒级参数；如录入实测或手动采用秒，预计到达时间可随公式更新</x:v>
      </x:c>
    </x:row>
    <x:row r="2012">
      <x:c r="A2012" s="12" t="str">
        <x:v>S0174-11</x:v>
      </x:c>
      <x:c r="B2012" s="12" t="str">
        <x:v>S0174</x:v>
      </x:c>
      <x:c r="C2012" s="12" t="str">
        <x:v>周末/节假日</x:v>
      </x:c>
      <x:c r="D2012" s="12" t="str">
        <x:v>环线3路</x:v>
      </x:c>
      <x:c r="E2012" s="12" t="str">
        <x:v>第一班</x:v>
      </x:c>
      <x:c r="F2012" s="12" t="n">
        <x:v>1</x:v>
      </x:c>
      <x:c r="G2012" s="12" t="str">
        <x:v>8:15</x:v>
      </x:c>
      <x:c r="H2012" s="12" t="n">
        <x:v>495</x:v>
      </x:c>
      <x:c r="I2012" s="12" t="str">
        <x:v>研究生宿舍楼</x:v>
      </x:c>
      <x:c r="J2012" s="12" t="str">
        <x:v>研究生宿舍楼发车</x:v>
      </x:c>
      <x:c r="K2012" s="12" t="str">
        <x:v>HX3_NORMAL</x:v>
      </x:c>
      <x:c r="L2012" s="12" t="n">
        <x:v>11</x:v>
      </x:c>
      <x:c r="M2012" s="12" t="str">
        <x:v>HX3_NORMAL|11</x:v>
      </x:c>
      <x:c r="N2012" s="12" t="str">
        <x:v>305教学楼</x:v>
      </x:c>
      <x:c r="O2012" s="12" t="n">
        <x:f>IFERROR(INDEX('秒级路线参数_可调整'!$O:$O,MATCH(M2012,'秒级路线参数_可调整'!$A:$A,0)),"")</x:f>
        <x:v>775</x:v>
      </x:c>
      <x:c r="P2012" s="12" t="n">
        <x:f>IF(O2012="","",O2012/86400)</x:f>
        <x:v>0.008969907407407407</x:v>
      </x:c>
      <x:c r="Q2012" s="12" t="n">
        <x:f>IF(O2012="","",(H2012*60+O2012)/86400)</x:f>
        <x:v>0.3527199074074074</x:v>
      </x:c>
      <x:c r="R2012" s="12" t="str">
        <x:f>IF(Q2012="","",TEXT(Q2012,"hh:mm:ss"))</x:f>
        <x:v>08:27:55</x:v>
      </x:c>
      <x:c r="S2012" s="12" t="str">
        <x:v>否</x:v>
      </x:c>
      <x:c r="T2012" s="12" t="str">
        <x:v>否</x:v>
      </x:c>
      <x:c r="U2012" s="12" t="str">
        <x:v>孙五星</x:v>
      </x:c>
      <x:c r="V2012" s="12" t="str">
        <x:v>3号车</x:v>
      </x:c>
      <x:c r="W2012" s="12" t="str">
        <x:v>秒级预测</x:v>
      </x:c>
      <x:c r="X2012" s="12" t="str">
        <x:v>基于路线秒级参数；如录入实测或手动采用秒，预计到达时间可随公式更新</x:v>
      </x:c>
    </x:row>
    <x:row r="2013">
      <x:c r="A2013" s="12" t="str">
        <x:v>S0174-12</x:v>
      </x:c>
      <x:c r="B2013" s="12" t="str">
        <x:v>S0174</x:v>
      </x:c>
      <x:c r="C2013" s="12" t="str">
        <x:v>周末/节假日</x:v>
      </x:c>
      <x:c r="D2013" s="12" t="str">
        <x:v>环线3路</x:v>
      </x:c>
      <x:c r="E2013" s="12" t="str">
        <x:v>第一班</x:v>
      </x:c>
      <x:c r="F2013" s="12" t="n">
        <x:v>1</x:v>
      </x:c>
      <x:c r="G2013" s="12" t="str">
        <x:v>8:15</x:v>
      </x:c>
      <x:c r="H2013" s="12" t="n">
        <x:v>495</x:v>
      </x:c>
      <x:c r="I2013" s="12" t="str">
        <x:v>研究生宿舍楼</x:v>
      </x:c>
      <x:c r="J2013" s="12" t="str">
        <x:v>研究生宿舍楼发车</x:v>
      </x:c>
      <x:c r="K2013" s="12" t="str">
        <x:v>HX3_NORMAL</x:v>
      </x:c>
      <x:c r="L2013" s="12" t="n">
        <x:v>12</x:v>
      </x:c>
      <x:c r="M2013" s="12" t="str">
        <x:v>HX3_NORMAL|12</x:v>
      </x:c>
      <x:c r="N2013" s="12" t="str">
        <x:v>研究生宿舍楼</x:v>
      </x:c>
      <x:c r="O2013" s="12" t="n">
        <x:f>IFERROR(INDEX('秒级路线参数_可调整'!$O:$O,MATCH(M2013,'秒级路线参数_可调整'!$A:$A,0)),"")</x:f>
        <x:v>840</x:v>
      </x:c>
      <x:c r="P2013" s="12" t="n">
        <x:f>IF(O2013="","",O2013/86400)</x:f>
        <x:v>0.009722222222222222</x:v>
      </x:c>
      <x:c r="Q2013" s="12" t="n">
        <x:f>IF(O2013="","",(H2013*60+O2013)/86400)</x:f>
        <x:v>0.35347222222222224</x:v>
      </x:c>
      <x:c r="R2013" s="12" t="str">
        <x:f>IF(Q2013="","",TEXT(Q2013,"hh:mm:ss"))</x:f>
        <x:v>08:29:00</x:v>
      </x:c>
      <x:c r="S2013" s="12" t="str">
        <x:v>否</x:v>
      </x:c>
      <x:c r="T2013" s="12" t="str">
        <x:v>是</x:v>
      </x:c>
      <x:c r="U2013" s="12" t="str">
        <x:v>孙五星</x:v>
      </x:c>
      <x:c r="V2013" s="12" t="str">
        <x:v>3号车</x:v>
      </x:c>
      <x:c r="W2013" s="12" t="str">
        <x:v>秒级预测</x:v>
      </x:c>
      <x:c r="X2013" s="12" t="str">
        <x:v>基于路线秒级参数；如录入实测或手动采用秒，预计到达时间可随公式更新</x:v>
      </x:c>
    </x:row>
    <x:row r="2014">
      <x:c r="A2014" s="12" t="str">
        <x:v>S0175-01</x:v>
      </x:c>
      <x:c r="B2014" s="12" t="str">
        <x:v>S0175</x:v>
      </x:c>
      <x:c r="C2014" s="12" t="str">
        <x:v>周末/节假日</x:v>
      </x:c>
      <x:c r="D2014" s="12" t="str">
        <x:v>环线3路</x:v>
      </x:c>
      <x:c r="E2014" s="12" t="str">
        <x:v>第一班</x:v>
      </x:c>
      <x:c r="F2014" s="12" t="n">
        <x:v>2</x:v>
      </x:c>
      <x:c r="G2014" s="12" t="str">
        <x:v>8:40</x:v>
      </x:c>
      <x:c r="H2014" s="12" t="n">
        <x:v>520</x:v>
      </x:c>
      <x:c r="I2014" s="12" t="str">
        <x:v>研究生宿舍楼</x:v>
      </x:c>
      <x:c r="J2014" s="12" t="str">
        <x:v>研究生宿舍楼发车</x:v>
      </x:c>
      <x:c r="K2014" s="12" t="str">
        <x:v>HX3_NORMAL</x:v>
      </x:c>
      <x:c r="L2014" s="12" t="n">
        <x:v>1</x:v>
      </x:c>
      <x:c r="M2014" s="12" t="str">
        <x:v>HX3_NORMAL|1</x:v>
      </x:c>
      <x:c r="N2014" s="12" t="str">
        <x:v>研究生宿舍楼</x:v>
      </x:c>
      <x:c r="O2014" s="12" t="n">
        <x:f>IFERROR(INDEX('秒级路线参数_可调整'!$O:$O,MATCH(M2014,'秒级路线参数_可调整'!$A:$A,0)),"")</x:f>
        <x:v>0</x:v>
      </x:c>
      <x:c r="P2014" s="12" t="str">
        <x:f>IF(O2014="","",O2014/86400)</x:f>
      </x:c>
      <x:c r="Q2014" s="12" t="str">
        <x:f>IF(O2014="","",(H2014*60+O2014)/86400)</x:f>
      </x:c>
      <x:c r="R2014" s="12" t="str">
        <x:f>IF(Q2014="","",TEXT(Q2014,"hh:mm:ss"))</x:f>
      </x:c>
      <x:c r="S2014" s="12" t="str">
        <x:v>是</x:v>
      </x:c>
      <x:c r="T2014" s="12" t="str">
        <x:v>否</x:v>
      </x:c>
      <x:c r="U2014" s="12" t="str">
        <x:v>孙五星</x:v>
      </x:c>
      <x:c r="V2014" s="12" t="str">
        <x:v>3号车</x:v>
      </x:c>
      <x:c r="W2014" s="12" t="str">
        <x:v>秒级预测</x:v>
      </x:c>
      <x:c r="X2014" s="12" t="str">
        <x:v>基于路线秒级参数；如录入实测或手动采用秒，预计到达时间可随公式更新</x:v>
      </x:c>
    </x:row>
    <x:row r="2015">
      <x:c r="A2015" s="12" t="str">
        <x:v>S0175-02</x:v>
      </x:c>
      <x:c r="B2015" s="12" t="str">
        <x:v>S0175</x:v>
      </x:c>
      <x:c r="C2015" s="12" t="str">
        <x:v>周末/节假日</x:v>
      </x:c>
      <x:c r="D2015" s="12" t="str">
        <x:v>环线3路</x:v>
      </x:c>
      <x:c r="E2015" s="12" t="str">
        <x:v>第一班</x:v>
      </x:c>
      <x:c r="F2015" s="12" t="n">
        <x:v>2</x:v>
      </x:c>
      <x:c r="G2015" s="12" t="str">
        <x:v>8:40</x:v>
      </x:c>
      <x:c r="H2015" s="12" t="n">
        <x:v>520</x:v>
      </x:c>
      <x:c r="I2015" s="12" t="str">
        <x:v>研究生宿舍楼</x:v>
      </x:c>
      <x:c r="J2015" s="12" t="str">
        <x:v>研究生宿舍楼发车</x:v>
      </x:c>
      <x:c r="K2015" s="12" t="str">
        <x:v>HX3_NORMAL</x:v>
      </x:c>
      <x:c r="L2015" s="12" t="n">
        <x:v>2</x:v>
      </x:c>
      <x:c r="M2015" s="12" t="str">
        <x:v>HX3_NORMAL|2</x:v>
      </x:c>
      <x:c r="N2015" s="12" t="str">
        <x:v>一食堂</x:v>
      </x:c>
      <x:c r="O2015" s="12" t="n">
        <x:f>IFERROR(INDEX('秒级路线参数_可调整'!$O:$O,MATCH(M2015,'秒级路线参数_可调整'!$A:$A,0)),"")</x:f>
        <x:v>65</x:v>
      </x:c>
      <x:c r="P2015" s="12" t="n">
        <x:f>IF(O2015="","",O2015/86400)</x:f>
        <x:v>0.0007523148148148148</x:v>
      </x:c>
      <x:c r="Q2015" s="12" t="n">
        <x:f>IF(O2015="","",(H2015*60+O2015)/86400)</x:f>
        <x:v>0.3618634259259259</x:v>
      </x:c>
      <x:c r="R2015" s="12" t="str">
        <x:f>IF(Q2015="","",TEXT(Q2015,"hh:mm:ss"))</x:f>
        <x:v>08:41:05</x:v>
      </x:c>
      <x:c r="S2015" s="12" t="str">
        <x:v>否</x:v>
      </x:c>
      <x:c r="T2015" s="12" t="str">
        <x:v>否</x:v>
      </x:c>
      <x:c r="U2015" s="12" t="str">
        <x:v>孙五星</x:v>
      </x:c>
      <x:c r="V2015" s="12" t="str">
        <x:v>3号车</x:v>
      </x:c>
      <x:c r="W2015" s="12" t="str">
        <x:v>秒级预测</x:v>
      </x:c>
      <x:c r="X2015" s="12" t="str">
        <x:v>基于路线秒级参数；如录入实测或手动采用秒，预计到达时间可随公式更新</x:v>
      </x:c>
    </x:row>
    <x:row r="2016">
      <x:c r="A2016" s="12" t="str">
        <x:v>S0175-03</x:v>
      </x:c>
      <x:c r="B2016" s="12" t="str">
        <x:v>S0175</x:v>
      </x:c>
      <x:c r="C2016" s="12" t="str">
        <x:v>周末/节假日</x:v>
      </x:c>
      <x:c r="D2016" s="12" t="str">
        <x:v>环线3路</x:v>
      </x:c>
      <x:c r="E2016" s="12" t="str">
        <x:v>第一班</x:v>
      </x:c>
      <x:c r="F2016" s="12" t="n">
        <x:v>2</x:v>
      </x:c>
      <x:c r="G2016" s="12" t="str">
        <x:v>8:40</x:v>
      </x:c>
      <x:c r="H2016" s="12" t="n">
        <x:v>520</x:v>
      </x:c>
      <x:c r="I2016" s="12" t="str">
        <x:v>研究生宿舍楼</x:v>
      </x:c>
      <x:c r="J2016" s="12" t="str">
        <x:v>研究生宿舍楼发车</x:v>
      </x:c>
      <x:c r="K2016" s="12" t="str">
        <x:v>HX3_NORMAL</x:v>
      </x:c>
      <x:c r="L2016" s="12" t="n">
        <x:v>3</x:v>
      </x:c>
      <x:c r="M2016" s="12" t="str">
        <x:v>HX3_NORMAL|3</x:v>
      </x:c>
      <x:c r="N2016" s="12" t="str">
        <x:v>2号宿舍楼</x:v>
      </x:c>
      <x:c r="O2016" s="12" t="n">
        <x:f>IFERROR(INDEX('秒级路线参数_可调整'!$O:$O,MATCH(M2016,'秒级路线参数_可调整'!$A:$A,0)),"")</x:f>
        <x:v>120</x:v>
      </x:c>
      <x:c r="P2016" s="12" t="n">
        <x:f>IF(O2016="","",O2016/86400)</x:f>
        <x:v>0.001388888888888889</x:v>
      </x:c>
      <x:c r="Q2016" s="12" t="n">
        <x:f>IF(O2016="","",(H2016*60+O2016)/86400)</x:f>
        <x:v>0.3625</x:v>
      </x:c>
      <x:c r="R2016" s="12" t="str">
        <x:f>IF(Q2016="","",TEXT(Q2016,"hh:mm:ss"))</x:f>
        <x:v>08:42:00</x:v>
      </x:c>
      <x:c r="S2016" s="12" t="str">
        <x:v>否</x:v>
      </x:c>
      <x:c r="T2016" s="12" t="str">
        <x:v>否</x:v>
      </x:c>
      <x:c r="U2016" s="12" t="str">
        <x:v>孙五星</x:v>
      </x:c>
      <x:c r="V2016" s="12" t="str">
        <x:v>3号车</x:v>
      </x:c>
      <x:c r="W2016" s="12" t="str">
        <x:v>秒级预测</x:v>
      </x:c>
      <x:c r="X2016" s="12" t="str">
        <x:v>基于路线秒级参数；如录入实测或手动采用秒，预计到达时间可随公式更新</x:v>
      </x:c>
    </x:row>
    <x:row r="2017">
      <x:c r="A2017" s="12" t="str">
        <x:v>S0175-04</x:v>
      </x:c>
      <x:c r="B2017" s="12" t="str">
        <x:v>S0175</x:v>
      </x:c>
      <x:c r="C2017" s="12" t="str">
        <x:v>周末/节假日</x:v>
      </x:c>
      <x:c r="D2017" s="12" t="str">
        <x:v>环线3路</x:v>
      </x:c>
      <x:c r="E2017" s="12" t="str">
        <x:v>第一班</x:v>
      </x:c>
      <x:c r="F2017" s="12" t="n">
        <x:v>2</x:v>
      </x:c>
      <x:c r="G2017" s="12" t="str">
        <x:v>8:40</x:v>
      </x:c>
      <x:c r="H2017" s="12" t="n">
        <x:v>520</x:v>
      </x:c>
      <x:c r="I2017" s="12" t="str">
        <x:v>研究生宿舍楼</x:v>
      </x:c>
      <x:c r="J2017" s="12" t="str">
        <x:v>研究生宿舍楼发车</x:v>
      </x:c>
      <x:c r="K2017" s="12" t="str">
        <x:v>HX3_NORMAL</x:v>
      </x:c>
      <x:c r="L2017" s="12" t="n">
        <x:v>4</x:v>
      </x:c>
      <x:c r="M2017" s="12" t="str">
        <x:v>HX3_NORMAL|4</x:v>
      </x:c>
      <x:c r="N2017" s="12" t="str">
        <x:v>军体活动中心</x:v>
      </x:c>
      <x:c r="O2017" s="12" t="n">
        <x:f>IFERROR(INDEX('秒级路线参数_可调整'!$O:$O,MATCH(M2017,'秒级路线参数_可调整'!$A:$A,0)),"")</x:f>
        <x:v>165</x:v>
      </x:c>
      <x:c r="P2017" s="12" t="n">
        <x:f>IF(O2017="","",O2017/86400)</x:f>
        <x:v>0.0019097222222222222</x:v>
      </x:c>
      <x:c r="Q2017" s="12" t="n">
        <x:f>IF(O2017="","",(H2017*60+O2017)/86400)</x:f>
        <x:v>0.36302083333333335</x:v>
      </x:c>
      <x:c r="R2017" s="12" t="str">
        <x:f>IF(Q2017="","",TEXT(Q2017,"hh:mm:ss"))</x:f>
        <x:v>08:42:45</x:v>
      </x:c>
      <x:c r="S2017" s="12" t="str">
        <x:v>否</x:v>
      </x:c>
      <x:c r="T2017" s="12" t="str">
        <x:v>否</x:v>
      </x:c>
      <x:c r="U2017" s="12" t="str">
        <x:v>孙五星</x:v>
      </x:c>
      <x:c r="V2017" s="12" t="str">
        <x:v>3号车</x:v>
      </x:c>
      <x:c r="W2017" s="12" t="str">
        <x:v>秒级预测</x:v>
      </x:c>
      <x:c r="X2017" s="12" t="str">
        <x:v>基于路线秒级参数；如录入实测或手动采用秒，预计到达时间可随公式更新</x:v>
      </x:c>
    </x:row>
    <x:row r="2018">
      <x:c r="A2018" s="12" t="str">
        <x:v>S0175-05</x:v>
      </x:c>
      <x:c r="B2018" s="12" t="str">
        <x:v>S0175</x:v>
      </x:c>
      <x:c r="C2018" s="12" t="str">
        <x:v>周末/节假日</x:v>
      </x:c>
      <x:c r="D2018" s="12" t="str">
        <x:v>环线3路</x:v>
      </x:c>
      <x:c r="E2018" s="12" t="str">
        <x:v>第一班</x:v>
      </x:c>
      <x:c r="F2018" s="12" t="n">
        <x:v>2</x:v>
      </x:c>
      <x:c r="G2018" s="12" t="str">
        <x:v>8:40</x:v>
      </x:c>
      <x:c r="H2018" s="12" t="n">
        <x:v>520</x:v>
      </x:c>
      <x:c r="I2018" s="12" t="str">
        <x:v>研究生宿舍楼</x:v>
      </x:c>
      <x:c r="J2018" s="12" t="str">
        <x:v>研究生宿舍楼发车</x:v>
      </x:c>
      <x:c r="K2018" s="12" t="str">
        <x:v>HX3_NORMAL</x:v>
      </x:c>
      <x:c r="L2018" s="12" t="n">
        <x:v>5</x:v>
      </x:c>
      <x:c r="M2018" s="12" t="str">
        <x:v>HX3_NORMAL|5</x:v>
      </x:c>
      <x:c r="N2018" s="12" t="str">
        <x:v>教勤连</x:v>
      </x:c>
      <x:c r="O2018" s="12" t="n">
        <x:f>IFERROR(INDEX('秒级路线参数_可调整'!$O:$O,MATCH(M2018,'秒级路线参数_可调整'!$A:$A,0)),"")</x:f>
        <x:v>250</x:v>
      </x:c>
      <x:c r="P2018" s="12" t="n">
        <x:f>IF(O2018="","",O2018/86400)</x:f>
        <x:v>0.0028935185185185184</x:v>
      </x:c>
      <x:c r="Q2018" s="12" t="n">
        <x:f>IF(O2018="","",(H2018*60+O2018)/86400)</x:f>
        <x:v>0.36400462962962965</x:v>
      </x:c>
      <x:c r="R2018" s="12" t="str">
        <x:f>IF(Q2018="","",TEXT(Q2018,"hh:mm:ss"))</x:f>
        <x:v>08:44:10</x:v>
      </x:c>
      <x:c r="S2018" s="12" t="str">
        <x:v>否</x:v>
      </x:c>
      <x:c r="T2018" s="12" t="str">
        <x:v>否</x:v>
      </x:c>
      <x:c r="U2018" s="12" t="str">
        <x:v>孙五星</x:v>
      </x:c>
      <x:c r="V2018" s="12" t="str">
        <x:v>3号车</x:v>
      </x:c>
      <x:c r="W2018" s="12" t="str">
        <x:v>秒级预测</x:v>
      </x:c>
      <x:c r="X2018" s="12" t="str">
        <x:v>基于路线秒级参数；如录入实测或手动采用秒，预计到达时间可随公式更新</x:v>
      </x:c>
    </x:row>
    <x:row r="2019">
      <x:c r="A2019" s="12" t="str">
        <x:v>S0175-06</x:v>
      </x:c>
      <x:c r="B2019" s="12" t="str">
        <x:v>S0175</x:v>
      </x:c>
      <x:c r="C2019" s="12" t="str">
        <x:v>周末/节假日</x:v>
      </x:c>
      <x:c r="D2019" s="12" t="str">
        <x:v>环线3路</x:v>
      </x:c>
      <x:c r="E2019" s="12" t="str">
        <x:v>第一班</x:v>
      </x:c>
      <x:c r="F2019" s="12" t="n">
        <x:v>2</x:v>
      </x:c>
      <x:c r="G2019" s="12" t="str">
        <x:v>8:40</x:v>
      </x:c>
      <x:c r="H2019" s="12" t="n">
        <x:v>520</x:v>
      </x:c>
      <x:c r="I2019" s="12" t="str">
        <x:v>研究生宿舍楼</x:v>
      </x:c>
      <x:c r="J2019" s="12" t="str">
        <x:v>研究生宿舍楼发车</x:v>
      </x:c>
      <x:c r="K2019" s="12" t="str">
        <x:v>HX3_NORMAL</x:v>
      </x:c>
      <x:c r="L2019" s="12" t="n">
        <x:v>6</x:v>
      </x:c>
      <x:c r="M2019" s="12" t="str">
        <x:v>HX3_NORMAL|6</x:v>
      </x:c>
      <x:c r="N2019" s="12" t="str">
        <x:v>激光所</x:v>
      </x:c>
      <x:c r="O2019" s="12" t="n">
        <x:f>IFERROR(INDEX('秒级路线参数_可调整'!$O:$O,MATCH(M2019,'秒级路线参数_可调整'!$A:$A,0)),"")</x:f>
        <x:v>315</x:v>
      </x:c>
      <x:c r="P2019" s="12" t="n">
        <x:f>IF(O2019="","",O2019/86400)</x:f>
        <x:v>0.0036458333333333334</x:v>
      </x:c>
      <x:c r="Q2019" s="12" t="n">
        <x:f>IF(O2019="","",(H2019*60+O2019)/86400)</x:f>
        <x:v>0.36475694444444445</x:v>
      </x:c>
      <x:c r="R2019" s="12" t="str">
        <x:f>IF(Q2019="","",TEXT(Q2019,"hh:mm:ss"))</x:f>
        <x:v>08:45:15</x:v>
      </x:c>
      <x:c r="S2019" s="12" t="str">
        <x:v>否</x:v>
      </x:c>
      <x:c r="T2019" s="12" t="str">
        <x:v>否</x:v>
      </x:c>
      <x:c r="U2019" s="12" t="str">
        <x:v>孙五星</x:v>
      </x:c>
      <x:c r="V2019" s="12" t="str">
        <x:v>3号车</x:v>
      </x:c>
      <x:c r="W2019" s="12" t="str">
        <x:v>秒级预测</x:v>
      </x:c>
      <x:c r="X2019" s="12" t="str">
        <x:v>基于路线秒级参数；如录入实测或手动采用秒，预计到达时间可随公式更新</x:v>
      </x:c>
    </x:row>
    <x:row r="2020">
      <x:c r="A2020" s="12" t="str">
        <x:v>S0175-07</x:v>
      </x:c>
      <x:c r="B2020" s="12" t="str">
        <x:v>S0175</x:v>
      </x:c>
      <x:c r="C2020" s="12" t="str">
        <x:v>周末/节假日</x:v>
      </x:c>
      <x:c r="D2020" s="12" t="str">
        <x:v>环线3路</x:v>
      </x:c>
      <x:c r="E2020" s="12" t="str">
        <x:v>第一班</x:v>
      </x:c>
      <x:c r="F2020" s="12" t="n">
        <x:v>2</x:v>
      </x:c>
      <x:c r="G2020" s="12" t="str">
        <x:v>8:40</x:v>
      </x:c>
      <x:c r="H2020" s="12" t="n">
        <x:v>520</x:v>
      </x:c>
      <x:c r="I2020" s="12" t="str">
        <x:v>研究生宿舍楼</x:v>
      </x:c>
      <x:c r="J2020" s="12" t="str">
        <x:v>研究生宿舍楼发车</x:v>
      </x:c>
      <x:c r="K2020" s="12" t="str">
        <x:v>HX3_NORMAL</x:v>
      </x:c>
      <x:c r="L2020" s="12" t="n">
        <x:v>7</x:v>
      </x:c>
      <x:c r="M2020" s="12" t="str">
        <x:v>HX3_NORMAL|7</x:v>
      </x:c>
      <x:c r="N2020" s="12" t="str">
        <x:v>高超楼</x:v>
      </x:c>
      <x:c r="O2020" s="12" t="n">
        <x:f>IFERROR(INDEX('秒级路线参数_可调整'!$O:$O,MATCH(M2020,'秒级路线参数_可调整'!$A:$A,0)),"")</x:f>
        <x:v>420</x:v>
      </x:c>
      <x:c r="P2020" s="12" t="n">
        <x:f>IF(O2020="","",O2020/86400)</x:f>
        <x:v>0.004861111111111111</x:v>
      </x:c>
      <x:c r="Q2020" s="12" t="n">
        <x:f>IF(O2020="","",(H2020*60+O2020)/86400)</x:f>
        <x:v>0.3659722222222222</x:v>
      </x:c>
      <x:c r="R2020" s="12" t="str">
        <x:f>IF(Q2020="","",TEXT(Q2020,"hh:mm:ss"))</x:f>
        <x:v>08:47:00</x:v>
      </x:c>
      <x:c r="S2020" s="12" t="str">
        <x:v>否</x:v>
      </x:c>
      <x:c r="T2020" s="12" t="str">
        <x:v>否</x:v>
      </x:c>
      <x:c r="U2020" s="12" t="str">
        <x:v>孙五星</x:v>
      </x:c>
      <x:c r="V2020" s="12" t="str">
        <x:v>3号车</x:v>
      </x:c>
      <x:c r="W2020" s="12" t="str">
        <x:v>秒级预测</x:v>
      </x:c>
      <x:c r="X2020" s="12" t="str">
        <x:v>基于路线秒级参数；如录入实测或手动采用秒，预计到达时间可随公式更新</x:v>
      </x:c>
    </x:row>
    <x:row r="2021">
      <x:c r="A2021" s="12" t="str">
        <x:v>S0175-08</x:v>
      </x:c>
      <x:c r="B2021" s="12" t="str">
        <x:v>S0175</x:v>
      </x:c>
      <x:c r="C2021" s="12" t="str">
        <x:v>周末/节假日</x:v>
      </x:c>
      <x:c r="D2021" s="12" t="str">
        <x:v>环线3路</x:v>
      </x:c>
      <x:c r="E2021" s="12" t="str">
        <x:v>第一班</x:v>
      </x:c>
      <x:c r="F2021" s="12" t="n">
        <x:v>2</x:v>
      </x:c>
      <x:c r="G2021" s="12" t="str">
        <x:v>8:40</x:v>
      </x:c>
      <x:c r="H2021" s="12" t="n">
        <x:v>520</x:v>
      </x:c>
      <x:c r="I2021" s="12" t="str">
        <x:v>研究生宿舍楼</x:v>
      </x:c>
      <x:c r="J2021" s="12" t="str">
        <x:v>研究生宿舍楼发车</x:v>
      </x:c>
      <x:c r="K2021" s="12" t="str">
        <x:v>HX3_NORMAL</x:v>
      </x:c>
      <x:c r="L2021" s="12" t="n">
        <x:v>8</x:v>
      </x:c>
      <x:c r="M2021" s="12" t="str">
        <x:v>HX3_NORMAL|8</x:v>
      </x:c>
      <x:c r="N2021" s="12" t="str">
        <x:v>理学院</x:v>
      </x:c>
      <x:c r="O2021" s="12" t="n">
        <x:f>IFERROR(INDEX('秒级路线参数_可调整'!$O:$O,MATCH(M2021,'秒级路线参数_可调整'!$A:$A,0)),"")</x:f>
        <x:v>480</x:v>
      </x:c>
      <x:c r="P2021" s="12" t="n">
        <x:f>IF(O2021="","",O2021/86400)</x:f>
        <x:v>0.005555555555555556</x:v>
      </x:c>
      <x:c r="Q2021" s="12" t="n">
        <x:f>IF(O2021="","",(H2021*60+O2021)/86400)</x:f>
        <x:v>0.36666666666666664</x:v>
      </x:c>
      <x:c r="R2021" s="12" t="str">
        <x:f>IF(Q2021="","",TEXT(Q2021,"hh:mm:ss"))</x:f>
        <x:v>08:48:00</x:v>
      </x:c>
      <x:c r="S2021" s="12" t="str">
        <x:v>否</x:v>
      </x:c>
      <x:c r="T2021" s="12" t="str">
        <x:v>否</x:v>
      </x:c>
      <x:c r="U2021" s="12" t="str">
        <x:v>孙五星</x:v>
      </x:c>
      <x:c r="V2021" s="12" t="str">
        <x:v>3号车</x:v>
      </x:c>
      <x:c r="W2021" s="12" t="str">
        <x:v>秒级预测</x:v>
      </x:c>
      <x:c r="X2021" s="12" t="str">
        <x:v>基于路线秒级参数；如录入实测或手动采用秒，预计到达时间可随公式更新</x:v>
      </x:c>
    </x:row>
    <x:row r="2022">
      <x:c r="A2022" s="12" t="str">
        <x:v>S0175-09</x:v>
      </x:c>
      <x:c r="B2022" s="12" t="str">
        <x:v>S0175</x:v>
      </x:c>
      <x:c r="C2022" s="12" t="str">
        <x:v>周末/节假日</x:v>
      </x:c>
      <x:c r="D2022" s="12" t="str">
        <x:v>环线3路</x:v>
      </x:c>
      <x:c r="E2022" s="12" t="str">
        <x:v>第一班</x:v>
      </x:c>
      <x:c r="F2022" s="12" t="n">
        <x:v>2</x:v>
      </x:c>
      <x:c r="G2022" s="12" t="str">
        <x:v>8:40</x:v>
      </x:c>
      <x:c r="H2022" s="12" t="n">
        <x:v>520</x:v>
      </x:c>
      <x:c r="I2022" s="12" t="str">
        <x:v>研究生宿舍楼</x:v>
      </x:c>
      <x:c r="J2022" s="12" t="str">
        <x:v>研究生宿舍楼发车</x:v>
      </x:c>
      <x:c r="K2022" s="12" t="str">
        <x:v>HX3_NORMAL</x:v>
      </x:c>
      <x:c r="L2022" s="12" t="n">
        <x:v>9</x:v>
      </x:c>
      <x:c r="M2022" s="12" t="str">
        <x:v>HX3_NORMAL|9</x:v>
      </x:c>
      <x:c r="N2022" s="12" t="str">
        <x:v>二食堂</x:v>
      </x:c>
      <x:c r="O2022" s="12" t="n">
        <x:f>IFERROR(INDEX('秒级路线参数_可调整'!$O:$O,MATCH(M2022,'秒级路线参数_可调整'!$A:$A,0)),"")</x:f>
        <x:v>535</x:v>
      </x:c>
      <x:c r="P2022" s="12" t="n">
        <x:f>IF(O2022="","",O2022/86400)</x:f>
        <x:v>0.00619212962962963</x:v>
      </x:c>
      <x:c r="Q2022" s="12" t="n">
        <x:f>IF(O2022="","",(H2022*60+O2022)/86400)</x:f>
        <x:v>0.3673032407407407</x:v>
      </x:c>
      <x:c r="R2022" s="12" t="str">
        <x:f>IF(Q2022="","",TEXT(Q2022,"hh:mm:ss"))</x:f>
        <x:v>08:48:55</x:v>
      </x:c>
      <x:c r="S2022" s="12" t="str">
        <x:v>否</x:v>
      </x:c>
      <x:c r="T2022" s="12" t="str">
        <x:v>否</x:v>
      </x:c>
      <x:c r="U2022" s="12" t="str">
        <x:v>孙五星</x:v>
      </x:c>
      <x:c r="V2022" s="12" t="str">
        <x:v>3号车</x:v>
      </x:c>
      <x:c r="W2022" s="12" t="str">
        <x:v>秒级预测</x:v>
      </x:c>
      <x:c r="X2022" s="12" t="str">
        <x:v>基于路线秒级参数；如录入实测或手动采用秒，预计到达时间可随公式更新</x:v>
      </x:c>
    </x:row>
    <x:row r="2023">
      <x:c r="A2023" s="12" t="str">
        <x:v>S0175-10</x:v>
      </x:c>
      <x:c r="B2023" s="12" t="str">
        <x:v>S0175</x:v>
      </x:c>
      <x:c r="C2023" s="12" t="str">
        <x:v>周末/节假日</x:v>
      </x:c>
      <x:c r="D2023" s="12" t="str">
        <x:v>环线3路</x:v>
      </x:c>
      <x:c r="E2023" s="12" t="str">
        <x:v>第一班</x:v>
      </x:c>
      <x:c r="F2023" s="12" t="n">
        <x:v>2</x:v>
      </x:c>
      <x:c r="G2023" s="12" t="str">
        <x:v>8:40</x:v>
      </x:c>
      <x:c r="H2023" s="12" t="n">
        <x:v>520</x:v>
      </x:c>
      <x:c r="I2023" s="12" t="str">
        <x:v>研究生宿舍楼</x:v>
      </x:c>
      <x:c r="J2023" s="12" t="str">
        <x:v>研究生宿舍楼发车</x:v>
      </x:c>
      <x:c r="K2023" s="12" t="str">
        <x:v>HX3_NORMAL</x:v>
      </x:c>
      <x:c r="L2023" s="12" t="n">
        <x:v>10</x:v>
      </x:c>
      <x:c r="M2023" s="12" t="str">
        <x:v>HX3_NORMAL|10</x:v>
      </x:c>
      <x:c r="N2023" s="12" t="str">
        <x:v>图书馆</x:v>
      </x:c>
      <x:c r="O2023" s="12" t="n">
        <x:f>IFERROR(INDEX('秒级路线参数_可调整'!$O:$O,MATCH(M2023,'秒级路线参数_可调整'!$A:$A,0)),"")</x:f>
        <x:v>715</x:v>
      </x:c>
      <x:c r="P2023" s="12" t="n">
        <x:f>IF(O2023="","",O2023/86400)</x:f>
        <x:v>0.008275462962962964</x:v>
      </x:c>
      <x:c r="Q2023" s="12" t="n">
        <x:f>IF(O2023="","",(H2023*60+O2023)/86400)</x:f>
        <x:v>0.36938657407407405</x:v>
      </x:c>
      <x:c r="R2023" s="12" t="str">
        <x:f>IF(Q2023="","",TEXT(Q2023,"hh:mm:ss"))</x:f>
        <x:v>08:51:55</x:v>
      </x:c>
      <x:c r="S2023" s="12" t="str">
        <x:v>否</x:v>
      </x:c>
      <x:c r="T2023" s="12" t="str">
        <x:v>否</x:v>
      </x:c>
      <x:c r="U2023" s="12" t="str">
        <x:v>孙五星</x:v>
      </x:c>
      <x:c r="V2023" s="12" t="str">
        <x:v>3号车</x:v>
      </x:c>
      <x:c r="W2023" s="12" t="str">
        <x:v>秒级预测</x:v>
      </x:c>
      <x:c r="X2023" s="12" t="str">
        <x:v>基于路线秒级参数；如录入实测或手动采用秒，预计到达时间可随公式更新</x:v>
      </x:c>
    </x:row>
    <x:row r="2024">
      <x:c r="A2024" s="12" t="str">
        <x:v>S0175-11</x:v>
      </x:c>
      <x:c r="B2024" s="12" t="str">
        <x:v>S0175</x:v>
      </x:c>
      <x:c r="C2024" s="12" t="str">
        <x:v>周末/节假日</x:v>
      </x:c>
      <x:c r="D2024" s="12" t="str">
        <x:v>环线3路</x:v>
      </x:c>
      <x:c r="E2024" s="12" t="str">
        <x:v>第一班</x:v>
      </x:c>
      <x:c r="F2024" s="12" t="n">
        <x:v>2</x:v>
      </x:c>
      <x:c r="G2024" s="12" t="str">
        <x:v>8:40</x:v>
      </x:c>
      <x:c r="H2024" s="12" t="n">
        <x:v>520</x:v>
      </x:c>
      <x:c r="I2024" s="12" t="str">
        <x:v>研究生宿舍楼</x:v>
      </x:c>
      <x:c r="J2024" s="12" t="str">
        <x:v>研究生宿舍楼发车</x:v>
      </x:c>
      <x:c r="K2024" s="12" t="str">
        <x:v>HX3_NORMAL</x:v>
      </x:c>
      <x:c r="L2024" s="12" t="n">
        <x:v>11</x:v>
      </x:c>
      <x:c r="M2024" s="12" t="str">
        <x:v>HX3_NORMAL|11</x:v>
      </x:c>
      <x:c r="N2024" s="12" t="str">
        <x:v>305教学楼</x:v>
      </x:c>
      <x:c r="O2024" s="12" t="n">
        <x:f>IFERROR(INDEX('秒级路线参数_可调整'!$O:$O,MATCH(M2024,'秒级路线参数_可调整'!$A:$A,0)),"")</x:f>
        <x:v>775</x:v>
      </x:c>
      <x:c r="P2024" s="12" t="n">
        <x:f>IF(O2024="","",O2024/86400)</x:f>
        <x:v>0.008969907407407407</x:v>
      </x:c>
      <x:c r="Q2024" s="12" t="n">
        <x:f>IF(O2024="","",(H2024*60+O2024)/86400)</x:f>
        <x:v>0.37008101851851855</x:v>
      </x:c>
      <x:c r="R2024" s="12" t="str">
        <x:f>IF(Q2024="","",TEXT(Q2024,"hh:mm:ss"))</x:f>
        <x:v>08:52:55</x:v>
      </x:c>
      <x:c r="S2024" s="12" t="str">
        <x:v>否</x:v>
      </x:c>
      <x:c r="T2024" s="12" t="str">
        <x:v>否</x:v>
      </x:c>
      <x:c r="U2024" s="12" t="str">
        <x:v>孙五星</x:v>
      </x:c>
      <x:c r="V2024" s="12" t="str">
        <x:v>3号车</x:v>
      </x:c>
      <x:c r="W2024" s="12" t="str">
        <x:v>秒级预测</x:v>
      </x:c>
      <x:c r="X2024" s="12" t="str">
        <x:v>基于路线秒级参数；如录入实测或手动采用秒，预计到达时间可随公式更新</x:v>
      </x:c>
    </x:row>
    <x:row r="2025">
      <x:c r="A2025" s="12" t="str">
        <x:v>S0175-12</x:v>
      </x:c>
      <x:c r="B2025" s="12" t="str">
        <x:v>S0175</x:v>
      </x:c>
      <x:c r="C2025" s="12" t="str">
        <x:v>周末/节假日</x:v>
      </x:c>
      <x:c r="D2025" s="12" t="str">
        <x:v>环线3路</x:v>
      </x:c>
      <x:c r="E2025" s="12" t="str">
        <x:v>第一班</x:v>
      </x:c>
      <x:c r="F2025" s="12" t="n">
        <x:v>2</x:v>
      </x:c>
      <x:c r="G2025" s="12" t="str">
        <x:v>8:40</x:v>
      </x:c>
      <x:c r="H2025" s="12" t="n">
        <x:v>520</x:v>
      </x:c>
      <x:c r="I2025" s="12" t="str">
        <x:v>研究生宿舍楼</x:v>
      </x:c>
      <x:c r="J2025" s="12" t="str">
        <x:v>研究生宿舍楼发车</x:v>
      </x:c>
      <x:c r="K2025" s="12" t="str">
        <x:v>HX3_NORMAL</x:v>
      </x:c>
      <x:c r="L2025" s="12" t="n">
        <x:v>12</x:v>
      </x:c>
      <x:c r="M2025" s="12" t="str">
        <x:v>HX3_NORMAL|12</x:v>
      </x:c>
      <x:c r="N2025" s="12" t="str">
        <x:v>研究生宿舍楼</x:v>
      </x:c>
      <x:c r="O2025" s="12" t="n">
        <x:f>IFERROR(INDEX('秒级路线参数_可调整'!$O:$O,MATCH(M2025,'秒级路线参数_可调整'!$A:$A,0)),"")</x:f>
        <x:v>840</x:v>
      </x:c>
      <x:c r="P2025" s="12" t="n">
        <x:f>IF(O2025="","",O2025/86400)</x:f>
        <x:v>0.009722222222222222</x:v>
      </x:c>
      <x:c r="Q2025" s="12" t="n">
        <x:f>IF(O2025="","",(H2025*60+O2025)/86400)</x:f>
        <x:v>0.37083333333333335</x:v>
      </x:c>
      <x:c r="R2025" s="12" t="str">
        <x:f>IF(Q2025="","",TEXT(Q2025,"hh:mm:ss"))</x:f>
        <x:v>08:54:00</x:v>
      </x:c>
      <x:c r="S2025" s="12" t="str">
        <x:v>否</x:v>
      </x:c>
      <x:c r="T2025" s="12" t="str">
        <x:v>是</x:v>
      </x:c>
      <x:c r="U2025" s="12" t="str">
        <x:v>孙五星</x:v>
      </x:c>
      <x:c r="V2025" s="12" t="str">
        <x:v>3号车</x:v>
      </x:c>
      <x:c r="W2025" s="12" t="str">
        <x:v>秒级预测</x:v>
      </x:c>
      <x:c r="X2025" s="12" t="str">
        <x:v>基于路线秒级参数；如录入实测或手动采用秒，预计到达时间可随公式更新</x:v>
      </x:c>
    </x:row>
    <x:row r="2026">
      <x:c r="A2026" s="12" t="str">
        <x:v>S0176-01</x:v>
      </x:c>
      <x:c r="B2026" s="12" t="str">
        <x:v>S0176</x:v>
      </x:c>
      <x:c r="C2026" s="12" t="str">
        <x:v>周末/节假日</x:v>
      </x:c>
      <x:c r="D2026" s="12" t="str">
        <x:v>环线3路</x:v>
      </x:c>
      <x:c r="E2026" s="12" t="str">
        <x:v>第一班</x:v>
      </x:c>
      <x:c r="F2026" s="12" t="n">
        <x:v>3</x:v>
      </x:c>
      <x:c r="G2026" s="12" t="str">
        <x:v>9:05</x:v>
      </x:c>
      <x:c r="H2026" s="12" t="n">
        <x:v>545</x:v>
      </x:c>
      <x:c r="I2026" s="12" t="str">
        <x:v>研究生宿舍楼</x:v>
      </x:c>
      <x:c r="J2026" s="12" t="str">
        <x:v>研究生宿舍楼发车</x:v>
      </x:c>
      <x:c r="K2026" s="12" t="str">
        <x:v>HX3_NORMAL</x:v>
      </x:c>
      <x:c r="L2026" s="12" t="n">
        <x:v>1</x:v>
      </x:c>
      <x:c r="M2026" s="12" t="str">
        <x:v>HX3_NORMAL|1</x:v>
      </x:c>
      <x:c r="N2026" s="12" t="str">
        <x:v>研究生宿舍楼</x:v>
      </x:c>
      <x:c r="O2026" s="12" t="n">
        <x:f>IFERROR(INDEX('秒级路线参数_可调整'!$O:$O,MATCH(M2026,'秒级路线参数_可调整'!$A:$A,0)),"")</x:f>
        <x:v>0</x:v>
      </x:c>
      <x:c r="P2026" s="12" t="str">
        <x:f>IF(O2026="","",O2026/86400)</x:f>
      </x:c>
      <x:c r="Q2026" s="12" t="str">
        <x:f>IF(O2026="","",(H2026*60+O2026)/86400)</x:f>
      </x:c>
      <x:c r="R2026" s="12" t="str">
        <x:f>IF(Q2026="","",TEXT(Q2026,"hh:mm:ss"))</x:f>
      </x:c>
      <x:c r="S2026" s="12" t="str">
        <x:v>是</x:v>
      </x:c>
      <x:c r="T2026" s="12" t="str">
        <x:v>否</x:v>
      </x:c>
      <x:c r="U2026" s="12" t="str">
        <x:v>孙五星</x:v>
      </x:c>
      <x:c r="V2026" s="12" t="str">
        <x:v>3号车</x:v>
      </x:c>
      <x:c r="W2026" s="12" t="str">
        <x:v>秒级预测</x:v>
      </x:c>
      <x:c r="X2026" s="12" t="str">
        <x:v>基于路线秒级参数；如录入实测或手动采用秒，预计到达时间可随公式更新</x:v>
      </x:c>
    </x:row>
    <x:row r="2027">
      <x:c r="A2027" s="12" t="str">
        <x:v>S0176-02</x:v>
      </x:c>
      <x:c r="B2027" s="12" t="str">
        <x:v>S0176</x:v>
      </x:c>
      <x:c r="C2027" s="12" t="str">
        <x:v>周末/节假日</x:v>
      </x:c>
      <x:c r="D2027" s="12" t="str">
        <x:v>环线3路</x:v>
      </x:c>
      <x:c r="E2027" s="12" t="str">
        <x:v>第一班</x:v>
      </x:c>
      <x:c r="F2027" s="12" t="n">
        <x:v>3</x:v>
      </x:c>
      <x:c r="G2027" s="12" t="str">
        <x:v>9:05</x:v>
      </x:c>
      <x:c r="H2027" s="12" t="n">
        <x:v>545</x:v>
      </x:c>
      <x:c r="I2027" s="12" t="str">
        <x:v>研究生宿舍楼</x:v>
      </x:c>
      <x:c r="J2027" s="12" t="str">
        <x:v>研究生宿舍楼发车</x:v>
      </x:c>
      <x:c r="K2027" s="12" t="str">
        <x:v>HX3_NORMAL</x:v>
      </x:c>
      <x:c r="L2027" s="12" t="n">
        <x:v>2</x:v>
      </x:c>
      <x:c r="M2027" s="12" t="str">
        <x:v>HX3_NORMAL|2</x:v>
      </x:c>
      <x:c r="N2027" s="12" t="str">
        <x:v>一食堂</x:v>
      </x:c>
      <x:c r="O2027" s="12" t="n">
        <x:f>IFERROR(INDEX('秒级路线参数_可调整'!$O:$O,MATCH(M2027,'秒级路线参数_可调整'!$A:$A,0)),"")</x:f>
        <x:v>65</x:v>
      </x:c>
      <x:c r="P2027" s="12" t="n">
        <x:f>IF(O2027="","",O2027/86400)</x:f>
        <x:v>0.0007523148148148148</x:v>
      </x:c>
      <x:c r="Q2027" s="12" t="n">
        <x:f>IF(O2027="","",(H2027*60+O2027)/86400)</x:f>
        <x:v>0.379224537037037</x:v>
      </x:c>
      <x:c r="R2027" s="12" t="str">
        <x:f>IF(Q2027="","",TEXT(Q2027,"hh:mm:ss"))</x:f>
        <x:v>09:06:05</x:v>
      </x:c>
      <x:c r="S2027" s="12" t="str">
        <x:v>否</x:v>
      </x:c>
      <x:c r="T2027" s="12" t="str">
        <x:v>否</x:v>
      </x:c>
      <x:c r="U2027" s="12" t="str">
        <x:v>孙五星</x:v>
      </x:c>
      <x:c r="V2027" s="12" t="str">
        <x:v>3号车</x:v>
      </x:c>
      <x:c r="W2027" s="12" t="str">
        <x:v>秒级预测</x:v>
      </x:c>
      <x:c r="X2027" s="12" t="str">
        <x:v>基于路线秒级参数；如录入实测或手动采用秒，预计到达时间可随公式更新</x:v>
      </x:c>
    </x:row>
    <x:row r="2028">
      <x:c r="A2028" s="12" t="str">
        <x:v>S0176-03</x:v>
      </x:c>
      <x:c r="B2028" s="12" t="str">
        <x:v>S0176</x:v>
      </x:c>
      <x:c r="C2028" s="12" t="str">
        <x:v>周末/节假日</x:v>
      </x:c>
      <x:c r="D2028" s="12" t="str">
        <x:v>环线3路</x:v>
      </x:c>
      <x:c r="E2028" s="12" t="str">
        <x:v>第一班</x:v>
      </x:c>
      <x:c r="F2028" s="12" t="n">
        <x:v>3</x:v>
      </x:c>
      <x:c r="G2028" s="12" t="str">
        <x:v>9:05</x:v>
      </x:c>
      <x:c r="H2028" s="12" t="n">
        <x:v>545</x:v>
      </x:c>
      <x:c r="I2028" s="12" t="str">
        <x:v>研究生宿舍楼</x:v>
      </x:c>
      <x:c r="J2028" s="12" t="str">
        <x:v>研究生宿舍楼发车</x:v>
      </x:c>
      <x:c r="K2028" s="12" t="str">
        <x:v>HX3_NORMAL</x:v>
      </x:c>
      <x:c r="L2028" s="12" t="n">
        <x:v>3</x:v>
      </x:c>
      <x:c r="M2028" s="12" t="str">
        <x:v>HX3_NORMAL|3</x:v>
      </x:c>
      <x:c r="N2028" s="12" t="str">
        <x:v>2号宿舍楼</x:v>
      </x:c>
      <x:c r="O2028" s="12" t="n">
        <x:f>IFERROR(INDEX('秒级路线参数_可调整'!$O:$O,MATCH(M2028,'秒级路线参数_可调整'!$A:$A,0)),"")</x:f>
        <x:v>120</x:v>
      </x:c>
      <x:c r="P2028" s="12" t="n">
        <x:f>IF(O2028="","",O2028/86400)</x:f>
        <x:v>0.001388888888888889</x:v>
      </x:c>
      <x:c r="Q2028" s="12" t="n">
        <x:f>IF(O2028="","",(H2028*60+O2028)/86400)</x:f>
        <x:v>0.3798611111111111</x:v>
      </x:c>
      <x:c r="R2028" s="12" t="str">
        <x:f>IF(Q2028="","",TEXT(Q2028,"hh:mm:ss"))</x:f>
        <x:v>09:07:00</x:v>
      </x:c>
      <x:c r="S2028" s="12" t="str">
        <x:v>否</x:v>
      </x:c>
      <x:c r="T2028" s="12" t="str">
        <x:v>否</x:v>
      </x:c>
      <x:c r="U2028" s="12" t="str">
        <x:v>孙五星</x:v>
      </x:c>
      <x:c r="V2028" s="12" t="str">
        <x:v>3号车</x:v>
      </x:c>
      <x:c r="W2028" s="12" t="str">
        <x:v>秒级预测</x:v>
      </x:c>
      <x:c r="X2028" s="12" t="str">
        <x:v>基于路线秒级参数；如录入实测或手动采用秒，预计到达时间可随公式更新</x:v>
      </x:c>
    </x:row>
    <x:row r="2029">
      <x:c r="A2029" s="12" t="str">
        <x:v>S0176-04</x:v>
      </x:c>
      <x:c r="B2029" s="12" t="str">
        <x:v>S0176</x:v>
      </x:c>
      <x:c r="C2029" s="12" t="str">
        <x:v>周末/节假日</x:v>
      </x:c>
      <x:c r="D2029" s="12" t="str">
        <x:v>环线3路</x:v>
      </x:c>
      <x:c r="E2029" s="12" t="str">
        <x:v>第一班</x:v>
      </x:c>
      <x:c r="F2029" s="12" t="n">
        <x:v>3</x:v>
      </x:c>
      <x:c r="G2029" s="12" t="str">
        <x:v>9:05</x:v>
      </x:c>
      <x:c r="H2029" s="12" t="n">
        <x:v>545</x:v>
      </x:c>
      <x:c r="I2029" s="12" t="str">
        <x:v>研究生宿舍楼</x:v>
      </x:c>
      <x:c r="J2029" s="12" t="str">
        <x:v>研究生宿舍楼发车</x:v>
      </x:c>
      <x:c r="K2029" s="12" t="str">
        <x:v>HX3_NORMAL</x:v>
      </x:c>
      <x:c r="L2029" s="12" t="n">
        <x:v>4</x:v>
      </x:c>
      <x:c r="M2029" s="12" t="str">
        <x:v>HX3_NORMAL|4</x:v>
      </x:c>
      <x:c r="N2029" s="12" t="str">
        <x:v>军体活动中心</x:v>
      </x:c>
      <x:c r="O2029" s="12" t="n">
        <x:f>IFERROR(INDEX('秒级路线参数_可调整'!$O:$O,MATCH(M2029,'秒级路线参数_可调整'!$A:$A,0)),"")</x:f>
        <x:v>165</x:v>
      </x:c>
      <x:c r="P2029" s="12" t="n">
        <x:f>IF(O2029="","",O2029/86400)</x:f>
        <x:v>0.0019097222222222222</x:v>
      </x:c>
      <x:c r="Q2029" s="12" t="n">
        <x:f>IF(O2029="","",(H2029*60+O2029)/86400)</x:f>
        <x:v>0.38038194444444445</x:v>
      </x:c>
      <x:c r="R2029" s="12" t="str">
        <x:f>IF(Q2029="","",TEXT(Q2029,"hh:mm:ss"))</x:f>
        <x:v>09:07:45</x:v>
      </x:c>
      <x:c r="S2029" s="12" t="str">
        <x:v>否</x:v>
      </x:c>
      <x:c r="T2029" s="12" t="str">
        <x:v>否</x:v>
      </x:c>
      <x:c r="U2029" s="12" t="str">
        <x:v>孙五星</x:v>
      </x:c>
      <x:c r="V2029" s="12" t="str">
        <x:v>3号车</x:v>
      </x:c>
      <x:c r="W2029" s="12" t="str">
        <x:v>秒级预测</x:v>
      </x:c>
      <x:c r="X2029" s="12" t="str">
        <x:v>基于路线秒级参数；如录入实测或手动采用秒，预计到达时间可随公式更新</x:v>
      </x:c>
    </x:row>
    <x:row r="2030">
      <x:c r="A2030" s="12" t="str">
        <x:v>S0176-05</x:v>
      </x:c>
      <x:c r="B2030" s="12" t="str">
        <x:v>S0176</x:v>
      </x:c>
      <x:c r="C2030" s="12" t="str">
        <x:v>周末/节假日</x:v>
      </x:c>
      <x:c r="D2030" s="12" t="str">
        <x:v>环线3路</x:v>
      </x:c>
      <x:c r="E2030" s="12" t="str">
        <x:v>第一班</x:v>
      </x:c>
      <x:c r="F2030" s="12" t="n">
        <x:v>3</x:v>
      </x:c>
      <x:c r="G2030" s="12" t="str">
        <x:v>9:05</x:v>
      </x:c>
      <x:c r="H2030" s="12" t="n">
        <x:v>545</x:v>
      </x:c>
      <x:c r="I2030" s="12" t="str">
        <x:v>研究生宿舍楼</x:v>
      </x:c>
      <x:c r="J2030" s="12" t="str">
        <x:v>研究生宿舍楼发车</x:v>
      </x:c>
      <x:c r="K2030" s="12" t="str">
        <x:v>HX3_NORMAL</x:v>
      </x:c>
      <x:c r="L2030" s="12" t="n">
        <x:v>5</x:v>
      </x:c>
      <x:c r="M2030" s="12" t="str">
        <x:v>HX3_NORMAL|5</x:v>
      </x:c>
      <x:c r="N2030" s="12" t="str">
        <x:v>教勤连</x:v>
      </x:c>
      <x:c r="O2030" s="12" t="n">
        <x:f>IFERROR(INDEX('秒级路线参数_可调整'!$O:$O,MATCH(M2030,'秒级路线参数_可调整'!$A:$A,0)),"")</x:f>
        <x:v>250</x:v>
      </x:c>
      <x:c r="P2030" s="12" t="n">
        <x:f>IF(O2030="","",O2030/86400)</x:f>
        <x:v>0.0028935185185185184</x:v>
      </x:c>
      <x:c r="Q2030" s="12" t="n">
        <x:f>IF(O2030="","",(H2030*60+O2030)/86400)</x:f>
        <x:v>0.38136574074074076</x:v>
      </x:c>
      <x:c r="R2030" s="12" t="str">
        <x:f>IF(Q2030="","",TEXT(Q2030,"hh:mm:ss"))</x:f>
        <x:v>09:09:10</x:v>
      </x:c>
      <x:c r="S2030" s="12" t="str">
        <x:v>否</x:v>
      </x:c>
      <x:c r="T2030" s="12" t="str">
        <x:v>否</x:v>
      </x:c>
      <x:c r="U2030" s="12" t="str">
        <x:v>孙五星</x:v>
      </x:c>
      <x:c r="V2030" s="12" t="str">
        <x:v>3号车</x:v>
      </x:c>
      <x:c r="W2030" s="12" t="str">
        <x:v>秒级预测</x:v>
      </x:c>
      <x:c r="X2030" s="12" t="str">
        <x:v>基于路线秒级参数；如录入实测或手动采用秒，预计到达时间可随公式更新</x:v>
      </x:c>
    </x:row>
    <x:row r="2031">
      <x:c r="A2031" s="12" t="str">
        <x:v>S0176-06</x:v>
      </x:c>
      <x:c r="B2031" s="12" t="str">
        <x:v>S0176</x:v>
      </x:c>
      <x:c r="C2031" s="12" t="str">
        <x:v>周末/节假日</x:v>
      </x:c>
      <x:c r="D2031" s="12" t="str">
        <x:v>环线3路</x:v>
      </x:c>
      <x:c r="E2031" s="12" t="str">
        <x:v>第一班</x:v>
      </x:c>
      <x:c r="F2031" s="12" t="n">
        <x:v>3</x:v>
      </x:c>
      <x:c r="G2031" s="12" t="str">
        <x:v>9:05</x:v>
      </x:c>
      <x:c r="H2031" s="12" t="n">
        <x:v>545</x:v>
      </x:c>
      <x:c r="I2031" s="12" t="str">
        <x:v>研究生宿舍楼</x:v>
      </x:c>
      <x:c r="J2031" s="12" t="str">
        <x:v>研究生宿舍楼发车</x:v>
      </x:c>
      <x:c r="K2031" s="12" t="str">
        <x:v>HX3_NORMAL</x:v>
      </x:c>
      <x:c r="L2031" s="12" t="n">
        <x:v>6</x:v>
      </x:c>
      <x:c r="M2031" s="12" t="str">
        <x:v>HX3_NORMAL|6</x:v>
      </x:c>
      <x:c r="N2031" s="12" t="str">
        <x:v>激光所</x:v>
      </x:c>
      <x:c r="O2031" s="12" t="n">
        <x:f>IFERROR(INDEX('秒级路线参数_可调整'!$O:$O,MATCH(M2031,'秒级路线参数_可调整'!$A:$A,0)),"")</x:f>
        <x:v>315</x:v>
      </x:c>
      <x:c r="P2031" s="12" t="n">
        <x:f>IF(O2031="","",O2031/86400)</x:f>
        <x:v>0.0036458333333333334</x:v>
      </x:c>
      <x:c r="Q2031" s="12" t="n">
        <x:f>IF(O2031="","",(H2031*60+O2031)/86400)</x:f>
        <x:v>0.38211805555555556</x:v>
      </x:c>
      <x:c r="R2031" s="12" t="str">
        <x:f>IF(Q2031="","",TEXT(Q2031,"hh:mm:ss"))</x:f>
        <x:v>09:10:15</x:v>
      </x:c>
      <x:c r="S2031" s="12" t="str">
        <x:v>否</x:v>
      </x:c>
      <x:c r="T2031" s="12" t="str">
        <x:v>否</x:v>
      </x:c>
      <x:c r="U2031" s="12" t="str">
        <x:v>孙五星</x:v>
      </x:c>
      <x:c r="V2031" s="12" t="str">
        <x:v>3号车</x:v>
      </x:c>
      <x:c r="W2031" s="12" t="str">
        <x:v>秒级预测</x:v>
      </x:c>
      <x:c r="X2031" s="12" t="str">
        <x:v>基于路线秒级参数；如录入实测或手动采用秒，预计到达时间可随公式更新</x:v>
      </x:c>
    </x:row>
    <x:row r="2032">
      <x:c r="A2032" s="12" t="str">
        <x:v>S0176-07</x:v>
      </x:c>
      <x:c r="B2032" s="12" t="str">
        <x:v>S0176</x:v>
      </x:c>
      <x:c r="C2032" s="12" t="str">
        <x:v>周末/节假日</x:v>
      </x:c>
      <x:c r="D2032" s="12" t="str">
        <x:v>环线3路</x:v>
      </x:c>
      <x:c r="E2032" s="12" t="str">
        <x:v>第一班</x:v>
      </x:c>
      <x:c r="F2032" s="12" t="n">
        <x:v>3</x:v>
      </x:c>
      <x:c r="G2032" s="12" t="str">
        <x:v>9:05</x:v>
      </x:c>
      <x:c r="H2032" s="12" t="n">
        <x:v>545</x:v>
      </x:c>
      <x:c r="I2032" s="12" t="str">
        <x:v>研究生宿舍楼</x:v>
      </x:c>
      <x:c r="J2032" s="12" t="str">
        <x:v>研究生宿舍楼发车</x:v>
      </x:c>
      <x:c r="K2032" s="12" t="str">
        <x:v>HX3_NORMAL</x:v>
      </x:c>
      <x:c r="L2032" s="12" t="n">
        <x:v>7</x:v>
      </x:c>
      <x:c r="M2032" s="12" t="str">
        <x:v>HX3_NORMAL|7</x:v>
      </x:c>
      <x:c r="N2032" s="12" t="str">
        <x:v>高超楼</x:v>
      </x:c>
      <x:c r="O2032" s="12" t="n">
        <x:f>IFERROR(INDEX('秒级路线参数_可调整'!$O:$O,MATCH(M2032,'秒级路线参数_可调整'!$A:$A,0)),"")</x:f>
        <x:v>420</x:v>
      </x:c>
      <x:c r="P2032" s="12" t="n">
        <x:f>IF(O2032="","",O2032/86400)</x:f>
        <x:v>0.004861111111111111</x:v>
      </x:c>
      <x:c r="Q2032" s="12" t="n">
        <x:f>IF(O2032="","",(H2032*60+O2032)/86400)</x:f>
        <x:v>0.38333333333333336</x:v>
      </x:c>
      <x:c r="R2032" s="12" t="str">
        <x:f>IF(Q2032="","",TEXT(Q2032,"hh:mm:ss"))</x:f>
        <x:v>09:12:00</x:v>
      </x:c>
      <x:c r="S2032" s="12" t="str">
        <x:v>否</x:v>
      </x:c>
      <x:c r="T2032" s="12" t="str">
        <x:v>否</x:v>
      </x:c>
      <x:c r="U2032" s="12" t="str">
        <x:v>孙五星</x:v>
      </x:c>
      <x:c r="V2032" s="12" t="str">
        <x:v>3号车</x:v>
      </x:c>
      <x:c r="W2032" s="12" t="str">
        <x:v>秒级预测</x:v>
      </x:c>
      <x:c r="X2032" s="12" t="str">
        <x:v>基于路线秒级参数；如录入实测或手动采用秒，预计到达时间可随公式更新</x:v>
      </x:c>
    </x:row>
    <x:row r="2033">
      <x:c r="A2033" s="12" t="str">
        <x:v>S0176-08</x:v>
      </x:c>
      <x:c r="B2033" s="12" t="str">
        <x:v>S0176</x:v>
      </x:c>
      <x:c r="C2033" s="12" t="str">
        <x:v>周末/节假日</x:v>
      </x:c>
      <x:c r="D2033" s="12" t="str">
        <x:v>环线3路</x:v>
      </x:c>
      <x:c r="E2033" s="12" t="str">
        <x:v>第一班</x:v>
      </x:c>
      <x:c r="F2033" s="12" t="n">
        <x:v>3</x:v>
      </x:c>
      <x:c r="G2033" s="12" t="str">
        <x:v>9:05</x:v>
      </x:c>
      <x:c r="H2033" s="12" t="n">
        <x:v>545</x:v>
      </x:c>
      <x:c r="I2033" s="12" t="str">
        <x:v>研究生宿舍楼</x:v>
      </x:c>
      <x:c r="J2033" s="12" t="str">
        <x:v>研究生宿舍楼发车</x:v>
      </x:c>
      <x:c r="K2033" s="12" t="str">
        <x:v>HX3_NORMAL</x:v>
      </x:c>
      <x:c r="L2033" s="12" t="n">
        <x:v>8</x:v>
      </x:c>
      <x:c r="M2033" s="12" t="str">
        <x:v>HX3_NORMAL|8</x:v>
      </x:c>
      <x:c r="N2033" s="12" t="str">
        <x:v>理学院</x:v>
      </x:c>
      <x:c r="O2033" s="12" t="n">
        <x:f>IFERROR(INDEX('秒级路线参数_可调整'!$O:$O,MATCH(M2033,'秒级路线参数_可调整'!$A:$A,0)),"")</x:f>
        <x:v>480</x:v>
      </x:c>
      <x:c r="P2033" s="12" t="n">
        <x:f>IF(O2033="","",O2033/86400)</x:f>
        <x:v>0.005555555555555556</x:v>
      </x:c>
      <x:c r="Q2033" s="12" t="n">
        <x:f>IF(O2033="","",(H2033*60+O2033)/86400)</x:f>
        <x:v>0.3840277777777778</x:v>
      </x:c>
      <x:c r="R2033" s="12" t="str">
        <x:f>IF(Q2033="","",TEXT(Q2033,"hh:mm:ss"))</x:f>
        <x:v>09:13:00</x:v>
      </x:c>
      <x:c r="S2033" s="12" t="str">
        <x:v>否</x:v>
      </x:c>
      <x:c r="T2033" s="12" t="str">
        <x:v>否</x:v>
      </x:c>
      <x:c r="U2033" s="12" t="str">
        <x:v>孙五星</x:v>
      </x:c>
      <x:c r="V2033" s="12" t="str">
        <x:v>3号车</x:v>
      </x:c>
      <x:c r="W2033" s="12" t="str">
        <x:v>秒级预测</x:v>
      </x:c>
      <x:c r="X2033" s="12" t="str">
        <x:v>基于路线秒级参数；如录入实测或手动采用秒，预计到达时间可随公式更新</x:v>
      </x:c>
    </x:row>
    <x:row r="2034">
      <x:c r="A2034" s="12" t="str">
        <x:v>S0176-09</x:v>
      </x:c>
      <x:c r="B2034" s="12" t="str">
        <x:v>S0176</x:v>
      </x:c>
      <x:c r="C2034" s="12" t="str">
        <x:v>周末/节假日</x:v>
      </x:c>
      <x:c r="D2034" s="12" t="str">
        <x:v>环线3路</x:v>
      </x:c>
      <x:c r="E2034" s="12" t="str">
        <x:v>第一班</x:v>
      </x:c>
      <x:c r="F2034" s="12" t="n">
        <x:v>3</x:v>
      </x:c>
      <x:c r="G2034" s="12" t="str">
        <x:v>9:05</x:v>
      </x:c>
      <x:c r="H2034" s="12" t="n">
        <x:v>545</x:v>
      </x:c>
      <x:c r="I2034" s="12" t="str">
        <x:v>研究生宿舍楼</x:v>
      </x:c>
      <x:c r="J2034" s="12" t="str">
        <x:v>研究生宿舍楼发车</x:v>
      </x:c>
      <x:c r="K2034" s="12" t="str">
        <x:v>HX3_NORMAL</x:v>
      </x:c>
      <x:c r="L2034" s="12" t="n">
        <x:v>9</x:v>
      </x:c>
      <x:c r="M2034" s="12" t="str">
        <x:v>HX3_NORMAL|9</x:v>
      </x:c>
      <x:c r="N2034" s="12" t="str">
        <x:v>二食堂</x:v>
      </x:c>
      <x:c r="O2034" s="12" t="n">
        <x:f>IFERROR(INDEX('秒级路线参数_可调整'!$O:$O,MATCH(M2034,'秒级路线参数_可调整'!$A:$A,0)),"")</x:f>
        <x:v>535</x:v>
      </x:c>
      <x:c r="P2034" s="12" t="n">
        <x:f>IF(O2034="","",O2034/86400)</x:f>
        <x:v>0.00619212962962963</x:v>
      </x:c>
      <x:c r="Q2034" s="12" t="n">
        <x:f>IF(O2034="","",(H2034*60+O2034)/86400)</x:f>
        <x:v>0.3846643518518518</x:v>
      </x:c>
      <x:c r="R2034" s="12" t="str">
        <x:f>IF(Q2034="","",TEXT(Q2034,"hh:mm:ss"))</x:f>
        <x:v>09:13:55</x:v>
      </x:c>
      <x:c r="S2034" s="12" t="str">
        <x:v>否</x:v>
      </x:c>
      <x:c r="T2034" s="12" t="str">
        <x:v>否</x:v>
      </x:c>
      <x:c r="U2034" s="12" t="str">
        <x:v>孙五星</x:v>
      </x:c>
      <x:c r="V2034" s="12" t="str">
        <x:v>3号车</x:v>
      </x:c>
      <x:c r="W2034" s="12" t="str">
        <x:v>秒级预测</x:v>
      </x:c>
      <x:c r="X2034" s="12" t="str">
        <x:v>基于路线秒级参数；如录入实测或手动采用秒，预计到达时间可随公式更新</x:v>
      </x:c>
    </x:row>
    <x:row r="2035">
      <x:c r="A2035" s="12" t="str">
        <x:v>S0176-10</x:v>
      </x:c>
      <x:c r="B2035" s="12" t="str">
        <x:v>S0176</x:v>
      </x:c>
      <x:c r="C2035" s="12" t="str">
        <x:v>周末/节假日</x:v>
      </x:c>
      <x:c r="D2035" s="12" t="str">
        <x:v>环线3路</x:v>
      </x:c>
      <x:c r="E2035" s="12" t="str">
        <x:v>第一班</x:v>
      </x:c>
      <x:c r="F2035" s="12" t="n">
        <x:v>3</x:v>
      </x:c>
      <x:c r="G2035" s="12" t="str">
        <x:v>9:05</x:v>
      </x:c>
      <x:c r="H2035" s="12" t="n">
        <x:v>545</x:v>
      </x:c>
      <x:c r="I2035" s="12" t="str">
        <x:v>研究生宿舍楼</x:v>
      </x:c>
      <x:c r="J2035" s="12" t="str">
        <x:v>研究生宿舍楼发车</x:v>
      </x:c>
      <x:c r="K2035" s="12" t="str">
        <x:v>HX3_NORMAL</x:v>
      </x:c>
      <x:c r="L2035" s="12" t="n">
        <x:v>10</x:v>
      </x:c>
      <x:c r="M2035" s="12" t="str">
        <x:v>HX3_NORMAL|10</x:v>
      </x:c>
      <x:c r="N2035" s="12" t="str">
        <x:v>图书馆</x:v>
      </x:c>
      <x:c r="O2035" s="12" t="n">
        <x:f>IFERROR(INDEX('秒级路线参数_可调整'!$O:$O,MATCH(M2035,'秒级路线参数_可调整'!$A:$A,0)),"")</x:f>
        <x:v>715</x:v>
      </x:c>
      <x:c r="P2035" s="12" t="n">
        <x:f>IF(O2035="","",O2035/86400)</x:f>
        <x:v>0.008275462962962964</x:v>
      </x:c>
      <x:c r="Q2035" s="12" t="n">
        <x:f>IF(O2035="","",(H2035*60+O2035)/86400)</x:f>
        <x:v>0.3867476851851852</x:v>
      </x:c>
      <x:c r="R2035" s="12" t="str">
        <x:f>IF(Q2035="","",TEXT(Q2035,"hh:mm:ss"))</x:f>
        <x:v>09:16:55</x:v>
      </x:c>
      <x:c r="S2035" s="12" t="str">
        <x:v>否</x:v>
      </x:c>
      <x:c r="T2035" s="12" t="str">
        <x:v>否</x:v>
      </x:c>
      <x:c r="U2035" s="12" t="str">
        <x:v>孙五星</x:v>
      </x:c>
      <x:c r="V2035" s="12" t="str">
        <x:v>3号车</x:v>
      </x:c>
      <x:c r="W2035" s="12" t="str">
        <x:v>秒级预测</x:v>
      </x:c>
      <x:c r="X2035" s="12" t="str">
        <x:v>基于路线秒级参数；如录入实测或手动采用秒，预计到达时间可随公式更新</x:v>
      </x:c>
    </x:row>
    <x:row r="2036">
      <x:c r="A2036" s="12" t="str">
        <x:v>S0176-11</x:v>
      </x:c>
      <x:c r="B2036" s="12" t="str">
        <x:v>S0176</x:v>
      </x:c>
      <x:c r="C2036" s="12" t="str">
        <x:v>周末/节假日</x:v>
      </x:c>
      <x:c r="D2036" s="12" t="str">
        <x:v>环线3路</x:v>
      </x:c>
      <x:c r="E2036" s="12" t="str">
        <x:v>第一班</x:v>
      </x:c>
      <x:c r="F2036" s="12" t="n">
        <x:v>3</x:v>
      </x:c>
      <x:c r="G2036" s="12" t="str">
        <x:v>9:05</x:v>
      </x:c>
      <x:c r="H2036" s="12" t="n">
        <x:v>545</x:v>
      </x:c>
      <x:c r="I2036" s="12" t="str">
        <x:v>研究生宿舍楼</x:v>
      </x:c>
      <x:c r="J2036" s="12" t="str">
        <x:v>研究生宿舍楼发车</x:v>
      </x:c>
      <x:c r="K2036" s="12" t="str">
        <x:v>HX3_NORMAL</x:v>
      </x:c>
      <x:c r="L2036" s="12" t="n">
        <x:v>11</x:v>
      </x:c>
      <x:c r="M2036" s="12" t="str">
        <x:v>HX3_NORMAL|11</x:v>
      </x:c>
      <x:c r="N2036" s="12" t="str">
        <x:v>305教学楼</x:v>
      </x:c>
      <x:c r="O2036" s="12" t="n">
        <x:f>IFERROR(INDEX('秒级路线参数_可调整'!$O:$O,MATCH(M2036,'秒级路线参数_可调整'!$A:$A,0)),"")</x:f>
        <x:v>775</x:v>
      </x:c>
      <x:c r="P2036" s="12" t="n">
        <x:f>IF(O2036="","",O2036/86400)</x:f>
        <x:v>0.008969907407407407</x:v>
      </x:c>
      <x:c r="Q2036" s="12" t="n">
        <x:f>IF(O2036="","",(H2036*60+O2036)/86400)</x:f>
        <x:v>0.38744212962962965</x:v>
      </x:c>
      <x:c r="R2036" s="12" t="str">
        <x:f>IF(Q2036="","",TEXT(Q2036,"hh:mm:ss"))</x:f>
        <x:v>09:17:55</x:v>
      </x:c>
      <x:c r="S2036" s="12" t="str">
        <x:v>否</x:v>
      </x:c>
      <x:c r="T2036" s="12" t="str">
        <x:v>否</x:v>
      </x:c>
      <x:c r="U2036" s="12" t="str">
        <x:v>孙五星</x:v>
      </x:c>
      <x:c r="V2036" s="12" t="str">
        <x:v>3号车</x:v>
      </x:c>
      <x:c r="W2036" s="12" t="str">
        <x:v>秒级预测</x:v>
      </x:c>
      <x:c r="X2036" s="12" t="str">
        <x:v>基于路线秒级参数；如录入实测或手动采用秒，预计到达时间可随公式更新</x:v>
      </x:c>
    </x:row>
    <x:row r="2037">
      <x:c r="A2037" s="12" t="str">
        <x:v>S0176-12</x:v>
      </x:c>
      <x:c r="B2037" s="12" t="str">
        <x:v>S0176</x:v>
      </x:c>
      <x:c r="C2037" s="12" t="str">
        <x:v>周末/节假日</x:v>
      </x:c>
      <x:c r="D2037" s="12" t="str">
        <x:v>环线3路</x:v>
      </x:c>
      <x:c r="E2037" s="12" t="str">
        <x:v>第一班</x:v>
      </x:c>
      <x:c r="F2037" s="12" t="n">
        <x:v>3</x:v>
      </x:c>
      <x:c r="G2037" s="12" t="str">
        <x:v>9:05</x:v>
      </x:c>
      <x:c r="H2037" s="12" t="n">
        <x:v>545</x:v>
      </x:c>
      <x:c r="I2037" s="12" t="str">
        <x:v>研究生宿舍楼</x:v>
      </x:c>
      <x:c r="J2037" s="12" t="str">
        <x:v>研究生宿舍楼发车</x:v>
      </x:c>
      <x:c r="K2037" s="12" t="str">
        <x:v>HX3_NORMAL</x:v>
      </x:c>
      <x:c r="L2037" s="12" t="n">
        <x:v>12</x:v>
      </x:c>
      <x:c r="M2037" s="12" t="str">
        <x:v>HX3_NORMAL|12</x:v>
      </x:c>
      <x:c r="N2037" s="12" t="str">
        <x:v>研究生宿舍楼</x:v>
      </x:c>
      <x:c r="O2037" s="12" t="n">
        <x:f>IFERROR(INDEX('秒级路线参数_可调整'!$O:$O,MATCH(M2037,'秒级路线参数_可调整'!$A:$A,0)),"")</x:f>
        <x:v>840</x:v>
      </x:c>
      <x:c r="P2037" s="12" t="n">
        <x:f>IF(O2037="","",O2037/86400)</x:f>
        <x:v>0.009722222222222222</x:v>
      </x:c>
      <x:c r="Q2037" s="12" t="n">
        <x:f>IF(O2037="","",(H2037*60+O2037)/86400)</x:f>
        <x:v>0.38819444444444445</x:v>
      </x:c>
      <x:c r="R2037" s="12" t="str">
        <x:f>IF(Q2037="","",TEXT(Q2037,"hh:mm:ss"))</x:f>
        <x:v>09:19:00</x:v>
      </x:c>
      <x:c r="S2037" s="12" t="str">
        <x:v>否</x:v>
      </x:c>
      <x:c r="T2037" s="12" t="str">
        <x:v>是</x:v>
      </x:c>
      <x:c r="U2037" s="12" t="str">
        <x:v>孙五星</x:v>
      </x:c>
      <x:c r="V2037" s="12" t="str">
        <x:v>3号车</x:v>
      </x:c>
      <x:c r="W2037" s="12" t="str">
        <x:v>秒级预测</x:v>
      </x:c>
      <x:c r="X2037" s="12" t="str">
        <x:v>基于路线秒级参数；如录入实测或手动采用秒，预计到达时间可随公式更新</x:v>
      </x:c>
    </x:row>
    <x:row r="2038">
      <x:c r="A2038" s="12" t="str">
        <x:v>S0177-01</x:v>
      </x:c>
      <x:c r="B2038" s="12" t="str">
        <x:v>S0177</x:v>
      </x:c>
      <x:c r="C2038" s="12" t="str">
        <x:v>周末/节假日</x:v>
      </x:c>
      <x:c r="D2038" s="12" t="str">
        <x:v>环线3路</x:v>
      </x:c>
      <x:c r="E2038" s="12" t="str">
        <x:v>第一班</x:v>
      </x:c>
      <x:c r="F2038" s="12" t="n">
        <x:v>4</x:v>
      </x:c>
      <x:c r="G2038" s="12" t="str">
        <x:v>9:30</x:v>
      </x:c>
      <x:c r="H2038" s="12" t="n">
        <x:v>570</x:v>
      </x:c>
      <x:c r="I2038" s="12" t="str">
        <x:v>研究生宿舍楼</x:v>
      </x:c>
      <x:c r="J2038" s="12" t="str">
        <x:v>研究生宿舍楼发车</x:v>
      </x:c>
      <x:c r="K2038" s="12" t="str">
        <x:v>HX3_NORMAL</x:v>
      </x:c>
      <x:c r="L2038" s="12" t="n">
        <x:v>1</x:v>
      </x:c>
      <x:c r="M2038" s="12" t="str">
        <x:v>HX3_NORMAL|1</x:v>
      </x:c>
      <x:c r="N2038" s="12" t="str">
        <x:v>研究生宿舍楼</x:v>
      </x:c>
      <x:c r="O2038" s="12" t="n">
        <x:f>IFERROR(INDEX('秒级路线参数_可调整'!$O:$O,MATCH(M2038,'秒级路线参数_可调整'!$A:$A,0)),"")</x:f>
        <x:v>0</x:v>
      </x:c>
      <x:c r="P2038" s="12" t="str">
        <x:f>IF(O2038="","",O2038/86400)</x:f>
      </x:c>
      <x:c r="Q2038" s="12" t="str">
        <x:f>IF(O2038="","",(H2038*60+O2038)/86400)</x:f>
      </x:c>
      <x:c r="R2038" s="12" t="str">
        <x:f>IF(Q2038="","",TEXT(Q2038,"hh:mm:ss"))</x:f>
      </x:c>
      <x:c r="S2038" s="12" t="str">
        <x:v>是</x:v>
      </x:c>
      <x:c r="T2038" s="12" t="str">
        <x:v>否</x:v>
      </x:c>
      <x:c r="U2038" s="12" t="str">
        <x:v>孙五星</x:v>
      </x:c>
      <x:c r="V2038" s="12" t="str">
        <x:v>3号车</x:v>
      </x:c>
      <x:c r="W2038" s="12" t="str">
        <x:v>秒级预测</x:v>
      </x:c>
      <x:c r="X2038" s="12" t="str">
        <x:v>基于路线秒级参数；如录入实测或手动采用秒，预计到达时间可随公式更新</x:v>
      </x:c>
    </x:row>
    <x:row r="2039">
      <x:c r="A2039" s="12" t="str">
        <x:v>S0177-02</x:v>
      </x:c>
      <x:c r="B2039" s="12" t="str">
        <x:v>S0177</x:v>
      </x:c>
      <x:c r="C2039" s="12" t="str">
        <x:v>周末/节假日</x:v>
      </x:c>
      <x:c r="D2039" s="12" t="str">
        <x:v>环线3路</x:v>
      </x:c>
      <x:c r="E2039" s="12" t="str">
        <x:v>第一班</x:v>
      </x:c>
      <x:c r="F2039" s="12" t="n">
        <x:v>4</x:v>
      </x:c>
      <x:c r="G2039" s="12" t="str">
        <x:v>9:30</x:v>
      </x:c>
      <x:c r="H2039" s="12" t="n">
        <x:v>570</x:v>
      </x:c>
      <x:c r="I2039" s="12" t="str">
        <x:v>研究生宿舍楼</x:v>
      </x:c>
      <x:c r="J2039" s="12" t="str">
        <x:v>研究生宿舍楼发车</x:v>
      </x:c>
      <x:c r="K2039" s="12" t="str">
        <x:v>HX3_NORMAL</x:v>
      </x:c>
      <x:c r="L2039" s="12" t="n">
        <x:v>2</x:v>
      </x:c>
      <x:c r="M2039" s="12" t="str">
        <x:v>HX3_NORMAL|2</x:v>
      </x:c>
      <x:c r="N2039" s="12" t="str">
        <x:v>一食堂</x:v>
      </x:c>
      <x:c r="O2039" s="12" t="n">
        <x:f>IFERROR(INDEX('秒级路线参数_可调整'!$O:$O,MATCH(M2039,'秒级路线参数_可调整'!$A:$A,0)),"")</x:f>
        <x:v>65</x:v>
      </x:c>
      <x:c r="P2039" s="12" t="n">
        <x:f>IF(O2039="","",O2039/86400)</x:f>
        <x:v>0.0007523148148148148</x:v>
      </x:c>
      <x:c r="Q2039" s="12" t="n">
        <x:f>IF(O2039="","",(H2039*60+O2039)/86400)</x:f>
        <x:v>0.3965856481481482</x:v>
      </x:c>
      <x:c r="R2039" s="12" t="str">
        <x:f>IF(Q2039="","",TEXT(Q2039,"hh:mm:ss"))</x:f>
        <x:v>09:31:05</x:v>
      </x:c>
      <x:c r="S2039" s="12" t="str">
        <x:v>否</x:v>
      </x:c>
      <x:c r="T2039" s="12" t="str">
        <x:v>否</x:v>
      </x:c>
      <x:c r="U2039" s="12" t="str">
        <x:v>孙五星</x:v>
      </x:c>
      <x:c r="V2039" s="12" t="str">
        <x:v>3号车</x:v>
      </x:c>
      <x:c r="W2039" s="12" t="str">
        <x:v>秒级预测</x:v>
      </x:c>
      <x:c r="X2039" s="12" t="str">
        <x:v>基于路线秒级参数；如录入实测或手动采用秒，预计到达时间可随公式更新</x:v>
      </x:c>
    </x:row>
    <x:row r="2040">
      <x:c r="A2040" s="12" t="str">
        <x:v>S0177-03</x:v>
      </x:c>
      <x:c r="B2040" s="12" t="str">
        <x:v>S0177</x:v>
      </x:c>
      <x:c r="C2040" s="12" t="str">
        <x:v>周末/节假日</x:v>
      </x:c>
      <x:c r="D2040" s="12" t="str">
        <x:v>环线3路</x:v>
      </x:c>
      <x:c r="E2040" s="12" t="str">
        <x:v>第一班</x:v>
      </x:c>
      <x:c r="F2040" s="12" t="n">
        <x:v>4</x:v>
      </x:c>
      <x:c r="G2040" s="12" t="str">
        <x:v>9:30</x:v>
      </x:c>
      <x:c r="H2040" s="12" t="n">
        <x:v>570</x:v>
      </x:c>
      <x:c r="I2040" s="12" t="str">
        <x:v>研究生宿舍楼</x:v>
      </x:c>
      <x:c r="J2040" s="12" t="str">
        <x:v>研究生宿舍楼发车</x:v>
      </x:c>
      <x:c r="K2040" s="12" t="str">
        <x:v>HX3_NORMAL</x:v>
      </x:c>
      <x:c r="L2040" s="12" t="n">
        <x:v>3</x:v>
      </x:c>
      <x:c r="M2040" s="12" t="str">
        <x:v>HX3_NORMAL|3</x:v>
      </x:c>
      <x:c r="N2040" s="12" t="str">
        <x:v>2号宿舍楼</x:v>
      </x:c>
      <x:c r="O2040" s="12" t="n">
        <x:f>IFERROR(INDEX('秒级路线参数_可调整'!$O:$O,MATCH(M2040,'秒级路线参数_可调整'!$A:$A,0)),"")</x:f>
        <x:v>120</x:v>
      </x:c>
      <x:c r="P2040" s="12" t="n">
        <x:f>IF(O2040="","",O2040/86400)</x:f>
        <x:v>0.001388888888888889</x:v>
      </x:c>
      <x:c r="Q2040" s="12" t="n">
        <x:f>IF(O2040="","",(H2040*60+O2040)/86400)</x:f>
        <x:v>0.3972222222222222</x:v>
      </x:c>
      <x:c r="R2040" s="12" t="str">
        <x:f>IF(Q2040="","",TEXT(Q2040,"hh:mm:ss"))</x:f>
        <x:v>09:32:00</x:v>
      </x:c>
      <x:c r="S2040" s="12" t="str">
        <x:v>否</x:v>
      </x:c>
      <x:c r="T2040" s="12" t="str">
        <x:v>否</x:v>
      </x:c>
      <x:c r="U2040" s="12" t="str">
        <x:v>孙五星</x:v>
      </x:c>
      <x:c r="V2040" s="12" t="str">
        <x:v>3号车</x:v>
      </x:c>
      <x:c r="W2040" s="12" t="str">
        <x:v>秒级预测</x:v>
      </x:c>
      <x:c r="X2040" s="12" t="str">
        <x:v>基于路线秒级参数；如录入实测或手动采用秒，预计到达时间可随公式更新</x:v>
      </x:c>
    </x:row>
    <x:row r="2041">
      <x:c r="A2041" s="12" t="str">
        <x:v>S0177-04</x:v>
      </x:c>
      <x:c r="B2041" s="12" t="str">
        <x:v>S0177</x:v>
      </x:c>
      <x:c r="C2041" s="12" t="str">
        <x:v>周末/节假日</x:v>
      </x:c>
      <x:c r="D2041" s="12" t="str">
        <x:v>环线3路</x:v>
      </x:c>
      <x:c r="E2041" s="12" t="str">
        <x:v>第一班</x:v>
      </x:c>
      <x:c r="F2041" s="12" t="n">
        <x:v>4</x:v>
      </x:c>
      <x:c r="G2041" s="12" t="str">
        <x:v>9:30</x:v>
      </x:c>
      <x:c r="H2041" s="12" t="n">
        <x:v>570</x:v>
      </x:c>
      <x:c r="I2041" s="12" t="str">
        <x:v>研究生宿舍楼</x:v>
      </x:c>
      <x:c r="J2041" s="12" t="str">
        <x:v>研究生宿舍楼发车</x:v>
      </x:c>
      <x:c r="K2041" s="12" t="str">
        <x:v>HX3_NORMAL</x:v>
      </x:c>
      <x:c r="L2041" s="12" t="n">
        <x:v>4</x:v>
      </x:c>
      <x:c r="M2041" s="12" t="str">
        <x:v>HX3_NORMAL|4</x:v>
      </x:c>
      <x:c r="N2041" s="12" t="str">
        <x:v>军体活动中心</x:v>
      </x:c>
      <x:c r="O2041" s="12" t="n">
        <x:f>IFERROR(INDEX('秒级路线参数_可调整'!$O:$O,MATCH(M2041,'秒级路线参数_可调整'!$A:$A,0)),"")</x:f>
        <x:v>165</x:v>
      </x:c>
      <x:c r="P2041" s="12" t="n">
        <x:f>IF(O2041="","",O2041/86400)</x:f>
        <x:v>0.0019097222222222222</x:v>
      </x:c>
      <x:c r="Q2041" s="12" t="n">
        <x:f>IF(O2041="","",(H2041*60+O2041)/86400)</x:f>
        <x:v>0.39774305555555556</x:v>
      </x:c>
      <x:c r="R2041" s="12" t="str">
        <x:f>IF(Q2041="","",TEXT(Q2041,"hh:mm:ss"))</x:f>
        <x:v>09:32:45</x:v>
      </x:c>
      <x:c r="S2041" s="12" t="str">
        <x:v>否</x:v>
      </x:c>
      <x:c r="T2041" s="12" t="str">
        <x:v>否</x:v>
      </x:c>
      <x:c r="U2041" s="12" t="str">
        <x:v>孙五星</x:v>
      </x:c>
      <x:c r="V2041" s="12" t="str">
        <x:v>3号车</x:v>
      </x:c>
      <x:c r="W2041" s="12" t="str">
        <x:v>秒级预测</x:v>
      </x:c>
      <x:c r="X2041" s="12" t="str">
        <x:v>基于路线秒级参数；如录入实测或手动采用秒，预计到达时间可随公式更新</x:v>
      </x:c>
    </x:row>
    <x:row r="2042">
      <x:c r="A2042" s="12" t="str">
        <x:v>S0177-05</x:v>
      </x:c>
      <x:c r="B2042" s="12" t="str">
        <x:v>S0177</x:v>
      </x:c>
      <x:c r="C2042" s="12" t="str">
        <x:v>周末/节假日</x:v>
      </x:c>
      <x:c r="D2042" s="12" t="str">
        <x:v>环线3路</x:v>
      </x:c>
      <x:c r="E2042" s="12" t="str">
        <x:v>第一班</x:v>
      </x:c>
      <x:c r="F2042" s="12" t="n">
        <x:v>4</x:v>
      </x:c>
      <x:c r="G2042" s="12" t="str">
        <x:v>9:30</x:v>
      </x:c>
      <x:c r="H2042" s="12" t="n">
        <x:v>570</x:v>
      </x:c>
      <x:c r="I2042" s="12" t="str">
        <x:v>研究生宿舍楼</x:v>
      </x:c>
      <x:c r="J2042" s="12" t="str">
        <x:v>研究生宿舍楼发车</x:v>
      </x:c>
      <x:c r="K2042" s="12" t="str">
        <x:v>HX3_NORMAL</x:v>
      </x:c>
      <x:c r="L2042" s="12" t="n">
        <x:v>5</x:v>
      </x:c>
      <x:c r="M2042" s="12" t="str">
        <x:v>HX3_NORMAL|5</x:v>
      </x:c>
      <x:c r="N2042" s="12" t="str">
        <x:v>教勤连</x:v>
      </x:c>
      <x:c r="O2042" s="12" t="n">
        <x:f>IFERROR(INDEX('秒级路线参数_可调整'!$O:$O,MATCH(M2042,'秒级路线参数_可调整'!$A:$A,0)),"")</x:f>
        <x:v>250</x:v>
      </x:c>
      <x:c r="P2042" s="12" t="n">
        <x:f>IF(O2042="","",O2042/86400)</x:f>
        <x:v>0.0028935185185185184</x:v>
      </x:c>
      <x:c r="Q2042" s="12" t="n">
        <x:f>IF(O2042="","",(H2042*60+O2042)/86400)</x:f>
        <x:v>0.39872685185185186</x:v>
      </x:c>
      <x:c r="R2042" s="12" t="str">
        <x:f>IF(Q2042="","",TEXT(Q2042,"hh:mm:ss"))</x:f>
        <x:v>09:34:10</x:v>
      </x:c>
      <x:c r="S2042" s="12" t="str">
        <x:v>否</x:v>
      </x:c>
      <x:c r="T2042" s="12" t="str">
        <x:v>否</x:v>
      </x:c>
      <x:c r="U2042" s="12" t="str">
        <x:v>孙五星</x:v>
      </x:c>
      <x:c r="V2042" s="12" t="str">
        <x:v>3号车</x:v>
      </x:c>
      <x:c r="W2042" s="12" t="str">
        <x:v>秒级预测</x:v>
      </x:c>
      <x:c r="X2042" s="12" t="str">
        <x:v>基于路线秒级参数；如录入实测或手动采用秒，预计到达时间可随公式更新</x:v>
      </x:c>
    </x:row>
    <x:row r="2043">
      <x:c r="A2043" s="12" t="str">
        <x:v>S0177-06</x:v>
      </x:c>
      <x:c r="B2043" s="12" t="str">
        <x:v>S0177</x:v>
      </x:c>
      <x:c r="C2043" s="12" t="str">
        <x:v>周末/节假日</x:v>
      </x:c>
      <x:c r="D2043" s="12" t="str">
        <x:v>环线3路</x:v>
      </x:c>
      <x:c r="E2043" s="12" t="str">
        <x:v>第一班</x:v>
      </x:c>
      <x:c r="F2043" s="12" t="n">
        <x:v>4</x:v>
      </x:c>
      <x:c r="G2043" s="12" t="str">
        <x:v>9:30</x:v>
      </x:c>
      <x:c r="H2043" s="12" t="n">
        <x:v>570</x:v>
      </x:c>
      <x:c r="I2043" s="12" t="str">
        <x:v>研究生宿舍楼</x:v>
      </x:c>
      <x:c r="J2043" s="12" t="str">
        <x:v>研究生宿舍楼发车</x:v>
      </x:c>
      <x:c r="K2043" s="12" t="str">
        <x:v>HX3_NORMAL</x:v>
      </x:c>
      <x:c r="L2043" s="12" t="n">
        <x:v>6</x:v>
      </x:c>
      <x:c r="M2043" s="12" t="str">
        <x:v>HX3_NORMAL|6</x:v>
      </x:c>
      <x:c r="N2043" s="12" t="str">
        <x:v>激光所</x:v>
      </x:c>
      <x:c r="O2043" s="12" t="n">
        <x:f>IFERROR(INDEX('秒级路线参数_可调整'!$O:$O,MATCH(M2043,'秒级路线参数_可调整'!$A:$A,0)),"")</x:f>
        <x:v>315</x:v>
      </x:c>
      <x:c r="P2043" s="12" t="n">
        <x:f>IF(O2043="","",O2043/86400)</x:f>
        <x:v>0.0036458333333333334</x:v>
      </x:c>
      <x:c r="Q2043" s="12" t="n">
        <x:f>IF(O2043="","",(H2043*60+O2043)/86400)</x:f>
        <x:v>0.39947916666666666</x:v>
      </x:c>
      <x:c r="R2043" s="12" t="str">
        <x:f>IF(Q2043="","",TEXT(Q2043,"hh:mm:ss"))</x:f>
        <x:v>09:35:15</x:v>
      </x:c>
      <x:c r="S2043" s="12" t="str">
        <x:v>否</x:v>
      </x:c>
      <x:c r="T2043" s="12" t="str">
        <x:v>否</x:v>
      </x:c>
      <x:c r="U2043" s="12" t="str">
        <x:v>孙五星</x:v>
      </x:c>
      <x:c r="V2043" s="12" t="str">
        <x:v>3号车</x:v>
      </x:c>
      <x:c r="W2043" s="12" t="str">
        <x:v>秒级预测</x:v>
      </x:c>
      <x:c r="X2043" s="12" t="str">
        <x:v>基于路线秒级参数；如录入实测或手动采用秒，预计到达时间可随公式更新</x:v>
      </x:c>
    </x:row>
    <x:row r="2044">
      <x:c r="A2044" s="12" t="str">
        <x:v>S0177-07</x:v>
      </x:c>
      <x:c r="B2044" s="12" t="str">
        <x:v>S0177</x:v>
      </x:c>
      <x:c r="C2044" s="12" t="str">
        <x:v>周末/节假日</x:v>
      </x:c>
      <x:c r="D2044" s="12" t="str">
        <x:v>环线3路</x:v>
      </x:c>
      <x:c r="E2044" s="12" t="str">
        <x:v>第一班</x:v>
      </x:c>
      <x:c r="F2044" s="12" t="n">
        <x:v>4</x:v>
      </x:c>
      <x:c r="G2044" s="12" t="str">
        <x:v>9:30</x:v>
      </x:c>
      <x:c r="H2044" s="12" t="n">
        <x:v>570</x:v>
      </x:c>
      <x:c r="I2044" s="12" t="str">
        <x:v>研究生宿舍楼</x:v>
      </x:c>
      <x:c r="J2044" s="12" t="str">
        <x:v>研究生宿舍楼发车</x:v>
      </x:c>
      <x:c r="K2044" s="12" t="str">
        <x:v>HX3_NORMAL</x:v>
      </x:c>
      <x:c r="L2044" s="12" t="n">
        <x:v>7</x:v>
      </x:c>
      <x:c r="M2044" s="12" t="str">
        <x:v>HX3_NORMAL|7</x:v>
      </x:c>
      <x:c r="N2044" s="12" t="str">
        <x:v>高超楼</x:v>
      </x:c>
      <x:c r="O2044" s="12" t="n">
        <x:f>IFERROR(INDEX('秒级路线参数_可调整'!$O:$O,MATCH(M2044,'秒级路线参数_可调整'!$A:$A,0)),"")</x:f>
        <x:v>420</x:v>
      </x:c>
      <x:c r="P2044" s="12" t="n">
        <x:f>IF(O2044="","",O2044/86400)</x:f>
        <x:v>0.004861111111111111</x:v>
      </x:c>
      <x:c r="Q2044" s="12" t="n">
        <x:f>IF(O2044="","",(H2044*60+O2044)/86400)</x:f>
        <x:v>0.40069444444444446</x:v>
      </x:c>
      <x:c r="R2044" s="12" t="str">
        <x:f>IF(Q2044="","",TEXT(Q2044,"hh:mm:ss"))</x:f>
        <x:v>09:37:00</x:v>
      </x:c>
      <x:c r="S2044" s="12" t="str">
        <x:v>否</x:v>
      </x:c>
      <x:c r="T2044" s="12" t="str">
        <x:v>否</x:v>
      </x:c>
      <x:c r="U2044" s="12" t="str">
        <x:v>孙五星</x:v>
      </x:c>
      <x:c r="V2044" s="12" t="str">
        <x:v>3号车</x:v>
      </x:c>
      <x:c r="W2044" s="12" t="str">
        <x:v>秒级预测</x:v>
      </x:c>
      <x:c r="X2044" s="12" t="str">
        <x:v>基于路线秒级参数；如录入实测或手动采用秒，预计到达时间可随公式更新</x:v>
      </x:c>
    </x:row>
    <x:row r="2045">
      <x:c r="A2045" s="12" t="str">
        <x:v>S0177-08</x:v>
      </x:c>
      <x:c r="B2045" s="12" t="str">
        <x:v>S0177</x:v>
      </x:c>
      <x:c r="C2045" s="12" t="str">
        <x:v>周末/节假日</x:v>
      </x:c>
      <x:c r="D2045" s="12" t="str">
        <x:v>环线3路</x:v>
      </x:c>
      <x:c r="E2045" s="12" t="str">
        <x:v>第一班</x:v>
      </x:c>
      <x:c r="F2045" s="12" t="n">
        <x:v>4</x:v>
      </x:c>
      <x:c r="G2045" s="12" t="str">
        <x:v>9:30</x:v>
      </x:c>
      <x:c r="H2045" s="12" t="n">
        <x:v>570</x:v>
      </x:c>
      <x:c r="I2045" s="12" t="str">
        <x:v>研究生宿舍楼</x:v>
      </x:c>
      <x:c r="J2045" s="12" t="str">
        <x:v>研究生宿舍楼发车</x:v>
      </x:c>
      <x:c r="K2045" s="12" t="str">
        <x:v>HX3_NORMAL</x:v>
      </x:c>
      <x:c r="L2045" s="12" t="n">
        <x:v>8</x:v>
      </x:c>
      <x:c r="M2045" s="12" t="str">
        <x:v>HX3_NORMAL|8</x:v>
      </x:c>
      <x:c r="N2045" s="12" t="str">
        <x:v>理学院</x:v>
      </x:c>
      <x:c r="O2045" s="12" t="n">
        <x:f>IFERROR(INDEX('秒级路线参数_可调整'!$O:$O,MATCH(M2045,'秒级路线参数_可调整'!$A:$A,0)),"")</x:f>
        <x:v>480</x:v>
      </x:c>
      <x:c r="P2045" s="12" t="n">
        <x:f>IF(O2045="","",O2045/86400)</x:f>
        <x:v>0.005555555555555556</x:v>
      </x:c>
      <x:c r="Q2045" s="12" t="n">
        <x:f>IF(O2045="","",(H2045*60+O2045)/86400)</x:f>
        <x:v>0.4013888888888889</x:v>
      </x:c>
      <x:c r="R2045" s="12" t="str">
        <x:f>IF(Q2045="","",TEXT(Q2045,"hh:mm:ss"))</x:f>
        <x:v>09:38:00</x:v>
      </x:c>
      <x:c r="S2045" s="12" t="str">
        <x:v>否</x:v>
      </x:c>
      <x:c r="T2045" s="12" t="str">
        <x:v>否</x:v>
      </x:c>
      <x:c r="U2045" s="12" t="str">
        <x:v>孙五星</x:v>
      </x:c>
      <x:c r="V2045" s="12" t="str">
        <x:v>3号车</x:v>
      </x:c>
      <x:c r="W2045" s="12" t="str">
        <x:v>秒级预测</x:v>
      </x:c>
      <x:c r="X2045" s="12" t="str">
        <x:v>基于路线秒级参数；如录入实测或手动采用秒，预计到达时间可随公式更新</x:v>
      </x:c>
    </x:row>
    <x:row r="2046">
      <x:c r="A2046" s="12" t="str">
        <x:v>S0177-09</x:v>
      </x:c>
      <x:c r="B2046" s="12" t="str">
        <x:v>S0177</x:v>
      </x:c>
      <x:c r="C2046" s="12" t="str">
        <x:v>周末/节假日</x:v>
      </x:c>
      <x:c r="D2046" s="12" t="str">
        <x:v>环线3路</x:v>
      </x:c>
      <x:c r="E2046" s="12" t="str">
        <x:v>第一班</x:v>
      </x:c>
      <x:c r="F2046" s="12" t="n">
        <x:v>4</x:v>
      </x:c>
      <x:c r="G2046" s="12" t="str">
        <x:v>9:30</x:v>
      </x:c>
      <x:c r="H2046" s="12" t="n">
        <x:v>570</x:v>
      </x:c>
      <x:c r="I2046" s="12" t="str">
        <x:v>研究生宿舍楼</x:v>
      </x:c>
      <x:c r="J2046" s="12" t="str">
        <x:v>研究生宿舍楼发车</x:v>
      </x:c>
      <x:c r="K2046" s="12" t="str">
        <x:v>HX3_NORMAL</x:v>
      </x:c>
      <x:c r="L2046" s="12" t="n">
        <x:v>9</x:v>
      </x:c>
      <x:c r="M2046" s="12" t="str">
        <x:v>HX3_NORMAL|9</x:v>
      </x:c>
      <x:c r="N2046" s="12" t="str">
        <x:v>二食堂</x:v>
      </x:c>
      <x:c r="O2046" s="12" t="n">
        <x:f>IFERROR(INDEX('秒级路线参数_可调整'!$O:$O,MATCH(M2046,'秒级路线参数_可调整'!$A:$A,0)),"")</x:f>
        <x:v>535</x:v>
      </x:c>
      <x:c r="P2046" s="12" t="n">
        <x:f>IF(O2046="","",O2046/86400)</x:f>
        <x:v>0.00619212962962963</x:v>
      </x:c>
      <x:c r="Q2046" s="12" t="n">
        <x:f>IF(O2046="","",(H2046*60+O2046)/86400)</x:f>
        <x:v>0.402025462962963</x:v>
      </x:c>
      <x:c r="R2046" s="12" t="str">
        <x:f>IF(Q2046="","",TEXT(Q2046,"hh:mm:ss"))</x:f>
        <x:v>09:38:55</x:v>
      </x:c>
      <x:c r="S2046" s="12" t="str">
        <x:v>否</x:v>
      </x:c>
      <x:c r="T2046" s="12" t="str">
        <x:v>否</x:v>
      </x:c>
      <x:c r="U2046" s="12" t="str">
        <x:v>孙五星</x:v>
      </x:c>
      <x:c r="V2046" s="12" t="str">
        <x:v>3号车</x:v>
      </x:c>
      <x:c r="W2046" s="12" t="str">
        <x:v>秒级预测</x:v>
      </x:c>
      <x:c r="X2046" s="12" t="str">
        <x:v>基于路线秒级参数；如录入实测或手动采用秒，预计到达时间可随公式更新</x:v>
      </x:c>
    </x:row>
    <x:row r="2047">
      <x:c r="A2047" s="12" t="str">
        <x:v>S0177-10</x:v>
      </x:c>
      <x:c r="B2047" s="12" t="str">
        <x:v>S0177</x:v>
      </x:c>
      <x:c r="C2047" s="12" t="str">
        <x:v>周末/节假日</x:v>
      </x:c>
      <x:c r="D2047" s="12" t="str">
        <x:v>环线3路</x:v>
      </x:c>
      <x:c r="E2047" s="12" t="str">
        <x:v>第一班</x:v>
      </x:c>
      <x:c r="F2047" s="12" t="n">
        <x:v>4</x:v>
      </x:c>
      <x:c r="G2047" s="12" t="str">
        <x:v>9:30</x:v>
      </x:c>
      <x:c r="H2047" s="12" t="n">
        <x:v>570</x:v>
      </x:c>
      <x:c r="I2047" s="12" t="str">
        <x:v>研究生宿舍楼</x:v>
      </x:c>
      <x:c r="J2047" s="12" t="str">
        <x:v>研究生宿舍楼发车</x:v>
      </x:c>
      <x:c r="K2047" s="12" t="str">
        <x:v>HX3_NORMAL</x:v>
      </x:c>
      <x:c r="L2047" s="12" t="n">
        <x:v>10</x:v>
      </x:c>
      <x:c r="M2047" s="12" t="str">
        <x:v>HX3_NORMAL|10</x:v>
      </x:c>
      <x:c r="N2047" s="12" t="str">
        <x:v>图书馆</x:v>
      </x:c>
      <x:c r="O2047" s="12" t="n">
        <x:f>IFERROR(INDEX('秒级路线参数_可调整'!$O:$O,MATCH(M2047,'秒级路线参数_可调整'!$A:$A,0)),"")</x:f>
        <x:v>715</x:v>
      </x:c>
      <x:c r="P2047" s="12" t="n">
        <x:f>IF(O2047="","",O2047/86400)</x:f>
        <x:v>0.008275462962962964</x:v>
      </x:c>
      <x:c r="Q2047" s="12" t="n">
        <x:f>IF(O2047="","",(H2047*60+O2047)/86400)</x:f>
        <x:v>0.4041087962962963</x:v>
      </x:c>
      <x:c r="R2047" s="12" t="str">
        <x:f>IF(Q2047="","",TEXT(Q2047,"hh:mm:ss"))</x:f>
        <x:v>09:41:55</x:v>
      </x:c>
      <x:c r="S2047" s="12" t="str">
        <x:v>否</x:v>
      </x:c>
      <x:c r="T2047" s="12" t="str">
        <x:v>否</x:v>
      </x:c>
      <x:c r="U2047" s="12" t="str">
        <x:v>孙五星</x:v>
      </x:c>
      <x:c r="V2047" s="12" t="str">
        <x:v>3号车</x:v>
      </x:c>
      <x:c r="W2047" s="12" t="str">
        <x:v>秒级预测</x:v>
      </x:c>
      <x:c r="X2047" s="12" t="str">
        <x:v>基于路线秒级参数；如录入实测或手动采用秒，预计到达时间可随公式更新</x:v>
      </x:c>
    </x:row>
    <x:row r="2048">
      <x:c r="A2048" s="12" t="str">
        <x:v>S0177-11</x:v>
      </x:c>
      <x:c r="B2048" s="12" t="str">
        <x:v>S0177</x:v>
      </x:c>
      <x:c r="C2048" s="12" t="str">
        <x:v>周末/节假日</x:v>
      </x:c>
      <x:c r="D2048" s="12" t="str">
        <x:v>环线3路</x:v>
      </x:c>
      <x:c r="E2048" s="12" t="str">
        <x:v>第一班</x:v>
      </x:c>
      <x:c r="F2048" s="12" t="n">
        <x:v>4</x:v>
      </x:c>
      <x:c r="G2048" s="12" t="str">
        <x:v>9:30</x:v>
      </x:c>
      <x:c r="H2048" s="12" t="n">
        <x:v>570</x:v>
      </x:c>
      <x:c r="I2048" s="12" t="str">
        <x:v>研究生宿舍楼</x:v>
      </x:c>
      <x:c r="J2048" s="12" t="str">
        <x:v>研究生宿舍楼发车</x:v>
      </x:c>
      <x:c r="K2048" s="12" t="str">
        <x:v>HX3_NORMAL</x:v>
      </x:c>
      <x:c r="L2048" s="12" t="n">
        <x:v>11</x:v>
      </x:c>
      <x:c r="M2048" s="12" t="str">
        <x:v>HX3_NORMAL|11</x:v>
      </x:c>
      <x:c r="N2048" s="12" t="str">
        <x:v>305教学楼</x:v>
      </x:c>
      <x:c r="O2048" s="12" t="n">
        <x:f>IFERROR(INDEX('秒级路线参数_可调整'!$O:$O,MATCH(M2048,'秒级路线参数_可调整'!$A:$A,0)),"")</x:f>
        <x:v>775</x:v>
      </x:c>
      <x:c r="P2048" s="12" t="n">
        <x:f>IF(O2048="","",O2048/86400)</x:f>
        <x:v>0.008969907407407407</x:v>
      </x:c>
      <x:c r="Q2048" s="12" t="n">
        <x:f>IF(O2048="","",(H2048*60+O2048)/86400)</x:f>
        <x:v>0.40480324074074076</x:v>
      </x:c>
      <x:c r="R2048" s="12" t="str">
        <x:f>IF(Q2048="","",TEXT(Q2048,"hh:mm:ss"))</x:f>
        <x:v>09:42:55</x:v>
      </x:c>
      <x:c r="S2048" s="12" t="str">
        <x:v>否</x:v>
      </x:c>
      <x:c r="T2048" s="12" t="str">
        <x:v>否</x:v>
      </x:c>
      <x:c r="U2048" s="12" t="str">
        <x:v>孙五星</x:v>
      </x:c>
      <x:c r="V2048" s="12" t="str">
        <x:v>3号车</x:v>
      </x:c>
      <x:c r="W2048" s="12" t="str">
        <x:v>秒级预测</x:v>
      </x:c>
      <x:c r="X2048" s="12" t="str">
        <x:v>基于路线秒级参数；如录入实测或手动采用秒，预计到达时间可随公式更新</x:v>
      </x:c>
    </x:row>
    <x:row r="2049">
      <x:c r="A2049" s="12" t="str">
        <x:v>S0177-12</x:v>
      </x:c>
      <x:c r="B2049" s="12" t="str">
        <x:v>S0177</x:v>
      </x:c>
      <x:c r="C2049" s="12" t="str">
        <x:v>周末/节假日</x:v>
      </x:c>
      <x:c r="D2049" s="12" t="str">
        <x:v>环线3路</x:v>
      </x:c>
      <x:c r="E2049" s="12" t="str">
        <x:v>第一班</x:v>
      </x:c>
      <x:c r="F2049" s="12" t="n">
        <x:v>4</x:v>
      </x:c>
      <x:c r="G2049" s="12" t="str">
        <x:v>9:30</x:v>
      </x:c>
      <x:c r="H2049" s="12" t="n">
        <x:v>570</x:v>
      </x:c>
      <x:c r="I2049" s="12" t="str">
        <x:v>研究生宿舍楼</x:v>
      </x:c>
      <x:c r="J2049" s="12" t="str">
        <x:v>研究生宿舍楼发车</x:v>
      </x:c>
      <x:c r="K2049" s="12" t="str">
        <x:v>HX3_NORMAL</x:v>
      </x:c>
      <x:c r="L2049" s="12" t="n">
        <x:v>12</x:v>
      </x:c>
      <x:c r="M2049" s="12" t="str">
        <x:v>HX3_NORMAL|12</x:v>
      </x:c>
      <x:c r="N2049" s="12" t="str">
        <x:v>研究生宿舍楼</x:v>
      </x:c>
      <x:c r="O2049" s="12" t="n">
        <x:f>IFERROR(INDEX('秒级路线参数_可调整'!$O:$O,MATCH(M2049,'秒级路线参数_可调整'!$A:$A,0)),"")</x:f>
        <x:v>840</x:v>
      </x:c>
      <x:c r="P2049" s="12" t="n">
        <x:f>IF(O2049="","",O2049/86400)</x:f>
        <x:v>0.009722222222222222</x:v>
      </x:c>
      <x:c r="Q2049" s="12" t="n">
        <x:f>IF(O2049="","",(H2049*60+O2049)/86400)</x:f>
        <x:v>0.40555555555555556</x:v>
      </x:c>
      <x:c r="R2049" s="12" t="str">
        <x:f>IF(Q2049="","",TEXT(Q2049,"hh:mm:ss"))</x:f>
        <x:v>09:44:00</x:v>
      </x:c>
      <x:c r="S2049" s="12" t="str">
        <x:v>否</x:v>
      </x:c>
      <x:c r="T2049" s="12" t="str">
        <x:v>是</x:v>
      </x:c>
      <x:c r="U2049" s="12" t="str">
        <x:v>孙五星</x:v>
      </x:c>
      <x:c r="V2049" s="12" t="str">
        <x:v>3号车</x:v>
      </x:c>
      <x:c r="W2049" s="12" t="str">
        <x:v>秒级预测</x:v>
      </x:c>
      <x:c r="X2049" s="12" t="str">
        <x:v>基于路线秒级参数；如录入实测或手动采用秒，预计到达时间可随公式更新</x:v>
      </x:c>
    </x:row>
    <x:row r="2050">
      <x:c r="A2050" s="12" t="str">
        <x:v>S0178-01</x:v>
      </x:c>
      <x:c r="B2050" s="12" t="str">
        <x:v>S0178</x:v>
      </x:c>
      <x:c r="C2050" s="12" t="str">
        <x:v>周末/节假日</x:v>
      </x:c>
      <x:c r="D2050" s="12" t="str">
        <x:v>环线3路</x:v>
      </x:c>
      <x:c r="E2050" s="12" t="str">
        <x:v>第一班</x:v>
      </x:c>
      <x:c r="F2050" s="12" t="n">
        <x:v>5</x:v>
      </x:c>
      <x:c r="G2050" s="12" t="str">
        <x:v>9:55</x:v>
      </x:c>
      <x:c r="H2050" s="12" t="n">
        <x:v>595</x:v>
      </x:c>
      <x:c r="I2050" s="12" t="str">
        <x:v>研究生宿舍楼</x:v>
      </x:c>
      <x:c r="J2050" s="12" t="str">
        <x:v>研究生宿舍楼发车</x:v>
      </x:c>
      <x:c r="K2050" s="12" t="str">
        <x:v>HX3_NORMAL</x:v>
      </x:c>
      <x:c r="L2050" s="12" t="n">
        <x:v>1</x:v>
      </x:c>
      <x:c r="M2050" s="12" t="str">
        <x:v>HX3_NORMAL|1</x:v>
      </x:c>
      <x:c r="N2050" s="12" t="str">
        <x:v>研究生宿舍楼</x:v>
      </x:c>
      <x:c r="O2050" s="12" t="n">
        <x:f>IFERROR(INDEX('秒级路线参数_可调整'!$O:$O,MATCH(M2050,'秒级路线参数_可调整'!$A:$A,0)),"")</x:f>
        <x:v>0</x:v>
      </x:c>
      <x:c r="P2050" s="12" t="str">
        <x:f>IF(O2050="","",O2050/86400)</x:f>
      </x:c>
      <x:c r="Q2050" s="12" t="str">
        <x:f>IF(O2050="","",(H2050*60+O2050)/86400)</x:f>
      </x:c>
      <x:c r="R2050" s="12" t="str">
        <x:f>IF(Q2050="","",TEXT(Q2050,"hh:mm:ss"))</x:f>
      </x:c>
      <x:c r="S2050" s="12" t="str">
        <x:v>是</x:v>
      </x:c>
      <x:c r="T2050" s="12" t="str">
        <x:v>否</x:v>
      </x:c>
      <x:c r="U2050" s="12" t="str">
        <x:v>孙五星</x:v>
      </x:c>
      <x:c r="V2050" s="12" t="str">
        <x:v>3号车</x:v>
      </x:c>
      <x:c r="W2050" s="12" t="str">
        <x:v>秒级预测</x:v>
      </x:c>
      <x:c r="X2050" s="12" t="str">
        <x:v>基于路线秒级参数；如录入实测或手动采用秒，预计到达时间可随公式更新</x:v>
      </x:c>
    </x:row>
    <x:row r="2051">
      <x:c r="A2051" s="12" t="str">
        <x:v>S0178-02</x:v>
      </x:c>
      <x:c r="B2051" s="12" t="str">
        <x:v>S0178</x:v>
      </x:c>
      <x:c r="C2051" s="12" t="str">
        <x:v>周末/节假日</x:v>
      </x:c>
      <x:c r="D2051" s="12" t="str">
        <x:v>环线3路</x:v>
      </x:c>
      <x:c r="E2051" s="12" t="str">
        <x:v>第一班</x:v>
      </x:c>
      <x:c r="F2051" s="12" t="n">
        <x:v>5</x:v>
      </x:c>
      <x:c r="G2051" s="12" t="str">
        <x:v>9:55</x:v>
      </x:c>
      <x:c r="H2051" s="12" t="n">
        <x:v>595</x:v>
      </x:c>
      <x:c r="I2051" s="12" t="str">
        <x:v>研究生宿舍楼</x:v>
      </x:c>
      <x:c r="J2051" s="12" t="str">
        <x:v>研究生宿舍楼发车</x:v>
      </x:c>
      <x:c r="K2051" s="12" t="str">
        <x:v>HX3_NORMAL</x:v>
      </x:c>
      <x:c r="L2051" s="12" t="n">
        <x:v>2</x:v>
      </x:c>
      <x:c r="M2051" s="12" t="str">
        <x:v>HX3_NORMAL|2</x:v>
      </x:c>
      <x:c r="N2051" s="12" t="str">
        <x:v>一食堂</x:v>
      </x:c>
      <x:c r="O2051" s="12" t="n">
        <x:f>IFERROR(INDEX('秒级路线参数_可调整'!$O:$O,MATCH(M2051,'秒级路线参数_可调整'!$A:$A,0)),"")</x:f>
        <x:v>65</x:v>
      </x:c>
      <x:c r="P2051" s="12" t="n">
        <x:f>IF(O2051="","",O2051/86400)</x:f>
        <x:v>0.0007523148148148148</x:v>
      </x:c>
      <x:c r="Q2051" s="12" t="n">
        <x:f>IF(O2051="","",(H2051*60+O2051)/86400)</x:f>
        <x:v>0.4139467592592593</x:v>
      </x:c>
      <x:c r="R2051" s="12" t="str">
        <x:f>IF(Q2051="","",TEXT(Q2051,"hh:mm:ss"))</x:f>
        <x:v>09:56:05</x:v>
      </x:c>
      <x:c r="S2051" s="12" t="str">
        <x:v>否</x:v>
      </x:c>
      <x:c r="T2051" s="12" t="str">
        <x:v>否</x:v>
      </x:c>
      <x:c r="U2051" s="12" t="str">
        <x:v>孙五星</x:v>
      </x:c>
      <x:c r="V2051" s="12" t="str">
        <x:v>3号车</x:v>
      </x:c>
      <x:c r="W2051" s="12" t="str">
        <x:v>秒级预测</x:v>
      </x:c>
      <x:c r="X2051" s="12" t="str">
        <x:v>基于路线秒级参数；如录入实测或手动采用秒，预计到达时间可随公式更新</x:v>
      </x:c>
    </x:row>
    <x:row r="2052">
      <x:c r="A2052" s="12" t="str">
        <x:v>S0178-03</x:v>
      </x:c>
      <x:c r="B2052" s="12" t="str">
        <x:v>S0178</x:v>
      </x:c>
      <x:c r="C2052" s="12" t="str">
        <x:v>周末/节假日</x:v>
      </x:c>
      <x:c r="D2052" s="12" t="str">
        <x:v>环线3路</x:v>
      </x:c>
      <x:c r="E2052" s="12" t="str">
        <x:v>第一班</x:v>
      </x:c>
      <x:c r="F2052" s="12" t="n">
        <x:v>5</x:v>
      </x:c>
      <x:c r="G2052" s="12" t="str">
        <x:v>9:55</x:v>
      </x:c>
      <x:c r="H2052" s="12" t="n">
        <x:v>595</x:v>
      </x:c>
      <x:c r="I2052" s="12" t="str">
        <x:v>研究生宿舍楼</x:v>
      </x:c>
      <x:c r="J2052" s="12" t="str">
        <x:v>研究生宿舍楼发车</x:v>
      </x:c>
      <x:c r="K2052" s="12" t="str">
        <x:v>HX3_NORMAL</x:v>
      </x:c>
      <x:c r="L2052" s="12" t="n">
        <x:v>3</x:v>
      </x:c>
      <x:c r="M2052" s="12" t="str">
        <x:v>HX3_NORMAL|3</x:v>
      </x:c>
      <x:c r="N2052" s="12" t="str">
        <x:v>2号宿舍楼</x:v>
      </x:c>
      <x:c r="O2052" s="12" t="n">
        <x:f>IFERROR(INDEX('秒级路线参数_可调整'!$O:$O,MATCH(M2052,'秒级路线参数_可调整'!$A:$A,0)),"")</x:f>
        <x:v>120</x:v>
      </x:c>
      <x:c r="P2052" s="12" t="n">
        <x:f>IF(O2052="","",O2052/86400)</x:f>
        <x:v>0.001388888888888889</x:v>
      </x:c>
      <x:c r="Q2052" s="12" t="n">
        <x:f>IF(O2052="","",(H2052*60+O2052)/86400)</x:f>
        <x:v>0.41458333333333336</x:v>
      </x:c>
      <x:c r="R2052" s="12" t="str">
        <x:f>IF(Q2052="","",TEXT(Q2052,"hh:mm:ss"))</x:f>
        <x:v>09:57:00</x:v>
      </x:c>
      <x:c r="S2052" s="12" t="str">
        <x:v>否</x:v>
      </x:c>
      <x:c r="T2052" s="12" t="str">
        <x:v>否</x:v>
      </x:c>
      <x:c r="U2052" s="12" t="str">
        <x:v>孙五星</x:v>
      </x:c>
      <x:c r="V2052" s="12" t="str">
        <x:v>3号车</x:v>
      </x:c>
      <x:c r="W2052" s="12" t="str">
        <x:v>秒级预测</x:v>
      </x:c>
      <x:c r="X2052" s="12" t="str">
        <x:v>基于路线秒级参数；如录入实测或手动采用秒，预计到达时间可随公式更新</x:v>
      </x:c>
    </x:row>
    <x:row r="2053">
      <x:c r="A2053" s="12" t="str">
        <x:v>S0178-04</x:v>
      </x:c>
      <x:c r="B2053" s="12" t="str">
        <x:v>S0178</x:v>
      </x:c>
      <x:c r="C2053" s="12" t="str">
        <x:v>周末/节假日</x:v>
      </x:c>
      <x:c r="D2053" s="12" t="str">
        <x:v>环线3路</x:v>
      </x:c>
      <x:c r="E2053" s="12" t="str">
        <x:v>第一班</x:v>
      </x:c>
      <x:c r="F2053" s="12" t="n">
        <x:v>5</x:v>
      </x:c>
      <x:c r="G2053" s="12" t="str">
        <x:v>9:55</x:v>
      </x:c>
      <x:c r="H2053" s="12" t="n">
        <x:v>595</x:v>
      </x:c>
      <x:c r="I2053" s="12" t="str">
        <x:v>研究生宿舍楼</x:v>
      </x:c>
      <x:c r="J2053" s="12" t="str">
        <x:v>研究生宿舍楼发车</x:v>
      </x:c>
      <x:c r="K2053" s="12" t="str">
        <x:v>HX3_NORMAL</x:v>
      </x:c>
      <x:c r="L2053" s="12" t="n">
        <x:v>4</x:v>
      </x:c>
      <x:c r="M2053" s="12" t="str">
        <x:v>HX3_NORMAL|4</x:v>
      </x:c>
      <x:c r="N2053" s="12" t="str">
        <x:v>军体活动中心</x:v>
      </x:c>
      <x:c r="O2053" s="12" t="n">
        <x:f>IFERROR(INDEX('秒级路线参数_可调整'!$O:$O,MATCH(M2053,'秒级路线参数_可调整'!$A:$A,0)),"")</x:f>
        <x:v>165</x:v>
      </x:c>
      <x:c r="P2053" s="12" t="n">
        <x:f>IF(O2053="","",O2053/86400)</x:f>
        <x:v>0.0019097222222222222</x:v>
      </x:c>
      <x:c r="Q2053" s="12" t="n">
        <x:f>IF(O2053="","",(H2053*60+O2053)/86400)</x:f>
        <x:v>0.41510416666666666</x:v>
      </x:c>
      <x:c r="R2053" s="12" t="str">
        <x:f>IF(Q2053="","",TEXT(Q2053,"hh:mm:ss"))</x:f>
        <x:v>09:57:45</x:v>
      </x:c>
      <x:c r="S2053" s="12" t="str">
        <x:v>否</x:v>
      </x:c>
      <x:c r="T2053" s="12" t="str">
        <x:v>否</x:v>
      </x:c>
      <x:c r="U2053" s="12" t="str">
        <x:v>孙五星</x:v>
      </x:c>
      <x:c r="V2053" s="12" t="str">
        <x:v>3号车</x:v>
      </x:c>
      <x:c r="W2053" s="12" t="str">
        <x:v>秒级预测</x:v>
      </x:c>
      <x:c r="X2053" s="12" t="str">
        <x:v>基于路线秒级参数；如录入实测或手动采用秒，预计到达时间可随公式更新</x:v>
      </x:c>
    </x:row>
    <x:row r="2054">
      <x:c r="A2054" s="12" t="str">
        <x:v>S0178-05</x:v>
      </x:c>
      <x:c r="B2054" s="12" t="str">
        <x:v>S0178</x:v>
      </x:c>
      <x:c r="C2054" s="12" t="str">
        <x:v>周末/节假日</x:v>
      </x:c>
      <x:c r="D2054" s="12" t="str">
        <x:v>环线3路</x:v>
      </x:c>
      <x:c r="E2054" s="12" t="str">
        <x:v>第一班</x:v>
      </x:c>
      <x:c r="F2054" s="12" t="n">
        <x:v>5</x:v>
      </x:c>
      <x:c r="G2054" s="12" t="str">
        <x:v>9:55</x:v>
      </x:c>
      <x:c r="H2054" s="12" t="n">
        <x:v>595</x:v>
      </x:c>
      <x:c r="I2054" s="12" t="str">
        <x:v>研究生宿舍楼</x:v>
      </x:c>
      <x:c r="J2054" s="12" t="str">
        <x:v>研究生宿舍楼发车</x:v>
      </x:c>
      <x:c r="K2054" s="12" t="str">
        <x:v>HX3_NORMAL</x:v>
      </x:c>
      <x:c r="L2054" s="12" t="n">
        <x:v>5</x:v>
      </x:c>
      <x:c r="M2054" s="12" t="str">
        <x:v>HX3_NORMAL|5</x:v>
      </x:c>
      <x:c r="N2054" s="12" t="str">
        <x:v>教勤连</x:v>
      </x:c>
      <x:c r="O2054" s="12" t="n">
        <x:f>IFERROR(INDEX('秒级路线参数_可调整'!$O:$O,MATCH(M2054,'秒级路线参数_可调整'!$A:$A,0)),"")</x:f>
        <x:v>250</x:v>
      </x:c>
      <x:c r="P2054" s="12" t="n">
        <x:f>IF(O2054="","",O2054/86400)</x:f>
        <x:v>0.0028935185185185184</x:v>
      </x:c>
      <x:c r="Q2054" s="12" t="n">
        <x:f>IF(O2054="","",(H2054*60+O2054)/86400)</x:f>
        <x:v>0.41608796296296297</x:v>
      </x:c>
      <x:c r="R2054" s="12" t="str">
        <x:f>IF(Q2054="","",TEXT(Q2054,"hh:mm:ss"))</x:f>
        <x:v>09:59:10</x:v>
      </x:c>
      <x:c r="S2054" s="12" t="str">
        <x:v>否</x:v>
      </x:c>
      <x:c r="T2054" s="12" t="str">
        <x:v>否</x:v>
      </x:c>
      <x:c r="U2054" s="12" t="str">
        <x:v>孙五星</x:v>
      </x:c>
      <x:c r="V2054" s="12" t="str">
        <x:v>3号车</x:v>
      </x:c>
      <x:c r="W2054" s="12" t="str">
        <x:v>秒级预测</x:v>
      </x:c>
      <x:c r="X2054" s="12" t="str">
        <x:v>基于路线秒级参数；如录入实测或手动采用秒，预计到达时间可随公式更新</x:v>
      </x:c>
    </x:row>
    <x:row r="2055">
      <x:c r="A2055" s="12" t="str">
        <x:v>S0178-06</x:v>
      </x:c>
      <x:c r="B2055" s="12" t="str">
        <x:v>S0178</x:v>
      </x:c>
      <x:c r="C2055" s="12" t="str">
        <x:v>周末/节假日</x:v>
      </x:c>
      <x:c r="D2055" s="12" t="str">
        <x:v>环线3路</x:v>
      </x:c>
      <x:c r="E2055" s="12" t="str">
        <x:v>第一班</x:v>
      </x:c>
      <x:c r="F2055" s="12" t="n">
        <x:v>5</x:v>
      </x:c>
      <x:c r="G2055" s="12" t="str">
        <x:v>9:55</x:v>
      </x:c>
      <x:c r="H2055" s="12" t="n">
        <x:v>595</x:v>
      </x:c>
      <x:c r="I2055" s="12" t="str">
        <x:v>研究生宿舍楼</x:v>
      </x:c>
      <x:c r="J2055" s="12" t="str">
        <x:v>研究生宿舍楼发车</x:v>
      </x:c>
      <x:c r="K2055" s="12" t="str">
        <x:v>HX3_NORMAL</x:v>
      </x:c>
      <x:c r="L2055" s="12" t="n">
        <x:v>6</x:v>
      </x:c>
      <x:c r="M2055" s="12" t="str">
        <x:v>HX3_NORMAL|6</x:v>
      </x:c>
      <x:c r="N2055" s="12" t="str">
        <x:v>激光所</x:v>
      </x:c>
      <x:c r="O2055" s="12" t="n">
        <x:f>IFERROR(INDEX('秒级路线参数_可调整'!$O:$O,MATCH(M2055,'秒级路线参数_可调整'!$A:$A,0)),"")</x:f>
        <x:v>315</x:v>
      </x:c>
      <x:c r="P2055" s="12" t="n">
        <x:f>IF(O2055="","",O2055/86400)</x:f>
        <x:v>0.0036458333333333334</x:v>
      </x:c>
      <x:c r="Q2055" s="12" t="n">
        <x:f>IF(O2055="","",(H2055*60+O2055)/86400)</x:f>
        <x:v>0.41684027777777777</x:v>
      </x:c>
      <x:c r="R2055" s="12" t="str">
        <x:f>IF(Q2055="","",TEXT(Q2055,"hh:mm:ss"))</x:f>
        <x:v>10:00:15</x:v>
      </x:c>
      <x:c r="S2055" s="12" t="str">
        <x:v>否</x:v>
      </x:c>
      <x:c r="T2055" s="12" t="str">
        <x:v>否</x:v>
      </x:c>
      <x:c r="U2055" s="12" t="str">
        <x:v>孙五星</x:v>
      </x:c>
      <x:c r="V2055" s="12" t="str">
        <x:v>3号车</x:v>
      </x:c>
      <x:c r="W2055" s="12" t="str">
        <x:v>秒级预测</x:v>
      </x:c>
      <x:c r="X2055" s="12" t="str">
        <x:v>基于路线秒级参数；如录入实测或手动采用秒，预计到达时间可随公式更新</x:v>
      </x:c>
    </x:row>
    <x:row r="2056">
      <x:c r="A2056" s="12" t="str">
        <x:v>S0178-07</x:v>
      </x:c>
      <x:c r="B2056" s="12" t="str">
        <x:v>S0178</x:v>
      </x:c>
      <x:c r="C2056" s="12" t="str">
        <x:v>周末/节假日</x:v>
      </x:c>
      <x:c r="D2056" s="12" t="str">
        <x:v>环线3路</x:v>
      </x:c>
      <x:c r="E2056" s="12" t="str">
        <x:v>第一班</x:v>
      </x:c>
      <x:c r="F2056" s="12" t="n">
        <x:v>5</x:v>
      </x:c>
      <x:c r="G2056" s="12" t="str">
        <x:v>9:55</x:v>
      </x:c>
      <x:c r="H2056" s="12" t="n">
        <x:v>595</x:v>
      </x:c>
      <x:c r="I2056" s="12" t="str">
        <x:v>研究生宿舍楼</x:v>
      </x:c>
      <x:c r="J2056" s="12" t="str">
        <x:v>研究生宿舍楼发车</x:v>
      </x:c>
      <x:c r="K2056" s="12" t="str">
        <x:v>HX3_NORMAL</x:v>
      </x:c>
      <x:c r="L2056" s="12" t="n">
        <x:v>7</x:v>
      </x:c>
      <x:c r="M2056" s="12" t="str">
        <x:v>HX3_NORMAL|7</x:v>
      </x:c>
      <x:c r="N2056" s="12" t="str">
        <x:v>高超楼</x:v>
      </x:c>
      <x:c r="O2056" s="12" t="n">
        <x:f>IFERROR(INDEX('秒级路线参数_可调整'!$O:$O,MATCH(M2056,'秒级路线参数_可调整'!$A:$A,0)),"")</x:f>
        <x:v>420</x:v>
      </x:c>
      <x:c r="P2056" s="12" t="n">
        <x:f>IF(O2056="","",O2056/86400)</x:f>
        <x:v>0.004861111111111111</x:v>
      </x:c>
      <x:c r="Q2056" s="12" t="n">
        <x:f>IF(O2056="","",(H2056*60+O2056)/86400)</x:f>
        <x:v>0.41805555555555557</x:v>
      </x:c>
      <x:c r="R2056" s="12" t="str">
        <x:f>IF(Q2056="","",TEXT(Q2056,"hh:mm:ss"))</x:f>
        <x:v>10:02:00</x:v>
      </x:c>
      <x:c r="S2056" s="12" t="str">
        <x:v>否</x:v>
      </x:c>
      <x:c r="T2056" s="12" t="str">
        <x:v>否</x:v>
      </x:c>
      <x:c r="U2056" s="12" t="str">
        <x:v>孙五星</x:v>
      </x:c>
      <x:c r="V2056" s="12" t="str">
        <x:v>3号车</x:v>
      </x:c>
      <x:c r="W2056" s="12" t="str">
        <x:v>秒级预测</x:v>
      </x:c>
      <x:c r="X2056" s="12" t="str">
        <x:v>基于路线秒级参数；如录入实测或手动采用秒，预计到达时间可随公式更新</x:v>
      </x:c>
    </x:row>
    <x:row r="2057">
      <x:c r="A2057" s="12" t="str">
        <x:v>S0178-08</x:v>
      </x:c>
      <x:c r="B2057" s="12" t="str">
        <x:v>S0178</x:v>
      </x:c>
      <x:c r="C2057" s="12" t="str">
        <x:v>周末/节假日</x:v>
      </x:c>
      <x:c r="D2057" s="12" t="str">
        <x:v>环线3路</x:v>
      </x:c>
      <x:c r="E2057" s="12" t="str">
        <x:v>第一班</x:v>
      </x:c>
      <x:c r="F2057" s="12" t="n">
        <x:v>5</x:v>
      </x:c>
      <x:c r="G2057" s="12" t="str">
        <x:v>9:55</x:v>
      </x:c>
      <x:c r="H2057" s="12" t="n">
        <x:v>595</x:v>
      </x:c>
      <x:c r="I2057" s="12" t="str">
        <x:v>研究生宿舍楼</x:v>
      </x:c>
      <x:c r="J2057" s="12" t="str">
        <x:v>研究生宿舍楼发车</x:v>
      </x:c>
      <x:c r="K2057" s="12" t="str">
        <x:v>HX3_NORMAL</x:v>
      </x:c>
      <x:c r="L2057" s="12" t="n">
        <x:v>8</x:v>
      </x:c>
      <x:c r="M2057" s="12" t="str">
        <x:v>HX3_NORMAL|8</x:v>
      </x:c>
      <x:c r="N2057" s="12" t="str">
        <x:v>理学院</x:v>
      </x:c>
      <x:c r="O2057" s="12" t="n">
        <x:f>IFERROR(INDEX('秒级路线参数_可调整'!$O:$O,MATCH(M2057,'秒级路线参数_可调整'!$A:$A,0)),"")</x:f>
        <x:v>480</x:v>
      </x:c>
      <x:c r="P2057" s="12" t="n">
        <x:f>IF(O2057="","",O2057/86400)</x:f>
        <x:v>0.005555555555555556</x:v>
      </x:c>
      <x:c r="Q2057" s="12" t="n">
        <x:f>IF(O2057="","",(H2057*60+O2057)/86400)</x:f>
        <x:v>0.41875</x:v>
      </x:c>
      <x:c r="R2057" s="12" t="str">
        <x:f>IF(Q2057="","",TEXT(Q2057,"hh:mm:ss"))</x:f>
        <x:v>10:03:00</x:v>
      </x:c>
      <x:c r="S2057" s="12" t="str">
        <x:v>否</x:v>
      </x:c>
      <x:c r="T2057" s="12" t="str">
        <x:v>否</x:v>
      </x:c>
      <x:c r="U2057" s="12" t="str">
        <x:v>孙五星</x:v>
      </x:c>
      <x:c r="V2057" s="12" t="str">
        <x:v>3号车</x:v>
      </x:c>
      <x:c r="W2057" s="12" t="str">
        <x:v>秒级预测</x:v>
      </x:c>
      <x:c r="X2057" s="12" t="str">
        <x:v>基于路线秒级参数；如录入实测或手动采用秒，预计到达时间可随公式更新</x:v>
      </x:c>
    </x:row>
    <x:row r="2058">
      <x:c r="A2058" s="12" t="str">
        <x:v>S0178-09</x:v>
      </x:c>
      <x:c r="B2058" s="12" t="str">
        <x:v>S0178</x:v>
      </x:c>
      <x:c r="C2058" s="12" t="str">
        <x:v>周末/节假日</x:v>
      </x:c>
      <x:c r="D2058" s="12" t="str">
        <x:v>环线3路</x:v>
      </x:c>
      <x:c r="E2058" s="12" t="str">
        <x:v>第一班</x:v>
      </x:c>
      <x:c r="F2058" s="12" t="n">
        <x:v>5</x:v>
      </x:c>
      <x:c r="G2058" s="12" t="str">
        <x:v>9:55</x:v>
      </x:c>
      <x:c r="H2058" s="12" t="n">
        <x:v>595</x:v>
      </x:c>
      <x:c r="I2058" s="12" t="str">
        <x:v>研究生宿舍楼</x:v>
      </x:c>
      <x:c r="J2058" s="12" t="str">
        <x:v>研究生宿舍楼发车</x:v>
      </x:c>
      <x:c r="K2058" s="12" t="str">
        <x:v>HX3_NORMAL</x:v>
      </x:c>
      <x:c r="L2058" s="12" t="n">
        <x:v>9</x:v>
      </x:c>
      <x:c r="M2058" s="12" t="str">
        <x:v>HX3_NORMAL|9</x:v>
      </x:c>
      <x:c r="N2058" s="12" t="str">
        <x:v>二食堂</x:v>
      </x:c>
      <x:c r="O2058" s="12" t="n">
        <x:f>IFERROR(INDEX('秒级路线参数_可调整'!$O:$O,MATCH(M2058,'秒级路线参数_可调整'!$A:$A,0)),"")</x:f>
        <x:v>535</x:v>
      </x:c>
      <x:c r="P2058" s="12" t="n">
        <x:f>IF(O2058="","",O2058/86400)</x:f>
        <x:v>0.00619212962962963</x:v>
      </x:c>
      <x:c r="Q2058" s="12" t="n">
        <x:f>IF(O2058="","",(H2058*60+O2058)/86400)</x:f>
        <x:v>0.4193865740740741</x:v>
      </x:c>
      <x:c r="R2058" s="12" t="str">
        <x:f>IF(Q2058="","",TEXT(Q2058,"hh:mm:ss"))</x:f>
        <x:v>10:03:55</x:v>
      </x:c>
      <x:c r="S2058" s="12" t="str">
        <x:v>否</x:v>
      </x:c>
      <x:c r="T2058" s="12" t="str">
        <x:v>否</x:v>
      </x:c>
      <x:c r="U2058" s="12" t="str">
        <x:v>孙五星</x:v>
      </x:c>
      <x:c r="V2058" s="12" t="str">
        <x:v>3号车</x:v>
      </x:c>
      <x:c r="W2058" s="12" t="str">
        <x:v>秒级预测</x:v>
      </x:c>
      <x:c r="X2058" s="12" t="str">
        <x:v>基于路线秒级参数；如录入实测或手动采用秒，预计到达时间可随公式更新</x:v>
      </x:c>
    </x:row>
    <x:row r="2059">
      <x:c r="A2059" s="12" t="str">
        <x:v>S0178-10</x:v>
      </x:c>
      <x:c r="B2059" s="12" t="str">
        <x:v>S0178</x:v>
      </x:c>
      <x:c r="C2059" s="12" t="str">
        <x:v>周末/节假日</x:v>
      </x:c>
      <x:c r="D2059" s="12" t="str">
        <x:v>环线3路</x:v>
      </x:c>
      <x:c r="E2059" s="12" t="str">
        <x:v>第一班</x:v>
      </x:c>
      <x:c r="F2059" s="12" t="n">
        <x:v>5</x:v>
      </x:c>
      <x:c r="G2059" s="12" t="str">
        <x:v>9:55</x:v>
      </x:c>
      <x:c r="H2059" s="12" t="n">
        <x:v>595</x:v>
      </x:c>
      <x:c r="I2059" s="12" t="str">
        <x:v>研究生宿舍楼</x:v>
      </x:c>
      <x:c r="J2059" s="12" t="str">
        <x:v>研究生宿舍楼发车</x:v>
      </x:c>
      <x:c r="K2059" s="12" t="str">
        <x:v>HX3_NORMAL</x:v>
      </x:c>
      <x:c r="L2059" s="12" t="n">
        <x:v>10</x:v>
      </x:c>
      <x:c r="M2059" s="12" t="str">
        <x:v>HX3_NORMAL|10</x:v>
      </x:c>
      <x:c r="N2059" s="12" t="str">
        <x:v>图书馆</x:v>
      </x:c>
      <x:c r="O2059" s="12" t="n">
        <x:f>IFERROR(INDEX('秒级路线参数_可调整'!$O:$O,MATCH(M2059,'秒级路线参数_可调整'!$A:$A,0)),"")</x:f>
        <x:v>715</x:v>
      </x:c>
      <x:c r="P2059" s="12" t="n">
        <x:f>IF(O2059="","",O2059/86400)</x:f>
        <x:v>0.008275462962962964</x:v>
      </x:c>
      <x:c r="Q2059" s="12" t="n">
        <x:f>IF(O2059="","",(H2059*60+O2059)/86400)</x:f>
        <x:v>0.4214699074074074</x:v>
      </x:c>
      <x:c r="R2059" s="12" t="str">
        <x:f>IF(Q2059="","",TEXT(Q2059,"hh:mm:ss"))</x:f>
        <x:v>10:06:55</x:v>
      </x:c>
      <x:c r="S2059" s="12" t="str">
        <x:v>否</x:v>
      </x:c>
      <x:c r="T2059" s="12" t="str">
        <x:v>否</x:v>
      </x:c>
      <x:c r="U2059" s="12" t="str">
        <x:v>孙五星</x:v>
      </x:c>
      <x:c r="V2059" s="12" t="str">
        <x:v>3号车</x:v>
      </x:c>
      <x:c r="W2059" s="12" t="str">
        <x:v>秒级预测</x:v>
      </x:c>
      <x:c r="X2059" s="12" t="str">
        <x:v>基于路线秒级参数；如录入实测或手动采用秒，预计到达时间可随公式更新</x:v>
      </x:c>
    </x:row>
    <x:row r="2060">
      <x:c r="A2060" s="12" t="str">
        <x:v>S0178-11</x:v>
      </x:c>
      <x:c r="B2060" s="12" t="str">
        <x:v>S0178</x:v>
      </x:c>
      <x:c r="C2060" s="12" t="str">
        <x:v>周末/节假日</x:v>
      </x:c>
      <x:c r="D2060" s="12" t="str">
        <x:v>环线3路</x:v>
      </x:c>
      <x:c r="E2060" s="12" t="str">
        <x:v>第一班</x:v>
      </x:c>
      <x:c r="F2060" s="12" t="n">
        <x:v>5</x:v>
      </x:c>
      <x:c r="G2060" s="12" t="str">
        <x:v>9:55</x:v>
      </x:c>
      <x:c r="H2060" s="12" t="n">
        <x:v>595</x:v>
      </x:c>
      <x:c r="I2060" s="12" t="str">
        <x:v>研究生宿舍楼</x:v>
      </x:c>
      <x:c r="J2060" s="12" t="str">
        <x:v>研究生宿舍楼发车</x:v>
      </x:c>
      <x:c r="K2060" s="12" t="str">
        <x:v>HX3_NORMAL</x:v>
      </x:c>
      <x:c r="L2060" s="12" t="n">
        <x:v>11</x:v>
      </x:c>
      <x:c r="M2060" s="12" t="str">
        <x:v>HX3_NORMAL|11</x:v>
      </x:c>
      <x:c r="N2060" s="12" t="str">
        <x:v>305教学楼</x:v>
      </x:c>
      <x:c r="O2060" s="12" t="n">
        <x:f>IFERROR(INDEX('秒级路线参数_可调整'!$O:$O,MATCH(M2060,'秒级路线参数_可调整'!$A:$A,0)),"")</x:f>
        <x:v>775</x:v>
      </x:c>
      <x:c r="P2060" s="12" t="n">
        <x:f>IF(O2060="","",O2060/86400)</x:f>
        <x:v>0.008969907407407407</x:v>
      </x:c>
      <x:c r="Q2060" s="12" t="n">
        <x:f>IF(O2060="","",(H2060*60+O2060)/86400)</x:f>
        <x:v>0.42216435185185186</x:v>
      </x:c>
      <x:c r="R2060" s="12" t="str">
        <x:f>IF(Q2060="","",TEXT(Q2060,"hh:mm:ss"))</x:f>
        <x:v>10:07:55</x:v>
      </x:c>
      <x:c r="S2060" s="12" t="str">
        <x:v>否</x:v>
      </x:c>
      <x:c r="T2060" s="12" t="str">
        <x:v>否</x:v>
      </x:c>
      <x:c r="U2060" s="12" t="str">
        <x:v>孙五星</x:v>
      </x:c>
      <x:c r="V2060" s="12" t="str">
        <x:v>3号车</x:v>
      </x:c>
      <x:c r="W2060" s="12" t="str">
        <x:v>秒级预测</x:v>
      </x:c>
      <x:c r="X2060" s="12" t="str">
        <x:v>基于路线秒级参数；如录入实测或手动采用秒，预计到达时间可随公式更新</x:v>
      </x:c>
    </x:row>
    <x:row r="2061">
      <x:c r="A2061" s="12" t="str">
        <x:v>S0178-12</x:v>
      </x:c>
      <x:c r="B2061" s="12" t="str">
        <x:v>S0178</x:v>
      </x:c>
      <x:c r="C2061" s="12" t="str">
        <x:v>周末/节假日</x:v>
      </x:c>
      <x:c r="D2061" s="12" t="str">
        <x:v>环线3路</x:v>
      </x:c>
      <x:c r="E2061" s="12" t="str">
        <x:v>第一班</x:v>
      </x:c>
      <x:c r="F2061" s="12" t="n">
        <x:v>5</x:v>
      </x:c>
      <x:c r="G2061" s="12" t="str">
        <x:v>9:55</x:v>
      </x:c>
      <x:c r="H2061" s="12" t="n">
        <x:v>595</x:v>
      </x:c>
      <x:c r="I2061" s="12" t="str">
        <x:v>研究生宿舍楼</x:v>
      </x:c>
      <x:c r="J2061" s="12" t="str">
        <x:v>研究生宿舍楼发车</x:v>
      </x:c>
      <x:c r="K2061" s="12" t="str">
        <x:v>HX3_NORMAL</x:v>
      </x:c>
      <x:c r="L2061" s="12" t="n">
        <x:v>12</x:v>
      </x:c>
      <x:c r="M2061" s="12" t="str">
        <x:v>HX3_NORMAL|12</x:v>
      </x:c>
      <x:c r="N2061" s="12" t="str">
        <x:v>研究生宿舍楼</x:v>
      </x:c>
      <x:c r="O2061" s="12" t="n">
        <x:f>IFERROR(INDEX('秒级路线参数_可调整'!$O:$O,MATCH(M2061,'秒级路线参数_可调整'!$A:$A,0)),"")</x:f>
        <x:v>840</x:v>
      </x:c>
      <x:c r="P2061" s="12" t="n">
        <x:f>IF(O2061="","",O2061/86400)</x:f>
        <x:v>0.009722222222222222</x:v>
      </x:c>
      <x:c r="Q2061" s="12" t="n">
        <x:f>IF(O2061="","",(H2061*60+O2061)/86400)</x:f>
        <x:v>0.42291666666666666</x:v>
      </x:c>
      <x:c r="R2061" s="12" t="str">
        <x:f>IF(Q2061="","",TEXT(Q2061,"hh:mm:ss"))</x:f>
        <x:v>10:09:00</x:v>
      </x:c>
      <x:c r="S2061" s="12" t="str">
        <x:v>否</x:v>
      </x:c>
      <x:c r="T2061" s="12" t="str">
        <x:v>是</x:v>
      </x:c>
      <x:c r="U2061" s="12" t="str">
        <x:v>孙五星</x:v>
      </x:c>
      <x:c r="V2061" s="12" t="str">
        <x:v>3号车</x:v>
      </x:c>
      <x:c r="W2061" s="12" t="str">
        <x:v>秒级预测</x:v>
      </x:c>
      <x:c r="X2061" s="12" t="str">
        <x:v>基于路线秒级参数；如录入实测或手动采用秒，预计到达时间可随公式更新</x:v>
      </x:c>
    </x:row>
    <x:row r="2062">
      <x:c r="A2062" s="12" t="str">
        <x:v>S0179-01</x:v>
      </x:c>
      <x:c r="B2062" s="12" t="str">
        <x:v>S0179</x:v>
      </x:c>
      <x:c r="C2062" s="12" t="str">
        <x:v>周末/节假日</x:v>
      </x:c>
      <x:c r="D2062" s="12" t="str">
        <x:v>环线3路</x:v>
      </x:c>
      <x:c r="E2062" s="12" t="str">
        <x:v>第一班</x:v>
      </x:c>
      <x:c r="F2062" s="12" t="n">
        <x:v>6</x:v>
      </x:c>
      <x:c r="G2062" s="12" t="str">
        <x:v>10:20</x:v>
      </x:c>
      <x:c r="H2062" s="12" t="n">
        <x:v>620</x:v>
      </x:c>
      <x:c r="I2062" s="12" t="str">
        <x:v>研究生宿舍楼</x:v>
      </x:c>
      <x:c r="J2062" s="12" t="str">
        <x:v>研究生宿舍楼发车</x:v>
      </x:c>
      <x:c r="K2062" s="12" t="str">
        <x:v>HX3_NORMAL</x:v>
      </x:c>
      <x:c r="L2062" s="12" t="n">
        <x:v>1</x:v>
      </x:c>
      <x:c r="M2062" s="12" t="str">
        <x:v>HX3_NORMAL|1</x:v>
      </x:c>
      <x:c r="N2062" s="12" t="str">
        <x:v>研究生宿舍楼</x:v>
      </x:c>
      <x:c r="O2062" s="12" t="n">
        <x:f>IFERROR(INDEX('秒级路线参数_可调整'!$O:$O,MATCH(M2062,'秒级路线参数_可调整'!$A:$A,0)),"")</x:f>
        <x:v>0</x:v>
      </x:c>
      <x:c r="P2062" s="12" t="str">
        <x:f>IF(O2062="","",O2062/86400)</x:f>
      </x:c>
      <x:c r="Q2062" s="12" t="str">
        <x:f>IF(O2062="","",(H2062*60+O2062)/86400)</x:f>
      </x:c>
      <x:c r="R2062" s="12" t="str">
        <x:f>IF(Q2062="","",TEXT(Q2062,"hh:mm:ss"))</x:f>
      </x:c>
      <x:c r="S2062" s="12" t="str">
        <x:v>是</x:v>
      </x:c>
      <x:c r="T2062" s="12" t="str">
        <x:v>否</x:v>
      </x:c>
      <x:c r="U2062" s="12" t="str">
        <x:v>孙五星</x:v>
      </x:c>
      <x:c r="V2062" s="12" t="str">
        <x:v>3号车</x:v>
      </x:c>
      <x:c r="W2062" s="12" t="str">
        <x:v>秒级预测</x:v>
      </x:c>
      <x:c r="X2062" s="12" t="str">
        <x:v>基于路线秒级参数；如录入实测或手动采用秒，预计到达时间可随公式更新</x:v>
      </x:c>
    </x:row>
    <x:row r="2063">
      <x:c r="A2063" s="12" t="str">
        <x:v>S0179-02</x:v>
      </x:c>
      <x:c r="B2063" s="12" t="str">
        <x:v>S0179</x:v>
      </x:c>
      <x:c r="C2063" s="12" t="str">
        <x:v>周末/节假日</x:v>
      </x:c>
      <x:c r="D2063" s="12" t="str">
        <x:v>环线3路</x:v>
      </x:c>
      <x:c r="E2063" s="12" t="str">
        <x:v>第一班</x:v>
      </x:c>
      <x:c r="F2063" s="12" t="n">
        <x:v>6</x:v>
      </x:c>
      <x:c r="G2063" s="12" t="str">
        <x:v>10:20</x:v>
      </x:c>
      <x:c r="H2063" s="12" t="n">
        <x:v>620</x:v>
      </x:c>
      <x:c r="I2063" s="12" t="str">
        <x:v>研究生宿舍楼</x:v>
      </x:c>
      <x:c r="J2063" s="12" t="str">
        <x:v>研究生宿舍楼发车</x:v>
      </x:c>
      <x:c r="K2063" s="12" t="str">
        <x:v>HX3_NORMAL</x:v>
      </x:c>
      <x:c r="L2063" s="12" t="n">
        <x:v>2</x:v>
      </x:c>
      <x:c r="M2063" s="12" t="str">
        <x:v>HX3_NORMAL|2</x:v>
      </x:c>
      <x:c r="N2063" s="12" t="str">
        <x:v>一食堂</x:v>
      </x:c>
      <x:c r="O2063" s="12" t="n">
        <x:f>IFERROR(INDEX('秒级路线参数_可调整'!$O:$O,MATCH(M2063,'秒级路线参数_可调整'!$A:$A,0)),"")</x:f>
        <x:v>65</x:v>
      </x:c>
      <x:c r="P2063" s="12" t="n">
        <x:f>IF(O2063="","",O2063/86400)</x:f>
        <x:v>0.0007523148148148148</x:v>
      </x:c>
      <x:c r="Q2063" s="12" t="n">
        <x:f>IF(O2063="","",(H2063*60+O2063)/86400)</x:f>
        <x:v>0.4313078703703704</x:v>
      </x:c>
      <x:c r="R2063" s="12" t="str">
        <x:f>IF(Q2063="","",TEXT(Q2063,"hh:mm:ss"))</x:f>
        <x:v>10:21:05</x:v>
      </x:c>
      <x:c r="S2063" s="12" t="str">
        <x:v>否</x:v>
      </x:c>
      <x:c r="T2063" s="12" t="str">
        <x:v>否</x:v>
      </x:c>
      <x:c r="U2063" s="12" t="str">
        <x:v>孙五星</x:v>
      </x:c>
      <x:c r="V2063" s="12" t="str">
        <x:v>3号车</x:v>
      </x:c>
      <x:c r="W2063" s="12" t="str">
        <x:v>秒级预测</x:v>
      </x:c>
      <x:c r="X2063" s="12" t="str">
        <x:v>基于路线秒级参数；如录入实测或手动采用秒，预计到达时间可随公式更新</x:v>
      </x:c>
    </x:row>
    <x:row r="2064">
      <x:c r="A2064" s="12" t="str">
        <x:v>S0179-03</x:v>
      </x:c>
      <x:c r="B2064" s="12" t="str">
        <x:v>S0179</x:v>
      </x:c>
      <x:c r="C2064" s="12" t="str">
        <x:v>周末/节假日</x:v>
      </x:c>
      <x:c r="D2064" s="12" t="str">
        <x:v>环线3路</x:v>
      </x:c>
      <x:c r="E2064" s="12" t="str">
        <x:v>第一班</x:v>
      </x:c>
      <x:c r="F2064" s="12" t="n">
        <x:v>6</x:v>
      </x:c>
      <x:c r="G2064" s="12" t="str">
        <x:v>10:20</x:v>
      </x:c>
      <x:c r="H2064" s="12" t="n">
        <x:v>620</x:v>
      </x:c>
      <x:c r="I2064" s="12" t="str">
        <x:v>研究生宿舍楼</x:v>
      </x:c>
      <x:c r="J2064" s="12" t="str">
        <x:v>研究生宿舍楼发车</x:v>
      </x:c>
      <x:c r="K2064" s="12" t="str">
        <x:v>HX3_NORMAL</x:v>
      </x:c>
      <x:c r="L2064" s="12" t="n">
        <x:v>3</x:v>
      </x:c>
      <x:c r="M2064" s="12" t="str">
        <x:v>HX3_NORMAL|3</x:v>
      </x:c>
      <x:c r="N2064" s="12" t="str">
        <x:v>2号宿舍楼</x:v>
      </x:c>
      <x:c r="O2064" s="12" t="n">
        <x:f>IFERROR(INDEX('秒级路线参数_可调整'!$O:$O,MATCH(M2064,'秒级路线参数_可调整'!$A:$A,0)),"")</x:f>
        <x:v>120</x:v>
      </x:c>
      <x:c r="P2064" s="12" t="n">
        <x:f>IF(O2064="","",O2064/86400)</x:f>
        <x:v>0.001388888888888889</x:v>
      </x:c>
      <x:c r="Q2064" s="12" t="n">
        <x:f>IF(O2064="","",(H2064*60+O2064)/86400)</x:f>
        <x:v>0.43194444444444446</x:v>
      </x:c>
      <x:c r="R2064" s="12" t="str">
        <x:f>IF(Q2064="","",TEXT(Q2064,"hh:mm:ss"))</x:f>
        <x:v>10:22:00</x:v>
      </x:c>
      <x:c r="S2064" s="12" t="str">
        <x:v>否</x:v>
      </x:c>
      <x:c r="T2064" s="12" t="str">
        <x:v>否</x:v>
      </x:c>
      <x:c r="U2064" s="12" t="str">
        <x:v>孙五星</x:v>
      </x:c>
      <x:c r="V2064" s="12" t="str">
        <x:v>3号车</x:v>
      </x:c>
      <x:c r="W2064" s="12" t="str">
        <x:v>秒级预测</x:v>
      </x:c>
      <x:c r="X2064" s="12" t="str">
        <x:v>基于路线秒级参数；如录入实测或手动采用秒，预计到达时间可随公式更新</x:v>
      </x:c>
    </x:row>
    <x:row r="2065">
      <x:c r="A2065" s="12" t="str">
        <x:v>S0179-04</x:v>
      </x:c>
      <x:c r="B2065" s="12" t="str">
        <x:v>S0179</x:v>
      </x:c>
      <x:c r="C2065" s="12" t="str">
        <x:v>周末/节假日</x:v>
      </x:c>
      <x:c r="D2065" s="12" t="str">
        <x:v>环线3路</x:v>
      </x:c>
      <x:c r="E2065" s="12" t="str">
        <x:v>第一班</x:v>
      </x:c>
      <x:c r="F2065" s="12" t="n">
        <x:v>6</x:v>
      </x:c>
      <x:c r="G2065" s="12" t="str">
        <x:v>10:20</x:v>
      </x:c>
      <x:c r="H2065" s="12" t="n">
        <x:v>620</x:v>
      </x:c>
      <x:c r="I2065" s="12" t="str">
        <x:v>研究生宿舍楼</x:v>
      </x:c>
      <x:c r="J2065" s="12" t="str">
        <x:v>研究生宿舍楼发车</x:v>
      </x:c>
      <x:c r="K2065" s="12" t="str">
        <x:v>HX3_NORMAL</x:v>
      </x:c>
      <x:c r="L2065" s="12" t="n">
        <x:v>4</x:v>
      </x:c>
      <x:c r="M2065" s="12" t="str">
        <x:v>HX3_NORMAL|4</x:v>
      </x:c>
      <x:c r="N2065" s="12" t="str">
        <x:v>军体活动中心</x:v>
      </x:c>
      <x:c r="O2065" s="12" t="n">
        <x:f>IFERROR(INDEX('秒级路线参数_可调整'!$O:$O,MATCH(M2065,'秒级路线参数_可调整'!$A:$A,0)),"")</x:f>
        <x:v>165</x:v>
      </x:c>
      <x:c r="P2065" s="12" t="n">
        <x:f>IF(O2065="","",O2065/86400)</x:f>
        <x:v>0.0019097222222222222</x:v>
      </x:c>
      <x:c r="Q2065" s="12" t="n">
        <x:f>IF(O2065="","",(H2065*60+O2065)/86400)</x:f>
        <x:v>0.43246527777777777</x:v>
      </x:c>
      <x:c r="R2065" s="12" t="str">
        <x:f>IF(Q2065="","",TEXT(Q2065,"hh:mm:ss"))</x:f>
        <x:v>10:22:45</x:v>
      </x:c>
      <x:c r="S2065" s="12" t="str">
        <x:v>否</x:v>
      </x:c>
      <x:c r="T2065" s="12" t="str">
        <x:v>否</x:v>
      </x:c>
      <x:c r="U2065" s="12" t="str">
        <x:v>孙五星</x:v>
      </x:c>
      <x:c r="V2065" s="12" t="str">
        <x:v>3号车</x:v>
      </x:c>
      <x:c r="W2065" s="12" t="str">
        <x:v>秒级预测</x:v>
      </x:c>
      <x:c r="X2065" s="12" t="str">
        <x:v>基于路线秒级参数；如录入实测或手动采用秒，预计到达时间可随公式更新</x:v>
      </x:c>
    </x:row>
    <x:row r="2066">
      <x:c r="A2066" s="12" t="str">
        <x:v>S0179-05</x:v>
      </x:c>
      <x:c r="B2066" s="12" t="str">
        <x:v>S0179</x:v>
      </x:c>
      <x:c r="C2066" s="12" t="str">
        <x:v>周末/节假日</x:v>
      </x:c>
      <x:c r="D2066" s="12" t="str">
        <x:v>环线3路</x:v>
      </x:c>
      <x:c r="E2066" s="12" t="str">
        <x:v>第一班</x:v>
      </x:c>
      <x:c r="F2066" s="12" t="n">
        <x:v>6</x:v>
      </x:c>
      <x:c r="G2066" s="12" t="str">
        <x:v>10:20</x:v>
      </x:c>
      <x:c r="H2066" s="12" t="n">
        <x:v>620</x:v>
      </x:c>
      <x:c r="I2066" s="12" t="str">
        <x:v>研究生宿舍楼</x:v>
      </x:c>
      <x:c r="J2066" s="12" t="str">
        <x:v>研究生宿舍楼发车</x:v>
      </x:c>
      <x:c r="K2066" s="12" t="str">
        <x:v>HX3_NORMAL</x:v>
      </x:c>
      <x:c r="L2066" s="12" t="n">
        <x:v>5</x:v>
      </x:c>
      <x:c r="M2066" s="12" t="str">
        <x:v>HX3_NORMAL|5</x:v>
      </x:c>
      <x:c r="N2066" s="12" t="str">
        <x:v>教勤连</x:v>
      </x:c>
      <x:c r="O2066" s="12" t="n">
        <x:f>IFERROR(INDEX('秒级路线参数_可调整'!$O:$O,MATCH(M2066,'秒级路线参数_可调整'!$A:$A,0)),"")</x:f>
        <x:v>250</x:v>
      </x:c>
      <x:c r="P2066" s="12" t="n">
        <x:f>IF(O2066="","",O2066/86400)</x:f>
        <x:v>0.0028935185185185184</x:v>
      </x:c>
      <x:c r="Q2066" s="12" t="n">
        <x:f>IF(O2066="","",(H2066*60+O2066)/86400)</x:f>
        <x:v>0.43344907407407407</x:v>
      </x:c>
      <x:c r="R2066" s="12" t="str">
        <x:f>IF(Q2066="","",TEXT(Q2066,"hh:mm:ss"))</x:f>
        <x:v>10:24:10</x:v>
      </x:c>
      <x:c r="S2066" s="12" t="str">
        <x:v>否</x:v>
      </x:c>
      <x:c r="T2066" s="12" t="str">
        <x:v>否</x:v>
      </x:c>
      <x:c r="U2066" s="12" t="str">
        <x:v>孙五星</x:v>
      </x:c>
      <x:c r="V2066" s="12" t="str">
        <x:v>3号车</x:v>
      </x:c>
      <x:c r="W2066" s="12" t="str">
        <x:v>秒级预测</x:v>
      </x:c>
      <x:c r="X2066" s="12" t="str">
        <x:v>基于路线秒级参数；如录入实测或手动采用秒，预计到达时间可随公式更新</x:v>
      </x:c>
    </x:row>
    <x:row r="2067">
      <x:c r="A2067" s="12" t="str">
        <x:v>S0179-06</x:v>
      </x:c>
      <x:c r="B2067" s="12" t="str">
        <x:v>S0179</x:v>
      </x:c>
      <x:c r="C2067" s="12" t="str">
        <x:v>周末/节假日</x:v>
      </x:c>
      <x:c r="D2067" s="12" t="str">
        <x:v>环线3路</x:v>
      </x:c>
      <x:c r="E2067" s="12" t="str">
        <x:v>第一班</x:v>
      </x:c>
      <x:c r="F2067" s="12" t="n">
        <x:v>6</x:v>
      </x:c>
      <x:c r="G2067" s="12" t="str">
        <x:v>10:20</x:v>
      </x:c>
      <x:c r="H2067" s="12" t="n">
        <x:v>620</x:v>
      </x:c>
      <x:c r="I2067" s="12" t="str">
        <x:v>研究生宿舍楼</x:v>
      </x:c>
      <x:c r="J2067" s="12" t="str">
        <x:v>研究生宿舍楼发车</x:v>
      </x:c>
      <x:c r="K2067" s="12" t="str">
        <x:v>HX3_NORMAL</x:v>
      </x:c>
      <x:c r="L2067" s="12" t="n">
        <x:v>6</x:v>
      </x:c>
      <x:c r="M2067" s="12" t="str">
        <x:v>HX3_NORMAL|6</x:v>
      </x:c>
      <x:c r="N2067" s="12" t="str">
        <x:v>激光所</x:v>
      </x:c>
      <x:c r="O2067" s="12" t="n">
        <x:f>IFERROR(INDEX('秒级路线参数_可调整'!$O:$O,MATCH(M2067,'秒级路线参数_可调整'!$A:$A,0)),"")</x:f>
        <x:v>315</x:v>
      </x:c>
      <x:c r="P2067" s="12" t="n">
        <x:f>IF(O2067="","",O2067/86400)</x:f>
        <x:v>0.0036458333333333334</x:v>
      </x:c>
      <x:c r="Q2067" s="12" t="n">
        <x:f>IF(O2067="","",(H2067*60+O2067)/86400)</x:f>
        <x:v>0.4342013888888889</x:v>
      </x:c>
      <x:c r="R2067" s="12" t="str">
        <x:f>IF(Q2067="","",TEXT(Q2067,"hh:mm:ss"))</x:f>
        <x:v>10:25:15</x:v>
      </x:c>
      <x:c r="S2067" s="12" t="str">
        <x:v>否</x:v>
      </x:c>
      <x:c r="T2067" s="12" t="str">
        <x:v>否</x:v>
      </x:c>
      <x:c r="U2067" s="12" t="str">
        <x:v>孙五星</x:v>
      </x:c>
      <x:c r="V2067" s="12" t="str">
        <x:v>3号车</x:v>
      </x:c>
      <x:c r="W2067" s="12" t="str">
        <x:v>秒级预测</x:v>
      </x:c>
      <x:c r="X2067" s="12" t="str">
        <x:v>基于路线秒级参数；如录入实测或手动采用秒，预计到达时间可随公式更新</x:v>
      </x:c>
    </x:row>
    <x:row r="2068">
      <x:c r="A2068" s="12" t="str">
        <x:v>S0179-07</x:v>
      </x:c>
      <x:c r="B2068" s="12" t="str">
        <x:v>S0179</x:v>
      </x:c>
      <x:c r="C2068" s="12" t="str">
        <x:v>周末/节假日</x:v>
      </x:c>
      <x:c r="D2068" s="12" t="str">
        <x:v>环线3路</x:v>
      </x:c>
      <x:c r="E2068" s="12" t="str">
        <x:v>第一班</x:v>
      </x:c>
      <x:c r="F2068" s="12" t="n">
        <x:v>6</x:v>
      </x:c>
      <x:c r="G2068" s="12" t="str">
        <x:v>10:20</x:v>
      </x:c>
      <x:c r="H2068" s="12" t="n">
        <x:v>620</x:v>
      </x:c>
      <x:c r="I2068" s="12" t="str">
        <x:v>研究生宿舍楼</x:v>
      </x:c>
      <x:c r="J2068" s="12" t="str">
        <x:v>研究生宿舍楼发车</x:v>
      </x:c>
      <x:c r="K2068" s="12" t="str">
        <x:v>HX3_NORMAL</x:v>
      </x:c>
      <x:c r="L2068" s="12" t="n">
        <x:v>7</x:v>
      </x:c>
      <x:c r="M2068" s="12" t="str">
        <x:v>HX3_NORMAL|7</x:v>
      </x:c>
      <x:c r="N2068" s="12" t="str">
        <x:v>高超楼</x:v>
      </x:c>
      <x:c r="O2068" s="12" t="n">
        <x:f>IFERROR(INDEX('秒级路线参数_可调整'!$O:$O,MATCH(M2068,'秒级路线参数_可调整'!$A:$A,0)),"")</x:f>
        <x:v>420</x:v>
      </x:c>
      <x:c r="P2068" s="12" t="n">
        <x:f>IF(O2068="","",O2068/86400)</x:f>
        <x:v>0.004861111111111111</x:v>
      </x:c>
      <x:c r="Q2068" s="12" t="n">
        <x:f>IF(O2068="","",(H2068*60+O2068)/86400)</x:f>
        <x:v>0.4354166666666667</x:v>
      </x:c>
      <x:c r="R2068" s="12" t="str">
        <x:f>IF(Q2068="","",TEXT(Q2068,"hh:mm:ss"))</x:f>
        <x:v>10:27:00</x:v>
      </x:c>
      <x:c r="S2068" s="12" t="str">
        <x:v>否</x:v>
      </x:c>
      <x:c r="T2068" s="12" t="str">
        <x:v>否</x:v>
      </x:c>
      <x:c r="U2068" s="12" t="str">
        <x:v>孙五星</x:v>
      </x:c>
      <x:c r="V2068" s="12" t="str">
        <x:v>3号车</x:v>
      </x:c>
      <x:c r="W2068" s="12" t="str">
        <x:v>秒级预测</x:v>
      </x:c>
      <x:c r="X2068" s="12" t="str">
        <x:v>基于路线秒级参数；如录入实测或手动采用秒，预计到达时间可随公式更新</x:v>
      </x:c>
    </x:row>
    <x:row r="2069">
      <x:c r="A2069" s="12" t="str">
        <x:v>S0179-08</x:v>
      </x:c>
      <x:c r="B2069" s="12" t="str">
        <x:v>S0179</x:v>
      </x:c>
      <x:c r="C2069" s="12" t="str">
        <x:v>周末/节假日</x:v>
      </x:c>
      <x:c r="D2069" s="12" t="str">
        <x:v>环线3路</x:v>
      </x:c>
      <x:c r="E2069" s="12" t="str">
        <x:v>第一班</x:v>
      </x:c>
      <x:c r="F2069" s="12" t="n">
        <x:v>6</x:v>
      </x:c>
      <x:c r="G2069" s="12" t="str">
        <x:v>10:20</x:v>
      </x:c>
      <x:c r="H2069" s="12" t="n">
        <x:v>620</x:v>
      </x:c>
      <x:c r="I2069" s="12" t="str">
        <x:v>研究生宿舍楼</x:v>
      </x:c>
      <x:c r="J2069" s="12" t="str">
        <x:v>研究生宿舍楼发车</x:v>
      </x:c>
      <x:c r="K2069" s="12" t="str">
        <x:v>HX3_NORMAL</x:v>
      </x:c>
      <x:c r="L2069" s="12" t="n">
        <x:v>8</x:v>
      </x:c>
      <x:c r="M2069" s="12" t="str">
        <x:v>HX3_NORMAL|8</x:v>
      </x:c>
      <x:c r="N2069" s="12" t="str">
        <x:v>理学院</x:v>
      </x:c>
      <x:c r="O2069" s="12" t="n">
        <x:f>IFERROR(INDEX('秒级路线参数_可调整'!$O:$O,MATCH(M2069,'秒级路线参数_可调整'!$A:$A,0)),"")</x:f>
        <x:v>480</x:v>
      </x:c>
      <x:c r="P2069" s="12" t="n">
        <x:f>IF(O2069="","",O2069/86400)</x:f>
        <x:v>0.005555555555555556</x:v>
      </x:c>
      <x:c r="Q2069" s="12" t="n">
        <x:f>IF(O2069="","",(H2069*60+O2069)/86400)</x:f>
        <x:v>0.4361111111111111</x:v>
      </x:c>
      <x:c r="R2069" s="12" t="str">
        <x:f>IF(Q2069="","",TEXT(Q2069,"hh:mm:ss"))</x:f>
        <x:v>10:28:00</x:v>
      </x:c>
      <x:c r="S2069" s="12" t="str">
        <x:v>否</x:v>
      </x:c>
      <x:c r="T2069" s="12" t="str">
        <x:v>否</x:v>
      </x:c>
      <x:c r="U2069" s="12" t="str">
        <x:v>孙五星</x:v>
      </x:c>
      <x:c r="V2069" s="12" t="str">
        <x:v>3号车</x:v>
      </x:c>
      <x:c r="W2069" s="12" t="str">
        <x:v>秒级预测</x:v>
      </x:c>
      <x:c r="X2069" s="12" t="str">
        <x:v>基于路线秒级参数；如录入实测或手动采用秒，预计到达时间可随公式更新</x:v>
      </x:c>
    </x:row>
    <x:row r="2070">
      <x:c r="A2070" s="12" t="str">
        <x:v>S0179-09</x:v>
      </x:c>
      <x:c r="B2070" s="12" t="str">
        <x:v>S0179</x:v>
      </x:c>
      <x:c r="C2070" s="12" t="str">
        <x:v>周末/节假日</x:v>
      </x:c>
      <x:c r="D2070" s="12" t="str">
        <x:v>环线3路</x:v>
      </x:c>
      <x:c r="E2070" s="12" t="str">
        <x:v>第一班</x:v>
      </x:c>
      <x:c r="F2070" s="12" t="n">
        <x:v>6</x:v>
      </x:c>
      <x:c r="G2070" s="12" t="str">
        <x:v>10:20</x:v>
      </x:c>
      <x:c r="H2070" s="12" t="n">
        <x:v>620</x:v>
      </x:c>
      <x:c r="I2070" s="12" t="str">
        <x:v>研究生宿舍楼</x:v>
      </x:c>
      <x:c r="J2070" s="12" t="str">
        <x:v>研究生宿舍楼发车</x:v>
      </x:c>
      <x:c r="K2070" s="12" t="str">
        <x:v>HX3_NORMAL</x:v>
      </x:c>
      <x:c r="L2070" s="12" t="n">
        <x:v>9</x:v>
      </x:c>
      <x:c r="M2070" s="12" t="str">
        <x:v>HX3_NORMAL|9</x:v>
      </x:c>
      <x:c r="N2070" s="12" t="str">
        <x:v>二食堂</x:v>
      </x:c>
      <x:c r="O2070" s="12" t="n">
        <x:f>IFERROR(INDEX('秒级路线参数_可调整'!$O:$O,MATCH(M2070,'秒级路线参数_可调整'!$A:$A,0)),"")</x:f>
        <x:v>535</x:v>
      </x:c>
      <x:c r="P2070" s="12" t="n">
        <x:f>IF(O2070="","",O2070/86400)</x:f>
        <x:v>0.00619212962962963</x:v>
      </x:c>
      <x:c r="Q2070" s="12" t="n">
        <x:f>IF(O2070="","",(H2070*60+O2070)/86400)</x:f>
        <x:v>0.4367476851851852</x:v>
      </x:c>
      <x:c r="R2070" s="12" t="str">
        <x:f>IF(Q2070="","",TEXT(Q2070,"hh:mm:ss"))</x:f>
        <x:v>10:28:55</x:v>
      </x:c>
      <x:c r="S2070" s="12" t="str">
        <x:v>否</x:v>
      </x:c>
      <x:c r="T2070" s="12" t="str">
        <x:v>否</x:v>
      </x:c>
      <x:c r="U2070" s="12" t="str">
        <x:v>孙五星</x:v>
      </x:c>
      <x:c r="V2070" s="12" t="str">
        <x:v>3号车</x:v>
      </x:c>
      <x:c r="W2070" s="12" t="str">
        <x:v>秒级预测</x:v>
      </x:c>
      <x:c r="X2070" s="12" t="str">
        <x:v>基于路线秒级参数；如录入实测或手动采用秒，预计到达时间可随公式更新</x:v>
      </x:c>
    </x:row>
    <x:row r="2071">
      <x:c r="A2071" s="12" t="str">
        <x:v>S0179-10</x:v>
      </x:c>
      <x:c r="B2071" s="12" t="str">
        <x:v>S0179</x:v>
      </x:c>
      <x:c r="C2071" s="12" t="str">
        <x:v>周末/节假日</x:v>
      </x:c>
      <x:c r="D2071" s="12" t="str">
        <x:v>环线3路</x:v>
      </x:c>
      <x:c r="E2071" s="12" t="str">
        <x:v>第一班</x:v>
      </x:c>
      <x:c r="F2071" s="12" t="n">
        <x:v>6</x:v>
      </x:c>
      <x:c r="G2071" s="12" t="str">
        <x:v>10:20</x:v>
      </x:c>
      <x:c r="H2071" s="12" t="n">
        <x:v>620</x:v>
      </x:c>
      <x:c r="I2071" s="12" t="str">
        <x:v>研究生宿舍楼</x:v>
      </x:c>
      <x:c r="J2071" s="12" t="str">
        <x:v>研究生宿舍楼发车</x:v>
      </x:c>
      <x:c r="K2071" s="12" t="str">
        <x:v>HX3_NORMAL</x:v>
      </x:c>
      <x:c r="L2071" s="12" t="n">
        <x:v>10</x:v>
      </x:c>
      <x:c r="M2071" s="12" t="str">
        <x:v>HX3_NORMAL|10</x:v>
      </x:c>
      <x:c r="N2071" s="12" t="str">
        <x:v>图书馆</x:v>
      </x:c>
      <x:c r="O2071" s="12" t="n">
        <x:f>IFERROR(INDEX('秒级路线参数_可调整'!$O:$O,MATCH(M2071,'秒级路线参数_可调整'!$A:$A,0)),"")</x:f>
        <x:v>715</x:v>
      </x:c>
      <x:c r="P2071" s="12" t="n">
        <x:f>IF(O2071="","",O2071/86400)</x:f>
        <x:v>0.008275462962962964</x:v>
      </x:c>
      <x:c r="Q2071" s="12" t="n">
        <x:f>IF(O2071="","",(H2071*60+O2071)/86400)</x:f>
        <x:v>0.4388310185185185</x:v>
      </x:c>
      <x:c r="R2071" s="12" t="str">
        <x:f>IF(Q2071="","",TEXT(Q2071,"hh:mm:ss"))</x:f>
        <x:v>10:31:55</x:v>
      </x:c>
      <x:c r="S2071" s="12" t="str">
        <x:v>否</x:v>
      </x:c>
      <x:c r="T2071" s="12" t="str">
        <x:v>否</x:v>
      </x:c>
      <x:c r="U2071" s="12" t="str">
        <x:v>孙五星</x:v>
      </x:c>
      <x:c r="V2071" s="12" t="str">
        <x:v>3号车</x:v>
      </x:c>
      <x:c r="W2071" s="12" t="str">
        <x:v>秒级预测</x:v>
      </x:c>
      <x:c r="X2071" s="12" t="str">
        <x:v>基于路线秒级参数；如录入实测或手动采用秒，预计到达时间可随公式更新</x:v>
      </x:c>
    </x:row>
    <x:row r="2072">
      <x:c r="A2072" s="12" t="str">
        <x:v>S0179-11</x:v>
      </x:c>
      <x:c r="B2072" s="12" t="str">
        <x:v>S0179</x:v>
      </x:c>
      <x:c r="C2072" s="12" t="str">
        <x:v>周末/节假日</x:v>
      </x:c>
      <x:c r="D2072" s="12" t="str">
        <x:v>环线3路</x:v>
      </x:c>
      <x:c r="E2072" s="12" t="str">
        <x:v>第一班</x:v>
      </x:c>
      <x:c r="F2072" s="12" t="n">
        <x:v>6</x:v>
      </x:c>
      <x:c r="G2072" s="12" t="str">
        <x:v>10:20</x:v>
      </x:c>
      <x:c r="H2072" s="12" t="n">
        <x:v>620</x:v>
      </x:c>
      <x:c r="I2072" s="12" t="str">
        <x:v>研究生宿舍楼</x:v>
      </x:c>
      <x:c r="J2072" s="12" t="str">
        <x:v>研究生宿舍楼发车</x:v>
      </x:c>
      <x:c r="K2072" s="12" t="str">
        <x:v>HX3_NORMAL</x:v>
      </x:c>
      <x:c r="L2072" s="12" t="n">
        <x:v>11</x:v>
      </x:c>
      <x:c r="M2072" s="12" t="str">
        <x:v>HX3_NORMAL|11</x:v>
      </x:c>
      <x:c r="N2072" s="12" t="str">
        <x:v>305教学楼</x:v>
      </x:c>
      <x:c r="O2072" s="12" t="n">
        <x:f>IFERROR(INDEX('秒级路线参数_可调整'!$O:$O,MATCH(M2072,'秒级路线参数_可调整'!$A:$A,0)),"")</x:f>
        <x:v>775</x:v>
      </x:c>
      <x:c r="P2072" s="12" t="n">
        <x:f>IF(O2072="","",O2072/86400)</x:f>
        <x:v>0.008969907407407407</x:v>
      </x:c>
      <x:c r="Q2072" s="12" t="n">
        <x:f>IF(O2072="","",(H2072*60+O2072)/86400)</x:f>
        <x:v>0.43952546296296297</x:v>
      </x:c>
      <x:c r="R2072" s="12" t="str">
        <x:f>IF(Q2072="","",TEXT(Q2072,"hh:mm:ss"))</x:f>
        <x:v>10:32:55</x:v>
      </x:c>
      <x:c r="S2072" s="12" t="str">
        <x:v>否</x:v>
      </x:c>
      <x:c r="T2072" s="12" t="str">
        <x:v>否</x:v>
      </x:c>
      <x:c r="U2072" s="12" t="str">
        <x:v>孙五星</x:v>
      </x:c>
      <x:c r="V2072" s="12" t="str">
        <x:v>3号车</x:v>
      </x:c>
      <x:c r="W2072" s="12" t="str">
        <x:v>秒级预测</x:v>
      </x:c>
      <x:c r="X2072" s="12" t="str">
        <x:v>基于路线秒级参数；如录入实测或手动采用秒，预计到达时间可随公式更新</x:v>
      </x:c>
    </x:row>
    <x:row r="2073">
      <x:c r="A2073" s="12" t="str">
        <x:v>S0179-12</x:v>
      </x:c>
      <x:c r="B2073" s="12" t="str">
        <x:v>S0179</x:v>
      </x:c>
      <x:c r="C2073" s="12" t="str">
        <x:v>周末/节假日</x:v>
      </x:c>
      <x:c r="D2073" s="12" t="str">
        <x:v>环线3路</x:v>
      </x:c>
      <x:c r="E2073" s="12" t="str">
        <x:v>第一班</x:v>
      </x:c>
      <x:c r="F2073" s="12" t="n">
        <x:v>6</x:v>
      </x:c>
      <x:c r="G2073" s="12" t="str">
        <x:v>10:20</x:v>
      </x:c>
      <x:c r="H2073" s="12" t="n">
        <x:v>620</x:v>
      </x:c>
      <x:c r="I2073" s="12" t="str">
        <x:v>研究生宿舍楼</x:v>
      </x:c>
      <x:c r="J2073" s="12" t="str">
        <x:v>研究生宿舍楼发车</x:v>
      </x:c>
      <x:c r="K2073" s="12" t="str">
        <x:v>HX3_NORMAL</x:v>
      </x:c>
      <x:c r="L2073" s="12" t="n">
        <x:v>12</x:v>
      </x:c>
      <x:c r="M2073" s="12" t="str">
        <x:v>HX3_NORMAL|12</x:v>
      </x:c>
      <x:c r="N2073" s="12" t="str">
        <x:v>研究生宿舍楼</x:v>
      </x:c>
      <x:c r="O2073" s="12" t="n">
        <x:f>IFERROR(INDEX('秒级路线参数_可调整'!$O:$O,MATCH(M2073,'秒级路线参数_可调整'!$A:$A,0)),"")</x:f>
        <x:v>840</x:v>
      </x:c>
      <x:c r="P2073" s="12" t="n">
        <x:f>IF(O2073="","",O2073/86400)</x:f>
        <x:v>0.009722222222222222</x:v>
      </x:c>
      <x:c r="Q2073" s="12" t="n">
        <x:f>IF(O2073="","",(H2073*60+O2073)/86400)</x:f>
        <x:v>0.44027777777777777</x:v>
      </x:c>
      <x:c r="R2073" s="12" t="str">
        <x:f>IF(Q2073="","",TEXT(Q2073,"hh:mm:ss"))</x:f>
        <x:v>10:34:00</x:v>
      </x:c>
      <x:c r="S2073" s="12" t="str">
        <x:v>否</x:v>
      </x:c>
      <x:c r="T2073" s="12" t="str">
        <x:v>是</x:v>
      </x:c>
      <x:c r="U2073" s="12" t="str">
        <x:v>孙五星</x:v>
      </x:c>
      <x:c r="V2073" s="12" t="str">
        <x:v>3号车</x:v>
      </x:c>
      <x:c r="W2073" s="12" t="str">
        <x:v>秒级预测</x:v>
      </x:c>
      <x:c r="X2073" s="12" t="str">
        <x:v>基于路线秒级参数；如录入实测或手动采用秒，预计到达时间可随公式更新</x:v>
      </x:c>
    </x:row>
    <x:row r="2074">
      <x:c r="A2074" s="12" t="str">
        <x:v>S0180-01</x:v>
      </x:c>
      <x:c r="B2074" s="12" t="str">
        <x:v>S0180</x:v>
      </x:c>
      <x:c r="C2074" s="12" t="str">
        <x:v>周末/节假日</x:v>
      </x:c>
      <x:c r="D2074" s="12" t="str">
        <x:v>环线3路</x:v>
      </x:c>
      <x:c r="E2074" s="12" t="str">
        <x:v>第二班</x:v>
      </x:c>
      <x:c r="F2074" s="12" t="n">
        <x:v>1</x:v>
      </x:c>
      <x:c r="G2074" s="12" t="str">
        <x:v>11:25</x:v>
      </x:c>
      <x:c r="H2074" s="12" t="n">
        <x:v>685</x:v>
      </x:c>
      <x:c r="I2074" s="12" t="str">
        <x:v>高超楼（系统工程学院旁）</x:v>
      </x:c>
      <x:c r="J2074" s="12" t="str">
        <x:v>高超楼发车</x:v>
      </x:c>
      <x:c r="K2074" s="12" t="str">
        <x:v>HX3_GAOCHAO</x:v>
      </x:c>
      <x:c r="L2074" s="12" t="n">
        <x:v>1</x:v>
      </x:c>
      <x:c r="M2074" s="12" t="str">
        <x:v>HX3_GAOCHAO|1</x:v>
      </x:c>
      <x:c r="N2074" s="12" t="str">
        <x:v>高超楼</x:v>
      </x:c>
      <x:c r="O2074" s="12" t="n">
        <x:f>IFERROR(INDEX('秒级路线参数_可调整'!$O:$O,MATCH(M2074,'秒级路线参数_可调整'!$A:$A,0)),"")</x:f>
        <x:v>0</x:v>
      </x:c>
      <x:c r="P2074" s="12" t="str">
        <x:f>IF(O2074="","",O2074/86400)</x:f>
      </x:c>
      <x:c r="Q2074" s="12" t="str">
        <x:f>IF(O2074="","",(H2074*60+O2074)/86400)</x:f>
      </x:c>
      <x:c r="R2074" s="12" t="str">
        <x:f>IF(Q2074="","",TEXT(Q2074,"hh:mm:ss"))</x:f>
      </x:c>
      <x:c r="S2074" s="12" t="str">
        <x:v>是</x:v>
      </x:c>
      <x:c r="T2074" s="12" t="str">
        <x:v>否</x:v>
      </x:c>
      <x:c r="U2074" s="12" t="str">
        <x:v>夏文新</x:v>
      </x:c>
      <x:c r="V2074" s="12" t="str">
        <x:v>4号车</x:v>
      </x:c>
      <x:c r="W2074" s="12" t="str">
        <x:v>秒级预测</x:v>
      </x:c>
      <x:c r="X2074" s="12" t="str">
        <x:v>基于路线秒级参数；如录入实测或手动采用秒，预计到达时间可随公式更新</x:v>
      </x:c>
    </x:row>
    <x:row r="2075">
      <x:c r="A2075" s="12" t="str">
        <x:v>S0180-02</x:v>
      </x:c>
      <x:c r="B2075" s="12" t="str">
        <x:v>S0180</x:v>
      </x:c>
      <x:c r="C2075" s="12" t="str">
        <x:v>周末/节假日</x:v>
      </x:c>
      <x:c r="D2075" s="12" t="str">
        <x:v>环线3路</x:v>
      </x:c>
      <x:c r="E2075" s="12" t="str">
        <x:v>第二班</x:v>
      </x:c>
      <x:c r="F2075" s="12" t="n">
        <x:v>1</x:v>
      </x:c>
      <x:c r="G2075" s="12" t="str">
        <x:v>11:25</x:v>
      </x:c>
      <x:c r="H2075" s="12" t="n">
        <x:v>685</x:v>
      </x:c>
      <x:c r="I2075" s="12" t="str">
        <x:v>高超楼（系统工程学院旁）</x:v>
      </x:c>
      <x:c r="J2075" s="12" t="str">
        <x:v>高超楼发车</x:v>
      </x:c>
      <x:c r="K2075" s="12" t="str">
        <x:v>HX3_GAOCHAO</x:v>
      </x:c>
      <x:c r="L2075" s="12" t="n">
        <x:v>2</x:v>
      </x:c>
      <x:c r="M2075" s="12" t="str">
        <x:v>HX3_GAOCHAO|2</x:v>
      </x:c>
      <x:c r="N2075" s="12" t="str">
        <x:v>理学院</x:v>
      </x:c>
      <x:c r="O2075" s="12" t="n">
        <x:f>IFERROR(INDEX('秒级路线参数_可调整'!$O:$O,MATCH(M2075,'秒级路线参数_可调整'!$A:$A,0)),"")</x:f>
        <x:v>65</x:v>
      </x:c>
      <x:c r="P2075" s="12" t="n">
        <x:f>IF(O2075="","",O2075/86400)</x:f>
        <x:v>0.0007523148148148148</x:v>
      </x:c>
      <x:c r="Q2075" s="12" t="n">
        <x:f>IF(O2075="","",(H2075*60+O2075)/86400)</x:f>
        <x:v>0.4764467592592593</x:v>
      </x:c>
      <x:c r="R2075" s="12" t="str">
        <x:f>IF(Q2075="","",TEXT(Q2075,"hh:mm:ss"))</x:f>
        <x:v>11:26:05</x:v>
      </x:c>
      <x:c r="S2075" s="12" t="str">
        <x:v>否</x:v>
      </x:c>
      <x:c r="T2075" s="12" t="str">
        <x:v>否</x:v>
      </x:c>
      <x:c r="U2075" s="12" t="str">
        <x:v>夏文新</x:v>
      </x:c>
      <x:c r="V2075" s="12" t="str">
        <x:v>4号车</x:v>
      </x:c>
      <x:c r="W2075" s="12" t="str">
        <x:v>秒级预测</x:v>
      </x:c>
      <x:c r="X2075" s="12" t="str">
        <x:v>基于路线秒级参数；如录入实测或手动采用秒，预计到达时间可随公式更新</x:v>
      </x:c>
    </x:row>
    <x:row r="2076">
      <x:c r="A2076" s="12" t="str">
        <x:v>S0180-03</x:v>
      </x:c>
      <x:c r="B2076" s="12" t="str">
        <x:v>S0180</x:v>
      </x:c>
      <x:c r="C2076" s="12" t="str">
        <x:v>周末/节假日</x:v>
      </x:c>
      <x:c r="D2076" s="12" t="str">
        <x:v>环线3路</x:v>
      </x:c>
      <x:c r="E2076" s="12" t="str">
        <x:v>第二班</x:v>
      </x:c>
      <x:c r="F2076" s="12" t="n">
        <x:v>1</x:v>
      </x:c>
      <x:c r="G2076" s="12" t="str">
        <x:v>11:25</x:v>
      </x:c>
      <x:c r="H2076" s="12" t="n">
        <x:v>685</x:v>
      </x:c>
      <x:c r="I2076" s="12" t="str">
        <x:v>高超楼（系统工程学院旁）</x:v>
      </x:c>
      <x:c r="J2076" s="12" t="str">
        <x:v>高超楼发车</x:v>
      </x:c>
      <x:c r="K2076" s="12" t="str">
        <x:v>HX3_GAOCHAO</x:v>
      </x:c>
      <x:c r="L2076" s="12" t="n">
        <x:v>3</x:v>
      </x:c>
      <x:c r="M2076" s="12" t="str">
        <x:v>HX3_GAOCHAO|3</x:v>
      </x:c>
      <x:c r="N2076" s="12" t="str">
        <x:v>二食堂</x:v>
      </x:c>
      <x:c r="O2076" s="12" t="n">
        <x:f>IFERROR(INDEX('秒级路线参数_可调整'!$O:$O,MATCH(M2076,'秒级路线参数_可调整'!$A:$A,0)),"")</x:f>
        <x:v>120</x:v>
      </x:c>
      <x:c r="P2076" s="12" t="n">
        <x:f>IF(O2076="","",O2076/86400)</x:f>
        <x:v>0.001388888888888889</x:v>
      </x:c>
      <x:c r="Q2076" s="12" t="n">
        <x:f>IF(O2076="","",(H2076*60+O2076)/86400)</x:f>
        <x:v>0.47708333333333336</x:v>
      </x:c>
      <x:c r="R2076" s="12" t="str">
        <x:f>IF(Q2076="","",TEXT(Q2076,"hh:mm:ss"))</x:f>
        <x:v>11:27:00</x:v>
      </x:c>
      <x:c r="S2076" s="12" t="str">
        <x:v>否</x:v>
      </x:c>
      <x:c r="T2076" s="12" t="str">
        <x:v>否</x:v>
      </x:c>
      <x:c r="U2076" s="12" t="str">
        <x:v>夏文新</x:v>
      </x:c>
      <x:c r="V2076" s="12" t="str">
        <x:v>4号车</x:v>
      </x:c>
      <x:c r="W2076" s="12" t="str">
        <x:v>秒级预测</x:v>
      </x:c>
      <x:c r="X2076" s="12" t="str">
        <x:v>基于路线秒级参数；如录入实测或手动采用秒，预计到达时间可随公式更新</x:v>
      </x:c>
    </x:row>
    <x:row r="2077">
      <x:c r="A2077" s="12" t="str">
        <x:v>S0180-04</x:v>
      </x:c>
      <x:c r="B2077" s="12" t="str">
        <x:v>S0180</x:v>
      </x:c>
      <x:c r="C2077" s="12" t="str">
        <x:v>周末/节假日</x:v>
      </x:c>
      <x:c r="D2077" s="12" t="str">
        <x:v>环线3路</x:v>
      </x:c>
      <x:c r="E2077" s="12" t="str">
        <x:v>第二班</x:v>
      </x:c>
      <x:c r="F2077" s="12" t="n">
        <x:v>1</x:v>
      </x:c>
      <x:c r="G2077" s="12" t="str">
        <x:v>11:25</x:v>
      </x:c>
      <x:c r="H2077" s="12" t="n">
        <x:v>685</x:v>
      </x:c>
      <x:c r="I2077" s="12" t="str">
        <x:v>高超楼（系统工程学院旁）</x:v>
      </x:c>
      <x:c r="J2077" s="12" t="str">
        <x:v>高超楼发车</x:v>
      </x:c>
      <x:c r="K2077" s="12" t="str">
        <x:v>HX3_GAOCHAO</x:v>
      </x:c>
      <x:c r="L2077" s="12" t="n">
        <x:v>4</x:v>
      </x:c>
      <x:c r="M2077" s="12" t="str">
        <x:v>HX3_GAOCHAO|4</x:v>
      </x:c>
      <x:c r="N2077" s="12" t="str">
        <x:v>图书馆</x:v>
      </x:c>
      <x:c r="O2077" s="12" t="n">
        <x:f>IFERROR(INDEX('秒级路线参数_可调整'!$O:$O,MATCH(M2077,'秒级路线参数_可调整'!$A:$A,0)),"")</x:f>
        <x:v>165</x:v>
      </x:c>
      <x:c r="P2077" s="12" t="n">
        <x:f>IF(O2077="","",O2077/86400)</x:f>
        <x:v>0.0019097222222222222</x:v>
      </x:c>
      <x:c r="Q2077" s="12" t="n">
        <x:f>IF(O2077="","",(H2077*60+O2077)/86400)</x:f>
        <x:v>0.47760416666666666</x:v>
      </x:c>
      <x:c r="R2077" s="12" t="str">
        <x:f>IF(Q2077="","",TEXT(Q2077,"hh:mm:ss"))</x:f>
        <x:v>11:27:45</x:v>
      </x:c>
      <x:c r="S2077" s="12" t="str">
        <x:v>否</x:v>
      </x:c>
      <x:c r="T2077" s="12" t="str">
        <x:v>否</x:v>
      </x:c>
      <x:c r="U2077" s="12" t="str">
        <x:v>夏文新</x:v>
      </x:c>
      <x:c r="V2077" s="12" t="str">
        <x:v>4号车</x:v>
      </x:c>
      <x:c r="W2077" s="12" t="str">
        <x:v>秒级预测</x:v>
      </x:c>
      <x:c r="X2077" s="12" t="str">
        <x:v>基于路线秒级参数；如录入实测或手动采用秒，预计到达时间可随公式更新</x:v>
      </x:c>
    </x:row>
    <x:row r="2078">
      <x:c r="A2078" s="12" t="str">
        <x:v>S0180-05</x:v>
      </x:c>
      <x:c r="B2078" s="12" t="str">
        <x:v>S0180</x:v>
      </x:c>
      <x:c r="C2078" s="12" t="str">
        <x:v>周末/节假日</x:v>
      </x:c>
      <x:c r="D2078" s="12" t="str">
        <x:v>环线3路</x:v>
      </x:c>
      <x:c r="E2078" s="12" t="str">
        <x:v>第二班</x:v>
      </x:c>
      <x:c r="F2078" s="12" t="n">
        <x:v>1</x:v>
      </x:c>
      <x:c r="G2078" s="12" t="str">
        <x:v>11:25</x:v>
      </x:c>
      <x:c r="H2078" s="12" t="n">
        <x:v>685</x:v>
      </x:c>
      <x:c r="I2078" s="12" t="str">
        <x:v>高超楼（系统工程学院旁）</x:v>
      </x:c>
      <x:c r="J2078" s="12" t="str">
        <x:v>高超楼发车</x:v>
      </x:c>
      <x:c r="K2078" s="12" t="str">
        <x:v>HX3_GAOCHAO</x:v>
      </x:c>
      <x:c r="L2078" s="12" t="n">
        <x:v>5</x:v>
      </x:c>
      <x:c r="M2078" s="12" t="str">
        <x:v>HX3_GAOCHAO|5</x:v>
      </x:c>
      <x:c r="N2078" s="12" t="str">
        <x:v>305教学楼</x:v>
      </x:c>
      <x:c r="O2078" s="12" t="n">
        <x:f>IFERROR(INDEX('秒级路线参数_可调整'!$O:$O,MATCH(M2078,'秒级路线参数_可调整'!$A:$A,0)),"")</x:f>
        <x:v>250</x:v>
      </x:c>
      <x:c r="P2078" s="12" t="n">
        <x:f>IF(O2078="","",O2078/86400)</x:f>
        <x:v>0.0028935185185185184</x:v>
      </x:c>
      <x:c r="Q2078" s="12" t="n">
        <x:f>IF(O2078="","",(H2078*60+O2078)/86400)</x:f>
        <x:v>0.47858796296296297</x:v>
      </x:c>
      <x:c r="R2078" s="12" t="str">
        <x:f>IF(Q2078="","",TEXT(Q2078,"hh:mm:ss"))</x:f>
        <x:v>11:29:10</x:v>
      </x:c>
      <x:c r="S2078" s="12" t="str">
        <x:v>否</x:v>
      </x:c>
      <x:c r="T2078" s="12" t="str">
        <x:v>否</x:v>
      </x:c>
      <x:c r="U2078" s="12" t="str">
        <x:v>夏文新</x:v>
      </x:c>
      <x:c r="V2078" s="12" t="str">
        <x:v>4号车</x:v>
      </x:c>
      <x:c r="W2078" s="12" t="str">
        <x:v>秒级预测</x:v>
      </x:c>
      <x:c r="X2078" s="12" t="str">
        <x:v>基于路线秒级参数；如录入实测或手动采用秒，预计到达时间可随公式更新</x:v>
      </x:c>
    </x:row>
    <x:row r="2079">
      <x:c r="A2079" s="12" t="str">
        <x:v>S0180-06</x:v>
      </x:c>
      <x:c r="B2079" s="12" t="str">
        <x:v>S0180</x:v>
      </x:c>
      <x:c r="C2079" s="12" t="str">
        <x:v>周末/节假日</x:v>
      </x:c>
      <x:c r="D2079" s="12" t="str">
        <x:v>环线3路</x:v>
      </x:c>
      <x:c r="E2079" s="12" t="str">
        <x:v>第二班</x:v>
      </x:c>
      <x:c r="F2079" s="12" t="n">
        <x:v>1</x:v>
      </x:c>
      <x:c r="G2079" s="12" t="str">
        <x:v>11:25</x:v>
      </x:c>
      <x:c r="H2079" s="12" t="n">
        <x:v>685</x:v>
      </x:c>
      <x:c r="I2079" s="12" t="str">
        <x:v>高超楼（系统工程学院旁）</x:v>
      </x:c>
      <x:c r="J2079" s="12" t="str">
        <x:v>高超楼发车</x:v>
      </x:c>
      <x:c r="K2079" s="12" t="str">
        <x:v>HX3_GAOCHAO</x:v>
      </x:c>
      <x:c r="L2079" s="12" t="n">
        <x:v>6</x:v>
      </x:c>
      <x:c r="M2079" s="12" t="str">
        <x:v>HX3_GAOCHAO|6</x:v>
      </x:c>
      <x:c r="N2079" s="12" t="str">
        <x:v>研究生宿舍楼</x:v>
      </x:c>
      <x:c r="O2079" s="12" t="n">
        <x:f>IFERROR(INDEX('秒级路线参数_可调整'!$O:$O,MATCH(M2079,'秒级路线参数_可调整'!$A:$A,0)),"")</x:f>
        <x:v>315</x:v>
      </x:c>
      <x:c r="P2079" s="12" t="n">
        <x:f>IF(O2079="","",O2079/86400)</x:f>
        <x:v>0.0036458333333333334</x:v>
      </x:c>
      <x:c r="Q2079" s="12" t="n">
        <x:f>IF(O2079="","",(H2079*60+O2079)/86400)</x:f>
        <x:v>0.47934027777777777</x:v>
      </x:c>
      <x:c r="R2079" s="12" t="str">
        <x:f>IF(Q2079="","",TEXT(Q2079,"hh:mm:ss"))</x:f>
        <x:v>11:30:15</x:v>
      </x:c>
      <x:c r="S2079" s="12" t="str">
        <x:v>否</x:v>
      </x:c>
      <x:c r="T2079" s="12" t="str">
        <x:v>否</x:v>
      </x:c>
      <x:c r="U2079" s="12" t="str">
        <x:v>夏文新</x:v>
      </x:c>
      <x:c r="V2079" s="12" t="str">
        <x:v>4号车</x:v>
      </x:c>
      <x:c r="W2079" s="12" t="str">
        <x:v>秒级预测</x:v>
      </x:c>
      <x:c r="X2079" s="12" t="str">
        <x:v>基于路线秒级参数；如录入实测或手动采用秒，预计到达时间可随公式更新</x:v>
      </x:c>
    </x:row>
    <x:row r="2080">
      <x:c r="A2080" s="12" t="str">
        <x:v>S0180-07</x:v>
      </x:c>
      <x:c r="B2080" s="12" t="str">
        <x:v>S0180</x:v>
      </x:c>
      <x:c r="C2080" s="12" t="str">
        <x:v>周末/节假日</x:v>
      </x:c>
      <x:c r="D2080" s="12" t="str">
        <x:v>环线3路</x:v>
      </x:c>
      <x:c r="E2080" s="12" t="str">
        <x:v>第二班</x:v>
      </x:c>
      <x:c r="F2080" s="12" t="n">
        <x:v>1</x:v>
      </x:c>
      <x:c r="G2080" s="12" t="str">
        <x:v>11:25</x:v>
      </x:c>
      <x:c r="H2080" s="12" t="n">
        <x:v>685</x:v>
      </x:c>
      <x:c r="I2080" s="12" t="str">
        <x:v>高超楼（系统工程学院旁）</x:v>
      </x:c>
      <x:c r="J2080" s="12" t="str">
        <x:v>高超楼发车</x:v>
      </x:c>
      <x:c r="K2080" s="12" t="str">
        <x:v>HX3_GAOCHAO</x:v>
      </x:c>
      <x:c r="L2080" s="12" t="n">
        <x:v>7</x:v>
      </x:c>
      <x:c r="M2080" s="12" t="str">
        <x:v>HX3_GAOCHAO|7</x:v>
      </x:c>
      <x:c r="N2080" s="12" t="str">
        <x:v>一食堂</x:v>
      </x:c>
      <x:c r="O2080" s="12" t="n">
        <x:f>IFERROR(INDEX('秒级路线参数_可调整'!$O:$O,MATCH(M2080,'秒级路线参数_可调整'!$A:$A,0)),"")</x:f>
        <x:v>420</x:v>
      </x:c>
      <x:c r="P2080" s="12" t="n">
        <x:f>IF(O2080="","",O2080/86400)</x:f>
        <x:v>0.004861111111111111</x:v>
      </x:c>
      <x:c r="Q2080" s="12" t="n">
        <x:f>IF(O2080="","",(H2080*60+O2080)/86400)</x:f>
        <x:v>0.48055555555555557</x:v>
      </x:c>
      <x:c r="R2080" s="12" t="str">
        <x:f>IF(Q2080="","",TEXT(Q2080,"hh:mm:ss"))</x:f>
        <x:v>11:32:00</x:v>
      </x:c>
      <x:c r="S2080" s="12" t="str">
        <x:v>否</x:v>
      </x:c>
      <x:c r="T2080" s="12" t="str">
        <x:v>否</x:v>
      </x:c>
      <x:c r="U2080" s="12" t="str">
        <x:v>夏文新</x:v>
      </x:c>
      <x:c r="V2080" s="12" t="str">
        <x:v>4号车</x:v>
      </x:c>
      <x:c r="W2080" s="12" t="str">
        <x:v>秒级预测</x:v>
      </x:c>
      <x:c r="X2080" s="12" t="str">
        <x:v>基于路线秒级参数；如录入实测或手动采用秒，预计到达时间可随公式更新</x:v>
      </x:c>
    </x:row>
    <x:row r="2081">
      <x:c r="A2081" s="12" t="str">
        <x:v>S0180-08</x:v>
      </x:c>
      <x:c r="B2081" s="12" t="str">
        <x:v>S0180</x:v>
      </x:c>
      <x:c r="C2081" s="12" t="str">
        <x:v>周末/节假日</x:v>
      </x:c>
      <x:c r="D2081" s="12" t="str">
        <x:v>环线3路</x:v>
      </x:c>
      <x:c r="E2081" s="12" t="str">
        <x:v>第二班</x:v>
      </x:c>
      <x:c r="F2081" s="12" t="n">
        <x:v>1</x:v>
      </x:c>
      <x:c r="G2081" s="12" t="str">
        <x:v>11:25</x:v>
      </x:c>
      <x:c r="H2081" s="12" t="n">
        <x:v>685</x:v>
      </x:c>
      <x:c r="I2081" s="12" t="str">
        <x:v>高超楼（系统工程学院旁）</x:v>
      </x:c>
      <x:c r="J2081" s="12" t="str">
        <x:v>高超楼发车</x:v>
      </x:c>
      <x:c r="K2081" s="12" t="str">
        <x:v>HX3_GAOCHAO</x:v>
      </x:c>
      <x:c r="L2081" s="12" t="n">
        <x:v>8</x:v>
      </x:c>
      <x:c r="M2081" s="12" t="str">
        <x:v>HX3_GAOCHAO|8</x:v>
      </x:c>
      <x:c r="N2081" s="12" t="str">
        <x:v>2号宿舍楼</x:v>
      </x:c>
      <x:c r="O2081" s="12" t="n">
        <x:f>IFERROR(INDEX('秒级路线参数_可调整'!$O:$O,MATCH(M2081,'秒级路线参数_可调整'!$A:$A,0)),"")</x:f>
        <x:v>480</x:v>
      </x:c>
      <x:c r="P2081" s="12" t="n">
        <x:f>IF(O2081="","",O2081/86400)</x:f>
        <x:v>0.005555555555555556</x:v>
      </x:c>
      <x:c r="Q2081" s="12" t="n">
        <x:f>IF(O2081="","",(H2081*60+O2081)/86400)</x:f>
        <x:v>0.48125</x:v>
      </x:c>
      <x:c r="R2081" s="12" t="str">
        <x:f>IF(Q2081="","",TEXT(Q2081,"hh:mm:ss"))</x:f>
        <x:v>11:33:00</x:v>
      </x:c>
      <x:c r="S2081" s="12" t="str">
        <x:v>否</x:v>
      </x:c>
      <x:c r="T2081" s="12" t="str">
        <x:v>否</x:v>
      </x:c>
      <x:c r="U2081" s="12" t="str">
        <x:v>夏文新</x:v>
      </x:c>
      <x:c r="V2081" s="12" t="str">
        <x:v>4号车</x:v>
      </x:c>
      <x:c r="W2081" s="12" t="str">
        <x:v>秒级预测</x:v>
      </x:c>
      <x:c r="X2081" s="12" t="str">
        <x:v>基于路线秒级参数；如录入实测或手动采用秒，预计到达时间可随公式更新</x:v>
      </x:c>
    </x:row>
    <x:row r="2082">
      <x:c r="A2082" s="12" t="str">
        <x:v>S0180-09</x:v>
      </x:c>
      <x:c r="B2082" s="12" t="str">
        <x:v>S0180</x:v>
      </x:c>
      <x:c r="C2082" s="12" t="str">
        <x:v>周末/节假日</x:v>
      </x:c>
      <x:c r="D2082" s="12" t="str">
        <x:v>环线3路</x:v>
      </x:c>
      <x:c r="E2082" s="12" t="str">
        <x:v>第二班</x:v>
      </x:c>
      <x:c r="F2082" s="12" t="n">
        <x:v>1</x:v>
      </x:c>
      <x:c r="G2082" s="12" t="str">
        <x:v>11:25</x:v>
      </x:c>
      <x:c r="H2082" s="12" t="n">
        <x:v>685</x:v>
      </x:c>
      <x:c r="I2082" s="12" t="str">
        <x:v>高超楼（系统工程学院旁）</x:v>
      </x:c>
      <x:c r="J2082" s="12" t="str">
        <x:v>高超楼发车</x:v>
      </x:c>
      <x:c r="K2082" s="12" t="str">
        <x:v>HX3_GAOCHAO</x:v>
      </x:c>
      <x:c r="L2082" s="12" t="n">
        <x:v>9</x:v>
      </x:c>
      <x:c r="M2082" s="12" t="str">
        <x:v>HX3_GAOCHAO|9</x:v>
      </x:c>
      <x:c r="N2082" s="12" t="str">
        <x:v>军体活动中心</x:v>
      </x:c>
      <x:c r="O2082" s="12" t="n">
        <x:f>IFERROR(INDEX('秒级路线参数_可调整'!$O:$O,MATCH(M2082,'秒级路线参数_可调整'!$A:$A,0)),"")</x:f>
        <x:v>535</x:v>
      </x:c>
      <x:c r="P2082" s="12" t="n">
        <x:f>IF(O2082="","",O2082/86400)</x:f>
        <x:v>0.00619212962962963</x:v>
      </x:c>
      <x:c r="Q2082" s="12" t="n">
        <x:f>IF(O2082="","",(H2082*60+O2082)/86400)</x:f>
        <x:v>0.4818865740740741</x:v>
      </x:c>
      <x:c r="R2082" s="12" t="str">
        <x:f>IF(Q2082="","",TEXT(Q2082,"hh:mm:ss"))</x:f>
        <x:v>11:33:55</x:v>
      </x:c>
      <x:c r="S2082" s="12" t="str">
        <x:v>否</x:v>
      </x:c>
      <x:c r="T2082" s="12" t="str">
        <x:v>否</x:v>
      </x:c>
      <x:c r="U2082" s="12" t="str">
        <x:v>夏文新</x:v>
      </x:c>
      <x:c r="V2082" s="12" t="str">
        <x:v>4号车</x:v>
      </x:c>
      <x:c r="W2082" s="12" t="str">
        <x:v>秒级预测</x:v>
      </x:c>
      <x:c r="X2082" s="12" t="str">
        <x:v>基于路线秒级参数；如录入实测或手动采用秒，预计到达时间可随公式更新</x:v>
      </x:c>
    </x:row>
    <x:row r="2083">
      <x:c r="A2083" s="12" t="str">
        <x:v>S0180-10</x:v>
      </x:c>
      <x:c r="B2083" s="12" t="str">
        <x:v>S0180</x:v>
      </x:c>
      <x:c r="C2083" s="12" t="str">
        <x:v>周末/节假日</x:v>
      </x:c>
      <x:c r="D2083" s="12" t="str">
        <x:v>环线3路</x:v>
      </x:c>
      <x:c r="E2083" s="12" t="str">
        <x:v>第二班</x:v>
      </x:c>
      <x:c r="F2083" s="12" t="n">
        <x:v>1</x:v>
      </x:c>
      <x:c r="G2083" s="12" t="str">
        <x:v>11:25</x:v>
      </x:c>
      <x:c r="H2083" s="12" t="n">
        <x:v>685</x:v>
      </x:c>
      <x:c r="I2083" s="12" t="str">
        <x:v>高超楼（系统工程学院旁）</x:v>
      </x:c>
      <x:c r="J2083" s="12" t="str">
        <x:v>高超楼发车</x:v>
      </x:c>
      <x:c r="K2083" s="12" t="str">
        <x:v>HX3_GAOCHAO</x:v>
      </x:c>
      <x:c r="L2083" s="12" t="n">
        <x:v>10</x:v>
      </x:c>
      <x:c r="M2083" s="12" t="str">
        <x:v>HX3_GAOCHAO|10</x:v>
      </x:c>
      <x:c r="N2083" s="12" t="str">
        <x:v>教勤连</x:v>
      </x:c>
      <x:c r="O2083" s="12" t="n">
        <x:f>IFERROR(INDEX('秒级路线参数_可调整'!$O:$O,MATCH(M2083,'秒级路线参数_可调整'!$A:$A,0)),"")</x:f>
        <x:v>715</x:v>
      </x:c>
      <x:c r="P2083" s="12" t="n">
        <x:f>IF(O2083="","",O2083/86400)</x:f>
        <x:v>0.008275462962962964</x:v>
      </x:c>
      <x:c r="Q2083" s="12" t="n">
        <x:f>IF(O2083="","",(H2083*60+O2083)/86400)</x:f>
        <x:v>0.4839699074074074</x:v>
      </x:c>
      <x:c r="R2083" s="12" t="str">
        <x:f>IF(Q2083="","",TEXT(Q2083,"hh:mm:ss"))</x:f>
        <x:v>11:36:55</x:v>
      </x:c>
      <x:c r="S2083" s="12" t="str">
        <x:v>否</x:v>
      </x:c>
      <x:c r="T2083" s="12" t="str">
        <x:v>否</x:v>
      </x:c>
      <x:c r="U2083" s="12" t="str">
        <x:v>夏文新</x:v>
      </x:c>
      <x:c r="V2083" s="12" t="str">
        <x:v>4号车</x:v>
      </x:c>
      <x:c r="W2083" s="12" t="str">
        <x:v>秒级预测</x:v>
      </x:c>
      <x:c r="X2083" s="12" t="str">
        <x:v>基于路线秒级参数；如录入实测或手动采用秒，预计到达时间可随公式更新</x:v>
      </x:c>
    </x:row>
    <x:row r="2084">
      <x:c r="A2084" s="12" t="str">
        <x:v>S0180-11</x:v>
      </x:c>
      <x:c r="B2084" s="12" t="str">
        <x:v>S0180</x:v>
      </x:c>
      <x:c r="C2084" s="12" t="str">
        <x:v>周末/节假日</x:v>
      </x:c>
      <x:c r="D2084" s="12" t="str">
        <x:v>环线3路</x:v>
      </x:c>
      <x:c r="E2084" s="12" t="str">
        <x:v>第二班</x:v>
      </x:c>
      <x:c r="F2084" s="12" t="n">
        <x:v>1</x:v>
      </x:c>
      <x:c r="G2084" s="12" t="str">
        <x:v>11:25</x:v>
      </x:c>
      <x:c r="H2084" s="12" t="n">
        <x:v>685</x:v>
      </x:c>
      <x:c r="I2084" s="12" t="str">
        <x:v>高超楼（系统工程学院旁）</x:v>
      </x:c>
      <x:c r="J2084" s="12" t="str">
        <x:v>高超楼发车</x:v>
      </x:c>
      <x:c r="K2084" s="12" t="str">
        <x:v>HX3_GAOCHAO</x:v>
      </x:c>
      <x:c r="L2084" s="12" t="n">
        <x:v>11</x:v>
      </x:c>
      <x:c r="M2084" s="12" t="str">
        <x:v>HX3_GAOCHAO|11</x:v>
      </x:c>
      <x:c r="N2084" s="12" t="str">
        <x:v>激光所</x:v>
      </x:c>
      <x:c r="O2084" s="12" t="n">
        <x:f>IFERROR(INDEX('秒级路线参数_可调整'!$O:$O,MATCH(M2084,'秒级路线参数_可调整'!$A:$A,0)),"")</x:f>
        <x:v>775</x:v>
      </x:c>
      <x:c r="P2084" s="12" t="n">
        <x:f>IF(O2084="","",O2084/86400)</x:f>
        <x:v>0.008969907407407407</x:v>
      </x:c>
      <x:c r="Q2084" s="12" t="n">
        <x:f>IF(O2084="","",(H2084*60+O2084)/86400)</x:f>
        <x:v>0.48466435185185186</x:v>
      </x:c>
      <x:c r="R2084" s="12" t="str">
        <x:f>IF(Q2084="","",TEXT(Q2084,"hh:mm:ss"))</x:f>
        <x:v>11:37:55</x:v>
      </x:c>
      <x:c r="S2084" s="12" t="str">
        <x:v>否</x:v>
      </x:c>
      <x:c r="T2084" s="12" t="str">
        <x:v>否</x:v>
      </x:c>
      <x:c r="U2084" s="12" t="str">
        <x:v>夏文新</x:v>
      </x:c>
      <x:c r="V2084" s="12" t="str">
        <x:v>4号车</x:v>
      </x:c>
      <x:c r="W2084" s="12" t="str">
        <x:v>秒级预测</x:v>
      </x:c>
      <x:c r="X2084" s="12" t="str">
        <x:v>基于路线秒级参数；如录入实测或手动采用秒，预计到达时间可随公式更新</x:v>
      </x:c>
    </x:row>
    <x:row r="2085">
      <x:c r="A2085" s="12" t="str">
        <x:v>S0180-12</x:v>
      </x:c>
      <x:c r="B2085" s="12" t="str">
        <x:v>S0180</x:v>
      </x:c>
      <x:c r="C2085" s="12" t="str">
        <x:v>周末/节假日</x:v>
      </x:c>
      <x:c r="D2085" s="12" t="str">
        <x:v>环线3路</x:v>
      </x:c>
      <x:c r="E2085" s="12" t="str">
        <x:v>第二班</x:v>
      </x:c>
      <x:c r="F2085" s="12" t="n">
        <x:v>1</x:v>
      </x:c>
      <x:c r="G2085" s="12" t="str">
        <x:v>11:25</x:v>
      </x:c>
      <x:c r="H2085" s="12" t="n">
        <x:v>685</x:v>
      </x:c>
      <x:c r="I2085" s="12" t="str">
        <x:v>高超楼（系统工程学院旁）</x:v>
      </x:c>
      <x:c r="J2085" s="12" t="str">
        <x:v>高超楼发车</x:v>
      </x:c>
      <x:c r="K2085" s="12" t="str">
        <x:v>HX3_GAOCHAO</x:v>
      </x:c>
      <x:c r="L2085" s="12" t="n">
        <x:v>12</x:v>
      </x:c>
      <x:c r="M2085" s="12" t="str">
        <x:v>HX3_GAOCHAO|12</x:v>
      </x:c>
      <x:c r="N2085" s="12" t="str">
        <x:v>高超楼</x:v>
      </x:c>
      <x:c r="O2085" s="12" t="n">
        <x:f>IFERROR(INDEX('秒级路线参数_可调整'!$O:$O,MATCH(M2085,'秒级路线参数_可调整'!$A:$A,0)),"")</x:f>
        <x:v>840</x:v>
      </x:c>
      <x:c r="P2085" s="12" t="n">
        <x:f>IF(O2085="","",O2085/86400)</x:f>
        <x:v>0.009722222222222222</x:v>
      </x:c>
      <x:c r="Q2085" s="12" t="n">
        <x:f>IF(O2085="","",(H2085*60+O2085)/86400)</x:f>
        <x:v>0.48541666666666666</x:v>
      </x:c>
      <x:c r="R2085" s="12" t="str">
        <x:f>IF(Q2085="","",TEXT(Q2085,"hh:mm:ss"))</x:f>
        <x:v>11:39:00</x:v>
      </x:c>
      <x:c r="S2085" s="12" t="str">
        <x:v>否</x:v>
      </x:c>
      <x:c r="T2085" s="12" t="str">
        <x:v>是</x:v>
      </x:c>
      <x:c r="U2085" s="12" t="str">
        <x:v>夏文新</x:v>
      </x:c>
      <x:c r="V2085" s="12" t="str">
        <x:v>4号车</x:v>
      </x:c>
      <x:c r="W2085" s="12" t="str">
        <x:v>秒级预测</x:v>
      </x:c>
      <x:c r="X2085" s="12" t="str">
        <x:v>基于路线秒级参数；如录入实测或手动采用秒，预计到达时间可随公式更新</x:v>
      </x:c>
    </x:row>
    <x:row r="2086">
      <x:c r="A2086" s="12" t="str">
        <x:v>S0181-01</x:v>
      </x:c>
      <x:c r="B2086" s="12" t="str">
        <x:v>S0181</x:v>
      </x:c>
      <x:c r="C2086" s="12" t="str">
        <x:v>周末/节假日</x:v>
      </x:c>
      <x:c r="D2086" s="12" t="str">
        <x:v>环线3路</x:v>
      </x:c>
      <x:c r="E2086" s="12" t="str">
        <x:v>第二班</x:v>
      </x:c>
      <x:c r="F2086" s="12" t="n">
        <x:v>2</x:v>
      </x:c>
      <x:c r="G2086" s="12" t="str">
        <x:v>11:55</x:v>
      </x:c>
      <x:c r="H2086" s="12" t="n">
        <x:v>715</x:v>
      </x:c>
      <x:c r="I2086" s="12" t="str">
        <x:v>高超楼（系统工程学院旁）</x:v>
      </x:c>
      <x:c r="J2086" s="12" t="str">
        <x:v>高超楼发车</x:v>
      </x:c>
      <x:c r="K2086" s="12" t="str">
        <x:v>HX3_GAOCHAO</x:v>
      </x:c>
      <x:c r="L2086" s="12" t="n">
        <x:v>1</x:v>
      </x:c>
      <x:c r="M2086" s="12" t="str">
        <x:v>HX3_GAOCHAO|1</x:v>
      </x:c>
      <x:c r="N2086" s="12" t="str">
        <x:v>高超楼</x:v>
      </x:c>
      <x:c r="O2086" s="12" t="n">
        <x:f>IFERROR(INDEX('秒级路线参数_可调整'!$O:$O,MATCH(M2086,'秒级路线参数_可调整'!$A:$A,0)),"")</x:f>
        <x:v>0</x:v>
      </x:c>
      <x:c r="P2086" s="12" t="str">
        <x:f>IF(O2086="","",O2086/86400)</x:f>
      </x:c>
      <x:c r="Q2086" s="12" t="str">
        <x:f>IF(O2086="","",(H2086*60+O2086)/86400)</x:f>
      </x:c>
      <x:c r="R2086" s="12" t="str">
        <x:f>IF(Q2086="","",TEXT(Q2086,"hh:mm:ss"))</x:f>
      </x:c>
      <x:c r="S2086" s="12" t="str">
        <x:v>是</x:v>
      </x:c>
      <x:c r="T2086" s="12" t="str">
        <x:v>否</x:v>
      </x:c>
      <x:c r="U2086" s="12" t="str">
        <x:v>夏文新</x:v>
      </x:c>
      <x:c r="V2086" s="12" t="str">
        <x:v>4号车</x:v>
      </x:c>
      <x:c r="W2086" s="12" t="str">
        <x:v>秒级预测</x:v>
      </x:c>
      <x:c r="X2086" s="12" t="str">
        <x:v>基于路线秒级参数；如录入实测或手动采用秒，预计到达时间可随公式更新</x:v>
      </x:c>
    </x:row>
    <x:row r="2087">
      <x:c r="A2087" s="12" t="str">
        <x:v>S0181-02</x:v>
      </x:c>
      <x:c r="B2087" s="12" t="str">
        <x:v>S0181</x:v>
      </x:c>
      <x:c r="C2087" s="12" t="str">
        <x:v>周末/节假日</x:v>
      </x:c>
      <x:c r="D2087" s="12" t="str">
        <x:v>环线3路</x:v>
      </x:c>
      <x:c r="E2087" s="12" t="str">
        <x:v>第二班</x:v>
      </x:c>
      <x:c r="F2087" s="12" t="n">
        <x:v>2</x:v>
      </x:c>
      <x:c r="G2087" s="12" t="str">
        <x:v>11:55</x:v>
      </x:c>
      <x:c r="H2087" s="12" t="n">
        <x:v>715</x:v>
      </x:c>
      <x:c r="I2087" s="12" t="str">
        <x:v>高超楼（系统工程学院旁）</x:v>
      </x:c>
      <x:c r="J2087" s="12" t="str">
        <x:v>高超楼发车</x:v>
      </x:c>
      <x:c r="K2087" s="12" t="str">
        <x:v>HX3_GAOCHAO</x:v>
      </x:c>
      <x:c r="L2087" s="12" t="n">
        <x:v>2</x:v>
      </x:c>
      <x:c r="M2087" s="12" t="str">
        <x:v>HX3_GAOCHAO|2</x:v>
      </x:c>
      <x:c r="N2087" s="12" t="str">
        <x:v>理学院</x:v>
      </x:c>
      <x:c r="O2087" s="12" t="n">
        <x:f>IFERROR(INDEX('秒级路线参数_可调整'!$O:$O,MATCH(M2087,'秒级路线参数_可调整'!$A:$A,0)),"")</x:f>
        <x:v>65</x:v>
      </x:c>
      <x:c r="P2087" s="12" t="n">
        <x:f>IF(O2087="","",O2087/86400)</x:f>
        <x:v>0.0007523148148148148</x:v>
      </x:c>
      <x:c r="Q2087" s="12" t="n">
        <x:f>IF(O2087="","",(H2087*60+O2087)/86400)</x:f>
        <x:v>0.4972800925925926</x:v>
      </x:c>
      <x:c r="R2087" s="12" t="str">
        <x:f>IF(Q2087="","",TEXT(Q2087,"hh:mm:ss"))</x:f>
        <x:v>11:56:05</x:v>
      </x:c>
      <x:c r="S2087" s="12" t="str">
        <x:v>否</x:v>
      </x:c>
      <x:c r="T2087" s="12" t="str">
        <x:v>否</x:v>
      </x:c>
      <x:c r="U2087" s="12" t="str">
        <x:v>夏文新</x:v>
      </x:c>
      <x:c r="V2087" s="12" t="str">
        <x:v>4号车</x:v>
      </x:c>
      <x:c r="W2087" s="12" t="str">
        <x:v>秒级预测</x:v>
      </x:c>
      <x:c r="X2087" s="12" t="str">
        <x:v>基于路线秒级参数；如录入实测或手动采用秒，预计到达时间可随公式更新</x:v>
      </x:c>
    </x:row>
    <x:row r="2088">
      <x:c r="A2088" s="12" t="str">
        <x:v>S0181-03</x:v>
      </x:c>
      <x:c r="B2088" s="12" t="str">
        <x:v>S0181</x:v>
      </x:c>
      <x:c r="C2088" s="12" t="str">
        <x:v>周末/节假日</x:v>
      </x:c>
      <x:c r="D2088" s="12" t="str">
        <x:v>环线3路</x:v>
      </x:c>
      <x:c r="E2088" s="12" t="str">
        <x:v>第二班</x:v>
      </x:c>
      <x:c r="F2088" s="12" t="n">
        <x:v>2</x:v>
      </x:c>
      <x:c r="G2088" s="12" t="str">
        <x:v>11:55</x:v>
      </x:c>
      <x:c r="H2088" s="12" t="n">
        <x:v>715</x:v>
      </x:c>
      <x:c r="I2088" s="12" t="str">
        <x:v>高超楼（系统工程学院旁）</x:v>
      </x:c>
      <x:c r="J2088" s="12" t="str">
        <x:v>高超楼发车</x:v>
      </x:c>
      <x:c r="K2088" s="12" t="str">
        <x:v>HX3_GAOCHAO</x:v>
      </x:c>
      <x:c r="L2088" s="12" t="n">
        <x:v>3</x:v>
      </x:c>
      <x:c r="M2088" s="12" t="str">
        <x:v>HX3_GAOCHAO|3</x:v>
      </x:c>
      <x:c r="N2088" s="12" t="str">
        <x:v>二食堂</x:v>
      </x:c>
      <x:c r="O2088" s="12" t="n">
        <x:f>IFERROR(INDEX('秒级路线参数_可调整'!$O:$O,MATCH(M2088,'秒级路线参数_可调整'!$A:$A,0)),"")</x:f>
        <x:v>120</x:v>
      </x:c>
      <x:c r="P2088" s="12" t="n">
        <x:f>IF(O2088="","",O2088/86400)</x:f>
        <x:v>0.001388888888888889</x:v>
      </x:c>
      <x:c r="Q2088" s="12" t="n">
        <x:f>IF(O2088="","",(H2088*60+O2088)/86400)</x:f>
        <x:v>0.4979166666666667</x:v>
      </x:c>
      <x:c r="R2088" s="12" t="str">
        <x:f>IF(Q2088="","",TEXT(Q2088,"hh:mm:ss"))</x:f>
        <x:v>11:57:00</x:v>
      </x:c>
      <x:c r="S2088" s="12" t="str">
        <x:v>否</x:v>
      </x:c>
      <x:c r="T2088" s="12" t="str">
        <x:v>否</x:v>
      </x:c>
      <x:c r="U2088" s="12" t="str">
        <x:v>夏文新</x:v>
      </x:c>
      <x:c r="V2088" s="12" t="str">
        <x:v>4号车</x:v>
      </x:c>
      <x:c r="W2088" s="12" t="str">
        <x:v>秒级预测</x:v>
      </x:c>
      <x:c r="X2088" s="12" t="str">
        <x:v>基于路线秒级参数；如录入实测或手动采用秒，预计到达时间可随公式更新</x:v>
      </x:c>
    </x:row>
    <x:row r="2089">
      <x:c r="A2089" s="12" t="str">
        <x:v>S0181-04</x:v>
      </x:c>
      <x:c r="B2089" s="12" t="str">
        <x:v>S0181</x:v>
      </x:c>
      <x:c r="C2089" s="12" t="str">
        <x:v>周末/节假日</x:v>
      </x:c>
      <x:c r="D2089" s="12" t="str">
        <x:v>环线3路</x:v>
      </x:c>
      <x:c r="E2089" s="12" t="str">
        <x:v>第二班</x:v>
      </x:c>
      <x:c r="F2089" s="12" t="n">
        <x:v>2</x:v>
      </x:c>
      <x:c r="G2089" s="12" t="str">
        <x:v>11:55</x:v>
      </x:c>
      <x:c r="H2089" s="12" t="n">
        <x:v>715</x:v>
      </x:c>
      <x:c r="I2089" s="12" t="str">
        <x:v>高超楼（系统工程学院旁）</x:v>
      </x:c>
      <x:c r="J2089" s="12" t="str">
        <x:v>高超楼发车</x:v>
      </x:c>
      <x:c r="K2089" s="12" t="str">
        <x:v>HX3_GAOCHAO</x:v>
      </x:c>
      <x:c r="L2089" s="12" t="n">
        <x:v>4</x:v>
      </x:c>
      <x:c r="M2089" s="12" t="str">
        <x:v>HX3_GAOCHAO|4</x:v>
      </x:c>
      <x:c r="N2089" s="12" t="str">
        <x:v>图书馆</x:v>
      </x:c>
      <x:c r="O2089" s="12" t="n">
        <x:f>IFERROR(INDEX('秒级路线参数_可调整'!$O:$O,MATCH(M2089,'秒级路线参数_可调整'!$A:$A,0)),"")</x:f>
        <x:v>165</x:v>
      </x:c>
      <x:c r="P2089" s="12" t="n">
        <x:f>IF(O2089="","",O2089/86400)</x:f>
        <x:v>0.0019097222222222222</x:v>
      </x:c>
      <x:c r="Q2089" s="12" t="n">
        <x:f>IF(O2089="","",(H2089*60+O2089)/86400)</x:f>
        <x:v>0.4984375</x:v>
      </x:c>
      <x:c r="R2089" s="12" t="str">
        <x:f>IF(Q2089="","",TEXT(Q2089,"hh:mm:ss"))</x:f>
        <x:v>11:57:45</x:v>
      </x:c>
      <x:c r="S2089" s="12" t="str">
        <x:v>否</x:v>
      </x:c>
      <x:c r="T2089" s="12" t="str">
        <x:v>否</x:v>
      </x:c>
      <x:c r="U2089" s="12" t="str">
        <x:v>夏文新</x:v>
      </x:c>
      <x:c r="V2089" s="12" t="str">
        <x:v>4号车</x:v>
      </x:c>
      <x:c r="W2089" s="12" t="str">
        <x:v>秒级预测</x:v>
      </x:c>
      <x:c r="X2089" s="12" t="str">
        <x:v>基于路线秒级参数；如录入实测或手动采用秒，预计到达时间可随公式更新</x:v>
      </x:c>
    </x:row>
    <x:row r="2090">
      <x:c r="A2090" s="12" t="str">
        <x:v>S0181-05</x:v>
      </x:c>
      <x:c r="B2090" s="12" t="str">
        <x:v>S0181</x:v>
      </x:c>
      <x:c r="C2090" s="12" t="str">
        <x:v>周末/节假日</x:v>
      </x:c>
      <x:c r="D2090" s="12" t="str">
        <x:v>环线3路</x:v>
      </x:c>
      <x:c r="E2090" s="12" t="str">
        <x:v>第二班</x:v>
      </x:c>
      <x:c r="F2090" s="12" t="n">
        <x:v>2</x:v>
      </x:c>
      <x:c r="G2090" s="12" t="str">
        <x:v>11:55</x:v>
      </x:c>
      <x:c r="H2090" s="12" t="n">
        <x:v>715</x:v>
      </x:c>
      <x:c r="I2090" s="12" t="str">
        <x:v>高超楼（系统工程学院旁）</x:v>
      </x:c>
      <x:c r="J2090" s="12" t="str">
        <x:v>高超楼发车</x:v>
      </x:c>
      <x:c r="K2090" s="12" t="str">
        <x:v>HX3_GAOCHAO</x:v>
      </x:c>
      <x:c r="L2090" s="12" t="n">
        <x:v>5</x:v>
      </x:c>
      <x:c r="M2090" s="12" t="str">
        <x:v>HX3_GAOCHAO|5</x:v>
      </x:c>
      <x:c r="N2090" s="12" t="str">
        <x:v>305教学楼</x:v>
      </x:c>
      <x:c r="O2090" s="12" t="n">
        <x:f>IFERROR(INDEX('秒级路线参数_可调整'!$O:$O,MATCH(M2090,'秒级路线参数_可调整'!$A:$A,0)),"")</x:f>
        <x:v>250</x:v>
      </x:c>
      <x:c r="P2090" s="12" t="n">
        <x:f>IF(O2090="","",O2090/86400)</x:f>
        <x:v>0.0028935185185185184</x:v>
      </x:c>
      <x:c r="Q2090" s="12" t="n">
        <x:f>IF(O2090="","",(H2090*60+O2090)/86400)</x:f>
        <x:v>0.4994212962962963</x:v>
      </x:c>
      <x:c r="R2090" s="12" t="str">
        <x:f>IF(Q2090="","",TEXT(Q2090,"hh:mm:ss"))</x:f>
        <x:v>11:59:10</x:v>
      </x:c>
      <x:c r="S2090" s="12" t="str">
        <x:v>否</x:v>
      </x:c>
      <x:c r="T2090" s="12" t="str">
        <x:v>否</x:v>
      </x:c>
      <x:c r="U2090" s="12" t="str">
        <x:v>夏文新</x:v>
      </x:c>
      <x:c r="V2090" s="12" t="str">
        <x:v>4号车</x:v>
      </x:c>
      <x:c r="W2090" s="12" t="str">
        <x:v>秒级预测</x:v>
      </x:c>
      <x:c r="X2090" s="12" t="str">
        <x:v>基于路线秒级参数；如录入实测或手动采用秒，预计到达时间可随公式更新</x:v>
      </x:c>
    </x:row>
    <x:row r="2091">
      <x:c r="A2091" s="12" t="str">
        <x:v>S0181-06</x:v>
      </x:c>
      <x:c r="B2091" s="12" t="str">
        <x:v>S0181</x:v>
      </x:c>
      <x:c r="C2091" s="12" t="str">
        <x:v>周末/节假日</x:v>
      </x:c>
      <x:c r="D2091" s="12" t="str">
        <x:v>环线3路</x:v>
      </x:c>
      <x:c r="E2091" s="12" t="str">
        <x:v>第二班</x:v>
      </x:c>
      <x:c r="F2091" s="12" t="n">
        <x:v>2</x:v>
      </x:c>
      <x:c r="G2091" s="12" t="str">
        <x:v>11:55</x:v>
      </x:c>
      <x:c r="H2091" s="12" t="n">
        <x:v>715</x:v>
      </x:c>
      <x:c r="I2091" s="12" t="str">
        <x:v>高超楼（系统工程学院旁）</x:v>
      </x:c>
      <x:c r="J2091" s="12" t="str">
        <x:v>高超楼发车</x:v>
      </x:c>
      <x:c r="K2091" s="12" t="str">
        <x:v>HX3_GAOCHAO</x:v>
      </x:c>
      <x:c r="L2091" s="12" t="n">
        <x:v>6</x:v>
      </x:c>
      <x:c r="M2091" s="12" t="str">
        <x:v>HX3_GAOCHAO|6</x:v>
      </x:c>
      <x:c r="N2091" s="12" t="str">
        <x:v>研究生宿舍楼</x:v>
      </x:c>
      <x:c r="O2091" s="12" t="n">
        <x:f>IFERROR(INDEX('秒级路线参数_可调整'!$O:$O,MATCH(M2091,'秒级路线参数_可调整'!$A:$A,0)),"")</x:f>
        <x:v>315</x:v>
      </x:c>
      <x:c r="P2091" s="12" t="n">
        <x:f>IF(O2091="","",O2091/86400)</x:f>
        <x:v>0.0036458333333333334</x:v>
      </x:c>
      <x:c r="Q2091" s="12" t="n">
        <x:f>IF(O2091="","",(H2091*60+O2091)/86400)</x:f>
        <x:v>0.5001736111111111</x:v>
      </x:c>
      <x:c r="R2091" s="12" t="str">
        <x:f>IF(Q2091="","",TEXT(Q2091,"hh:mm:ss"))</x:f>
        <x:v>12:00:15</x:v>
      </x:c>
      <x:c r="S2091" s="12" t="str">
        <x:v>否</x:v>
      </x:c>
      <x:c r="T2091" s="12" t="str">
        <x:v>否</x:v>
      </x:c>
      <x:c r="U2091" s="12" t="str">
        <x:v>夏文新</x:v>
      </x:c>
      <x:c r="V2091" s="12" t="str">
        <x:v>4号车</x:v>
      </x:c>
      <x:c r="W2091" s="12" t="str">
        <x:v>秒级预测</x:v>
      </x:c>
      <x:c r="X2091" s="12" t="str">
        <x:v>基于路线秒级参数；如录入实测或手动采用秒，预计到达时间可随公式更新</x:v>
      </x:c>
    </x:row>
    <x:row r="2092">
      <x:c r="A2092" s="12" t="str">
        <x:v>S0181-07</x:v>
      </x:c>
      <x:c r="B2092" s="12" t="str">
        <x:v>S0181</x:v>
      </x:c>
      <x:c r="C2092" s="12" t="str">
        <x:v>周末/节假日</x:v>
      </x:c>
      <x:c r="D2092" s="12" t="str">
        <x:v>环线3路</x:v>
      </x:c>
      <x:c r="E2092" s="12" t="str">
        <x:v>第二班</x:v>
      </x:c>
      <x:c r="F2092" s="12" t="n">
        <x:v>2</x:v>
      </x:c>
      <x:c r="G2092" s="12" t="str">
        <x:v>11:55</x:v>
      </x:c>
      <x:c r="H2092" s="12" t="n">
        <x:v>715</x:v>
      </x:c>
      <x:c r="I2092" s="12" t="str">
        <x:v>高超楼（系统工程学院旁）</x:v>
      </x:c>
      <x:c r="J2092" s="12" t="str">
        <x:v>高超楼发车</x:v>
      </x:c>
      <x:c r="K2092" s="12" t="str">
        <x:v>HX3_GAOCHAO</x:v>
      </x:c>
      <x:c r="L2092" s="12" t="n">
        <x:v>7</x:v>
      </x:c>
      <x:c r="M2092" s="12" t="str">
        <x:v>HX3_GAOCHAO|7</x:v>
      </x:c>
      <x:c r="N2092" s="12" t="str">
        <x:v>一食堂</x:v>
      </x:c>
      <x:c r="O2092" s="12" t="n">
        <x:f>IFERROR(INDEX('秒级路线参数_可调整'!$O:$O,MATCH(M2092,'秒级路线参数_可调整'!$A:$A,0)),"")</x:f>
        <x:v>420</x:v>
      </x:c>
      <x:c r="P2092" s="12" t="n">
        <x:f>IF(O2092="","",O2092/86400)</x:f>
        <x:v>0.004861111111111111</x:v>
      </x:c>
      <x:c r="Q2092" s="12" t="n">
        <x:f>IF(O2092="","",(H2092*60+O2092)/86400)</x:f>
        <x:v>0.5013888888888889</x:v>
      </x:c>
      <x:c r="R2092" s="12" t="str">
        <x:f>IF(Q2092="","",TEXT(Q2092,"hh:mm:ss"))</x:f>
        <x:v>12:02:00</x:v>
      </x:c>
      <x:c r="S2092" s="12" t="str">
        <x:v>否</x:v>
      </x:c>
      <x:c r="T2092" s="12" t="str">
        <x:v>否</x:v>
      </x:c>
      <x:c r="U2092" s="12" t="str">
        <x:v>夏文新</x:v>
      </x:c>
      <x:c r="V2092" s="12" t="str">
        <x:v>4号车</x:v>
      </x:c>
      <x:c r="W2092" s="12" t="str">
        <x:v>秒级预测</x:v>
      </x:c>
      <x:c r="X2092" s="12" t="str">
        <x:v>基于路线秒级参数；如录入实测或手动采用秒，预计到达时间可随公式更新</x:v>
      </x:c>
    </x:row>
    <x:row r="2093">
      <x:c r="A2093" s="12" t="str">
        <x:v>S0181-08</x:v>
      </x:c>
      <x:c r="B2093" s="12" t="str">
        <x:v>S0181</x:v>
      </x:c>
      <x:c r="C2093" s="12" t="str">
        <x:v>周末/节假日</x:v>
      </x:c>
      <x:c r="D2093" s="12" t="str">
        <x:v>环线3路</x:v>
      </x:c>
      <x:c r="E2093" s="12" t="str">
        <x:v>第二班</x:v>
      </x:c>
      <x:c r="F2093" s="12" t="n">
        <x:v>2</x:v>
      </x:c>
      <x:c r="G2093" s="12" t="str">
        <x:v>11:55</x:v>
      </x:c>
      <x:c r="H2093" s="12" t="n">
        <x:v>715</x:v>
      </x:c>
      <x:c r="I2093" s="12" t="str">
        <x:v>高超楼（系统工程学院旁）</x:v>
      </x:c>
      <x:c r="J2093" s="12" t="str">
        <x:v>高超楼发车</x:v>
      </x:c>
      <x:c r="K2093" s="12" t="str">
        <x:v>HX3_GAOCHAO</x:v>
      </x:c>
      <x:c r="L2093" s="12" t="n">
        <x:v>8</x:v>
      </x:c>
      <x:c r="M2093" s="12" t="str">
        <x:v>HX3_GAOCHAO|8</x:v>
      </x:c>
      <x:c r="N2093" s="12" t="str">
        <x:v>2号宿舍楼</x:v>
      </x:c>
      <x:c r="O2093" s="12" t="n">
        <x:f>IFERROR(INDEX('秒级路线参数_可调整'!$O:$O,MATCH(M2093,'秒级路线参数_可调整'!$A:$A,0)),"")</x:f>
        <x:v>480</x:v>
      </x:c>
      <x:c r="P2093" s="12" t="n">
        <x:f>IF(O2093="","",O2093/86400)</x:f>
        <x:v>0.005555555555555556</x:v>
      </x:c>
      <x:c r="Q2093" s="12" t="n">
        <x:f>IF(O2093="","",(H2093*60+O2093)/86400)</x:f>
        <x:v>0.5020833333333333</x:v>
      </x:c>
      <x:c r="R2093" s="12" t="str">
        <x:f>IF(Q2093="","",TEXT(Q2093,"hh:mm:ss"))</x:f>
        <x:v>12:03:00</x:v>
      </x:c>
      <x:c r="S2093" s="12" t="str">
        <x:v>否</x:v>
      </x:c>
      <x:c r="T2093" s="12" t="str">
        <x:v>否</x:v>
      </x:c>
      <x:c r="U2093" s="12" t="str">
        <x:v>夏文新</x:v>
      </x:c>
      <x:c r="V2093" s="12" t="str">
        <x:v>4号车</x:v>
      </x:c>
      <x:c r="W2093" s="12" t="str">
        <x:v>秒级预测</x:v>
      </x:c>
      <x:c r="X2093" s="12" t="str">
        <x:v>基于路线秒级参数；如录入实测或手动采用秒，预计到达时间可随公式更新</x:v>
      </x:c>
    </x:row>
    <x:row r="2094">
      <x:c r="A2094" s="12" t="str">
        <x:v>S0181-09</x:v>
      </x:c>
      <x:c r="B2094" s="12" t="str">
        <x:v>S0181</x:v>
      </x:c>
      <x:c r="C2094" s="12" t="str">
        <x:v>周末/节假日</x:v>
      </x:c>
      <x:c r="D2094" s="12" t="str">
        <x:v>环线3路</x:v>
      </x:c>
      <x:c r="E2094" s="12" t="str">
        <x:v>第二班</x:v>
      </x:c>
      <x:c r="F2094" s="12" t="n">
        <x:v>2</x:v>
      </x:c>
      <x:c r="G2094" s="12" t="str">
        <x:v>11:55</x:v>
      </x:c>
      <x:c r="H2094" s="12" t="n">
        <x:v>715</x:v>
      </x:c>
      <x:c r="I2094" s="12" t="str">
        <x:v>高超楼（系统工程学院旁）</x:v>
      </x:c>
      <x:c r="J2094" s="12" t="str">
        <x:v>高超楼发车</x:v>
      </x:c>
      <x:c r="K2094" s="12" t="str">
        <x:v>HX3_GAOCHAO</x:v>
      </x:c>
      <x:c r="L2094" s="12" t="n">
        <x:v>9</x:v>
      </x:c>
      <x:c r="M2094" s="12" t="str">
        <x:v>HX3_GAOCHAO|9</x:v>
      </x:c>
      <x:c r="N2094" s="12" t="str">
        <x:v>军体活动中心</x:v>
      </x:c>
      <x:c r="O2094" s="12" t="n">
        <x:f>IFERROR(INDEX('秒级路线参数_可调整'!$O:$O,MATCH(M2094,'秒级路线参数_可调整'!$A:$A,0)),"")</x:f>
        <x:v>535</x:v>
      </x:c>
      <x:c r="P2094" s="12" t="n">
        <x:f>IF(O2094="","",O2094/86400)</x:f>
        <x:v>0.00619212962962963</x:v>
      </x:c>
      <x:c r="Q2094" s="12" t="n">
        <x:f>IF(O2094="","",(H2094*60+O2094)/86400)</x:f>
        <x:v>0.5027199074074075</x:v>
      </x:c>
      <x:c r="R2094" s="12" t="str">
        <x:f>IF(Q2094="","",TEXT(Q2094,"hh:mm:ss"))</x:f>
        <x:v>12:03:55</x:v>
      </x:c>
      <x:c r="S2094" s="12" t="str">
        <x:v>否</x:v>
      </x:c>
      <x:c r="T2094" s="12" t="str">
        <x:v>否</x:v>
      </x:c>
      <x:c r="U2094" s="12" t="str">
        <x:v>夏文新</x:v>
      </x:c>
      <x:c r="V2094" s="12" t="str">
        <x:v>4号车</x:v>
      </x:c>
      <x:c r="W2094" s="12" t="str">
        <x:v>秒级预测</x:v>
      </x:c>
      <x:c r="X2094" s="12" t="str">
        <x:v>基于路线秒级参数；如录入实测或手动采用秒，预计到达时间可随公式更新</x:v>
      </x:c>
    </x:row>
    <x:row r="2095">
      <x:c r="A2095" s="12" t="str">
        <x:v>S0181-10</x:v>
      </x:c>
      <x:c r="B2095" s="12" t="str">
        <x:v>S0181</x:v>
      </x:c>
      <x:c r="C2095" s="12" t="str">
        <x:v>周末/节假日</x:v>
      </x:c>
      <x:c r="D2095" s="12" t="str">
        <x:v>环线3路</x:v>
      </x:c>
      <x:c r="E2095" s="12" t="str">
        <x:v>第二班</x:v>
      </x:c>
      <x:c r="F2095" s="12" t="n">
        <x:v>2</x:v>
      </x:c>
      <x:c r="G2095" s="12" t="str">
        <x:v>11:55</x:v>
      </x:c>
      <x:c r="H2095" s="12" t="n">
        <x:v>715</x:v>
      </x:c>
      <x:c r="I2095" s="12" t="str">
        <x:v>高超楼（系统工程学院旁）</x:v>
      </x:c>
      <x:c r="J2095" s="12" t="str">
        <x:v>高超楼发车</x:v>
      </x:c>
      <x:c r="K2095" s="12" t="str">
        <x:v>HX3_GAOCHAO</x:v>
      </x:c>
      <x:c r="L2095" s="12" t="n">
        <x:v>10</x:v>
      </x:c>
      <x:c r="M2095" s="12" t="str">
        <x:v>HX3_GAOCHAO|10</x:v>
      </x:c>
      <x:c r="N2095" s="12" t="str">
        <x:v>教勤连</x:v>
      </x:c>
      <x:c r="O2095" s="12" t="n">
        <x:f>IFERROR(INDEX('秒级路线参数_可调整'!$O:$O,MATCH(M2095,'秒级路线参数_可调整'!$A:$A,0)),"")</x:f>
        <x:v>715</x:v>
      </x:c>
      <x:c r="P2095" s="12" t="n">
        <x:f>IF(O2095="","",O2095/86400)</x:f>
        <x:v>0.008275462962962964</x:v>
      </x:c>
      <x:c r="Q2095" s="12" t="n">
        <x:f>IF(O2095="","",(H2095*60+O2095)/86400)</x:f>
        <x:v>0.5048032407407408</x:v>
      </x:c>
      <x:c r="R2095" s="12" t="str">
        <x:f>IF(Q2095="","",TEXT(Q2095,"hh:mm:ss"))</x:f>
        <x:v>12:06:55</x:v>
      </x:c>
      <x:c r="S2095" s="12" t="str">
        <x:v>否</x:v>
      </x:c>
      <x:c r="T2095" s="12" t="str">
        <x:v>否</x:v>
      </x:c>
      <x:c r="U2095" s="12" t="str">
        <x:v>夏文新</x:v>
      </x:c>
      <x:c r="V2095" s="12" t="str">
        <x:v>4号车</x:v>
      </x:c>
      <x:c r="W2095" s="12" t="str">
        <x:v>秒级预测</x:v>
      </x:c>
      <x:c r="X2095" s="12" t="str">
        <x:v>基于路线秒级参数；如录入实测或手动采用秒，预计到达时间可随公式更新</x:v>
      </x:c>
    </x:row>
    <x:row r="2096">
      <x:c r="A2096" s="12" t="str">
        <x:v>S0181-11</x:v>
      </x:c>
      <x:c r="B2096" s="12" t="str">
        <x:v>S0181</x:v>
      </x:c>
      <x:c r="C2096" s="12" t="str">
        <x:v>周末/节假日</x:v>
      </x:c>
      <x:c r="D2096" s="12" t="str">
        <x:v>环线3路</x:v>
      </x:c>
      <x:c r="E2096" s="12" t="str">
        <x:v>第二班</x:v>
      </x:c>
      <x:c r="F2096" s="12" t="n">
        <x:v>2</x:v>
      </x:c>
      <x:c r="G2096" s="12" t="str">
        <x:v>11:55</x:v>
      </x:c>
      <x:c r="H2096" s="12" t="n">
        <x:v>715</x:v>
      </x:c>
      <x:c r="I2096" s="12" t="str">
        <x:v>高超楼（系统工程学院旁）</x:v>
      </x:c>
      <x:c r="J2096" s="12" t="str">
        <x:v>高超楼发车</x:v>
      </x:c>
      <x:c r="K2096" s="12" t="str">
        <x:v>HX3_GAOCHAO</x:v>
      </x:c>
      <x:c r="L2096" s="12" t="n">
        <x:v>11</x:v>
      </x:c>
      <x:c r="M2096" s="12" t="str">
        <x:v>HX3_GAOCHAO|11</x:v>
      </x:c>
      <x:c r="N2096" s="12" t="str">
        <x:v>激光所</x:v>
      </x:c>
      <x:c r="O2096" s="12" t="n">
        <x:f>IFERROR(INDEX('秒级路线参数_可调整'!$O:$O,MATCH(M2096,'秒级路线参数_可调整'!$A:$A,0)),"")</x:f>
        <x:v>775</x:v>
      </x:c>
      <x:c r="P2096" s="12" t="n">
        <x:f>IF(O2096="","",O2096/86400)</x:f>
        <x:v>0.008969907407407407</x:v>
      </x:c>
      <x:c r="Q2096" s="12" t="n">
        <x:f>IF(O2096="","",(H2096*60+O2096)/86400)</x:f>
        <x:v>0.5054976851851852</x:v>
      </x:c>
      <x:c r="R2096" s="12" t="str">
        <x:f>IF(Q2096="","",TEXT(Q2096,"hh:mm:ss"))</x:f>
        <x:v>12:07:55</x:v>
      </x:c>
      <x:c r="S2096" s="12" t="str">
        <x:v>否</x:v>
      </x:c>
      <x:c r="T2096" s="12" t="str">
        <x:v>否</x:v>
      </x:c>
      <x:c r="U2096" s="12" t="str">
        <x:v>夏文新</x:v>
      </x:c>
      <x:c r="V2096" s="12" t="str">
        <x:v>4号车</x:v>
      </x:c>
      <x:c r="W2096" s="12" t="str">
        <x:v>秒级预测</x:v>
      </x:c>
      <x:c r="X2096" s="12" t="str">
        <x:v>基于路线秒级参数；如录入实测或手动采用秒，预计到达时间可随公式更新</x:v>
      </x:c>
    </x:row>
    <x:row r="2097">
      <x:c r="A2097" s="12" t="str">
        <x:v>S0181-12</x:v>
      </x:c>
      <x:c r="B2097" s="12" t="str">
        <x:v>S0181</x:v>
      </x:c>
      <x:c r="C2097" s="12" t="str">
        <x:v>周末/节假日</x:v>
      </x:c>
      <x:c r="D2097" s="12" t="str">
        <x:v>环线3路</x:v>
      </x:c>
      <x:c r="E2097" s="12" t="str">
        <x:v>第二班</x:v>
      </x:c>
      <x:c r="F2097" s="12" t="n">
        <x:v>2</x:v>
      </x:c>
      <x:c r="G2097" s="12" t="str">
        <x:v>11:55</x:v>
      </x:c>
      <x:c r="H2097" s="12" t="n">
        <x:v>715</x:v>
      </x:c>
      <x:c r="I2097" s="12" t="str">
        <x:v>高超楼（系统工程学院旁）</x:v>
      </x:c>
      <x:c r="J2097" s="12" t="str">
        <x:v>高超楼发车</x:v>
      </x:c>
      <x:c r="K2097" s="12" t="str">
        <x:v>HX3_GAOCHAO</x:v>
      </x:c>
      <x:c r="L2097" s="12" t="n">
        <x:v>12</x:v>
      </x:c>
      <x:c r="M2097" s="12" t="str">
        <x:v>HX3_GAOCHAO|12</x:v>
      </x:c>
      <x:c r="N2097" s="12" t="str">
        <x:v>高超楼</x:v>
      </x:c>
      <x:c r="O2097" s="12" t="n">
        <x:f>IFERROR(INDEX('秒级路线参数_可调整'!$O:$O,MATCH(M2097,'秒级路线参数_可调整'!$A:$A,0)),"")</x:f>
        <x:v>840</x:v>
      </x:c>
      <x:c r="P2097" s="12" t="n">
        <x:f>IF(O2097="","",O2097/86400)</x:f>
        <x:v>0.009722222222222222</x:v>
      </x:c>
      <x:c r="Q2097" s="12" t="n">
        <x:f>IF(O2097="","",(H2097*60+O2097)/86400)</x:f>
        <x:v>0.50625</x:v>
      </x:c>
      <x:c r="R2097" s="12" t="str">
        <x:f>IF(Q2097="","",TEXT(Q2097,"hh:mm:ss"))</x:f>
        <x:v>12:09:00</x:v>
      </x:c>
      <x:c r="S2097" s="12" t="str">
        <x:v>否</x:v>
      </x:c>
      <x:c r="T2097" s="12" t="str">
        <x:v>是</x:v>
      </x:c>
      <x:c r="U2097" s="12" t="str">
        <x:v>夏文新</x:v>
      </x:c>
      <x:c r="V2097" s="12" t="str">
        <x:v>4号车</x:v>
      </x:c>
      <x:c r="W2097" s="12" t="str">
        <x:v>秒级预测</x:v>
      </x:c>
      <x:c r="X2097" s="12" t="str">
        <x:v>基于路线秒级参数；如录入实测或手动采用秒，预计到达时间可随公式更新</x:v>
      </x:c>
    </x:row>
    <x:row r="2098">
      <x:c r="A2098" s="12" t="str">
        <x:v>S0182-01</x:v>
      </x:c>
      <x:c r="B2098" s="12" t="str">
        <x:v>S0182</x:v>
      </x:c>
      <x:c r="C2098" s="12" t="str">
        <x:v>周末/节假日</x:v>
      </x:c>
      <x:c r="D2098" s="12" t="str">
        <x:v>环线3路</x:v>
      </x:c>
      <x:c r="E2098" s="12" t="str">
        <x:v>第二班</x:v>
      </x:c>
      <x:c r="F2098" s="12" t="n">
        <x:v>3</x:v>
      </x:c>
      <x:c r="G2098" s="12" t="str">
        <x:v>12:25</x:v>
      </x:c>
      <x:c r="H2098" s="12" t="n">
        <x:v>745</x:v>
      </x:c>
      <x:c r="I2098" s="12" t="str">
        <x:v>高超楼（系统工程学院旁）</x:v>
      </x:c>
      <x:c r="J2098" s="12" t="str">
        <x:v>高超楼发车</x:v>
      </x:c>
      <x:c r="K2098" s="12" t="str">
        <x:v>HX3_GAOCHAO</x:v>
      </x:c>
      <x:c r="L2098" s="12" t="n">
        <x:v>1</x:v>
      </x:c>
      <x:c r="M2098" s="12" t="str">
        <x:v>HX3_GAOCHAO|1</x:v>
      </x:c>
      <x:c r="N2098" s="12" t="str">
        <x:v>高超楼</x:v>
      </x:c>
      <x:c r="O2098" s="12" t="n">
        <x:f>IFERROR(INDEX('秒级路线参数_可调整'!$O:$O,MATCH(M2098,'秒级路线参数_可调整'!$A:$A,0)),"")</x:f>
        <x:v>0</x:v>
      </x:c>
      <x:c r="P2098" s="12" t="str">
        <x:f>IF(O2098="","",O2098/86400)</x:f>
      </x:c>
      <x:c r="Q2098" s="12" t="str">
        <x:f>IF(O2098="","",(H2098*60+O2098)/86400)</x:f>
      </x:c>
      <x:c r="R2098" s="12" t="str">
        <x:f>IF(Q2098="","",TEXT(Q2098,"hh:mm:ss"))</x:f>
      </x:c>
      <x:c r="S2098" s="12" t="str">
        <x:v>是</x:v>
      </x:c>
      <x:c r="T2098" s="12" t="str">
        <x:v>否</x:v>
      </x:c>
      <x:c r="U2098" s="12" t="str">
        <x:v>夏文新</x:v>
      </x:c>
      <x:c r="V2098" s="12" t="str">
        <x:v>4号车</x:v>
      </x:c>
      <x:c r="W2098" s="12" t="str">
        <x:v>秒级预测</x:v>
      </x:c>
      <x:c r="X2098" s="12" t="str">
        <x:v>基于路线秒级参数；如录入实测或手动采用秒，预计到达时间可随公式更新</x:v>
      </x:c>
    </x:row>
    <x:row r="2099">
      <x:c r="A2099" s="12" t="str">
        <x:v>S0182-02</x:v>
      </x:c>
      <x:c r="B2099" s="12" t="str">
        <x:v>S0182</x:v>
      </x:c>
      <x:c r="C2099" s="12" t="str">
        <x:v>周末/节假日</x:v>
      </x:c>
      <x:c r="D2099" s="12" t="str">
        <x:v>环线3路</x:v>
      </x:c>
      <x:c r="E2099" s="12" t="str">
        <x:v>第二班</x:v>
      </x:c>
      <x:c r="F2099" s="12" t="n">
        <x:v>3</x:v>
      </x:c>
      <x:c r="G2099" s="12" t="str">
        <x:v>12:25</x:v>
      </x:c>
      <x:c r="H2099" s="12" t="n">
        <x:v>745</x:v>
      </x:c>
      <x:c r="I2099" s="12" t="str">
        <x:v>高超楼（系统工程学院旁）</x:v>
      </x:c>
      <x:c r="J2099" s="12" t="str">
        <x:v>高超楼发车</x:v>
      </x:c>
      <x:c r="K2099" s="12" t="str">
        <x:v>HX3_GAOCHAO</x:v>
      </x:c>
      <x:c r="L2099" s="12" t="n">
        <x:v>2</x:v>
      </x:c>
      <x:c r="M2099" s="12" t="str">
        <x:v>HX3_GAOCHAO|2</x:v>
      </x:c>
      <x:c r="N2099" s="12" t="str">
        <x:v>理学院</x:v>
      </x:c>
      <x:c r="O2099" s="12" t="n">
        <x:f>IFERROR(INDEX('秒级路线参数_可调整'!$O:$O,MATCH(M2099,'秒级路线参数_可调整'!$A:$A,0)),"")</x:f>
        <x:v>65</x:v>
      </x:c>
      <x:c r="P2099" s="12" t="n">
        <x:f>IF(O2099="","",O2099/86400)</x:f>
        <x:v>0.0007523148148148148</x:v>
      </x:c>
      <x:c r="Q2099" s="12" t="n">
        <x:f>IF(O2099="","",(H2099*60+O2099)/86400)</x:f>
        <x:v>0.5181134259259259</x:v>
      </x:c>
      <x:c r="R2099" s="12" t="str">
        <x:f>IF(Q2099="","",TEXT(Q2099,"hh:mm:ss"))</x:f>
        <x:v>12:26:05</x:v>
      </x:c>
      <x:c r="S2099" s="12" t="str">
        <x:v>否</x:v>
      </x:c>
      <x:c r="T2099" s="12" t="str">
        <x:v>否</x:v>
      </x:c>
      <x:c r="U2099" s="12" t="str">
        <x:v>夏文新</x:v>
      </x:c>
      <x:c r="V2099" s="12" t="str">
        <x:v>4号车</x:v>
      </x:c>
      <x:c r="W2099" s="12" t="str">
        <x:v>秒级预测</x:v>
      </x:c>
      <x:c r="X2099" s="12" t="str">
        <x:v>基于路线秒级参数；如录入实测或手动采用秒，预计到达时间可随公式更新</x:v>
      </x:c>
    </x:row>
    <x:row r="2100">
      <x:c r="A2100" s="12" t="str">
        <x:v>S0182-03</x:v>
      </x:c>
      <x:c r="B2100" s="12" t="str">
        <x:v>S0182</x:v>
      </x:c>
      <x:c r="C2100" s="12" t="str">
        <x:v>周末/节假日</x:v>
      </x:c>
      <x:c r="D2100" s="12" t="str">
        <x:v>环线3路</x:v>
      </x:c>
      <x:c r="E2100" s="12" t="str">
        <x:v>第二班</x:v>
      </x:c>
      <x:c r="F2100" s="12" t="n">
        <x:v>3</x:v>
      </x:c>
      <x:c r="G2100" s="12" t="str">
        <x:v>12:25</x:v>
      </x:c>
      <x:c r="H2100" s="12" t="n">
        <x:v>745</x:v>
      </x:c>
      <x:c r="I2100" s="12" t="str">
        <x:v>高超楼（系统工程学院旁）</x:v>
      </x:c>
      <x:c r="J2100" s="12" t="str">
        <x:v>高超楼发车</x:v>
      </x:c>
      <x:c r="K2100" s="12" t="str">
        <x:v>HX3_GAOCHAO</x:v>
      </x:c>
      <x:c r="L2100" s="12" t="n">
        <x:v>3</x:v>
      </x:c>
      <x:c r="M2100" s="12" t="str">
        <x:v>HX3_GAOCHAO|3</x:v>
      </x:c>
      <x:c r="N2100" s="12" t="str">
        <x:v>二食堂</x:v>
      </x:c>
      <x:c r="O2100" s="12" t="n">
        <x:f>IFERROR(INDEX('秒级路线参数_可调整'!$O:$O,MATCH(M2100,'秒级路线参数_可调整'!$A:$A,0)),"")</x:f>
        <x:v>120</x:v>
      </x:c>
      <x:c r="P2100" s="12" t="n">
        <x:f>IF(O2100="","",O2100/86400)</x:f>
        <x:v>0.001388888888888889</x:v>
      </x:c>
      <x:c r="Q2100" s="12" t="n">
        <x:f>IF(O2100="","",(H2100*60+O2100)/86400)</x:f>
        <x:v>0.51875</x:v>
      </x:c>
      <x:c r="R2100" s="12" t="str">
        <x:f>IF(Q2100="","",TEXT(Q2100,"hh:mm:ss"))</x:f>
        <x:v>12:27:00</x:v>
      </x:c>
      <x:c r="S2100" s="12" t="str">
        <x:v>否</x:v>
      </x:c>
      <x:c r="T2100" s="12" t="str">
        <x:v>否</x:v>
      </x:c>
      <x:c r="U2100" s="12" t="str">
        <x:v>夏文新</x:v>
      </x:c>
      <x:c r="V2100" s="12" t="str">
        <x:v>4号车</x:v>
      </x:c>
      <x:c r="W2100" s="12" t="str">
        <x:v>秒级预测</x:v>
      </x:c>
      <x:c r="X2100" s="12" t="str">
        <x:v>基于路线秒级参数；如录入实测或手动采用秒，预计到达时间可随公式更新</x:v>
      </x:c>
    </x:row>
    <x:row r="2101">
      <x:c r="A2101" s="12" t="str">
        <x:v>S0182-04</x:v>
      </x:c>
      <x:c r="B2101" s="12" t="str">
        <x:v>S0182</x:v>
      </x:c>
      <x:c r="C2101" s="12" t="str">
        <x:v>周末/节假日</x:v>
      </x:c>
      <x:c r="D2101" s="12" t="str">
        <x:v>环线3路</x:v>
      </x:c>
      <x:c r="E2101" s="12" t="str">
        <x:v>第二班</x:v>
      </x:c>
      <x:c r="F2101" s="12" t="n">
        <x:v>3</x:v>
      </x:c>
      <x:c r="G2101" s="12" t="str">
        <x:v>12:25</x:v>
      </x:c>
      <x:c r="H2101" s="12" t="n">
        <x:v>745</x:v>
      </x:c>
      <x:c r="I2101" s="12" t="str">
        <x:v>高超楼（系统工程学院旁）</x:v>
      </x:c>
      <x:c r="J2101" s="12" t="str">
        <x:v>高超楼发车</x:v>
      </x:c>
      <x:c r="K2101" s="12" t="str">
        <x:v>HX3_GAOCHAO</x:v>
      </x:c>
      <x:c r="L2101" s="12" t="n">
        <x:v>4</x:v>
      </x:c>
      <x:c r="M2101" s="12" t="str">
        <x:v>HX3_GAOCHAO|4</x:v>
      </x:c>
      <x:c r="N2101" s="12" t="str">
        <x:v>图书馆</x:v>
      </x:c>
      <x:c r="O2101" s="12" t="n">
        <x:f>IFERROR(INDEX('秒级路线参数_可调整'!$O:$O,MATCH(M2101,'秒级路线参数_可调整'!$A:$A,0)),"")</x:f>
        <x:v>165</x:v>
      </x:c>
      <x:c r="P2101" s="12" t="n">
        <x:f>IF(O2101="","",O2101/86400)</x:f>
        <x:v>0.0019097222222222222</x:v>
      </x:c>
      <x:c r="Q2101" s="12" t="n">
        <x:f>IF(O2101="","",(H2101*60+O2101)/86400)</x:f>
        <x:v>0.5192708333333333</x:v>
      </x:c>
      <x:c r="R2101" s="12" t="str">
        <x:f>IF(Q2101="","",TEXT(Q2101,"hh:mm:ss"))</x:f>
        <x:v>12:27:45</x:v>
      </x:c>
      <x:c r="S2101" s="12" t="str">
        <x:v>否</x:v>
      </x:c>
      <x:c r="T2101" s="12" t="str">
        <x:v>否</x:v>
      </x:c>
      <x:c r="U2101" s="12" t="str">
        <x:v>夏文新</x:v>
      </x:c>
      <x:c r="V2101" s="12" t="str">
        <x:v>4号车</x:v>
      </x:c>
      <x:c r="W2101" s="12" t="str">
        <x:v>秒级预测</x:v>
      </x:c>
      <x:c r="X2101" s="12" t="str">
        <x:v>基于路线秒级参数；如录入实测或手动采用秒，预计到达时间可随公式更新</x:v>
      </x:c>
    </x:row>
    <x:row r="2102">
      <x:c r="A2102" s="12" t="str">
        <x:v>S0182-05</x:v>
      </x:c>
      <x:c r="B2102" s="12" t="str">
        <x:v>S0182</x:v>
      </x:c>
      <x:c r="C2102" s="12" t="str">
        <x:v>周末/节假日</x:v>
      </x:c>
      <x:c r="D2102" s="12" t="str">
        <x:v>环线3路</x:v>
      </x:c>
      <x:c r="E2102" s="12" t="str">
        <x:v>第二班</x:v>
      </x:c>
      <x:c r="F2102" s="12" t="n">
        <x:v>3</x:v>
      </x:c>
      <x:c r="G2102" s="12" t="str">
        <x:v>12:25</x:v>
      </x:c>
      <x:c r="H2102" s="12" t="n">
        <x:v>745</x:v>
      </x:c>
      <x:c r="I2102" s="12" t="str">
        <x:v>高超楼（系统工程学院旁）</x:v>
      </x:c>
      <x:c r="J2102" s="12" t="str">
        <x:v>高超楼发车</x:v>
      </x:c>
      <x:c r="K2102" s="12" t="str">
        <x:v>HX3_GAOCHAO</x:v>
      </x:c>
      <x:c r="L2102" s="12" t="n">
        <x:v>5</x:v>
      </x:c>
      <x:c r="M2102" s="12" t="str">
        <x:v>HX3_GAOCHAO|5</x:v>
      </x:c>
      <x:c r="N2102" s="12" t="str">
        <x:v>305教学楼</x:v>
      </x:c>
      <x:c r="O2102" s="12" t="n">
        <x:f>IFERROR(INDEX('秒级路线参数_可调整'!$O:$O,MATCH(M2102,'秒级路线参数_可调整'!$A:$A,0)),"")</x:f>
        <x:v>250</x:v>
      </x:c>
      <x:c r="P2102" s="12" t="n">
        <x:f>IF(O2102="","",O2102/86400)</x:f>
        <x:v>0.0028935185185185184</x:v>
      </x:c>
      <x:c r="Q2102" s="12" t="n">
        <x:f>IF(O2102="","",(H2102*60+O2102)/86400)</x:f>
        <x:v>0.5202546296296297</x:v>
      </x:c>
      <x:c r="R2102" s="12" t="str">
        <x:f>IF(Q2102="","",TEXT(Q2102,"hh:mm:ss"))</x:f>
        <x:v>12:29:10</x:v>
      </x:c>
      <x:c r="S2102" s="12" t="str">
        <x:v>否</x:v>
      </x:c>
      <x:c r="T2102" s="12" t="str">
        <x:v>否</x:v>
      </x:c>
      <x:c r="U2102" s="12" t="str">
        <x:v>夏文新</x:v>
      </x:c>
      <x:c r="V2102" s="12" t="str">
        <x:v>4号车</x:v>
      </x:c>
      <x:c r="W2102" s="12" t="str">
        <x:v>秒级预测</x:v>
      </x:c>
      <x:c r="X2102" s="12" t="str">
        <x:v>基于路线秒级参数；如录入实测或手动采用秒，预计到达时间可随公式更新</x:v>
      </x:c>
    </x:row>
    <x:row r="2103">
      <x:c r="A2103" s="12" t="str">
        <x:v>S0182-06</x:v>
      </x:c>
      <x:c r="B2103" s="12" t="str">
        <x:v>S0182</x:v>
      </x:c>
      <x:c r="C2103" s="12" t="str">
        <x:v>周末/节假日</x:v>
      </x:c>
      <x:c r="D2103" s="12" t="str">
        <x:v>环线3路</x:v>
      </x:c>
      <x:c r="E2103" s="12" t="str">
        <x:v>第二班</x:v>
      </x:c>
      <x:c r="F2103" s="12" t="n">
        <x:v>3</x:v>
      </x:c>
      <x:c r="G2103" s="12" t="str">
        <x:v>12:25</x:v>
      </x:c>
      <x:c r="H2103" s="12" t="n">
        <x:v>745</x:v>
      </x:c>
      <x:c r="I2103" s="12" t="str">
        <x:v>高超楼（系统工程学院旁）</x:v>
      </x:c>
      <x:c r="J2103" s="12" t="str">
        <x:v>高超楼发车</x:v>
      </x:c>
      <x:c r="K2103" s="12" t="str">
        <x:v>HX3_GAOCHAO</x:v>
      </x:c>
      <x:c r="L2103" s="12" t="n">
        <x:v>6</x:v>
      </x:c>
      <x:c r="M2103" s="12" t="str">
        <x:v>HX3_GAOCHAO|6</x:v>
      </x:c>
      <x:c r="N2103" s="12" t="str">
        <x:v>研究生宿舍楼</x:v>
      </x:c>
      <x:c r="O2103" s="12" t="n">
        <x:f>IFERROR(INDEX('秒级路线参数_可调整'!$O:$O,MATCH(M2103,'秒级路线参数_可调整'!$A:$A,0)),"")</x:f>
        <x:v>315</x:v>
      </x:c>
      <x:c r="P2103" s="12" t="n">
        <x:f>IF(O2103="","",O2103/86400)</x:f>
        <x:v>0.0036458333333333334</x:v>
      </x:c>
      <x:c r="Q2103" s="12" t="n">
        <x:f>IF(O2103="","",(H2103*60+O2103)/86400)</x:f>
        <x:v>0.5210069444444444</x:v>
      </x:c>
      <x:c r="R2103" s="12" t="str">
        <x:f>IF(Q2103="","",TEXT(Q2103,"hh:mm:ss"))</x:f>
        <x:v>12:30:15</x:v>
      </x:c>
      <x:c r="S2103" s="12" t="str">
        <x:v>否</x:v>
      </x:c>
      <x:c r="T2103" s="12" t="str">
        <x:v>否</x:v>
      </x:c>
      <x:c r="U2103" s="12" t="str">
        <x:v>夏文新</x:v>
      </x:c>
      <x:c r="V2103" s="12" t="str">
        <x:v>4号车</x:v>
      </x:c>
      <x:c r="W2103" s="12" t="str">
        <x:v>秒级预测</x:v>
      </x:c>
      <x:c r="X2103" s="12" t="str">
        <x:v>基于路线秒级参数；如录入实测或手动采用秒，预计到达时间可随公式更新</x:v>
      </x:c>
    </x:row>
    <x:row r="2104">
      <x:c r="A2104" s="12" t="str">
        <x:v>S0182-07</x:v>
      </x:c>
      <x:c r="B2104" s="12" t="str">
        <x:v>S0182</x:v>
      </x:c>
      <x:c r="C2104" s="12" t="str">
        <x:v>周末/节假日</x:v>
      </x:c>
      <x:c r="D2104" s="12" t="str">
        <x:v>环线3路</x:v>
      </x:c>
      <x:c r="E2104" s="12" t="str">
        <x:v>第二班</x:v>
      </x:c>
      <x:c r="F2104" s="12" t="n">
        <x:v>3</x:v>
      </x:c>
      <x:c r="G2104" s="12" t="str">
        <x:v>12:25</x:v>
      </x:c>
      <x:c r="H2104" s="12" t="n">
        <x:v>745</x:v>
      </x:c>
      <x:c r="I2104" s="12" t="str">
        <x:v>高超楼（系统工程学院旁）</x:v>
      </x:c>
      <x:c r="J2104" s="12" t="str">
        <x:v>高超楼发车</x:v>
      </x:c>
      <x:c r="K2104" s="12" t="str">
        <x:v>HX3_GAOCHAO</x:v>
      </x:c>
      <x:c r="L2104" s="12" t="n">
        <x:v>7</x:v>
      </x:c>
      <x:c r="M2104" s="12" t="str">
        <x:v>HX3_GAOCHAO|7</x:v>
      </x:c>
      <x:c r="N2104" s="12" t="str">
        <x:v>一食堂</x:v>
      </x:c>
      <x:c r="O2104" s="12" t="n">
        <x:f>IFERROR(INDEX('秒级路线参数_可调整'!$O:$O,MATCH(M2104,'秒级路线参数_可调整'!$A:$A,0)),"")</x:f>
        <x:v>420</x:v>
      </x:c>
      <x:c r="P2104" s="12" t="n">
        <x:f>IF(O2104="","",O2104/86400)</x:f>
        <x:v>0.004861111111111111</x:v>
      </x:c>
      <x:c r="Q2104" s="12" t="n">
        <x:f>IF(O2104="","",(H2104*60+O2104)/86400)</x:f>
        <x:v>0.5222222222222223</x:v>
      </x:c>
      <x:c r="R2104" s="12" t="str">
        <x:f>IF(Q2104="","",TEXT(Q2104,"hh:mm:ss"))</x:f>
        <x:v>12:32:00</x:v>
      </x:c>
      <x:c r="S2104" s="12" t="str">
        <x:v>否</x:v>
      </x:c>
      <x:c r="T2104" s="12" t="str">
        <x:v>否</x:v>
      </x:c>
      <x:c r="U2104" s="12" t="str">
        <x:v>夏文新</x:v>
      </x:c>
      <x:c r="V2104" s="12" t="str">
        <x:v>4号车</x:v>
      </x:c>
      <x:c r="W2104" s="12" t="str">
        <x:v>秒级预测</x:v>
      </x:c>
      <x:c r="X2104" s="12" t="str">
        <x:v>基于路线秒级参数；如录入实测或手动采用秒，预计到达时间可随公式更新</x:v>
      </x:c>
    </x:row>
    <x:row r="2105">
      <x:c r="A2105" s="12" t="str">
        <x:v>S0182-08</x:v>
      </x:c>
      <x:c r="B2105" s="12" t="str">
        <x:v>S0182</x:v>
      </x:c>
      <x:c r="C2105" s="12" t="str">
        <x:v>周末/节假日</x:v>
      </x:c>
      <x:c r="D2105" s="12" t="str">
        <x:v>环线3路</x:v>
      </x:c>
      <x:c r="E2105" s="12" t="str">
        <x:v>第二班</x:v>
      </x:c>
      <x:c r="F2105" s="12" t="n">
        <x:v>3</x:v>
      </x:c>
      <x:c r="G2105" s="12" t="str">
        <x:v>12:25</x:v>
      </x:c>
      <x:c r="H2105" s="12" t="n">
        <x:v>745</x:v>
      </x:c>
      <x:c r="I2105" s="12" t="str">
        <x:v>高超楼（系统工程学院旁）</x:v>
      </x:c>
      <x:c r="J2105" s="12" t="str">
        <x:v>高超楼发车</x:v>
      </x:c>
      <x:c r="K2105" s="12" t="str">
        <x:v>HX3_GAOCHAO</x:v>
      </x:c>
      <x:c r="L2105" s="12" t="n">
        <x:v>8</x:v>
      </x:c>
      <x:c r="M2105" s="12" t="str">
        <x:v>HX3_GAOCHAO|8</x:v>
      </x:c>
      <x:c r="N2105" s="12" t="str">
        <x:v>2号宿舍楼</x:v>
      </x:c>
      <x:c r="O2105" s="12" t="n">
        <x:f>IFERROR(INDEX('秒级路线参数_可调整'!$O:$O,MATCH(M2105,'秒级路线参数_可调整'!$A:$A,0)),"")</x:f>
        <x:v>480</x:v>
      </x:c>
      <x:c r="P2105" s="12" t="n">
        <x:f>IF(O2105="","",O2105/86400)</x:f>
        <x:v>0.005555555555555556</x:v>
      </x:c>
      <x:c r="Q2105" s="12" t="n">
        <x:f>IF(O2105="","",(H2105*60+O2105)/86400)</x:f>
        <x:v>0.5229166666666667</x:v>
      </x:c>
      <x:c r="R2105" s="12" t="str">
        <x:f>IF(Q2105="","",TEXT(Q2105,"hh:mm:ss"))</x:f>
        <x:v>12:33:00</x:v>
      </x:c>
      <x:c r="S2105" s="12" t="str">
        <x:v>否</x:v>
      </x:c>
      <x:c r="T2105" s="12" t="str">
        <x:v>否</x:v>
      </x:c>
      <x:c r="U2105" s="12" t="str">
        <x:v>夏文新</x:v>
      </x:c>
      <x:c r="V2105" s="12" t="str">
        <x:v>4号车</x:v>
      </x:c>
      <x:c r="W2105" s="12" t="str">
        <x:v>秒级预测</x:v>
      </x:c>
      <x:c r="X2105" s="12" t="str">
        <x:v>基于路线秒级参数；如录入实测或手动采用秒，预计到达时间可随公式更新</x:v>
      </x:c>
    </x:row>
    <x:row r="2106">
      <x:c r="A2106" s="12" t="str">
        <x:v>S0182-09</x:v>
      </x:c>
      <x:c r="B2106" s="12" t="str">
        <x:v>S0182</x:v>
      </x:c>
      <x:c r="C2106" s="12" t="str">
        <x:v>周末/节假日</x:v>
      </x:c>
      <x:c r="D2106" s="12" t="str">
        <x:v>环线3路</x:v>
      </x:c>
      <x:c r="E2106" s="12" t="str">
        <x:v>第二班</x:v>
      </x:c>
      <x:c r="F2106" s="12" t="n">
        <x:v>3</x:v>
      </x:c>
      <x:c r="G2106" s="12" t="str">
        <x:v>12:25</x:v>
      </x:c>
      <x:c r="H2106" s="12" t="n">
        <x:v>745</x:v>
      </x:c>
      <x:c r="I2106" s="12" t="str">
        <x:v>高超楼（系统工程学院旁）</x:v>
      </x:c>
      <x:c r="J2106" s="12" t="str">
        <x:v>高超楼发车</x:v>
      </x:c>
      <x:c r="K2106" s="12" t="str">
        <x:v>HX3_GAOCHAO</x:v>
      </x:c>
      <x:c r="L2106" s="12" t="n">
        <x:v>9</x:v>
      </x:c>
      <x:c r="M2106" s="12" t="str">
        <x:v>HX3_GAOCHAO|9</x:v>
      </x:c>
      <x:c r="N2106" s="12" t="str">
        <x:v>军体活动中心</x:v>
      </x:c>
      <x:c r="O2106" s="12" t="n">
        <x:f>IFERROR(INDEX('秒级路线参数_可调整'!$O:$O,MATCH(M2106,'秒级路线参数_可调整'!$A:$A,0)),"")</x:f>
        <x:v>535</x:v>
      </x:c>
      <x:c r="P2106" s="12" t="n">
        <x:f>IF(O2106="","",O2106/86400)</x:f>
        <x:v>0.00619212962962963</x:v>
      </x:c>
      <x:c r="Q2106" s="12" t="n">
        <x:f>IF(O2106="","",(H2106*60+O2106)/86400)</x:f>
        <x:v>0.5235532407407407</x:v>
      </x:c>
      <x:c r="R2106" s="12" t="str">
        <x:f>IF(Q2106="","",TEXT(Q2106,"hh:mm:ss"))</x:f>
        <x:v>12:33:55</x:v>
      </x:c>
      <x:c r="S2106" s="12" t="str">
        <x:v>否</x:v>
      </x:c>
      <x:c r="T2106" s="12" t="str">
        <x:v>否</x:v>
      </x:c>
      <x:c r="U2106" s="12" t="str">
        <x:v>夏文新</x:v>
      </x:c>
      <x:c r="V2106" s="12" t="str">
        <x:v>4号车</x:v>
      </x:c>
      <x:c r="W2106" s="12" t="str">
        <x:v>秒级预测</x:v>
      </x:c>
      <x:c r="X2106" s="12" t="str">
        <x:v>基于路线秒级参数；如录入实测或手动采用秒，预计到达时间可随公式更新</x:v>
      </x:c>
    </x:row>
    <x:row r="2107">
      <x:c r="A2107" s="12" t="str">
        <x:v>S0182-10</x:v>
      </x:c>
      <x:c r="B2107" s="12" t="str">
        <x:v>S0182</x:v>
      </x:c>
      <x:c r="C2107" s="12" t="str">
        <x:v>周末/节假日</x:v>
      </x:c>
      <x:c r="D2107" s="12" t="str">
        <x:v>环线3路</x:v>
      </x:c>
      <x:c r="E2107" s="12" t="str">
        <x:v>第二班</x:v>
      </x:c>
      <x:c r="F2107" s="12" t="n">
        <x:v>3</x:v>
      </x:c>
      <x:c r="G2107" s="12" t="str">
        <x:v>12:25</x:v>
      </x:c>
      <x:c r="H2107" s="12" t="n">
        <x:v>745</x:v>
      </x:c>
      <x:c r="I2107" s="12" t="str">
        <x:v>高超楼（系统工程学院旁）</x:v>
      </x:c>
      <x:c r="J2107" s="12" t="str">
        <x:v>高超楼发车</x:v>
      </x:c>
      <x:c r="K2107" s="12" t="str">
        <x:v>HX3_GAOCHAO</x:v>
      </x:c>
      <x:c r="L2107" s="12" t="n">
        <x:v>10</x:v>
      </x:c>
      <x:c r="M2107" s="12" t="str">
        <x:v>HX3_GAOCHAO|10</x:v>
      </x:c>
      <x:c r="N2107" s="12" t="str">
        <x:v>教勤连</x:v>
      </x:c>
      <x:c r="O2107" s="12" t="n">
        <x:f>IFERROR(INDEX('秒级路线参数_可调整'!$O:$O,MATCH(M2107,'秒级路线参数_可调整'!$A:$A,0)),"")</x:f>
        <x:v>715</x:v>
      </x:c>
      <x:c r="P2107" s="12" t="n">
        <x:f>IF(O2107="","",O2107/86400)</x:f>
        <x:v>0.008275462962962964</x:v>
      </x:c>
      <x:c r="Q2107" s="12" t="n">
        <x:f>IF(O2107="","",(H2107*60+O2107)/86400)</x:f>
        <x:v>0.525636574074074</x:v>
      </x:c>
      <x:c r="R2107" s="12" t="str">
        <x:f>IF(Q2107="","",TEXT(Q2107,"hh:mm:ss"))</x:f>
        <x:v>12:36:55</x:v>
      </x:c>
      <x:c r="S2107" s="12" t="str">
        <x:v>否</x:v>
      </x:c>
      <x:c r="T2107" s="12" t="str">
        <x:v>否</x:v>
      </x:c>
      <x:c r="U2107" s="12" t="str">
        <x:v>夏文新</x:v>
      </x:c>
      <x:c r="V2107" s="12" t="str">
        <x:v>4号车</x:v>
      </x:c>
      <x:c r="W2107" s="12" t="str">
        <x:v>秒级预测</x:v>
      </x:c>
      <x:c r="X2107" s="12" t="str">
        <x:v>基于路线秒级参数；如录入实测或手动采用秒，预计到达时间可随公式更新</x:v>
      </x:c>
    </x:row>
    <x:row r="2108">
      <x:c r="A2108" s="12" t="str">
        <x:v>S0182-11</x:v>
      </x:c>
      <x:c r="B2108" s="12" t="str">
        <x:v>S0182</x:v>
      </x:c>
      <x:c r="C2108" s="12" t="str">
        <x:v>周末/节假日</x:v>
      </x:c>
      <x:c r="D2108" s="12" t="str">
        <x:v>环线3路</x:v>
      </x:c>
      <x:c r="E2108" s="12" t="str">
        <x:v>第二班</x:v>
      </x:c>
      <x:c r="F2108" s="12" t="n">
        <x:v>3</x:v>
      </x:c>
      <x:c r="G2108" s="12" t="str">
        <x:v>12:25</x:v>
      </x:c>
      <x:c r="H2108" s="12" t="n">
        <x:v>745</x:v>
      </x:c>
      <x:c r="I2108" s="12" t="str">
        <x:v>高超楼（系统工程学院旁）</x:v>
      </x:c>
      <x:c r="J2108" s="12" t="str">
        <x:v>高超楼发车</x:v>
      </x:c>
      <x:c r="K2108" s="12" t="str">
        <x:v>HX3_GAOCHAO</x:v>
      </x:c>
      <x:c r="L2108" s="12" t="n">
        <x:v>11</x:v>
      </x:c>
      <x:c r="M2108" s="12" t="str">
        <x:v>HX3_GAOCHAO|11</x:v>
      </x:c>
      <x:c r="N2108" s="12" t="str">
        <x:v>激光所</x:v>
      </x:c>
      <x:c r="O2108" s="12" t="n">
        <x:f>IFERROR(INDEX('秒级路线参数_可调整'!$O:$O,MATCH(M2108,'秒级路线参数_可调整'!$A:$A,0)),"")</x:f>
        <x:v>775</x:v>
      </x:c>
      <x:c r="P2108" s="12" t="n">
        <x:f>IF(O2108="","",O2108/86400)</x:f>
        <x:v>0.008969907407407407</x:v>
      </x:c>
      <x:c r="Q2108" s="12" t="n">
        <x:f>IF(O2108="","",(H2108*60+O2108)/86400)</x:f>
        <x:v>0.5263310185185185</x:v>
      </x:c>
      <x:c r="R2108" s="12" t="str">
        <x:f>IF(Q2108="","",TEXT(Q2108,"hh:mm:ss"))</x:f>
        <x:v>12:37:55</x:v>
      </x:c>
      <x:c r="S2108" s="12" t="str">
        <x:v>否</x:v>
      </x:c>
      <x:c r="T2108" s="12" t="str">
        <x:v>否</x:v>
      </x:c>
      <x:c r="U2108" s="12" t="str">
        <x:v>夏文新</x:v>
      </x:c>
      <x:c r="V2108" s="12" t="str">
        <x:v>4号车</x:v>
      </x:c>
      <x:c r="W2108" s="12" t="str">
        <x:v>秒级预测</x:v>
      </x:c>
      <x:c r="X2108" s="12" t="str">
        <x:v>基于路线秒级参数；如录入实测或手动采用秒，预计到达时间可随公式更新</x:v>
      </x:c>
    </x:row>
    <x:row r="2109">
      <x:c r="A2109" s="12" t="str">
        <x:v>S0182-12</x:v>
      </x:c>
      <x:c r="B2109" s="12" t="str">
        <x:v>S0182</x:v>
      </x:c>
      <x:c r="C2109" s="12" t="str">
        <x:v>周末/节假日</x:v>
      </x:c>
      <x:c r="D2109" s="12" t="str">
        <x:v>环线3路</x:v>
      </x:c>
      <x:c r="E2109" s="12" t="str">
        <x:v>第二班</x:v>
      </x:c>
      <x:c r="F2109" s="12" t="n">
        <x:v>3</x:v>
      </x:c>
      <x:c r="G2109" s="12" t="str">
        <x:v>12:25</x:v>
      </x:c>
      <x:c r="H2109" s="12" t="n">
        <x:v>745</x:v>
      </x:c>
      <x:c r="I2109" s="12" t="str">
        <x:v>高超楼（系统工程学院旁）</x:v>
      </x:c>
      <x:c r="J2109" s="12" t="str">
        <x:v>高超楼发车</x:v>
      </x:c>
      <x:c r="K2109" s="12" t="str">
        <x:v>HX3_GAOCHAO</x:v>
      </x:c>
      <x:c r="L2109" s="12" t="n">
        <x:v>12</x:v>
      </x:c>
      <x:c r="M2109" s="12" t="str">
        <x:v>HX3_GAOCHAO|12</x:v>
      </x:c>
      <x:c r="N2109" s="12" t="str">
        <x:v>高超楼</x:v>
      </x:c>
      <x:c r="O2109" s="12" t="n">
        <x:f>IFERROR(INDEX('秒级路线参数_可调整'!$O:$O,MATCH(M2109,'秒级路线参数_可调整'!$A:$A,0)),"")</x:f>
        <x:v>840</x:v>
      </x:c>
      <x:c r="P2109" s="12" t="n">
        <x:f>IF(O2109="","",O2109/86400)</x:f>
        <x:v>0.009722222222222222</x:v>
      </x:c>
      <x:c r="Q2109" s="12" t="n">
        <x:f>IF(O2109="","",(H2109*60+O2109)/86400)</x:f>
        <x:v>0.5270833333333333</x:v>
      </x:c>
      <x:c r="R2109" s="12" t="str">
        <x:f>IF(Q2109="","",TEXT(Q2109,"hh:mm:ss"))</x:f>
        <x:v>12:39:00</x:v>
      </x:c>
      <x:c r="S2109" s="12" t="str">
        <x:v>否</x:v>
      </x:c>
      <x:c r="T2109" s="12" t="str">
        <x:v>是</x:v>
      </x:c>
      <x:c r="U2109" s="12" t="str">
        <x:v>夏文新</x:v>
      </x:c>
      <x:c r="V2109" s="12" t="str">
        <x:v>4号车</x:v>
      </x:c>
      <x:c r="W2109" s="12" t="str">
        <x:v>秒级预测</x:v>
      </x:c>
      <x:c r="X2109" s="12" t="str">
        <x:v>基于路线秒级参数；如录入实测或手动采用秒，预计到达时间可随公式更新</x:v>
      </x:c>
    </x:row>
    <x:row r="2110">
      <x:c r="A2110" s="12" t="str">
        <x:v>S0183-01</x:v>
      </x:c>
      <x:c r="B2110" s="12" t="str">
        <x:v>S0183</x:v>
      </x:c>
      <x:c r="C2110" s="12" t="str">
        <x:v>周末/节假日</x:v>
      </x:c>
      <x:c r="D2110" s="12" t="str">
        <x:v>环线3路</x:v>
      </x:c>
      <x:c r="E2110" s="12" t="str">
        <x:v>第二班</x:v>
      </x:c>
      <x:c r="F2110" s="12" t="n">
        <x:v>4</x:v>
      </x:c>
      <x:c r="G2110" s="12" t="str">
        <x:v>14:20</x:v>
      </x:c>
      <x:c r="H2110" s="12" t="n">
        <x:v>860</x:v>
      </x:c>
      <x:c r="I2110" s="12" t="str">
        <x:v>研究生宿舍楼</x:v>
      </x:c>
      <x:c r="J2110" s="12" t="str">
        <x:v>研究生宿舍楼发车</x:v>
      </x:c>
      <x:c r="K2110" s="12" t="str">
        <x:v>HX3_NORMAL</x:v>
      </x:c>
      <x:c r="L2110" s="12" t="n">
        <x:v>1</x:v>
      </x:c>
      <x:c r="M2110" s="12" t="str">
        <x:v>HX3_NORMAL|1</x:v>
      </x:c>
      <x:c r="N2110" s="12" t="str">
        <x:v>研究生宿舍楼</x:v>
      </x:c>
      <x:c r="O2110" s="12" t="n">
        <x:f>IFERROR(INDEX('秒级路线参数_可调整'!$O:$O,MATCH(M2110,'秒级路线参数_可调整'!$A:$A,0)),"")</x:f>
        <x:v>0</x:v>
      </x:c>
      <x:c r="P2110" s="12" t="str">
        <x:f>IF(O2110="","",O2110/86400)</x:f>
      </x:c>
      <x:c r="Q2110" s="12" t="str">
        <x:f>IF(O2110="","",(H2110*60+O2110)/86400)</x:f>
      </x:c>
      <x:c r="R2110" s="12" t="str">
        <x:f>IF(Q2110="","",TEXT(Q2110,"hh:mm:ss"))</x:f>
      </x:c>
      <x:c r="S2110" s="12" t="str">
        <x:v>是</x:v>
      </x:c>
      <x:c r="T2110" s="12" t="str">
        <x:v>否</x:v>
      </x:c>
      <x:c r="U2110" s="12" t="str">
        <x:v>夏文新</x:v>
      </x:c>
      <x:c r="V2110" s="12" t="str">
        <x:v>4号车</x:v>
      </x:c>
      <x:c r="W2110" s="12" t="str">
        <x:v>秒级预测</x:v>
      </x:c>
      <x:c r="X2110" s="12" t="str">
        <x:v>基于路线秒级参数；如录入实测或手动采用秒，预计到达时间可随公式更新</x:v>
      </x:c>
    </x:row>
    <x:row r="2111">
      <x:c r="A2111" s="12" t="str">
        <x:v>S0183-02</x:v>
      </x:c>
      <x:c r="B2111" s="12" t="str">
        <x:v>S0183</x:v>
      </x:c>
      <x:c r="C2111" s="12" t="str">
        <x:v>周末/节假日</x:v>
      </x:c>
      <x:c r="D2111" s="12" t="str">
        <x:v>环线3路</x:v>
      </x:c>
      <x:c r="E2111" s="12" t="str">
        <x:v>第二班</x:v>
      </x:c>
      <x:c r="F2111" s="12" t="n">
        <x:v>4</x:v>
      </x:c>
      <x:c r="G2111" s="12" t="str">
        <x:v>14:20</x:v>
      </x:c>
      <x:c r="H2111" s="12" t="n">
        <x:v>860</x:v>
      </x:c>
      <x:c r="I2111" s="12" t="str">
        <x:v>研究生宿舍楼</x:v>
      </x:c>
      <x:c r="J2111" s="12" t="str">
        <x:v>研究生宿舍楼发车</x:v>
      </x:c>
      <x:c r="K2111" s="12" t="str">
        <x:v>HX3_NORMAL</x:v>
      </x:c>
      <x:c r="L2111" s="12" t="n">
        <x:v>2</x:v>
      </x:c>
      <x:c r="M2111" s="12" t="str">
        <x:v>HX3_NORMAL|2</x:v>
      </x:c>
      <x:c r="N2111" s="12" t="str">
        <x:v>一食堂</x:v>
      </x:c>
      <x:c r="O2111" s="12" t="n">
        <x:f>IFERROR(INDEX('秒级路线参数_可调整'!$O:$O,MATCH(M2111,'秒级路线参数_可调整'!$A:$A,0)),"")</x:f>
        <x:v>65</x:v>
      </x:c>
      <x:c r="P2111" s="12" t="n">
        <x:f>IF(O2111="","",O2111/86400)</x:f>
        <x:v>0.0007523148148148148</x:v>
      </x:c>
      <x:c r="Q2111" s="12" t="n">
        <x:f>IF(O2111="","",(H2111*60+O2111)/86400)</x:f>
        <x:v>0.5979745370370371</x:v>
      </x:c>
      <x:c r="R2111" s="12" t="str">
        <x:f>IF(Q2111="","",TEXT(Q2111,"hh:mm:ss"))</x:f>
        <x:v>14:21:05</x:v>
      </x:c>
      <x:c r="S2111" s="12" t="str">
        <x:v>否</x:v>
      </x:c>
      <x:c r="T2111" s="12" t="str">
        <x:v>否</x:v>
      </x:c>
      <x:c r="U2111" s="12" t="str">
        <x:v>夏文新</x:v>
      </x:c>
      <x:c r="V2111" s="12" t="str">
        <x:v>4号车</x:v>
      </x:c>
      <x:c r="W2111" s="12" t="str">
        <x:v>秒级预测</x:v>
      </x:c>
      <x:c r="X2111" s="12" t="str">
        <x:v>基于路线秒级参数；如录入实测或手动采用秒，预计到达时间可随公式更新</x:v>
      </x:c>
    </x:row>
    <x:row r="2112">
      <x:c r="A2112" s="12" t="str">
        <x:v>S0183-03</x:v>
      </x:c>
      <x:c r="B2112" s="12" t="str">
        <x:v>S0183</x:v>
      </x:c>
      <x:c r="C2112" s="12" t="str">
        <x:v>周末/节假日</x:v>
      </x:c>
      <x:c r="D2112" s="12" t="str">
        <x:v>环线3路</x:v>
      </x:c>
      <x:c r="E2112" s="12" t="str">
        <x:v>第二班</x:v>
      </x:c>
      <x:c r="F2112" s="12" t="n">
        <x:v>4</x:v>
      </x:c>
      <x:c r="G2112" s="12" t="str">
        <x:v>14:20</x:v>
      </x:c>
      <x:c r="H2112" s="12" t="n">
        <x:v>860</x:v>
      </x:c>
      <x:c r="I2112" s="12" t="str">
        <x:v>研究生宿舍楼</x:v>
      </x:c>
      <x:c r="J2112" s="12" t="str">
        <x:v>研究生宿舍楼发车</x:v>
      </x:c>
      <x:c r="K2112" s="12" t="str">
        <x:v>HX3_NORMAL</x:v>
      </x:c>
      <x:c r="L2112" s="12" t="n">
        <x:v>3</x:v>
      </x:c>
      <x:c r="M2112" s="12" t="str">
        <x:v>HX3_NORMAL|3</x:v>
      </x:c>
      <x:c r="N2112" s="12" t="str">
        <x:v>2号宿舍楼</x:v>
      </x:c>
      <x:c r="O2112" s="12" t="n">
        <x:f>IFERROR(INDEX('秒级路线参数_可调整'!$O:$O,MATCH(M2112,'秒级路线参数_可调整'!$A:$A,0)),"")</x:f>
        <x:v>120</x:v>
      </x:c>
      <x:c r="P2112" s="12" t="n">
        <x:f>IF(O2112="","",O2112/86400)</x:f>
        <x:v>0.001388888888888889</x:v>
      </x:c>
      <x:c r="Q2112" s="12" t="n">
        <x:f>IF(O2112="","",(H2112*60+O2112)/86400)</x:f>
        <x:v>0.5986111111111111</x:v>
      </x:c>
      <x:c r="R2112" s="12" t="str">
        <x:f>IF(Q2112="","",TEXT(Q2112,"hh:mm:ss"))</x:f>
        <x:v>14:22:00</x:v>
      </x:c>
      <x:c r="S2112" s="12" t="str">
        <x:v>否</x:v>
      </x:c>
      <x:c r="T2112" s="12" t="str">
        <x:v>否</x:v>
      </x:c>
      <x:c r="U2112" s="12" t="str">
        <x:v>夏文新</x:v>
      </x:c>
      <x:c r="V2112" s="12" t="str">
        <x:v>4号车</x:v>
      </x:c>
      <x:c r="W2112" s="12" t="str">
        <x:v>秒级预测</x:v>
      </x:c>
      <x:c r="X2112" s="12" t="str">
        <x:v>基于路线秒级参数；如录入实测或手动采用秒，预计到达时间可随公式更新</x:v>
      </x:c>
    </x:row>
    <x:row r="2113">
      <x:c r="A2113" s="12" t="str">
        <x:v>S0183-04</x:v>
      </x:c>
      <x:c r="B2113" s="12" t="str">
        <x:v>S0183</x:v>
      </x:c>
      <x:c r="C2113" s="12" t="str">
        <x:v>周末/节假日</x:v>
      </x:c>
      <x:c r="D2113" s="12" t="str">
        <x:v>环线3路</x:v>
      </x:c>
      <x:c r="E2113" s="12" t="str">
        <x:v>第二班</x:v>
      </x:c>
      <x:c r="F2113" s="12" t="n">
        <x:v>4</x:v>
      </x:c>
      <x:c r="G2113" s="12" t="str">
        <x:v>14:20</x:v>
      </x:c>
      <x:c r="H2113" s="12" t="n">
        <x:v>860</x:v>
      </x:c>
      <x:c r="I2113" s="12" t="str">
        <x:v>研究生宿舍楼</x:v>
      </x:c>
      <x:c r="J2113" s="12" t="str">
        <x:v>研究生宿舍楼发车</x:v>
      </x:c>
      <x:c r="K2113" s="12" t="str">
        <x:v>HX3_NORMAL</x:v>
      </x:c>
      <x:c r="L2113" s="12" t="n">
        <x:v>4</x:v>
      </x:c>
      <x:c r="M2113" s="12" t="str">
        <x:v>HX3_NORMAL|4</x:v>
      </x:c>
      <x:c r="N2113" s="12" t="str">
        <x:v>军体活动中心</x:v>
      </x:c>
      <x:c r="O2113" s="12" t="n">
        <x:f>IFERROR(INDEX('秒级路线参数_可调整'!$O:$O,MATCH(M2113,'秒级路线参数_可调整'!$A:$A,0)),"")</x:f>
        <x:v>165</x:v>
      </x:c>
      <x:c r="P2113" s="12" t="n">
        <x:f>IF(O2113="","",O2113/86400)</x:f>
        <x:v>0.0019097222222222222</x:v>
      </x:c>
      <x:c r="Q2113" s="12" t="n">
        <x:f>IF(O2113="","",(H2113*60+O2113)/86400)</x:f>
        <x:v>0.5991319444444444</x:v>
      </x:c>
      <x:c r="R2113" s="12" t="str">
        <x:f>IF(Q2113="","",TEXT(Q2113,"hh:mm:ss"))</x:f>
        <x:v>14:22:45</x:v>
      </x:c>
      <x:c r="S2113" s="12" t="str">
        <x:v>否</x:v>
      </x:c>
      <x:c r="T2113" s="12" t="str">
        <x:v>否</x:v>
      </x:c>
      <x:c r="U2113" s="12" t="str">
        <x:v>夏文新</x:v>
      </x:c>
      <x:c r="V2113" s="12" t="str">
        <x:v>4号车</x:v>
      </x:c>
      <x:c r="W2113" s="12" t="str">
        <x:v>秒级预测</x:v>
      </x:c>
      <x:c r="X2113" s="12" t="str">
        <x:v>基于路线秒级参数；如录入实测或手动采用秒，预计到达时间可随公式更新</x:v>
      </x:c>
    </x:row>
    <x:row r="2114">
      <x:c r="A2114" s="12" t="str">
        <x:v>S0183-05</x:v>
      </x:c>
      <x:c r="B2114" s="12" t="str">
        <x:v>S0183</x:v>
      </x:c>
      <x:c r="C2114" s="12" t="str">
        <x:v>周末/节假日</x:v>
      </x:c>
      <x:c r="D2114" s="12" t="str">
        <x:v>环线3路</x:v>
      </x:c>
      <x:c r="E2114" s="12" t="str">
        <x:v>第二班</x:v>
      </x:c>
      <x:c r="F2114" s="12" t="n">
        <x:v>4</x:v>
      </x:c>
      <x:c r="G2114" s="12" t="str">
        <x:v>14:20</x:v>
      </x:c>
      <x:c r="H2114" s="12" t="n">
        <x:v>860</x:v>
      </x:c>
      <x:c r="I2114" s="12" t="str">
        <x:v>研究生宿舍楼</x:v>
      </x:c>
      <x:c r="J2114" s="12" t="str">
        <x:v>研究生宿舍楼发车</x:v>
      </x:c>
      <x:c r="K2114" s="12" t="str">
        <x:v>HX3_NORMAL</x:v>
      </x:c>
      <x:c r="L2114" s="12" t="n">
        <x:v>5</x:v>
      </x:c>
      <x:c r="M2114" s="12" t="str">
        <x:v>HX3_NORMAL|5</x:v>
      </x:c>
      <x:c r="N2114" s="12" t="str">
        <x:v>教勤连</x:v>
      </x:c>
      <x:c r="O2114" s="12" t="n">
        <x:f>IFERROR(INDEX('秒级路线参数_可调整'!$O:$O,MATCH(M2114,'秒级路线参数_可调整'!$A:$A,0)),"")</x:f>
        <x:v>250</x:v>
      </x:c>
      <x:c r="P2114" s="12" t="n">
        <x:f>IF(O2114="","",O2114/86400)</x:f>
        <x:v>0.0028935185185185184</x:v>
      </x:c>
      <x:c r="Q2114" s="12" t="n">
        <x:f>IF(O2114="","",(H2114*60+O2114)/86400)</x:f>
        <x:v>0.6001157407407407</x:v>
      </x:c>
      <x:c r="R2114" s="12" t="str">
        <x:f>IF(Q2114="","",TEXT(Q2114,"hh:mm:ss"))</x:f>
        <x:v>14:24:10</x:v>
      </x:c>
      <x:c r="S2114" s="12" t="str">
        <x:v>否</x:v>
      </x:c>
      <x:c r="T2114" s="12" t="str">
        <x:v>否</x:v>
      </x:c>
      <x:c r="U2114" s="12" t="str">
        <x:v>夏文新</x:v>
      </x:c>
      <x:c r="V2114" s="12" t="str">
        <x:v>4号车</x:v>
      </x:c>
      <x:c r="W2114" s="12" t="str">
        <x:v>秒级预测</x:v>
      </x:c>
      <x:c r="X2114" s="12" t="str">
        <x:v>基于路线秒级参数；如录入实测或手动采用秒，预计到达时间可随公式更新</x:v>
      </x:c>
    </x:row>
    <x:row r="2115">
      <x:c r="A2115" s="12" t="str">
        <x:v>S0183-06</x:v>
      </x:c>
      <x:c r="B2115" s="12" t="str">
        <x:v>S0183</x:v>
      </x:c>
      <x:c r="C2115" s="12" t="str">
        <x:v>周末/节假日</x:v>
      </x:c>
      <x:c r="D2115" s="12" t="str">
        <x:v>环线3路</x:v>
      </x:c>
      <x:c r="E2115" s="12" t="str">
        <x:v>第二班</x:v>
      </x:c>
      <x:c r="F2115" s="12" t="n">
        <x:v>4</x:v>
      </x:c>
      <x:c r="G2115" s="12" t="str">
        <x:v>14:20</x:v>
      </x:c>
      <x:c r="H2115" s="12" t="n">
        <x:v>860</x:v>
      </x:c>
      <x:c r="I2115" s="12" t="str">
        <x:v>研究生宿舍楼</x:v>
      </x:c>
      <x:c r="J2115" s="12" t="str">
        <x:v>研究生宿舍楼发车</x:v>
      </x:c>
      <x:c r="K2115" s="12" t="str">
        <x:v>HX3_NORMAL</x:v>
      </x:c>
      <x:c r="L2115" s="12" t="n">
        <x:v>6</x:v>
      </x:c>
      <x:c r="M2115" s="12" t="str">
        <x:v>HX3_NORMAL|6</x:v>
      </x:c>
      <x:c r="N2115" s="12" t="str">
        <x:v>激光所</x:v>
      </x:c>
      <x:c r="O2115" s="12" t="n">
        <x:f>IFERROR(INDEX('秒级路线参数_可调整'!$O:$O,MATCH(M2115,'秒级路线参数_可调整'!$A:$A,0)),"")</x:f>
        <x:v>315</x:v>
      </x:c>
      <x:c r="P2115" s="12" t="n">
        <x:f>IF(O2115="","",O2115/86400)</x:f>
        <x:v>0.0036458333333333334</x:v>
      </x:c>
      <x:c r="Q2115" s="12" t="n">
        <x:f>IF(O2115="","",(H2115*60+O2115)/86400)</x:f>
        <x:v>0.6008680555555556</x:v>
      </x:c>
      <x:c r="R2115" s="12" t="str">
        <x:f>IF(Q2115="","",TEXT(Q2115,"hh:mm:ss"))</x:f>
        <x:v>14:25:15</x:v>
      </x:c>
      <x:c r="S2115" s="12" t="str">
        <x:v>否</x:v>
      </x:c>
      <x:c r="T2115" s="12" t="str">
        <x:v>否</x:v>
      </x:c>
      <x:c r="U2115" s="12" t="str">
        <x:v>夏文新</x:v>
      </x:c>
      <x:c r="V2115" s="12" t="str">
        <x:v>4号车</x:v>
      </x:c>
      <x:c r="W2115" s="12" t="str">
        <x:v>秒级预测</x:v>
      </x:c>
      <x:c r="X2115" s="12" t="str">
        <x:v>基于路线秒级参数；如录入实测或手动采用秒，预计到达时间可随公式更新</x:v>
      </x:c>
    </x:row>
    <x:row r="2116">
      <x:c r="A2116" s="12" t="str">
        <x:v>S0183-07</x:v>
      </x:c>
      <x:c r="B2116" s="12" t="str">
        <x:v>S0183</x:v>
      </x:c>
      <x:c r="C2116" s="12" t="str">
        <x:v>周末/节假日</x:v>
      </x:c>
      <x:c r="D2116" s="12" t="str">
        <x:v>环线3路</x:v>
      </x:c>
      <x:c r="E2116" s="12" t="str">
        <x:v>第二班</x:v>
      </x:c>
      <x:c r="F2116" s="12" t="n">
        <x:v>4</x:v>
      </x:c>
      <x:c r="G2116" s="12" t="str">
        <x:v>14:20</x:v>
      </x:c>
      <x:c r="H2116" s="12" t="n">
        <x:v>860</x:v>
      </x:c>
      <x:c r="I2116" s="12" t="str">
        <x:v>研究生宿舍楼</x:v>
      </x:c>
      <x:c r="J2116" s="12" t="str">
        <x:v>研究生宿舍楼发车</x:v>
      </x:c>
      <x:c r="K2116" s="12" t="str">
        <x:v>HX3_NORMAL</x:v>
      </x:c>
      <x:c r="L2116" s="12" t="n">
        <x:v>7</x:v>
      </x:c>
      <x:c r="M2116" s="12" t="str">
        <x:v>HX3_NORMAL|7</x:v>
      </x:c>
      <x:c r="N2116" s="12" t="str">
        <x:v>高超楼</x:v>
      </x:c>
      <x:c r="O2116" s="12" t="n">
        <x:f>IFERROR(INDEX('秒级路线参数_可调整'!$O:$O,MATCH(M2116,'秒级路线参数_可调整'!$A:$A,0)),"")</x:f>
        <x:v>420</x:v>
      </x:c>
      <x:c r="P2116" s="12" t="n">
        <x:f>IF(O2116="","",O2116/86400)</x:f>
        <x:v>0.004861111111111111</x:v>
      </x:c>
      <x:c r="Q2116" s="12" t="n">
        <x:f>IF(O2116="","",(H2116*60+O2116)/86400)</x:f>
        <x:v>0.6020833333333333</x:v>
      </x:c>
      <x:c r="R2116" s="12" t="str">
        <x:f>IF(Q2116="","",TEXT(Q2116,"hh:mm:ss"))</x:f>
        <x:v>14:27:00</x:v>
      </x:c>
      <x:c r="S2116" s="12" t="str">
        <x:v>否</x:v>
      </x:c>
      <x:c r="T2116" s="12" t="str">
        <x:v>否</x:v>
      </x:c>
      <x:c r="U2116" s="12" t="str">
        <x:v>夏文新</x:v>
      </x:c>
      <x:c r="V2116" s="12" t="str">
        <x:v>4号车</x:v>
      </x:c>
      <x:c r="W2116" s="12" t="str">
        <x:v>秒级预测</x:v>
      </x:c>
      <x:c r="X2116" s="12" t="str">
        <x:v>基于路线秒级参数；如录入实测或手动采用秒，预计到达时间可随公式更新</x:v>
      </x:c>
    </x:row>
    <x:row r="2117">
      <x:c r="A2117" s="12" t="str">
        <x:v>S0183-08</x:v>
      </x:c>
      <x:c r="B2117" s="12" t="str">
        <x:v>S0183</x:v>
      </x:c>
      <x:c r="C2117" s="12" t="str">
        <x:v>周末/节假日</x:v>
      </x:c>
      <x:c r="D2117" s="12" t="str">
        <x:v>环线3路</x:v>
      </x:c>
      <x:c r="E2117" s="12" t="str">
        <x:v>第二班</x:v>
      </x:c>
      <x:c r="F2117" s="12" t="n">
        <x:v>4</x:v>
      </x:c>
      <x:c r="G2117" s="12" t="str">
        <x:v>14:20</x:v>
      </x:c>
      <x:c r="H2117" s="12" t="n">
        <x:v>860</x:v>
      </x:c>
      <x:c r="I2117" s="12" t="str">
        <x:v>研究生宿舍楼</x:v>
      </x:c>
      <x:c r="J2117" s="12" t="str">
        <x:v>研究生宿舍楼发车</x:v>
      </x:c>
      <x:c r="K2117" s="12" t="str">
        <x:v>HX3_NORMAL</x:v>
      </x:c>
      <x:c r="L2117" s="12" t="n">
        <x:v>8</x:v>
      </x:c>
      <x:c r="M2117" s="12" t="str">
        <x:v>HX3_NORMAL|8</x:v>
      </x:c>
      <x:c r="N2117" s="12" t="str">
        <x:v>理学院</x:v>
      </x:c>
      <x:c r="O2117" s="12" t="n">
        <x:f>IFERROR(INDEX('秒级路线参数_可调整'!$O:$O,MATCH(M2117,'秒级路线参数_可调整'!$A:$A,0)),"")</x:f>
        <x:v>480</x:v>
      </x:c>
      <x:c r="P2117" s="12" t="n">
        <x:f>IF(O2117="","",O2117/86400)</x:f>
        <x:v>0.005555555555555556</x:v>
      </x:c>
      <x:c r="Q2117" s="12" t="n">
        <x:f>IF(O2117="","",(H2117*60+O2117)/86400)</x:f>
        <x:v>0.6027777777777777</x:v>
      </x:c>
      <x:c r="R2117" s="12" t="str">
        <x:f>IF(Q2117="","",TEXT(Q2117,"hh:mm:ss"))</x:f>
        <x:v>14:28:00</x:v>
      </x:c>
      <x:c r="S2117" s="12" t="str">
        <x:v>否</x:v>
      </x:c>
      <x:c r="T2117" s="12" t="str">
        <x:v>否</x:v>
      </x:c>
      <x:c r="U2117" s="12" t="str">
        <x:v>夏文新</x:v>
      </x:c>
      <x:c r="V2117" s="12" t="str">
        <x:v>4号车</x:v>
      </x:c>
      <x:c r="W2117" s="12" t="str">
        <x:v>秒级预测</x:v>
      </x:c>
      <x:c r="X2117" s="12" t="str">
        <x:v>基于路线秒级参数；如录入实测或手动采用秒，预计到达时间可随公式更新</x:v>
      </x:c>
    </x:row>
    <x:row r="2118">
      <x:c r="A2118" s="12" t="str">
        <x:v>S0183-09</x:v>
      </x:c>
      <x:c r="B2118" s="12" t="str">
        <x:v>S0183</x:v>
      </x:c>
      <x:c r="C2118" s="12" t="str">
        <x:v>周末/节假日</x:v>
      </x:c>
      <x:c r="D2118" s="12" t="str">
        <x:v>环线3路</x:v>
      </x:c>
      <x:c r="E2118" s="12" t="str">
        <x:v>第二班</x:v>
      </x:c>
      <x:c r="F2118" s="12" t="n">
        <x:v>4</x:v>
      </x:c>
      <x:c r="G2118" s="12" t="str">
        <x:v>14:20</x:v>
      </x:c>
      <x:c r="H2118" s="12" t="n">
        <x:v>860</x:v>
      </x:c>
      <x:c r="I2118" s="12" t="str">
        <x:v>研究生宿舍楼</x:v>
      </x:c>
      <x:c r="J2118" s="12" t="str">
        <x:v>研究生宿舍楼发车</x:v>
      </x:c>
      <x:c r="K2118" s="12" t="str">
        <x:v>HX3_NORMAL</x:v>
      </x:c>
      <x:c r="L2118" s="12" t="n">
        <x:v>9</x:v>
      </x:c>
      <x:c r="M2118" s="12" t="str">
        <x:v>HX3_NORMAL|9</x:v>
      </x:c>
      <x:c r="N2118" s="12" t="str">
        <x:v>二食堂</x:v>
      </x:c>
      <x:c r="O2118" s="12" t="n">
        <x:f>IFERROR(INDEX('秒级路线参数_可调整'!$O:$O,MATCH(M2118,'秒级路线参数_可调整'!$A:$A,0)),"")</x:f>
        <x:v>535</x:v>
      </x:c>
      <x:c r="P2118" s="12" t="n">
        <x:f>IF(O2118="","",O2118/86400)</x:f>
        <x:v>0.00619212962962963</x:v>
      </x:c>
      <x:c r="Q2118" s="12" t="n">
        <x:f>IF(O2118="","",(H2118*60+O2118)/86400)</x:f>
        <x:v>0.6034143518518519</x:v>
      </x:c>
      <x:c r="R2118" s="12" t="str">
        <x:f>IF(Q2118="","",TEXT(Q2118,"hh:mm:ss"))</x:f>
        <x:v>14:28:55</x:v>
      </x:c>
      <x:c r="S2118" s="12" t="str">
        <x:v>否</x:v>
      </x:c>
      <x:c r="T2118" s="12" t="str">
        <x:v>否</x:v>
      </x:c>
      <x:c r="U2118" s="12" t="str">
        <x:v>夏文新</x:v>
      </x:c>
      <x:c r="V2118" s="12" t="str">
        <x:v>4号车</x:v>
      </x:c>
      <x:c r="W2118" s="12" t="str">
        <x:v>秒级预测</x:v>
      </x:c>
      <x:c r="X2118" s="12" t="str">
        <x:v>基于路线秒级参数；如录入实测或手动采用秒，预计到达时间可随公式更新</x:v>
      </x:c>
    </x:row>
    <x:row r="2119">
      <x:c r="A2119" s="12" t="str">
        <x:v>S0183-10</x:v>
      </x:c>
      <x:c r="B2119" s="12" t="str">
        <x:v>S0183</x:v>
      </x:c>
      <x:c r="C2119" s="12" t="str">
        <x:v>周末/节假日</x:v>
      </x:c>
      <x:c r="D2119" s="12" t="str">
        <x:v>环线3路</x:v>
      </x:c>
      <x:c r="E2119" s="12" t="str">
        <x:v>第二班</x:v>
      </x:c>
      <x:c r="F2119" s="12" t="n">
        <x:v>4</x:v>
      </x:c>
      <x:c r="G2119" s="12" t="str">
        <x:v>14:20</x:v>
      </x:c>
      <x:c r="H2119" s="12" t="n">
        <x:v>860</x:v>
      </x:c>
      <x:c r="I2119" s="12" t="str">
        <x:v>研究生宿舍楼</x:v>
      </x:c>
      <x:c r="J2119" s="12" t="str">
        <x:v>研究生宿舍楼发车</x:v>
      </x:c>
      <x:c r="K2119" s="12" t="str">
        <x:v>HX3_NORMAL</x:v>
      </x:c>
      <x:c r="L2119" s="12" t="n">
        <x:v>10</x:v>
      </x:c>
      <x:c r="M2119" s="12" t="str">
        <x:v>HX3_NORMAL|10</x:v>
      </x:c>
      <x:c r="N2119" s="12" t="str">
        <x:v>图书馆</x:v>
      </x:c>
      <x:c r="O2119" s="12" t="n">
        <x:f>IFERROR(INDEX('秒级路线参数_可调整'!$O:$O,MATCH(M2119,'秒级路线参数_可调整'!$A:$A,0)),"")</x:f>
        <x:v>715</x:v>
      </x:c>
      <x:c r="P2119" s="12" t="n">
        <x:f>IF(O2119="","",O2119/86400)</x:f>
        <x:v>0.008275462962962964</x:v>
      </x:c>
      <x:c r="Q2119" s="12" t="n">
        <x:f>IF(O2119="","",(H2119*60+O2119)/86400)</x:f>
        <x:v>0.6054976851851852</x:v>
      </x:c>
      <x:c r="R2119" s="12" t="str">
        <x:f>IF(Q2119="","",TEXT(Q2119,"hh:mm:ss"))</x:f>
        <x:v>14:31:55</x:v>
      </x:c>
      <x:c r="S2119" s="12" t="str">
        <x:v>否</x:v>
      </x:c>
      <x:c r="T2119" s="12" t="str">
        <x:v>否</x:v>
      </x:c>
      <x:c r="U2119" s="12" t="str">
        <x:v>夏文新</x:v>
      </x:c>
      <x:c r="V2119" s="12" t="str">
        <x:v>4号车</x:v>
      </x:c>
      <x:c r="W2119" s="12" t="str">
        <x:v>秒级预测</x:v>
      </x:c>
      <x:c r="X2119" s="12" t="str">
        <x:v>基于路线秒级参数；如录入实测或手动采用秒，预计到达时间可随公式更新</x:v>
      </x:c>
    </x:row>
    <x:row r="2120">
      <x:c r="A2120" s="12" t="str">
        <x:v>S0183-11</x:v>
      </x:c>
      <x:c r="B2120" s="12" t="str">
        <x:v>S0183</x:v>
      </x:c>
      <x:c r="C2120" s="12" t="str">
        <x:v>周末/节假日</x:v>
      </x:c>
      <x:c r="D2120" s="12" t="str">
        <x:v>环线3路</x:v>
      </x:c>
      <x:c r="E2120" s="12" t="str">
        <x:v>第二班</x:v>
      </x:c>
      <x:c r="F2120" s="12" t="n">
        <x:v>4</x:v>
      </x:c>
      <x:c r="G2120" s="12" t="str">
        <x:v>14:20</x:v>
      </x:c>
      <x:c r="H2120" s="12" t="n">
        <x:v>860</x:v>
      </x:c>
      <x:c r="I2120" s="12" t="str">
        <x:v>研究生宿舍楼</x:v>
      </x:c>
      <x:c r="J2120" s="12" t="str">
        <x:v>研究生宿舍楼发车</x:v>
      </x:c>
      <x:c r="K2120" s="12" t="str">
        <x:v>HX3_NORMAL</x:v>
      </x:c>
      <x:c r="L2120" s="12" t="n">
        <x:v>11</x:v>
      </x:c>
      <x:c r="M2120" s="12" t="str">
        <x:v>HX3_NORMAL|11</x:v>
      </x:c>
      <x:c r="N2120" s="12" t="str">
        <x:v>305教学楼</x:v>
      </x:c>
      <x:c r="O2120" s="12" t="n">
        <x:f>IFERROR(INDEX('秒级路线参数_可调整'!$O:$O,MATCH(M2120,'秒级路线参数_可调整'!$A:$A,0)),"")</x:f>
        <x:v>775</x:v>
      </x:c>
      <x:c r="P2120" s="12" t="n">
        <x:f>IF(O2120="","",O2120/86400)</x:f>
        <x:v>0.008969907407407407</x:v>
      </x:c>
      <x:c r="Q2120" s="12" t="n">
        <x:f>IF(O2120="","",(H2120*60+O2120)/86400)</x:f>
        <x:v>0.6061921296296297</x:v>
      </x:c>
      <x:c r="R2120" s="12" t="str">
        <x:f>IF(Q2120="","",TEXT(Q2120,"hh:mm:ss"))</x:f>
        <x:v>14:32:55</x:v>
      </x:c>
      <x:c r="S2120" s="12" t="str">
        <x:v>否</x:v>
      </x:c>
      <x:c r="T2120" s="12" t="str">
        <x:v>否</x:v>
      </x:c>
      <x:c r="U2120" s="12" t="str">
        <x:v>夏文新</x:v>
      </x:c>
      <x:c r="V2120" s="12" t="str">
        <x:v>4号车</x:v>
      </x:c>
      <x:c r="W2120" s="12" t="str">
        <x:v>秒级预测</x:v>
      </x:c>
      <x:c r="X2120" s="12" t="str">
        <x:v>基于路线秒级参数；如录入实测或手动采用秒，预计到达时间可随公式更新</x:v>
      </x:c>
    </x:row>
    <x:row r="2121">
      <x:c r="A2121" s="12" t="str">
        <x:v>S0183-12</x:v>
      </x:c>
      <x:c r="B2121" s="12" t="str">
        <x:v>S0183</x:v>
      </x:c>
      <x:c r="C2121" s="12" t="str">
        <x:v>周末/节假日</x:v>
      </x:c>
      <x:c r="D2121" s="12" t="str">
        <x:v>环线3路</x:v>
      </x:c>
      <x:c r="E2121" s="12" t="str">
        <x:v>第二班</x:v>
      </x:c>
      <x:c r="F2121" s="12" t="n">
        <x:v>4</x:v>
      </x:c>
      <x:c r="G2121" s="12" t="str">
        <x:v>14:20</x:v>
      </x:c>
      <x:c r="H2121" s="12" t="n">
        <x:v>860</x:v>
      </x:c>
      <x:c r="I2121" s="12" t="str">
        <x:v>研究生宿舍楼</x:v>
      </x:c>
      <x:c r="J2121" s="12" t="str">
        <x:v>研究生宿舍楼发车</x:v>
      </x:c>
      <x:c r="K2121" s="12" t="str">
        <x:v>HX3_NORMAL</x:v>
      </x:c>
      <x:c r="L2121" s="12" t="n">
        <x:v>12</x:v>
      </x:c>
      <x:c r="M2121" s="12" t="str">
        <x:v>HX3_NORMAL|12</x:v>
      </x:c>
      <x:c r="N2121" s="12" t="str">
        <x:v>研究生宿舍楼</x:v>
      </x:c>
      <x:c r="O2121" s="12" t="n">
        <x:f>IFERROR(INDEX('秒级路线参数_可调整'!$O:$O,MATCH(M2121,'秒级路线参数_可调整'!$A:$A,0)),"")</x:f>
        <x:v>840</x:v>
      </x:c>
      <x:c r="P2121" s="12" t="n">
        <x:f>IF(O2121="","",O2121/86400)</x:f>
        <x:v>0.009722222222222222</x:v>
      </x:c>
      <x:c r="Q2121" s="12" t="n">
        <x:f>IF(O2121="","",(H2121*60+O2121)/86400)</x:f>
        <x:v>0.6069444444444444</x:v>
      </x:c>
      <x:c r="R2121" s="12" t="str">
        <x:f>IF(Q2121="","",TEXT(Q2121,"hh:mm:ss"))</x:f>
        <x:v>14:34:00</x:v>
      </x:c>
      <x:c r="S2121" s="12" t="str">
        <x:v>否</x:v>
      </x:c>
      <x:c r="T2121" s="12" t="str">
        <x:v>是</x:v>
      </x:c>
      <x:c r="U2121" s="12" t="str">
        <x:v>夏文新</x:v>
      </x:c>
      <x:c r="V2121" s="12" t="str">
        <x:v>4号车</x:v>
      </x:c>
      <x:c r="W2121" s="12" t="str">
        <x:v>秒级预测</x:v>
      </x:c>
      <x:c r="X2121" s="12" t="str">
        <x:v>基于路线秒级参数；如录入实测或手动采用秒，预计到达时间可随公式更新</x:v>
      </x:c>
    </x:row>
    <x:row r="2122">
      <x:c r="A2122" s="12" t="str">
        <x:v>S0184-01</x:v>
      </x:c>
      <x:c r="B2122" s="12" t="str">
        <x:v>S0184</x:v>
      </x:c>
      <x:c r="C2122" s="12" t="str">
        <x:v>周末/节假日</x:v>
      </x:c>
      <x:c r="D2122" s="12" t="str">
        <x:v>环线3路</x:v>
      </x:c>
      <x:c r="E2122" s="12" t="str">
        <x:v>第二班</x:v>
      </x:c>
      <x:c r="F2122" s="12" t="n">
        <x:v>5</x:v>
      </x:c>
      <x:c r="G2122" s="12" t="str">
        <x:v>14:45</x:v>
      </x:c>
      <x:c r="H2122" s="12" t="n">
        <x:v>885</x:v>
      </x:c>
      <x:c r="I2122" s="12" t="str">
        <x:v>研究生宿舍楼</x:v>
      </x:c>
      <x:c r="J2122" s="12" t="str">
        <x:v>研究生宿舍楼发车</x:v>
      </x:c>
      <x:c r="K2122" s="12" t="str">
        <x:v>HX3_NORMAL</x:v>
      </x:c>
      <x:c r="L2122" s="12" t="n">
        <x:v>1</x:v>
      </x:c>
      <x:c r="M2122" s="12" t="str">
        <x:v>HX3_NORMAL|1</x:v>
      </x:c>
      <x:c r="N2122" s="12" t="str">
        <x:v>研究生宿舍楼</x:v>
      </x:c>
      <x:c r="O2122" s="12" t="n">
        <x:f>IFERROR(INDEX('秒级路线参数_可调整'!$O:$O,MATCH(M2122,'秒级路线参数_可调整'!$A:$A,0)),"")</x:f>
        <x:v>0</x:v>
      </x:c>
      <x:c r="P2122" s="12" t="str">
        <x:f>IF(O2122="","",O2122/86400)</x:f>
      </x:c>
      <x:c r="Q2122" s="12" t="str">
        <x:f>IF(O2122="","",(H2122*60+O2122)/86400)</x:f>
      </x:c>
      <x:c r="R2122" s="12" t="str">
        <x:f>IF(Q2122="","",TEXT(Q2122,"hh:mm:ss"))</x:f>
      </x:c>
      <x:c r="S2122" s="12" t="str">
        <x:v>是</x:v>
      </x:c>
      <x:c r="T2122" s="12" t="str">
        <x:v>否</x:v>
      </x:c>
      <x:c r="U2122" s="12" t="str">
        <x:v>夏文新</x:v>
      </x:c>
      <x:c r="V2122" s="12" t="str">
        <x:v>4号车</x:v>
      </x:c>
      <x:c r="W2122" s="12" t="str">
        <x:v>秒级预测</x:v>
      </x:c>
      <x:c r="X2122" s="12" t="str">
        <x:v>基于路线秒级参数；如录入实测或手动采用秒，预计到达时间可随公式更新</x:v>
      </x:c>
    </x:row>
    <x:row r="2123">
      <x:c r="A2123" s="12" t="str">
        <x:v>S0184-02</x:v>
      </x:c>
      <x:c r="B2123" s="12" t="str">
        <x:v>S0184</x:v>
      </x:c>
      <x:c r="C2123" s="12" t="str">
        <x:v>周末/节假日</x:v>
      </x:c>
      <x:c r="D2123" s="12" t="str">
        <x:v>环线3路</x:v>
      </x:c>
      <x:c r="E2123" s="12" t="str">
        <x:v>第二班</x:v>
      </x:c>
      <x:c r="F2123" s="12" t="n">
        <x:v>5</x:v>
      </x:c>
      <x:c r="G2123" s="12" t="str">
        <x:v>14:45</x:v>
      </x:c>
      <x:c r="H2123" s="12" t="n">
        <x:v>885</x:v>
      </x:c>
      <x:c r="I2123" s="12" t="str">
        <x:v>研究生宿舍楼</x:v>
      </x:c>
      <x:c r="J2123" s="12" t="str">
        <x:v>研究生宿舍楼发车</x:v>
      </x:c>
      <x:c r="K2123" s="12" t="str">
        <x:v>HX3_NORMAL</x:v>
      </x:c>
      <x:c r="L2123" s="12" t="n">
        <x:v>2</x:v>
      </x:c>
      <x:c r="M2123" s="12" t="str">
        <x:v>HX3_NORMAL|2</x:v>
      </x:c>
      <x:c r="N2123" s="12" t="str">
        <x:v>一食堂</x:v>
      </x:c>
      <x:c r="O2123" s="12" t="n">
        <x:f>IFERROR(INDEX('秒级路线参数_可调整'!$O:$O,MATCH(M2123,'秒级路线参数_可调整'!$A:$A,0)),"")</x:f>
        <x:v>65</x:v>
      </x:c>
      <x:c r="P2123" s="12" t="n">
        <x:f>IF(O2123="","",O2123/86400)</x:f>
        <x:v>0.0007523148148148148</x:v>
      </x:c>
      <x:c r="Q2123" s="12" t="n">
        <x:f>IF(O2123="","",(H2123*60+O2123)/86400)</x:f>
        <x:v>0.6153356481481481</x:v>
      </x:c>
      <x:c r="R2123" s="12" t="str">
        <x:f>IF(Q2123="","",TEXT(Q2123,"hh:mm:ss"))</x:f>
        <x:v>14:46:05</x:v>
      </x:c>
      <x:c r="S2123" s="12" t="str">
        <x:v>否</x:v>
      </x:c>
      <x:c r="T2123" s="12" t="str">
        <x:v>否</x:v>
      </x:c>
      <x:c r="U2123" s="12" t="str">
        <x:v>夏文新</x:v>
      </x:c>
      <x:c r="V2123" s="12" t="str">
        <x:v>4号车</x:v>
      </x:c>
      <x:c r="W2123" s="12" t="str">
        <x:v>秒级预测</x:v>
      </x:c>
      <x:c r="X2123" s="12" t="str">
        <x:v>基于路线秒级参数；如录入实测或手动采用秒，预计到达时间可随公式更新</x:v>
      </x:c>
    </x:row>
    <x:row r="2124">
      <x:c r="A2124" s="12" t="str">
        <x:v>S0184-03</x:v>
      </x:c>
      <x:c r="B2124" s="12" t="str">
        <x:v>S0184</x:v>
      </x:c>
      <x:c r="C2124" s="12" t="str">
        <x:v>周末/节假日</x:v>
      </x:c>
      <x:c r="D2124" s="12" t="str">
        <x:v>环线3路</x:v>
      </x:c>
      <x:c r="E2124" s="12" t="str">
        <x:v>第二班</x:v>
      </x:c>
      <x:c r="F2124" s="12" t="n">
        <x:v>5</x:v>
      </x:c>
      <x:c r="G2124" s="12" t="str">
        <x:v>14:45</x:v>
      </x:c>
      <x:c r="H2124" s="12" t="n">
        <x:v>885</x:v>
      </x:c>
      <x:c r="I2124" s="12" t="str">
        <x:v>研究生宿舍楼</x:v>
      </x:c>
      <x:c r="J2124" s="12" t="str">
        <x:v>研究生宿舍楼发车</x:v>
      </x:c>
      <x:c r="K2124" s="12" t="str">
        <x:v>HX3_NORMAL</x:v>
      </x:c>
      <x:c r="L2124" s="12" t="n">
        <x:v>3</x:v>
      </x:c>
      <x:c r="M2124" s="12" t="str">
        <x:v>HX3_NORMAL|3</x:v>
      </x:c>
      <x:c r="N2124" s="12" t="str">
        <x:v>2号宿舍楼</x:v>
      </x:c>
      <x:c r="O2124" s="12" t="n">
        <x:f>IFERROR(INDEX('秒级路线参数_可调整'!$O:$O,MATCH(M2124,'秒级路线参数_可调整'!$A:$A,0)),"")</x:f>
        <x:v>120</x:v>
      </x:c>
      <x:c r="P2124" s="12" t="n">
        <x:f>IF(O2124="","",O2124/86400)</x:f>
        <x:v>0.001388888888888889</x:v>
      </x:c>
      <x:c r="Q2124" s="12" t="n">
        <x:f>IF(O2124="","",(H2124*60+O2124)/86400)</x:f>
        <x:v>0.6159722222222223</x:v>
      </x:c>
      <x:c r="R2124" s="12" t="str">
        <x:f>IF(Q2124="","",TEXT(Q2124,"hh:mm:ss"))</x:f>
        <x:v>14:47:00</x:v>
      </x:c>
      <x:c r="S2124" s="12" t="str">
        <x:v>否</x:v>
      </x:c>
      <x:c r="T2124" s="12" t="str">
        <x:v>否</x:v>
      </x:c>
      <x:c r="U2124" s="12" t="str">
        <x:v>夏文新</x:v>
      </x:c>
      <x:c r="V2124" s="12" t="str">
        <x:v>4号车</x:v>
      </x:c>
      <x:c r="W2124" s="12" t="str">
        <x:v>秒级预测</x:v>
      </x:c>
      <x:c r="X2124" s="12" t="str">
        <x:v>基于路线秒级参数；如录入实测或手动采用秒，预计到达时间可随公式更新</x:v>
      </x:c>
    </x:row>
    <x:row r="2125">
      <x:c r="A2125" s="12" t="str">
        <x:v>S0184-04</x:v>
      </x:c>
      <x:c r="B2125" s="12" t="str">
        <x:v>S0184</x:v>
      </x:c>
      <x:c r="C2125" s="12" t="str">
        <x:v>周末/节假日</x:v>
      </x:c>
      <x:c r="D2125" s="12" t="str">
        <x:v>环线3路</x:v>
      </x:c>
      <x:c r="E2125" s="12" t="str">
        <x:v>第二班</x:v>
      </x:c>
      <x:c r="F2125" s="12" t="n">
        <x:v>5</x:v>
      </x:c>
      <x:c r="G2125" s="12" t="str">
        <x:v>14:45</x:v>
      </x:c>
      <x:c r="H2125" s="12" t="n">
        <x:v>885</x:v>
      </x:c>
      <x:c r="I2125" s="12" t="str">
        <x:v>研究生宿舍楼</x:v>
      </x:c>
      <x:c r="J2125" s="12" t="str">
        <x:v>研究生宿舍楼发车</x:v>
      </x:c>
      <x:c r="K2125" s="12" t="str">
        <x:v>HX3_NORMAL</x:v>
      </x:c>
      <x:c r="L2125" s="12" t="n">
        <x:v>4</x:v>
      </x:c>
      <x:c r="M2125" s="12" t="str">
        <x:v>HX3_NORMAL|4</x:v>
      </x:c>
      <x:c r="N2125" s="12" t="str">
        <x:v>军体活动中心</x:v>
      </x:c>
      <x:c r="O2125" s="12" t="n">
        <x:f>IFERROR(INDEX('秒级路线参数_可调整'!$O:$O,MATCH(M2125,'秒级路线参数_可调整'!$A:$A,0)),"")</x:f>
        <x:v>165</x:v>
      </x:c>
      <x:c r="P2125" s="12" t="n">
        <x:f>IF(O2125="","",O2125/86400)</x:f>
        <x:v>0.0019097222222222222</x:v>
      </x:c>
      <x:c r="Q2125" s="12" t="n">
        <x:f>IF(O2125="","",(H2125*60+O2125)/86400)</x:f>
        <x:v>0.6164930555555556</x:v>
      </x:c>
      <x:c r="R2125" s="12" t="str">
        <x:f>IF(Q2125="","",TEXT(Q2125,"hh:mm:ss"))</x:f>
        <x:v>14:47:45</x:v>
      </x:c>
      <x:c r="S2125" s="12" t="str">
        <x:v>否</x:v>
      </x:c>
      <x:c r="T2125" s="12" t="str">
        <x:v>否</x:v>
      </x:c>
      <x:c r="U2125" s="12" t="str">
        <x:v>夏文新</x:v>
      </x:c>
      <x:c r="V2125" s="12" t="str">
        <x:v>4号车</x:v>
      </x:c>
      <x:c r="W2125" s="12" t="str">
        <x:v>秒级预测</x:v>
      </x:c>
      <x:c r="X2125" s="12" t="str">
        <x:v>基于路线秒级参数；如录入实测或手动采用秒，预计到达时间可随公式更新</x:v>
      </x:c>
    </x:row>
    <x:row r="2126">
      <x:c r="A2126" s="12" t="str">
        <x:v>S0184-05</x:v>
      </x:c>
      <x:c r="B2126" s="12" t="str">
        <x:v>S0184</x:v>
      </x:c>
      <x:c r="C2126" s="12" t="str">
        <x:v>周末/节假日</x:v>
      </x:c>
      <x:c r="D2126" s="12" t="str">
        <x:v>环线3路</x:v>
      </x:c>
      <x:c r="E2126" s="12" t="str">
        <x:v>第二班</x:v>
      </x:c>
      <x:c r="F2126" s="12" t="n">
        <x:v>5</x:v>
      </x:c>
      <x:c r="G2126" s="12" t="str">
        <x:v>14:45</x:v>
      </x:c>
      <x:c r="H2126" s="12" t="n">
        <x:v>885</x:v>
      </x:c>
      <x:c r="I2126" s="12" t="str">
        <x:v>研究生宿舍楼</x:v>
      </x:c>
      <x:c r="J2126" s="12" t="str">
        <x:v>研究生宿舍楼发车</x:v>
      </x:c>
      <x:c r="K2126" s="12" t="str">
        <x:v>HX3_NORMAL</x:v>
      </x:c>
      <x:c r="L2126" s="12" t="n">
        <x:v>5</x:v>
      </x:c>
      <x:c r="M2126" s="12" t="str">
        <x:v>HX3_NORMAL|5</x:v>
      </x:c>
      <x:c r="N2126" s="12" t="str">
        <x:v>教勤连</x:v>
      </x:c>
      <x:c r="O2126" s="12" t="n">
        <x:f>IFERROR(INDEX('秒级路线参数_可调整'!$O:$O,MATCH(M2126,'秒级路线参数_可调整'!$A:$A,0)),"")</x:f>
        <x:v>250</x:v>
      </x:c>
      <x:c r="P2126" s="12" t="n">
        <x:f>IF(O2126="","",O2126/86400)</x:f>
        <x:v>0.0028935185185185184</x:v>
      </x:c>
      <x:c r="Q2126" s="12" t="n">
        <x:f>IF(O2126="","",(H2126*60+O2126)/86400)</x:f>
        <x:v>0.6174768518518519</x:v>
      </x:c>
      <x:c r="R2126" s="12" t="str">
        <x:f>IF(Q2126="","",TEXT(Q2126,"hh:mm:ss"))</x:f>
        <x:v>14:49:10</x:v>
      </x:c>
      <x:c r="S2126" s="12" t="str">
        <x:v>否</x:v>
      </x:c>
      <x:c r="T2126" s="12" t="str">
        <x:v>否</x:v>
      </x:c>
      <x:c r="U2126" s="12" t="str">
        <x:v>夏文新</x:v>
      </x:c>
      <x:c r="V2126" s="12" t="str">
        <x:v>4号车</x:v>
      </x:c>
      <x:c r="W2126" s="12" t="str">
        <x:v>秒级预测</x:v>
      </x:c>
      <x:c r="X2126" s="12" t="str">
        <x:v>基于路线秒级参数；如录入实测或手动采用秒，预计到达时间可随公式更新</x:v>
      </x:c>
    </x:row>
    <x:row r="2127">
      <x:c r="A2127" s="12" t="str">
        <x:v>S0184-06</x:v>
      </x:c>
      <x:c r="B2127" s="12" t="str">
        <x:v>S0184</x:v>
      </x:c>
      <x:c r="C2127" s="12" t="str">
        <x:v>周末/节假日</x:v>
      </x:c>
      <x:c r="D2127" s="12" t="str">
        <x:v>环线3路</x:v>
      </x:c>
      <x:c r="E2127" s="12" t="str">
        <x:v>第二班</x:v>
      </x:c>
      <x:c r="F2127" s="12" t="n">
        <x:v>5</x:v>
      </x:c>
      <x:c r="G2127" s="12" t="str">
        <x:v>14:45</x:v>
      </x:c>
      <x:c r="H2127" s="12" t="n">
        <x:v>885</x:v>
      </x:c>
      <x:c r="I2127" s="12" t="str">
        <x:v>研究生宿舍楼</x:v>
      </x:c>
      <x:c r="J2127" s="12" t="str">
        <x:v>研究生宿舍楼发车</x:v>
      </x:c>
      <x:c r="K2127" s="12" t="str">
        <x:v>HX3_NORMAL</x:v>
      </x:c>
      <x:c r="L2127" s="12" t="n">
        <x:v>6</x:v>
      </x:c>
      <x:c r="M2127" s="12" t="str">
        <x:v>HX3_NORMAL|6</x:v>
      </x:c>
      <x:c r="N2127" s="12" t="str">
        <x:v>激光所</x:v>
      </x:c>
      <x:c r="O2127" s="12" t="n">
        <x:f>IFERROR(INDEX('秒级路线参数_可调整'!$O:$O,MATCH(M2127,'秒级路线参数_可调整'!$A:$A,0)),"")</x:f>
        <x:v>315</x:v>
      </x:c>
      <x:c r="P2127" s="12" t="n">
        <x:f>IF(O2127="","",O2127/86400)</x:f>
        <x:v>0.0036458333333333334</x:v>
      </x:c>
      <x:c r="Q2127" s="12" t="n">
        <x:f>IF(O2127="","",(H2127*60+O2127)/86400)</x:f>
        <x:v>0.6182291666666667</x:v>
      </x:c>
      <x:c r="R2127" s="12" t="str">
        <x:f>IF(Q2127="","",TEXT(Q2127,"hh:mm:ss"))</x:f>
        <x:v>14:50:15</x:v>
      </x:c>
      <x:c r="S2127" s="12" t="str">
        <x:v>否</x:v>
      </x:c>
      <x:c r="T2127" s="12" t="str">
        <x:v>否</x:v>
      </x:c>
      <x:c r="U2127" s="12" t="str">
        <x:v>夏文新</x:v>
      </x:c>
      <x:c r="V2127" s="12" t="str">
        <x:v>4号车</x:v>
      </x:c>
      <x:c r="W2127" s="12" t="str">
        <x:v>秒级预测</x:v>
      </x:c>
      <x:c r="X2127" s="12" t="str">
        <x:v>基于路线秒级参数；如录入实测或手动采用秒，预计到达时间可随公式更新</x:v>
      </x:c>
    </x:row>
    <x:row r="2128">
      <x:c r="A2128" s="12" t="str">
        <x:v>S0184-07</x:v>
      </x:c>
      <x:c r="B2128" s="12" t="str">
        <x:v>S0184</x:v>
      </x:c>
      <x:c r="C2128" s="12" t="str">
        <x:v>周末/节假日</x:v>
      </x:c>
      <x:c r="D2128" s="12" t="str">
        <x:v>环线3路</x:v>
      </x:c>
      <x:c r="E2128" s="12" t="str">
        <x:v>第二班</x:v>
      </x:c>
      <x:c r="F2128" s="12" t="n">
        <x:v>5</x:v>
      </x:c>
      <x:c r="G2128" s="12" t="str">
        <x:v>14:45</x:v>
      </x:c>
      <x:c r="H2128" s="12" t="n">
        <x:v>885</x:v>
      </x:c>
      <x:c r="I2128" s="12" t="str">
        <x:v>研究生宿舍楼</x:v>
      </x:c>
      <x:c r="J2128" s="12" t="str">
        <x:v>研究生宿舍楼发车</x:v>
      </x:c>
      <x:c r="K2128" s="12" t="str">
        <x:v>HX3_NORMAL</x:v>
      </x:c>
      <x:c r="L2128" s="12" t="n">
        <x:v>7</x:v>
      </x:c>
      <x:c r="M2128" s="12" t="str">
        <x:v>HX3_NORMAL|7</x:v>
      </x:c>
      <x:c r="N2128" s="12" t="str">
        <x:v>高超楼</x:v>
      </x:c>
      <x:c r="O2128" s="12" t="n">
        <x:f>IFERROR(INDEX('秒级路线参数_可调整'!$O:$O,MATCH(M2128,'秒级路线参数_可调整'!$A:$A,0)),"")</x:f>
        <x:v>420</x:v>
      </x:c>
      <x:c r="P2128" s="12" t="n">
        <x:f>IF(O2128="","",O2128/86400)</x:f>
        <x:v>0.004861111111111111</x:v>
      </x:c>
      <x:c r="Q2128" s="12" t="n">
        <x:f>IF(O2128="","",(H2128*60+O2128)/86400)</x:f>
        <x:v>0.6194444444444445</x:v>
      </x:c>
      <x:c r="R2128" s="12" t="str">
        <x:f>IF(Q2128="","",TEXT(Q2128,"hh:mm:ss"))</x:f>
        <x:v>14:52:00</x:v>
      </x:c>
      <x:c r="S2128" s="12" t="str">
        <x:v>否</x:v>
      </x:c>
      <x:c r="T2128" s="12" t="str">
        <x:v>否</x:v>
      </x:c>
      <x:c r="U2128" s="12" t="str">
        <x:v>夏文新</x:v>
      </x:c>
      <x:c r="V2128" s="12" t="str">
        <x:v>4号车</x:v>
      </x:c>
      <x:c r="W2128" s="12" t="str">
        <x:v>秒级预测</x:v>
      </x:c>
      <x:c r="X2128" s="12" t="str">
        <x:v>基于路线秒级参数；如录入实测或手动采用秒，预计到达时间可随公式更新</x:v>
      </x:c>
    </x:row>
    <x:row r="2129">
      <x:c r="A2129" s="12" t="str">
        <x:v>S0184-08</x:v>
      </x:c>
      <x:c r="B2129" s="12" t="str">
        <x:v>S0184</x:v>
      </x:c>
      <x:c r="C2129" s="12" t="str">
        <x:v>周末/节假日</x:v>
      </x:c>
      <x:c r="D2129" s="12" t="str">
        <x:v>环线3路</x:v>
      </x:c>
      <x:c r="E2129" s="12" t="str">
        <x:v>第二班</x:v>
      </x:c>
      <x:c r="F2129" s="12" t="n">
        <x:v>5</x:v>
      </x:c>
      <x:c r="G2129" s="12" t="str">
        <x:v>14:45</x:v>
      </x:c>
      <x:c r="H2129" s="12" t="n">
        <x:v>885</x:v>
      </x:c>
      <x:c r="I2129" s="12" t="str">
        <x:v>研究生宿舍楼</x:v>
      </x:c>
      <x:c r="J2129" s="12" t="str">
        <x:v>研究生宿舍楼发车</x:v>
      </x:c>
      <x:c r="K2129" s="12" t="str">
        <x:v>HX3_NORMAL</x:v>
      </x:c>
      <x:c r="L2129" s="12" t="n">
        <x:v>8</x:v>
      </x:c>
      <x:c r="M2129" s="12" t="str">
        <x:v>HX3_NORMAL|8</x:v>
      </x:c>
      <x:c r="N2129" s="12" t="str">
        <x:v>理学院</x:v>
      </x:c>
      <x:c r="O2129" s="12" t="n">
        <x:f>IFERROR(INDEX('秒级路线参数_可调整'!$O:$O,MATCH(M2129,'秒级路线参数_可调整'!$A:$A,0)),"")</x:f>
        <x:v>480</x:v>
      </x:c>
      <x:c r="P2129" s="12" t="n">
        <x:f>IF(O2129="","",O2129/86400)</x:f>
        <x:v>0.005555555555555556</x:v>
      </x:c>
      <x:c r="Q2129" s="12" t="n">
        <x:f>IF(O2129="","",(H2129*60+O2129)/86400)</x:f>
        <x:v>0.6201388888888889</x:v>
      </x:c>
      <x:c r="R2129" s="12" t="str">
        <x:f>IF(Q2129="","",TEXT(Q2129,"hh:mm:ss"))</x:f>
        <x:v>14:53:00</x:v>
      </x:c>
      <x:c r="S2129" s="12" t="str">
        <x:v>否</x:v>
      </x:c>
      <x:c r="T2129" s="12" t="str">
        <x:v>否</x:v>
      </x:c>
      <x:c r="U2129" s="12" t="str">
        <x:v>夏文新</x:v>
      </x:c>
      <x:c r="V2129" s="12" t="str">
        <x:v>4号车</x:v>
      </x:c>
      <x:c r="W2129" s="12" t="str">
        <x:v>秒级预测</x:v>
      </x:c>
      <x:c r="X2129" s="12" t="str">
        <x:v>基于路线秒级参数；如录入实测或手动采用秒，预计到达时间可随公式更新</x:v>
      </x:c>
    </x:row>
    <x:row r="2130">
      <x:c r="A2130" s="12" t="str">
        <x:v>S0184-09</x:v>
      </x:c>
      <x:c r="B2130" s="12" t="str">
        <x:v>S0184</x:v>
      </x:c>
      <x:c r="C2130" s="12" t="str">
        <x:v>周末/节假日</x:v>
      </x:c>
      <x:c r="D2130" s="12" t="str">
        <x:v>环线3路</x:v>
      </x:c>
      <x:c r="E2130" s="12" t="str">
        <x:v>第二班</x:v>
      </x:c>
      <x:c r="F2130" s="12" t="n">
        <x:v>5</x:v>
      </x:c>
      <x:c r="G2130" s="12" t="str">
        <x:v>14:45</x:v>
      </x:c>
      <x:c r="H2130" s="12" t="n">
        <x:v>885</x:v>
      </x:c>
      <x:c r="I2130" s="12" t="str">
        <x:v>研究生宿舍楼</x:v>
      </x:c>
      <x:c r="J2130" s="12" t="str">
        <x:v>研究生宿舍楼发车</x:v>
      </x:c>
      <x:c r="K2130" s="12" t="str">
        <x:v>HX3_NORMAL</x:v>
      </x:c>
      <x:c r="L2130" s="12" t="n">
        <x:v>9</x:v>
      </x:c>
      <x:c r="M2130" s="12" t="str">
        <x:v>HX3_NORMAL|9</x:v>
      </x:c>
      <x:c r="N2130" s="12" t="str">
        <x:v>二食堂</x:v>
      </x:c>
      <x:c r="O2130" s="12" t="n">
        <x:f>IFERROR(INDEX('秒级路线参数_可调整'!$O:$O,MATCH(M2130,'秒级路线参数_可调整'!$A:$A,0)),"")</x:f>
        <x:v>535</x:v>
      </x:c>
      <x:c r="P2130" s="12" t="n">
        <x:f>IF(O2130="","",O2130/86400)</x:f>
        <x:v>0.00619212962962963</x:v>
      </x:c>
      <x:c r="Q2130" s="12" t="n">
        <x:f>IF(O2130="","",(H2130*60+O2130)/86400)</x:f>
        <x:v>0.6207754629629629</x:v>
      </x:c>
      <x:c r="R2130" s="12" t="str">
        <x:f>IF(Q2130="","",TEXT(Q2130,"hh:mm:ss"))</x:f>
        <x:v>14:53:55</x:v>
      </x:c>
      <x:c r="S2130" s="12" t="str">
        <x:v>否</x:v>
      </x:c>
      <x:c r="T2130" s="12" t="str">
        <x:v>否</x:v>
      </x:c>
      <x:c r="U2130" s="12" t="str">
        <x:v>夏文新</x:v>
      </x:c>
      <x:c r="V2130" s="12" t="str">
        <x:v>4号车</x:v>
      </x:c>
      <x:c r="W2130" s="12" t="str">
        <x:v>秒级预测</x:v>
      </x:c>
      <x:c r="X2130" s="12" t="str">
        <x:v>基于路线秒级参数；如录入实测或手动采用秒，预计到达时间可随公式更新</x:v>
      </x:c>
    </x:row>
    <x:row r="2131">
      <x:c r="A2131" s="12" t="str">
        <x:v>S0184-10</x:v>
      </x:c>
      <x:c r="B2131" s="12" t="str">
        <x:v>S0184</x:v>
      </x:c>
      <x:c r="C2131" s="12" t="str">
        <x:v>周末/节假日</x:v>
      </x:c>
      <x:c r="D2131" s="12" t="str">
        <x:v>环线3路</x:v>
      </x:c>
      <x:c r="E2131" s="12" t="str">
        <x:v>第二班</x:v>
      </x:c>
      <x:c r="F2131" s="12" t="n">
        <x:v>5</x:v>
      </x:c>
      <x:c r="G2131" s="12" t="str">
        <x:v>14:45</x:v>
      </x:c>
      <x:c r="H2131" s="12" t="n">
        <x:v>885</x:v>
      </x:c>
      <x:c r="I2131" s="12" t="str">
        <x:v>研究生宿舍楼</x:v>
      </x:c>
      <x:c r="J2131" s="12" t="str">
        <x:v>研究生宿舍楼发车</x:v>
      </x:c>
      <x:c r="K2131" s="12" t="str">
        <x:v>HX3_NORMAL</x:v>
      </x:c>
      <x:c r="L2131" s="12" t="n">
        <x:v>10</x:v>
      </x:c>
      <x:c r="M2131" s="12" t="str">
        <x:v>HX3_NORMAL|10</x:v>
      </x:c>
      <x:c r="N2131" s="12" t="str">
        <x:v>图书馆</x:v>
      </x:c>
      <x:c r="O2131" s="12" t="n">
        <x:f>IFERROR(INDEX('秒级路线参数_可调整'!$O:$O,MATCH(M2131,'秒级路线参数_可调整'!$A:$A,0)),"")</x:f>
        <x:v>715</x:v>
      </x:c>
      <x:c r="P2131" s="12" t="n">
        <x:f>IF(O2131="","",O2131/86400)</x:f>
        <x:v>0.008275462962962964</x:v>
      </x:c>
      <x:c r="Q2131" s="12" t="n">
        <x:f>IF(O2131="","",(H2131*60+O2131)/86400)</x:f>
        <x:v>0.6228587962962963</x:v>
      </x:c>
      <x:c r="R2131" s="12" t="str">
        <x:f>IF(Q2131="","",TEXT(Q2131,"hh:mm:ss"))</x:f>
        <x:v>14:56:55</x:v>
      </x:c>
      <x:c r="S2131" s="12" t="str">
        <x:v>否</x:v>
      </x:c>
      <x:c r="T2131" s="12" t="str">
        <x:v>否</x:v>
      </x:c>
      <x:c r="U2131" s="12" t="str">
        <x:v>夏文新</x:v>
      </x:c>
      <x:c r="V2131" s="12" t="str">
        <x:v>4号车</x:v>
      </x:c>
      <x:c r="W2131" s="12" t="str">
        <x:v>秒级预测</x:v>
      </x:c>
      <x:c r="X2131" s="12" t="str">
        <x:v>基于路线秒级参数；如录入实测或手动采用秒，预计到达时间可随公式更新</x:v>
      </x:c>
    </x:row>
    <x:row r="2132">
      <x:c r="A2132" s="12" t="str">
        <x:v>S0184-11</x:v>
      </x:c>
      <x:c r="B2132" s="12" t="str">
        <x:v>S0184</x:v>
      </x:c>
      <x:c r="C2132" s="12" t="str">
        <x:v>周末/节假日</x:v>
      </x:c>
      <x:c r="D2132" s="12" t="str">
        <x:v>环线3路</x:v>
      </x:c>
      <x:c r="E2132" s="12" t="str">
        <x:v>第二班</x:v>
      </x:c>
      <x:c r="F2132" s="12" t="n">
        <x:v>5</x:v>
      </x:c>
      <x:c r="G2132" s="12" t="str">
        <x:v>14:45</x:v>
      </x:c>
      <x:c r="H2132" s="12" t="n">
        <x:v>885</x:v>
      </x:c>
      <x:c r="I2132" s="12" t="str">
        <x:v>研究生宿舍楼</x:v>
      </x:c>
      <x:c r="J2132" s="12" t="str">
        <x:v>研究生宿舍楼发车</x:v>
      </x:c>
      <x:c r="K2132" s="12" t="str">
        <x:v>HX3_NORMAL</x:v>
      </x:c>
      <x:c r="L2132" s="12" t="n">
        <x:v>11</x:v>
      </x:c>
      <x:c r="M2132" s="12" t="str">
        <x:v>HX3_NORMAL|11</x:v>
      </x:c>
      <x:c r="N2132" s="12" t="str">
        <x:v>305教学楼</x:v>
      </x:c>
      <x:c r="O2132" s="12" t="n">
        <x:f>IFERROR(INDEX('秒级路线参数_可调整'!$O:$O,MATCH(M2132,'秒级路线参数_可调整'!$A:$A,0)),"")</x:f>
        <x:v>775</x:v>
      </x:c>
      <x:c r="P2132" s="12" t="n">
        <x:f>IF(O2132="","",O2132/86400)</x:f>
        <x:v>0.008969907407407407</x:v>
      </x:c>
      <x:c r="Q2132" s="12" t="n">
        <x:f>IF(O2132="","",(H2132*60+O2132)/86400)</x:f>
        <x:v>0.6235532407407407</x:v>
      </x:c>
      <x:c r="R2132" s="12" t="str">
        <x:f>IF(Q2132="","",TEXT(Q2132,"hh:mm:ss"))</x:f>
        <x:v>14:57:55</x:v>
      </x:c>
      <x:c r="S2132" s="12" t="str">
        <x:v>否</x:v>
      </x:c>
      <x:c r="T2132" s="12" t="str">
        <x:v>否</x:v>
      </x:c>
      <x:c r="U2132" s="12" t="str">
        <x:v>夏文新</x:v>
      </x:c>
      <x:c r="V2132" s="12" t="str">
        <x:v>4号车</x:v>
      </x:c>
      <x:c r="W2132" s="12" t="str">
        <x:v>秒级预测</x:v>
      </x:c>
      <x:c r="X2132" s="12" t="str">
        <x:v>基于路线秒级参数；如录入实测或手动采用秒，预计到达时间可随公式更新</x:v>
      </x:c>
    </x:row>
    <x:row r="2133">
      <x:c r="A2133" s="12" t="str">
        <x:v>S0184-12</x:v>
      </x:c>
      <x:c r="B2133" s="12" t="str">
        <x:v>S0184</x:v>
      </x:c>
      <x:c r="C2133" s="12" t="str">
        <x:v>周末/节假日</x:v>
      </x:c>
      <x:c r="D2133" s="12" t="str">
        <x:v>环线3路</x:v>
      </x:c>
      <x:c r="E2133" s="12" t="str">
        <x:v>第二班</x:v>
      </x:c>
      <x:c r="F2133" s="12" t="n">
        <x:v>5</x:v>
      </x:c>
      <x:c r="G2133" s="12" t="str">
        <x:v>14:45</x:v>
      </x:c>
      <x:c r="H2133" s="12" t="n">
        <x:v>885</x:v>
      </x:c>
      <x:c r="I2133" s="12" t="str">
        <x:v>研究生宿舍楼</x:v>
      </x:c>
      <x:c r="J2133" s="12" t="str">
        <x:v>研究生宿舍楼发车</x:v>
      </x:c>
      <x:c r="K2133" s="12" t="str">
        <x:v>HX3_NORMAL</x:v>
      </x:c>
      <x:c r="L2133" s="12" t="n">
        <x:v>12</x:v>
      </x:c>
      <x:c r="M2133" s="12" t="str">
        <x:v>HX3_NORMAL|12</x:v>
      </x:c>
      <x:c r="N2133" s="12" t="str">
        <x:v>研究生宿舍楼</x:v>
      </x:c>
      <x:c r="O2133" s="12" t="n">
        <x:f>IFERROR(INDEX('秒级路线参数_可调整'!$O:$O,MATCH(M2133,'秒级路线参数_可调整'!$A:$A,0)),"")</x:f>
        <x:v>840</x:v>
      </x:c>
      <x:c r="P2133" s="12" t="n">
        <x:f>IF(O2133="","",O2133/86400)</x:f>
        <x:v>0.009722222222222222</x:v>
      </x:c>
      <x:c r="Q2133" s="12" t="n">
        <x:f>IF(O2133="","",(H2133*60+O2133)/86400)</x:f>
        <x:v>0.6243055555555556</x:v>
      </x:c>
      <x:c r="R2133" s="12" t="str">
        <x:f>IF(Q2133="","",TEXT(Q2133,"hh:mm:ss"))</x:f>
        <x:v>14:59:00</x:v>
      </x:c>
      <x:c r="S2133" s="12" t="str">
        <x:v>否</x:v>
      </x:c>
      <x:c r="T2133" s="12" t="str">
        <x:v>是</x:v>
      </x:c>
      <x:c r="U2133" s="12" t="str">
        <x:v>夏文新</x:v>
      </x:c>
      <x:c r="V2133" s="12" t="str">
        <x:v>4号车</x:v>
      </x:c>
      <x:c r="W2133" s="12" t="str">
        <x:v>秒级预测</x:v>
      </x:c>
      <x:c r="X2133" s="12" t="str">
        <x:v>基于路线秒级参数；如录入实测或手动采用秒，预计到达时间可随公式更新</x:v>
      </x:c>
    </x:row>
    <x:row r="2134">
      <x:c r="A2134" s="12" t="str">
        <x:v>S0185-01</x:v>
      </x:c>
      <x:c r="B2134" s="12" t="str">
        <x:v>S0185</x:v>
      </x:c>
      <x:c r="C2134" s="12" t="str">
        <x:v>周末/节假日</x:v>
      </x:c>
      <x:c r="D2134" s="12" t="str">
        <x:v>环线3路</x:v>
      </x:c>
      <x:c r="E2134" s="12" t="str">
        <x:v>第二班</x:v>
      </x:c>
      <x:c r="F2134" s="12" t="n">
        <x:v>6</x:v>
      </x:c>
      <x:c r="G2134" s="12" t="str">
        <x:v>15:10</x:v>
      </x:c>
      <x:c r="H2134" s="12" t="n">
        <x:v>910</x:v>
      </x:c>
      <x:c r="I2134" s="12" t="str">
        <x:v>研究生宿舍楼</x:v>
      </x:c>
      <x:c r="J2134" s="12" t="str">
        <x:v>研究生宿舍楼发车</x:v>
      </x:c>
      <x:c r="K2134" s="12" t="str">
        <x:v>HX3_NORMAL</x:v>
      </x:c>
      <x:c r="L2134" s="12" t="n">
        <x:v>1</x:v>
      </x:c>
      <x:c r="M2134" s="12" t="str">
        <x:v>HX3_NORMAL|1</x:v>
      </x:c>
      <x:c r="N2134" s="12" t="str">
        <x:v>研究生宿舍楼</x:v>
      </x:c>
      <x:c r="O2134" s="12" t="n">
        <x:f>IFERROR(INDEX('秒级路线参数_可调整'!$O:$O,MATCH(M2134,'秒级路线参数_可调整'!$A:$A,0)),"")</x:f>
        <x:v>0</x:v>
      </x:c>
      <x:c r="P2134" s="12" t="str">
        <x:f>IF(O2134="","",O2134/86400)</x:f>
      </x:c>
      <x:c r="Q2134" s="12" t="str">
        <x:f>IF(O2134="","",(H2134*60+O2134)/86400)</x:f>
      </x:c>
      <x:c r="R2134" s="12" t="str">
        <x:f>IF(Q2134="","",TEXT(Q2134,"hh:mm:ss"))</x:f>
      </x:c>
      <x:c r="S2134" s="12" t="str">
        <x:v>是</x:v>
      </x:c>
      <x:c r="T2134" s="12" t="str">
        <x:v>否</x:v>
      </x:c>
      <x:c r="U2134" s="12" t="str">
        <x:v>夏文新</x:v>
      </x:c>
      <x:c r="V2134" s="12" t="str">
        <x:v>4号车</x:v>
      </x:c>
      <x:c r="W2134" s="12" t="str">
        <x:v>秒级预测</x:v>
      </x:c>
      <x:c r="X2134" s="12" t="str">
        <x:v>基于路线秒级参数；如录入实测或手动采用秒，预计到达时间可随公式更新</x:v>
      </x:c>
    </x:row>
    <x:row r="2135">
      <x:c r="A2135" s="12" t="str">
        <x:v>S0185-02</x:v>
      </x:c>
      <x:c r="B2135" s="12" t="str">
        <x:v>S0185</x:v>
      </x:c>
      <x:c r="C2135" s="12" t="str">
        <x:v>周末/节假日</x:v>
      </x:c>
      <x:c r="D2135" s="12" t="str">
        <x:v>环线3路</x:v>
      </x:c>
      <x:c r="E2135" s="12" t="str">
        <x:v>第二班</x:v>
      </x:c>
      <x:c r="F2135" s="12" t="n">
        <x:v>6</x:v>
      </x:c>
      <x:c r="G2135" s="12" t="str">
        <x:v>15:10</x:v>
      </x:c>
      <x:c r="H2135" s="12" t="n">
        <x:v>910</x:v>
      </x:c>
      <x:c r="I2135" s="12" t="str">
        <x:v>研究生宿舍楼</x:v>
      </x:c>
      <x:c r="J2135" s="12" t="str">
        <x:v>研究生宿舍楼发车</x:v>
      </x:c>
      <x:c r="K2135" s="12" t="str">
        <x:v>HX3_NORMAL</x:v>
      </x:c>
      <x:c r="L2135" s="12" t="n">
        <x:v>2</x:v>
      </x:c>
      <x:c r="M2135" s="12" t="str">
        <x:v>HX3_NORMAL|2</x:v>
      </x:c>
      <x:c r="N2135" s="12" t="str">
        <x:v>一食堂</x:v>
      </x:c>
      <x:c r="O2135" s="12" t="n">
        <x:f>IFERROR(INDEX('秒级路线参数_可调整'!$O:$O,MATCH(M2135,'秒级路线参数_可调整'!$A:$A,0)),"")</x:f>
        <x:v>65</x:v>
      </x:c>
      <x:c r="P2135" s="12" t="n">
        <x:f>IF(O2135="","",O2135/86400)</x:f>
        <x:v>0.0007523148148148148</x:v>
      </x:c>
      <x:c r="Q2135" s="12" t="n">
        <x:f>IF(O2135="","",(H2135*60+O2135)/86400)</x:f>
        <x:v>0.6326967592592593</x:v>
      </x:c>
      <x:c r="R2135" s="12" t="str">
        <x:f>IF(Q2135="","",TEXT(Q2135,"hh:mm:ss"))</x:f>
        <x:v>15:11:05</x:v>
      </x:c>
      <x:c r="S2135" s="12" t="str">
        <x:v>否</x:v>
      </x:c>
      <x:c r="T2135" s="12" t="str">
        <x:v>否</x:v>
      </x:c>
      <x:c r="U2135" s="12" t="str">
        <x:v>夏文新</x:v>
      </x:c>
      <x:c r="V2135" s="12" t="str">
        <x:v>4号车</x:v>
      </x:c>
      <x:c r="W2135" s="12" t="str">
        <x:v>秒级预测</x:v>
      </x:c>
      <x:c r="X2135" s="12" t="str">
        <x:v>基于路线秒级参数；如录入实测或手动采用秒，预计到达时间可随公式更新</x:v>
      </x:c>
    </x:row>
    <x:row r="2136">
      <x:c r="A2136" s="12" t="str">
        <x:v>S0185-03</x:v>
      </x:c>
      <x:c r="B2136" s="12" t="str">
        <x:v>S0185</x:v>
      </x:c>
      <x:c r="C2136" s="12" t="str">
        <x:v>周末/节假日</x:v>
      </x:c>
      <x:c r="D2136" s="12" t="str">
        <x:v>环线3路</x:v>
      </x:c>
      <x:c r="E2136" s="12" t="str">
        <x:v>第二班</x:v>
      </x:c>
      <x:c r="F2136" s="12" t="n">
        <x:v>6</x:v>
      </x:c>
      <x:c r="G2136" s="12" t="str">
        <x:v>15:10</x:v>
      </x:c>
      <x:c r="H2136" s="12" t="n">
        <x:v>910</x:v>
      </x:c>
      <x:c r="I2136" s="12" t="str">
        <x:v>研究生宿舍楼</x:v>
      </x:c>
      <x:c r="J2136" s="12" t="str">
        <x:v>研究生宿舍楼发车</x:v>
      </x:c>
      <x:c r="K2136" s="12" t="str">
        <x:v>HX3_NORMAL</x:v>
      </x:c>
      <x:c r="L2136" s="12" t="n">
        <x:v>3</x:v>
      </x:c>
      <x:c r="M2136" s="12" t="str">
        <x:v>HX3_NORMAL|3</x:v>
      </x:c>
      <x:c r="N2136" s="12" t="str">
        <x:v>2号宿舍楼</x:v>
      </x:c>
      <x:c r="O2136" s="12" t="n">
        <x:f>IFERROR(INDEX('秒级路线参数_可调整'!$O:$O,MATCH(M2136,'秒级路线参数_可调整'!$A:$A,0)),"")</x:f>
        <x:v>120</x:v>
      </x:c>
      <x:c r="P2136" s="12" t="n">
        <x:f>IF(O2136="","",O2136/86400)</x:f>
        <x:v>0.001388888888888889</x:v>
      </x:c>
      <x:c r="Q2136" s="12" t="n">
        <x:f>IF(O2136="","",(H2136*60+O2136)/86400)</x:f>
        <x:v>0.6333333333333333</x:v>
      </x:c>
      <x:c r="R2136" s="12" t="str">
        <x:f>IF(Q2136="","",TEXT(Q2136,"hh:mm:ss"))</x:f>
        <x:v>15:12:00</x:v>
      </x:c>
      <x:c r="S2136" s="12" t="str">
        <x:v>否</x:v>
      </x:c>
      <x:c r="T2136" s="12" t="str">
        <x:v>否</x:v>
      </x:c>
      <x:c r="U2136" s="12" t="str">
        <x:v>夏文新</x:v>
      </x:c>
      <x:c r="V2136" s="12" t="str">
        <x:v>4号车</x:v>
      </x:c>
      <x:c r="W2136" s="12" t="str">
        <x:v>秒级预测</x:v>
      </x:c>
      <x:c r="X2136" s="12" t="str">
        <x:v>基于路线秒级参数；如录入实测或手动采用秒，预计到达时间可随公式更新</x:v>
      </x:c>
    </x:row>
    <x:row r="2137">
      <x:c r="A2137" s="12" t="str">
        <x:v>S0185-04</x:v>
      </x:c>
      <x:c r="B2137" s="12" t="str">
        <x:v>S0185</x:v>
      </x:c>
      <x:c r="C2137" s="12" t="str">
        <x:v>周末/节假日</x:v>
      </x:c>
      <x:c r="D2137" s="12" t="str">
        <x:v>环线3路</x:v>
      </x:c>
      <x:c r="E2137" s="12" t="str">
        <x:v>第二班</x:v>
      </x:c>
      <x:c r="F2137" s="12" t="n">
        <x:v>6</x:v>
      </x:c>
      <x:c r="G2137" s="12" t="str">
        <x:v>15:10</x:v>
      </x:c>
      <x:c r="H2137" s="12" t="n">
        <x:v>910</x:v>
      </x:c>
      <x:c r="I2137" s="12" t="str">
        <x:v>研究生宿舍楼</x:v>
      </x:c>
      <x:c r="J2137" s="12" t="str">
        <x:v>研究生宿舍楼发车</x:v>
      </x:c>
      <x:c r="K2137" s="12" t="str">
        <x:v>HX3_NORMAL</x:v>
      </x:c>
      <x:c r="L2137" s="12" t="n">
        <x:v>4</x:v>
      </x:c>
      <x:c r="M2137" s="12" t="str">
        <x:v>HX3_NORMAL|4</x:v>
      </x:c>
      <x:c r="N2137" s="12" t="str">
        <x:v>军体活动中心</x:v>
      </x:c>
      <x:c r="O2137" s="12" t="n">
        <x:f>IFERROR(INDEX('秒级路线参数_可调整'!$O:$O,MATCH(M2137,'秒级路线参数_可调整'!$A:$A,0)),"")</x:f>
        <x:v>165</x:v>
      </x:c>
      <x:c r="P2137" s="12" t="n">
        <x:f>IF(O2137="","",O2137/86400)</x:f>
        <x:v>0.0019097222222222222</x:v>
      </x:c>
      <x:c r="Q2137" s="12" t="n">
        <x:f>IF(O2137="","",(H2137*60+O2137)/86400)</x:f>
        <x:v>0.6338541666666667</x:v>
      </x:c>
      <x:c r="R2137" s="12" t="str">
        <x:f>IF(Q2137="","",TEXT(Q2137,"hh:mm:ss"))</x:f>
        <x:v>15:12:45</x:v>
      </x:c>
      <x:c r="S2137" s="12" t="str">
        <x:v>否</x:v>
      </x:c>
      <x:c r="T2137" s="12" t="str">
        <x:v>否</x:v>
      </x:c>
      <x:c r="U2137" s="12" t="str">
        <x:v>夏文新</x:v>
      </x:c>
      <x:c r="V2137" s="12" t="str">
        <x:v>4号车</x:v>
      </x:c>
      <x:c r="W2137" s="12" t="str">
        <x:v>秒级预测</x:v>
      </x:c>
      <x:c r="X2137" s="12" t="str">
        <x:v>基于路线秒级参数；如录入实测或手动采用秒，预计到达时间可随公式更新</x:v>
      </x:c>
    </x:row>
    <x:row r="2138">
      <x:c r="A2138" s="12" t="str">
        <x:v>S0185-05</x:v>
      </x:c>
      <x:c r="B2138" s="12" t="str">
        <x:v>S0185</x:v>
      </x:c>
      <x:c r="C2138" s="12" t="str">
        <x:v>周末/节假日</x:v>
      </x:c>
      <x:c r="D2138" s="12" t="str">
        <x:v>环线3路</x:v>
      </x:c>
      <x:c r="E2138" s="12" t="str">
        <x:v>第二班</x:v>
      </x:c>
      <x:c r="F2138" s="12" t="n">
        <x:v>6</x:v>
      </x:c>
      <x:c r="G2138" s="12" t="str">
        <x:v>15:10</x:v>
      </x:c>
      <x:c r="H2138" s="12" t="n">
        <x:v>910</x:v>
      </x:c>
      <x:c r="I2138" s="12" t="str">
        <x:v>研究生宿舍楼</x:v>
      </x:c>
      <x:c r="J2138" s="12" t="str">
        <x:v>研究生宿舍楼发车</x:v>
      </x:c>
      <x:c r="K2138" s="12" t="str">
        <x:v>HX3_NORMAL</x:v>
      </x:c>
      <x:c r="L2138" s="12" t="n">
        <x:v>5</x:v>
      </x:c>
      <x:c r="M2138" s="12" t="str">
        <x:v>HX3_NORMAL|5</x:v>
      </x:c>
      <x:c r="N2138" s="12" t="str">
        <x:v>教勤连</x:v>
      </x:c>
      <x:c r="O2138" s="12" t="n">
        <x:f>IFERROR(INDEX('秒级路线参数_可调整'!$O:$O,MATCH(M2138,'秒级路线参数_可调整'!$A:$A,0)),"")</x:f>
        <x:v>250</x:v>
      </x:c>
      <x:c r="P2138" s="12" t="n">
        <x:f>IF(O2138="","",O2138/86400)</x:f>
        <x:v>0.0028935185185185184</x:v>
      </x:c>
      <x:c r="Q2138" s="12" t="n">
        <x:f>IF(O2138="","",(H2138*60+O2138)/86400)</x:f>
        <x:v>0.6348379629629629</x:v>
      </x:c>
      <x:c r="R2138" s="12" t="str">
        <x:f>IF(Q2138="","",TEXT(Q2138,"hh:mm:ss"))</x:f>
        <x:v>15:14:10</x:v>
      </x:c>
      <x:c r="S2138" s="12" t="str">
        <x:v>否</x:v>
      </x:c>
      <x:c r="T2138" s="12" t="str">
        <x:v>否</x:v>
      </x:c>
      <x:c r="U2138" s="12" t="str">
        <x:v>夏文新</x:v>
      </x:c>
      <x:c r="V2138" s="12" t="str">
        <x:v>4号车</x:v>
      </x:c>
      <x:c r="W2138" s="12" t="str">
        <x:v>秒级预测</x:v>
      </x:c>
      <x:c r="X2138" s="12" t="str">
        <x:v>基于路线秒级参数；如录入实测或手动采用秒，预计到达时间可随公式更新</x:v>
      </x:c>
    </x:row>
    <x:row r="2139">
      <x:c r="A2139" s="12" t="str">
        <x:v>S0185-06</x:v>
      </x:c>
      <x:c r="B2139" s="12" t="str">
        <x:v>S0185</x:v>
      </x:c>
      <x:c r="C2139" s="12" t="str">
        <x:v>周末/节假日</x:v>
      </x:c>
      <x:c r="D2139" s="12" t="str">
        <x:v>环线3路</x:v>
      </x:c>
      <x:c r="E2139" s="12" t="str">
        <x:v>第二班</x:v>
      </x:c>
      <x:c r="F2139" s="12" t="n">
        <x:v>6</x:v>
      </x:c>
      <x:c r="G2139" s="12" t="str">
        <x:v>15:10</x:v>
      </x:c>
      <x:c r="H2139" s="12" t="n">
        <x:v>910</x:v>
      </x:c>
      <x:c r="I2139" s="12" t="str">
        <x:v>研究生宿舍楼</x:v>
      </x:c>
      <x:c r="J2139" s="12" t="str">
        <x:v>研究生宿舍楼发车</x:v>
      </x:c>
      <x:c r="K2139" s="12" t="str">
        <x:v>HX3_NORMAL</x:v>
      </x:c>
      <x:c r="L2139" s="12" t="n">
        <x:v>6</x:v>
      </x:c>
      <x:c r="M2139" s="12" t="str">
        <x:v>HX3_NORMAL|6</x:v>
      </x:c>
      <x:c r="N2139" s="12" t="str">
        <x:v>激光所</x:v>
      </x:c>
      <x:c r="O2139" s="12" t="n">
        <x:f>IFERROR(INDEX('秒级路线参数_可调整'!$O:$O,MATCH(M2139,'秒级路线参数_可调整'!$A:$A,0)),"")</x:f>
        <x:v>315</x:v>
      </x:c>
      <x:c r="P2139" s="12" t="n">
        <x:f>IF(O2139="","",O2139/86400)</x:f>
        <x:v>0.0036458333333333334</x:v>
      </x:c>
      <x:c r="Q2139" s="12" t="n">
        <x:f>IF(O2139="","",(H2139*60+O2139)/86400)</x:f>
        <x:v>0.6355902777777778</x:v>
      </x:c>
      <x:c r="R2139" s="12" t="str">
        <x:f>IF(Q2139="","",TEXT(Q2139,"hh:mm:ss"))</x:f>
        <x:v>15:15:15</x:v>
      </x:c>
      <x:c r="S2139" s="12" t="str">
        <x:v>否</x:v>
      </x:c>
      <x:c r="T2139" s="12" t="str">
        <x:v>否</x:v>
      </x:c>
      <x:c r="U2139" s="12" t="str">
        <x:v>夏文新</x:v>
      </x:c>
      <x:c r="V2139" s="12" t="str">
        <x:v>4号车</x:v>
      </x:c>
      <x:c r="W2139" s="12" t="str">
        <x:v>秒级预测</x:v>
      </x:c>
      <x:c r="X2139" s="12" t="str">
        <x:v>基于路线秒级参数；如录入实测或手动采用秒，预计到达时间可随公式更新</x:v>
      </x:c>
    </x:row>
    <x:row r="2140">
      <x:c r="A2140" s="12" t="str">
        <x:v>S0185-07</x:v>
      </x:c>
      <x:c r="B2140" s="12" t="str">
        <x:v>S0185</x:v>
      </x:c>
      <x:c r="C2140" s="12" t="str">
        <x:v>周末/节假日</x:v>
      </x:c>
      <x:c r="D2140" s="12" t="str">
        <x:v>环线3路</x:v>
      </x:c>
      <x:c r="E2140" s="12" t="str">
        <x:v>第二班</x:v>
      </x:c>
      <x:c r="F2140" s="12" t="n">
        <x:v>6</x:v>
      </x:c>
      <x:c r="G2140" s="12" t="str">
        <x:v>15:10</x:v>
      </x:c>
      <x:c r="H2140" s="12" t="n">
        <x:v>910</x:v>
      </x:c>
      <x:c r="I2140" s="12" t="str">
        <x:v>研究生宿舍楼</x:v>
      </x:c>
      <x:c r="J2140" s="12" t="str">
        <x:v>研究生宿舍楼发车</x:v>
      </x:c>
      <x:c r="K2140" s="12" t="str">
        <x:v>HX3_NORMAL</x:v>
      </x:c>
      <x:c r="L2140" s="12" t="n">
        <x:v>7</x:v>
      </x:c>
      <x:c r="M2140" s="12" t="str">
        <x:v>HX3_NORMAL|7</x:v>
      </x:c>
      <x:c r="N2140" s="12" t="str">
        <x:v>高超楼</x:v>
      </x:c>
      <x:c r="O2140" s="12" t="n">
        <x:f>IFERROR(INDEX('秒级路线参数_可调整'!$O:$O,MATCH(M2140,'秒级路线参数_可调整'!$A:$A,0)),"")</x:f>
        <x:v>420</x:v>
      </x:c>
      <x:c r="P2140" s="12" t="n">
        <x:f>IF(O2140="","",O2140/86400)</x:f>
        <x:v>0.004861111111111111</x:v>
      </x:c>
      <x:c r="Q2140" s="12" t="n">
        <x:f>IF(O2140="","",(H2140*60+O2140)/86400)</x:f>
        <x:v>0.6368055555555555</x:v>
      </x:c>
      <x:c r="R2140" s="12" t="str">
        <x:f>IF(Q2140="","",TEXT(Q2140,"hh:mm:ss"))</x:f>
        <x:v>15:17:00</x:v>
      </x:c>
      <x:c r="S2140" s="12" t="str">
        <x:v>否</x:v>
      </x:c>
      <x:c r="T2140" s="12" t="str">
        <x:v>否</x:v>
      </x:c>
      <x:c r="U2140" s="12" t="str">
        <x:v>夏文新</x:v>
      </x:c>
      <x:c r="V2140" s="12" t="str">
        <x:v>4号车</x:v>
      </x:c>
      <x:c r="W2140" s="12" t="str">
        <x:v>秒级预测</x:v>
      </x:c>
      <x:c r="X2140" s="12" t="str">
        <x:v>基于路线秒级参数；如录入实测或手动采用秒，预计到达时间可随公式更新</x:v>
      </x:c>
    </x:row>
    <x:row r="2141">
      <x:c r="A2141" s="12" t="str">
        <x:v>S0185-08</x:v>
      </x:c>
      <x:c r="B2141" s="12" t="str">
        <x:v>S0185</x:v>
      </x:c>
      <x:c r="C2141" s="12" t="str">
        <x:v>周末/节假日</x:v>
      </x:c>
      <x:c r="D2141" s="12" t="str">
        <x:v>环线3路</x:v>
      </x:c>
      <x:c r="E2141" s="12" t="str">
        <x:v>第二班</x:v>
      </x:c>
      <x:c r="F2141" s="12" t="n">
        <x:v>6</x:v>
      </x:c>
      <x:c r="G2141" s="12" t="str">
        <x:v>15:10</x:v>
      </x:c>
      <x:c r="H2141" s="12" t="n">
        <x:v>910</x:v>
      </x:c>
      <x:c r="I2141" s="12" t="str">
        <x:v>研究生宿舍楼</x:v>
      </x:c>
      <x:c r="J2141" s="12" t="str">
        <x:v>研究生宿舍楼发车</x:v>
      </x:c>
      <x:c r="K2141" s="12" t="str">
        <x:v>HX3_NORMAL</x:v>
      </x:c>
      <x:c r="L2141" s="12" t="n">
        <x:v>8</x:v>
      </x:c>
      <x:c r="M2141" s="12" t="str">
        <x:v>HX3_NORMAL|8</x:v>
      </x:c>
      <x:c r="N2141" s="12" t="str">
        <x:v>理学院</x:v>
      </x:c>
      <x:c r="O2141" s="12" t="n">
        <x:f>IFERROR(INDEX('秒级路线参数_可调整'!$O:$O,MATCH(M2141,'秒级路线参数_可调整'!$A:$A,0)),"")</x:f>
        <x:v>480</x:v>
      </x:c>
      <x:c r="P2141" s="12" t="n">
        <x:f>IF(O2141="","",O2141/86400)</x:f>
        <x:v>0.005555555555555556</x:v>
      </x:c>
      <x:c r="Q2141" s="12" t="n">
        <x:f>IF(O2141="","",(H2141*60+O2141)/86400)</x:f>
        <x:v>0.6375</x:v>
      </x:c>
      <x:c r="R2141" s="12" t="str">
        <x:f>IF(Q2141="","",TEXT(Q2141,"hh:mm:ss"))</x:f>
        <x:v>15:18:00</x:v>
      </x:c>
      <x:c r="S2141" s="12" t="str">
        <x:v>否</x:v>
      </x:c>
      <x:c r="T2141" s="12" t="str">
        <x:v>否</x:v>
      </x:c>
      <x:c r="U2141" s="12" t="str">
        <x:v>夏文新</x:v>
      </x:c>
      <x:c r="V2141" s="12" t="str">
        <x:v>4号车</x:v>
      </x:c>
      <x:c r="W2141" s="12" t="str">
        <x:v>秒级预测</x:v>
      </x:c>
      <x:c r="X2141" s="12" t="str">
        <x:v>基于路线秒级参数；如录入实测或手动采用秒，预计到达时间可随公式更新</x:v>
      </x:c>
    </x:row>
    <x:row r="2142">
      <x:c r="A2142" s="12" t="str">
        <x:v>S0185-09</x:v>
      </x:c>
      <x:c r="B2142" s="12" t="str">
        <x:v>S0185</x:v>
      </x:c>
      <x:c r="C2142" s="12" t="str">
        <x:v>周末/节假日</x:v>
      </x:c>
      <x:c r="D2142" s="12" t="str">
        <x:v>环线3路</x:v>
      </x:c>
      <x:c r="E2142" s="12" t="str">
        <x:v>第二班</x:v>
      </x:c>
      <x:c r="F2142" s="12" t="n">
        <x:v>6</x:v>
      </x:c>
      <x:c r="G2142" s="12" t="str">
        <x:v>15:10</x:v>
      </x:c>
      <x:c r="H2142" s="12" t="n">
        <x:v>910</x:v>
      </x:c>
      <x:c r="I2142" s="12" t="str">
        <x:v>研究生宿舍楼</x:v>
      </x:c>
      <x:c r="J2142" s="12" t="str">
        <x:v>研究生宿舍楼发车</x:v>
      </x:c>
      <x:c r="K2142" s="12" t="str">
        <x:v>HX3_NORMAL</x:v>
      </x:c>
      <x:c r="L2142" s="12" t="n">
        <x:v>9</x:v>
      </x:c>
      <x:c r="M2142" s="12" t="str">
        <x:v>HX3_NORMAL|9</x:v>
      </x:c>
      <x:c r="N2142" s="12" t="str">
        <x:v>二食堂</x:v>
      </x:c>
      <x:c r="O2142" s="12" t="n">
        <x:f>IFERROR(INDEX('秒级路线参数_可调整'!$O:$O,MATCH(M2142,'秒级路线参数_可调整'!$A:$A,0)),"")</x:f>
        <x:v>535</x:v>
      </x:c>
      <x:c r="P2142" s="12" t="n">
        <x:f>IF(O2142="","",O2142/86400)</x:f>
        <x:v>0.00619212962962963</x:v>
      </x:c>
      <x:c r="Q2142" s="12" t="n">
        <x:f>IF(O2142="","",(H2142*60+O2142)/86400)</x:f>
        <x:v>0.6381365740740741</x:v>
      </x:c>
      <x:c r="R2142" s="12" t="str">
        <x:f>IF(Q2142="","",TEXT(Q2142,"hh:mm:ss"))</x:f>
        <x:v>15:18:55</x:v>
      </x:c>
      <x:c r="S2142" s="12" t="str">
        <x:v>否</x:v>
      </x:c>
      <x:c r="T2142" s="12" t="str">
        <x:v>否</x:v>
      </x:c>
      <x:c r="U2142" s="12" t="str">
        <x:v>夏文新</x:v>
      </x:c>
      <x:c r="V2142" s="12" t="str">
        <x:v>4号车</x:v>
      </x:c>
      <x:c r="W2142" s="12" t="str">
        <x:v>秒级预测</x:v>
      </x:c>
      <x:c r="X2142" s="12" t="str">
        <x:v>基于路线秒级参数；如录入实测或手动采用秒，预计到达时间可随公式更新</x:v>
      </x:c>
    </x:row>
    <x:row r="2143">
      <x:c r="A2143" s="12" t="str">
        <x:v>S0185-10</x:v>
      </x:c>
      <x:c r="B2143" s="12" t="str">
        <x:v>S0185</x:v>
      </x:c>
      <x:c r="C2143" s="12" t="str">
        <x:v>周末/节假日</x:v>
      </x:c>
      <x:c r="D2143" s="12" t="str">
        <x:v>环线3路</x:v>
      </x:c>
      <x:c r="E2143" s="12" t="str">
        <x:v>第二班</x:v>
      </x:c>
      <x:c r="F2143" s="12" t="n">
        <x:v>6</x:v>
      </x:c>
      <x:c r="G2143" s="12" t="str">
        <x:v>15:10</x:v>
      </x:c>
      <x:c r="H2143" s="12" t="n">
        <x:v>910</x:v>
      </x:c>
      <x:c r="I2143" s="12" t="str">
        <x:v>研究生宿舍楼</x:v>
      </x:c>
      <x:c r="J2143" s="12" t="str">
        <x:v>研究生宿舍楼发车</x:v>
      </x:c>
      <x:c r="K2143" s="12" t="str">
        <x:v>HX3_NORMAL</x:v>
      </x:c>
      <x:c r="L2143" s="12" t="n">
        <x:v>10</x:v>
      </x:c>
      <x:c r="M2143" s="12" t="str">
        <x:v>HX3_NORMAL|10</x:v>
      </x:c>
      <x:c r="N2143" s="12" t="str">
        <x:v>图书馆</x:v>
      </x:c>
      <x:c r="O2143" s="12" t="n">
        <x:f>IFERROR(INDEX('秒级路线参数_可调整'!$O:$O,MATCH(M2143,'秒级路线参数_可调整'!$A:$A,0)),"")</x:f>
        <x:v>715</x:v>
      </x:c>
      <x:c r="P2143" s="12" t="n">
        <x:f>IF(O2143="","",O2143/86400)</x:f>
        <x:v>0.008275462962962964</x:v>
      </x:c>
      <x:c r="Q2143" s="12" t="n">
        <x:f>IF(O2143="","",(H2143*60+O2143)/86400)</x:f>
        <x:v>0.6402199074074074</x:v>
      </x:c>
      <x:c r="R2143" s="12" t="str">
        <x:f>IF(Q2143="","",TEXT(Q2143,"hh:mm:ss"))</x:f>
        <x:v>15:21:55</x:v>
      </x:c>
      <x:c r="S2143" s="12" t="str">
        <x:v>否</x:v>
      </x:c>
      <x:c r="T2143" s="12" t="str">
        <x:v>否</x:v>
      </x:c>
      <x:c r="U2143" s="12" t="str">
        <x:v>夏文新</x:v>
      </x:c>
      <x:c r="V2143" s="12" t="str">
        <x:v>4号车</x:v>
      </x:c>
      <x:c r="W2143" s="12" t="str">
        <x:v>秒级预测</x:v>
      </x:c>
      <x:c r="X2143" s="12" t="str">
        <x:v>基于路线秒级参数；如录入实测或手动采用秒，预计到达时间可随公式更新</x:v>
      </x:c>
    </x:row>
    <x:row r="2144">
      <x:c r="A2144" s="12" t="str">
        <x:v>S0185-11</x:v>
      </x:c>
      <x:c r="B2144" s="12" t="str">
        <x:v>S0185</x:v>
      </x:c>
      <x:c r="C2144" s="12" t="str">
        <x:v>周末/节假日</x:v>
      </x:c>
      <x:c r="D2144" s="12" t="str">
        <x:v>环线3路</x:v>
      </x:c>
      <x:c r="E2144" s="12" t="str">
        <x:v>第二班</x:v>
      </x:c>
      <x:c r="F2144" s="12" t="n">
        <x:v>6</x:v>
      </x:c>
      <x:c r="G2144" s="12" t="str">
        <x:v>15:10</x:v>
      </x:c>
      <x:c r="H2144" s="12" t="n">
        <x:v>910</x:v>
      </x:c>
      <x:c r="I2144" s="12" t="str">
        <x:v>研究生宿舍楼</x:v>
      </x:c>
      <x:c r="J2144" s="12" t="str">
        <x:v>研究生宿舍楼发车</x:v>
      </x:c>
      <x:c r="K2144" s="12" t="str">
        <x:v>HX3_NORMAL</x:v>
      </x:c>
      <x:c r="L2144" s="12" t="n">
        <x:v>11</x:v>
      </x:c>
      <x:c r="M2144" s="12" t="str">
        <x:v>HX3_NORMAL|11</x:v>
      </x:c>
      <x:c r="N2144" s="12" t="str">
        <x:v>305教学楼</x:v>
      </x:c>
      <x:c r="O2144" s="12" t="n">
        <x:f>IFERROR(INDEX('秒级路线参数_可调整'!$O:$O,MATCH(M2144,'秒级路线参数_可调整'!$A:$A,0)),"")</x:f>
        <x:v>775</x:v>
      </x:c>
      <x:c r="P2144" s="12" t="n">
        <x:f>IF(O2144="","",O2144/86400)</x:f>
        <x:v>0.008969907407407407</x:v>
      </x:c>
      <x:c r="Q2144" s="12" t="n">
        <x:f>IF(O2144="","",(H2144*60+O2144)/86400)</x:f>
        <x:v>0.6409143518518519</x:v>
      </x:c>
      <x:c r="R2144" s="12" t="str">
        <x:f>IF(Q2144="","",TEXT(Q2144,"hh:mm:ss"))</x:f>
        <x:v>15:22:55</x:v>
      </x:c>
      <x:c r="S2144" s="12" t="str">
        <x:v>否</x:v>
      </x:c>
      <x:c r="T2144" s="12" t="str">
        <x:v>否</x:v>
      </x:c>
      <x:c r="U2144" s="12" t="str">
        <x:v>夏文新</x:v>
      </x:c>
      <x:c r="V2144" s="12" t="str">
        <x:v>4号车</x:v>
      </x:c>
      <x:c r="W2144" s="12" t="str">
        <x:v>秒级预测</x:v>
      </x:c>
      <x:c r="X2144" s="12" t="str">
        <x:v>基于路线秒级参数；如录入实测或手动采用秒，预计到达时间可随公式更新</x:v>
      </x:c>
    </x:row>
    <x:row r="2145">
      <x:c r="A2145" s="12" t="str">
        <x:v>S0185-12</x:v>
      </x:c>
      <x:c r="B2145" s="12" t="str">
        <x:v>S0185</x:v>
      </x:c>
      <x:c r="C2145" s="12" t="str">
        <x:v>周末/节假日</x:v>
      </x:c>
      <x:c r="D2145" s="12" t="str">
        <x:v>环线3路</x:v>
      </x:c>
      <x:c r="E2145" s="12" t="str">
        <x:v>第二班</x:v>
      </x:c>
      <x:c r="F2145" s="12" t="n">
        <x:v>6</x:v>
      </x:c>
      <x:c r="G2145" s="12" t="str">
        <x:v>15:10</x:v>
      </x:c>
      <x:c r="H2145" s="12" t="n">
        <x:v>910</x:v>
      </x:c>
      <x:c r="I2145" s="12" t="str">
        <x:v>研究生宿舍楼</x:v>
      </x:c>
      <x:c r="J2145" s="12" t="str">
        <x:v>研究生宿舍楼发车</x:v>
      </x:c>
      <x:c r="K2145" s="12" t="str">
        <x:v>HX3_NORMAL</x:v>
      </x:c>
      <x:c r="L2145" s="12" t="n">
        <x:v>12</x:v>
      </x:c>
      <x:c r="M2145" s="12" t="str">
        <x:v>HX3_NORMAL|12</x:v>
      </x:c>
      <x:c r="N2145" s="12" t="str">
        <x:v>研究生宿舍楼</x:v>
      </x:c>
      <x:c r="O2145" s="12" t="n">
        <x:f>IFERROR(INDEX('秒级路线参数_可调整'!$O:$O,MATCH(M2145,'秒级路线参数_可调整'!$A:$A,0)),"")</x:f>
        <x:v>840</x:v>
      </x:c>
      <x:c r="P2145" s="12" t="n">
        <x:f>IF(O2145="","",O2145/86400)</x:f>
        <x:v>0.009722222222222222</x:v>
      </x:c>
      <x:c r="Q2145" s="12" t="n">
        <x:f>IF(O2145="","",(H2145*60+O2145)/86400)</x:f>
        <x:v>0.6416666666666667</x:v>
      </x:c>
      <x:c r="R2145" s="12" t="str">
        <x:f>IF(Q2145="","",TEXT(Q2145,"hh:mm:ss"))</x:f>
        <x:v>15:24:00</x:v>
      </x:c>
      <x:c r="S2145" s="12" t="str">
        <x:v>否</x:v>
      </x:c>
      <x:c r="T2145" s="12" t="str">
        <x:v>是</x:v>
      </x:c>
      <x:c r="U2145" s="12" t="str">
        <x:v>夏文新</x:v>
      </x:c>
      <x:c r="V2145" s="12" t="str">
        <x:v>4号车</x:v>
      </x:c>
      <x:c r="W2145" s="12" t="str">
        <x:v>秒级预测</x:v>
      </x:c>
      <x:c r="X2145" s="12" t="str">
        <x:v>基于路线秒级参数；如录入实测或手动采用秒，预计到达时间可随公式更新</x:v>
      </x:c>
    </x:row>
    <x:row r="2146">
      <x:c r="A2146" s="12" t="str">
        <x:v>S0186-01</x:v>
      </x:c>
      <x:c r="B2146" s="12" t="str">
        <x:v>S0186</x:v>
      </x:c>
      <x:c r="C2146" s="12" t="str">
        <x:v>周末/节假日</x:v>
      </x:c>
      <x:c r="D2146" s="12" t="str">
        <x:v>环线3路</x:v>
      </x:c>
      <x:c r="E2146" s="12" t="str">
        <x:v>第二班</x:v>
      </x:c>
      <x:c r="F2146" s="12" t="n">
        <x:v>7</x:v>
      </x:c>
      <x:c r="G2146" s="12" t="str">
        <x:v>16:50</x:v>
      </x:c>
      <x:c r="H2146" s="12" t="n">
        <x:v>1010</x:v>
      </x:c>
      <x:c r="I2146" s="12" t="str">
        <x:v>高超楼（系统工程学院旁）</x:v>
      </x:c>
      <x:c r="J2146" s="12" t="str">
        <x:v>高超楼发车</x:v>
      </x:c>
      <x:c r="K2146" s="12" t="str">
        <x:v>HX3_GAOCHAO</x:v>
      </x:c>
      <x:c r="L2146" s="12" t="n">
        <x:v>1</x:v>
      </x:c>
      <x:c r="M2146" s="12" t="str">
        <x:v>HX3_GAOCHAO|1</x:v>
      </x:c>
      <x:c r="N2146" s="12" t="str">
        <x:v>高超楼</x:v>
      </x:c>
      <x:c r="O2146" s="12" t="n">
        <x:f>IFERROR(INDEX('秒级路线参数_可调整'!$O:$O,MATCH(M2146,'秒级路线参数_可调整'!$A:$A,0)),"")</x:f>
        <x:v>0</x:v>
      </x:c>
      <x:c r="P2146" s="12" t="str">
        <x:f>IF(O2146="","",O2146/86400)</x:f>
      </x:c>
      <x:c r="Q2146" s="12" t="str">
        <x:f>IF(O2146="","",(H2146*60+O2146)/86400)</x:f>
      </x:c>
      <x:c r="R2146" s="12" t="str">
        <x:f>IF(Q2146="","",TEXT(Q2146,"hh:mm:ss"))</x:f>
      </x:c>
      <x:c r="S2146" s="12" t="str">
        <x:v>是</x:v>
      </x:c>
      <x:c r="T2146" s="12" t="str">
        <x:v>否</x:v>
      </x:c>
      <x:c r="U2146" s="12" t="str">
        <x:v>夏文新</x:v>
      </x:c>
      <x:c r="V2146" s="12" t="str">
        <x:v>4号车</x:v>
      </x:c>
      <x:c r="W2146" s="12" t="str">
        <x:v>秒级预测</x:v>
      </x:c>
      <x:c r="X2146" s="12" t="str">
        <x:v>基于路线秒级参数；如录入实测或手动采用秒，预计到达时间可随公式更新</x:v>
      </x:c>
    </x:row>
    <x:row r="2147">
      <x:c r="A2147" s="12" t="str">
        <x:v>S0186-02</x:v>
      </x:c>
      <x:c r="B2147" s="12" t="str">
        <x:v>S0186</x:v>
      </x:c>
      <x:c r="C2147" s="12" t="str">
        <x:v>周末/节假日</x:v>
      </x:c>
      <x:c r="D2147" s="12" t="str">
        <x:v>环线3路</x:v>
      </x:c>
      <x:c r="E2147" s="12" t="str">
        <x:v>第二班</x:v>
      </x:c>
      <x:c r="F2147" s="12" t="n">
        <x:v>7</x:v>
      </x:c>
      <x:c r="G2147" s="12" t="str">
        <x:v>16:50</x:v>
      </x:c>
      <x:c r="H2147" s="12" t="n">
        <x:v>1010</x:v>
      </x:c>
      <x:c r="I2147" s="12" t="str">
        <x:v>高超楼（系统工程学院旁）</x:v>
      </x:c>
      <x:c r="J2147" s="12" t="str">
        <x:v>高超楼发车</x:v>
      </x:c>
      <x:c r="K2147" s="12" t="str">
        <x:v>HX3_GAOCHAO</x:v>
      </x:c>
      <x:c r="L2147" s="12" t="n">
        <x:v>2</x:v>
      </x:c>
      <x:c r="M2147" s="12" t="str">
        <x:v>HX3_GAOCHAO|2</x:v>
      </x:c>
      <x:c r="N2147" s="12" t="str">
        <x:v>理学院</x:v>
      </x:c>
      <x:c r="O2147" s="12" t="n">
        <x:f>IFERROR(INDEX('秒级路线参数_可调整'!$O:$O,MATCH(M2147,'秒级路线参数_可调整'!$A:$A,0)),"")</x:f>
        <x:v>65</x:v>
      </x:c>
      <x:c r="P2147" s="12" t="n">
        <x:f>IF(O2147="","",O2147/86400)</x:f>
        <x:v>0.0007523148148148148</x:v>
      </x:c>
      <x:c r="Q2147" s="12" t="n">
        <x:f>IF(O2147="","",(H2147*60+O2147)/86400)</x:f>
        <x:v>0.7021412037037037</x:v>
      </x:c>
      <x:c r="R2147" s="12" t="str">
        <x:f>IF(Q2147="","",TEXT(Q2147,"hh:mm:ss"))</x:f>
        <x:v>16:51:05</x:v>
      </x:c>
      <x:c r="S2147" s="12" t="str">
        <x:v>否</x:v>
      </x:c>
      <x:c r="T2147" s="12" t="str">
        <x:v>否</x:v>
      </x:c>
      <x:c r="U2147" s="12" t="str">
        <x:v>夏文新</x:v>
      </x:c>
      <x:c r="V2147" s="12" t="str">
        <x:v>4号车</x:v>
      </x:c>
      <x:c r="W2147" s="12" t="str">
        <x:v>秒级预测</x:v>
      </x:c>
      <x:c r="X2147" s="12" t="str">
        <x:v>基于路线秒级参数；如录入实测或手动采用秒，预计到达时间可随公式更新</x:v>
      </x:c>
    </x:row>
    <x:row r="2148">
      <x:c r="A2148" s="12" t="str">
        <x:v>S0186-03</x:v>
      </x:c>
      <x:c r="B2148" s="12" t="str">
        <x:v>S0186</x:v>
      </x:c>
      <x:c r="C2148" s="12" t="str">
        <x:v>周末/节假日</x:v>
      </x:c>
      <x:c r="D2148" s="12" t="str">
        <x:v>环线3路</x:v>
      </x:c>
      <x:c r="E2148" s="12" t="str">
        <x:v>第二班</x:v>
      </x:c>
      <x:c r="F2148" s="12" t="n">
        <x:v>7</x:v>
      </x:c>
      <x:c r="G2148" s="12" t="str">
        <x:v>16:50</x:v>
      </x:c>
      <x:c r="H2148" s="12" t="n">
        <x:v>1010</x:v>
      </x:c>
      <x:c r="I2148" s="12" t="str">
        <x:v>高超楼（系统工程学院旁）</x:v>
      </x:c>
      <x:c r="J2148" s="12" t="str">
        <x:v>高超楼发车</x:v>
      </x:c>
      <x:c r="K2148" s="12" t="str">
        <x:v>HX3_GAOCHAO</x:v>
      </x:c>
      <x:c r="L2148" s="12" t="n">
        <x:v>3</x:v>
      </x:c>
      <x:c r="M2148" s="12" t="str">
        <x:v>HX3_GAOCHAO|3</x:v>
      </x:c>
      <x:c r="N2148" s="12" t="str">
        <x:v>二食堂</x:v>
      </x:c>
      <x:c r="O2148" s="12" t="n">
        <x:f>IFERROR(INDEX('秒级路线参数_可调整'!$O:$O,MATCH(M2148,'秒级路线参数_可调整'!$A:$A,0)),"")</x:f>
        <x:v>120</x:v>
      </x:c>
      <x:c r="P2148" s="12" t="n">
        <x:f>IF(O2148="","",O2148/86400)</x:f>
        <x:v>0.001388888888888889</x:v>
      </x:c>
      <x:c r="Q2148" s="12" t="n">
        <x:f>IF(O2148="","",(H2148*60+O2148)/86400)</x:f>
        <x:v>0.7027777777777777</x:v>
      </x:c>
      <x:c r="R2148" s="12" t="str">
        <x:f>IF(Q2148="","",TEXT(Q2148,"hh:mm:ss"))</x:f>
        <x:v>16:52:00</x:v>
      </x:c>
      <x:c r="S2148" s="12" t="str">
        <x:v>否</x:v>
      </x:c>
      <x:c r="T2148" s="12" t="str">
        <x:v>否</x:v>
      </x:c>
      <x:c r="U2148" s="12" t="str">
        <x:v>夏文新</x:v>
      </x:c>
      <x:c r="V2148" s="12" t="str">
        <x:v>4号车</x:v>
      </x:c>
      <x:c r="W2148" s="12" t="str">
        <x:v>秒级预测</x:v>
      </x:c>
      <x:c r="X2148" s="12" t="str">
        <x:v>基于路线秒级参数；如录入实测或手动采用秒，预计到达时间可随公式更新</x:v>
      </x:c>
    </x:row>
    <x:row r="2149">
      <x:c r="A2149" s="12" t="str">
        <x:v>S0186-04</x:v>
      </x:c>
      <x:c r="B2149" s="12" t="str">
        <x:v>S0186</x:v>
      </x:c>
      <x:c r="C2149" s="12" t="str">
        <x:v>周末/节假日</x:v>
      </x:c>
      <x:c r="D2149" s="12" t="str">
        <x:v>环线3路</x:v>
      </x:c>
      <x:c r="E2149" s="12" t="str">
        <x:v>第二班</x:v>
      </x:c>
      <x:c r="F2149" s="12" t="n">
        <x:v>7</x:v>
      </x:c>
      <x:c r="G2149" s="12" t="str">
        <x:v>16:50</x:v>
      </x:c>
      <x:c r="H2149" s="12" t="n">
        <x:v>1010</x:v>
      </x:c>
      <x:c r="I2149" s="12" t="str">
        <x:v>高超楼（系统工程学院旁）</x:v>
      </x:c>
      <x:c r="J2149" s="12" t="str">
        <x:v>高超楼发车</x:v>
      </x:c>
      <x:c r="K2149" s="12" t="str">
        <x:v>HX3_GAOCHAO</x:v>
      </x:c>
      <x:c r="L2149" s="12" t="n">
        <x:v>4</x:v>
      </x:c>
      <x:c r="M2149" s="12" t="str">
        <x:v>HX3_GAOCHAO|4</x:v>
      </x:c>
      <x:c r="N2149" s="12" t="str">
        <x:v>图书馆</x:v>
      </x:c>
      <x:c r="O2149" s="12" t="n">
        <x:f>IFERROR(INDEX('秒级路线参数_可调整'!$O:$O,MATCH(M2149,'秒级路线参数_可调整'!$A:$A,0)),"")</x:f>
        <x:v>165</x:v>
      </x:c>
      <x:c r="P2149" s="12" t="n">
        <x:f>IF(O2149="","",O2149/86400)</x:f>
        <x:v>0.0019097222222222222</x:v>
      </x:c>
      <x:c r="Q2149" s="12" t="n">
        <x:f>IF(O2149="","",(H2149*60+O2149)/86400)</x:f>
        <x:v>0.7032986111111111</x:v>
      </x:c>
      <x:c r="R2149" s="12" t="str">
        <x:f>IF(Q2149="","",TEXT(Q2149,"hh:mm:ss"))</x:f>
        <x:v>16:52:45</x:v>
      </x:c>
      <x:c r="S2149" s="12" t="str">
        <x:v>否</x:v>
      </x:c>
      <x:c r="T2149" s="12" t="str">
        <x:v>否</x:v>
      </x:c>
      <x:c r="U2149" s="12" t="str">
        <x:v>夏文新</x:v>
      </x:c>
      <x:c r="V2149" s="12" t="str">
        <x:v>4号车</x:v>
      </x:c>
      <x:c r="W2149" s="12" t="str">
        <x:v>秒级预测</x:v>
      </x:c>
      <x:c r="X2149" s="12" t="str">
        <x:v>基于路线秒级参数；如录入实测或手动采用秒，预计到达时间可随公式更新</x:v>
      </x:c>
    </x:row>
    <x:row r="2150">
      <x:c r="A2150" s="12" t="str">
        <x:v>S0186-05</x:v>
      </x:c>
      <x:c r="B2150" s="12" t="str">
        <x:v>S0186</x:v>
      </x:c>
      <x:c r="C2150" s="12" t="str">
        <x:v>周末/节假日</x:v>
      </x:c>
      <x:c r="D2150" s="12" t="str">
        <x:v>环线3路</x:v>
      </x:c>
      <x:c r="E2150" s="12" t="str">
        <x:v>第二班</x:v>
      </x:c>
      <x:c r="F2150" s="12" t="n">
        <x:v>7</x:v>
      </x:c>
      <x:c r="G2150" s="12" t="str">
        <x:v>16:50</x:v>
      </x:c>
      <x:c r="H2150" s="12" t="n">
        <x:v>1010</x:v>
      </x:c>
      <x:c r="I2150" s="12" t="str">
        <x:v>高超楼（系统工程学院旁）</x:v>
      </x:c>
      <x:c r="J2150" s="12" t="str">
        <x:v>高超楼发车</x:v>
      </x:c>
      <x:c r="K2150" s="12" t="str">
        <x:v>HX3_GAOCHAO</x:v>
      </x:c>
      <x:c r="L2150" s="12" t="n">
        <x:v>5</x:v>
      </x:c>
      <x:c r="M2150" s="12" t="str">
        <x:v>HX3_GAOCHAO|5</x:v>
      </x:c>
      <x:c r="N2150" s="12" t="str">
        <x:v>305教学楼</x:v>
      </x:c>
      <x:c r="O2150" s="12" t="n">
        <x:f>IFERROR(INDEX('秒级路线参数_可调整'!$O:$O,MATCH(M2150,'秒级路线参数_可调整'!$A:$A,0)),"")</x:f>
        <x:v>250</x:v>
      </x:c>
      <x:c r="P2150" s="12" t="n">
        <x:f>IF(O2150="","",O2150/86400)</x:f>
        <x:v>0.0028935185185185184</x:v>
      </x:c>
      <x:c r="Q2150" s="12" t="n">
        <x:f>IF(O2150="","",(H2150*60+O2150)/86400)</x:f>
        <x:v>0.7042824074074074</x:v>
      </x:c>
      <x:c r="R2150" s="12" t="str">
        <x:f>IF(Q2150="","",TEXT(Q2150,"hh:mm:ss"))</x:f>
        <x:v>16:54:10</x:v>
      </x:c>
      <x:c r="S2150" s="12" t="str">
        <x:v>否</x:v>
      </x:c>
      <x:c r="T2150" s="12" t="str">
        <x:v>否</x:v>
      </x:c>
      <x:c r="U2150" s="12" t="str">
        <x:v>夏文新</x:v>
      </x:c>
      <x:c r="V2150" s="12" t="str">
        <x:v>4号车</x:v>
      </x:c>
      <x:c r="W2150" s="12" t="str">
        <x:v>秒级预测</x:v>
      </x:c>
      <x:c r="X2150" s="12" t="str">
        <x:v>基于路线秒级参数；如录入实测或手动采用秒，预计到达时间可随公式更新</x:v>
      </x:c>
    </x:row>
    <x:row r="2151">
      <x:c r="A2151" s="12" t="str">
        <x:v>S0186-06</x:v>
      </x:c>
      <x:c r="B2151" s="12" t="str">
        <x:v>S0186</x:v>
      </x:c>
      <x:c r="C2151" s="12" t="str">
        <x:v>周末/节假日</x:v>
      </x:c>
      <x:c r="D2151" s="12" t="str">
        <x:v>环线3路</x:v>
      </x:c>
      <x:c r="E2151" s="12" t="str">
        <x:v>第二班</x:v>
      </x:c>
      <x:c r="F2151" s="12" t="n">
        <x:v>7</x:v>
      </x:c>
      <x:c r="G2151" s="12" t="str">
        <x:v>16:50</x:v>
      </x:c>
      <x:c r="H2151" s="12" t="n">
        <x:v>1010</x:v>
      </x:c>
      <x:c r="I2151" s="12" t="str">
        <x:v>高超楼（系统工程学院旁）</x:v>
      </x:c>
      <x:c r="J2151" s="12" t="str">
        <x:v>高超楼发车</x:v>
      </x:c>
      <x:c r="K2151" s="12" t="str">
        <x:v>HX3_GAOCHAO</x:v>
      </x:c>
      <x:c r="L2151" s="12" t="n">
        <x:v>6</x:v>
      </x:c>
      <x:c r="M2151" s="12" t="str">
        <x:v>HX3_GAOCHAO|6</x:v>
      </x:c>
      <x:c r="N2151" s="12" t="str">
        <x:v>研究生宿舍楼</x:v>
      </x:c>
      <x:c r="O2151" s="12" t="n">
        <x:f>IFERROR(INDEX('秒级路线参数_可调整'!$O:$O,MATCH(M2151,'秒级路线参数_可调整'!$A:$A,0)),"")</x:f>
        <x:v>315</x:v>
      </x:c>
      <x:c r="P2151" s="12" t="n">
        <x:f>IF(O2151="","",O2151/86400)</x:f>
        <x:v>0.0036458333333333334</x:v>
      </x:c>
      <x:c r="Q2151" s="12" t="n">
        <x:f>IF(O2151="","",(H2151*60+O2151)/86400)</x:f>
        <x:v>0.7050347222222222</x:v>
      </x:c>
      <x:c r="R2151" s="12" t="str">
        <x:f>IF(Q2151="","",TEXT(Q2151,"hh:mm:ss"))</x:f>
        <x:v>16:55:15</x:v>
      </x:c>
      <x:c r="S2151" s="12" t="str">
        <x:v>否</x:v>
      </x:c>
      <x:c r="T2151" s="12" t="str">
        <x:v>否</x:v>
      </x:c>
      <x:c r="U2151" s="12" t="str">
        <x:v>夏文新</x:v>
      </x:c>
      <x:c r="V2151" s="12" t="str">
        <x:v>4号车</x:v>
      </x:c>
      <x:c r="W2151" s="12" t="str">
        <x:v>秒级预测</x:v>
      </x:c>
      <x:c r="X2151" s="12" t="str">
        <x:v>基于路线秒级参数；如录入实测或手动采用秒，预计到达时间可随公式更新</x:v>
      </x:c>
    </x:row>
    <x:row r="2152">
      <x:c r="A2152" s="12" t="str">
        <x:v>S0186-07</x:v>
      </x:c>
      <x:c r="B2152" s="12" t="str">
        <x:v>S0186</x:v>
      </x:c>
      <x:c r="C2152" s="12" t="str">
        <x:v>周末/节假日</x:v>
      </x:c>
      <x:c r="D2152" s="12" t="str">
        <x:v>环线3路</x:v>
      </x:c>
      <x:c r="E2152" s="12" t="str">
        <x:v>第二班</x:v>
      </x:c>
      <x:c r="F2152" s="12" t="n">
        <x:v>7</x:v>
      </x:c>
      <x:c r="G2152" s="12" t="str">
        <x:v>16:50</x:v>
      </x:c>
      <x:c r="H2152" s="12" t="n">
        <x:v>1010</x:v>
      </x:c>
      <x:c r="I2152" s="12" t="str">
        <x:v>高超楼（系统工程学院旁）</x:v>
      </x:c>
      <x:c r="J2152" s="12" t="str">
        <x:v>高超楼发车</x:v>
      </x:c>
      <x:c r="K2152" s="12" t="str">
        <x:v>HX3_GAOCHAO</x:v>
      </x:c>
      <x:c r="L2152" s="12" t="n">
        <x:v>7</x:v>
      </x:c>
      <x:c r="M2152" s="12" t="str">
        <x:v>HX3_GAOCHAO|7</x:v>
      </x:c>
      <x:c r="N2152" s="12" t="str">
        <x:v>一食堂</x:v>
      </x:c>
      <x:c r="O2152" s="12" t="n">
        <x:f>IFERROR(INDEX('秒级路线参数_可调整'!$O:$O,MATCH(M2152,'秒级路线参数_可调整'!$A:$A,0)),"")</x:f>
        <x:v>420</x:v>
      </x:c>
      <x:c r="P2152" s="12" t="n">
        <x:f>IF(O2152="","",O2152/86400)</x:f>
        <x:v>0.004861111111111111</x:v>
      </x:c>
      <x:c r="Q2152" s="12" t="n">
        <x:f>IF(O2152="","",(H2152*60+O2152)/86400)</x:f>
        <x:v>0.70625</x:v>
      </x:c>
      <x:c r="R2152" s="12" t="str">
        <x:f>IF(Q2152="","",TEXT(Q2152,"hh:mm:ss"))</x:f>
        <x:v>16:57:00</x:v>
      </x:c>
      <x:c r="S2152" s="12" t="str">
        <x:v>否</x:v>
      </x:c>
      <x:c r="T2152" s="12" t="str">
        <x:v>否</x:v>
      </x:c>
      <x:c r="U2152" s="12" t="str">
        <x:v>夏文新</x:v>
      </x:c>
      <x:c r="V2152" s="12" t="str">
        <x:v>4号车</x:v>
      </x:c>
      <x:c r="W2152" s="12" t="str">
        <x:v>秒级预测</x:v>
      </x:c>
      <x:c r="X2152" s="12" t="str">
        <x:v>基于路线秒级参数；如录入实测或手动采用秒，预计到达时间可随公式更新</x:v>
      </x:c>
    </x:row>
    <x:row r="2153">
      <x:c r="A2153" s="12" t="str">
        <x:v>S0186-08</x:v>
      </x:c>
      <x:c r="B2153" s="12" t="str">
        <x:v>S0186</x:v>
      </x:c>
      <x:c r="C2153" s="12" t="str">
        <x:v>周末/节假日</x:v>
      </x:c>
      <x:c r="D2153" s="12" t="str">
        <x:v>环线3路</x:v>
      </x:c>
      <x:c r="E2153" s="12" t="str">
        <x:v>第二班</x:v>
      </x:c>
      <x:c r="F2153" s="12" t="n">
        <x:v>7</x:v>
      </x:c>
      <x:c r="G2153" s="12" t="str">
        <x:v>16:50</x:v>
      </x:c>
      <x:c r="H2153" s="12" t="n">
        <x:v>1010</x:v>
      </x:c>
      <x:c r="I2153" s="12" t="str">
        <x:v>高超楼（系统工程学院旁）</x:v>
      </x:c>
      <x:c r="J2153" s="12" t="str">
        <x:v>高超楼发车</x:v>
      </x:c>
      <x:c r="K2153" s="12" t="str">
        <x:v>HX3_GAOCHAO</x:v>
      </x:c>
      <x:c r="L2153" s="12" t="n">
        <x:v>8</x:v>
      </x:c>
      <x:c r="M2153" s="12" t="str">
        <x:v>HX3_GAOCHAO|8</x:v>
      </x:c>
      <x:c r="N2153" s="12" t="str">
        <x:v>2号宿舍楼</x:v>
      </x:c>
      <x:c r="O2153" s="12" t="n">
        <x:f>IFERROR(INDEX('秒级路线参数_可调整'!$O:$O,MATCH(M2153,'秒级路线参数_可调整'!$A:$A,0)),"")</x:f>
        <x:v>480</x:v>
      </x:c>
      <x:c r="P2153" s="12" t="n">
        <x:f>IF(O2153="","",O2153/86400)</x:f>
        <x:v>0.005555555555555556</x:v>
      </x:c>
      <x:c r="Q2153" s="12" t="n">
        <x:f>IF(O2153="","",(H2153*60+O2153)/86400)</x:f>
        <x:v>0.7069444444444445</x:v>
      </x:c>
      <x:c r="R2153" s="12" t="str">
        <x:f>IF(Q2153="","",TEXT(Q2153,"hh:mm:ss"))</x:f>
        <x:v>16:58:00</x:v>
      </x:c>
      <x:c r="S2153" s="12" t="str">
        <x:v>否</x:v>
      </x:c>
      <x:c r="T2153" s="12" t="str">
        <x:v>否</x:v>
      </x:c>
      <x:c r="U2153" s="12" t="str">
        <x:v>夏文新</x:v>
      </x:c>
      <x:c r="V2153" s="12" t="str">
        <x:v>4号车</x:v>
      </x:c>
      <x:c r="W2153" s="12" t="str">
        <x:v>秒级预测</x:v>
      </x:c>
      <x:c r="X2153" s="12" t="str">
        <x:v>基于路线秒级参数；如录入实测或手动采用秒，预计到达时间可随公式更新</x:v>
      </x:c>
    </x:row>
    <x:row r="2154">
      <x:c r="A2154" s="12" t="str">
        <x:v>S0186-09</x:v>
      </x:c>
      <x:c r="B2154" s="12" t="str">
        <x:v>S0186</x:v>
      </x:c>
      <x:c r="C2154" s="12" t="str">
        <x:v>周末/节假日</x:v>
      </x:c>
      <x:c r="D2154" s="12" t="str">
        <x:v>环线3路</x:v>
      </x:c>
      <x:c r="E2154" s="12" t="str">
        <x:v>第二班</x:v>
      </x:c>
      <x:c r="F2154" s="12" t="n">
        <x:v>7</x:v>
      </x:c>
      <x:c r="G2154" s="12" t="str">
        <x:v>16:50</x:v>
      </x:c>
      <x:c r="H2154" s="12" t="n">
        <x:v>1010</x:v>
      </x:c>
      <x:c r="I2154" s="12" t="str">
        <x:v>高超楼（系统工程学院旁）</x:v>
      </x:c>
      <x:c r="J2154" s="12" t="str">
        <x:v>高超楼发车</x:v>
      </x:c>
      <x:c r="K2154" s="12" t="str">
        <x:v>HX3_GAOCHAO</x:v>
      </x:c>
      <x:c r="L2154" s="12" t="n">
        <x:v>9</x:v>
      </x:c>
      <x:c r="M2154" s="12" t="str">
        <x:v>HX3_GAOCHAO|9</x:v>
      </x:c>
      <x:c r="N2154" s="12" t="str">
        <x:v>军体活动中心</x:v>
      </x:c>
      <x:c r="O2154" s="12" t="n">
        <x:f>IFERROR(INDEX('秒级路线参数_可调整'!$O:$O,MATCH(M2154,'秒级路线参数_可调整'!$A:$A,0)),"")</x:f>
        <x:v>535</x:v>
      </x:c>
      <x:c r="P2154" s="12" t="n">
        <x:f>IF(O2154="","",O2154/86400)</x:f>
        <x:v>0.00619212962962963</x:v>
      </x:c>
      <x:c r="Q2154" s="12" t="n">
        <x:f>IF(O2154="","",(H2154*60+O2154)/86400)</x:f>
        <x:v>0.7075810185185185</x:v>
      </x:c>
      <x:c r="R2154" s="12" t="str">
        <x:f>IF(Q2154="","",TEXT(Q2154,"hh:mm:ss"))</x:f>
        <x:v>16:58:55</x:v>
      </x:c>
      <x:c r="S2154" s="12" t="str">
        <x:v>否</x:v>
      </x:c>
      <x:c r="T2154" s="12" t="str">
        <x:v>否</x:v>
      </x:c>
      <x:c r="U2154" s="12" t="str">
        <x:v>夏文新</x:v>
      </x:c>
      <x:c r="V2154" s="12" t="str">
        <x:v>4号车</x:v>
      </x:c>
      <x:c r="W2154" s="12" t="str">
        <x:v>秒级预测</x:v>
      </x:c>
      <x:c r="X2154" s="12" t="str">
        <x:v>基于路线秒级参数；如录入实测或手动采用秒，预计到达时间可随公式更新</x:v>
      </x:c>
    </x:row>
    <x:row r="2155">
      <x:c r="A2155" s="12" t="str">
        <x:v>S0186-10</x:v>
      </x:c>
      <x:c r="B2155" s="12" t="str">
        <x:v>S0186</x:v>
      </x:c>
      <x:c r="C2155" s="12" t="str">
        <x:v>周末/节假日</x:v>
      </x:c>
      <x:c r="D2155" s="12" t="str">
        <x:v>环线3路</x:v>
      </x:c>
      <x:c r="E2155" s="12" t="str">
        <x:v>第二班</x:v>
      </x:c>
      <x:c r="F2155" s="12" t="n">
        <x:v>7</x:v>
      </x:c>
      <x:c r="G2155" s="12" t="str">
        <x:v>16:50</x:v>
      </x:c>
      <x:c r="H2155" s="12" t="n">
        <x:v>1010</x:v>
      </x:c>
      <x:c r="I2155" s="12" t="str">
        <x:v>高超楼（系统工程学院旁）</x:v>
      </x:c>
      <x:c r="J2155" s="12" t="str">
        <x:v>高超楼发车</x:v>
      </x:c>
      <x:c r="K2155" s="12" t="str">
        <x:v>HX3_GAOCHAO</x:v>
      </x:c>
      <x:c r="L2155" s="12" t="n">
        <x:v>10</x:v>
      </x:c>
      <x:c r="M2155" s="12" t="str">
        <x:v>HX3_GAOCHAO|10</x:v>
      </x:c>
      <x:c r="N2155" s="12" t="str">
        <x:v>教勤连</x:v>
      </x:c>
      <x:c r="O2155" s="12" t="n">
        <x:f>IFERROR(INDEX('秒级路线参数_可调整'!$O:$O,MATCH(M2155,'秒级路线参数_可调整'!$A:$A,0)),"")</x:f>
        <x:v>715</x:v>
      </x:c>
      <x:c r="P2155" s="12" t="n">
        <x:f>IF(O2155="","",O2155/86400)</x:f>
        <x:v>0.008275462962962964</x:v>
      </x:c>
      <x:c r="Q2155" s="12" t="n">
        <x:f>IF(O2155="","",(H2155*60+O2155)/86400)</x:f>
        <x:v>0.7096643518518518</x:v>
      </x:c>
      <x:c r="R2155" s="12" t="str">
        <x:f>IF(Q2155="","",TEXT(Q2155,"hh:mm:ss"))</x:f>
        <x:v>17:01:55</x:v>
      </x:c>
      <x:c r="S2155" s="12" t="str">
        <x:v>否</x:v>
      </x:c>
      <x:c r="T2155" s="12" t="str">
        <x:v>否</x:v>
      </x:c>
      <x:c r="U2155" s="12" t="str">
        <x:v>夏文新</x:v>
      </x:c>
      <x:c r="V2155" s="12" t="str">
        <x:v>4号车</x:v>
      </x:c>
      <x:c r="W2155" s="12" t="str">
        <x:v>秒级预测</x:v>
      </x:c>
      <x:c r="X2155" s="12" t="str">
        <x:v>基于路线秒级参数；如录入实测或手动采用秒，预计到达时间可随公式更新</x:v>
      </x:c>
    </x:row>
    <x:row r="2156">
      <x:c r="A2156" s="12" t="str">
        <x:v>S0186-11</x:v>
      </x:c>
      <x:c r="B2156" s="12" t="str">
        <x:v>S0186</x:v>
      </x:c>
      <x:c r="C2156" s="12" t="str">
        <x:v>周末/节假日</x:v>
      </x:c>
      <x:c r="D2156" s="12" t="str">
        <x:v>环线3路</x:v>
      </x:c>
      <x:c r="E2156" s="12" t="str">
        <x:v>第二班</x:v>
      </x:c>
      <x:c r="F2156" s="12" t="n">
        <x:v>7</x:v>
      </x:c>
      <x:c r="G2156" s="12" t="str">
        <x:v>16:50</x:v>
      </x:c>
      <x:c r="H2156" s="12" t="n">
        <x:v>1010</x:v>
      </x:c>
      <x:c r="I2156" s="12" t="str">
        <x:v>高超楼（系统工程学院旁）</x:v>
      </x:c>
      <x:c r="J2156" s="12" t="str">
        <x:v>高超楼发车</x:v>
      </x:c>
      <x:c r="K2156" s="12" t="str">
        <x:v>HX3_GAOCHAO</x:v>
      </x:c>
      <x:c r="L2156" s="12" t="n">
        <x:v>11</x:v>
      </x:c>
      <x:c r="M2156" s="12" t="str">
        <x:v>HX3_GAOCHAO|11</x:v>
      </x:c>
      <x:c r="N2156" s="12" t="str">
        <x:v>激光所</x:v>
      </x:c>
      <x:c r="O2156" s="12" t="n">
        <x:f>IFERROR(INDEX('秒级路线参数_可调整'!$O:$O,MATCH(M2156,'秒级路线参数_可调整'!$A:$A,0)),"")</x:f>
        <x:v>775</x:v>
      </x:c>
      <x:c r="P2156" s="12" t="n">
        <x:f>IF(O2156="","",O2156/86400)</x:f>
        <x:v>0.008969907407407407</x:v>
      </x:c>
      <x:c r="Q2156" s="12" t="n">
        <x:f>IF(O2156="","",(H2156*60+O2156)/86400)</x:f>
        <x:v>0.7103587962962963</x:v>
      </x:c>
      <x:c r="R2156" s="12" t="str">
        <x:f>IF(Q2156="","",TEXT(Q2156,"hh:mm:ss"))</x:f>
        <x:v>17:02:55</x:v>
      </x:c>
      <x:c r="S2156" s="12" t="str">
        <x:v>否</x:v>
      </x:c>
      <x:c r="T2156" s="12" t="str">
        <x:v>否</x:v>
      </x:c>
      <x:c r="U2156" s="12" t="str">
        <x:v>夏文新</x:v>
      </x:c>
      <x:c r="V2156" s="12" t="str">
        <x:v>4号车</x:v>
      </x:c>
      <x:c r="W2156" s="12" t="str">
        <x:v>秒级预测</x:v>
      </x:c>
      <x:c r="X2156" s="12" t="str">
        <x:v>基于路线秒级参数；如录入实测或手动采用秒，预计到达时间可随公式更新</x:v>
      </x:c>
    </x:row>
    <x:row r="2157">
      <x:c r="A2157" s="12" t="str">
        <x:v>S0186-12</x:v>
      </x:c>
      <x:c r="B2157" s="12" t="str">
        <x:v>S0186</x:v>
      </x:c>
      <x:c r="C2157" s="12" t="str">
        <x:v>周末/节假日</x:v>
      </x:c>
      <x:c r="D2157" s="12" t="str">
        <x:v>环线3路</x:v>
      </x:c>
      <x:c r="E2157" s="12" t="str">
        <x:v>第二班</x:v>
      </x:c>
      <x:c r="F2157" s="12" t="n">
        <x:v>7</x:v>
      </x:c>
      <x:c r="G2157" s="12" t="str">
        <x:v>16:50</x:v>
      </x:c>
      <x:c r="H2157" s="12" t="n">
        <x:v>1010</x:v>
      </x:c>
      <x:c r="I2157" s="12" t="str">
        <x:v>高超楼（系统工程学院旁）</x:v>
      </x:c>
      <x:c r="J2157" s="12" t="str">
        <x:v>高超楼发车</x:v>
      </x:c>
      <x:c r="K2157" s="12" t="str">
        <x:v>HX3_GAOCHAO</x:v>
      </x:c>
      <x:c r="L2157" s="12" t="n">
        <x:v>12</x:v>
      </x:c>
      <x:c r="M2157" s="12" t="str">
        <x:v>HX3_GAOCHAO|12</x:v>
      </x:c>
      <x:c r="N2157" s="12" t="str">
        <x:v>高超楼</x:v>
      </x:c>
      <x:c r="O2157" s="12" t="n">
        <x:f>IFERROR(INDEX('秒级路线参数_可调整'!$O:$O,MATCH(M2157,'秒级路线参数_可调整'!$A:$A,0)),"")</x:f>
        <x:v>840</x:v>
      </x:c>
      <x:c r="P2157" s="12" t="n">
        <x:f>IF(O2157="","",O2157/86400)</x:f>
        <x:v>0.009722222222222222</x:v>
      </x:c>
      <x:c r="Q2157" s="12" t="n">
        <x:f>IF(O2157="","",(H2157*60+O2157)/86400)</x:f>
        <x:v>0.7111111111111111</x:v>
      </x:c>
      <x:c r="R2157" s="12" t="str">
        <x:f>IF(Q2157="","",TEXT(Q2157,"hh:mm:ss"))</x:f>
        <x:v>17:04:00</x:v>
      </x:c>
      <x:c r="S2157" s="12" t="str">
        <x:v>否</x:v>
      </x:c>
      <x:c r="T2157" s="12" t="str">
        <x:v>是</x:v>
      </x:c>
      <x:c r="U2157" s="12" t="str">
        <x:v>夏文新</x:v>
      </x:c>
      <x:c r="V2157" s="12" t="str">
        <x:v>4号车</x:v>
      </x:c>
      <x:c r="W2157" s="12" t="str">
        <x:v>秒级预测</x:v>
      </x:c>
      <x:c r="X2157" s="12" t="str">
        <x:v>基于路线秒级参数；如录入实测或手动采用秒，预计到达时间可随公式更新</x:v>
      </x:c>
    </x:row>
    <x:row r="2158">
      <x:c r="A2158" s="12" t="str">
        <x:v>S0187-01</x:v>
      </x:c>
      <x:c r="B2158" s="12" t="str">
        <x:v>S0187</x:v>
      </x:c>
      <x:c r="C2158" s="12" t="str">
        <x:v>周末/节假日</x:v>
      </x:c>
      <x:c r="D2158" s="12" t="str">
        <x:v>环线3路</x:v>
      </x:c>
      <x:c r="E2158" s="12" t="str">
        <x:v>第二班</x:v>
      </x:c>
      <x:c r="F2158" s="12" t="n">
        <x:v>8</x:v>
      </x:c>
      <x:c r="G2158" s="12" t="str">
        <x:v>17:20</x:v>
      </x:c>
      <x:c r="H2158" s="12" t="n">
        <x:v>1040</x:v>
      </x:c>
      <x:c r="I2158" s="12" t="str">
        <x:v>高超楼（系统工程学院旁）</x:v>
      </x:c>
      <x:c r="J2158" s="12" t="str">
        <x:v>高超楼发车</x:v>
      </x:c>
      <x:c r="K2158" s="12" t="str">
        <x:v>HX3_GAOCHAO</x:v>
      </x:c>
      <x:c r="L2158" s="12" t="n">
        <x:v>1</x:v>
      </x:c>
      <x:c r="M2158" s="12" t="str">
        <x:v>HX3_GAOCHAO|1</x:v>
      </x:c>
      <x:c r="N2158" s="12" t="str">
        <x:v>高超楼</x:v>
      </x:c>
      <x:c r="O2158" s="12" t="n">
        <x:f>IFERROR(INDEX('秒级路线参数_可调整'!$O:$O,MATCH(M2158,'秒级路线参数_可调整'!$A:$A,0)),"")</x:f>
        <x:v>0</x:v>
      </x:c>
      <x:c r="P2158" s="12" t="str">
        <x:f>IF(O2158="","",O2158/86400)</x:f>
      </x:c>
      <x:c r="Q2158" s="12" t="str">
        <x:f>IF(O2158="","",(H2158*60+O2158)/86400)</x:f>
      </x:c>
      <x:c r="R2158" s="12" t="str">
        <x:f>IF(Q2158="","",TEXT(Q2158,"hh:mm:ss"))</x:f>
      </x:c>
      <x:c r="S2158" s="12" t="str">
        <x:v>是</x:v>
      </x:c>
      <x:c r="T2158" s="12" t="str">
        <x:v>否</x:v>
      </x:c>
      <x:c r="U2158" s="12" t="str">
        <x:v>夏文新</x:v>
      </x:c>
      <x:c r="V2158" s="12" t="str">
        <x:v>4号车</x:v>
      </x:c>
      <x:c r="W2158" s="12" t="str">
        <x:v>秒级预测</x:v>
      </x:c>
      <x:c r="X2158" s="12" t="str">
        <x:v>基于路线秒级参数；如录入实测或手动采用秒，预计到达时间可随公式更新</x:v>
      </x:c>
    </x:row>
    <x:row r="2159">
      <x:c r="A2159" s="12" t="str">
        <x:v>S0187-02</x:v>
      </x:c>
      <x:c r="B2159" s="12" t="str">
        <x:v>S0187</x:v>
      </x:c>
      <x:c r="C2159" s="12" t="str">
        <x:v>周末/节假日</x:v>
      </x:c>
      <x:c r="D2159" s="12" t="str">
        <x:v>环线3路</x:v>
      </x:c>
      <x:c r="E2159" s="12" t="str">
        <x:v>第二班</x:v>
      </x:c>
      <x:c r="F2159" s="12" t="n">
        <x:v>8</x:v>
      </x:c>
      <x:c r="G2159" s="12" t="str">
        <x:v>17:20</x:v>
      </x:c>
      <x:c r="H2159" s="12" t="n">
        <x:v>1040</x:v>
      </x:c>
      <x:c r="I2159" s="12" t="str">
        <x:v>高超楼（系统工程学院旁）</x:v>
      </x:c>
      <x:c r="J2159" s="12" t="str">
        <x:v>高超楼发车</x:v>
      </x:c>
      <x:c r="K2159" s="12" t="str">
        <x:v>HX3_GAOCHAO</x:v>
      </x:c>
      <x:c r="L2159" s="12" t="n">
        <x:v>2</x:v>
      </x:c>
      <x:c r="M2159" s="12" t="str">
        <x:v>HX3_GAOCHAO|2</x:v>
      </x:c>
      <x:c r="N2159" s="12" t="str">
        <x:v>理学院</x:v>
      </x:c>
      <x:c r="O2159" s="12" t="n">
        <x:f>IFERROR(INDEX('秒级路线参数_可调整'!$O:$O,MATCH(M2159,'秒级路线参数_可调整'!$A:$A,0)),"")</x:f>
        <x:v>65</x:v>
      </x:c>
      <x:c r="P2159" s="12" t="n">
        <x:f>IF(O2159="","",O2159/86400)</x:f>
        <x:v>0.0007523148148148148</x:v>
      </x:c>
      <x:c r="Q2159" s="12" t="n">
        <x:f>IF(O2159="","",(H2159*60+O2159)/86400)</x:f>
        <x:v>0.7229745370370371</x:v>
      </x:c>
      <x:c r="R2159" s="12" t="str">
        <x:f>IF(Q2159="","",TEXT(Q2159,"hh:mm:ss"))</x:f>
        <x:v>17:21:05</x:v>
      </x:c>
      <x:c r="S2159" s="12" t="str">
        <x:v>否</x:v>
      </x:c>
      <x:c r="T2159" s="12" t="str">
        <x:v>否</x:v>
      </x:c>
      <x:c r="U2159" s="12" t="str">
        <x:v>夏文新</x:v>
      </x:c>
      <x:c r="V2159" s="12" t="str">
        <x:v>4号车</x:v>
      </x:c>
      <x:c r="W2159" s="12" t="str">
        <x:v>秒级预测</x:v>
      </x:c>
      <x:c r="X2159" s="12" t="str">
        <x:v>基于路线秒级参数；如录入实测或手动采用秒，预计到达时间可随公式更新</x:v>
      </x:c>
    </x:row>
    <x:row r="2160">
      <x:c r="A2160" s="12" t="str">
        <x:v>S0187-03</x:v>
      </x:c>
      <x:c r="B2160" s="12" t="str">
        <x:v>S0187</x:v>
      </x:c>
      <x:c r="C2160" s="12" t="str">
        <x:v>周末/节假日</x:v>
      </x:c>
      <x:c r="D2160" s="12" t="str">
        <x:v>环线3路</x:v>
      </x:c>
      <x:c r="E2160" s="12" t="str">
        <x:v>第二班</x:v>
      </x:c>
      <x:c r="F2160" s="12" t="n">
        <x:v>8</x:v>
      </x:c>
      <x:c r="G2160" s="12" t="str">
        <x:v>17:20</x:v>
      </x:c>
      <x:c r="H2160" s="12" t="n">
        <x:v>1040</x:v>
      </x:c>
      <x:c r="I2160" s="12" t="str">
        <x:v>高超楼（系统工程学院旁）</x:v>
      </x:c>
      <x:c r="J2160" s="12" t="str">
        <x:v>高超楼发车</x:v>
      </x:c>
      <x:c r="K2160" s="12" t="str">
        <x:v>HX3_GAOCHAO</x:v>
      </x:c>
      <x:c r="L2160" s="12" t="n">
        <x:v>3</x:v>
      </x:c>
      <x:c r="M2160" s="12" t="str">
        <x:v>HX3_GAOCHAO|3</x:v>
      </x:c>
      <x:c r="N2160" s="12" t="str">
        <x:v>二食堂</x:v>
      </x:c>
      <x:c r="O2160" s="12" t="n">
        <x:f>IFERROR(INDEX('秒级路线参数_可调整'!$O:$O,MATCH(M2160,'秒级路线参数_可调整'!$A:$A,0)),"")</x:f>
        <x:v>120</x:v>
      </x:c>
      <x:c r="P2160" s="12" t="n">
        <x:f>IF(O2160="","",O2160/86400)</x:f>
        <x:v>0.001388888888888889</x:v>
      </x:c>
      <x:c r="Q2160" s="12" t="n">
        <x:f>IF(O2160="","",(H2160*60+O2160)/86400)</x:f>
        <x:v>0.7236111111111111</x:v>
      </x:c>
      <x:c r="R2160" s="12" t="str">
        <x:f>IF(Q2160="","",TEXT(Q2160,"hh:mm:ss"))</x:f>
        <x:v>17:22:00</x:v>
      </x:c>
      <x:c r="S2160" s="12" t="str">
        <x:v>否</x:v>
      </x:c>
      <x:c r="T2160" s="12" t="str">
        <x:v>否</x:v>
      </x:c>
      <x:c r="U2160" s="12" t="str">
        <x:v>夏文新</x:v>
      </x:c>
      <x:c r="V2160" s="12" t="str">
        <x:v>4号车</x:v>
      </x:c>
      <x:c r="W2160" s="12" t="str">
        <x:v>秒级预测</x:v>
      </x:c>
      <x:c r="X2160" s="12" t="str">
        <x:v>基于路线秒级参数；如录入实测或手动采用秒，预计到达时间可随公式更新</x:v>
      </x:c>
    </x:row>
    <x:row r="2161">
      <x:c r="A2161" s="12" t="str">
        <x:v>S0187-04</x:v>
      </x:c>
      <x:c r="B2161" s="12" t="str">
        <x:v>S0187</x:v>
      </x:c>
      <x:c r="C2161" s="12" t="str">
        <x:v>周末/节假日</x:v>
      </x:c>
      <x:c r="D2161" s="12" t="str">
        <x:v>环线3路</x:v>
      </x:c>
      <x:c r="E2161" s="12" t="str">
        <x:v>第二班</x:v>
      </x:c>
      <x:c r="F2161" s="12" t="n">
        <x:v>8</x:v>
      </x:c>
      <x:c r="G2161" s="12" t="str">
        <x:v>17:20</x:v>
      </x:c>
      <x:c r="H2161" s="12" t="n">
        <x:v>1040</x:v>
      </x:c>
      <x:c r="I2161" s="12" t="str">
        <x:v>高超楼（系统工程学院旁）</x:v>
      </x:c>
      <x:c r="J2161" s="12" t="str">
        <x:v>高超楼发车</x:v>
      </x:c>
      <x:c r="K2161" s="12" t="str">
        <x:v>HX3_GAOCHAO</x:v>
      </x:c>
      <x:c r="L2161" s="12" t="n">
        <x:v>4</x:v>
      </x:c>
      <x:c r="M2161" s="12" t="str">
        <x:v>HX3_GAOCHAO|4</x:v>
      </x:c>
      <x:c r="N2161" s="12" t="str">
        <x:v>图书馆</x:v>
      </x:c>
      <x:c r="O2161" s="12" t="n">
        <x:f>IFERROR(INDEX('秒级路线参数_可调整'!$O:$O,MATCH(M2161,'秒级路线参数_可调整'!$A:$A,0)),"")</x:f>
        <x:v>165</x:v>
      </x:c>
      <x:c r="P2161" s="12" t="n">
        <x:f>IF(O2161="","",O2161/86400)</x:f>
        <x:v>0.0019097222222222222</x:v>
      </x:c>
      <x:c r="Q2161" s="12" t="n">
        <x:f>IF(O2161="","",(H2161*60+O2161)/86400)</x:f>
        <x:v>0.7241319444444444</x:v>
      </x:c>
      <x:c r="R2161" s="12" t="str">
        <x:f>IF(Q2161="","",TEXT(Q2161,"hh:mm:ss"))</x:f>
        <x:v>17:22:45</x:v>
      </x:c>
      <x:c r="S2161" s="12" t="str">
        <x:v>否</x:v>
      </x:c>
      <x:c r="T2161" s="12" t="str">
        <x:v>否</x:v>
      </x:c>
      <x:c r="U2161" s="12" t="str">
        <x:v>夏文新</x:v>
      </x:c>
      <x:c r="V2161" s="12" t="str">
        <x:v>4号车</x:v>
      </x:c>
      <x:c r="W2161" s="12" t="str">
        <x:v>秒级预测</x:v>
      </x:c>
      <x:c r="X2161" s="12" t="str">
        <x:v>基于路线秒级参数；如录入实测或手动采用秒，预计到达时间可随公式更新</x:v>
      </x:c>
    </x:row>
    <x:row r="2162">
      <x:c r="A2162" s="12" t="str">
        <x:v>S0187-05</x:v>
      </x:c>
      <x:c r="B2162" s="12" t="str">
        <x:v>S0187</x:v>
      </x:c>
      <x:c r="C2162" s="12" t="str">
        <x:v>周末/节假日</x:v>
      </x:c>
      <x:c r="D2162" s="12" t="str">
        <x:v>环线3路</x:v>
      </x:c>
      <x:c r="E2162" s="12" t="str">
        <x:v>第二班</x:v>
      </x:c>
      <x:c r="F2162" s="12" t="n">
        <x:v>8</x:v>
      </x:c>
      <x:c r="G2162" s="12" t="str">
        <x:v>17:20</x:v>
      </x:c>
      <x:c r="H2162" s="12" t="n">
        <x:v>1040</x:v>
      </x:c>
      <x:c r="I2162" s="12" t="str">
        <x:v>高超楼（系统工程学院旁）</x:v>
      </x:c>
      <x:c r="J2162" s="12" t="str">
        <x:v>高超楼发车</x:v>
      </x:c>
      <x:c r="K2162" s="12" t="str">
        <x:v>HX3_GAOCHAO</x:v>
      </x:c>
      <x:c r="L2162" s="12" t="n">
        <x:v>5</x:v>
      </x:c>
      <x:c r="M2162" s="12" t="str">
        <x:v>HX3_GAOCHAO|5</x:v>
      </x:c>
      <x:c r="N2162" s="12" t="str">
        <x:v>305教学楼</x:v>
      </x:c>
      <x:c r="O2162" s="12" t="n">
        <x:f>IFERROR(INDEX('秒级路线参数_可调整'!$O:$O,MATCH(M2162,'秒级路线参数_可调整'!$A:$A,0)),"")</x:f>
        <x:v>250</x:v>
      </x:c>
      <x:c r="P2162" s="12" t="n">
        <x:f>IF(O2162="","",O2162/86400)</x:f>
        <x:v>0.0028935185185185184</x:v>
      </x:c>
      <x:c r="Q2162" s="12" t="n">
        <x:f>IF(O2162="","",(H2162*60+O2162)/86400)</x:f>
        <x:v>0.7251157407407407</x:v>
      </x:c>
      <x:c r="R2162" s="12" t="str">
        <x:f>IF(Q2162="","",TEXT(Q2162,"hh:mm:ss"))</x:f>
        <x:v>17:24:10</x:v>
      </x:c>
      <x:c r="S2162" s="12" t="str">
        <x:v>否</x:v>
      </x:c>
      <x:c r="T2162" s="12" t="str">
        <x:v>否</x:v>
      </x:c>
      <x:c r="U2162" s="12" t="str">
        <x:v>夏文新</x:v>
      </x:c>
      <x:c r="V2162" s="12" t="str">
        <x:v>4号车</x:v>
      </x:c>
      <x:c r="W2162" s="12" t="str">
        <x:v>秒级预测</x:v>
      </x:c>
      <x:c r="X2162" s="12" t="str">
        <x:v>基于路线秒级参数；如录入实测或手动采用秒，预计到达时间可随公式更新</x:v>
      </x:c>
    </x:row>
    <x:row r="2163">
      <x:c r="A2163" s="12" t="str">
        <x:v>S0187-06</x:v>
      </x:c>
      <x:c r="B2163" s="12" t="str">
        <x:v>S0187</x:v>
      </x:c>
      <x:c r="C2163" s="12" t="str">
        <x:v>周末/节假日</x:v>
      </x:c>
      <x:c r="D2163" s="12" t="str">
        <x:v>环线3路</x:v>
      </x:c>
      <x:c r="E2163" s="12" t="str">
        <x:v>第二班</x:v>
      </x:c>
      <x:c r="F2163" s="12" t="n">
        <x:v>8</x:v>
      </x:c>
      <x:c r="G2163" s="12" t="str">
        <x:v>17:20</x:v>
      </x:c>
      <x:c r="H2163" s="12" t="n">
        <x:v>1040</x:v>
      </x:c>
      <x:c r="I2163" s="12" t="str">
        <x:v>高超楼（系统工程学院旁）</x:v>
      </x:c>
      <x:c r="J2163" s="12" t="str">
        <x:v>高超楼发车</x:v>
      </x:c>
      <x:c r="K2163" s="12" t="str">
        <x:v>HX3_GAOCHAO</x:v>
      </x:c>
      <x:c r="L2163" s="12" t="n">
        <x:v>6</x:v>
      </x:c>
      <x:c r="M2163" s="12" t="str">
        <x:v>HX3_GAOCHAO|6</x:v>
      </x:c>
      <x:c r="N2163" s="12" t="str">
        <x:v>研究生宿舍楼</x:v>
      </x:c>
      <x:c r="O2163" s="12" t="n">
        <x:f>IFERROR(INDEX('秒级路线参数_可调整'!$O:$O,MATCH(M2163,'秒级路线参数_可调整'!$A:$A,0)),"")</x:f>
        <x:v>315</x:v>
      </x:c>
      <x:c r="P2163" s="12" t="n">
        <x:f>IF(O2163="","",O2163/86400)</x:f>
        <x:v>0.0036458333333333334</x:v>
      </x:c>
      <x:c r="Q2163" s="12" t="n">
        <x:f>IF(O2163="","",(H2163*60+O2163)/86400)</x:f>
        <x:v>0.7258680555555556</x:v>
      </x:c>
      <x:c r="R2163" s="12" t="str">
        <x:f>IF(Q2163="","",TEXT(Q2163,"hh:mm:ss"))</x:f>
        <x:v>17:25:15</x:v>
      </x:c>
      <x:c r="S2163" s="12" t="str">
        <x:v>否</x:v>
      </x:c>
      <x:c r="T2163" s="12" t="str">
        <x:v>否</x:v>
      </x:c>
      <x:c r="U2163" s="12" t="str">
        <x:v>夏文新</x:v>
      </x:c>
      <x:c r="V2163" s="12" t="str">
        <x:v>4号车</x:v>
      </x:c>
      <x:c r="W2163" s="12" t="str">
        <x:v>秒级预测</x:v>
      </x:c>
      <x:c r="X2163" s="12" t="str">
        <x:v>基于路线秒级参数；如录入实测或手动采用秒，预计到达时间可随公式更新</x:v>
      </x:c>
    </x:row>
    <x:row r="2164">
      <x:c r="A2164" s="12" t="str">
        <x:v>S0187-07</x:v>
      </x:c>
      <x:c r="B2164" s="12" t="str">
        <x:v>S0187</x:v>
      </x:c>
      <x:c r="C2164" s="12" t="str">
        <x:v>周末/节假日</x:v>
      </x:c>
      <x:c r="D2164" s="12" t="str">
        <x:v>环线3路</x:v>
      </x:c>
      <x:c r="E2164" s="12" t="str">
        <x:v>第二班</x:v>
      </x:c>
      <x:c r="F2164" s="12" t="n">
        <x:v>8</x:v>
      </x:c>
      <x:c r="G2164" s="12" t="str">
        <x:v>17:20</x:v>
      </x:c>
      <x:c r="H2164" s="12" t="n">
        <x:v>1040</x:v>
      </x:c>
      <x:c r="I2164" s="12" t="str">
        <x:v>高超楼（系统工程学院旁）</x:v>
      </x:c>
      <x:c r="J2164" s="12" t="str">
        <x:v>高超楼发车</x:v>
      </x:c>
      <x:c r="K2164" s="12" t="str">
        <x:v>HX3_GAOCHAO</x:v>
      </x:c>
      <x:c r="L2164" s="12" t="n">
        <x:v>7</x:v>
      </x:c>
      <x:c r="M2164" s="12" t="str">
        <x:v>HX3_GAOCHAO|7</x:v>
      </x:c>
      <x:c r="N2164" s="12" t="str">
        <x:v>一食堂</x:v>
      </x:c>
      <x:c r="O2164" s="12" t="n">
        <x:f>IFERROR(INDEX('秒级路线参数_可调整'!$O:$O,MATCH(M2164,'秒级路线参数_可调整'!$A:$A,0)),"")</x:f>
        <x:v>420</x:v>
      </x:c>
      <x:c r="P2164" s="12" t="n">
        <x:f>IF(O2164="","",O2164/86400)</x:f>
        <x:v>0.004861111111111111</x:v>
      </x:c>
      <x:c r="Q2164" s="12" t="n">
        <x:f>IF(O2164="","",(H2164*60+O2164)/86400)</x:f>
        <x:v>0.7270833333333333</x:v>
      </x:c>
      <x:c r="R2164" s="12" t="str">
        <x:f>IF(Q2164="","",TEXT(Q2164,"hh:mm:ss"))</x:f>
        <x:v>17:27:00</x:v>
      </x:c>
      <x:c r="S2164" s="12" t="str">
        <x:v>否</x:v>
      </x:c>
      <x:c r="T2164" s="12" t="str">
        <x:v>否</x:v>
      </x:c>
      <x:c r="U2164" s="12" t="str">
        <x:v>夏文新</x:v>
      </x:c>
      <x:c r="V2164" s="12" t="str">
        <x:v>4号车</x:v>
      </x:c>
      <x:c r="W2164" s="12" t="str">
        <x:v>秒级预测</x:v>
      </x:c>
      <x:c r="X2164" s="12" t="str">
        <x:v>基于路线秒级参数；如录入实测或手动采用秒，预计到达时间可随公式更新</x:v>
      </x:c>
    </x:row>
    <x:row r="2165">
      <x:c r="A2165" s="12" t="str">
        <x:v>S0187-08</x:v>
      </x:c>
      <x:c r="B2165" s="12" t="str">
        <x:v>S0187</x:v>
      </x:c>
      <x:c r="C2165" s="12" t="str">
        <x:v>周末/节假日</x:v>
      </x:c>
      <x:c r="D2165" s="12" t="str">
        <x:v>环线3路</x:v>
      </x:c>
      <x:c r="E2165" s="12" t="str">
        <x:v>第二班</x:v>
      </x:c>
      <x:c r="F2165" s="12" t="n">
        <x:v>8</x:v>
      </x:c>
      <x:c r="G2165" s="12" t="str">
        <x:v>17:20</x:v>
      </x:c>
      <x:c r="H2165" s="12" t="n">
        <x:v>1040</x:v>
      </x:c>
      <x:c r="I2165" s="12" t="str">
        <x:v>高超楼（系统工程学院旁）</x:v>
      </x:c>
      <x:c r="J2165" s="12" t="str">
        <x:v>高超楼发车</x:v>
      </x:c>
      <x:c r="K2165" s="12" t="str">
        <x:v>HX3_GAOCHAO</x:v>
      </x:c>
      <x:c r="L2165" s="12" t="n">
        <x:v>8</x:v>
      </x:c>
      <x:c r="M2165" s="12" t="str">
        <x:v>HX3_GAOCHAO|8</x:v>
      </x:c>
      <x:c r="N2165" s="12" t="str">
        <x:v>2号宿舍楼</x:v>
      </x:c>
      <x:c r="O2165" s="12" t="n">
        <x:f>IFERROR(INDEX('秒级路线参数_可调整'!$O:$O,MATCH(M2165,'秒级路线参数_可调整'!$A:$A,0)),"")</x:f>
        <x:v>480</x:v>
      </x:c>
      <x:c r="P2165" s="12" t="n">
        <x:f>IF(O2165="","",O2165/86400)</x:f>
        <x:v>0.005555555555555556</x:v>
      </x:c>
      <x:c r="Q2165" s="12" t="n">
        <x:f>IF(O2165="","",(H2165*60+O2165)/86400)</x:f>
        <x:v>0.7277777777777777</x:v>
      </x:c>
      <x:c r="R2165" s="12" t="str">
        <x:f>IF(Q2165="","",TEXT(Q2165,"hh:mm:ss"))</x:f>
        <x:v>17:28:00</x:v>
      </x:c>
      <x:c r="S2165" s="12" t="str">
        <x:v>否</x:v>
      </x:c>
      <x:c r="T2165" s="12" t="str">
        <x:v>否</x:v>
      </x:c>
      <x:c r="U2165" s="12" t="str">
        <x:v>夏文新</x:v>
      </x:c>
      <x:c r="V2165" s="12" t="str">
        <x:v>4号车</x:v>
      </x:c>
      <x:c r="W2165" s="12" t="str">
        <x:v>秒级预测</x:v>
      </x:c>
      <x:c r="X2165" s="12" t="str">
        <x:v>基于路线秒级参数；如录入实测或手动采用秒，预计到达时间可随公式更新</x:v>
      </x:c>
    </x:row>
    <x:row r="2166">
      <x:c r="A2166" s="12" t="str">
        <x:v>S0187-09</x:v>
      </x:c>
      <x:c r="B2166" s="12" t="str">
        <x:v>S0187</x:v>
      </x:c>
      <x:c r="C2166" s="12" t="str">
        <x:v>周末/节假日</x:v>
      </x:c>
      <x:c r="D2166" s="12" t="str">
        <x:v>环线3路</x:v>
      </x:c>
      <x:c r="E2166" s="12" t="str">
        <x:v>第二班</x:v>
      </x:c>
      <x:c r="F2166" s="12" t="n">
        <x:v>8</x:v>
      </x:c>
      <x:c r="G2166" s="12" t="str">
        <x:v>17:20</x:v>
      </x:c>
      <x:c r="H2166" s="12" t="n">
        <x:v>1040</x:v>
      </x:c>
      <x:c r="I2166" s="12" t="str">
        <x:v>高超楼（系统工程学院旁）</x:v>
      </x:c>
      <x:c r="J2166" s="12" t="str">
        <x:v>高超楼发车</x:v>
      </x:c>
      <x:c r="K2166" s="12" t="str">
        <x:v>HX3_GAOCHAO</x:v>
      </x:c>
      <x:c r="L2166" s="12" t="n">
        <x:v>9</x:v>
      </x:c>
      <x:c r="M2166" s="12" t="str">
        <x:v>HX3_GAOCHAO|9</x:v>
      </x:c>
      <x:c r="N2166" s="12" t="str">
        <x:v>军体活动中心</x:v>
      </x:c>
      <x:c r="O2166" s="12" t="n">
        <x:f>IFERROR(INDEX('秒级路线参数_可调整'!$O:$O,MATCH(M2166,'秒级路线参数_可调整'!$A:$A,0)),"")</x:f>
        <x:v>535</x:v>
      </x:c>
      <x:c r="P2166" s="12" t="n">
        <x:f>IF(O2166="","",O2166/86400)</x:f>
        <x:v>0.00619212962962963</x:v>
      </x:c>
      <x:c r="Q2166" s="12" t="n">
        <x:f>IF(O2166="","",(H2166*60+O2166)/86400)</x:f>
        <x:v>0.7284143518518519</x:v>
      </x:c>
      <x:c r="R2166" s="12" t="str">
        <x:f>IF(Q2166="","",TEXT(Q2166,"hh:mm:ss"))</x:f>
        <x:v>17:28:55</x:v>
      </x:c>
      <x:c r="S2166" s="12" t="str">
        <x:v>否</x:v>
      </x:c>
      <x:c r="T2166" s="12" t="str">
        <x:v>否</x:v>
      </x:c>
      <x:c r="U2166" s="12" t="str">
        <x:v>夏文新</x:v>
      </x:c>
      <x:c r="V2166" s="12" t="str">
        <x:v>4号车</x:v>
      </x:c>
      <x:c r="W2166" s="12" t="str">
        <x:v>秒级预测</x:v>
      </x:c>
      <x:c r="X2166" s="12" t="str">
        <x:v>基于路线秒级参数；如录入实测或手动采用秒，预计到达时间可随公式更新</x:v>
      </x:c>
    </x:row>
    <x:row r="2167">
      <x:c r="A2167" s="12" t="str">
        <x:v>S0187-10</x:v>
      </x:c>
      <x:c r="B2167" s="12" t="str">
        <x:v>S0187</x:v>
      </x:c>
      <x:c r="C2167" s="12" t="str">
        <x:v>周末/节假日</x:v>
      </x:c>
      <x:c r="D2167" s="12" t="str">
        <x:v>环线3路</x:v>
      </x:c>
      <x:c r="E2167" s="12" t="str">
        <x:v>第二班</x:v>
      </x:c>
      <x:c r="F2167" s="12" t="n">
        <x:v>8</x:v>
      </x:c>
      <x:c r="G2167" s="12" t="str">
        <x:v>17:20</x:v>
      </x:c>
      <x:c r="H2167" s="12" t="n">
        <x:v>1040</x:v>
      </x:c>
      <x:c r="I2167" s="12" t="str">
        <x:v>高超楼（系统工程学院旁）</x:v>
      </x:c>
      <x:c r="J2167" s="12" t="str">
        <x:v>高超楼发车</x:v>
      </x:c>
      <x:c r="K2167" s="12" t="str">
        <x:v>HX3_GAOCHAO</x:v>
      </x:c>
      <x:c r="L2167" s="12" t="n">
        <x:v>10</x:v>
      </x:c>
      <x:c r="M2167" s="12" t="str">
        <x:v>HX3_GAOCHAO|10</x:v>
      </x:c>
      <x:c r="N2167" s="12" t="str">
        <x:v>教勤连</x:v>
      </x:c>
      <x:c r="O2167" s="12" t="n">
        <x:f>IFERROR(INDEX('秒级路线参数_可调整'!$O:$O,MATCH(M2167,'秒级路线参数_可调整'!$A:$A,0)),"")</x:f>
        <x:v>715</x:v>
      </x:c>
      <x:c r="P2167" s="12" t="n">
        <x:f>IF(O2167="","",O2167/86400)</x:f>
        <x:v>0.008275462962962964</x:v>
      </x:c>
      <x:c r="Q2167" s="12" t="n">
        <x:f>IF(O2167="","",(H2167*60+O2167)/86400)</x:f>
        <x:v>0.7304976851851852</x:v>
      </x:c>
      <x:c r="R2167" s="12" t="str">
        <x:f>IF(Q2167="","",TEXT(Q2167,"hh:mm:ss"))</x:f>
        <x:v>17:31:55</x:v>
      </x:c>
      <x:c r="S2167" s="12" t="str">
        <x:v>否</x:v>
      </x:c>
      <x:c r="T2167" s="12" t="str">
        <x:v>否</x:v>
      </x:c>
      <x:c r="U2167" s="12" t="str">
        <x:v>夏文新</x:v>
      </x:c>
      <x:c r="V2167" s="12" t="str">
        <x:v>4号车</x:v>
      </x:c>
      <x:c r="W2167" s="12" t="str">
        <x:v>秒级预测</x:v>
      </x:c>
      <x:c r="X2167" s="12" t="str">
        <x:v>基于路线秒级参数；如录入实测或手动采用秒，预计到达时间可随公式更新</x:v>
      </x:c>
    </x:row>
    <x:row r="2168">
      <x:c r="A2168" s="12" t="str">
        <x:v>S0187-11</x:v>
      </x:c>
      <x:c r="B2168" s="12" t="str">
        <x:v>S0187</x:v>
      </x:c>
      <x:c r="C2168" s="12" t="str">
        <x:v>周末/节假日</x:v>
      </x:c>
      <x:c r="D2168" s="12" t="str">
        <x:v>环线3路</x:v>
      </x:c>
      <x:c r="E2168" s="12" t="str">
        <x:v>第二班</x:v>
      </x:c>
      <x:c r="F2168" s="12" t="n">
        <x:v>8</x:v>
      </x:c>
      <x:c r="G2168" s="12" t="str">
        <x:v>17:20</x:v>
      </x:c>
      <x:c r="H2168" s="12" t="n">
        <x:v>1040</x:v>
      </x:c>
      <x:c r="I2168" s="12" t="str">
        <x:v>高超楼（系统工程学院旁）</x:v>
      </x:c>
      <x:c r="J2168" s="12" t="str">
        <x:v>高超楼发车</x:v>
      </x:c>
      <x:c r="K2168" s="12" t="str">
        <x:v>HX3_GAOCHAO</x:v>
      </x:c>
      <x:c r="L2168" s="12" t="n">
        <x:v>11</x:v>
      </x:c>
      <x:c r="M2168" s="12" t="str">
        <x:v>HX3_GAOCHAO|11</x:v>
      </x:c>
      <x:c r="N2168" s="12" t="str">
        <x:v>激光所</x:v>
      </x:c>
      <x:c r="O2168" s="12" t="n">
        <x:f>IFERROR(INDEX('秒级路线参数_可调整'!$O:$O,MATCH(M2168,'秒级路线参数_可调整'!$A:$A,0)),"")</x:f>
        <x:v>775</x:v>
      </x:c>
      <x:c r="P2168" s="12" t="n">
        <x:f>IF(O2168="","",O2168/86400)</x:f>
        <x:v>0.008969907407407407</x:v>
      </x:c>
      <x:c r="Q2168" s="12" t="n">
        <x:f>IF(O2168="","",(H2168*60+O2168)/86400)</x:f>
        <x:v>0.7311921296296297</x:v>
      </x:c>
      <x:c r="R2168" s="12" t="str">
        <x:f>IF(Q2168="","",TEXT(Q2168,"hh:mm:ss"))</x:f>
        <x:v>17:32:55</x:v>
      </x:c>
      <x:c r="S2168" s="12" t="str">
        <x:v>否</x:v>
      </x:c>
      <x:c r="T2168" s="12" t="str">
        <x:v>否</x:v>
      </x:c>
      <x:c r="U2168" s="12" t="str">
        <x:v>夏文新</x:v>
      </x:c>
      <x:c r="V2168" s="12" t="str">
        <x:v>4号车</x:v>
      </x:c>
      <x:c r="W2168" s="12" t="str">
        <x:v>秒级预测</x:v>
      </x:c>
      <x:c r="X2168" s="12" t="str">
        <x:v>基于路线秒级参数；如录入实测或手动采用秒，预计到达时间可随公式更新</x:v>
      </x:c>
    </x:row>
    <x:row r="2169">
      <x:c r="A2169" s="12" t="str">
        <x:v>S0187-12</x:v>
      </x:c>
      <x:c r="B2169" s="12" t="str">
        <x:v>S0187</x:v>
      </x:c>
      <x:c r="C2169" s="12" t="str">
        <x:v>周末/节假日</x:v>
      </x:c>
      <x:c r="D2169" s="12" t="str">
        <x:v>环线3路</x:v>
      </x:c>
      <x:c r="E2169" s="12" t="str">
        <x:v>第二班</x:v>
      </x:c>
      <x:c r="F2169" s="12" t="n">
        <x:v>8</x:v>
      </x:c>
      <x:c r="G2169" s="12" t="str">
        <x:v>17:20</x:v>
      </x:c>
      <x:c r="H2169" s="12" t="n">
        <x:v>1040</x:v>
      </x:c>
      <x:c r="I2169" s="12" t="str">
        <x:v>高超楼（系统工程学院旁）</x:v>
      </x:c>
      <x:c r="J2169" s="12" t="str">
        <x:v>高超楼发车</x:v>
      </x:c>
      <x:c r="K2169" s="12" t="str">
        <x:v>HX3_GAOCHAO</x:v>
      </x:c>
      <x:c r="L2169" s="12" t="n">
        <x:v>12</x:v>
      </x:c>
      <x:c r="M2169" s="12" t="str">
        <x:v>HX3_GAOCHAO|12</x:v>
      </x:c>
      <x:c r="N2169" s="12" t="str">
        <x:v>高超楼</x:v>
      </x:c>
      <x:c r="O2169" s="12" t="n">
        <x:f>IFERROR(INDEX('秒级路线参数_可调整'!$O:$O,MATCH(M2169,'秒级路线参数_可调整'!$A:$A,0)),"")</x:f>
        <x:v>840</x:v>
      </x:c>
      <x:c r="P2169" s="12" t="n">
        <x:f>IF(O2169="","",O2169/86400)</x:f>
        <x:v>0.009722222222222222</x:v>
      </x:c>
      <x:c r="Q2169" s="12" t="n">
        <x:f>IF(O2169="","",(H2169*60+O2169)/86400)</x:f>
        <x:v>0.7319444444444444</x:v>
      </x:c>
      <x:c r="R2169" s="12" t="str">
        <x:f>IF(Q2169="","",TEXT(Q2169,"hh:mm:ss"))</x:f>
        <x:v>17:34:00</x:v>
      </x:c>
      <x:c r="S2169" s="12" t="str">
        <x:v>否</x:v>
      </x:c>
      <x:c r="T2169" s="12" t="str">
        <x:v>是</x:v>
      </x:c>
      <x:c r="U2169" s="12" t="str">
        <x:v>夏文新</x:v>
      </x:c>
      <x:c r="V2169" s="12" t="str">
        <x:v>4号车</x:v>
      </x:c>
      <x:c r="W2169" s="12" t="str">
        <x:v>秒级预测</x:v>
      </x:c>
      <x:c r="X2169" s="12" t="str">
        <x:v>基于路线秒级参数；如录入实测或手动采用秒，预计到达时间可随公式更新</x:v>
      </x:c>
    </x:row>
    <x:row r="2170">
      <x:c r="A2170" s="12" t="str">
        <x:v>S0188-01</x:v>
      </x:c>
      <x:c r="B2170" s="12" t="str">
        <x:v>S0188</x:v>
      </x:c>
      <x:c r="C2170" s="12" t="str">
        <x:v>周末/节假日</x:v>
      </x:c>
      <x:c r="D2170" s="12" t="str">
        <x:v>环线3路</x:v>
      </x:c>
      <x:c r="E2170" s="12" t="str">
        <x:v>第二班</x:v>
      </x:c>
      <x:c r="F2170" s="12" t="n">
        <x:v>9</x:v>
      </x:c>
      <x:c r="G2170" s="12" t="str">
        <x:v>17:50</x:v>
      </x:c>
      <x:c r="H2170" s="12" t="n">
        <x:v>1070</x:v>
      </x:c>
      <x:c r="I2170" s="12" t="str">
        <x:v>高超楼（系统工程学院旁）</x:v>
      </x:c>
      <x:c r="J2170" s="12" t="str">
        <x:v>高超楼发车</x:v>
      </x:c>
      <x:c r="K2170" s="12" t="str">
        <x:v>HX3_GAOCHAO</x:v>
      </x:c>
      <x:c r="L2170" s="12" t="n">
        <x:v>1</x:v>
      </x:c>
      <x:c r="M2170" s="12" t="str">
        <x:v>HX3_GAOCHAO|1</x:v>
      </x:c>
      <x:c r="N2170" s="12" t="str">
        <x:v>高超楼</x:v>
      </x:c>
      <x:c r="O2170" s="12" t="n">
        <x:f>IFERROR(INDEX('秒级路线参数_可调整'!$O:$O,MATCH(M2170,'秒级路线参数_可调整'!$A:$A,0)),"")</x:f>
        <x:v>0</x:v>
      </x:c>
      <x:c r="P2170" s="12" t="str">
        <x:f>IF(O2170="","",O2170/86400)</x:f>
      </x:c>
      <x:c r="Q2170" s="12" t="str">
        <x:f>IF(O2170="","",(H2170*60+O2170)/86400)</x:f>
      </x:c>
      <x:c r="R2170" s="12" t="str">
        <x:f>IF(Q2170="","",TEXT(Q2170,"hh:mm:ss"))</x:f>
      </x:c>
      <x:c r="S2170" s="12" t="str">
        <x:v>是</x:v>
      </x:c>
      <x:c r="T2170" s="12" t="str">
        <x:v>否</x:v>
      </x:c>
      <x:c r="U2170" s="12" t="str">
        <x:v>夏文新</x:v>
      </x:c>
      <x:c r="V2170" s="12" t="str">
        <x:v>4号车</x:v>
      </x:c>
      <x:c r="W2170" s="12" t="str">
        <x:v>秒级预测</x:v>
      </x:c>
      <x:c r="X2170" s="12" t="str">
        <x:v>基于路线秒级参数；如录入实测或手动采用秒，预计到达时间可随公式更新</x:v>
      </x:c>
    </x:row>
    <x:row r="2171">
      <x:c r="A2171" s="12" t="str">
        <x:v>S0188-02</x:v>
      </x:c>
      <x:c r="B2171" s="12" t="str">
        <x:v>S0188</x:v>
      </x:c>
      <x:c r="C2171" s="12" t="str">
        <x:v>周末/节假日</x:v>
      </x:c>
      <x:c r="D2171" s="12" t="str">
        <x:v>环线3路</x:v>
      </x:c>
      <x:c r="E2171" s="12" t="str">
        <x:v>第二班</x:v>
      </x:c>
      <x:c r="F2171" s="12" t="n">
        <x:v>9</x:v>
      </x:c>
      <x:c r="G2171" s="12" t="str">
        <x:v>17:50</x:v>
      </x:c>
      <x:c r="H2171" s="12" t="n">
        <x:v>1070</x:v>
      </x:c>
      <x:c r="I2171" s="12" t="str">
        <x:v>高超楼（系统工程学院旁）</x:v>
      </x:c>
      <x:c r="J2171" s="12" t="str">
        <x:v>高超楼发车</x:v>
      </x:c>
      <x:c r="K2171" s="12" t="str">
        <x:v>HX3_GAOCHAO</x:v>
      </x:c>
      <x:c r="L2171" s="12" t="n">
        <x:v>2</x:v>
      </x:c>
      <x:c r="M2171" s="12" t="str">
        <x:v>HX3_GAOCHAO|2</x:v>
      </x:c>
      <x:c r="N2171" s="12" t="str">
        <x:v>理学院</x:v>
      </x:c>
      <x:c r="O2171" s="12" t="n">
        <x:f>IFERROR(INDEX('秒级路线参数_可调整'!$O:$O,MATCH(M2171,'秒级路线参数_可调整'!$A:$A,0)),"")</x:f>
        <x:v>65</x:v>
      </x:c>
      <x:c r="P2171" s="12" t="n">
        <x:f>IF(O2171="","",O2171/86400)</x:f>
        <x:v>0.0007523148148148148</x:v>
      </x:c>
      <x:c r="Q2171" s="12" t="n">
        <x:f>IF(O2171="","",(H2171*60+O2171)/86400)</x:f>
        <x:v>0.7438078703703703</x:v>
      </x:c>
      <x:c r="R2171" s="12" t="str">
        <x:f>IF(Q2171="","",TEXT(Q2171,"hh:mm:ss"))</x:f>
        <x:v>17:51:05</x:v>
      </x:c>
      <x:c r="S2171" s="12" t="str">
        <x:v>否</x:v>
      </x:c>
      <x:c r="T2171" s="12" t="str">
        <x:v>否</x:v>
      </x:c>
      <x:c r="U2171" s="12" t="str">
        <x:v>夏文新</x:v>
      </x:c>
      <x:c r="V2171" s="12" t="str">
        <x:v>4号车</x:v>
      </x:c>
      <x:c r="W2171" s="12" t="str">
        <x:v>秒级预测</x:v>
      </x:c>
      <x:c r="X2171" s="12" t="str">
        <x:v>基于路线秒级参数；如录入实测或手动采用秒，预计到达时间可随公式更新</x:v>
      </x:c>
    </x:row>
    <x:row r="2172">
      <x:c r="A2172" s="12" t="str">
        <x:v>S0188-03</x:v>
      </x:c>
      <x:c r="B2172" s="12" t="str">
        <x:v>S0188</x:v>
      </x:c>
      <x:c r="C2172" s="12" t="str">
        <x:v>周末/节假日</x:v>
      </x:c>
      <x:c r="D2172" s="12" t="str">
        <x:v>环线3路</x:v>
      </x:c>
      <x:c r="E2172" s="12" t="str">
        <x:v>第二班</x:v>
      </x:c>
      <x:c r="F2172" s="12" t="n">
        <x:v>9</x:v>
      </x:c>
      <x:c r="G2172" s="12" t="str">
        <x:v>17:50</x:v>
      </x:c>
      <x:c r="H2172" s="12" t="n">
        <x:v>1070</x:v>
      </x:c>
      <x:c r="I2172" s="12" t="str">
        <x:v>高超楼（系统工程学院旁）</x:v>
      </x:c>
      <x:c r="J2172" s="12" t="str">
        <x:v>高超楼发车</x:v>
      </x:c>
      <x:c r="K2172" s="12" t="str">
        <x:v>HX3_GAOCHAO</x:v>
      </x:c>
      <x:c r="L2172" s="12" t="n">
        <x:v>3</x:v>
      </x:c>
      <x:c r="M2172" s="12" t="str">
        <x:v>HX3_GAOCHAO|3</x:v>
      </x:c>
      <x:c r="N2172" s="12" t="str">
        <x:v>二食堂</x:v>
      </x:c>
      <x:c r="O2172" s="12" t="n">
        <x:f>IFERROR(INDEX('秒级路线参数_可调整'!$O:$O,MATCH(M2172,'秒级路线参数_可调整'!$A:$A,0)),"")</x:f>
        <x:v>120</x:v>
      </x:c>
      <x:c r="P2172" s="12" t="n">
        <x:f>IF(O2172="","",O2172/86400)</x:f>
        <x:v>0.001388888888888889</x:v>
      </x:c>
      <x:c r="Q2172" s="12" t="n">
        <x:f>IF(O2172="","",(H2172*60+O2172)/86400)</x:f>
        <x:v>0.7444444444444445</x:v>
      </x:c>
      <x:c r="R2172" s="12" t="str">
        <x:f>IF(Q2172="","",TEXT(Q2172,"hh:mm:ss"))</x:f>
        <x:v>17:52:00</x:v>
      </x:c>
      <x:c r="S2172" s="12" t="str">
        <x:v>否</x:v>
      </x:c>
      <x:c r="T2172" s="12" t="str">
        <x:v>否</x:v>
      </x:c>
      <x:c r="U2172" s="12" t="str">
        <x:v>夏文新</x:v>
      </x:c>
      <x:c r="V2172" s="12" t="str">
        <x:v>4号车</x:v>
      </x:c>
      <x:c r="W2172" s="12" t="str">
        <x:v>秒级预测</x:v>
      </x:c>
      <x:c r="X2172" s="12" t="str">
        <x:v>基于路线秒级参数；如录入实测或手动采用秒，预计到达时间可随公式更新</x:v>
      </x:c>
    </x:row>
    <x:row r="2173">
      <x:c r="A2173" s="12" t="str">
        <x:v>S0188-04</x:v>
      </x:c>
      <x:c r="B2173" s="12" t="str">
        <x:v>S0188</x:v>
      </x:c>
      <x:c r="C2173" s="12" t="str">
        <x:v>周末/节假日</x:v>
      </x:c>
      <x:c r="D2173" s="12" t="str">
        <x:v>环线3路</x:v>
      </x:c>
      <x:c r="E2173" s="12" t="str">
        <x:v>第二班</x:v>
      </x:c>
      <x:c r="F2173" s="12" t="n">
        <x:v>9</x:v>
      </x:c>
      <x:c r="G2173" s="12" t="str">
        <x:v>17:50</x:v>
      </x:c>
      <x:c r="H2173" s="12" t="n">
        <x:v>1070</x:v>
      </x:c>
      <x:c r="I2173" s="12" t="str">
        <x:v>高超楼（系统工程学院旁）</x:v>
      </x:c>
      <x:c r="J2173" s="12" t="str">
        <x:v>高超楼发车</x:v>
      </x:c>
      <x:c r="K2173" s="12" t="str">
        <x:v>HX3_GAOCHAO</x:v>
      </x:c>
      <x:c r="L2173" s="12" t="n">
        <x:v>4</x:v>
      </x:c>
      <x:c r="M2173" s="12" t="str">
        <x:v>HX3_GAOCHAO|4</x:v>
      </x:c>
      <x:c r="N2173" s="12" t="str">
        <x:v>图书馆</x:v>
      </x:c>
      <x:c r="O2173" s="12" t="n">
        <x:f>IFERROR(INDEX('秒级路线参数_可调整'!$O:$O,MATCH(M2173,'秒级路线参数_可调整'!$A:$A,0)),"")</x:f>
        <x:v>165</x:v>
      </x:c>
      <x:c r="P2173" s="12" t="n">
        <x:f>IF(O2173="","",O2173/86400)</x:f>
        <x:v>0.0019097222222222222</x:v>
      </x:c>
      <x:c r="Q2173" s="12" t="n">
        <x:f>IF(O2173="","",(H2173*60+O2173)/86400)</x:f>
        <x:v>0.7449652777777778</x:v>
      </x:c>
      <x:c r="R2173" s="12" t="str">
        <x:f>IF(Q2173="","",TEXT(Q2173,"hh:mm:ss"))</x:f>
        <x:v>17:52:45</x:v>
      </x:c>
      <x:c r="S2173" s="12" t="str">
        <x:v>否</x:v>
      </x:c>
      <x:c r="T2173" s="12" t="str">
        <x:v>否</x:v>
      </x:c>
      <x:c r="U2173" s="12" t="str">
        <x:v>夏文新</x:v>
      </x:c>
      <x:c r="V2173" s="12" t="str">
        <x:v>4号车</x:v>
      </x:c>
      <x:c r="W2173" s="12" t="str">
        <x:v>秒级预测</x:v>
      </x:c>
      <x:c r="X2173" s="12" t="str">
        <x:v>基于路线秒级参数；如录入实测或手动采用秒，预计到达时间可随公式更新</x:v>
      </x:c>
    </x:row>
    <x:row r="2174">
      <x:c r="A2174" s="12" t="str">
        <x:v>S0188-05</x:v>
      </x:c>
      <x:c r="B2174" s="12" t="str">
        <x:v>S0188</x:v>
      </x:c>
      <x:c r="C2174" s="12" t="str">
        <x:v>周末/节假日</x:v>
      </x:c>
      <x:c r="D2174" s="12" t="str">
        <x:v>环线3路</x:v>
      </x:c>
      <x:c r="E2174" s="12" t="str">
        <x:v>第二班</x:v>
      </x:c>
      <x:c r="F2174" s="12" t="n">
        <x:v>9</x:v>
      </x:c>
      <x:c r="G2174" s="12" t="str">
        <x:v>17:50</x:v>
      </x:c>
      <x:c r="H2174" s="12" t="n">
        <x:v>1070</x:v>
      </x:c>
      <x:c r="I2174" s="12" t="str">
        <x:v>高超楼（系统工程学院旁）</x:v>
      </x:c>
      <x:c r="J2174" s="12" t="str">
        <x:v>高超楼发车</x:v>
      </x:c>
      <x:c r="K2174" s="12" t="str">
        <x:v>HX3_GAOCHAO</x:v>
      </x:c>
      <x:c r="L2174" s="12" t="n">
        <x:v>5</x:v>
      </x:c>
      <x:c r="M2174" s="12" t="str">
        <x:v>HX3_GAOCHAO|5</x:v>
      </x:c>
      <x:c r="N2174" s="12" t="str">
        <x:v>305教学楼</x:v>
      </x:c>
      <x:c r="O2174" s="12" t="n">
        <x:f>IFERROR(INDEX('秒级路线参数_可调整'!$O:$O,MATCH(M2174,'秒级路线参数_可调整'!$A:$A,0)),"")</x:f>
        <x:v>250</x:v>
      </x:c>
      <x:c r="P2174" s="12" t="n">
        <x:f>IF(O2174="","",O2174/86400)</x:f>
        <x:v>0.0028935185185185184</x:v>
      </x:c>
      <x:c r="Q2174" s="12" t="n">
        <x:f>IF(O2174="","",(H2174*60+O2174)/86400)</x:f>
        <x:v>0.7459490740740741</x:v>
      </x:c>
      <x:c r="R2174" s="12" t="str">
        <x:f>IF(Q2174="","",TEXT(Q2174,"hh:mm:ss"))</x:f>
        <x:v>17:54:10</x:v>
      </x:c>
      <x:c r="S2174" s="12" t="str">
        <x:v>否</x:v>
      </x:c>
      <x:c r="T2174" s="12" t="str">
        <x:v>否</x:v>
      </x:c>
      <x:c r="U2174" s="12" t="str">
        <x:v>夏文新</x:v>
      </x:c>
      <x:c r="V2174" s="12" t="str">
        <x:v>4号车</x:v>
      </x:c>
      <x:c r="W2174" s="12" t="str">
        <x:v>秒级预测</x:v>
      </x:c>
      <x:c r="X2174" s="12" t="str">
        <x:v>基于路线秒级参数；如录入实测或手动采用秒，预计到达时间可随公式更新</x:v>
      </x:c>
    </x:row>
    <x:row r="2175">
      <x:c r="A2175" s="12" t="str">
        <x:v>S0188-06</x:v>
      </x:c>
      <x:c r="B2175" s="12" t="str">
        <x:v>S0188</x:v>
      </x:c>
      <x:c r="C2175" s="12" t="str">
        <x:v>周末/节假日</x:v>
      </x:c>
      <x:c r="D2175" s="12" t="str">
        <x:v>环线3路</x:v>
      </x:c>
      <x:c r="E2175" s="12" t="str">
        <x:v>第二班</x:v>
      </x:c>
      <x:c r="F2175" s="12" t="n">
        <x:v>9</x:v>
      </x:c>
      <x:c r="G2175" s="12" t="str">
        <x:v>17:50</x:v>
      </x:c>
      <x:c r="H2175" s="12" t="n">
        <x:v>1070</x:v>
      </x:c>
      <x:c r="I2175" s="12" t="str">
        <x:v>高超楼（系统工程学院旁）</x:v>
      </x:c>
      <x:c r="J2175" s="12" t="str">
        <x:v>高超楼发车</x:v>
      </x:c>
      <x:c r="K2175" s="12" t="str">
        <x:v>HX3_GAOCHAO</x:v>
      </x:c>
      <x:c r="L2175" s="12" t="n">
        <x:v>6</x:v>
      </x:c>
      <x:c r="M2175" s="12" t="str">
        <x:v>HX3_GAOCHAO|6</x:v>
      </x:c>
      <x:c r="N2175" s="12" t="str">
        <x:v>研究生宿舍楼</x:v>
      </x:c>
      <x:c r="O2175" s="12" t="n">
        <x:f>IFERROR(INDEX('秒级路线参数_可调整'!$O:$O,MATCH(M2175,'秒级路线参数_可调整'!$A:$A,0)),"")</x:f>
        <x:v>315</x:v>
      </x:c>
      <x:c r="P2175" s="12" t="n">
        <x:f>IF(O2175="","",O2175/86400)</x:f>
        <x:v>0.0036458333333333334</x:v>
      </x:c>
      <x:c r="Q2175" s="12" t="n">
        <x:f>IF(O2175="","",(H2175*60+O2175)/86400)</x:f>
        <x:v>0.7467013888888889</x:v>
      </x:c>
      <x:c r="R2175" s="12" t="str">
        <x:f>IF(Q2175="","",TEXT(Q2175,"hh:mm:ss"))</x:f>
        <x:v>17:55:15</x:v>
      </x:c>
      <x:c r="S2175" s="12" t="str">
        <x:v>否</x:v>
      </x:c>
      <x:c r="T2175" s="12" t="str">
        <x:v>否</x:v>
      </x:c>
      <x:c r="U2175" s="12" t="str">
        <x:v>夏文新</x:v>
      </x:c>
      <x:c r="V2175" s="12" t="str">
        <x:v>4号车</x:v>
      </x:c>
      <x:c r="W2175" s="12" t="str">
        <x:v>秒级预测</x:v>
      </x:c>
      <x:c r="X2175" s="12" t="str">
        <x:v>基于路线秒级参数；如录入实测或手动采用秒，预计到达时间可随公式更新</x:v>
      </x:c>
    </x:row>
    <x:row r="2176">
      <x:c r="A2176" s="12" t="str">
        <x:v>S0188-07</x:v>
      </x:c>
      <x:c r="B2176" s="12" t="str">
        <x:v>S0188</x:v>
      </x:c>
      <x:c r="C2176" s="12" t="str">
        <x:v>周末/节假日</x:v>
      </x:c>
      <x:c r="D2176" s="12" t="str">
        <x:v>环线3路</x:v>
      </x:c>
      <x:c r="E2176" s="12" t="str">
        <x:v>第二班</x:v>
      </x:c>
      <x:c r="F2176" s="12" t="n">
        <x:v>9</x:v>
      </x:c>
      <x:c r="G2176" s="12" t="str">
        <x:v>17:50</x:v>
      </x:c>
      <x:c r="H2176" s="12" t="n">
        <x:v>1070</x:v>
      </x:c>
      <x:c r="I2176" s="12" t="str">
        <x:v>高超楼（系统工程学院旁）</x:v>
      </x:c>
      <x:c r="J2176" s="12" t="str">
        <x:v>高超楼发车</x:v>
      </x:c>
      <x:c r="K2176" s="12" t="str">
        <x:v>HX3_GAOCHAO</x:v>
      </x:c>
      <x:c r="L2176" s="12" t="n">
        <x:v>7</x:v>
      </x:c>
      <x:c r="M2176" s="12" t="str">
        <x:v>HX3_GAOCHAO|7</x:v>
      </x:c>
      <x:c r="N2176" s="12" t="str">
        <x:v>一食堂</x:v>
      </x:c>
      <x:c r="O2176" s="12" t="n">
        <x:f>IFERROR(INDEX('秒级路线参数_可调整'!$O:$O,MATCH(M2176,'秒级路线参数_可调整'!$A:$A,0)),"")</x:f>
        <x:v>420</x:v>
      </x:c>
      <x:c r="P2176" s="12" t="n">
        <x:f>IF(O2176="","",O2176/86400)</x:f>
        <x:v>0.004861111111111111</x:v>
      </x:c>
      <x:c r="Q2176" s="12" t="n">
        <x:f>IF(O2176="","",(H2176*60+O2176)/86400)</x:f>
        <x:v>0.7479166666666667</x:v>
      </x:c>
      <x:c r="R2176" s="12" t="str">
        <x:f>IF(Q2176="","",TEXT(Q2176,"hh:mm:ss"))</x:f>
        <x:v>17:57:00</x:v>
      </x:c>
      <x:c r="S2176" s="12" t="str">
        <x:v>否</x:v>
      </x:c>
      <x:c r="T2176" s="12" t="str">
        <x:v>否</x:v>
      </x:c>
      <x:c r="U2176" s="12" t="str">
        <x:v>夏文新</x:v>
      </x:c>
      <x:c r="V2176" s="12" t="str">
        <x:v>4号车</x:v>
      </x:c>
      <x:c r="W2176" s="12" t="str">
        <x:v>秒级预测</x:v>
      </x:c>
      <x:c r="X2176" s="12" t="str">
        <x:v>基于路线秒级参数；如录入实测或手动采用秒，预计到达时间可随公式更新</x:v>
      </x:c>
    </x:row>
    <x:row r="2177">
      <x:c r="A2177" s="12" t="str">
        <x:v>S0188-08</x:v>
      </x:c>
      <x:c r="B2177" s="12" t="str">
        <x:v>S0188</x:v>
      </x:c>
      <x:c r="C2177" s="12" t="str">
        <x:v>周末/节假日</x:v>
      </x:c>
      <x:c r="D2177" s="12" t="str">
        <x:v>环线3路</x:v>
      </x:c>
      <x:c r="E2177" s="12" t="str">
        <x:v>第二班</x:v>
      </x:c>
      <x:c r="F2177" s="12" t="n">
        <x:v>9</x:v>
      </x:c>
      <x:c r="G2177" s="12" t="str">
        <x:v>17:50</x:v>
      </x:c>
      <x:c r="H2177" s="12" t="n">
        <x:v>1070</x:v>
      </x:c>
      <x:c r="I2177" s="12" t="str">
        <x:v>高超楼（系统工程学院旁）</x:v>
      </x:c>
      <x:c r="J2177" s="12" t="str">
        <x:v>高超楼发车</x:v>
      </x:c>
      <x:c r="K2177" s="12" t="str">
        <x:v>HX3_GAOCHAO</x:v>
      </x:c>
      <x:c r="L2177" s="12" t="n">
        <x:v>8</x:v>
      </x:c>
      <x:c r="M2177" s="12" t="str">
        <x:v>HX3_GAOCHAO|8</x:v>
      </x:c>
      <x:c r="N2177" s="12" t="str">
        <x:v>2号宿舍楼</x:v>
      </x:c>
      <x:c r="O2177" s="12" t="n">
        <x:f>IFERROR(INDEX('秒级路线参数_可调整'!$O:$O,MATCH(M2177,'秒级路线参数_可调整'!$A:$A,0)),"")</x:f>
        <x:v>480</x:v>
      </x:c>
      <x:c r="P2177" s="12" t="n">
        <x:f>IF(O2177="","",O2177/86400)</x:f>
        <x:v>0.005555555555555556</x:v>
      </x:c>
      <x:c r="Q2177" s="12" t="n">
        <x:f>IF(O2177="","",(H2177*60+O2177)/86400)</x:f>
        <x:v>0.7486111111111111</x:v>
      </x:c>
      <x:c r="R2177" s="12" t="str">
        <x:f>IF(Q2177="","",TEXT(Q2177,"hh:mm:ss"))</x:f>
        <x:v>17:58:00</x:v>
      </x:c>
      <x:c r="S2177" s="12" t="str">
        <x:v>否</x:v>
      </x:c>
      <x:c r="T2177" s="12" t="str">
        <x:v>否</x:v>
      </x:c>
      <x:c r="U2177" s="12" t="str">
        <x:v>夏文新</x:v>
      </x:c>
      <x:c r="V2177" s="12" t="str">
        <x:v>4号车</x:v>
      </x:c>
      <x:c r="W2177" s="12" t="str">
        <x:v>秒级预测</x:v>
      </x:c>
      <x:c r="X2177" s="12" t="str">
        <x:v>基于路线秒级参数；如录入实测或手动采用秒，预计到达时间可随公式更新</x:v>
      </x:c>
    </x:row>
    <x:row r="2178">
      <x:c r="A2178" s="12" t="str">
        <x:v>S0188-09</x:v>
      </x:c>
      <x:c r="B2178" s="12" t="str">
        <x:v>S0188</x:v>
      </x:c>
      <x:c r="C2178" s="12" t="str">
        <x:v>周末/节假日</x:v>
      </x:c>
      <x:c r="D2178" s="12" t="str">
        <x:v>环线3路</x:v>
      </x:c>
      <x:c r="E2178" s="12" t="str">
        <x:v>第二班</x:v>
      </x:c>
      <x:c r="F2178" s="12" t="n">
        <x:v>9</x:v>
      </x:c>
      <x:c r="G2178" s="12" t="str">
        <x:v>17:50</x:v>
      </x:c>
      <x:c r="H2178" s="12" t="n">
        <x:v>1070</x:v>
      </x:c>
      <x:c r="I2178" s="12" t="str">
        <x:v>高超楼（系统工程学院旁）</x:v>
      </x:c>
      <x:c r="J2178" s="12" t="str">
        <x:v>高超楼发车</x:v>
      </x:c>
      <x:c r="K2178" s="12" t="str">
        <x:v>HX3_GAOCHAO</x:v>
      </x:c>
      <x:c r="L2178" s="12" t="n">
        <x:v>9</x:v>
      </x:c>
      <x:c r="M2178" s="12" t="str">
        <x:v>HX3_GAOCHAO|9</x:v>
      </x:c>
      <x:c r="N2178" s="12" t="str">
        <x:v>军体活动中心</x:v>
      </x:c>
      <x:c r="O2178" s="12" t="n">
        <x:f>IFERROR(INDEX('秒级路线参数_可调整'!$O:$O,MATCH(M2178,'秒级路线参数_可调整'!$A:$A,0)),"")</x:f>
        <x:v>535</x:v>
      </x:c>
      <x:c r="P2178" s="12" t="n">
        <x:f>IF(O2178="","",O2178/86400)</x:f>
        <x:v>0.00619212962962963</x:v>
      </x:c>
      <x:c r="Q2178" s="12" t="n">
        <x:f>IF(O2178="","",(H2178*60+O2178)/86400)</x:f>
        <x:v>0.7492476851851851</x:v>
      </x:c>
      <x:c r="R2178" s="12" t="str">
        <x:f>IF(Q2178="","",TEXT(Q2178,"hh:mm:ss"))</x:f>
        <x:v>17:58:55</x:v>
      </x:c>
      <x:c r="S2178" s="12" t="str">
        <x:v>否</x:v>
      </x:c>
      <x:c r="T2178" s="12" t="str">
        <x:v>否</x:v>
      </x:c>
      <x:c r="U2178" s="12" t="str">
        <x:v>夏文新</x:v>
      </x:c>
      <x:c r="V2178" s="12" t="str">
        <x:v>4号车</x:v>
      </x:c>
      <x:c r="W2178" s="12" t="str">
        <x:v>秒级预测</x:v>
      </x:c>
      <x:c r="X2178" s="12" t="str">
        <x:v>基于路线秒级参数；如录入实测或手动采用秒，预计到达时间可随公式更新</x:v>
      </x:c>
    </x:row>
    <x:row r="2179">
      <x:c r="A2179" s="12" t="str">
        <x:v>S0188-10</x:v>
      </x:c>
      <x:c r="B2179" s="12" t="str">
        <x:v>S0188</x:v>
      </x:c>
      <x:c r="C2179" s="12" t="str">
        <x:v>周末/节假日</x:v>
      </x:c>
      <x:c r="D2179" s="12" t="str">
        <x:v>环线3路</x:v>
      </x:c>
      <x:c r="E2179" s="12" t="str">
        <x:v>第二班</x:v>
      </x:c>
      <x:c r="F2179" s="12" t="n">
        <x:v>9</x:v>
      </x:c>
      <x:c r="G2179" s="12" t="str">
        <x:v>17:50</x:v>
      </x:c>
      <x:c r="H2179" s="12" t="n">
        <x:v>1070</x:v>
      </x:c>
      <x:c r="I2179" s="12" t="str">
        <x:v>高超楼（系统工程学院旁）</x:v>
      </x:c>
      <x:c r="J2179" s="12" t="str">
        <x:v>高超楼发车</x:v>
      </x:c>
      <x:c r="K2179" s="12" t="str">
        <x:v>HX3_GAOCHAO</x:v>
      </x:c>
      <x:c r="L2179" s="12" t="n">
        <x:v>10</x:v>
      </x:c>
      <x:c r="M2179" s="12" t="str">
        <x:v>HX3_GAOCHAO|10</x:v>
      </x:c>
      <x:c r="N2179" s="12" t="str">
        <x:v>教勤连</x:v>
      </x:c>
      <x:c r="O2179" s="12" t="n">
        <x:f>IFERROR(INDEX('秒级路线参数_可调整'!$O:$O,MATCH(M2179,'秒级路线参数_可调整'!$A:$A,0)),"")</x:f>
        <x:v>715</x:v>
      </x:c>
      <x:c r="P2179" s="12" t="n">
        <x:f>IF(O2179="","",O2179/86400)</x:f>
        <x:v>0.008275462962962964</x:v>
      </x:c>
      <x:c r="Q2179" s="12" t="n">
        <x:f>IF(O2179="","",(H2179*60+O2179)/86400)</x:f>
        <x:v>0.7513310185185185</x:v>
      </x:c>
      <x:c r="R2179" s="12" t="str">
        <x:f>IF(Q2179="","",TEXT(Q2179,"hh:mm:ss"))</x:f>
        <x:v>18:01:55</x:v>
      </x:c>
      <x:c r="S2179" s="12" t="str">
        <x:v>否</x:v>
      </x:c>
      <x:c r="T2179" s="12" t="str">
        <x:v>否</x:v>
      </x:c>
      <x:c r="U2179" s="12" t="str">
        <x:v>夏文新</x:v>
      </x:c>
      <x:c r="V2179" s="12" t="str">
        <x:v>4号车</x:v>
      </x:c>
      <x:c r="W2179" s="12" t="str">
        <x:v>秒级预测</x:v>
      </x:c>
      <x:c r="X2179" s="12" t="str">
        <x:v>基于路线秒级参数；如录入实测或手动采用秒，预计到达时间可随公式更新</x:v>
      </x:c>
    </x:row>
    <x:row r="2180">
      <x:c r="A2180" s="12" t="str">
        <x:v>S0188-11</x:v>
      </x:c>
      <x:c r="B2180" s="12" t="str">
        <x:v>S0188</x:v>
      </x:c>
      <x:c r="C2180" s="12" t="str">
        <x:v>周末/节假日</x:v>
      </x:c>
      <x:c r="D2180" s="12" t="str">
        <x:v>环线3路</x:v>
      </x:c>
      <x:c r="E2180" s="12" t="str">
        <x:v>第二班</x:v>
      </x:c>
      <x:c r="F2180" s="12" t="n">
        <x:v>9</x:v>
      </x:c>
      <x:c r="G2180" s="12" t="str">
        <x:v>17:50</x:v>
      </x:c>
      <x:c r="H2180" s="12" t="n">
        <x:v>1070</x:v>
      </x:c>
      <x:c r="I2180" s="12" t="str">
        <x:v>高超楼（系统工程学院旁）</x:v>
      </x:c>
      <x:c r="J2180" s="12" t="str">
        <x:v>高超楼发车</x:v>
      </x:c>
      <x:c r="K2180" s="12" t="str">
        <x:v>HX3_GAOCHAO</x:v>
      </x:c>
      <x:c r="L2180" s="12" t="n">
        <x:v>11</x:v>
      </x:c>
      <x:c r="M2180" s="12" t="str">
        <x:v>HX3_GAOCHAO|11</x:v>
      </x:c>
      <x:c r="N2180" s="12" t="str">
        <x:v>激光所</x:v>
      </x:c>
      <x:c r="O2180" s="12" t="n">
        <x:f>IFERROR(INDEX('秒级路线参数_可调整'!$O:$O,MATCH(M2180,'秒级路线参数_可调整'!$A:$A,0)),"")</x:f>
        <x:v>775</x:v>
      </x:c>
      <x:c r="P2180" s="12" t="n">
        <x:f>IF(O2180="","",O2180/86400)</x:f>
        <x:v>0.008969907407407407</x:v>
      </x:c>
      <x:c r="Q2180" s="12" t="n">
        <x:f>IF(O2180="","",(H2180*60+O2180)/86400)</x:f>
        <x:v>0.7520254629629629</x:v>
      </x:c>
      <x:c r="R2180" s="12" t="str">
        <x:f>IF(Q2180="","",TEXT(Q2180,"hh:mm:ss"))</x:f>
        <x:v>18:02:55</x:v>
      </x:c>
      <x:c r="S2180" s="12" t="str">
        <x:v>否</x:v>
      </x:c>
      <x:c r="T2180" s="12" t="str">
        <x:v>否</x:v>
      </x:c>
      <x:c r="U2180" s="12" t="str">
        <x:v>夏文新</x:v>
      </x:c>
      <x:c r="V2180" s="12" t="str">
        <x:v>4号车</x:v>
      </x:c>
      <x:c r="W2180" s="12" t="str">
        <x:v>秒级预测</x:v>
      </x:c>
      <x:c r="X2180" s="12" t="str">
        <x:v>基于路线秒级参数；如录入实测或手动采用秒，预计到达时间可随公式更新</x:v>
      </x:c>
    </x:row>
    <x:row r="2181">
      <x:c r="A2181" s="12" t="str">
        <x:v>S0188-12</x:v>
      </x:c>
      <x:c r="B2181" s="12" t="str">
        <x:v>S0188</x:v>
      </x:c>
      <x:c r="C2181" s="12" t="str">
        <x:v>周末/节假日</x:v>
      </x:c>
      <x:c r="D2181" s="12" t="str">
        <x:v>环线3路</x:v>
      </x:c>
      <x:c r="E2181" s="12" t="str">
        <x:v>第二班</x:v>
      </x:c>
      <x:c r="F2181" s="12" t="n">
        <x:v>9</x:v>
      </x:c>
      <x:c r="G2181" s="12" t="str">
        <x:v>17:50</x:v>
      </x:c>
      <x:c r="H2181" s="12" t="n">
        <x:v>1070</x:v>
      </x:c>
      <x:c r="I2181" s="12" t="str">
        <x:v>高超楼（系统工程学院旁）</x:v>
      </x:c>
      <x:c r="J2181" s="12" t="str">
        <x:v>高超楼发车</x:v>
      </x:c>
      <x:c r="K2181" s="12" t="str">
        <x:v>HX3_GAOCHAO</x:v>
      </x:c>
      <x:c r="L2181" s="12" t="n">
        <x:v>12</x:v>
      </x:c>
      <x:c r="M2181" s="12" t="str">
        <x:v>HX3_GAOCHAO|12</x:v>
      </x:c>
      <x:c r="N2181" s="12" t="str">
        <x:v>高超楼</x:v>
      </x:c>
      <x:c r="O2181" s="12" t="n">
        <x:f>IFERROR(INDEX('秒级路线参数_可调整'!$O:$O,MATCH(M2181,'秒级路线参数_可调整'!$A:$A,0)),"")</x:f>
        <x:v>840</x:v>
      </x:c>
      <x:c r="P2181" s="12" t="n">
        <x:f>IF(O2181="","",O2181/86400)</x:f>
        <x:v>0.009722222222222222</x:v>
      </x:c>
      <x:c r="Q2181" s="12" t="n">
        <x:f>IF(O2181="","",(H2181*60+O2181)/86400)</x:f>
        <x:v>0.7527777777777778</x:v>
      </x:c>
      <x:c r="R2181" s="12" t="str">
        <x:f>IF(Q2181="","",TEXT(Q2181,"hh:mm:ss"))</x:f>
        <x:v>18:04:00</x:v>
      </x:c>
      <x:c r="S2181" s="12" t="str">
        <x:v>否</x:v>
      </x:c>
      <x:c r="T2181" s="12" t="str">
        <x:v>是</x:v>
      </x:c>
      <x:c r="U2181" s="12" t="str">
        <x:v>夏文新</x:v>
      </x:c>
      <x:c r="V2181" s="12" t="str">
        <x:v>4号车</x:v>
      </x:c>
      <x:c r="W2181" s="12" t="str">
        <x:v>秒级预测</x:v>
      </x:c>
      <x:c r="X2181" s="12" t="str">
        <x:v>基于路线秒级参数；如录入实测或手动采用秒，预计到达时间可随公式更新</x:v>
      </x:c>
    </x:row>
    <x:row r="2182">
      <x:c r="A2182" s="12" t="str">
        <x:v>S0189-01</x:v>
      </x:c>
      <x:c r="B2182" s="12" t="str">
        <x:v>S0189</x:v>
      </x:c>
      <x:c r="C2182" s="12" t="str">
        <x:v>周末/节假日</x:v>
      </x:c>
      <x:c r="D2182" s="12" t="str">
        <x:v>环线3路</x:v>
      </x:c>
      <x:c r="E2182" s="12" t="str">
        <x:v>第二班</x:v>
      </x:c>
      <x:c r="F2182" s="12" t="n">
        <x:v>10</x:v>
      </x:c>
      <x:c r="G2182" s="12" t="str">
        <x:v>21:00</x:v>
      </x:c>
      <x:c r="H2182" s="12" t="n">
        <x:v>1260</x:v>
      </x:c>
      <x:c r="I2182" s="12" t="str">
        <x:v>高超楼（系统工程学院旁）</x:v>
      </x:c>
      <x:c r="J2182" s="12" t="str">
        <x:v>高超楼发车</x:v>
      </x:c>
      <x:c r="K2182" s="12" t="str">
        <x:v>HX3_GAOCHAO</x:v>
      </x:c>
      <x:c r="L2182" s="12" t="n">
        <x:v>1</x:v>
      </x:c>
      <x:c r="M2182" s="12" t="str">
        <x:v>HX3_GAOCHAO|1</x:v>
      </x:c>
      <x:c r="N2182" s="12" t="str">
        <x:v>高超楼</x:v>
      </x:c>
      <x:c r="O2182" s="12" t="n">
        <x:f>IFERROR(INDEX('秒级路线参数_可调整'!$O:$O,MATCH(M2182,'秒级路线参数_可调整'!$A:$A,0)),"")</x:f>
        <x:v>0</x:v>
      </x:c>
      <x:c r="P2182" s="12" t="str">
        <x:f>IF(O2182="","",O2182/86400)</x:f>
      </x:c>
      <x:c r="Q2182" s="12" t="str">
        <x:f>IF(O2182="","",(H2182*60+O2182)/86400)</x:f>
      </x:c>
      <x:c r="R2182" s="12" t="str">
        <x:f>IF(Q2182="","",TEXT(Q2182,"hh:mm:ss"))</x:f>
      </x:c>
      <x:c r="S2182" s="12" t="str">
        <x:v>是</x:v>
      </x:c>
      <x:c r="T2182" s="12" t="str">
        <x:v>否</x:v>
      </x:c>
      <x:c r="U2182" s="12" t="str">
        <x:v>夏文新</x:v>
      </x:c>
      <x:c r="V2182" s="12" t="str">
        <x:v>4号车</x:v>
      </x:c>
      <x:c r="W2182" s="12" t="str">
        <x:v>秒级预测</x:v>
      </x:c>
      <x:c r="X2182" s="12" t="str">
        <x:v>基于路线秒级参数；如录入实测或手动采用秒，预计到达时间可随公式更新</x:v>
      </x:c>
    </x:row>
    <x:row r="2183">
      <x:c r="A2183" s="12" t="str">
        <x:v>S0189-02</x:v>
      </x:c>
      <x:c r="B2183" s="12" t="str">
        <x:v>S0189</x:v>
      </x:c>
      <x:c r="C2183" s="12" t="str">
        <x:v>周末/节假日</x:v>
      </x:c>
      <x:c r="D2183" s="12" t="str">
        <x:v>环线3路</x:v>
      </x:c>
      <x:c r="E2183" s="12" t="str">
        <x:v>第二班</x:v>
      </x:c>
      <x:c r="F2183" s="12" t="n">
        <x:v>10</x:v>
      </x:c>
      <x:c r="G2183" s="12" t="str">
        <x:v>21:00</x:v>
      </x:c>
      <x:c r="H2183" s="12" t="n">
        <x:v>1260</x:v>
      </x:c>
      <x:c r="I2183" s="12" t="str">
        <x:v>高超楼（系统工程学院旁）</x:v>
      </x:c>
      <x:c r="J2183" s="12" t="str">
        <x:v>高超楼发车</x:v>
      </x:c>
      <x:c r="K2183" s="12" t="str">
        <x:v>HX3_GAOCHAO</x:v>
      </x:c>
      <x:c r="L2183" s="12" t="n">
        <x:v>2</x:v>
      </x:c>
      <x:c r="M2183" s="12" t="str">
        <x:v>HX3_GAOCHAO|2</x:v>
      </x:c>
      <x:c r="N2183" s="12" t="str">
        <x:v>理学院</x:v>
      </x:c>
      <x:c r="O2183" s="12" t="n">
        <x:f>IFERROR(INDEX('秒级路线参数_可调整'!$O:$O,MATCH(M2183,'秒级路线参数_可调整'!$A:$A,0)),"")</x:f>
        <x:v>65</x:v>
      </x:c>
      <x:c r="P2183" s="12" t="n">
        <x:f>IF(O2183="","",O2183/86400)</x:f>
        <x:v>0.0007523148148148148</x:v>
      </x:c>
      <x:c r="Q2183" s="12" t="n">
        <x:f>IF(O2183="","",(H2183*60+O2183)/86400)</x:f>
        <x:v>0.8757523148148149</x:v>
      </x:c>
      <x:c r="R2183" s="12" t="str">
        <x:f>IF(Q2183="","",TEXT(Q2183,"hh:mm:ss"))</x:f>
        <x:v>21:01:05</x:v>
      </x:c>
      <x:c r="S2183" s="12" t="str">
        <x:v>否</x:v>
      </x:c>
      <x:c r="T2183" s="12" t="str">
        <x:v>否</x:v>
      </x:c>
      <x:c r="U2183" s="12" t="str">
        <x:v>夏文新</x:v>
      </x:c>
      <x:c r="V2183" s="12" t="str">
        <x:v>4号车</x:v>
      </x:c>
      <x:c r="W2183" s="12" t="str">
        <x:v>秒级预测</x:v>
      </x:c>
      <x:c r="X2183" s="12" t="str">
        <x:v>基于路线秒级参数；如录入实测或手动采用秒，预计到达时间可随公式更新</x:v>
      </x:c>
    </x:row>
    <x:row r="2184">
      <x:c r="A2184" s="12" t="str">
        <x:v>S0189-03</x:v>
      </x:c>
      <x:c r="B2184" s="12" t="str">
        <x:v>S0189</x:v>
      </x:c>
      <x:c r="C2184" s="12" t="str">
        <x:v>周末/节假日</x:v>
      </x:c>
      <x:c r="D2184" s="12" t="str">
        <x:v>环线3路</x:v>
      </x:c>
      <x:c r="E2184" s="12" t="str">
        <x:v>第二班</x:v>
      </x:c>
      <x:c r="F2184" s="12" t="n">
        <x:v>10</x:v>
      </x:c>
      <x:c r="G2184" s="12" t="str">
        <x:v>21:00</x:v>
      </x:c>
      <x:c r="H2184" s="12" t="n">
        <x:v>1260</x:v>
      </x:c>
      <x:c r="I2184" s="12" t="str">
        <x:v>高超楼（系统工程学院旁）</x:v>
      </x:c>
      <x:c r="J2184" s="12" t="str">
        <x:v>高超楼发车</x:v>
      </x:c>
      <x:c r="K2184" s="12" t="str">
        <x:v>HX3_GAOCHAO</x:v>
      </x:c>
      <x:c r="L2184" s="12" t="n">
        <x:v>3</x:v>
      </x:c>
      <x:c r="M2184" s="12" t="str">
        <x:v>HX3_GAOCHAO|3</x:v>
      </x:c>
      <x:c r="N2184" s="12" t="str">
        <x:v>二食堂</x:v>
      </x:c>
      <x:c r="O2184" s="12" t="n">
        <x:f>IFERROR(INDEX('秒级路线参数_可调整'!$O:$O,MATCH(M2184,'秒级路线参数_可调整'!$A:$A,0)),"")</x:f>
        <x:v>120</x:v>
      </x:c>
      <x:c r="P2184" s="12" t="n">
        <x:f>IF(O2184="","",O2184/86400)</x:f>
        <x:v>0.001388888888888889</x:v>
      </x:c>
      <x:c r="Q2184" s="12" t="n">
        <x:f>IF(O2184="","",(H2184*60+O2184)/86400)</x:f>
        <x:v>0.8763888888888889</x:v>
      </x:c>
      <x:c r="R2184" s="12" t="str">
        <x:f>IF(Q2184="","",TEXT(Q2184,"hh:mm:ss"))</x:f>
        <x:v>21:02:00</x:v>
      </x:c>
      <x:c r="S2184" s="12" t="str">
        <x:v>否</x:v>
      </x:c>
      <x:c r="T2184" s="12" t="str">
        <x:v>否</x:v>
      </x:c>
      <x:c r="U2184" s="12" t="str">
        <x:v>夏文新</x:v>
      </x:c>
      <x:c r="V2184" s="12" t="str">
        <x:v>4号车</x:v>
      </x:c>
      <x:c r="W2184" s="12" t="str">
        <x:v>秒级预测</x:v>
      </x:c>
      <x:c r="X2184" s="12" t="str">
        <x:v>基于路线秒级参数；如录入实测或手动采用秒，预计到达时间可随公式更新</x:v>
      </x:c>
    </x:row>
    <x:row r="2185">
      <x:c r="A2185" s="12" t="str">
        <x:v>S0189-04</x:v>
      </x:c>
      <x:c r="B2185" s="12" t="str">
        <x:v>S0189</x:v>
      </x:c>
      <x:c r="C2185" s="12" t="str">
        <x:v>周末/节假日</x:v>
      </x:c>
      <x:c r="D2185" s="12" t="str">
        <x:v>环线3路</x:v>
      </x:c>
      <x:c r="E2185" s="12" t="str">
        <x:v>第二班</x:v>
      </x:c>
      <x:c r="F2185" s="12" t="n">
        <x:v>10</x:v>
      </x:c>
      <x:c r="G2185" s="12" t="str">
        <x:v>21:00</x:v>
      </x:c>
      <x:c r="H2185" s="12" t="n">
        <x:v>1260</x:v>
      </x:c>
      <x:c r="I2185" s="12" t="str">
        <x:v>高超楼（系统工程学院旁）</x:v>
      </x:c>
      <x:c r="J2185" s="12" t="str">
        <x:v>高超楼发车</x:v>
      </x:c>
      <x:c r="K2185" s="12" t="str">
        <x:v>HX3_GAOCHAO</x:v>
      </x:c>
      <x:c r="L2185" s="12" t="n">
        <x:v>4</x:v>
      </x:c>
      <x:c r="M2185" s="12" t="str">
        <x:v>HX3_GAOCHAO|4</x:v>
      </x:c>
      <x:c r="N2185" s="12" t="str">
        <x:v>图书馆</x:v>
      </x:c>
      <x:c r="O2185" s="12" t="n">
        <x:f>IFERROR(INDEX('秒级路线参数_可调整'!$O:$O,MATCH(M2185,'秒级路线参数_可调整'!$A:$A,0)),"")</x:f>
        <x:v>165</x:v>
      </x:c>
      <x:c r="P2185" s="12" t="n">
        <x:f>IF(O2185="","",O2185/86400)</x:f>
        <x:v>0.0019097222222222222</x:v>
      </x:c>
      <x:c r="Q2185" s="12" t="n">
        <x:f>IF(O2185="","",(H2185*60+O2185)/86400)</x:f>
        <x:v>0.8769097222222222</x:v>
      </x:c>
      <x:c r="R2185" s="12" t="str">
        <x:f>IF(Q2185="","",TEXT(Q2185,"hh:mm:ss"))</x:f>
        <x:v>21:02:45</x:v>
      </x:c>
      <x:c r="S2185" s="12" t="str">
        <x:v>否</x:v>
      </x:c>
      <x:c r="T2185" s="12" t="str">
        <x:v>否</x:v>
      </x:c>
      <x:c r="U2185" s="12" t="str">
        <x:v>夏文新</x:v>
      </x:c>
      <x:c r="V2185" s="12" t="str">
        <x:v>4号车</x:v>
      </x:c>
      <x:c r="W2185" s="12" t="str">
        <x:v>秒级预测</x:v>
      </x:c>
      <x:c r="X2185" s="12" t="str">
        <x:v>基于路线秒级参数；如录入实测或手动采用秒，预计到达时间可随公式更新</x:v>
      </x:c>
    </x:row>
    <x:row r="2186">
      <x:c r="A2186" s="12" t="str">
        <x:v>S0189-05</x:v>
      </x:c>
      <x:c r="B2186" s="12" t="str">
        <x:v>S0189</x:v>
      </x:c>
      <x:c r="C2186" s="12" t="str">
        <x:v>周末/节假日</x:v>
      </x:c>
      <x:c r="D2186" s="12" t="str">
        <x:v>环线3路</x:v>
      </x:c>
      <x:c r="E2186" s="12" t="str">
        <x:v>第二班</x:v>
      </x:c>
      <x:c r="F2186" s="12" t="n">
        <x:v>10</x:v>
      </x:c>
      <x:c r="G2186" s="12" t="str">
        <x:v>21:00</x:v>
      </x:c>
      <x:c r="H2186" s="12" t="n">
        <x:v>1260</x:v>
      </x:c>
      <x:c r="I2186" s="12" t="str">
        <x:v>高超楼（系统工程学院旁）</x:v>
      </x:c>
      <x:c r="J2186" s="12" t="str">
        <x:v>高超楼发车</x:v>
      </x:c>
      <x:c r="K2186" s="12" t="str">
        <x:v>HX3_GAOCHAO</x:v>
      </x:c>
      <x:c r="L2186" s="12" t="n">
        <x:v>5</x:v>
      </x:c>
      <x:c r="M2186" s="12" t="str">
        <x:v>HX3_GAOCHAO|5</x:v>
      </x:c>
      <x:c r="N2186" s="12" t="str">
        <x:v>305教学楼</x:v>
      </x:c>
      <x:c r="O2186" s="12" t="n">
        <x:f>IFERROR(INDEX('秒级路线参数_可调整'!$O:$O,MATCH(M2186,'秒级路线参数_可调整'!$A:$A,0)),"")</x:f>
        <x:v>250</x:v>
      </x:c>
      <x:c r="P2186" s="12" t="n">
        <x:f>IF(O2186="","",O2186/86400)</x:f>
        <x:v>0.0028935185185185184</x:v>
      </x:c>
      <x:c r="Q2186" s="12" t="n">
        <x:f>IF(O2186="","",(H2186*60+O2186)/86400)</x:f>
        <x:v>0.8778935185185185</x:v>
      </x:c>
      <x:c r="R2186" s="12" t="str">
        <x:f>IF(Q2186="","",TEXT(Q2186,"hh:mm:ss"))</x:f>
        <x:v>21:04:10</x:v>
      </x:c>
      <x:c r="S2186" s="12" t="str">
        <x:v>否</x:v>
      </x:c>
      <x:c r="T2186" s="12" t="str">
        <x:v>否</x:v>
      </x:c>
      <x:c r="U2186" s="12" t="str">
        <x:v>夏文新</x:v>
      </x:c>
      <x:c r="V2186" s="12" t="str">
        <x:v>4号车</x:v>
      </x:c>
      <x:c r="W2186" s="12" t="str">
        <x:v>秒级预测</x:v>
      </x:c>
      <x:c r="X2186" s="12" t="str">
        <x:v>基于路线秒级参数；如录入实测或手动采用秒，预计到达时间可随公式更新</x:v>
      </x:c>
    </x:row>
    <x:row r="2187">
      <x:c r="A2187" s="12" t="str">
        <x:v>S0189-06</x:v>
      </x:c>
      <x:c r="B2187" s="12" t="str">
        <x:v>S0189</x:v>
      </x:c>
      <x:c r="C2187" s="12" t="str">
        <x:v>周末/节假日</x:v>
      </x:c>
      <x:c r="D2187" s="12" t="str">
        <x:v>环线3路</x:v>
      </x:c>
      <x:c r="E2187" s="12" t="str">
        <x:v>第二班</x:v>
      </x:c>
      <x:c r="F2187" s="12" t="n">
        <x:v>10</x:v>
      </x:c>
      <x:c r="G2187" s="12" t="str">
        <x:v>21:00</x:v>
      </x:c>
      <x:c r="H2187" s="12" t="n">
        <x:v>1260</x:v>
      </x:c>
      <x:c r="I2187" s="12" t="str">
        <x:v>高超楼（系统工程学院旁）</x:v>
      </x:c>
      <x:c r="J2187" s="12" t="str">
        <x:v>高超楼发车</x:v>
      </x:c>
      <x:c r="K2187" s="12" t="str">
        <x:v>HX3_GAOCHAO</x:v>
      </x:c>
      <x:c r="L2187" s="12" t="n">
        <x:v>6</x:v>
      </x:c>
      <x:c r="M2187" s="12" t="str">
        <x:v>HX3_GAOCHAO|6</x:v>
      </x:c>
      <x:c r="N2187" s="12" t="str">
        <x:v>研究生宿舍楼</x:v>
      </x:c>
      <x:c r="O2187" s="12" t="n">
        <x:f>IFERROR(INDEX('秒级路线参数_可调整'!$O:$O,MATCH(M2187,'秒级路线参数_可调整'!$A:$A,0)),"")</x:f>
        <x:v>315</x:v>
      </x:c>
      <x:c r="P2187" s="12" t="n">
        <x:f>IF(O2187="","",O2187/86400)</x:f>
        <x:v>0.0036458333333333334</x:v>
      </x:c>
      <x:c r="Q2187" s="12" t="n">
        <x:f>IF(O2187="","",(H2187*60+O2187)/86400)</x:f>
        <x:v>0.8786458333333333</x:v>
      </x:c>
      <x:c r="R2187" s="12" t="str">
        <x:f>IF(Q2187="","",TEXT(Q2187,"hh:mm:ss"))</x:f>
        <x:v>21:05:15</x:v>
      </x:c>
      <x:c r="S2187" s="12" t="str">
        <x:v>否</x:v>
      </x:c>
      <x:c r="T2187" s="12" t="str">
        <x:v>否</x:v>
      </x:c>
      <x:c r="U2187" s="12" t="str">
        <x:v>夏文新</x:v>
      </x:c>
      <x:c r="V2187" s="12" t="str">
        <x:v>4号车</x:v>
      </x:c>
      <x:c r="W2187" s="12" t="str">
        <x:v>秒级预测</x:v>
      </x:c>
      <x:c r="X2187" s="12" t="str">
        <x:v>基于路线秒级参数；如录入实测或手动采用秒，预计到达时间可随公式更新</x:v>
      </x:c>
    </x:row>
    <x:row r="2188">
      <x:c r="A2188" s="12" t="str">
        <x:v>S0189-07</x:v>
      </x:c>
      <x:c r="B2188" s="12" t="str">
        <x:v>S0189</x:v>
      </x:c>
      <x:c r="C2188" s="12" t="str">
        <x:v>周末/节假日</x:v>
      </x:c>
      <x:c r="D2188" s="12" t="str">
        <x:v>环线3路</x:v>
      </x:c>
      <x:c r="E2188" s="12" t="str">
        <x:v>第二班</x:v>
      </x:c>
      <x:c r="F2188" s="12" t="n">
        <x:v>10</x:v>
      </x:c>
      <x:c r="G2188" s="12" t="str">
        <x:v>21:00</x:v>
      </x:c>
      <x:c r="H2188" s="12" t="n">
        <x:v>1260</x:v>
      </x:c>
      <x:c r="I2188" s="12" t="str">
        <x:v>高超楼（系统工程学院旁）</x:v>
      </x:c>
      <x:c r="J2188" s="12" t="str">
        <x:v>高超楼发车</x:v>
      </x:c>
      <x:c r="K2188" s="12" t="str">
        <x:v>HX3_GAOCHAO</x:v>
      </x:c>
      <x:c r="L2188" s="12" t="n">
        <x:v>7</x:v>
      </x:c>
      <x:c r="M2188" s="12" t="str">
        <x:v>HX3_GAOCHAO|7</x:v>
      </x:c>
      <x:c r="N2188" s="12" t="str">
        <x:v>一食堂</x:v>
      </x:c>
      <x:c r="O2188" s="12" t="n">
        <x:f>IFERROR(INDEX('秒级路线参数_可调整'!$O:$O,MATCH(M2188,'秒级路线参数_可调整'!$A:$A,0)),"")</x:f>
        <x:v>420</x:v>
      </x:c>
      <x:c r="P2188" s="12" t="n">
        <x:f>IF(O2188="","",O2188/86400)</x:f>
        <x:v>0.004861111111111111</x:v>
      </x:c>
      <x:c r="Q2188" s="12" t="n">
        <x:f>IF(O2188="","",(H2188*60+O2188)/86400)</x:f>
        <x:v>0.8798611111111111</x:v>
      </x:c>
      <x:c r="R2188" s="12" t="str">
        <x:f>IF(Q2188="","",TEXT(Q2188,"hh:mm:ss"))</x:f>
        <x:v>21:07:00</x:v>
      </x:c>
      <x:c r="S2188" s="12" t="str">
        <x:v>否</x:v>
      </x:c>
      <x:c r="T2188" s="12" t="str">
        <x:v>否</x:v>
      </x:c>
      <x:c r="U2188" s="12" t="str">
        <x:v>夏文新</x:v>
      </x:c>
      <x:c r="V2188" s="12" t="str">
        <x:v>4号车</x:v>
      </x:c>
      <x:c r="W2188" s="12" t="str">
        <x:v>秒级预测</x:v>
      </x:c>
      <x:c r="X2188" s="12" t="str">
        <x:v>基于路线秒级参数；如录入实测或手动采用秒，预计到达时间可随公式更新</x:v>
      </x:c>
    </x:row>
    <x:row r="2189">
      <x:c r="A2189" s="12" t="str">
        <x:v>S0189-08</x:v>
      </x:c>
      <x:c r="B2189" s="12" t="str">
        <x:v>S0189</x:v>
      </x:c>
      <x:c r="C2189" s="12" t="str">
        <x:v>周末/节假日</x:v>
      </x:c>
      <x:c r="D2189" s="12" t="str">
        <x:v>环线3路</x:v>
      </x:c>
      <x:c r="E2189" s="12" t="str">
        <x:v>第二班</x:v>
      </x:c>
      <x:c r="F2189" s="12" t="n">
        <x:v>10</x:v>
      </x:c>
      <x:c r="G2189" s="12" t="str">
        <x:v>21:00</x:v>
      </x:c>
      <x:c r="H2189" s="12" t="n">
        <x:v>1260</x:v>
      </x:c>
      <x:c r="I2189" s="12" t="str">
        <x:v>高超楼（系统工程学院旁）</x:v>
      </x:c>
      <x:c r="J2189" s="12" t="str">
        <x:v>高超楼发车</x:v>
      </x:c>
      <x:c r="K2189" s="12" t="str">
        <x:v>HX3_GAOCHAO</x:v>
      </x:c>
      <x:c r="L2189" s="12" t="n">
        <x:v>8</x:v>
      </x:c>
      <x:c r="M2189" s="12" t="str">
        <x:v>HX3_GAOCHAO|8</x:v>
      </x:c>
      <x:c r="N2189" s="12" t="str">
        <x:v>2号宿舍楼</x:v>
      </x:c>
      <x:c r="O2189" s="12" t="n">
        <x:f>IFERROR(INDEX('秒级路线参数_可调整'!$O:$O,MATCH(M2189,'秒级路线参数_可调整'!$A:$A,0)),"")</x:f>
        <x:v>480</x:v>
      </x:c>
      <x:c r="P2189" s="12" t="n">
        <x:f>IF(O2189="","",O2189/86400)</x:f>
        <x:v>0.005555555555555556</x:v>
      </x:c>
      <x:c r="Q2189" s="12" t="n">
        <x:f>IF(O2189="","",(H2189*60+O2189)/86400)</x:f>
        <x:v>0.8805555555555555</x:v>
      </x:c>
      <x:c r="R2189" s="12" t="str">
        <x:f>IF(Q2189="","",TEXT(Q2189,"hh:mm:ss"))</x:f>
        <x:v>21:08:00</x:v>
      </x:c>
      <x:c r="S2189" s="12" t="str">
        <x:v>否</x:v>
      </x:c>
      <x:c r="T2189" s="12" t="str">
        <x:v>否</x:v>
      </x:c>
      <x:c r="U2189" s="12" t="str">
        <x:v>夏文新</x:v>
      </x:c>
      <x:c r="V2189" s="12" t="str">
        <x:v>4号车</x:v>
      </x:c>
      <x:c r="W2189" s="12" t="str">
        <x:v>秒级预测</x:v>
      </x:c>
      <x:c r="X2189" s="12" t="str">
        <x:v>基于路线秒级参数；如录入实测或手动采用秒，预计到达时间可随公式更新</x:v>
      </x:c>
    </x:row>
    <x:row r="2190">
      <x:c r="A2190" s="12" t="str">
        <x:v>S0189-09</x:v>
      </x:c>
      <x:c r="B2190" s="12" t="str">
        <x:v>S0189</x:v>
      </x:c>
      <x:c r="C2190" s="12" t="str">
        <x:v>周末/节假日</x:v>
      </x:c>
      <x:c r="D2190" s="12" t="str">
        <x:v>环线3路</x:v>
      </x:c>
      <x:c r="E2190" s="12" t="str">
        <x:v>第二班</x:v>
      </x:c>
      <x:c r="F2190" s="12" t="n">
        <x:v>10</x:v>
      </x:c>
      <x:c r="G2190" s="12" t="str">
        <x:v>21:00</x:v>
      </x:c>
      <x:c r="H2190" s="12" t="n">
        <x:v>1260</x:v>
      </x:c>
      <x:c r="I2190" s="12" t="str">
        <x:v>高超楼（系统工程学院旁）</x:v>
      </x:c>
      <x:c r="J2190" s="12" t="str">
        <x:v>高超楼发车</x:v>
      </x:c>
      <x:c r="K2190" s="12" t="str">
        <x:v>HX3_GAOCHAO</x:v>
      </x:c>
      <x:c r="L2190" s="12" t="n">
        <x:v>9</x:v>
      </x:c>
      <x:c r="M2190" s="12" t="str">
        <x:v>HX3_GAOCHAO|9</x:v>
      </x:c>
      <x:c r="N2190" s="12" t="str">
        <x:v>军体活动中心</x:v>
      </x:c>
      <x:c r="O2190" s="12" t="n">
        <x:f>IFERROR(INDEX('秒级路线参数_可调整'!$O:$O,MATCH(M2190,'秒级路线参数_可调整'!$A:$A,0)),"")</x:f>
        <x:v>535</x:v>
      </x:c>
      <x:c r="P2190" s="12" t="n">
        <x:f>IF(O2190="","",O2190/86400)</x:f>
        <x:v>0.00619212962962963</x:v>
      </x:c>
      <x:c r="Q2190" s="12" t="n">
        <x:f>IF(O2190="","",(H2190*60+O2190)/86400)</x:f>
        <x:v>0.8811921296296297</x:v>
      </x:c>
      <x:c r="R2190" s="12" t="str">
        <x:f>IF(Q2190="","",TEXT(Q2190,"hh:mm:ss"))</x:f>
        <x:v>21:08:55</x:v>
      </x:c>
      <x:c r="S2190" s="12" t="str">
        <x:v>否</x:v>
      </x:c>
      <x:c r="T2190" s="12" t="str">
        <x:v>否</x:v>
      </x:c>
      <x:c r="U2190" s="12" t="str">
        <x:v>夏文新</x:v>
      </x:c>
      <x:c r="V2190" s="12" t="str">
        <x:v>4号车</x:v>
      </x:c>
      <x:c r="W2190" s="12" t="str">
        <x:v>秒级预测</x:v>
      </x:c>
      <x:c r="X2190" s="12" t="str">
        <x:v>基于路线秒级参数；如录入实测或手动采用秒，预计到达时间可随公式更新</x:v>
      </x:c>
    </x:row>
    <x:row r="2191">
      <x:c r="A2191" s="12" t="str">
        <x:v>S0189-10</x:v>
      </x:c>
      <x:c r="B2191" s="12" t="str">
        <x:v>S0189</x:v>
      </x:c>
      <x:c r="C2191" s="12" t="str">
        <x:v>周末/节假日</x:v>
      </x:c>
      <x:c r="D2191" s="12" t="str">
        <x:v>环线3路</x:v>
      </x:c>
      <x:c r="E2191" s="12" t="str">
        <x:v>第二班</x:v>
      </x:c>
      <x:c r="F2191" s="12" t="n">
        <x:v>10</x:v>
      </x:c>
      <x:c r="G2191" s="12" t="str">
        <x:v>21:00</x:v>
      </x:c>
      <x:c r="H2191" s="12" t="n">
        <x:v>1260</x:v>
      </x:c>
      <x:c r="I2191" s="12" t="str">
        <x:v>高超楼（系统工程学院旁）</x:v>
      </x:c>
      <x:c r="J2191" s="12" t="str">
        <x:v>高超楼发车</x:v>
      </x:c>
      <x:c r="K2191" s="12" t="str">
        <x:v>HX3_GAOCHAO</x:v>
      </x:c>
      <x:c r="L2191" s="12" t="n">
        <x:v>10</x:v>
      </x:c>
      <x:c r="M2191" s="12" t="str">
        <x:v>HX3_GAOCHAO|10</x:v>
      </x:c>
      <x:c r="N2191" s="12" t="str">
        <x:v>教勤连</x:v>
      </x:c>
      <x:c r="O2191" s="12" t="n">
        <x:f>IFERROR(INDEX('秒级路线参数_可调整'!$O:$O,MATCH(M2191,'秒级路线参数_可调整'!$A:$A,0)),"")</x:f>
        <x:v>715</x:v>
      </x:c>
      <x:c r="P2191" s="12" t="n">
        <x:f>IF(O2191="","",O2191/86400)</x:f>
        <x:v>0.008275462962962964</x:v>
      </x:c>
      <x:c r="Q2191" s="12" t="n">
        <x:f>IF(O2191="","",(H2191*60+O2191)/86400)</x:f>
        <x:v>0.883275462962963</x:v>
      </x:c>
      <x:c r="R2191" s="12" t="str">
        <x:f>IF(Q2191="","",TEXT(Q2191,"hh:mm:ss"))</x:f>
        <x:v>21:11:55</x:v>
      </x:c>
      <x:c r="S2191" s="12" t="str">
        <x:v>否</x:v>
      </x:c>
      <x:c r="T2191" s="12" t="str">
        <x:v>否</x:v>
      </x:c>
      <x:c r="U2191" s="12" t="str">
        <x:v>夏文新</x:v>
      </x:c>
      <x:c r="V2191" s="12" t="str">
        <x:v>4号车</x:v>
      </x:c>
      <x:c r="W2191" s="12" t="str">
        <x:v>秒级预测</x:v>
      </x:c>
      <x:c r="X2191" s="12" t="str">
        <x:v>基于路线秒级参数；如录入实测或手动采用秒，预计到达时间可随公式更新</x:v>
      </x:c>
    </x:row>
    <x:row r="2192">
      <x:c r="A2192" s="12" t="str">
        <x:v>S0189-11</x:v>
      </x:c>
      <x:c r="B2192" s="12" t="str">
        <x:v>S0189</x:v>
      </x:c>
      <x:c r="C2192" s="12" t="str">
        <x:v>周末/节假日</x:v>
      </x:c>
      <x:c r="D2192" s="12" t="str">
        <x:v>环线3路</x:v>
      </x:c>
      <x:c r="E2192" s="12" t="str">
        <x:v>第二班</x:v>
      </x:c>
      <x:c r="F2192" s="12" t="n">
        <x:v>10</x:v>
      </x:c>
      <x:c r="G2192" s="12" t="str">
        <x:v>21:00</x:v>
      </x:c>
      <x:c r="H2192" s="12" t="n">
        <x:v>1260</x:v>
      </x:c>
      <x:c r="I2192" s="12" t="str">
        <x:v>高超楼（系统工程学院旁）</x:v>
      </x:c>
      <x:c r="J2192" s="12" t="str">
        <x:v>高超楼发车</x:v>
      </x:c>
      <x:c r="K2192" s="12" t="str">
        <x:v>HX3_GAOCHAO</x:v>
      </x:c>
      <x:c r="L2192" s="12" t="n">
        <x:v>11</x:v>
      </x:c>
      <x:c r="M2192" s="12" t="str">
        <x:v>HX3_GAOCHAO|11</x:v>
      </x:c>
      <x:c r="N2192" s="12" t="str">
        <x:v>激光所</x:v>
      </x:c>
      <x:c r="O2192" s="12" t="n">
        <x:f>IFERROR(INDEX('秒级路线参数_可调整'!$O:$O,MATCH(M2192,'秒级路线参数_可调整'!$A:$A,0)),"")</x:f>
        <x:v>775</x:v>
      </x:c>
      <x:c r="P2192" s="12" t="n">
        <x:f>IF(O2192="","",O2192/86400)</x:f>
        <x:v>0.008969907407407407</x:v>
      </x:c>
      <x:c r="Q2192" s="12" t="n">
        <x:f>IF(O2192="","",(H2192*60+O2192)/86400)</x:f>
        <x:v>0.8839699074074074</x:v>
      </x:c>
      <x:c r="R2192" s="12" t="str">
        <x:f>IF(Q2192="","",TEXT(Q2192,"hh:mm:ss"))</x:f>
        <x:v>21:12:55</x:v>
      </x:c>
      <x:c r="S2192" s="12" t="str">
        <x:v>否</x:v>
      </x:c>
      <x:c r="T2192" s="12" t="str">
        <x:v>否</x:v>
      </x:c>
      <x:c r="U2192" s="12" t="str">
        <x:v>夏文新</x:v>
      </x:c>
      <x:c r="V2192" s="12" t="str">
        <x:v>4号车</x:v>
      </x:c>
      <x:c r="W2192" s="12" t="str">
        <x:v>秒级预测</x:v>
      </x:c>
      <x:c r="X2192" s="12" t="str">
        <x:v>基于路线秒级参数；如录入实测或手动采用秒，预计到达时间可随公式更新</x:v>
      </x:c>
    </x:row>
    <x:row r="2193">
      <x:c r="A2193" s="12" t="str">
        <x:v>S0189-12</x:v>
      </x:c>
      <x:c r="B2193" s="12" t="str">
        <x:v>S0189</x:v>
      </x:c>
      <x:c r="C2193" s="12" t="str">
        <x:v>周末/节假日</x:v>
      </x:c>
      <x:c r="D2193" s="12" t="str">
        <x:v>环线3路</x:v>
      </x:c>
      <x:c r="E2193" s="12" t="str">
        <x:v>第二班</x:v>
      </x:c>
      <x:c r="F2193" s="12" t="n">
        <x:v>10</x:v>
      </x:c>
      <x:c r="G2193" s="12" t="str">
        <x:v>21:00</x:v>
      </x:c>
      <x:c r="H2193" s="12" t="n">
        <x:v>1260</x:v>
      </x:c>
      <x:c r="I2193" s="12" t="str">
        <x:v>高超楼（系统工程学院旁）</x:v>
      </x:c>
      <x:c r="J2193" s="12" t="str">
        <x:v>高超楼发车</x:v>
      </x:c>
      <x:c r="K2193" s="12" t="str">
        <x:v>HX3_GAOCHAO</x:v>
      </x:c>
      <x:c r="L2193" s="12" t="n">
        <x:v>12</x:v>
      </x:c>
      <x:c r="M2193" s="12" t="str">
        <x:v>HX3_GAOCHAO|12</x:v>
      </x:c>
      <x:c r="N2193" s="12" t="str">
        <x:v>高超楼</x:v>
      </x:c>
      <x:c r="O2193" s="12" t="n">
        <x:f>IFERROR(INDEX('秒级路线参数_可调整'!$O:$O,MATCH(M2193,'秒级路线参数_可调整'!$A:$A,0)),"")</x:f>
        <x:v>840</x:v>
      </x:c>
      <x:c r="P2193" s="12" t="n">
        <x:f>IF(O2193="","",O2193/86400)</x:f>
        <x:v>0.009722222222222222</x:v>
      </x:c>
      <x:c r="Q2193" s="12" t="n">
        <x:f>IF(O2193="","",(H2193*60+O2193)/86400)</x:f>
        <x:v>0.8847222222222222</x:v>
      </x:c>
      <x:c r="R2193" s="12" t="str">
        <x:f>IF(Q2193="","",TEXT(Q2193,"hh:mm:ss"))</x:f>
        <x:v>21:14:00</x:v>
      </x:c>
      <x:c r="S2193" s="12" t="str">
        <x:v>否</x:v>
      </x:c>
      <x:c r="T2193" s="12" t="str">
        <x:v>是</x:v>
      </x:c>
      <x:c r="U2193" s="12" t="str">
        <x:v>夏文新</x:v>
      </x:c>
      <x:c r="V2193" s="12" t="str">
        <x:v>4号车</x:v>
      </x:c>
      <x:c r="W2193" s="12" t="str">
        <x:v>秒级预测</x:v>
      </x:c>
      <x:c r="X2193" s="12" t="str">
        <x:v>基于路线秒级参数；如录入实测或手动采用秒，预计到达时间可随公式更新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6.860000133514404" hidden="0" customWidth="1"/>
    <x:col min="3" max="3" width="12.789999961853027" hidden="0" customWidth="1"/>
    <x:col min="4" max="4" width="13.59000015258789" hidden="0" customWidth="1"/>
    <x:col min="5" max="5" width="11.710000038146973" hidden="0" customWidth="1"/>
    <x:col min="6" max="6" width="23.549999237060547" hidden="0" customWidth="1"/>
    <x:col min="7" max="7" width="21.670000076293945" hidden="0" customWidth="1"/>
    <x:col min="8" max="8" width="12.520000457763672" hidden="0" customWidth="1"/>
    <x:col min="9" max="9" width="13.59000015258789" hidden="0" customWidth="1"/>
    <x:col min="10" max="10" width="11.710000038146973" hidden="0" customWidth="1"/>
    <x:col min="11" max="11" width="23.549999237060547" hidden="0" customWidth="1"/>
    <x:col min="12" max="12" width="21.670000076293945" hidden="0" customWidth="1"/>
    <x:col min="13" max="13" width="12.520000457763672" hidden="0" customWidth="1"/>
    <x:col min="14" max="14" width="9.829999923706055" hidden="0" customWidth="1"/>
    <x:col min="15" max="15" width="11.710000038146973" hidden="0" customWidth="1"/>
    <x:col min="16" max="16" width="19.649999618530273" hidden="0" customWidth="1"/>
    <x:col min="17" max="17" width="9.829999923706055" hidden="0" customWidth="1"/>
    <x:col min="18" max="18" width="11.710000038146973" hidden="0" customWidth="1"/>
    <x:col min="19" max="19" width="7.809999942779541" hidden="0" customWidth="1"/>
    <x:col min="20" max="20" width="45" hidden="0" customWidth="1"/>
  </x:cols>
  <x:sheetData>
    <x:row r="1" ht="28" customHeight="1">
      <x:c r="A1" s="74" t="str">
        <x:v>适用日期</x:v>
      </x:c>
      <x:c r="B1" s="74" t="str">
        <x:v>线路</x:v>
      </x:c>
      <x:c r="C1" s="74" t="str">
        <x:v>班次</x:v>
      </x:c>
      <x:c r="D1" s="74" t="str">
        <x:v>当前发车记录ID</x:v>
      </x:c>
      <x:c r="E1" s="74" t="str">
        <x:v>当前发车时间</x:v>
      </x:c>
      <x:c r="F1" s="74" t="str">
        <x:v>当前发车站点</x:v>
      </x:c>
      <x:c r="G1" s="74" t="str">
        <x:v>当前运行路线模式</x:v>
      </x:c>
      <x:c r="H1" s="74" t="str">
        <x:v>当前路线键</x:v>
      </x:c>
      <x:c r="I1" s="74" t="str">
        <x:v>下一发车记录ID</x:v>
      </x:c>
      <x:c r="J1" s="74" t="str">
        <x:v>下一发车时间</x:v>
      </x:c>
      <x:c r="K1" s="74" t="str">
        <x:v>下一发车站点</x:v>
      </x:c>
      <x:c r="L1" s="74" t="str">
        <x:v>下一运行路线模式</x:v>
      </x:c>
      <x:c r="M1" s="74" t="str">
        <x:v>下一路线键</x:v>
      </x:c>
      <x:c r="N1" s="76" t="str">
        <x:v>发车间隔秒</x:v>
      </x:c>
      <x:c r="O1" s="77" t="str">
        <x:v>发车间隔时间</x:v>
      </x:c>
      <x:c r="P1" s="76" t="str">
        <x:v>到达下一发车点所需秒</x:v>
      </x:c>
      <x:c r="Q1" s="76" t="str">
        <x:v>预计等待秒</x:v>
      </x:c>
      <x:c r="R1" s="77" t="str">
        <x:v>预计等待时间</x:v>
      </x:c>
      <x:c r="S1" s="74" t="str">
        <x:v>校验结果</x:v>
      </x:c>
      <x:c r="T1" s="74" t="str">
        <x:v>备注</x:v>
      </x:c>
    </x:row>
    <x:row r="2">
      <x:c r="A2" s="12" t="str">
        <x:v>工作日</x:v>
      </x:c>
      <x:c r="B2" s="12" t="str">
        <x:v>环线1路</x:v>
      </x:c>
      <x:c r="C2" s="12" t="str">
        <x:v>第一班</x:v>
      </x:c>
      <x:c r="D2" s="12" t="str">
        <x:v>S0001</x:v>
      </x:c>
      <x:c r="E2" s="12" t="str">
        <x:v>7:30</x:v>
      </x:c>
      <x:c r="F2" s="12" t="str">
        <x:v>研究生宿舍楼</x:v>
      </x:c>
      <x:c r="G2" s="12" t="str">
        <x:v>研究生宿舍楼发车</x:v>
      </x:c>
      <x:c r="H2" s="12" t="str">
        <x:v>HX1_NORMAL</x:v>
      </x:c>
      <x:c r="I2" s="12" t="str">
        <x:v>S0002</x:v>
      </x:c>
      <x:c r="J2" s="12" t="str">
        <x:v>8:00</x:v>
      </x:c>
      <x:c r="K2" s="12" t="str">
        <x:v>研究生宿舍楼</x:v>
      </x:c>
      <x:c r="L2" s="12" t="str">
        <x:v>研究生宿舍楼发车</x:v>
      </x:c>
      <x:c r="M2" s="12" t="str">
        <x:v>HX1_NORMAL</x:v>
      </x:c>
      <x:c r="N2" s="12" t="n">
        <x:v>1800</x:v>
      </x:c>
      <x:c r="O2" s="12" t="n">
        <x:f>N2/86400</x:f>
        <x:v>0.020833333333333332</x:v>
      </x:c>
      <x:c r="P2" s="12" t="n">
        <x:v>945</x:v>
      </x:c>
      <x:c r="Q2" s="12" t="n">
        <x:v>855</x:v>
      </x:c>
      <x:c r="R2" s="12" t="n">
        <x:f>Q2/86400</x:f>
        <x:v>0.009895833333333333</x:v>
      </x:c>
      <x:c r="S2" s="12" t="str">
        <x:v>通过</x:v>
      </x:c>
      <x:c r="T2" s="12" t="str">
        <x:v>返回同一发车点；建议至少保留约2分钟上下客/等待冗余</x:v>
      </x:c>
    </x:row>
    <x:row r="3">
      <x:c r="A3" s="12" t="str">
        <x:v>工作日</x:v>
      </x:c>
      <x:c r="B3" s="12" t="str">
        <x:v>环线1路</x:v>
      </x:c>
      <x:c r="C3" s="12" t="str">
        <x:v>第一班</x:v>
      </x:c>
      <x:c r="D3" s="12" t="str">
        <x:v>S0002</x:v>
      </x:c>
      <x:c r="E3" s="12" t="str">
        <x:v>8:00</x:v>
      </x:c>
      <x:c r="F3" s="12" t="str">
        <x:v>研究生宿舍楼</x:v>
      </x:c>
      <x:c r="G3" s="12" t="str">
        <x:v>研究生宿舍楼发车</x:v>
      </x:c>
      <x:c r="H3" s="12" t="str">
        <x:v>HX1_NORMAL</x:v>
      </x:c>
      <x:c r="I3" s="12" t="str">
        <x:v>S0003</x:v>
      </x:c>
      <x:c r="J3" s="12" t="str">
        <x:v>8:30</x:v>
      </x:c>
      <x:c r="K3" s="12" t="str">
        <x:v>研究生宿舍楼</x:v>
      </x:c>
      <x:c r="L3" s="12" t="str">
        <x:v>研究生宿舍楼发车</x:v>
      </x:c>
      <x:c r="M3" s="12" t="str">
        <x:v>HX1_NORMAL</x:v>
      </x:c>
      <x:c r="N3" s="12" t="n">
        <x:v>1800</x:v>
      </x:c>
      <x:c r="O3" s="12" t="n">
        <x:f>N3/86400</x:f>
        <x:v>0.020833333333333332</x:v>
      </x:c>
      <x:c r="P3" s="12" t="n">
        <x:v>945</x:v>
      </x:c>
      <x:c r="Q3" s="12" t="n">
        <x:v>855</x:v>
      </x:c>
      <x:c r="R3" s="12" t="n">
        <x:f>Q3/86400</x:f>
        <x:v>0.009895833333333333</x:v>
      </x:c>
      <x:c r="S3" s="12" t="str">
        <x:v>通过</x:v>
      </x:c>
      <x:c r="T3" s="12" t="str">
        <x:v>返回同一发车点；建议至少保留约2分钟上下客/等待冗余</x:v>
      </x:c>
    </x:row>
    <x:row r="4">
      <x:c r="A4" s="12" t="str">
        <x:v>工作日</x:v>
      </x:c>
      <x:c r="B4" s="12" t="str">
        <x:v>环线1路</x:v>
      </x:c>
      <x:c r="C4" s="12" t="str">
        <x:v>第一班</x:v>
      </x:c>
      <x:c r="D4" s="12" t="str">
        <x:v>S0003</x:v>
      </x:c>
      <x:c r="E4" s="12" t="str">
        <x:v>8:30</x:v>
      </x:c>
      <x:c r="F4" s="12" t="str">
        <x:v>研究生宿舍楼</x:v>
      </x:c>
      <x:c r="G4" s="12" t="str">
        <x:v>研究生宿舍楼发车</x:v>
      </x:c>
      <x:c r="H4" s="12" t="str">
        <x:v>HX1_NORMAL</x:v>
      </x:c>
      <x:c r="I4" s="12" t="str">
        <x:v>S0004</x:v>
      </x:c>
      <x:c r="J4" s="12" t="str">
        <x:v>9:00</x:v>
      </x:c>
      <x:c r="K4" s="12" t="str">
        <x:v>研究生宿舍楼</x:v>
      </x:c>
      <x:c r="L4" s="12" t="str">
        <x:v>研究生宿舍楼发车</x:v>
      </x:c>
      <x:c r="M4" s="12" t="str">
        <x:v>HX1_NORMAL</x:v>
      </x:c>
      <x:c r="N4" s="12" t="n">
        <x:v>1800</x:v>
      </x:c>
      <x:c r="O4" s="12" t="n">
        <x:f>N4/86400</x:f>
        <x:v>0.020833333333333332</x:v>
      </x:c>
      <x:c r="P4" s="12" t="n">
        <x:v>945</x:v>
      </x:c>
      <x:c r="Q4" s="12" t="n">
        <x:v>855</x:v>
      </x:c>
      <x:c r="R4" s="12" t="n">
        <x:f>Q4/86400</x:f>
        <x:v>0.009895833333333333</x:v>
      </x:c>
      <x:c r="S4" s="12" t="str">
        <x:v>通过</x:v>
      </x:c>
      <x:c r="T4" s="12" t="str">
        <x:v>返回同一发车点；建议至少保留约2分钟上下客/等待冗余</x:v>
      </x:c>
    </x:row>
    <x:row r="5">
      <x:c r="A5" s="12" t="str">
        <x:v>工作日</x:v>
      </x:c>
      <x:c r="B5" s="12" t="str">
        <x:v>环线1路</x:v>
      </x:c>
      <x:c r="C5" s="12" t="str">
        <x:v>第一班</x:v>
      </x:c>
      <x:c r="D5" s="12" t="str">
        <x:v>S0004</x:v>
      </x:c>
      <x:c r="E5" s="12" t="str">
        <x:v>9:00</x:v>
      </x:c>
      <x:c r="F5" s="12" t="str">
        <x:v>研究生宿舍楼</x:v>
      </x:c>
      <x:c r="G5" s="12" t="str">
        <x:v>研究生宿舍楼发车</x:v>
      </x:c>
      <x:c r="H5" s="12" t="str">
        <x:v>HX1_NORMAL</x:v>
      </x:c>
      <x:c r="I5" s="12" t="str">
        <x:v>S0005</x:v>
      </x:c>
      <x:c r="J5" s="12" t="str">
        <x:v>9:36</x:v>
      </x:c>
      <x:c r="K5" s="12" t="str">
        <x:v>研究生宿舍楼</x:v>
      </x:c>
      <x:c r="L5" s="12" t="str">
        <x:v>研究生宿舍楼发车</x:v>
      </x:c>
      <x:c r="M5" s="12" t="str">
        <x:v>HX1_NORMAL</x:v>
      </x:c>
      <x:c r="N5" s="12" t="n">
        <x:v>2160</x:v>
      </x:c>
      <x:c r="O5" s="12" t="n">
        <x:f>N5/86400</x:f>
        <x:v>0.025</x:v>
      </x:c>
      <x:c r="P5" s="12" t="n">
        <x:v>945</x:v>
      </x:c>
      <x:c r="Q5" s="12" t="n">
        <x:v>1215</x:v>
      </x:c>
      <x:c r="R5" s="12" t="n">
        <x:f>Q5/86400</x:f>
        <x:v>0.0140625</x:v>
      </x:c>
      <x:c r="S5" s="12" t="str">
        <x:v>通过</x:v>
      </x:c>
      <x:c r="T5" s="12" t="str">
        <x:v>返回同一发车点；建议至少保留约2分钟上下客/等待冗余</x:v>
      </x:c>
    </x:row>
    <x:row r="6">
      <x:c r="A6" s="12" t="str">
        <x:v>工作日</x:v>
      </x:c>
      <x:c r="B6" s="12" t="str">
        <x:v>环线1路</x:v>
      </x:c>
      <x:c r="C6" s="12" t="str">
        <x:v>第一班</x:v>
      </x:c>
      <x:c r="D6" s="12" t="str">
        <x:v>S0005</x:v>
      </x:c>
      <x:c r="E6" s="12" t="str">
        <x:v>9:36</x:v>
      </x:c>
      <x:c r="F6" s="12" t="str">
        <x:v>研究生宿舍楼</x:v>
      </x:c>
      <x:c r="G6" s="12" t="str">
        <x:v>研究生宿舍楼发车</x:v>
      </x:c>
      <x:c r="H6" s="12" t="str">
        <x:v>HX1_NORMAL</x:v>
      </x:c>
      <x:c r="I6" s="12" t="str">
        <x:v>S0006</x:v>
      </x:c>
      <x:c r="J6" s="12" t="str">
        <x:v>10:15</x:v>
      </x:c>
      <x:c r="K6" s="12" t="str">
        <x:v>研究生宿舍楼</x:v>
      </x:c>
      <x:c r="L6" s="12" t="str">
        <x:v>研究生宿舍楼发车</x:v>
      </x:c>
      <x:c r="M6" s="12" t="str">
        <x:v>HX1_NORMAL</x:v>
      </x:c>
      <x:c r="N6" s="12" t="n">
        <x:v>2340</x:v>
      </x:c>
      <x:c r="O6" s="12" t="n">
        <x:f>N6/86400</x:f>
        <x:v>0.027083333333333334</x:v>
      </x:c>
      <x:c r="P6" s="12" t="n">
        <x:v>945</x:v>
      </x:c>
      <x:c r="Q6" s="12" t="n">
        <x:v>1395</x:v>
      </x:c>
      <x:c r="R6" s="12" t="n">
        <x:f>Q6/86400</x:f>
        <x:v>0.016145833333333335</x:v>
      </x:c>
      <x:c r="S6" s="12" t="str">
        <x:v>通过</x:v>
      </x:c>
      <x:c r="T6" s="12" t="str">
        <x:v>返回同一发车点；建议至少保留约2分钟上下客/等待冗余</x:v>
      </x:c>
    </x:row>
    <x:row r="7">
      <x:c r="A7" s="12" t="str">
        <x:v>工作日</x:v>
      </x:c>
      <x:c r="B7" s="12" t="str">
        <x:v>环线1路</x:v>
      </x:c>
      <x:c r="C7" s="12" t="str">
        <x:v>第一班</x:v>
      </x:c>
      <x:c r="D7" s="12" t="str">
        <x:v>S0006</x:v>
      </x:c>
      <x:c r="E7" s="12" t="str">
        <x:v>10:15</x:v>
      </x:c>
      <x:c r="F7" s="12" t="str">
        <x:v>研究生宿舍楼</x:v>
      </x:c>
      <x:c r="G7" s="12" t="str">
        <x:v>研究生宿舍楼发车</x:v>
      </x:c>
      <x:c r="H7" s="12" t="str">
        <x:v>HX1_NORMAL</x:v>
      </x:c>
      <x:c r="I7" s="12" t="str">
        <x:v>S0007</x:v>
      </x:c>
      <x:c r="J7" s="12" t="str">
        <x:v>11:15</x:v>
      </x:c>
      <x:c r="K7" s="12" t="str">
        <x:v>研究生宿舍楼</x:v>
      </x:c>
      <x:c r="L7" s="12" t="str">
        <x:v>研究生宿舍楼发车</x:v>
      </x:c>
      <x:c r="M7" s="12" t="str">
        <x:v>HX1_NORMAL</x:v>
      </x:c>
      <x:c r="N7" s="12" t="n">
        <x:v>3600</x:v>
      </x:c>
      <x:c r="O7" s="12" t="n">
        <x:f>N7/86400</x:f>
        <x:v>0.041666666666666664</x:v>
      </x:c>
      <x:c r="P7" s="12" t="n">
        <x:v>945</x:v>
      </x:c>
      <x:c r="Q7" s="12" t="n">
        <x:v>2655</x:v>
      </x:c>
      <x:c r="R7" s="12" t="n">
        <x:f>Q7/86400</x:f>
        <x:v>0.030729166666666665</x:v>
      </x:c>
      <x:c r="S7" s="12" t="str">
        <x:v>通过</x:v>
      </x:c>
      <x:c r="T7" s="12" t="str">
        <x:v>返回同一发车点；建议至少保留约2分钟上下客/等待冗余</x:v>
      </x:c>
    </x:row>
    <x:row r="8">
      <x:c r="A8" s="12" t="str">
        <x:v>工作日</x:v>
      </x:c>
      <x:c r="B8" s="12" t="str">
        <x:v>环线1路</x:v>
      </x:c>
      <x:c r="C8" s="12" t="str">
        <x:v>第一班</x:v>
      </x:c>
      <x:c r="D8" s="12" t="str">
        <x:v>S0007</x:v>
      </x:c>
      <x:c r="E8" s="12" t="str">
        <x:v>11:15</x:v>
      </x:c>
      <x:c r="F8" s="12" t="str">
        <x:v>研究生宿舍楼</x:v>
      </x:c>
      <x:c r="G8" s="12" t="str">
        <x:v>研究生宿舍楼发车</x:v>
      </x:c>
      <x:c r="H8" s="12" t="str">
        <x:v>HX1_NORMAL</x:v>
      </x:c>
      <x:c r="I8" s="12" t="str">
        <x:v>S0008</x:v>
      </x:c>
      <x:c r="J8" s="12" t="str">
        <x:v>11:30</x:v>
      </x:c>
      <x:c r="K8" s="12" t="str">
        <x:v>高超楼（就餐专线）</x:v>
      </x:c>
      <x:c r="L8" s="12" t="str">
        <x:v>高超楼发车（就餐专线）</x:v>
      </x:c>
      <x:c r="M8" s="12" t="str">
        <x:v>HX1_DINING</x:v>
      </x:c>
      <x:c r="N8" s="12" t="n">
        <x:v>900</x:v>
      </x:c>
      <x:c r="O8" s="12" t="n">
        <x:f>N8/86400</x:f>
        <x:v>0.010416666666666666</x:v>
      </x:c>
      <x:c r="P8" s="12" t="n">
        <x:v>480</x:v>
      </x:c>
      <x:c r="Q8" s="12" t="n">
        <x:v>420</x:v>
      </x:c>
      <x:c r="R8" s="12" t="n">
        <x:f>Q8/86400</x:f>
        <x:v>0.004861111111111111</x:v>
      </x:c>
      <x:c r="S8" s="12" t="str">
        <x:v>通过</x:v>
      </x:c>
      <x:c r="T8" s="12" t="str">
        <x:v>当前路线途中到达下一发车点：高超楼；建议至少保留约2分钟上下客/等待冗余</x:v>
      </x:c>
    </x:row>
    <x:row r="9">
      <x:c r="A9" s="12" t="str">
        <x:v>工作日</x:v>
      </x:c>
      <x:c r="B9" s="12" t="str">
        <x:v>环线1路</x:v>
      </x:c>
      <x:c r="C9" s="12" t="str">
        <x:v>第一班</x:v>
      </x:c>
      <x:c r="D9" s="12" t="str">
        <x:v>S0008</x:v>
      </x:c>
      <x:c r="E9" s="12" t="str">
        <x:v>11:30</x:v>
      </x:c>
      <x:c r="F9" s="12" t="str">
        <x:v>高超楼（就餐专线）</x:v>
      </x:c>
      <x:c r="G9" s="12" t="str">
        <x:v>高超楼发车（就餐专线）</x:v>
      </x:c>
      <x:c r="H9" s="12" t="str">
        <x:v>HX1_DINING</x:v>
      </x:c>
      <x:c r="I9" s="12" t="str">
        <x:v>S0009</x:v>
      </x:c>
      <x:c r="J9" s="12" t="str">
        <x:v>11:50</x:v>
      </x:c>
      <x:c r="K9" s="12" t="str">
        <x:v>高超楼（就餐专线）</x:v>
      </x:c>
      <x:c r="L9" s="12" t="str">
        <x:v>高超楼发车（就餐专线）</x:v>
      </x:c>
      <x:c r="M9" s="12" t="str">
        <x:v>HX1_DINING</x:v>
      </x:c>
      <x:c r="N9" s="12" t="n">
        <x:v>1200</x:v>
      </x:c>
      <x:c r="O9" s="12" t="n">
        <x:f>N9/86400</x:f>
        <x:v>0.013888888888888888</x:v>
      </x:c>
      <x:c r="P9" s="12" t="n">
        <x:v>850</x:v>
      </x:c>
      <x:c r="Q9" s="12" t="n">
        <x:v>350</x:v>
      </x:c>
      <x:c r="R9" s="12" t="n">
        <x:f>Q9/86400</x:f>
        <x:v>0.004050925925925926</x:v>
      </x:c>
      <x:c r="S9" s="12" t="str">
        <x:v>通过</x:v>
      </x:c>
      <x:c r="T9" s="12" t="str">
        <x:v>返回同一发车点；建议至少保留约2分钟上下客/等待冗余</x:v>
      </x:c>
    </x:row>
    <x:row r="10">
      <x:c r="A10" s="12" t="str">
        <x:v>工作日</x:v>
      </x:c>
      <x:c r="B10" s="12" t="str">
        <x:v>环线1路</x:v>
      </x:c>
      <x:c r="C10" s="12" t="str">
        <x:v>第一班</x:v>
      </x:c>
      <x:c r="D10" s="12" t="str">
        <x:v>S0009</x:v>
      </x:c>
      <x:c r="E10" s="12" t="str">
        <x:v>11:50</x:v>
      </x:c>
      <x:c r="F10" s="12" t="str">
        <x:v>高超楼（就餐专线）</x:v>
      </x:c>
      <x:c r="G10" s="12" t="str">
        <x:v>高超楼发车（就餐专线）</x:v>
      </x:c>
      <x:c r="H10" s="12" t="str">
        <x:v>HX1_DINING</x:v>
      </x:c>
      <x:c r="I10" s="12" t="str">
        <x:v>S0010</x:v>
      </x:c>
      <x:c r="J10" s="12" t="str">
        <x:v>12:10</x:v>
      </x:c>
      <x:c r="K10" s="12" t="str">
        <x:v>高超楼（就餐专线）</x:v>
      </x:c>
      <x:c r="L10" s="12" t="str">
        <x:v>高超楼发车（就餐专线）</x:v>
      </x:c>
      <x:c r="M10" s="12" t="str">
        <x:v>HX1_DINING</x:v>
      </x:c>
      <x:c r="N10" s="12" t="n">
        <x:v>1200</x:v>
      </x:c>
      <x:c r="O10" s="12" t="n">
        <x:f>N10/86400</x:f>
        <x:v>0.013888888888888888</x:v>
      </x:c>
      <x:c r="P10" s="12" t="n">
        <x:v>850</x:v>
      </x:c>
      <x:c r="Q10" s="12" t="n">
        <x:v>350</x:v>
      </x:c>
      <x:c r="R10" s="12" t="n">
        <x:f>Q10/86400</x:f>
        <x:v>0.004050925925925926</x:v>
      </x:c>
      <x:c r="S10" s="12" t="str">
        <x:v>通过</x:v>
      </x:c>
      <x:c r="T10" s="12" t="str">
        <x:v>返回同一发车点；建议至少保留约2分钟上下客/等待冗余</x:v>
      </x:c>
    </x:row>
    <x:row r="11">
      <x:c r="A11" s="12" t="str">
        <x:v>工作日</x:v>
      </x:c>
      <x:c r="B11" s="12" t="str">
        <x:v>环线1路</x:v>
      </x:c>
      <x:c r="C11" s="12" t="str">
        <x:v>第一班</x:v>
      </x:c>
      <x:c r="D11" s="12" t="str">
        <x:v>S0010</x:v>
      </x:c>
      <x:c r="E11" s="12" t="str">
        <x:v>12:10</x:v>
      </x:c>
      <x:c r="F11" s="12" t="str">
        <x:v>高超楼（就餐专线）</x:v>
      </x:c>
      <x:c r="G11" s="12" t="str">
        <x:v>高超楼发车（就餐专线）</x:v>
      </x:c>
      <x:c r="H11" s="12" t="str">
        <x:v>HX1_DINING</x:v>
      </x:c>
      <x:c r="I11" s="12" t="str">
        <x:v>S0011</x:v>
      </x:c>
      <x:c r="J11" s="12" t="str">
        <x:v>12:30</x:v>
      </x:c>
      <x:c r="K11" s="12" t="str">
        <x:v>高超楼（就餐专线）</x:v>
      </x:c>
      <x:c r="L11" s="12" t="str">
        <x:v>高超楼发车（就餐专线）</x:v>
      </x:c>
      <x:c r="M11" s="12" t="str">
        <x:v>HX1_DINING</x:v>
      </x:c>
      <x:c r="N11" s="12" t="n">
        <x:v>1200</x:v>
      </x:c>
      <x:c r="O11" s="12" t="n">
        <x:f>N11/86400</x:f>
        <x:v>0.013888888888888888</x:v>
      </x:c>
      <x:c r="P11" s="12" t="n">
        <x:v>850</x:v>
      </x:c>
      <x:c r="Q11" s="12" t="n">
        <x:v>350</x:v>
      </x:c>
      <x:c r="R11" s="12" t="n">
        <x:f>Q11/86400</x:f>
        <x:v>0.004050925925925926</x:v>
      </x:c>
      <x:c r="S11" s="12" t="str">
        <x:v>通过</x:v>
      </x:c>
      <x:c r="T11" s="12" t="str">
        <x:v>返回同一发车点；建议至少保留约2分钟上下客/等待冗余</x:v>
      </x:c>
    </x:row>
    <x:row r="12">
      <x:c r="A12" s="12" t="str">
        <x:v>工作日</x:v>
      </x:c>
      <x:c r="B12" s="12" t="str">
        <x:v>环线1路</x:v>
      </x:c>
      <x:c r="C12" s="12" t="str">
        <x:v>第三班</x:v>
      </x:c>
      <x:c r="D12" s="12" t="str">
        <x:v>S0012</x:v>
      </x:c>
      <x:c r="E12" s="12" t="str">
        <x:v>7:50</x:v>
      </x:c>
      <x:c r="F12" s="12" t="str">
        <x:v>研究生宿舍楼</x:v>
      </x:c>
      <x:c r="G12" s="12" t="str">
        <x:v>研究生宿舍楼发车</x:v>
      </x:c>
      <x:c r="H12" s="12" t="str">
        <x:v>HX1_NORMAL</x:v>
      </x:c>
      <x:c r="I12" s="12" t="str">
        <x:v>S0013</x:v>
      </x:c>
      <x:c r="J12" s="12" t="str">
        <x:v>8:20</x:v>
      </x:c>
      <x:c r="K12" s="12" t="str">
        <x:v>研究生宿舍楼</x:v>
      </x:c>
      <x:c r="L12" s="12" t="str">
        <x:v>研究生宿舍楼发车</x:v>
      </x:c>
      <x:c r="M12" s="12" t="str">
        <x:v>HX1_NORMAL</x:v>
      </x:c>
      <x:c r="N12" s="12" t="n">
        <x:v>1800</x:v>
      </x:c>
      <x:c r="O12" s="12" t="n">
        <x:f>N12/86400</x:f>
        <x:v>0.020833333333333332</x:v>
      </x:c>
      <x:c r="P12" s="12" t="n">
        <x:v>945</x:v>
      </x:c>
      <x:c r="Q12" s="12" t="n">
        <x:v>855</x:v>
      </x:c>
      <x:c r="R12" s="12" t="n">
        <x:f>Q12/86400</x:f>
        <x:v>0.009895833333333333</x:v>
      </x:c>
      <x:c r="S12" s="12" t="str">
        <x:v>通过</x:v>
      </x:c>
      <x:c r="T12" s="12" t="str">
        <x:v>返回同一发车点；建议至少保留约2分钟上下客/等待冗余</x:v>
      </x:c>
    </x:row>
    <x:row r="13">
      <x:c r="A13" s="12" t="str">
        <x:v>工作日</x:v>
      </x:c>
      <x:c r="B13" s="12" t="str">
        <x:v>环线1路</x:v>
      </x:c>
      <x:c r="C13" s="12" t="str">
        <x:v>第三班</x:v>
      </x:c>
      <x:c r="D13" s="12" t="str">
        <x:v>S0013</x:v>
      </x:c>
      <x:c r="E13" s="12" t="str">
        <x:v>8:20</x:v>
      </x:c>
      <x:c r="F13" s="12" t="str">
        <x:v>研究生宿舍楼</x:v>
      </x:c>
      <x:c r="G13" s="12" t="str">
        <x:v>研究生宿舍楼发车</x:v>
      </x:c>
      <x:c r="H13" s="12" t="str">
        <x:v>HX1_NORMAL</x:v>
      </x:c>
      <x:c r="I13" s="12" t="str">
        <x:v>S0014</x:v>
      </x:c>
      <x:c r="J13" s="12" t="str">
        <x:v>8:50</x:v>
      </x:c>
      <x:c r="K13" s="12" t="str">
        <x:v>研究生宿舍楼</x:v>
      </x:c>
      <x:c r="L13" s="12" t="str">
        <x:v>研究生宿舍楼发车</x:v>
      </x:c>
      <x:c r="M13" s="12" t="str">
        <x:v>HX1_NORMAL</x:v>
      </x:c>
      <x:c r="N13" s="12" t="n">
        <x:v>1800</x:v>
      </x:c>
      <x:c r="O13" s="12" t="n">
        <x:f>N13/86400</x:f>
        <x:v>0.020833333333333332</x:v>
      </x:c>
      <x:c r="P13" s="12" t="n">
        <x:v>945</x:v>
      </x:c>
      <x:c r="Q13" s="12" t="n">
        <x:v>855</x:v>
      </x:c>
      <x:c r="R13" s="12" t="n">
        <x:f>Q13/86400</x:f>
        <x:v>0.009895833333333333</x:v>
      </x:c>
      <x:c r="S13" s="12" t="str">
        <x:v>通过</x:v>
      </x:c>
      <x:c r="T13" s="12" t="str">
        <x:v>返回同一发车点；建议至少保留约2分钟上下客/等待冗余</x:v>
      </x:c>
    </x:row>
    <x:row r="14">
      <x:c r="A14" s="12" t="str">
        <x:v>工作日</x:v>
      </x:c>
      <x:c r="B14" s="12" t="str">
        <x:v>环线1路</x:v>
      </x:c>
      <x:c r="C14" s="12" t="str">
        <x:v>第三班</x:v>
      </x:c>
      <x:c r="D14" s="12" t="str">
        <x:v>S0014</x:v>
      </x:c>
      <x:c r="E14" s="12" t="str">
        <x:v>8:50</x:v>
      </x:c>
      <x:c r="F14" s="12" t="str">
        <x:v>研究生宿舍楼</x:v>
      </x:c>
      <x:c r="G14" s="12" t="str">
        <x:v>研究生宿舍楼发车</x:v>
      </x:c>
      <x:c r="H14" s="12" t="str">
        <x:v>HX1_NORMAL</x:v>
      </x:c>
      <x:c r="I14" s="12" t="str">
        <x:v>S0015</x:v>
      </x:c>
      <x:c r="J14" s="12" t="str">
        <x:v>9:24</x:v>
      </x:c>
      <x:c r="K14" s="12" t="str">
        <x:v>研究生宿舍楼</x:v>
      </x:c>
      <x:c r="L14" s="12" t="str">
        <x:v>研究生宿舍楼发车</x:v>
      </x:c>
      <x:c r="M14" s="12" t="str">
        <x:v>HX1_NORMAL</x:v>
      </x:c>
      <x:c r="N14" s="12" t="n">
        <x:v>2040</x:v>
      </x:c>
      <x:c r="O14" s="12" t="n">
        <x:f>N14/86400</x:f>
        <x:v>0.02361111111111111</x:v>
      </x:c>
      <x:c r="P14" s="12" t="n">
        <x:v>945</x:v>
      </x:c>
      <x:c r="Q14" s="12" t="n">
        <x:v>1095</x:v>
      </x:c>
      <x:c r="R14" s="12" t="n">
        <x:f>Q14/86400</x:f>
        <x:v>0.012673611111111111</x:v>
      </x:c>
      <x:c r="S14" s="12" t="str">
        <x:v>通过</x:v>
      </x:c>
      <x:c r="T14" s="12" t="str">
        <x:v>返回同一发车点；建议至少保留约2分钟上下客/等待冗余</x:v>
      </x:c>
    </x:row>
    <x:row r="15">
      <x:c r="A15" s="12" t="str">
        <x:v>工作日</x:v>
      </x:c>
      <x:c r="B15" s="12" t="str">
        <x:v>环线1路</x:v>
      </x:c>
      <x:c r="C15" s="12" t="str">
        <x:v>第三班</x:v>
      </x:c>
      <x:c r="D15" s="12" t="str">
        <x:v>S0015</x:v>
      </x:c>
      <x:c r="E15" s="12" t="str">
        <x:v>9:24</x:v>
      </x:c>
      <x:c r="F15" s="12" t="str">
        <x:v>研究生宿舍楼</x:v>
      </x:c>
      <x:c r="G15" s="12" t="str">
        <x:v>研究生宿舍楼发车</x:v>
      </x:c>
      <x:c r="H15" s="12" t="str">
        <x:v>HX1_NORMAL</x:v>
      </x:c>
      <x:c r="I15" s="12" t="str">
        <x:v>S0016</x:v>
      </x:c>
      <x:c r="J15" s="12" t="str">
        <x:v>10:00</x:v>
      </x:c>
      <x:c r="K15" s="12" t="str">
        <x:v>研究生宿舍楼</x:v>
      </x:c>
      <x:c r="L15" s="12" t="str">
        <x:v>研究生宿舍楼发车</x:v>
      </x:c>
      <x:c r="M15" s="12" t="str">
        <x:v>HX1_NORMAL</x:v>
      </x:c>
      <x:c r="N15" s="12" t="n">
        <x:v>2160</x:v>
      </x:c>
      <x:c r="O15" s="12" t="n">
        <x:f>N15/86400</x:f>
        <x:v>0.025</x:v>
      </x:c>
      <x:c r="P15" s="12" t="n">
        <x:v>945</x:v>
      </x:c>
      <x:c r="Q15" s="12" t="n">
        <x:v>1215</x:v>
      </x:c>
      <x:c r="R15" s="12" t="n">
        <x:f>Q15/86400</x:f>
        <x:v>0.0140625</x:v>
      </x:c>
      <x:c r="S15" s="12" t="str">
        <x:v>通过</x:v>
      </x:c>
      <x:c r="T15" s="12" t="str">
        <x:v>返回同一发车点；建议至少保留约2分钟上下客/等待冗余</x:v>
      </x:c>
    </x:row>
    <x:row r="16">
      <x:c r="A16" s="12" t="str">
        <x:v>工作日</x:v>
      </x:c>
      <x:c r="B16" s="12" t="str">
        <x:v>环线1路</x:v>
      </x:c>
      <x:c r="C16" s="12" t="str">
        <x:v>第三班</x:v>
      </x:c>
      <x:c r="D16" s="12" t="str">
        <x:v>S0016</x:v>
      </x:c>
      <x:c r="E16" s="12" t="str">
        <x:v>10:00</x:v>
      </x:c>
      <x:c r="F16" s="12" t="str">
        <x:v>研究生宿舍楼</x:v>
      </x:c>
      <x:c r="G16" s="12" t="str">
        <x:v>研究生宿舍楼发车</x:v>
      </x:c>
      <x:c r="H16" s="12" t="str">
        <x:v>HX1_NORMAL</x:v>
      </x:c>
      <x:c r="I16" s="12" t="str">
        <x:v>S0017</x:v>
      </x:c>
      <x:c r="J16" s="12" t="str">
        <x:v>10:45</x:v>
      </x:c>
      <x:c r="K16" s="12" t="str">
        <x:v>研究生宿舍楼</x:v>
      </x:c>
      <x:c r="L16" s="12" t="str">
        <x:v>研究生宿舍楼发车</x:v>
      </x:c>
      <x:c r="M16" s="12" t="str">
        <x:v>HX1_NORMAL</x:v>
      </x:c>
      <x:c r="N16" s="12" t="n">
        <x:v>2700</x:v>
      </x:c>
      <x:c r="O16" s="12" t="n">
        <x:f>N16/86400</x:f>
        <x:v>0.03125</x:v>
      </x:c>
      <x:c r="P16" s="12" t="n">
        <x:v>945</x:v>
      </x:c>
      <x:c r="Q16" s="12" t="n">
        <x:v>1755</x:v>
      </x:c>
      <x:c r="R16" s="12" t="n">
        <x:f>Q16/86400</x:f>
        <x:v>0.0203125</x:v>
      </x:c>
      <x:c r="S16" s="12" t="str">
        <x:v>通过</x:v>
      </x:c>
      <x:c r="T16" s="12" t="str">
        <x:v>返回同一发车点；建议至少保留约2分钟上下客/等待冗余</x:v>
      </x:c>
    </x:row>
    <x:row r="17">
      <x:c r="A17" s="12" t="str">
        <x:v>工作日</x:v>
      </x:c>
      <x:c r="B17" s="12" t="str">
        <x:v>环线1路</x:v>
      </x:c>
      <x:c r="C17" s="12" t="str">
        <x:v>第三班</x:v>
      </x:c>
      <x:c r="D17" s="12" t="str">
        <x:v>S0017</x:v>
      </x:c>
      <x:c r="E17" s="12" t="str">
        <x:v>10:45</x:v>
      </x:c>
      <x:c r="F17" s="12" t="str">
        <x:v>研究生宿舍楼</x:v>
      </x:c>
      <x:c r="G17" s="12" t="str">
        <x:v>研究生宿舍楼发车</x:v>
      </x:c>
      <x:c r="H17" s="12" t="str">
        <x:v>HX1_NORMAL</x:v>
      </x:c>
      <x:c r="I17" s="12" t="str">
        <x:v>S0018</x:v>
      </x:c>
      <x:c r="J17" s="12" t="str">
        <x:v>11:30</x:v>
      </x:c>
      <x:c r="K17" s="12" t="str">
        <x:v>研究生宿舍楼</x:v>
      </x:c>
      <x:c r="L17" s="12" t="str">
        <x:v>研究生宿舍楼发车</x:v>
      </x:c>
      <x:c r="M17" s="12" t="str">
        <x:v>HX1_NORMAL</x:v>
      </x:c>
      <x:c r="N17" s="12" t="n">
        <x:v>2700</x:v>
      </x:c>
      <x:c r="O17" s="12" t="n">
        <x:f>N17/86400</x:f>
        <x:v>0.03125</x:v>
      </x:c>
      <x:c r="P17" s="12" t="n">
        <x:v>945</x:v>
      </x:c>
      <x:c r="Q17" s="12" t="n">
        <x:v>1755</x:v>
      </x:c>
      <x:c r="R17" s="12" t="n">
        <x:f>Q17/86400</x:f>
        <x:v>0.0203125</x:v>
      </x:c>
      <x:c r="S17" s="12" t="str">
        <x:v>通过</x:v>
      </x:c>
      <x:c r="T17" s="12" t="str">
        <x:v>返回同一发车点；建议至少保留约2分钟上下客/等待冗余</x:v>
      </x:c>
    </x:row>
    <x:row r="18">
      <x:c r="A18" s="12" t="str">
        <x:v>工作日</x:v>
      </x:c>
      <x:c r="B18" s="12" t="str">
        <x:v>环线1路</x:v>
      </x:c>
      <x:c r="C18" s="12" t="str">
        <x:v>第三班</x:v>
      </x:c>
      <x:c r="D18" s="12" t="str">
        <x:v>S0018</x:v>
      </x:c>
      <x:c r="E18" s="12" t="str">
        <x:v>11:30</x:v>
      </x:c>
      <x:c r="F18" s="12" t="str">
        <x:v>研究生宿舍楼</x:v>
      </x:c>
      <x:c r="G18" s="12" t="str">
        <x:v>研究生宿舍楼发车</x:v>
      </x:c>
      <x:c r="H18" s="12" t="str">
        <x:v>HX1_NORMAL</x:v>
      </x:c>
      <x:c r="I18" s="12" t="str">
        <x:v>S0019</x:v>
      </x:c>
      <x:c r="J18" s="12" t="str">
        <x:v>11:50</x:v>
      </x:c>
      <x:c r="K18" s="12" t="str">
        <x:v>研究生宿舍楼</x:v>
      </x:c>
      <x:c r="L18" s="12" t="str">
        <x:v>研究生宿舍楼发车</x:v>
      </x:c>
      <x:c r="M18" s="12" t="str">
        <x:v>HX1_NORMAL</x:v>
      </x:c>
      <x:c r="N18" s="12" t="n">
        <x:v>1200</x:v>
      </x:c>
      <x:c r="O18" s="12" t="n">
        <x:f>N18/86400</x:f>
        <x:v>0.013888888888888888</x:v>
      </x:c>
      <x:c r="P18" s="12" t="n">
        <x:v>945</x:v>
      </x:c>
      <x:c r="Q18" s="12" t="n">
        <x:v>255</x:v>
      </x:c>
      <x:c r="R18" s="12" t="n">
        <x:f>Q18/86400</x:f>
        <x:v>0.002951388888888889</x:v>
      </x:c>
      <x:c r="S18" s="12" t="str">
        <x:v>通过</x:v>
      </x:c>
      <x:c r="T18" s="12" t="str">
        <x:v>返回同一发车点；建议至少保留约2分钟上下客/等待冗余</x:v>
      </x:c>
    </x:row>
    <x:row r="19">
      <x:c r="A19" s="12" t="str">
        <x:v>工作日</x:v>
      </x:c>
      <x:c r="B19" s="12" t="str">
        <x:v>环线1路</x:v>
      </x:c>
      <x:c r="C19" s="12" t="str">
        <x:v>第三班</x:v>
      </x:c>
      <x:c r="D19" s="12" t="str">
        <x:v>S0019</x:v>
      </x:c>
      <x:c r="E19" s="12" t="str">
        <x:v>11:50</x:v>
      </x:c>
      <x:c r="F19" s="12" t="str">
        <x:v>研究生宿舍楼</x:v>
      </x:c>
      <x:c r="G19" s="12" t="str">
        <x:v>研究生宿舍楼发车</x:v>
      </x:c>
      <x:c r="H19" s="12" t="str">
        <x:v>HX1_NORMAL</x:v>
      </x:c>
      <x:c r="I19" s="12" t="str">
        <x:v>S0020</x:v>
      </x:c>
      <x:c r="J19" s="12" t="str">
        <x:v>12:25</x:v>
      </x:c>
      <x:c r="K19" s="12" t="str">
        <x:v>研究生宿舍楼</x:v>
      </x:c>
      <x:c r="L19" s="12" t="str">
        <x:v>研究生宿舍楼发车</x:v>
      </x:c>
      <x:c r="M19" s="12" t="str">
        <x:v>HX1_NORMAL</x:v>
      </x:c>
      <x:c r="N19" s="12" t="n">
        <x:v>2100</x:v>
      </x:c>
      <x:c r="O19" s="12" t="n">
        <x:f>N19/86400</x:f>
        <x:v>0.024305555555555556</x:v>
      </x:c>
      <x:c r="P19" s="12" t="n">
        <x:v>945</x:v>
      </x:c>
      <x:c r="Q19" s="12" t="n">
        <x:v>1155</x:v>
      </x:c>
      <x:c r="R19" s="12" t="n">
        <x:f>Q19/86400</x:f>
        <x:v>0.013368055555555555</x:v>
      </x:c>
      <x:c r="S19" s="12" t="str">
        <x:v>通过</x:v>
      </x:c>
      <x:c r="T19" s="12" t="str">
        <x:v>返回同一发车点；建议至少保留约2分钟上下客/等待冗余</x:v>
      </x:c>
    </x:row>
    <x:row r="20">
      <x:c r="A20" s="12" t="str">
        <x:v>工作日</x:v>
      </x:c>
      <x:c r="B20" s="12" t="str">
        <x:v>环线1路</x:v>
      </x:c>
      <x:c r="C20" s="12" t="str">
        <x:v>第三班</x:v>
      </x:c>
      <x:c r="D20" s="12" t="str">
        <x:v>S0020</x:v>
      </x:c>
      <x:c r="E20" s="12" t="str">
        <x:v>12:25</x:v>
      </x:c>
      <x:c r="F20" s="12" t="str">
        <x:v>研究生宿舍楼</x:v>
      </x:c>
      <x:c r="G20" s="12" t="str">
        <x:v>研究生宿舍楼发车</x:v>
      </x:c>
      <x:c r="H20" s="12" t="str">
        <x:v>HX1_NORMAL</x:v>
      </x:c>
      <x:c r="I20" s="12" t="str">
        <x:v>S0021</x:v>
      </x:c>
      <x:c r="J20" s="12" t="str">
        <x:v>14:00</x:v>
      </x:c>
      <x:c r="K20" s="12" t="str">
        <x:v>研究生宿舍楼</x:v>
      </x:c>
      <x:c r="L20" s="12" t="str">
        <x:v>研究生宿舍楼发车</x:v>
      </x:c>
      <x:c r="M20" s="12" t="str">
        <x:v>HX1_NORMAL</x:v>
      </x:c>
      <x:c r="N20" s="12" t="n">
        <x:v>5700</x:v>
      </x:c>
      <x:c r="O20" s="12" t="n">
        <x:f>N20/86400</x:f>
        <x:v>0.06597222222222222</x:v>
      </x:c>
      <x:c r="P20" s="12" t="n">
        <x:v>945</x:v>
      </x:c>
      <x:c r="Q20" s="12" t="n">
        <x:v>4755</x:v>
      </x:c>
      <x:c r="R20" s="12" t="n">
        <x:f>Q20/86400</x:f>
        <x:v>0.05503472222222222</x:v>
      </x:c>
      <x:c r="S20" s="12" t="str">
        <x:v>通过</x:v>
      </x:c>
      <x:c r="T20" s="12" t="str">
        <x:v>返回同一发车点；建议至少保留约2分钟上下客/等待冗余</x:v>
      </x:c>
    </x:row>
    <x:row r="21">
      <x:c r="A21" s="12" t="str">
        <x:v>工作日</x:v>
      </x:c>
      <x:c r="B21" s="12" t="str">
        <x:v>环线1路</x:v>
      </x:c>
      <x:c r="C21" s="12" t="str">
        <x:v>第三班</x:v>
      </x:c>
      <x:c r="D21" s="12" t="str">
        <x:v>S0021</x:v>
      </x:c>
      <x:c r="E21" s="12" t="str">
        <x:v>14:00</x:v>
      </x:c>
      <x:c r="F21" s="12" t="str">
        <x:v>研究生宿舍楼</x:v>
      </x:c>
      <x:c r="G21" s="12" t="str">
        <x:v>研究生宿舍楼发车</x:v>
      </x:c>
      <x:c r="H21" s="12" t="str">
        <x:v>HX1_NORMAL</x:v>
      </x:c>
      <x:c r="I21" s="12" t="str">
        <x:v>S0022</x:v>
      </x:c>
      <x:c r="J21" s="12" t="str">
        <x:v>14:36</x:v>
      </x:c>
      <x:c r="K21" s="12" t="str">
        <x:v>研究生宿舍楼</x:v>
      </x:c>
      <x:c r="L21" s="12" t="str">
        <x:v>研究生宿舍楼发车</x:v>
      </x:c>
      <x:c r="M21" s="12" t="str">
        <x:v>HX1_NORMAL</x:v>
      </x:c>
      <x:c r="N21" s="12" t="n">
        <x:v>2160</x:v>
      </x:c>
      <x:c r="O21" s="12" t="n">
        <x:f>N21/86400</x:f>
        <x:v>0.025</x:v>
      </x:c>
      <x:c r="P21" s="12" t="n">
        <x:v>945</x:v>
      </x:c>
      <x:c r="Q21" s="12" t="n">
        <x:v>1215</x:v>
      </x:c>
      <x:c r="R21" s="12" t="n">
        <x:f>Q21/86400</x:f>
        <x:v>0.0140625</x:v>
      </x:c>
      <x:c r="S21" s="12" t="str">
        <x:v>通过</x:v>
      </x:c>
      <x:c r="T21" s="12" t="str">
        <x:v>返回同一发车点；建议至少保留约2分钟上下客/等待冗余</x:v>
      </x:c>
    </x:row>
    <x:row r="22">
      <x:c r="A22" s="12" t="str">
        <x:v>工作日</x:v>
      </x:c>
      <x:c r="B22" s="12" t="str">
        <x:v>环线1路</x:v>
      </x:c>
      <x:c r="C22" s="12" t="str">
        <x:v>第三班</x:v>
      </x:c>
      <x:c r="D22" s="12" t="str">
        <x:v>S0022</x:v>
      </x:c>
      <x:c r="E22" s="12" t="str">
        <x:v>14:36</x:v>
      </x:c>
      <x:c r="F22" s="12" t="str">
        <x:v>研究生宿舍楼</x:v>
      </x:c>
      <x:c r="G22" s="12" t="str">
        <x:v>研究生宿舍楼发车</x:v>
      </x:c>
      <x:c r="H22" s="12" t="str">
        <x:v>HX1_NORMAL</x:v>
      </x:c>
      <x:c r="I22" s="12" t="str">
        <x:v>S0023</x:v>
      </x:c>
      <x:c r="J22" s="12" t="str">
        <x:v>15:20</x:v>
      </x:c>
      <x:c r="K22" s="12" t="str">
        <x:v>研究生宿舍楼</x:v>
      </x:c>
      <x:c r="L22" s="12" t="str">
        <x:v>研究生宿舍楼发车</x:v>
      </x:c>
      <x:c r="M22" s="12" t="str">
        <x:v>HX1_NORMAL</x:v>
      </x:c>
      <x:c r="N22" s="12" t="n">
        <x:v>2640</x:v>
      </x:c>
      <x:c r="O22" s="12" t="n">
        <x:f>N22/86400</x:f>
        <x:v>0.030555555555555555</x:v>
      </x:c>
      <x:c r="P22" s="12" t="n">
        <x:v>945</x:v>
      </x:c>
      <x:c r="Q22" s="12" t="n">
        <x:v>1695</x:v>
      </x:c>
      <x:c r="R22" s="12" t="n">
        <x:f>Q22/86400</x:f>
        <x:v>0.019618055555555555</x:v>
      </x:c>
      <x:c r="S22" s="12" t="str">
        <x:v>通过</x:v>
      </x:c>
      <x:c r="T22" s="12" t="str">
        <x:v>返回同一发车点；建议至少保留约2分钟上下客/等待冗余</x:v>
      </x:c>
    </x:row>
    <x:row r="23">
      <x:c r="A23" s="12" t="str">
        <x:v>工作日</x:v>
      </x:c>
      <x:c r="B23" s="12" t="str">
        <x:v>环线1路</x:v>
      </x:c>
      <x:c r="C23" s="12" t="str">
        <x:v>第三班</x:v>
      </x:c>
      <x:c r="D23" s="12" t="str">
        <x:v>S0023</x:v>
      </x:c>
      <x:c r="E23" s="12" t="str">
        <x:v>15:20</x:v>
      </x:c>
      <x:c r="F23" s="12" t="str">
        <x:v>研究生宿舍楼</x:v>
      </x:c>
      <x:c r="G23" s="12" t="str">
        <x:v>研究生宿舍楼发车</x:v>
      </x:c>
      <x:c r="H23" s="12" t="str">
        <x:v>HX1_NORMAL</x:v>
      </x:c>
      <x:c r="I23" s="12" t="str">
        <x:v>S0024</x:v>
      </x:c>
      <x:c r="J23" s="12" t="str">
        <x:v>16:30</x:v>
      </x:c>
      <x:c r="K23" s="12" t="str">
        <x:v>研究生宿舍楼</x:v>
      </x:c>
      <x:c r="L23" s="12" t="str">
        <x:v>研究生宿舍楼发车</x:v>
      </x:c>
      <x:c r="M23" s="12" t="str">
        <x:v>HX1_NORMAL</x:v>
      </x:c>
      <x:c r="N23" s="12" t="n">
        <x:v>4200</x:v>
      </x:c>
      <x:c r="O23" s="12" t="n">
        <x:f>N23/86400</x:f>
        <x:v>0.04861111111111111</x:v>
      </x:c>
      <x:c r="P23" s="12" t="n">
        <x:v>945</x:v>
      </x:c>
      <x:c r="Q23" s="12" t="n">
        <x:v>3255</x:v>
      </x:c>
      <x:c r="R23" s="12" t="n">
        <x:f>Q23/86400</x:f>
        <x:v>0.03767361111111111</x:v>
      </x:c>
      <x:c r="S23" s="12" t="str">
        <x:v>通过</x:v>
      </x:c>
      <x:c r="T23" s="12" t="str">
        <x:v>返回同一发车点；建议至少保留约2分钟上下客/等待冗余</x:v>
      </x:c>
    </x:row>
    <x:row r="24">
      <x:c r="A24" s="12" t="str">
        <x:v>工作日</x:v>
      </x:c>
      <x:c r="B24" s="12" t="str">
        <x:v>环线1路</x:v>
      </x:c>
      <x:c r="C24" s="12" t="str">
        <x:v>第三班</x:v>
      </x:c>
      <x:c r="D24" s="12" t="str">
        <x:v>S0024</x:v>
      </x:c>
      <x:c r="E24" s="12" t="str">
        <x:v>16:30</x:v>
      </x:c>
      <x:c r="F24" s="12" t="str">
        <x:v>研究生宿舍楼</x:v>
      </x:c>
      <x:c r="G24" s="12" t="str">
        <x:v>研究生宿舍楼发车</x:v>
      </x:c>
      <x:c r="H24" s="12" t="str">
        <x:v>HX1_NORMAL</x:v>
      </x:c>
      <x:c r="I24" s="12" t="str">
        <x:v>S0025</x:v>
      </x:c>
      <x:c r="J24" s="12" t="str">
        <x:v>17:15</x:v>
      </x:c>
      <x:c r="K24" s="12" t="str">
        <x:v>研究生宿舍楼</x:v>
      </x:c>
      <x:c r="L24" s="12" t="str">
        <x:v>研究生宿舍楼发车</x:v>
      </x:c>
      <x:c r="M24" s="12" t="str">
        <x:v>HX1_NORMAL</x:v>
      </x:c>
      <x:c r="N24" s="12" t="n">
        <x:v>2700</x:v>
      </x:c>
      <x:c r="O24" s="12" t="n">
        <x:f>N24/86400</x:f>
        <x:v>0.03125</x:v>
      </x:c>
      <x:c r="P24" s="12" t="n">
        <x:v>945</x:v>
      </x:c>
      <x:c r="Q24" s="12" t="n">
        <x:v>1755</x:v>
      </x:c>
      <x:c r="R24" s="12" t="n">
        <x:f>Q24/86400</x:f>
        <x:v>0.0203125</x:v>
      </x:c>
      <x:c r="S24" s="12" t="str">
        <x:v>通过</x:v>
      </x:c>
      <x:c r="T24" s="12" t="str">
        <x:v>返回同一发车点；建议至少保留约2分钟上下客/等待冗余</x:v>
      </x:c>
    </x:row>
    <x:row r="25">
      <x:c r="A25" s="12" t="str">
        <x:v>工作日</x:v>
      </x:c>
      <x:c r="B25" s="12" t="str">
        <x:v>环线1路</x:v>
      </x:c>
      <x:c r="C25" s="12" t="str">
        <x:v>第三班</x:v>
      </x:c>
      <x:c r="D25" s="12" t="str">
        <x:v>S0025</x:v>
      </x:c>
      <x:c r="E25" s="12" t="str">
        <x:v>17:15</x:v>
      </x:c>
      <x:c r="F25" s="12" t="str">
        <x:v>研究生宿舍楼</x:v>
      </x:c>
      <x:c r="G25" s="12" t="str">
        <x:v>研究生宿舍楼发车</x:v>
      </x:c>
      <x:c r="H25" s="12" t="str">
        <x:v>HX1_NORMAL</x:v>
      </x:c>
      <x:c r="I25" s="12" t="str">
        <x:v>S0026</x:v>
      </x:c>
      <x:c r="J25" s="12" t="str">
        <x:v>18:00</x:v>
      </x:c>
      <x:c r="K25" s="12" t="str">
        <x:v>研究生宿舍楼</x:v>
      </x:c>
      <x:c r="L25" s="12" t="str">
        <x:v>研究生宿舍楼发车</x:v>
      </x:c>
      <x:c r="M25" s="12" t="str">
        <x:v>HX1_NORMAL</x:v>
      </x:c>
      <x:c r="N25" s="12" t="n">
        <x:v>2700</x:v>
      </x:c>
      <x:c r="O25" s="12" t="n">
        <x:f>N25/86400</x:f>
        <x:v>0.03125</x:v>
      </x:c>
      <x:c r="P25" s="12" t="n">
        <x:v>945</x:v>
      </x:c>
      <x:c r="Q25" s="12" t="n">
        <x:v>1755</x:v>
      </x:c>
      <x:c r="R25" s="12" t="n">
        <x:f>Q25/86400</x:f>
        <x:v>0.0203125</x:v>
      </x:c>
      <x:c r="S25" s="12" t="str">
        <x:v>通过</x:v>
      </x:c>
      <x:c r="T25" s="12" t="str">
        <x:v>返回同一发车点；建议至少保留约2分钟上下客/等待冗余</x:v>
      </x:c>
    </x:row>
    <x:row r="26">
      <x:c r="A26" s="12" t="str">
        <x:v>工作日</x:v>
      </x:c>
      <x:c r="B26" s="12" t="str">
        <x:v>环线1路</x:v>
      </x:c>
      <x:c r="C26" s="12" t="str">
        <x:v>第二班</x:v>
      </x:c>
      <x:c r="D26" s="12" t="str">
        <x:v>S0027</x:v>
      </x:c>
      <x:c r="E26" s="12" t="str">
        <x:v>7:40</x:v>
      </x:c>
      <x:c r="F26" s="12" t="str">
        <x:v>研究生宿舍楼</x:v>
      </x:c>
      <x:c r="G26" s="12" t="str">
        <x:v>研究生宿舍楼发车</x:v>
      </x:c>
      <x:c r="H26" s="12" t="str">
        <x:v>HX1_NORMAL</x:v>
      </x:c>
      <x:c r="I26" s="12" t="str">
        <x:v>S0028</x:v>
      </x:c>
      <x:c r="J26" s="12" t="str">
        <x:v>8:10</x:v>
      </x:c>
      <x:c r="K26" s="12" t="str">
        <x:v>研究生宿舍楼</x:v>
      </x:c>
      <x:c r="L26" s="12" t="str">
        <x:v>研究生宿舍楼发车</x:v>
      </x:c>
      <x:c r="M26" s="12" t="str">
        <x:v>HX1_NORMAL</x:v>
      </x:c>
      <x:c r="N26" s="12" t="n">
        <x:v>1800</x:v>
      </x:c>
      <x:c r="O26" s="12" t="n">
        <x:f>N26/86400</x:f>
        <x:v>0.020833333333333332</x:v>
      </x:c>
      <x:c r="P26" s="12" t="n">
        <x:v>945</x:v>
      </x:c>
      <x:c r="Q26" s="12" t="n">
        <x:v>855</x:v>
      </x:c>
      <x:c r="R26" s="12" t="n">
        <x:f>Q26/86400</x:f>
        <x:v>0.009895833333333333</x:v>
      </x:c>
      <x:c r="S26" s="12" t="str">
        <x:v>通过</x:v>
      </x:c>
      <x:c r="T26" s="12" t="str">
        <x:v>返回同一发车点；建议至少保留约2分钟上下客/等待冗余</x:v>
      </x:c>
    </x:row>
    <x:row r="27">
      <x:c r="A27" s="12" t="str">
        <x:v>工作日</x:v>
      </x:c>
      <x:c r="B27" s="12" t="str">
        <x:v>环线1路</x:v>
      </x:c>
      <x:c r="C27" s="12" t="str">
        <x:v>第二班</x:v>
      </x:c>
      <x:c r="D27" s="12" t="str">
        <x:v>S0028</x:v>
      </x:c>
      <x:c r="E27" s="12" t="str">
        <x:v>8:10</x:v>
      </x:c>
      <x:c r="F27" s="12" t="str">
        <x:v>研究生宿舍楼</x:v>
      </x:c>
      <x:c r="G27" s="12" t="str">
        <x:v>研究生宿舍楼发车</x:v>
      </x:c>
      <x:c r="H27" s="12" t="str">
        <x:v>HX1_NORMAL</x:v>
      </x:c>
      <x:c r="I27" s="12" t="str">
        <x:v>S0029</x:v>
      </x:c>
      <x:c r="J27" s="12" t="str">
        <x:v>8:40</x:v>
      </x:c>
      <x:c r="K27" s="12" t="str">
        <x:v>研究生宿舍楼</x:v>
      </x:c>
      <x:c r="L27" s="12" t="str">
        <x:v>研究生宿舍楼发车</x:v>
      </x:c>
      <x:c r="M27" s="12" t="str">
        <x:v>HX1_NORMAL</x:v>
      </x:c>
      <x:c r="N27" s="12" t="n">
        <x:v>1800</x:v>
      </x:c>
      <x:c r="O27" s="12" t="n">
        <x:f>N27/86400</x:f>
        <x:v>0.020833333333333332</x:v>
      </x:c>
      <x:c r="P27" s="12" t="n">
        <x:v>945</x:v>
      </x:c>
      <x:c r="Q27" s="12" t="n">
        <x:v>855</x:v>
      </x:c>
      <x:c r="R27" s="12" t="n">
        <x:f>Q27/86400</x:f>
        <x:v>0.009895833333333333</x:v>
      </x:c>
      <x:c r="S27" s="12" t="str">
        <x:v>通过</x:v>
      </x:c>
      <x:c r="T27" s="12" t="str">
        <x:v>返回同一发车点；建议至少保留约2分钟上下客/等待冗余</x:v>
      </x:c>
    </x:row>
    <x:row r="28">
      <x:c r="A28" s="12" t="str">
        <x:v>工作日</x:v>
      </x:c>
      <x:c r="B28" s="12" t="str">
        <x:v>环线1路</x:v>
      </x:c>
      <x:c r="C28" s="12" t="str">
        <x:v>第二班</x:v>
      </x:c>
      <x:c r="D28" s="12" t="str">
        <x:v>S0029</x:v>
      </x:c>
      <x:c r="E28" s="12" t="str">
        <x:v>8:40</x:v>
      </x:c>
      <x:c r="F28" s="12" t="str">
        <x:v>研究生宿舍楼</x:v>
      </x:c>
      <x:c r="G28" s="12" t="str">
        <x:v>研究生宿舍楼发车</x:v>
      </x:c>
      <x:c r="H28" s="12" t="str">
        <x:v>HX1_NORMAL</x:v>
      </x:c>
      <x:c r="I28" s="12" t="str">
        <x:v>S0030</x:v>
      </x:c>
      <x:c r="J28" s="12" t="str">
        <x:v>9:12</x:v>
      </x:c>
      <x:c r="K28" s="12" t="str">
        <x:v>研究生宿舍楼</x:v>
      </x:c>
      <x:c r="L28" s="12" t="str">
        <x:v>研究生宿舍楼发车</x:v>
      </x:c>
      <x:c r="M28" s="12" t="str">
        <x:v>HX1_NORMAL</x:v>
      </x:c>
      <x:c r="N28" s="12" t="n">
        <x:v>1920</x:v>
      </x:c>
      <x:c r="O28" s="12" t="n">
        <x:f>N28/86400</x:f>
        <x:v>0.022222222222222223</x:v>
      </x:c>
      <x:c r="P28" s="12" t="n">
        <x:v>945</x:v>
      </x:c>
      <x:c r="Q28" s="12" t="n">
        <x:v>975</x:v>
      </x:c>
      <x:c r="R28" s="12" t="n">
        <x:f>Q28/86400</x:f>
        <x:v>0.011284722222222222</x:v>
      </x:c>
      <x:c r="S28" s="12" t="str">
        <x:v>通过</x:v>
      </x:c>
      <x:c r="T28" s="12" t="str">
        <x:v>返回同一发车点；建议至少保留约2分钟上下客/等待冗余</x:v>
      </x:c>
    </x:row>
    <x:row r="29">
      <x:c r="A29" s="12" t="str">
        <x:v>工作日</x:v>
      </x:c>
      <x:c r="B29" s="12" t="str">
        <x:v>环线1路</x:v>
      </x:c>
      <x:c r="C29" s="12" t="str">
        <x:v>第二班</x:v>
      </x:c>
      <x:c r="D29" s="12" t="str">
        <x:v>S0030</x:v>
      </x:c>
      <x:c r="E29" s="12" t="str">
        <x:v>9:12</x:v>
      </x:c>
      <x:c r="F29" s="12" t="str">
        <x:v>研究生宿舍楼</x:v>
      </x:c>
      <x:c r="G29" s="12" t="str">
        <x:v>研究生宿舍楼发车</x:v>
      </x:c>
      <x:c r="H29" s="12" t="str">
        <x:v>HX1_NORMAL</x:v>
      </x:c>
      <x:c r="I29" s="12" t="str">
        <x:v>S0031</x:v>
      </x:c>
      <x:c r="J29" s="12" t="str">
        <x:v>9:48</x:v>
      </x:c>
      <x:c r="K29" s="12" t="str">
        <x:v>研究生宿舍楼</x:v>
      </x:c>
      <x:c r="L29" s="12" t="str">
        <x:v>研究生宿舍楼发车</x:v>
      </x:c>
      <x:c r="M29" s="12" t="str">
        <x:v>HX1_NORMAL</x:v>
      </x:c>
      <x:c r="N29" s="12" t="n">
        <x:v>2160</x:v>
      </x:c>
      <x:c r="O29" s="12" t="n">
        <x:f>N29/86400</x:f>
        <x:v>0.025</x:v>
      </x:c>
      <x:c r="P29" s="12" t="n">
        <x:v>945</x:v>
      </x:c>
      <x:c r="Q29" s="12" t="n">
        <x:v>1215</x:v>
      </x:c>
      <x:c r="R29" s="12" t="n">
        <x:f>Q29/86400</x:f>
        <x:v>0.0140625</x:v>
      </x:c>
      <x:c r="S29" s="12" t="str">
        <x:v>通过</x:v>
      </x:c>
      <x:c r="T29" s="12" t="str">
        <x:v>返回同一发车点；建议至少保留约2分钟上下客/等待冗余</x:v>
      </x:c>
    </x:row>
    <x:row r="30">
      <x:c r="A30" s="12" t="str">
        <x:v>工作日</x:v>
      </x:c>
      <x:c r="B30" s="12" t="str">
        <x:v>环线1路</x:v>
      </x:c>
      <x:c r="C30" s="12" t="str">
        <x:v>第二班</x:v>
      </x:c>
      <x:c r="D30" s="12" t="str">
        <x:v>S0031</x:v>
      </x:c>
      <x:c r="E30" s="12" t="str">
        <x:v>9:48</x:v>
      </x:c>
      <x:c r="F30" s="12" t="str">
        <x:v>研究生宿舍楼</x:v>
      </x:c>
      <x:c r="G30" s="12" t="str">
        <x:v>研究生宿舍楼发车</x:v>
      </x:c>
      <x:c r="H30" s="12" t="str">
        <x:v>HX1_NORMAL</x:v>
      </x:c>
      <x:c r="I30" s="12" t="str">
        <x:v>S0032</x:v>
      </x:c>
      <x:c r="J30" s="12" t="str">
        <x:v>10:30</x:v>
      </x:c>
      <x:c r="K30" s="12" t="str">
        <x:v>研究生宿舍楼</x:v>
      </x:c>
      <x:c r="L30" s="12" t="str">
        <x:v>研究生宿舍楼发车</x:v>
      </x:c>
      <x:c r="M30" s="12" t="str">
        <x:v>HX1_NORMAL</x:v>
      </x:c>
      <x:c r="N30" s="12" t="n">
        <x:v>2520</x:v>
      </x:c>
      <x:c r="O30" s="12" t="n">
        <x:f>N30/86400</x:f>
        <x:v>0.029166666666666667</x:v>
      </x:c>
      <x:c r="P30" s="12" t="n">
        <x:v>945</x:v>
      </x:c>
      <x:c r="Q30" s="12" t="n">
        <x:v>1575</x:v>
      </x:c>
      <x:c r="R30" s="12" t="n">
        <x:f>Q30/86400</x:f>
        <x:v>0.018229166666666668</x:v>
      </x:c>
      <x:c r="S30" s="12" t="str">
        <x:v>通过</x:v>
      </x:c>
      <x:c r="T30" s="12" t="str">
        <x:v>返回同一发车点；建议至少保留约2分钟上下客/等待冗余</x:v>
      </x:c>
    </x:row>
    <x:row r="31">
      <x:c r="A31" s="12" t="str">
        <x:v>工作日</x:v>
      </x:c>
      <x:c r="B31" s="12" t="str">
        <x:v>环线1路</x:v>
      </x:c>
      <x:c r="C31" s="12" t="str">
        <x:v>第二班</x:v>
      </x:c>
      <x:c r="D31" s="12" t="str">
        <x:v>S0032</x:v>
      </x:c>
      <x:c r="E31" s="12" t="str">
        <x:v>10:30</x:v>
      </x:c>
      <x:c r="F31" s="12" t="str">
        <x:v>研究生宿舍楼</x:v>
      </x:c>
      <x:c r="G31" s="12" t="str">
        <x:v>研究生宿舍楼发车</x:v>
      </x:c>
      <x:c r="H31" s="12" t="str">
        <x:v>HX1_NORMAL</x:v>
      </x:c>
      <x:c r="I31" s="12" t="str">
        <x:v>S0033</x:v>
      </x:c>
      <x:c r="J31" s="12" t="str">
        <x:v>11:00</x:v>
      </x:c>
      <x:c r="K31" s="12" t="str">
        <x:v>研究生宿舍楼</x:v>
      </x:c>
      <x:c r="L31" s="12" t="str">
        <x:v>研究生宿舍楼发车</x:v>
      </x:c>
      <x:c r="M31" s="12" t="str">
        <x:v>HX1_NORMAL</x:v>
      </x:c>
      <x:c r="N31" s="12" t="n">
        <x:v>1800</x:v>
      </x:c>
      <x:c r="O31" s="12" t="n">
        <x:f>N31/86400</x:f>
        <x:v>0.020833333333333332</x:v>
      </x:c>
      <x:c r="P31" s="12" t="n">
        <x:v>945</x:v>
      </x:c>
      <x:c r="Q31" s="12" t="n">
        <x:v>855</x:v>
      </x:c>
      <x:c r="R31" s="12" t="n">
        <x:f>Q31/86400</x:f>
        <x:v>0.009895833333333333</x:v>
      </x:c>
      <x:c r="S31" s="12" t="str">
        <x:v>通过</x:v>
      </x:c>
      <x:c r="T31" s="12" t="str">
        <x:v>返回同一发车点；建议至少保留约2分钟上下客/等待冗余</x:v>
      </x:c>
    </x:row>
    <x:row r="32">
      <x:c r="A32" s="12" t="str">
        <x:v>工作日</x:v>
      </x:c>
      <x:c r="B32" s="12" t="str">
        <x:v>环线1路</x:v>
      </x:c>
      <x:c r="C32" s="12" t="str">
        <x:v>第二班</x:v>
      </x:c>
      <x:c r="D32" s="12" t="str">
        <x:v>S0033</x:v>
      </x:c>
      <x:c r="E32" s="12" t="str">
        <x:v>11:00</x:v>
      </x:c>
      <x:c r="F32" s="12" t="str">
        <x:v>研究生宿舍楼</x:v>
      </x:c>
      <x:c r="G32" s="12" t="str">
        <x:v>研究生宿舍楼发车</x:v>
      </x:c>
      <x:c r="H32" s="12" t="str">
        <x:v>HX1_NORMAL</x:v>
      </x:c>
      <x:c r="I32" s="12" t="str">
        <x:v>S0034</x:v>
      </x:c>
      <x:c r="J32" s="12" t="str">
        <x:v>11:40</x:v>
      </x:c>
      <x:c r="K32" s="12" t="str">
        <x:v>研究生宿舍楼</x:v>
      </x:c>
      <x:c r="L32" s="12" t="str">
        <x:v>研究生宿舍楼发车</x:v>
      </x:c>
      <x:c r="M32" s="12" t="str">
        <x:v>HX1_NORMAL</x:v>
      </x:c>
      <x:c r="N32" s="12" t="n">
        <x:v>2400</x:v>
      </x:c>
      <x:c r="O32" s="12" t="n">
        <x:f>N32/86400</x:f>
        <x:v>0.027777777777777776</x:v>
      </x:c>
      <x:c r="P32" s="12" t="n">
        <x:v>945</x:v>
      </x:c>
      <x:c r="Q32" s="12" t="n">
        <x:v>1455</x:v>
      </x:c>
      <x:c r="R32" s="12" t="n">
        <x:f>Q32/86400</x:f>
        <x:v>0.016840277777777777</x:v>
      </x:c>
      <x:c r="S32" s="12" t="str">
        <x:v>通过</x:v>
      </x:c>
      <x:c r="T32" s="12" t="str">
        <x:v>返回同一发车点；建议至少保留约2分钟上下客/等待冗余</x:v>
      </x:c>
    </x:row>
    <x:row r="33">
      <x:c r="A33" s="12" t="str">
        <x:v>工作日</x:v>
      </x:c>
      <x:c r="B33" s="12" t="str">
        <x:v>环线1路</x:v>
      </x:c>
      <x:c r="C33" s="12" t="str">
        <x:v>第二班</x:v>
      </x:c>
      <x:c r="D33" s="12" t="str">
        <x:v>S0034</x:v>
      </x:c>
      <x:c r="E33" s="12" t="str">
        <x:v>11:40</x:v>
      </x:c>
      <x:c r="F33" s="12" t="str">
        <x:v>研究生宿舍楼</x:v>
      </x:c>
      <x:c r="G33" s="12" t="str">
        <x:v>研究生宿舍楼发车</x:v>
      </x:c>
      <x:c r="H33" s="12" t="str">
        <x:v>HX1_NORMAL</x:v>
      </x:c>
      <x:c r="I33" s="12" t="str">
        <x:v>S0035</x:v>
      </x:c>
      <x:c r="J33" s="12" t="str">
        <x:v>12:10</x:v>
      </x:c>
      <x:c r="K33" s="12" t="str">
        <x:v>研究生宿舍楼</x:v>
      </x:c>
      <x:c r="L33" s="12" t="str">
        <x:v>研究生宿舍楼发车</x:v>
      </x:c>
      <x:c r="M33" s="12" t="str">
        <x:v>HX1_NORMAL</x:v>
      </x:c>
      <x:c r="N33" s="12" t="n">
        <x:v>1800</x:v>
      </x:c>
      <x:c r="O33" s="12" t="n">
        <x:f>N33/86400</x:f>
        <x:v>0.020833333333333332</x:v>
      </x:c>
      <x:c r="P33" s="12" t="n">
        <x:v>945</x:v>
      </x:c>
      <x:c r="Q33" s="12" t="n">
        <x:v>855</x:v>
      </x:c>
      <x:c r="R33" s="12" t="n">
        <x:f>Q33/86400</x:f>
        <x:v>0.009895833333333333</x:v>
      </x:c>
      <x:c r="S33" s="12" t="str">
        <x:v>通过</x:v>
      </x:c>
      <x:c r="T33" s="12" t="str">
        <x:v>返回同一发车点；建议至少保留约2分钟上下客/等待冗余</x:v>
      </x:c>
    </x:row>
    <x:row r="34">
      <x:c r="A34" s="12" t="str">
        <x:v>工作日</x:v>
      </x:c>
      <x:c r="B34" s="12" t="str">
        <x:v>环线1路</x:v>
      </x:c>
      <x:c r="C34" s="12" t="str">
        <x:v>第二班</x:v>
      </x:c>
      <x:c r="D34" s="12" t="str">
        <x:v>S0035</x:v>
      </x:c>
      <x:c r="E34" s="12" t="str">
        <x:v>12:10</x:v>
      </x:c>
      <x:c r="F34" s="12" t="str">
        <x:v>研究生宿舍楼</x:v>
      </x:c>
      <x:c r="G34" s="12" t="str">
        <x:v>研究生宿舍楼发车</x:v>
      </x:c>
      <x:c r="H34" s="12" t="str">
        <x:v>HX1_NORMAL</x:v>
      </x:c>
      <x:c r="I34" s="12" t="str">
        <x:v>S0036</x:v>
      </x:c>
      <x:c r="J34" s="12" t="str">
        <x:v>12:40</x:v>
      </x:c>
      <x:c r="K34" s="12" t="str">
        <x:v>研究生宿舍楼</x:v>
      </x:c>
      <x:c r="L34" s="12" t="str">
        <x:v>研究生宿舍楼发车</x:v>
      </x:c>
      <x:c r="M34" s="12" t="str">
        <x:v>HX1_NORMAL</x:v>
      </x:c>
      <x:c r="N34" s="12" t="n">
        <x:v>1800</x:v>
      </x:c>
      <x:c r="O34" s="12" t="n">
        <x:f>N34/86400</x:f>
        <x:v>0.020833333333333332</x:v>
      </x:c>
      <x:c r="P34" s="12" t="n">
        <x:v>945</x:v>
      </x:c>
      <x:c r="Q34" s="12" t="n">
        <x:v>855</x:v>
      </x:c>
      <x:c r="R34" s="12" t="n">
        <x:f>Q34/86400</x:f>
        <x:v>0.009895833333333333</x:v>
      </x:c>
      <x:c r="S34" s="12" t="str">
        <x:v>通过</x:v>
      </x:c>
      <x:c r="T34" s="12" t="str">
        <x:v>返回同一发车点；建议至少保留约2分钟上下客/等待冗余</x:v>
      </x:c>
    </x:row>
    <x:row r="35">
      <x:c r="A35" s="12" t="str">
        <x:v>工作日</x:v>
      </x:c>
      <x:c r="B35" s="12" t="str">
        <x:v>环线1路</x:v>
      </x:c>
      <x:c r="C35" s="12" t="str">
        <x:v>第二班</x:v>
      </x:c>
      <x:c r="D35" s="12" t="str">
        <x:v>S0036</x:v>
      </x:c>
      <x:c r="E35" s="12" t="str">
        <x:v>12:40</x:v>
      </x:c>
      <x:c r="F35" s="12" t="str">
        <x:v>研究生宿舍楼</x:v>
      </x:c>
      <x:c r="G35" s="12" t="str">
        <x:v>研究生宿舍楼发车</x:v>
      </x:c>
      <x:c r="H35" s="12" t="str">
        <x:v>HX1_NORMAL</x:v>
      </x:c>
      <x:c r="I35" s="12" t="str">
        <x:v>S0037</x:v>
      </x:c>
      <x:c r="J35" s="12" t="str">
        <x:v>14:12</x:v>
      </x:c>
      <x:c r="K35" s="12" t="str">
        <x:v>研究生宿舍楼</x:v>
      </x:c>
      <x:c r="L35" s="12" t="str">
        <x:v>研究生宿舍楼发车</x:v>
      </x:c>
      <x:c r="M35" s="12" t="str">
        <x:v>HX1_NORMAL</x:v>
      </x:c>
      <x:c r="N35" s="12" t="n">
        <x:v>5520</x:v>
      </x:c>
      <x:c r="O35" s="12" t="n">
        <x:f>N35/86400</x:f>
        <x:v>0.06388888888888888</x:v>
      </x:c>
      <x:c r="P35" s="12" t="n">
        <x:v>945</x:v>
      </x:c>
      <x:c r="Q35" s="12" t="n">
        <x:v>4575</x:v>
      </x:c>
      <x:c r="R35" s="12" t="n">
        <x:f>Q35/86400</x:f>
        <x:v>0.05295138888888889</x:v>
      </x:c>
      <x:c r="S35" s="12" t="str">
        <x:v>通过</x:v>
      </x:c>
      <x:c r="T35" s="12" t="str">
        <x:v>返回同一发车点；建议至少保留约2分钟上下客/等待冗余</x:v>
      </x:c>
    </x:row>
    <x:row r="36">
      <x:c r="A36" s="12" t="str">
        <x:v>工作日</x:v>
      </x:c>
      <x:c r="B36" s="12" t="str">
        <x:v>环线1路</x:v>
      </x:c>
      <x:c r="C36" s="12" t="str">
        <x:v>第二班</x:v>
      </x:c>
      <x:c r="D36" s="12" t="str">
        <x:v>S0037</x:v>
      </x:c>
      <x:c r="E36" s="12" t="str">
        <x:v>14:12</x:v>
      </x:c>
      <x:c r="F36" s="12" t="str">
        <x:v>研究生宿舍楼</x:v>
      </x:c>
      <x:c r="G36" s="12" t="str">
        <x:v>研究生宿舍楼发车</x:v>
      </x:c>
      <x:c r="H36" s="12" t="str">
        <x:v>HX1_NORMAL</x:v>
      </x:c>
      <x:c r="I36" s="12" t="str">
        <x:v>S0038</x:v>
      </x:c>
      <x:c r="J36" s="12" t="str">
        <x:v>14:48</x:v>
      </x:c>
      <x:c r="K36" s="12" t="str">
        <x:v>研究生宿舍楼</x:v>
      </x:c>
      <x:c r="L36" s="12" t="str">
        <x:v>研究生宿舍楼发车</x:v>
      </x:c>
      <x:c r="M36" s="12" t="str">
        <x:v>HX1_NORMAL</x:v>
      </x:c>
      <x:c r="N36" s="12" t="n">
        <x:v>2160</x:v>
      </x:c>
      <x:c r="O36" s="12" t="n">
        <x:f>N36/86400</x:f>
        <x:v>0.025</x:v>
      </x:c>
      <x:c r="P36" s="12" t="n">
        <x:v>945</x:v>
      </x:c>
      <x:c r="Q36" s="12" t="n">
        <x:v>1215</x:v>
      </x:c>
      <x:c r="R36" s="12" t="n">
        <x:f>Q36/86400</x:f>
        <x:v>0.0140625</x:v>
      </x:c>
      <x:c r="S36" s="12" t="str">
        <x:v>通过</x:v>
      </x:c>
      <x:c r="T36" s="12" t="str">
        <x:v>返回同一发车点；建议至少保留约2分钟上下客/等待冗余</x:v>
      </x:c>
    </x:row>
    <x:row r="37">
      <x:c r="A37" s="12" t="str">
        <x:v>工作日</x:v>
      </x:c>
      <x:c r="B37" s="12" t="str">
        <x:v>环线1路</x:v>
      </x:c>
      <x:c r="C37" s="12" t="str">
        <x:v>第二班</x:v>
      </x:c>
      <x:c r="D37" s="12" t="str">
        <x:v>S0038</x:v>
      </x:c>
      <x:c r="E37" s="12" t="str">
        <x:v>14:48</x:v>
      </x:c>
      <x:c r="F37" s="12" t="str">
        <x:v>研究生宿舍楼</x:v>
      </x:c>
      <x:c r="G37" s="12" t="str">
        <x:v>研究生宿舍楼发车</x:v>
      </x:c>
      <x:c r="H37" s="12" t="str">
        <x:v>HX1_NORMAL</x:v>
      </x:c>
      <x:c r="I37" s="12" t="str">
        <x:v>S0039</x:v>
      </x:c>
      <x:c r="J37" s="12" t="str">
        <x:v>15:40</x:v>
      </x:c>
      <x:c r="K37" s="12" t="str">
        <x:v>研究生宿舍楼</x:v>
      </x:c>
      <x:c r="L37" s="12" t="str">
        <x:v>研究生宿舍楼发车</x:v>
      </x:c>
      <x:c r="M37" s="12" t="str">
        <x:v>HX1_NORMAL</x:v>
      </x:c>
      <x:c r="N37" s="12" t="n">
        <x:v>3120</x:v>
      </x:c>
      <x:c r="O37" s="12" t="n">
        <x:f>N37/86400</x:f>
        <x:v>0.03611111111111111</x:v>
      </x:c>
      <x:c r="P37" s="12" t="n">
        <x:v>945</x:v>
      </x:c>
      <x:c r="Q37" s="12" t="n">
        <x:v>2175</x:v>
      </x:c>
      <x:c r="R37" s="12" t="n">
        <x:f>Q37/86400</x:f>
        <x:v>0.025173611111111112</x:v>
      </x:c>
      <x:c r="S37" s="12" t="str">
        <x:v>通过</x:v>
      </x:c>
      <x:c r="T37" s="12" t="str">
        <x:v>返回同一发车点；建议至少保留约2分钟上下客/等待冗余</x:v>
      </x:c>
    </x:row>
    <x:row r="38">
      <x:c r="A38" s="12" t="str">
        <x:v>工作日</x:v>
      </x:c>
      <x:c r="B38" s="12" t="str">
        <x:v>环线1路</x:v>
      </x:c>
      <x:c r="C38" s="12" t="str">
        <x:v>第二班</x:v>
      </x:c>
      <x:c r="D38" s="12" t="str">
        <x:v>S0039</x:v>
      </x:c>
      <x:c r="E38" s="12" t="str">
        <x:v>15:40</x:v>
      </x:c>
      <x:c r="F38" s="12" t="str">
        <x:v>研究生宿舍楼</x:v>
      </x:c>
      <x:c r="G38" s="12" t="str">
        <x:v>研究生宿舍楼发车</x:v>
      </x:c>
      <x:c r="H38" s="12" t="str">
        <x:v>HX1_NORMAL</x:v>
      </x:c>
      <x:c r="I38" s="12" t="str">
        <x:v>S0040</x:v>
      </x:c>
      <x:c r="J38" s="12" t="str">
        <x:v>17:00</x:v>
      </x:c>
      <x:c r="K38" s="12" t="str">
        <x:v>研究生宿舍楼</x:v>
      </x:c>
      <x:c r="L38" s="12" t="str">
        <x:v>研究生宿舍楼发车</x:v>
      </x:c>
      <x:c r="M38" s="12" t="str">
        <x:v>HX1_NORMAL</x:v>
      </x:c>
      <x:c r="N38" s="12" t="n">
        <x:v>4800</x:v>
      </x:c>
      <x:c r="O38" s="12" t="n">
        <x:f>N38/86400</x:f>
        <x:v>0.05555555555555555</x:v>
      </x:c>
      <x:c r="P38" s="12" t="n">
        <x:v>945</x:v>
      </x:c>
      <x:c r="Q38" s="12" t="n">
        <x:v>3855</x:v>
      </x:c>
      <x:c r="R38" s="12" t="n">
        <x:f>Q38/86400</x:f>
        <x:v>0.04461805555555556</x:v>
      </x:c>
      <x:c r="S38" s="12" t="str">
        <x:v>通过</x:v>
      </x:c>
      <x:c r="T38" s="12" t="str">
        <x:v>返回同一发车点；建议至少保留约2分钟上下客/等待冗余</x:v>
      </x:c>
    </x:row>
    <x:row r="39">
      <x:c r="A39" s="12" t="str">
        <x:v>工作日</x:v>
      </x:c>
      <x:c r="B39" s="12" t="str">
        <x:v>环线1路</x:v>
      </x:c>
      <x:c r="C39" s="12" t="str">
        <x:v>第二班</x:v>
      </x:c>
      <x:c r="D39" s="12" t="str">
        <x:v>S0040</x:v>
      </x:c>
      <x:c r="E39" s="12" t="str">
        <x:v>17:00</x:v>
      </x:c>
      <x:c r="F39" s="12" t="str">
        <x:v>研究生宿舍楼</x:v>
      </x:c>
      <x:c r="G39" s="12" t="str">
        <x:v>研究生宿舍楼发车</x:v>
      </x:c>
      <x:c r="H39" s="12" t="str">
        <x:v>HX1_NORMAL</x:v>
      </x:c>
      <x:c r="I39" s="12" t="str">
        <x:v>S0041</x:v>
      </x:c>
      <x:c r="J39" s="12" t="str">
        <x:v>17:30</x:v>
      </x:c>
      <x:c r="K39" s="12" t="str">
        <x:v>研究生宿舍楼</x:v>
      </x:c>
      <x:c r="L39" s="12" t="str">
        <x:v>研究生宿舍楼发车</x:v>
      </x:c>
      <x:c r="M39" s="12" t="str">
        <x:v>HX1_NORMAL</x:v>
      </x:c>
      <x:c r="N39" s="12" t="n">
        <x:v>1800</x:v>
      </x:c>
      <x:c r="O39" s="12" t="n">
        <x:f>N39/86400</x:f>
        <x:v>0.020833333333333332</x:v>
      </x:c>
      <x:c r="P39" s="12" t="n">
        <x:v>945</x:v>
      </x:c>
      <x:c r="Q39" s="12" t="n">
        <x:v>855</x:v>
      </x:c>
      <x:c r="R39" s="12" t="n">
        <x:f>Q39/86400</x:f>
        <x:v>0.009895833333333333</x:v>
      </x:c>
      <x:c r="S39" s="12" t="str">
        <x:v>通过</x:v>
      </x:c>
      <x:c r="T39" s="12" t="str">
        <x:v>返回同一发车点；建议至少保留约2分钟上下客/等待冗余</x:v>
      </x:c>
    </x:row>
    <x:row r="40">
      <x:c r="A40" s="12" t="str">
        <x:v>工作日</x:v>
      </x:c>
      <x:c r="B40" s="12" t="str">
        <x:v>环线1路</x:v>
      </x:c>
      <x:c r="C40" s="12" t="str">
        <x:v>第五班（夜2）</x:v>
      </x:c>
      <x:c r="D40" s="12" t="str">
        <x:v>S0042</x:v>
      </x:c>
      <x:c r="E40" s="12" t="str">
        <x:v>16:15</x:v>
      </x:c>
      <x:c r="F40" s="12" t="str">
        <x:v>研究生宿舍楼</x:v>
      </x:c>
      <x:c r="G40" s="12" t="str">
        <x:v>研究生宿舍楼发车</x:v>
      </x:c>
      <x:c r="H40" s="12" t="str">
        <x:v>HX1_NORMAL</x:v>
      </x:c>
      <x:c r="I40" s="12" t="str">
        <x:v>S0043</x:v>
      </x:c>
      <x:c r="J40" s="12" t="str">
        <x:v>16:30</x:v>
      </x:c>
      <x:c r="K40" s="12" t="str">
        <x:v>高超楼（就餐专线）</x:v>
      </x:c>
      <x:c r="L40" s="12" t="str">
        <x:v>高超楼发车（就餐专线）</x:v>
      </x:c>
      <x:c r="M40" s="12" t="str">
        <x:v>HX1_DINING</x:v>
      </x:c>
      <x:c r="N40" s="12" t="n">
        <x:v>900</x:v>
      </x:c>
      <x:c r="O40" s="12" t="n">
        <x:f>N40/86400</x:f>
        <x:v>0.010416666666666666</x:v>
      </x:c>
      <x:c r="P40" s="12" t="n">
        <x:v>480</x:v>
      </x:c>
      <x:c r="Q40" s="12" t="n">
        <x:v>420</x:v>
      </x:c>
      <x:c r="R40" s="12" t="n">
        <x:f>Q40/86400</x:f>
        <x:v>0.004861111111111111</x:v>
      </x:c>
      <x:c r="S40" s="12" t="str">
        <x:v>通过</x:v>
      </x:c>
      <x:c r="T40" s="12" t="str">
        <x:v>当前路线途中到达下一发车点：高超楼；建议至少保留约2分钟上下客/等待冗余</x:v>
      </x:c>
    </x:row>
    <x:row r="41">
      <x:c r="A41" s="12" t="str">
        <x:v>工作日</x:v>
      </x:c>
      <x:c r="B41" s="12" t="str">
        <x:v>环线1路</x:v>
      </x:c>
      <x:c r="C41" s="12" t="str">
        <x:v>第五班（夜2）</x:v>
      </x:c>
      <x:c r="D41" s="12" t="str">
        <x:v>S0043</x:v>
      </x:c>
      <x:c r="E41" s="12" t="str">
        <x:v>16:30</x:v>
      </x:c>
      <x:c r="F41" s="12" t="str">
        <x:v>高超楼（就餐专线）</x:v>
      </x:c>
      <x:c r="G41" s="12" t="str">
        <x:v>高超楼发车（就餐专线）</x:v>
      </x:c>
      <x:c r="H41" s="12" t="str">
        <x:v>HX1_DINING</x:v>
      </x:c>
      <x:c r="I41" s="12" t="str">
        <x:v>S0044</x:v>
      </x:c>
      <x:c r="J41" s="12" t="str">
        <x:v>16:50</x:v>
      </x:c>
      <x:c r="K41" s="12" t="str">
        <x:v>高超楼（就餐专线）</x:v>
      </x:c>
      <x:c r="L41" s="12" t="str">
        <x:v>高超楼发车（就餐专线）</x:v>
      </x:c>
      <x:c r="M41" s="12" t="str">
        <x:v>HX1_DINING</x:v>
      </x:c>
      <x:c r="N41" s="12" t="n">
        <x:v>1200</x:v>
      </x:c>
      <x:c r="O41" s="12" t="n">
        <x:f>N41/86400</x:f>
        <x:v>0.013888888888888888</x:v>
      </x:c>
      <x:c r="P41" s="12" t="n">
        <x:v>850</x:v>
      </x:c>
      <x:c r="Q41" s="12" t="n">
        <x:v>350</x:v>
      </x:c>
      <x:c r="R41" s="12" t="n">
        <x:f>Q41/86400</x:f>
        <x:v>0.004050925925925926</x:v>
      </x:c>
      <x:c r="S41" s="12" t="str">
        <x:v>通过</x:v>
      </x:c>
      <x:c r="T41" s="12" t="str">
        <x:v>返回同一发车点；建议至少保留约2分钟上下客/等待冗余</x:v>
      </x:c>
    </x:row>
    <x:row r="42">
      <x:c r="A42" s="12" t="str">
        <x:v>工作日</x:v>
      </x:c>
      <x:c r="B42" s="12" t="str">
        <x:v>环线1路</x:v>
      </x:c>
      <x:c r="C42" s="12" t="str">
        <x:v>第五班（夜2）</x:v>
      </x:c>
      <x:c r="D42" s="12" t="str">
        <x:v>S0044</x:v>
      </x:c>
      <x:c r="E42" s="12" t="str">
        <x:v>16:50</x:v>
      </x:c>
      <x:c r="F42" s="12" t="str">
        <x:v>高超楼（就餐专线）</x:v>
      </x:c>
      <x:c r="G42" s="12" t="str">
        <x:v>高超楼发车（就餐专线）</x:v>
      </x:c>
      <x:c r="H42" s="12" t="str">
        <x:v>HX1_DINING</x:v>
      </x:c>
      <x:c r="I42" s="12" t="str">
        <x:v>S0045</x:v>
      </x:c>
      <x:c r="J42" s="12" t="str">
        <x:v>17:10</x:v>
      </x:c>
      <x:c r="K42" s="12" t="str">
        <x:v>高超楼（就餐专线）</x:v>
      </x:c>
      <x:c r="L42" s="12" t="str">
        <x:v>高超楼发车（就餐专线）</x:v>
      </x:c>
      <x:c r="M42" s="12" t="str">
        <x:v>HX1_DINING</x:v>
      </x:c>
      <x:c r="N42" s="12" t="n">
        <x:v>1200</x:v>
      </x:c>
      <x:c r="O42" s="12" t="n">
        <x:f>N42/86400</x:f>
        <x:v>0.013888888888888888</x:v>
      </x:c>
      <x:c r="P42" s="12" t="n">
        <x:v>850</x:v>
      </x:c>
      <x:c r="Q42" s="12" t="n">
        <x:v>350</x:v>
      </x:c>
      <x:c r="R42" s="12" t="n">
        <x:f>Q42/86400</x:f>
        <x:v>0.004050925925925926</x:v>
      </x:c>
      <x:c r="S42" s="12" t="str">
        <x:v>通过</x:v>
      </x:c>
      <x:c r="T42" s="12" t="str">
        <x:v>返回同一发车点；建议至少保留约2分钟上下客/等待冗余</x:v>
      </x:c>
    </x:row>
    <x:row r="43">
      <x:c r="A43" s="12" t="str">
        <x:v>工作日</x:v>
      </x:c>
      <x:c r="B43" s="12" t="str">
        <x:v>环线1路</x:v>
      </x:c>
      <x:c r="C43" s="12" t="str">
        <x:v>第五班（夜2）</x:v>
      </x:c>
      <x:c r="D43" s="12" t="str">
        <x:v>S0045</x:v>
      </x:c>
      <x:c r="E43" s="12" t="str">
        <x:v>17:10</x:v>
      </x:c>
      <x:c r="F43" s="12" t="str">
        <x:v>高超楼（就餐专线）</x:v>
      </x:c>
      <x:c r="G43" s="12" t="str">
        <x:v>高超楼发车（就餐专线）</x:v>
      </x:c>
      <x:c r="H43" s="12" t="str">
        <x:v>HX1_DINING</x:v>
      </x:c>
      <x:c r="I43" s="12" t="str">
        <x:v>S0046</x:v>
      </x:c>
      <x:c r="J43" s="12" t="str">
        <x:v>17:30</x:v>
      </x:c>
      <x:c r="K43" s="12" t="str">
        <x:v>高超楼（就餐专线）</x:v>
      </x:c>
      <x:c r="L43" s="12" t="str">
        <x:v>高超楼发车（就餐专线）</x:v>
      </x:c>
      <x:c r="M43" s="12" t="str">
        <x:v>HX1_DINING</x:v>
      </x:c>
      <x:c r="N43" s="12" t="n">
        <x:v>1200</x:v>
      </x:c>
      <x:c r="O43" s="12" t="n">
        <x:f>N43/86400</x:f>
        <x:v>0.013888888888888888</x:v>
      </x:c>
      <x:c r="P43" s="12" t="n">
        <x:v>850</x:v>
      </x:c>
      <x:c r="Q43" s="12" t="n">
        <x:v>350</x:v>
      </x:c>
      <x:c r="R43" s="12" t="n">
        <x:f>Q43/86400</x:f>
        <x:v>0.004050925925925926</x:v>
      </x:c>
      <x:c r="S43" s="12" t="str">
        <x:v>通过</x:v>
      </x:c>
      <x:c r="T43" s="12" t="str">
        <x:v>返回同一发车点；建议至少保留约2分钟上下客/等待冗余</x:v>
      </x:c>
    </x:row>
    <x:row r="44">
      <x:c r="A44" s="12" t="str">
        <x:v>工作日</x:v>
      </x:c>
      <x:c r="B44" s="12" t="str">
        <x:v>环线1路</x:v>
      </x:c>
      <x:c r="C44" s="12" t="str">
        <x:v>第五班（夜2）</x:v>
      </x:c>
      <x:c r="D44" s="12" t="str">
        <x:v>S0046</x:v>
      </x:c>
      <x:c r="E44" s="12" t="str">
        <x:v>17:30</x:v>
      </x:c>
      <x:c r="F44" s="12" t="str">
        <x:v>高超楼（就餐专线）</x:v>
      </x:c>
      <x:c r="G44" s="12" t="str">
        <x:v>高超楼发车（就餐专线）</x:v>
      </x:c>
      <x:c r="H44" s="12" t="str">
        <x:v>HX1_DINING</x:v>
      </x:c>
      <x:c r="I44" s="12" t="str">
        <x:v>S0047</x:v>
      </x:c>
      <x:c r="J44" s="12" t="str">
        <x:v>17:50</x:v>
      </x:c>
      <x:c r="K44" s="12" t="str">
        <x:v>高超楼（就餐专线）</x:v>
      </x:c>
      <x:c r="L44" s="12" t="str">
        <x:v>高超楼发车（就餐专线）</x:v>
      </x:c>
      <x:c r="M44" s="12" t="str">
        <x:v>HX1_DINING</x:v>
      </x:c>
      <x:c r="N44" s="12" t="n">
        <x:v>1200</x:v>
      </x:c>
      <x:c r="O44" s="12" t="n">
        <x:f>N44/86400</x:f>
        <x:v>0.013888888888888888</x:v>
      </x:c>
      <x:c r="P44" s="12" t="n">
        <x:v>850</x:v>
      </x:c>
      <x:c r="Q44" s="12" t="n">
        <x:v>350</x:v>
      </x:c>
      <x:c r="R44" s="12" t="n">
        <x:f>Q44/86400</x:f>
        <x:v>0.004050925925925926</x:v>
      </x:c>
      <x:c r="S44" s="12" t="str">
        <x:v>通过</x:v>
      </x:c>
      <x:c r="T44" s="12" t="str">
        <x:v>返回同一发车点；建议至少保留约2分钟上下客/等待冗余</x:v>
      </x:c>
    </x:row>
    <x:row r="45">
      <x:c r="A45" s="12" t="str">
        <x:v>工作日</x:v>
      </x:c>
      <x:c r="B45" s="12" t="str">
        <x:v>环线1路</x:v>
      </x:c>
      <x:c r="C45" s="12" t="str">
        <x:v>第五班（夜2）</x:v>
      </x:c>
      <x:c r="D45" s="12" t="str">
        <x:v>S0047</x:v>
      </x:c>
      <x:c r="E45" s="12" t="str">
        <x:v>17:50</x:v>
      </x:c>
      <x:c r="F45" s="12" t="str">
        <x:v>高超楼（就餐专线）</x:v>
      </x:c>
      <x:c r="G45" s="12" t="str">
        <x:v>高超楼发车（就餐专线）</x:v>
      </x:c>
      <x:c r="H45" s="12" t="str">
        <x:v>HX1_DINING</x:v>
      </x:c>
      <x:c r="I45" s="12" t="str">
        <x:v>S0048</x:v>
      </x:c>
      <x:c r="J45" s="12" t="str">
        <x:v>18:30</x:v>
      </x:c>
      <x:c r="K45" s="12" t="str">
        <x:v>研究生宿舍楼</x:v>
      </x:c>
      <x:c r="L45" s="12" t="str">
        <x:v>研究生宿舍楼发车</x:v>
      </x:c>
      <x:c r="M45" s="12" t="str">
        <x:v>HX1_NORMAL</x:v>
      </x:c>
      <x:c r="N45" s="12" t="n">
        <x:v>2400</x:v>
      </x:c>
      <x:c r="O45" s="12" t="n">
        <x:f>N45/86400</x:f>
        <x:v>0.027777777777777776</x:v>
      </x:c>
      <x:c r="P45" s="12" t="n">
        <x:v>1330</x:v>
      </x:c>
      <x:c r="Q45" s="12" t="n">
        <x:v>1070</x:v>
      </x:c>
      <x:c r="R45" s="12" t="n">
        <x:f>Q45/86400</x:f>
        <x:v>0.01238425925925926</x:v>
      </x:c>
      <x:c r="S45" s="12" t="str">
        <x:v>通过</x:v>
      </x:c>
      <x:c r="T45" s="12" t="str">
        <x:v>当前路线不直接到达下一发车点，含估算空驶/调度时间；建议至少保留约2分钟上下客/等待冗余</x:v>
      </x:c>
    </x:row>
    <x:row r="46">
      <x:c r="A46" s="12" t="str">
        <x:v>工作日</x:v>
      </x:c>
      <x:c r="B46" s="12" t="str">
        <x:v>环线1路</x:v>
      </x:c>
      <x:c r="C46" s="12" t="str">
        <x:v>第五班（夜2）</x:v>
      </x:c>
      <x:c r="D46" s="12" t="str">
        <x:v>S0048</x:v>
      </x:c>
      <x:c r="E46" s="12" t="str">
        <x:v>18:30</x:v>
      </x:c>
      <x:c r="F46" s="12" t="str">
        <x:v>研究生宿舍楼</x:v>
      </x:c>
      <x:c r="G46" s="12" t="str">
        <x:v>研究生宿舍楼发车</x:v>
      </x:c>
      <x:c r="H46" s="12" t="str">
        <x:v>HX1_NORMAL</x:v>
      </x:c>
      <x:c r="I46" s="12" t="str">
        <x:v>S0049</x:v>
      </x:c>
      <x:c r="J46" s="12" t="str">
        <x:v>19:00</x:v>
      </x:c>
      <x:c r="K46" s="12" t="str">
        <x:v>研究生宿舍楼</x:v>
      </x:c>
      <x:c r="L46" s="12" t="str">
        <x:v>研究生宿舍楼发车</x:v>
      </x:c>
      <x:c r="M46" s="12" t="str">
        <x:v>HX1_NORMAL</x:v>
      </x:c>
      <x:c r="N46" s="12" t="n">
        <x:v>1800</x:v>
      </x:c>
      <x:c r="O46" s="12" t="n">
        <x:f>N46/86400</x:f>
        <x:v>0.020833333333333332</x:v>
      </x:c>
      <x:c r="P46" s="12" t="n">
        <x:v>945</x:v>
      </x:c>
      <x:c r="Q46" s="12" t="n">
        <x:v>855</x:v>
      </x:c>
      <x:c r="R46" s="12" t="n">
        <x:f>Q46/86400</x:f>
        <x:v>0.009895833333333333</x:v>
      </x:c>
      <x:c r="S46" s="12" t="str">
        <x:v>通过</x:v>
      </x:c>
      <x:c r="T46" s="12" t="str">
        <x:v>返回同一发车点；建议至少保留约2分钟上下客/等待冗余</x:v>
      </x:c>
    </x:row>
    <x:row r="47">
      <x:c r="A47" s="12" t="str">
        <x:v>工作日</x:v>
      </x:c>
      <x:c r="B47" s="12" t="str">
        <x:v>环线1路</x:v>
      </x:c>
      <x:c r="C47" s="12" t="str">
        <x:v>第五班（夜2）</x:v>
      </x:c>
      <x:c r="D47" s="12" t="str">
        <x:v>S0049</x:v>
      </x:c>
      <x:c r="E47" s="12" t="str">
        <x:v>19:00</x:v>
      </x:c>
      <x:c r="F47" s="12" t="str">
        <x:v>研究生宿舍楼</x:v>
      </x:c>
      <x:c r="G47" s="12" t="str">
        <x:v>研究生宿舍楼发车</x:v>
      </x:c>
      <x:c r="H47" s="12" t="str">
        <x:v>HX1_NORMAL</x:v>
      </x:c>
      <x:c r="I47" s="12" t="str">
        <x:v>S0050</x:v>
      </x:c>
      <x:c r="J47" s="12" t="str">
        <x:v>19:30</x:v>
      </x:c>
      <x:c r="K47" s="12" t="str">
        <x:v>研究生宿舍楼</x:v>
      </x:c>
      <x:c r="L47" s="12" t="str">
        <x:v>研究生宿舍楼发车</x:v>
      </x:c>
      <x:c r="M47" s="12" t="str">
        <x:v>HX1_NORMAL</x:v>
      </x:c>
      <x:c r="N47" s="12" t="n">
        <x:v>1800</x:v>
      </x:c>
      <x:c r="O47" s="12" t="n">
        <x:f>N47/86400</x:f>
        <x:v>0.020833333333333332</x:v>
      </x:c>
      <x:c r="P47" s="12" t="n">
        <x:v>945</x:v>
      </x:c>
      <x:c r="Q47" s="12" t="n">
        <x:v>855</x:v>
      </x:c>
      <x:c r="R47" s="12" t="n">
        <x:f>Q47/86400</x:f>
        <x:v>0.009895833333333333</x:v>
      </x:c>
      <x:c r="S47" s="12" t="str">
        <x:v>通过</x:v>
      </x:c>
      <x:c r="T47" s="12" t="str">
        <x:v>返回同一发车点；建议至少保留约2分钟上下客/等待冗余</x:v>
      </x:c>
    </x:row>
    <x:row r="48">
      <x:c r="A48" s="12" t="str">
        <x:v>工作日</x:v>
      </x:c>
      <x:c r="B48" s="12" t="str">
        <x:v>环线1路</x:v>
      </x:c>
      <x:c r="C48" s="12" t="str">
        <x:v>第五班（夜2）</x:v>
      </x:c>
      <x:c r="D48" s="12" t="str">
        <x:v>S0050</x:v>
      </x:c>
      <x:c r="E48" s="12" t="str">
        <x:v>19:30</x:v>
      </x:c>
      <x:c r="F48" s="12" t="str">
        <x:v>研究生宿舍楼</x:v>
      </x:c>
      <x:c r="G48" s="12" t="str">
        <x:v>研究生宿舍楼发车</x:v>
      </x:c>
      <x:c r="H48" s="12" t="str">
        <x:v>HX1_NORMAL</x:v>
      </x:c>
      <x:c r="I48" s="12" t="str">
        <x:v>S0051</x:v>
      </x:c>
      <x:c r="J48" s="12" t="str">
        <x:v>20:00</x:v>
      </x:c>
      <x:c r="K48" s="12" t="str">
        <x:v>研究生宿舍楼</x:v>
      </x:c>
      <x:c r="L48" s="12" t="str">
        <x:v>研究生宿舍楼发车</x:v>
      </x:c>
      <x:c r="M48" s="12" t="str">
        <x:v>HX1_NORMAL</x:v>
      </x:c>
      <x:c r="N48" s="12" t="n">
        <x:v>1800</x:v>
      </x:c>
      <x:c r="O48" s="12" t="n">
        <x:f>N48/86400</x:f>
        <x:v>0.020833333333333332</x:v>
      </x:c>
      <x:c r="P48" s="12" t="n">
        <x:v>945</x:v>
      </x:c>
      <x:c r="Q48" s="12" t="n">
        <x:v>855</x:v>
      </x:c>
      <x:c r="R48" s="12" t="n">
        <x:f>Q48/86400</x:f>
        <x:v>0.009895833333333333</x:v>
      </x:c>
      <x:c r="S48" s="12" t="str">
        <x:v>通过</x:v>
      </x:c>
      <x:c r="T48" s="12" t="str">
        <x:v>返回同一发车点；建议至少保留约2分钟上下客/等待冗余</x:v>
      </x:c>
    </x:row>
    <x:row r="49">
      <x:c r="A49" s="12" t="str">
        <x:v>工作日</x:v>
      </x:c>
      <x:c r="B49" s="12" t="str">
        <x:v>环线1路</x:v>
      </x:c>
      <x:c r="C49" s="12" t="str">
        <x:v>第五班（夜2）</x:v>
      </x:c>
      <x:c r="D49" s="12" t="str">
        <x:v>S0051</x:v>
      </x:c>
      <x:c r="E49" s="12" t="str">
        <x:v>20:00</x:v>
      </x:c>
      <x:c r="F49" s="12" t="str">
        <x:v>研究生宿舍楼</x:v>
      </x:c>
      <x:c r="G49" s="12" t="str">
        <x:v>研究生宿舍楼发车</x:v>
      </x:c>
      <x:c r="H49" s="12" t="str">
        <x:v>HX1_NORMAL</x:v>
      </x:c>
      <x:c r="I49" s="12" t="str">
        <x:v>S0052</x:v>
      </x:c>
      <x:c r="J49" s="12" t="str">
        <x:v>20:30</x:v>
      </x:c>
      <x:c r="K49" s="12" t="str">
        <x:v>研究生宿舍楼</x:v>
      </x:c>
      <x:c r="L49" s="12" t="str">
        <x:v>研究生宿舍楼发车</x:v>
      </x:c>
      <x:c r="M49" s="12" t="str">
        <x:v>HX1_NORMAL</x:v>
      </x:c>
      <x:c r="N49" s="12" t="n">
        <x:v>1800</x:v>
      </x:c>
      <x:c r="O49" s="12" t="n">
        <x:f>N49/86400</x:f>
        <x:v>0.020833333333333332</x:v>
      </x:c>
      <x:c r="P49" s="12" t="n">
        <x:v>945</x:v>
      </x:c>
      <x:c r="Q49" s="12" t="n">
        <x:v>855</x:v>
      </x:c>
      <x:c r="R49" s="12" t="n">
        <x:f>Q49/86400</x:f>
        <x:v>0.009895833333333333</x:v>
      </x:c>
      <x:c r="S49" s="12" t="str">
        <x:v>通过</x:v>
      </x:c>
      <x:c r="T49" s="12" t="str">
        <x:v>返回同一发车点；建议至少保留约2分钟上下客/等待冗余</x:v>
      </x:c>
    </x:row>
    <x:row r="50">
      <x:c r="A50" s="12" t="str">
        <x:v>工作日</x:v>
      </x:c>
      <x:c r="B50" s="12" t="str">
        <x:v>环线1路</x:v>
      </x:c>
      <x:c r="C50" s="12" t="str">
        <x:v>第五班（夜2）</x:v>
      </x:c>
      <x:c r="D50" s="12" t="str">
        <x:v>S0052</x:v>
      </x:c>
      <x:c r="E50" s="12" t="str">
        <x:v>20:30</x:v>
      </x:c>
      <x:c r="F50" s="12" t="str">
        <x:v>研究生宿舍楼</x:v>
      </x:c>
      <x:c r="G50" s="12" t="str">
        <x:v>研究生宿舍楼发车</x:v>
      </x:c>
      <x:c r="H50" s="12" t="str">
        <x:v>HX1_NORMAL</x:v>
      </x:c>
      <x:c r="I50" s="12" t="str">
        <x:v>S0053</x:v>
      </x:c>
      <x:c r="J50" s="12" t="str">
        <x:v>21:00</x:v>
      </x:c>
      <x:c r="K50" s="12" t="str">
        <x:v>研究生宿舍楼</x:v>
      </x:c>
      <x:c r="L50" s="12" t="str">
        <x:v>研究生宿舍楼发车</x:v>
      </x:c>
      <x:c r="M50" s="12" t="str">
        <x:v>HX1_NORMAL</x:v>
      </x:c>
      <x:c r="N50" s="12" t="n">
        <x:v>1800</x:v>
      </x:c>
      <x:c r="O50" s="12" t="n">
        <x:f>N50/86400</x:f>
        <x:v>0.020833333333333332</x:v>
      </x:c>
      <x:c r="P50" s="12" t="n">
        <x:v>945</x:v>
      </x:c>
      <x:c r="Q50" s="12" t="n">
        <x:v>855</x:v>
      </x:c>
      <x:c r="R50" s="12" t="n">
        <x:f>Q50/86400</x:f>
        <x:v>0.009895833333333333</x:v>
      </x:c>
      <x:c r="S50" s="12" t="str">
        <x:v>通过</x:v>
      </x:c>
      <x:c r="T50" s="12" t="str">
        <x:v>返回同一发车点；建议至少保留约2分钟上下客/等待冗余</x:v>
      </x:c>
    </x:row>
    <x:row r="51">
      <x:c r="A51" s="12" t="str">
        <x:v>工作日</x:v>
      </x:c>
      <x:c r="B51" s="12" t="str">
        <x:v>环线1路</x:v>
      </x:c>
      <x:c r="C51" s="12" t="str">
        <x:v>第五班（夜2）</x:v>
      </x:c>
      <x:c r="D51" s="12" t="str">
        <x:v>S0053</x:v>
      </x:c>
      <x:c r="E51" s="12" t="str">
        <x:v>21:00</x:v>
      </x:c>
      <x:c r="F51" s="12" t="str">
        <x:v>研究生宿舍楼</x:v>
      </x:c>
      <x:c r="G51" s="12" t="str">
        <x:v>研究生宿舍楼发车</x:v>
      </x:c>
      <x:c r="H51" s="12" t="str">
        <x:v>HX1_NORMAL</x:v>
      </x:c>
      <x:c r="I51" s="12" t="str">
        <x:v>S0054</x:v>
      </x:c>
      <x:c r="J51" s="12" t="str">
        <x:v>21:30</x:v>
      </x:c>
      <x:c r="K51" s="12" t="str">
        <x:v>研究生宿舍楼</x:v>
      </x:c>
      <x:c r="L51" s="12" t="str">
        <x:v>研究生宿舍楼发车</x:v>
      </x:c>
      <x:c r="M51" s="12" t="str">
        <x:v>HX1_NORMAL</x:v>
      </x:c>
      <x:c r="N51" s="12" t="n">
        <x:v>1800</x:v>
      </x:c>
      <x:c r="O51" s="12" t="n">
        <x:f>N51/86400</x:f>
        <x:v>0.020833333333333332</x:v>
      </x:c>
      <x:c r="P51" s="12" t="n">
        <x:v>945</x:v>
      </x:c>
      <x:c r="Q51" s="12" t="n">
        <x:v>855</x:v>
      </x:c>
      <x:c r="R51" s="12" t="n">
        <x:f>Q51/86400</x:f>
        <x:v>0.009895833333333333</x:v>
      </x:c>
      <x:c r="S51" s="12" t="str">
        <x:v>通过</x:v>
      </x:c>
      <x:c r="T51" s="12" t="str">
        <x:v>返回同一发车点；建议至少保留约2分钟上下客/等待冗余</x:v>
      </x:c>
    </x:row>
    <x:row r="52">
      <x:c r="A52" s="12" t="str">
        <x:v>工作日</x:v>
      </x:c>
      <x:c r="B52" s="12" t="str">
        <x:v>环线1路</x:v>
      </x:c>
      <x:c r="C52" s="12" t="str">
        <x:v>第五班（夜2）</x:v>
      </x:c>
      <x:c r="D52" s="12" t="str">
        <x:v>S0054</x:v>
      </x:c>
      <x:c r="E52" s="12" t="str">
        <x:v>21:30</x:v>
      </x:c>
      <x:c r="F52" s="12" t="str">
        <x:v>研究生宿舍楼</x:v>
      </x:c>
      <x:c r="G52" s="12" t="str">
        <x:v>研究生宿舍楼发车</x:v>
      </x:c>
      <x:c r="H52" s="12" t="str">
        <x:v>HX1_NORMAL</x:v>
      </x:c>
      <x:c r="I52" s="12" t="str">
        <x:v>S0055</x:v>
      </x:c>
      <x:c r="J52" s="12" t="str">
        <x:v>22:00</x:v>
      </x:c>
      <x:c r="K52" s="12" t="str">
        <x:v>研究生宿舍楼</x:v>
      </x:c>
      <x:c r="L52" s="12" t="str">
        <x:v>研究生宿舍楼发车</x:v>
      </x:c>
      <x:c r="M52" s="12" t="str">
        <x:v>HX1_NORMAL</x:v>
      </x:c>
      <x:c r="N52" s="12" t="n">
        <x:v>1800</x:v>
      </x:c>
      <x:c r="O52" s="12" t="n">
        <x:f>N52/86400</x:f>
        <x:v>0.020833333333333332</x:v>
      </x:c>
      <x:c r="P52" s="12" t="n">
        <x:v>945</x:v>
      </x:c>
      <x:c r="Q52" s="12" t="n">
        <x:v>855</x:v>
      </x:c>
      <x:c r="R52" s="12" t="n">
        <x:f>Q52/86400</x:f>
        <x:v>0.009895833333333333</x:v>
      </x:c>
      <x:c r="S52" s="12" t="str">
        <x:v>通过</x:v>
      </x:c>
      <x:c r="T52" s="12" t="str">
        <x:v>返回同一发车点；建议至少保留约2分钟上下客/等待冗余</x:v>
      </x:c>
    </x:row>
    <x:row r="53">
      <x:c r="A53" s="12" t="str">
        <x:v>工作日</x:v>
      </x:c>
      <x:c r="B53" s="12" t="str">
        <x:v>环线1路</x:v>
      </x:c>
      <x:c r="C53" s="12" t="str">
        <x:v>第五班（夜2）</x:v>
      </x:c>
      <x:c r="D53" s="12" t="str">
        <x:v>S0055</x:v>
      </x:c>
      <x:c r="E53" s="12" t="str">
        <x:v>22:00</x:v>
      </x:c>
      <x:c r="F53" s="12" t="str">
        <x:v>研究生宿舍楼</x:v>
      </x:c>
      <x:c r="G53" s="12" t="str">
        <x:v>研究生宿舍楼发车</x:v>
      </x:c>
      <x:c r="H53" s="12" t="str">
        <x:v>HX1_NORMAL</x:v>
      </x:c>
      <x:c r="I53" s="12" t="str">
        <x:v>S0056</x:v>
      </x:c>
      <x:c r="J53" s="12" t="str">
        <x:v>22:30</x:v>
      </x:c>
      <x:c r="K53" s="12" t="str">
        <x:v>研究生宿舍楼</x:v>
      </x:c>
      <x:c r="L53" s="12" t="str">
        <x:v>研究生宿舍楼发车</x:v>
      </x:c>
      <x:c r="M53" s="12" t="str">
        <x:v>HX1_NORMAL</x:v>
      </x:c>
      <x:c r="N53" s="12" t="n">
        <x:v>1800</x:v>
      </x:c>
      <x:c r="O53" s="12" t="n">
        <x:f>N53/86400</x:f>
        <x:v>0.020833333333333332</x:v>
      </x:c>
      <x:c r="P53" s="12" t="n">
        <x:v>945</x:v>
      </x:c>
      <x:c r="Q53" s="12" t="n">
        <x:v>855</x:v>
      </x:c>
      <x:c r="R53" s="12" t="n">
        <x:f>Q53/86400</x:f>
        <x:v>0.009895833333333333</x:v>
      </x:c>
      <x:c r="S53" s="12" t="str">
        <x:v>通过</x:v>
      </x:c>
      <x:c r="T53" s="12" t="str">
        <x:v>返回同一发车点；建议至少保留约2分钟上下客/等待冗余</x:v>
      </x:c>
    </x:row>
    <x:row r="54">
      <x:c r="A54" s="12" t="str">
        <x:v>工作日</x:v>
      </x:c>
      <x:c r="B54" s="12" t="str">
        <x:v>环线1路</x:v>
      </x:c>
      <x:c r="C54" s="12" t="str">
        <x:v>第四班（夜1）</x:v>
      </x:c>
      <x:c r="D54" s="12" t="str">
        <x:v>S0057</x:v>
      </x:c>
      <x:c r="E54" s="12" t="str">
        <x:v>14:24</x:v>
      </x:c>
      <x:c r="F54" s="12" t="str">
        <x:v>研究生宿舍楼</x:v>
      </x:c>
      <x:c r="G54" s="12" t="str">
        <x:v>研究生宿舍楼发车</x:v>
      </x:c>
      <x:c r="H54" s="12" t="str">
        <x:v>HX1_NORMAL</x:v>
      </x:c>
      <x:c r="I54" s="12" t="str">
        <x:v>S0058</x:v>
      </x:c>
      <x:c r="J54" s="12" t="str">
        <x:v>15:00</x:v>
      </x:c>
      <x:c r="K54" s="12" t="str">
        <x:v>研究生宿舍楼</x:v>
      </x:c>
      <x:c r="L54" s="12" t="str">
        <x:v>研究生宿舍楼发车</x:v>
      </x:c>
      <x:c r="M54" s="12" t="str">
        <x:v>HX1_NORMAL</x:v>
      </x:c>
      <x:c r="N54" s="12" t="n">
        <x:v>2160</x:v>
      </x:c>
      <x:c r="O54" s="12" t="n">
        <x:f>N54/86400</x:f>
        <x:v>0.025</x:v>
      </x:c>
      <x:c r="P54" s="12" t="n">
        <x:v>945</x:v>
      </x:c>
      <x:c r="Q54" s="12" t="n">
        <x:v>1215</x:v>
      </x:c>
      <x:c r="R54" s="12" t="n">
        <x:f>Q54/86400</x:f>
        <x:v>0.0140625</x:v>
      </x:c>
      <x:c r="S54" s="12" t="str">
        <x:v>通过</x:v>
      </x:c>
      <x:c r="T54" s="12" t="str">
        <x:v>返回同一发车点；建议至少保留约2分钟上下客/等待冗余</x:v>
      </x:c>
    </x:row>
    <x:row r="55">
      <x:c r="A55" s="12" t="str">
        <x:v>工作日</x:v>
      </x:c>
      <x:c r="B55" s="12" t="str">
        <x:v>环线1路</x:v>
      </x:c>
      <x:c r="C55" s="12" t="str">
        <x:v>第四班（夜1）</x:v>
      </x:c>
      <x:c r="D55" s="12" t="str">
        <x:v>S0058</x:v>
      </x:c>
      <x:c r="E55" s="12" t="str">
        <x:v>15:00</x:v>
      </x:c>
      <x:c r="F55" s="12" t="str">
        <x:v>研究生宿舍楼</x:v>
      </x:c>
      <x:c r="G55" s="12" t="str">
        <x:v>研究生宿舍楼发车</x:v>
      </x:c>
      <x:c r="H55" s="12" t="str">
        <x:v>HX1_NORMAL</x:v>
      </x:c>
      <x:c r="I55" s="12" t="str">
        <x:v>S0059</x:v>
      </x:c>
      <x:c r="J55" s="12" t="str">
        <x:v>16:00</x:v>
      </x:c>
      <x:c r="K55" s="12" t="str">
        <x:v>研究生宿舍楼</x:v>
      </x:c>
      <x:c r="L55" s="12" t="str">
        <x:v>研究生宿舍楼发车</x:v>
      </x:c>
      <x:c r="M55" s="12" t="str">
        <x:v>HX1_NORMAL</x:v>
      </x:c>
      <x:c r="N55" s="12" t="n">
        <x:v>3600</x:v>
      </x:c>
      <x:c r="O55" s="12" t="n">
        <x:f>N55/86400</x:f>
        <x:v>0.041666666666666664</x:v>
      </x:c>
      <x:c r="P55" s="12" t="n">
        <x:v>945</x:v>
      </x:c>
      <x:c r="Q55" s="12" t="n">
        <x:v>2655</x:v>
      </x:c>
      <x:c r="R55" s="12" t="n">
        <x:f>Q55/86400</x:f>
        <x:v>0.030729166666666665</x:v>
      </x:c>
      <x:c r="S55" s="12" t="str">
        <x:v>通过</x:v>
      </x:c>
      <x:c r="T55" s="12" t="str">
        <x:v>返回同一发车点；建议至少保留约2分钟上下客/等待冗余</x:v>
      </x:c>
    </x:row>
    <x:row r="56">
      <x:c r="A56" s="12" t="str">
        <x:v>工作日</x:v>
      </x:c>
      <x:c r="B56" s="12" t="str">
        <x:v>环线1路</x:v>
      </x:c>
      <x:c r="C56" s="12" t="str">
        <x:v>第四班（夜1）</x:v>
      </x:c>
      <x:c r="D56" s="12" t="str">
        <x:v>S0059</x:v>
      </x:c>
      <x:c r="E56" s="12" t="str">
        <x:v>16:00</x:v>
      </x:c>
      <x:c r="F56" s="12" t="str">
        <x:v>研究生宿舍楼</x:v>
      </x:c>
      <x:c r="G56" s="12" t="str">
        <x:v>研究生宿舍楼发车</x:v>
      </x:c>
      <x:c r="H56" s="12" t="str">
        <x:v>HX1_NORMAL</x:v>
      </x:c>
      <x:c r="I56" s="12" t="str">
        <x:v>S0060</x:v>
      </x:c>
      <x:c r="J56" s="12" t="str">
        <x:v>16:45</x:v>
      </x:c>
      <x:c r="K56" s="12" t="str">
        <x:v>研究生宿舍楼</x:v>
      </x:c>
      <x:c r="L56" s="12" t="str">
        <x:v>研究生宿舍楼发车</x:v>
      </x:c>
      <x:c r="M56" s="12" t="str">
        <x:v>HX1_NORMAL</x:v>
      </x:c>
      <x:c r="N56" s="12" t="n">
        <x:v>2700</x:v>
      </x:c>
      <x:c r="O56" s="12" t="n">
        <x:f>N56/86400</x:f>
        <x:v>0.03125</x:v>
      </x:c>
      <x:c r="P56" s="12" t="n">
        <x:v>945</x:v>
      </x:c>
      <x:c r="Q56" s="12" t="n">
        <x:v>1755</x:v>
      </x:c>
      <x:c r="R56" s="12" t="n">
        <x:f>Q56/86400</x:f>
        <x:v>0.0203125</x:v>
      </x:c>
      <x:c r="S56" s="12" t="str">
        <x:v>通过</x:v>
      </x:c>
      <x:c r="T56" s="12" t="str">
        <x:v>返回同一发车点；建议至少保留约2分钟上下客/等待冗余</x:v>
      </x:c>
    </x:row>
    <x:row r="57">
      <x:c r="A57" s="12" t="str">
        <x:v>工作日</x:v>
      </x:c>
      <x:c r="B57" s="12" t="str">
        <x:v>环线1路</x:v>
      </x:c>
      <x:c r="C57" s="12" t="str">
        <x:v>第四班（夜1）</x:v>
      </x:c>
      <x:c r="D57" s="12" t="str">
        <x:v>S0060</x:v>
      </x:c>
      <x:c r="E57" s="12" t="str">
        <x:v>16:45</x:v>
      </x:c>
      <x:c r="F57" s="12" t="str">
        <x:v>研究生宿舍楼</x:v>
      </x:c>
      <x:c r="G57" s="12" t="str">
        <x:v>研究生宿舍楼发车</x:v>
      </x:c>
      <x:c r="H57" s="12" t="str">
        <x:v>HX1_NORMAL</x:v>
      </x:c>
      <x:c r="I57" s="12" t="str">
        <x:v>S0061</x:v>
      </x:c>
      <x:c r="J57" s="12" t="str">
        <x:v>17:45</x:v>
      </x:c>
      <x:c r="K57" s="12" t="str">
        <x:v>研究生宿舍楼</x:v>
      </x:c>
      <x:c r="L57" s="12" t="str">
        <x:v>研究生宿舍楼发车</x:v>
      </x:c>
      <x:c r="M57" s="12" t="str">
        <x:v>HX1_NORMAL</x:v>
      </x:c>
      <x:c r="N57" s="12" t="n">
        <x:v>3600</x:v>
      </x:c>
      <x:c r="O57" s="12" t="n">
        <x:f>N57/86400</x:f>
        <x:v>0.041666666666666664</x:v>
      </x:c>
      <x:c r="P57" s="12" t="n">
        <x:v>945</x:v>
      </x:c>
      <x:c r="Q57" s="12" t="n">
        <x:v>2655</x:v>
      </x:c>
      <x:c r="R57" s="12" t="n">
        <x:f>Q57/86400</x:f>
        <x:v>0.030729166666666665</x:v>
      </x:c>
      <x:c r="S57" s="12" t="str">
        <x:v>通过</x:v>
      </x:c>
      <x:c r="T57" s="12" t="str">
        <x:v>返回同一发车点；建议至少保留约2分钟上下客/等待冗余</x:v>
      </x:c>
    </x:row>
    <x:row r="58">
      <x:c r="A58" s="12" t="str">
        <x:v>工作日</x:v>
      </x:c>
      <x:c r="B58" s="12" t="str">
        <x:v>环线1路</x:v>
      </x:c>
      <x:c r="C58" s="12" t="str">
        <x:v>第四班（夜1）</x:v>
      </x:c>
      <x:c r="D58" s="12" t="str">
        <x:v>S0061</x:v>
      </x:c>
      <x:c r="E58" s="12" t="str">
        <x:v>17:45</x:v>
      </x:c>
      <x:c r="F58" s="12" t="str">
        <x:v>研究生宿舍楼</x:v>
      </x:c>
      <x:c r="G58" s="12" t="str">
        <x:v>研究生宿舍楼发车</x:v>
      </x:c>
      <x:c r="H58" s="12" t="str">
        <x:v>HX1_NORMAL</x:v>
      </x:c>
      <x:c r="I58" s="12" t="str">
        <x:v>S0062</x:v>
      </x:c>
      <x:c r="J58" s="12" t="str">
        <x:v>18:15</x:v>
      </x:c>
      <x:c r="K58" s="12" t="str">
        <x:v>研究生宿舍楼</x:v>
      </x:c>
      <x:c r="L58" s="12" t="str">
        <x:v>研究生宿舍楼发车</x:v>
      </x:c>
      <x:c r="M58" s="12" t="str">
        <x:v>HX1_NORMAL</x:v>
      </x:c>
      <x:c r="N58" s="12" t="n">
        <x:v>1800</x:v>
      </x:c>
      <x:c r="O58" s="12" t="n">
        <x:f>N58/86400</x:f>
        <x:v>0.020833333333333332</x:v>
      </x:c>
      <x:c r="P58" s="12" t="n">
        <x:v>945</x:v>
      </x:c>
      <x:c r="Q58" s="12" t="n">
        <x:v>855</x:v>
      </x:c>
      <x:c r="R58" s="12" t="n">
        <x:f>Q58/86400</x:f>
        <x:v>0.009895833333333333</x:v>
      </x:c>
      <x:c r="S58" s="12" t="str">
        <x:v>通过</x:v>
      </x:c>
      <x:c r="T58" s="12" t="str">
        <x:v>返回同一发车点；建议至少保留约2分钟上下客/等待冗余</x:v>
      </x:c>
    </x:row>
    <x:row r="59">
      <x:c r="A59" s="12" t="str">
        <x:v>工作日</x:v>
      </x:c>
      <x:c r="B59" s="12" t="str">
        <x:v>环线1路</x:v>
      </x:c>
      <x:c r="C59" s="12" t="str">
        <x:v>第四班（夜1）</x:v>
      </x:c>
      <x:c r="D59" s="12" t="str">
        <x:v>S0062</x:v>
      </x:c>
      <x:c r="E59" s="12" t="str">
        <x:v>18:15</x:v>
      </x:c>
      <x:c r="F59" s="12" t="str">
        <x:v>研究生宿舍楼</x:v>
      </x:c>
      <x:c r="G59" s="12" t="str">
        <x:v>研究生宿舍楼发车</x:v>
      </x:c>
      <x:c r="H59" s="12" t="str">
        <x:v>HX1_NORMAL</x:v>
      </x:c>
      <x:c r="I59" s="12" t="str">
        <x:v>S0063</x:v>
      </x:c>
      <x:c r="J59" s="12" t="str">
        <x:v>18:45</x:v>
      </x:c>
      <x:c r="K59" s="12" t="str">
        <x:v>研究生宿舍楼</x:v>
      </x:c>
      <x:c r="L59" s="12" t="str">
        <x:v>研究生宿舍楼发车</x:v>
      </x:c>
      <x:c r="M59" s="12" t="str">
        <x:v>HX1_NORMAL</x:v>
      </x:c>
      <x:c r="N59" s="12" t="n">
        <x:v>1800</x:v>
      </x:c>
      <x:c r="O59" s="12" t="n">
        <x:f>N59/86400</x:f>
        <x:v>0.020833333333333332</x:v>
      </x:c>
      <x:c r="P59" s="12" t="n">
        <x:v>945</x:v>
      </x:c>
      <x:c r="Q59" s="12" t="n">
        <x:v>855</x:v>
      </x:c>
      <x:c r="R59" s="12" t="n">
        <x:f>Q59/86400</x:f>
        <x:v>0.009895833333333333</x:v>
      </x:c>
      <x:c r="S59" s="12" t="str">
        <x:v>通过</x:v>
      </x:c>
      <x:c r="T59" s="12" t="str">
        <x:v>返回同一发车点；建议至少保留约2分钟上下客/等待冗余</x:v>
      </x:c>
    </x:row>
    <x:row r="60">
      <x:c r="A60" s="12" t="str">
        <x:v>工作日</x:v>
      </x:c>
      <x:c r="B60" s="12" t="str">
        <x:v>环线1路</x:v>
      </x:c>
      <x:c r="C60" s="12" t="str">
        <x:v>第四班（夜1）</x:v>
      </x:c>
      <x:c r="D60" s="12" t="str">
        <x:v>S0063</x:v>
      </x:c>
      <x:c r="E60" s="12" t="str">
        <x:v>18:45</x:v>
      </x:c>
      <x:c r="F60" s="12" t="str">
        <x:v>研究生宿舍楼</x:v>
      </x:c>
      <x:c r="G60" s="12" t="str">
        <x:v>研究生宿舍楼发车</x:v>
      </x:c>
      <x:c r="H60" s="12" t="str">
        <x:v>HX1_NORMAL</x:v>
      </x:c>
      <x:c r="I60" s="12" t="str">
        <x:v>S0064</x:v>
      </x:c>
      <x:c r="J60" s="12" t="str">
        <x:v>19:15</x:v>
      </x:c>
      <x:c r="K60" s="12" t="str">
        <x:v>研究生宿舍楼</x:v>
      </x:c>
      <x:c r="L60" s="12" t="str">
        <x:v>研究生宿舍楼发车</x:v>
      </x:c>
      <x:c r="M60" s="12" t="str">
        <x:v>HX1_NORMAL</x:v>
      </x:c>
      <x:c r="N60" s="12" t="n">
        <x:v>1800</x:v>
      </x:c>
      <x:c r="O60" s="12" t="n">
        <x:f>N60/86400</x:f>
        <x:v>0.020833333333333332</x:v>
      </x:c>
      <x:c r="P60" s="12" t="n">
        <x:v>945</x:v>
      </x:c>
      <x:c r="Q60" s="12" t="n">
        <x:v>855</x:v>
      </x:c>
      <x:c r="R60" s="12" t="n">
        <x:f>Q60/86400</x:f>
        <x:v>0.009895833333333333</x:v>
      </x:c>
      <x:c r="S60" s="12" t="str">
        <x:v>通过</x:v>
      </x:c>
      <x:c r="T60" s="12" t="str">
        <x:v>返回同一发车点；建议至少保留约2分钟上下客/等待冗余</x:v>
      </x:c>
    </x:row>
    <x:row r="61">
      <x:c r="A61" s="12" t="str">
        <x:v>工作日</x:v>
      </x:c>
      <x:c r="B61" s="12" t="str">
        <x:v>环线1路</x:v>
      </x:c>
      <x:c r="C61" s="12" t="str">
        <x:v>第四班（夜1）</x:v>
      </x:c>
      <x:c r="D61" s="12" t="str">
        <x:v>S0064</x:v>
      </x:c>
      <x:c r="E61" s="12" t="str">
        <x:v>19:15</x:v>
      </x:c>
      <x:c r="F61" s="12" t="str">
        <x:v>研究生宿舍楼</x:v>
      </x:c>
      <x:c r="G61" s="12" t="str">
        <x:v>研究生宿舍楼发车</x:v>
      </x:c>
      <x:c r="H61" s="12" t="str">
        <x:v>HX1_NORMAL</x:v>
      </x:c>
      <x:c r="I61" s="12" t="str">
        <x:v>S0065</x:v>
      </x:c>
      <x:c r="J61" s="12" t="str">
        <x:v>19:45</x:v>
      </x:c>
      <x:c r="K61" s="12" t="str">
        <x:v>研究生宿舍楼</x:v>
      </x:c>
      <x:c r="L61" s="12" t="str">
        <x:v>研究生宿舍楼发车</x:v>
      </x:c>
      <x:c r="M61" s="12" t="str">
        <x:v>HX1_NORMAL</x:v>
      </x:c>
      <x:c r="N61" s="12" t="n">
        <x:v>1800</x:v>
      </x:c>
      <x:c r="O61" s="12" t="n">
        <x:f>N61/86400</x:f>
        <x:v>0.020833333333333332</x:v>
      </x:c>
      <x:c r="P61" s="12" t="n">
        <x:v>945</x:v>
      </x:c>
      <x:c r="Q61" s="12" t="n">
        <x:v>855</x:v>
      </x:c>
      <x:c r="R61" s="12" t="n">
        <x:f>Q61/86400</x:f>
        <x:v>0.009895833333333333</x:v>
      </x:c>
      <x:c r="S61" s="12" t="str">
        <x:v>通过</x:v>
      </x:c>
      <x:c r="T61" s="12" t="str">
        <x:v>返回同一发车点；建议至少保留约2分钟上下客/等待冗余</x:v>
      </x:c>
    </x:row>
    <x:row r="62">
      <x:c r="A62" s="12" t="str">
        <x:v>工作日</x:v>
      </x:c>
      <x:c r="B62" s="12" t="str">
        <x:v>环线1路</x:v>
      </x:c>
      <x:c r="C62" s="12" t="str">
        <x:v>第四班（夜1）</x:v>
      </x:c>
      <x:c r="D62" s="12" t="str">
        <x:v>S0065</x:v>
      </x:c>
      <x:c r="E62" s="12" t="str">
        <x:v>19:45</x:v>
      </x:c>
      <x:c r="F62" s="12" t="str">
        <x:v>研究生宿舍楼</x:v>
      </x:c>
      <x:c r="G62" s="12" t="str">
        <x:v>研究生宿舍楼发车</x:v>
      </x:c>
      <x:c r="H62" s="12" t="str">
        <x:v>HX1_NORMAL</x:v>
      </x:c>
      <x:c r="I62" s="12" t="str">
        <x:v>S0066</x:v>
      </x:c>
      <x:c r="J62" s="12" t="str">
        <x:v>20:15</x:v>
      </x:c>
      <x:c r="K62" s="12" t="str">
        <x:v>研究生宿舍楼</x:v>
      </x:c>
      <x:c r="L62" s="12" t="str">
        <x:v>研究生宿舍楼发车</x:v>
      </x:c>
      <x:c r="M62" s="12" t="str">
        <x:v>HX1_NORMAL</x:v>
      </x:c>
      <x:c r="N62" s="12" t="n">
        <x:v>1800</x:v>
      </x:c>
      <x:c r="O62" s="12" t="n">
        <x:f>N62/86400</x:f>
        <x:v>0.020833333333333332</x:v>
      </x:c>
      <x:c r="P62" s="12" t="n">
        <x:v>945</x:v>
      </x:c>
      <x:c r="Q62" s="12" t="n">
        <x:v>855</x:v>
      </x:c>
      <x:c r="R62" s="12" t="n">
        <x:f>Q62/86400</x:f>
        <x:v>0.009895833333333333</x:v>
      </x:c>
      <x:c r="S62" s="12" t="str">
        <x:v>通过</x:v>
      </x:c>
      <x:c r="T62" s="12" t="str">
        <x:v>返回同一发车点；建议至少保留约2分钟上下客/等待冗余</x:v>
      </x:c>
    </x:row>
    <x:row r="63">
      <x:c r="A63" s="12" t="str">
        <x:v>工作日</x:v>
      </x:c>
      <x:c r="B63" s="12" t="str">
        <x:v>环线1路</x:v>
      </x:c>
      <x:c r="C63" s="12" t="str">
        <x:v>第四班（夜1）</x:v>
      </x:c>
      <x:c r="D63" s="12" t="str">
        <x:v>S0066</x:v>
      </x:c>
      <x:c r="E63" s="12" t="str">
        <x:v>20:15</x:v>
      </x:c>
      <x:c r="F63" s="12" t="str">
        <x:v>研究生宿舍楼</x:v>
      </x:c>
      <x:c r="G63" s="12" t="str">
        <x:v>研究生宿舍楼发车</x:v>
      </x:c>
      <x:c r="H63" s="12" t="str">
        <x:v>HX1_NORMAL</x:v>
      </x:c>
      <x:c r="I63" s="12" t="str">
        <x:v>S0067</x:v>
      </x:c>
      <x:c r="J63" s="12" t="str">
        <x:v>20:45</x:v>
      </x:c>
      <x:c r="K63" s="12" t="str">
        <x:v>研究生宿舍楼</x:v>
      </x:c>
      <x:c r="L63" s="12" t="str">
        <x:v>研究生宿舍楼发车</x:v>
      </x:c>
      <x:c r="M63" s="12" t="str">
        <x:v>HX1_NORMAL</x:v>
      </x:c>
      <x:c r="N63" s="12" t="n">
        <x:v>1800</x:v>
      </x:c>
      <x:c r="O63" s="12" t="n">
        <x:f>N63/86400</x:f>
        <x:v>0.020833333333333332</x:v>
      </x:c>
      <x:c r="P63" s="12" t="n">
        <x:v>945</x:v>
      </x:c>
      <x:c r="Q63" s="12" t="n">
        <x:v>855</x:v>
      </x:c>
      <x:c r="R63" s="12" t="n">
        <x:f>Q63/86400</x:f>
        <x:v>0.009895833333333333</x:v>
      </x:c>
      <x:c r="S63" s="12" t="str">
        <x:v>通过</x:v>
      </x:c>
      <x:c r="T63" s="12" t="str">
        <x:v>返回同一发车点；建议至少保留约2分钟上下客/等待冗余</x:v>
      </x:c>
    </x:row>
    <x:row r="64">
      <x:c r="A64" s="12" t="str">
        <x:v>工作日</x:v>
      </x:c>
      <x:c r="B64" s="12" t="str">
        <x:v>环线1路</x:v>
      </x:c>
      <x:c r="C64" s="12" t="str">
        <x:v>第四班（夜1）</x:v>
      </x:c>
      <x:c r="D64" s="12" t="str">
        <x:v>S0067</x:v>
      </x:c>
      <x:c r="E64" s="12" t="str">
        <x:v>20:45</x:v>
      </x:c>
      <x:c r="F64" s="12" t="str">
        <x:v>研究生宿舍楼</x:v>
      </x:c>
      <x:c r="G64" s="12" t="str">
        <x:v>研究生宿舍楼发车</x:v>
      </x:c>
      <x:c r="H64" s="12" t="str">
        <x:v>HX1_NORMAL</x:v>
      </x:c>
      <x:c r="I64" s="12" t="str">
        <x:v>S0068</x:v>
      </x:c>
      <x:c r="J64" s="12" t="str">
        <x:v>21:15</x:v>
      </x:c>
      <x:c r="K64" s="12" t="str">
        <x:v>研究生宿舍楼</x:v>
      </x:c>
      <x:c r="L64" s="12" t="str">
        <x:v>研究生宿舍楼发车</x:v>
      </x:c>
      <x:c r="M64" s="12" t="str">
        <x:v>HX1_NORMAL</x:v>
      </x:c>
      <x:c r="N64" s="12" t="n">
        <x:v>1800</x:v>
      </x:c>
      <x:c r="O64" s="12" t="n">
        <x:f>N64/86400</x:f>
        <x:v>0.020833333333333332</x:v>
      </x:c>
      <x:c r="P64" s="12" t="n">
        <x:v>945</x:v>
      </x:c>
      <x:c r="Q64" s="12" t="n">
        <x:v>855</x:v>
      </x:c>
      <x:c r="R64" s="12" t="n">
        <x:f>Q64/86400</x:f>
        <x:v>0.009895833333333333</x:v>
      </x:c>
      <x:c r="S64" s="12" t="str">
        <x:v>通过</x:v>
      </x:c>
      <x:c r="T64" s="12" t="str">
        <x:v>返回同一发车点；建议至少保留约2分钟上下客/等待冗余</x:v>
      </x:c>
    </x:row>
    <x:row r="65">
      <x:c r="A65" s="12" t="str">
        <x:v>工作日</x:v>
      </x:c>
      <x:c r="B65" s="12" t="str">
        <x:v>环线1路</x:v>
      </x:c>
      <x:c r="C65" s="12" t="str">
        <x:v>第四班（夜1）</x:v>
      </x:c>
      <x:c r="D65" s="12" t="str">
        <x:v>S0068</x:v>
      </x:c>
      <x:c r="E65" s="12" t="str">
        <x:v>21:15</x:v>
      </x:c>
      <x:c r="F65" s="12" t="str">
        <x:v>研究生宿舍楼</x:v>
      </x:c>
      <x:c r="G65" s="12" t="str">
        <x:v>研究生宿舍楼发车</x:v>
      </x:c>
      <x:c r="H65" s="12" t="str">
        <x:v>HX1_NORMAL</x:v>
      </x:c>
      <x:c r="I65" s="12" t="str">
        <x:v>S0069</x:v>
      </x:c>
      <x:c r="J65" s="12" t="str">
        <x:v>21:45</x:v>
      </x:c>
      <x:c r="K65" s="12" t="str">
        <x:v>研究生宿舍楼</x:v>
      </x:c>
      <x:c r="L65" s="12" t="str">
        <x:v>研究生宿舍楼发车</x:v>
      </x:c>
      <x:c r="M65" s="12" t="str">
        <x:v>HX1_NORMAL</x:v>
      </x:c>
      <x:c r="N65" s="12" t="n">
        <x:v>1800</x:v>
      </x:c>
      <x:c r="O65" s="12" t="n">
        <x:f>N65/86400</x:f>
        <x:v>0.020833333333333332</x:v>
      </x:c>
      <x:c r="P65" s="12" t="n">
        <x:v>945</x:v>
      </x:c>
      <x:c r="Q65" s="12" t="n">
        <x:v>855</x:v>
      </x:c>
      <x:c r="R65" s="12" t="n">
        <x:f>Q65/86400</x:f>
        <x:v>0.009895833333333333</x:v>
      </x:c>
      <x:c r="S65" s="12" t="str">
        <x:v>通过</x:v>
      </x:c>
      <x:c r="T65" s="12" t="str">
        <x:v>返回同一发车点；建议至少保留约2分钟上下客/等待冗余</x:v>
      </x:c>
    </x:row>
    <x:row r="66">
      <x:c r="A66" s="12" t="str">
        <x:v>工作日</x:v>
      </x:c>
      <x:c r="B66" s="12" t="str">
        <x:v>环线1路</x:v>
      </x:c>
      <x:c r="C66" s="12" t="str">
        <x:v>第四班（夜1）</x:v>
      </x:c>
      <x:c r="D66" s="12" t="str">
        <x:v>S0069</x:v>
      </x:c>
      <x:c r="E66" s="12" t="str">
        <x:v>21:45</x:v>
      </x:c>
      <x:c r="F66" s="12" t="str">
        <x:v>研究生宿舍楼</x:v>
      </x:c>
      <x:c r="G66" s="12" t="str">
        <x:v>研究生宿舍楼发车</x:v>
      </x:c>
      <x:c r="H66" s="12" t="str">
        <x:v>HX1_NORMAL</x:v>
      </x:c>
      <x:c r="I66" s="12" t="str">
        <x:v>S0070</x:v>
      </x:c>
      <x:c r="J66" s="12" t="str">
        <x:v>22:15</x:v>
      </x:c>
      <x:c r="K66" s="12" t="str">
        <x:v>研究生宿舍楼</x:v>
      </x:c>
      <x:c r="L66" s="12" t="str">
        <x:v>研究生宿舍楼发车</x:v>
      </x:c>
      <x:c r="M66" s="12" t="str">
        <x:v>HX1_NORMAL</x:v>
      </x:c>
      <x:c r="N66" s="12" t="n">
        <x:v>1800</x:v>
      </x:c>
      <x:c r="O66" s="12" t="n">
        <x:f>N66/86400</x:f>
        <x:v>0.020833333333333332</x:v>
      </x:c>
      <x:c r="P66" s="12" t="n">
        <x:v>945</x:v>
      </x:c>
      <x:c r="Q66" s="12" t="n">
        <x:v>855</x:v>
      </x:c>
      <x:c r="R66" s="12" t="n">
        <x:f>Q66/86400</x:f>
        <x:v>0.009895833333333333</x:v>
      </x:c>
      <x:c r="S66" s="12" t="str">
        <x:v>通过</x:v>
      </x:c>
      <x:c r="T66" s="12" t="str">
        <x:v>返回同一发车点；建议至少保留约2分钟上下客/等待冗余</x:v>
      </x:c>
    </x:row>
    <x:row r="67">
      <x:c r="A67" s="12" t="str">
        <x:v>工作日</x:v>
      </x:c>
      <x:c r="B67" s="12" t="str">
        <x:v>环线2路</x:v>
      </x:c>
      <x:c r="C67" s="12" t="str">
        <x:v>第一班</x:v>
      </x:c>
      <x:c r="D67" s="12" t="str">
        <x:v>S0071</x:v>
      </x:c>
      <x:c r="E67" s="12" t="str">
        <x:v>7:35</x:v>
      </x:c>
      <x:c r="F67" s="12" t="str">
        <x:v>研究生宿舍楼</x:v>
      </x:c>
      <x:c r="G67" s="12" t="str">
        <x:v>研究生宿舍楼发车</x:v>
      </x:c>
      <x:c r="H67" s="12" t="str">
        <x:v>HX2_NORMAL</x:v>
      </x:c>
      <x:c r="I67" s="12" t="str">
        <x:v>S0072</x:v>
      </x:c>
      <x:c r="J67" s="12" t="str">
        <x:v>7:50</x:v>
      </x:c>
      <x:c r="K67" s="12" t="str">
        <x:v>研究生宿舍楼</x:v>
      </x:c>
      <x:c r="L67" s="12" t="str">
        <x:v>研究生宿舍楼发车</x:v>
      </x:c>
      <x:c r="M67" s="12" t="str">
        <x:v>HX2_NORMAL</x:v>
      </x:c>
      <x:c r="N67" s="12" t="n">
        <x:v>900</x:v>
      </x:c>
      <x:c r="O67" s="12" t="n">
        <x:f>N67/86400</x:f>
        <x:v>0.010416666666666666</x:v>
      </x:c>
      <x:c r="P67" s="12" t="n">
        <x:v>572</x:v>
      </x:c>
      <x:c r="Q67" s="12" t="n">
        <x:v>328</x:v>
      </x:c>
      <x:c r="R67" s="12" t="n">
        <x:f>Q67/86400</x:f>
        <x:v>0.0037962962962962963</x:v>
      </x:c>
      <x:c r="S67" s="12" t="str">
        <x:v>通过</x:v>
      </x:c>
      <x:c r="T67" s="12" t="str">
        <x:v>返回同一发车点；建议至少保留约2分钟上下客/等待冗余</x:v>
      </x:c>
    </x:row>
    <x:row r="68">
      <x:c r="A68" s="12" t="str">
        <x:v>工作日</x:v>
      </x:c>
      <x:c r="B68" s="12" t="str">
        <x:v>环线2路</x:v>
      </x:c>
      <x:c r="C68" s="12" t="str">
        <x:v>第一班</x:v>
      </x:c>
      <x:c r="D68" s="12" t="str">
        <x:v>S0072</x:v>
      </x:c>
      <x:c r="E68" s="12" t="str">
        <x:v>7:50</x:v>
      </x:c>
      <x:c r="F68" s="12" t="str">
        <x:v>研究生宿舍楼</x:v>
      </x:c>
      <x:c r="G68" s="12" t="str">
        <x:v>研究生宿舍楼发车</x:v>
      </x:c>
      <x:c r="H68" s="12" t="str">
        <x:v>HX2_NORMAL</x:v>
      </x:c>
      <x:c r="I68" s="12" t="str">
        <x:v>S0073</x:v>
      </x:c>
      <x:c r="J68" s="12" t="str">
        <x:v>8:05</x:v>
      </x:c>
      <x:c r="K68" s="12" t="str">
        <x:v>研究生宿舍楼</x:v>
      </x:c>
      <x:c r="L68" s="12" t="str">
        <x:v>研究生宿舍楼发车</x:v>
      </x:c>
      <x:c r="M68" s="12" t="str">
        <x:v>HX2_NORMAL</x:v>
      </x:c>
      <x:c r="N68" s="12" t="n">
        <x:v>900</x:v>
      </x:c>
      <x:c r="O68" s="12" t="n">
        <x:f>N68/86400</x:f>
        <x:v>0.010416666666666666</x:v>
      </x:c>
      <x:c r="P68" s="12" t="n">
        <x:v>572</x:v>
      </x:c>
      <x:c r="Q68" s="12" t="n">
        <x:v>328</x:v>
      </x:c>
      <x:c r="R68" s="12" t="n">
        <x:f>Q68/86400</x:f>
        <x:v>0.0037962962962962963</x:v>
      </x:c>
      <x:c r="S68" s="12" t="str">
        <x:v>通过</x:v>
      </x:c>
      <x:c r="T68" s="12" t="str">
        <x:v>返回同一发车点；建议至少保留约2分钟上下客/等待冗余</x:v>
      </x:c>
    </x:row>
    <x:row r="69">
      <x:c r="A69" s="12" t="str">
        <x:v>工作日</x:v>
      </x:c>
      <x:c r="B69" s="12" t="str">
        <x:v>环线2路</x:v>
      </x:c>
      <x:c r="C69" s="12" t="str">
        <x:v>第一班</x:v>
      </x:c>
      <x:c r="D69" s="12" t="str">
        <x:v>S0073</x:v>
      </x:c>
      <x:c r="E69" s="12" t="str">
        <x:v>8:05</x:v>
      </x:c>
      <x:c r="F69" s="12" t="str">
        <x:v>研究生宿舍楼</x:v>
      </x:c>
      <x:c r="G69" s="12" t="str">
        <x:v>研究生宿舍楼发车</x:v>
      </x:c>
      <x:c r="H69" s="12" t="str">
        <x:v>HX2_NORMAL</x:v>
      </x:c>
      <x:c r="I69" s="12" t="str">
        <x:v>S0074</x:v>
      </x:c>
      <x:c r="J69" s="12" t="str">
        <x:v>8:20</x:v>
      </x:c>
      <x:c r="K69" s="12" t="str">
        <x:v>研究生宿舍楼</x:v>
      </x:c>
      <x:c r="L69" s="12" t="str">
        <x:v>研究生宿舍楼发车</x:v>
      </x:c>
      <x:c r="M69" s="12" t="str">
        <x:v>HX2_NORMAL</x:v>
      </x:c>
      <x:c r="N69" s="12" t="n">
        <x:v>900</x:v>
      </x:c>
      <x:c r="O69" s="12" t="n">
        <x:f>N69/86400</x:f>
        <x:v>0.010416666666666666</x:v>
      </x:c>
      <x:c r="P69" s="12" t="n">
        <x:v>572</x:v>
      </x:c>
      <x:c r="Q69" s="12" t="n">
        <x:v>328</x:v>
      </x:c>
      <x:c r="R69" s="12" t="n">
        <x:f>Q69/86400</x:f>
        <x:v>0.0037962962962962963</x:v>
      </x:c>
      <x:c r="S69" s="12" t="str">
        <x:v>通过</x:v>
      </x:c>
      <x:c r="T69" s="12" t="str">
        <x:v>返回同一发车点；建议至少保留约2分钟上下客/等待冗余</x:v>
      </x:c>
    </x:row>
    <x:row r="70">
      <x:c r="A70" s="12" t="str">
        <x:v>工作日</x:v>
      </x:c>
      <x:c r="B70" s="12" t="str">
        <x:v>环线2路</x:v>
      </x:c>
      <x:c r="C70" s="12" t="str">
        <x:v>第一班</x:v>
      </x:c>
      <x:c r="D70" s="12" t="str">
        <x:v>S0074</x:v>
      </x:c>
      <x:c r="E70" s="12" t="str">
        <x:v>8:20</x:v>
      </x:c>
      <x:c r="F70" s="12" t="str">
        <x:v>研究生宿舍楼</x:v>
      </x:c>
      <x:c r="G70" s="12" t="str">
        <x:v>研究生宿舍楼发车</x:v>
      </x:c>
      <x:c r="H70" s="12" t="str">
        <x:v>HX2_NORMAL</x:v>
      </x:c>
      <x:c r="I70" s="12" t="str">
        <x:v>S0075</x:v>
      </x:c>
      <x:c r="J70" s="12" t="str">
        <x:v>8:35</x:v>
      </x:c>
      <x:c r="K70" s="12" t="str">
        <x:v>研究生宿舍楼</x:v>
      </x:c>
      <x:c r="L70" s="12" t="str">
        <x:v>研究生宿舍楼发车</x:v>
      </x:c>
      <x:c r="M70" s="12" t="str">
        <x:v>HX2_NORMAL</x:v>
      </x:c>
      <x:c r="N70" s="12" t="n">
        <x:v>900</x:v>
      </x:c>
      <x:c r="O70" s="12" t="n">
        <x:f>N70/86400</x:f>
        <x:v>0.010416666666666666</x:v>
      </x:c>
      <x:c r="P70" s="12" t="n">
        <x:v>572</x:v>
      </x:c>
      <x:c r="Q70" s="12" t="n">
        <x:v>328</x:v>
      </x:c>
      <x:c r="R70" s="12" t="n">
        <x:f>Q70/86400</x:f>
        <x:v>0.0037962962962962963</x:v>
      </x:c>
      <x:c r="S70" s="12" t="str">
        <x:v>通过</x:v>
      </x:c>
      <x:c r="T70" s="12" t="str">
        <x:v>返回同一发车点；建议至少保留约2分钟上下客/等待冗余</x:v>
      </x:c>
    </x:row>
    <x:row r="71">
      <x:c r="A71" s="12" t="str">
        <x:v>工作日</x:v>
      </x:c>
      <x:c r="B71" s="12" t="str">
        <x:v>环线2路</x:v>
      </x:c>
      <x:c r="C71" s="12" t="str">
        <x:v>第一班</x:v>
      </x:c>
      <x:c r="D71" s="12" t="str">
        <x:v>S0075</x:v>
      </x:c>
      <x:c r="E71" s="12" t="str">
        <x:v>8:35</x:v>
      </x:c>
      <x:c r="F71" s="12" t="str">
        <x:v>研究生宿舍楼</x:v>
      </x:c>
      <x:c r="G71" s="12" t="str">
        <x:v>研究生宿舍楼发车</x:v>
      </x:c>
      <x:c r="H71" s="12" t="str">
        <x:v>HX2_NORMAL</x:v>
      </x:c>
      <x:c r="I71" s="12" t="str">
        <x:v>S0076</x:v>
      </x:c>
      <x:c r="J71" s="12" t="str">
        <x:v>8:50</x:v>
      </x:c>
      <x:c r="K71" s="12" t="str">
        <x:v>研究生宿舍楼</x:v>
      </x:c>
      <x:c r="L71" s="12" t="str">
        <x:v>研究生宿舍楼发车</x:v>
      </x:c>
      <x:c r="M71" s="12" t="str">
        <x:v>HX2_NORMAL</x:v>
      </x:c>
      <x:c r="N71" s="12" t="n">
        <x:v>900</x:v>
      </x:c>
      <x:c r="O71" s="12" t="n">
        <x:f>N71/86400</x:f>
        <x:v>0.010416666666666666</x:v>
      </x:c>
      <x:c r="P71" s="12" t="n">
        <x:v>572</x:v>
      </x:c>
      <x:c r="Q71" s="12" t="n">
        <x:v>328</x:v>
      </x:c>
      <x:c r="R71" s="12" t="n">
        <x:f>Q71/86400</x:f>
        <x:v>0.0037962962962962963</x:v>
      </x:c>
      <x:c r="S71" s="12" t="str">
        <x:v>通过</x:v>
      </x:c>
      <x:c r="T71" s="12" t="str">
        <x:v>返回同一发车点；建议至少保留约2分钟上下客/等待冗余</x:v>
      </x:c>
    </x:row>
    <x:row r="72">
      <x:c r="A72" s="12" t="str">
        <x:v>工作日</x:v>
      </x:c>
      <x:c r="B72" s="12" t="str">
        <x:v>环线2路</x:v>
      </x:c>
      <x:c r="C72" s="12" t="str">
        <x:v>第一班</x:v>
      </x:c>
      <x:c r="D72" s="12" t="str">
        <x:v>S0076</x:v>
      </x:c>
      <x:c r="E72" s="12" t="str">
        <x:v>8:50</x:v>
      </x:c>
      <x:c r="F72" s="12" t="str">
        <x:v>研究生宿舍楼</x:v>
      </x:c>
      <x:c r="G72" s="12" t="str">
        <x:v>研究生宿舍楼发车</x:v>
      </x:c>
      <x:c r="H72" s="12" t="str">
        <x:v>HX2_NORMAL</x:v>
      </x:c>
      <x:c r="I72" s="12" t="str">
        <x:v>S0077</x:v>
      </x:c>
      <x:c r="J72" s="12" t="str">
        <x:v>9:10</x:v>
      </x:c>
      <x:c r="K72" s="12" t="str">
        <x:v>研究生宿舍楼</x:v>
      </x:c>
      <x:c r="L72" s="12" t="str">
        <x:v>研究生宿舍楼发车</x:v>
      </x:c>
      <x:c r="M72" s="12" t="str">
        <x:v>HX2_NORMAL</x:v>
      </x:c>
      <x:c r="N72" s="12" t="n">
        <x:v>1200</x:v>
      </x:c>
      <x:c r="O72" s="12" t="n">
        <x:f>N72/86400</x:f>
        <x:v>0.013888888888888888</x:v>
      </x:c>
      <x:c r="P72" s="12" t="n">
        <x:v>572</x:v>
      </x:c>
      <x:c r="Q72" s="12" t="n">
        <x:v>628</x:v>
      </x:c>
      <x:c r="R72" s="12" t="n">
        <x:f>Q72/86400</x:f>
        <x:v>0.007268518518518519</x:v>
      </x:c>
      <x:c r="S72" s="12" t="str">
        <x:v>通过</x:v>
      </x:c>
      <x:c r="T72" s="12" t="str">
        <x:v>返回同一发车点；建议至少保留约2分钟上下客/等待冗余</x:v>
      </x:c>
    </x:row>
    <x:row r="73">
      <x:c r="A73" s="12" t="str">
        <x:v>工作日</x:v>
      </x:c>
      <x:c r="B73" s="12" t="str">
        <x:v>环线2路</x:v>
      </x:c>
      <x:c r="C73" s="12" t="str">
        <x:v>第一班</x:v>
      </x:c>
      <x:c r="D73" s="12" t="str">
        <x:v>S0077</x:v>
      </x:c>
      <x:c r="E73" s="12" t="str">
        <x:v>9:10</x:v>
      </x:c>
      <x:c r="F73" s="12" t="str">
        <x:v>研究生宿舍楼</x:v>
      </x:c>
      <x:c r="G73" s="12" t="str">
        <x:v>研究生宿舍楼发车</x:v>
      </x:c>
      <x:c r="H73" s="12" t="str">
        <x:v>HX2_NORMAL</x:v>
      </x:c>
      <x:c r="I73" s="12" t="str">
        <x:v>S0078</x:v>
      </x:c>
      <x:c r="J73" s="12" t="str">
        <x:v>9:40</x:v>
      </x:c>
      <x:c r="K73" s="12" t="str">
        <x:v>研究生宿舍楼</x:v>
      </x:c>
      <x:c r="L73" s="12" t="str">
        <x:v>研究生宿舍楼发车</x:v>
      </x:c>
      <x:c r="M73" s="12" t="str">
        <x:v>HX2_NORMAL</x:v>
      </x:c>
      <x:c r="N73" s="12" t="n">
        <x:v>1800</x:v>
      </x:c>
      <x:c r="O73" s="12" t="n">
        <x:f>N73/86400</x:f>
        <x:v>0.020833333333333332</x:v>
      </x:c>
      <x:c r="P73" s="12" t="n">
        <x:v>572</x:v>
      </x:c>
      <x:c r="Q73" s="12" t="n">
        <x:v>1228</x:v>
      </x:c>
      <x:c r="R73" s="12" t="n">
        <x:f>Q73/86400</x:f>
        <x:v>0.014212962962962964</x:v>
      </x:c>
      <x:c r="S73" s="12" t="str">
        <x:v>通过</x:v>
      </x:c>
      <x:c r="T73" s="12" t="str">
        <x:v>返回同一发车点；建议至少保留约2分钟上下客/等待冗余</x:v>
      </x:c>
    </x:row>
    <x:row r="74">
      <x:c r="A74" s="12" t="str">
        <x:v>工作日</x:v>
      </x:c>
      <x:c r="B74" s="12" t="str">
        <x:v>环线2路</x:v>
      </x:c>
      <x:c r="C74" s="12" t="str">
        <x:v>第一班</x:v>
      </x:c>
      <x:c r="D74" s="12" t="str">
        <x:v>S0078</x:v>
      </x:c>
      <x:c r="E74" s="12" t="str">
        <x:v>9:40</x:v>
      </x:c>
      <x:c r="F74" s="12" t="str">
        <x:v>研究生宿舍楼</x:v>
      </x:c>
      <x:c r="G74" s="12" t="str">
        <x:v>研究生宿舍楼发车</x:v>
      </x:c>
      <x:c r="H74" s="12" t="str">
        <x:v>HX2_NORMAL</x:v>
      </x:c>
      <x:c r="I74" s="12" t="str">
        <x:v>S0079</x:v>
      </x:c>
      <x:c r="J74" s="12" t="str">
        <x:v>10:10</x:v>
      </x:c>
      <x:c r="K74" s="12" t="str">
        <x:v>研究生宿舍楼</x:v>
      </x:c>
      <x:c r="L74" s="12" t="str">
        <x:v>研究生宿舍楼发车</x:v>
      </x:c>
      <x:c r="M74" s="12" t="str">
        <x:v>HX2_NORMAL</x:v>
      </x:c>
      <x:c r="N74" s="12" t="n">
        <x:v>1800</x:v>
      </x:c>
      <x:c r="O74" s="12" t="n">
        <x:f>N74/86400</x:f>
        <x:v>0.020833333333333332</x:v>
      </x:c>
      <x:c r="P74" s="12" t="n">
        <x:v>572</x:v>
      </x:c>
      <x:c r="Q74" s="12" t="n">
        <x:v>1228</x:v>
      </x:c>
      <x:c r="R74" s="12" t="n">
        <x:f>Q74/86400</x:f>
        <x:v>0.014212962962962964</x:v>
      </x:c>
      <x:c r="S74" s="12" t="str">
        <x:v>通过</x:v>
      </x:c>
      <x:c r="T74" s="12" t="str">
        <x:v>返回同一发车点；建议至少保留约2分钟上下客/等待冗余</x:v>
      </x:c>
    </x:row>
    <x:row r="75">
      <x:c r="A75" s="12" t="str">
        <x:v>工作日</x:v>
      </x:c>
      <x:c r="B75" s="12" t="str">
        <x:v>环线2路</x:v>
      </x:c>
      <x:c r="C75" s="12" t="str">
        <x:v>第一班</x:v>
      </x:c>
      <x:c r="D75" s="12" t="str">
        <x:v>S0079</x:v>
      </x:c>
      <x:c r="E75" s="12" t="str">
        <x:v>10:10</x:v>
      </x:c>
      <x:c r="F75" s="12" t="str">
        <x:v>研究生宿舍楼</x:v>
      </x:c>
      <x:c r="G75" s="12" t="str">
        <x:v>研究生宿舍楼发车</x:v>
      </x:c>
      <x:c r="H75" s="12" t="str">
        <x:v>HX2_NORMAL</x:v>
      </x:c>
      <x:c r="I75" s="12" t="str">
        <x:v>S0080</x:v>
      </x:c>
      <x:c r="J75" s="12" t="str">
        <x:v>10:40</x:v>
      </x:c>
      <x:c r="K75" s="12" t="str">
        <x:v>研究生宿舍楼</x:v>
      </x:c>
      <x:c r="L75" s="12" t="str">
        <x:v>研究生宿舍楼发车</x:v>
      </x:c>
      <x:c r="M75" s="12" t="str">
        <x:v>HX2_NORMAL</x:v>
      </x:c>
      <x:c r="N75" s="12" t="n">
        <x:v>1800</x:v>
      </x:c>
      <x:c r="O75" s="12" t="n">
        <x:f>N75/86400</x:f>
        <x:v>0.020833333333333332</x:v>
      </x:c>
      <x:c r="P75" s="12" t="n">
        <x:v>572</x:v>
      </x:c>
      <x:c r="Q75" s="12" t="n">
        <x:v>1228</x:v>
      </x:c>
      <x:c r="R75" s="12" t="n">
        <x:f>Q75/86400</x:f>
        <x:v>0.014212962962962964</x:v>
      </x:c>
      <x:c r="S75" s="12" t="str">
        <x:v>通过</x:v>
      </x:c>
      <x:c r="T75" s="12" t="str">
        <x:v>返回同一发车点；建议至少保留约2分钟上下客/等待冗余</x:v>
      </x:c>
    </x:row>
    <x:row r="76">
      <x:c r="A76" s="12" t="str">
        <x:v>工作日</x:v>
      </x:c>
      <x:c r="B76" s="12" t="str">
        <x:v>环线2路</x:v>
      </x:c>
      <x:c r="C76" s="12" t="str">
        <x:v>第一班</x:v>
      </x:c>
      <x:c r="D76" s="12" t="str">
        <x:v>S0080</x:v>
      </x:c>
      <x:c r="E76" s="12" t="str">
        <x:v>10:40</x:v>
      </x:c>
      <x:c r="F76" s="12" t="str">
        <x:v>研究生宿舍楼</x:v>
      </x:c>
      <x:c r="G76" s="12" t="str">
        <x:v>研究生宿舍楼发车</x:v>
      </x:c>
      <x:c r="H76" s="12" t="str">
        <x:v>HX2_NORMAL</x:v>
      </x:c>
      <x:c r="I76" s="12" t="str">
        <x:v>S0081</x:v>
      </x:c>
      <x:c r="J76" s="12" t="str">
        <x:v>11:15</x:v>
      </x:c>
      <x:c r="K76" s="12" t="str">
        <x:v>研究生宿舍楼</x:v>
      </x:c>
      <x:c r="L76" s="12" t="str">
        <x:v>研究生宿舍楼发车</x:v>
      </x:c>
      <x:c r="M76" s="12" t="str">
        <x:v>HX2_NORMAL</x:v>
      </x:c>
      <x:c r="N76" s="12" t="n">
        <x:v>2100</x:v>
      </x:c>
      <x:c r="O76" s="12" t="n">
        <x:f>N76/86400</x:f>
        <x:v>0.024305555555555556</x:v>
      </x:c>
      <x:c r="P76" s="12" t="n">
        <x:v>572</x:v>
      </x:c>
      <x:c r="Q76" s="12" t="n">
        <x:v>1528</x:v>
      </x:c>
      <x:c r="R76" s="12" t="n">
        <x:f>Q76/86400</x:f>
        <x:v>0.017685185185185186</x:v>
      </x:c>
      <x:c r="S76" s="12" t="str">
        <x:v>通过</x:v>
      </x:c>
      <x:c r="T76" s="12" t="str">
        <x:v>返回同一发车点；建议至少保留约2分钟上下客/等待冗余</x:v>
      </x:c>
    </x:row>
    <x:row r="77">
      <x:c r="A77" s="12" t="str">
        <x:v>工作日</x:v>
      </x:c>
      <x:c r="B77" s="12" t="str">
        <x:v>环线2路</x:v>
      </x:c>
      <x:c r="C77" s="12" t="str">
        <x:v>第一班</x:v>
      </x:c>
      <x:c r="D77" s="12" t="str">
        <x:v>S0081</x:v>
      </x:c>
      <x:c r="E77" s="12" t="str">
        <x:v>11:15</x:v>
      </x:c>
      <x:c r="F77" s="12" t="str">
        <x:v>研究生宿舍楼</x:v>
      </x:c>
      <x:c r="G77" s="12" t="str">
        <x:v>研究生宿舍楼发车</x:v>
      </x:c>
      <x:c r="H77" s="12" t="str">
        <x:v>HX2_NORMAL</x:v>
      </x:c>
      <x:c r="I77" s="12" t="str">
        <x:v>S0082</x:v>
      </x:c>
      <x:c r="J77" s="12" t="str">
        <x:v>11:40</x:v>
      </x:c>
      <x:c r="K77" s="12" t="str">
        <x:v>研究生宿舍楼</x:v>
      </x:c>
      <x:c r="L77" s="12" t="str">
        <x:v>研究生宿舍楼发车</x:v>
      </x:c>
      <x:c r="M77" s="12" t="str">
        <x:v>HX2_NORMAL</x:v>
      </x:c>
      <x:c r="N77" s="12" t="n">
        <x:v>1500</x:v>
      </x:c>
      <x:c r="O77" s="12" t="n">
        <x:f>N77/86400</x:f>
        <x:v>0.017361111111111112</x:v>
      </x:c>
      <x:c r="P77" s="12" t="n">
        <x:v>572</x:v>
      </x:c>
      <x:c r="Q77" s="12" t="n">
        <x:v>928</x:v>
      </x:c>
      <x:c r="R77" s="12" t="n">
        <x:f>Q77/86400</x:f>
        <x:v>0.01074074074074074</x:v>
      </x:c>
      <x:c r="S77" s="12" t="str">
        <x:v>通过</x:v>
      </x:c>
      <x:c r="T77" s="12" t="str">
        <x:v>返回同一发车点；建议至少保留约2分钟上下客/等待冗余</x:v>
      </x:c>
    </x:row>
    <x:row r="78">
      <x:c r="A78" s="12" t="str">
        <x:v>工作日</x:v>
      </x:c>
      <x:c r="B78" s="12" t="str">
        <x:v>环线2路</x:v>
      </x:c>
      <x:c r="C78" s="12" t="str">
        <x:v>第一班</x:v>
      </x:c>
      <x:c r="D78" s="12" t="str">
        <x:v>S0082</x:v>
      </x:c>
      <x:c r="E78" s="12" t="str">
        <x:v>11:40</x:v>
      </x:c>
      <x:c r="F78" s="12" t="str">
        <x:v>研究生宿舍楼</x:v>
      </x:c>
      <x:c r="G78" s="12" t="str">
        <x:v>研究生宿舍楼发车</x:v>
      </x:c>
      <x:c r="H78" s="12" t="str">
        <x:v>HX2_NORMAL</x:v>
      </x:c>
      <x:c r="I78" s="12" t="str">
        <x:v>S0083</x:v>
      </x:c>
      <x:c r="J78" s="12" t="str">
        <x:v>12:00</x:v>
      </x:c>
      <x:c r="K78" s="12" t="str">
        <x:v>研究生宿舍楼</x:v>
      </x:c>
      <x:c r="L78" s="12" t="str">
        <x:v>研究生宿舍楼发车</x:v>
      </x:c>
      <x:c r="M78" s="12" t="str">
        <x:v>HX2_NORMAL</x:v>
      </x:c>
      <x:c r="N78" s="12" t="n">
        <x:v>1200</x:v>
      </x:c>
      <x:c r="O78" s="12" t="n">
        <x:f>N78/86400</x:f>
        <x:v>0.013888888888888888</x:v>
      </x:c>
      <x:c r="P78" s="12" t="n">
        <x:v>572</x:v>
      </x:c>
      <x:c r="Q78" s="12" t="n">
        <x:v>628</x:v>
      </x:c>
      <x:c r="R78" s="12" t="n">
        <x:f>Q78/86400</x:f>
        <x:v>0.007268518518518519</x:v>
      </x:c>
      <x:c r="S78" s="12" t="str">
        <x:v>通过</x:v>
      </x:c>
      <x:c r="T78" s="12" t="str">
        <x:v>返回同一发车点；建议至少保留约2分钟上下客/等待冗余</x:v>
      </x:c>
    </x:row>
    <x:row r="79">
      <x:c r="A79" s="12" t="str">
        <x:v>工作日</x:v>
      </x:c>
      <x:c r="B79" s="12" t="str">
        <x:v>环线2路</x:v>
      </x:c>
      <x:c r="C79" s="12" t="str">
        <x:v>第一班</x:v>
      </x:c>
      <x:c r="D79" s="12" t="str">
        <x:v>S0083</x:v>
      </x:c>
      <x:c r="E79" s="12" t="str">
        <x:v>12:00</x:v>
      </x:c>
      <x:c r="F79" s="12" t="str">
        <x:v>研究生宿舍楼</x:v>
      </x:c>
      <x:c r="G79" s="12" t="str">
        <x:v>研究生宿舍楼发车</x:v>
      </x:c>
      <x:c r="H79" s="12" t="str">
        <x:v>HX2_NORMAL</x:v>
      </x:c>
      <x:c r="I79" s="12" t="str">
        <x:v>S0084</x:v>
      </x:c>
      <x:c r="J79" s="12" t="str">
        <x:v>12:15</x:v>
      </x:c>
      <x:c r="K79" s="12" t="str">
        <x:v>研究生宿舍楼</x:v>
      </x:c>
      <x:c r="L79" s="12" t="str">
        <x:v>研究生宿舍楼发车</x:v>
      </x:c>
      <x:c r="M79" s="12" t="str">
        <x:v>HX2_NORMAL</x:v>
      </x:c>
      <x:c r="N79" s="12" t="n">
        <x:v>900</x:v>
      </x:c>
      <x:c r="O79" s="12" t="n">
        <x:f>N79/86400</x:f>
        <x:v>0.010416666666666666</x:v>
      </x:c>
      <x:c r="P79" s="12" t="n">
        <x:v>572</x:v>
      </x:c>
      <x:c r="Q79" s="12" t="n">
        <x:v>328</x:v>
      </x:c>
      <x:c r="R79" s="12" t="n">
        <x:f>Q79/86400</x:f>
        <x:v>0.0037962962962962963</x:v>
      </x:c>
      <x:c r="S79" s="12" t="str">
        <x:v>通过</x:v>
      </x:c>
      <x:c r="T79" s="12" t="str">
        <x:v>返回同一发车点；建议至少保留约2分钟上下客/等待冗余</x:v>
      </x:c>
    </x:row>
    <x:row r="80">
      <x:c r="A80" s="12" t="str">
        <x:v>工作日</x:v>
      </x:c>
      <x:c r="B80" s="12" t="str">
        <x:v>环线2路</x:v>
      </x:c>
      <x:c r="C80" s="12" t="str">
        <x:v>第一班</x:v>
      </x:c>
      <x:c r="D80" s="12" t="str">
        <x:v>S0084</x:v>
      </x:c>
      <x:c r="E80" s="12" t="str">
        <x:v>12:15</x:v>
      </x:c>
      <x:c r="F80" s="12" t="str">
        <x:v>研究生宿舍楼</x:v>
      </x:c>
      <x:c r="G80" s="12" t="str">
        <x:v>研究生宿舍楼发车</x:v>
      </x:c>
      <x:c r="H80" s="12" t="str">
        <x:v>HX2_NORMAL</x:v>
      </x:c>
      <x:c r="I80" s="12" t="str">
        <x:v>S0085</x:v>
      </x:c>
      <x:c r="J80" s="12" t="str">
        <x:v>12:30</x:v>
      </x:c>
      <x:c r="K80" s="12" t="str">
        <x:v>研究生宿舍楼</x:v>
      </x:c>
      <x:c r="L80" s="12" t="str">
        <x:v>研究生宿舍楼发车</x:v>
      </x:c>
      <x:c r="M80" s="12" t="str">
        <x:v>HX2_NORMAL</x:v>
      </x:c>
      <x:c r="N80" s="12" t="n">
        <x:v>900</x:v>
      </x:c>
      <x:c r="O80" s="12" t="n">
        <x:f>N80/86400</x:f>
        <x:v>0.010416666666666666</x:v>
      </x:c>
      <x:c r="P80" s="12" t="n">
        <x:v>572</x:v>
      </x:c>
      <x:c r="Q80" s="12" t="n">
        <x:v>328</x:v>
      </x:c>
      <x:c r="R80" s="12" t="n">
        <x:f>Q80/86400</x:f>
        <x:v>0.0037962962962962963</x:v>
      </x:c>
      <x:c r="S80" s="12" t="str">
        <x:v>通过</x:v>
      </x:c>
      <x:c r="T80" s="12" t="str">
        <x:v>返回同一发车点；建议至少保留约2分钟上下客/等待冗余</x:v>
      </x:c>
    </x:row>
    <x:row r="81">
      <x:c r="A81" s="12" t="str">
        <x:v>工作日</x:v>
      </x:c>
      <x:c r="B81" s="12" t="str">
        <x:v>环线2路</x:v>
      </x:c>
      <x:c r="C81" s="12" t="str">
        <x:v>第一班</x:v>
      </x:c>
      <x:c r="D81" s="12" t="str">
        <x:v>S0085</x:v>
      </x:c>
      <x:c r="E81" s="12" t="str">
        <x:v>12:30</x:v>
      </x:c>
      <x:c r="F81" s="12" t="str">
        <x:v>研究生宿舍楼</x:v>
      </x:c>
      <x:c r="G81" s="12" t="str">
        <x:v>研究生宿舍楼发车</x:v>
      </x:c>
      <x:c r="H81" s="12" t="str">
        <x:v>HX2_NORMAL</x:v>
      </x:c>
      <x:c r="I81" s="12" t="str">
        <x:v>S0086</x:v>
      </x:c>
      <x:c r="J81" s="12" t="str">
        <x:v>14:10</x:v>
      </x:c>
      <x:c r="K81" s="12" t="str">
        <x:v>研究生宿舍楼</x:v>
      </x:c>
      <x:c r="L81" s="12" t="str">
        <x:v>研究生宿舍楼发车</x:v>
      </x:c>
      <x:c r="M81" s="12" t="str">
        <x:v>HX2_NORMAL</x:v>
      </x:c>
      <x:c r="N81" s="12" t="n">
        <x:v>6000</x:v>
      </x:c>
      <x:c r="O81" s="12" t="n">
        <x:f>N81/86400</x:f>
        <x:v>0.06944444444444445</x:v>
      </x:c>
      <x:c r="P81" s="12" t="n">
        <x:v>572</x:v>
      </x:c>
      <x:c r="Q81" s="12" t="n">
        <x:v>5428</x:v>
      </x:c>
      <x:c r="R81" s="12" t="n">
        <x:f>Q81/86400</x:f>
        <x:v>0.06282407407407407</x:v>
      </x:c>
      <x:c r="S81" s="12" t="str">
        <x:v>通过</x:v>
      </x:c>
      <x:c r="T81" s="12" t="str">
        <x:v>返回同一发车点；建议至少保留约2分钟上下客/等待冗余</x:v>
      </x:c>
    </x:row>
    <x:row r="82">
      <x:c r="A82" s="12" t="str">
        <x:v>工作日</x:v>
      </x:c>
      <x:c r="B82" s="12" t="str">
        <x:v>环线2路</x:v>
      </x:c>
      <x:c r="C82" s="12" t="str">
        <x:v>第一班</x:v>
      </x:c>
      <x:c r="D82" s="12" t="str">
        <x:v>S0086</x:v>
      </x:c>
      <x:c r="E82" s="12" t="str">
        <x:v>14:10</x:v>
      </x:c>
      <x:c r="F82" s="12" t="str">
        <x:v>研究生宿舍楼</x:v>
      </x:c>
      <x:c r="G82" s="12" t="str">
        <x:v>研究生宿舍楼发车</x:v>
      </x:c>
      <x:c r="H82" s="12" t="str">
        <x:v>HX2_NORMAL</x:v>
      </x:c>
      <x:c r="I82" s="12" t="str">
        <x:v>S0087</x:v>
      </x:c>
      <x:c r="J82" s="12" t="str">
        <x:v>16:20</x:v>
      </x:c>
      <x:c r="K82" s="12" t="str">
        <x:v>研究生宿舍楼</x:v>
      </x:c>
      <x:c r="L82" s="12" t="str">
        <x:v>研究生宿舍楼发车</x:v>
      </x:c>
      <x:c r="M82" s="12" t="str">
        <x:v>HX2_NORMAL</x:v>
      </x:c>
      <x:c r="N82" s="12" t="n">
        <x:v>7800</x:v>
      </x:c>
      <x:c r="O82" s="12" t="n">
        <x:f>N82/86400</x:f>
        <x:v>0.09027777777777778</x:v>
      </x:c>
      <x:c r="P82" s="12" t="n">
        <x:v>572</x:v>
      </x:c>
      <x:c r="Q82" s="12" t="n">
        <x:v>7228</x:v>
      </x:c>
      <x:c r="R82" s="12" t="n">
        <x:f>Q82/86400</x:f>
        <x:v>0.0836574074074074</x:v>
      </x:c>
      <x:c r="S82" s="12" t="str">
        <x:v>通过</x:v>
      </x:c>
      <x:c r="T82" s="12" t="str">
        <x:v>返回同一发车点；建议至少保留约2分钟上下客/等待冗余</x:v>
      </x:c>
    </x:row>
    <x:row r="83">
      <x:c r="A83" s="12" t="str">
        <x:v>工作日</x:v>
      </x:c>
      <x:c r="B83" s="12" t="str">
        <x:v>环线2路</x:v>
      </x:c>
      <x:c r="C83" s="12" t="str">
        <x:v>第一班</x:v>
      </x:c>
      <x:c r="D83" s="12" t="str">
        <x:v>S0087</x:v>
      </x:c>
      <x:c r="E83" s="12" t="str">
        <x:v>16:20</x:v>
      </x:c>
      <x:c r="F83" s="12" t="str">
        <x:v>研究生宿舍楼</x:v>
      </x:c>
      <x:c r="G83" s="12" t="str">
        <x:v>研究生宿舍楼发车</x:v>
      </x:c>
      <x:c r="H83" s="12" t="str">
        <x:v>HX2_NORMAL</x:v>
      </x:c>
      <x:c r="I83" s="12" t="str">
        <x:v>S0088</x:v>
      </x:c>
      <x:c r="J83" s="12" t="str">
        <x:v>16:50</x:v>
      </x:c>
      <x:c r="K83" s="12" t="str">
        <x:v>研究生宿舍楼</x:v>
      </x:c>
      <x:c r="L83" s="12" t="str">
        <x:v>研究生宿舍楼发车</x:v>
      </x:c>
      <x:c r="M83" s="12" t="str">
        <x:v>HX2_NORMAL</x:v>
      </x:c>
      <x:c r="N83" s="12" t="n">
        <x:v>1800</x:v>
      </x:c>
      <x:c r="O83" s="12" t="n">
        <x:f>N83/86400</x:f>
        <x:v>0.020833333333333332</x:v>
      </x:c>
      <x:c r="P83" s="12" t="n">
        <x:v>572</x:v>
      </x:c>
      <x:c r="Q83" s="12" t="n">
        <x:v>1228</x:v>
      </x:c>
      <x:c r="R83" s="12" t="n">
        <x:f>Q83/86400</x:f>
        <x:v>0.014212962962962964</x:v>
      </x:c>
      <x:c r="S83" s="12" t="str">
        <x:v>通过</x:v>
      </x:c>
      <x:c r="T83" s="12" t="str">
        <x:v>返回同一发车点；建议至少保留约2分钟上下客/等待冗余</x:v>
      </x:c>
    </x:row>
    <x:row r="84">
      <x:c r="A84" s="12" t="str">
        <x:v>工作日</x:v>
      </x:c>
      <x:c r="B84" s="12" t="str">
        <x:v>环线2路</x:v>
      </x:c>
      <x:c r="C84" s="12" t="str">
        <x:v>第一班</x:v>
      </x:c>
      <x:c r="D84" s="12" t="str">
        <x:v>S0088</x:v>
      </x:c>
      <x:c r="E84" s="12" t="str">
        <x:v>16:50</x:v>
      </x:c>
      <x:c r="F84" s="12" t="str">
        <x:v>研究生宿舍楼</x:v>
      </x:c>
      <x:c r="G84" s="12" t="str">
        <x:v>研究生宿舍楼发车</x:v>
      </x:c>
      <x:c r="H84" s="12" t="str">
        <x:v>HX2_NORMAL</x:v>
      </x:c>
      <x:c r="I84" s="12" t="str">
        <x:v>S0089</x:v>
      </x:c>
      <x:c r="J84" s="12" t="str">
        <x:v>17:10</x:v>
      </x:c>
      <x:c r="K84" s="12" t="str">
        <x:v>研究生宿舍楼</x:v>
      </x:c>
      <x:c r="L84" s="12" t="str">
        <x:v>研究生宿舍楼发车</x:v>
      </x:c>
      <x:c r="M84" s="12" t="str">
        <x:v>HX2_NORMAL</x:v>
      </x:c>
      <x:c r="N84" s="12" t="n">
        <x:v>1200</x:v>
      </x:c>
      <x:c r="O84" s="12" t="n">
        <x:f>N84/86400</x:f>
        <x:v>0.013888888888888888</x:v>
      </x:c>
      <x:c r="P84" s="12" t="n">
        <x:v>572</x:v>
      </x:c>
      <x:c r="Q84" s="12" t="n">
        <x:v>628</x:v>
      </x:c>
      <x:c r="R84" s="12" t="n">
        <x:f>Q84/86400</x:f>
        <x:v>0.007268518518518519</x:v>
      </x:c>
      <x:c r="S84" s="12" t="str">
        <x:v>通过</x:v>
      </x:c>
      <x:c r="T84" s="12" t="str">
        <x:v>返回同一发车点；建议至少保留约2分钟上下客/等待冗余</x:v>
      </x:c>
    </x:row>
    <x:row r="85">
      <x:c r="A85" s="12" t="str">
        <x:v>工作日</x:v>
      </x:c>
      <x:c r="B85" s="12" t="str">
        <x:v>环线2路</x:v>
      </x:c>
      <x:c r="C85" s="12" t="str">
        <x:v>第二班</x:v>
      </x:c>
      <x:c r="D85" s="12" t="str">
        <x:v>S0090</x:v>
      </x:c>
      <x:c r="E85" s="12" t="str">
        <x:v>14:25</x:v>
      </x:c>
      <x:c r="F85" s="12" t="str">
        <x:v>研究生宿舍楼</x:v>
      </x:c>
      <x:c r="G85" s="12" t="str">
        <x:v>研究生宿舍楼发车</x:v>
      </x:c>
      <x:c r="H85" s="12" t="str">
        <x:v>HX2_NORMAL</x:v>
      </x:c>
      <x:c r="I85" s="12" t="str">
        <x:v>S0091</x:v>
      </x:c>
      <x:c r="J85" s="12" t="str">
        <x:v>14:40</x:v>
      </x:c>
      <x:c r="K85" s="12" t="str">
        <x:v>研究生宿舍楼</x:v>
      </x:c>
      <x:c r="L85" s="12" t="str">
        <x:v>研究生宿舍楼发车</x:v>
      </x:c>
      <x:c r="M85" s="12" t="str">
        <x:v>HX2_NORMAL</x:v>
      </x:c>
      <x:c r="N85" s="12" t="n">
        <x:v>900</x:v>
      </x:c>
      <x:c r="O85" s="12" t="n">
        <x:f>N85/86400</x:f>
        <x:v>0.010416666666666666</x:v>
      </x:c>
      <x:c r="P85" s="12" t="n">
        <x:v>572</x:v>
      </x:c>
      <x:c r="Q85" s="12" t="n">
        <x:v>328</x:v>
      </x:c>
      <x:c r="R85" s="12" t="n">
        <x:f>Q85/86400</x:f>
        <x:v>0.0037962962962962963</x:v>
      </x:c>
      <x:c r="S85" s="12" t="str">
        <x:v>通过</x:v>
      </x:c>
      <x:c r="T85" s="12" t="str">
        <x:v>返回同一发车点；建议至少保留约2分钟上下客/等待冗余</x:v>
      </x:c>
    </x:row>
    <x:row r="86">
      <x:c r="A86" s="12" t="str">
        <x:v>工作日</x:v>
      </x:c>
      <x:c r="B86" s="12" t="str">
        <x:v>环线2路</x:v>
      </x:c>
      <x:c r="C86" s="12" t="str">
        <x:v>第二班</x:v>
      </x:c>
      <x:c r="D86" s="12" t="str">
        <x:v>S0091</x:v>
      </x:c>
      <x:c r="E86" s="12" t="str">
        <x:v>14:40</x:v>
      </x:c>
      <x:c r="F86" s="12" t="str">
        <x:v>研究生宿舍楼</x:v>
      </x:c>
      <x:c r="G86" s="12" t="str">
        <x:v>研究生宿舍楼发车</x:v>
      </x:c>
      <x:c r="H86" s="12" t="str">
        <x:v>HX2_NORMAL</x:v>
      </x:c>
      <x:c r="I86" s="12" t="str">
        <x:v>S0092</x:v>
      </x:c>
      <x:c r="J86" s="12" t="str">
        <x:v>15:00</x:v>
      </x:c>
      <x:c r="K86" s="12" t="str">
        <x:v>研究生宿舍楼</x:v>
      </x:c>
      <x:c r="L86" s="12" t="str">
        <x:v>研究生宿舍楼发车</x:v>
      </x:c>
      <x:c r="M86" s="12" t="str">
        <x:v>HX2_NORMAL</x:v>
      </x:c>
      <x:c r="N86" s="12" t="n">
        <x:v>1200</x:v>
      </x:c>
      <x:c r="O86" s="12" t="n">
        <x:f>N86/86400</x:f>
        <x:v>0.013888888888888888</x:v>
      </x:c>
      <x:c r="P86" s="12" t="n">
        <x:v>572</x:v>
      </x:c>
      <x:c r="Q86" s="12" t="n">
        <x:v>628</x:v>
      </x:c>
      <x:c r="R86" s="12" t="n">
        <x:f>Q86/86400</x:f>
        <x:v>0.007268518518518519</x:v>
      </x:c>
      <x:c r="S86" s="12" t="str">
        <x:v>通过</x:v>
      </x:c>
      <x:c r="T86" s="12" t="str">
        <x:v>返回同一发车点；建议至少保留约2分钟上下客/等待冗余</x:v>
      </x:c>
    </x:row>
    <x:row r="87">
      <x:c r="A87" s="12" t="str">
        <x:v>工作日</x:v>
      </x:c>
      <x:c r="B87" s="12" t="str">
        <x:v>环线2路</x:v>
      </x:c>
      <x:c r="C87" s="12" t="str">
        <x:v>第二班</x:v>
      </x:c>
      <x:c r="D87" s="12" t="str">
        <x:v>S0092</x:v>
      </x:c>
      <x:c r="E87" s="12" t="str">
        <x:v>15:00</x:v>
      </x:c>
      <x:c r="F87" s="12" t="str">
        <x:v>研究生宿舍楼</x:v>
      </x:c>
      <x:c r="G87" s="12" t="str">
        <x:v>研究生宿舍楼发车</x:v>
      </x:c>
      <x:c r="H87" s="12" t="str">
        <x:v>HX2_NORMAL</x:v>
      </x:c>
      <x:c r="I87" s="12" t="str">
        <x:v>S0093</x:v>
      </x:c>
      <x:c r="J87" s="12" t="str">
        <x:v>15:20</x:v>
      </x:c>
      <x:c r="K87" s="12" t="str">
        <x:v>研究生宿舍楼</x:v>
      </x:c>
      <x:c r="L87" s="12" t="str">
        <x:v>研究生宿舍楼发车</x:v>
      </x:c>
      <x:c r="M87" s="12" t="str">
        <x:v>HX2_NORMAL</x:v>
      </x:c>
      <x:c r="N87" s="12" t="n">
        <x:v>1200</x:v>
      </x:c>
      <x:c r="O87" s="12" t="n">
        <x:f>N87/86400</x:f>
        <x:v>0.013888888888888888</x:v>
      </x:c>
      <x:c r="P87" s="12" t="n">
        <x:v>572</x:v>
      </x:c>
      <x:c r="Q87" s="12" t="n">
        <x:v>628</x:v>
      </x:c>
      <x:c r="R87" s="12" t="n">
        <x:f>Q87/86400</x:f>
        <x:v>0.007268518518518519</x:v>
      </x:c>
      <x:c r="S87" s="12" t="str">
        <x:v>通过</x:v>
      </x:c>
      <x:c r="T87" s="12" t="str">
        <x:v>返回同一发车点；建议至少保留约2分钟上下客/等待冗余</x:v>
      </x:c>
    </x:row>
    <x:row r="88">
      <x:c r="A88" s="12" t="str">
        <x:v>工作日</x:v>
      </x:c>
      <x:c r="B88" s="12" t="str">
        <x:v>环线2路</x:v>
      </x:c>
      <x:c r="C88" s="12" t="str">
        <x:v>第二班</x:v>
      </x:c>
      <x:c r="D88" s="12" t="str">
        <x:v>S0093</x:v>
      </x:c>
      <x:c r="E88" s="12" t="str">
        <x:v>15:20</x:v>
      </x:c>
      <x:c r="F88" s="12" t="str">
        <x:v>研究生宿舍楼</x:v>
      </x:c>
      <x:c r="G88" s="12" t="str">
        <x:v>研究生宿舍楼发车</x:v>
      </x:c>
      <x:c r="H88" s="12" t="str">
        <x:v>HX2_NORMAL</x:v>
      </x:c>
      <x:c r="I88" s="12" t="str">
        <x:v>S0094</x:v>
      </x:c>
      <x:c r="J88" s="12" t="str">
        <x:v>15:40</x:v>
      </x:c>
      <x:c r="K88" s="12" t="str">
        <x:v>研究生宿舍楼</x:v>
      </x:c>
      <x:c r="L88" s="12" t="str">
        <x:v>研究生宿舍楼发车</x:v>
      </x:c>
      <x:c r="M88" s="12" t="str">
        <x:v>HX2_NORMAL</x:v>
      </x:c>
      <x:c r="N88" s="12" t="n">
        <x:v>1200</x:v>
      </x:c>
      <x:c r="O88" s="12" t="n">
        <x:f>N88/86400</x:f>
        <x:v>0.013888888888888888</x:v>
      </x:c>
      <x:c r="P88" s="12" t="n">
        <x:v>572</x:v>
      </x:c>
      <x:c r="Q88" s="12" t="n">
        <x:v>628</x:v>
      </x:c>
      <x:c r="R88" s="12" t="n">
        <x:f>Q88/86400</x:f>
        <x:v>0.007268518518518519</x:v>
      </x:c>
      <x:c r="S88" s="12" t="str">
        <x:v>通过</x:v>
      </x:c>
      <x:c r="T88" s="12" t="str">
        <x:v>返回同一发车点；建议至少保留约2分钟上下客/等待冗余</x:v>
      </x:c>
    </x:row>
    <x:row r="89">
      <x:c r="A89" s="12" t="str">
        <x:v>工作日</x:v>
      </x:c>
      <x:c r="B89" s="12" t="str">
        <x:v>环线2路</x:v>
      </x:c>
      <x:c r="C89" s="12" t="str">
        <x:v>第二班</x:v>
      </x:c>
      <x:c r="D89" s="12" t="str">
        <x:v>S0094</x:v>
      </x:c>
      <x:c r="E89" s="12" t="str">
        <x:v>15:40</x:v>
      </x:c>
      <x:c r="F89" s="12" t="str">
        <x:v>研究生宿舍楼</x:v>
      </x:c>
      <x:c r="G89" s="12" t="str">
        <x:v>研究生宿舍楼发车</x:v>
      </x:c>
      <x:c r="H89" s="12" t="str">
        <x:v>HX2_NORMAL</x:v>
      </x:c>
      <x:c r="I89" s="12" t="str">
        <x:v>S0095</x:v>
      </x:c>
      <x:c r="J89" s="12" t="str">
        <x:v>16:00</x:v>
      </x:c>
      <x:c r="K89" s="12" t="str">
        <x:v>研究生宿舍楼</x:v>
      </x:c>
      <x:c r="L89" s="12" t="str">
        <x:v>研究生宿舍楼发车</x:v>
      </x:c>
      <x:c r="M89" s="12" t="str">
        <x:v>HX2_NORMAL</x:v>
      </x:c>
      <x:c r="N89" s="12" t="n">
        <x:v>1200</x:v>
      </x:c>
      <x:c r="O89" s="12" t="n">
        <x:f>N89/86400</x:f>
        <x:v>0.013888888888888888</x:v>
      </x:c>
      <x:c r="P89" s="12" t="n">
        <x:v>572</x:v>
      </x:c>
      <x:c r="Q89" s="12" t="n">
        <x:v>628</x:v>
      </x:c>
      <x:c r="R89" s="12" t="n">
        <x:f>Q89/86400</x:f>
        <x:v>0.007268518518518519</x:v>
      </x:c>
      <x:c r="S89" s="12" t="str">
        <x:v>通过</x:v>
      </x:c>
      <x:c r="T89" s="12" t="str">
        <x:v>返回同一发车点；建议至少保留约2分钟上下客/等待冗余</x:v>
      </x:c>
    </x:row>
    <x:row r="90">
      <x:c r="A90" s="12" t="str">
        <x:v>工作日</x:v>
      </x:c>
      <x:c r="B90" s="12" t="str">
        <x:v>环线2路</x:v>
      </x:c>
      <x:c r="C90" s="12" t="str">
        <x:v>第二班</x:v>
      </x:c>
      <x:c r="D90" s="12" t="str">
        <x:v>S0095</x:v>
      </x:c>
      <x:c r="E90" s="12" t="str">
        <x:v>16:00</x:v>
      </x:c>
      <x:c r="F90" s="12" t="str">
        <x:v>研究生宿舍楼</x:v>
      </x:c>
      <x:c r="G90" s="12" t="str">
        <x:v>研究生宿舍楼发车</x:v>
      </x:c>
      <x:c r="H90" s="12" t="str">
        <x:v>HX2_NORMAL</x:v>
      </x:c>
      <x:c r="I90" s="12" t="str">
        <x:v>S0096</x:v>
      </x:c>
      <x:c r="J90" s="12" t="str">
        <x:v>16:35</x:v>
      </x:c>
      <x:c r="K90" s="12" t="str">
        <x:v>研究生宿舍楼</x:v>
      </x:c>
      <x:c r="L90" s="12" t="str">
        <x:v>研究生宿舍楼发车</x:v>
      </x:c>
      <x:c r="M90" s="12" t="str">
        <x:v>HX2_NORMAL</x:v>
      </x:c>
      <x:c r="N90" s="12" t="n">
        <x:v>2100</x:v>
      </x:c>
      <x:c r="O90" s="12" t="n">
        <x:f>N90/86400</x:f>
        <x:v>0.024305555555555556</x:v>
      </x:c>
      <x:c r="P90" s="12" t="n">
        <x:v>572</x:v>
      </x:c>
      <x:c r="Q90" s="12" t="n">
        <x:v>1528</x:v>
      </x:c>
      <x:c r="R90" s="12" t="n">
        <x:f>Q90/86400</x:f>
        <x:v>0.017685185185185186</x:v>
      </x:c>
      <x:c r="S90" s="12" t="str">
        <x:v>通过</x:v>
      </x:c>
      <x:c r="T90" s="12" t="str">
        <x:v>返回同一发车点；建议至少保留约2分钟上下客/等待冗余</x:v>
      </x:c>
    </x:row>
    <x:row r="91">
      <x:c r="A91" s="12" t="str">
        <x:v>工作日</x:v>
      </x:c>
      <x:c r="B91" s="12" t="str">
        <x:v>环线2路</x:v>
      </x:c>
      <x:c r="C91" s="12" t="str">
        <x:v>第二班</x:v>
      </x:c>
      <x:c r="D91" s="12" t="str">
        <x:v>S0096</x:v>
      </x:c>
      <x:c r="E91" s="12" t="str">
        <x:v>16:35</x:v>
      </x:c>
      <x:c r="F91" s="12" t="str">
        <x:v>研究生宿舍楼</x:v>
      </x:c>
      <x:c r="G91" s="12" t="str">
        <x:v>研究生宿舍楼发车</x:v>
      </x:c>
      <x:c r="H91" s="12" t="str">
        <x:v>HX2_NORMAL</x:v>
      </x:c>
      <x:c r="I91" s="12" t="str">
        <x:v>S0097</x:v>
      </x:c>
      <x:c r="J91" s="12" t="str">
        <x:v>17:05</x:v>
      </x:c>
      <x:c r="K91" s="12" t="str">
        <x:v>研究生宿舍楼</x:v>
      </x:c>
      <x:c r="L91" s="12" t="str">
        <x:v>研究生宿舍楼发车</x:v>
      </x:c>
      <x:c r="M91" s="12" t="str">
        <x:v>HX2_NORMAL</x:v>
      </x:c>
      <x:c r="N91" s="12" t="n">
        <x:v>1800</x:v>
      </x:c>
      <x:c r="O91" s="12" t="n">
        <x:f>N91/86400</x:f>
        <x:v>0.020833333333333332</x:v>
      </x:c>
      <x:c r="P91" s="12" t="n">
        <x:v>572</x:v>
      </x:c>
      <x:c r="Q91" s="12" t="n">
        <x:v>1228</x:v>
      </x:c>
      <x:c r="R91" s="12" t="n">
        <x:f>Q91/86400</x:f>
        <x:v>0.014212962962962964</x:v>
      </x:c>
      <x:c r="S91" s="12" t="str">
        <x:v>通过</x:v>
      </x:c>
      <x:c r="T91" s="12" t="str">
        <x:v>返回同一发车点；建议至少保留约2分钟上下客/等待冗余</x:v>
      </x:c>
    </x:row>
    <x:row r="92">
      <x:c r="A92" s="12" t="str">
        <x:v>工作日</x:v>
      </x:c>
      <x:c r="B92" s="12" t="str">
        <x:v>环线2路</x:v>
      </x:c>
      <x:c r="C92" s="12" t="str">
        <x:v>第二班</x:v>
      </x:c>
      <x:c r="D92" s="12" t="str">
        <x:v>S0097</x:v>
      </x:c>
      <x:c r="E92" s="12" t="str">
        <x:v>17:05</x:v>
      </x:c>
      <x:c r="F92" s="12" t="str">
        <x:v>研究生宿舍楼</x:v>
      </x:c>
      <x:c r="G92" s="12" t="str">
        <x:v>研究生宿舍楼发车</x:v>
      </x:c>
      <x:c r="H92" s="12" t="str">
        <x:v>HX2_NORMAL</x:v>
      </x:c>
      <x:c r="I92" s="12" t="str">
        <x:v>S0098</x:v>
      </x:c>
      <x:c r="J92" s="12" t="str">
        <x:v>17:35</x:v>
      </x:c>
      <x:c r="K92" s="12" t="str">
        <x:v>研究生宿舍楼</x:v>
      </x:c>
      <x:c r="L92" s="12" t="str">
        <x:v>研究生宿舍楼发车</x:v>
      </x:c>
      <x:c r="M92" s="12" t="str">
        <x:v>HX2_NORMAL</x:v>
      </x:c>
      <x:c r="N92" s="12" t="n">
        <x:v>1800</x:v>
      </x:c>
      <x:c r="O92" s="12" t="n">
        <x:f>N92/86400</x:f>
        <x:v>0.020833333333333332</x:v>
      </x:c>
      <x:c r="P92" s="12" t="n">
        <x:v>572</x:v>
      </x:c>
      <x:c r="Q92" s="12" t="n">
        <x:v>1228</x:v>
      </x:c>
      <x:c r="R92" s="12" t="n">
        <x:f>Q92/86400</x:f>
        <x:v>0.014212962962962964</x:v>
      </x:c>
      <x:c r="S92" s="12" t="str">
        <x:v>通过</x:v>
      </x:c>
      <x:c r="T92" s="12" t="str">
        <x:v>返回同一发车点；建议至少保留约2分钟上下客/等待冗余</x:v>
      </x:c>
    </x:row>
    <x:row r="93">
      <x:c r="A93" s="12" t="str">
        <x:v>工作日</x:v>
      </x:c>
      <x:c r="B93" s="12" t="str">
        <x:v>环线2路</x:v>
      </x:c>
      <x:c r="C93" s="12" t="str">
        <x:v>第二班</x:v>
      </x:c>
      <x:c r="D93" s="12" t="str">
        <x:v>S0098</x:v>
      </x:c>
      <x:c r="E93" s="12" t="str">
        <x:v>17:35</x:v>
      </x:c>
      <x:c r="F93" s="12" t="str">
        <x:v>研究生宿舍楼</x:v>
      </x:c>
      <x:c r="G93" s="12" t="str">
        <x:v>研究生宿舍楼发车</x:v>
      </x:c>
      <x:c r="H93" s="12" t="str">
        <x:v>HX2_NORMAL</x:v>
      </x:c>
      <x:c r="I93" s="12" t="str">
        <x:v>S0099</x:v>
      </x:c>
      <x:c r="J93" s="12" t="str">
        <x:v>18:10</x:v>
      </x:c>
      <x:c r="K93" s="12" t="str">
        <x:v>研究生宿舍楼</x:v>
      </x:c>
      <x:c r="L93" s="12" t="str">
        <x:v>研究生宿舍楼发车</x:v>
      </x:c>
      <x:c r="M93" s="12" t="str">
        <x:v>HX2_NORMAL</x:v>
      </x:c>
      <x:c r="N93" s="12" t="n">
        <x:v>2100</x:v>
      </x:c>
      <x:c r="O93" s="12" t="n">
        <x:f>N93/86400</x:f>
        <x:v>0.024305555555555556</x:v>
      </x:c>
      <x:c r="P93" s="12" t="n">
        <x:v>572</x:v>
      </x:c>
      <x:c r="Q93" s="12" t="n">
        <x:v>1528</x:v>
      </x:c>
      <x:c r="R93" s="12" t="n">
        <x:f>Q93/86400</x:f>
        <x:v>0.017685185185185186</x:v>
      </x:c>
      <x:c r="S93" s="12" t="str">
        <x:v>通过</x:v>
      </x:c>
      <x:c r="T93" s="12" t="str">
        <x:v>返回同一发车点；建议至少保留约2分钟上下客/等待冗余</x:v>
      </x:c>
    </x:row>
    <x:row r="94">
      <x:c r="A94" s="12" t="str">
        <x:v>工作日</x:v>
      </x:c>
      <x:c r="B94" s="12" t="str">
        <x:v>环线2路</x:v>
      </x:c>
      <x:c r="C94" s="12" t="str">
        <x:v>第二班</x:v>
      </x:c>
      <x:c r="D94" s="12" t="str">
        <x:v>S0099</x:v>
      </x:c>
      <x:c r="E94" s="12" t="str">
        <x:v>18:10</x:v>
      </x:c>
      <x:c r="F94" s="12" t="str">
        <x:v>研究生宿舍楼</x:v>
      </x:c>
      <x:c r="G94" s="12" t="str">
        <x:v>研究生宿舍楼发车</x:v>
      </x:c>
      <x:c r="H94" s="12" t="str">
        <x:v>HX2_NORMAL</x:v>
      </x:c>
      <x:c r="I94" s="12" t="str">
        <x:v>S0100</x:v>
      </x:c>
      <x:c r="J94" s="12" t="str">
        <x:v>18:25</x:v>
      </x:c>
      <x:c r="K94" s="12" t="str">
        <x:v>研究生宿舍楼</x:v>
      </x:c>
      <x:c r="L94" s="12" t="str">
        <x:v>研究生宿舍楼发车</x:v>
      </x:c>
      <x:c r="M94" s="12" t="str">
        <x:v>HX2_NORMAL</x:v>
      </x:c>
      <x:c r="N94" s="12" t="n">
        <x:v>900</x:v>
      </x:c>
      <x:c r="O94" s="12" t="n">
        <x:f>N94/86400</x:f>
        <x:v>0.010416666666666666</x:v>
      </x:c>
      <x:c r="P94" s="12" t="n">
        <x:v>572</x:v>
      </x:c>
      <x:c r="Q94" s="12" t="n">
        <x:v>328</x:v>
      </x:c>
      <x:c r="R94" s="12" t="n">
        <x:f>Q94/86400</x:f>
        <x:v>0.0037962962962962963</x:v>
      </x:c>
      <x:c r="S94" s="12" t="str">
        <x:v>通过</x:v>
      </x:c>
      <x:c r="T94" s="12" t="str">
        <x:v>返回同一发车点；建议至少保留约2分钟上下客/等待冗余</x:v>
      </x:c>
    </x:row>
    <x:row r="95">
      <x:c r="A95" s="12" t="str">
        <x:v>工作日</x:v>
      </x:c>
      <x:c r="B95" s="12" t="str">
        <x:v>环线2路</x:v>
      </x:c>
      <x:c r="C95" s="12" t="str">
        <x:v>第二班</x:v>
      </x:c>
      <x:c r="D95" s="12" t="str">
        <x:v>S0100</x:v>
      </x:c>
      <x:c r="E95" s="12" t="str">
        <x:v>18:25</x:v>
      </x:c>
      <x:c r="F95" s="12" t="str">
        <x:v>研究生宿舍楼</x:v>
      </x:c>
      <x:c r="G95" s="12" t="str">
        <x:v>研究生宿舍楼发车</x:v>
      </x:c>
      <x:c r="H95" s="12" t="str">
        <x:v>HX2_NORMAL</x:v>
      </x:c>
      <x:c r="I95" s="12" t="str">
        <x:v>S0101</x:v>
      </x:c>
      <x:c r="J95" s="12" t="str">
        <x:v>18:45</x:v>
      </x:c>
      <x:c r="K95" s="12" t="str">
        <x:v>研究生宿舍楼</x:v>
      </x:c>
      <x:c r="L95" s="12" t="str">
        <x:v>研究生宿舍楼发车</x:v>
      </x:c>
      <x:c r="M95" s="12" t="str">
        <x:v>HX2_NORMAL</x:v>
      </x:c>
      <x:c r="N95" s="12" t="n">
        <x:v>1200</x:v>
      </x:c>
      <x:c r="O95" s="12" t="n">
        <x:f>N95/86400</x:f>
        <x:v>0.013888888888888888</x:v>
      </x:c>
      <x:c r="P95" s="12" t="n">
        <x:v>572</x:v>
      </x:c>
      <x:c r="Q95" s="12" t="n">
        <x:v>628</x:v>
      </x:c>
      <x:c r="R95" s="12" t="n">
        <x:f>Q95/86400</x:f>
        <x:v>0.007268518518518519</x:v>
      </x:c>
      <x:c r="S95" s="12" t="str">
        <x:v>通过</x:v>
      </x:c>
      <x:c r="T95" s="12" t="str">
        <x:v>返回同一发车点；建议至少保留约2分钟上下客/等待冗余</x:v>
      </x:c>
    </x:row>
    <x:row r="96">
      <x:c r="A96" s="12" t="str">
        <x:v>工作日</x:v>
      </x:c>
      <x:c r="B96" s="12" t="str">
        <x:v>环线2路</x:v>
      </x:c>
      <x:c r="C96" s="12" t="str">
        <x:v>第二班</x:v>
      </x:c>
      <x:c r="D96" s="12" t="str">
        <x:v>S0101</x:v>
      </x:c>
      <x:c r="E96" s="12" t="str">
        <x:v>18:45</x:v>
      </x:c>
      <x:c r="F96" s="12" t="str">
        <x:v>研究生宿舍楼</x:v>
      </x:c>
      <x:c r="G96" s="12" t="str">
        <x:v>研究生宿舍楼发车</x:v>
      </x:c>
      <x:c r="H96" s="12" t="str">
        <x:v>HX2_NORMAL</x:v>
      </x:c>
      <x:c r="I96" s="12" t="str">
        <x:v>S0102</x:v>
      </x:c>
      <x:c r="J96" s="12" t="str">
        <x:v>19:15</x:v>
      </x:c>
      <x:c r="K96" s="12" t="str">
        <x:v>研究生宿舍楼</x:v>
      </x:c>
      <x:c r="L96" s="12" t="str">
        <x:v>研究生宿舍楼发车</x:v>
      </x:c>
      <x:c r="M96" s="12" t="str">
        <x:v>HX2_NORMAL</x:v>
      </x:c>
      <x:c r="N96" s="12" t="n">
        <x:v>1800</x:v>
      </x:c>
      <x:c r="O96" s="12" t="n">
        <x:f>N96/86400</x:f>
        <x:v>0.020833333333333332</x:v>
      </x:c>
      <x:c r="P96" s="12" t="n">
        <x:v>572</x:v>
      </x:c>
      <x:c r="Q96" s="12" t="n">
        <x:v>1228</x:v>
      </x:c>
      <x:c r="R96" s="12" t="n">
        <x:f>Q96/86400</x:f>
        <x:v>0.014212962962962964</x:v>
      </x:c>
      <x:c r="S96" s="12" t="str">
        <x:v>通过</x:v>
      </x:c>
      <x:c r="T96" s="12" t="str">
        <x:v>返回同一发车点；建议至少保留约2分钟上下客/等待冗余</x:v>
      </x:c>
    </x:row>
    <x:row r="97">
      <x:c r="A97" s="12" t="str">
        <x:v>工作日</x:v>
      </x:c>
      <x:c r="B97" s="12" t="str">
        <x:v>环线2路</x:v>
      </x:c>
      <x:c r="C97" s="12" t="str">
        <x:v>第二班</x:v>
      </x:c>
      <x:c r="D97" s="12" t="str">
        <x:v>S0102</x:v>
      </x:c>
      <x:c r="E97" s="12" t="str">
        <x:v>19:15</x:v>
      </x:c>
      <x:c r="F97" s="12" t="str">
        <x:v>研究生宿舍楼</x:v>
      </x:c>
      <x:c r="G97" s="12" t="str">
        <x:v>研究生宿舍楼发车</x:v>
      </x:c>
      <x:c r="H97" s="12" t="str">
        <x:v>HX2_NORMAL</x:v>
      </x:c>
      <x:c r="I97" s="12" t="str">
        <x:v>S0103</x:v>
      </x:c>
      <x:c r="J97" s="12" t="str">
        <x:v>19:30</x:v>
      </x:c>
      <x:c r="K97" s="12" t="str">
        <x:v>研究生宿舍楼</x:v>
      </x:c>
      <x:c r="L97" s="12" t="str">
        <x:v>研究生宿舍楼发车</x:v>
      </x:c>
      <x:c r="M97" s="12" t="str">
        <x:v>HX2_NORMAL</x:v>
      </x:c>
      <x:c r="N97" s="12" t="n">
        <x:v>900</x:v>
      </x:c>
      <x:c r="O97" s="12" t="n">
        <x:f>N97/86400</x:f>
        <x:v>0.010416666666666666</x:v>
      </x:c>
      <x:c r="P97" s="12" t="n">
        <x:v>572</x:v>
      </x:c>
      <x:c r="Q97" s="12" t="n">
        <x:v>328</x:v>
      </x:c>
      <x:c r="R97" s="12" t="n">
        <x:f>Q97/86400</x:f>
        <x:v>0.0037962962962962963</x:v>
      </x:c>
      <x:c r="S97" s="12" t="str">
        <x:v>通过</x:v>
      </x:c>
      <x:c r="T97" s="12" t="str">
        <x:v>返回同一发车点；建议至少保留约2分钟上下客/等待冗余</x:v>
      </x:c>
    </x:row>
    <x:row r="98">
      <x:c r="A98" s="12" t="str">
        <x:v>工作日</x:v>
      </x:c>
      <x:c r="B98" s="12" t="str">
        <x:v>环线2路</x:v>
      </x:c>
      <x:c r="C98" s="12" t="str">
        <x:v>第二班</x:v>
      </x:c>
      <x:c r="D98" s="12" t="str">
        <x:v>S0103</x:v>
      </x:c>
      <x:c r="E98" s="12" t="str">
        <x:v>19:30</x:v>
      </x:c>
      <x:c r="F98" s="12" t="str">
        <x:v>研究生宿舍楼</x:v>
      </x:c>
      <x:c r="G98" s="12" t="str">
        <x:v>研究生宿舍楼发车</x:v>
      </x:c>
      <x:c r="H98" s="12" t="str">
        <x:v>HX2_NORMAL</x:v>
      </x:c>
      <x:c r="I98" s="12" t="str">
        <x:v>S0104</x:v>
      </x:c>
      <x:c r="J98" s="12" t="str">
        <x:v>19:50</x:v>
      </x:c>
      <x:c r="K98" s="12" t="str">
        <x:v>研究生宿舍楼</x:v>
      </x:c>
      <x:c r="L98" s="12" t="str">
        <x:v>研究生宿舍楼发车</x:v>
      </x:c>
      <x:c r="M98" s="12" t="str">
        <x:v>HX2_NORMAL</x:v>
      </x:c>
      <x:c r="N98" s="12" t="n">
        <x:v>1200</x:v>
      </x:c>
      <x:c r="O98" s="12" t="n">
        <x:f>N98/86400</x:f>
        <x:v>0.013888888888888888</x:v>
      </x:c>
      <x:c r="P98" s="12" t="n">
        <x:v>572</x:v>
      </x:c>
      <x:c r="Q98" s="12" t="n">
        <x:v>628</x:v>
      </x:c>
      <x:c r="R98" s="12" t="n">
        <x:f>Q98/86400</x:f>
        <x:v>0.007268518518518519</x:v>
      </x:c>
      <x:c r="S98" s="12" t="str">
        <x:v>通过</x:v>
      </x:c>
      <x:c r="T98" s="12" t="str">
        <x:v>返回同一发车点；建议至少保留约2分钟上下客/等待冗余</x:v>
      </x:c>
    </x:row>
    <x:row r="99">
      <x:c r="A99" s="12" t="str">
        <x:v>工作日</x:v>
      </x:c>
      <x:c r="B99" s="12" t="str">
        <x:v>环线2路</x:v>
      </x:c>
      <x:c r="C99" s="12" t="str">
        <x:v>第二班</x:v>
      </x:c>
      <x:c r="D99" s="12" t="str">
        <x:v>S0104</x:v>
      </x:c>
      <x:c r="E99" s="12" t="str">
        <x:v>19:50</x:v>
      </x:c>
      <x:c r="F99" s="12" t="str">
        <x:v>研究生宿舍楼</x:v>
      </x:c>
      <x:c r="G99" s="12" t="str">
        <x:v>研究生宿舍楼发车</x:v>
      </x:c>
      <x:c r="H99" s="12" t="str">
        <x:v>HX2_NORMAL</x:v>
      </x:c>
      <x:c r="I99" s="12" t="str">
        <x:v>S0105</x:v>
      </x:c>
      <x:c r="J99" s="12" t="str">
        <x:v>20:10</x:v>
      </x:c>
      <x:c r="K99" s="12" t="str">
        <x:v>研究生宿舍楼</x:v>
      </x:c>
      <x:c r="L99" s="12" t="str">
        <x:v>研究生宿舍楼发车</x:v>
      </x:c>
      <x:c r="M99" s="12" t="str">
        <x:v>HX2_NORMAL</x:v>
      </x:c>
      <x:c r="N99" s="12" t="n">
        <x:v>1200</x:v>
      </x:c>
      <x:c r="O99" s="12" t="n">
        <x:f>N99/86400</x:f>
        <x:v>0.013888888888888888</x:v>
      </x:c>
      <x:c r="P99" s="12" t="n">
        <x:v>572</x:v>
      </x:c>
      <x:c r="Q99" s="12" t="n">
        <x:v>628</x:v>
      </x:c>
      <x:c r="R99" s="12" t="n">
        <x:f>Q99/86400</x:f>
        <x:v>0.007268518518518519</x:v>
      </x:c>
      <x:c r="S99" s="12" t="str">
        <x:v>通过</x:v>
      </x:c>
      <x:c r="T99" s="12" t="str">
        <x:v>返回同一发车点；建议至少保留约2分钟上下客/等待冗余</x:v>
      </x:c>
    </x:row>
    <x:row r="100">
      <x:c r="A100" s="12" t="str">
        <x:v>工作日</x:v>
      </x:c>
      <x:c r="B100" s="12" t="str">
        <x:v>环线2路</x:v>
      </x:c>
      <x:c r="C100" s="12" t="str">
        <x:v>第二班</x:v>
      </x:c>
      <x:c r="D100" s="12" t="str">
        <x:v>S0105</x:v>
      </x:c>
      <x:c r="E100" s="12" t="str">
        <x:v>20:10</x:v>
      </x:c>
      <x:c r="F100" s="12" t="str">
        <x:v>研究生宿舍楼</x:v>
      </x:c>
      <x:c r="G100" s="12" t="str">
        <x:v>研究生宿舍楼发车</x:v>
      </x:c>
      <x:c r="H100" s="12" t="str">
        <x:v>HX2_NORMAL</x:v>
      </x:c>
      <x:c r="I100" s="12" t="str">
        <x:v>S0106</x:v>
      </x:c>
      <x:c r="J100" s="12" t="str">
        <x:v>20:40</x:v>
      </x:c>
      <x:c r="K100" s="12" t="str">
        <x:v>研究生宿舍楼</x:v>
      </x:c>
      <x:c r="L100" s="12" t="str">
        <x:v>研究生宿舍楼发车</x:v>
      </x:c>
      <x:c r="M100" s="12" t="str">
        <x:v>HX2_NORMAL</x:v>
      </x:c>
      <x:c r="N100" s="12" t="n">
        <x:v>1800</x:v>
      </x:c>
      <x:c r="O100" s="12" t="n">
        <x:f>N100/86400</x:f>
        <x:v>0.020833333333333332</x:v>
      </x:c>
      <x:c r="P100" s="12" t="n">
        <x:v>572</x:v>
      </x:c>
      <x:c r="Q100" s="12" t="n">
        <x:v>1228</x:v>
      </x:c>
      <x:c r="R100" s="12" t="n">
        <x:f>Q100/86400</x:f>
        <x:v>0.014212962962962964</x:v>
      </x:c>
      <x:c r="S100" s="12" t="str">
        <x:v>通过</x:v>
      </x:c>
      <x:c r="T100" s="12" t="str">
        <x:v>返回同一发车点；建议至少保留约2分钟上下客/等待冗余</x:v>
      </x:c>
    </x:row>
    <x:row r="101">
      <x:c r="A101" s="12" t="str">
        <x:v>工作日</x:v>
      </x:c>
      <x:c r="B101" s="12" t="str">
        <x:v>环线2路</x:v>
      </x:c>
      <x:c r="C101" s="12" t="str">
        <x:v>第二班</x:v>
      </x:c>
      <x:c r="D101" s="12" t="str">
        <x:v>S0106</x:v>
      </x:c>
      <x:c r="E101" s="12" t="str">
        <x:v>20:40</x:v>
      </x:c>
      <x:c r="F101" s="12" t="str">
        <x:v>研究生宿舍楼</x:v>
      </x:c>
      <x:c r="G101" s="12" t="str">
        <x:v>研究生宿舍楼发车</x:v>
      </x:c>
      <x:c r="H101" s="12" t="str">
        <x:v>HX2_NORMAL</x:v>
      </x:c>
      <x:c r="I101" s="12" t="str">
        <x:v>S0107</x:v>
      </x:c>
      <x:c r="J101" s="12" t="str">
        <x:v>21:05</x:v>
      </x:c>
      <x:c r="K101" s="12" t="str">
        <x:v>研究生宿舍楼</x:v>
      </x:c>
      <x:c r="L101" s="12" t="str">
        <x:v>研究生宿舍楼发车</x:v>
      </x:c>
      <x:c r="M101" s="12" t="str">
        <x:v>HX2_NORMAL</x:v>
      </x:c>
      <x:c r="N101" s="12" t="n">
        <x:v>1500</x:v>
      </x:c>
      <x:c r="O101" s="12" t="n">
        <x:f>N101/86400</x:f>
        <x:v>0.017361111111111112</x:v>
      </x:c>
      <x:c r="P101" s="12" t="n">
        <x:v>572</x:v>
      </x:c>
      <x:c r="Q101" s="12" t="n">
        <x:v>928</x:v>
      </x:c>
      <x:c r="R101" s="12" t="n">
        <x:f>Q101/86400</x:f>
        <x:v>0.01074074074074074</x:v>
      </x:c>
      <x:c r="S101" s="12" t="str">
        <x:v>通过</x:v>
      </x:c>
      <x:c r="T101" s="12" t="str">
        <x:v>返回同一发车点；建议至少保留约2分钟上下客/等待冗余</x:v>
      </x:c>
    </x:row>
    <x:row r="102">
      <x:c r="A102" s="12" t="str">
        <x:v>工作日</x:v>
      </x:c>
      <x:c r="B102" s="12" t="str">
        <x:v>环线2路</x:v>
      </x:c>
      <x:c r="C102" s="12" t="str">
        <x:v>第二班</x:v>
      </x:c>
      <x:c r="D102" s="12" t="str">
        <x:v>S0107</x:v>
      </x:c>
      <x:c r="E102" s="12" t="str">
        <x:v>21:05</x:v>
      </x:c>
      <x:c r="F102" s="12" t="str">
        <x:v>研究生宿舍楼</x:v>
      </x:c>
      <x:c r="G102" s="12" t="str">
        <x:v>研究生宿舍楼发车</x:v>
      </x:c>
      <x:c r="H102" s="12" t="str">
        <x:v>HX2_NORMAL</x:v>
      </x:c>
      <x:c r="I102" s="12" t="str">
        <x:v>S0108</x:v>
      </x:c>
      <x:c r="J102" s="12" t="str">
        <x:v>21:30</x:v>
      </x:c>
      <x:c r="K102" s="12" t="str">
        <x:v>研究生宿舍楼</x:v>
      </x:c>
      <x:c r="L102" s="12" t="str">
        <x:v>研究生宿舍楼发车</x:v>
      </x:c>
      <x:c r="M102" s="12" t="str">
        <x:v>HX2_NORMAL</x:v>
      </x:c>
      <x:c r="N102" s="12" t="n">
        <x:v>1500</x:v>
      </x:c>
      <x:c r="O102" s="12" t="n">
        <x:f>N102/86400</x:f>
        <x:v>0.017361111111111112</x:v>
      </x:c>
      <x:c r="P102" s="12" t="n">
        <x:v>572</x:v>
      </x:c>
      <x:c r="Q102" s="12" t="n">
        <x:v>928</x:v>
      </x:c>
      <x:c r="R102" s="12" t="n">
        <x:f>Q102/86400</x:f>
        <x:v>0.01074074074074074</x:v>
      </x:c>
      <x:c r="S102" s="12" t="str">
        <x:v>通过</x:v>
      </x:c>
      <x:c r="T102" s="12" t="str">
        <x:v>返回同一发车点；建议至少保留约2分钟上下客/等待冗余</x:v>
      </x:c>
    </x:row>
    <x:row r="103">
      <x:c r="A103" s="12" t="str">
        <x:v>工作日</x:v>
      </x:c>
      <x:c r="B103" s="12" t="str">
        <x:v>环线3路</x:v>
      </x:c>
      <x:c r="C103" s="12" t="str">
        <x:v>第一班</x:v>
      </x:c>
      <x:c r="D103" s="12" t="str">
        <x:v>S0109</x:v>
      </x:c>
      <x:c r="E103" s="12" t="str">
        <x:v>7:35</x:v>
      </x:c>
      <x:c r="F103" s="12" t="str">
        <x:v>研究生宿舍楼</x:v>
      </x:c>
      <x:c r="G103" s="12" t="str">
        <x:v>研究生宿舍楼发车</x:v>
      </x:c>
      <x:c r="H103" s="12" t="str">
        <x:v>HX3_NORMAL</x:v>
      </x:c>
      <x:c r="I103" s="12" t="str">
        <x:v>S0110</x:v>
      </x:c>
      <x:c r="J103" s="12" t="str">
        <x:v>8:05</x:v>
      </x:c>
      <x:c r="K103" s="12" t="str">
        <x:v>研究生宿舍楼</x:v>
      </x:c>
      <x:c r="L103" s="12" t="str">
        <x:v>研究生宿舍楼发车</x:v>
      </x:c>
      <x:c r="M103" s="12" t="str">
        <x:v>HX3_NORMAL</x:v>
      </x:c>
      <x:c r="N103" s="12" t="n">
        <x:v>1800</x:v>
      </x:c>
      <x:c r="O103" s="12" t="n">
        <x:f>N103/86400</x:f>
        <x:v>0.020833333333333332</x:v>
      </x:c>
      <x:c r="P103" s="12" t="n">
        <x:v>870</x:v>
      </x:c>
      <x:c r="Q103" s="12" t="n">
        <x:v>930</x:v>
      </x:c>
      <x:c r="R103" s="12" t="n">
        <x:f>Q103/86400</x:f>
        <x:v>0.010763888888888889</x:v>
      </x:c>
      <x:c r="S103" s="12" t="str">
        <x:v>通过</x:v>
      </x:c>
      <x:c r="T103" s="12" t="str">
        <x:v>返回同一发车点；建议至少保留约2分钟上下客/等待冗余</x:v>
      </x:c>
    </x:row>
    <x:row r="104">
      <x:c r="A104" s="12" t="str">
        <x:v>工作日</x:v>
      </x:c>
      <x:c r="B104" s="12" t="str">
        <x:v>环线3路</x:v>
      </x:c>
      <x:c r="C104" s="12" t="str">
        <x:v>第一班</x:v>
      </x:c>
      <x:c r="D104" s="12" t="str">
        <x:v>S0110</x:v>
      </x:c>
      <x:c r="E104" s="12" t="str">
        <x:v>8:05</x:v>
      </x:c>
      <x:c r="F104" s="12" t="str">
        <x:v>研究生宿舍楼</x:v>
      </x:c>
      <x:c r="G104" s="12" t="str">
        <x:v>研究生宿舍楼发车</x:v>
      </x:c>
      <x:c r="H104" s="12" t="str">
        <x:v>HX3_NORMAL</x:v>
      </x:c>
      <x:c r="I104" s="12" t="str">
        <x:v>S0111</x:v>
      </x:c>
      <x:c r="J104" s="12" t="str">
        <x:v>8:35</x:v>
      </x:c>
      <x:c r="K104" s="12" t="str">
        <x:v>研究生宿舍楼</x:v>
      </x:c>
      <x:c r="L104" s="12" t="str">
        <x:v>研究生宿舍楼发车</x:v>
      </x:c>
      <x:c r="M104" s="12" t="str">
        <x:v>HX3_NORMAL</x:v>
      </x:c>
      <x:c r="N104" s="12" t="n">
        <x:v>1800</x:v>
      </x:c>
      <x:c r="O104" s="12" t="n">
        <x:f>N104/86400</x:f>
        <x:v>0.020833333333333332</x:v>
      </x:c>
      <x:c r="P104" s="12" t="n">
        <x:v>870</x:v>
      </x:c>
      <x:c r="Q104" s="12" t="n">
        <x:v>930</x:v>
      </x:c>
      <x:c r="R104" s="12" t="n">
        <x:f>Q104/86400</x:f>
        <x:v>0.010763888888888889</x:v>
      </x:c>
      <x:c r="S104" s="12" t="str">
        <x:v>通过</x:v>
      </x:c>
      <x:c r="T104" s="12" t="str">
        <x:v>返回同一发车点；建议至少保留约2分钟上下客/等待冗余</x:v>
      </x:c>
    </x:row>
    <x:row r="105">
      <x:c r="A105" s="12" t="str">
        <x:v>工作日</x:v>
      </x:c>
      <x:c r="B105" s="12" t="str">
        <x:v>环线3路</x:v>
      </x:c>
      <x:c r="C105" s="12" t="str">
        <x:v>第一班</x:v>
      </x:c>
      <x:c r="D105" s="12" t="str">
        <x:v>S0111</x:v>
      </x:c>
      <x:c r="E105" s="12" t="str">
        <x:v>8:35</x:v>
      </x:c>
      <x:c r="F105" s="12" t="str">
        <x:v>研究生宿舍楼</x:v>
      </x:c>
      <x:c r="G105" s="12" t="str">
        <x:v>研究生宿舍楼发车</x:v>
      </x:c>
      <x:c r="H105" s="12" t="str">
        <x:v>HX3_NORMAL</x:v>
      </x:c>
      <x:c r="I105" s="12" t="str">
        <x:v>S0112</x:v>
      </x:c>
      <x:c r="J105" s="12" t="str">
        <x:v>9:05</x:v>
      </x:c>
      <x:c r="K105" s="12" t="str">
        <x:v>研究生宿舍楼</x:v>
      </x:c>
      <x:c r="L105" s="12" t="str">
        <x:v>研究生宿舍楼发车</x:v>
      </x:c>
      <x:c r="M105" s="12" t="str">
        <x:v>HX3_NORMAL</x:v>
      </x:c>
      <x:c r="N105" s="12" t="n">
        <x:v>1800</x:v>
      </x:c>
      <x:c r="O105" s="12" t="n">
        <x:f>N105/86400</x:f>
        <x:v>0.020833333333333332</x:v>
      </x:c>
      <x:c r="P105" s="12" t="n">
        <x:v>870</x:v>
      </x:c>
      <x:c r="Q105" s="12" t="n">
        <x:v>930</x:v>
      </x:c>
      <x:c r="R105" s="12" t="n">
        <x:f>Q105/86400</x:f>
        <x:v>0.010763888888888889</x:v>
      </x:c>
      <x:c r="S105" s="12" t="str">
        <x:v>通过</x:v>
      </x:c>
      <x:c r="T105" s="12" t="str">
        <x:v>返回同一发车点；建议至少保留约2分钟上下客/等待冗余</x:v>
      </x:c>
    </x:row>
    <x:row r="106">
      <x:c r="A106" s="12" t="str">
        <x:v>工作日</x:v>
      </x:c>
      <x:c r="B106" s="12" t="str">
        <x:v>环线3路</x:v>
      </x:c>
      <x:c r="C106" s="12" t="str">
        <x:v>第一班</x:v>
      </x:c>
      <x:c r="D106" s="12" t="str">
        <x:v>S0112</x:v>
      </x:c>
      <x:c r="E106" s="12" t="str">
        <x:v>9:05</x:v>
      </x:c>
      <x:c r="F106" s="12" t="str">
        <x:v>研究生宿舍楼</x:v>
      </x:c>
      <x:c r="G106" s="12" t="str">
        <x:v>研究生宿舍楼发车</x:v>
      </x:c>
      <x:c r="H106" s="12" t="str">
        <x:v>HX3_NORMAL</x:v>
      </x:c>
      <x:c r="I106" s="12" t="str">
        <x:v>S0113</x:v>
      </x:c>
      <x:c r="J106" s="12" t="str">
        <x:v>10:50</x:v>
      </x:c>
      <x:c r="K106" s="12" t="str">
        <x:v>高超楼（系统工程学院旁）</x:v>
      </x:c>
      <x:c r="L106" s="12" t="str">
        <x:v>高超楼发车</x:v>
      </x:c>
      <x:c r="M106" s="12" t="str">
        <x:v>HX3_GAOCHAO</x:v>
      </x:c>
      <x:c r="N106" s="12" t="n">
        <x:v>6300</x:v>
      </x:c>
      <x:c r="O106" s="12" t="n">
        <x:f>N106/86400</x:f>
        <x:v>0.07291666666666667</x:v>
      </x:c>
      <x:c r="P106" s="12" t="n">
        <x:v>415</x:v>
      </x:c>
      <x:c r="Q106" s="12" t="n">
        <x:v>5885</x:v>
      </x:c>
      <x:c r="R106" s="12" t="n">
        <x:f>Q106/86400</x:f>
        <x:v>0.06811342592592592</x:v>
      </x:c>
      <x:c r="S106" s="12" t="str">
        <x:v>通过</x:v>
      </x:c>
      <x:c r="T106" s="12" t="str">
        <x:v>当前路线途中到达下一发车点：高超楼；建议至少保留约2分钟上下客/等待冗余</x:v>
      </x:c>
    </x:row>
    <x:row r="107">
      <x:c r="A107" s="12" t="str">
        <x:v>工作日</x:v>
      </x:c>
      <x:c r="B107" s="12" t="str">
        <x:v>环线3路</x:v>
      </x:c>
      <x:c r="C107" s="12" t="str">
        <x:v>第一班</x:v>
      </x:c>
      <x:c r="D107" s="12" t="str">
        <x:v>S0113</x:v>
      </x:c>
      <x:c r="E107" s="12" t="str">
        <x:v>10:50</x:v>
      </x:c>
      <x:c r="F107" s="12" t="str">
        <x:v>高超楼（系统工程学院旁）</x:v>
      </x:c>
      <x:c r="G107" s="12" t="str">
        <x:v>高超楼发车</x:v>
      </x:c>
      <x:c r="H107" s="12" t="str">
        <x:v>HX3_GAOCHAO</x:v>
      </x:c>
      <x:c r="I107" s="12" t="str">
        <x:v>S0114</x:v>
      </x:c>
      <x:c r="J107" s="12" t="str">
        <x:v>11:20</x:v>
      </x:c>
      <x:c r="K107" s="12" t="str">
        <x:v>研究生宿舍楼</x:v>
      </x:c>
      <x:c r="L107" s="12" t="str">
        <x:v>研究生宿舍楼发车</x:v>
      </x:c>
      <x:c r="M107" s="12" t="str">
        <x:v>HX3_NORMAL</x:v>
      </x:c>
      <x:c r="N107" s="12" t="n">
        <x:v>1800</x:v>
      </x:c>
      <x:c r="O107" s="12" t="n">
        <x:f>N107/86400</x:f>
        <x:v>0.020833333333333332</x:v>
      </x:c>
      <x:c r="P107" s="12" t="n">
        <x:v>455</x:v>
      </x:c>
      <x:c r="Q107" s="12" t="n">
        <x:v>1345</x:v>
      </x:c>
      <x:c r="R107" s="12" t="n">
        <x:f>Q107/86400</x:f>
        <x:v>0.01556712962962963</x:v>
      </x:c>
      <x:c r="S107" s="12" t="str">
        <x:v>通过</x:v>
      </x:c>
      <x:c r="T107" s="12" t="str">
        <x:v>当前路线途中到达下一发车点：研究生宿舍楼；建议至少保留约2分钟上下客/等待冗余</x:v>
      </x:c>
    </x:row>
    <x:row r="108">
      <x:c r="A108" s="12" t="str">
        <x:v>工作日</x:v>
      </x:c>
      <x:c r="B108" s="12" t="str">
        <x:v>环线3路</x:v>
      </x:c>
      <x:c r="C108" s="12" t="str">
        <x:v>第一班</x:v>
      </x:c>
      <x:c r="D108" s="12" t="str">
        <x:v>S0114</x:v>
      </x:c>
      <x:c r="E108" s="12" t="str">
        <x:v>11:20</x:v>
      </x:c>
      <x:c r="F108" s="12" t="str">
        <x:v>研究生宿舍楼</x:v>
      </x:c>
      <x:c r="G108" s="12" t="str">
        <x:v>研究生宿舍楼发车</x:v>
      </x:c>
      <x:c r="H108" s="12" t="str">
        <x:v>HX3_NORMAL</x:v>
      </x:c>
      <x:c r="I108" s="12" t="str">
        <x:v>S0115</x:v>
      </x:c>
      <x:c r="J108" s="12" t="str">
        <x:v>12:05</x:v>
      </x:c>
      <x:c r="K108" s="12" t="str">
        <x:v>研究生宿舍楼</x:v>
      </x:c>
      <x:c r="L108" s="12" t="str">
        <x:v>研究生宿舍楼发车</x:v>
      </x:c>
      <x:c r="M108" s="12" t="str">
        <x:v>HX3_NORMAL</x:v>
      </x:c>
      <x:c r="N108" s="12" t="n">
        <x:v>2700</x:v>
      </x:c>
      <x:c r="O108" s="12" t="n">
        <x:f>N108/86400</x:f>
        <x:v>0.03125</x:v>
      </x:c>
      <x:c r="P108" s="12" t="n">
        <x:v>870</x:v>
      </x:c>
      <x:c r="Q108" s="12" t="n">
        <x:v>1830</x:v>
      </x:c>
      <x:c r="R108" s="12" t="n">
        <x:f>Q108/86400</x:f>
        <x:v>0.021180555555555557</x:v>
      </x:c>
      <x:c r="S108" s="12" t="str">
        <x:v>通过</x:v>
      </x:c>
      <x:c r="T108" s="12" t="str">
        <x:v>返回同一发车点；建议至少保留约2分钟上下客/等待冗余</x:v>
      </x:c>
    </x:row>
    <x:row r="109">
      <x:c r="A109" s="12" t="str">
        <x:v>工作日</x:v>
      </x:c>
      <x:c r="B109" s="12" t="str">
        <x:v>环线3路</x:v>
      </x:c>
      <x:c r="C109" s="12" t="str">
        <x:v>第一班</x:v>
      </x:c>
      <x:c r="D109" s="12" t="str">
        <x:v>S0115</x:v>
      </x:c>
      <x:c r="E109" s="12" t="str">
        <x:v>12:05</x:v>
      </x:c>
      <x:c r="F109" s="12" t="str">
        <x:v>研究生宿舍楼</x:v>
      </x:c>
      <x:c r="G109" s="12" t="str">
        <x:v>研究生宿舍楼发车</x:v>
      </x:c>
      <x:c r="H109" s="12" t="str">
        <x:v>HX3_NORMAL</x:v>
      </x:c>
      <x:c r="I109" s="12" t="str">
        <x:v>S0116</x:v>
      </x:c>
      <x:c r="J109" s="12" t="str">
        <x:v>14:10</x:v>
      </x:c>
      <x:c r="K109" s="12" t="str">
        <x:v>研究生宿舍楼</x:v>
      </x:c>
      <x:c r="L109" s="12" t="str">
        <x:v>研究生宿舍楼发车</x:v>
      </x:c>
      <x:c r="M109" s="12" t="str">
        <x:v>HX3_NORMAL</x:v>
      </x:c>
      <x:c r="N109" s="12" t="n">
        <x:v>7500</x:v>
      </x:c>
      <x:c r="O109" s="12" t="n">
        <x:f>N109/86400</x:f>
        <x:v>0.08680555555555555</x:v>
      </x:c>
      <x:c r="P109" s="12" t="n">
        <x:v>870</x:v>
      </x:c>
      <x:c r="Q109" s="12" t="n">
        <x:v>6630</x:v>
      </x:c>
      <x:c r="R109" s="12" t="n">
        <x:f>Q109/86400</x:f>
        <x:v>0.07673611111111112</x:v>
      </x:c>
      <x:c r="S109" s="12" t="str">
        <x:v>通过</x:v>
      </x:c>
      <x:c r="T109" s="12" t="str">
        <x:v>返回同一发车点；建议至少保留约2分钟上下客/等待冗余</x:v>
      </x:c>
    </x:row>
    <x:row r="110">
      <x:c r="A110" s="12" t="str">
        <x:v>工作日</x:v>
      </x:c>
      <x:c r="B110" s="12" t="str">
        <x:v>环线3路</x:v>
      </x:c>
      <x:c r="C110" s="12" t="str">
        <x:v>第一班</x:v>
      </x:c>
      <x:c r="D110" s="12" t="str">
        <x:v>S0116</x:v>
      </x:c>
      <x:c r="E110" s="12" t="str">
        <x:v>14:10</x:v>
      </x:c>
      <x:c r="F110" s="12" t="str">
        <x:v>研究生宿舍楼</x:v>
      </x:c>
      <x:c r="G110" s="12" t="str">
        <x:v>研究生宿舍楼发车</x:v>
      </x:c>
      <x:c r="H110" s="12" t="str">
        <x:v>HX3_NORMAL</x:v>
      </x:c>
      <x:c r="I110" s="12" t="str">
        <x:v>S0117</x:v>
      </x:c>
      <x:c r="J110" s="12" t="str">
        <x:v>14:40</x:v>
      </x:c>
      <x:c r="K110" s="12" t="str">
        <x:v>研究生宿舍楼</x:v>
      </x:c>
      <x:c r="L110" s="12" t="str">
        <x:v>研究生宿舍楼发车</x:v>
      </x:c>
      <x:c r="M110" s="12" t="str">
        <x:v>HX3_NORMAL</x:v>
      </x:c>
      <x:c r="N110" s="12" t="n">
        <x:v>1800</x:v>
      </x:c>
      <x:c r="O110" s="12" t="n">
        <x:f>N110/86400</x:f>
        <x:v>0.020833333333333332</x:v>
      </x:c>
      <x:c r="P110" s="12" t="n">
        <x:v>870</x:v>
      </x:c>
      <x:c r="Q110" s="12" t="n">
        <x:v>930</x:v>
      </x:c>
      <x:c r="R110" s="12" t="n">
        <x:f>Q110/86400</x:f>
        <x:v>0.010763888888888889</x:v>
      </x:c>
      <x:c r="S110" s="12" t="str">
        <x:v>通过</x:v>
      </x:c>
      <x:c r="T110" s="12" t="str">
        <x:v>返回同一发车点；建议至少保留约2分钟上下客/等待冗余</x:v>
      </x:c>
    </x:row>
    <x:row r="111">
      <x:c r="A111" s="12" t="str">
        <x:v>工作日</x:v>
      </x:c>
      <x:c r="B111" s="12" t="str">
        <x:v>环线3路</x:v>
      </x:c>
      <x:c r="C111" s="12" t="str">
        <x:v>第一班</x:v>
      </x:c>
      <x:c r="D111" s="12" t="str">
        <x:v>S0117</x:v>
      </x:c>
      <x:c r="E111" s="12" t="str">
        <x:v>14:40</x:v>
      </x:c>
      <x:c r="F111" s="12" t="str">
        <x:v>研究生宿舍楼</x:v>
      </x:c>
      <x:c r="G111" s="12" t="str">
        <x:v>研究生宿舍楼发车</x:v>
      </x:c>
      <x:c r="H111" s="12" t="str">
        <x:v>HX3_NORMAL</x:v>
      </x:c>
      <x:c r="I111" s="12" t="str">
        <x:v>S0118</x:v>
      </x:c>
      <x:c r="J111" s="12" t="str">
        <x:v>15:10</x:v>
      </x:c>
      <x:c r="K111" s="12" t="str">
        <x:v>研究生宿舍楼</x:v>
      </x:c>
      <x:c r="L111" s="12" t="str">
        <x:v>研究生宿舍楼发车</x:v>
      </x:c>
      <x:c r="M111" s="12" t="str">
        <x:v>HX3_NORMAL</x:v>
      </x:c>
      <x:c r="N111" s="12" t="n">
        <x:v>1800</x:v>
      </x:c>
      <x:c r="O111" s="12" t="n">
        <x:f>N111/86400</x:f>
        <x:v>0.020833333333333332</x:v>
      </x:c>
      <x:c r="P111" s="12" t="n">
        <x:v>870</x:v>
      </x:c>
      <x:c r="Q111" s="12" t="n">
        <x:v>930</x:v>
      </x:c>
      <x:c r="R111" s="12" t="n">
        <x:f>Q111/86400</x:f>
        <x:v>0.010763888888888889</x:v>
      </x:c>
      <x:c r="S111" s="12" t="str">
        <x:v>通过</x:v>
      </x:c>
      <x:c r="T111" s="12" t="str">
        <x:v>返回同一发车点；建议至少保留约2分钟上下客/等待冗余</x:v>
      </x:c>
    </x:row>
    <x:row r="112">
      <x:c r="A112" s="12" t="str">
        <x:v>工作日</x:v>
      </x:c>
      <x:c r="B112" s="12" t="str">
        <x:v>环线3路</x:v>
      </x:c>
      <x:c r="C112" s="12" t="str">
        <x:v>第一班</x:v>
      </x:c>
      <x:c r="D112" s="12" t="str">
        <x:v>S0118</x:v>
      </x:c>
      <x:c r="E112" s="12" t="str">
        <x:v>15:10</x:v>
      </x:c>
      <x:c r="F112" s="12" t="str">
        <x:v>研究生宿舍楼</x:v>
      </x:c>
      <x:c r="G112" s="12" t="str">
        <x:v>研究生宿舍楼发车</x:v>
      </x:c>
      <x:c r="H112" s="12" t="str">
        <x:v>HX3_NORMAL</x:v>
      </x:c>
      <x:c r="I112" s="12" t="str">
        <x:v>S0119</x:v>
      </x:c>
      <x:c r="J112" s="12" t="str">
        <x:v>16:00</x:v>
      </x:c>
      <x:c r="K112" s="12" t="str">
        <x:v>研究生宿舍楼</x:v>
      </x:c>
      <x:c r="L112" s="12" t="str">
        <x:v>研究生宿舍楼发车</x:v>
      </x:c>
      <x:c r="M112" s="12" t="str">
        <x:v>HX3_NORMAL</x:v>
      </x:c>
      <x:c r="N112" s="12" t="n">
        <x:v>3000</x:v>
      </x:c>
      <x:c r="O112" s="12" t="n">
        <x:f>N112/86400</x:f>
        <x:v>0.034722222222222224</x:v>
      </x:c>
      <x:c r="P112" s="12" t="n">
        <x:v>870</x:v>
      </x:c>
      <x:c r="Q112" s="12" t="n">
        <x:v>2130</x:v>
      </x:c>
      <x:c r="R112" s="12" t="n">
        <x:f>Q112/86400</x:f>
        <x:v>0.024652777777777777</x:v>
      </x:c>
      <x:c r="S112" s="12" t="str">
        <x:v>通过</x:v>
      </x:c>
      <x:c r="T112" s="12" t="str">
        <x:v>返回同一发车点；建议至少保留约2分钟上下客/等待冗余</x:v>
      </x:c>
    </x:row>
    <x:row r="113">
      <x:c r="A113" s="12" t="str">
        <x:v>工作日</x:v>
      </x:c>
      <x:c r="B113" s="12" t="str">
        <x:v>环线3路</x:v>
      </x:c>
      <x:c r="C113" s="12" t="str">
        <x:v>第一班</x:v>
      </x:c>
      <x:c r="D113" s="12" t="str">
        <x:v>S0119</x:v>
      </x:c>
      <x:c r="E113" s="12" t="str">
        <x:v>16:00</x:v>
      </x:c>
      <x:c r="F113" s="12" t="str">
        <x:v>研究生宿舍楼</x:v>
      </x:c>
      <x:c r="G113" s="12" t="str">
        <x:v>研究生宿舍楼发车</x:v>
      </x:c>
      <x:c r="H113" s="12" t="str">
        <x:v>HX3_NORMAL</x:v>
      </x:c>
      <x:c r="I113" s="12" t="str">
        <x:v>S0120</x:v>
      </x:c>
      <x:c r="J113" s="12" t="str">
        <x:v>16:35</x:v>
      </x:c>
      <x:c r="K113" s="12" t="str">
        <x:v>研究生宿舍楼</x:v>
      </x:c>
      <x:c r="L113" s="12" t="str">
        <x:v>研究生宿舍楼发车</x:v>
      </x:c>
      <x:c r="M113" s="12" t="str">
        <x:v>HX3_NORMAL</x:v>
      </x:c>
      <x:c r="N113" s="12" t="n">
        <x:v>2100</x:v>
      </x:c>
      <x:c r="O113" s="12" t="n">
        <x:f>N113/86400</x:f>
        <x:v>0.024305555555555556</x:v>
      </x:c>
      <x:c r="P113" s="12" t="n">
        <x:v>870</x:v>
      </x:c>
      <x:c r="Q113" s="12" t="n">
        <x:v>1230</x:v>
      </x:c>
      <x:c r="R113" s="12" t="n">
        <x:f>Q113/86400</x:f>
        <x:v>0.01423611111111111</x:v>
      </x:c>
      <x:c r="S113" s="12" t="str">
        <x:v>通过</x:v>
      </x:c>
      <x:c r="T113" s="12" t="str">
        <x:v>返回同一发车点；建议至少保留约2分钟上下客/等待冗余</x:v>
      </x:c>
    </x:row>
    <x:row r="114">
      <x:c r="A114" s="12" t="str">
        <x:v>工作日</x:v>
      </x:c>
      <x:c r="B114" s="12" t="str">
        <x:v>环线3路</x:v>
      </x:c>
      <x:c r="C114" s="12" t="str">
        <x:v>第一班</x:v>
      </x:c>
      <x:c r="D114" s="12" t="str">
        <x:v>S0120</x:v>
      </x:c>
      <x:c r="E114" s="12" t="str">
        <x:v>16:35</x:v>
      </x:c>
      <x:c r="F114" s="12" t="str">
        <x:v>研究生宿舍楼</x:v>
      </x:c>
      <x:c r="G114" s="12" t="str">
        <x:v>研究生宿舍楼发车</x:v>
      </x:c>
      <x:c r="H114" s="12" t="str">
        <x:v>HX3_NORMAL</x:v>
      </x:c>
      <x:c r="I114" s="12" t="str">
        <x:v>S0121</x:v>
      </x:c>
      <x:c r="J114" s="12" t="str">
        <x:v>17:00</x:v>
      </x:c>
      <x:c r="K114" s="12" t="str">
        <x:v>研究生宿舍楼</x:v>
      </x:c>
      <x:c r="L114" s="12" t="str">
        <x:v>研究生宿舍楼发车</x:v>
      </x:c>
      <x:c r="M114" s="12" t="str">
        <x:v>HX3_NORMAL</x:v>
      </x:c>
      <x:c r="N114" s="12" t="n">
        <x:v>1500</x:v>
      </x:c>
      <x:c r="O114" s="12" t="n">
        <x:f>N114/86400</x:f>
        <x:v>0.017361111111111112</x:v>
      </x:c>
      <x:c r="P114" s="12" t="n">
        <x:v>870</x:v>
      </x:c>
      <x:c r="Q114" s="12" t="n">
        <x:v>630</x:v>
      </x:c>
      <x:c r="R114" s="12" t="n">
        <x:f>Q114/86400</x:f>
        <x:v>0.007291666666666667</x:v>
      </x:c>
      <x:c r="S114" s="12" t="str">
        <x:v>通过</x:v>
      </x:c>
      <x:c r="T114" s="12" t="str">
        <x:v>返回同一发车点；建议至少保留约2分钟上下客/等待冗余</x:v>
      </x:c>
    </x:row>
    <x:row r="115">
      <x:c r="A115" s="12" t="str">
        <x:v>工作日</x:v>
      </x:c>
      <x:c r="B115" s="12" t="str">
        <x:v>环线3路</x:v>
      </x:c>
      <x:c r="C115" s="12" t="str">
        <x:v>第三班</x:v>
      </x:c>
      <x:c r="D115" s="12" t="str">
        <x:v>S0122</x:v>
      </x:c>
      <x:c r="E115" s="12" t="str">
        <x:v>7:55</x:v>
      </x:c>
      <x:c r="F115" s="12" t="str">
        <x:v>研究生宿舍楼</x:v>
      </x:c>
      <x:c r="G115" s="12" t="str">
        <x:v>研究生宿舍楼发车</x:v>
      </x:c>
      <x:c r="H115" s="12" t="str">
        <x:v>HX3_NORMAL</x:v>
      </x:c>
      <x:c r="I115" s="12" t="str">
        <x:v>S0123</x:v>
      </x:c>
      <x:c r="J115" s="12" t="str">
        <x:v>8:25</x:v>
      </x:c>
      <x:c r="K115" s="12" t="str">
        <x:v>研究生宿舍楼</x:v>
      </x:c>
      <x:c r="L115" s="12" t="str">
        <x:v>研究生宿舍楼发车</x:v>
      </x:c>
      <x:c r="M115" s="12" t="str">
        <x:v>HX3_NORMAL</x:v>
      </x:c>
      <x:c r="N115" s="12" t="n">
        <x:v>1800</x:v>
      </x:c>
      <x:c r="O115" s="12" t="n">
        <x:f>N115/86400</x:f>
        <x:v>0.020833333333333332</x:v>
      </x:c>
      <x:c r="P115" s="12" t="n">
        <x:v>870</x:v>
      </x:c>
      <x:c r="Q115" s="12" t="n">
        <x:v>930</x:v>
      </x:c>
      <x:c r="R115" s="12" t="n">
        <x:f>Q115/86400</x:f>
        <x:v>0.010763888888888889</x:v>
      </x:c>
      <x:c r="S115" s="12" t="str">
        <x:v>通过</x:v>
      </x:c>
      <x:c r="T115" s="12" t="str">
        <x:v>返回同一发车点；建议至少保留约2分钟上下客/等待冗余</x:v>
      </x:c>
    </x:row>
    <x:row r="116">
      <x:c r="A116" s="12" t="str">
        <x:v>工作日</x:v>
      </x:c>
      <x:c r="B116" s="12" t="str">
        <x:v>环线3路</x:v>
      </x:c>
      <x:c r="C116" s="12" t="str">
        <x:v>第三班</x:v>
      </x:c>
      <x:c r="D116" s="12" t="str">
        <x:v>S0123</x:v>
      </x:c>
      <x:c r="E116" s="12" t="str">
        <x:v>8:25</x:v>
      </x:c>
      <x:c r="F116" s="12" t="str">
        <x:v>研究生宿舍楼</x:v>
      </x:c>
      <x:c r="G116" s="12" t="str">
        <x:v>研究生宿舍楼发车</x:v>
      </x:c>
      <x:c r="H116" s="12" t="str">
        <x:v>HX3_NORMAL</x:v>
      </x:c>
      <x:c r="I116" s="12" t="str">
        <x:v>S0124</x:v>
      </x:c>
      <x:c r="J116" s="12" t="str">
        <x:v>8:55</x:v>
      </x:c>
      <x:c r="K116" s="12" t="str">
        <x:v>研究生宿舍楼</x:v>
      </x:c>
      <x:c r="L116" s="12" t="str">
        <x:v>研究生宿舍楼发车</x:v>
      </x:c>
      <x:c r="M116" s="12" t="str">
        <x:v>HX3_NORMAL</x:v>
      </x:c>
      <x:c r="N116" s="12" t="n">
        <x:v>1800</x:v>
      </x:c>
      <x:c r="O116" s="12" t="n">
        <x:f>N116/86400</x:f>
        <x:v>0.020833333333333332</x:v>
      </x:c>
      <x:c r="P116" s="12" t="n">
        <x:v>870</x:v>
      </x:c>
      <x:c r="Q116" s="12" t="n">
        <x:v>930</x:v>
      </x:c>
      <x:c r="R116" s="12" t="n">
        <x:f>Q116/86400</x:f>
        <x:v>0.010763888888888889</x:v>
      </x:c>
      <x:c r="S116" s="12" t="str">
        <x:v>通过</x:v>
      </x:c>
      <x:c r="T116" s="12" t="str">
        <x:v>返回同一发车点；建议至少保留约2分钟上下客/等待冗余</x:v>
      </x:c>
    </x:row>
    <x:row r="117">
      <x:c r="A117" s="12" t="str">
        <x:v>工作日</x:v>
      </x:c>
      <x:c r="B117" s="12" t="str">
        <x:v>环线3路</x:v>
      </x:c>
      <x:c r="C117" s="12" t="str">
        <x:v>第三班</x:v>
      </x:c>
      <x:c r="D117" s="12" t="str">
        <x:v>S0124</x:v>
      </x:c>
      <x:c r="E117" s="12" t="str">
        <x:v>8:55</x:v>
      </x:c>
      <x:c r="F117" s="12" t="str">
        <x:v>研究生宿舍楼</x:v>
      </x:c>
      <x:c r="G117" s="12" t="str">
        <x:v>研究生宿舍楼发车</x:v>
      </x:c>
      <x:c r="H117" s="12" t="str">
        <x:v>HX3_NORMAL</x:v>
      </x:c>
      <x:c r="I117" s="12" t="str">
        <x:v>S0125</x:v>
      </x:c>
      <x:c r="J117" s="12" t="str">
        <x:v>9:35</x:v>
      </x:c>
      <x:c r="K117" s="12" t="str">
        <x:v>研究生宿舍楼</x:v>
      </x:c>
      <x:c r="L117" s="12" t="str">
        <x:v>研究生宿舍楼发车</x:v>
      </x:c>
      <x:c r="M117" s="12" t="str">
        <x:v>HX3_NORMAL</x:v>
      </x:c>
      <x:c r="N117" s="12" t="n">
        <x:v>2400</x:v>
      </x:c>
      <x:c r="O117" s="12" t="n">
        <x:f>N117/86400</x:f>
        <x:v>0.027777777777777776</x:v>
      </x:c>
      <x:c r="P117" s="12" t="n">
        <x:v>870</x:v>
      </x:c>
      <x:c r="Q117" s="12" t="n">
        <x:v>1530</x:v>
      </x:c>
      <x:c r="R117" s="12" t="n">
        <x:f>Q117/86400</x:f>
        <x:v>0.017708333333333333</x:v>
      </x:c>
      <x:c r="S117" s="12" t="str">
        <x:v>通过</x:v>
      </x:c>
      <x:c r="T117" s="12" t="str">
        <x:v>返回同一发车点；建议至少保留约2分钟上下客/等待冗余</x:v>
      </x:c>
    </x:row>
    <x:row r="118">
      <x:c r="A118" s="12" t="str">
        <x:v>工作日</x:v>
      </x:c>
      <x:c r="B118" s="12" t="str">
        <x:v>环线3路</x:v>
      </x:c>
      <x:c r="C118" s="12" t="str">
        <x:v>第三班</x:v>
      </x:c>
      <x:c r="D118" s="12" t="str">
        <x:v>S0125</x:v>
      </x:c>
      <x:c r="E118" s="12" t="str">
        <x:v>9:35</x:v>
      </x:c>
      <x:c r="F118" s="12" t="str">
        <x:v>研究生宿舍楼</x:v>
      </x:c>
      <x:c r="G118" s="12" t="str">
        <x:v>研究生宿舍楼发车</x:v>
      </x:c>
      <x:c r="H118" s="12" t="str">
        <x:v>HX3_NORMAL</x:v>
      </x:c>
      <x:c r="I118" s="12" t="str">
        <x:v>S0126</x:v>
      </x:c>
      <x:c r="J118" s="12" t="str">
        <x:v>10:10</x:v>
      </x:c>
      <x:c r="K118" s="12" t="str">
        <x:v>研究生宿舍楼</x:v>
      </x:c>
      <x:c r="L118" s="12" t="str">
        <x:v>研究生宿舍楼发车</x:v>
      </x:c>
      <x:c r="M118" s="12" t="str">
        <x:v>HX3_NORMAL</x:v>
      </x:c>
      <x:c r="N118" s="12" t="n">
        <x:v>2100</x:v>
      </x:c>
      <x:c r="O118" s="12" t="n">
        <x:f>N118/86400</x:f>
        <x:v>0.024305555555555556</x:v>
      </x:c>
      <x:c r="P118" s="12" t="n">
        <x:v>870</x:v>
      </x:c>
      <x:c r="Q118" s="12" t="n">
        <x:v>1230</x:v>
      </x:c>
      <x:c r="R118" s="12" t="n">
        <x:f>Q118/86400</x:f>
        <x:v>0.01423611111111111</x:v>
      </x:c>
      <x:c r="S118" s="12" t="str">
        <x:v>通过</x:v>
      </x:c>
      <x:c r="T118" s="12" t="str">
        <x:v>返回同一发车点；建议至少保留约2分钟上下客/等待冗余</x:v>
      </x:c>
    </x:row>
    <x:row r="119">
      <x:c r="A119" s="12" t="str">
        <x:v>工作日</x:v>
      </x:c>
      <x:c r="B119" s="12" t="str">
        <x:v>环线3路</x:v>
      </x:c>
      <x:c r="C119" s="12" t="str">
        <x:v>第三班</x:v>
      </x:c>
      <x:c r="D119" s="12" t="str">
        <x:v>S0126</x:v>
      </x:c>
      <x:c r="E119" s="12" t="str">
        <x:v>10:10</x:v>
      </x:c>
      <x:c r="F119" s="12" t="str">
        <x:v>研究生宿舍楼</x:v>
      </x:c>
      <x:c r="G119" s="12" t="str">
        <x:v>研究生宿舍楼发车</x:v>
      </x:c>
      <x:c r="H119" s="12" t="str">
        <x:v>HX3_NORMAL</x:v>
      </x:c>
      <x:c r="I119" s="12" t="str">
        <x:v>S0127</x:v>
      </x:c>
      <x:c r="J119" s="12" t="str">
        <x:v>10:45</x:v>
      </x:c>
      <x:c r="K119" s="12" t="str">
        <x:v>高超楼（系统工程学院旁）</x:v>
      </x:c>
      <x:c r="L119" s="12" t="str">
        <x:v>高超楼发车</x:v>
      </x:c>
      <x:c r="M119" s="12" t="str">
        <x:v>HX3_GAOCHAO</x:v>
      </x:c>
      <x:c r="N119" s="12" t="n">
        <x:v>2100</x:v>
      </x:c>
      <x:c r="O119" s="12" t="n">
        <x:f>N119/86400</x:f>
        <x:v>0.024305555555555556</x:v>
      </x:c>
      <x:c r="P119" s="12" t="n">
        <x:v>415</x:v>
      </x:c>
      <x:c r="Q119" s="12" t="n">
        <x:v>1685</x:v>
      </x:c>
      <x:c r="R119" s="12" t="n">
        <x:f>Q119/86400</x:f>
        <x:v>0.019502314814814816</x:v>
      </x:c>
      <x:c r="S119" s="12" t="str">
        <x:v>通过</x:v>
      </x:c>
      <x:c r="T119" s="12" t="str">
        <x:v>当前路线途中到达下一发车点：高超楼；建议至少保留约2分钟上下客/等待冗余</x:v>
      </x:c>
    </x:row>
    <x:row r="120">
      <x:c r="A120" s="12" t="str">
        <x:v>工作日</x:v>
      </x:c>
      <x:c r="B120" s="12" t="str">
        <x:v>环线3路</x:v>
      </x:c>
      <x:c r="C120" s="12" t="str">
        <x:v>第三班</x:v>
      </x:c>
      <x:c r="D120" s="12" t="str">
        <x:v>S0127</x:v>
      </x:c>
      <x:c r="E120" s="12" t="str">
        <x:v>10:45</x:v>
      </x:c>
      <x:c r="F120" s="12" t="str">
        <x:v>高超楼（系统工程学院旁）</x:v>
      </x:c>
      <x:c r="G120" s="12" t="str">
        <x:v>高超楼发车</x:v>
      </x:c>
      <x:c r="H120" s="12" t="str">
        <x:v>HX3_GAOCHAO</x:v>
      </x:c>
      <x:c r="I120" s="12" t="str">
        <x:v>S0128</x:v>
      </x:c>
      <x:c r="J120" s="12" t="str">
        <x:v>11:35</x:v>
      </x:c>
      <x:c r="K120" s="12" t="str">
        <x:v>研究生宿舍楼</x:v>
      </x:c>
      <x:c r="L120" s="12" t="str">
        <x:v>研究生宿舍楼发车</x:v>
      </x:c>
      <x:c r="M120" s="12" t="str">
        <x:v>HX3_NORMAL</x:v>
      </x:c>
      <x:c r="N120" s="12" t="n">
        <x:v>3000</x:v>
      </x:c>
      <x:c r="O120" s="12" t="n">
        <x:f>N120/86400</x:f>
        <x:v>0.034722222222222224</x:v>
      </x:c>
      <x:c r="P120" s="12" t="n">
        <x:v>455</x:v>
      </x:c>
      <x:c r="Q120" s="12" t="n">
        <x:v>2545</x:v>
      </x:c>
      <x:c r="R120" s="12" t="n">
        <x:f>Q120/86400</x:f>
        <x:v>0.029456018518518517</x:v>
      </x:c>
      <x:c r="S120" s="12" t="str">
        <x:v>通过</x:v>
      </x:c>
      <x:c r="T120" s="12" t="str">
        <x:v>当前路线途中到达下一发车点：研究生宿舍楼；建议至少保留约2分钟上下客/等待冗余</x:v>
      </x:c>
    </x:row>
    <x:row r="121">
      <x:c r="A121" s="12" t="str">
        <x:v>工作日</x:v>
      </x:c>
      <x:c r="B121" s="12" t="str">
        <x:v>环线3路</x:v>
      </x:c>
      <x:c r="C121" s="12" t="str">
        <x:v>第三班</x:v>
      </x:c>
      <x:c r="D121" s="12" t="str">
        <x:v>S0128</x:v>
      </x:c>
      <x:c r="E121" s="12" t="str">
        <x:v>11:35</x:v>
      </x:c>
      <x:c r="F121" s="12" t="str">
        <x:v>研究生宿舍楼</x:v>
      </x:c>
      <x:c r="G121" s="12" t="str">
        <x:v>研究生宿舍楼发车</x:v>
      </x:c>
      <x:c r="H121" s="12" t="str">
        <x:v>HX3_NORMAL</x:v>
      </x:c>
      <x:c r="I121" s="12" t="str">
        <x:v>S0129</x:v>
      </x:c>
      <x:c r="J121" s="12" t="str">
        <x:v>12:20</x:v>
      </x:c>
      <x:c r="K121" s="12" t="str">
        <x:v>研究生宿舍楼</x:v>
      </x:c>
      <x:c r="L121" s="12" t="str">
        <x:v>研究生宿舍楼发车</x:v>
      </x:c>
      <x:c r="M121" s="12" t="str">
        <x:v>HX3_NORMAL</x:v>
      </x:c>
      <x:c r="N121" s="12" t="n">
        <x:v>2700</x:v>
      </x:c>
      <x:c r="O121" s="12" t="n">
        <x:f>N121/86400</x:f>
        <x:v>0.03125</x:v>
      </x:c>
      <x:c r="P121" s="12" t="n">
        <x:v>870</x:v>
      </x:c>
      <x:c r="Q121" s="12" t="n">
        <x:v>1830</x:v>
      </x:c>
      <x:c r="R121" s="12" t="n">
        <x:f>Q121/86400</x:f>
        <x:v>0.021180555555555557</x:v>
      </x:c>
      <x:c r="S121" s="12" t="str">
        <x:v>通过</x:v>
      </x:c>
      <x:c r="T121" s="12" t="str">
        <x:v>返回同一发车点；建议至少保留约2分钟上下客/等待冗余</x:v>
      </x:c>
    </x:row>
    <x:row r="122">
      <x:c r="A122" s="12" t="str">
        <x:v>工作日</x:v>
      </x:c>
      <x:c r="B122" s="12" t="str">
        <x:v>环线3路</x:v>
      </x:c>
      <x:c r="C122" s="12" t="str">
        <x:v>第三班</x:v>
      </x:c>
      <x:c r="D122" s="12" t="str">
        <x:v>S0129</x:v>
      </x:c>
      <x:c r="E122" s="12" t="str">
        <x:v>12:20</x:v>
      </x:c>
      <x:c r="F122" s="12" t="str">
        <x:v>研究生宿舍楼</x:v>
      </x:c>
      <x:c r="G122" s="12" t="str">
        <x:v>研究生宿舍楼发车</x:v>
      </x:c>
      <x:c r="H122" s="12" t="str">
        <x:v>HX3_NORMAL</x:v>
      </x:c>
      <x:c r="I122" s="12" t="str">
        <x:v>S0130</x:v>
      </x:c>
      <x:c r="J122" s="12" t="str">
        <x:v>14:25</x:v>
      </x:c>
      <x:c r="K122" s="12" t="str">
        <x:v>研究生宿舍楼</x:v>
      </x:c>
      <x:c r="L122" s="12" t="str">
        <x:v>研究生宿舍楼发车</x:v>
      </x:c>
      <x:c r="M122" s="12" t="str">
        <x:v>HX3_NORMAL</x:v>
      </x:c>
      <x:c r="N122" s="12" t="n">
        <x:v>7500</x:v>
      </x:c>
      <x:c r="O122" s="12" t="n">
        <x:f>N122/86400</x:f>
        <x:v>0.08680555555555555</x:v>
      </x:c>
      <x:c r="P122" s="12" t="n">
        <x:v>870</x:v>
      </x:c>
      <x:c r="Q122" s="12" t="n">
        <x:v>6630</x:v>
      </x:c>
      <x:c r="R122" s="12" t="n">
        <x:f>Q122/86400</x:f>
        <x:v>0.07673611111111112</x:v>
      </x:c>
      <x:c r="S122" s="12" t="str">
        <x:v>通过</x:v>
      </x:c>
      <x:c r="T122" s="12" t="str">
        <x:v>返回同一发车点；建议至少保留约2分钟上下客/等待冗余</x:v>
      </x:c>
    </x:row>
    <x:row r="123">
      <x:c r="A123" s="12" t="str">
        <x:v>工作日</x:v>
      </x:c>
      <x:c r="B123" s="12" t="str">
        <x:v>环线3路</x:v>
      </x:c>
      <x:c r="C123" s="12" t="str">
        <x:v>第三班</x:v>
      </x:c>
      <x:c r="D123" s="12" t="str">
        <x:v>S0130</x:v>
      </x:c>
      <x:c r="E123" s="12" t="str">
        <x:v>14:25</x:v>
      </x:c>
      <x:c r="F123" s="12" t="str">
        <x:v>研究生宿舍楼</x:v>
      </x:c>
      <x:c r="G123" s="12" t="str">
        <x:v>研究生宿舍楼发车</x:v>
      </x:c>
      <x:c r="H123" s="12" t="str">
        <x:v>HX3_NORMAL</x:v>
      </x:c>
      <x:c r="I123" s="12" t="str">
        <x:v>S0131</x:v>
      </x:c>
      <x:c r="J123" s="12" t="str">
        <x:v>15:00</x:v>
      </x:c>
      <x:c r="K123" s="12" t="str">
        <x:v>研究生宿舍楼</x:v>
      </x:c>
      <x:c r="L123" s="12" t="str">
        <x:v>研究生宿舍楼发车</x:v>
      </x:c>
      <x:c r="M123" s="12" t="str">
        <x:v>HX3_NORMAL</x:v>
      </x:c>
      <x:c r="N123" s="12" t="n">
        <x:v>2100</x:v>
      </x:c>
      <x:c r="O123" s="12" t="n">
        <x:f>N123/86400</x:f>
        <x:v>0.024305555555555556</x:v>
      </x:c>
      <x:c r="P123" s="12" t="n">
        <x:v>870</x:v>
      </x:c>
      <x:c r="Q123" s="12" t="n">
        <x:v>1230</x:v>
      </x:c>
      <x:c r="R123" s="12" t="n">
        <x:f>Q123/86400</x:f>
        <x:v>0.01423611111111111</x:v>
      </x:c>
      <x:c r="S123" s="12" t="str">
        <x:v>通过</x:v>
      </x:c>
      <x:c r="T123" s="12" t="str">
        <x:v>返回同一发车点；建议至少保留约2分钟上下客/等待冗余</x:v>
      </x:c>
    </x:row>
    <x:row r="124">
      <x:c r="A124" s="12" t="str">
        <x:v>工作日</x:v>
      </x:c>
      <x:c r="B124" s="12" t="str">
        <x:v>环线3路</x:v>
      </x:c>
      <x:c r="C124" s="12" t="str">
        <x:v>第三班</x:v>
      </x:c>
      <x:c r="D124" s="12" t="str">
        <x:v>S0131</x:v>
      </x:c>
      <x:c r="E124" s="12" t="str">
        <x:v>15:00</x:v>
      </x:c>
      <x:c r="F124" s="12" t="str">
        <x:v>研究生宿舍楼</x:v>
      </x:c>
      <x:c r="G124" s="12" t="str">
        <x:v>研究生宿舍楼发车</x:v>
      </x:c>
      <x:c r="H124" s="12" t="str">
        <x:v>HX3_NORMAL</x:v>
      </x:c>
      <x:c r="I124" s="12" t="str">
        <x:v>S0132</x:v>
      </x:c>
      <x:c r="J124" s="12" t="str">
        <x:v>15:45</x:v>
      </x:c>
      <x:c r="K124" s="12" t="str">
        <x:v>研究生宿舍楼</x:v>
      </x:c>
      <x:c r="L124" s="12" t="str">
        <x:v>研究生宿舍楼发车</x:v>
      </x:c>
      <x:c r="M124" s="12" t="str">
        <x:v>HX3_NORMAL</x:v>
      </x:c>
      <x:c r="N124" s="12" t="n">
        <x:v>2700</x:v>
      </x:c>
      <x:c r="O124" s="12" t="n">
        <x:f>N124/86400</x:f>
        <x:v>0.03125</x:v>
      </x:c>
      <x:c r="P124" s="12" t="n">
        <x:v>870</x:v>
      </x:c>
      <x:c r="Q124" s="12" t="n">
        <x:v>1830</x:v>
      </x:c>
      <x:c r="R124" s="12" t="n">
        <x:f>Q124/86400</x:f>
        <x:v>0.021180555555555557</x:v>
      </x:c>
      <x:c r="S124" s="12" t="str">
        <x:v>通过</x:v>
      </x:c>
      <x:c r="T124" s="12" t="str">
        <x:v>返回同一发车点；建议至少保留约2分钟上下客/等待冗余</x:v>
      </x:c>
    </x:row>
    <x:row r="125">
      <x:c r="A125" s="12" t="str">
        <x:v>工作日</x:v>
      </x:c>
      <x:c r="B125" s="12" t="str">
        <x:v>环线3路</x:v>
      </x:c>
      <x:c r="C125" s="12" t="str">
        <x:v>第三班</x:v>
      </x:c>
      <x:c r="D125" s="12" t="str">
        <x:v>S0132</x:v>
      </x:c>
      <x:c r="E125" s="12" t="str">
        <x:v>15:45</x:v>
      </x:c>
      <x:c r="F125" s="12" t="str">
        <x:v>研究生宿舍楼</x:v>
      </x:c>
      <x:c r="G125" s="12" t="str">
        <x:v>研究生宿舍楼发车</x:v>
      </x:c>
      <x:c r="H125" s="12" t="str">
        <x:v>HX3_NORMAL</x:v>
      </x:c>
      <x:c r="I125" s="12" t="str">
        <x:v>S0133</x:v>
      </x:c>
      <x:c r="J125" s="12" t="str">
        <x:v>17:10</x:v>
      </x:c>
      <x:c r="K125" s="12" t="str">
        <x:v>研究生宿舍楼</x:v>
      </x:c>
      <x:c r="L125" s="12" t="str">
        <x:v>研究生宿舍楼发车</x:v>
      </x:c>
      <x:c r="M125" s="12" t="str">
        <x:v>HX3_NORMAL</x:v>
      </x:c>
      <x:c r="N125" s="12" t="n">
        <x:v>5100</x:v>
      </x:c>
      <x:c r="O125" s="12" t="n">
        <x:f>N125/86400</x:f>
        <x:v>0.059027777777777776</x:v>
      </x:c>
      <x:c r="P125" s="12" t="n">
        <x:v>870</x:v>
      </x:c>
      <x:c r="Q125" s="12" t="n">
        <x:v>4230</x:v>
      </x:c>
      <x:c r="R125" s="12" t="n">
        <x:f>Q125/86400</x:f>
        <x:v>0.04895833333333333</x:v>
      </x:c>
      <x:c r="S125" s="12" t="str">
        <x:v>通过</x:v>
      </x:c>
      <x:c r="T125" s="12" t="str">
        <x:v>返回同一发车点；建议至少保留约2分钟上下客/等待冗余</x:v>
      </x:c>
    </x:row>
    <x:row r="126">
      <x:c r="A126" s="12" t="str">
        <x:v>工作日</x:v>
      </x:c>
      <x:c r="B126" s="12" t="str">
        <x:v>环线3路</x:v>
      </x:c>
      <x:c r="C126" s="12" t="str">
        <x:v>第三班</x:v>
      </x:c>
      <x:c r="D126" s="12" t="str">
        <x:v>S0133</x:v>
      </x:c>
      <x:c r="E126" s="12" t="str">
        <x:v>17:10</x:v>
      </x:c>
      <x:c r="F126" s="12" t="str">
        <x:v>研究生宿舍楼</x:v>
      </x:c>
      <x:c r="G126" s="12" t="str">
        <x:v>研究生宿舍楼发车</x:v>
      </x:c>
      <x:c r="H126" s="12" t="str">
        <x:v>HX3_NORMAL</x:v>
      </x:c>
      <x:c r="I126" s="12" t="str">
        <x:v>S0134</x:v>
      </x:c>
      <x:c r="J126" s="12" t="str">
        <x:v>17:40</x:v>
      </x:c>
      <x:c r="K126" s="12" t="str">
        <x:v>研究生宿舍楼</x:v>
      </x:c>
      <x:c r="L126" s="12" t="str">
        <x:v>研究生宿舍楼发车</x:v>
      </x:c>
      <x:c r="M126" s="12" t="str">
        <x:v>HX3_NORMAL</x:v>
      </x:c>
      <x:c r="N126" s="12" t="n">
        <x:v>1800</x:v>
      </x:c>
      <x:c r="O126" s="12" t="n">
        <x:f>N126/86400</x:f>
        <x:v>0.020833333333333332</x:v>
      </x:c>
      <x:c r="P126" s="12" t="n">
        <x:v>870</x:v>
      </x:c>
      <x:c r="Q126" s="12" t="n">
        <x:v>930</x:v>
      </x:c>
      <x:c r="R126" s="12" t="n">
        <x:f>Q126/86400</x:f>
        <x:v>0.010763888888888889</x:v>
      </x:c>
      <x:c r="S126" s="12" t="str">
        <x:v>通过</x:v>
      </x:c>
      <x:c r="T126" s="12" t="str">
        <x:v>返回同一发车点；建议至少保留约2分钟上下客/等待冗余</x:v>
      </x:c>
    </x:row>
    <x:row r="127">
      <x:c r="A127" s="12" t="str">
        <x:v>工作日</x:v>
      </x:c>
      <x:c r="B127" s="12" t="str">
        <x:v>环线3路</x:v>
      </x:c>
      <x:c r="C127" s="12" t="str">
        <x:v>第二班</x:v>
      </x:c>
      <x:c r="D127" s="12" t="str">
        <x:v>S0135</x:v>
      </x:c>
      <x:c r="E127" s="12" t="str">
        <x:v>7:45</x:v>
      </x:c>
      <x:c r="F127" s="12" t="str">
        <x:v>研究生宿舍楼</x:v>
      </x:c>
      <x:c r="G127" s="12" t="str">
        <x:v>研究生宿舍楼发车</x:v>
      </x:c>
      <x:c r="H127" s="12" t="str">
        <x:v>HX3_NORMAL</x:v>
      </x:c>
      <x:c r="I127" s="12" t="str">
        <x:v>S0136</x:v>
      </x:c>
      <x:c r="J127" s="12" t="str">
        <x:v>8:15</x:v>
      </x:c>
      <x:c r="K127" s="12" t="str">
        <x:v>研究生宿舍楼</x:v>
      </x:c>
      <x:c r="L127" s="12" t="str">
        <x:v>研究生宿舍楼发车</x:v>
      </x:c>
      <x:c r="M127" s="12" t="str">
        <x:v>HX3_NORMAL</x:v>
      </x:c>
      <x:c r="N127" s="12" t="n">
        <x:v>1800</x:v>
      </x:c>
      <x:c r="O127" s="12" t="n">
        <x:f>N127/86400</x:f>
        <x:v>0.020833333333333332</x:v>
      </x:c>
      <x:c r="P127" s="12" t="n">
        <x:v>870</x:v>
      </x:c>
      <x:c r="Q127" s="12" t="n">
        <x:v>930</x:v>
      </x:c>
      <x:c r="R127" s="12" t="n">
        <x:f>Q127/86400</x:f>
        <x:v>0.010763888888888889</x:v>
      </x:c>
      <x:c r="S127" s="12" t="str">
        <x:v>通过</x:v>
      </x:c>
      <x:c r="T127" s="12" t="str">
        <x:v>返回同一发车点；建议至少保留约2分钟上下客/等待冗余</x:v>
      </x:c>
    </x:row>
    <x:row r="128">
      <x:c r="A128" s="12" t="str">
        <x:v>工作日</x:v>
      </x:c>
      <x:c r="B128" s="12" t="str">
        <x:v>环线3路</x:v>
      </x:c>
      <x:c r="C128" s="12" t="str">
        <x:v>第二班</x:v>
      </x:c>
      <x:c r="D128" s="12" t="str">
        <x:v>S0136</x:v>
      </x:c>
      <x:c r="E128" s="12" t="str">
        <x:v>8:15</x:v>
      </x:c>
      <x:c r="F128" s="12" t="str">
        <x:v>研究生宿舍楼</x:v>
      </x:c>
      <x:c r="G128" s="12" t="str">
        <x:v>研究生宿舍楼发车</x:v>
      </x:c>
      <x:c r="H128" s="12" t="str">
        <x:v>HX3_NORMAL</x:v>
      </x:c>
      <x:c r="I128" s="12" t="str">
        <x:v>S0137</x:v>
      </x:c>
      <x:c r="J128" s="12" t="str">
        <x:v>8:45</x:v>
      </x:c>
      <x:c r="K128" s="12" t="str">
        <x:v>研究生宿舍楼</x:v>
      </x:c>
      <x:c r="L128" s="12" t="str">
        <x:v>研究生宿舍楼发车</x:v>
      </x:c>
      <x:c r="M128" s="12" t="str">
        <x:v>HX3_NORMAL</x:v>
      </x:c>
      <x:c r="N128" s="12" t="n">
        <x:v>1800</x:v>
      </x:c>
      <x:c r="O128" s="12" t="n">
        <x:f>N128/86400</x:f>
        <x:v>0.020833333333333332</x:v>
      </x:c>
      <x:c r="P128" s="12" t="n">
        <x:v>870</x:v>
      </x:c>
      <x:c r="Q128" s="12" t="n">
        <x:v>930</x:v>
      </x:c>
      <x:c r="R128" s="12" t="n">
        <x:f>Q128/86400</x:f>
        <x:v>0.010763888888888889</x:v>
      </x:c>
      <x:c r="S128" s="12" t="str">
        <x:v>通过</x:v>
      </x:c>
      <x:c r="T128" s="12" t="str">
        <x:v>返回同一发车点；建议至少保留约2分钟上下客/等待冗余</x:v>
      </x:c>
    </x:row>
    <x:row r="129">
      <x:c r="A129" s="12" t="str">
        <x:v>工作日</x:v>
      </x:c>
      <x:c r="B129" s="12" t="str">
        <x:v>环线3路</x:v>
      </x:c>
      <x:c r="C129" s="12" t="str">
        <x:v>第二班</x:v>
      </x:c>
      <x:c r="D129" s="12" t="str">
        <x:v>S0137</x:v>
      </x:c>
      <x:c r="E129" s="12" t="str">
        <x:v>8:45</x:v>
      </x:c>
      <x:c r="F129" s="12" t="str">
        <x:v>研究生宿舍楼</x:v>
      </x:c>
      <x:c r="G129" s="12" t="str">
        <x:v>研究生宿舍楼发车</x:v>
      </x:c>
      <x:c r="H129" s="12" t="str">
        <x:v>HX3_NORMAL</x:v>
      </x:c>
      <x:c r="I129" s="12" t="str">
        <x:v>S0138</x:v>
      </x:c>
      <x:c r="J129" s="12" t="str">
        <x:v>9:20</x:v>
      </x:c>
      <x:c r="K129" s="12" t="str">
        <x:v>研究生宿舍楼</x:v>
      </x:c>
      <x:c r="L129" s="12" t="str">
        <x:v>研究生宿舍楼发车</x:v>
      </x:c>
      <x:c r="M129" s="12" t="str">
        <x:v>HX3_NORMAL</x:v>
      </x:c>
      <x:c r="N129" s="12" t="n">
        <x:v>2100</x:v>
      </x:c>
      <x:c r="O129" s="12" t="n">
        <x:f>N129/86400</x:f>
        <x:v>0.024305555555555556</x:v>
      </x:c>
      <x:c r="P129" s="12" t="n">
        <x:v>870</x:v>
      </x:c>
      <x:c r="Q129" s="12" t="n">
        <x:v>1230</x:v>
      </x:c>
      <x:c r="R129" s="12" t="n">
        <x:f>Q129/86400</x:f>
        <x:v>0.01423611111111111</x:v>
      </x:c>
      <x:c r="S129" s="12" t="str">
        <x:v>通过</x:v>
      </x:c>
      <x:c r="T129" s="12" t="str">
        <x:v>返回同一发车点；建议至少保留约2分钟上下客/等待冗余</x:v>
      </x:c>
    </x:row>
    <x:row r="130">
      <x:c r="A130" s="12" t="str">
        <x:v>工作日</x:v>
      </x:c>
      <x:c r="B130" s="12" t="str">
        <x:v>环线3路</x:v>
      </x:c>
      <x:c r="C130" s="12" t="str">
        <x:v>第二班</x:v>
      </x:c>
      <x:c r="D130" s="12" t="str">
        <x:v>S0138</x:v>
      </x:c>
      <x:c r="E130" s="12" t="str">
        <x:v>9:20</x:v>
      </x:c>
      <x:c r="F130" s="12" t="str">
        <x:v>研究生宿舍楼</x:v>
      </x:c>
      <x:c r="G130" s="12" t="str">
        <x:v>研究生宿舍楼发车</x:v>
      </x:c>
      <x:c r="H130" s="12" t="str">
        <x:v>HX3_NORMAL</x:v>
      </x:c>
      <x:c r="I130" s="12" t="str">
        <x:v>S0139</x:v>
      </x:c>
      <x:c r="J130" s="12" t="str">
        <x:v>9:50</x:v>
      </x:c>
      <x:c r="K130" s="12" t="str">
        <x:v>研究生宿舍楼</x:v>
      </x:c>
      <x:c r="L130" s="12" t="str">
        <x:v>研究生宿舍楼发车</x:v>
      </x:c>
      <x:c r="M130" s="12" t="str">
        <x:v>HX3_NORMAL</x:v>
      </x:c>
      <x:c r="N130" s="12" t="n">
        <x:v>1800</x:v>
      </x:c>
      <x:c r="O130" s="12" t="n">
        <x:f>N130/86400</x:f>
        <x:v>0.020833333333333332</x:v>
      </x:c>
      <x:c r="P130" s="12" t="n">
        <x:v>870</x:v>
      </x:c>
      <x:c r="Q130" s="12" t="n">
        <x:v>930</x:v>
      </x:c>
      <x:c r="R130" s="12" t="n">
        <x:f>Q130/86400</x:f>
        <x:v>0.010763888888888889</x:v>
      </x:c>
      <x:c r="S130" s="12" t="str">
        <x:v>通过</x:v>
      </x:c>
      <x:c r="T130" s="12" t="str">
        <x:v>返回同一发车点；建议至少保留约2分钟上下客/等待冗余</x:v>
      </x:c>
    </x:row>
    <x:row r="131">
      <x:c r="A131" s="12" t="str">
        <x:v>工作日</x:v>
      </x:c>
      <x:c r="B131" s="12" t="str">
        <x:v>环线3路</x:v>
      </x:c>
      <x:c r="C131" s="12" t="str">
        <x:v>第二班</x:v>
      </x:c>
      <x:c r="D131" s="12" t="str">
        <x:v>S0139</x:v>
      </x:c>
      <x:c r="E131" s="12" t="str">
        <x:v>9:50</x:v>
      </x:c>
      <x:c r="F131" s="12" t="str">
        <x:v>研究生宿舍楼</x:v>
      </x:c>
      <x:c r="G131" s="12" t="str">
        <x:v>研究生宿舍楼发车</x:v>
      </x:c>
      <x:c r="H131" s="12" t="str">
        <x:v>HX3_NORMAL</x:v>
      </x:c>
      <x:c r="I131" s="12" t="str">
        <x:v>S0140</x:v>
      </x:c>
      <x:c r="J131" s="12" t="str">
        <x:v>10:30</x:v>
      </x:c>
      <x:c r="K131" s="12" t="str">
        <x:v>研究生宿舍楼</x:v>
      </x:c>
      <x:c r="L131" s="12" t="str">
        <x:v>研究生宿舍楼发车</x:v>
      </x:c>
      <x:c r="M131" s="12" t="str">
        <x:v>HX3_NORMAL</x:v>
      </x:c>
      <x:c r="N131" s="12" t="n">
        <x:v>2400</x:v>
      </x:c>
      <x:c r="O131" s="12" t="n">
        <x:f>N131/86400</x:f>
        <x:v>0.027777777777777776</x:v>
      </x:c>
      <x:c r="P131" s="12" t="n">
        <x:v>870</x:v>
      </x:c>
      <x:c r="Q131" s="12" t="n">
        <x:v>1530</x:v>
      </x:c>
      <x:c r="R131" s="12" t="n">
        <x:f>Q131/86400</x:f>
        <x:v>0.017708333333333333</x:v>
      </x:c>
      <x:c r="S131" s="12" t="str">
        <x:v>通过</x:v>
      </x:c>
      <x:c r="T131" s="12" t="str">
        <x:v>返回同一发车点；建议至少保留约2分钟上下客/等待冗余</x:v>
      </x:c>
    </x:row>
    <x:row r="132">
      <x:c r="A132" s="12" t="str">
        <x:v>工作日</x:v>
      </x:c>
      <x:c r="B132" s="12" t="str">
        <x:v>环线3路</x:v>
      </x:c>
      <x:c r="C132" s="12" t="str">
        <x:v>第二班</x:v>
      </x:c>
      <x:c r="D132" s="12" t="str">
        <x:v>S0140</x:v>
      </x:c>
      <x:c r="E132" s="12" t="str">
        <x:v>10:30</x:v>
      </x:c>
      <x:c r="F132" s="12" t="str">
        <x:v>研究生宿舍楼</x:v>
      </x:c>
      <x:c r="G132" s="12" t="str">
        <x:v>研究生宿舍楼发车</x:v>
      </x:c>
      <x:c r="H132" s="12" t="str">
        <x:v>HX3_NORMAL</x:v>
      </x:c>
      <x:c r="I132" s="12" t="str">
        <x:v>S0141</x:v>
      </x:c>
      <x:c r="J132" s="12" t="str">
        <x:v>11:00</x:v>
      </x:c>
      <x:c r="K132" s="12" t="str">
        <x:v>研究生宿舍楼</x:v>
      </x:c>
      <x:c r="L132" s="12" t="str">
        <x:v>研究生宿舍楼发车</x:v>
      </x:c>
      <x:c r="M132" s="12" t="str">
        <x:v>HX3_NORMAL</x:v>
      </x:c>
      <x:c r="N132" s="12" t="n">
        <x:v>1800</x:v>
      </x:c>
      <x:c r="O132" s="12" t="n">
        <x:f>N132/86400</x:f>
        <x:v>0.020833333333333332</x:v>
      </x:c>
      <x:c r="P132" s="12" t="n">
        <x:v>870</x:v>
      </x:c>
      <x:c r="Q132" s="12" t="n">
        <x:v>930</x:v>
      </x:c>
      <x:c r="R132" s="12" t="n">
        <x:f>Q132/86400</x:f>
        <x:v>0.010763888888888889</x:v>
      </x:c>
      <x:c r="S132" s="12" t="str">
        <x:v>通过</x:v>
      </x:c>
      <x:c r="T132" s="12" t="str">
        <x:v>返回同一发车点；建议至少保留约2分钟上下客/等待冗余</x:v>
      </x:c>
    </x:row>
    <x:row r="133">
      <x:c r="A133" s="12" t="str">
        <x:v>工作日</x:v>
      </x:c>
      <x:c r="B133" s="12" t="str">
        <x:v>环线3路</x:v>
      </x:c>
      <x:c r="C133" s="12" t="str">
        <x:v>第二班</x:v>
      </x:c>
      <x:c r="D133" s="12" t="str">
        <x:v>S0141</x:v>
      </x:c>
      <x:c r="E133" s="12" t="str">
        <x:v>11:00</x:v>
      </x:c>
      <x:c r="F133" s="12" t="str">
        <x:v>研究生宿舍楼</x:v>
      </x:c>
      <x:c r="G133" s="12" t="str">
        <x:v>研究生宿舍楼发车</x:v>
      </x:c>
      <x:c r="H133" s="12" t="str">
        <x:v>HX3_NORMAL</x:v>
      </x:c>
      <x:c r="I133" s="12" t="str">
        <x:v>S0142</x:v>
      </x:c>
      <x:c r="J133" s="12" t="str">
        <x:v>11:45</x:v>
      </x:c>
      <x:c r="K133" s="12" t="str">
        <x:v>研究生宿舍楼</x:v>
      </x:c>
      <x:c r="L133" s="12" t="str">
        <x:v>研究生宿舍楼发车</x:v>
      </x:c>
      <x:c r="M133" s="12" t="str">
        <x:v>HX3_NORMAL</x:v>
      </x:c>
      <x:c r="N133" s="12" t="n">
        <x:v>2700</x:v>
      </x:c>
      <x:c r="O133" s="12" t="n">
        <x:f>N133/86400</x:f>
        <x:v>0.03125</x:v>
      </x:c>
      <x:c r="P133" s="12" t="n">
        <x:v>870</x:v>
      </x:c>
      <x:c r="Q133" s="12" t="n">
        <x:v>1830</x:v>
      </x:c>
      <x:c r="R133" s="12" t="n">
        <x:f>Q133/86400</x:f>
        <x:v>0.021180555555555557</x:v>
      </x:c>
      <x:c r="S133" s="12" t="str">
        <x:v>通过</x:v>
      </x:c>
      <x:c r="T133" s="12" t="str">
        <x:v>返回同一发车点；建议至少保留约2分钟上下客/等待冗余</x:v>
      </x:c>
    </x:row>
    <x:row r="134">
      <x:c r="A134" s="12" t="str">
        <x:v>工作日</x:v>
      </x:c>
      <x:c r="B134" s="12" t="str">
        <x:v>环线3路</x:v>
      </x:c>
      <x:c r="C134" s="12" t="str">
        <x:v>第二班</x:v>
      </x:c>
      <x:c r="D134" s="12" t="str">
        <x:v>S0142</x:v>
      </x:c>
      <x:c r="E134" s="12" t="str">
        <x:v>11:45</x:v>
      </x:c>
      <x:c r="F134" s="12" t="str">
        <x:v>研究生宿舍楼</x:v>
      </x:c>
      <x:c r="G134" s="12" t="str">
        <x:v>研究生宿舍楼发车</x:v>
      </x:c>
      <x:c r="H134" s="12" t="str">
        <x:v>HX3_NORMAL</x:v>
      </x:c>
      <x:c r="I134" s="12" t="str">
        <x:v>S0143</x:v>
      </x:c>
      <x:c r="J134" s="12" t="str">
        <x:v>12:30</x:v>
      </x:c>
      <x:c r="K134" s="12" t="str">
        <x:v>研究生宿舍楼</x:v>
      </x:c>
      <x:c r="L134" s="12" t="str">
        <x:v>研究生宿舍楼发车</x:v>
      </x:c>
      <x:c r="M134" s="12" t="str">
        <x:v>HX3_NORMAL</x:v>
      </x:c>
      <x:c r="N134" s="12" t="n">
        <x:v>2700</x:v>
      </x:c>
      <x:c r="O134" s="12" t="n">
        <x:f>N134/86400</x:f>
        <x:v>0.03125</x:v>
      </x:c>
      <x:c r="P134" s="12" t="n">
        <x:v>870</x:v>
      </x:c>
      <x:c r="Q134" s="12" t="n">
        <x:v>1830</x:v>
      </x:c>
      <x:c r="R134" s="12" t="n">
        <x:f>Q134/86400</x:f>
        <x:v>0.021180555555555557</x:v>
      </x:c>
      <x:c r="S134" s="12" t="str">
        <x:v>通过</x:v>
      </x:c>
      <x:c r="T134" s="12" t="str">
        <x:v>返回同一发车点；建议至少保留约2分钟上下客/等待冗余</x:v>
      </x:c>
    </x:row>
    <x:row r="135">
      <x:c r="A135" s="12" t="str">
        <x:v>工作日</x:v>
      </x:c>
      <x:c r="B135" s="12" t="str">
        <x:v>环线3路</x:v>
      </x:c>
      <x:c r="C135" s="12" t="str">
        <x:v>第二班</x:v>
      </x:c>
      <x:c r="D135" s="12" t="str">
        <x:v>S0143</x:v>
      </x:c>
      <x:c r="E135" s="12" t="str">
        <x:v>12:30</x:v>
      </x:c>
      <x:c r="F135" s="12" t="str">
        <x:v>研究生宿舍楼</x:v>
      </x:c>
      <x:c r="G135" s="12" t="str">
        <x:v>研究生宿舍楼发车</x:v>
      </x:c>
      <x:c r="H135" s="12" t="str">
        <x:v>HX3_NORMAL</x:v>
      </x:c>
      <x:c r="I135" s="12" t="str">
        <x:v>S0144</x:v>
      </x:c>
      <x:c r="J135" s="12" t="str">
        <x:v>15:25</x:v>
      </x:c>
      <x:c r="K135" s="12" t="str">
        <x:v>研究生宿舍楼</x:v>
      </x:c>
      <x:c r="L135" s="12" t="str">
        <x:v>研究生宿舍楼发车</x:v>
      </x:c>
      <x:c r="M135" s="12" t="str">
        <x:v>HX3_NORMAL</x:v>
      </x:c>
      <x:c r="N135" s="12" t="n">
        <x:v>10500</x:v>
      </x:c>
      <x:c r="O135" s="12" t="n">
        <x:f>N135/86400</x:f>
        <x:v>0.12152777777777778</x:v>
      </x:c>
      <x:c r="P135" s="12" t="n">
        <x:v>870</x:v>
      </x:c>
      <x:c r="Q135" s="12" t="n">
        <x:v>9630</x:v>
      </x:c>
      <x:c r="R135" s="12" t="n">
        <x:f>Q135/86400</x:f>
        <x:v>0.11145833333333334</x:v>
      </x:c>
      <x:c r="S135" s="12" t="str">
        <x:v>通过</x:v>
      </x:c>
      <x:c r="T135" s="12" t="str">
        <x:v>返回同一发车点；建议至少保留约2分钟上下客/等待冗余</x:v>
      </x:c>
    </x:row>
    <x:row r="136">
      <x:c r="A136" s="12" t="str">
        <x:v>工作日</x:v>
      </x:c>
      <x:c r="B136" s="12" t="str">
        <x:v>环线3路</x:v>
      </x:c>
      <x:c r="C136" s="12" t="str">
        <x:v>第二班</x:v>
      </x:c>
      <x:c r="D136" s="12" t="str">
        <x:v>S0144</x:v>
      </x:c>
      <x:c r="E136" s="12" t="str">
        <x:v>15:25</x:v>
      </x:c>
      <x:c r="F136" s="12" t="str">
        <x:v>研究生宿舍楼</x:v>
      </x:c>
      <x:c r="G136" s="12" t="str">
        <x:v>研究生宿舍楼发车</x:v>
      </x:c>
      <x:c r="H136" s="12" t="str">
        <x:v>HX3_NORMAL</x:v>
      </x:c>
      <x:c r="I136" s="12" t="str">
        <x:v>S0145</x:v>
      </x:c>
      <x:c r="J136" s="12" t="str">
        <x:v>16:20</x:v>
      </x:c>
      <x:c r="K136" s="12" t="str">
        <x:v>研究生宿舍楼</x:v>
      </x:c>
      <x:c r="L136" s="12" t="str">
        <x:v>研究生宿舍楼发车</x:v>
      </x:c>
      <x:c r="M136" s="12" t="str">
        <x:v>HX3_NORMAL</x:v>
      </x:c>
      <x:c r="N136" s="12" t="n">
        <x:v>3300</x:v>
      </x:c>
      <x:c r="O136" s="12" t="n">
        <x:f>N136/86400</x:f>
        <x:v>0.03819444444444445</x:v>
      </x:c>
      <x:c r="P136" s="12" t="n">
        <x:v>870</x:v>
      </x:c>
      <x:c r="Q136" s="12" t="n">
        <x:v>2430</x:v>
      </x:c>
      <x:c r="R136" s="12" t="n">
        <x:f>Q136/86400</x:f>
        <x:v>0.028125</x:v>
      </x:c>
      <x:c r="S136" s="12" t="str">
        <x:v>通过</x:v>
      </x:c>
      <x:c r="T136" s="12" t="str">
        <x:v>返回同一发车点；建议至少保留约2分钟上下客/等待冗余</x:v>
      </x:c>
    </x:row>
    <x:row r="137">
      <x:c r="A137" s="12" t="str">
        <x:v>工作日</x:v>
      </x:c>
      <x:c r="B137" s="12" t="str">
        <x:v>环线3路</x:v>
      </x:c>
      <x:c r="C137" s="12" t="str">
        <x:v>第二班</x:v>
      </x:c>
      <x:c r="D137" s="12" t="str">
        <x:v>S0145</x:v>
      </x:c>
      <x:c r="E137" s="12" t="str">
        <x:v>16:20</x:v>
      </x:c>
      <x:c r="F137" s="12" t="str">
        <x:v>研究生宿舍楼</x:v>
      </x:c>
      <x:c r="G137" s="12" t="str">
        <x:v>研究生宿舍楼发车</x:v>
      </x:c>
      <x:c r="H137" s="12" t="str">
        <x:v>HX3_NORMAL</x:v>
      </x:c>
      <x:c r="I137" s="12" t="str">
        <x:v>S0146</x:v>
      </x:c>
      <x:c r="J137" s="12" t="str">
        <x:v>16:50</x:v>
      </x:c>
      <x:c r="K137" s="12" t="str">
        <x:v>高超楼（系统工程学院旁）</x:v>
      </x:c>
      <x:c r="L137" s="12" t="str">
        <x:v>高超楼发车</x:v>
      </x:c>
      <x:c r="M137" s="12" t="str">
        <x:v>HX3_GAOCHAO</x:v>
      </x:c>
      <x:c r="N137" s="12" t="n">
        <x:v>1800</x:v>
      </x:c>
      <x:c r="O137" s="12" t="n">
        <x:f>N137/86400</x:f>
        <x:v>0.020833333333333332</x:v>
      </x:c>
      <x:c r="P137" s="12" t="n">
        <x:v>415</x:v>
      </x:c>
      <x:c r="Q137" s="12" t="n">
        <x:v>1385</x:v>
      </x:c>
      <x:c r="R137" s="12" t="n">
        <x:f>Q137/86400</x:f>
        <x:v>0.016030092592592592</x:v>
      </x:c>
      <x:c r="S137" s="12" t="str">
        <x:v>通过</x:v>
      </x:c>
      <x:c r="T137" s="12" t="str">
        <x:v>当前路线途中到达下一发车点：高超楼；建议至少保留约2分钟上下客/等待冗余</x:v>
      </x:c>
    </x:row>
    <x:row r="138">
      <x:c r="A138" s="12" t="str">
        <x:v>工作日</x:v>
      </x:c>
      <x:c r="B138" s="12" t="str">
        <x:v>环线3路</x:v>
      </x:c>
      <x:c r="C138" s="12" t="str">
        <x:v>第二班</x:v>
      </x:c>
      <x:c r="D138" s="12" t="str">
        <x:v>S0146</x:v>
      </x:c>
      <x:c r="E138" s="12" t="str">
        <x:v>16:50</x:v>
      </x:c>
      <x:c r="F138" s="12" t="str">
        <x:v>高超楼（系统工程学院旁）</x:v>
      </x:c>
      <x:c r="G138" s="12" t="str">
        <x:v>高超楼发车</x:v>
      </x:c>
      <x:c r="H138" s="12" t="str">
        <x:v>HX3_GAOCHAO</x:v>
      </x:c>
      <x:c r="I138" s="12" t="str">
        <x:v>S0147</x:v>
      </x:c>
      <x:c r="J138" s="12" t="str">
        <x:v>17:25</x:v>
      </x:c>
      <x:c r="K138" s="12" t="str">
        <x:v>研究生宿舍楼</x:v>
      </x:c>
      <x:c r="L138" s="12" t="str">
        <x:v>研究生宿舍楼发车</x:v>
      </x:c>
      <x:c r="M138" s="12" t="str">
        <x:v>HX3_NORMAL</x:v>
      </x:c>
      <x:c r="N138" s="12" t="n">
        <x:v>2100</x:v>
      </x:c>
      <x:c r="O138" s="12" t="n">
        <x:f>N138/86400</x:f>
        <x:v>0.024305555555555556</x:v>
      </x:c>
      <x:c r="P138" s="12" t="n">
        <x:v>455</x:v>
      </x:c>
      <x:c r="Q138" s="12" t="n">
        <x:v>1645</x:v>
      </x:c>
      <x:c r="R138" s="12" t="n">
        <x:f>Q138/86400</x:f>
        <x:v>0.019039351851851852</x:v>
      </x:c>
      <x:c r="S138" s="12" t="str">
        <x:v>通过</x:v>
      </x:c>
      <x:c r="T138" s="12" t="str">
        <x:v>当前路线途中到达下一发车点：研究生宿舍楼；建议至少保留约2分钟上下客/等待冗余</x:v>
      </x:c>
    </x:row>
    <x:row r="139">
      <x:c r="A139" s="12" t="str">
        <x:v>工作日</x:v>
      </x:c>
      <x:c r="B139" s="12" t="str">
        <x:v>环线3路</x:v>
      </x:c>
      <x:c r="C139" s="12" t="str">
        <x:v>第四班</x:v>
      </x:c>
      <x:c r="D139" s="12" t="str">
        <x:v>S0148</x:v>
      </x:c>
      <x:c r="E139" s="12" t="str">
        <x:v>17:55</x:v>
      </x:c>
      <x:c r="F139" s="12" t="str">
        <x:v>研究生宿舍楼</x:v>
      </x:c>
      <x:c r="G139" s="12" t="str">
        <x:v>研究生宿舍楼发车</x:v>
      </x:c>
      <x:c r="H139" s="12" t="str">
        <x:v>HX3_NORMAL</x:v>
      </x:c>
      <x:c r="I139" s="12" t="str">
        <x:v>S0149</x:v>
      </x:c>
      <x:c r="J139" s="12" t="str">
        <x:v>18:20</x:v>
      </x:c>
      <x:c r="K139" s="12" t="str">
        <x:v>研究生宿舍楼</x:v>
      </x:c>
      <x:c r="L139" s="12" t="str">
        <x:v>研究生宿舍楼发车</x:v>
      </x:c>
      <x:c r="M139" s="12" t="str">
        <x:v>HX3_NORMAL</x:v>
      </x:c>
      <x:c r="N139" s="12" t="n">
        <x:v>1500</x:v>
      </x:c>
      <x:c r="O139" s="12" t="n">
        <x:f>N139/86400</x:f>
        <x:v>0.017361111111111112</x:v>
      </x:c>
      <x:c r="P139" s="12" t="n">
        <x:v>870</x:v>
      </x:c>
      <x:c r="Q139" s="12" t="n">
        <x:v>630</x:v>
      </x:c>
      <x:c r="R139" s="12" t="n">
        <x:f>Q139/86400</x:f>
        <x:v>0.007291666666666667</x:v>
      </x:c>
      <x:c r="S139" s="12" t="str">
        <x:v>通过</x:v>
      </x:c>
      <x:c r="T139" s="12" t="str">
        <x:v>返回同一发车点；建议至少保留约2分钟上下客/等待冗余</x:v>
      </x:c>
    </x:row>
    <x:row r="140">
      <x:c r="A140" s="12" t="str">
        <x:v>工作日</x:v>
      </x:c>
      <x:c r="B140" s="12" t="str">
        <x:v>环线3路</x:v>
      </x:c>
      <x:c r="C140" s="12" t="str">
        <x:v>第四班</x:v>
      </x:c>
      <x:c r="D140" s="12" t="str">
        <x:v>S0149</x:v>
      </x:c>
      <x:c r="E140" s="12" t="str">
        <x:v>18:20</x:v>
      </x:c>
      <x:c r="F140" s="12" t="str">
        <x:v>研究生宿舍楼</x:v>
      </x:c>
      <x:c r="G140" s="12" t="str">
        <x:v>研究生宿舍楼发车</x:v>
      </x:c>
      <x:c r="H140" s="12" t="str">
        <x:v>HX3_NORMAL</x:v>
      </x:c>
      <x:c r="I140" s="12" t="str">
        <x:v>S0150</x:v>
      </x:c>
      <x:c r="J140" s="12" t="str">
        <x:v>18:50</x:v>
      </x:c>
      <x:c r="K140" s="12" t="str">
        <x:v>研究生宿舍楼</x:v>
      </x:c>
      <x:c r="L140" s="12" t="str">
        <x:v>研究生宿舍楼发车</x:v>
      </x:c>
      <x:c r="M140" s="12" t="str">
        <x:v>HX3_NORMAL</x:v>
      </x:c>
      <x:c r="N140" s="12" t="n">
        <x:v>1800</x:v>
      </x:c>
      <x:c r="O140" s="12" t="n">
        <x:f>N140/86400</x:f>
        <x:v>0.020833333333333332</x:v>
      </x:c>
      <x:c r="P140" s="12" t="n">
        <x:v>870</x:v>
      </x:c>
      <x:c r="Q140" s="12" t="n">
        <x:v>930</x:v>
      </x:c>
      <x:c r="R140" s="12" t="n">
        <x:f>Q140/86400</x:f>
        <x:v>0.010763888888888889</x:v>
      </x:c>
      <x:c r="S140" s="12" t="str">
        <x:v>通过</x:v>
      </x:c>
      <x:c r="T140" s="12" t="str">
        <x:v>返回同一发车点；建议至少保留约2分钟上下客/等待冗余</x:v>
      </x:c>
    </x:row>
    <x:row r="141">
      <x:c r="A141" s="12" t="str">
        <x:v>工作日</x:v>
      </x:c>
      <x:c r="B141" s="12" t="str">
        <x:v>环线3路</x:v>
      </x:c>
      <x:c r="C141" s="12" t="str">
        <x:v>第四班</x:v>
      </x:c>
      <x:c r="D141" s="12" t="str">
        <x:v>S0150</x:v>
      </x:c>
      <x:c r="E141" s="12" t="str">
        <x:v>18:50</x:v>
      </x:c>
      <x:c r="F141" s="12" t="str">
        <x:v>研究生宿舍楼</x:v>
      </x:c>
      <x:c r="G141" s="12" t="str">
        <x:v>研究生宿舍楼发车</x:v>
      </x:c>
      <x:c r="H141" s="12" t="str">
        <x:v>HX3_NORMAL</x:v>
      </x:c>
      <x:c r="I141" s="12" t="str">
        <x:v>S0151</x:v>
      </x:c>
      <x:c r="J141" s="12" t="str">
        <x:v>19:20</x:v>
      </x:c>
      <x:c r="K141" s="12" t="str">
        <x:v>研究生宿舍楼</x:v>
      </x:c>
      <x:c r="L141" s="12" t="str">
        <x:v>研究生宿舍楼发车</x:v>
      </x:c>
      <x:c r="M141" s="12" t="str">
        <x:v>HX3_NORMAL</x:v>
      </x:c>
      <x:c r="N141" s="12" t="n">
        <x:v>1800</x:v>
      </x:c>
      <x:c r="O141" s="12" t="n">
        <x:f>N141/86400</x:f>
        <x:v>0.020833333333333332</x:v>
      </x:c>
      <x:c r="P141" s="12" t="n">
        <x:v>870</x:v>
      </x:c>
      <x:c r="Q141" s="12" t="n">
        <x:v>930</x:v>
      </x:c>
      <x:c r="R141" s="12" t="n">
        <x:f>Q141/86400</x:f>
        <x:v>0.010763888888888889</x:v>
      </x:c>
      <x:c r="S141" s="12" t="str">
        <x:v>通过</x:v>
      </x:c>
      <x:c r="T141" s="12" t="str">
        <x:v>返回同一发车点；建议至少保留约2分钟上下客/等待冗余</x:v>
      </x:c>
    </x:row>
    <x:row r="142">
      <x:c r="A142" s="12" t="str">
        <x:v>工作日</x:v>
      </x:c>
      <x:c r="B142" s="12" t="str">
        <x:v>环线3路</x:v>
      </x:c>
      <x:c r="C142" s="12" t="str">
        <x:v>第四班</x:v>
      </x:c>
      <x:c r="D142" s="12" t="str">
        <x:v>S0151</x:v>
      </x:c>
      <x:c r="E142" s="12" t="str">
        <x:v>19:20</x:v>
      </x:c>
      <x:c r="F142" s="12" t="str">
        <x:v>研究生宿舍楼</x:v>
      </x:c>
      <x:c r="G142" s="12" t="str">
        <x:v>研究生宿舍楼发车</x:v>
      </x:c>
      <x:c r="H142" s="12" t="str">
        <x:v>HX3_NORMAL</x:v>
      </x:c>
      <x:c r="I142" s="12" t="str">
        <x:v>S0152</x:v>
      </x:c>
      <x:c r="J142" s="12" t="str">
        <x:v>19:50</x:v>
      </x:c>
      <x:c r="K142" s="12" t="str">
        <x:v>研究生宿舍楼</x:v>
      </x:c>
      <x:c r="L142" s="12" t="str">
        <x:v>研究生宿舍楼发车</x:v>
      </x:c>
      <x:c r="M142" s="12" t="str">
        <x:v>HX3_NORMAL</x:v>
      </x:c>
      <x:c r="N142" s="12" t="n">
        <x:v>1800</x:v>
      </x:c>
      <x:c r="O142" s="12" t="n">
        <x:f>N142/86400</x:f>
        <x:v>0.020833333333333332</x:v>
      </x:c>
      <x:c r="P142" s="12" t="n">
        <x:v>870</x:v>
      </x:c>
      <x:c r="Q142" s="12" t="n">
        <x:v>930</x:v>
      </x:c>
      <x:c r="R142" s="12" t="n">
        <x:f>Q142/86400</x:f>
        <x:v>0.010763888888888889</x:v>
      </x:c>
      <x:c r="S142" s="12" t="str">
        <x:v>通过</x:v>
      </x:c>
      <x:c r="T142" s="12" t="str">
        <x:v>返回同一发车点；建议至少保留约2分钟上下客/等待冗余</x:v>
      </x:c>
    </x:row>
    <x:row r="143">
      <x:c r="A143" s="12" t="str">
        <x:v>工作日</x:v>
      </x:c>
      <x:c r="B143" s="12" t="str">
        <x:v>环线3路</x:v>
      </x:c>
      <x:c r="C143" s="12" t="str">
        <x:v>第四班</x:v>
      </x:c>
      <x:c r="D143" s="12" t="str">
        <x:v>S0152</x:v>
      </x:c>
      <x:c r="E143" s="12" t="str">
        <x:v>19:50</x:v>
      </x:c>
      <x:c r="F143" s="12" t="str">
        <x:v>研究生宿舍楼</x:v>
      </x:c>
      <x:c r="G143" s="12" t="str">
        <x:v>研究生宿舍楼发车</x:v>
      </x:c>
      <x:c r="H143" s="12" t="str">
        <x:v>HX3_NORMAL</x:v>
      </x:c>
      <x:c r="I143" s="12" t="str">
        <x:v>S0153</x:v>
      </x:c>
      <x:c r="J143" s="12" t="str">
        <x:v>20:20</x:v>
      </x:c>
      <x:c r="K143" s="12" t="str">
        <x:v>研究生宿舍楼</x:v>
      </x:c>
      <x:c r="L143" s="12" t="str">
        <x:v>研究生宿舍楼发车</x:v>
      </x:c>
      <x:c r="M143" s="12" t="str">
        <x:v>HX3_NORMAL</x:v>
      </x:c>
      <x:c r="N143" s="12" t="n">
        <x:v>1800</x:v>
      </x:c>
      <x:c r="O143" s="12" t="n">
        <x:f>N143/86400</x:f>
        <x:v>0.020833333333333332</x:v>
      </x:c>
      <x:c r="P143" s="12" t="n">
        <x:v>870</x:v>
      </x:c>
      <x:c r="Q143" s="12" t="n">
        <x:v>930</x:v>
      </x:c>
      <x:c r="R143" s="12" t="n">
        <x:f>Q143/86400</x:f>
        <x:v>0.010763888888888889</x:v>
      </x:c>
      <x:c r="S143" s="12" t="str">
        <x:v>通过</x:v>
      </x:c>
      <x:c r="T143" s="12" t="str">
        <x:v>返回同一发车点；建议至少保留约2分钟上下客/等待冗余</x:v>
      </x:c>
    </x:row>
    <x:row r="144">
      <x:c r="A144" s="12" t="str">
        <x:v>工作日</x:v>
      </x:c>
      <x:c r="B144" s="12" t="str">
        <x:v>环线3路</x:v>
      </x:c>
      <x:c r="C144" s="12" t="str">
        <x:v>第四班</x:v>
      </x:c>
      <x:c r="D144" s="12" t="str">
        <x:v>S0153</x:v>
      </x:c>
      <x:c r="E144" s="12" t="str">
        <x:v>20:20</x:v>
      </x:c>
      <x:c r="F144" s="12" t="str">
        <x:v>研究生宿舍楼</x:v>
      </x:c>
      <x:c r="G144" s="12" t="str">
        <x:v>研究生宿舍楼发车</x:v>
      </x:c>
      <x:c r="H144" s="12" t="str">
        <x:v>HX3_NORMAL</x:v>
      </x:c>
      <x:c r="I144" s="12" t="str">
        <x:v>S0154</x:v>
      </x:c>
      <x:c r="J144" s="12" t="str">
        <x:v>20:50</x:v>
      </x:c>
      <x:c r="K144" s="12" t="str">
        <x:v>研究生宿舍楼</x:v>
      </x:c>
      <x:c r="L144" s="12" t="str">
        <x:v>研究生宿舍楼发车</x:v>
      </x:c>
      <x:c r="M144" s="12" t="str">
        <x:v>HX3_NORMAL</x:v>
      </x:c>
      <x:c r="N144" s="12" t="n">
        <x:v>1800</x:v>
      </x:c>
      <x:c r="O144" s="12" t="n">
        <x:f>N144/86400</x:f>
        <x:v>0.020833333333333332</x:v>
      </x:c>
      <x:c r="P144" s="12" t="n">
        <x:v>870</x:v>
      </x:c>
      <x:c r="Q144" s="12" t="n">
        <x:v>930</x:v>
      </x:c>
      <x:c r="R144" s="12" t="n">
        <x:f>Q144/86400</x:f>
        <x:v>0.010763888888888889</x:v>
      </x:c>
      <x:c r="S144" s="12" t="str">
        <x:v>通过</x:v>
      </x:c>
      <x:c r="T144" s="12" t="str">
        <x:v>返回同一发车点；建议至少保留约2分钟上下客/等待冗余</x:v>
      </x:c>
    </x:row>
    <x:row r="145">
      <x:c r="A145" s="12" t="str">
        <x:v>工作日</x:v>
      </x:c>
      <x:c r="B145" s="12" t="str">
        <x:v>环线3路</x:v>
      </x:c>
      <x:c r="C145" s="12" t="str">
        <x:v>第四班</x:v>
      </x:c>
      <x:c r="D145" s="12" t="str">
        <x:v>S0154</x:v>
      </x:c>
      <x:c r="E145" s="12" t="str">
        <x:v>20:50</x:v>
      </x:c>
      <x:c r="F145" s="12" t="str">
        <x:v>研究生宿舍楼</x:v>
      </x:c>
      <x:c r="G145" s="12" t="str">
        <x:v>研究生宿舍楼发车</x:v>
      </x:c>
      <x:c r="H145" s="12" t="str">
        <x:v>HX3_NORMAL</x:v>
      </x:c>
      <x:c r="I145" s="12" t="str">
        <x:v>S0155</x:v>
      </x:c>
      <x:c r="J145" s="12" t="str">
        <x:v>21:20</x:v>
      </x:c>
      <x:c r="K145" s="12" t="str">
        <x:v>研究生宿舍楼</x:v>
      </x:c>
      <x:c r="L145" s="12" t="str">
        <x:v>研究生宿舍楼发车</x:v>
      </x:c>
      <x:c r="M145" s="12" t="str">
        <x:v>HX3_NORMAL</x:v>
      </x:c>
      <x:c r="N145" s="12" t="n">
        <x:v>1800</x:v>
      </x:c>
      <x:c r="O145" s="12" t="n">
        <x:f>N145/86400</x:f>
        <x:v>0.020833333333333332</x:v>
      </x:c>
      <x:c r="P145" s="12" t="n">
        <x:v>870</x:v>
      </x:c>
      <x:c r="Q145" s="12" t="n">
        <x:v>930</x:v>
      </x:c>
      <x:c r="R145" s="12" t="n">
        <x:f>Q145/86400</x:f>
        <x:v>0.010763888888888889</x:v>
      </x:c>
      <x:c r="S145" s="12" t="str">
        <x:v>通过</x:v>
      </x:c>
      <x:c r="T145" s="12" t="str">
        <x:v>返回同一发车点；建议至少保留约2分钟上下客/等待冗余</x:v>
      </x:c>
    </x:row>
    <x:row r="146">
      <x:c r="A146" s="12" t="str">
        <x:v>工作日</x:v>
      </x:c>
      <x:c r="B146" s="12" t="str">
        <x:v>环线3路</x:v>
      </x:c>
      <x:c r="C146" s="12" t="str">
        <x:v>第四班</x:v>
      </x:c>
      <x:c r="D146" s="12" t="str">
        <x:v>S0155</x:v>
      </x:c>
      <x:c r="E146" s="12" t="str">
        <x:v>21:20</x:v>
      </x:c>
      <x:c r="F146" s="12" t="str">
        <x:v>研究生宿舍楼</x:v>
      </x:c>
      <x:c r="G146" s="12" t="str">
        <x:v>研究生宿舍楼发车</x:v>
      </x:c>
      <x:c r="H146" s="12" t="str">
        <x:v>HX3_NORMAL</x:v>
      </x:c>
      <x:c r="I146" s="12" t="str">
        <x:v>S0156</x:v>
      </x:c>
      <x:c r="J146" s="12" t="str">
        <x:v>21:50</x:v>
      </x:c>
      <x:c r="K146" s="12" t="str">
        <x:v>研究生宿舍楼</x:v>
      </x:c>
      <x:c r="L146" s="12" t="str">
        <x:v>研究生宿舍楼发车</x:v>
      </x:c>
      <x:c r="M146" s="12" t="str">
        <x:v>HX3_NORMAL</x:v>
      </x:c>
      <x:c r="N146" s="12" t="n">
        <x:v>1800</x:v>
      </x:c>
      <x:c r="O146" s="12" t="n">
        <x:f>N146/86400</x:f>
        <x:v>0.020833333333333332</x:v>
      </x:c>
      <x:c r="P146" s="12" t="n">
        <x:v>870</x:v>
      </x:c>
      <x:c r="Q146" s="12" t="n">
        <x:v>930</x:v>
      </x:c>
      <x:c r="R146" s="12" t="n">
        <x:f>Q146/86400</x:f>
        <x:v>0.010763888888888889</x:v>
      </x:c>
      <x:c r="S146" s="12" t="str">
        <x:v>通过</x:v>
      </x:c>
      <x:c r="T146" s="12" t="str">
        <x:v>返回同一发车点；建议至少保留约2分钟上下客/等待冗余</x:v>
      </x:c>
    </x:row>
    <x:row r="147">
      <x:c r="A147" s="12" t="str">
        <x:v>周末/节假日</x:v>
      </x:c>
      <x:c r="B147" s="12" t="str">
        <x:v>环线2路</x:v>
      </x:c>
      <x:c r="C147" s="12" t="str">
        <x:v>第一班</x:v>
      </x:c>
      <x:c r="D147" s="12" t="str">
        <x:v>S0157</x:v>
      </x:c>
      <x:c r="E147" s="12" t="str">
        <x:v>8:20</x:v>
      </x:c>
      <x:c r="F147" s="12" t="str">
        <x:v>研究生宿舍楼</x:v>
      </x:c>
      <x:c r="G147" s="12" t="str">
        <x:v>研究生宿舍楼发车</x:v>
      </x:c>
      <x:c r="H147" s="12" t="str">
        <x:v>HX2_NORMAL</x:v>
      </x:c>
      <x:c r="I147" s="12" t="str">
        <x:v>S0158</x:v>
      </x:c>
      <x:c r="J147" s="12" t="str">
        <x:v>8:40</x:v>
      </x:c>
      <x:c r="K147" s="12" t="str">
        <x:v>研究生宿舍楼</x:v>
      </x:c>
      <x:c r="L147" s="12" t="str">
        <x:v>研究生宿舍楼发车</x:v>
      </x:c>
      <x:c r="M147" s="12" t="str">
        <x:v>HX2_NORMAL</x:v>
      </x:c>
      <x:c r="N147" s="12" t="n">
        <x:v>1200</x:v>
      </x:c>
      <x:c r="O147" s="12" t="n">
        <x:f>N147/86400</x:f>
        <x:v>0.013888888888888888</x:v>
      </x:c>
      <x:c r="P147" s="12" t="n">
        <x:v>572</x:v>
      </x:c>
      <x:c r="Q147" s="12" t="n">
        <x:v>628</x:v>
      </x:c>
      <x:c r="R147" s="12" t="n">
        <x:f>Q147/86400</x:f>
        <x:v>0.007268518518518519</x:v>
      </x:c>
      <x:c r="S147" s="12" t="str">
        <x:v>通过</x:v>
      </x:c>
      <x:c r="T147" s="12" t="str">
        <x:v>返回同一发车点；建议至少保留约2分钟上下客/等待冗余</x:v>
      </x:c>
    </x:row>
    <x:row r="148">
      <x:c r="A148" s="12" t="str">
        <x:v>周末/节假日</x:v>
      </x:c>
      <x:c r="B148" s="12" t="str">
        <x:v>环线2路</x:v>
      </x:c>
      <x:c r="C148" s="12" t="str">
        <x:v>第一班</x:v>
      </x:c>
      <x:c r="D148" s="12" t="str">
        <x:v>S0158</x:v>
      </x:c>
      <x:c r="E148" s="12" t="str">
        <x:v>8:40</x:v>
      </x:c>
      <x:c r="F148" s="12" t="str">
        <x:v>研究生宿舍楼</x:v>
      </x:c>
      <x:c r="G148" s="12" t="str">
        <x:v>研究生宿舍楼发车</x:v>
      </x:c>
      <x:c r="H148" s="12" t="str">
        <x:v>HX2_NORMAL</x:v>
      </x:c>
      <x:c r="I148" s="12" t="str">
        <x:v>S0159</x:v>
      </x:c>
      <x:c r="J148" s="12" t="str">
        <x:v>9:00</x:v>
      </x:c>
      <x:c r="K148" s="12" t="str">
        <x:v>研究生宿舍楼</x:v>
      </x:c>
      <x:c r="L148" s="12" t="str">
        <x:v>研究生宿舍楼发车</x:v>
      </x:c>
      <x:c r="M148" s="12" t="str">
        <x:v>HX2_NORMAL</x:v>
      </x:c>
      <x:c r="N148" s="12" t="n">
        <x:v>1200</x:v>
      </x:c>
      <x:c r="O148" s="12" t="n">
        <x:f>N148/86400</x:f>
        <x:v>0.013888888888888888</x:v>
      </x:c>
      <x:c r="P148" s="12" t="n">
        <x:v>572</x:v>
      </x:c>
      <x:c r="Q148" s="12" t="n">
        <x:v>628</x:v>
      </x:c>
      <x:c r="R148" s="12" t="n">
        <x:f>Q148/86400</x:f>
        <x:v>0.007268518518518519</x:v>
      </x:c>
      <x:c r="S148" s="12" t="str">
        <x:v>通过</x:v>
      </x:c>
      <x:c r="T148" s="12" t="str">
        <x:v>返回同一发车点；建议至少保留约2分钟上下客/等待冗余</x:v>
      </x:c>
    </x:row>
    <x:row r="149">
      <x:c r="A149" s="12" t="str">
        <x:v>周末/节假日</x:v>
      </x:c>
      <x:c r="B149" s="12" t="str">
        <x:v>环线2路</x:v>
      </x:c>
      <x:c r="C149" s="12" t="str">
        <x:v>第一班</x:v>
      </x:c>
      <x:c r="D149" s="12" t="str">
        <x:v>S0159</x:v>
      </x:c>
      <x:c r="E149" s="12" t="str">
        <x:v>9:00</x:v>
      </x:c>
      <x:c r="F149" s="12" t="str">
        <x:v>研究生宿舍楼</x:v>
      </x:c>
      <x:c r="G149" s="12" t="str">
        <x:v>研究生宿舍楼发车</x:v>
      </x:c>
      <x:c r="H149" s="12" t="str">
        <x:v>HX2_NORMAL</x:v>
      </x:c>
      <x:c r="I149" s="12" t="str">
        <x:v>S0160</x:v>
      </x:c>
      <x:c r="J149" s="12" t="str">
        <x:v>9:20</x:v>
      </x:c>
      <x:c r="K149" s="12" t="str">
        <x:v>研究生宿舍楼</x:v>
      </x:c>
      <x:c r="L149" s="12" t="str">
        <x:v>研究生宿舍楼发车</x:v>
      </x:c>
      <x:c r="M149" s="12" t="str">
        <x:v>HX2_NORMAL</x:v>
      </x:c>
      <x:c r="N149" s="12" t="n">
        <x:v>1200</x:v>
      </x:c>
      <x:c r="O149" s="12" t="n">
        <x:f>N149/86400</x:f>
        <x:v>0.013888888888888888</x:v>
      </x:c>
      <x:c r="P149" s="12" t="n">
        <x:v>572</x:v>
      </x:c>
      <x:c r="Q149" s="12" t="n">
        <x:v>628</x:v>
      </x:c>
      <x:c r="R149" s="12" t="n">
        <x:f>Q149/86400</x:f>
        <x:v>0.007268518518518519</x:v>
      </x:c>
      <x:c r="S149" s="12" t="str">
        <x:v>通过</x:v>
      </x:c>
      <x:c r="T149" s="12" t="str">
        <x:v>返回同一发车点；建议至少保留约2分钟上下客/等待冗余</x:v>
      </x:c>
    </x:row>
    <x:row r="150">
      <x:c r="A150" s="12" t="str">
        <x:v>周末/节假日</x:v>
      </x:c>
      <x:c r="B150" s="12" t="str">
        <x:v>环线2路</x:v>
      </x:c>
      <x:c r="C150" s="12" t="str">
        <x:v>第一班</x:v>
      </x:c>
      <x:c r="D150" s="12" t="str">
        <x:v>S0160</x:v>
      </x:c>
      <x:c r="E150" s="12" t="str">
        <x:v>9:20</x:v>
      </x:c>
      <x:c r="F150" s="12" t="str">
        <x:v>研究生宿舍楼</x:v>
      </x:c>
      <x:c r="G150" s="12" t="str">
        <x:v>研究生宿舍楼发车</x:v>
      </x:c>
      <x:c r="H150" s="12" t="str">
        <x:v>HX2_NORMAL</x:v>
      </x:c>
      <x:c r="I150" s="12" t="str">
        <x:v>S0161</x:v>
      </x:c>
      <x:c r="J150" s="12" t="str">
        <x:v>9:40</x:v>
      </x:c>
      <x:c r="K150" s="12" t="str">
        <x:v>研究生宿舍楼</x:v>
      </x:c>
      <x:c r="L150" s="12" t="str">
        <x:v>研究生宿舍楼发车</x:v>
      </x:c>
      <x:c r="M150" s="12" t="str">
        <x:v>HX2_NORMAL</x:v>
      </x:c>
      <x:c r="N150" s="12" t="n">
        <x:v>1200</x:v>
      </x:c>
      <x:c r="O150" s="12" t="n">
        <x:f>N150/86400</x:f>
        <x:v>0.013888888888888888</x:v>
      </x:c>
      <x:c r="P150" s="12" t="n">
        <x:v>572</x:v>
      </x:c>
      <x:c r="Q150" s="12" t="n">
        <x:v>628</x:v>
      </x:c>
      <x:c r="R150" s="12" t="n">
        <x:f>Q150/86400</x:f>
        <x:v>0.007268518518518519</x:v>
      </x:c>
      <x:c r="S150" s="12" t="str">
        <x:v>通过</x:v>
      </x:c>
      <x:c r="T150" s="12" t="str">
        <x:v>返回同一发车点；建议至少保留约2分钟上下客/等待冗余</x:v>
      </x:c>
    </x:row>
    <x:row r="151">
      <x:c r="A151" s="12" t="str">
        <x:v>周末/节假日</x:v>
      </x:c>
      <x:c r="B151" s="12" t="str">
        <x:v>环线2路</x:v>
      </x:c>
      <x:c r="C151" s="12" t="str">
        <x:v>第一班</x:v>
      </x:c>
      <x:c r="D151" s="12" t="str">
        <x:v>S0161</x:v>
      </x:c>
      <x:c r="E151" s="12" t="str">
        <x:v>9:40</x:v>
      </x:c>
      <x:c r="F151" s="12" t="str">
        <x:v>研究生宿舍楼</x:v>
      </x:c>
      <x:c r="G151" s="12" t="str">
        <x:v>研究生宿舍楼发车</x:v>
      </x:c>
      <x:c r="H151" s="12" t="str">
        <x:v>HX2_NORMAL</x:v>
      </x:c>
      <x:c r="I151" s="12" t="str">
        <x:v>S0162</x:v>
      </x:c>
      <x:c r="J151" s="12" t="str">
        <x:v>11:30</x:v>
      </x:c>
      <x:c r="K151" s="12" t="str">
        <x:v>研究生宿舍楼</x:v>
      </x:c>
      <x:c r="L151" s="12" t="str">
        <x:v>研究生宿舍楼发车</x:v>
      </x:c>
      <x:c r="M151" s="12" t="str">
        <x:v>HX2_NORMAL</x:v>
      </x:c>
      <x:c r="N151" s="12" t="n">
        <x:v>6600</x:v>
      </x:c>
      <x:c r="O151" s="12" t="n">
        <x:f>N151/86400</x:f>
        <x:v>0.0763888888888889</x:v>
      </x:c>
      <x:c r="P151" s="12" t="n">
        <x:v>572</x:v>
      </x:c>
      <x:c r="Q151" s="12" t="n">
        <x:v>6028</x:v>
      </x:c>
      <x:c r="R151" s="12" t="n">
        <x:f>Q151/86400</x:f>
        <x:v>0.06976851851851852</x:v>
      </x:c>
      <x:c r="S151" s="12" t="str">
        <x:v>通过</x:v>
      </x:c>
      <x:c r="T151" s="12" t="str">
        <x:v>返回同一发车点；建议至少保留约2分钟上下客/等待冗余</x:v>
      </x:c>
    </x:row>
    <x:row r="152">
      <x:c r="A152" s="12" t="str">
        <x:v>周末/节假日</x:v>
      </x:c>
      <x:c r="B152" s="12" t="str">
        <x:v>环线2路</x:v>
      </x:c>
      <x:c r="C152" s="12" t="str">
        <x:v>第一班</x:v>
      </x:c>
      <x:c r="D152" s="12" t="str">
        <x:v>S0162</x:v>
      </x:c>
      <x:c r="E152" s="12" t="str">
        <x:v>11:30</x:v>
      </x:c>
      <x:c r="F152" s="12" t="str">
        <x:v>研究生宿舍楼</x:v>
      </x:c>
      <x:c r="G152" s="12" t="str">
        <x:v>研究生宿舍楼发车</x:v>
      </x:c>
      <x:c r="H152" s="12" t="str">
        <x:v>HX2_NORMAL</x:v>
      </x:c>
      <x:c r="I152" s="12" t="str">
        <x:v>S0163</x:v>
      </x:c>
      <x:c r="J152" s="12" t="str">
        <x:v>12:00</x:v>
      </x:c>
      <x:c r="K152" s="12" t="str">
        <x:v>研究生宿舍楼</x:v>
      </x:c>
      <x:c r="L152" s="12" t="str">
        <x:v>研究生宿舍楼发车</x:v>
      </x:c>
      <x:c r="M152" s="12" t="str">
        <x:v>HX2_NORMAL</x:v>
      </x:c>
      <x:c r="N152" s="12" t="n">
        <x:v>1800</x:v>
      </x:c>
      <x:c r="O152" s="12" t="n">
        <x:f>N152/86400</x:f>
        <x:v>0.020833333333333332</x:v>
      </x:c>
      <x:c r="P152" s="12" t="n">
        <x:v>572</x:v>
      </x:c>
      <x:c r="Q152" s="12" t="n">
        <x:v>1228</x:v>
      </x:c>
      <x:c r="R152" s="12" t="n">
        <x:f>Q152/86400</x:f>
        <x:v>0.014212962962962964</x:v>
      </x:c>
      <x:c r="S152" s="12" t="str">
        <x:v>通过</x:v>
      </x:c>
      <x:c r="T152" s="12" t="str">
        <x:v>返回同一发车点；建议至少保留约2分钟上下客/等待冗余</x:v>
      </x:c>
    </x:row>
    <x:row r="153">
      <x:c r="A153" s="12" t="str">
        <x:v>周末/节假日</x:v>
      </x:c>
      <x:c r="B153" s="12" t="str">
        <x:v>环线2路</x:v>
      </x:c>
      <x:c r="C153" s="12" t="str">
        <x:v>第一班</x:v>
      </x:c>
      <x:c r="D153" s="12" t="str">
        <x:v>S0163</x:v>
      </x:c>
      <x:c r="E153" s="12" t="str">
        <x:v>12:00</x:v>
      </x:c>
      <x:c r="F153" s="12" t="str">
        <x:v>研究生宿舍楼</x:v>
      </x:c>
      <x:c r="G153" s="12" t="str">
        <x:v>研究生宿舍楼发车</x:v>
      </x:c>
      <x:c r="H153" s="12" t="str">
        <x:v>HX2_NORMAL</x:v>
      </x:c>
      <x:c r="I153" s="12" t="str">
        <x:v>S0164</x:v>
      </x:c>
      <x:c r="J153" s="12" t="str">
        <x:v>12:30</x:v>
      </x:c>
      <x:c r="K153" s="12" t="str">
        <x:v>研究生宿舍楼</x:v>
      </x:c>
      <x:c r="L153" s="12" t="str">
        <x:v>研究生宿舍楼发车</x:v>
      </x:c>
      <x:c r="M153" s="12" t="str">
        <x:v>HX2_NORMAL</x:v>
      </x:c>
      <x:c r="N153" s="12" t="n">
        <x:v>1800</x:v>
      </x:c>
      <x:c r="O153" s="12" t="n">
        <x:f>N153/86400</x:f>
        <x:v>0.020833333333333332</x:v>
      </x:c>
      <x:c r="P153" s="12" t="n">
        <x:v>572</x:v>
      </x:c>
      <x:c r="Q153" s="12" t="n">
        <x:v>1228</x:v>
      </x:c>
      <x:c r="R153" s="12" t="n">
        <x:f>Q153/86400</x:f>
        <x:v>0.014212962962962964</x:v>
      </x:c>
      <x:c r="S153" s="12" t="str">
        <x:v>通过</x:v>
      </x:c>
      <x:c r="T153" s="12" t="str">
        <x:v>返回同一发车点；建议至少保留约2分钟上下客/等待冗余</x:v>
      </x:c>
    </x:row>
    <x:row r="154">
      <x:c r="A154" s="12" t="str">
        <x:v>周末/节假日</x:v>
      </x:c>
      <x:c r="B154" s="12" t="str">
        <x:v>环线2路</x:v>
      </x:c>
      <x:c r="C154" s="12" t="str">
        <x:v>第一班</x:v>
      </x:c>
      <x:c r="D154" s="12" t="str">
        <x:v>S0164</x:v>
      </x:c>
      <x:c r="E154" s="12" t="str">
        <x:v>12:30</x:v>
      </x:c>
      <x:c r="F154" s="12" t="str">
        <x:v>研究生宿舍楼</x:v>
      </x:c>
      <x:c r="G154" s="12" t="str">
        <x:v>研究生宿舍楼发车</x:v>
      </x:c>
      <x:c r="H154" s="12" t="str">
        <x:v>HX2_NORMAL</x:v>
      </x:c>
      <x:c r="I154" s="12" t="str">
        <x:v>S0165</x:v>
      </x:c>
      <x:c r="J154" s="12" t="str">
        <x:v>14:30</x:v>
      </x:c>
      <x:c r="K154" s="12" t="str">
        <x:v>研究生宿舍楼</x:v>
      </x:c>
      <x:c r="L154" s="12" t="str">
        <x:v>研究生宿舍楼发车</x:v>
      </x:c>
      <x:c r="M154" s="12" t="str">
        <x:v>HX2_NORMAL</x:v>
      </x:c>
      <x:c r="N154" s="12" t="n">
        <x:v>7200</x:v>
      </x:c>
      <x:c r="O154" s="12" t="n">
        <x:f>N154/86400</x:f>
        <x:v>0.08333333333333333</x:v>
      </x:c>
      <x:c r="P154" s="12" t="n">
        <x:v>572</x:v>
      </x:c>
      <x:c r="Q154" s="12" t="n">
        <x:v>6628</x:v>
      </x:c>
      <x:c r="R154" s="12" t="n">
        <x:f>Q154/86400</x:f>
        <x:v>0.07671296296296297</x:v>
      </x:c>
      <x:c r="S154" s="12" t="str">
        <x:v>通过</x:v>
      </x:c>
      <x:c r="T154" s="12" t="str">
        <x:v>返回同一发车点；建议至少保留约2分钟上下客/等待冗余</x:v>
      </x:c>
    </x:row>
    <x:row r="155">
      <x:c r="A155" s="12" t="str">
        <x:v>周末/节假日</x:v>
      </x:c>
      <x:c r="B155" s="12" t="str">
        <x:v>环线2路</x:v>
      </x:c>
      <x:c r="C155" s="12" t="str">
        <x:v>第一班</x:v>
      </x:c>
      <x:c r="D155" s="12" t="str">
        <x:v>S0165</x:v>
      </x:c>
      <x:c r="E155" s="12" t="str">
        <x:v>14:30</x:v>
      </x:c>
      <x:c r="F155" s="12" t="str">
        <x:v>研究生宿舍楼</x:v>
      </x:c>
      <x:c r="G155" s="12" t="str">
        <x:v>研究生宿舍楼发车</x:v>
      </x:c>
      <x:c r="H155" s="12" t="str">
        <x:v>HX2_NORMAL</x:v>
      </x:c>
      <x:c r="I155" s="12" t="str">
        <x:v>S0166</x:v>
      </x:c>
      <x:c r="J155" s="12" t="str">
        <x:v>15:00</x:v>
      </x:c>
      <x:c r="K155" s="12" t="str">
        <x:v>研究生宿舍楼</x:v>
      </x:c>
      <x:c r="L155" s="12" t="str">
        <x:v>研究生宿舍楼发车</x:v>
      </x:c>
      <x:c r="M155" s="12" t="str">
        <x:v>HX2_NORMAL</x:v>
      </x:c>
      <x:c r="N155" s="12" t="n">
        <x:v>1800</x:v>
      </x:c>
      <x:c r="O155" s="12" t="n">
        <x:f>N155/86400</x:f>
        <x:v>0.020833333333333332</x:v>
      </x:c>
      <x:c r="P155" s="12" t="n">
        <x:v>572</x:v>
      </x:c>
      <x:c r="Q155" s="12" t="n">
        <x:v>1228</x:v>
      </x:c>
      <x:c r="R155" s="12" t="n">
        <x:f>Q155/86400</x:f>
        <x:v>0.014212962962962964</x:v>
      </x:c>
      <x:c r="S155" s="12" t="str">
        <x:v>通过</x:v>
      </x:c>
      <x:c r="T155" s="12" t="str">
        <x:v>返回同一发车点；建议至少保留约2分钟上下客/等待冗余</x:v>
      </x:c>
    </x:row>
    <x:row r="156">
      <x:c r="A156" s="12" t="str">
        <x:v>周末/节假日</x:v>
      </x:c>
      <x:c r="B156" s="12" t="str">
        <x:v>环线2路</x:v>
      </x:c>
      <x:c r="C156" s="12" t="str">
        <x:v>第一班</x:v>
      </x:c>
      <x:c r="D156" s="12" t="str">
        <x:v>S0166</x:v>
      </x:c>
      <x:c r="E156" s="12" t="str">
        <x:v>15:00</x:v>
      </x:c>
      <x:c r="F156" s="12" t="str">
        <x:v>研究生宿舍楼</x:v>
      </x:c>
      <x:c r="G156" s="12" t="str">
        <x:v>研究生宿舍楼发车</x:v>
      </x:c>
      <x:c r="H156" s="12" t="str">
        <x:v>HX2_NORMAL</x:v>
      </x:c>
      <x:c r="I156" s="12" t="str">
        <x:v>S0167</x:v>
      </x:c>
      <x:c r="J156" s="12" t="str">
        <x:v>17:00</x:v>
      </x:c>
      <x:c r="K156" s="12" t="str">
        <x:v>研究生宿舍楼</x:v>
      </x:c>
      <x:c r="L156" s="12" t="str">
        <x:v>研究生宿舍楼发车</x:v>
      </x:c>
      <x:c r="M156" s="12" t="str">
        <x:v>HX2_NORMAL</x:v>
      </x:c>
      <x:c r="N156" s="12" t="n">
        <x:v>7200</x:v>
      </x:c>
      <x:c r="O156" s="12" t="n">
        <x:f>N156/86400</x:f>
        <x:v>0.08333333333333333</x:v>
      </x:c>
      <x:c r="P156" s="12" t="n">
        <x:v>572</x:v>
      </x:c>
      <x:c r="Q156" s="12" t="n">
        <x:v>6628</x:v>
      </x:c>
      <x:c r="R156" s="12" t="n">
        <x:f>Q156/86400</x:f>
        <x:v>0.07671296296296297</x:v>
      </x:c>
      <x:c r="S156" s="12" t="str">
        <x:v>通过</x:v>
      </x:c>
      <x:c r="T156" s="12" t="str">
        <x:v>返回同一发车点；建议至少保留约2分钟上下客/等待冗余</x:v>
      </x:c>
    </x:row>
    <x:row r="157">
      <x:c r="A157" s="12" t="str">
        <x:v>周末/节假日</x:v>
      </x:c>
      <x:c r="B157" s="12" t="str">
        <x:v>环线2路</x:v>
      </x:c>
      <x:c r="C157" s="12" t="str">
        <x:v>第一班</x:v>
      </x:c>
      <x:c r="D157" s="12" t="str">
        <x:v>S0167</x:v>
      </x:c>
      <x:c r="E157" s="12" t="str">
        <x:v>17:00</x:v>
      </x:c>
      <x:c r="F157" s="12" t="str">
        <x:v>研究生宿舍楼</x:v>
      </x:c>
      <x:c r="G157" s="12" t="str">
        <x:v>研究生宿舍楼发车</x:v>
      </x:c>
      <x:c r="H157" s="12" t="str">
        <x:v>HX2_NORMAL</x:v>
      </x:c>
      <x:c r="I157" s="12" t="str">
        <x:v>S0168</x:v>
      </x:c>
      <x:c r="J157" s="12" t="str">
        <x:v>17:30</x:v>
      </x:c>
      <x:c r="K157" s="12" t="str">
        <x:v>研究生宿舍楼</x:v>
      </x:c>
      <x:c r="L157" s="12" t="str">
        <x:v>研究生宿舍楼发车</x:v>
      </x:c>
      <x:c r="M157" s="12" t="str">
        <x:v>HX2_NORMAL</x:v>
      </x:c>
      <x:c r="N157" s="12" t="n">
        <x:v>1800</x:v>
      </x:c>
      <x:c r="O157" s="12" t="n">
        <x:f>N157/86400</x:f>
        <x:v>0.020833333333333332</x:v>
      </x:c>
      <x:c r="P157" s="12" t="n">
        <x:v>572</x:v>
      </x:c>
      <x:c r="Q157" s="12" t="n">
        <x:v>1228</x:v>
      </x:c>
      <x:c r="R157" s="12" t="n">
        <x:f>Q157/86400</x:f>
        <x:v>0.014212962962962964</x:v>
      </x:c>
      <x:c r="S157" s="12" t="str">
        <x:v>通过</x:v>
      </x:c>
      <x:c r="T157" s="12" t="str">
        <x:v>返回同一发车点；建议至少保留约2分钟上下客/等待冗余</x:v>
      </x:c>
    </x:row>
    <x:row r="158">
      <x:c r="A158" s="12" t="str">
        <x:v>周末/节假日</x:v>
      </x:c>
      <x:c r="B158" s="12" t="str">
        <x:v>环线2路</x:v>
      </x:c>
      <x:c r="C158" s="12" t="str">
        <x:v>第一班</x:v>
      </x:c>
      <x:c r="D158" s="12" t="str">
        <x:v>S0168</x:v>
      </x:c>
      <x:c r="E158" s="12" t="str">
        <x:v>17:30</x:v>
      </x:c>
      <x:c r="F158" s="12" t="str">
        <x:v>研究生宿舍楼</x:v>
      </x:c>
      <x:c r="G158" s="12" t="str">
        <x:v>研究生宿舍楼发车</x:v>
      </x:c>
      <x:c r="H158" s="12" t="str">
        <x:v>HX2_NORMAL</x:v>
      </x:c>
      <x:c r="I158" s="12" t="str">
        <x:v>S0169</x:v>
      </x:c>
      <x:c r="J158" s="12" t="str">
        <x:v>18:00</x:v>
      </x:c>
      <x:c r="K158" s="12" t="str">
        <x:v>研究生宿舍楼</x:v>
      </x:c>
      <x:c r="L158" s="12" t="str">
        <x:v>研究生宿舍楼发车</x:v>
      </x:c>
      <x:c r="M158" s="12" t="str">
        <x:v>HX2_NORMAL</x:v>
      </x:c>
      <x:c r="N158" s="12" t="n">
        <x:v>1800</x:v>
      </x:c>
      <x:c r="O158" s="12" t="n">
        <x:f>N158/86400</x:f>
        <x:v>0.020833333333333332</x:v>
      </x:c>
      <x:c r="P158" s="12" t="n">
        <x:v>572</x:v>
      </x:c>
      <x:c r="Q158" s="12" t="n">
        <x:v>1228</x:v>
      </x:c>
      <x:c r="R158" s="12" t="n">
        <x:f>Q158/86400</x:f>
        <x:v>0.014212962962962964</x:v>
      </x:c>
      <x:c r="S158" s="12" t="str">
        <x:v>通过</x:v>
      </x:c>
      <x:c r="T158" s="12" t="str">
        <x:v>返回同一发车点；建议至少保留约2分钟上下客/等待冗余</x:v>
      </x:c>
    </x:row>
    <x:row r="159">
      <x:c r="A159" s="12" t="str">
        <x:v>周末/节假日</x:v>
      </x:c>
      <x:c r="B159" s="12" t="str">
        <x:v>环线2路</x:v>
      </x:c>
      <x:c r="C159" s="12" t="str">
        <x:v>第二班</x:v>
      </x:c>
      <x:c r="D159" s="12" t="str">
        <x:v>S0170</x:v>
      </x:c>
      <x:c r="E159" s="12" t="str">
        <x:v>20:40</x:v>
      </x:c>
      <x:c r="F159" s="12" t="str">
        <x:v>研究生宿舍楼</x:v>
      </x:c>
      <x:c r="G159" s="12" t="str">
        <x:v>研究生宿舍楼发车</x:v>
      </x:c>
      <x:c r="H159" s="12" t="str">
        <x:v>HX2_NORMAL</x:v>
      </x:c>
      <x:c r="I159" s="12" t="str">
        <x:v>S0171</x:v>
      </x:c>
      <x:c r="J159" s="12" t="str">
        <x:v>21:00</x:v>
      </x:c>
      <x:c r="K159" s="12" t="str">
        <x:v>研究生宿舍楼</x:v>
      </x:c>
      <x:c r="L159" s="12" t="str">
        <x:v>研究生宿舍楼发车</x:v>
      </x:c>
      <x:c r="M159" s="12" t="str">
        <x:v>HX2_NORMAL</x:v>
      </x:c>
      <x:c r="N159" s="12" t="n">
        <x:v>1200</x:v>
      </x:c>
      <x:c r="O159" s="12" t="n">
        <x:f>N159/86400</x:f>
        <x:v>0.013888888888888888</x:v>
      </x:c>
      <x:c r="P159" s="12" t="n">
        <x:v>572</x:v>
      </x:c>
      <x:c r="Q159" s="12" t="n">
        <x:v>628</x:v>
      </x:c>
      <x:c r="R159" s="12" t="n">
        <x:f>Q159/86400</x:f>
        <x:v>0.007268518518518519</x:v>
      </x:c>
      <x:c r="S159" s="12" t="str">
        <x:v>通过</x:v>
      </x:c>
      <x:c r="T159" s="12" t="str">
        <x:v>返回同一发车点；建议至少保留约2分钟上下客/等待冗余</x:v>
      </x:c>
    </x:row>
    <x:row r="160">
      <x:c r="A160" s="12" t="str">
        <x:v>周末/节假日</x:v>
      </x:c>
      <x:c r="B160" s="12" t="str">
        <x:v>环线2路</x:v>
      </x:c>
      <x:c r="C160" s="12" t="str">
        <x:v>第二班</x:v>
      </x:c>
      <x:c r="D160" s="12" t="str">
        <x:v>S0171</x:v>
      </x:c>
      <x:c r="E160" s="12" t="str">
        <x:v>21:00</x:v>
      </x:c>
      <x:c r="F160" s="12" t="str">
        <x:v>研究生宿舍楼</x:v>
      </x:c>
      <x:c r="G160" s="12" t="str">
        <x:v>研究生宿舍楼发车</x:v>
      </x:c>
      <x:c r="H160" s="12" t="str">
        <x:v>HX2_NORMAL</x:v>
      </x:c>
      <x:c r="I160" s="12" t="str">
        <x:v>S0172</x:v>
      </x:c>
      <x:c r="J160" s="12" t="str">
        <x:v>21:25</x:v>
      </x:c>
      <x:c r="K160" s="12" t="str">
        <x:v>研究生宿舍楼</x:v>
      </x:c>
      <x:c r="L160" s="12" t="str">
        <x:v>研究生宿舍楼发车</x:v>
      </x:c>
      <x:c r="M160" s="12" t="str">
        <x:v>HX2_NORMAL</x:v>
      </x:c>
      <x:c r="N160" s="12" t="n">
        <x:v>1500</x:v>
      </x:c>
      <x:c r="O160" s="12" t="n">
        <x:f>N160/86400</x:f>
        <x:v>0.017361111111111112</x:v>
      </x:c>
      <x:c r="P160" s="12" t="n">
        <x:v>572</x:v>
      </x:c>
      <x:c r="Q160" s="12" t="n">
        <x:v>928</x:v>
      </x:c>
      <x:c r="R160" s="12" t="n">
        <x:f>Q160/86400</x:f>
        <x:v>0.01074074074074074</x:v>
      </x:c>
      <x:c r="S160" s="12" t="str">
        <x:v>通过</x:v>
      </x:c>
      <x:c r="T160" s="12" t="str">
        <x:v>返回同一发车点；建议至少保留约2分钟上下客/等待冗余</x:v>
      </x:c>
    </x:row>
    <x:row r="161">
      <x:c r="A161" s="12" t="str">
        <x:v>周末/节假日</x:v>
      </x:c>
      <x:c r="B161" s="12" t="str">
        <x:v>环线2路</x:v>
      </x:c>
      <x:c r="C161" s="12" t="str">
        <x:v>第二班</x:v>
      </x:c>
      <x:c r="D161" s="12" t="str">
        <x:v>S0172</x:v>
      </x:c>
      <x:c r="E161" s="12" t="str">
        <x:v>21:25</x:v>
      </x:c>
      <x:c r="F161" s="12" t="str">
        <x:v>研究生宿舍楼</x:v>
      </x:c>
      <x:c r="G161" s="12" t="str">
        <x:v>研究生宿舍楼发车</x:v>
      </x:c>
      <x:c r="H161" s="12" t="str">
        <x:v>HX2_NORMAL</x:v>
      </x:c>
      <x:c r="I161" s="12" t="str">
        <x:v>S0173</x:v>
      </x:c>
      <x:c r="J161" s="12" t="str">
        <x:v>21:50</x:v>
      </x:c>
      <x:c r="K161" s="12" t="str">
        <x:v>研究生宿舍楼</x:v>
      </x:c>
      <x:c r="L161" s="12" t="str">
        <x:v>研究生宿舍楼发车</x:v>
      </x:c>
      <x:c r="M161" s="12" t="str">
        <x:v>HX2_NORMAL</x:v>
      </x:c>
      <x:c r="N161" s="12" t="n">
        <x:v>1500</x:v>
      </x:c>
      <x:c r="O161" s="12" t="n">
        <x:f>N161/86400</x:f>
        <x:v>0.017361111111111112</x:v>
      </x:c>
      <x:c r="P161" s="12" t="n">
        <x:v>572</x:v>
      </x:c>
      <x:c r="Q161" s="12" t="n">
        <x:v>928</x:v>
      </x:c>
      <x:c r="R161" s="12" t="n">
        <x:f>Q161/86400</x:f>
        <x:v>0.01074074074074074</x:v>
      </x:c>
      <x:c r="S161" s="12" t="str">
        <x:v>通过</x:v>
      </x:c>
      <x:c r="T161" s="12" t="str">
        <x:v>返回同一发车点；建议至少保留约2分钟上下客/等待冗余</x:v>
      </x:c>
    </x:row>
    <x:row r="162">
      <x:c r="A162" s="12" t="str">
        <x:v>周末/节假日</x:v>
      </x:c>
      <x:c r="B162" s="12" t="str">
        <x:v>环线3路</x:v>
      </x:c>
      <x:c r="C162" s="12" t="str">
        <x:v>第一班</x:v>
      </x:c>
      <x:c r="D162" s="12" t="str">
        <x:v>S0174</x:v>
      </x:c>
      <x:c r="E162" s="12" t="str">
        <x:v>8:15</x:v>
      </x:c>
      <x:c r="F162" s="12" t="str">
        <x:v>研究生宿舍楼</x:v>
      </x:c>
      <x:c r="G162" s="12" t="str">
        <x:v>研究生宿舍楼发车</x:v>
      </x:c>
      <x:c r="H162" s="12" t="str">
        <x:v>HX3_NORMAL</x:v>
      </x:c>
      <x:c r="I162" s="12" t="str">
        <x:v>S0175</x:v>
      </x:c>
      <x:c r="J162" s="12" t="str">
        <x:v>8:40</x:v>
      </x:c>
      <x:c r="K162" s="12" t="str">
        <x:v>研究生宿舍楼</x:v>
      </x:c>
      <x:c r="L162" s="12" t="str">
        <x:v>研究生宿舍楼发车</x:v>
      </x:c>
      <x:c r="M162" s="12" t="str">
        <x:v>HX3_NORMAL</x:v>
      </x:c>
      <x:c r="N162" s="12" t="n">
        <x:v>1500</x:v>
      </x:c>
      <x:c r="O162" s="12" t="n">
        <x:f>N162/86400</x:f>
        <x:v>0.017361111111111112</x:v>
      </x:c>
      <x:c r="P162" s="12" t="n">
        <x:v>870</x:v>
      </x:c>
      <x:c r="Q162" s="12" t="n">
        <x:v>630</x:v>
      </x:c>
      <x:c r="R162" s="12" t="n">
        <x:f>Q162/86400</x:f>
        <x:v>0.007291666666666667</x:v>
      </x:c>
      <x:c r="S162" s="12" t="str">
        <x:v>通过</x:v>
      </x:c>
      <x:c r="T162" s="12" t="str">
        <x:v>返回同一发车点；建议至少保留约2分钟上下客/等待冗余</x:v>
      </x:c>
    </x:row>
    <x:row r="163">
      <x:c r="A163" s="12" t="str">
        <x:v>周末/节假日</x:v>
      </x:c>
      <x:c r="B163" s="12" t="str">
        <x:v>环线3路</x:v>
      </x:c>
      <x:c r="C163" s="12" t="str">
        <x:v>第一班</x:v>
      </x:c>
      <x:c r="D163" s="12" t="str">
        <x:v>S0175</x:v>
      </x:c>
      <x:c r="E163" s="12" t="str">
        <x:v>8:40</x:v>
      </x:c>
      <x:c r="F163" s="12" t="str">
        <x:v>研究生宿舍楼</x:v>
      </x:c>
      <x:c r="G163" s="12" t="str">
        <x:v>研究生宿舍楼发车</x:v>
      </x:c>
      <x:c r="H163" s="12" t="str">
        <x:v>HX3_NORMAL</x:v>
      </x:c>
      <x:c r="I163" s="12" t="str">
        <x:v>S0176</x:v>
      </x:c>
      <x:c r="J163" s="12" t="str">
        <x:v>9:05</x:v>
      </x:c>
      <x:c r="K163" s="12" t="str">
        <x:v>研究生宿舍楼</x:v>
      </x:c>
      <x:c r="L163" s="12" t="str">
        <x:v>研究生宿舍楼发车</x:v>
      </x:c>
      <x:c r="M163" s="12" t="str">
        <x:v>HX3_NORMAL</x:v>
      </x:c>
      <x:c r="N163" s="12" t="n">
        <x:v>1500</x:v>
      </x:c>
      <x:c r="O163" s="12" t="n">
        <x:f>N163/86400</x:f>
        <x:v>0.017361111111111112</x:v>
      </x:c>
      <x:c r="P163" s="12" t="n">
        <x:v>870</x:v>
      </x:c>
      <x:c r="Q163" s="12" t="n">
        <x:v>630</x:v>
      </x:c>
      <x:c r="R163" s="12" t="n">
        <x:f>Q163/86400</x:f>
        <x:v>0.007291666666666667</x:v>
      </x:c>
      <x:c r="S163" s="12" t="str">
        <x:v>通过</x:v>
      </x:c>
      <x:c r="T163" s="12" t="str">
        <x:v>返回同一发车点；建议至少保留约2分钟上下客/等待冗余</x:v>
      </x:c>
    </x:row>
    <x:row r="164">
      <x:c r="A164" s="12" t="str">
        <x:v>周末/节假日</x:v>
      </x:c>
      <x:c r="B164" s="12" t="str">
        <x:v>环线3路</x:v>
      </x:c>
      <x:c r="C164" s="12" t="str">
        <x:v>第一班</x:v>
      </x:c>
      <x:c r="D164" s="12" t="str">
        <x:v>S0176</x:v>
      </x:c>
      <x:c r="E164" s="12" t="str">
        <x:v>9:05</x:v>
      </x:c>
      <x:c r="F164" s="12" t="str">
        <x:v>研究生宿舍楼</x:v>
      </x:c>
      <x:c r="G164" s="12" t="str">
        <x:v>研究生宿舍楼发车</x:v>
      </x:c>
      <x:c r="H164" s="12" t="str">
        <x:v>HX3_NORMAL</x:v>
      </x:c>
      <x:c r="I164" s="12" t="str">
        <x:v>S0177</x:v>
      </x:c>
      <x:c r="J164" s="12" t="str">
        <x:v>9:30</x:v>
      </x:c>
      <x:c r="K164" s="12" t="str">
        <x:v>研究生宿舍楼</x:v>
      </x:c>
      <x:c r="L164" s="12" t="str">
        <x:v>研究生宿舍楼发车</x:v>
      </x:c>
      <x:c r="M164" s="12" t="str">
        <x:v>HX3_NORMAL</x:v>
      </x:c>
      <x:c r="N164" s="12" t="n">
        <x:v>1500</x:v>
      </x:c>
      <x:c r="O164" s="12" t="n">
        <x:f>N164/86400</x:f>
        <x:v>0.017361111111111112</x:v>
      </x:c>
      <x:c r="P164" s="12" t="n">
        <x:v>870</x:v>
      </x:c>
      <x:c r="Q164" s="12" t="n">
        <x:v>630</x:v>
      </x:c>
      <x:c r="R164" s="12" t="n">
        <x:f>Q164/86400</x:f>
        <x:v>0.007291666666666667</x:v>
      </x:c>
      <x:c r="S164" s="12" t="str">
        <x:v>通过</x:v>
      </x:c>
      <x:c r="T164" s="12" t="str">
        <x:v>返回同一发车点；建议至少保留约2分钟上下客/等待冗余</x:v>
      </x:c>
    </x:row>
    <x:row r="165">
      <x:c r="A165" s="12" t="str">
        <x:v>周末/节假日</x:v>
      </x:c>
      <x:c r="B165" s="12" t="str">
        <x:v>环线3路</x:v>
      </x:c>
      <x:c r="C165" s="12" t="str">
        <x:v>第一班</x:v>
      </x:c>
      <x:c r="D165" s="12" t="str">
        <x:v>S0177</x:v>
      </x:c>
      <x:c r="E165" s="12" t="str">
        <x:v>9:30</x:v>
      </x:c>
      <x:c r="F165" s="12" t="str">
        <x:v>研究生宿舍楼</x:v>
      </x:c>
      <x:c r="G165" s="12" t="str">
        <x:v>研究生宿舍楼发车</x:v>
      </x:c>
      <x:c r="H165" s="12" t="str">
        <x:v>HX3_NORMAL</x:v>
      </x:c>
      <x:c r="I165" s="12" t="str">
        <x:v>S0178</x:v>
      </x:c>
      <x:c r="J165" s="12" t="str">
        <x:v>9:55</x:v>
      </x:c>
      <x:c r="K165" s="12" t="str">
        <x:v>研究生宿舍楼</x:v>
      </x:c>
      <x:c r="L165" s="12" t="str">
        <x:v>研究生宿舍楼发车</x:v>
      </x:c>
      <x:c r="M165" s="12" t="str">
        <x:v>HX3_NORMAL</x:v>
      </x:c>
      <x:c r="N165" s="12" t="n">
        <x:v>1500</x:v>
      </x:c>
      <x:c r="O165" s="12" t="n">
        <x:f>N165/86400</x:f>
        <x:v>0.017361111111111112</x:v>
      </x:c>
      <x:c r="P165" s="12" t="n">
        <x:v>870</x:v>
      </x:c>
      <x:c r="Q165" s="12" t="n">
        <x:v>630</x:v>
      </x:c>
      <x:c r="R165" s="12" t="n">
        <x:f>Q165/86400</x:f>
        <x:v>0.007291666666666667</x:v>
      </x:c>
      <x:c r="S165" s="12" t="str">
        <x:v>通过</x:v>
      </x:c>
      <x:c r="T165" s="12" t="str">
        <x:v>返回同一发车点；建议至少保留约2分钟上下客/等待冗余</x:v>
      </x:c>
    </x:row>
    <x:row r="166">
      <x:c r="A166" s="12" t="str">
        <x:v>周末/节假日</x:v>
      </x:c>
      <x:c r="B166" s="12" t="str">
        <x:v>环线3路</x:v>
      </x:c>
      <x:c r="C166" s="12" t="str">
        <x:v>第一班</x:v>
      </x:c>
      <x:c r="D166" s="12" t="str">
        <x:v>S0178</x:v>
      </x:c>
      <x:c r="E166" s="12" t="str">
        <x:v>9:55</x:v>
      </x:c>
      <x:c r="F166" s="12" t="str">
        <x:v>研究生宿舍楼</x:v>
      </x:c>
      <x:c r="G166" s="12" t="str">
        <x:v>研究生宿舍楼发车</x:v>
      </x:c>
      <x:c r="H166" s="12" t="str">
        <x:v>HX3_NORMAL</x:v>
      </x:c>
      <x:c r="I166" s="12" t="str">
        <x:v>S0179</x:v>
      </x:c>
      <x:c r="J166" s="12" t="str">
        <x:v>10:20</x:v>
      </x:c>
      <x:c r="K166" s="12" t="str">
        <x:v>研究生宿舍楼</x:v>
      </x:c>
      <x:c r="L166" s="12" t="str">
        <x:v>研究生宿舍楼发车</x:v>
      </x:c>
      <x:c r="M166" s="12" t="str">
        <x:v>HX3_NORMAL</x:v>
      </x:c>
      <x:c r="N166" s="12" t="n">
        <x:v>1500</x:v>
      </x:c>
      <x:c r="O166" s="12" t="n">
        <x:f>N166/86400</x:f>
        <x:v>0.017361111111111112</x:v>
      </x:c>
      <x:c r="P166" s="12" t="n">
        <x:v>870</x:v>
      </x:c>
      <x:c r="Q166" s="12" t="n">
        <x:v>630</x:v>
      </x:c>
      <x:c r="R166" s="12" t="n">
        <x:f>Q166/86400</x:f>
        <x:v>0.007291666666666667</x:v>
      </x:c>
      <x:c r="S166" s="12" t="str">
        <x:v>通过</x:v>
      </x:c>
      <x:c r="T166" s="12" t="str">
        <x:v>返回同一发车点；建议至少保留约2分钟上下客/等待冗余</x:v>
      </x:c>
    </x:row>
    <x:row r="167">
      <x:c r="A167" s="12" t="str">
        <x:v>周末/节假日</x:v>
      </x:c>
      <x:c r="B167" s="12" t="str">
        <x:v>环线3路</x:v>
      </x:c>
      <x:c r="C167" s="12" t="str">
        <x:v>第二班</x:v>
      </x:c>
      <x:c r="D167" s="12" t="str">
        <x:v>S0180</x:v>
      </x:c>
      <x:c r="E167" s="12" t="str">
        <x:v>11:25</x:v>
      </x:c>
      <x:c r="F167" s="12" t="str">
        <x:v>高超楼（系统工程学院旁）</x:v>
      </x:c>
      <x:c r="G167" s="12" t="str">
        <x:v>高超楼发车</x:v>
      </x:c>
      <x:c r="H167" s="12" t="str">
        <x:v>HX3_GAOCHAO</x:v>
      </x:c>
      <x:c r="I167" s="12" t="str">
        <x:v>S0181</x:v>
      </x:c>
      <x:c r="J167" s="12" t="str">
        <x:v>11:55</x:v>
      </x:c>
      <x:c r="K167" s="12" t="str">
        <x:v>高超楼（系统工程学院旁）</x:v>
      </x:c>
      <x:c r="L167" s="12" t="str">
        <x:v>高超楼发车</x:v>
      </x:c>
      <x:c r="M167" s="12" t="str">
        <x:v>HX3_GAOCHAO</x:v>
      </x:c>
      <x:c r="N167" s="12" t="n">
        <x:v>1800</x:v>
      </x:c>
      <x:c r="O167" s="12" t="n">
        <x:f>N167/86400</x:f>
        <x:v>0.020833333333333332</x:v>
      </x:c>
      <x:c r="P167" s="12" t="n">
        <x:v>870</x:v>
      </x:c>
      <x:c r="Q167" s="12" t="n">
        <x:v>930</x:v>
      </x:c>
      <x:c r="R167" s="12" t="n">
        <x:f>Q167/86400</x:f>
        <x:v>0.010763888888888889</x:v>
      </x:c>
      <x:c r="S167" s="12" t="str">
        <x:v>通过</x:v>
      </x:c>
      <x:c r="T167" s="12" t="str">
        <x:v>返回同一发车点；建议至少保留约2分钟上下客/等待冗余</x:v>
      </x:c>
    </x:row>
    <x:row r="168">
      <x:c r="A168" s="12" t="str">
        <x:v>周末/节假日</x:v>
      </x:c>
      <x:c r="B168" s="12" t="str">
        <x:v>环线3路</x:v>
      </x:c>
      <x:c r="C168" s="12" t="str">
        <x:v>第二班</x:v>
      </x:c>
      <x:c r="D168" s="12" t="str">
        <x:v>S0181</x:v>
      </x:c>
      <x:c r="E168" s="12" t="str">
        <x:v>11:55</x:v>
      </x:c>
      <x:c r="F168" s="12" t="str">
        <x:v>高超楼（系统工程学院旁）</x:v>
      </x:c>
      <x:c r="G168" s="12" t="str">
        <x:v>高超楼发车</x:v>
      </x:c>
      <x:c r="H168" s="12" t="str">
        <x:v>HX3_GAOCHAO</x:v>
      </x:c>
      <x:c r="I168" s="12" t="str">
        <x:v>S0182</x:v>
      </x:c>
      <x:c r="J168" s="12" t="str">
        <x:v>12:25</x:v>
      </x:c>
      <x:c r="K168" s="12" t="str">
        <x:v>高超楼（系统工程学院旁）</x:v>
      </x:c>
      <x:c r="L168" s="12" t="str">
        <x:v>高超楼发车</x:v>
      </x:c>
      <x:c r="M168" s="12" t="str">
        <x:v>HX3_GAOCHAO</x:v>
      </x:c>
      <x:c r="N168" s="12" t="n">
        <x:v>1800</x:v>
      </x:c>
      <x:c r="O168" s="12" t="n">
        <x:f>N168/86400</x:f>
        <x:v>0.020833333333333332</x:v>
      </x:c>
      <x:c r="P168" s="12" t="n">
        <x:v>870</x:v>
      </x:c>
      <x:c r="Q168" s="12" t="n">
        <x:v>930</x:v>
      </x:c>
      <x:c r="R168" s="12" t="n">
        <x:f>Q168/86400</x:f>
        <x:v>0.010763888888888889</x:v>
      </x:c>
      <x:c r="S168" s="12" t="str">
        <x:v>通过</x:v>
      </x:c>
      <x:c r="T168" s="12" t="str">
        <x:v>返回同一发车点；建议至少保留约2分钟上下客/等待冗余</x:v>
      </x:c>
    </x:row>
    <x:row r="169">
      <x:c r="A169" s="12" t="str">
        <x:v>周末/节假日</x:v>
      </x:c>
      <x:c r="B169" s="12" t="str">
        <x:v>环线3路</x:v>
      </x:c>
      <x:c r="C169" s="12" t="str">
        <x:v>第二班</x:v>
      </x:c>
      <x:c r="D169" s="12" t="str">
        <x:v>S0182</x:v>
      </x:c>
      <x:c r="E169" s="12" t="str">
        <x:v>12:25</x:v>
      </x:c>
      <x:c r="F169" s="12" t="str">
        <x:v>高超楼（系统工程学院旁）</x:v>
      </x:c>
      <x:c r="G169" s="12" t="str">
        <x:v>高超楼发车</x:v>
      </x:c>
      <x:c r="H169" s="12" t="str">
        <x:v>HX3_GAOCHAO</x:v>
      </x:c>
      <x:c r="I169" s="12" t="str">
        <x:v>S0183</x:v>
      </x:c>
      <x:c r="J169" s="12" t="str">
        <x:v>14:20</x:v>
      </x:c>
      <x:c r="K169" s="12" t="str">
        <x:v>研究生宿舍楼</x:v>
      </x:c>
      <x:c r="L169" s="12" t="str">
        <x:v>研究生宿舍楼发车</x:v>
      </x:c>
      <x:c r="M169" s="12" t="str">
        <x:v>HX3_NORMAL</x:v>
      </x:c>
      <x:c r="N169" s="12" t="n">
        <x:v>6900</x:v>
      </x:c>
      <x:c r="O169" s="12" t="n">
        <x:f>N169/86400</x:f>
        <x:v>0.0798611111111111</x:v>
      </x:c>
      <x:c r="P169" s="12" t="n">
        <x:v>455</x:v>
      </x:c>
      <x:c r="Q169" s="12" t="n">
        <x:v>6445</x:v>
      </x:c>
      <x:c r="R169" s="12" t="n">
        <x:f>Q169/86400</x:f>
        <x:v>0.0745949074074074</x:v>
      </x:c>
      <x:c r="S169" s="12" t="str">
        <x:v>通过</x:v>
      </x:c>
      <x:c r="T169" s="12" t="str">
        <x:v>当前路线途中到达下一发车点：研究生宿舍楼；建议至少保留约2分钟上下客/等待冗余</x:v>
      </x:c>
    </x:row>
    <x:row r="170">
      <x:c r="A170" s="12" t="str">
        <x:v>周末/节假日</x:v>
      </x:c>
      <x:c r="B170" s="12" t="str">
        <x:v>环线3路</x:v>
      </x:c>
      <x:c r="C170" s="12" t="str">
        <x:v>第二班</x:v>
      </x:c>
      <x:c r="D170" s="12" t="str">
        <x:v>S0183</x:v>
      </x:c>
      <x:c r="E170" s="12" t="str">
        <x:v>14:20</x:v>
      </x:c>
      <x:c r="F170" s="12" t="str">
        <x:v>研究生宿舍楼</x:v>
      </x:c>
      <x:c r="G170" s="12" t="str">
        <x:v>研究生宿舍楼发车</x:v>
      </x:c>
      <x:c r="H170" s="12" t="str">
        <x:v>HX3_NORMAL</x:v>
      </x:c>
      <x:c r="I170" s="12" t="str">
        <x:v>S0184</x:v>
      </x:c>
      <x:c r="J170" s="12" t="str">
        <x:v>14:45</x:v>
      </x:c>
      <x:c r="K170" s="12" t="str">
        <x:v>研究生宿舍楼</x:v>
      </x:c>
      <x:c r="L170" s="12" t="str">
        <x:v>研究生宿舍楼发车</x:v>
      </x:c>
      <x:c r="M170" s="12" t="str">
        <x:v>HX3_NORMAL</x:v>
      </x:c>
      <x:c r="N170" s="12" t="n">
        <x:v>1500</x:v>
      </x:c>
      <x:c r="O170" s="12" t="n">
        <x:f>N170/86400</x:f>
        <x:v>0.017361111111111112</x:v>
      </x:c>
      <x:c r="P170" s="12" t="n">
        <x:v>870</x:v>
      </x:c>
      <x:c r="Q170" s="12" t="n">
        <x:v>630</x:v>
      </x:c>
      <x:c r="R170" s="12" t="n">
        <x:f>Q170/86400</x:f>
        <x:v>0.007291666666666667</x:v>
      </x:c>
      <x:c r="S170" s="12" t="str">
        <x:v>通过</x:v>
      </x:c>
      <x:c r="T170" s="12" t="str">
        <x:v>返回同一发车点；建议至少保留约2分钟上下客/等待冗余</x:v>
      </x:c>
    </x:row>
    <x:row r="171">
      <x:c r="A171" s="12" t="str">
        <x:v>周末/节假日</x:v>
      </x:c>
      <x:c r="B171" s="12" t="str">
        <x:v>环线3路</x:v>
      </x:c>
      <x:c r="C171" s="12" t="str">
        <x:v>第二班</x:v>
      </x:c>
      <x:c r="D171" s="12" t="str">
        <x:v>S0184</x:v>
      </x:c>
      <x:c r="E171" s="12" t="str">
        <x:v>14:45</x:v>
      </x:c>
      <x:c r="F171" s="12" t="str">
        <x:v>研究生宿舍楼</x:v>
      </x:c>
      <x:c r="G171" s="12" t="str">
        <x:v>研究生宿舍楼发车</x:v>
      </x:c>
      <x:c r="H171" s="12" t="str">
        <x:v>HX3_NORMAL</x:v>
      </x:c>
      <x:c r="I171" s="12" t="str">
        <x:v>S0185</x:v>
      </x:c>
      <x:c r="J171" s="12" t="str">
        <x:v>15:10</x:v>
      </x:c>
      <x:c r="K171" s="12" t="str">
        <x:v>研究生宿舍楼</x:v>
      </x:c>
      <x:c r="L171" s="12" t="str">
        <x:v>研究生宿舍楼发车</x:v>
      </x:c>
      <x:c r="M171" s="12" t="str">
        <x:v>HX3_NORMAL</x:v>
      </x:c>
      <x:c r="N171" s="12" t="n">
        <x:v>1500</x:v>
      </x:c>
      <x:c r="O171" s="12" t="n">
        <x:f>N171/86400</x:f>
        <x:v>0.017361111111111112</x:v>
      </x:c>
      <x:c r="P171" s="12" t="n">
        <x:v>870</x:v>
      </x:c>
      <x:c r="Q171" s="12" t="n">
        <x:v>630</x:v>
      </x:c>
      <x:c r="R171" s="12" t="n">
        <x:f>Q171/86400</x:f>
        <x:v>0.007291666666666667</x:v>
      </x:c>
      <x:c r="S171" s="12" t="str">
        <x:v>通过</x:v>
      </x:c>
      <x:c r="T171" s="12" t="str">
        <x:v>返回同一发车点；建议至少保留约2分钟上下客/等待冗余</x:v>
      </x:c>
    </x:row>
    <x:row r="172">
      <x:c r="A172" s="12" t="str">
        <x:v>周末/节假日</x:v>
      </x:c>
      <x:c r="B172" s="12" t="str">
        <x:v>环线3路</x:v>
      </x:c>
      <x:c r="C172" s="12" t="str">
        <x:v>第二班</x:v>
      </x:c>
      <x:c r="D172" s="12" t="str">
        <x:v>S0185</x:v>
      </x:c>
      <x:c r="E172" s="12" t="str">
        <x:v>15:10</x:v>
      </x:c>
      <x:c r="F172" s="12" t="str">
        <x:v>研究生宿舍楼</x:v>
      </x:c>
      <x:c r="G172" s="12" t="str">
        <x:v>研究生宿舍楼发车</x:v>
      </x:c>
      <x:c r="H172" s="12" t="str">
        <x:v>HX3_NORMAL</x:v>
      </x:c>
      <x:c r="I172" s="12" t="str">
        <x:v>S0186</x:v>
      </x:c>
      <x:c r="J172" s="12" t="str">
        <x:v>16:50</x:v>
      </x:c>
      <x:c r="K172" s="12" t="str">
        <x:v>高超楼（系统工程学院旁）</x:v>
      </x:c>
      <x:c r="L172" s="12" t="str">
        <x:v>高超楼发车</x:v>
      </x:c>
      <x:c r="M172" s="12" t="str">
        <x:v>HX3_GAOCHAO</x:v>
      </x:c>
      <x:c r="N172" s="12" t="n">
        <x:v>6000</x:v>
      </x:c>
      <x:c r="O172" s="12" t="n">
        <x:f>N172/86400</x:f>
        <x:v>0.06944444444444445</x:v>
      </x:c>
      <x:c r="P172" s="12" t="n">
        <x:v>415</x:v>
      </x:c>
      <x:c r="Q172" s="12" t="n">
        <x:v>5585</x:v>
      </x:c>
      <x:c r="R172" s="12" t="n">
        <x:f>Q172/86400</x:f>
        <x:v>0.0646412037037037</x:v>
      </x:c>
      <x:c r="S172" s="12" t="str">
        <x:v>通过</x:v>
      </x:c>
      <x:c r="T172" s="12" t="str">
        <x:v>当前路线途中到达下一发车点：高超楼；建议至少保留约2分钟上下客/等待冗余</x:v>
      </x:c>
    </x:row>
    <x:row r="173">
      <x:c r="A173" s="12" t="str">
        <x:v>周末/节假日</x:v>
      </x:c>
      <x:c r="B173" s="12" t="str">
        <x:v>环线3路</x:v>
      </x:c>
      <x:c r="C173" s="12" t="str">
        <x:v>第二班</x:v>
      </x:c>
      <x:c r="D173" s="12" t="str">
        <x:v>S0186</x:v>
      </x:c>
      <x:c r="E173" s="12" t="str">
        <x:v>16:50</x:v>
      </x:c>
      <x:c r="F173" s="12" t="str">
        <x:v>高超楼（系统工程学院旁）</x:v>
      </x:c>
      <x:c r="G173" s="12" t="str">
        <x:v>高超楼发车</x:v>
      </x:c>
      <x:c r="H173" s="12" t="str">
        <x:v>HX3_GAOCHAO</x:v>
      </x:c>
      <x:c r="I173" s="12" t="str">
        <x:v>S0187</x:v>
      </x:c>
      <x:c r="J173" s="12" t="str">
        <x:v>17:20</x:v>
      </x:c>
      <x:c r="K173" s="12" t="str">
        <x:v>高超楼（系统工程学院旁）</x:v>
      </x:c>
      <x:c r="L173" s="12" t="str">
        <x:v>高超楼发车</x:v>
      </x:c>
      <x:c r="M173" s="12" t="str">
        <x:v>HX3_GAOCHAO</x:v>
      </x:c>
      <x:c r="N173" s="12" t="n">
        <x:v>1800</x:v>
      </x:c>
      <x:c r="O173" s="12" t="n">
        <x:f>N173/86400</x:f>
        <x:v>0.020833333333333332</x:v>
      </x:c>
      <x:c r="P173" s="12" t="n">
        <x:v>870</x:v>
      </x:c>
      <x:c r="Q173" s="12" t="n">
        <x:v>930</x:v>
      </x:c>
      <x:c r="R173" s="12" t="n">
        <x:f>Q173/86400</x:f>
        <x:v>0.010763888888888889</x:v>
      </x:c>
      <x:c r="S173" s="12" t="str">
        <x:v>通过</x:v>
      </x:c>
      <x:c r="T173" s="12" t="str">
        <x:v>返回同一发车点；建议至少保留约2分钟上下客/等待冗余</x:v>
      </x:c>
    </x:row>
    <x:row r="174">
      <x:c r="A174" s="12" t="str">
        <x:v>周末/节假日</x:v>
      </x:c>
      <x:c r="B174" s="12" t="str">
        <x:v>环线3路</x:v>
      </x:c>
      <x:c r="C174" s="12" t="str">
        <x:v>第二班</x:v>
      </x:c>
      <x:c r="D174" s="12" t="str">
        <x:v>S0187</x:v>
      </x:c>
      <x:c r="E174" s="12" t="str">
        <x:v>17:20</x:v>
      </x:c>
      <x:c r="F174" s="12" t="str">
        <x:v>高超楼（系统工程学院旁）</x:v>
      </x:c>
      <x:c r="G174" s="12" t="str">
        <x:v>高超楼发车</x:v>
      </x:c>
      <x:c r="H174" s="12" t="str">
        <x:v>HX3_GAOCHAO</x:v>
      </x:c>
      <x:c r="I174" s="12" t="str">
        <x:v>S0188</x:v>
      </x:c>
      <x:c r="J174" s="12" t="str">
        <x:v>17:50</x:v>
      </x:c>
      <x:c r="K174" s="12" t="str">
        <x:v>高超楼（系统工程学院旁）</x:v>
      </x:c>
      <x:c r="L174" s="12" t="str">
        <x:v>高超楼发车</x:v>
      </x:c>
      <x:c r="M174" s="12" t="str">
        <x:v>HX3_GAOCHAO</x:v>
      </x:c>
      <x:c r="N174" s="12" t="n">
        <x:v>1800</x:v>
      </x:c>
      <x:c r="O174" s="12" t="n">
        <x:f>N174/86400</x:f>
        <x:v>0.020833333333333332</x:v>
      </x:c>
      <x:c r="P174" s="12" t="n">
        <x:v>870</x:v>
      </x:c>
      <x:c r="Q174" s="12" t="n">
        <x:v>930</x:v>
      </x:c>
      <x:c r="R174" s="12" t="n">
        <x:f>Q174/86400</x:f>
        <x:v>0.010763888888888889</x:v>
      </x:c>
      <x:c r="S174" s="12" t="str">
        <x:v>通过</x:v>
      </x:c>
      <x:c r="T174" s="12" t="str">
        <x:v>返回同一发车点；建议至少保留约2分钟上下客/等待冗余</x:v>
      </x:c>
    </x:row>
    <x:row r="175">
      <x:c r="A175" s="12" t="str">
        <x:v>周末/节假日</x:v>
      </x:c>
      <x:c r="B175" s="12" t="str">
        <x:v>环线3路</x:v>
      </x:c>
      <x:c r="C175" s="12" t="str">
        <x:v>第二班</x:v>
      </x:c>
      <x:c r="D175" s="12" t="str">
        <x:v>S0188</x:v>
      </x:c>
      <x:c r="E175" s="12" t="str">
        <x:v>17:50</x:v>
      </x:c>
      <x:c r="F175" s="12" t="str">
        <x:v>高超楼（系统工程学院旁）</x:v>
      </x:c>
      <x:c r="G175" s="12" t="str">
        <x:v>高超楼发车</x:v>
      </x:c>
      <x:c r="H175" s="12" t="str">
        <x:v>HX3_GAOCHAO</x:v>
      </x:c>
      <x:c r="I175" s="12" t="str">
        <x:v>S0189</x:v>
      </x:c>
      <x:c r="J175" s="12" t="str">
        <x:v>21:00</x:v>
      </x:c>
      <x:c r="K175" s="12" t="str">
        <x:v>高超楼（系统工程学院旁）</x:v>
      </x:c>
      <x:c r="L175" s="12" t="str">
        <x:v>高超楼发车</x:v>
      </x:c>
      <x:c r="M175" s="12" t="str">
        <x:v>HX3_GAOCHAO</x:v>
      </x:c>
      <x:c r="N175" s="12" t="n">
        <x:v>11400</x:v>
      </x:c>
      <x:c r="O175" s="12" t="n">
        <x:f>N175/86400</x:f>
        <x:v>0.13194444444444445</x:v>
      </x:c>
      <x:c r="P175" s="12" t="n">
        <x:v>870</x:v>
      </x:c>
      <x:c r="Q175" s="12" t="n">
        <x:v>10530</x:v>
      </x:c>
      <x:c r="R175" s="12" t="n">
        <x:f>Q175/86400</x:f>
        <x:v>0.121875</x:v>
      </x:c>
      <x:c r="S175" s="12" t="str">
        <x:v>通过</x:v>
      </x:c>
      <x:c r="T175" s="12" t="str">
        <x:v>返回同一发车点；建议至少保留约2分钟上下客/等待冗余</x:v>
      </x:c>
    </x:row>
  </x:sheetData>
  <x:conditionalFormatting sqref="S2:S200">
    <x:cfRule type="expression" dxfId="5" priority="1">
      <x:formula>$S2="可能不足"</x:formula>
    </x:cfRule>
    <x:cfRule type="expression" dxfId="6" priority="2">
      <x:formula>$S2="紧张"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6.860000133514404" hidden="0" customWidth="1"/>
    <x:col min="3" max="3" width="21.670000076293945" hidden="0" customWidth="1"/>
    <x:col min="4" max="4" width="23.549999237060547" hidden="0" customWidth="1"/>
    <x:col min="5" max="5" width="5.789999961853027" hidden="0" customWidth="1"/>
    <x:col min="6" max="6" width="9.829999923706055" hidden="0" customWidth="1"/>
    <x:col min="7" max="7" width="11.710000038146973" hidden="0" customWidth="1"/>
    <x:col min="8" max="8" width="45" hidden="0" customWidth="1"/>
  </x:cols>
  <x:sheetData>
    <x:row r="1" ht="28" customHeight="1">
      <x:c r="A1" s="74" t="str">
        <x:v>路线键</x:v>
      </x:c>
      <x:c r="B1" s="74" t="str">
        <x:v>线路</x:v>
      </x:c>
      <x:c r="C1" s="74" t="str">
        <x:v>发车模式</x:v>
      </x:c>
      <x:c r="D1" s="74" t="str">
        <x:v>实际发车站点</x:v>
      </x:c>
      <x:c r="E1" s="74" t="str">
        <x:v>站点数</x:v>
      </x:c>
      <x:c r="F1" s="76" t="str">
        <x:v>基准全程秒</x:v>
      </x:c>
      <x:c r="G1" s="77" t="str">
        <x:v>基准全程时间</x:v>
      </x:c>
      <x:c r="H1" s="74" t="str">
        <x:v>说明</x:v>
      </x:c>
    </x:row>
    <x:row r="2">
      <x:c r="A2" s="12" t="str">
        <x:v>HX1_NORMAL</x:v>
      </x:c>
      <x:c r="B2" s="12" t="str">
        <x:v>环线1路</x:v>
      </x:c>
      <x:c r="C2" s="12" t="str">
        <x:v>研究生宿舍楼发车</x:v>
      </x:c>
      <x:c r="D2" s="12" t="str">
        <x:v>研究生宿舍楼</x:v>
      </x:c>
      <x:c r="E2" s="12" t="n">
        <x:v>13</x:v>
      </x:c>
      <x:c r="F2" s="12" t="n">
        <x:v>945</x:v>
      </x:c>
      <x:c r="G2" s="12" t="n">
        <x:f>F2/86400</x:f>
        <x:v>0.0109375</x:v>
      </x:c>
      <x:c r="H2" s="12" t="str">
        <x:v>全程秒可通过“秒级路线参数_可调整”的手动采用秒或实测记录逐步校准</x:v>
      </x:c>
    </x:row>
    <x:row r="3">
      <x:c r="A3" s="12" t="str">
        <x:v>HX1_DINING</x:v>
      </x:c>
      <x:c r="B3" s="12" t="str">
        <x:v>环线1路</x:v>
      </x:c>
      <x:c r="C3" s="12" t="str">
        <x:v>高超楼发车（就餐专线）</x:v>
      </x:c>
      <x:c r="D3" s="12" t="str">
        <x:v>高超楼（就餐专线）</x:v>
      </x:c>
      <x:c r="E3" s="12" t="n">
        <x:v>9</x:v>
      </x:c>
      <x:c r="F3" s="12" t="n">
        <x:v>850</x:v>
      </x:c>
      <x:c r="G3" s="12" t="n">
        <x:f>F3/86400</x:f>
        <x:v>0.009837962962962963</x:v>
      </x:c>
      <x:c r="H3" s="12" t="str">
        <x:v>全程秒可通过“秒级路线参数_可调整”的手动采用秒或实测记录逐步校准</x:v>
      </x:c>
    </x:row>
    <x:row r="4">
      <x:c r="A4" s="12" t="str">
        <x:v>HX2_NORMAL</x:v>
      </x:c>
      <x:c r="B4" s="12" t="str">
        <x:v>环线2路</x:v>
      </x:c>
      <x:c r="C4" s="12" t="str">
        <x:v>研究生宿舍楼发车</x:v>
      </x:c>
      <x:c r="D4" s="12" t="str">
        <x:v>研究生宿舍楼</x:v>
      </x:c>
      <x:c r="E4" s="12" t="n">
        <x:v>10</x:v>
      </x:c>
      <x:c r="F4" s="12" t="n">
        <x:v>572</x:v>
      </x:c>
      <x:c r="G4" s="12" t="n">
        <x:f>F4/86400</x:f>
        <x:v>0.00662037037037037</x:v>
      </x:c>
      <x:c r="H4" s="12" t="str">
        <x:v>全程秒可通过“秒级路线参数_可调整”的手动采用秒或实测记录逐步校准</x:v>
      </x:c>
    </x:row>
    <x:row r="5">
      <x:c r="A5" s="12" t="str">
        <x:v>HX3_NORMAL</x:v>
      </x:c>
      <x:c r="B5" s="12" t="str">
        <x:v>环线3路</x:v>
      </x:c>
      <x:c r="C5" s="12" t="str">
        <x:v>研究生宿舍楼发车</x:v>
      </x:c>
      <x:c r="D5" s="12" t="str">
        <x:v>研究生宿舍楼</x:v>
      </x:c>
      <x:c r="E5" s="12" t="n">
        <x:v>12</x:v>
      </x:c>
      <x:c r="F5" s="12" t="n">
        <x:v>870</x:v>
      </x:c>
      <x:c r="G5" s="12" t="n">
        <x:f>F5/86400</x:f>
        <x:v>0.010069444444444445</x:v>
      </x:c>
      <x:c r="H5" s="12" t="str">
        <x:v>全程秒可通过“秒级路线参数_可调整”的手动采用秒或实测记录逐步校准</x:v>
      </x:c>
    </x:row>
    <x:row r="6">
      <x:c r="A6" s="12" t="str">
        <x:v>HX3_GAOCHAO</x:v>
      </x:c>
      <x:c r="B6" s="12" t="str">
        <x:v>环线3路</x:v>
      </x:c>
      <x:c r="C6" s="12" t="str">
        <x:v>高超楼发车</x:v>
      </x:c>
      <x:c r="D6" s="12" t="str">
        <x:v>高超楼（系统工程学院旁）</x:v>
      </x:c>
      <x:c r="E6" s="12" t="n">
        <x:v>12</x:v>
      </x:c>
      <x:c r="F6" s="12" t="n">
        <x:v>870</x:v>
      </x:c>
      <x:c r="G6" s="12" t="n">
        <x:f>F6/86400</x:f>
        <x:v>0.010069444444444445</x:v>
      </x:c>
      <x:c r="H6" s="12" t="str">
        <x:v>全程秒可通过“秒级路线参数_可调整”的手动采用秒或实测记录逐步校准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28" customHeight="1">
      <x:c r="A1" s="80" t="str">
        <x:v>项目</x:v>
      </x:c>
      <x:c r="B1" s="80" t="str">
        <x:v>内容</x:v>
      </x:c>
    </x:row>
    <x:row r="2">
      <x:c r="A2" s="12" t="str">
        <x:v>本次更新</x:v>
      </x:c>
      <x:c r="B2" s="12" t="str">
        <x:v>在不修改原始发车时刻的基础上，新增秒级预测与可校准参数表。</x:v>
      </x:c>
    </x:row>
    <x:row r="3">
      <x:c r="A3" s="12" t="str">
        <x:v>精度变化</x:v>
      </x:c>
      <x:c r="B3" s="12" t="str">
        <x:v>原“预测到站明细”为分钟级；新增“预测到站明细_秒级”显示到 hh:mm:ss。</x:v>
      </x:c>
    </x:row>
    <x:row r="4">
      <x:c r="A4" s="12" t="str">
        <x:v>可调整入口1</x:v>
      </x:c>
      <x:c r="B4" s="12" t="str">
        <x:v>优先在“实测记录模板”录入实测站间时间，系统会在“秒级路线参数_可调整”中统计样本数和平均秒。</x:v>
      </x:c>
    </x:row>
    <x:row r="5">
      <x:c r="A5" s="12" t="str">
        <x:v>可调整入口2</x:v>
      </x:c>
      <x:c r="B5" s="12" t="str">
        <x:v>如已有可靠实测值，可直接在“秒级路线参数_可调整”的“手动采用秒（可填）”列填写秒数，最终站间秒会优先采用该值。</x:v>
      </x:c>
    </x:row>
    <x:row r="6">
      <x:c r="A6" s="12" t="str">
        <x:v>公式联动</x:v>
      </x:c>
      <x:c r="B6" s="12" t="str">
        <x:v>“预测到站明细_秒级”的累计秒和预计到达时间均引用“秒级路线参数_可调整”的最终站间秒。</x:v>
      </x:c>
    </x:row>
    <x:row r="7">
      <x:c r="A7" s="12" t="str">
        <x:v>距离和速度口径</x:v>
      </x:c>
      <x:c r="B7" s="12" t="str">
        <x:v>基准站间秒按路线图比例、已知距离锚点和校园限速25km/h估算；很近的站点允许低于1分钟。</x:v>
      </x:c>
    </x:row>
    <x:row r="8">
      <x:c r="A8" s="12" t="str">
        <x:v>环线1路就餐专线</x:v>
      </x:c>
      <x:c r="B8" s="12" t="str">
        <x:v>环线1路打钩车次仍按高超楼发车的就餐专线处理：高超楼→理学院→二食堂→一食堂→305教学楼→5号宿舍楼→二食堂北→理学院→高超楼。</x:v>
      </x:c>
    </x:row>
    <x:row r="9">
      <x:c r="A9" s="12" t="str">
        <x:v>小程序建议</x:v>
      </x:c>
      <x:c r="B9" s="12" t="str">
        <x:v>小程序端可优先读取“预测到站明细_秒级”的预计到达文本；如需路线配置，可读取“秒级路线参数_可调整”的路线键、站点序号、当前站、累计秒。</x:v>
      </x:c>
    </x:row>
    <x:row r="10">
      <x:c r="A10" s="12" t="str">
        <x:v>后期校准流程</x:v>
      </x:c>
      <x:c r="B10" s="12" t="str">
        <x:v>实际坐车记录每站到达时间→填入“实测记录模板”→查看“秒级路线参数_可调整”的实测平均秒→必要时写入手动采用秒→预测到站自动更新。</x:v>
      </x:c>
    </x:row>
    <x:row r="11">
      <x:c r="A11" s="12" t="str">
        <x:v>误差说明</x:v>
      </x:c>
      <x:c r="B11" s="12" t="str">
        <x:v>当前仍为预测值，建议小程序展示为“预计到达”。经过多次实测后，可将误差逐步压缩。</x:v>
      </x:c>
    </x:row>
  </x:sheetData>
  <x:pageMargins left="0.7" right="0.7" top="0.75" bottom="0.75" header="0.3" footer="0.3"/>
</x:worksheet>
</file>